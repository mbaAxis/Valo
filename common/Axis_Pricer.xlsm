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11.xml" ContentType="application/vnd.ms-excel.controlproperties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229" documentId="13_ncr:1_{A2FA8FAE-01D5-4A76-89B9-02441FA56CFF}" xr6:coauthVersionLast="47" xr6:coauthVersionMax="47" xr10:uidLastSave="{D9759F26-0B17-4B28-B405-CCC64337A142}"/>
  <bookViews>
    <workbookView xWindow="-110" yWindow="-110" windowWidth="19420" windowHeight="11500" firstSheet="1" activeTab="9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hart1" sheetId="14" state="hidden" r:id="rId5"/>
    <sheet name="Fwd Intensity" sheetId="7" r:id="rId6"/>
    <sheet name="CDS" sheetId="8" r:id="rId7"/>
    <sheet name="CDO Bespoke" sheetId="11" r:id="rId8"/>
    <sheet name="Chart2" sheetId="17" state="hidden" r:id="rId9"/>
    <sheet name="FRTB" sheetId="16" r:id="rId10"/>
    <sheet name="CDO2" sheetId="13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9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9" i="16" l="1" a="1"/>
  <c r="T9" i="16"/>
  <c r="S9" i="16" a="1"/>
  <c r="S9" i="16"/>
  <c r="X14" i="16"/>
  <c r="AA14" i="16"/>
  <c r="V9" i="16"/>
  <c r="AB14" i="16"/>
  <c r="AE14" i="16"/>
  <c r="W9" i="16"/>
  <c r="X15" i="16"/>
  <c r="AA15" i="16"/>
  <c r="V10" i="16"/>
  <c r="AB15" i="16"/>
  <c r="AE15" i="16"/>
  <c r="W10" i="16"/>
  <c r="Y14" i="16"/>
  <c r="Z14" i="16"/>
  <c r="Y15" i="16"/>
  <c r="Z15" i="16"/>
  <c r="X16" i="16"/>
  <c r="Y16" i="16"/>
  <c r="Z16" i="16"/>
  <c r="X17" i="16"/>
  <c r="Y17" i="16"/>
  <c r="Z17" i="16"/>
  <c r="X18" i="16"/>
  <c r="Y18" i="16"/>
  <c r="Z18" i="16"/>
  <c r="X19" i="16"/>
  <c r="Y19" i="16"/>
  <c r="Z19" i="16"/>
  <c r="X20" i="16"/>
  <c r="Y20" i="16"/>
  <c r="Z20" i="16"/>
  <c r="X21" i="16"/>
  <c r="Y21" i="16"/>
  <c r="Z21" i="16"/>
  <c r="X22" i="16"/>
  <c r="Y22" i="16"/>
  <c r="Z22" i="16"/>
  <c r="X23" i="16"/>
  <c r="Y23" i="16"/>
  <c r="Z23" i="16"/>
  <c r="X24" i="16"/>
  <c r="Y24" i="16"/>
  <c r="Z24" i="16"/>
  <c r="X25" i="16"/>
  <c r="Y25" i="16"/>
  <c r="Z25" i="16"/>
  <c r="X26" i="16"/>
  <c r="Y26" i="16"/>
  <c r="Z26" i="16"/>
  <c r="X27" i="16"/>
  <c r="Y27" i="16"/>
  <c r="Z27" i="16"/>
  <c r="X28" i="16"/>
  <c r="Y28" i="16"/>
  <c r="Z28" i="16"/>
  <c r="X29" i="16"/>
  <c r="Y29" i="16"/>
  <c r="Z29" i="16"/>
  <c r="X30" i="16"/>
  <c r="Y30" i="16"/>
  <c r="Z30" i="16"/>
  <c r="X31" i="16"/>
  <c r="Y31" i="16"/>
  <c r="Z31" i="16"/>
  <c r="X32" i="16"/>
  <c r="Y32" i="16"/>
  <c r="Z32" i="16"/>
  <c r="X33" i="16"/>
  <c r="Y33" i="16"/>
  <c r="Z33" i="16"/>
  <c r="X34" i="16"/>
  <c r="Y34" i="16"/>
  <c r="Z34" i="16"/>
  <c r="X35" i="16"/>
  <c r="Y35" i="16"/>
  <c r="Z35" i="16"/>
  <c r="X36" i="16"/>
  <c r="Y36" i="16"/>
  <c r="Z36" i="16"/>
  <c r="X37" i="16"/>
  <c r="Y37" i="16"/>
  <c r="Z37" i="16"/>
  <c r="X38" i="16"/>
  <c r="Y38" i="16"/>
  <c r="Z38" i="16"/>
  <c r="X39" i="16"/>
  <c r="Y39" i="16"/>
  <c r="Z39" i="16"/>
  <c r="X40" i="16"/>
  <c r="Y40" i="16"/>
  <c r="Z40" i="16"/>
  <c r="X41" i="16"/>
  <c r="Y41" i="16"/>
  <c r="Z41" i="16"/>
  <c r="X42" i="16"/>
  <c r="Y42" i="16"/>
  <c r="Z42" i="16"/>
  <c r="X43" i="16"/>
  <c r="Y43" i="16"/>
  <c r="Z43" i="16"/>
  <c r="X44" i="16"/>
  <c r="Y44" i="16"/>
  <c r="Z44" i="16"/>
  <c r="X45" i="16"/>
  <c r="Y45" i="16"/>
  <c r="Z45" i="16"/>
  <c r="X46" i="16"/>
  <c r="Y46" i="16"/>
  <c r="Z46" i="16"/>
  <c r="X47" i="16"/>
  <c r="Y47" i="16"/>
  <c r="Z47" i="16"/>
  <c r="X48" i="16"/>
  <c r="Y48" i="16"/>
  <c r="Z48" i="16"/>
  <c r="X49" i="16"/>
  <c r="Y49" i="16"/>
  <c r="Z49" i="16"/>
  <c r="X50" i="16"/>
  <c r="Y50" i="16"/>
  <c r="Z50" i="16"/>
  <c r="X51" i="16"/>
  <c r="Y51" i="16"/>
  <c r="Z51" i="16"/>
  <c r="X52" i="16"/>
  <c r="Y52" i="16"/>
  <c r="Z52" i="16"/>
  <c r="X53" i="16"/>
  <c r="Y53" i="16"/>
  <c r="Z53" i="16"/>
  <c r="X54" i="16"/>
  <c r="Y54" i="16"/>
  <c r="Z54" i="16"/>
  <c r="X55" i="16"/>
  <c r="Y55" i="16"/>
  <c r="Z55" i="16"/>
  <c r="X56" i="16"/>
  <c r="Y56" i="16"/>
  <c r="Z56" i="16"/>
  <c r="X57" i="16"/>
  <c r="Y57" i="16"/>
  <c r="Z57" i="16"/>
  <c r="X58" i="16"/>
  <c r="Y58" i="16"/>
  <c r="Z58" i="16"/>
  <c r="X59" i="16"/>
  <c r="Y59" i="16"/>
  <c r="Z59" i="16"/>
  <c r="X60" i="16"/>
  <c r="Y60" i="16"/>
  <c r="Z60" i="16"/>
  <c r="X61" i="16"/>
  <c r="Y61" i="16"/>
  <c r="Z61" i="16"/>
  <c r="X62" i="16"/>
  <c r="Y62" i="16"/>
  <c r="Z62" i="16"/>
  <c r="X63" i="16"/>
  <c r="Y63" i="16"/>
  <c r="Z63" i="16"/>
  <c r="X64" i="16"/>
  <c r="Y64" i="16"/>
  <c r="Z64" i="16"/>
  <c r="X65" i="16"/>
  <c r="Y65" i="16"/>
  <c r="Z65" i="16"/>
  <c r="X66" i="16"/>
  <c r="Y66" i="16"/>
  <c r="Z66" i="16"/>
  <c r="X67" i="16"/>
  <c r="Y67" i="16"/>
  <c r="Z67" i="16"/>
  <c r="X68" i="16"/>
  <c r="Y68" i="16"/>
  <c r="Z68" i="16"/>
  <c r="X69" i="16"/>
  <c r="Y69" i="16"/>
  <c r="Z69" i="16"/>
  <c r="X70" i="16"/>
  <c r="Y70" i="16"/>
  <c r="Z70" i="16"/>
  <c r="X71" i="16"/>
  <c r="Y71" i="16"/>
  <c r="Z71" i="16"/>
  <c r="X72" i="16"/>
  <c r="Y72" i="16"/>
  <c r="Z72" i="16"/>
  <c r="X73" i="16"/>
  <c r="Y73" i="16"/>
  <c r="Z73" i="16"/>
  <c r="X74" i="16"/>
  <c r="Y74" i="16"/>
  <c r="Z74" i="16"/>
  <c r="X75" i="16"/>
  <c r="Y75" i="16"/>
  <c r="Z75" i="16"/>
  <c r="X76" i="16"/>
  <c r="Y76" i="16"/>
  <c r="Z76" i="16"/>
  <c r="X77" i="16"/>
  <c r="Y77" i="16"/>
  <c r="Z77" i="16"/>
  <c r="X78" i="16"/>
  <c r="Y78" i="16"/>
  <c r="Z78" i="16"/>
  <c r="X79" i="16"/>
  <c r="Y79" i="16"/>
  <c r="Z79" i="16"/>
  <c r="X80" i="16"/>
  <c r="Y80" i="16"/>
  <c r="Z80" i="16"/>
  <c r="X81" i="16"/>
  <c r="Y81" i="16"/>
  <c r="Z81" i="16"/>
  <c r="X82" i="16"/>
  <c r="Y82" i="16"/>
  <c r="Z82" i="16"/>
  <c r="X83" i="16"/>
  <c r="Y83" i="16"/>
  <c r="Z83" i="16"/>
  <c r="X84" i="16"/>
  <c r="Y84" i="16"/>
  <c r="Z84" i="16"/>
  <c r="X85" i="16"/>
  <c r="Y85" i="16"/>
  <c r="Z85" i="16"/>
  <c r="X86" i="16"/>
  <c r="Y86" i="16"/>
  <c r="Z86" i="16"/>
  <c r="X87" i="16"/>
  <c r="Y87" i="16"/>
  <c r="Z87" i="16"/>
  <c r="X88" i="16"/>
  <c r="Y88" i="16"/>
  <c r="Z88" i="16"/>
  <c r="X89" i="16"/>
  <c r="Y89" i="16"/>
  <c r="Z89" i="16"/>
  <c r="X90" i="16"/>
  <c r="Y90" i="16"/>
  <c r="Z90" i="16"/>
  <c r="X91" i="16"/>
  <c r="Y91" i="16"/>
  <c r="Z91" i="16"/>
  <c r="X92" i="16"/>
  <c r="Y92" i="16"/>
  <c r="Z92" i="16"/>
  <c r="X93" i="16"/>
  <c r="Y93" i="16"/>
  <c r="Z93" i="16"/>
  <c r="X94" i="16"/>
  <c r="Y94" i="16"/>
  <c r="Z94" i="16"/>
  <c r="X95" i="16"/>
  <c r="Y95" i="16"/>
  <c r="Z95" i="16"/>
  <c r="X96" i="16"/>
  <c r="Y96" i="16"/>
  <c r="Z96" i="16"/>
  <c r="X97" i="16"/>
  <c r="Y97" i="16"/>
  <c r="Z97" i="16"/>
  <c r="X98" i="16"/>
  <c r="Y98" i="16"/>
  <c r="Z98" i="16"/>
  <c r="X99" i="16"/>
  <c r="Y99" i="16"/>
  <c r="Z99" i="16"/>
  <c r="X100" i="16"/>
  <c r="Y100" i="16"/>
  <c r="Z100" i="16"/>
  <c r="X101" i="16"/>
  <c r="Y101" i="16"/>
  <c r="Z101" i="16"/>
  <c r="X102" i="16"/>
  <c r="Y102" i="16"/>
  <c r="Z102" i="16"/>
  <c r="X103" i="16"/>
  <c r="Y103" i="16"/>
  <c r="Z103" i="16"/>
  <c r="X104" i="16"/>
  <c r="Y104" i="16"/>
  <c r="Z104" i="16"/>
  <c r="X105" i="16"/>
  <c r="Y105" i="16"/>
  <c r="Z105" i="16"/>
  <c r="X106" i="16"/>
  <c r="Y106" i="16"/>
  <c r="Z106" i="16"/>
  <c r="X107" i="16"/>
  <c r="Y107" i="16"/>
  <c r="Z107" i="16"/>
  <c r="X108" i="16"/>
  <c r="Y108" i="16"/>
  <c r="Z108" i="16"/>
  <c r="X109" i="16"/>
  <c r="Z109" i="16"/>
  <c r="X110" i="16"/>
  <c r="Z110" i="16"/>
  <c r="X111" i="16"/>
  <c r="Z111" i="16"/>
  <c r="X112" i="16"/>
  <c r="Z112" i="16"/>
  <c r="X113" i="16"/>
  <c r="Z113" i="16"/>
  <c r="X114" i="16"/>
  <c r="Z114" i="16"/>
  <c r="X115" i="16"/>
  <c r="Z115" i="16"/>
  <c r="X116" i="16"/>
  <c r="Z116" i="16"/>
  <c r="X117" i="16"/>
  <c r="Z117" i="16"/>
  <c r="X118" i="16"/>
  <c r="Z118" i="16"/>
  <c r="X119" i="16"/>
  <c r="Z119" i="16"/>
  <c r="X120" i="16"/>
  <c r="Z120" i="16"/>
  <c r="X121" i="16"/>
  <c r="Z121" i="16"/>
  <c r="X122" i="16"/>
  <c r="Z122" i="16"/>
  <c r="X123" i="16"/>
  <c r="Z123" i="16"/>
  <c r="X124" i="16"/>
  <c r="Z124" i="16"/>
  <c r="X125" i="16"/>
  <c r="Z125" i="16"/>
  <c r="X126" i="16"/>
  <c r="Z126" i="16"/>
  <c r="X127" i="16"/>
  <c r="Z127" i="16"/>
  <c r="X128" i="16"/>
  <c r="Z128" i="16"/>
  <c r="X129" i="16"/>
  <c r="Z129" i="16"/>
  <c r="X130" i="16"/>
  <c r="Z130" i="16"/>
  <c r="X131" i="16"/>
  <c r="Z131" i="16"/>
  <c r="X132" i="16"/>
  <c r="Z132" i="16"/>
  <c r="X133" i="16"/>
  <c r="Z133" i="16"/>
  <c r="X134" i="16"/>
  <c r="Z134" i="16"/>
  <c r="X135" i="16"/>
  <c r="Z135" i="16"/>
  <c r="X136" i="16"/>
  <c r="Z136" i="16"/>
  <c r="X137" i="16"/>
  <c r="Z137" i="16"/>
  <c r="X138" i="16"/>
  <c r="Z138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Y12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Y11" i="16"/>
  <c r="Y10" i="16"/>
  <c r="AC14" i="16"/>
  <c r="AD14" i="16"/>
  <c r="AC15" i="16"/>
  <c r="AD15" i="16"/>
  <c r="AB16" i="16"/>
  <c r="AC16" i="16"/>
  <c r="AD16" i="16"/>
  <c r="AB17" i="16"/>
  <c r="AC17" i="16"/>
  <c r="AD17" i="16"/>
  <c r="AB18" i="16"/>
  <c r="AC18" i="16"/>
  <c r="AD18" i="16"/>
  <c r="AB19" i="16"/>
  <c r="AC19" i="16"/>
  <c r="AD19" i="16"/>
  <c r="AB20" i="16"/>
  <c r="AC20" i="16"/>
  <c r="AD20" i="16"/>
  <c r="AB21" i="16"/>
  <c r="AC21" i="16"/>
  <c r="AD21" i="16"/>
  <c r="AB22" i="16"/>
  <c r="AC22" i="16"/>
  <c r="AD22" i="16"/>
  <c r="AB23" i="16"/>
  <c r="AC23" i="16"/>
  <c r="AD23" i="16"/>
  <c r="AB24" i="16"/>
  <c r="AC24" i="16"/>
  <c r="AD24" i="16"/>
  <c r="AB25" i="16"/>
  <c r="AC25" i="16"/>
  <c r="AD25" i="16"/>
  <c r="AB26" i="16"/>
  <c r="AC26" i="16"/>
  <c r="AD26" i="16"/>
  <c r="AB27" i="16"/>
  <c r="AC27" i="16"/>
  <c r="AD27" i="16"/>
  <c r="AB28" i="16"/>
  <c r="AC28" i="16"/>
  <c r="AD28" i="16"/>
  <c r="AB29" i="16"/>
  <c r="AC29" i="16"/>
  <c r="AD29" i="16"/>
  <c r="AB30" i="16"/>
  <c r="AC30" i="16"/>
  <c r="AD30" i="16"/>
  <c r="AB31" i="16"/>
  <c r="AC31" i="16"/>
  <c r="AD31" i="16"/>
  <c r="AB32" i="16"/>
  <c r="AC32" i="16"/>
  <c r="AD32" i="16"/>
  <c r="AB33" i="16"/>
  <c r="AC33" i="16"/>
  <c r="AD33" i="16"/>
  <c r="AB34" i="16"/>
  <c r="AC34" i="16"/>
  <c r="AD34" i="16"/>
  <c r="AB35" i="16"/>
  <c r="AC35" i="16"/>
  <c r="AD35" i="16"/>
  <c r="AB36" i="16"/>
  <c r="AC36" i="16"/>
  <c r="AD36" i="16"/>
  <c r="AB37" i="16"/>
  <c r="AC37" i="16"/>
  <c r="AD37" i="16"/>
  <c r="AB38" i="16"/>
  <c r="AC38" i="16"/>
  <c r="AD38" i="16"/>
  <c r="AB39" i="16"/>
  <c r="AC39" i="16"/>
  <c r="AD39" i="16"/>
  <c r="AB40" i="16"/>
  <c r="AC40" i="16"/>
  <c r="AD40" i="16"/>
  <c r="AB41" i="16"/>
  <c r="AC41" i="16"/>
  <c r="AD41" i="16"/>
  <c r="AB42" i="16"/>
  <c r="AC42" i="16"/>
  <c r="AD42" i="16"/>
  <c r="AB43" i="16"/>
  <c r="AC43" i="16"/>
  <c r="AD43" i="16"/>
  <c r="AB44" i="16"/>
  <c r="AC44" i="16"/>
  <c r="AD44" i="16"/>
  <c r="AB45" i="16"/>
  <c r="AC45" i="16"/>
  <c r="AD45" i="16"/>
  <c r="AB46" i="16"/>
  <c r="AC46" i="16"/>
  <c r="AD46" i="16"/>
  <c r="AB47" i="16"/>
  <c r="AC47" i="16"/>
  <c r="AD47" i="16"/>
  <c r="AB48" i="16"/>
  <c r="AC48" i="16"/>
  <c r="AD48" i="16"/>
  <c r="AB49" i="16"/>
  <c r="AC49" i="16"/>
  <c r="AD49" i="16"/>
  <c r="AB50" i="16"/>
  <c r="AC50" i="16"/>
  <c r="AD50" i="16"/>
  <c r="AB51" i="16"/>
  <c r="AC51" i="16"/>
  <c r="AD51" i="16"/>
  <c r="AB52" i="16"/>
  <c r="AC52" i="16"/>
  <c r="AD52" i="16"/>
  <c r="AB53" i="16"/>
  <c r="AC53" i="16"/>
  <c r="AD53" i="16"/>
  <c r="AB54" i="16"/>
  <c r="AC54" i="16"/>
  <c r="AD54" i="16"/>
  <c r="AB55" i="16"/>
  <c r="AC55" i="16"/>
  <c r="AD55" i="16"/>
  <c r="AB56" i="16"/>
  <c r="AC56" i="16"/>
  <c r="AD56" i="16"/>
  <c r="AB57" i="16"/>
  <c r="AC57" i="16"/>
  <c r="AD57" i="16"/>
  <c r="AB58" i="16"/>
  <c r="AC58" i="16"/>
  <c r="AD58" i="16"/>
  <c r="AB59" i="16"/>
  <c r="AC59" i="16"/>
  <c r="AD59" i="16"/>
  <c r="AB60" i="16"/>
  <c r="AC60" i="16"/>
  <c r="AD60" i="16"/>
  <c r="AB61" i="16"/>
  <c r="AC61" i="16"/>
  <c r="AD61" i="16"/>
  <c r="AB62" i="16"/>
  <c r="AC62" i="16"/>
  <c r="AD62" i="16"/>
  <c r="AB63" i="16"/>
  <c r="AC63" i="16"/>
  <c r="AD63" i="16"/>
  <c r="AB64" i="16"/>
  <c r="AC64" i="16"/>
  <c r="AD64" i="16"/>
  <c r="AB65" i="16"/>
  <c r="AC65" i="16"/>
  <c r="AD65" i="16"/>
  <c r="AB66" i="16"/>
  <c r="AC66" i="16"/>
  <c r="AD66" i="16"/>
  <c r="AB67" i="16"/>
  <c r="AC67" i="16"/>
  <c r="AD67" i="16"/>
  <c r="AB68" i="16"/>
  <c r="AC68" i="16"/>
  <c r="AD68" i="16"/>
  <c r="AB69" i="16"/>
  <c r="AC69" i="16"/>
  <c r="AD69" i="16"/>
  <c r="AB70" i="16"/>
  <c r="AC70" i="16"/>
  <c r="AD70" i="16"/>
  <c r="AB71" i="16"/>
  <c r="AC71" i="16"/>
  <c r="AD71" i="16"/>
  <c r="AB72" i="16"/>
  <c r="AC72" i="16"/>
  <c r="AD72" i="16"/>
  <c r="AB73" i="16"/>
  <c r="AC73" i="16"/>
  <c r="AD73" i="16"/>
  <c r="AB74" i="16"/>
  <c r="AC74" i="16"/>
  <c r="AD74" i="16"/>
  <c r="AB75" i="16"/>
  <c r="AC75" i="16"/>
  <c r="AD75" i="16"/>
  <c r="AB76" i="16"/>
  <c r="AC76" i="16"/>
  <c r="AD76" i="16"/>
  <c r="AB77" i="16"/>
  <c r="AC77" i="16"/>
  <c r="AD77" i="16"/>
  <c r="AB78" i="16"/>
  <c r="AC78" i="16"/>
  <c r="AD78" i="16"/>
  <c r="AB79" i="16"/>
  <c r="AC79" i="16"/>
  <c r="AD79" i="16"/>
  <c r="AB80" i="16"/>
  <c r="AC80" i="16"/>
  <c r="AD80" i="16"/>
  <c r="AB81" i="16"/>
  <c r="AC81" i="16"/>
  <c r="AD81" i="16"/>
  <c r="AB82" i="16"/>
  <c r="AC82" i="16"/>
  <c r="AD82" i="16"/>
  <c r="AB83" i="16"/>
  <c r="AC83" i="16"/>
  <c r="AD83" i="16"/>
  <c r="AB84" i="16"/>
  <c r="AC84" i="16"/>
  <c r="AD84" i="16"/>
  <c r="AB85" i="16"/>
  <c r="AC85" i="16"/>
  <c r="AD85" i="16"/>
  <c r="AB86" i="16"/>
  <c r="AC86" i="16"/>
  <c r="AD86" i="16"/>
  <c r="AB87" i="16"/>
  <c r="AC87" i="16"/>
  <c r="AD87" i="16"/>
  <c r="AB88" i="16"/>
  <c r="AC88" i="16"/>
  <c r="AD88" i="16"/>
  <c r="AB89" i="16"/>
  <c r="AC89" i="16"/>
  <c r="AD89" i="16"/>
  <c r="AB90" i="16"/>
  <c r="AC90" i="16"/>
  <c r="AD90" i="16"/>
  <c r="AB91" i="16"/>
  <c r="AC91" i="16"/>
  <c r="AD91" i="16"/>
  <c r="AB92" i="16"/>
  <c r="AC92" i="16"/>
  <c r="AD92" i="16"/>
  <c r="AB93" i="16"/>
  <c r="AC93" i="16"/>
  <c r="AD93" i="16"/>
  <c r="AB94" i="16"/>
  <c r="AC94" i="16"/>
  <c r="AD94" i="16"/>
  <c r="AB95" i="16"/>
  <c r="AC95" i="16"/>
  <c r="AD95" i="16"/>
  <c r="AB96" i="16"/>
  <c r="AC96" i="16"/>
  <c r="AD96" i="16"/>
  <c r="AB97" i="16"/>
  <c r="AC97" i="16"/>
  <c r="AD97" i="16"/>
  <c r="AB98" i="16"/>
  <c r="AC98" i="16"/>
  <c r="AD98" i="16"/>
  <c r="AB99" i="16"/>
  <c r="AC99" i="16"/>
  <c r="AD99" i="16"/>
  <c r="AB100" i="16"/>
  <c r="AC100" i="16"/>
  <c r="AD100" i="16"/>
  <c r="AB101" i="16"/>
  <c r="AC101" i="16"/>
  <c r="AD101" i="16"/>
  <c r="AB102" i="16"/>
  <c r="AC102" i="16"/>
  <c r="AD102" i="16"/>
  <c r="AB103" i="16"/>
  <c r="AC103" i="16"/>
  <c r="AD103" i="16"/>
  <c r="AB104" i="16"/>
  <c r="AC104" i="16"/>
  <c r="AD104" i="16"/>
  <c r="AB105" i="16"/>
  <c r="AC105" i="16"/>
  <c r="AD105" i="16"/>
  <c r="AB106" i="16"/>
  <c r="AC106" i="16"/>
  <c r="AD106" i="16"/>
  <c r="AB107" i="16"/>
  <c r="AC107" i="16"/>
  <c r="AD107" i="16"/>
  <c r="AB108" i="16"/>
  <c r="AC108" i="16"/>
  <c r="AD108" i="16"/>
  <c r="AB109" i="16"/>
  <c r="AD109" i="16"/>
  <c r="AB110" i="16"/>
  <c r="AD110" i="16"/>
  <c r="AB111" i="16"/>
  <c r="AD111" i="16"/>
  <c r="AB112" i="16"/>
  <c r="AD112" i="16"/>
  <c r="AB113" i="16"/>
  <c r="AD113" i="16"/>
  <c r="AB114" i="16"/>
  <c r="AD114" i="16"/>
  <c r="AB115" i="16"/>
  <c r="AD115" i="16"/>
  <c r="AB116" i="16"/>
  <c r="AD116" i="16"/>
  <c r="AB117" i="16"/>
  <c r="AD117" i="16"/>
  <c r="AB118" i="16"/>
  <c r="AD118" i="16"/>
  <c r="AB119" i="16"/>
  <c r="AD119" i="16"/>
  <c r="AB120" i="16"/>
  <c r="AD120" i="16"/>
  <c r="AB121" i="16"/>
  <c r="AD121" i="16"/>
  <c r="AB122" i="16"/>
  <c r="AD122" i="16"/>
  <c r="AB123" i="16"/>
  <c r="AD123" i="16"/>
  <c r="AB124" i="16"/>
  <c r="AD124" i="16"/>
  <c r="AB125" i="16"/>
  <c r="AD125" i="16"/>
  <c r="AB126" i="16"/>
  <c r="AD126" i="16"/>
  <c r="AB127" i="16"/>
  <c r="AD127" i="16"/>
  <c r="AB128" i="16"/>
  <c r="AD128" i="16"/>
  <c r="AB129" i="16"/>
  <c r="AD129" i="16"/>
  <c r="AB130" i="16"/>
  <c r="AD130" i="16"/>
  <c r="AB131" i="16"/>
  <c r="AD131" i="16"/>
  <c r="AB132" i="16"/>
  <c r="AD132" i="16"/>
  <c r="AB133" i="16"/>
  <c r="AD133" i="16"/>
  <c r="AB134" i="16"/>
  <c r="AD134" i="16"/>
  <c r="AB135" i="16"/>
  <c r="AD135" i="16"/>
  <c r="AB136" i="16"/>
  <c r="AD136" i="16"/>
  <c r="AB137" i="16"/>
  <c r="AD137" i="16"/>
  <c r="AB138" i="16"/>
  <c r="AD138" i="16"/>
  <c r="AE16" i="16"/>
  <c r="AE17" i="16"/>
  <c r="AE18" i="16"/>
  <c r="AE19" i="16"/>
  <c r="AE20" i="16"/>
  <c r="AE21" i="16"/>
  <c r="AE22" i="16"/>
  <c r="AE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C12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AC11" i="16"/>
  <c r="AC10" i="16"/>
  <c r="Y109" i="16"/>
  <c r="AC109" i="16"/>
  <c r="Y110" i="16"/>
  <c r="AC110" i="16"/>
  <c r="Y111" i="16"/>
  <c r="AC111" i="16"/>
  <c r="Y112" i="16"/>
  <c r="AC112" i="16"/>
  <c r="Y113" i="16"/>
  <c r="AC113" i="16"/>
  <c r="Y114" i="16"/>
  <c r="AC114" i="16"/>
  <c r="Y115" i="16"/>
  <c r="AC115" i="16"/>
  <c r="Y116" i="16"/>
  <c r="AC116" i="16"/>
  <c r="Y117" i="16"/>
  <c r="AC117" i="16"/>
  <c r="Y118" i="16"/>
  <c r="AC118" i="16"/>
  <c r="Y119" i="16"/>
  <c r="AC119" i="16"/>
  <c r="Y120" i="16"/>
  <c r="AC120" i="16"/>
  <c r="Y121" i="16"/>
  <c r="AC121" i="16"/>
  <c r="Y122" i="16"/>
  <c r="AC122" i="16"/>
  <c r="Y123" i="16"/>
  <c r="AC123" i="16"/>
  <c r="Y124" i="16"/>
  <c r="AC124" i="16"/>
  <c r="Y125" i="16"/>
  <c r="AC125" i="16"/>
  <c r="Y126" i="16"/>
  <c r="AC126" i="16"/>
  <c r="Y127" i="16"/>
  <c r="AC127" i="16"/>
  <c r="Y128" i="16"/>
  <c r="AC128" i="16"/>
  <c r="Y129" i="16"/>
  <c r="AC129" i="16"/>
  <c r="Y130" i="16"/>
  <c r="AC130" i="16"/>
  <c r="Y131" i="16"/>
  <c r="AC131" i="16"/>
  <c r="Y132" i="16"/>
  <c r="AC132" i="16"/>
  <c r="Y133" i="16"/>
  <c r="AC133" i="16"/>
  <c r="Y134" i="16"/>
  <c r="AC134" i="16"/>
  <c r="Y135" i="16"/>
  <c r="AC135" i="16"/>
  <c r="Y136" i="16"/>
  <c r="AC136" i="16"/>
  <c r="Y137" i="16"/>
  <c r="AC137" i="16"/>
  <c r="Y138" i="16"/>
  <c r="AC138" i="16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D5" i="11"/>
  <c r="D7" i="11" a="1"/>
  <c r="D7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E17" i="11"/>
  <c r="C18" i="11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AW14" i="16" a="1"/>
  <c r="AW14" i="16"/>
  <c r="AT14" i="16" a="1"/>
  <c r="AT14" i="16"/>
  <c r="AN14" i="16" a="1"/>
  <c r="AN14" i="16"/>
  <c r="AH14" i="16" a="1"/>
  <c r="AH14" i="16"/>
  <c r="BC14" i="16" a="1"/>
  <c r="BC14" i="16"/>
  <c r="C18" i="4" a="1"/>
  <c r="C18" i="4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AH11" i="16"/>
  <c r="AH11" i="16" a="1"/>
  <c r="C9" i="8" l="1"/>
  <c r="F10" i="8"/>
  <c r="C7" i="4"/>
  <c r="C3" i="6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F15" i="11"/>
  <c r="BO18" i="16"/>
  <c r="AG14" i="16"/>
  <c r="BN14" i="16"/>
  <c r="BO14" i="16"/>
  <c r="AG15" i="16"/>
  <c r="BN15" i="16"/>
  <c r="BO15" i="16"/>
  <c r="AG16" i="16"/>
  <c r="BN16" i="16"/>
  <c r="BO16" i="16"/>
  <c r="AG17" i="16"/>
  <c r="BN17" i="16"/>
  <c r="BO17" i="16"/>
  <c r="AG18" i="16"/>
  <c r="BN18" i="16"/>
  <c r="AG19" i="16"/>
  <c r="BN19" i="16"/>
  <c r="BO19" i="16"/>
  <c r="AG20" i="16"/>
  <c r="BN20" i="16"/>
  <c r="BO20" i="16"/>
  <c r="AG21" i="16"/>
  <c r="BN21" i="16"/>
  <c r="BO21" i="16"/>
  <c r="AG22" i="16"/>
  <c r="BN22" i="16"/>
  <c r="BO22" i="16"/>
  <c r="AG23" i="16"/>
  <c r="BN23" i="16"/>
  <c r="BO23" i="16"/>
  <c r="AG24" i="16"/>
  <c r="AG25" i="16"/>
  <c r="AG26" i="16"/>
  <c r="AG27" i="16"/>
  <c r="AG28" i="16"/>
  <c r="AG29" i="16"/>
  <c r="AG30" i="16"/>
  <c r="AG31" i="16"/>
  <c r="AG32" i="16"/>
  <c r="AG33" i="16"/>
  <c r="AG34" i="16"/>
  <c r="AG35" i="16"/>
  <c r="AG36" i="16"/>
  <c r="AG37" i="16"/>
  <c r="AG38" i="16"/>
  <c r="AG39" i="16"/>
  <c r="AG40" i="16"/>
  <c r="AG41" i="16"/>
  <c r="AG42" i="16"/>
  <c r="AG43" i="16"/>
  <c r="AG44" i="16"/>
  <c r="AG45" i="16"/>
  <c r="AG46" i="16"/>
  <c r="AG47" i="16"/>
  <c r="AG48" i="16"/>
  <c r="AG49" i="16"/>
  <c r="AG50" i="16"/>
  <c r="AG51" i="16"/>
  <c r="AG52" i="16"/>
  <c r="AG53" i="16"/>
  <c r="AG54" i="16"/>
  <c r="AG55" i="16"/>
  <c r="AG56" i="16"/>
  <c r="AG57" i="16"/>
  <c r="AG58" i="16"/>
  <c r="AG59" i="16"/>
  <c r="AG60" i="16"/>
  <c r="AG61" i="16"/>
  <c r="AG62" i="16"/>
  <c r="AG63" i="16"/>
  <c r="AG64" i="16"/>
  <c r="AG65" i="16"/>
  <c r="AG66" i="16"/>
  <c r="AG67" i="16"/>
  <c r="AG68" i="16"/>
  <c r="AG69" i="16"/>
  <c r="AG70" i="16"/>
  <c r="AG71" i="16"/>
  <c r="AG72" i="16"/>
  <c r="AG73" i="16"/>
  <c r="AG74" i="16"/>
  <c r="AG75" i="16"/>
  <c r="AG76" i="16"/>
  <c r="AG77" i="16"/>
  <c r="AG78" i="16"/>
  <c r="AG79" i="16"/>
  <c r="AG80" i="16"/>
  <c r="AG81" i="16"/>
  <c r="AG82" i="16"/>
  <c r="AG83" i="16"/>
  <c r="AG84" i="16"/>
  <c r="AG85" i="16"/>
  <c r="AG86" i="16"/>
  <c r="AG87" i="16"/>
  <c r="AG88" i="16"/>
  <c r="AG89" i="16"/>
  <c r="AG90" i="16"/>
  <c r="AG91" i="16"/>
  <c r="AG92" i="16"/>
  <c r="AG93" i="16"/>
  <c r="AG94" i="16"/>
  <c r="AG95" i="16"/>
  <c r="AG96" i="16"/>
  <c r="AG97" i="16"/>
  <c r="AG98" i="16"/>
  <c r="AG99" i="16"/>
  <c r="AG100" i="16"/>
  <c r="AG101" i="16"/>
  <c r="AG102" i="16"/>
  <c r="AG103" i="16"/>
  <c r="AG104" i="16"/>
  <c r="AG105" i="16"/>
  <c r="AG106" i="16"/>
  <c r="AG107" i="16"/>
  <c r="AG108" i="16"/>
  <c r="AG109" i="16"/>
  <c r="AG110" i="16"/>
  <c r="AG111" i="16"/>
  <c r="AG112" i="16"/>
  <c r="AG113" i="16"/>
  <c r="AG114" i="16"/>
  <c r="AG115" i="16"/>
  <c r="AG116" i="16"/>
  <c r="AG117" i="16"/>
  <c r="AG118" i="16"/>
  <c r="AG119" i="16"/>
  <c r="AG120" i="16"/>
  <c r="AG121" i="16"/>
  <c r="AG122" i="16"/>
  <c r="AG123" i="16"/>
  <c r="AG124" i="16"/>
  <c r="AG125" i="16"/>
  <c r="AG126" i="16"/>
  <c r="AG127" i="16"/>
  <c r="AG128" i="16"/>
  <c r="AG129" i="16"/>
  <c r="AG130" i="16"/>
  <c r="AG131" i="16"/>
  <c r="AG132" i="16"/>
  <c r="AG133" i="16"/>
  <c r="AG134" i="16"/>
  <c r="AG135" i="16"/>
  <c r="AG136" i="16"/>
  <c r="AG137" i="16"/>
  <c r="AG138" i="16"/>
  <c r="AG139" i="16"/>
  <c r="AG140" i="16"/>
  <c r="AG141" i="16"/>
  <c r="AG142" i="16"/>
  <c r="AG143" i="16"/>
  <c r="AG144" i="16"/>
  <c r="AG145" i="16"/>
  <c r="AG146" i="16"/>
  <c r="AG147" i="16"/>
  <c r="AG148" i="16"/>
  <c r="AG149" i="16"/>
  <c r="AG150" i="16"/>
  <c r="AG151" i="16"/>
  <c r="AG152" i="16"/>
  <c r="AG153" i="16"/>
  <c r="AG154" i="16"/>
  <c r="AG155" i="16"/>
  <c r="AG156" i="16"/>
  <c r="AG157" i="16"/>
  <c r="AG158" i="16"/>
  <c r="AG159" i="16"/>
  <c r="AG160" i="16"/>
  <c r="AG161" i="16"/>
  <c r="AG162" i="16"/>
  <c r="AG163" i="16"/>
  <c r="AG164" i="16"/>
  <c r="AG165" i="16"/>
  <c r="AG166" i="16"/>
  <c r="AG167" i="16"/>
  <c r="AG168" i="16"/>
  <c r="AG169" i="16"/>
  <c r="AG170" i="16"/>
  <c r="AG171" i="16"/>
  <c r="AG172" i="16"/>
  <c r="AG173" i="16"/>
  <c r="AG174" i="16"/>
  <c r="AG175" i="16"/>
  <c r="AG176" i="16"/>
  <c r="AG177" i="16"/>
  <c r="AG178" i="16"/>
  <c r="AG179" i="16"/>
  <c r="AG180" i="16"/>
  <c r="AG181" i="16"/>
  <c r="AG182" i="16"/>
  <c r="AG183" i="16"/>
  <c r="AG184" i="16"/>
  <c r="AG185" i="16"/>
  <c r="AG186" i="16"/>
  <c r="AG187" i="16"/>
  <c r="AG188" i="16"/>
  <c r="AG189" i="16"/>
  <c r="AG190" i="16"/>
  <c r="AG191" i="16"/>
  <c r="AG192" i="16"/>
  <c r="AG193" i="16"/>
  <c r="AG194" i="16"/>
  <c r="AG195" i="16"/>
  <c r="AG196" i="16"/>
  <c r="AG197" i="16"/>
  <c r="AG198" i="16"/>
  <c r="AG199" i="16"/>
  <c r="AG200" i="16"/>
  <c r="AG201" i="16"/>
  <c r="AG202" i="16"/>
  <c r="AG203" i="16"/>
  <c r="AG204" i="16"/>
  <c r="AG205" i="16"/>
  <c r="AG206" i="16"/>
  <c r="AG207" i="16"/>
  <c r="AG208" i="16"/>
  <c r="AG209" i="16"/>
  <c r="AG210" i="16"/>
  <c r="AG211" i="16"/>
  <c r="AG212" i="16"/>
  <c r="AG213" i="16"/>
  <c r="AG214" i="16"/>
  <c r="AG215" i="16"/>
  <c r="AG216" i="16"/>
  <c r="AG217" i="16"/>
  <c r="AG218" i="16"/>
  <c r="AG219" i="16"/>
  <c r="AG220" i="16"/>
  <c r="AG221" i="16"/>
  <c r="AG222" i="16"/>
  <c r="AG223" i="16"/>
  <c r="AG224" i="16"/>
  <c r="AG225" i="16"/>
  <c r="AG226" i="16"/>
  <c r="AG227" i="16"/>
  <c r="AG228" i="16"/>
  <c r="AG229" i="16"/>
  <c r="AG230" i="16"/>
  <c r="AG231" i="16"/>
  <c r="AG232" i="16"/>
  <c r="AG233" i="16"/>
  <c r="AG234" i="16"/>
  <c r="AG235" i="16"/>
  <c r="AG236" i="16"/>
  <c r="AG237" i="16"/>
  <c r="AG238" i="16"/>
  <c r="AG239" i="16"/>
  <c r="AG240" i="16"/>
  <c r="AG241" i="16"/>
  <c r="AG242" i="16"/>
  <c r="AG243" i="16"/>
  <c r="AG244" i="16"/>
  <c r="AG245" i="16"/>
  <c r="AG246" i="16"/>
  <c r="AG247" i="16"/>
  <c r="AG248" i="16"/>
  <c r="AG249" i="16"/>
  <c r="AG250" i="16"/>
  <c r="AG251" i="16"/>
  <c r="AG252" i="16"/>
  <c r="AG253" i="16"/>
  <c r="AG254" i="16"/>
  <c r="AG255" i="16"/>
  <c r="AG256" i="16"/>
  <c r="AG257" i="16"/>
  <c r="AG258" i="16"/>
  <c r="AG259" i="16"/>
  <c r="AG260" i="16"/>
  <c r="AG261" i="16"/>
  <c r="AG262" i="16"/>
  <c r="AG263" i="16"/>
  <c r="AG264" i="16"/>
  <c r="AG265" i="16"/>
  <c r="AG266" i="16"/>
  <c r="AG267" i="16"/>
  <c r="AG268" i="16"/>
  <c r="AG269" i="16"/>
  <c r="AG270" i="16"/>
  <c r="AG271" i="16"/>
  <c r="AG272" i="16"/>
  <c r="AG273" i="16"/>
  <c r="AG274" i="16"/>
  <c r="AG275" i="16"/>
  <c r="AG276" i="16"/>
  <c r="AG277" i="16"/>
  <c r="AG278" i="16"/>
  <c r="AG279" i="16"/>
  <c r="AG280" i="16"/>
  <c r="AG281" i="16"/>
  <c r="AG282" i="16"/>
  <c r="AG283" i="16"/>
  <c r="AG284" i="16"/>
  <c r="AG285" i="16"/>
  <c r="AG286" i="16"/>
  <c r="AG287" i="16"/>
  <c r="AG288" i="16"/>
  <c r="AG289" i="16"/>
  <c r="AG290" i="16"/>
  <c r="AG291" i="16"/>
  <c r="AG292" i="16"/>
  <c r="AG293" i="16"/>
  <c r="AG294" i="16"/>
  <c r="AG295" i="16"/>
  <c r="AG296" i="16"/>
  <c r="AG297" i="16"/>
  <c r="AG298" i="16"/>
  <c r="AG299" i="16"/>
  <c r="AG300" i="16"/>
  <c r="AG301" i="16"/>
  <c r="AG302" i="16"/>
  <c r="AG303" i="16"/>
  <c r="AG304" i="16"/>
  <c r="AG305" i="16"/>
  <c r="AG306" i="16"/>
  <c r="AG307" i="16"/>
  <c r="AG308" i="16"/>
  <c r="AG309" i="16"/>
  <c r="AG310" i="16"/>
  <c r="AG311" i="16"/>
  <c r="AG312" i="16"/>
  <c r="AG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f.jordan-stagiaire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2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Francois Jordan</author>
    <author>f.jordan-stagiaire</author>
  </authors>
  <commentList>
    <comment ref="X10" authorId="0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X11" authorId="0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X12" authorId="0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X13" authorId="1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Y13" authorId="1" shapeId="0" xr:uid="{CCD69AB6-4A97-42FC-BD35-E2073E420A2B}">
      <text>
        <r>
          <rPr>
            <b/>
            <sz val="9"/>
            <color indexed="81"/>
            <rFont val="Tahoma"/>
            <family val="2"/>
          </rPr>
          <t xml:space="preserve">LGD is supposed to be fixed at 75% (see 22.12 FAQ), we're short exposure (seller of protection), notional is negative and P&amp;L is positive (22.13), 22,14 describe the calculation </t>
        </r>
      </text>
    </comment>
    <comment ref="BM13" authorId="1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1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1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<sst xmlns="http://schemas.openxmlformats.org/spreadsheetml/2006/main" count="4174" uniqueCount="713">
  <si>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</si>
  <si>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</si>
  <si>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</si>
  <si>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</si>
  <si>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</si>
  <si>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</si>
  <si>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</si>
  <si>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</si>
  <si>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</si>
  <si>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</si>
  <si>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</si>
  <si>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</si>
  <si>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</si>
  <si>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</si>
  <si>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</si>
  <si>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</si>
  <si>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</si>
  <si>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</si>
  <si>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</si>
  <si>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</si>
  <si>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</si>
  <si>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</si>
  <si>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</si>
  <si>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</si>
  <si>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</si>
  <si>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</si>
  <si>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</si>
  <si>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</si>
  <si>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</si>
  <si>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</si>
  <si>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</si>
  <si>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</si>
  <si>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</si>
  <si>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</si>
  <si>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</si>
  <si>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</si>
  <si>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</si>
  <si>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</si>
  <si>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</si>
  <si>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</si>
  <si>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</si>
  <si>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</si>
  <si>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</si>
  <si>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</si>
  <si>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</si>
  <si>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</si>
  <si>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</si>
  <si>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</si>
  <si>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</si>
  <si>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</si>
  <si>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</si>
  <si>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</si>
  <si>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</si>
  <si>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</si>
  <si>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</si>
  <si>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</si>
  <si>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</si>
  <si>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</si>
  <si>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</si>
  <si>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</si>
  <si>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</si>
  <si>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</si>
  <si>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</si>
  <si>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</si>
  <si>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</si>
  <si>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</si>
  <si>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</si>
  <si>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</si>
  <si>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</si>
  <si>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</si>
  <si>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</si>
  <si>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</si>
  <si>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</si>
  <si>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</si>
  <si>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</si>
  <si>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</si>
  <si>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</si>
  <si>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</si>
  <si>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</si>
  <si>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</si>
  <si>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</si>
  <si>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</si>
  <si>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</si>
  <si>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</si>
  <si>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</si>
  <si>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</si>
  <si>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</si>
  <si>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</si>
  <si>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</si>
  <si>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</si>
  <si>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</si>
  <si>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</si>
  <si>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</si>
  <si>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</si>
  <si>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</si>
  <si>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</si>
  <si>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</si>
  <si>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</si>
  <si>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</si>
  <si>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</si>
  <si>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</si>
  <si>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</si>
  <si>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</si>
  <si>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</si>
  <si>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</si>
  <si>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</si>
  <si>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</si>
  <si>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</si>
  <si>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</si>
  <si>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</si>
  <si>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</si>
  <si>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</si>
  <si>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</si>
  <si>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</si>
  <si>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</si>
  <si>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</si>
  <si>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</si>
  <si>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</si>
  <si>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</si>
  <si>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</si>
  <si>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</si>
  <si>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</si>
  <si>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</si>
  <si>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</si>
  <si>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</si>
  <si>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</si>
  <si>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</si>
  <si>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</si>
  <si>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</si>
  <si>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</si>
  <si>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</si>
  <si>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</si>
  <si>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</si>
  <si>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</si>
  <si>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</si>
  <si>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</si>
  <si>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</si>
  <si>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</si>
  <si>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</si>
  <si>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</si>
  <si>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</si>
  <si>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</si>
  <si>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</si>
  <si>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</si>
  <si>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</si>
  <si>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</si>
  <si>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</si>
  <si>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</si>
  <si>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</si>
  <si>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</si>
  <si>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</si>
  <si>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</si>
  <si>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</si>
  <si>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</si>
  <si>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</si>
  <si>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</si>
  <si>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</si>
  <si>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</si>
  <si>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</si>
  <si>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</si>
  <si>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</si>
  <si>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</si>
  <si>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</si>
  <si>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</si>
  <si>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</si>
  <si>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</si>
  <si>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</si>
  <si>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</si>
  <si>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</si>
  <si>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</si>
  <si>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</si>
  <si>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</si>
  <si>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</si>
  <si>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</si>
  <si>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</si>
  <si>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</si>
  <si>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</si>
  <si>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</si>
  <si>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</si>
  <si>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</si>
  <si>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</si>
  <si>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</si>
  <si>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</si>
  <si>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</si>
  <si>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</si>
  <si>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</si>
  <si>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</si>
  <si>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</si>
  <si>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</si>
  <si>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</si>
  <si>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</si>
  <si>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</si>
  <si>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</si>
  <si>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</si>
  <si>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</si>
  <si>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</si>
  <si>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</si>
  <si>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</si>
  <si>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</si>
  <si>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</si>
  <si>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</si>
  <si>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</si>
  <si>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</si>
  <si>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</si>
  <si>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</si>
  <si>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</si>
  <si>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</si>
  <si>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</si>
  <si>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</si>
  <si>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</si>
  <si>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</si>
  <si>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</si>
  <si>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</si>
  <si>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</si>
  <si>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</si>
  <si>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</si>
  <si>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</si>
  <si>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</si>
  <si>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</si>
  <si>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</si>
  <si>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</si>
  <si>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</si>
  <si>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</si>
  <si>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</si>
  <si>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</si>
  <si>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</si>
  <si>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</si>
  <si>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</si>
  <si>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</si>
  <si>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</si>
  <si>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</si>
  <si>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</si>
  <si>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</si>
  <si>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</si>
  <si>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</si>
  <si>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</si>
  <si>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</si>
  <si>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</si>
  <si>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</si>
  <si>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</si>
  <si>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</si>
  <si>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</si>
  <si>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</si>
  <si>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</si>
  <si>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</si>
  <si>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</si>
  <si>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</si>
  <si>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</si>
  <si>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</si>
  <si>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</si>
  <si>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</si>
  <si>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</si>
  <si>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</si>
  <si>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</si>
  <si>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</si>
  <si>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</si>
  <si>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</si>
  <si>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</si>
  <si>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</si>
  <si>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</si>
  <si>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</si>
  <si>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</si>
  <si>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</si>
  <si>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</si>
  <si>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</si>
  <si>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</si>
  <si>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</si>
  <si>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</si>
  <si>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</si>
  <si>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</si>
  <si>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</si>
  <si>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</si>
  <si>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</si>
  <si>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</si>
  <si>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</si>
  <si>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</si>
  <si>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</si>
  <si>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</si>
  <si>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</si>
  <si>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</si>
  <si>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</si>
  <si>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</si>
  <si>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</si>
  <si>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</si>
  <si>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</si>
  <si>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</si>
  <si>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</si>
  <si>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</si>
  <si>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</si>
  <si>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</si>
  <si>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</si>
  <si>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</si>
  <si>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</si>
  <si>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</si>
  <si>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</si>
  <si>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</si>
  <si>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</si>
  <si>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</si>
  <si>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</si>
  <si>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</si>
  <si>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</si>
  <si>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</si>
  <si>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</si>
  <si>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</si>
  <si>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</si>
  <si>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</si>
  <si>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</si>
  <si>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</si>
  <si>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</si>
  <si>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</si>
  <si>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</si>
  <si>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</si>
  <si>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</si>
  <si>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</si>
  <si>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</si>
  <si>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</si>
  <si>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</si>
  <si>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</si>
  <si>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</si>
  <si>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</si>
  <si>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</si>
  <si>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</si>
  <si>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</si>
  <si>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</si>
  <si>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</si>
  <si>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</si>
  <si>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</si>
  <si>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</si>
  <si>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</si>
  <si>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</si>
  <si>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</si>
  <si>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</si>
  <si>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</si>
  <si>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</si>
  <si>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</si>
  <si>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</si>
  <si>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</si>
  <si>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</si>
  <si>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</si>
  <si>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</si>
  <si>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</si>
  <si>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</si>
  <si>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</si>
  <si>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</si>
  <si>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</si>
  <si>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</si>
  <si>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</si>
  <si>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</si>
  <si>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</si>
  <si>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</si>
  <si>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</si>
  <si>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</si>
  <si>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</si>
  <si>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</si>
  <si>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</si>
  <si>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</si>
  <si>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</si>
  <si>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</si>
  <si>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</si>
  <si>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</si>
  <si>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</si>
  <si>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</si>
  <si>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</si>
  <si>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</si>
  <si>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</si>
  <si>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</si>
  <si>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</si>
  <si>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</si>
  <si>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</si>
  <si>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</si>
  <si>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</si>
  <si>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</si>
  <si>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</si>
  <si>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</si>
  <si>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</si>
  <si>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</si>
  <si>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</si>
  <si>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</si>
  <si>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</si>
  <si>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</si>
  <si>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</si>
  <si>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</si>
  <si>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</si>
  <si>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</si>
  <si>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</si>
  <si>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</si>
  <si>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</si>
  <si>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</si>
  <si>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</si>
  <si>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</si>
  <si>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</si>
  <si>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</si>
  <si>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</si>
  <si>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</si>
  <si>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</si>
  <si>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</si>
  <si>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</si>
  <si>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</si>
  <si>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</si>
  <si>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</si>
  <si>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</si>
  <si>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</si>
  <si>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</si>
  <si>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</si>
  <si>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</si>
  <si>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</si>
  <si>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</si>
  <si>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</si>
  <si>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</si>
  <si>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</si>
  <si>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</si>
  <si>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</si>
  <si>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</si>
  <si>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</si>
  <si>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</si>
  <si>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</si>
  <si>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</si>
  <si>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</si>
  <si>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</si>
  <si>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</si>
  <si>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</si>
  <si>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</si>
  <si>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</si>
  <si>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</si>
  <si>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</si>
  <si>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</si>
  <si>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</si>
  <si>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</si>
  <si>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</si>
  <si>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</si>
  <si>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</si>
  <si>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</si>
  <si>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</si>
  <si>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</si>
  <si>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</si>
  <si>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</si>
  <si>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</si>
  <si>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</si>
  <si>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</si>
  <si>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</si>
  <si>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</si>
  <si>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</si>
  <si>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</si>
  <si>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</si>
  <si>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</si>
  <si>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</si>
  <si>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</si>
  <si>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</si>
  <si>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</si>
  <si>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</si>
  <si>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</si>
  <si>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</si>
  <si>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</si>
  <si>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</si>
  <si>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</si>
  <si>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</si>
  <si>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</si>
  <si>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</si>
  <si>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</si>
  <si>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</si>
  <si>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</si>
  <si>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</si>
  <si>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</si>
  <si>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</si>
  <si>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</si>
  <si>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</si>
  <si>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</si>
  <si>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</si>
  <si>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</si>
  <si>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</si>
  <si>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</si>
  <si>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</si>
  <si>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</si>
  <si>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</si>
  <si>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</si>
  <si>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</si>
  <si>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</si>
  <si>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</si>
  <si>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</si>
  <si>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</si>
  <si>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</si>
  <si>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</si>
  <si>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</si>
  <si>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</si>
  <si>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</si>
  <si>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</si>
  <si>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</si>
  <si>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</si>
  <si>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</si>
  <si>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</si>
  <si>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</si>
  <si>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</si>
  <si>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</si>
  <si>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</si>
  <si>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</si>
  <si>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</si>
  <si>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</si>
  <si>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</si>
  <si>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</si>
  <si>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</si>
  <si>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</si>
  <si>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</si>
  <si>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</si>
  <si>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</si>
  <si>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</si>
  <si>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</si>
  <si>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</si>
  <si>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</si>
  <si>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</si>
  <si>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</si>
  <si>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</si>
  <si>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</si>
  <si>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</si>
  <si>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</si>
  <si>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</si>
  <si>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</si>
  <si>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</si>
  <si>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</si>
  <si>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</si>
  <si>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</si>
  <si>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</si>
  <si>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</si>
  <si>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</si>
  <si>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</si>
  <si>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</si>
  <si>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</si>
  <si>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</si>
  <si>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</si>
  <si>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</si>
  <si>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</si>
  <si>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</si>
  <si>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</si>
  <si>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</si>
  <si>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</si>
  <si>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</si>
  <si>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</si>
  <si>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</si>
  <si>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</si>
  <si>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</si>
  <si>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</si>
  <si>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</si>
  <si>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</si>
  <si>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</si>
  <si>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</si>
  <si>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</si>
  <si>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</si>
  <si>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</si>
  <si>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</si>
  <si>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</si>
  <si>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</si>
  <si>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</si>
  <si>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</si>
  <si>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</si>
  <si>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</si>
  <si>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</si>
  <si>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</si>
  <si>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</si>
  <si>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</si>
  <si>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</si>
  <si>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</si>
  <si>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</si>
  <si>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</si>
  <si>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</si>
  <si>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</si>
  <si>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</si>
  <si>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</si>
  <si>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</si>
  <si>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</si>
  <si>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</si>
  <si>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</si>
  <si>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</si>
  <si>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</si>
  <si>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</si>
  <si>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</si>
  <si>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</si>
  <si>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</si>
  <si>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</si>
  <si>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</si>
  <si>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</si>
  <si>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</si>
  <si>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</si>
  <si>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</si>
  <si>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</si>
  <si>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</si>
  <si>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</si>
  <si>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</si>
  <si>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</si>
  <si>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</si>
  <si>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</si>
  <si>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</si>
  <si>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</si>
  <si>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</si>
  <si>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</si>
  <si>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</si>
  <si>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</si>
  <si>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</si>
  <si>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</si>
  <si>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</si>
  <si>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</si>
  <si>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</si>
  <si>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</si>
  <si>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JTD Hedge</t>
  </si>
  <si>
    <t>Delta Hedge</t>
  </si>
  <si>
    <t>DRCb</t>
  </si>
  <si>
    <t>DRC CTP</t>
  </si>
  <si>
    <t>Net JTD Long</t>
  </si>
  <si>
    <t>Net JTD short</t>
  </si>
  <si>
    <t>Offsetable ?</t>
  </si>
  <si>
    <t>30Y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</si>
  <si>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</si>
  <si>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</si>
  <si>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</si>
  <si>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</si>
  <si>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</si>
  <si>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</si>
  <si>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</si>
  <si>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</si>
  <si>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</si>
  <si>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</si>
  <si>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</si>
  <si>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</si>
  <si>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</si>
  <si>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</si>
  <si>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</si>
  <si>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</si>
  <si>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</si>
  <si>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</si>
  <si>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</si>
  <si>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</si>
  <si>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</si>
  <si>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</si>
  <si>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</si>
  <si>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</si>
  <si>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</si>
  <si>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</si>
  <si>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</si>
  <si>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</si>
  <si>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</si>
  <si>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</si>
  <si>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</si>
  <si>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</si>
  <si>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</si>
  <si>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</si>
  <si>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</si>
  <si>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</si>
  <si>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</si>
  <si>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</si>
  <si>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</si>
  <si>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</si>
  <si>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</si>
  <si>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</si>
  <si>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</si>
  <si>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</si>
  <si>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</si>
  <si>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</si>
  <si>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</si>
  <si>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</si>
  <si>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</si>
  <si>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</si>
  <si>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</si>
  <si>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</si>
  <si>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</si>
  <si>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</si>
  <si>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</si>
  <si>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</si>
  <si>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</si>
  <si>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RW JTD short</t>
  </si>
  <si>
    <t>RW Delta hedge short</t>
  </si>
  <si>
    <t>Delta Girr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</si>
  <si>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</si>
  <si>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</si>
  <si>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</si>
  <si>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</si>
  <si>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</si>
  <si>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</si>
  <si>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</si>
  <si>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</si>
  <si>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</si>
  <si>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</si>
  <si>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</si>
  <si>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</si>
  <si>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</si>
  <si>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</si>
  <si>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</si>
  <si>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</si>
  <si>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</si>
  <si>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</si>
  <si>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</si>
  <si>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</si>
  <si>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</si>
  <si>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</si>
  <si>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</si>
  <si>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</si>
  <si>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Ref</t>
  </si>
  <si>
    <t>Delta CSR CDO</t>
  </si>
  <si>
    <t>Delta Risk</t>
  </si>
  <si>
    <t>Delta CSR CDS</t>
  </si>
  <si>
    <t>Delta CSR CDO Proxy</t>
  </si>
  <si>
    <t>DownWard</t>
  </si>
  <si>
    <t>UpWard</t>
  </si>
  <si>
    <t>Curvature</t>
  </si>
  <si>
    <t>Curvature CSR CDO</t>
  </si>
  <si>
    <t>Curvature CSR CDS</t>
  </si>
  <si>
    <t>Floor</t>
  </si>
  <si>
    <t>Correlation Scenario</t>
  </si>
  <si>
    <t>Risk Class</t>
  </si>
  <si>
    <t>SecCtp</t>
  </si>
  <si>
    <t>NonSec</t>
  </si>
  <si>
    <t>Medium</t>
  </si>
  <si>
    <t>Risk Weights CDO</t>
  </si>
  <si>
    <t>Low</t>
  </si>
  <si>
    <t>High</t>
  </si>
  <si>
    <t>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</si>
</sst>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  <numFmt numFmtId="185" formatCode="0.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90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0" xfId="0" applyNumberFormat="1" applyFont="1" applyFill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10" fontId="22" fillId="0" borderId="2" xfId="0" applyNumberFormat="1" applyFont="1" applyBorder="1" applyAlignment="1">
      <alignment horizontal="center"/>
    </xf>
    <xf numFmtId="2" fontId="0" fillId="0" borderId="0" xfId="0" applyNumberFormat="1"/>
    <xf numFmtId="185" fontId="0" fillId="0" borderId="0" xfId="0" applyNumberFormat="1"/>
    <xf numFmtId="179" fontId="0" fillId="0" borderId="0" xfId="0" applyNumberFormat="1"/>
    <xf numFmtId="177" fontId="47" fillId="4" borderId="12" xfId="0" applyNumberFormat="1" applyFont="1" applyFill="1" applyBorder="1"/>
    <xf numFmtId="177" fontId="44" fillId="3" borderId="1" xfId="0" applyNumberFormat="1" applyFont="1" applyFill="1" applyBorder="1"/>
    <xf numFmtId="167" fontId="47" fillId="9" borderId="12" xfId="0" applyNumberFormat="1" applyFont="1" applyFill="1" applyBorder="1"/>
    <xf numFmtId="177" fontId="47" fillId="4" borderId="9" xfId="0" applyNumberFormat="1" applyFont="1" applyFill="1" applyBorder="1"/>
    <xf numFmtId="0" fontId="20" fillId="9" borderId="14" xfId="0" applyFont="1" applyFill="1" applyBorder="1"/>
    <xf numFmtId="167" fontId="47" fillId="3" borderId="0" xfId="0" applyNumberFormat="1" applyFont="1" applyFill="1"/>
    <xf numFmtId="0" fontId="20" fillId="9" borderId="12" xfId="0" applyFont="1" applyFill="1" applyBorder="1"/>
    <xf numFmtId="0" fontId="20" fillId="9" borderId="23" xfId="0" applyFont="1" applyFill="1" applyBorder="1"/>
    <xf numFmtId="0" fontId="20" fillId="9" borderId="6" xfId="0" applyFont="1" applyFill="1" applyBorder="1"/>
    <xf numFmtId="177" fontId="47" fillId="4" borderId="5" xfId="0" applyNumberFormat="1" applyFont="1" applyFill="1" applyBorder="1"/>
    <xf numFmtId="0" fontId="20" fillId="4" borderId="1" xfId="0" applyFont="1" applyFill="1" applyBorder="1"/>
    <xf numFmtId="0" fontId="20" fillId="4" borderId="2" xfId="0" applyFont="1" applyFill="1" applyBorder="1"/>
    <xf numFmtId="167" fontId="47" fillId="4" borderId="2" xfId="0" applyNumberFormat="1" applyFont="1" applyFill="1" applyBorder="1"/>
    <xf numFmtId="167" fontId="47" fillId="4" borderId="4" xfId="0" applyNumberFormat="1" applyFont="1" applyFill="1" applyBorder="1"/>
    <xf numFmtId="167" fontId="44" fillId="4" borderId="4" xfId="0" applyNumberFormat="1" applyFont="1" applyFill="1" applyBorder="1"/>
    <xf numFmtId="10" fontId="33" fillId="4" borderId="11" xfId="0" applyNumberFormat="1" applyFont="1" applyFill="1" applyBorder="1" applyAlignment="1">
      <alignment horizontal="center"/>
    </xf>
    <xf numFmtId="0" fontId="33" fillId="4" borderId="9" xfId="0" applyFont="1" applyFill="1" applyBorder="1" applyAlignment="1">
      <alignment horizontal="center"/>
    </xf>
    <xf numFmtId="0" fontId="33" fillId="4" borderId="10" xfId="0" applyFont="1" applyFill="1" applyBorder="1" applyAlignment="1">
      <alignment horizontal="center"/>
    </xf>
    <xf numFmtId="164" fontId="20" fillId="0" borderId="0" xfId="1" applyNumberFormat="1" applyFont="1" applyAlignment="1">
      <alignment horizontal="center"/>
    </xf>
    <xf numFmtId="10" fontId="33" fillId="4" borderId="12" xfId="0" applyNumberFormat="1" applyFont="1" applyFill="1" applyBorder="1"/>
    <xf numFmtId="183" fontId="47" fillId="4" borderId="2" xfId="1" applyNumberFormat="1" applyFont="1" applyFill="1" applyBorder="1"/>
    <xf numFmtId="0" fontId="25" fillId="2" borderId="9" xfId="0" applyFont="1" applyFill="1" applyBorder="1"/>
    <xf numFmtId="177" fontId="47" fillId="4" borderId="10" xfId="0" applyNumberFormat="1" applyFont="1" applyFill="1" applyBorder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25" fillId="4" borderId="0" xfId="0" applyFont="1" applyFill="1" applyBorder="1"/>
    <xf numFmtId="0" fontId="25" fillId="2" borderId="0" xfId="0" applyFont="1" applyFill="1" applyBorder="1" applyAlignment="1">
      <alignment horizontal="center"/>
    </xf>
    <xf numFmtId="178" fontId="36" fillId="4" borderId="0" xfId="0" applyNumberFormat="1" applyFont="1" applyFill="1" applyBorder="1" applyAlignment="1">
      <alignment horizontal="center"/>
    </xf>
    <xf numFmtId="177" fontId="36" fillId="4" borderId="0" xfId="0" applyNumberFormat="1" applyFont="1" applyFill="1" applyBorder="1" applyAlignment="1">
      <alignment horizontal="center"/>
    </xf>
    <xf numFmtId="177" fontId="47" fillId="4" borderId="11" xfId="0" applyNumberFormat="1" applyFont="1" applyFill="1" applyBorder="1"/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9.xml"/><Relationship Id="rId24" Type="http://schemas.microsoft.com/office/2006/relationships/vbaProject" Target="vbaProject.bin"/><Relationship Id="rId5" Type="http://schemas.openxmlformats.org/officeDocument/2006/relationships/chartsheet" Target="chartsheets/sheet1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8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2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FRTB!$AS$26:$AS$121</c:f>
              <c:numCache>
                <c:formatCode>0.0000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7-41C6-B82F-638BD7A3B8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FRTB!$AT$24:$AT$121</c:f>
              <c:numCache>
                <c:formatCode>0.0000</c:formatCode>
                <c:ptCount val="98"/>
                <c:pt idx="0">
                  <c:v>-3.7769967724390341E-3</c:v>
                </c:pt>
                <c:pt idx="1">
                  <c:v>-1.6547363143203403E-2</c:v>
                </c:pt>
                <c:pt idx="2">
                  <c:v>1.591112569337097E-2</c:v>
                </c:pt>
                <c:pt idx="3">
                  <c:v>9.4432387043379973E-3</c:v>
                </c:pt>
                <c:pt idx="4">
                  <c:v>1.9058938763637234E-2</c:v>
                </c:pt>
                <c:pt idx="5">
                  <c:v>2.2043162837271146E-2</c:v>
                </c:pt>
                <c:pt idx="6">
                  <c:v>-2.4003831094018185E-2</c:v>
                </c:pt>
                <c:pt idx="7">
                  <c:v>1.6012458987654271E-2</c:v>
                </c:pt>
                <c:pt idx="8">
                  <c:v>8.927902295338852E-3</c:v>
                </c:pt>
                <c:pt idx="9">
                  <c:v>-2.8941488071976995E-2</c:v>
                </c:pt>
                <c:pt idx="10">
                  <c:v>-2.8400170835293809E-2</c:v>
                </c:pt>
                <c:pt idx="11">
                  <c:v>2.7984014276365626E-2</c:v>
                </c:pt>
                <c:pt idx="12">
                  <c:v>6.5691519546468014E-3</c:v>
                </c:pt>
                <c:pt idx="13">
                  <c:v>-5.3181438213827092E-3</c:v>
                </c:pt>
                <c:pt idx="14">
                  <c:v>2.4811015986789337E-2</c:v>
                </c:pt>
                <c:pt idx="15">
                  <c:v>3.6511544458170397E-4</c:v>
                </c:pt>
                <c:pt idx="16">
                  <c:v>-1.7111663554690099E-2</c:v>
                </c:pt>
                <c:pt idx="17">
                  <c:v>-1.5831237585292701E-2</c:v>
                </c:pt>
                <c:pt idx="18">
                  <c:v>-5.2605121278044564E-3</c:v>
                </c:pt>
                <c:pt idx="19">
                  <c:v>1.3409162202856012E-2</c:v>
                </c:pt>
                <c:pt idx="20">
                  <c:v>2.0366976554022281E-2</c:v>
                </c:pt>
                <c:pt idx="21">
                  <c:v>1.321331689771546E-2</c:v>
                </c:pt>
                <c:pt idx="22">
                  <c:v>2.4165621055592668E-2</c:v>
                </c:pt>
                <c:pt idx="23">
                  <c:v>-1.8763781846984934E-2</c:v>
                </c:pt>
                <c:pt idx="24">
                  <c:v>1.5732950887883679E-2</c:v>
                </c:pt>
                <c:pt idx="25">
                  <c:v>6.9234797873001241E-3</c:v>
                </c:pt>
                <c:pt idx="26">
                  <c:v>2.8019650995962708E-2</c:v>
                </c:pt>
                <c:pt idx="27">
                  <c:v>-1.1631277400761225E-2</c:v>
                </c:pt>
                <c:pt idx="28">
                  <c:v>6.7103646574341036E-3</c:v>
                </c:pt>
                <c:pt idx="29">
                  <c:v>-1.9968437293040653E-2</c:v>
                </c:pt>
                <c:pt idx="30">
                  <c:v>-3.6762593387139331E-3</c:v>
                </c:pt>
                <c:pt idx="31">
                  <c:v>-2.6248381565289441E-2</c:v>
                </c:pt>
                <c:pt idx="32">
                  <c:v>-1.5105701196631238E-2</c:v>
                </c:pt>
                <c:pt idx="33">
                  <c:v>2.3535913110483198E-2</c:v>
                </c:pt>
                <c:pt idx="34">
                  <c:v>2.4611450981760374E-2</c:v>
                </c:pt>
                <c:pt idx="35">
                  <c:v>-1.9027944709835126E-2</c:v>
                </c:pt>
                <c:pt idx="36">
                  <c:v>-2.7862647570849747E-2</c:v>
                </c:pt>
                <c:pt idx="37">
                  <c:v>1.0637612851793127E-2</c:v>
                </c:pt>
                <c:pt idx="38">
                  <c:v>-9.5162508452607819E-3</c:v>
                </c:pt>
                <c:pt idx="39">
                  <c:v>2.038694280203554E-2</c:v>
                </c:pt>
                <c:pt idx="40">
                  <c:v>-4.5638932747174843E-3</c:v>
                </c:pt>
                <c:pt idx="41">
                  <c:v>2.3704524050340264E-2</c:v>
                </c:pt>
                <c:pt idx="42">
                  <c:v>-1.9308646565369847E-2</c:v>
                </c:pt>
                <c:pt idx="43">
                  <c:v>-2.2146145986526922E-2</c:v>
                </c:pt>
                <c:pt idx="44">
                  <c:v>-5.2412764012622348E-3</c:v>
                </c:pt>
                <c:pt idx="45">
                  <c:v>-1.3920110782007389E-2</c:v>
                </c:pt>
                <c:pt idx="46">
                  <c:v>-2.2826666668862378E-2</c:v>
                </c:pt>
                <c:pt idx="47">
                  <c:v>7.8295205166613036E-3</c:v>
                </c:pt>
                <c:pt idx="48">
                  <c:v>-2.6383680724375858E-3</c:v>
                </c:pt>
                <c:pt idx="49">
                  <c:v>-2.2974916712986876E-2</c:v>
                </c:pt>
                <c:pt idx="50">
                  <c:v>-3.0004168794064423E-3</c:v>
                </c:pt>
                <c:pt idx="51">
                  <c:v>4.3344187091088338E-3</c:v>
                </c:pt>
                <c:pt idx="52">
                  <c:v>-1.1527649141716195E-2</c:v>
                </c:pt>
                <c:pt idx="53">
                  <c:v>3.3163664283928918E-3</c:v>
                </c:pt>
                <c:pt idx="54">
                  <c:v>5.8760883431247524E-3</c:v>
                </c:pt>
                <c:pt idx="55">
                  <c:v>3.7203555576642844E-3</c:v>
                </c:pt>
                <c:pt idx="56">
                  <c:v>-7.8181108313971071E-3</c:v>
                </c:pt>
                <c:pt idx="57">
                  <c:v>3.1835593029466702E-5</c:v>
                </c:pt>
                <c:pt idx="58">
                  <c:v>-2.1700902328934457E-2</c:v>
                </c:pt>
                <c:pt idx="59">
                  <c:v>-6.9363507723938234E-3</c:v>
                </c:pt>
                <c:pt idx="60">
                  <c:v>-1.2185717138949753E-2</c:v>
                </c:pt>
                <c:pt idx="61">
                  <c:v>1.3393905190630662E-3</c:v>
                </c:pt>
                <c:pt idx="62">
                  <c:v>-5.9995588167393588E-3</c:v>
                </c:pt>
                <c:pt idx="63">
                  <c:v>2.8340018997036198E-3</c:v>
                </c:pt>
                <c:pt idx="64">
                  <c:v>-1.8427392748911392E-2</c:v>
                </c:pt>
                <c:pt idx="65">
                  <c:v>-1.984639359730353E-2</c:v>
                </c:pt>
                <c:pt idx="66">
                  <c:v>-9.2283072920660014E-3</c:v>
                </c:pt>
                <c:pt idx="67">
                  <c:v>-1.6807746635224552E-2</c:v>
                </c:pt>
                <c:pt idx="68">
                  <c:v>9.8531096104168547E-3</c:v>
                </c:pt>
                <c:pt idx="69">
                  <c:v>-1.7825209983753143E-2</c:v>
                </c:pt>
                <c:pt idx="70">
                  <c:v>2.0126748366841918E-2</c:v>
                </c:pt>
                <c:pt idx="71">
                  <c:v>-6.6688813415806403E-3</c:v>
                </c:pt>
                <c:pt idx="72">
                  <c:v>-1.8784196764440403E-2</c:v>
                </c:pt>
                <c:pt idx="73">
                  <c:v>-1.1299466032640981E-3</c:v>
                </c:pt>
                <c:pt idx="74">
                  <c:v>-7.3042412605008322E-3</c:v>
                </c:pt>
                <c:pt idx="75">
                  <c:v>2.7865226762804729E-2</c:v>
                </c:pt>
                <c:pt idx="76">
                  <c:v>-3.3233534716429175E-2</c:v>
                </c:pt>
                <c:pt idx="77">
                  <c:v>-1.9024238899776669E-2</c:v>
                </c:pt>
                <c:pt idx="78">
                  <c:v>6.4769989305921705E-3</c:v>
                </c:pt>
                <c:pt idx="79">
                  <c:v>-2.5592693247544873E-2</c:v>
                </c:pt>
                <c:pt idx="80">
                  <c:v>-2.3362850867608864E-2</c:v>
                </c:pt>
                <c:pt idx="81">
                  <c:v>-2.247662019720606E-2</c:v>
                </c:pt>
                <c:pt idx="82">
                  <c:v>-2.4339758792871202E-4</c:v>
                </c:pt>
                <c:pt idx="83">
                  <c:v>6.1140267494989853E-3</c:v>
                </c:pt>
                <c:pt idx="84">
                  <c:v>5.1866679003360339E-3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A7-41C6-B82F-638BD7A3B886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FRTB!$AU$24:$AU$121</c:f>
              <c:numCache>
                <c:formatCode>0.0000</c:formatCode>
                <c:ptCount val="98"/>
                <c:pt idx="0">
                  <c:v>-3.2132096242136976E-2</c:v>
                </c:pt>
                <c:pt idx="1">
                  <c:v>-2.0662132756144619E-2</c:v>
                </c:pt>
                <c:pt idx="2">
                  <c:v>-4.6121384977729968E-2</c:v>
                </c:pt>
                <c:pt idx="3">
                  <c:v>1.8976497151813002E-2</c:v>
                </c:pt>
                <c:pt idx="4">
                  <c:v>-4.7509119902717251E-2</c:v>
                </c:pt>
                <c:pt idx="5">
                  <c:v>-4.8280646314197179E-2</c:v>
                </c:pt>
                <c:pt idx="6">
                  <c:v>-1.3528600883896846E-2</c:v>
                </c:pt>
                <c:pt idx="7">
                  <c:v>-4.6201906022207306E-2</c:v>
                </c:pt>
                <c:pt idx="8">
                  <c:v>-4.1987998012351868E-2</c:v>
                </c:pt>
                <c:pt idx="9">
                  <c:v>-8.6450050247250387E-3</c:v>
                </c:pt>
                <c:pt idx="10">
                  <c:v>-9.1878362563342086E-3</c:v>
                </c:pt>
                <c:pt idx="11">
                  <c:v>-4.0583435027292641E-2</c:v>
                </c:pt>
                <c:pt idx="12">
                  <c:v>-4.0345222213833798E-2</c:v>
                </c:pt>
                <c:pt idx="13">
                  <c:v>-3.0811684803681322E-2</c:v>
                </c:pt>
                <c:pt idx="14">
                  <c:v>-4.7624870683821346E-2</c:v>
                </c:pt>
                <c:pt idx="15">
                  <c:v>-3.5550693620145707E-2</c:v>
                </c:pt>
                <c:pt idx="16">
                  <c:v>-2.0137105019918944E-2</c:v>
                </c:pt>
                <c:pt idx="17">
                  <c:v>-2.1325962810757326E-2</c:v>
                </c:pt>
                <c:pt idx="18">
                  <c:v>-3.0850723005618558E-2</c:v>
                </c:pt>
                <c:pt idx="19">
                  <c:v>-4.4773881982128005E-2</c:v>
                </c:pt>
                <c:pt idx="20">
                  <c:v>-4.7845074647539315E-2</c:v>
                </c:pt>
                <c:pt idx="21">
                  <c:v>-4.4676056754413468E-2</c:v>
                </c:pt>
                <c:pt idx="22">
                  <c:v>-4.8055978241982683E-2</c:v>
                </c:pt>
                <c:pt idx="23">
                  <c:v>-1.8575550750602104E-2</c:v>
                </c:pt>
                <c:pt idx="24">
                  <c:v>-4.6084398505293694E-2</c:v>
                </c:pt>
                <c:pt idx="25">
                  <c:v>-4.0553560589486143E-2</c:v>
                </c:pt>
                <c:pt idx="26">
                  <c:v>-4.1998660073861716E-2</c:v>
                </c:pt>
                <c:pt idx="27">
                  <c:v>-2.5204465993667796E-2</c:v>
                </c:pt>
                <c:pt idx="28">
                  <c:v>-4.0422814884522124E-2</c:v>
                </c:pt>
                <c:pt idx="29">
                  <c:v>-1.7433315105613356E-2</c:v>
                </c:pt>
                <c:pt idx="30">
                  <c:v>-3.221508994093808E-2</c:v>
                </c:pt>
                <c:pt idx="31">
                  <c:v>-1.132749675768957E-2</c:v>
                </c:pt>
                <c:pt idx="32">
                  <c:v>-2.2015910852405784E-2</c:v>
                </c:pt>
                <c:pt idx="33">
                  <c:v>-1.7472025762379217E-2</c:v>
                </c:pt>
                <c:pt idx="34">
                  <c:v>-2.2291032581489401E-2</c:v>
                </c:pt>
                <c:pt idx="35">
                  <c:v>-1.8329259192284897E-2</c:v>
                </c:pt>
                <c:pt idx="36">
                  <c:v>-9.7178181044212664E-3</c:v>
                </c:pt>
                <c:pt idx="37">
                  <c:v>-4.3101494638072141E-2</c:v>
                </c:pt>
                <c:pt idx="38">
                  <c:v>-2.7112389054796238E-2</c:v>
                </c:pt>
                <c:pt idx="39">
                  <c:v>-8.3117118737965623E-3</c:v>
                </c:pt>
                <c:pt idx="40">
                  <c:v>-3.144123756624953E-2</c:v>
                </c:pt>
                <c:pt idx="41">
                  <c:v>-4.8103084025252291E-2</c:v>
                </c:pt>
                <c:pt idx="42">
                  <c:v>-1.8061973307589185E-2</c:v>
                </c:pt>
                <c:pt idx="43">
                  <c:v>-1.5316378638581096E-2</c:v>
                </c:pt>
                <c:pt idx="44">
                  <c:v>-3.0895118002845778E-2</c:v>
                </c:pt>
                <c:pt idx="45">
                  <c:v>-2.311247137493963E-2</c:v>
                </c:pt>
                <c:pt idx="46">
                  <c:v>-1.4675572326830644E-2</c:v>
                </c:pt>
                <c:pt idx="47">
                  <c:v>-4.1219771710554326E-2</c:v>
                </c:pt>
                <c:pt idx="48">
                  <c:v>-3.3082781934552441E-2</c:v>
                </c:pt>
                <c:pt idx="49">
                  <c:v>-1.4516175261397146E-2</c:v>
                </c:pt>
                <c:pt idx="50">
                  <c:v>-3.2786303356717561E-2</c:v>
                </c:pt>
                <c:pt idx="51">
                  <c:v>-3.867084404691784E-2</c:v>
                </c:pt>
                <c:pt idx="52">
                  <c:v>-2.5304771789190827E-2</c:v>
                </c:pt>
                <c:pt idx="53">
                  <c:v>-3.7852960499583893E-2</c:v>
                </c:pt>
                <c:pt idx="54">
                  <c:v>-3.9798675604000772E-2</c:v>
                </c:pt>
                <c:pt idx="55">
                  <c:v>-3.8214508874592323E-2</c:v>
                </c:pt>
                <c:pt idx="56">
                  <c:v>-2.8625608017289889E-2</c:v>
                </c:pt>
                <c:pt idx="57">
                  <c:v>-3.5277037522529503E-2</c:v>
                </c:pt>
                <c:pt idx="58">
                  <c:v>-1.5759234562075564E-2</c:v>
                </c:pt>
                <c:pt idx="59">
                  <c:v>-2.9408259919489171E-2</c:v>
                </c:pt>
                <c:pt idx="60">
                  <c:v>-2.4709487765408267E-2</c:v>
                </c:pt>
                <c:pt idx="61">
                  <c:v>-3.6317002191820075E-2</c:v>
                </c:pt>
                <c:pt idx="62">
                  <c:v>-3.020720939710167E-2</c:v>
                </c:pt>
                <c:pt idx="63">
                  <c:v>-3.7484766370767642E-2</c:v>
                </c:pt>
                <c:pt idx="64">
                  <c:v>-1.8896119095702629E-2</c:v>
                </c:pt>
                <c:pt idx="65">
                  <c:v>-1.7549028055170501E-2</c:v>
                </c:pt>
                <c:pt idx="66">
                  <c:v>-2.7378589588820001E-2</c:v>
                </c:pt>
                <c:pt idx="67">
                  <c:v>-2.0420095646766473E-2</c:v>
                </c:pt>
                <c:pt idx="68">
                  <c:v>-4.2633198169616859E-2</c:v>
                </c:pt>
                <c:pt idx="69">
                  <c:v>-1.9457391399142876E-2</c:v>
                </c:pt>
                <c:pt idx="70">
                  <c:v>-4.7873734572188936E-2</c:v>
                </c:pt>
                <c:pt idx="71">
                  <c:v>-2.9636751111124376E-2</c:v>
                </c:pt>
                <c:pt idx="72">
                  <c:v>-1.856575221709561E-2</c:v>
                </c:pt>
                <c:pt idx="73">
                  <c:v>-3.4342672149405923E-2</c:v>
                </c:pt>
                <c:pt idx="74">
                  <c:v>-2.9089266515633178E-2</c:v>
                </c:pt>
                <c:pt idx="75">
                  <c:v>-4.3434717943193757E-2</c:v>
                </c:pt>
                <c:pt idx="76">
                  <c:v>-4.3012191753438456E-3</c:v>
                </c:pt>
                <c:pt idx="77">
                  <c:v>-1.833104217922335E-2</c:v>
                </c:pt>
                <c:pt idx="78">
                  <c:v>-4.0256836576174182E-2</c:v>
                </c:pt>
                <c:pt idx="79">
                  <c:v>-1.1976769565826162E-2</c:v>
                </c:pt>
                <c:pt idx="80">
                  <c:v>-1.415499300893816E-2</c:v>
                </c:pt>
                <c:pt idx="81">
                  <c:v>-1.5016044213304963E-2</c:v>
                </c:pt>
                <c:pt idx="82">
                  <c:v>-3.5075774275899307E-2</c:v>
                </c:pt>
                <c:pt idx="83">
                  <c:v>-3.9998430971770998E-2</c:v>
                </c:pt>
                <c:pt idx="84">
                  <c:v>-3.9301716723450064E-2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A7-41C6-B82F-638BD7A3B886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FRTB!$AV$24:$AV$121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A7-41C6-B82F-638BD7A3B88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FRTB!$AW$24:$AW$121</c:f>
              <c:numCache>
                <c:formatCode>0.0000</c:formatCode>
                <c:ptCount val="98"/>
                <c:pt idx="0">
                  <c:v>-0.11293803996492294</c:v>
                </c:pt>
                <c:pt idx="1">
                  <c:v>-0.12203816854284358</c:v>
                </c:pt>
                <c:pt idx="2">
                  <c:v>-9.8746286886237031E-2</c:v>
                </c:pt>
                <c:pt idx="3">
                  <c:v>-9.3272104441465914E-2</c:v>
                </c:pt>
                <c:pt idx="4">
                  <c:v>-9.67029680735354E-2</c:v>
                </c:pt>
                <c:pt idx="5">
                  <c:v>-9.4739072825582096E-2</c:v>
                </c:pt>
                <c:pt idx="6">
                  <c:v>-6.7946420844335387E-2</c:v>
                </c:pt>
                <c:pt idx="7">
                  <c:v>-9.8780535346964932E-2</c:v>
                </c:pt>
                <c:pt idx="8">
                  <c:v>-0.10387551295163686</c:v>
                </c:pt>
                <c:pt idx="9">
                  <c:v>-0.13120832196308418</c:v>
                </c:pt>
                <c:pt idx="10">
                  <c:v>-0.13080975124206082</c:v>
                </c:pt>
                <c:pt idx="11">
                  <c:v>-8.8672408532105285E-2</c:v>
                </c:pt>
                <c:pt idx="12">
                  <c:v>-0.10565781254717771</c:v>
                </c:pt>
                <c:pt idx="13">
                  <c:v>-0.11402675192398731</c:v>
                </c:pt>
                <c:pt idx="14">
                  <c:v>-9.1959680573470273E-2</c:v>
                </c:pt>
                <c:pt idx="15">
                  <c:v>-0.10990709382144885</c:v>
                </c:pt>
                <c:pt idx="16">
                  <c:v>-6.538949988367887E-2</c:v>
                </c:pt>
                <c:pt idx="17">
                  <c:v>-6.4884376171823729E-2</c:v>
                </c:pt>
                <c:pt idx="18">
                  <c:v>-0.11391955053556489</c:v>
                </c:pt>
                <c:pt idx="19">
                  <c:v>-0.10049351207942167</c:v>
                </c:pt>
                <c:pt idx="20">
                  <c:v>-9.5596500127063569E-2</c:v>
                </c:pt>
                <c:pt idx="21">
                  <c:v>-0.10068894581164528</c:v>
                </c:pt>
                <c:pt idx="22">
                  <c:v>-0.13888475183715057</c:v>
                </c:pt>
                <c:pt idx="23">
                  <c:v>-0.12368592547608689</c:v>
                </c:pt>
                <c:pt idx="24">
                  <c:v>-9.9058580901791232E-2</c:v>
                </c:pt>
                <c:pt idx="25">
                  <c:v>-0.15890249820617353</c:v>
                </c:pt>
                <c:pt idx="26">
                  <c:v>-8.9051506672889774E-2</c:v>
                </c:pt>
                <c:pt idx="27">
                  <c:v>-0.11848676037609104</c:v>
                </c:pt>
                <c:pt idx="28">
                  <c:v>-0.10541320794352593</c:v>
                </c:pt>
                <c:pt idx="29">
                  <c:v>-0.12460074775713298</c:v>
                </c:pt>
                <c:pt idx="30">
                  <c:v>-0.11284974866229952</c:v>
                </c:pt>
                <c:pt idx="31">
                  <c:v>-0.12921980123338006</c:v>
                </c:pt>
                <c:pt idx="32">
                  <c:v>-0.12103275522616347</c:v>
                </c:pt>
                <c:pt idx="33">
                  <c:v>-9.3166636073912484E-2</c:v>
                </c:pt>
                <c:pt idx="34">
                  <c:v>-8.8155814105137772E-2</c:v>
                </c:pt>
                <c:pt idx="35">
                  <c:v>-0.12390661396653643</c:v>
                </c:pt>
                <c:pt idx="36">
                  <c:v>-0.13038020969704067</c:v>
                </c:pt>
                <c:pt idx="37">
                  <c:v>-0.10255390280465812</c:v>
                </c:pt>
                <c:pt idx="38">
                  <c:v>-0.11697102654804034</c:v>
                </c:pt>
                <c:pt idx="39">
                  <c:v>-9.4009770434606454E-2</c:v>
                </c:pt>
                <c:pt idx="40">
                  <c:v>-0.11337814016597109</c:v>
                </c:pt>
                <c:pt idx="41">
                  <c:v>-9.3095620923618366E-2</c:v>
                </c:pt>
                <c:pt idx="42">
                  <c:v>-0.12411154424452044</c:v>
                </c:pt>
                <c:pt idx="43">
                  <c:v>-0.12608259271658867</c:v>
                </c:pt>
                <c:pt idx="44">
                  <c:v>-0.11410339158711567</c:v>
                </c:pt>
                <c:pt idx="45">
                  <c:v>-0.12016383152402882</c:v>
                </c:pt>
                <c:pt idx="46">
                  <c:v>-0.12667763310034882</c:v>
                </c:pt>
                <c:pt idx="47">
                  <c:v>-0.10461719873943714</c:v>
                </c:pt>
                <c:pt idx="48">
                  <c:v>-0.11206305648119694</c:v>
                </c:pt>
                <c:pt idx="49">
                  <c:v>-0.1267089416267573</c:v>
                </c:pt>
                <c:pt idx="50">
                  <c:v>-0.11236901765903183</c:v>
                </c:pt>
                <c:pt idx="51">
                  <c:v>-5.7635689825497091E-2</c:v>
                </c:pt>
                <c:pt idx="52">
                  <c:v>-6.3355474531552824E-2</c:v>
                </c:pt>
                <c:pt idx="53">
                  <c:v>-5.7892092959373739E-2</c:v>
                </c:pt>
                <c:pt idx="54">
                  <c:v>-5.7013452020839683E-2</c:v>
                </c:pt>
                <c:pt idx="55">
                  <c:v>-5.789761960104562E-2</c:v>
                </c:pt>
                <c:pt idx="56">
                  <c:v>-6.2008006596195639E-2</c:v>
                </c:pt>
                <c:pt idx="57">
                  <c:v>-0.11012211842490015</c:v>
                </c:pt>
                <c:pt idx="58">
                  <c:v>-0.12581773742610672</c:v>
                </c:pt>
                <c:pt idx="59">
                  <c:v>-6.171686755599802E-2</c:v>
                </c:pt>
                <c:pt idx="60">
                  <c:v>-6.3607304024100614E-2</c:v>
                </c:pt>
                <c:pt idx="61">
                  <c:v>-5.8640563266629392E-2</c:v>
                </c:pt>
                <c:pt idx="62">
                  <c:v>-6.1318666886871459E-2</c:v>
                </c:pt>
                <c:pt idx="63">
                  <c:v>-0.10803062396241254</c:v>
                </c:pt>
                <c:pt idx="64">
                  <c:v>-0.12344769105366138</c:v>
                </c:pt>
                <c:pt idx="65">
                  <c:v>-0.12450588845925575</c:v>
                </c:pt>
                <c:pt idx="66">
                  <c:v>-6.2533443945559916E-2</c:v>
                </c:pt>
                <c:pt idx="67">
                  <c:v>-0.12224076556913825</c:v>
                </c:pt>
                <c:pt idx="68">
                  <c:v>-7.2438853030322284E-2</c:v>
                </c:pt>
                <c:pt idx="69">
                  <c:v>-8.5612776986934314E-2</c:v>
                </c:pt>
                <c:pt idx="70">
                  <c:v>-9.6049542363996515E-2</c:v>
                </c:pt>
                <c:pt idx="71">
                  <c:v>-8.0255888231189107E-2</c:v>
                </c:pt>
                <c:pt idx="72">
                  <c:v>-8.6151606569522782E-2</c:v>
                </c:pt>
                <c:pt idx="73">
                  <c:v>-0.11102767468100194</c:v>
                </c:pt>
                <c:pt idx="74">
                  <c:v>-0.11548912028443641</c:v>
                </c:pt>
                <c:pt idx="75">
                  <c:v>-6.2950885062762474E-2</c:v>
                </c:pt>
                <c:pt idx="76">
                  <c:v>-0.13449469114939566</c:v>
                </c:pt>
                <c:pt idx="77">
                  <c:v>-8.6241560392211508E-2</c:v>
                </c:pt>
                <c:pt idx="78">
                  <c:v>-7.3950002316695018E-2</c:v>
                </c:pt>
                <c:pt idx="79">
                  <c:v>-8.9498943572873496E-2</c:v>
                </c:pt>
                <c:pt idx="80">
                  <c:v>-8.8376412866692955E-2</c:v>
                </c:pt>
                <c:pt idx="81">
                  <c:v>-8.7939975760748579E-2</c:v>
                </c:pt>
                <c:pt idx="82">
                  <c:v>-0.11045589443746026</c:v>
                </c:pt>
                <c:pt idx="83">
                  <c:v>-7.4147396201815166E-2</c:v>
                </c:pt>
                <c:pt idx="84">
                  <c:v>-0.10648011486160161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A7-41C6-B82F-638BD7A3B886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FRTB!$AX$24:$AX$121</c:f>
              <c:numCache>
                <c:formatCode>0.0000</c:formatCode>
                <c:ptCount val="98"/>
                <c:pt idx="0">
                  <c:v>4.5065741079850265E-3</c:v>
                </c:pt>
                <c:pt idx="1">
                  <c:v>3.7688431280694795E-3</c:v>
                </c:pt>
                <c:pt idx="2">
                  <c:v>1.2881582049514721E-2</c:v>
                </c:pt>
                <c:pt idx="3">
                  <c:v>0.12613821558234672</c:v>
                </c:pt>
                <c:pt idx="4">
                  <c:v>1.5931803783213322E-2</c:v>
                </c:pt>
                <c:pt idx="5">
                  <c:v>2.0066769830771783E-2</c:v>
                </c:pt>
                <c:pt idx="6">
                  <c:v>8.0691224813386926E-3</c:v>
                </c:pt>
                <c:pt idx="7">
                  <c:v>1.2869982204749046E-2</c:v>
                </c:pt>
                <c:pt idx="8">
                  <c:v>8.1520624916945617E-3</c:v>
                </c:pt>
                <c:pt idx="9">
                  <c:v>4.0361158064383881E-3</c:v>
                </c:pt>
                <c:pt idx="10">
                  <c:v>4.0285543007283079E-3</c:v>
                </c:pt>
                <c:pt idx="11">
                  <c:v>5.1100429537634967E-2</c:v>
                </c:pt>
                <c:pt idx="12">
                  <c:v>7.0753203372682164E-3</c:v>
                </c:pt>
                <c:pt idx="13">
                  <c:v>4.3118252704366193E-3</c:v>
                </c:pt>
                <c:pt idx="14">
                  <c:v>2.7420993773763377E-2</c:v>
                </c:pt>
                <c:pt idx="15">
                  <c:v>5.3061006098173435E-3</c:v>
                </c:pt>
                <c:pt idx="16">
                  <c:v>1.004287532598357E-2</c:v>
                </c:pt>
                <c:pt idx="17">
                  <c:v>1.0446447678144229E-2</c:v>
                </c:pt>
                <c:pt idx="18">
                  <c:v>4.3461517858877953E-3</c:v>
                </c:pt>
                <c:pt idx="19">
                  <c:v>1.0924309967247962E-2</c:v>
                </c:pt>
                <c:pt idx="20">
                  <c:v>1.7837771799715067E-2</c:v>
                </c:pt>
                <c:pt idx="21">
                  <c:v>1.0736678036716175E-2</c:v>
                </c:pt>
                <c:pt idx="22">
                  <c:v>2.3163371335788857E-3</c:v>
                </c:pt>
                <c:pt idx="23">
                  <c:v>3.7789721172662039E-3</c:v>
                </c:pt>
                <c:pt idx="24">
                  <c:v>1.2553535533815913E-2</c:v>
                </c:pt>
                <c:pt idx="25">
                  <c:v>-1.022794023100837E-2</c:v>
                </c:pt>
                <c:pt idx="26">
                  <c:v>4.7546297239298485E-2</c:v>
                </c:pt>
                <c:pt idx="27">
                  <c:v>3.8568360491393408E-3</c:v>
                </c:pt>
                <c:pt idx="28">
                  <c:v>7.2132425365828354E-3</c:v>
                </c:pt>
                <c:pt idx="29">
                  <c:v>3.7954072287398801E-3</c:v>
                </c:pt>
                <c:pt idx="30">
                  <c:v>4.5276589198570104E-3</c:v>
                </c:pt>
                <c:pt idx="31">
                  <c:v>3.9770584846526543E-3</c:v>
                </c:pt>
                <c:pt idx="32">
                  <c:v>3.7635363751789552E-3</c:v>
                </c:pt>
                <c:pt idx="33">
                  <c:v>0.10291763259341977</c:v>
                </c:pt>
                <c:pt idx="34">
                  <c:v>9.2888560607490872E-2</c:v>
                </c:pt>
                <c:pt idx="35">
                  <c:v>3.7783668769653372E-3</c:v>
                </c:pt>
                <c:pt idx="36">
                  <c:v>4.0148495925148653E-3</c:v>
                </c:pt>
                <c:pt idx="37">
                  <c:v>9.1077402051828217E-3</c:v>
                </c:pt>
                <c:pt idx="38">
                  <c:v>3.9628887246020428E-3</c:v>
                </c:pt>
                <c:pt idx="39">
                  <c:v>0.12372656805615209</c:v>
                </c:pt>
                <c:pt idx="40">
                  <c:v>4.4536272064194006E-3</c:v>
                </c:pt>
                <c:pt idx="41">
                  <c:v>2.3962065158927688E-2</c:v>
                </c:pt>
                <c:pt idx="42">
                  <c:v>3.7832819706507398E-3</c:v>
                </c:pt>
                <c:pt idx="43">
                  <c:v>3.865436553689974E-3</c:v>
                </c:pt>
                <c:pt idx="44">
                  <c:v>4.2776479179399939E-3</c:v>
                </c:pt>
                <c:pt idx="45">
                  <c:v>3.7824864754029026E-3</c:v>
                </c:pt>
                <c:pt idx="46">
                  <c:v>3.8720196638904955E-3</c:v>
                </c:pt>
                <c:pt idx="47">
                  <c:v>7.6775021552742406E-3</c:v>
                </c:pt>
                <c:pt idx="48">
                  <c:v>4.7069123520452408E-3</c:v>
                </c:pt>
                <c:pt idx="49">
                  <c:v>3.8847077738253973E-3</c:v>
                </c:pt>
                <c:pt idx="50">
                  <c:v>4.6280181657973249E-3</c:v>
                </c:pt>
                <c:pt idx="51">
                  <c:v>1.8851909469133087E-2</c:v>
                </c:pt>
                <c:pt idx="52">
                  <c:v>1.1811809052927726E-2</c:v>
                </c:pt>
                <c:pt idx="53">
                  <c:v>1.8377735326223839E-2</c:v>
                </c:pt>
                <c:pt idx="54">
                  <c:v>1.9869735486460285E-2</c:v>
                </c:pt>
                <c:pt idx="55">
                  <c:v>1.8456979935724024E-2</c:v>
                </c:pt>
                <c:pt idx="56">
                  <c:v>1.3136853421504434E-2</c:v>
                </c:pt>
                <c:pt idx="57">
                  <c:v>5.244799979409253E-3</c:v>
                </c:pt>
                <c:pt idx="58">
                  <c:v>3.84375805786903E-3</c:v>
                </c:pt>
                <c:pt idx="59">
                  <c:v>1.3456362996977122E-2</c:v>
                </c:pt>
                <c:pt idx="60">
                  <c:v>1.1584814920264608E-2</c:v>
                </c:pt>
                <c:pt idx="61">
                  <c:v>1.725714139570609E-2</c:v>
                </c:pt>
                <c:pt idx="62">
                  <c:v>1.3864810261212862E-2</c:v>
                </c:pt>
                <c:pt idx="63">
                  <c:v>5.9980264537564387E-3</c:v>
                </c:pt>
                <c:pt idx="64">
                  <c:v>3.7729190030148865E-3</c:v>
                </c:pt>
                <c:pt idx="65">
                  <c:v>3.7935531299532529E-3</c:v>
                </c:pt>
                <c:pt idx="66">
                  <c:v>1.2608384305416907E-2</c:v>
                </c:pt>
                <c:pt idx="67">
                  <c:v>3.7658427805827496E-3</c:v>
                </c:pt>
                <c:pt idx="68">
                  <c:v>1.7847396466858272E-2</c:v>
                </c:pt>
                <c:pt idx="69">
                  <c:v>7.8175970091666179E-3</c:v>
                </c:pt>
                <c:pt idx="70">
                  <c:v>1.7195219415123808E-2</c:v>
                </c:pt>
                <c:pt idx="71">
                  <c:v>1.0439190229739999E-2</c:v>
                </c:pt>
                <c:pt idx="72">
                  <c:v>7.6181523360156697E-3</c:v>
                </c:pt>
                <c:pt idx="73">
                  <c:v>4.9537961893856286E-3</c:v>
                </c:pt>
                <c:pt idx="74">
                  <c:v>4.0929829990449008E-3</c:v>
                </c:pt>
                <c:pt idx="75">
                  <c:v>5.4847006368580177E-2</c:v>
                </c:pt>
                <c:pt idx="76">
                  <c:v>3.9670471529950485E-3</c:v>
                </c:pt>
                <c:pt idx="77">
                  <c:v>7.5777825957819124E-3</c:v>
                </c:pt>
                <c:pt idx="78">
                  <c:v>1.5835864714025507E-2</c:v>
                </c:pt>
                <c:pt idx="79">
                  <c:v>6.403516909872389E-3</c:v>
                </c:pt>
                <c:pt idx="80">
                  <c:v>6.7948615066695589E-3</c:v>
                </c:pt>
                <c:pt idx="81">
                  <c:v>6.951188832604073E-3</c:v>
                </c:pt>
                <c:pt idx="82">
                  <c:v>5.1207599716547696E-3</c:v>
                </c:pt>
                <c:pt idx="83">
                  <c:v>1.5613784018085556E-2</c:v>
                </c:pt>
                <c:pt idx="84">
                  <c:v>6.6593087602260931E-3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A7-41C6-B82F-638BD7A3B88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FRTB!$AY$24:$AY$121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A7-41C6-B82F-638BD7A3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246240"/>
        <c:axId val="325252000"/>
      </c:barChart>
      <c:catAx>
        <c:axId val="325246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52000"/>
        <c:crosses val="autoZero"/>
        <c:auto val="1"/>
        <c:lblAlgn val="ctr"/>
        <c:lblOffset val="100"/>
        <c:noMultiLvlLbl val="0"/>
      </c:catAx>
      <c:valAx>
        <c:axId val="3252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4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C110393-92B1-496A-AB1F-D5353159A188}">
  <sheetPr codeName="Chart2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3</xdr:row>
          <xdr:rowOff>19050</xdr:rowOff>
        </xdr:from>
        <xdr:to>
          <xdr:col>5</xdr:col>
          <xdr:colOff>31750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165100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127000</xdr:rowOff>
        </xdr:from>
        <xdr:to>
          <xdr:col>45</xdr:col>
          <xdr:colOff>298450</xdr:colOff>
          <xdr:row>364</xdr:row>
          <xdr:rowOff>88900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165100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12700</xdr:colOff>
          <xdr:row>13</xdr:row>
          <xdr:rowOff>107950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641350</xdr:colOff>
          <xdr:row>5</xdr:row>
          <xdr:rowOff>107950</xdr:rowOff>
        </xdr:from>
        <xdr:to>
          <xdr:col>9</xdr:col>
          <xdr:colOff>723900</xdr:colOff>
          <xdr:row>6</xdr:row>
          <xdr:rowOff>184150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10</xdr:row>
          <xdr:rowOff>114300</xdr:rowOff>
        </xdr:from>
        <xdr:to>
          <xdr:col>5</xdr:col>
          <xdr:colOff>438150</xdr:colOff>
          <xdr:row>11</xdr:row>
          <xdr:rowOff>190500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7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317500</xdr:colOff>
          <xdr:row>12</xdr:row>
          <xdr:rowOff>152400</xdr:rowOff>
        </xdr:from>
        <xdr:to>
          <xdr:col>5</xdr:col>
          <xdr:colOff>438150</xdr:colOff>
          <xdr:row>14</xdr:row>
          <xdr:rowOff>19050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7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15</xdr:col>
      <xdr:colOff>355248</xdr:colOff>
      <xdr:row>6</xdr:row>
      <xdr:rowOff>69557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1702" y="38653"/>
          <a:ext cx="3116743" cy="11356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381000</xdr:colOff>
          <xdr:row>9</xdr:row>
          <xdr:rowOff>88900</xdr:rowOff>
        </xdr:from>
        <xdr:to>
          <xdr:col>22</xdr:col>
          <xdr:colOff>126999</xdr:colOff>
          <xdr:row>10</xdr:row>
          <xdr:rowOff>114300</xdr:rowOff>
        </xdr:to>
        <xdr:sp macro="" textlink="">
          <xdr:nvSpPr>
            <xdr:cNvPr id="11329" name="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7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65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937E31-2820-D7B7-1E7C-2C5ED9255B6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5</xdr:col>
      <xdr:colOff>97797</xdr:colOff>
      <xdr:row>2</xdr:row>
      <xdr:rowOff>256295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387350</xdr:colOff>
          <xdr:row>5</xdr:row>
          <xdr:rowOff>12700</xdr:rowOff>
        </xdr:from>
        <xdr:to>
          <xdr:col>26</xdr:col>
          <xdr:colOff>342900</xdr:colOff>
          <xdr:row>6</xdr:row>
          <xdr:rowOff>88900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9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60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D39" sqref="D39"/>
    </sheetView>
  </sheetViews>
  <sheetFormatPr defaultColWidth="11.453125" defaultRowHeight="14.5"/>
  <cols>
    <col min="2" max="2" width="18" customWidth="1"/>
    <col min="3" max="3" width="4.453125" customWidth="1"/>
    <col min="4" max="4" width="16.26953125" customWidth="1"/>
    <col min="5" max="5" width="11.453125" bestFit="1" customWidth="1"/>
  </cols>
  <sheetData>
    <row r="1" spans="2:7" ht="15" thickBot="1"/>
    <row r="2" spans="2:7" ht="1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" thickBot="1">
      <c r="B4" s="41" t="s">
        <v>30</v>
      </c>
      <c r="D4" s="41" t="s">
        <v>31</v>
      </c>
      <c r="F4" s="38" t="s">
        <v>2</v>
      </c>
    </row>
    <row r="5" spans="2:7" ht="15" thickBot="1">
      <c r="F5" s="41" t="s">
        <v>1</v>
      </c>
    </row>
    <row r="6" spans="2:7" ht="15" thickBot="1">
      <c r="B6" s="57" t="s">
        <v>44</v>
      </c>
    </row>
    <row r="7" spans="2:7" ht="15" thickBot="1">
      <c r="B7" s="141" t="s">
        <v>45</v>
      </c>
      <c r="D7" s="92" t="s">
        <v>429</v>
      </c>
      <c r="E7" s="604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" thickBot="1">
      <c r="B11" s="143" t="s">
        <v>42</v>
      </c>
    </row>
    <row r="12" spans="2:7">
      <c r="G12" s="168"/>
    </row>
    <row r="13" spans="2:7" ht="15" thickBot="1"/>
    <row r="14" spans="2:7" ht="1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641" t="s">
        <v>21</v>
      </c>
      <c r="D5" s="642"/>
      <c r="F5" s="643" t="s">
        <v>23</v>
      </c>
      <c r="G5" s="644"/>
      <c r="I5" s="643" t="s">
        <v>22</v>
      </c>
      <c r="J5" s="644"/>
      <c r="R5" s="641" t="s">
        <v>39</v>
      </c>
      <c r="S5" s="642"/>
      <c r="U5" s="643" t="s">
        <v>40</v>
      </c>
      <c r="V5" s="644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641" t="s">
        <v>21</v>
      </c>
      <c r="C20" s="645"/>
      <c r="D20" s="645"/>
      <c r="E20" s="645"/>
      <c r="F20" s="645"/>
      <c r="G20" s="645"/>
      <c r="H20" s="645"/>
      <c r="I20" s="645"/>
      <c r="J20" s="642"/>
      <c r="L20" s="641" t="s">
        <v>23</v>
      </c>
      <c r="M20" s="642"/>
      <c r="O20" s="641" t="s">
        <v>22</v>
      </c>
      <c r="P20" s="642"/>
      <c r="R20" s="646" t="s">
        <v>39</v>
      </c>
      <c r="S20" s="647"/>
      <c r="T20" s="647"/>
      <c r="U20" s="647"/>
      <c r="V20" s="647"/>
      <c r="W20" s="647"/>
      <c r="X20" s="648"/>
      <c r="Z20" s="643" t="s">
        <v>40</v>
      </c>
      <c r="AA20" s="644"/>
    </row>
    <row r="21" spans="2:27" ht="1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zoomScale="145" zoomScaleNormal="145" workbookViewId="0">
      <selection activeCell="F14" sqref="F14"/>
    </sheetView>
  </sheetViews>
  <sheetFormatPr defaultColWidth="11.453125" defaultRowHeight="14.5"/>
  <cols>
    <col min="2" max="2" width="11.81640625" bestFit="1" customWidth="1"/>
    <col min="6" max="17" width="11.1796875" customWidth="1"/>
  </cols>
  <sheetData>
    <row r="6" spans="2:17" ht="15" thickBot="1"/>
    <row r="7" spans="2:17" ht="15" thickBot="1">
      <c r="B7" s="109" t="s">
        <v>47</v>
      </c>
      <c r="C7" s="103">
        <f ca="1">Parameter_Date</f>
        <v>45261</v>
      </c>
      <c r="D7" s="110"/>
      <c r="E7" s="111"/>
      <c r="F7" s="649" t="s">
        <v>48</v>
      </c>
      <c r="G7" s="650"/>
      <c r="H7" s="650"/>
      <c r="I7" s="650"/>
      <c r="J7" s="650"/>
      <c r="K7" s="650"/>
      <c r="L7" s="650"/>
      <c r="M7" s="650"/>
      <c r="N7" s="650"/>
      <c r="O7" s="650"/>
      <c r="P7" s="650"/>
      <c r="Q7" s="651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609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652" t="s">
        <v>68</v>
      </c>
      <c r="G13" s="653"/>
      <c r="H13" s="653"/>
      <c r="I13" s="653"/>
      <c r="J13" s="653"/>
      <c r="K13" s="653"/>
      <c r="L13" s="653"/>
      <c r="M13" s="653"/>
      <c r="N13" s="653"/>
      <c r="O13" s="653"/>
      <c r="P13" s="653"/>
      <c r="Q13" s="654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" thickBot="1"/>
    <row r="18" spans="2:17" ht="15" thickBot="1">
      <c r="B18" s="128" t="s">
        <v>669</v>
      </c>
      <c r="C18" s="42" cm="1">
        <f t="array" aca="1" ref="C18" ca="1">GetStoreCurve(B21:B23,C21:C23,D21:D23,E21:E23,F21:F23,H21:O23,H20:O20,G21:G23)</f>
        <v>0</v>
      </c>
    </row>
    <row r="19" spans="2:17" ht="15" thickBot="1">
      <c r="B19" s="128" t="s">
        <v>655</v>
      </c>
      <c r="C19" s="551"/>
      <c r="D19" s="101"/>
      <c r="E19" s="101"/>
      <c r="F19" s="101"/>
      <c r="G19" s="102"/>
      <c r="H19" s="649" t="s">
        <v>48</v>
      </c>
      <c r="I19" s="650"/>
      <c r="J19" s="650"/>
      <c r="K19" s="650"/>
      <c r="L19" s="650"/>
      <c r="M19" s="650"/>
      <c r="N19" s="650"/>
      <c r="O19" s="651"/>
    </row>
    <row r="20" spans="2:17" ht="21.5" thickBot="1">
      <c r="B20" s="128" t="s">
        <v>49</v>
      </c>
      <c r="C20" s="552" t="s">
        <v>50</v>
      </c>
      <c r="D20" s="552" t="s">
        <v>51</v>
      </c>
      <c r="E20" s="552" t="s">
        <v>52</v>
      </c>
      <c r="F20" s="128" t="s">
        <v>656</v>
      </c>
      <c r="G20" s="553" t="s">
        <v>657</v>
      </c>
      <c r="H20" s="58" t="s">
        <v>609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608</v>
      </c>
    </row>
    <row r="21" spans="2:17">
      <c r="B21" s="61" t="s">
        <v>66</v>
      </c>
      <c r="C21" s="549" t="s">
        <v>42</v>
      </c>
      <c r="D21" s="549">
        <v>1</v>
      </c>
      <c r="E21" s="549">
        <v>6</v>
      </c>
      <c r="F21" s="549" t="s">
        <v>661</v>
      </c>
      <c r="G21" s="63" t="s">
        <v>658</v>
      </c>
      <c r="H21" s="555">
        <v>3.4180000000000002E-2</v>
      </c>
      <c r="I21" s="556">
        <v>3.039E-2</v>
      </c>
      <c r="J21" s="556">
        <v>2.8570000000000002E-2</v>
      </c>
      <c r="K21" s="556">
        <v>2.708E-2</v>
      </c>
      <c r="L21" s="556">
        <v>2.665E-2</v>
      </c>
      <c r="M21" s="556">
        <v>2.6720000000000001E-2</v>
      </c>
      <c r="N21" s="556">
        <v>2.7040000000000002E-2</v>
      </c>
      <c r="O21" s="557">
        <v>2.436E-2</v>
      </c>
      <c r="P21" s="548"/>
      <c r="Q21" s="548"/>
    </row>
    <row r="22" spans="2:17">
      <c r="B22" s="67" t="s">
        <v>66</v>
      </c>
      <c r="C22" s="550" t="s">
        <v>42</v>
      </c>
      <c r="D22" s="550">
        <v>1</v>
      </c>
      <c r="E22" s="550">
        <v>3</v>
      </c>
      <c r="F22" s="550" t="s">
        <v>662</v>
      </c>
      <c r="G22" s="69" t="s">
        <v>658</v>
      </c>
      <c r="H22" s="558">
        <v>3.3070000000000002E-2</v>
      </c>
      <c r="I22" s="559">
        <v>2.955E-2</v>
      </c>
      <c r="J22" s="559">
        <v>2.784E-2</v>
      </c>
      <c r="K22" s="559">
        <v>2.6499999999999999E-2</v>
      </c>
      <c r="L22" s="559">
        <v>2.6169999999999999E-2</v>
      </c>
      <c r="M22" s="559">
        <v>2.6409999999999999E-2</v>
      </c>
      <c r="N22" s="559">
        <v>2.6950000000000002E-2</v>
      </c>
      <c r="O22" s="560">
        <v>2.4729999999999999E-2</v>
      </c>
      <c r="P22" s="548"/>
      <c r="Q22" s="548"/>
    </row>
    <row r="23" spans="2:17" ht="15" thickBot="1">
      <c r="B23" s="73" t="s">
        <v>67</v>
      </c>
      <c r="C23" s="554" t="s">
        <v>43</v>
      </c>
      <c r="D23" s="554">
        <v>1.0865</v>
      </c>
      <c r="E23" s="554">
        <v>1</v>
      </c>
      <c r="F23" s="554" t="s">
        <v>660</v>
      </c>
      <c r="G23" s="75" t="s">
        <v>659</v>
      </c>
      <c r="H23" s="561">
        <v>4.7559999999999998E-2</v>
      </c>
      <c r="I23" s="562">
        <v>4.2529999999999998E-2</v>
      </c>
      <c r="J23" s="562">
        <v>3.9980000000000002E-2</v>
      </c>
      <c r="K23" s="562">
        <v>3.7789999999999997E-2</v>
      </c>
      <c r="L23" s="562">
        <v>3.7139999999999999E-2</v>
      </c>
      <c r="M23" s="562">
        <v>3.6999999999999998E-2</v>
      </c>
      <c r="N23" s="562">
        <v>3.7330000000000002E-2</v>
      </c>
      <c r="O23" s="563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793750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topLeftCell="G1" zoomScale="115" zoomScaleNormal="115" workbookViewId="0">
      <selection activeCell="N12" sqref="N12"/>
    </sheetView>
  </sheetViews>
  <sheetFormatPr defaultColWidth="11.453125" defaultRowHeight="14.5"/>
  <cols>
    <col min="2" max="2" width="30.453125" bestFit="1" customWidth="1"/>
    <col min="5" max="9" width="9.453125" customWidth="1"/>
    <col min="10" max="10" width="11.26953125" customWidth="1"/>
    <col min="11" max="13" width="9.453125" customWidth="1"/>
    <col min="14" max="31" width="8.453125" customWidth="1"/>
    <col min="33" max="33" width="14.54296875" customWidth="1"/>
    <col min="34" max="34" width="13.26953125" bestFit="1" customWidth="1"/>
    <col min="35" max="35" width="15.8164062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649" t="s">
        <v>72</v>
      </c>
      <c r="H2" s="650"/>
      <c r="I2" s="650"/>
      <c r="J2" s="144" t="b">
        <v>1</v>
      </c>
    </row>
    <row r="3" spans="1:50" ht="15" thickBot="1">
      <c r="C3">
        <f ca="1">GetCDSRefDate(Parameter_Date,C6)</f>
        <v>45555</v>
      </c>
      <c r="J3" s="99"/>
    </row>
    <row r="4" spans="1:50" ht="15" thickBot="1">
      <c r="G4" s="649" t="s">
        <v>73</v>
      </c>
      <c r="H4" s="650"/>
      <c r="I4" s="651"/>
      <c r="J4" s="140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5" t="s">
        <v>70</v>
      </c>
      <c r="C6" s="658" t="b">
        <v>1</v>
      </c>
      <c r="D6" s="659"/>
      <c r="E6" s="85"/>
      <c r="F6" s="85"/>
      <c r="G6" s="649" t="s">
        <v>74</v>
      </c>
      <c r="H6" s="650"/>
      <c r="I6" s="651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60">
        <f ca="1">GetCDSRefDate(Parameter_Date,C6)</f>
        <v>45280</v>
      </c>
      <c r="D7" s="661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49" t="s">
        <v>76</v>
      </c>
      <c r="F9" s="650"/>
      <c r="G9" s="650"/>
      <c r="H9" s="650"/>
      <c r="I9" s="650"/>
      <c r="J9" s="650"/>
      <c r="K9" s="650"/>
      <c r="L9" s="650"/>
      <c r="M9" s="651"/>
      <c r="N9" s="655" t="s">
        <v>77</v>
      </c>
      <c r="O9" s="656"/>
      <c r="P9" s="656"/>
      <c r="Q9" s="656"/>
      <c r="R9" s="656"/>
      <c r="S9" s="656"/>
      <c r="T9" s="656"/>
      <c r="U9" s="656"/>
      <c r="V9" s="657"/>
      <c r="W9" s="655" t="s">
        <v>78</v>
      </c>
      <c r="X9" s="656"/>
      <c r="Y9" s="656"/>
      <c r="Z9" s="656"/>
      <c r="AA9" s="656"/>
      <c r="AB9" s="656"/>
      <c r="AC9" s="656"/>
      <c r="AD9" s="656"/>
      <c r="AE9" s="657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1.5006351103886151E-2</v>
      </c>
      <c r="S363" s="155">
        <f ca="1"/>
        <v>0</v>
      </c>
      <c r="T363" s="155">
        <f ca="1"/>
        <v>4.2158306220117403E-2</v>
      </c>
      <c r="U363" s="155">
        <f ca="1"/>
        <v>8.3539646048702121E-2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1.5498724824664079E-2</v>
      </c>
      <c r="AB363" s="155">
        <f ca="1"/>
        <v>0</v>
      </c>
      <c r="AC363" s="155">
        <f ca="1"/>
        <v>4.2975067123675492E-2</v>
      </c>
      <c r="AD363" s="155">
        <f ca="1"/>
        <v>8.4633964320239619E-2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1.5507460436959164E-2</v>
      </c>
      <c r="S364" s="155">
        <f ca="1"/>
        <v>0</v>
      </c>
      <c r="T364" s="155">
        <f ca="1"/>
        <v>4.3893322367295262E-2</v>
      </c>
      <c r="U364" s="155">
        <f ca="1"/>
        <v>8.0887315271878868E-2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1.5999583665622485E-2</v>
      </c>
      <c r="AB364" s="155">
        <f ca="1"/>
        <v>0</v>
      </c>
      <c r="AC364" s="155">
        <f ca="1"/>
        <v>4.4708448236536968E-2</v>
      </c>
      <c r="AD364" s="155">
        <f ca="1"/>
        <v>8.1985107160972515E-2</v>
      </c>
      <c r="AE364" s="138">
        <f ca="1"/>
        <v>0</v>
      </c>
      <c r="AI364" s="135" t="s">
        <v>617</v>
      </c>
      <c r="AM364" s="135" t="s">
        <v>621</v>
      </c>
      <c r="AN364" s="135"/>
      <c r="AQ364" s="135" t="s">
        <v>625</v>
      </c>
      <c r="AR364" s="135"/>
      <c r="AU364" s="135" t="s">
        <v>663</v>
      </c>
      <c r="AV364" s="135"/>
    </row>
    <row r="365" spans="1:53" ht="10.5" customHeight="1">
      <c r="A365" s="96">
        <v>354</v>
      </c>
      <c r="B365" s="68" t="s">
        <v>610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4.9229404604754667E-2</v>
      </c>
      <c r="S365" s="155">
        <f ca="1"/>
        <v>0</v>
      </c>
      <c r="T365" s="155">
        <f ca="1"/>
        <v>0.12026172037182969</v>
      </c>
      <c r="U365" s="155">
        <f ca="1"/>
        <v>0.20886745022260067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4.9704671075941564E-2</v>
      </c>
      <c r="AB365" s="155">
        <f ca="1"/>
        <v>0</v>
      </c>
      <c r="AC365" s="155">
        <f ca="1"/>
        <v>0.12102253165522936</v>
      </c>
      <c r="AD365" s="155">
        <f ca="1"/>
        <v>0.2098394760499408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622</v>
      </c>
      <c r="AN365" s="135">
        <f ca="1">0.00359635/AG366</f>
        <v>0.78057033849393798</v>
      </c>
      <c r="AO365" s="135"/>
      <c r="AP365" s="135"/>
      <c r="AQ365" s="135" t="s">
        <v>622</v>
      </c>
      <c r="AR365" s="135">
        <f ca="1">0.00094748/AG366</f>
        <v>0.20564594222370913</v>
      </c>
      <c r="AU365" s="135" t="s">
        <v>622</v>
      </c>
      <c r="AV365" s="566">
        <f ca="1">AX365/AG366</f>
        <v>14.640061764529777</v>
      </c>
      <c r="AX365" s="571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2.4204036523668315E-2</v>
      </c>
      <c r="S366" s="155">
        <f ca="1"/>
        <v>0</v>
      </c>
      <c r="T366" s="155">
        <f ca="1"/>
        <v>8.4866142772503483E-2</v>
      </c>
      <c r="U366" s="155">
        <f ca="1"/>
        <v>0.17917073968651365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2.4691812551214443E-2</v>
      </c>
      <c r="AB366" s="155">
        <f ca="1"/>
        <v>0</v>
      </c>
      <c r="AC366" s="155">
        <f ca="1"/>
        <v>8.5658095176623261E-2</v>
      </c>
      <c r="AD366" s="155">
        <f ca="1"/>
        <v>0.18018686782323701</v>
      </c>
      <c r="AE366" s="138">
        <f ca="1"/>
        <v>0</v>
      </c>
      <c r="AF366" s="135" t="s">
        <v>618</v>
      </c>
      <c r="AG366" s="135">
        <v>4.6073362292230243E-3</v>
      </c>
      <c r="AK366" s="135"/>
      <c r="AM366" s="135" t="s">
        <v>624</v>
      </c>
      <c r="AN366" s="135">
        <f ca="1">0.00928509/AG367</f>
        <v>1.1634497154520191</v>
      </c>
      <c r="AQ366" s="135" t="s">
        <v>624</v>
      </c>
      <c r="AR366" s="135">
        <f ca="1">0.00224398/AG367</f>
        <v>0.2811774460430671</v>
      </c>
      <c r="AU366" s="135" t="s">
        <v>624</v>
      </c>
      <c r="AV366" s="566">
        <f ca="1">AX366/AG367</f>
        <v>13.956070813439366</v>
      </c>
      <c r="AX366" s="570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3.4465710840594577E-2</v>
      </c>
      <c r="S367" s="155">
        <f ca="1"/>
        <v>0</v>
      </c>
      <c r="T367" s="155">
        <f ca="1"/>
        <v>0.11604165451828896</v>
      </c>
      <c r="U367" s="155">
        <f ca="1"/>
        <v>0.22874763754946503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3.4948357313454581E-2</v>
      </c>
      <c r="AB367" s="155">
        <f ca="1"/>
        <v>0</v>
      </c>
      <c r="AC367" s="155">
        <f ca="1"/>
        <v>0.11681117601162139</v>
      </c>
      <c r="AD367" s="155">
        <f ca="1"/>
        <v>0.22971261523974051</v>
      </c>
      <c r="AE367" s="138">
        <f ca="1"/>
        <v>0</v>
      </c>
      <c r="AF367" s="135" t="s">
        <v>619</v>
      </c>
      <c r="AG367" s="135">
        <v>7.9806543219554538E-3</v>
      </c>
      <c r="AK367" s="135"/>
      <c r="AM367" s="135" t="s">
        <v>623</v>
      </c>
      <c r="AN367" s="135">
        <f ca="1">0.01555165/AG368</f>
        <v>1.6944089896016694</v>
      </c>
      <c r="AQ367" s="135" t="s">
        <v>623</v>
      </c>
      <c r="AR367" s="135">
        <f ca="1">0.00370112/AG368</f>
        <v>0.4032505232303023</v>
      </c>
      <c r="AU367" s="135" t="s">
        <v>664</v>
      </c>
      <c r="AV367" s="566">
        <f ca="1">AX367/AG368</f>
        <v>17.13745523167152</v>
      </c>
      <c r="AX367" s="569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1.1222271275741158E-2</v>
      </c>
      <c r="S368" s="155">
        <f ca="1"/>
        <v>0</v>
      </c>
      <c r="T368" s="155">
        <f ca="1"/>
        <v>2.6548097827580608E-2</v>
      </c>
      <c r="U368" s="155">
        <f ca="1"/>
        <v>5.2069974968931954E-2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1.1716536563515567E-2</v>
      </c>
      <c r="AB368" s="155">
        <f ca="1"/>
        <v>0</v>
      </c>
      <c r="AC368" s="155">
        <f ca="1"/>
        <v>2.7378326984608292E-2</v>
      </c>
      <c r="AD368" s="155">
        <f ca="1"/>
        <v>5.3201732664538759E-2</v>
      </c>
      <c r="AE368" s="138">
        <f ca="1"/>
        <v>0</v>
      </c>
      <c r="AF368" s="135" t="s">
        <v>620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1.0307090103269467E-2</v>
      </c>
      <c r="S369" s="155">
        <f ca="1"/>
        <v>0</v>
      </c>
      <c r="T369" s="155">
        <f ca="1"/>
        <v>2.9215088309296866E-2</v>
      </c>
      <c r="U369" s="155">
        <f ca="1"/>
        <v>6.4549101109108054E-2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1.0801812867214933E-2</v>
      </c>
      <c r="AB369" s="155">
        <f ca="1"/>
        <v>0</v>
      </c>
      <c r="AC369" s="155">
        <f ca="1"/>
        <v>3.0043561366970062E-2</v>
      </c>
      <c r="AD369" s="155">
        <f ca="1"/>
        <v>6.5667454402242642E-2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1.1354395465419387E-2</v>
      </c>
      <c r="S370" s="155">
        <f ca="1"/>
        <v>0</v>
      </c>
      <c r="T370" s="155">
        <f ca="1"/>
        <v>3.6444948996965376E-2</v>
      </c>
      <c r="U370" s="155">
        <f ca="1"/>
        <v>7.4633999268456597E-2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1.1848594707621674E-2</v>
      </c>
      <c r="AB370" s="155">
        <f ca="1"/>
        <v>0</v>
      </c>
      <c r="AC370" s="155">
        <f ca="1"/>
        <v>3.7267309776850444E-2</v>
      </c>
      <c r="AD370" s="155">
        <f ca="1"/>
        <v>7.5740413838545795E-2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3.8479676345931968E-2</v>
      </c>
      <c r="S371" s="155">
        <f ca="1"/>
        <v>0</v>
      </c>
      <c r="T371" s="155">
        <f ca="1"/>
        <v>9.4618876586099909E-2</v>
      </c>
      <c r="U371" s="155">
        <f ca="1"/>
        <v>0.16769011080805518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3.8960316337769751E-2</v>
      </c>
      <c r="AB371" s="155">
        <f ca="1"/>
        <v>0</v>
      </c>
      <c r="AC371" s="155">
        <f ca="1"/>
        <v>9.5399075584805981E-2</v>
      </c>
      <c r="AD371" s="155">
        <f ca="1"/>
        <v>0.16870538888994624</v>
      </c>
      <c r="AE371" s="138">
        <f ca="1"/>
        <v>0</v>
      </c>
      <c r="AG371" s="135"/>
      <c r="AH371" s="516" t="s">
        <v>55</v>
      </c>
      <c r="AI371" s="516" t="s">
        <v>57</v>
      </c>
      <c r="AJ371" s="516" t="s">
        <v>59</v>
      </c>
      <c r="AK371" s="135"/>
      <c r="AL371" s="516" t="s">
        <v>55</v>
      </c>
      <c r="AM371" s="516" t="s">
        <v>57</v>
      </c>
      <c r="AN371" s="516" t="s">
        <v>59</v>
      </c>
      <c r="AP371" s="516" t="s">
        <v>55</v>
      </c>
      <c r="AQ371" s="516" t="s">
        <v>57</v>
      </c>
      <c r="AR371" s="516" t="s">
        <v>59</v>
      </c>
      <c r="AT371" s="516" t="s">
        <v>55</v>
      </c>
      <c r="AU371" s="516" t="s">
        <v>57</v>
      </c>
      <c r="AV371" s="516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1.4469532958460873E-2</v>
      </c>
      <c r="S372" s="155">
        <f ca="1"/>
        <v>0</v>
      </c>
      <c r="T372" s="155">
        <f ca="1"/>
        <v>4.2826970651886009E-2</v>
      </c>
      <c r="U372" s="155">
        <f ca="1"/>
        <v>8.6130956861888541E-2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1.496217502125774E-2</v>
      </c>
      <c r="AB372" s="155">
        <f ca="1"/>
        <v>0</v>
      </c>
      <c r="AC372" s="155">
        <f ca="1"/>
        <v>4.3643207067585954E-2</v>
      </c>
      <c r="AD372" s="155">
        <f ca="1"/>
        <v>8.7222216014336773E-2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6">
        <f t="shared" ref="AP372:AP403" ca="1" si="11">AH372*$AR$365</f>
        <v>6.3544596147126122E-4</v>
      </c>
      <c r="AQ372" s="516">
        <f t="shared" ref="AQ372:AQ403" ca="1" si="12">AI372*$AR$366</f>
        <v>1.2920103645678934E-3</v>
      </c>
      <c r="AR372" s="516">
        <f t="shared" ref="AR372:AR403" ca="1" si="13">AJ372*$AR$367</f>
        <v>2.5469303047225894E-3</v>
      </c>
      <c r="AT372" s="516">
        <f ca="1">AH372*$AV$365</f>
        <v>4.5237790852397007E-2</v>
      </c>
      <c r="AU372" s="516">
        <f ca="1">AI372*$AV$366</f>
        <v>6.4128145387753882E-2</v>
      </c>
      <c r="AV372" s="516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1.1257844876766732E-2</v>
      </c>
      <c r="S373" s="155">
        <f ca="1"/>
        <v>0</v>
      </c>
      <c r="T373" s="155">
        <f ca="1"/>
        <v>2.8695160023747945E-2</v>
      </c>
      <c r="U373" s="155">
        <f ca="1"/>
        <v>5.8722713549100636E-2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1.1752092382104617E-2</v>
      </c>
      <c r="AB373" s="155">
        <f ca="1"/>
        <v>0</v>
      </c>
      <c r="AC373" s="155">
        <f ca="1"/>
        <v>2.9523781453087428E-2</v>
      </c>
      <c r="AD373" s="155">
        <f ca="1"/>
        <v>5.9847283066669421E-2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6">
        <f t="shared" ca="1" si="11"/>
        <v>6.0501036202215228E-4</v>
      </c>
      <c r="AQ373" s="516">
        <f t="shared" ca="1" si="12"/>
        <v>1.3926718902513113E-3</v>
      </c>
      <c r="AR373" s="516">
        <f t="shared" ca="1" si="13"/>
        <v>2.8425129382504007E-3</v>
      </c>
      <c r="AT373" s="516">
        <f t="shared" ref="AT373:AT436" ca="1" si="14">AH373*$AV$365</f>
        <v>4.3071061711246611E-2</v>
      </c>
      <c r="AU373" s="516">
        <f t="shared" ref="AU373:AU436" ca="1" si="15">AI373*$AV$366</f>
        <v>6.9124418738965174E-2</v>
      </c>
      <c r="AV373" s="516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611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2.7284616787490945E-2</v>
      </c>
      <c r="S374" s="155">
        <f ca="1"/>
        <v>0</v>
      </c>
      <c r="T374" s="155">
        <f ca="1"/>
        <v>7.4142986117379572E-2</v>
      </c>
      <c r="U374" s="155">
        <f ca="1"/>
        <v>0.14459611378629522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2.7770852909921762E-2</v>
      </c>
      <c r="AB374" s="155">
        <f ca="1"/>
        <v>0</v>
      </c>
      <c r="AC374" s="155">
        <f ca="1"/>
        <v>7.4914212240113298E-2</v>
      </c>
      <c r="AD374" s="155">
        <f ca="1"/>
        <v>0.14564229868455492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6">
        <f t="shared" ca="1" si="11"/>
        <v>6.2536931030229945E-4</v>
      </c>
      <c r="AQ374" s="516">
        <f t="shared" ca="1" si="12"/>
        <v>1.4505944441361833E-3</v>
      </c>
      <c r="AR374" s="516">
        <f t="shared" ca="1" si="13"/>
        <v>2.7602498315114194E-3</v>
      </c>
      <c r="AT374" s="516">
        <f t="shared" ca="1" si="14"/>
        <v>4.4520427825935051E-2</v>
      </c>
      <c r="AU374" s="516">
        <f t="shared" ca="1" si="15"/>
        <v>7.1999369326533696E-2</v>
      </c>
      <c r="AV374" s="516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1.4819003721465052E-2</v>
      </c>
      <c r="S375" s="155">
        <f ca="1"/>
        <v>0</v>
      </c>
      <c r="T375" s="155">
        <f ca="1"/>
        <v>0.37975514875128735</v>
      </c>
      <c r="U375" s="155">
        <f ca="1"/>
        <v>5.2757825457795948E-2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1.531147109252784E-2</v>
      </c>
      <c r="AB375" s="155">
        <f ca="1"/>
        <v>0</v>
      </c>
      <c r="AC375" s="155">
        <f ca="1"/>
        <v>0.38037666866181319</v>
      </c>
      <c r="AD375" s="155">
        <f ca="1"/>
        <v>5.376113722548248E-2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6">
        <f t="shared" ca="1" si="11"/>
        <v>2.0202657364057183E-3</v>
      </c>
      <c r="AQ375" s="516">
        <f t="shared" ca="1" si="12"/>
        <v>4.1217801815453207E-3</v>
      </c>
      <c r="AR375" s="516">
        <f t="shared" ca="1" si="13"/>
        <v>7.5536888011500224E-3</v>
      </c>
      <c r="AT375" s="516">
        <f t="shared" ca="1" si="14"/>
        <v>0.14382396677474052</v>
      </c>
      <c r="AU375" s="516">
        <f t="shared" ca="1" si="15"/>
        <v>0.20458204205420766</v>
      </c>
      <c r="AV375" s="516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2.615867510797909E-2</v>
      </c>
      <c r="S376" s="155">
        <f ca="1"/>
        <v>0</v>
      </c>
      <c r="T376" s="155">
        <f ca="1"/>
        <v>8.2046607338636668E-2</v>
      </c>
      <c r="U376" s="155">
        <f ca="1"/>
        <v>0.1477243646091887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2.6645474060576158E-2</v>
      </c>
      <c r="AB376" s="155">
        <f ca="1"/>
        <v>0</v>
      </c>
      <c r="AC376" s="155">
        <f ca="1"/>
        <v>8.2839355341082666E-2</v>
      </c>
      <c r="AD376" s="155">
        <f ca="1"/>
        <v>0.14876378355392283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6">
        <f t="shared" ca="1" si="11"/>
        <v>9.8031420658042153E-4</v>
      </c>
      <c r="AQ376" s="516">
        <f t="shared" ca="1" si="12"/>
        <v>2.8280827523011688E-3</v>
      </c>
      <c r="AR376" s="516">
        <f t="shared" ca="1" si="13"/>
        <v>6.2511896111161463E-3</v>
      </c>
      <c r="AT376" s="516">
        <f t="shared" ca="1" si="14"/>
        <v>6.9789174431513459E-2</v>
      </c>
      <c r="AU376" s="516">
        <f t="shared" ca="1" si="15"/>
        <v>0.14037016024157314</v>
      </c>
      <c r="AV376" s="516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2.5968390911871642E-2</v>
      </c>
      <c r="S377" s="155">
        <f ca="1"/>
        <v>0</v>
      </c>
      <c r="T377" s="155">
        <f ca="1"/>
        <v>9.1259383628063295E-2</v>
      </c>
      <c r="U377" s="155">
        <f ca="1"/>
        <v>0.18473510497981982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2.6455284982696559E-2</v>
      </c>
      <c r="AB377" s="155">
        <f ca="1"/>
        <v>0</v>
      </c>
      <c r="AC377" s="155">
        <f ca="1"/>
        <v>9.2046877502162783E-2</v>
      </c>
      <c r="AD377" s="155">
        <f ca="1"/>
        <v>0.18574425855636489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6">
        <f t="shared" ca="1" si="11"/>
        <v>1.4031222637923674E-3</v>
      </c>
      <c r="AQ377" s="516">
        <f t="shared" ca="1" si="12"/>
        <v>3.9151147587036667E-3</v>
      </c>
      <c r="AR377" s="516">
        <f t="shared" ca="1" si="13"/>
        <v>8.1670328469833128E-3</v>
      </c>
      <c r="AT377" s="516">
        <f t="shared" ca="1" si="14"/>
        <v>9.9889141419386679E-2</v>
      </c>
      <c r="AU377" s="516">
        <f t="shared" ca="1" si="15"/>
        <v>0.19432433000632973</v>
      </c>
      <c r="AV377" s="516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7.8166476850183297E-3</v>
      </c>
      <c r="S378" s="155">
        <f ca="1"/>
        <v>0</v>
      </c>
      <c r="T378" s="155">
        <f ca="1"/>
        <v>2.1342326564855796E-2</v>
      </c>
      <c r="U378" s="155">
        <f ca="1"/>
        <v>4.3656950503204728E-2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8.3126153589082596E-3</v>
      </c>
      <c r="AB378" s="155">
        <f ca="1"/>
        <v>0</v>
      </c>
      <c r="AC378" s="155">
        <f ca="1"/>
        <v>2.2177335768421513E-2</v>
      </c>
      <c r="AD378" s="155">
        <f ca="1"/>
        <v>4.4799165941867836E-2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6">
        <f t="shared" ca="1" si="11"/>
        <v>4.5159848912326527E-4</v>
      </c>
      <c r="AQ378" s="516">
        <f t="shared" ca="1" si="12"/>
        <v>8.7643009931624011E-4</v>
      </c>
      <c r="AR378" s="516">
        <f t="shared" ca="1" si="13"/>
        <v>1.7585755318073484E-3</v>
      </c>
      <c r="AT378" s="516">
        <f t="shared" ca="1" si="14"/>
        <v>3.214957563490739E-2</v>
      </c>
      <c r="AU378" s="516">
        <f t="shared" ca="1" si="15"/>
        <v>4.3501072725490503E-2</v>
      </c>
      <c r="AV378" s="516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2.5748016624149161E-2</v>
      </c>
      <c r="S379" s="155">
        <f ca="1"/>
        <v>0</v>
      </c>
      <c r="T379" s="155">
        <f ca="1"/>
        <v>7.4386642481354626E-2</v>
      </c>
      <c r="U379" s="155">
        <f ca="1"/>
        <v>0.15095729156702031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2.6235020854638247E-2</v>
      </c>
      <c r="AB379" s="155">
        <f ca="1"/>
        <v>0</v>
      </c>
      <c r="AC379" s="155">
        <f ca="1"/>
        <v>7.5157665641713667E-2</v>
      </c>
      <c r="AD379" s="155">
        <f ca="1"/>
        <v>0.15199947081321807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6">
        <f t="shared" ca="1" si="11"/>
        <v>4.1458221952299764E-4</v>
      </c>
      <c r="AQ379" s="516">
        <f t="shared" ca="1" si="12"/>
        <v>9.6022097823707415E-4</v>
      </c>
      <c r="AR379" s="516">
        <f t="shared" ca="1" si="13"/>
        <v>2.1706975665487173E-3</v>
      </c>
      <c r="AT379" s="516">
        <f t="shared" ca="1" si="14"/>
        <v>2.951436451729203E-2</v>
      </c>
      <c r="AU379" s="516">
        <f t="shared" ca="1" si="15"/>
        <v>4.7659981827895437E-2</v>
      </c>
      <c r="AV379" s="516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2.0630735432289438E-2</v>
      </c>
      <c r="S380" s="155">
        <f ca="1"/>
        <v>0</v>
      </c>
      <c r="T380" s="155">
        <f ca="1"/>
        <v>6.0673159358574869E-2</v>
      </c>
      <c r="U380" s="155">
        <f ca="1"/>
        <v>0.12530922805311462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2.1120297663804299E-2</v>
      </c>
      <c r="AB380" s="155">
        <f ca="1"/>
        <v>0</v>
      </c>
      <c r="AC380" s="155">
        <f ca="1"/>
        <v>6.145560566123176E-2</v>
      </c>
      <c r="AD380" s="155">
        <f ca="1"/>
        <v>0.12637682392493066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6">
        <f t="shared" ca="1" si="11"/>
        <v>4.569452836210817E-4</v>
      </c>
      <c r="AQ380" s="516">
        <f t="shared" ca="1" si="12"/>
        <v>1.1969723878053368E-3</v>
      </c>
      <c r="AR380" s="516">
        <f t="shared" ca="1" si="13"/>
        <v>2.5223320228055408E-3</v>
      </c>
      <c r="AT380" s="516">
        <f t="shared" ca="1" si="14"/>
        <v>3.2530217240785163E-2</v>
      </c>
      <c r="AU380" s="516">
        <f t="shared" ca="1" si="15"/>
        <v>5.9410993452811388E-2</v>
      </c>
      <c r="AV380" s="516">
        <f t="shared" ca="1" si="16"/>
        <v>0.10719478247410537</v>
      </c>
    </row>
    <row r="381" spans="1:48" ht="10.5" customHeight="1">
      <c r="A381" s="96">
        <v>370</v>
      </c>
      <c r="B381" s="68" t="s">
        <v>612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6.1018553769627282E-3</v>
      </c>
      <c r="S381" s="155">
        <f ca="1"/>
        <v>0</v>
      </c>
      <c r="T381" s="155">
        <f ca="1"/>
        <v>1.637688055042652E-2</v>
      </c>
      <c r="U381" s="155">
        <f ca="1"/>
        <v>3.5121725821787853E-2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6.5986802326500893E-3</v>
      </c>
      <c r="AB381" s="155">
        <f ca="1"/>
        <v>0</v>
      </c>
      <c r="AC381" s="155">
        <f ca="1"/>
        <v>1.7215883387490472E-2</v>
      </c>
      <c r="AD381" s="155">
        <f ca="1"/>
        <v>3.6273552547594234E-2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6">
        <f t="shared" ca="1" si="11"/>
        <v>1.5696954769935719E-3</v>
      </c>
      <c r="AQ381" s="516">
        <f t="shared" ca="1" si="12"/>
        <v>3.2073911270132666E-3</v>
      </c>
      <c r="AR381" s="516">
        <f t="shared" ca="1" si="13"/>
        <v>5.9515744723560313E-3</v>
      </c>
      <c r="AT381" s="516">
        <f t="shared" ca="1" si="14"/>
        <v>0.11174759144865579</v>
      </c>
      <c r="AU381" s="516">
        <f t="shared" ca="1" si="15"/>
        <v>0.15919689976890286</v>
      </c>
      <c r="AV381" s="516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6.1733632015926743E-3</v>
      </c>
      <c r="S382" s="155">
        <f ca="1"/>
        <v>0</v>
      </c>
      <c r="T382" s="155">
        <f ca="1"/>
        <v>1.6949996550136626E-2</v>
      </c>
      <c r="U382" s="155">
        <f ca="1"/>
        <v>3.6922612543384914E-2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6.6701523123828821E-3</v>
      </c>
      <c r="AB382" s="155">
        <f ca="1"/>
        <v>0</v>
      </c>
      <c r="AC382" s="155">
        <f ca="1"/>
        <v>1.7788587923894816E-2</v>
      </c>
      <c r="AD382" s="155">
        <f ca="1"/>
        <v>3.8072622432326231E-2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6">
        <f t="shared" ca="1" si="11"/>
        <v>5.8321189214643912E-4</v>
      </c>
      <c r="AQ382" s="516">
        <f t="shared" ca="1" si="12"/>
        <v>1.4129166663664121E-3</v>
      </c>
      <c r="AR382" s="516">
        <f t="shared" ca="1" si="13"/>
        <v>2.9284052996984555E-3</v>
      </c>
      <c r="AT382" s="516">
        <f t="shared" ca="1" si="14"/>
        <v>4.1519215164206445E-2</v>
      </c>
      <c r="AU382" s="516">
        <f t="shared" ca="1" si="15"/>
        <v>7.0129255837532808E-2</v>
      </c>
      <c r="AV382" s="516">
        <f t="shared" ca="1" si="16"/>
        <v>0.12445219989239859</v>
      </c>
    </row>
    <row r="383" spans="1:48" ht="10.5" customHeight="1">
      <c r="A383" s="96">
        <v>372</v>
      </c>
      <c r="B383" s="68" t="s">
        <v>613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5.7658588327390459E-2</v>
      </c>
      <c r="S383" s="155">
        <f ca="1"/>
        <v>0</v>
      </c>
      <c r="T383" s="155">
        <f ca="1"/>
        <v>0.14073851066659027</v>
      </c>
      <c r="U383" s="155">
        <f ca="1"/>
        <v>0.22952777201265129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5.8129641260129317E-2</v>
      </c>
      <c r="AB383" s="155">
        <f ca="1"/>
        <v>0</v>
      </c>
      <c r="AC383" s="155">
        <f ca="1"/>
        <v>0.14148393936972981</v>
      </c>
      <c r="AD383" s="155">
        <f ca="1"/>
        <v>0.2304744080795349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6">
        <f t="shared" ca="1" si="11"/>
        <v>4.5303801071883121E-4</v>
      </c>
      <c r="AQ383" s="516">
        <f t="shared" ca="1" si="12"/>
        <v>9.4588092848887765E-4</v>
      </c>
      <c r="AR383" s="516">
        <f t="shared" ca="1" si="13"/>
        <v>1.9811698206304751E-3</v>
      </c>
      <c r="AT383" s="516">
        <f t="shared" ca="1" si="14"/>
        <v>3.2252056067259102E-2</v>
      </c>
      <c r="AU383" s="516">
        <f t="shared" ca="1" si="15"/>
        <v>4.6948222216410027E-2</v>
      </c>
      <c r="AV383" s="516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1.7812381523074072E-2</v>
      </c>
      <c r="S384" s="155">
        <f ca="1"/>
        <v>0</v>
      </c>
      <c r="T384" s="155">
        <f ca="1"/>
        <v>5.6950605734372495E-2</v>
      </c>
      <c r="U384" s="155">
        <f ca="1"/>
        <v>0.12266456879275578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1.8303352579376098E-2</v>
      </c>
      <c r="AB384" s="155">
        <f ca="1"/>
        <v>0</v>
      </c>
      <c r="AC384" s="155">
        <f ca="1"/>
        <v>5.7736152872791102E-2</v>
      </c>
      <c r="AD384" s="155">
        <f ca="1"/>
        <v>0.12373658490656858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6">
        <f t="shared" ca="1" si="11"/>
        <v>1.1067864610480025E-3</v>
      </c>
      <c r="AQ384" s="516">
        <f t="shared" ca="1" si="12"/>
        <v>2.4819533162221533E-3</v>
      </c>
      <c r="AR384" s="516">
        <f t="shared" ca="1" si="13"/>
        <v>5.0370022856697063E-3</v>
      </c>
      <c r="AT384" s="516">
        <f t="shared" ca="1" si="14"/>
        <v>7.8792812416699262E-2</v>
      </c>
      <c r="AU384" s="516">
        <f t="shared" ca="1" si="15"/>
        <v>0.12319023707022927</v>
      </c>
      <c r="AV384" s="516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1.4084468133024219E-2</v>
      </c>
      <c r="S385" s="155">
        <f ca="1"/>
        <v>0</v>
      </c>
      <c r="T385" s="155">
        <f ca="1"/>
        <v>4.0976200180874112E-2</v>
      </c>
      <c r="U385" s="155">
        <f ca="1"/>
        <v>8.2173496328661E-2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1.4577302680098159E-2</v>
      </c>
      <c r="AB385" s="155">
        <f ca="1"/>
        <v>0</v>
      </c>
      <c r="AC385" s="155">
        <f ca="1"/>
        <v>4.1794153153985381E-2</v>
      </c>
      <c r="AD385" s="155">
        <f ca="1"/>
        <v>8.3269792877216031E-2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6">
        <f t="shared" ca="1" si="11"/>
        <v>5.9740146215987505E-4</v>
      </c>
      <c r="AQ385" s="516">
        <f t="shared" ca="1" si="12"/>
        <v>1.324064593416803E-2</v>
      </c>
      <c r="AR385" s="516">
        <f t="shared" ca="1" si="13"/>
        <v>2.6707282153542924E-3</v>
      </c>
      <c r="AT385" s="516">
        <f t="shared" ca="1" si="14"/>
        <v>4.2529379425959003E-2</v>
      </c>
      <c r="AU385" s="516">
        <f t="shared" ca="1" si="15"/>
        <v>0.65719137460485977</v>
      </c>
      <c r="AV385" s="516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4.0547297772889124E-2</v>
      </c>
      <c r="S386" s="155">
        <f ca="1"/>
        <v>0</v>
      </c>
      <c r="T386" s="155">
        <f ca="1"/>
        <v>0.10356020906237551</v>
      </c>
      <c r="U386" s="155">
        <f ca="1"/>
        <v>0.17067057685779596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4.1026904212403514E-2</v>
      </c>
      <c r="AB386" s="155">
        <f ca="1"/>
        <v>0</v>
      </c>
      <c r="AC386" s="155">
        <f ca="1"/>
        <v>0.10433436049165201</v>
      </c>
      <c r="AD386" s="155">
        <f ca="1"/>
        <v>0.17167980097784941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6">
        <f t="shared" ca="1" si="11"/>
        <v>1.060516124047668E-3</v>
      </c>
      <c r="AQ386" s="516">
        <f t="shared" ca="1" si="12"/>
        <v>2.7411989214738614E-3</v>
      </c>
      <c r="AR386" s="516">
        <f t="shared" ca="1" si="13"/>
        <v>5.1640262004872513E-3</v>
      </c>
      <c r="AT386" s="516">
        <f t="shared" ca="1" si="14"/>
        <v>7.5498798519680069E-2</v>
      </c>
      <c r="AU386" s="516">
        <f t="shared" ca="1" si="15"/>
        <v>0.13605773436022039</v>
      </c>
      <c r="AV386" s="516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6">
        <f t="shared" ca="1" si="11"/>
        <v>1.0527015782431672E-3</v>
      </c>
      <c r="AQ387" s="516">
        <f t="shared" ca="1" si="12"/>
        <v>3.0476823376608042E-3</v>
      </c>
      <c r="AR387" s="516">
        <f t="shared" ca="1" si="13"/>
        <v>6.4753969020321942E-3</v>
      </c>
      <c r="AT387" s="516">
        <f t="shared" ca="1" si="14"/>
        <v>7.4942476172627934E-2</v>
      </c>
      <c r="AU387" s="516">
        <f t="shared" ca="1" si="15"/>
        <v>0.15126985154686928</v>
      </c>
      <c r="AV387" s="516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6">
        <f t="shared" ca="1" si="11"/>
        <v>3.1402135377560386E-4</v>
      </c>
      <c r="AQ388" s="516">
        <f t="shared" ca="1" si="12"/>
        <v>7.0013184064723715E-4</v>
      </c>
      <c r="AR388" s="516">
        <f t="shared" ca="1" si="13"/>
        <v>1.4637993993259974E-3</v>
      </c>
      <c r="AT388" s="516">
        <f t="shared" ca="1" si="14"/>
        <v>2.235537431443697E-2</v>
      </c>
      <c r="AU388" s="516">
        <f t="shared" ca="1" si="15"/>
        <v>3.4750616325464022E-2</v>
      </c>
      <c r="AV388" s="516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6">
        <f t="shared" ca="1" si="11"/>
        <v>1.0436531567853237E-3</v>
      </c>
      <c r="AQ389" s="516">
        <f t="shared" ca="1" si="12"/>
        <v>2.4847650906825837E-3</v>
      </c>
      <c r="AR389" s="516">
        <f t="shared" ca="1" si="13"/>
        <v>5.2495153114120756E-3</v>
      </c>
      <c r="AT389" s="516">
        <f t="shared" ca="1" si="14"/>
        <v>7.4298313454988621E-2</v>
      </c>
      <c r="AU389" s="516">
        <f t="shared" ca="1" si="15"/>
        <v>0.12332979777836367</v>
      </c>
      <c r="AV389" s="516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6">
        <f t="shared" ca="1" si="11"/>
        <v>8.3409994165936413E-4</v>
      </c>
      <c r="AQ390" s="516">
        <f t="shared" ca="1" si="12"/>
        <v>2.015198755790662E-3</v>
      </c>
      <c r="AR390" s="516">
        <f t="shared" ca="1" si="13"/>
        <v>4.3127643459480829E-3</v>
      </c>
      <c r="AT390" s="516">
        <f t="shared" ca="1" si="14"/>
        <v>5.9380090516932771E-2</v>
      </c>
      <c r="AU390" s="516">
        <f t="shared" ca="1" si="15"/>
        <v>0.10002315951991993</v>
      </c>
      <c r="AV390" s="516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6">
        <f t="shared" ca="1" si="11"/>
        <v>2.4492431718843756E-4</v>
      </c>
      <c r="AQ391" s="516">
        <f t="shared" ca="1" si="12"/>
        <v>5.3648656705017198E-4</v>
      </c>
      <c r="AR391" s="516">
        <f t="shared" ca="1" si="13"/>
        <v>1.1722492710304888E-3</v>
      </c>
      <c r="AT391" s="516">
        <f t="shared" ca="1" si="14"/>
        <v>1.7436313561554964E-2</v>
      </c>
      <c r="AU391" s="516">
        <f t="shared" ca="1" si="15"/>
        <v>2.6628183112042309E-2</v>
      </c>
      <c r="AV391" s="516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6">
        <f t="shared" ca="1" si="11"/>
        <v>2.478033603795695E-4</v>
      </c>
      <c r="AQ392" s="516">
        <f t="shared" ca="1" si="12"/>
        <v>5.5504427848901449E-4</v>
      </c>
      <c r="AR392" s="516">
        <f t="shared" ca="1" si="13"/>
        <v>1.2319303484685734E-3</v>
      </c>
      <c r="AT392" s="516">
        <f t="shared" ca="1" si="14"/>
        <v>1.7641274426258381E-2</v>
      </c>
      <c r="AU392" s="516">
        <f t="shared" ca="1" si="15"/>
        <v>2.7549283785729309E-2</v>
      </c>
      <c r="AV392" s="516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6">
        <f t="shared" ca="1" si="11"/>
        <v>2.3766501542794062E-3</v>
      </c>
      <c r="AQ393" s="516">
        <f t="shared" ca="1" si="12"/>
        <v>4.8657757037752769E-3</v>
      </c>
      <c r="AR393" s="516">
        <f t="shared" ca="1" si="13"/>
        <v>8.4291456870830093E-3</v>
      </c>
      <c r="AT393" s="516">
        <f t="shared" ca="1" si="14"/>
        <v>0.16919519381267062</v>
      </c>
      <c r="AU393" s="516">
        <f t="shared" ca="1" si="15"/>
        <v>0.24150980542656825</v>
      </c>
      <c r="AV393" s="516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6">
        <f t="shared" ca="1" si="11"/>
        <v>7.1914385995631091E-4</v>
      </c>
      <c r="AQ394" s="516">
        <f t="shared" ca="1" si="12"/>
        <v>1.8841700659345928E-3</v>
      </c>
      <c r="AR394" s="516">
        <f t="shared" ca="1" si="13"/>
        <v>4.2018704520597498E-3</v>
      </c>
      <c r="AT394" s="516">
        <f t="shared" ca="1" si="14"/>
        <v>5.1196295990560636E-2</v>
      </c>
      <c r="AU394" s="516">
        <f t="shared" ca="1" si="15"/>
        <v>9.3519630520857197E-2</v>
      </c>
      <c r="AV394" s="516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6">
        <f t="shared" ca="1" si="11"/>
        <v>5.6758280053743719E-4</v>
      </c>
      <c r="AQ395" s="516">
        <f t="shared" ca="1" si="12"/>
        <v>1.3516199831290234E-3</v>
      </c>
      <c r="AR395" s="516">
        <f t="shared" ca="1" si="13"/>
        <v>2.7913001218001525E-3</v>
      </c>
      <c r="AT395" s="516">
        <f t="shared" ca="1" si="14"/>
        <v>4.0406570470102182E-2</v>
      </c>
      <c r="AU395" s="516">
        <f t="shared" ca="1" si="15"/>
        <v>6.7086832400203023E-2</v>
      </c>
      <c r="AV395" s="516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6">
        <f t="shared" ca="1" si="11"/>
        <v>1.6564780646119771E-3</v>
      </c>
      <c r="AQ396" s="516">
        <f t="shared" ca="1" si="12"/>
        <v>3.5172486725527263E-3</v>
      </c>
      <c r="AR396" s="516">
        <f t="shared" ca="1" si="13"/>
        <v>6.0959381596724796E-3</v>
      </c>
      <c r="AT396" s="516">
        <f t="shared" ca="1" si="14"/>
        <v>0.11792569751328735</v>
      </c>
      <c r="AU396" s="516">
        <f t="shared" ca="1" si="15"/>
        <v>0.17457648980531301</v>
      </c>
      <c r="AV396" s="516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6">
        <f t="shared" ca="1" si="11"/>
        <v>7.0577687371176979E-4</v>
      </c>
      <c r="AQ397" s="516">
        <f t="shared" ca="1" si="12"/>
        <v>1.5892149250354153E-3</v>
      </c>
      <c r="AR397" s="516">
        <f t="shared" ca="1" si="13"/>
        <v>3.2485862151433158E-3</v>
      </c>
      <c r="AT397" s="516">
        <f t="shared" ca="1" si="14"/>
        <v>5.0244691975866201E-2</v>
      </c>
      <c r="AU397" s="516">
        <f t="shared" ca="1" si="15"/>
        <v>7.8879712237559296E-2</v>
      </c>
      <c r="AV397" s="516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6">
        <f t="shared" ca="1" si="11"/>
        <v>4.2568710040307784E-4</v>
      </c>
      <c r="AQ398" s="516">
        <f t="shared" ca="1" si="12"/>
        <v>9.2704203960399228E-4</v>
      </c>
      <c r="AR398" s="516">
        <f t="shared" ca="1" si="13"/>
        <v>1.7787380579688634E-3</v>
      </c>
      <c r="AT398" s="516">
        <f t="shared" ca="1" si="14"/>
        <v>3.0304927852576637E-2</v>
      </c>
      <c r="AU398" s="516">
        <f t="shared" ca="1" si="15"/>
        <v>4.6013165471909589E-2</v>
      </c>
      <c r="AV398" s="516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6">
        <f t="shared" ca="1" si="11"/>
        <v>4.8635265335907209E-4</v>
      </c>
      <c r="AQ399" s="516">
        <f t="shared" ca="1" si="12"/>
        <v>9.7006218884858146E-4</v>
      </c>
      <c r="AR399" s="516">
        <f t="shared" ca="1" si="13"/>
        <v>1.878340937206748E-3</v>
      </c>
      <c r="AT399" s="516">
        <f t="shared" ca="1" si="14"/>
        <v>3.4623746073112922E-2</v>
      </c>
      <c r="AU399" s="516">
        <f t="shared" ca="1" si="15"/>
        <v>4.8148444306365813E-2</v>
      </c>
      <c r="AV399" s="516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6">
        <f t="shared" ca="1" si="11"/>
        <v>6.1035715651996871E-4</v>
      </c>
      <c r="AQ400" s="516">
        <f t="shared" ca="1" si="12"/>
        <v>1.3544317575894542E-3</v>
      </c>
      <c r="AR400" s="516">
        <f t="shared" ca="1" si="13"/>
        <v>2.8663047191209885E-3</v>
      </c>
      <c r="AT400" s="516">
        <f t="shared" ca="1" si="14"/>
        <v>4.3451703317124384E-2</v>
      </c>
      <c r="AU400" s="516">
        <f t="shared" ca="1" si="15"/>
        <v>6.7226393108337432E-2</v>
      </c>
      <c r="AV400" s="516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6">
        <f t="shared" ca="1" si="11"/>
        <v>1.0607217699898917E-3</v>
      </c>
      <c r="AQ401" s="516">
        <f t="shared" ca="1" si="12"/>
        <v>2.3011562184164611E-3</v>
      </c>
      <c r="AR401" s="516">
        <f t="shared" ca="1" si="13"/>
        <v>4.2139679677566586E-3</v>
      </c>
      <c r="AT401" s="516">
        <f t="shared" ca="1" si="14"/>
        <v>7.5513438581444589E-2</v>
      </c>
      <c r="AU401" s="516">
        <f t="shared" ca="1" si="15"/>
        <v>0.11421648353718777</v>
      </c>
      <c r="AV401" s="516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6">
        <f t="shared" ca="1" si="11"/>
        <v>1.2106376618709756E-3</v>
      </c>
      <c r="AQ402" s="516">
        <f t="shared" ca="1" si="12"/>
        <v>2.8806629347112225E-3</v>
      </c>
      <c r="AR402" s="516">
        <f t="shared" ca="1" si="13"/>
        <v>5.9838345142144561E-3</v>
      </c>
      <c r="AT402" s="516">
        <f t="shared" ca="1" si="14"/>
        <v>8.6186043607786797E-2</v>
      </c>
      <c r="AU402" s="516">
        <f t="shared" ca="1" si="15"/>
        <v>0.14297994548368631</v>
      </c>
      <c r="AV402" s="516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6">
        <f t="shared" ca="1" si="11"/>
        <v>1.0210321031407159E-3</v>
      </c>
      <c r="AQ403" s="516">
        <f t="shared" ca="1" si="12"/>
        <v>2.2854102814380494E-3</v>
      </c>
      <c r="AR403" s="516">
        <f t="shared" ca="1" si="13"/>
        <v>4.5272936243066038E-3</v>
      </c>
      <c r="AT403" s="516">
        <f t="shared" ca="1" si="14"/>
        <v>7.2687906660890339E-2</v>
      </c>
      <c r="AU403" s="516">
        <f t="shared" ca="1" si="15"/>
        <v>0.11343494357163517</v>
      </c>
      <c r="AV403" s="516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6">
        <f t="shared" ref="AP404:AP435" ca="1" si="20">AH404*$AR$365</f>
        <v>1.387081880298918E-3</v>
      </c>
      <c r="AQ404" s="516">
        <f t="shared" ref="AQ404:AQ435" ca="1" si="21">AI404*$AR$366</f>
        <v>3.3685058035959436E-3</v>
      </c>
      <c r="AR404" s="516">
        <f t="shared" ref="AR404:AR435" ca="1" si="22">AJ404*$AR$367</f>
        <v>6.8250151056728665E-3</v>
      </c>
      <c r="AT404" s="516">
        <f t="shared" ca="1" si="14"/>
        <v>9.8747216601753354E-2</v>
      </c>
      <c r="AU404" s="516">
        <f t="shared" ca="1" si="15"/>
        <v>0.16719372834500359</v>
      </c>
      <c r="AV404" s="516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6">
        <f t="shared" ca="1" si="20"/>
        <v>3.9833619008732457E-4</v>
      </c>
      <c r="AQ405" s="516">
        <f t="shared" ca="1" si="21"/>
        <v>8.7193126017955113E-4</v>
      </c>
      <c r="AR405" s="516">
        <f t="shared" ca="1" si="22"/>
        <v>1.8553556573826209E-3</v>
      </c>
      <c r="AT405" s="516">
        <f t="shared" ca="1" si="14"/>
        <v>2.8357799637894178E-2</v>
      </c>
      <c r="AU405" s="516">
        <f t="shared" ca="1" si="15"/>
        <v>4.3277775592475476E-2</v>
      </c>
      <c r="AV405" s="516">
        <f t="shared" ca="1" si="16"/>
        <v>7.8849431520920665E-2</v>
      </c>
    </row>
    <row r="406" spans="1:48" ht="10.5" customHeight="1">
      <c r="A406" s="96">
        <v>395</v>
      </c>
      <c r="B406" s="68" t="s">
        <v>614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6">
        <f t="shared" ca="1" si="20"/>
        <v>9.8689487673158023E-4</v>
      </c>
      <c r="AQ406" s="516">
        <f t="shared" ca="1" si="21"/>
        <v>2.4597402979847512E-3</v>
      </c>
      <c r="AR406" s="516">
        <f t="shared" ca="1" si="22"/>
        <v>4.8873963415512643E-3</v>
      </c>
      <c r="AT406" s="516">
        <f t="shared" ca="1" si="14"/>
        <v>7.0257656407978403E-2</v>
      </c>
      <c r="AU406" s="516">
        <f t="shared" ca="1" si="15"/>
        <v>0.12208770747596759</v>
      </c>
      <c r="AV406" s="516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6">
        <f t="shared" ca="1" si="20"/>
        <v>8.8345496779305445E-4</v>
      </c>
      <c r="AQ407" s="516">
        <f t="shared" ca="1" si="21"/>
        <v>1.9091948586324257E-3</v>
      </c>
      <c r="AR407" s="516">
        <f t="shared" ca="1" si="22"/>
        <v>4.0284727270707204E-3</v>
      </c>
      <c r="AT407" s="516">
        <f t="shared" ca="1" si="14"/>
        <v>6.2893705340419923E-2</v>
      </c>
      <c r="AU407" s="516">
        <f t="shared" ca="1" si="15"/>
        <v>9.4761720823253293E-2</v>
      </c>
      <c r="AV407" s="516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6">
        <f t="shared" ca="1" si="20"/>
        <v>2.1327540668020875E-3</v>
      </c>
      <c r="AQ408" s="516">
        <f t="shared" ca="1" si="21"/>
        <v>4.6734503306818187E-3</v>
      </c>
      <c r="AR408" s="516">
        <f t="shared" ca="1" si="22"/>
        <v>7.8129788875871079E-3</v>
      </c>
      <c r="AT408" s="516">
        <f t="shared" ca="1" si="14"/>
        <v>0.15183208055993833</v>
      </c>
      <c r="AU408" s="516">
        <f t="shared" ca="1" si="15"/>
        <v>0.23196385299017572</v>
      </c>
      <c r="AV408" s="516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6">
        <f t="shared" ca="1" si="20"/>
        <v>5.2028423382598416E-4</v>
      </c>
      <c r="AQ409" s="516">
        <f t="shared" ca="1" si="21"/>
        <v>1.1162744607909763E-3</v>
      </c>
      <c r="AR409" s="516">
        <f t="shared" ca="1" si="22"/>
        <v>2.2953019782268806E-3</v>
      </c>
      <c r="AT409" s="516">
        <f t="shared" ca="1" si="14"/>
        <v>3.7039356264260338E-2</v>
      </c>
      <c r="AU409" s="516">
        <f t="shared" ca="1" si="15"/>
        <v>5.5405601129354276E-2</v>
      </c>
      <c r="AV409" s="516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6">
        <f t="shared" ca="1" si="20"/>
        <v>8.1127324207253243E-4</v>
      </c>
      <c r="AQ410" s="516">
        <f t="shared" ca="1" si="21"/>
        <v>1.8948548088842292E-3</v>
      </c>
      <c r="AR410" s="516">
        <f t="shared" ca="1" si="22"/>
        <v>3.9369348582974414E-3</v>
      </c>
      <c r="AT410" s="516">
        <f t="shared" ca="1" si="14"/>
        <v>5.7755043661069969E-2</v>
      </c>
      <c r="AU410" s="516">
        <f t="shared" ca="1" si="15"/>
        <v>9.4049961211767896E-2</v>
      </c>
      <c r="AV410" s="516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6">
        <f t="shared" ca="1" si="20"/>
        <v>3.5741264758480646E-4</v>
      </c>
      <c r="AQ411" s="516">
        <f t="shared" ca="1" si="21"/>
        <v>8.3256641773352168E-4</v>
      </c>
      <c r="AR411" s="516">
        <f t="shared" ca="1" si="22"/>
        <v>1.6722799198360635E-3</v>
      </c>
      <c r="AT411" s="516">
        <f t="shared" ca="1" si="14"/>
        <v>2.5444427346752754E-2</v>
      </c>
      <c r="AU411" s="516">
        <f t="shared" ca="1" si="15"/>
        <v>4.1323925678593963E-2</v>
      </c>
      <c r="AV411" s="516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6">
        <f t="shared" ca="1" si="20"/>
        <v>5.9513935679541424E-4</v>
      </c>
      <c r="AQ412" s="516">
        <f t="shared" ca="1" si="21"/>
        <v>1.4171343280570583E-3</v>
      </c>
      <c r="AR412" s="516">
        <f t="shared" ca="1" si="22"/>
        <v>3.0566389660856915E-3</v>
      </c>
      <c r="AT412" s="516">
        <f t="shared" ca="1" si="14"/>
        <v>4.2368338746549175E-2</v>
      </c>
      <c r="AU412" s="516">
        <f t="shared" ca="1" si="15"/>
        <v>7.0338596899734401E-2</v>
      </c>
      <c r="AV412" s="516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6">
        <f t="shared" ca="1" si="20"/>
        <v>2.6939618431305894E-4</v>
      </c>
      <c r="AQ413" s="516">
        <f t="shared" ca="1" si="21"/>
        <v>6.2702570467603966E-4</v>
      </c>
      <c r="AR413" s="516">
        <f t="shared" ca="1" si="22"/>
        <v>1.354115257007355E-3</v>
      </c>
      <c r="AT413" s="516">
        <f t="shared" ca="1" si="14"/>
        <v>1.9178480911534009E-2</v>
      </c>
      <c r="AU413" s="516">
        <f t="shared" ca="1" si="15"/>
        <v>3.112203791396979E-2</v>
      </c>
      <c r="AV413" s="516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6">
        <f t="shared" ca="1" si="20"/>
        <v>4.4727992433656733E-4</v>
      </c>
      <c r="AQ414" s="516">
        <f t="shared" ca="1" si="21"/>
        <v>9.9508698154641452E-4</v>
      </c>
      <c r="AR414" s="516">
        <f t="shared" ca="1" si="22"/>
        <v>1.9420545198771358E-3</v>
      </c>
      <c r="AT414" s="516">
        <f t="shared" ca="1" si="14"/>
        <v>3.1842134337852261E-2</v>
      </c>
      <c r="AU414" s="516">
        <f t="shared" ca="1" si="15"/>
        <v>4.9390534608761916E-2</v>
      </c>
      <c r="AV414" s="516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6">
        <f t="shared" ca="1" si="20"/>
        <v>3.4959810178030549E-4</v>
      </c>
      <c r="AQ415" s="516">
        <f t="shared" ca="1" si="21"/>
        <v>7.4118374776952489E-3</v>
      </c>
      <c r="AR415" s="516">
        <f t="shared" ca="1" si="22"/>
        <v>1.5763062953072517E-3</v>
      </c>
      <c r="AT415" s="516">
        <f t="shared" ca="1" si="14"/>
        <v>2.4888104999700619E-2</v>
      </c>
      <c r="AU415" s="516">
        <f t="shared" ca="1" si="15"/>
        <v>0.36788202664226172</v>
      </c>
      <c r="AV415" s="516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6">
        <f t="shared" ca="1" si="20"/>
        <v>3.6358202585151777E-3</v>
      </c>
      <c r="AQ416" s="516">
        <f t="shared" ca="1" si="21"/>
        <v>7.0792045590263005E-3</v>
      </c>
      <c r="AR416" s="516">
        <f t="shared" ca="1" si="22"/>
        <v>1.2191473068821729E-2</v>
      </c>
      <c r="AT416" s="516">
        <f t="shared" ca="1" si="14"/>
        <v>0.25883629199688646</v>
      </c>
      <c r="AU416" s="516">
        <f t="shared" ca="1" si="15"/>
        <v>0.35137199486996296</v>
      </c>
      <c r="AV416" s="516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6">
        <f t="shared" ca="1" si="20"/>
        <v>3.7592078238494027E-4</v>
      </c>
      <c r="AQ417" s="516">
        <f t="shared" ca="1" si="21"/>
        <v>8.6349593679825901E-4</v>
      </c>
      <c r="AR417" s="516">
        <f t="shared" ca="1" si="22"/>
        <v>1.756962529714427E-3</v>
      </c>
      <c r="AT417" s="516">
        <f t="shared" ca="1" si="14"/>
        <v>2.6762032905560434E-2</v>
      </c>
      <c r="AU417" s="516">
        <f t="shared" ca="1" si="15"/>
        <v>4.285909346807229E-2</v>
      </c>
      <c r="AV417" s="516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6">
        <f t="shared" ca="1" si="20"/>
        <v>2.7515427069532282E-4</v>
      </c>
      <c r="AQ418" s="516">
        <f t="shared" ca="1" si="21"/>
        <v>5.7219610269764148E-4</v>
      </c>
      <c r="AR418" s="516">
        <f t="shared" ca="1" si="22"/>
        <v>1.1464412375437494E-3</v>
      </c>
      <c r="AT418" s="516">
        <f t="shared" ca="1" si="14"/>
        <v>1.9588402640940843E-2</v>
      </c>
      <c r="AU418" s="516">
        <f t="shared" ca="1" si="15"/>
        <v>2.8400604105349107E-2</v>
      </c>
      <c r="AV418" s="516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6">
        <f t="shared" ca="1" si="20"/>
        <v>9.3815678842456109E-4</v>
      </c>
      <c r="AQ419" s="516">
        <f t="shared" ca="1" si="21"/>
        <v>2.1189532333805538E-3</v>
      </c>
      <c r="AR419" s="516">
        <f t="shared" ca="1" si="22"/>
        <v>4.4313199997777922E-3</v>
      </c>
      <c r="AT419" s="516">
        <f t="shared" ca="1" si="14"/>
        <v>6.678796176978484E-2</v>
      </c>
      <c r="AU419" s="516">
        <f t="shared" ca="1" si="15"/>
        <v>0.10517294965007906</v>
      </c>
      <c r="AV419" s="516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6">
        <f t="shared" ca="1" si="20"/>
        <v>5.4681256037284257E-4</v>
      </c>
      <c r="AQ420" s="516">
        <f t="shared" ca="1" si="21"/>
        <v>1.1927547261146906E-3</v>
      </c>
      <c r="AR420" s="516">
        <f t="shared" ca="1" si="22"/>
        <v>2.2819947109602805E-3</v>
      </c>
      <c r="AT420" s="516">
        <f t="shared" ca="1" si="14"/>
        <v>3.8927924231884674E-2</v>
      </c>
      <c r="AU420" s="516">
        <f t="shared" ca="1" si="15"/>
        <v>5.9201652390609795E-2</v>
      </c>
      <c r="AV420" s="516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6">
        <f t="shared" ca="1" si="20"/>
        <v>3.8373532818944124E-4</v>
      </c>
      <c r="AQ421" s="516">
        <f t="shared" ca="1" si="21"/>
        <v>8.5084295172632093E-3</v>
      </c>
      <c r="AR421" s="516">
        <f t="shared" ca="1" si="22"/>
        <v>1.7279284920418453E-3</v>
      </c>
      <c r="AT421" s="516">
        <f t="shared" ca="1" si="14"/>
        <v>2.7318355252612565E-2</v>
      </c>
      <c r="AU421" s="516">
        <f t="shared" ca="1" si="15"/>
        <v>0.4223107028146752</v>
      </c>
      <c r="AV421" s="516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6">
        <f t="shared" ca="1" si="20"/>
        <v>6.4840165583135488E-4</v>
      </c>
      <c r="AQ422" s="516">
        <f t="shared" ca="1" si="21"/>
        <v>1.382549502193761E-3</v>
      </c>
      <c r="AR422" s="516">
        <f t="shared" ca="1" si="22"/>
        <v>2.7533945726165043E-3</v>
      </c>
      <c r="AT422" s="516">
        <f t="shared" ca="1" si="14"/>
        <v>4.6160114743562387E-2</v>
      </c>
      <c r="AU422" s="516">
        <f t="shared" ca="1" si="15"/>
        <v>6.862200018968137E-2</v>
      </c>
      <c r="AV422" s="516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6">
        <f t="shared" ca="1" si="20"/>
        <v>1.398392407121222E-3</v>
      </c>
      <c r="AQ423" s="516">
        <f t="shared" ca="1" si="21"/>
        <v>3.3018667488837368E-3</v>
      </c>
      <c r="AR423" s="516">
        <f t="shared" ca="1" si="22"/>
        <v>6.1798142685043833E-3</v>
      </c>
      <c r="AT423" s="516">
        <f t="shared" ca="1" si="14"/>
        <v>9.9552419998802474E-2</v>
      </c>
      <c r="AU423" s="516">
        <f t="shared" ca="1" si="15"/>
        <v>0.16388613956221848</v>
      </c>
      <c r="AV423" s="516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6">
        <f t="shared" ca="1" si="20"/>
        <v>3.7180786354046612E-4</v>
      </c>
      <c r="AQ424" s="516">
        <f t="shared" ca="1" si="21"/>
        <v>8.5421708107883787E-4</v>
      </c>
      <c r="AR424" s="516">
        <f t="shared" ca="1" si="22"/>
        <v>1.7218797341933909E-3</v>
      </c>
      <c r="AT424" s="516">
        <f t="shared" ca="1" si="14"/>
        <v>2.6469231670269835E-2</v>
      </c>
      <c r="AU424" s="516">
        <f t="shared" ca="1" si="15"/>
        <v>4.2398543131228796E-2</v>
      </c>
      <c r="AV424" s="516">
        <f t="shared" ca="1" si="16"/>
        <v>7.3176933839237401E-2</v>
      </c>
    </row>
    <row r="425" spans="1:48" ht="10.5" customHeight="1">
      <c r="A425" s="96">
        <v>414</v>
      </c>
      <c r="B425" s="68" t="s">
        <v>615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6">
        <f t="shared" ca="1" si="20"/>
        <v>4.0244910893179878E-4</v>
      </c>
      <c r="AQ425" s="516">
        <f t="shared" ca="1" si="21"/>
        <v>7.5946028176232419E-4</v>
      </c>
      <c r="AR425" s="516">
        <f t="shared" ca="1" si="22"/>
        <v>1.5234804767640822E-3</v>
      </c>
      <c r="AT425" s="516">
        <f t="shared" ca="1" si="14"/>
        <v>2.8650600873184773E-2</v>
      </c>
      <c r="AU425" s="516">
        <f t="shared" ca="1" si="15"/>
        <v>3.7695347267099728E-2</v>
      </c>
      <c r="AV425" s="516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6">
        <f t="shared" ca="1" si="20"/>
        <v>4.849131317635061E-4</v>
      </c>
      <c r="AQ426" s="516">
        <f t="shared" ca="1" si="21"/>
        <v>1.3541505801434111E-3</v>
      </c>
      <c r="AR426" s="516">
        <f t="shared" ca="1" si="22"/>
        <v>3.0715592354452126E-3</v>
      </c>
      <c r="AT426" s="516">
        <f t="shared" ca="1" si="14"/>
        <v>3.452126564076121E-2</v>
      </c>
      <c r="AU426" s="516">
        <f t="shared" ca="1" si="15"/>
        <v>6.7212437037523984E-2</v>
      </c>
      <c r="AV426" s="516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6">
        <f t="shared" ca="1" si="20"/>
        <v>4.7134049957674135E-4</v>
      </c>
      <c r="AQ427" s="516">
        <f t="shared" ca="1" si="21"/>
        <v>1.0358577112226592E-3</v>
      </c>
      <c r="AR427" s="516">
        <f t="shared" ca="1" si="22"/>
        <v>2.0456899043473239E-3</v>
      </c>
      <c r="AT427" s="516">
        <f t="shared" ca="1" si="14"/>
        <v>3.3555021564302255E-2</v>
      </c>
      <c r="AU427" s="516">
        <f t="shared" ca="1" si="15"/>
        <v>5.1414164876710626E-2</v>
      </c>
      <c r="AV427" s="516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6">
        <f t="shared" ca="1" si="20"/>
        <v>3.2862221567348719E-4</v>
      </c>
      <c r="AQ428" s="516">
        <f t="shared" ca="1" si="21"/>
        <v>7.3865315075513725E-4</v>
      </c>
      <c r="AR428" s="516">
        <f t="shared" ca="1" si="22"/>
        <v>1.5351747419377608E-3</v>
      </c>
      <c r="AT428" s="516">
        <f t="shared" ca="1" si="14"/>
        <v>2.3394818699718586E-2</v>
      </c>
      <c r="AU428" s="516">
        <f t="shared" ca="1" si="15"/>
        <v>3.6662598026905212E-2</v>
      </c>
      <c r="AV428" s="516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6">
        <f t="shared" ca="1" si="20"/>
        <v>8.3471687948603543E-4</v>
      </c>
      <c r="AQ429" s="516">
        <f t="shared" ca="1" si="21"/>
        <v>1.9550267823374456E-3</v>
      </c>
      <c r="AR429" s="516">
        <f t="shared" ca="1" si="22"/>
        <v>4.0812985456138897E-3</v>
      </c>
      <c r="AT429" s="516">
        <f t="shared" ca="1" si="14"/>
        <v>5.9424010702226367E-2</v>
      </c>
      <c r="AU429" s="516">
        <f t="shared" ca="1" si="15"/>
        <v>9.7036560365843919E-2</v>
      </c>
      <c r="AV429" s="516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6">
        <f t="shared" ca="1" si="20"/>
        <v>6.4038146408463019E-4</v>
      </c>
      <c r="AQ430" s="516">
        <f t="shared" ca="1" si="21"/>
        <v>1.4601544773016474E-3</v>
      </c>
      <c r="AR430" s="516">
        <f t="shared" ca="1" si="22"/>
        <v>3.1199492982328489E-3</v>
      </c>
      <c r="AT430" s="516">
        <f t="shared" ca="1" si="14"/>
        <v>4.5589152334745725E-2</v>
      </c>
      <c r="AU430" s="516">
        <f t="shared" ca="1" si="15"/>
        <v>7.2473875734190618E-2</v>
      </c>
      <c r="AV430" s="516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6">
        <f t="shared" ca="1" si="20"/>
        <v>3.7921111746051962E-4</v>
      </c>
      <c r="AQ431" s="516">
        <f t="shared" ca="1" si="21"/>
        <v>7.3246724694218989E-4</v>
      </c>
      <c r="AR431" s="516">
        <f t="shared" ca="1" si="22"/>
        <v>1.4537181362452398E-3</v>
      </c>
      <c r="AT431" s="516">
        <f t="shared" ca="1" si="14"/>
        <v>2.6996273893792909E-2</v>
      </c>
      <c r="AU431" s="516">
        <f t="shared" ca="1" si="15"/>
        <v>3.6355564469009553E-2</v>
      </c>
      <c r="AV431" s="516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6">
        <f t="shared" ca="1" si="20"/>
        <v>6.0459907013770482E-4</v>
      </c>
      <c r="AQ432" s="516">
        <f t="shared" ca="1" si="21"/>
        <v>1.4446897177692788E-3</v>
      </c>
      <c r="AR432" s="516">
        <f t="shared" ca="1" si="22"/>
        <v>3.0219594210878853E-3</v>
      </c>
      <c r="AT432" s="516">
        <f t="shared" ca="1" si="14"/>
        <v>4.3041781587717542E-2</v>
      </c>
      <c r="AU432" s="516">
        <f t="shared" ca="1" si="15"/>
        <v>7.1706291839451472E-2</v>
      </c>
      <c r="AV432" s="516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6">
        <f t="shared" ca="1" si="20"/>
        <v>7.411479757742477E-4</v>
      </c>
      <c r="AQ433" s="516">
        <f t="shared" ca="1" si="21"/>
        <v>1.7731049747475812E-3</v>
      </c>
      <c r="AR433" s="516">
        <f t="shared" ca="1" si="22"/>
        <v>3.6546594920362297E-3</v>
      </c>
      <c r="AT433" s="516">
        <f t="shared" ca="1" si="14"/>
        <v>5.2762782599365315E-2</v>
      </c>
      <c r="AU433" s="516">
        <f t="shared" ca="1" si="15"/>
        <v>8.800698254954864E-2</v>
      </c>
      <c r="AV433" s="516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6">
        <f t="shared" ca="1" si="20"/>
        <v>4.9828011800804716E-4</v>
      </c>
      <c r="AQ434" s="516">
        <f t="shared" ca="1" si="21"/>
        <v>1.1199297675895364E-3</v>
      </c>
      <c r="AR434" s="516">
        <f t="shared" ca="1" si="22"/>
        <v>2.4211161414747348E-3</v>
      </c>
      <c r="AT434" s="516">
        <f t="shared" ca="1" si="14"/>
        <v>3.5472869655455645E-2</v>
      </c>
      <c r="AU434" s="516">
        <f t="shared" ca="1" si="15"/>
        <v>5.5587030049929001E-2</v>
      </c>
      <c r="AV434" s="516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6">
        <f t="shared" ca="1" si="20"/>
        <v>8.4705563601945801E-4</v>
      </c>
      <c r="AQ435" s="516">
        <f t="shared" ca="1" si="21"/>
        <v>1.7283977608267334E-3</v>
      </c>
      <c r="AR435" s="516">
        <f t="shared" ca="1" si="22"/>
        <v>3.4195644369929635E-3</v>
      </c>
      <c r="AT435" s="516">
        <f t="shared" ca="1" si="14"/>
        <v>6.0302414408098158E-2</v>
      </c>
      <c r="AU435" s="516">
        <f t="shared" ca="1" si="15"/>
        <v>8.5787967290211778E-2</v>
      </c>
      <c r="AV435" s="516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6">
        <f t="shared" ref="AP436:AP466" ca="1" si="26">AH436*$AR$365</f>
        <v>8.4582176036611574E-4</v>
      </c>
      <c r="AQ436" s="516">
        <f t="shared" ref="AQ436:AQ466" ca="1" si="27">AI436*$AR$366</f>
        <v>1.8535217243158982E-3</v>
      </c>
      <c r="AR436" s="516">
        <f t="shared" ref="AR436:AR466" ca="1" si="28">AJ436*$AR$367</f>
        <v>3.7941841730739145E-3</v>
      </c>
      <c r="AT436" s="516">
        <f t="shared" ca="1" si="14"/>
        <v>6.021457403751098E-2</v>
      </c>
      <c r="AU436" s="516">
        <f t="shared" ca="1" si="15"/>
        <v>9.1998418802192297E-2</v>
      </c>
      <c r="AV436" s="516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6">
        <f t="shared" ca="1" si="26"/>
        <v>6.8377275789383279E-4</v>
      </c>
      <c r="AQ437" s="516">
        <f t="shared" ca="1" si="27"/>
        <v>1.7418942782368007E-3</v>
      </c>
      <c r="AR437" s="516">
        <f t="shared" ca="1" si="28"/>
        <v>3.7345030956358297E-3</v>
      </c>
      <c r="AT437" s="516">
        <f t="shared" ref="AT437:AT466" ca="1" si="29">AH437*$AV$365</f>
        <v>4.8678205367061508E-2</v>
      </c>
      <c r="AU437" s="516">
        <f t="shared" ref="AU437:AU466" ca="1" si="30">AI437*$AV$366</f>
        <v>8.6457858689256872E-2</v>
      </c>
      <c r="AV437" s="516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6">
        <f t="shared" ca="1" si="26"/>
        <v>5.5277629269733007E-4</v>
      </c>
      <c r="AQ438" s="516">
        <f t="shared" ca="1" si="27"/>
        <v>1.2557384740283378E-3</v>
      </c>
      <c r="AR438" s="516">
        <f t="shared" ca="1" si="28"/>
        <v>2.4061958721152137E-3</v>
      </c>
      <c r="AT438" s="516">
        <f t="shared" ca="1" si="29"/>
        <v>3.9352486023056042E-2</v>
      </c>
      <c r="AU438" s="516">
        <f t="shared" ca="1" si="30"/>
        <v>6.2327812252820212E-2</v>
      </c>
      <c r="AV438" s="516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6">
        <f t="shared" ca="1" si="26"/>
        <v>7.140027114007181E-4</v>
      </c>
      <c r="AQ439" s="516">
        <f t="shared" ca="1" si="27"/>
        <v>1.5748748752872188E-3</v>
      </c>
      <c r="AR439" s="516">
        <f t="shared" ca="1" si="28"/>
        <v>3.1320468139297577E-3</v>
      </c>
      <c r="AT439" s="516">
        <f t="shared" ca="1" si="29"/>
        <v>5.0830294446447384E-2</v>
      </c>
      <c r="AU439" s="516">
        <f t="shared" ca="1" si="30"/>
        <v>7.8167952626073886E-2</v>
      </c>
      <c r="AV439" s="516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6">
        <f t="shared" ca="1" si="26"/>
        <v>3.6707800686932077E-4</v>
      </c>
      <c r="AQ440" s="516">
        <f t="shared" ca="1" si="27"/>
        <v>7.7492504129469302E-4</v>
      </c>
      <c r="AR440" s="516">
        <f t="shared" ca="1" si="28"/>
        <v>1.5190447210085489E-3</v>
      </c>
      <c r="AT440" s="516">
        <f t="shared" ca="1" si="29"/>
        <v>2.6132510249685652E-2</v>
      </c>
      <c r="AU440" s="516">
        <f t="shared" ca="1" si="30"/>
        <v>3.8462931161838895E-2</v>
      </c>
      <c r="AV440" s="516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6">
        <f t="shared" ca="1" si="26"/>
        <v>5.3303428224385409E-4</v>
      </c>
      <c r="AQ441" s="516">
        <f t="shared" ca="1" si="27"/>
        <v>1.2889174126614197E-3</v>
      </c>
      <c r="AR441" s="516">
        <f t="shared" ca="1" si="28"/>
        <v>2.6058048811142135E-3</v>
      </c>
      <c r="AT441" s="516">
        <f t="shared" ca="1" si="29"/>
        <v>3.7947040093661184E-2</v>
      </c>
      <c r="AU441" s="516">
        <f t="shared" ca="1" si="30"/>
        <v>6.3974628608806053E-2</v>
      </c>
      <c r="AV441" s="516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6">
        <f t="shared" ca="1" si="26"/>
        <v>4.7442518871009697E-4</v>
      </c>
      <c r="AQ442" s="516">
        <f t="shared" ca="1" si="27"/>
        <v>1.0965920395679617E-3</v>
      </c>
      <c r="AR442" s="516">
        <f t="shared" ca="1" si="28"/>
        <v>2.3271587695620748E-3</v>
      </c>
      <c r="AT442" s="516">
        <f t="shared" ca="1" si="29"/>
        <v>3.3774622490770199E-2</v>
      </c>
      <c r="AU442" s="516">
        <f t="shared" ca="1" si="30"/>
        <v>5.4428676172413523E-2</v>
      </c>
      <c r="AV442" s="516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6">
        <f t="shared" ca="1" si="26"/>
        <v>7.713779292811329E-4</v>
      </c>
      <c r="AQ443" s="516">
        <f t="shared" ca="1" si="27"/>
        <v>1.634484493848349E-3</v>
      </c>
      <c r="AR443" s="516">
        <f t="shared" ca="1" si="28"/>
        <v>3.2356821983999455E-3</v>
      </c>
      <c r="AT443" s="516">
        <f t="shared" ca="1" si="29"/>
        <v>5.4914871678751198E-2</v>
      </c>
      <c r="AU443" s="516">
        <f t="shared" ca="1" si="30"/>
        <v>8.1126639638523027E-2</v>
      </c>
      <c r="AV443" s="516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6">
        <f t="shared" ca="1" si="26"/>
        <v>6.1549830507556141E-4</v>
      </c>
      <c r="AQ444" s="516">
        <f t="shared" ca="1" si="27"/>
        <v>1.3257516580930612E-3</v>
      </c>
      <c r="AR444" s="516">
        <f t="shared" ca="1" si="28"/>
        <v>2.6759704721562865E-3</v>
      </c>
      <c r="AT444" s="516">
        <f t="shared" ca="1" si="29"/>
        <v>4.3817704861237622E-2</v>
      </c>
      <c r="AU444" s="516">
        <f t="shared" ca="1" si="30"/>
        <v>6.5802873885366611E-2</v>
      </c>
      <c r="AV444" s="516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6">
        <f t="shared" ca="1" si="26"/>
        <v>8.2299506077928403E-4</v>
      </c>
      <c r="AQ445" s="516">
        <f t="shared" ca="1" si="27"/>
        <v>1.7047788553591159E-3</v>
      </c>
      <c r="AR445" s="516">
        <f t="shared" ca="1" si="28"/>
        <v>3.3800458857163942E-3</v>
      </c>
      <c r="AT445" s="516">
        <f t="shared" ca="1" si="29"/>
        <v>5.8589527181648178E-2</v>
      </c>
      <c r="AU445" s="516">
        <f t="shared" ca="1" si="30"/>
        <v>8.461565734188288E-2</v>
      </c>
      <c r="AV445" s="516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6">
        <f t="shared" ca="1" si="26"/>
        <v>3.985418360295483E-4</v>
      </c>
      <c r="AQ446" s="516">
        <f t="shared" ca="1" si="27"/>
        <v>8.8317835802127385E-4</v>
      </c>
      <c r="AR446" s="516">
        <f t="shared" ca="1" si="28"/>
        <v>1.8976969623218027E-3</v>
      </c>
      <c r="AT446" s="516">
        <f t="shared" ca="1" si="29"/>
        <v>2.8372439699658709E-2</v>
      </c>
      <c r="AU446" s="516">
        <f t="shared" ca="1" si="30"/>
        <v>4.383601842501305E-2</v>
      </c>
      <c r="AV446" s="516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6">
        <f t="shared" ca="1" si="26"/>
        <v>3.6296508802484661E-4</v>
      </c>
      <c r="AQ447" s="516">
        <f t="shared" ca="1" si="27"/>
        <v>8.3650290197812471E-4</v>
      </c>
      <c r="AR447" s="516">
        <f t="shared" ca="1" si="28"/>
        <v>1.7085724669267911E-3</v>
      </c>
      <c r="AT447" s="516">
        <f t="shared" ca="1" si="29"/>
        <v>2.5839709014395057E-2</v>
      </c>
      <c r="AU447" s="516">
        <f t="shared" ca="1" si="30"/>
        <v>4.1519310669982115E-2</v>
      </c>
      <c r="AV447" s="516">
        <f t="shared" ca="1" si="31"/>
        <v>7.2611397816592232E-2</v>
      </c>
    </row>
    <row r="448" spans="1:48" ht="10.5" customHeight="1">
      <c r="A448" s="96">
        <v>437</v>
      </c>
      <c r="B448" s="68" t="s">
        <v>616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6">
        <f t="shared" ca="1" si="26"/>
        <v>5.1576002309706244E-4</v>
      </c>
      <c r="AQ448" s="516">
        <f t="shared" ca="1" si="27"/>
        <v>1.2031582916182842E-3</v>
      </c>
      <c r="AR448" s="516">
        <f t="shared" ca="1" si="28"/>
        <v>2.3719195776406381E-3</v>
      </c>
      <c r="AT448" s="516">
        <f t="shared" ca="1" si="29"/>
        <v>3.6717274905440682E-2</v>
      </c>
      <c r="AU448" s="516">
        <f t="shared" ca="1" si="30"/>
        <v>5.9718027010707046E-2</v>
      </c>
      <c r="AV448" s="516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6">
        <f t="shared" ca="1" si="26"/>
        <v>4.404936082431849E-4</v>
      </c>
      <c r="AQ449" s="516">
        <f t="shared" ca="1" si="27"/>
        <v>9.3716442766154267E-4</v>
      </c>
      <c r="AR449" s="516">
        <f t="shared" ca="1" si="28"/>
        <v>1.9319732567963785E-3</v>
      </c>
      <c r="AT449" s="516">
        <f t="shared" ca="1" si="29"/>
        <v>3.1359012299622784E-2</v>
      </c>
      <c r="AU449" s="516">
        <f t="shared" ca="1" si="30"/>
        <v>4.6515584021193407E-2</v>
      </c>
      <c r="AV449" s="516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6">
        <f t="shared" ca="1" si="26"/>
        <v>7.7713601566339679E-4</v>
      </c>
      <c r="AQ450" s="516">
        <f t="shared" ca="1" si="27"/>
        <v>2.0652483411863279E-3</v>
      </c>
      <c r="AR450" s="516">
        <f t="shared" ca="1" si="28"/>
        <v>4.1405763725287439E-3</v>
      </c>
      <c r="AT450" s="516">
        <f t="shared" ca="1" si="29"/>
        <v>5.5324793408158025E-2</v>
      </c>
      <c r="AU450" s="516">
        <f t="shared" ca="1" si="30"/>
        <v>0.10250734012471215</v>
      </c>
      <c r="AV450" s="516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6">
        <f t="shared" ca="1" si="26"/>
        <v>4.3946537853206642E-4</v>
      </c>
      <c r="AQ451" s="516">
        <f t="shared" ca="1" si="27"/>
        <v>9.0286077924428847E-4</v>
      </c>
      <c r="AR451" s="516">
        <f t="shared" ca="1" si="28"/>
        <v>1.8565654089523116E-3</v>
      </c>
      <c r="AT451" s="516">
        <f t="shared" ca="1" si="29"/>
        <v>3.1285811990800133E-2</v>
      </c>
      <c r="AU451" s="516">
        <f t="shared" ca="1" si="30"/>
        <v>4.4812943381953803E-2</v>
      </c>
      <c r="AV451" s="516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6">
        <f t="shared" ca="1" si="26"/>
        <v>1.0259676057540849E-3</v>
      </c>
      <c r="AQ452" s="516">
        <f t="shared" ca="1" si="27"/>
        <v>2.8398922050349778E-3</v>
      </c>
      <c r="AR452" s="516">
        <f t="shared" ca="1" si="28"/>
        <v>5.9439127124146559E-3</v>
      </c>
      <c r="AT452" s="516">
        <f t="shared" ca="1" si="29"/>
        <v>7.3039268143239064E-2</v>
      </c>
      <c r="AU452" s="516">
        <f t="shared" ca="1" si="30"/>
        <v>0.14095631521573759</v>
      </c>
      <c r="AV452" s="516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6">
        <f t="shared" ca="1" si="26"/>
        <v>5.5935696284848888E-4</v>
      </c>
      <c r="AQ453" s="516">
        <f t="shared" ca="1" si="27"/>
        <v>1.299320978165013E-3</v>
      </c>
      <c r="AR453" s="516">
        <f t="shared" ca="1" si="28"/>
        <v>2.7892838691840013E-3</v>
      </c>
      <c r="AT453" s="516">
        <f t="shared" ca="1" si="29"/>
        <v>3.9820967999520999E-2</v>
      </c>
      <c r="AU453" s="516">
        <f t="shared" ca="1" si="30"/>
        <v>6.4491003228903318E-2</v>
      </c>
      <c r="AV453" s="516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6">
        <f t="shared" ca="1" si="26"/>
        <v>3.6049733671816213E-4</v>
      </c>
      <c r="AQ454" s="516">
        <f t="shared" ca="1" si="27"/>
        <v>8.7193126017955113E-4</v>
      </c>
      <c r="AR454" s="516">
        <f t="shared" ca="1" si="28"/>
        <v>1.8763246845905966E-3</v>
      </c>
      <c r="AT454" s="516">
        <f t="shared" ca="1" si="29"/>
        <v>2.5664028273220701E-2</v>
      </c>
      <c r="AU454" s="516">
        <f t="shared" ca="1" si="30"/>
        <v>4.3277775592475476E-2</v>
      </c>
      <c r="AV454" s="516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6">
        <f t="shared" ca="1" si="26"/>
        <v>6.3914758843128803E-4</v>
      </c>
      <c r="AQ455" s="516">
        <f t="shared" ca="1" si="27"/>
        <v>1.5231382252152944E-3</v>
      </c>
      <c r="AR455" s="516">
        <f t="shared" ca="1" si="28"/>
        <v>3.2578609771776123E-3</v>
      </c>
      <c r="AT455" s="516">
        <f t="shared" ca="1" si="29"/>
        <v>4.5501311964158547E-2</v>
      </c>
      <c r="AU455" s="516">
        <f t="shared" ca="1" si="30"/>
        <v>7.560003559640105E-2</v>
      </c>
      <c r="AV455" s="516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6">
        <f t="shared" ca="1" si="26"/>
        <v>5.1185275019481201E-4</v>
      </c>
      <c r="AQ456" s="516">
        <f t="shared" ca="1" si="27"/>
        <v>1.2748585403592663E-3</v>
      </c>
      <c r="AR456" s="516">
        <f t="shared" ca="1" si="28"/>
        <v>2.7723473472083282E-3</v>
      </c>
      <c r="AT456" s="516">
        <f t="shared" ca="1" si="29"/>
        <v>3.6439113731914614E-2</v>
      </c>
      <c r="AU456" s="516">
        <f t="shared" ca="1" si="30"/>
        <v>6.3276825068134077E-2</v>
      </c>
      <c r="AV456" s="516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6">
        <f t="shared" ca="1" si="26"/>
        <v>1.9655639157742121E-3</v>
      </c>
      <c r="AQ457" s="516">
        <f t="shared" ca="1" si="27"/>
        <v>4.4603178265811734E-3</v>
      </c>
      <c r="AR457" s="516">
        <f t="shared" ca="1" si="28"/>
        <v>7.9601653285661673E-3</v>
      </c>
      <c r="AT457" s="516">
        <f t="shared" ca="1" si="29"/>
        <v>0.13992971034537563</v>
      </c>
      <c r="AU457" s="516">
        <f t="shared" ca="1" si="30"/>
        <v>0.22138515131358866</v>
      </c>
      <c r="AV457" s="516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6">
        <f t="shared" ca="1" si="26"/>
        <v>1.6204900247228279E-4</v>
      </c>
      <c r="AQ458" s="516">
        <f t="shared" ca="1" si="27"/>
        <v>3.8380721384878656E-4</v>
      </c>
      <c r="AR458" s="516">
        <f t="shared" ca="1" si="28"/>
        <v>1.0355473436554164E-3</v>
      </c>
      <c r="AT458" s="516">
        <f t="shared" ca="1" si="29"/>
        <v>1.1536368670449463E-2</v>
      </c>
      <c r="AU458" s="516">
        <f t="shared" ca="1" si="30"/>
        <v>1.9050036660344733E-2</v>
      </c>
      <c r="AV458" s="516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6">
        <f t="shared" ca="1" si="26"/>
        <v>3.827070984783227E-4</v>
      </c>
      <c r="AQ459" s="516">
        <f t="shared" ca="1" si="27"/>
        <v>8.6349593679825901E-4</v>
      </c>
      <c r="AR459" s="516">
        <f t="shared" ca="1" si="28"/>
        <v>1.7964810809909966E-3</v>
      </c>
      <c r="AT459" s="516">
        <f t="shared" ca="1" si="29"/>
        <v>2.7245154943789915E-2</v>
      </c>
      <c r="AU459" s="516">
        <f t="shared" ca="1" si="30"/>
        <v>4.285909346807229E-2</v>
      </c>
      <c r="AV459" s="516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6">
        <f t="shared" ca="1" si="26"/>
        <v>7.970836720590966E-4</v>
      </c>
      <c r="AQ460" s="516">
        <f t="shared" ca="1" si="27"/>
        <v>1.8822018238122912E-3</v>
      </c>
      <c r="AR460" s="516">
        <f t="shared" ca="1" si="28"/>
        <v>4.0615392699756047E-3</v>
      </c>
      <c r="AT460" s="516">
        <f t="shared" ca="1" si="29"/>
        <v>5.6744879399317417E-2</v>
      </c>
      <c r="AU460" s="516">
        <f t="shared" ca="1" si="30"/>
        <v>9.3421938025163118E-2</v>
      </c>
      <c r="AV460" s="516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6">
        <f t="shared" ca="1" si="26"/>
        <v>2.6898489242861153E-4</v>
      </c>
      <c r="AQ461" s="516">
        <f t="shared" ca="1" si="27"/>
        <v>6.4895754546739892E-4</v>
      </c>
      <c r="AR461" s="516">
        <f t="shared" ca="1" si="28"/>
        <v>1.4690416561279913E-3</v>
      </c>
      <c r="AT461" s="516">
        <f t="shared" ca="1" si="29"/>
        <v>1.9149200788004948E-2</v>
      </c>
      <c r="AU461" s="516">
        <f t="shared" ca="1" si="30"/>
        <v>3.221061143741806E-2</v>
      </c>
      <c r="AV461" s="516">
        <f t="shared" ca="1" si="31"/>
        <v>6.2431749408979345E-2</v>
      </c>
    </row>
    <row r="462" spans="1:48" ht="10.5" customHeight="1" thickBot="1">
      <c r="A462" s="326"/>
      <c r="B462" s="74"/>
      <c r="C462" s="509"/>
      <c r="D462" s="75"/>
      <c r="E462" s="510"/>
      <c r="F462" s="511"/>
      <c r="G462" s="511"/>
      <c r="H462" s="511"/>
      <c r="I462" s="511"/>
      <c r="J462" s="511"/>
      <c r="K462" s="511"/>
      <c r="L462" s="511"/>
      <c r="M462" s="511"/>
      <c r="N462" s="512"/>
      <c r="O462" s="513"/>
      <c r="P462" s="513"/>
      <c r="Q462" s="513"/>
      <c r="R462" s="513"/>
      <c r="S462" s="513"/>
      <c r="T462" s="513"/>
      <c r="U462" s="513"/>
      <c r="V462" s="514"/>
      <c r="W462" s="512"/>
      <c r="X462" s="513"/>
      <c r="Y462" s="513"/>
      <c r="Z462" s="513"/>
      <c r="AA462" s="513"/>
      <c r="AB462" s="513"/>
      <c r="AC462" s="513"/>
      <c r="AD462" s="513"/>
      <c r="AE462" s="514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6">
        <f t="shared" ca="1" si="26"/>
        <v>3.1833991856230169E-4</v>
      </c>
      <c r="AQ462" s="516">
        <f t="shared" ca="1" si="27"/>
        <v>7.2122014910046717E-4</v>
      </c>
      <c r="AR462" s="516">
        <f t="shared" ca="1" si="28"/>
        <v>1.4492823804897065E-3</v>
      </c>
      <c r="AT462" s="516">
        <f t="shared" ca="1" si="29"/>
        <v>2.2662815611492092E-2</v>
      </c>
      <c r="AU462" s="516">
        <f t="shared" ca="1" si="30"/>
        <v>3.5797321636471972E-2</v>
      </c>
      <c r="AV462" s="516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6">
        <f t="shared" ca="1" si="26"/>
        <v>3.3026738321127687E-4</v>
      </c>
      <c r="AQ463" s="516">
        <f t="shared" ca="1" si="27"/>
        <v>7.5018142604290293E-4</v>
      </c>
      <c r="AR463" s="516">
        <f t="shared" ca="1" si="28"/>
        <v>1.6029208298404519E-3</v>
      </c>
      <c r="AT463" s="516">
        <f t="shared" ca="1" si="29"/>
        <v>2.3511939193834822E-2</v>
      </c>
      <c r="AU463" s="516">
        <f t="shared" ca="1" si="30"/>
        <v>3.7234796930256227E-2</v>
      </c>
      <c r="AV463" s="516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6">
        <f t="shared" ca="1" si="26"/>
        <v>6.2372414276450983E-4</v>
      </c>
      <c r="AQ464" s="516">
        <f t="shared" ca="1" si="27"/>
        <v>1.5608160029850656E-3</v>
      </c>
      <c r="AR464" s="516">
        <f t="shared" ca="1" si="28"/>
        <v>3.4171449338535821E-3</v>
      </c>
      <c r="AT464" s="516">
        <f t="shared" ca="1" si="29"/>
        <v>4.4403307331818818E-2</v>
      </c>
      <c r="AU464" s="516">
        <f t="shared" ca="1" si="30"/>
        <v>7.7470149085401924E-2</v>
      </c>
      <c r="AV464" s="516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6">
        <f t="shared" ca="1" si="26"/>
        <v>7.691158239166721E-4</v>
      </c>
      <c r="AQ465" s="516">
        <f t="shared" ca="1" si="27"/>
        <v>1.8625194025892763E-3</v>
      </c>
      <c r="AR465" s="516">
        <f t="shared" ca="1" si="28"/>
        <v>3.7466006113327389E-3</v>
      </c>
      <c r="AT465" s="516">
        <f t="shared" ca="1" si="29"/>
        <v>5.4753830999341363E-2</v>
      </c>
      <c r="AU465" s="516">
        <f t="shared" ca="1" si="30"/>
        <v>9.2445013068222351E-2</v>
      </c>
      <c r="AV465" s="516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6">
        <f t="shared" ca="1" si="26"/>
        <v>7.911199397346091E-4</v>
      </c>
      <c r="AQ466" s="516">
        <f t="shared" ca="1" si="27"/>
        <v>1.8166874788842565E-3</v>
      </c>
      <c r="AR466" s="516">
        <f t="shared" ca="1" si="28"/>
        <v>3.6058661787253632E-3</v>
      </c>
      <c r="AT466" s="516">
        <f t="shared" ca="1" si="29"/>
        <v>5.6320317608146056E-2</v>
      </c>
      <c r="AU466" s="516">
        <f t="shared" ca="1" si="30"/>
        <v>9.0170173525631739E-2</v>
      </c>
      <c r="AV466" s="516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127000</xdr:rowOff>
                  </from>
                  <to>
                    <xdr:col>45</xdr:col>
                    <xdr:colOff>298450</xdr:colOff>
                    <xdr:row>364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53125" defaultRowHeight="14.5"/>
  <sheetData>
    <row r="2" spans="2:11">
      <c r="J2" s="257"/>
      <c r="K2" s="168"/>
    </row>
    <row r="3" spans="2:11">
      <c r="J3" s="257"/>
    </row>
    <row r="5" spans="2:11" ht="15" thickBot="1"/>
    <row r="6" spans="2:11" ht="15" thickBot="1">
      <c r="B6" s="172" t="s">
        <v>423</v>
      </c>
      <c r="C6" s="178" t="b">
        <v>1</v>
      </c>
      <c r="H6" s="173" t="s">
        <v>424</v>
      </c>
      <c r="I6" s="662">
        <v>1</v>
      </c>
      <c r="J6" s="663"/>
      <c r="K6" s="664"/>
    </row>
    <row r="7" spans="2:11" ht="15" thickBot="1">
      <c r="D7" s="162"/>
      <c r="H7" s="174" t="s">
        <v>425</v>
      </c>
      <c r="I7" s="665" t="str" cm="1">
        <f t="array" aca="1" ref="I7" ca="1">GetGetCDSName(I6)</f>
        <v>ABNAMRO_MMR.EUR.SU</v>
      </c>
      <c r="J7" s="666"/>
      <c r="K7" s="667"/>
    </row>
    <row r="8" spans="2:11" ht="15" thickBot="1"/>
    <row r="9" spans="2:11" ht="1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165100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zoomScaleNormal="100" workbookViewId="0">
      <selection activeCell="F14" sqref="F14"/>
    </sheetView>
  </sheetViews>
  <sheetFormatPr defaultColWidth="11.453125" defaultRowHeight="14.5"/>
  <cols>
    <col min="2" max="2" width="17.54296875" bestFit="1" customWidth="1"/>
    <col min="3" max="3" width="20.54296875" bestFit="1" customWidth="1"/>
    <col min="6" max="6" width="19.7265625" customWidth="1"/>
    <col min="7" max="7" width="17.54296875" customWidth="1"/>
    <col min="8" max="9" width="20.81640625" bestFit="1" customWidth="1"/>
    <col min="10" max="10" width="14.81640625" hidden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670" t="s">
        <v>456</v>
      </c>
      <c r="D3" s="671"/>
      <c r="E3" s="672"/>
    </row>
    <row r="4" spans="2:11">
      <c r="C4" s="673"/>
      <c r="D4" s="674"/>
      <c r="E4" s="675"/>
    </row>
    <row r="5" spans="2:11" ht="15" thickBot="1">
      <c r="C5" s="676"/>
      <c r="D5" s="677"/>
      <c r="E5" s="678"/>
      <c r="G5" s="461"/>
    </row>
    <row r="6" spans="2:11" ht="15" thickBot="1"/>
    <row r="7" spans="2:11" ht="16" thickBot="1">
      <c r="B7" s="668" t="s">
        <v>454</v>
      </c>
      <c r="C7" s="669"/>
      <c r="D7" s="79"/>
      <c r="E7" s="668" t="s">
        <v>455</v>
      </c>
      <c r="F7" s="669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670</v>
      </c>
      <c r="D10" s="79"/>
      <c r="E10" s="200" t="s">
        <v>433</v>
      </c>
      <c r="F10" s="204">
        <f ca="1">GetConvertDate(CDSRollDate,C10)</f>
        <v>47107</v>
      </c>
      <c r="I10" s="79"/>
      <c r="J10" s="79"/>
      <c r="K10" s="79"/>
    </row>
    <row r="11" spans="2:11" ht="1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7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IF(NOT($F$9),"",getcds(C9,C10,C11,C12,C13,C19,C20,C21,C15,C16,C17,C23,C24,C26,C28:C30,C32,))</f>
        <v>-2.6041823985600999E-2</v>
      </c>
      <c r="G15" s="251">
        <f ca="1"/>
        <v>-2.6041823985600999E-2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14">
        <v>0</v>
      </c>
      <c r="E16" s="217" t="s">
        <v>436</v>
      </c>
      <c r="F16" s="446">
        <f ca="1"/>
        <v>1.8794275406482298E-2</v>
      </c>
      <c r="G16" s="252">
        <f ca="1"/>
        <v>1.8794275406482298E-2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" thickBot="1">
      <c r="B17" s="201" t="s">
        <v>439</v>
      </c>
      <c r="C17" s="188">
        <v>0</v>
      </c>
      <c r="E17" s="217" t="s">
        <v>438</v>
      </c>
      <c r="F17" s="446">
        <f ca="1"/>
        <v>4.4836099392083301E-2</v>
      </c>
      <c r="G17" s="252">
        <f ca="1"/>
        <v>4.4836099392083301E-2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" thickBot="1">
      <c r="B18" s="194"/>
      <c r="C18" s="79"/>
      <c r="E18" s="217" t="s">
        <v>440</v>
      </c>
      <c r="F18" s="460">
        <f ca="1"/>
        <v>4.1917730715443999E-3</v>
      </c>
      <c r="G18" s="252">
        <f ca="1"/>
        <v>4.1917730715443999E-3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4.4836099392083302</v>
      </c>
      <c r="G19" s="253">
        <f ca="1"/>
        <v>4.4836099392083302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" thickBot="1">
      <c r="B20" s="200" t="s">
        <v>444</v>
      </c>
      <c r="C20" s="69" t="s">
        <v>445</v>
      </c>
      <c r="E20" s="217" t="s">
        <v>443</v>
      </c>
      <c r="F20" s="258" t="str">
        <f ca="1"/>
        <v>00:00:00.0312487</v>
      </c>
      <c r="G20" s="254" t="str">
        <f ca="1"/>
        <v>00:00:00.0312487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" thickBot="1">
      <c r="B22" s="194"/>
      <c r="C22" s="79"/>
      <c r="E22" s="219"/>
      <c r="F22" s="458">
        <f ca="1"/>
        <v>4.7852212557556503E-4</v>
      </c>
      <c r="G22" s="255">
        <f ca="1"/>
        <v>4.6847205146545402E-4</v>
      </c>
      <c r="H22" s="256">
        <f ca="1"/>
        <v>1.02145287873348</v>
      </c>
      <c r="I22" s="255">
        <f ca="1"/>
        <v>1.02145287873348</v>
      </c>
      <c r="J22" s="255">
        <f ca="1"/>
        <v>-1.8794275406482298E-2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" thickBot="1">
      <c r="B24" s="201" t="s">
        <v>448</v>
      </c>
      <c r="C24" s="190" t="b">
        <v>1</v>
      </c>
    </row>
    <row r="25" spans="2:11" ht="15" thickBot="1">
      <c r="B25" s="195"/>
      <c r="C25" s="85"/>
      <c r="D25" s="191"/>
      <c r="E25" s="168"/>
      <c r="F25" s="502"/>
      <c r="H25" s="617"/>
    </row>
    <row r="26" spans="2:11" ht="15" thickBot="1">
      <c r="B26" s="172" t="s">
        <v>449</v>
      </c>
      <c r="C26" s="189" t="b">
        <v>1</v>
      </c>
      <c r="D26" s="85"/>
      <c r="F26" s="615"/>
      <c r="G26" s="615"/>
      <c r="I26" s="615"/>
    </row>
    <row r="27" spans="2:11" ht="15" thickBot="1">
      <c r="B27" s="197" t="s">
        <v>450</v>
      </c>
      <c r="C27" s="211"/>
      <c r="D27" s="85"/>
      <c r="F27" s="615"/>
      <c r="G27" s="615"/>
      <c r="H27" s="616"/>
      <c r="I27" s="615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" thickBot="1">
      <c r="B30" s="198" t="s">
        <v>448</v>
      </c>
      <c r="C30" s="193" t="b">
        <v>1</v>
      </c>
      <c r="D30" s="85"/>
    </row>
    <row r="31" spans="2:11" ht="15" thickBot="1">
      <c r="B31" s="196"/>
      <c r="C31" s="79"/>
      <c r="D31" s="85"/>
    </row>
    <row r="32" spans="2:11" ht="1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12700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opLeftCell="J1" zoomScale="115" zoomScaleNormal="115" workbookViewId="0">
      <selection activeCell="T15" sqref="T15"/>
    </sheetView>
  </sheetViews>
  <sheetFormatPr defaultColWidth="11.453125" defaultRowHeight="10"/>
  <cols>
    <col min="1" max="1" width="3.1796875" style="220" customWidth="1"/>
    <col min="2" max="2" width="17.1796875" style="220" customWidth="1"/>
    <col min="3" max="3" width="20" style="221" customWidth="1"/>
    <col min="4" max="4" width="15.26953125" style="221" bestFit="1" customWidth="1"/>
    <col min="5" max="5" width="15" style="221" bestFit="1" customWidth="1"/>
    <col min="6" max="6" width="7.453125" style="221" customWidth="1"/>
    <col min="7" max="7" width="9.7265625" style="221" customWidth="1"/>
    <col min="8" max="8" width="11.26953125" style="221" customWidth="1"/>
    <col min="9" max="10" width="13.1796875" style="220" customWidth="1"/>
    <col min="11" max="11" width="18.54296875" style="220" customWidth="1"/>
    <col min="12" max="12" width="18.453125" style="220" customWidth="1"/>
    <col min="13" max="13" width="13.1796875" style="220" customWidth="1"/>
    <col min="14" max="14" width="27.54296875" style="220" customWidth="1"/>
    <col min="15" max="16" width="13.1796875" style="220" customWidth="1"/>
    <col min="17" max="18" width="19.26953125" style="220" customWidth="1"/>
    <col min="19" max="29" width="13.1796875" style="220" customWidth="1"/>
    <col min="30" max="30" width="11.453125" style="220"/>
    <col min="31" max="31" width="13.1796875" style="220" customWidth="1"/>
    <col min="32" max="32" width="13.54296875" style="220" customWidth="1"/>
    <col min="33" max="33" width="12.7265625" style="220" customWidth="1"/>
    <col min="34" max="34" width="13.54296875" style="220" customWidth="1"/>
    <col min="35" max="35" width="12.453125" style="220" customWidth="1"/>
    <col min="36" max="36" width="13" style="220" customWidth="1"/>
    <col min="37" max="37" width="11.453125" style="220" customWidth="1"/>
    <col min="38" max="39" width="11.453125" style="220"/>
    <col min="40" max="40" width="25.1796875" style="220" customWidth="1"/>
    <col min="41" max="50" width="9.7265625" style="220" customWidth="1"/>
    <col min="51" max="16384" width="11.453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D3" s="221">
        <v>46376</v>
      </c>
      <c r="N3" s="472"/>
      <c r="O3" s="472"/>
      <c r="P3" s="472"/>
    </row>
    <row r="4" spans="1:32" ht="10.5" thickBot="1">
      <c r="N4" s="473"/>
      <c r="O4" s="472"/>
      <c r="P4" s="472"/>
    </row>
    <row r="5" spans="1:32" ht="11" thickBot="1">
      <c r="B5" s="261" t="s">
        <v>47</v>
      </c>
      <c r="C5" s="222">
        <f ca="1">[0]!Parameter_Date</f>
        <v>45261</v>
      </c>
      <c r="D5" s="221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1</v>
      </c>
      <c r="N5" s="472"/>
      <c r="O5" s="472"/>
      <c r="P5" s="472"/>
    </row>
    <row r="6" spans="1:32" ht="11" thickBot="1">
      <c r="B6" s="261" t="s">
        <v>432</v>
      </c>
      <c r="C6" s="222">
        <v>47107</v>
      </c>
      <c r="F6" s="394"/>
      <c r="K6" s="260" t="s">
        <v>509</v>
      </c>
      <c r="L6" s="140" t="b">
        <v>0</v>
      </c>
      <c r="N6" s="472"/>
      <c r="O6" s="472"/>
      <c r="P6" s="472"/>
    </row>
    <row r="7" spans="1:32" customFormat="1" ht="15" thickBot="1">
      <c r="A7" s="220"/>
      <c r="B7" s="261" t="s">
        <v>457</v>
      </c>
      <c r="C7" s="223">
        <v>47107</v>
      </c>
      <c r="D7" s="470" cm="1">
        <f t="array" aca="1" ref="D7" ca="1">GetConvertDate([0]!CDSRollDate,C6)</f>
        <v>47107</v>
      </c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4.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R109" ca="1">IF(NOT($I$5),"",getcdo(C6,C19:C20,C21:C22,G39:G338,C8,C17,C39:C338,D39:D338,C12,C13,C14,C15,C9,C10,E39:E338,F39:F338,C24,C25,C27,L5,L6,C29:C31,C36,C33,,C34,))</f>
        <v>-2.7540253408779201</v>
      </c>
      <c r="J8" s="611">
        <f ca="1"/>
        <v>-3.1295742509976403E-2</v>
      </c>
      <c r="K8" s="398" t="str">
        <f ca="1"/>
        <v/>
      </c>
      <c r="L8" s="398">
        <f ca="1"/>
        <v>0</v>
      </c>
      <c r="M8" s="399">
        <f ca="1"/>
        <v>0</v>
      </c>
      <c r="N8" s="399">
        <f ca="1"/>
        <v>0</v>
      </c>
      <c r="O8" s="399" t="str">
        <f ca="1"/>
        <v/>
      </c>
      <c r="P8" s="399" t="str">
        <f ca="1"/>
        <v/>
      </c>
      <c r="Q8" s="399" t="str">
        <f ca="1"/>
        <v/>
      </c>
      <c r="R8" s="438" t="str">
        <f ca="1"/>
        <v/>
      </c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1.2252714391452399</v>
      </c>
      <c r="J9" s="391">
        <f ca="1"/>
        <v>1.3923539081195899E-2</v>
      </c>
      <c r="K9" s="400" t="str">
        <f ca="1"/>
        <v/>
      </c>
      <c r="L9" s="400">
        <f ca="1"/>
        <v>0</v>
      </c>
      <c r="M9" s="323">
        <f ca="1"/>
        <v>0</v>
      </c>
      <c r="N9" s="685">
        <f ca="1"/>
        <v>0</v>
      </c>
      <c r="O9" s="323" t="str">
        <f ca="1"/>
        <v/>
      </c>
      <c r="P9" s="323" t="str">
        <f ca="1"/>
        <v/>
      </c>
      <c r="Q9" s="323" t="str">
        <f ca="1"/>
        <v/>
      </c>
      <c r="R9" s="439" t="str">
        <f ca="1"/>
        <v/>
      </c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3.97929678002316</v>
      </c>
      <c r="J10" s="391">
        <f ca="1"/>
        <v>4.5219281591172299E-2</v>
      </c>
      <c r="K10" s="400" t="str">
        <f ca="1"/>
        <v/>
      </c>
      <c r="L10" s="400">
        <f ca="1"/>
        <v>0</v>
      </c>
      <c r="M10" s="323">
        <f ca="1"/>
        <v>0</v>
      </c>
      <c r="N10" s="685">
        <f ca="1"/>
        <v>0</v>
      </c>
      <c r="O10" s="323" t="str">
        <f ca="1"/>
        <v/>
      </c>
      <c r="P10" s="323" t="str">
        <f ca="1"/>
        <v/>
      </c>
      <c r="Q10" s="323" t="str">
        <f ca="1"/>
        <v/>
      </c>
      <c r="R10" s="439" t="str">
        <f ca="1"/>
        <v/>
      </c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" thickBot="1">
      <c r="A11" s="220"/>
      <c r="B11" s="220"/>
      <c r="C11" s="220"/>
      <c r="D11" s="221"/>
      <c r="E11" s="221"/>
      <c r="F11" s="221"/>
      <c r="H11" s="377" t="s">
        <v>440</v>
      </c>
      <c r="I11" s="612">
        <f ca="1"/>
        <v>3.0791154992418201E-3</v>
      </c>
      <c r="J11" s="393">
        <f ca="1"/>
        <v>3.0791154992418201E-3</v>
      </c>
      <c r="K11" s="400" t="str">
        <f ca="1"/>
        <v/>
      </c>
      <c r="L11" s="400">
        <f ca="1"/>
        <v>0</v>
      </c>
      <c r="M11" s="323">
        <f ca="1"/>
        <v>0</v>
      </c>
      <c r="N11" s="685">
        <f ca="1"/>
        <v>0</v>
      </c>
      <c r="O11" s="323" t="str">
        <f ca="1"/>
        <v/>
      </c>
      <c r="P11" s="323" t="str">
        <f ca="1"/>
        <v/>
      </c>
      <c r="Q11" s="323" t="str">
        <f ca="1"/>
        <v/>
      </c>
      <c r="R11" s="439" t="str">
        <f ca="1"/>
        <v/>
      </c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-2.2702550661590087E-2</v>
      </c>
      <c r="AA11" s="79"/>
      <c r="AB11" s="465" t="s">
        <v>505</v>
      </c>
      <c r="AC11" s="423">
        <f ca="1">SUM(AC15:AC314)</f>
        <v>-8.2370052680575323E-4</v>
      </c>
    </row>
    <row r="12" spans="1:32" customFormat="1" ht="1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4.5219281591172296</v>
      </c>
      <c r="J12" s="394">
        <f ca="1"/>
        <v>4.5219281591172296</v>
      </c>
      <c r="K12" s="400" t="str">
        <f ca="1"/>
        <v/>
      </c>
      <c r="L12" s="400">
        <f ca="1"/>
        <v>0</v>
      </c>
      <c r="M12" s="323">
        <f ca="1"/>
        <v>0</v>
      </c>
      <c r="N12" s="685">
        <f ca="1"/>
        <v>0</v>
      </c>
      <c r="O12" s="323" t="str">
        <f ca="1"/>
        <v/>
      </c>
      <c r="P12" s="323" t="str">
        <f ca="1"/>
        <v/>
      </c>
      <c r="Q12" s="323" t="str">
        <f ca="1"/>
        <v/>
      </c>
      <c r="R12" s="439" t="str">
        <f ca="1"/>
        <v/>
      </c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-5.3998293171566486E-2</v>
      </c>
      <c r="AA12" s="79"/>
      <c r="AB12" s="465" t="s">
        <v>498</v>
      </c>
      <c r="AC12" s="407">
        <f ca="1">$J$8+AC11</f>
        <v>-3.2119443036782158E-2</v>
      </c>
    </row>
    <row r="13" spans="1:32" customFormat="1" ht="1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00:00:15.4833496</v>
      </c>
      <c r="J13" s="395" t="str">
        <f ca="1"/>
        <v>00:00:15.4833496</v>
      </c>
      <c r="K13" s="401" t="str">
        <f ca="1"/>
        <v>Leverage=</v>
      </c>
      <c r="L13" s="402">
        <f ca="1"/>
        <v>0.66984323721942995</v>
      </c>
      <c r="M13" s="323">
        <f ca="1"/>
        <v>0</v>
      </c>
      <c r="N13" s="685">
        <f ca="1"/>
        <v>0</v>
      </c>
      <c r="O13" s="323" t="str">
        <f ca="1"/>
        <v/>
      </c>
      <c r="P13" s="445" t="str">
        <f ca="1"/>
        <v>Leverage=</v>
      </c>
      <c r="Q13" s="444">
        <f ca="1"/>
        <v>0.115821086324921</v>
      </c>
      <c r="R13" s="439" t="str">
        <f ca="1"/>
        <v/>
      </c>
      <c r="S13" s="435"/>
      <c r="T13" s="278" t="s">
        <v>499</v>
      </c>
      <c r="U13" s="408">
        <f ca="1">L13</f>
        <v>0.66984323721942995</v>
      </c>
      <c r="V13" s="409"/>
      <c r="W13" s="79"/>
      <c r="X13" s="79"/>
      <c r="Y13" s="465" t="s">
        <v>500</v>
      </c>
      <c r="Z13" s="410">
        <f ca="1">Z12*(C20-C21)</f>
        <v>-5.3566306826193957</v>
      </c>
      <c r="AA13" s="79"/>
      <c r="AB13" s="465" t="s">
        <v>500</v>
      </c>
      <c r="AC13" s="411">
        <f ca="1">AC12*(C20-C21)</f>
        <v>-3.1862487492487901</v>
      </c>
      <c r="AD13" s="220"/>
    </row>
    <row r="14" spans="1:32" customFormat="1" ht="14.5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686" t="str">
        <f ca="1"/>
        <v>Name</v>
      </c>
      <c r="O14" s="396" t="str">
        <f ca="1"/>
        <v>Jump to Default</v>
      </c>
      <c r="P14" s="396" t="str">
        <f ca="1"/>
        <v>dHedge JTD</v>
      </c>
      <c r="Q14" s="396" t="str">
        <f ca="1"/>
        <v>delta not. (Hedge Crncy)</v>
      </c>
      <c r="R14" s="440" t="str">
        <f ca="1"/>
        <v>delta not. (Product CCY)</v>
      </c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" thickBot="1">
      <c r="A15" s="220"/>
      <c r="B15" s="263" t="s">
        <v>462</v>
      </c>
      <c r="C15" s="564"/>
      <c r="D15" s="221"/>
      <c r="E15" s="221"/>
      <c r="F15" s="221"/>
      <c r="G15" s="221"/>
      <c r="H15" s="377">
        <v>1</v>
      </c>
      <c r="I15" s="403">
        <f ca="1"/>
        <v>3.3032268759862802E-4</v>
      </c>
      <c r="J15" s="403">
        <f ca="1"/>
        <v>4.75990550649197E-4</v>
      </c>
      <c r="K15" s="403">
        <f ca="1"/>
        <v>0.69396900242684501</v>
      </c>
      <c r="L15" s="403">
        <f ca="1"/>
        <v>0.69396900242684501</v>
      </c>
      <c r="M15" s="403">
        <f ca="1"/>
        <v>4.0966234813958599E-4</v>
      </c>
      <c r="N15" s="687" t="str">
        <f ca="1"/>
        <v>AIRBUS SE</v>
      </c>
      <c r="O15" s="403">
        <f ca="1"/>
        <v>8.5827356732360194E-2</v>
      </c>
      <c r="P15" s="403">
        <f ca="1"/>
        <v>0.77321745535682795</v>
      </c>
      <c r="Q15" s="403">
        <f ca="1"/>
        <v>0.111000283474915</v>
      </c>
      <c r="R15" s="441">
        <f ca="1"/>
        <v>0.111000283474915</v>
      </c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-2.4439426691398401E-2</v>
      </c>
      <c r="U15" s="413">
        <f ca="1"/>
        <v>2.2693922751052701E-2</v>
      </c>
      <c r="V15" s="413">
        <f ca="1"/>
        <v>4.7133349442451102E-2</v>
      </c>
      <c r="W15" s="414">
        <f ca="1"/>
        <v>4.8148334500949502E-3</v>
      </c>
      <c r="X15" s="415">
        <f ca="1"/>
        <v>4.7133349442450996</v>
      </c>
      <c r="Y15" s="416">
        <f ca="1">IF($U$12,IF(T15="","",$U$13*D39/$C$18),"")</f>
        <v>7.0509814444150443E-3</v>
      </c>
      <c r="Z15" s="417">
        <f ca="1">IF($U$12,IF(Y15="","",Y15*($Z$10-W15)*X15),"")</f>
        <v>-1.6001442821866118E-4</v>
      </c>
      <c r="AA15" s="416">
        <f ca="1">IF($U$12,IF(OR(T15="",L15=""),"",L15/($C$20-$C$19)),"")</f>
        <v>7.8860113912141479E-3</v>
      </c>
      <c r="AB15" s="418">
        <f ca="1">IF($U$12,IF(W15="","",W15*$AC$10),"")</f>
        <v>4.574091777590202E-3</v>
      </c>
      <c r="AC15" s="417">
        <f ca="1">IF($U$12,IF(AA15="","",AA15*(AB15-W15)*X15),"")</f>
        <v>-8.9482266663068056E-6</v>
      </c>
      <c r="AD15" s="220"/>
      <c r="AE15" s="220">
        <f ca="1">X15*W15</f>
        <v>7.1744360935801802E-3</v>
      </c>
      <c r="AF15" s="220">
        <f ca="1">SUM(AE15:AE109)/SUM(X15:X109)</f>
        <v>3.9979186630963864E-3</v>
      </c>
    </row>
    <row r="16" spans="1:32" customFormat="1" ht="1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3.1527553875149801E-4</v>
      </c>
      <c r="J16" s="403">
        <f ca="1"/>
        <v>4.7459805705665097E-4</v>
      </c>
      <c r="K16" s="403">
        <f ca="1"/>
        <v>0.66430010419082897</v>
      </c>
      <c r="L16" s="403">
        <f ca="1"/>
        <v>0.66430010419082897</v>
      </c>
      <c r="M16" s="403">
        <f ca="1"/>
        <v>4.3250460093167498E-4</v>
      </c>
      <c r="N16" s="687" t="str">
        <f ca="1"/>
        <v>AKTIEBOLAGET VOLVO</v>
      </c>
      <c r="O16" s="403">
        <f ca="1"/>
        <v>8.4573642758010201E-2</v>
      </c>
      <c r="P16" s="403">
        <f ca="1"/>
        <v>0.77153806622633203</v>
      </c>
      <c r="Q16" s="403">
        <f ca="1"/>
        <v>0.10961694109490699</v>
      </c>
      <c r="R16" s="441">
        <f ca="1"/>
        <v>0.10961694109490699</v>
      </c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-2.26716486592973E-2</v>
      </c>
      <c r="U16" s="413">
        <f ca="1"/>
        <v>2.44569507286936E-2</v>
      </c>
      <c r="V16" s="413">
        <f ca="1"/>
        <v>4.7128599387990897E-2</v>
      </c>
      <c r="W16" s="414">
        <f ca="1"/>
        <v>5.1894075033610196E-3</v>
      </c>
      <c r="X16" s="415">
        <f ca="1"/>
        <v>4.7128599387990899</v>
      </c>
      <c r="Y16" s="416">
        <f ca="1">IF($U$12,IF(T16="","",$U$13*D40/$C$18),"")</f>
        <v>7.0509814444150443E-3</v>
      </c>
      <c r="Z16" s="417">
        <f ca="1">IF($U$12,IF(Y16="","",Y16*($Z$10-W16)*X16),"")</f>
        <v>-1.7244550577499124E-4</v>
      </c>
      <c r="AA16" s="416">
        <f t="shared" ref="AA16:AA79" ca="1" si="0">IF($U$12,IF(OR(T16="",L16=""),"",L16/($C$20-$C$19)),"")</f>
        <v>7.5488648203503291E-3</v>
      </c>
      <c r="AB16" s="418">
        <f t="shared" ref="AB16:AB79" ca="1" si="1">IF($U$12,IF(W16="","",W16*$AC$10),"")</f>
        <v>4.9299371281929681E-3</v>
      </c>
      <c r="AC16" s="417">
        <f ca="1">IF($U$12,IF(AA16="","",AA16*(AB16-W16)*X16),"")</f>
        <v>-9.2311107484438224E-6</v>
      </c>
      <c r="AD16" s="220"/>
      <c r="AE16" s="220">
        <f ca="1">X16*W16</f>
        <v>6.832663503179179E-3</v>
      </c>
      <c r="AF16" s="220"/>
    </row>
    <row r="17" spans="1:31" customFormat="1" ht="14.5">
      <c r="A17" s="220"/>
      <c r="B17" s="261" t="s">
        <v>463</v>
      </c>
      <c r="C17" s="228">
        <f ca="1">COUNTA(C39:C338)</f>
        <v>95</v>
      </c>
      <c r="D17" s="221"/>
      <c r="E17" s="636">
        <f ca="1">-0.6*K15+T15*K15</f>
        <v>-0.43334160601702071</v>
      </c>
      <c r="F17" s="515"/>
      <c r="G17" s="221"/>
      <c r="H17" s="377">
        <v>3</v>
      </c>
      <c r="I17" s="403">
        <f ca="1"/>
        <v>3.2438824379472198E-4</v>
      </c>
      <c r="J17" s="403">
        <f ca="1"/>
        <v>4.73697559576069E-4</v>
      </c>
      <c r="K17" s="403">
        <f ca="1"/>
        <v>0.68480032720673101</v>
      </c>
      <c r="L17" s="403">
        <f ca="1"/>
        <v>0.68480032720673101</v>
      </c>
      <c r="M17" s="403">
        <f ca="1"/>
        <v>6.1247901478131102E-4</v>
      </c>
      <c r="N17" s="687" t="str">
        <f ca="1"/>
        <v>AKZO NOBEL N.V.</v>
      </c>
      <c r="O17" s="403">
        <f ca="1"/>
        <v>8.3878208123509906E-2</v>
      </c>
      <c r="P17" s="403">
        <f ca="1"/>
        <v>0.77056188278315196</v>
      </c>
      <c r="Q17" s="403">
        <f ca="1"/>
        <v>0.10885330561713601</v>
      </c>
      <c r="R17" s="441">
        <f ca="1"/>
        <v>0.10885330561713601</v>
      </c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-2.1644087140160199E-2</v>
      </c>
      <c r="U17" s="413">
        <f ca="1"/>
        <v>2.5459272485494101E-2</v>
      </c>
      <c r="V17" s="413">
        <f ca="1"/>
        <v>4.7103359625654297E-2</v>
      </c>
      <c r="W17" s="414">
        <f ca="1"/>
        <v>5.4049801729276203E-3</v>
      </c>
      <c r="X17" s="415">
        <f ca="1"/>
        <v>4.7103359625654297</v>
      </c>
      <c r="Y17" s="416">
        <f ca="1">IF($U$12,IF(T17="","",$U$13*D41/$C$18),"")</f>
        <v>7.0509814444150443E-3</v>
      </c>
      <c r="Z17" s="417">
        <f t="shared" ref="Z17:Z79" ca="1" si="2">IF($U$12,IF(Y17="","",Y17*($Z$10-W17)*X17),"")</f>
        <v>-1.7951285788352528E-4</v>
      </c>
      <c r="AA17" s="416">
        <f t="shared" ca="1" si="0"/>
        <v>7.7818219000764886E-3</v>
      </c>
      <c r="AB17" s="418">
        <f t="shared" ca="1" si="1"/>
        <v>5.1347311642812388E-3</v>
      </c>
      <c r="AC17" s="417">
        <f t="shared" ref="AC17:AC79" ca="1" si="3">IF($U$12,IF(AA17="","",AA17*(AB17-W17)*X17),"")</f>
        <v>-9.9059762093816511E-6</v>
      </c>
      <c r="AD17" s="220"/>
      <c r="AE17" s="220">
        <f t="shared" ref="AE17:AE79" ca="1" si="4">X17*W17</f>
        <v>7.0613021977608461E-3</v>
      </c>
    </row>
    <row r="18" spans="1:31" customFormat="1" ht="14.5">
      <c r="A18" s="220"/>
      <c r="B18" s="262" t="s">
        <v>464</v>
      </c>
      <c r="C18" s="229">
        <f ca="1">SUM(OFFSET(D38,1,0,C17))</f>
        <v>100.00000000000011</v>
      </c>
      <c r="D18" s="221"/>
      <c r="E18" s="570"/>
      <c r="F18" s="221"/>
      <c r="G18" s="230"/>
      <c r="H18" s="377">
        <v>4</v>
      </c>
      <c r="I18" s="403">
        <f ca="1"/>
        <v>1.0440926732725201E-4</v>
      </c>
      <c r="J18" s="403">
        <f ca="1"/>
        <v>4.43396785031926E-4</v>
      </c>
      <c r="K18" s="403">
        <f ca="1"/>
        <v>0.23547592326302999</v>
      </c>
      <c r="L18" s="403">
        <f ca="1"/>
        <v>0.23547592326302999</v>
      </c>
      <c r="M18" s="403">
        <f ca="1"/>
        <v>8.3447512884763601E-4</v>
      </c>
      <c r="N18" s="687" t="str">
        <f ca="1"/>
        <v>ALSTOM</v>
      </c>
      <c r="O18" s="403">
        <f ca="1"/>
        <v>6.3876343653499895E-2</v>
      </c>
      <c r="P18" s="403">
        <f ca="1"/>
        <v>0.72689375318795602</v>
      </c>
      <c r="Q18" s="403">
        <f ca="1"/>
        <v>8.7875763649578498E-2</v>
      </c>
      <c r="R18" s="441">
        <f ca="1"/>
        <v>8.7875763649578498E-2</v>
      </c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2.4322365065309898E-2</v>
      </c>
      <c r="U18" s="413">
        <f ca="1"/>
        <v>7.00192712306828E-2</v>
      </c>
      <c r="V18" s="413">
        <f ca="1"/>
        <v>4.5696906165372898E-2</v>
      </c>
      <c r="W18" s="414">
        <f ca="1"/>
        <v>1.5322540869022801E-2</v>
      </c>
      <c r="X18" s="415">
        <f ca="1"/>
        <v>4.5696906165372901</v>
      </c>
      <c r="Y18" s="416">
        <f t="shared" ref="Y18:Y79" ca="1" si="5">IF($U$12,IF(T18="","",$U$13*D42/$C$18),"")</f>
        <v>7.0509814444150443E-3</v>
      </c>
      <c r="Z18" s="417">
        <f t="shared" ca="1" si="2"/>
        <v>-4.9370458219900729E-4</v>
      </c>
      <c r="AA18" s="416">
        <f t="shared" ca="1" si="0"/>
        <v>2.6758627643526135E-3</v>
      </c>
      <c r="AB18" s="418">
        <f t="shared" ca="1" si="1"/>
        <v>1.455641382557166E-2</v>
      </c>
      <c r="AC18" s="417">
        <f t="shared" ca="1" si="3"/>
        <v>-9.3680980336644949E-6</v>
      </c>
      <c r="AD18" s="220"/>
      <c r="AE18" s="220">
        <f t="shared" ca="1" si="4"/>
        <v>2.2514912477741966E-2</v>
      </c>
    </row>
    <row r="19" spans="1:31" customFormat="1" ht="14.5">
      <c r="A19" s="220"/>
      <c r="B19" s="262" t="s">
        <v>465</v>
      </c>
      <c r="C19" s="231">
        <v>12</v>
      </c>
      <c r="D19" s="221"/>
      <c r="E19" s="613"/>
      <c r="F19" s="221"/>
      <c r="G19" s="233"/>
      <c r="H19" s="377">
        <v>5</v>
      </c>
      <c r="I19" s="403">
        <f ca="1"/>
        <v>1.8740712698376999E-4</v>
      </c>
      <c r="J19" s="403">
        <f ca="1"/>
        <v>4.6093560779138801E-4</v>
      </c>
      <c r="K19" s="403">
        <f ca="1"/>
        <v>0.40657984285863102</v>
      </c>
      <c r="L19" s="403">
        <f ca="1"/>
        <v>0.40657984285863102</v>
      </c>
      <c r="M19" s="403">
        <f ca="1"/>
        <v>9.63912229818034E-4</v>
      </c>
      <c r="N19" s="687" t="str">
        <f ca="1"/>
        <v>ANGLO AMERICAN PLC</v>
      </c>
      <c r="O19" s="403">
        <f ca="1"/>
        <v>7.1030339698470196E-2</v>
      </c>
      <c r="P19" s="403">
        <f ca="1"/>
        <v>0.74768857182176895</v>
      </c>
      <c r="Q19" s="403">
        <f ca="1"/>
        <v>9.4999900192940398E-2</v>
      </c>
      <c r="R19" s="441">
        <f ca="1"/>
        <v>9.4999900192940398E-2</v>
      </c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2.4330822928746998E-3</v>
      </c>
      <c r="U19" s="413">
        <f ca="1"/>
        <v>4.9016098509539897E-2</v>
      </c>
      <c r="V19" s="413">
        <f ca="1"/>
        <v>4.6583016216665198E-2</v>
      </c>
      <c r="W19" s="414">
        <f ca="1"/>
        <v>1.0522311024592799E-2</v>
      </c>
      <c r="X19" s="415">
        <f ca="1"/>
        <v>4.6583016216665198</v>
      </c>
      <c r="Y19" s="416">
        <f t="shared" ca="1" si="5"/>
        <v>7.0509814444150443E-3</v>
      </c>
      <c r="Z19" s="417">
        <f t="shared" ca="1" si="2"/>
        <v>-3.456116010683874E-4</v>
      </c>
      <c r="AA19" s="416">
        <f t="shared" ca="1" si="0"/>
        <v>4.6202254870298977E-3</v>
      </c>
      <c r="AB19" s="418">
        <f t="shared" ca="1" si="1"/>
        <v>9.9961954733631588E-3</v>
      </c>
      <c r="AC19" s="417">
        <f t="shared" ca="1" si="3"/>
        <v>-1.1323271380427292E-5</v>
      </c>
      <c r="AD19" s="220"/>
      <c r="AE19" s="220">
        <f t="shared" ca="1" si="4"/>
        <v>1.1034181550254405E-2</v>
      </c>
    </row>
    <row r="20" spans="1:31" customFormat="1" ht="14.5">
      <c r="A20" s="220"/>
      <c r="B20" s="262" t="s">
        <v>466</v>
      </c>
      <c r="C20" s="231">
        <v>100</v>
      </c>
      <c r="D20" s="232"/>
      <c r="E20" s="403"/>
      <c r="F20" s="221"/>
      <c r="G20" s="233"/>
      <c r="H20" s="377">
        <v>6</v>
      </c>
      <c r="I20" s="403">
        <f ca="1"/>
        <v>1.21031936153075E-4</v>
      </c>
      <c r="J20" s="403">
        <f ca="1"/>
        <v>4.4851326362933098E-4</v>
      </c>
      <c r="K20" s="403">
        <f ca="1"/>
        <v>0.26985140901674798</v>
      </c>
      <c r="L20" s="403">
        <f ca="1"/>
        <v>0.26985140901674798</v>
      </c>
      <c r="M20" s="403">
        <f ca="1"/>
        <v>9.8013792336213508E-4</v>
      </c>
      <c r="N20" s="687" t="str">
        <f ca="1"/>
        <v>ARCELORMITTAL</v>
      </c>
      <c r="O20" s="403">
        <f ca="1"/>
        <v>6.4707421129119896E-2</v>
      </c>
      <c r="P20" s="403">
        <f ca="1"/>
        <v>0.73006498023562505</v>
      </c>
      <c r="Q20" s="403">
        <f ca="1"/>
        <v>8.8632413389060097E-2</v>
      </c>
      <c r="R20" s="441">
        <f ca="1"/>
        <v>8.8632413389060097E-2</v>
      </c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2.09842313309208E-2</v>
      </c>
      <c r="U20" s="413">
        <f ca="1"/>
        <v>6.7078604133845393E-2</v>
      </c>
      <c r="V20" s="413">
        <f ca="1"/>
        <v>4.6094372802924603E-2</v>
      </c>
      <c r="W20" s="414">
        <f ca="1"/>
        <v>1.45524496928591E-2</v>
      </c>
      <c r="X20" s="415">
        <f ca="1"/>
        <v>4.6094372802924601</v>
      </c>
      <c r="Y20" s="416">
        <f t="shared" ca="1" si="5"/>
        <v>7.0509814444150443E-3</v>
      </c>
      <c r="Z20" s="417">
        <f t="shared" ca="1" si="2"/>
        <v>-4.7296999306500545E-4</v>
      </c>
      <c r="AA20" s="416">
        <f t="shared" ca="1" si="0"/>
        <v>3.066493284281227E-3</v>
      </c>
      <c r="AB20" s="418">
        <f t="shared" ca="1" si="1"/>
        <v>1.3824827208216145E-2</v>
      </c>
      <c r="AC20" s="417">
        <f t="shared" ca="1" si="3"/>
        <v>-1.0284804454769778E-5</v>
      </c>
      <c r="AD20" s="220"/>
      <c r="AE20" s="220">
        <f t="shared" ca="1" si="4"/>
        <v>1.5734153358332083E-2</v>
      </c>
    </row>
    <row r="21" spans="1:31" customFormat="1" ht="14.5">
      <c r="A21" s="220"/>
      <c r="B21" s="262" t="s">
        <v>467</v>
      </c>
      <c r="C21" s="238">
        <v>0.8</v>
      </c>
      <c r="D21" s="221"/>
      <c r="E21" s="403"/>
      <c r="F21" s="221"/>
      <c r="G21" s="234"/>
      <c r="H21" s="377">
        <v>7</v>
      </c>
      <c r="I21" s="403">
        <f ca="1"/>
        <v>3.8997332157092202E-4</v>
      </c>
      <c r="J21" s="403">
        <f ca="1"/>
        <v>4.8200331395063198E-4</v>
      </c>
      <c r="K21" s="403">
        <f ca="1"/>
        <v>0.80906771859013404</v>
      </c>
      <c r="L21" s="403">
        <f ca="1"/>
        <v>0.80906771859013404</v>
      </c>
      <c r="M21" s="403">
        <f ca="1"/>
        <v>2.34022880907441E-4</v>
      </c>
      <c r="N21" s="687" t="str">
        <f ca="1"/>
        <v>ASTRAZENECA PLC</v>
      </c>
      <c r="O21" s="403">
        <f ca="1"/>
        <v>9.1441315138340001E-2</v>
      </c>
      <c r="P21" s="403">
        <f ca="1"/>
        <v>0.78027771499680298</v>
      </c>
      <c r="Q21" s="403">
        <f ca="1"/>
        <v>0.117190730147554</v>
      </c>
      <c r="R21" s="441">
        <f ca="1"/>
        <v>0.117190730147554</v>
      </c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-3.1871278944003198E-2</v>
      </c>
      <c r="U21" s="413">
        <f ca="1"/>
        <v>1.5466160863358501E-2</v>
      </c>
      <c r="V21" s="413">
        <f ca="1"/>
        <v>4.73374398073617E-2</v>
      </c>
      <c r="W21" s="414">
        <f ca="1"/>
        <v>3.2672153218039702E-3</v>
      </c>
      <c r="X21" s="415">
        <f ca="1"/>
        <v>4.7337439807361701</v>
      </c>
      <c r="Y21" s="416">
        <f t="shared" ca="1" si="5"/>
        <v>7.0509814444150443E-3</v>
      </c>
      <c r="Z21" s="417">
        <f t="shared" ca="1" si="2"/>
        <v>-1.0905161326387918E-4</v>
      </c>
      <c r="AA21" s="416">
        <f ca="1">IF($U$12,IF(OR(T21="",L21=""),"",L21/($C$20-$C$19)),"")</f>
        <v>9.1939513476151594E-3</v>
      </c>
      <c r="AB21" s="418">
        <f t="shared" ca="1" si="1"/>
        <v>3.1038545557137715E-3</v>
      </c>
      <c r="AC21" s="417">
        <f t="shared" ca="1" si="3"/>
        <v>-7.1097565256054065E-6</v>
      </c>
      <c r="AD21" s="220"/>
      <c r="AE21" s="220">
        <f t="shared" ca="1" si="4"/>
        <v>5.1071149272015146E-3</v>
      </c>
    </row>
    <row r="22" spans="1:31" customFormat="1" ht="15" thickBot="1">
      <c r="A22" s="220"/>
      <c r="B22" s="263" t="s">
        <v>468</v>
      </c>
      <c r="C22" s="235">
        <v>0.9</v>
      </c>
      <c r="D22" s="221"/>
      <c r="E22" s="403"/>
      <c r="F22" s="568"/>
      <c r="G22" s="234"/>
      <c r="H22" s="377">
        <v>8</v>
      </c>
      <c r="I22" s="403">
        <f ca="1"/>
        <v>3.8130176871693902E-4</v>
      </c>
      <c r="J22" s="403">
        <f ca="1"/>
        <v>4.8107495035408298E-4</v>
      </c>
      <c r="K22" s="403">
        <f ca="1"/>
        <v>0.79260366484742495</v>
      </c>
      <c r="L22" s="403">
        <f ca="1"/>
        <v>0.79260366484742495</v>
      </c>
      <c r="M22" s="403">
        <f ca="1"/>
        <v>2.9008617440651701E-4</v>
      </c>
      <c r="N22" s="687" t="str">
        <f ca="1"/>
        <v>BAE SYSTEMS PLC</v>
      </c>
      <c r="O22" s="403">
        <f ca="1"/>
        <v>9.0237112987979998E-2</v>
      </c>
      <c r="P22" s="403">
        <f ca="1"/>
        <v>0.77887636182338804</v>
      </c>
      <c r="Q22" s="403">
        <f ca="1"/>
        <v>0.115855503403301</v>
      </c>
      <c r="R22" s="441">
        <f ca="1"/>
        <v>0.115855503403301</v>
      </c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-3.0396170340408701E-2</v>
      </c>
      <c r="U22" s="413">
        <f ca="1"/>
        <v>1.6944335825739999E-2</v>
      </c>
      <c r="V22" s="413">
        <f ca="1"/>
        <v>4.7340506166148703E-2</v>
      </c>
      <c r="W22" s="414">
        <f ca="1"/>
        <v>3.5792468644655498E-3</v>
      </c>
      <c r="X22" s="415">
        <f ca="1"/>
        <v>4.7340506166148701</v>
      </c>
      <c r="Y22" s="416">
        <f t="shared" ca="1" si="5"/>
        <v>7.0509814444150443E-3</v>
      </c>
      <c r="Z22" s="417">
        <f t="shared" ca="1" si="2"/>
        <v>-1.1947419749522964E-4</v>
      </c>
      <c r="AA22" s="416">
        <f t="shared" ca="1" si="0"/>
        <v>9.0068598278116464E-3</v>
      </c>
      <c r="AB22" s="418">
        <f t="shared" ca="1" si="1"/>
        <v>3.4002845212422724E-3</v>
      </c>
      <c r="AC22" s="417">
        <f t="shared" ca="1" si="3"/>
        <v>-7.6307628828903516E-6</v>
      </c>
      <c r="AD22" s="220"/>
      <c r="AE22" s="220">
        <f t="shared" ca="1" si="4"/>
        <v>4.6900536295068577E-3</v>
      </c>
    </row>
    <row r="23" spans="1:31" customFormat="1" ht="1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3.5767142743615E-4</v>
      </c>
      <c r="J23" s="403">
        <f ca="1"/>
        <v>4.7773152523272597E-4</v>
      </c>
      <c r="K23" s="403">
        <f ca="1"/>
        <v>0.74868709420403201</v>
      </c>
      <c r="L23" s="403">
        <f ca="1"/>
        <v>0.74868709420403201</v>
      </c>
      <c r="M23" s="403">
        <f ca="1"/>
        <v>4.81406608296355E-4</v>
      </c>
      <c r="N23" s="687" t="str">
        <f ca="1"/>
        <v>BASF SE</v>
      </c>
      <c r="O23" s="403">
        <f ca="1"/>
        <v>8.7023944057070104E-2</v>
      </c>
      <c r="P23" s="403">
        <f ca="1"/>
        <v>0.77487002387447401</v>
      </c>
      <c r="Q23" s="403">
        <f ca="1"/>
        <v>0.112307795340871</v>
      </c>
      <c r="R23" s="441">
        <f ca="1"/>
        <v>0.112307795340871</v>
      </c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-2.6178972499446701E-2</v>
      </c>
      <c r="U23" s="413">
        <f ca="1"/>
        <v>2.1082290512201399E-2</v>
      </c>
      <c r="V23" s="413">
        <f ca="1"/>
        <v>4.7261263011648097E-2</v>
      </c>
      <c r="W23" s="414">
        <f ca="1"/>
        <v>4.46079710290548E-3</v>
      </c>
      <c r="X23" s="415">
        <f ca="1"/>
        <v>4.7261263011648103</v>
      </c>
      <c r="Y23" s="416">
        <f t="shared" ca="1" si="5"/>
        <v>7.0509814444150443E-3</v>
      </c>
      <c r="Z23" s="417">
        <f t="shared" ca="1" si="2"/>
        <v>-1.4865083920729926E-4</v>
      </c>
      <c r="AA23" s="416">
        <f t="shared" ca="1" si="0"/>
        <v>8.5078078886821826E-3</v>
      </c>
      <c r="AB23" s="418">
        <f t="shared" ca="1" si="1"/>
        <v>4.2377572477602056E-3</v>
      </c>
      <c r="AC23" s="417">
        <f t="shared" ca="1" si="3"/>
        <v>-8.968203876559838E-6</v>
      </c>
      <c r="AD23" s="220"/>
      <c r="AE23" s="220">
        <f t="shared" ca="1" si="4"/>
        <v>5.1673342898428181E-3</v>
      </c>
    </row>
    <row r="24" spans="1:31" customFormat="1" ht="14.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1.5144011168446899E-4</v>
      </c>
      <c r="J24" s="403">
        <f ca="1"/>
        <v>4.5418520348215801E-4</v>
      </c>
      <c r="K24" s="403">
        <f ca="1"/>
        <v>0.33343250842036298</v>
      </c>
      <c r="L24" s="403">
        <f ca="1"/>
        <v>0.33343250842036298</v>
      </c>
      <c r="M24" s="403">
        <f ca="1"/>
        <v>8.4640139987730097E-4</v>
      </c>
      <c r="N24" s="687" t="str">
        <f ca="1"/>
        <v>BAYER AKTIENGESELLSCHAFT</v>
      </c>
      <c r="O24" s="403">
        <f ca="1"/>
        <v>6.86139603719602E-2</v>
      </c>
      <c r="P24" s="403">
        <f ca="1"/>
        <v>0.74152631880489195</v>
      </c>
      <c r="Q24" s="403">
        <f ca="1"/>
        <v>9.2530714867335301E-2</v>
      </c>
      <c r="R24" s="441">
        <f ca="1"/>
        <v>9.2530714867335301E-2</v>
      </c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8.9196644159028997E-3</v>
      </c>
      <c r="U24" s="413">
        <f ca="1"/>
        <v>5.5076051480618102E-2</v>
      </c>
      <c r="V24" s="413">
        <f ca="1"/>
        <v>4.6156387064715199E-2</v>
      </c>
      <c r="W24" s="414">
        <f ca="1"/>
        <v>1.19324875674079E-2</v>
      </c>
      <c r="X24" s="415">
        <f ca="1"/>
        <v>4.6156387064715201</v>
      </c>
      <c r="Y24" s="416">
        <f t="shared" ca="1" si="5"/>
        <v>7.0509814444150443E-3</v>
      </c>
      <c r="Z24" s="417">
        <f t="shared" ca="1" si="2"/>
        <v>-3.8834021702148595E-4</v>
      </c>
      <c r="AA24" s="416">
        <f t="shared" ca="1" si="0"/>
        <v>3.7890057775041247E-3</v>
      </c>
      <c r="AB24" s="418">
        <f t="shared" ca="1" si="1"/>
        <v>1.1335863189037504E-2</v>
      </c>
      <c r="AC24" s="417">
        <f t="shared" ca="1" si="3"/>
        <v>-1.043417386310885E-5</v>
      </c>
      <c r="AD24" s="220"/>
      <c r="AE24" s="220">
        <f t="shared" ca="1" si="4"/>
        <v>1.7566465666323531E-2</v>
      </c>
    </row>
    <row r="25" spans="1:31" customFormat="1" ht="1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3.2885136014776601E-4</v>
      </c>
      <c r="J25" s="403">
        <f ca="1"/>
        <v>4.7432706645164201E-4</v>
      </c>
      <c r="K25" s="403">
        <f ca="1"/>
        <v>0.69330085379239603</v>
      </c>
      <c r="L25" s="403">
        <f ca="1"/>
        <v>0.69330085379239603</v>
      </c>
      <c r="M25" s="403">
        <f ca="1"/>
        <v>5.9096422267193897E-4</v>
      </c>
      <c r="N25" s="687" t="str">
        <f ca="1"/>
        <v>BAYERISCHE MOTOREN WERKE AKTIENGESELLSCHAFT</v>
      </c>
      <c r="O25" s="403">
        <f ca="1"/>
        <v>8.4324741166640099E-2</v>
      </c>
      <c r="P25" s="403">
        <f ca="1"/>
        <v>0.77120470840197297</v>
      </c>
      <c r="Q25" s="403">
        <f ca="1"/>
        <v>0.109341579800998</v>
      </c>
      <c r="R25" s="441">
        <f ca="1"/>
        <v>0.109341579800998</v>
      </c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-2.23207456862871E-2</v>
      </c>
      <c r="U25" s="413">
        <f ca="1"/>
        <v>2.48162118552641E-2</v>
      </c>
      <c r="V25" s="413">
        <f ca="1"/>
        <v>4.71369575415512E-2</v>
      </c>
      <c r="W25" s="414">
        <f ca="1"/>
        <v>5.2647037801259603E-3</v>
      </c>
      <c r="X25" s="415">
        <f ca="1"/>
        <v>4.7136957541551201</v>
      </c>
      <c r="Y25" s="416">
        <f t="shared" ca="1" si="5"/>
        <v>7.0509814444150443E-3</v>
      </c>
      <c r="Z25" s="417">
        <f t="shared" ca="1" si="2"/>
        <v>-1.7497864931214017E-4</v>
      </c>
      <c r="AA25" s="416">
        <f t="shared" ca="1" si="0"/>
        <v>7.8784187930954087E-3</v>
      </c>
      <c r="AB25" s="418">
        <f t="shared" ca="1" si="1"/>
        <v>5.0014685911196621E-3</v>
      </c>
      <c r="AC25" s="417">
        <f t="shared" ca="1" si="3"/>
        <v>-9.7756254926975136E-6</v>
      </c>
      <c r="AD25" s="220"/>
      <c r="AE25" s="220">
        <f t="shared" ca="1" si="4"/>
        <v>6.5877663587736507E-3</v>
      </c>
    </row>
    <row r="26" spans="1:31" customFormat="1" ht="1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3.81165138246545E-4</v>
      </c>
      <c r="J26" s="403">
        <f ca="1"/>
        <v>4.8113059494120299E-4</v>
      </c>
      <c r="K26" s="403">
        <f ca="1"/>
        <v>0.79222801928263498</v>
      </c>
      <c r="L26" s="403">
        <f ca="1"/>
        <v>0.79222801928263498</v>
      </c>
      <c r="M26" s="403">
        <f ca="1"/>
        <v>2.7203665168910201E-4</v>
      </c>
      <c r="N26" s="687" t="str">
        <f ca="1"/>
        <v>BOUYGUES</v>
      </c>
      <c r="O26" s="403">
        <f ca="1"/>
        <v>9.0443420443929903E-2</v>
      </c>
      <c r="P26" s="403">
        <f ca="1"/>
        <v>0.77910420216021703</v>
      </c>
      <c r="Q26" s="403">
        <f ca="1"/>
        <v>0.11608642360438801</v>
      </c>
      <c r="R26" s="441">
        <f ca="1"/>
        <v>0.11608642360438801</v>
      </c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-3.06360022739126E-2</v>
      </c>
      <c r="U26" s="413">
        <f ca="1"/>
        <v>1.6684765881207202E-2</v>
      </c>
      <c r="V26" s="413">
        <f ca="1"/>
        <v>4.7320768155119798E-2</v>
      </c>
      <c r="W26" s="414">
        <f ca="1"/>
        <v>3.5258865254498202E-3</v>
      </c>
      <c r="X26" s="415">
        <f ca="1"/>
        <v>4.7320768155119799</v>
      </c>
      <c r="Y26" s="416">
        <f t="shared" ca="1" si="5"/>
        <v>7.0509814444150443E-3</v>
      </c>
      <c r="Z26" s="417">
        <f t="shared" ca="1" si="2"/>
        <v>-1.1764397463280109E-4</v>
      </c>
      <c r="AA26" s="416">
        <f t="shared" ca="1" si="0"/>
        <v>9.0025911282117614E-3</v>
      </c>
      <c r="AB26" s="418">
        <f t="shared" ca="1" si="1"/>
        <v>3.3495921991773289E-3</v>
      </c>
      <c r="AC26" s="417">
        <f t="shared" ca="1" si="3"/>
        <v>-7.5103062649223153E-6</v>
      </c>
      <c r="AD26" s="220"/>
      <c r="AE26" s="220">
        <f t="shared" ca="1" si="4"/>
        <v>5.1233283990498703E-3</v>
      </c>
    </row>
    <row r="27" spans="1:31" customFormat="1" ht="1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1.96526501243123E-4</v>
      </c>
      <c r="J27" s="403">
        <f ca="1"/>
        <v>4.49517221610896E-4</v>
      </c>
      <c r="K27" s="403">
        <f ca="1"/>
        <v>0.43719459854919002</v>
      </c>
      <c r="L27" s="403">
        <f ca="1"/>
        <v>0.43719459854919002</v>
      </c>
      <c r="M27" s="403">
        <f ca="1"/>
        <v>7.4422778578820304E-4</v>
      </c>
      <c r="N27" s="687" t="str">
        <f ca="1"/>
        <v>CNH INDUSTRIAL N.V</v>
      </c>
      <c r="O27" s="403">
        <f ca="1"/>
        <v>7.3703722848570005E-2</v>
      </c>
      <c r="P27" s="403">
        <f ca="1"/>
        <v>0.75336139038321903</v>
      </c>
      <c r="Q27" s="403">
        <f ca="1"/>
        <v>9.7833156555950498E-2</v>
      </c>
      <c r="R27" s="441">
        <f ca="1"/>
        <v>9.7833156555950498E-2</v>
      </c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-3.5383056665467998E-3</v>
      </c>
      <c r="U27" s="413">
        <f ca="1"/>
        <v>4.3048659316265801E-2</v>
      </c>
      <c r="V27" s="413">
        <f ca="1"/>
        <v>4.6586964982812597E-2</v>
      </c>
      <c r="W27" s="414">
        <f ca="1"/>
        <v>9.2404944885651503E-3</v>
      </c>
      <c r="X27" s="415">
        <f ca="1"/>
        <v>4.6586964982812598</v>
      </c>
      <c r="Y27" s="416">
        <f t="shared" ca="1" si="5"/>
        <v>7.0509814444150443E-3</v>
      </c>
      <c r="Z27" s="417">
        <f t="shared" ca="1" si="2"/>
        <v>-3.0353529804593463E-4</v>
      </c>
      <c r="AA27" s="416">
        <f t="shared" ca="1" si="0"/>
        <v>4.9681204380589775E-3</v>
      </c>
      <c r="AB27" s="418">
        <f t="shared" ca="1" si="1"/>
        <v>8.7784697641368932E-3</v>
      </c>
      <c r="AC27" s="417">
        <f t="shared" ca="1" si="3"/>
        <v>-1.0693546209008882E-5</v>
      </c>
      <c r="AD27" s="220"/>
      <c r="AE27" s="220">
        <f t="shared" ca="1" si="4"/>
        <v>1.244374137261286E-2</v>
      </c>
    </row>
    <row r="28" spans="1:31" customFormat="1" ht="1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1.20425502856492E-5</v>
      </c>
      <c r="J28" s="403">
        <f ca="1"/>
        <v>3.68883125357523E-4</v>
      </c>
      <c r="K28" s="403">
        <f ca="1"/>
        <v>3.2645977703581602E-2</v>
      </c>
      <c r="L28" s="403">
        <f ca="1"/>
        <v>3.2645977703581602E-2</v>
      </c>
      <c r="M28" s="403">
        <f ca="1"/>
        <v>1.5204477032445399E-4</v>
      </c>
      <c r="N28" s="687" t="str">
        <f ca="1"/>
        <v>COMPAGNIE DE SAINT-GOBAIN</v>
      </c>
      <c r="O28" s="403">
        <f ca="1"/>
        <v>5.2783015064949999E-2</v>
      </c>
      <c r="P28" s="403">
        <f ca="1"/>
        <v>0.58681133523453899</v>
      </c>
      <c r="Q28" s="403">
        <f ca="1"/>
        <v>8.9948867541649394E-2</v>
      </c>
      <c r="R28" s="441">
        <f ca="1"/>
        <v>8.9948867541649394E-2</v>
      </c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0.17177754185838001</v>
      </c>
      <c r="U28" s="413">
        <f ca="1"/>
        <v>0.21618934750976601</v>
      </c>
      <c r="V28" s="413">
        <f ca="1"/>
        <v>4.4411805651385902E-2</v>
      </c>
      <c r="W28" s="414">
        <f ca="1"/>
        <v>4.8678351248936401E-2</v>
      </c>
      <c r="X28" s="415">
        <f ca="1"/>
        <v>4.4411805651385903</v>
      </c>
      <c r="Y28" s="416">
        <f t="shared" ca="1" si="5"/>
        <v>7.0509814444150443E-3</v>
      </c>
      <c r="Z28" s="417">
        <f t="shared" ca="1" si="2"/>
        <v>-1.5243470777715569E-3</v>
      </c>
      <c r="AA28" s="416">
        <f t="shared" ca="1" si="0"/>
        <v>3.7097701935888183E-4</v>
      </c>
      <c r="AB28" s="418">
        <f t="shared" ca="1" si="1"/>
        <v>4.6244433686489582E-2</v>
      </c>
      <c r="AC28" s="417">
        <f t="shared" ca="1" si="3"/>
        <v>-4.0100639878157265E-6</v>
      </c>
      <c r="AD28" s="220"/>
      <c r="AE28" s="220">
        <f t="shared" ca="1" si="4"/>
        <v>6.747191359152277E-3</v>
      </c>
    </row>
    <row r="29" spans="1:31" customFormat="1" ht="1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1.8218648792374601E-4</v>
      </c>
      <c r="J29" s="403">
        <f ca="1"/>
        <v>4.6131329863246601E-4</v>
      </c>
      <c r="K29" s="403">
        <f ca="1"/>
        <v>0.39493005830056599</v>
      </c>
      <c r="L29" s="403">
        <f ca="1"/>
        <v>0.39493005830056599</v>
      </c>
      <c r="M29" s="403">
        <f ca="1"/>
        <v>7.7926967049966899E-4</v>
      </c>
      <c r="N29" s="687" t="str">
        <f ca="1"/>
        <v>CONTINENTAL AKTIENGESELLSCHAFT</v>
      </c>
      <c r="O29" s="403">
        <f ca="1"/>
        <v>7.1677140459529998E-2</v>
      </c>
      <c r="P29" s="403">
        <f ca="1"/>
        <v>0.74911320416126703</v>
      </c>
      <c r="Q29" s="403">
        <f ca="1"/>
        <v>9.5682655253396795E-2</v>
      </c>
      <c r="R29" s="441">
        <f ca="1"/>
        <v>9.5682655253396795E-2</v>
      </c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9.3346930392990103E-4</v>
      </c>
      <c r="U29" s="413">
        <f ca="1"/>
        <v>4.74892712749308E-2</v>
      </c>
      <c r="V29" s="413">
        <f ca="1"/>
        <v>4.6555801971000899E-2</v>
      </c>
      <c r="W29" s="414">
        <f ca="1"/>
        <v>1.02005054718016E-2</v>
      </c>
      <c r="X29" s="415">
        <f ca="1"/>
        <v>4.6555801971000896</v>
      </c>
      <c r="Y29" s="416">
        <f t="shared" ca="1" si="5"/>
        <v>7.0509814444150443E-3</v>
      </c>
      <c r="Z29" s="417">
        <f t="shared" ca="1" si="2"/>
        <v>-3.348459705683283E-4</v>
      </c>
      <c r="AA29" s="416">
        <f t="shared" ca="1" si="0"/>
        <v>4.4878415715973409E-3</v>
      </c>
      <c r="AB29" s="418">
        <f t="shared" ca="1" si="1"/>
        <v>9.6904801982115197E-3</v>
      </c>
      <c r="AC29" s="417">
        <f t="shared" ca="1" si="3"/>
        <v>-1.0656216291624862E-5</v>
      </c>
      <c r="AD29" s="220"/>
      <c r="AE29" s="220">
        <f t="shared" ca="1" si="4"/>
        <v>1.1928414881360988E-2</v>
      </c>
    </row>
    <row r="30" spans="1:31" customFormat="1" ht="14.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1.63372584189574E-4</v>
      </c>
      <c r="J30" s="403">
        <f ca="1"/>
        <v>4.5847400525171199E-4</v>
      </c>
      <c r="K30" s="403">
        <f ca="1"/>
        <v>0.35633990655561598</v>
      </c>
      <c r="L30" s="403">
        <f ca="1"/>
        <v>0.35633990655561598</v>
      </c>
      <c r="M30" s="403">
        <f ca="1"/>
        <v>8.4943026778378601E-4</v>
      </c>
      <c r="N30" s="687" t="str">
        <f ca="1"/>
        <v>GLENCORE INTERNATIONAL AG</v>
      </c>
      <c r="O30" s="403">
        <f ca="1"/>
        <v>6.9531746046790105E-2</v>
      </c>
      <c r="P30" s="403">
        <f ca="1"/>
        <v>0.74409480302577702</v>
      </c>
      <c r="Q30" s="403">
        <f ca="1"/>
        <v>9.3444740863727505E-2</v>
      </c>
      <c r="R30" s="441">
        <f ca="1"/>
        <v>9.3444740863727505E-2</v>
      </c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6.2159968149719004E-3</v>
      </c>
      <c r="U30" s="413">
        <f ca="1"/>
        <v>5.2707390037736397E-2</v>
      </c>
      <c r="V30" s="413">
        <f ca="1"/>
        <v>4.64913932227645E-2</v>
      </c>
      <c r="W30" s="414">
        <f ca="1"/>
        <v>1.1337020980461399E-2</v>
      </c>
      <c r="X30" s="415">
        <f ca="1"/>
        <v>4.6491393222764499</v>
      </c>
      <c r="Y30" s="416">
        <f t="shared" ca="1" si="5"/>
        <v>7.0509814444150443E-3</v>
      </c>
      <c r="Z30" s="417">
        <f t="shared" ca="1" si="2"/>
        <v>-3.7163882913962434E-4</v>
      </c>
      <c r="AA30" s="416">
        <f t="shared" ca="1" si="0"/>
        <v>4.0493171199501819E-3</v>
      </c>
      <c r="AB30" s="418">
        <f t="shared" ca="1" si="1"/>
        <v>1.0770169931438329E-2</v>
      </c>
      <c r="AC30" s="417">
        <f t="shared" ca="1" si="3"/>
        <v>-1.0671446841384854E-5</v>
      </c>
      <c r="AD30" s="220"/>
      <c r="AE30" s="220">
        <f t="shared" ca="1" si="4"/>
        <v>1.1841340298915874E-2</v>
      </c>
    </row>
    <row r="31" spans="1:31" customFormat="1" ht="1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4.1797974133539099E-4</v>
      </c>
      <c r="J31" s="403">
        <f ca="1"/>
        <v>4.84684310365719E-4</v>
      </c>
      <c r="K31" s="403">
        <f ca="1"/>
        <v>0.862375225267771</v>
      </c>
      <c r="L31" s="403">
        <f ca="1"/>
        <v>0.862375225267771</v>
      </c>
      <c r="M31" s="403">
        <f ca="1"/>
        <v>1.60857959178094E-4</v>
      </c>
      <c r="N31" s="687" t="str">
        <f ca="1"/>
        <v>GSK PLC</v>
      </c>
      <c r="O31" s="403">
        <f ca="1"/>
        <v>9.4070382664669994E-2</v>
      </c>
      <c r="P31" s="403">
        <f ca="1"/>
        <v>0.78331791453974098</v>
      </c>
      <c r="Q31" s="403">
        <f ca="1"/>
        <v>0.120092214053273</v>
      </c>
      <c r="R31" s="441">
        <f ca="1"/>
        <v>0.120092214053273</v>
      </c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-3.5071488989201302E-2</v>
      </c>
      <c r="U31" s="413">
        <f ca="1"/>
        <v>1.2388627926844699E-2</v>
      </c>
      <c r="V31" s="413">
        <f ca="1"/>
        <v>4.7460116916046E-2</v>
      </c>
      <c r="W31" s="414">
        <f ca="1"/>
        <v>2.6103239376252399E-3</v>
      </c>
      <c r="X31" s="415">
        <f ca="1"/>
        <v>4.7460116916045996</v>
      </c>
      <c r="Y31" s="416">
        <f t="shared" ca="1" si="5"/>
        <v>7.0509814444150443E-3</v>
      </c>
      <c r="Z31" s="417">
        <f t="shared" ca="1" si="2"/>
        <v>-8.7351985633944305E-5</v>
      </c>
      <c r="AA31" s="416">
        <f t="shared" ca="1" si="0"/>
        <v>9.7997184689519439E-3</v>
      </c>
      <c r="AB31" s="418">
        <f t="shared" ca="1" si="1"/>
        <v>2.479807740743978E-3</v>
      </c>
      <c r="AC31" s="417">
        <f t="shared" ca="1" si="3"/>
        <v>-6.0702532949837114E-6</v>
      </c>
      <c r="AD31" s="220"/>
      <c r="AE31" s="220">
        <f t="shared" ca="1" si="4"/>
        <v>3.5556406595304538E-3</v>
      </c>
    </row>
    <row r="32" spans="1:31" customFormat="1" ht="1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1.9844787654097501E-4</v>
      </c>
      <c r="J32" s="403">
        <f ca="1"/>
        <v>4.4944546632909001E-4</v>
      </c>
      <c r="K32" s="403">
        <f ca="1"/>
        <v>0.44153938888699101</v>
      </c>
      <c r="L32" s="403">
        <f ca="1"/>
        <v>0.44153938888699101</v>
      </c>
      <c r="M32" s="403">
        <f ca="1"/>
        <v>7.7798922550261602E-4</v>
      </c>
      <c r="N32" s="687" t="str">
        <f ca="1"/>
        <v>HEIDELBERG MATERIALS AG</v>
      </c>
      <c r="O32" s="403">
        <f ca="1"/>
        <v>7.3666480357020198E-2</v>
      </c>
      <c r="P32" s="403">
        <f ca="1"/>
        <v>0.75331862503562597</v>
      </c>
      <c r="Q32" s="403">
        <f ca="1"/>
        <v>9.7789272571796995E-2</v>
      </c>
      <c r="R32" s="441">
        <f ca="1"/>
        <v>9.7789272571796995E-2</v>
      </c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-3.4932895111852999E-3</v>
      </c>
      <c r="U32" s="413">
        <f ca="1"/>
        <v>4.3129925199571401E-2</v>
      </c>
      <c r="V32" s="413">
        <f ca="1"/>
        <v>4.66232147107567E-2</v>
      </c>
      <c r="W32" s="414">
        <f ca="1"/>
        <v>9.2507403162014508E-3</v>
      </c>
      <c r="X32" s="415">
        <f ca="1"/>
        <v>4.6623214710756704</v>
      </c>
      <c r="Y32" s="416">
        <f t="shared" ca="1" si="5"/>
        <v>7.0509814444150443E-3</v>
      </c>
      <c r="Z32" s="417">
        <f t="shared" ca="1" si="2"/>
        <v>-3.041083022811865E-4</v>
      </c>
      <c r="AA32" s="416">
        <f t="shared" ca="1" si="0"/>
        <v>5.0174930555339885E-3</v>
      </c>
      <c r="AB32" s="418">
        <f t="shared" ca="1" si="1"/>
        <v>8.7882033003913781E-3</v>
      </c>
      <c r="AC32" s="417">
        <f t="shared" ca="1" si="3"/>
        <v>-1.0820205008727488E-5</v>
      </c>
      <c r="AD32" s="220"/>
      <c r="AE32" s="220">
        <f t="shared" ca="1" si="4"/>
        <v>1.1740502045878629E-2</v>
      </c>
    </row>
    <row r="33" spans="1:31" customFormat="1" ht="14.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2.3886006730162201E-4</v>
      </c>
      <c r="J33" s="403">
        <f ca="1"/>
        <v>4.5577563817515802E-4</v>
      </c>
      <c r="K33" s="403">
        <f ca="1"/>
        <v>0.52407379266248999</v>
      </c>
      <c r="L33" s="403">
        <f ca="1"/>
        <v>0.52407379266248999</v>
      </c>
      <c r="M33" s="403">
        <f ca="1"/>
        <v>6.4393864019877804E-4</v>
      </c>
      <c r="N33" s="687" t="str">
        <f ca="1"/>
        <v>HOLCIM AG</v>
      </c>
      <c r="O33" s="403">
        <f ca="1"/>
        <v>7.7816974782710005E-2</v>
      </c>
      <c r="P33" s="403">
        <f ca="1"/>
        <v>0.761103904118135</v>
      </c>
      <c r="Q33" s="403">
        <f ca="1"/>
        <v>0.102242248872542</v>
      </c>
      <c r="R33" s="441">
        <f ca="1"/>
        <v>0.102242248872542</v>
      </c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-1.16883201243529E-2</v>
      </c>
      <c r="U33" s="413">
        <f ca="1"/>
        <v>3.5163749072916202E-2</v>
      </c>
      <c r="V33" s="413">
        <f ca="1"/>
        <v>4.68520691972691E-2</v>
      </c>
      <c r="W33" s="414">
        <f ca="1"/>
        <v>7.5052713093333003E-3</v>
      </c>
      <c r="X33" s="415">
        <f ca="1"/>
        <v>4.6852069197269097</v>
      </c>
      <c r="Y33" s="416">
        <f t="shared" ca="1" si="5"/>
        <v>7.0509814444150443E-3</v>
      </c>
      <c r="Z33" s="417">
        <f t="shared" ca="1" si="2"/>
        <v>-2.4793894222919897E-4</v>
      </c>
      <c r="AA33" s="416">
        <f t="shared" ca="1" si="0"/>
        <v>5.955384007528295E-3</v>
      </c>
      <c r="AB33" s="418">
        <f t="shared" ca="1" si="1"/>
        <v>7.1300077438666348E-3</v>
      </c>
      <c r="AC33" s="417">
        <f t="shared" ca="1" si="3"/>
        <v>-1.0470681443679172E-5</v>
      </c>
      <c r="AD33" s="220"/>
      <c r="AE33" s="220">
        <f t="shared" ca="1" si="4"/>
        <v>9.4006488933574359E-3</v>
      </c>
    </row>
    <row r="34" spans="1:31" customFormat="1" ht="14.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4.4407921762792903E-4</v>
      </c>
      <c r="J34" s="403">
        <f ca="1"/>
        <v>4.8689407945509602E-4</v>
      </c>
      <c r="K34" s="403">
        <f ca="1"/>
        <v>0.91206534720018995</v>
      </c>
      <c r="L34" s="403">
        <f ca="1"/>
        <v>0.91206534720018995</v>
      </c>
      <c r="M34" s="403">
        <f ca="1"/>
        <v>9.9935184368362697E-5</v>
      </c>
      <c r="N34" s="687" t="str">
        <f ca="1"/>
        <v>DSM B.V</v>
      </c>
      <c r="O34" s="403">
        <f ca="1"/>
        <v>9.6650993702000101E-2</v>
      </c>
      <c r="P34" s="403">
        <f ca="1"/>
        <v>0.78612756335624701</v>
      </c>
      <c r="Q34" s="403">
        <f ca="1"/>
        <v>0.122945687452255</v>
      </c>
      <c r="R34" s="441">
        <f ca="1"/>
        <v>0.122945687452255</v>
      </c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-3.8029014059207902E-2</v>
      </c>
      <c r="U34" s="413">
        <f ca="1"/>
        <v>9.5100488789100698E-3</v>
      </c>
      <c r="V34" s="413">
        <f ca="1"/>
        <v>4.7539062938118E-2</v>
      </c>
      <c r="W34" s="414">
        <f ca="1"/>
        <v>2.0004704113098298E-3</v>
      </c>
      <c r="X34" s="415">
        <f ca="1"/>
        <v>4.7539062938118004</v>
      </c>
      <c r="Y34" s="416">
        <f t="shared" ca="1" si="5"/>
        <v>7.0509814444150443E-3</v>
      </c>
      <c r="Z34" s="417">
        <f t="shared" ca="1" si="2"/>
        <v>-6.7055178180675076E-5</v>
      </c>
      <c r="AA34" s="416">
        <f t="shared" ca="1" si="0"/>
        <v>1.0364378945456705E-2</v>
      </c>
      <c r="AB34" s="418">
        <f t="shared" ca="1" si="1"/>
        <v>1.9004468907443382E-3</v>
      </c>
      <c r="AC34" s="417">
        <f t="shared" ca="1" si="3"/>
        <v>-4.9282875185419958E-6</v>
      </c>
      <c r="AD34" s="220"/>
      <c r="AE34" s="220">
        <f t="shared" ca="1" si="4"/>
        <v>2.7749806048590273E-3</v>
      </c>
    </row>
    <row r="35" spans="1:31" customFormat="1" ht="14.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4.41202344231258E-4</v>
      </c>
      <c r="J35" s="403">
        <f ca="1"/>
        <v>4.8666922051471203E-4</v>
      </c>
      <c r="K35" s="403">
        <f ca="1"/>
        <v>0.90657540200432796</v>
      </c>
      <c r="L35" s="403">
        <f ca="1"/>
        <v>0.90657540200432796</v>
      </c>
      <c r="M35" s="403">
        <f ca="1"/>
        <v>1.06362761894187E-4</v>
      </c>
      <c r="N35" s="687" t="str">
        <f ca="1"/>
        <v>L'AIR LIQUIDE SOCIETE ANONYME POUR L'ETUDE ET L'EXPLOITATION DES PROCEDES GEORGES CLAUDE</v>
      </c>
      <c r="O35" s="403">
        <f ca="1"/>
        <v>9.63520582156598E-2</v>
      </c>
      <c r="P35" s="403">
        <f ca="1"/>
        <v>0.78581070044623103</v>
      </c>
      <c r="Q35" s="403">
        <f ca="1"/>
        <v>0.12261484624852401</v>
      </c>
      <c r="R35" s="441">
        <f ca="1"/>
        <v>0.12261484624852401</v>
      </c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-3.7695474153927301E-2</v>
      </c>
      <c r="U35" s="413">
        <f ca="1"/>
        <v>9.8376124015643607E-3</v>
      </c>
      <c r="V35" s="413">
        <f ca="1"/>
        <v>4.7533086555491703E-2</v>
      </c>
      <c r="W35" s="414">
        <f ca="1"/>
        <v>2.0696346722781402E-3</v>
      </c>
      <c r="X35" s="415">
        <f ca="1"/>
        <v>4.7533086555491701</v>
      </c>
      <c r="Y35" s="416">
        <f t="shared" ca="1" si="5"/>
        <v>7.0509814444150443E-3</v>
      </c>
      <c r="Z35" s="417">
        <f t="shared" ca="1" si="2"/>
        <v>-6.9364822500777578E-5</v>
      </c>
      <c r="AA35" s="416">
        <f t="shared" ca="1" si="0"/>
        <v>1.0301993204594635E-2</v>
      </c>
      <c r="AB35" s="418">
        <f t="shared" ca="1" si="1"/>
        <v>1.9661529386642332E-3</v>
      </c>
      <c r="AC35" s="417">
        <f t="shared" ca="1" si="3"/>
        <v>-5.0673508055175898E-6</v>
      </c>
      <c r="AD35" s="220"/>
      <c r="AE35" s="220">
        <f t="shared" ca="1" si="4"/>
        <v>2.8075274338623325E-3</v>
      </c>
    </row>
    <row r="36" spans="1:31" customFormat="1" ht="1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7.7889843059049098E-5</v>
      </c>
      <c r="J36" s="403">
        <f ca="1"/>
        <v>4.3483917877440101E-4</v>
      </c>
      <c r="K36" s="403">
        <f ca="1"/>
        <v>0.17912333308737799</v>
      </c>
      <c r="L36" s="403">
        <f ca="1"/>
        <v>0.17912333308737799</v>
      </c>
      <c r="M36" s="403">
        <f ca="1"/>
        <v>7.9126413697483801E-4</v>
      </c>
      <c r="N36" s="687" t="str">
        <f ca="1"/>
        <v>LANXESS AKTIENGESELLSCHAFT</v>
      </c>
      <c r="O36" s="403">
        <f ca="1"/>
        <v>6.1059179105030101E-2</v>
      </c>
      <c r="P36" s="403">
        <f ca="1"/>
        <v>0.71521558470652502</v>
      </c>
      <c r="Q36" s="403">
        <f ca="1"/>
        <v>8.5371712265029195E-2</v>
      </c>
      <c r="R36" s="441">
        <f ca="1"/>
        <v>8.5371712265029195E-2</v>
      </c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3.6615173993132001E-2</v>
      </c>
      <c r="U36" s="413">
        <f ca="1"/>
        <v>8.1947913970165598E-2</v>
      </c>
      <c r="V36" s="413">
        <f ca="1"/>
        <v>4.5332739977033597E-2</v>
      </c>
      <c r="W36" s="414">
        <f ca="1"/>
        <v>1.8076982333669198E-2</v>
      </c>
      <c r="X36" s="415">
        <f ca="1"/>
        <v>4.5332739977033603</v>
      </c>
      <c r="Y36" s="416">
        <f t="shared" ca="1" si="5"/>
        <v>7.0509814444150443E-3</v>
      </c>
      <c r="Z36" s="417">
        <f t="shared" ca="1" si="2"/>
        <v>-5.7781322081215788E-4</v>
      </c>
      <c r="AA36" s="416">
        <f t="shared" ca="1" si="0"/>
        <v>2.035492421447477E-3</v>
      </c>
      <c r="AB36" s="418">
        <f t="shared" ca="1" si="1"/>
        <v>1.7173133216985739E-2</v>
      </c>
      <c r="AC36" s="417">
        <f t="shared" ca="1" si="3"/>
        <v>-8.3402178919850925E-6</v>
      </c>
      <c r="AD36" s="220"/>
      <c r="AE36" s="220">
        <f t="shared" ca="1" si="4"/>
        <v>2.6399727478320881E-2</v>
      </c>
    </row>
    <row r="37" spans="1:31" customFormat="1" ht="1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2.6342432218950099E-4</v>
      </c>
      <c r="J37" s="403">
        <f ca="1"/>
        <v>4.5752968452472301E-4</v>
      </c>
      <c r="K37" s="403">
        <f ca="1"/>
        <v>0.57575351086376703</v>
      </c>
      <c r="L37" s="403">
        <f ca="1"/>
        <v>0.57575351086376703</v>
      </c>
      <c r="M37" s="403">
        <f ca="1"/>
        <v>7.4025742484657602E-4</v>
      </c>
      <c r="N37" s="687" t="str">
        <f ca="1"/>
        <v>LEONARDO SOCIETA' PER AZIONI</v>
      </c>
      <c r="O37" s="403">
        <f ca="1"/>
        <v>7.9101957638650203E-2</v>
      </c>
      <c r="P37" s="403">
        <f ca="1"/>
        <v>0.76330094508080104</v>
      </c>
      <c r="Q37" s="403">
        <f ca="1"/>
        <v>0.10363141582417</v>
      </c>
      <c r="R37" s="441">
        <f ca="1"/>
        <v>0.10363141582417</v>
      </c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-1.4000994821895501E-2</v>
      </c>
      <c r="U37" s="413">
        <f ca="1"/>
        <v>3.2948519415091297E-2</v>
      </c>
      <c r="V37" s="413">
        <f ca="1"/>
        <v>4.6949514236986803E-2</v>
      </c>
      <c r="W37" s="414">
        <f ca="1"/>
        <v>7.0178616223327004E-3</v>
      </c>
      <c r="X37" s="415">
        <f ca="1"/>
        <v>4.6949514236986802</v>
      </c>
      <c r="Y37" s="416">
        <f t="shared" ca="1" si="5"/>
        <v>7.0509814444150443E-3</v>
      </c>
      <c r="Z37" s="417">
        <f t="shared" ca="1" si="2"/>
        <v>-2.3231939901675717E-4</v>
      </c>
      <c r="AA37" s="416">
        <f t="shared" ca="1" si="0"/>
        <v>6.5426535325428074E-3</v>
      </c>
      <c r="AB37" s="418">
        <f t="shared" ca="1" si="1"/>
        <v>6.6669685412160647E-3</v>
      </c>
      <c r="AC37" s="417">
        <f t="shared" ca="1" si="3"/>
        <v>-1.0778537347160119E-5</v>
      </c>
      <c r="AD37" s="220"/>
      <c r="AE37" s="220">
        <f t="shared" ca="1" si="4"/>
        <v>8.1133551841451653E-3</v>
      </c>
    </row>
    <row r="38" spans="1:31" customFormat="1" ht="1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3.21830430822194E-4</v>
      </c>
      <c r="J38" s="403">
        <f ca="1"/>
        <v>4.7526882846075198E-4</v>
      </c>
      <c r="K38" s="403">
        <f ca="1"/>
        <v>0.67715451035259899</v>
      </c>
      <c r="L38" s="403">
        <f ca="1"/>
        <v>0.67715451035259899</v>
      </c>
      <c r="M38" s="403">
        <f ca="1"/>
        <v>4.2504842476041898E-4</v>
      </c>
      <c r="N38" s="687" t="str">
        <f ca="1"/>
        <v>MERCEDES-BENZ GROUP AG</v>
      </c>
      <c r="O38" s="403">
        <f ca="1"/>
        <v>8.5072101729580102E-2</v>
      </c>
      <c r="P38" s="403">
        <f ca="1"/>
        <v>0.77223723558804802</v>
      </c>
      <c r="Q38" s="403">
        <f ca="1"/>
        <v>0.11016316982539601</v>
      </c>
      <c r="R38" s="441">
        <f ca="1"/>
        <v>0.11016316982539601</v>
      </c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-2.34076164084711E-2</v>
      </c>
      <c r="U38" s="413">
        <f ca="1"/>
        <v>2.37525582070412E-2</v>
      </c>
      <c r="V38" s="413">
        <f ca="1"/>
        <v>4.71601746155123E-2</v>
      </c>
      <c r="W38" s="414">
        <f ca="1"/>
        <v>5.03657130209782E-3</v>
      </c>
      <c r="X38" s="415">
        <f ca="1"/>
        <v>4.71601746155123</v>
      </c>
      <c r="Y38" s="416">
        <f t="shared" ca="1" si="5"/>
        <v>7.0509814444150443E-3</v>
      </c>
      <c r="Z38" s="417">
        <f t="shared" ca="1" si="2"/>
        <v>-1.674788471752353E-4</v>
      </c>
      <c r="AA38" s="416">
        <f t="shared" ca="1" si="0"/>
        <v>7.6949376176431708E-3</v>
      </c>
      <c r="AB38" s="418">
        <f t="shared" ca="1" si="1"/>
        <v>4.7847427369929283E-3</v>
      </c>
      <c r="AC38" s="417">
        <f t="shared" ca="1" si="3"/>
        <v>-9.1387226831310162E-6</v>
      </c>
      <c r="AD38" s="220"/>
      <c r="AE38" s="220">
        <f t="shared" ca="1" si="4"/>
        <v>6.4121210767193026E-3</v>
      </c>
    </row>
    <row r="39" spans="1:31" customFormat="1" ht="14.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1.40768128531202E-4</v>
      </c>
      <c r="J39" s="403">
        <f ca="1"/>
        <v>4.50854976536591E-4</v>
      </c>
      <c r="K39" s="403">
        <f ca="1"/>
        <v>0.31222485246268</v>
      </c>
      <c r="L39" s="403">
        <f ca="1"/>
        <v>0.31222485246268</v>
      </c>
      <c r="M39" s="403">
        <f ca="1"/>
        <v>9.789273772839919E-4</v>
      </c>
      <c r="N39" s="687" t="str">
        <f ca="1"/>
        <v>POSTNL N.V.</v>
      </c>
      <c r="O39" s="403">
        <f ca="1"/>
        <v>6.6805491238960193E-2</v>
      </c>
      <c r="P39" s="403">
        <f ca="1"/>
        <v>0.73652337862614303</v>
      </c>
      <c r="Q39" s="403">
        <f ca="1"/>
        <v>9.0703829881916706E-2</v>
      </c>
      <c r="R39" s="441">
        <f ca="1"/>
        <v>9.0703829881916706E-2</v>
      </c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1.4185917235639001E-2</v>
      </c>
      <c r="U39" s="413">
        <f ca="1"/>
        <v>6.0223947855388503E-2</v>
      </c>
      <c r="V39" s="413">
        <f ca="1"/>
        <v>4.6038030619749502E-2</v>
      </c>
      <c r="W39" s="414">
        <f ca="1"/>
        <v>1.30813475391264E-2</v>
      </c>
      <c r="X39" s="415">
        <f ca="1"/>
        <v>4.6038030619749497</v>
      </c>
      <c r="Y39" s="416">
        <f t="shared" ca="1" si="5"/>
        <v>7.0509814444150443E-3</v>
      </c>
      <c r="Z39" s="417">
        <f t="shared" ca="1" si="2"/>
        <v>-4.2463793883776416E-4</v>
      </c>
      <c r="AA39" s="416">
        <f t="shared" ca="1" si="0"/>
        <v>3.5480096870759092E-3</v>
      </c>
      <c r="AB39" s="418">
        <f t="shared" ca="1" si="1"/>
        <v>1.242728016217008E-2</v>
      </c>
      <c r="AC39" s="417">
        <f t="shared" ca="1" si="3"/>
        <v>-1.0683757519243655E-5</v>
      </c>
      <c r="AD39" s="220"/>
      <c r="AE39" s="220">
        <f t="shared" ca="1" si="4"/>
        <v>1.8522789330206995E-2</v>
      </c>
    </row>
    <row r="40" spans="1:31" customFormat="1" ht="14.5">
      <c r="A40" s="220"/>
      <c r="B40" s="267">
        <v>2</v>
      </c>
      <c r="C40" s="68" t="s">
        <v>511</v>
      </c>
      <c r="D40" s="246">
        <f t="shared" ref="D40:D103" ca="1" si="6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2.87650745845136E-4</v>
      </c>
      <c r="J40" s="403">
        <f ca="1"/>
        <v>4.6160030538566998E-4</v>
      </c>
      <c r="K40" s="403">
        <f ca="1"/>
        <v>0.62315978236799896</v>
      </c>
      <c r="L40" s="403">
        <f ca="1"/>
        <v>0.62315978236799896</v>
      </c>
      <c r="M40" s="403">
        <f ca="1"/>
        <v>5.3995246043133001E-4</v>
      </c>
      <c r="N40" s="687" t="str">
        <f ca="1"/>
        <v>RENTOKIL INITIAL PLC</v>
      </c>
      <c r="O40" s="403">
        <f ca="1"/>
        <v>8.2277226468110004E-2</v>
      </c>
      <c r="P40" s="403">
        <f ca="1"/>
        <v>0.76822269977011004</v>
      </c>
      <c r="Q40" s="403">
        <f ca="1"/>
        <v>0.107100748900978</v>
      </c>
      <c r="R40" s="441">
        <f ca="1"/>
        <v>0.107100748900978</v>
      </c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-1.9181789231695098E-2</v>
      </c>
      <c r="U40" s="413">
        <f ca="1"/>
        <v>2.7842456894480599E-2</v>
      </c>
      <c r="V40" s="413">
        <f ca="1"/>
        <v>4.7024246126175701E-2</v>
      </c>
      <c r="W40" s="414">
        <f ca="1"/>
        <v>5.9208725685412598E-3</v>
      </c>
      <c r="X40" s="415">
        <f ca="1"/>
        <v>4.7024246126175697</v>
      </c>
      <c r="Y40" s="416">
        <f t="shared" ca="1" si="5"/>
        <v>7.0509814444150443E-3</v>
      </c>
      <c r="Z40" s="417">
        <f t="shared" ca="1" si="2"/>
        <v>-1.9631664692990863E-4</v>
      </c>
      <c r="AA40" s="416">
        <f t="shared" ca="1" si="0"/>
        <v>7.0813611632727152E-3</v>
      </c>
      <c r="AB40" s="418">
        <f t="shared" ca="1" si="1"/>
        <v>5.6248289401141967E-3</v>
      </c>
      <c r="AC40" s="417">
        <f t="shared" ca="1" si="3"/>
        <v>-9.8581246471334939E-6</v>
      </c>
      <c r="AD40" s="220"/>
      <c r="AE40" s="220">
        <f t="shared" ca="1" si="4"/>
        <v>7.9634988877493752E-3</v>
      </c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6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3.83189999131046E-4</v>
      </c>
      <c r="J41" s="403">
        <f ca="1"/>
        <v>4.8146427893371101E-4</v>
      </c>
      <c r="K41" s="403">
        <f ca="1"/>
        <v>0.79588458769919301</v>
      </c>
      <c r="L41" s="403">
        <f ca="1"/>
        <v>0.79588458769919301</v>
      </c>
      <c r="M41" s="403">
        <f ca="1"/>
        <v>2.5779630499099098E-4</v>
      </c>
      <c r="N41" s="687" t="str">
        <f ca="1"/>
        <v>SANOFI</v>
      </c>
      <c r="O41" s="403">
        <f ca="1"/>
        <v>9.0709547360170006E-2</v>
      </c>
      <c r="P41" s="403">
        <f ca="1"/>
        <v>0.77943259285962996</v>
      </c>
      <c r="Q41" s="403">
        <f ca="1"/>
        <v>0.11637895077927</v>
      </c>
      <c r="R41" s="441">
        <f ca="1"/>
        <v>0.11637895077927</v>
      </c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-3.0981676694346899E-2</v>
      </c>
      <c r="U41" s="413">
        <f ca="1"/>
        <v>1.63597438095342E-2</v>
      </c>
      <c r="V41" s="413">
        <f ca="1"/>
        <v>4.7341420503881099E-2</v>
      </c>
      <c r="W41" s="414">
        <f ca="1"/>
        <v>3.4556934784398898E-3</v>
      </c>
      <c r="X41" s="415">
        <f ca="1"/>
        <v>4.73414205038811</v>
      </c>
      <c r="Y41" s="416">
        <f t="shared" ca="1" si="5"/>
        <v>7.0509814444150443E-3</v>
      </c>
      <c r="Z41" s="417">
        <f t="shared" ca="1" si="2"/>
        <v>-1.1535225003640982E-4</v>
      </c>
      <c r="AA41" s="416">
        <f t="shared" ca="1" si="0"/>
        <v>9.0441430420362835E-3</v>
      </c>
      <c r="AB41" s="418">
        <f t="shared" ca="1" si="1"/>
        <v>3.2829088045178952E-3</v>
      </c>
      <c r="AC41" s="417">
        <f t="shared" ca="1" si="3"/>
        <v>-7.3979931572247693E-6</v>
      </c>
      <c r="AD41" s="220"/>
      <c r="AE41" s="220">
        <f t="shared" ca="1" si="4"/>
        <v>4.8152010248986611E-3</v>
      </c>
    </row>
    <row r="42" spans="1:31" customFormat="1" ht="14.5">
      <c r="A42" s="220"/>
      <c r="B42" s="267">
        <v>4</v>
      </c>
      <c r="C42" s="68" t="s">
        <v>610</v>
      </c>
      <c r="D42" s="246">
        <f t="shared" ca="1" si="6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3.8621829435055702E-4</v>
      </c>
      <c r="J42" s="403">
        <f ca="1"/>
        <v>4.8070890051058699E-4</v>
      </c>
      <c r="K42" s="403">
        <f ca="1"/>
        <v>0.80343487283121595</v>
      </c>
      <c r="L42" s="403">
        <f ca="1"/>
        <v>0.80343487283121595</v>
      </c>
      <c r="M42" s="403">
        <f ca="1"/>
        <v>3.3968930528661902E-4</v>
      </c>
      <c r="N42" s="687" t="str">
        <f ca="1"/>
        <v>SIEMENS AKTIENGESELLSCHAFT</v>
      </c>
      <c r="O42" s="403">
        <f ca="1"/>
        <v>9.0104706197430107E-2</v>
      </c>
      <c r="P42" s="403">
        <f ca="1"/>
        <v>0.77868376468509104</v>
      </c>
      <c r="Q42" s="403">
        <f ca="1"/>
        <v>0.115714119497367</v>
      </c>
      <c r="R42" s="441">
        <f ca="1"/>
        <v>0.115714119497367</v>
      </c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-3.0193436510622E-2</v>
      </c>
      <c r="U42" s="413">
        <f ca="1"/>
        <v>1.71019119827228E-2</v>
      </c>
      <c r="V42" s="413">
        <f ca="1"/>
        <v>4.7295348493344803E-2</v>
      </c>
      <c r="W42" s="414">
        <f ca="1"/>
        <v>3.6159818095281302E-3</v>
      </c>
      <c r="X42" s="415">
        <f ca="1"/>
        <v>4.7295348493344802</v>
      </c>
      <c r="Y42" s="416">
        <f t="shared" ca="1" si="5"/>
        <v>7.0509814444150443E-3</v>
      </c>
      <c r="Z42" s="417">
        <f t="shared" ca="1" si="2"/>
        <v>-1.2058526405419809E-4</v>
      </c>
      <c r="AA42" s="416">
        <f t="shared" ca="1" si="0"/>
        <v>9.1299417367183625E-3</v>
      </c>
      <c r="AB42" s="418">
        <f t="shared" ca="1" si="1"/>
        <v>3.4351827190517237E-3</v>
      </c>
      <c r="AC42" s="417">
        <f t="shared" ca="1" si="3"/>
        <v>-7.8069729994372578E-6</v>
      </c>
      <c r="AD42" s="220"/>
      <c r="AE42" s="220">
        <f t="shared" ca="1" si="4"/>
        <v>5.4984378813148728E-3</v>
      </c>
    </row>
    <row r="43" spans="1:31" customFormat="1" ht="14.5">
      <c r="A43" s="220"/>
      <c r="B43" s="267">
        <v>5</v>
      </c>
      <c r="C43" s="68" t="s">
        <v>512</v>
      </c>
      <c r="D43" s="246">
        <f t="shared" ca="1" si="6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3.21204614788995E-4</v>
      </c>
      <c r="J43" s="403">
        <f ca="1"/>
        <v>4.75151645064738E-4</v>
      </c>
      <c r="K43" s="403">
        <f ca="1"/>
        <v>0.676004425377148</v>
      </c>
      <c r="L43" s="403">
        <f ca="1"/>
        <v>0.676004425377148</v>
      </c>
      <c r="M43" s="403">
        <f ca="1"/>
        <v>4.25657566555664E-4</v>
      </c>
      <c r="N43" s="687" t="str">
        <f ca="1"/>
        <v>SMURFIT KAPPA ACQUISITIONS UNLIMITED COMPANY</v>
      </c>
      <c r="O43" s="403">
        <f ca="1"/>
        <v>8.5043581891409897E-2</v>
      </c>
      <c r="P43" s="403">
        <f ca="1"/>
        <v>0.77217775542397504</v>
      </c>
      <c r="Q43" s="403">
        <f ca="1"/>
        <v>0.110134721304832</v>
      </c>
      <c r="R43" s="441">
        <f ca="1"/>
        <v>0.110134721304832</v>
      </c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-2.3345005709447701E-2</v>
      </c>
      <c r="U43" s="413">
        <f ca="1"/>
        <v>2.3789095762786899E-2</v>
      </c>
      <c r="V43" s="413">
        <f ca="1"/>
        <v>4.7134101472234603E-2</v>
      </c>
      <c r="W43" s="414">
        <f ca="1"/>
        <v>5.0471092096240396E-3</v>
      </c>
      <c r="X43" s="415">
        <f ca="1"/>
        <v>4.7134101472234597</v>
      </c>
      <c r="Y43" s="416">
        <f t="shared" ca="1" si="5"/>
        <v>7.0509814444150443E-3</v>
      </c>
      <c r="Z43" s="417">
        <f t="shared" ca="1" si="2"/>
        <v>-1.6773647280282316E-4</v>
      </c>
      <c r="AA43" s="416">
        <f t="shared" ca="1" si="0"/>
        <v>7.6818684701948636E-3</v>
      </c>
      <c r="AB43" s="418">
        <f t="shared" ca="1" si="1"/>
        <v>4.7947537491428377E-3</v>
      </c>
      <c r="AC43" s="417">
        <f t="shared" ca="1" si="3"/>
        <v>-9.1372352337299533E-6</v>
      </c>
      <c r="AD43" s="220"/>
      <c r="AE43" s="220">
        <f t="shared" ca="1" si="4"/>
        <v>6.8927180689868474E-3</v>
      </c>
    </row>
    <row r="44" spans="1:31" customFormat="1" ht="14.5">
      <c r="A44" s="220"/>
      <c r="B44" s="267">
        <v>6</v>
      </c>
      <c r="C44" s="68" t="s">
        <v>513</v>
      </c>
      <c r="D44" s="246">
        <f t="shared" ca="1" si="6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2.1447239720824701E-4</v>
      </c>
      <c r="J44" s="403">
        <f ca="1"/>
        <v>4.5196209833667797E-4</v>
      </c>
      <c r="K44" s="403">
        <f ca="1"/>
        <v>0.47453624540100497</v>
      </c>
      <c r="L44" s="403">
        <f ca="1"/>
        <v>0.47453624540100497</v>
      </c>
      <c r="M44" s="403">
        <f ca="1"/>
        <v>7.4635033242700802E-4</v>
      </c>
      <c r="N44" s="687" t="str">
        <f ca="1"/>
        <v>SOLVAY</v>
      </c>
      <c r="O44" s="403">
        <f ca="1"/>
        <v>7.5224995821600193E-2</v>
      </c>
      <c r="P44" s="403">
        <f ca="1"/>
        <v>0.75634392867849998</v>
      </c>
      <c r="Q44" s="403">
        <f ca="1"/>
        <v>9.9458715763124997E-2</v>
      </c>
      <c r="R44" s="441">
        <f ca="1"/>
        <v>9.9458715763124997E-2</v>
      </c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-6.6778196615791003E-3</v>
      </c>
      <c r="U44" s="413">
        <f ca="1"/>
        <v>3.9976728196730801E-2</v>
      </c>
      <c r="V44" s="413">
        <f ca="1"/>
        <v>4.66545478583099E-2</v>
      </c>
      <c r="W44" s="414">
        <f ca="1"/>
        <v>8.5686669428541792E-3</v>
      </c>
      <c r="X44" s="415">
        <f ca="1"/>
        <v>4.66545478583099</v>
      </c>
      <c r="Y44" s="416">
        <f t="shared" ca="1" si="5"/>
        <v>7.0509814444150443E-3</v>
      </c>
      <c r="Z44" s="417">
        <f t="shared" ca="1" si="2"/>
        <v>-2.8187516872357277E-4</v>
      </c>
      <c r="AA44" s="416">
        <f t="shared" ca="1" si="0"/>
        <v>5.3924573341023289E-3</v>
      </c>
      <c r="AB44" s="418">
        <f t="shared" ca="1" si="1"/>
        <v>8.1402335957114699E-3</v>
      </c>
      <c r="AC44" s="417">
        <f t="shared" ca="1" si="3"/>
        <v>-1.0778640057893836E-5</v>
      </c>
      <c r="AD44" s="220"/>
      <c r="AE44" s="220">
        <f t="shared" ca="1" si="4"/>
        <v>1.1930706155046307E-2</v>
      </c>
    </row>
    <row r="45" spans="1:31" customFormat="1" ht="14.5">
      <c r="A45" s="220"/>
      <c r="B45" s="267">
        <v>7</v>
      </c>
      <c r="C45" s="68" t="s">
        <v>514</v>
      </c>
      <c r="D45" s="246">
        <f t="shared" ca="1" si="6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1.7970144037955001E-4</v>
      </c>
      <c r="J45" s="403">
        <f ca="1"/>
        <v>4.59179796950034E-4</v>
      </c>
      <c r="K45" s="403">
        <f ca="1"/>
        <v>0.391353107373547</v>
      </c>
      <c r="L45" s="403">
        <f ca="1"/>
        <v>0.391353107373547</v>
      </c>
      <c r="M45" s="403">
        <f ca="1"/>
        <v>9.21788506483656E-4</v>
      </c>
      <c r="N45" s="687" t="str">
        <f ca="1"/>
        <v>STELLANTIS N.V.</v>
      </c>
      <c r="O45" s="403">
        <f ca="1"/>
        <v>7.06991980995402E-2</v>
      </c>
      <c r="P45" s="403">
        <f ca="1"/>
        <v>0.74682942518422701</v>
      </c>
      <c r="Q45" s="403">
        <f ca="1"/>
        <v>9.4665790762194696E-2</v>
      </c>
      <c r="R45" s="441">
        <f ca="1"/>
        <v>9.4665790762194696E-2</v>
      </c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3.3374471744979E-3</v>
      </c>
      <c r="U45" s="413">
        <f ca="1"/>
        <v>4.9774549118033203E-2</v>
      </c>
      <c r="V45" s="413">
        <f ca="1"/>
        <v>4.64371019435353E-2</v>
      </c>
      <c r="W45" s="414">
        <f ca="1"/>
        <v>1.0718702725798E-2</v>
      </c>
      <c r="X45" s="415">
        <f ca="1"/>
        <v>4.6437101943535302</v>
      </c>
      <c r="Y45" s="416">
        <f t="shared" ca="1" si="5"/>
        <v>7.0509814444150443E-3</v>
      </c>
      <c r="Z45" s="417">
        <f t="shared" ca="1" si="2"/>
        <v>-3.509594222353769E-4</v>
      </c>
      <c r="AA45" s="416">
        <f t="shared" ca="1" si="0"/>
        <v>4.4471944019721247E-3</v>
      </c>
      <c r="AB45" s="418">
        <f t="shared" ca="1" si="1"/>
        <v>1.0182767589508099E-2</v>
      </c>
      <c r="AC45" s="417">
        <f t="shared" ca="1" si="3"/>
        <v>-1.1067854809920194E-5</v>
      </c>
      <c r="AD45" s="220"/>
      <c r="AE45" s="220">
        <f t="shared" ca="1" si="4"/>
        <v>1.3598828991641493E-2</v>
      </c>
    </row>
    <row r="46" spans="1:31" customFormat="1" ht="14.5">
      <c r="A46" s="220"/>
      <c r="B46" s="267">
        <v>8</v>
      </c>
      <c r="C46" s="68" t="s">
        <v>515</v>
      </c>
      <c r="D46" s="246">
        <f t="shared" ca="1" si="6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2.13776076216741E-4</v>
      </c>
      <c r="J46" s="403">
        <f ca="1"/>
        <v>4.5215769682936701E-4</v>
      </c>
      <c r="K46" s="403">
        <f ca="1"/>
        <v>0.47279097030922501</v>
      </c>
      <c r="L46" s="403">
        <f ca="1"/>
        <v>0.47279097030922501</v>
      </c>
      <c r="M46" s="403">
        <f ca="1"/>
        <v>7.1269844772266298E-4</v>
      </c>
      <c r="N46" s="687" t="str">
        <f ca="1"/>
        <v>STORA ENSO OYJ</v>
      </c>
      <c r="O46" s="403">
        <f ca="1"/>
        <v>7.5353994056659906E-2</v>
      </c>
      <c r="P46" s="403">
        <f ca="1"/>
        <v>0.75660756021846498</v>
      </c>
      <c r="Q46" s="403">
        <f ca="1"/>
        <v>9.9594556040256799E-2</v>
      </c>
      <c r="R46" s="441">
        <f ca="1"/>
        <v>9.9594556040256799E-2</v>
      </c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-6.9553265457528001E-3</v>
      </c>
      <c r="U46" s="413">
        <f ca="1"/>
        <v>3.9726003600096101E-2</v>
      </c>
      <c r="V46" s="413">
        <f ca="1"/>
        <v>4.6681330145848902E-2</v>
      </c>
      <c r="W46" s="414">
        <f ca="1"/>
        <v>8.5100410540955105E-3</v>
      </c>
      <c r="X46" s="415">
        <f ca="1"/>
        <v>4.6681330145848898</v>
      </c>
      <c r="Y46" s="416">
        <f t="shared" ca="1" si="5"/>
        <v>7.0509814444150443E-3</v>
      </c>
      <c r="Z46" s="417">
        <f t="shared" ca="1" si="2"/>
        <v>-2.8010731424504246E-4</v>
      </c>
      <c r="AA46" s="416">
        <f t="shared" ca="1" si="0"/>
        <v>5.3726246626048298E-3</v>
      </c>
      <c r="AB46" s="418">
        <f t="shared" ca="1" si="1"/>
        <v>8.0845390013907347E-3</v>
      </c>
      <c r="AC46" s="417">
        <f t="shared" ca="1" si="3"/>
        <v>-1.0671645334430222E-5</v>
      </c>
      <c r="AD46" s="220"/>
      <c r="AE46" s="220">
        <f t="shared" ca="1" si="4"/>
        <v>1.1488335708370656E-2</v>
      </c>
    </row>
    <row r="47" spans="1:31" customFormat="1" ht="14.5">
      <c r="A47" s="220"/>
      <c r="B47" s="267">
        <v>9</v>
      </c>
      <c r="C47" s="68" t="s">
        <v>530</v>
      </c>
      <c r="D47" s="246">
        <f t="shared" ca="1" si="6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1.41293768517094E-4</v>
      </c>
      <c r="J47" s="403">
        <f ca="1"/>
        <v>4.5366848976795997E-4</v>
      </c>
      <c r="K47" s="403">
        <f ca="1"/>
        <v>0.31144717277887701</v>
      </c>
      <c r="L47" s="403">
        <f ca="1"/>
        <v>0.31144717277887701</v>
      </c>
      <c r="M47" s="403">
        <f ca="1"/>
        <v>8.3443182625348496E-4</v>
      </c>
      <c r="N47" s="687" t="str">
        <f ca="1"/>
        <v>UNIBAIL-RODAMCO-WESTFIELD SE</v>
      </c>
      <c r="O47" s="403">
        <f ca="1"/>
        <v>6.7595767161599901E-2</v>
      </c>
      <c r="P47" s="403">
        <f ca="1"/>
        <v>0.73889707846025199</v>
      </c>
      <c r="Q47" s="403">
        <f ca="1"/>
        <v>9.1481979198590302E-2</v>
      </c>
      <c r="R47" s="441">
        <f ca="1"/>
        <v>9.1481979198590302E-2</v>
      </c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1.1687285831313701E-2</v>
      </c>
      <c r="U47" s="413">
        <f ca="1"/>
        <v>5.7913044048241401E-2</v>
      </c>
      <c r="V47" s="413">
        <f ca="1"/>
        <v>4.6225758216927697E-2</v>
      </c>
      <c r="W47" s="414">
        <f ca="1"/>
        <v>1.2528305923391801E-2</v>
      </c>
      <c r="X47" s="415">
        <f ca="1"/>
        <v>4.6225758216927701</v>
      </c>
      <c r="Y47" s="416">
        <f t="shared" ca="1" si="5"/>
        <v>7.0509814444150443E-3</v>
      </c>
      <c r="Z47" s="417">
        <f t="shared" ca="1" si="2"/>
        <v>-4.0834379897374017E-4</v>
      </c>
      <c r="AA47" s="416">
        <f t="shared" ca="1" si="0"/>
        <v>3.5391724179417842E-3</v>
      </c>
      <c r="AB47" s="418">
        <f t="shared" ca="1" si="1"/>
        <v>1.190189062722221E-2</v>
      </c>
      <c r="AC47" s="417">
        <f t="shared" ca="1" si="3"/>
        <v>-1.0248212406729161E-5</v>
      </c>
      <c r="AD47" s="220"/>
      <c r="AE47" s="220">
        <f t="shared" ca="1" si="4"/>
        <v>1.5556486156789014E-2</v>
      </c>
    </row>
    <row r="48" spans="1:31" customFormat="1" ht="14.5">
      <c r="A48" s="220"/>
      <c r="B48" s="267">
        <v>10</v>
      </c>
      <c r="C48" s="68" t="s">
        <v>531</v>
      </c>
      <c r="D48" s="246">
        <f t="shared" ca="1" si="6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3.90952418979298E-4</v>
      </c>
      <c r="J48" s="403">
        <f ca="1"/>
        <v>4.8225647755969402E-4</v>
      </c>
      <c r="K48" s="403">
        <f ca="1"/>
        <v>0.81067323544846703</v>
      </c>
      <c r="L48" s="403">
        <f ca="1"/>
        <v>0.81067323544846703</v>
      </c>
      <c r="M48" s="403">
        <f ca="1"/>
        <v>2.3067342161614801E-4</v>
      </c>
      <c r="N48" s="687" t="str">
        <f ca="1"/>
        <v>VINCI</v>
      </c>
      <c r="O48" s="403">
        <f ca="1"/>
        <v>9.1502582577629901E-2</v>
      </c>
      <c r="P48" s="403">
        <f ca="1"/>
        <v>0.78037443019116104</v>
      </c>
      <c r="Q48" s="403">
        <f ca="1"/>
        <v>0.117254716502199</v>
      </c>
      <c r="R48" s="441">
        <f ca="1"/>
        <v>0.117254716502199</v>
      </c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-3.19730844117481E-2</v>
      </c>
      <c r="U48" s="413">
        <f ca="1"/>
        <v>1.53972682680035E-2</v>
      </c>
      <c r="V48" s="413">
        <f ca="1"/>
        <v>4.73703526797516E-2</v>
      </c>
      <c r="W48" s="414">
        <f ca="1"/>
        <v>3.2504018646635499E-3</v>
      </c>
      <c r="X48" s="415">
        <f ca="1"/>
        <v>4.7370352679751599</v>
      </c>
      <c r="Y48" s="416">
        <f t="shared" ca="1" si="5"/>
        <v>7.0509814444150443E-3</v>
      </c>
      <c r="Z48" s="417">
        <f t="shared" ca="1" si="2"/>
        <v>-1.0856585285237295E-4</v>
      </c>
      <c r="AA48" s="416">
        <f t="shared" ca="1" si="0"/>
        <v>9.2121958573689443E-3</v>
      </c>
      <c r="AB48" s="418">
        <f t="shared" ca="1" si="1"/>
        <v>3.0878817714303725E-3</v>
      </c>
      <c r="AC48" s="417">
        <f t="shared" ca="1" si="3"/>
        <v>-7.0921325476649868E-6</v>
      </c>
      <c r="AD48" s="220"/>
      <c r="AE48" s="220">
        <f t="shared" ca="1" si="4"/>
        <v>4.5069228051163417E-3</v>
      </c>
    </row>
    <row r="49" spans="1:31" customFormat="1" ht="14.5">
      <c r="A49" s="220"/>
      <c r="B49" s="267">
        <v>11</v>
      </c>
      <c r="C49" s="68" t="s">
        <v>532</v>
      </c>
      <c r="D49" s="246">
        <f t="shared" ca="1" si="6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1.98568383836584E-4</v>
      </c>
      <c r="J49" s="403">
        <f ca="1"/>
        <v>4.4975715646221499E-4</v>
      </c>
      <c r="K49" s="403">
        <f ca="1"/>
        <v>0.44150133240462702</v>
      </c>
      <c r="L49" s="403">
        <f ca="1"/>
        <v>0.44150133240462702</v>
      </c>
      <c r="M49" s="403">
        <f ca="1"/>
        <v>7.4314318998202299E-4</v>
      </c>
      <c r="N49" s="687" t="str">
        <f ca="1"/>
        <v>VOLKSWAGEN AKTIENGESELLSCHAFT</v>
      </c>
      <c r="O49" s="403">
        <f ca="1"/>
        <v>7.3860168199370205E-2</v>
      </c>
      <c r="P49" s="403">
        <f ca="1"/>
        <v>0.753734228613549</v>
      </c>
      <c r="Q49" s="403">
        <f ca="1"/>
        <v>9.7992323282480795E-2</v>
      </c>
      <c r="R49" s="441">
        <f ca="1"/>
        <v>9.7992323282480795E-2</v>
      </c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-3.9307669616303999E-3</v>
      </c>
      <c r="U49" s="413">
        <f ca="1"/>
        <v>4.2731276327074803E-2</v>
      </c>
      <c r="V49" s="413">
        <f ca="1"/>
        <v>4.6662043288705199E-2</v>
      </c>
      <c r="W49" s="414">
        <f ca="1"/>
        <v>9.1576093362842996E-3</v>
      </c>
      <c r="X49" s="415">
        <f ca="1"/>
        <v>4.6662043288705197</v>
      </c>
      <c r="Y49" s="416">
        <f t="shared" ca="1" si="5"/>
        <v>7.0509814444150443E-3</v>
      </c>
      <c r="Z49" s="417">
        <f t="shared" ca="1" si="2"/>
        <v>-3.0129743647837684E-4</v>
      </c>
      <c r="AA49" s="416">
        <f t="shared" ca="1" si="0"/>
        <v>5.0170605955071257E-3</v>
      </c>
      <c r="AB49" s="418">
        <f t="shared" ca="1" si="1"/>
        <v>8.6997288694700848E-3</v>
      </c>
      <c r="AC49" s="417">
        <f t="shared" ca="1" si="3"/>
        <v>-1.0719270132814689E-5</v>
      </c>
      <c r="AD49" s="220"/>
      <c r="AE49" s="220">
        <f t="shared" ca="1" si="4"/>
        <v>1.1107602406648749E-2</v>
      </c>
    </row>
    <row r="50" spans="1:31" customFormat="1" ht="14.5">
      <c r="A50" s="220"/>
      <c r="B50" s="267">
        <v>12</v>
      </c>
      <c r="C50" s="68" t="s">
        <v>516</v>
      </c>
      <c r="D50" s="246">
        <f t="shared" ca="1" si="6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2.5934720643227199E-4</v>
      </c>
      <c r="J50" s="403">
        <f ca="1"/>
        <v>4.5725600982477903E-4</v>
      </c>
      <c r="K50" s="403">
        <f ca="1"/>
        <v>0.56718162442884901</v>
      </c>
      <c r="L50" s="403">
        <f ca="1"/>
        <v>0.56718162442884901</v>
      </c>
      <c r="M50" s="403">
        <f ca="1"/>
        <v>7.3606971893157801E-4</v>
      </c>
      <c r="N50" s="687" t="str">
        <f ca="1"/>
        <v>WENDEL</v>
      </c>
      <c r="O50" s="403">
        <f ca="1"/>
        <v>7.8879328935780105E-2</v>
      </c>
      <c r="P50" s="403">
        <f ca="1"/>
        <v>0.76285602240666095</v>
      </c>
      <c r="Q50" s="403">
        <f ca="1"/>
        <v>0.103400021260803</v>
      </c>
      <c r="R50" s="441">
        <f ca="1"/>
        <v>0.103400021260803</v>
      </c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-1.3532655164906499E-2</v>
      </c>
      <c r="U50" s="413">
        <f ca="1"/>
        <v>3.33142917035779E-2</v>
      </c>
      <c r="V50" s="413">
        <f ca="1"/>
        <v>4.6846946868484403E-2</v>
      </c>
      <c r="W50" s="414">
        <f ca="1"/>
        <v>7.1113047766170603E-3</v>
      </c>
      <c r="X50" s="415">
        <f ca="1"/>
        <v>4.6846946868484398</v>
      </c>
      <c r="Y50" s="416">
        <f t="shared" ca="1" si="5"/>
        <v>7.0509814444150443E-3</v>
      </c>
      <c r="Z50" s="417">
        <f t="shared" ca="1" si="2"/>
        <v>-2.3489845263575764E-4</v>
      </c>
      <c r="AA50" s="416">
        <f t="shared" ca="1" si="0"/>
        <v>6.4452457321460118E-3</v>
      </c>
      <c r="AB50" s="418">
        <f t="shared" ca="1" si="1"/>
        <v>6.7557395377862072E-3</v>
      </c>
      <c r="AC50" s="417">
        <f t="shared" ca="1" si="3"/>
        <v>-1.073593982109763E-5</v>
      </c>
      <c r="AD50" s="220"/>
      <c r="AE50" s="220">
        <f t="shared" ca="1" si="4"/>
        <v>9.9525264281402764E-3</v>
      </c>
    </row>
    <row r="51" spans="1:31" customFormat="1" ht="14.5">
      <c r="A51" s="220"/>
      <c r="B51" s="267">
        <v>13</v>
      </c>
      <c r="C51" s="68" t="s">
        <v>611</v>
      </c>
      <c r="D51" s="246">
        <f t="shared" ca="1" si="6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9.0483136375505406E-5</v>
      </c>
      <c r="J51" s="403">
        <f ca="1"/>
        <v>4.3780598022740899E-4</v>
      </c>
      <c r="K51" s="403">
        <f ca="1"/>
        <v>0.20667405303259201</v>
      </c>
      <c r="L51" s="403">
        <f ca="1"/>
        <v>0.20667405303259201</v>
      </c>
      <c r="M51" s="403">
        <f ca="1"/>
        <v>9.4551986370956602E-4</v>
      </c>
      <c r="N51" s="687" t="str">
        <f ca="1"/>
        <v>AKTIEBOLAGET ELECTROLUX</v>
      </c>
      <c r="O51" s="403">
        <f ca="1"/>
        <v>6.1683482854950199E-2</v>
      </c>
      <c r="P51" s="403">
        <f ca="1"/>
        <v>0.71816197438033103</v>
      </c>
      <c r="Q51" s="403">
        <f ca="1"/>
        <v>8.5890767062923395E-2</v>
      </c>
      <c r="R51" s="441">
        <f ca="1"/>
        <v>8.5890767062923395E-2</v>
      </c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3.3513711178599401E-2</v>
      </c>
      <c r="U51" s="413">
        <f ca="1"/>
        <v>7.9025584350955302E-2</v>
      </c>
      <c r="V51" s="413">
        <f ca="1"/>
        <v>4.5511873172355902E-2</v>
      </c>
      <c r="W51" s="414">
        <f ca="1"/>
        <v>1.7363729251855E-2</v>
      </c>
      <c r="X51" s="415">
        <f ca="1"/>
        <v>4.5511873172355903</v>
      </c>
      <c r="Y51" s="416">
        <f t="shared" ca="1" si="5"/>
        <v>7.0509814444150443E-3</v>
      </c>
      <c r="Z51" s="417">
        <f t="shared" ca="1" si="2"/>
        <v>-5.5720792889264032E-4</v>
      </c>
      <c r="AA51" s="416">
        <f t="shared" ca="1" si="0"/>
        <v>2.3485687844612729E-3</v>
      </c>
      <c r="AB51" s="418">
        <f t="shared" ca="1" si="1"/>
        <v>1.6495542789262248E-2</v>
      </c>
      <c r="AC51" s="417">
        <f t="shared" ca="1" si="3"/>
        <v>-9.2798510290232451E-6</v>
      </c>
      <c r="AD51" s="220"/>
      <c r="AE51" s="220">
        <f t="shared" ca="1" si="4"/>
        <v>2.3743884336878008E-2</v>
      </c>
    </row>
    <row r="52" spans="1:31" customFormat="1" ht="14.5">
      <c r="A52" s="220"/>
      <c r="B52" s="267">
        <v>14</v>
      </c>
      <c r="C52" s="68" t="s">
        <v>517</v>
      </c>
      <c r="D52" s="246">
        <f t="shared" ca="1" si="6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3.5439762197225598E-4</v>
      </c>
      <c r="J52" s="403">
        <f ca="1"/>
        <v>4.7869431707126897E-4</v>
      </c>
      <c r="K52" s="403">
        <f ca="1"/>
        <v>0.74034223790355203</v>
      </c>
      <c r="L52" s="403">
        <f ca="1"/>
        <v>0.74034223790355203</v>
      </c>
      <c r="M52" s="403">
        <f ca="1"/>
        <v>3.3230984685719302E-4</v>
      </c>
      <c r="N52" s="687" t="str">
        <f ca="1"/>
        <v>ANHEUSER-BUSCH INBEV</v>
      </c>
      <c r="O52" s="403">
        <f ca="1"/>
        <v>8.80979018225201E-2</v>
      </c>
      <c r="P52" s="403">
        <f ca="1"/>
        <v>0.77620768337924295</v>
      </c>
      <c r="Q52" s="403">
        <f ca="1"/>
        <v>0.113497848203439</v>
      </c>
      <c r="R52" s="441">
        <f ca="1"/>
        <v>0.113497848203439</v>
      </c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-2.75870351360448E-2</v>
      </c>
      <c r="U52" s="413">
        <f ca="1"/>
        <v>1.9654801857257102E-2</v>
      </c>
      <c r="V52" s="413">
        <f ca="1"/>
        <v>4.7241836993301901E-2</v>
      </c>
      <c r="W52" s="414">
        <f ca="1"/>
        <v>4.1604651952979301E-3</v>
      </c>
      <c r="X52" s="415">
        <f ca="1"/>
        <v>4.7241836993301902</v>
      </c>
      <c r="Y52" s="416">
        <f t="shared" ca="1" si="5"/>
        <v>7.0509814444150443E-3</v>
      </c>
      <c r="Z52" s="417">
        <f t="shared" ca="1" si="2"/>
        <v>-1.38585643189174E-4</v>
      </c>
      <c r="AA52" s="416">
        <f t="shared" ca="1" si="0"/>
        <v>8.4129799761767272E-3</v>
      </c>
      <c r="AB52" s="418">
        <f t="shared" ca="1" si="1"/>
        <v>3.9524419355330331E-3</v>
      </c>
      <c r="AC52" s="417">
        <f t="shared" ca="1" si="3"/>
        <v>-8.2677727230412667E-6</v>
      </c>
      <c r="AD52" s="220"/>
      <c r="AE52" s="220">
        <f t="shared" ca="1" si="4"/>
        <v>5.8802642682255039E-3</v>
      </c>
    </row>
    <row r="53" spans="1:31" customFormat="1" ht="14.5">
      <c r="A53" s="220"/>
      <c r="B53" s="267">
        <v>15</v>
      </c>
      <c r="C53" s="68" t="s">
        <v>518</v>
      </c>
      <c r="D53" s="246">
        <f t="shared" ca="1" si="6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2.6024244525204199E-4</v>
      </c>
      <c r="J53" s="403">
        <f ca="1"/>
        <v>4.5742219171824401E-4</v>
      </c>
      <c r="K53" s="403">
        <f ca="1"/>
        <v>0.56893270585425004</v>
      </c>
      <c r="L53" s="403">
        <f ca="1"/>
        <v>0.56893270585425004</v>
      </c>
      <c r="M53" s="403">
        <f ca="1"/>
        <v>7.2590049450783802E-4</v>
      </c>
      <c r="N53" s="687" t="str">
        <f ca="1"/>
        <v>BRITISH AMERICAN TOBACCO P.L.C.</v>
      </c>
      <c r="O53" s="403">
        <f ca="1"/>
        <v>7.9009595461770193E-2</v>
      </c>
      <c r="P53" s="403">
        <f ca="1"/>
        <v>0.76310690218979604</v>
      </c>
      <c r="Q53" s="403">
        <f ca="1"/>
        <v>0.103536732841815</v>
      </c>
      <c r="R53" s="441">
        <f ca="1"/>
        <v>0.103536732841815</v>
      </c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-1.37967391471532E-2</v>
      </c>
      <c r="U53" s="413">
        <f ca="1"/>
        <v>3.3095986580023197E-2</v>
      </c>
      <c r="V53" s="413">
        <f ca="1"/>
        <v>4.6892725727176399E-2</v>
      </c>
      <c r="W53" s="414">
        <f ca="1"/>
        <v>7.0578082350291997E-3</v>
      </c>
      <c r="X53" s="415">
        <f ca="1"/>
        <v>4.6892725727176403</v>
      </c>
      <c r="Y53" s="416">
        <f t="shared" ca="1" si="5"/>
        <v>7.0509814444150443E-3</v>
      </c>
      <c r="Z53" s="417">
        <f t="shared" ca="1" si="2"/>
        <v>-2.3335918726035237E-4</v>
      </c>
      <c r="AA53" s="416">
        <f t="shared" ca="1" si="0"/>
        <v>6.4651443847073865E-3</v>
      </c>
      <c r="AB53" s="418">
        <f t="shared" ca="1" si="1"/>
        <v>6.7049178232777397E-3</v>
      </c>
      <c r="AC53" s="417">
        <f t="shared" ca="1" si="3"/>
        <v>-1.0698516589709376E-5</v>
      </c>
      <c r="AD53" s="220"/>
      <c r="AE53" s="220">
        <f t="shared" ca="1" si="4"/>
        <v>9.1452418053781289E-3</v>
      </c>
    </row>
    <row r="54" spans="1:31" customFormat="1" ht="14.5">
      <c r="A54" s="220"/>
      <c r="B54" s="267">
        <v>16</v>
      </c>
      <c r="C54" s="68" t="s">
        <v>533</v>
      </c>
      <c r="D54" s="246">
        <f t="shared" ca="1" si="6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3.9730252332718799E-4</v>
      </c>
      <c r="J54" s="403">
        <f ca="1"/>
        <v>4.8289793868937301E-4</v>
      </c>
      <c r="K54" s="403">
        <f ca="1"/>
        <v>0.82274636418101399</v>
      </c>
      <c r="L54" s="403">
        <f ca="1"/>
        <v>0.82274636418101399</v>
      </c>
      <c r="M54" s="403">
        <f ca="1"/>
        <v>2.1418091085820401E-4</v>
      </c>
      <c r="N54" s="687" t="str">
        <f ca="1"/>
        <v>CARLSBERG BREWERIES A/S</v>
      </c>
      <c r="O54" s="403">
        <f ca="1"/>
        <v>9.2077263342920102E-2</v>
      </c>
      <c r="P54" s="403">
        <f ca="1"/>
        <v>0.78105641186060804</v>
      </c>
      <c r="Q54" s="403">
        <f ca="1"/>
        <v>0.117888108905702</v>
      </c>
      <c r="R54" s="441">
        <f ca="1"/>
        <v>0.117888108905702</v>
      </c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-3.2690959853271202E-2</v>
      </c>
      <c r="U54" s="413">
        <f ca="1"/>
        <v>1.4712892820885601E-2</v>
      </c>
      <c r="V54" s="413">
        <f ca="1"/>
        <v>4.7403852674156803E-2</v>
      </c>
      <c r="W54" s="414">
        <f ca="1"/>
        <v>3.1037335555864202E-3</v>
      </c>
      <c r="X54" s="415">
        <f ca="1"/>
        <v>4.7403852674156797</v>
      </c>
      <c r="Y54" s="416">
        <f t="shared" ca="1" si="5"/>
        <v>7.0509814444150443E-3</v>
      </c>
      <c r="Z54" s="417">
        <f t="shared" ca="1" si="2"/>
        <v>-1.0374033427373134E-4</v>
      </c>
      <c r="AA54" s="416">
        <f t="shared" ca="1" si="0"/>
        <v>9.3493905020569767E-3</v>
      </c>
      <c r="AB54" s="418">
        <f t="shared" ca="1" si="1"/>
        <v>2.948546877807099E-3</v>
      </c>
      <c r="AC54" s="417">
        <f t="shared" ca="1" si="3"/>
        <v>-6.8778290198684933E-6</v>
      </c>
      <c r="AD54" s="220"/>
      <c r="AE54" s="220">
        <f t="shared" ca="1" si="4"/>
        <v>4.0453824002200925E-3</v>
      </c>
    </row>
    <row r="55" spans="1:31" customFormat="1" ht="14.5">
      <c r="A55" s="220"/>
      <c r="B55" s="267">
        <v>17</v>
      </c>
      <c r="C55" s="68" t="s">
        <v>519</v>
      </c>
      <c r="D55" s="246">
        <f t="shared" ca="1" si="6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3.2885796717178699E-4</v>
      </c>
      <c r="J55" s="403">
        <f ca="1"/>
        <v>4.7424636935034003E-4</v>
      </c>
      <c r="K55" s="403">
        <f ca="1"/>
        <v>0.69343275652754599</v>
      </c>
      <c r="L55" s="403">
        <f ca="1"/>
        <v>0.69343275652754599</v>
      </c>
      <c r="M55" s="403">
        <f ca="1"/>
        <v>5.9858272132706704E-4</v>
      </c>
      <c r="N55" s="687" t="str">
        <f ca="1"/>
        <v>CARREFOUR</v>
      </c>
      <c r="O55" s="403">
        <f ca="1"/>
        <v>8.4275439180649905E-2</v>
      </c>
      <c r="P55" s="403">
        <f ca="1"/>
        <v>0.77113072558648099</v>
      </c>
      <c r="Q55" s="403">
        <f ca="1"/>
        <v>0.109288135441049</v>
      </c>
      <c r="R55" s="441">
        <f ca="1"/>
        <v>0.109288135441049</v>
      </c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-2.22428690384011E-2</v>
      </c>
      <c r="U55" s="413">
        <f ca="1"/>
        <v>2.4886042286488601E-2</v>
      </c>
      <c r="V55" s="413">
        <f ca="1"/>
        <v>4.7128911324889701E-2</v>
      </c>
      <c r="W55" s="414">
        <f ca="1"/>
        <v>5.2804195104218001E-3</v>
      </c>
      <c r="X55" s="415">
        <f ca="1"/>
        <v>4.71289113248897</v>
      </c>
      <c r="Y55" s="416">
        <f t="shared" ca="1" si="5"/>
        <v>7.0509814444150443E-3</v>
      </c>
      <c r="Z55" s="417">
        <f t="shared" ca="1" si="2"/>
        <v>-1.7547102238695962E-4</v>
      </c>
      <c r="AA55" s="416">
        <f t="shared" ca="1" si="0"/>
        <v>7.879917687813022E-3</v>
      </c>
      <c r="AB55" s="418">
        <f t="shared" ca="1" si="1"/>
        <v>5.0163985349007097E-3</v>
      </c>
      <c r="AC55" s="417">
        <f t="shared" ca="1" si="3"/>
        <v>-9.8049982396482498E-6</v>
      </c>
      <c r="AD55" s="220"/>
      <c r="AE55" s="220">
        <f t="shared" ca="1" si="4"/>
        <v>6.7217784840054185E-3</v>
      </c>
    </row>
    <row r="56" spans="1:31" customFormat="1" ht="14.5">
      <c r="A56" s="220"/>
      <c r="B56" s="267">
        <v>18</v>
      </c>
      <c r="C56" s="68" t="s">
        <v>534</v>
      </c>
      <c r="D56" s="246">
        <f t="shared" ca="1" si="6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4.2983288094266203E-4</v>
      </c>
      <c r="J56" s="403">
        <f ca="1"/>
        <v>4.8573878684479097E-4</v>
      </c>
      <c r="K56" s="403">
        <f ca="1"/>
        <v>0.88490541126996203</v>
      </c>
      <c r="L56" s="403">
        <f ca="1"/>
        <v>0.88490541126996203</v>
      </c>
      <c r="M56" s="403">
        <f ca="1"/>
        <v>1.32544679609677E-4</v>
      </c>
      <c r="N56" s="687" t="str">
        <f ca="1"/>
        <v>COMPASS GROUP PLC</v>
      </c>
      <c r="O56" s="403">
        <f ca="1"/>
        <v>9.5207494078909993E-2</v>
      </c>
      <c r="P56" s="403">
        <f ca="1"/>
        <v>0.784577910439342</v>
      </c>
      <c r="Q56" s="403">
        <f ca="1"/>
        <v>0.12134868036954601</v>
      </c>
      <c r="R56" s="441">
        <f ca="1"/>
        <v>0.12134868036954601</v>
      </c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-3.6397800462464797E-2</v>
      </c>
      <c r="U56" s="413">
        <f ca="1"/>
        <v>1.1105838742753201E-2</v>
      </c>
      <c r="V56" s="413">
        <f ca="1"/>
        <v>4.7503639205218003E-2</v>
      </c>
      <c r="W56" s="414">
        <f ca="1"/>
        <v>2.3378921970115601E-3</v>
      </c>
      <c r="X56" s="415">
        <f ca="1"/>
        <v>4.7503639205218002</v>
      </c>
      <c r="Y56" s="416">
        <f t="shared" ca="1" si="5"/>
        <v>7.0509814444150443E-3</v>
      </c>
      <c r="Z56" s="417">
        <f t="shared" ca="1" si="2"/>
        <v>-7.8307062899818228E-5</v>
      </c>
      <c r="AA56" s="416">
        <f t="shared" ca="1" si="0"/>
        <v>1.0055743309885932E-2</v>
      </c>
      <c r="AB56" s="418">
        <f t="shared" ca="1" si="1"/>
        <v>2.2209975871609819E-3</v>
      </c>
      <c r="AC56" s="417">
        <f t="shared" ca="1" si="3"/>
        <v>-5.5838731819056138E-6</v>
      </c>
      <c r="AD56" s="220"/>
      <c r="AE56" s="220">
        <f t="shared" ca="1" si="4"/>
        <v>3.0515750550505504E-3</v>
      </c>
    </row>
    <row r="57" spans="1:31" customFormat="1" ht="14.5">
      <c r="A57" s="220"/>
      <c r="B57" s="267">
        <v>19</v>
      </c>
      <c r="C57" s="68" t="s">
        <v>535</v>
      </c>
      <c r="D57" s="246">
        <f t="shared" ca="1" si="6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3.8847982160652002E-4</v>
      </c>
      <c r="J57" s="403">
        <f ca="1"/>
        <v>4.8051658359360601E-4</v>
      </c>
      <c r="K57" s="403">
        <f ca="1"/>
        <v>0.80846288113767695</v>
      </c>
      <c r="L57" s="403">
        <f ca="1"/>
        <v>0.80846288113767695</v>
      </c>
      <c r="M57" s="403">
        <f ca="1"/>
        <v>3.95598312658878E-4</v>
      </c>
      <c r="N57" s="687" t="str">
        <f ca="1"/>
        <v>DANONE</v>
      </c>
      <c r="O57" s="403">
        <f ca="1"/>
        <v>8.9749593360420196E-2</v>
      </c>
      <c r="P57" s="403">
        <f ca="1"/>
        <v>0.77827581352220898</v>
      </c>
      <c r="Q57" s="403">
        <f ca="1"/>
        <v>0.115318492237661</v>
      </c>
      <c r="R57" s="441">
        <f ca="1"/>
        <v>0.115318492237661</v>
      </c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-2.97640142339037E-2</v>
      </c>
      <c r="U57" s="413">
        <f ca="1"/>
        <v>1.7548993684968001E-2</v>
      </c>
      <c r="V57" s="413">
        <f ca="1"/>
        <v>4.7313007918871698E-2</v>
      </c>
      <c r="W57" s="414">
        <f ca="1"/>
        <v>3.7091266137759698E-3</v>
      </c>
      <c r="X57" s="415">
        <f ca="1"/>
        <v>4.7313007918871701</v>
      </c>
      <c r="Y57" s="416">
        <f t="shared" ca="1" si="5"/>
        <v>7.0509814444150443E-3</v>
      </c>
      <c r="Z57" s="417">
        <f t="shared" ca="1" si="2"/>
        <v>-1.2373762884086633E-4</v>
      </c>
      <c r="AA57" s="416">
        <f t="shared" ca="1" si="0"/>
        <v>9.1870781947463297E-3</v>
      </c>
      <c r="AB57" s="418">
        <f t="shared" ca="1" si="1"/>
        <v>3.5236702830871713E-3</v>
      </c>
      <c r="AC57" s="417">
        <f t="shared" ca="1" si="3"/>
        <v>-8.0611988611455372E-6</v>
      </c>
      <c r="AD57" s="220"/>
      <c r="AE57" s="220">
        <f t="shared" ca="1" si="4"/>
        <v>5.0584720067240758E-3</v>
      </c>
    </row>
    <row r="58" spans="1:31" customFormat="1" ht="14.5">
      <c r="A58" s="220"/>
      <c r="B58" s="267">
        <v>20</v>
      </c>
      <c r="C58" s="68" t="s">
        <v>612</v>
      </c>
      <c r="D58" s="246">
        <f t="shared" ca="1" si="6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3.84172680687999E-5</v>
      </c>
      <c r="J58" s="403">
        <f ca="1"/>
        <v>4.21665353711499E-4</v>
      </c>
      <c r="K58" s="403">
        <f ca="1"/>
        <v>9.1108429304544603E-2</v>
      </c>
      <c r="L58" s="403">
        <f ca="1"/>
        <v>9.1108429304544603E-2</v>
      </c>
      <c r="M58" s="403">
        <f ca="1"/>
        <v>5.18095390716668E-4</v>
      </c>
      <c r="N58" s="687" t="str">
        <f ca="1"/>
        <v>DIAGEO PLC</v>
      </c>
      <c r="O58" s="403">
        <f ca="1"/>
        <v>5.5801396712829902E-2</v>
      </c>
      <c r="P58" s="403">
        <f ca="1"/>
        <v>0.67402236669386595</v>
      </c>
      <c r="Q58" s="403">
        <f ca="1"/>
        <v>8.2788642440072502E-2</v>
      </c>
      <c r="R58" s="441">
        <f ca="1"/>
        <v>8.2788642440072502E-2</v>
      </c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7.9976456111720107E-2</v>
      </c>
      <c r="U58" s="413">
        <f ca="1"/>
        <v>0.125876541781095</v>
      </c>
      <c r="V58" s="413">
        <f ca="1"/>
        <v>4.5900085669374903E-2</v>
      </c>
      <c r="W58" s="414">
        <f ca="1"/>
        <v>2.7424031991530901E-2</v>
      </c>
      <c r="X58" s="415">
        <f ca="1"/>
        <v>4.5900085669374899</v>
      </c>
      <c r="Y58" s="416">
        <f t="shared" ca="1" si="5"/>
        <v>7.0509814444150443E-3</v>
      </c>
      <c r="Z58" s="417">
        <f t="shared" ca="1" si="2"/>
        <v>-8.8755316038563329E-4</v>
      </c>
      <c r="AA58" s="416">
        <f t="shared" ca="1" si="0"/>
        <v>1.0353230602789159E-3</v>
      </c>
      <c r="AB58" s="418">
        <f t="shared" ca="1" si="1"/>
        <v>2.6052830391954353E-2</v>
      </c>
      <c r="AC58" s="417">
        <f t="shared" ca="1" si="3"/>
        <v>-6.5161443227064947E-6</v>
      </c>
      <c r="AD58" s="220"/>
      <c r="AE58" s="220">
        <f t="shared" ca="1" si="4"/>
        <v>3.9572105798336759E-3</v>
      </c>
    </row>
    <row r="59" spans="1:31" customFormat="1" ht="14.5">
      <c r="A59" s="220"/>
      <c r="B59" s="267">
        <v>21</v>
      </c>
      <c r="C59" s="68" t="s">
        <v>520</v>
      </c>
      <c r="D59" s="246">
        <f t="shared" ca="1" si="6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3.4904165872262597E-5</v>
      </c>
      <c r="J59" s="403">
        <f ca="1"/>
        <v>4.0933690435776299E-4</v>
      </c>
      <c r="K59" s="403">
        <f ca="1"/>
        <v>8.5270019635845296E-2</v>
      </c>
      <c r="L59" s="403">
        <f ca="1"/>
        <v>8.5270019635845296E-2</v>
      </c>
      <c r="M59" s="403">
        <f ca="1"/>
        <v>6.0991486879735201E-4</v>
      </c>
      <c r="N59" s="687" t="str">
        <f ca="1"/>
        <v>ELO</v>
      </c>
      <c r="O59" s="403">
        <f ca="1"/>
        <v>5.6110491078380099E-2</v>
      </c>
      <c r="P59" s="403">
        <f ca="1"/>
        <v>0.68180259047712799</v>
      </c>
      <c r="Q59" s="403">
        <f ca="1"/>
        <v>8.2297268831310499E-2</v>
      </c>
      <c r="R59" s="441">
        <f ca="1"/>
        <v>8.2297268831310499E-2</v>
      </c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7.1786746866181195E-2</v>
      </c>
      <c r="U59" s="413">
        <f ca="1"/>
        <v>0.115950241898314</v>
      </c>
      <c r="V59" s="413">
        <f ca="1"/>
        <v>4.41634950321328E-2</v>
      </c>
      <c r="W59" s="414">
        <f ca="1"/>
        <v>2.6254770328740899E-2</v>
      </c>
      <c r="X59" s="415">
        <f ca="1"/>
        <v>4.4163495032132802</v>
      </c>
      <c r="Y59" s="416">
        <f t="shared" ca="1" si="5"/>
        <v>7.0509814444150443E-3</v>
      </c>
      <c r="Z59" s="417">
        <f t="shared" ca="1" si="2"/>
        <v>-8.1756300410044524E-4</v>
      </c>
      <c r="AA59" s="416">
        <f t="shared" ca="1" si="0"/>
        <v>9.6897749586187835E-4</v>
      </c>
      <c r="AB59" s="418">
        <f t="shared" ca="1" si="1"/>
        <v>2.4942031812303853E-2</v>
      </c>
      <c r="AC59" s="417">
        <f t="shared" ca="1" si="3"/>
        <v>-5.6176587519603571E-6</v>
      </c>
      <c r="AD59" s="220"/>
      <c r="AE59" s="220">
        <f t="shared" ca="1" si="4"/>
        <v>3.9921411516586777E-2</v>
      </c>
    </row>
    <row r="60" spans="1:31" customFormat="1" ht="14.5">
      <c r="A60" s="220"/>
      <c r="B60" s="267">
        <v>22</v>
      </c>
      <c r="C60" s="68" t="s">
        <v>613</v>
      </c>
      <c r="D60" s="246">
        <f t="shared" ca="1" si="6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3.9244727539842702E-4</v>
      </c>
      <c r="J60" s="403">
        <f ca="1"/>
        <v>4.8244309698950599E-4</v>
      </c>
      <c r="K60" s="403">
        <f ca="1"/>
        <v>0.81345816293639195</v>
      </c>
      <c r="L60" s="403">
        <f ca="1"/>
        <v>0.81345816293639195</v>
      </c>
      <c r="M60" s="403">
        <f ca="1"/>
        <v>2.2700529719096499E-4</v>
      </c>
      <c r="N60" s="687" t="str">
        <f ca="1"/>
        <v>HEINEKEN N.V.</v>
      </c>
      <c r="O60" s="403">
        <f ca="1"/>
        <v>9.1624342686160307E-2</v>
      </c>
      <c r="P60" s="403">
        <f ca="1"/>
        <v>0.78052581577513003</v>
      </c>
      <c r="Q60" s="403">
        <f ca="1"/>
        <v>0.11738797210079401</v>
      </c>
      <c r="R60" s="441">
        <f ca="1"/>
        <v>0.11738797210079401</v>
      </c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-3.2132437658032101E-2</v>
      </c>
      <c r="U60" s="413">
        <f ca="1"/>
        <v>1.52532669484391E-2</v>
      </c>
      <c r="V60" s="413">
        <f ca="1"/>
        <v>4.73857046064712E-2</v>
      </c>
      <c r="W60" s="414">
        <f ca="1"/>
        <v>3.2189596155875301E-3</v>
      </c>
      <c r="X60" s="415">
        <f ca="1"/>
        <v>4.7385704606471197</v>
      </c>
      <c r="Y60" s="416">
        <f t="shared" ca="1" si="5"/>
        <v>7.0509814444150443E-3</v>
      </c>
      <c r="Z60" s="417">
        <f t="shared" ca="1" si="2"/>
        <v>-1.0755050222015323E-4</v>
      </c>
      <c r="AA60" s="416">
        <f t="shared" ca="1" si="0"/>
        <v>9.2438427606408181E-3</v>
      </c>
      <c r="AB60" s="418">
        <f t="shared" ca="1" si="1"/>
        <v>3.0580116348081533E-3</v>
      </c>
      <c r="AC60" s="417">
        <f t="shared" ca="1" si="3"/>
        <v>-7.0499400628725345E-6</v>
      </c>
      <c r="AD60" s="220"/>
      <c r="AE60" s="220">
        <f t="shared" ca="1" si="4"/>
        <v>4.2541611656394997E-3</v>
      </c>
    </row>
    <row r="61" spans="1:31" customFormat="1" ht="14.5">
      <c r="A61" s="220"/>
      <c r="B61" s="267">
        <v>23</v>
      </c>
      <c r="C61" s="68" t="s">
        <v>536</v>
      </c>
      <c r="D61" s="246">
        <f t="shared" ca="1" si="6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4.3813844076054397E-4</v>
      </c>
      <c r="J61" s="403">
        <f ca="1"/>
        <v>4.8634726088066601E-4</v>
      </c>
      <c r="K61" s="403">
        <f ca="1"/>
        <v>0.90087572399847204</v>
      </c>
      <c r="L61" s="403">
        <f ca="1"/>
        <v>0.90087572399847204</v>
      </c>
      <c r="M61" s="403">
        <f ca="1"/>
        <v>1.1276635985264999E-4</v>
      </c>
      <c r="N61" s="687" t="str">
        <f ca="1"/>
        <v>HENKEL AG &amp; CO. KGAA</v>
      </c>
      <c r="O61" s="403">
        <f ca="1"/>
        <v>9.6076244366670102E-2</v>
      </c>
      <c r="P61" s="403">
        <f ca="1"/>
        <v>0.78550675465782405</v>
      </c>
      <c r="Q61" s="403">
        <f ca="1"/>
        <v>0.12231116256730599</v>
      </c>
      <c r="R61" s="441">
        <f ca="1"/>
        <v>0.12231116256730599</v>
      </c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-3.7375531218761901E-2</v>
      </c>
      <c r="U61" s="413">
        <f ca="1"/>
        <v>1.0137172872672301E-2</v>
      </c>
      <c r="V61" s="413">
        <f ca="1"/>
        <v>4.7512704091434203E-2</v>
      </c>
      <c r="W61" s="414">
        <f ca="1"/>
        <v>2.1335710241126501E-3</v>
      </c>
      <c r="X61" s="415">
        <f ca="1"/>
        <v>4.7512704091434204</v>
      </c>
      <c r="Y61" s="416">
        <f t="shared" ca="1" si="5"/>
        <v>7.0509814444150443E-3</v>
      </c>
      <c r="Z61" s="417">
        <f t="shared" ca="1" si="2"/>
        <v>-7.1477017824039642E-5</v>
      </c>
      <c r="AA61" s="416">
        <f t="shared" ca="1" si="0"/>
        <v>1.0237224136346272E-2</v>
      </c>
      <c r="AB61" s="418">
        <f t="shared" ca="1" si="1"/>
        <v>2.0268924729070176E-3</v>
      </c>
      <c r="AC61" s="417">
        <f t="shared" ca="1" si="3"/>
        <v>-5.1888255403217591E-6</v>
      </c>
      <c r="AD61" s="220"/>
      <c r="AE61" s="220">
        <f t="shared" ca="1" si="4"/>
        <v>3.1166384524504596E-3</v>
      </c>
    </row>
    <row r="62" spans="1:31" customFormat="1" ht="14.5">
      <c r="A62" s="220"/>
      <c r="B62" s="267">
        <v>24</v>
      </c>
      <c r="C62" s="68" t="s">
        <v>521</v>
      </c>
      <c r="D62" s="246">
        <f t="shared" ca="1" si="6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2.39160375631853E-4</v>
      </c>
      <c r="J62" s="403">
        <f ca="1"/>
        <v>4.5439826170451901E-4</v>
      </c>
      <c r="K62" s="403">
        <f ca="1"/>
        <v>0.52632326262588502</v>
      </c>
      <c r="L62" s="403">
        <f ca="1"/>
        <v>0.52632326262588502</v>
      </c>
      <c r="M62" s="403">
        <f ca="1"/>
        <v>8.0623365430314601E-4</v>
      </c>
      <c r="N62" s="687" t="str">
        <f ca="1"/>
        <v>IMPERIAL BRANDS PLC</v>
      </c>
      <c r="O62" s="403">
        <f ca="1"/>
        <v>7.6848011603689995E-2</v>
      </c>
      <c r="P62" s="403">
        <f ca="1"/>
        <v>0.75936916866663495</v>
      </c>
      <c r="Q62" s="403">
        <f ca="1"/>
        <v>0.101199804751918</v>
      </c>
      <c r="R62" s="441">
        <f ca="1"/>
        <v>0.101199804751918</v>
      </c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-9.8622828069840004E-3</v>
      </c>
      <c r="U62" s="413">
        <f ca="1"/>
        <v>3.6905165127975897E-2</v>
      </c>
      <c r="V62" s="413">
        <f ca="1"/>
        <v>4.6767447934959898E-2</v>
      </c>
      <c r="W62" s="414">
        <f ca="1"/>
        <v>7.8912078288514691E-3</v>
      </c>
      <c r="X62" s="415">
        <f ca="1"/>
        <v>4.67674479349599</v>
      </c>
      <c r="Y62" s="416">
        <f t="shared" ca="1" si="5"/>
        <v>7.0509814444150443E-3</v>
      </c>
      <c r="Z62" s="417">
        <f t="shared" ca="1" si="2"/>
        <v>-2.6021763452043124E-4</v>
      </c>
      <c r="AA62" s="416">
        <f t="shared" ca="1" si="0"/>
        <v>5.9809461662032387E-3</v>
      </c>
      <c r="AB62" s="418">
        <f t="shared" ca="1" si="1"/>
        <v>7.4966474374088951E-3</v>
      </c>
      <c r="AC62" s="417">
        <f t="shared" ca="1" si="3"/>
        <v>-1.1036390294263263E-5</v>
      </c>
      <c r="AD62" s="220"/>
      <c r="AE62" s="220">
        <f t="shared" ca="1" si="4"/>
        <v>1.0563625905184244E-2</v>
      </c>
    </row>
    <row r="63" spans="1:31" customFormat="1" ht="14.5">
      <c r="A63" s="220"/>
      <c r="B63" s="267">
        <v>25</v>
      </c>
      <c r="C63" s="68" t="s">
        <v>537</v>
      </c>
      <c r="D63" s="246">
        <f t="shared" ca="1" si="6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3.5775845119419899E-4</v>
      </c>
      <c r="J63" s="403">
        <f ca="1"/>
        <v>4.77582544099146E-4</v>
      </c>
      <c r="K63" s="403">
        <f ca="1"/>
        <v>0.74910286318992503</v>
      </c>
      <c r="L63" s="403">
        <f ca="1"/>
        <v>0.74910286318992503</v>
      </c>
      <c r="M63" s="403">
        <f ca="1"/>
        <v>4.80201499264838E-4</v>
      </c>
      <c r="N63" s="687" t="str">
        <f ca="1"/>
        <v>KERING</v>
      </c>
      <c r="O63" s="403">
        <f ca="1"/>
        <v>8.7088714966620198E-2</v>
      </c>
      <c r="P63" s="403">
        <f ca="1"/>
        <v>0.774912146766358</v>
      </c>
      <c r="Q63" s="403">
        <f ca="1"/>
        <v>0.11238527532447901</v>
      </c>
      <c r="R63" s="441">
        <f ca="1"/>
        <v>0.11238527532447901</v>
      </c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-2.6223312385639502E-2</v>
      </c>
      <c r="U63" s="413">
        <f ca="1"/>
        <v>2.09853245591438E-2</v>
      </c>
      <c r="V63" s="413">
        <f ca="1"/>
        <v>4.7208636944783298E-2</v>
      </c>
      <c r="W63" s="414">
        <f ca="1"/>
        <v>4.4452299234330602E-3</v>
      </c>
      <c r="X63" s="415">
        <f ca="1"/>
        <v>4.7208636944783304</v>
      </c>
      <c r="Y63" s="416">
        <f t="shared" ca="1" si="5"/>
        <v>7.0509814444150443E-3</v>
      </c>
      <c r="Z63" s="417">
        <f t="shared" ca="1" si="2"/>
        <v>-1.4796713407155043E-4</v>
      </c>
      <c r="AA63" s="416">
        <f t="shared" ca="1" si="0"/>
        <v>8.5125325362491473E-3</v>
      </c>
      <c r="AB63" s="418">
        <f t="shared" ca="1" si="1"/>
        <v>4.2229684272614074E-3</v>
      </c>
      <c r="AC63" s="417">
        <f t="shared" ca="1" si="3"/>
        <v>-8.9319129046730001E-6</v>
      </c>
      <c r="AD63" s="220"/>
      <c r="AE63" s="220">
        <f t="shared" ca="1" si="4"/>
        <v>6.1786218882621067E-3</v>
      </c>
    </row>
    <row r="64" spans="1:31" customFormat="1" ht="14.5">
      <c r="A64" s="220"/>
      <c r="B64" s="267">
        <v>26</v>
      </c>
      <c r="C64" s="68" t="s">
        <v>522</v>
      </c>
      <c r="D64" s="246">
        <f t="shared" ca="1" si="6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2.7583249121700899E-5</v>
      </c>
      <c r="J64" s="403">
        <f ca="1"/>
        <v>4.1155696700954301E-4</v>
      </c>
      <c r="K64" s="403">
        <f ca="1"/>
        <v>6.7021703756168699E-2</v>
      </c>
      <c r="L64" s="403">
        <f ca="1"/>
        <v>6.7021703756168699E-2</v>
      </c>
      <c r="M64" s="403">
        <f ca="1"/>
        <v>3.73134246929991E-4</v>
      </c>
      <c r="N64" s="687" t="str">
        <f ca="1"/>
        <v>KONINKLIJKE AHOLD DELHAIZE N.V.</v>
      </c>
      <c r="O64" s="403">
        <f ca="1"/>
        <v>5.4691775864640101E-2</v>
      </c>
      <c r="P64" s="403">
        <f ca="1"/>
        <v>0.657052127863192</v>
      </c>
      <c r="Q64" s="403">
        <f ca="1"/>
        <v>8.3238107823353294E-2</v>
      </c>
      <c r="R64" s="441">
        <f ca="1"/>
        <v>8.3238107823353294E-2</v>
      </c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9.7839865407166104E-2</v>
      </c>
      <c r="U64" s="413">
        <f ca="1"/>
        <v>0.14346748645794</v>
      </c>
      <c r="V64" s="413">
        <f ca="1"/>
        <v>4.5627621050773899E-2</v>
      </c>
      <c r="W64" s="414">
        <f ca="1"/>
        <v>3.1443122204046298E-2</v>
      </c>
      <c r="X64" s="415">
        <f ca="1"/>
        <v>4.5627621050773897</v>
      </c>
      <c r="Y64" s="416">
        <f t="shared" ca="1" si="5"/>
        <v>7.0509814444150443E-3</v>
      </c>
      <c r="Z64" s="417">
        <f t="shared" ca="1" si="2"/>
        <v>-1.0115865848918009E-3</v>
      </c>
      <c r="AA64" s="416">
        <f t="shared" ca="1" si="0"/>
        <v>7.6161026995646248E-4</v>
      </c>
      <c r="AB64" s="418">
        <f t="shared" ca="1" si="1"/>
        <v>2.987096609384398E-2</v>
      </c>
      <c r="AC64" s="417">
        <f t="shared" ca="1" si="3"/>
        <v>-5.4633155545603463E-6</v>
      </c>
      <c r="AD64" s="220"/>
      <c r="AE64" s="220">
        <f t="shared" ca="1" si="4"/>
        <v>4.3422914220592043E-3</v>
      </c>
    </row>
    <row r="65" spans="1:31" customFormat="1" ht="14.5">
      <c r="A65" s="220"/>
      <c r="B65" s="267">
        <v>27</v>
      </c>
      <c r="C65" s="68" t="s">
        <v>523</v>
      </c>
      <c r="D65" s="246">
        <f t="shared" ca="1" si="6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3.1949587145202701E-4</v>
      </c>
      <c r="J65" s="403">
        <f ca="1"/>
        <v>4.7467197499325499E-4</v>
      </c>
      <c r="K65" s="403">
        <f ca="1"/>
        <v>0.67308770747750002</v>
      </c>
      <c r="L65" s="403">
        <f ca="1"/>
        <v>0.67308770747750002</v>
      </c>
      <c r="M65" s="403">
        <f ca="1"/>
        <v>4.5708354159781803E-4</v>
      </c>
      <c r="N65" s="687" t="str">
        <f ca="1"/>
        <v>KONINKLIJKE PHILIPS N.V.</v>
      </c>
      <c r="O65" s="403">
        <f ca="1"/>
        <v>8.4704260265369993E-2</v>
      </c>
      <c r="P65" s="403">
        <f ca="1"/>
        <v>0.77169555444451898</v>
      </c>
      <c r="Q65" s="403">
        <f ca="1"/>
        <v>0.10976383079768</v>
      </c>
      <c r="R65" s="441">
        <f ca="1"/>
        <v>0.10976383079768</v>
      </c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-2.28374257310727E-2</v>
      </c>
      <c r="U65" s="413">
        <f ca="1"/>
        <v>2.42676919158176E-2</v>
      </c>
      <c r="V65" s="413">
        <f ca="1"/>
        <v>4.71051176468903E-2</v>
      </c>
      <c r="W65" s="414">
        <f ca="1"/>
        <v>5.1518164327140001E-3</v>
      </c>
      <c r="X65" s="415">
        <f ca="1"/>
        <v>4.7105117646890298</v>
      </c>
      <c r="Y65" s="416">
        <f t="shared" ca="1" si="5"/>
        <v>7.0509814444150443E-3</v>
      </c>
      <c r="Z65" s="417">
        <f t="shared" ca="1" si="2"/>
        <v>-1.7111104539721064E-4</v>
      </c>
      <c r="AA65" s="416">
        <f t="shared" ca="1" si="0"/>
        <v>7.6487239486079548E-3</v>
      </c>
      <c r="AB65" s="418">
        <f t="shared" ca="1" si="1"/>
        <v>4.8942256110783003E-3</v>
      </c>
      <c r="AC65" s="417">
        <f t="shared" ca="1" si="3"/>
        <v>-9.280843816697667E-6</v>
      </c>
      <c r="AD65" s="220"/>
      <c r="AE65" s="220">
        <f t="shared" ca="1" si="4"/>
        <v>7.3198640940557239E-3</v>
      </c>
    </row>
    <row r="66" spans="1:31" customFormat="1" ht="14.5">
      <c r="A66" s="220"/>
      <c r="B66" s="267">
        <v>28</v>
      </c>
      <c r="C66" s="68" t="s">
        <v>524</v>
      </c>
      <c r="D66" s="246">
        <f t="shared" ca="1" si="6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1.4525262455713901E-4</v>
      </c>
      <c r="J66" s="403">
        <f ca="1"/>
        <v>4.5422776712970999E-4</v>
      </c>
      <c r="K66" s="403">
        <f ca="1"/>
        <v>0.31977927169666098</v>
      </c>
      <c r="L66" s="403">
        <f ca="1"/>
        <v>0.31977927169666098</v>
      </c>
      <c r="M66" s="403">
        <f ca="1"/>
        <v>8.3358158887461E-4</v>
      </c>
      <c r="N66" s="687" t="str">
        <f ca="1"/>
        <v>LOUIS DREYFUS COMPANY B.V.</v>
      </c>
      <c r="O66" s="403">
        <f ca="1"/>
        <v>6.79939166799199E-2</v>
      </c>
      <c r="P66" s="403">
        <f ca="1"/>
        <v>0.73997928107489497</v>
      </c>
      <c r="Q66" s="403">
        <f ca="1"/>
        <v>9.1886243870439005E-2</v>
      </c>
      <c r="R66" s="441">
        <f ca="1"/>
        <v>9.1886243870439005E-2</v>
      </c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1.0548125184321499E-2</v>
      </c>
      <c r="U66" s="413">
        <f ca="1"/>
        <v>5.6782242887920102E-2</v>
      </c>
      <c r="V66" s="413">
        <f ca="1"/>
        <v>4.6234117703598601E-2</v>
      </c>
      <c r="W66" s="414">
        <f ca="1"/>
        <v>1.2281459170897201E-2</v>
      </c>
      <c r="X66" s="415">
        <f ca="1"/>
        <v>4.6234117703598603</v>
      </c>
      <c r="Y66" s="416">
        <f t="shared" ca="1" si="5"/>
        <v>7.0509814444150443E-3</v>
      </c>
      <c r="Z66" s="417">
        <f t="shared" ca="1" si="2"/>
        <v>-4.0037054097499325E-4</v>
      </c>
      <c r="AA66" s="416">
        <f t="shared" ca="1" si="0"/>
        <v>3.6338553601893294E-3</v>
      </c>
      <c r="AB66" s="418">
        <f t="shared" ca="1" si="1"/>
        <v>1.1667386212352341E-2</v>
      </c>
      <c r="AC66" s="417">
        <f t="shared" ca="1" si="3"/>
        <v>-1.0316922884092056E-5</v>
      </c>
      <c r="AD66" s="220"/>
      <c r="AE66" s="220">
        <f t="shared" ca="1" si="4"/>
        <v>1.5681769526762465E-2</v>
      </c>
    </row>
    <row r="67" spans="1:31" customFormat="1" ht="14.5">
      <c r="A67" s="220"/>
      <c r="B67" s="267">
        <v>29</v>
      </c>
      <c r="C67" s="68" t="s">
        <v>538</v>
      </c>
      <c r="D67" s="246">
        <f t="shared" ca="1" si="6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3.9388381695409301E-4</v>
      </c>
      <c r="J67" s="403">
        <f ca="1"/>
        <v>4.8257448559511402E-4</v>
      </c>
      <c r="K67" s="403">
        <f ca="1"/>
        <v>0.81621351462117397</v>
      </c>
      <c r="L67" s="403">
        <f ca="1"/>
        <v>0.81621351462117397</v>
      </c>
      <c r="M67" s="403">
        <f ca="1"/>
        <v>2.23162379714612E-4</v>
      </c>
      <c r="N67" s="687" t="str">
        <f ca="1"/>
        <v>LVMH MOET HENNESSY LOUIS VUITTON</v>
      </c>
      <c r="O67" s="403">
        <f ca="1"/>
        <v>9.1759777961780004E-2</v>
      </c>
      <c r="P67" s="403">
        <f ca="1"/>
        <v>0.78068438475596802</v>
      </c>
      <c r="Q67" s="403">
        <f ca="1"/>
        <v>0.11753761155407599</v>
      </c>
      <c r="R67" s="441">
        <f ca="1"/>
        <v>0.11753761155407599</v>
      </c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-3.22993523747028E-2</v>
      </c>
      <c r="U67" s="413">
        <f ca="1"/>
        <v>1.50909329850178E-2</v>
      </c>
      <c r="V67" s="413">
        <f ca="1"/>
        <v>4.7390285359720598E-2</v>
      </c>
      <c r="W67" s="414">
        <f ca="1"/>
        <v>3.1843937782751399E-3</v>
      </c>
      <c r="X67" s="415">
        <f ca="1"/>
        <v>4.7390285359720599</v>
      </c>
      <c r="Y67" s="416">
        <f t="shared" ca="1" si="5"/>
        <v>7.0509814444150443E-3</v>
      </c>
      <c r="Z67" s="417">
        <f t="shared" ca="1" si="2"/>
        <v>-1.0640588845627125E-4</v>
      </c>
      <c r="AA67" s="416">
        <f t="shared" ca="1" si="0"/>
        <v>9.2751535752406133E-3</v>
      </c>
      <c r="AB67" s="418">
        <f t="shared" ca="1" si="1"/>
        <v>3.0251740893613827E-3</v>
      </c>
      <c r="AC67" s="417">
        <f t="shared" ca="1" si="3"/>
        <v>-6.9985360514852105E-6</v>
      </c>
      <c r="AD67" s="220"/>
      <c r="AE67" s="220">
        <f t="shared" ca="1" si="4"/>
        <v>4.2077718657642605E-3</v>
      </c>
    </row>
    <row r="68" spans="1:31" customFormat="1" ht="14.5">
      <c r="A68" s="220"/>
      <c r="B68" s="267">
        <v>30</v>
      </c>
      <c r="C68" s="68" t="s">
        <v>539</v>
      </c>
      <c r="D68" s="246">
        <f t="shared" ca="1" si="6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4.0786651905540901E-4</v>
      </c>
      <c r="J68" s="403">
        <f ca="1"/>
        <v>4.8361039690314797E-4</v>
      </c>
      <c r="K68" s="403">
        <f ca="1"/>
        <v>0.84337830962118898</v>
      </c>
      <c r="L68" s="403">
        <f ca="1"/>
        <v>0.84337830962118898</v>
      </c>
      <c r="M68" s="403">
        <f ca="1"/>
        <v>1.8513082110557899E-4</v>
      </c>
      <c r="N68" s="687" t="str">
        <f ca="1"/>
        <v>NESTLE S.A.</v>
      </c>
      <c r="O68" s="403">
        <f ca="1"/>
        <v>9.3169906755640006E-2</v>
      </c>
      <c r="P68" s="403">
        <f ca="1"/>
        <v>0.78227562409257501</v>
      </c>
      <c r="Q68" s="403">
        <f ca="1"/>
        <v>0.11910112482888</v>
      </c>
      <c r="R68" s="441">
        <f ca="1"/>
        <v>0.11910112482888</v>
      </c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-3.3974341150078802E-2</v>
      </c>
      <c r="U68" s="413">
        <f ca="1"/>
        <v>1.34191784159044E-2</v>
      </c>
      <c r="V68" s="413">
        <f ca="1"/>
        <v>4.73935195659832E-2</v>
      </c>
      <c r="W68" s="414">
        <f ca="1"/>
        <v>2.8314374072222499E-3</v>
      </c>
      <c r="X68" s="415">
        <f ca="1"/>
        <v>4.7393519565983198</v>
      </c>
      <c r="Y68" s="416">
        <f t="shared" ca="1" si="5"/>
        <v>7.0509814444150443E-3</v>
      </c>
      <c r="Z68" s="417">
        <f t="shared" ca="1" si="2"/>
        <v>-9.4618378009837104E-5</v>
      </c>
      <c r="AA68" s="416">
        <f t="shared" ca="1" si="0"/>
        <v>9.5838444275135118E-3</v>
      </c>
      <c r="AB68" s="418">
        <f t="shared" ca="1" si="1"/>
        <v>2.6898655368611372E-3</v>
      </c>
      <c r="AC68" s="417">
        <f t="shared" ca="1" si="3"/>
        <v>-6.4303659141537772E-6</v>
      </c>
      <c r="AD68" s="220"/>
      <c r="AE68" s="220">
        <f t="shared" ca="1" si="4"/>
        <v>4.5532900740234581E-3</v>
      </c>
    </row>
    <row r="69" spans="1:31" customFormat="1" ht="14.5">
      <c r="A69" s="220"/>
      <c r="B69" s="267">
        <v>31</v>
      </c>
      <c r="C69" s="68" t="s">
        <v>540</v>
      </c>
      <c r="D69" s="246">
        <f t="shared" ca="1" si="6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3.3521549817666402E-4</v>
      </c>
      <c r="J69" s="403">
        <f ca="1"/>
        <v>4.7535664459191502E-4</v>
      </c>
      <c r="K69" s="403">
        <f ca="1"/>
        <v>0.70518736193209297</v>
      </c>
      <c r="L69" s="403">
        <f ca="1"/>
        <v>0.70518736193209297</v>
      </c>
      <c r="M69" s="403">
        <f ca="1"/>
        <v>5.4677535516228597E-4</v>
      </c>
      <c r="N69" s="687" t="str">
        <f ca="1"/>
        <v>NEXT PLC</v>
      </c>
      <c r="O69" s="403">
        <f ca="1"/>
        <v>8.5031731192839896E-2</v>
      </c>
      <c r="P69" s="403">
        <f ca="1"/>
        <v>0.77221854749541996</v>
      </c>
      <c r="Q69" s="403">
        <f ca="1"/>
        <v>0.11011355719003101</v>
      </c>
      <c r="R69" s="441">
        <f ca="1"/>
        <v>0.11011355719003101</v>
      </c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-2.33879447320215E-2</v>
      </c>
      <c r="U69" s="413">
        <f ca="1"/>
        <v>2.38208598219786E-2</v>
      </c>
      <c r="V69" s="413">
        <f ca="1"/>
        <v>4.7208804554000103E-2</v>
      </c>
      <c r="W69" s="414">
        <f ca="1"/>
        <v>5.0458510964265096E-3</v>
      </c>
      <c r="X69" s="415">
        <f ca="1"/>
        <v>4.7208804554000103</v>
      </c>
      <c r="Y69" s="416">
        <f t="shared" ca="1" si="5"/>
        <v>7.0509814444150443E-3</v>
      </c>
      <c r="Z69" s="417">
        <f t="shared" ca="1" si="2"/>
        <v>-1.6796044059478311E-4</v>
      </c>
      <c r="AA69" s="416">
        <f t="shared" ca="1" si="0"/>
        <v>8.0134927492283292E-3</v>
      </c>
      <c r="AB69" s="418">
        <f t="shared" ca="1" si="1"/>
        <v>4.7935585416051842E-3</v>
      </c>
      <c r="AC69" s="417">
        <f t="shared" ca="1" si="3"/>
        <v>-9.5444143731905053E-6</v>
      </c>
      <c r="AD69" s="220"/>
      <c r="AE69" s="220">
        <f t="shared" ca="1" si="4"/>
        <v>5.4822340652318658E-3</v>
      </c>
    </row>
    <row r="70" spans="1:31" customFormat="1" ht="14.5">
      <c r="A70" s="220"/>
      <c r="B70" s="267">
        <v>32</v>
      </c>
      <c r="C70" s="68" t="s">
        <v>525</v>
      </c>
      <c r="D70" s="246">
        <f t="shared" ca="1" si="6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3.8253372928529898E-4</v>
      </c>
      <c r="J70" s="403">
        <f ca="1"/>
        <v>4.7990747692371402E-4</v>
      </c>
      <c r="K70" s="403">
        <f ca="1"/>
        <v>0.79709891526884102</v>
      </c>
      <c r="L70" s="403">
        <f ca="1"/>
        <v>0.79709891526884102</v>
      </c>
      <c r="M70" s="403">
        <f ca="1"/>
        <v>4.1743001015246897E-4</v>
      </c>
      <c r="N70" s="687" t="str">
        <f ca="1"/>
        <v>PERNOD RICARD</v>
      </c>
      <c r="O70" s="403">
        <f ca="1"/>
        <v>8.9185985400329806E-2</v>
      </c>
      <c r="P70" s="403">
        <f ca="1"/>
        <v>0.77757948578262603</v>
      </c>
      <c r="Q70" s="403">
        <f ca="1"/>
        <v>0.11469693713764199</v>
      </c>
      <c r="R70" s="441">
        <f ca="1"/>
        <v>0.11469693713764199</v>
      </c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-2.90310376659224E-2</v>
      </c>
      <c r="U70" s="413">
        <f ca="1"/>
        <v>1.8258309662614599E-2</v>
      </c>
      <c r="V70" s="413">
        <f ca="1"/>
        <v>4.7289347328536999E-2</v>
      </c>
      <c r="W70" s="414">
        <f ca="1"/>
        <v>3.8609773012444602E-3</v>
      </c>
      <c r="X70" s="415">
        <f ca="1"/>
        <v>4.7289347328536904</v>
      </c>
      <c r="Y70" s="416">
        <f t="shared" ca="1" si="5"/>
        <v>7.0509814444150443E-3</v>
      </c>
      <c r="Z70" s="417">
        <f t="shared" ca="1" si="2"/>
        <v>-1.2873900263747967E-4</v>
      </c>
      <c r="AA70" s="416">
        <f t="shared" ca="1" si="0"/>
        <v>9.0579422189641032E-3</v>
      </c>
      <c r="AB70" s="418">
        <f t="shared" ca="1" si="1"/>
        <v>3.667928436182237E-3</v>
      </c>
      <c r="AC70" s="417">
        <f t="shared" ca="1" si="3"/>
        <v>-8.2691356969958728E-6</v>
      </c>
      <c r="AD70" s="220"/>
      <c r="AE70" s="220">
        <f t="shared" ca="1" si="4"/>
        <v>5.3294347242950884E-3</v>
      </c>
    </row>
    <row r="71" spans="1:31" customFormat="1" ht="14.5">
      <c r="A71" s="220"/>
      <c r="B71" s="267">
        <v>33</v>
      </c>
      <c r="C71" s="68" t="s">
        <v>526</v>
      </c>
      <c r="D71" s="246">
        <f t="shared" ca="1" si="6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4.1190126302696501E-4</v>
      </c>
      <c r="J71" s="403">
        <f ca="1"/>
        <v>4.8416219452021998E-4</v>
      </c>
      <c r="K71" s="403">
        <f ca="1"/>
        <v>0.850750570137221</v>
      </c>
      <c r="L71" s="403">
        <f ca="1"/>
        <v>0.850750570137221</v>
      </c>
      <c r="M71" s="403">
        <f ca="1"/>
        <v>1.7611452837158501E-4</v>
      </c>
      <c r="N71" s="687" t="str">
        <f ca="1"/>
        <v>SODEXO</v>
      </c>
      <c r="O71" s="403">
        <f ca="1"/>
        <v>9.3481908082119897E-2</v>
      </c>
      <c r="P71" s="403">
        <f ca="1"/>
        <v>0.78265868370199998</v>
      </c>
      <c r="Q71" s="403">
        <f ca="1"/>
        <v>0.11944147561226499</v>
      </c>
      <c r="R71" s="441">
        <f ca="1"/>
        <v>0.11944147561226499</v>
      </c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-3.4377561791578401E-2</v>
      </c>
      <c r="U71" s="413">
        <f ca="1"/>
        <v>1.30649935270176E-2</v>
      </c>
      <c r="V71" s="413">
        <f ca="1"/>
        <v>4.7442555318596001E-2</v>
      </c>
      <c r="W71" s="414">
        <f ca="1"/>
        <v>2.7538553602943299E-3</v>
      </c>
      <c r="X71" s="415">
        <f ca="1"/>
        <v>4.7442555318595998</v>
      </c>
      <c r="Y71" s="416">
        <f t="shared" ca="1" si="5"/>
        <v>7.0509814444150443E-3</v>
      </c>
      <c r="Z71" s="417">
        <f t="shared" ca="1" si="2"/>
        <v>-9.2121026930403675E-5</v>
      </c>
      <c r="AA71" s="416">
        <f t="shared" ca="1" si="0"/>
        <v>9.6676201151956933E-3</v>
      </c>
      <c r="AB71" s="418">
        <f t="shared" ca="1" si="1"/>
        <v>2.6161625922796134E-3</v>
      </c>
      <c r="AC71" s="417">
        <f t="shared" ca="1" si="3"/>
        <v>-6.3153697113348385E-6</v>
      </c>
      <c r="AD71" s="220"/>
      <c r="AE71" s="220">
        <f t="shared" ca="1" si="4"/>
        <v>3.720477792855087E-3</v>
      </c>
    </row>
    <row r="72" spans="1:31" customFormat="1" ht="14.5">
      <c r="A72" s="220"/>
      <c r="B72" s="267">
        <v>34</v>
      </c>
      <c r="C72" s="68" t="s">
        <v>527</v>
      </c>
      <c r="D72" s="246">
        <f t="shared" ca="1" si="6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2.4580088179534102E-4</v>
      </c>
      <c r="J72" s="403">
        <f ca="1"/>
        <v>4.5660383844388499E-4</v>
      </c>
      <c r="K72" s="403">
        <f ca="1"/>
        <v>0.53832416878718203</v>
      </c>
      <c r="L72" s="403">
        <f ca="1"/>
        <v>0.53832416878718203</v>
      </c>
      <c r="M72" s="403">
        <f ca="1"/>
        <v>6.4355441795345099E-4</v>
      </c>
      <c r="N72" s="687" t="str">
        <f ca="1"/>
        <v>SUEDZUCKER AG</v>
      </c>
      <c r="O72" s="403">
        <f ca="1"/>
        <v>7.8409034270110006E-2</v>
      </c>
      <c r="P72" s="403">
        <f ca="1"/>
        <v>0.762102955859569</v>
      </c>
      <c r="Q72" s="403">
        <f ca="1"/>
        <v>0.10288509402469501</v>
      </c>
      <c r="R72" s="441">
        <f ca="1"/>
        <v>0.10288509402469501</v>
      </c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-1.2739953536388101E-2</v>
      </c>
      <c r="U72" s="413">
        <f ca="1"/>
        <v>3.4125351880801298E-2</v>
      </c>
      <c r="V72" s="413">
        <f ca="1"/>
        <v>4.6865305417189397E-2</v>
      </c>
      <c r="W72" s="414">
        <f ca="1"/>
        <v>7.2815810282300403E-3</v>
      </c>
      <c r="X72" s="415">
        <f ca="1"/>
        <v>4.6865305417189402</v>
      </c>
      <c r="Y72" s="416">
        <f t="shared" ca="1" si="5"/>
        <v>7.0509814444150443E-3</v>
      </c>
      <c r="Z72" s="417">
        <f t="shared" ca="1" si="2"/>
        <v>-2.4061722289566391E-4</v>
      </c>
      <c r="AA72" s="416">
        <f t="shared" ca="1" si="0"/>
        <v>6.1173200998543417E-3</v>
      </c>
      <c r="AB72" s="418">
        <f t="shared" ca="1" si="1"/>
        <v>6.9175019768185379E-3</v>
      </c>
      <c r="AC72" s="417">
        <f t="shared" ca="1" si="3"/>
        <v>-1.0437785048751406E-5</v>
      </c>
      <c r="AD72" s="220"/>
      <c r="AE72" s="220">
        <f t="shared" ca="1" si="4"/>
        <v>9.407550349583774E-3</v>
      </c>
    </row>
    <row r="73" spans="1:31" customFormat="1" ht="14.5">
      <c r="A73" s="220"/>
      <c r="B73" s="267">
        <v>35</v>
      </c>
      <c r="C73" s="68" t="s">
        <v>541</v>
      </c>
      <c r="D73" s="246">
        <f t="shared" ca="1" si="6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3.0822277542203201E-4</v>
      </c>
      <c r="J73" s="403">
        <f ca="1"/>
        <v>4.7353212958188898E-4</v>
      </c>
      <c r="K73" s="403">
        <f ca="1"/>
        <v>0.65090150417920101</v>
      </c>
      <c r="L73" s="403">
        <f ca="1"/>
        <v>0.65090150417920101</v>
      </c>
      <c r="M73" s="403">
        <f ca="1"/>
        <v>4.7263378441825401E-4</v>
      </c>
      <c r="N73" s="687" t="str">
        <f ca="1"/>
        <v>TESCO PLC</v>
      </c>
      <c r="O73" s="403">
        <f ca="1"/>
        <v>8.3766676342369895E-2</v>
      </c>
      <c r="P73" s="403">
        <f ca="1"/>
        <v>0.77039778017412297</v>
      </c>
      <c r="Q73" s="403">
        <f ca="1"/>
        <v>0.10873172080459199</v>
      </c>
      <c r="R73" s="441">
        <f ca="1"/>
        <v>0.10873172080459199</v>
      </c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-2.1471347551708E-2</v>
      </c>
      <c r="U73" s="413">
        <f ca="1"/>
        <v>2.5620930770187299E-2</v>
      </c>
      <c r="V73" s="413">
        <f ca="1"/>
        <v>4.7092278321895303E-2</v>
      </c>
      <c r="W73" s="414">
        <f ca="1"/>
        <v>5.44058000232173E-3</v>
      </c>
      <c r="X73" s="415">
        <f ca="1"/>
        <v>4.70922783218953</v>
      </c>
      <c r="Y73" s="416">
        <f t="shared" ca="1" si="5"/>
        <v>7.0509814444150443E-3</v>
      </c>
      <c r="Z73" s="417">
        <f t="shared" ca="1" si="2"/>
        <v>-1.8065270744923288E-4</v>
      </c>
      <c r="AA73" s="416">
        <f t="shared" ca="1" si="0"/>
        <v>7.3966080020363752E-3</v>
      </c>
      <c r="AB73" s="418">
        <f t="shared" ca="1" si="1"/>
        <v>5.1685510022056432E-3</v>
      </c>
      <c r="AC73" s="417">
        <f t="shared" ca="1" si="3"/>
        <v>-9.4753990777193689E-6</v>
      </c>
      <c r="AD73" s="220"/>
      <c r="AE73" s="220">
        <f t="shared" ca="1" si="4"/>
        <v>7.2298411976667986E-3</v>
      </c>
    </row>
    <row r="74" spans="1:31" customFormat="1" ht="14.5">
      <c r="A74" s="220"/>
      <c r="B74" s="267">
        <v>36</v>
      </c>
      <c r="C74" s="68" t="s">
        <v>528</v>
      </c>
      <c r="D74" s="246">
        <f t="shared" ca="1" si="6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4.1222213819971899E-4</v>
      </c>
      <c r="J74" s="403">
        <f ca="1"/>
        <v>4.8402730180313098E-4</v>
      </c>
      <c r="K74" s="403">
        <f ca="1"/>
        <v>0.851650592154784</v>
      </c>
      <c r="L74" s="403">
        <f ca="1"/>
        <v>0.851650592154784</v>
      </c>
      <c r="M74" s="403">
        <f ca="1"/>
        <v>1.74182561585381E-4</v>
      </c>
      <c r="N74" s="687" t="str">
        <f ca="1"/>
        <v>UNILEVER PLC</v>
      </c>
      <c r="O74" s="403">
        <f ca="1"/>
        <v>9.3577596796599896E-2</v>
      </c>
      <c r="P74" s="403">
        <f ca="1"/>
        <v>0.78274237399704605</v>
      </c>
      <c r="Q74" s="403">
        <f ca="1"/>
        <v>0.11955095304058901</v>
      </c>
      <c r="R74" s="441">
        <f ca="1"/>
        <v>0.11955095304058901</v>
      </c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-3.4465656838995801E-2</v>
      </c>
      <c r="U74" s="413">
        <f ca="1"/>
        <v>1.29479509256346E-2</v>
      </c>
      <c r="V74" s="413">
        <f ca="1"/>
        <v>4.7413607764630397E-2</v>
      </c>
      <c r="W74" s="414">
        <f ca="1"/>
        <v>2.73085123366072E-3</v>
      </c>
      <c r="X74" s="415">
        <f ca="1"/>
        <v>4.7413607764630399</v>
      </c>
      <c r="Y74" s="416">
        <f t="shared" ca="1" si="5"/>
        <v>7.0509814444150443E-3</v>
      </c>
      <c r="Z74" s="417">
        <f t="shared" ca="1" si="2"/>
        <v>-9.1295761719846458E-5</v>
      </c>
      <c r="AA74" s="416">
        <f t="shared" ca="1" si="0"/>
        <v>9.677847638122546E-3</v>
      </c>
      <c r="AB74" s="418">
        <f t="shared" ca="1" si="1"/>
        <v>2.594308671977684E-3</v>
      </c>
      <c r="AC74" s="417">
        <f t="shared" ca="1" si="3"/>
        <v>-6.2654148142089892E-6</v>
      </c>
      <c r="AD74" s="220"/>
      <c r="AE74" s="220">
        <f t="shared" ca="1" si="4"/>
        <v>4.2912701453375109E-3</v>
      </c>
    </row>
    <row r="75" spans="1:31" customFormat="1" ht="14.5">
      <c r="A75" s="220"/>
      <c r="B75" s="267">
        <v>37</v>
      </c>
      <c r="C75" s="68" t="s">
        <v>542</v>
      </c>
      <c r="D75" s="246">
        <f t="shared" ca="1" si="6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3.1306339798864397E-4</v>
      </c>
      <c r="J75" s="403">
        <f ca="1"/>
        <v>4.7381505980212001E-4</v>
      </c>
      <c r="K75" s="403">
        <f ca="1"/>
        <v>0.66072909991377005</v>
      </c>
      <c r="L75" s="403">
        <f ca="1"/>
        <v>0.66072909991377005</v>
      </c>
      <c r="M75" s="403">
        <f ca="1"/>
        <v>4.92888852130271E-4</v>
      </c>
      <c r="N75" s="687" t="str">
        <f ca="1"/>
        <v>BP P.L.C.</v>
      </c>
      <c r="O75" s="403">
        <f ca="1"/>
        <v>8.3945622797969993E-2</v>
      </c>
      <c r="P75" s="403">
        <f ca="1"/>
        <v>0.77066636858155602</v>
      </c>
      <c r="Q75" s="403">
        <f ca="1"/>
        <v>0.108926023270583</v>
      </c>
      <c r="R75" s="441">
        <f ca="1"/>
        <v>0.108926023270583</v>
      </c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-2.17540721911114E-2</v>
      </c>
      <c r="U75" s="413">
        <f ca="1"/>
        <v>2.5362962672799999E-2</v>
      </c>
      <c r="V75" s="413">
        <f ca="1"/>
        <v>4.7117034863911403E-2</v>
      </c>
      <c r="W75" s="414">
        <f ca="1"/>
        <v>5.3829708821992103E-3</v>
      </c>
      <c r="X75" s="415">
        <f ca="1"/>
        <v>4.7117034863911398</v>
      </c>
      <c r="Y75" s="416">
        <f t="shared" ca="1" si="5"/>
        <v>7.0509814444150443E-3</v>
      </c>
      <c r="Z75" s="417">
        <f t="shared" ca="1" si="2"/>
        <v>-1.7883377918130426E-4</v>
      </c>
      <c r="AA75" s="416">
        <f t="shared" ca="1" si="0"/>
        <v>7.5082852262928412E-3</v>
      </c>
      <c r="AB75" s="418">
        <f t="shared" ca="1" si="1"/>
        <v>5.1138223380892498E-3</v>
      </c>
      <c r="AC75" s="417">
        <f t="shared" ca="1" si="3"/>
        <v>-9.5216178965600533E-6</v>
      </c>
      <c r="AD75" s="220"/>
      <c r="AE75" s="220">
        <f t="shared" ca="1" si="4"/>
        <v>6.8280436839071494E-3</v>
      </c>
    </row>
    <row r="76" spans="1:31" customFormat="1" ht="14.5">
      <c r="A76" s="220"/>
      <c r="B76" s="267">
        <v>38</v>
      </c>
      <c r="C76" s="68" t="s">
        <v>543</v>
      </c>
      <c r="D76" s="246">
        <f t="shared" ca="1" si="6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2.6647091429230098E-4</v>
      </c>
      <c r="J76" s="403">
        <f ca="1"/>
        <v>4.5907185685208101E-4</v>
      </c>
      <c r="K76" s="403">
        <f ca="1"/>
        <v>0.58045578337022996</v>
      </c>
      <c r="L76" s="403">
        <f ca="1"/>
        <v>0.58045578337022996</v>
      </c>
      <c r="M76" s="403">
        <f ca="1"/>
        <v>6.0088924241417105E-4</v>
      </c>
      <c r="N76" s="687" t="str">
        <f ca="1"/>
        <v>CENTRICA PLC</v>
      </c>
      <c r="O76" s="403">
        <f ca="1"/>
        <v>8.0262245140409999E-2</v>
      </c>
      <c r="P76" s="403">
        <f ca="1"/>
        <v>0.76514667459656704</v>
      </c>
      <c r="Q76" s="403">
        <f ca="1"/>
        <v>0.104897855280792</v>
      </c>
      <c r="R76" s="441">
        <f ca="1"/>
        <v>0.104897855280792</v>
      </c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-1.5943867996386401E-2</v>
      </c>
      <c r="U76" s="413">
        <f ca="1"/>
        <v>3.10178031703701E-2</v>
      </c>
      <c r="V76" s="413">
        <f ca="1"/>
        <v>4.6961671166756501E-2</v>
      </c>
      <c r="W76" s="414">
        <f ca="1"/>
        <v>6.6049189476730403E-3</v>
      </c>
      <c r="X76" s="415">
        <f ca="1"/>
        <v>4.6961671166756496</v>
      </c>
      <c r="Y76" s="416">
        <f t="shared" ca="1" si="5"/>
        <v>7.0509814444150443E-3</v>
      </c>
      <c r="Z76" s="417">
        <f t="shared" ca="1" si="2"/>
        <v>-2.1870595460079747E-4</v>
      </c>
      <c r="AA76" s="416">
        <f t="shared" ca="1" si="0"/>
        <v>6.5960884473889765E-3</v>
      </c>
      <c r="AB76" s="418">
        <f t="shared" ca="1" si="1"/>
        <v>6.274673000289388E-3</v>
      </c>
      <c r="AC76" s="417">
        <f t="shared" ca="1" si="3"/>
        <v>-1.0229808657773166E-5</v>
      </c>
      <c r="AD76" s="220"/>
      <c r="AE76" s="220">
        <f t="shared" ca="1" si="4"/>
        <v>8.3599640368187504E-3</v>
      </c>
    </row>
    <row r="77" spans="1:31" customFormat="1" ht="14.5">
      <c r="A77" s="220"/>
      <c r="B77" s="267">
        <v>39</v>
      </c>
      <c r="C77" s="68" t="s">
        <v>544</v>
      </c>
      <c r="D77" s="246">
        <f t="shared" ca="1" si="6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3.5407479165502198E-4</v>
      </c>
      <c r="J77" s="403">
        <f ca="1"/>
        <v>4.7870574288617402E-4</v>
      </c>
      <c r="K77" s="403">
        <f ca="1"/>
        <v>0.73965018577020403</v>
      </c>
      <c r="L77" s="403">
        <f ca="1"/>
        <v>0.73965018577020403</v>
      </c>
      <c r="M77" s="403">
        <f ca="1"/>
        <v>3.3399420665250397E-4</v>
      </c>
      <c r="N77" s="687" t="str">
        <f ca="1"/>
        <v>E.ON SE</v>
      </c>
      <c r="O77" s="403">
        <f ca="1"/>
        <v>8.80463000952902E-2</v>
      </c>
      <c r="P77" s="403">
        <f ca="1"/>
        <v>0.77615355106430095</v>
      </c>
      <c r="Q77" s="403">
        <f ca="1"/>
        <v>0.113439280119967</v>
      </c>
      <c r="R77" s="441">
        <f ca="1"/>
        <v>0.113439280119967</v>
      </c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-2.7530053751895898E-2</v>
      </c>
      <c r="U77" s="413">
        <f ca="1"/>
        <v>1.9724079920218698E-2</v>
      </c>
      <c r="V77" s="413">
        <f ca="1"/>
        <v>4.7254133672114597E-2</v>
      </c>
      <c r="W77" s="414">
        <f ca="1"/>
        <v>4.1740432820289398E-3</v>
      </c>
      <c r="X77" s="415">
        <f ca="1"/>
        <v>4.72541336721146</v>
      </c>
      <c r="Y77" s="416">
        <f t="shared" ca="1" si="5"/>
        <v>7.0509814444150443E-3</v>
      </c>
      <c r="Z77" s="417">
        <f t="shared" ca="1" si="2"/>
        <v>-1.3907412152562175E-4</v>
      </c>
      <c r="AA77" s="416">
        <f t="shared" ca="1" si="0"/>
        <v>8.4051157473886817E-3</v>
      </c>
      <c r="AB77" s="418">
        <f t="shared" ca="1" si="1"/>
        <v>3.9653411179274923E-3</v>
      </c>
      <c r="AC77" s="417">
        <f t="shared" ca="1" si="3"/>
        <v>-8.289158737009197E-6</v>
      </c>
      <c r="AD77" s="220"/>
      <c r="AE77" s="220">
        <f t="shared" ca="1" si="4"/>
        <v>5.6326820328653406E-3</v>
      </c>
    </row>
    <row r="78" spans="1:31" customFormat="1" ht="14.5">
      <c r="A78" s="220"/>
      <c r="B78" s="267">
        <v>40</v>
      </c>
      <c r="C78" s="68" t="s">
        <v>560</v>
      </c>
      <c r="D78" s="246">
        <f t="shared" ca="1" si="6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2.7119941551922598E-4</v>
      </c>
      <c r="J78" s="403">
        <f ca="1"/>
        <v>4.5973218726573398E-4</v>
      </c>
      <c r="K78" s="403">
        <f ca="1"/>
        <v>0.589907391806064</v>
      </c>
      <c r="L78" s="403">
        <f ca="1"/>
        <v>0.589907391806064</v>
      </c>
      <c r="M78" s="403">
        <f ca="1"/>
        <v>5.85576766642939E-4</v>
      </c>
      <c r="N78" s="687" t="str">
        <f ca="1"/>
        <v>EDP - ENERGIAS DE PORTUGAL S.A.</v>
      </c>
      <c r="O78" s="403">
        <f ca="1"/>
        <v>8.0763310482850195E-2</v>
      </c>
      <c r="P78" s="403">
        <f ca="1"/>
        <v>0.76586963117366103</v>
      </c>
      <c r="Q78" s="403">
        <f ca="1"/>
        <v>0.10545307869053901</v>
      </c>
      <c r="R78" s="441">
        <f ca="1"/>
        <v>0.10545307869053901</v>
      </c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-1.6704874919643099E-2</v>
      </c>
      <c r="U78" s="413">
        <f ca="1"/>
        <v>3.0204354379957599E-2</v>
      </c>
      <c r="V78" s="413">
        <f ca="1"/>
        <v>4.6909229299600702E-2</v>
      </c>
      <c r="W78" s="414">
        <f ca="1"/>
        <v>6.4388937594876804E-3</v>
      </c>
      <c r="X78" s="415">
        <f ca="1"/>
        <v>4.6909229299600703</v>
      </c>
      <c r="Y78" s="416">
        <f t="shared" ca="1" si="5"/>
        <v>7.0509814444150443E-3</v>
      </c>
      <c r="Z78" s="417">
        <f t="shared" ca="1" si="2"/>
        <v>-2.1297034227361702E-4</v>
      </c>
      <c r="AA78" s="416">
        <f t="shared" ca="1" si="0"/>
        <v>6.7034930887052728E-3</v>
      </c>
      <c r="AB78" s="418">
        <f t="shared" ca="1" si="1"/>
        <v>6.1169490715132962E-3</v>
      </c>
      <c r="AC78" s="417">
        <f t="shared" ca="1" si="3"/>
        <v>-1.0123734041742526E-5</v>
      </c>
      <c r="AD78" s="220"/>
      <c r="AE78" s="220">
        <f t="shared" ca="1" si="4"/>
        <v>9.5455635873525815E-3</v>
      </c>
    </row>
    <row r="79" spans="1:31" customFormat="1" ht="14.5">
      <c r="A79" s="220"/>
      <c r="B79" s="267">
        <v>41</v>
      </c>
      <c r="C79" s="68" t="s">
        <v>545</v>
      </c>
      <c r="D79" s="246">
        <f t="shared" ca="1" si="6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2.5439974482279398E-4</v>
      </c>
      <c r="J79" s="403">
        <f ca="1"/>
        <v>4.5800648533422399E-4</v>
      </c>
      <c r="K79" s="403">
        <f ca="1"/>
        <v>0.55545009288929403</v>
      </c>
      <c r="L79" s="403">
        <f ca="1"/>
        <v>0.55545009288929403</v>
      </c>
      <c r="M79" s="403">
        <f ca="1"/>
        <v>5.89052570040254E-4</v>
      </c>
      <c r="N79" s="687" t="str">
        <f ca="1"/>
        <v>ELECTRICITE DE FRANCE</v>
      </c>
      <c r="O79" s="403">
        <f ca="1"/>
        <v>7.9440370932550006E-2</v>
      </c>
      <c r="P79" s="403">
        <f ca="1"/>
        <v>0.76378793040016302</v>
      </c>
      <c r="Q79" s="403">
        <f ca="1"/>
        <v>0.104008413553916</v>
      </c>
      <c r="R79" s="441">
        <f ca="1"/>
        <v>0.104008413553916</v>
      </c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-1.45136109475398E-2</v>
      </c>
      <c r="U79" s="413">
        <f ca="1"/>
        <v>3.2368084316966E-2</v>
      </c>
      <c r="V79" s="413">
        <f ca="1"/>
        <v>4.68816952645058E-2</v>
      </c>
      <c r="W79" s="414">
        <f ca="1"/>
        <v>6.9042051773822999E-3</v>
      </c>
      <c r="X79" s="415">
        <f ca="1"/>
        <v>4.6881695264505803</v>
      </c>
      <c r="Y79" s="416">
        <f t="shared" ca="1" si="5"/>
        <v>7.0509814444150443E-3</v>
      </c>
      <c r="Z79" s="417">
        <f t="shared" ca="1" si="2"/>
        <v>-2.2822676191018901E-4</v>
      </c>
      <c r="AA79" s="416">
        <f t="shared" ca="1" si="0"/>
        <v>6.3119328737419773E-3</v>
      </c>
      <c r="AB79" s="418">
        <f t="shared" ca="1" si="1"/>
        <v>6.5589949185131842E-3</v>
      </c>
      <c r="AC79" s="417">
        <f t="shared" ca="1" si="3"/>
        <v>-1.0215258773015517E-5</v>
      </c>
      <c r="AD79" s="220"/>
      <c r="AE79" s="220">
        <f t="shared" ca="1" si="4"/>
        <v>9.5317636251238472E-3</v>
      </c>
    </row>
    <row r="80" spans="1:31" customFormat="1" ht="14.5">
      <c r="A80" s="220"/>
      <c r="B80" s="267">
        <v>42</v>
      </c>
      <c r="C80" s="68" t="s">
        <v>546</v>
      </c>
      <c r="D80" s="246">
        <f t="shared" ca="1" si="6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2.67343090187957E-4</v>
      </c>
      <c r="J80" s="403">
        <f ca="1"/>
        <v>4.5947953041397001E-4</v>
      </c>
      <c r="K80" s="403">
        <f ca="1"/>
        <v>0.58183895580091005</v>
      </c>
      <c r="L80" s="403">
        <f ca="1"/>
        <v>0.58183895580091005</v>
      </c>
      <c r="M80" s="403">
        <f ca="1"/>
        <v>5.6041856828194605E-4</v>
      </c>
      <c r="N80" s="687" t="str">
        <f ca="1"/>
        <v>ENEL S.P.A.</v>
      </c>
      <c r="O80" s="403">
        <f ca="1"/>
        <v>8.0586099339530204E-2</v>
      </c>
      <c r="P80" s="403">
        <f ca="1"/>
        <v>0.76567875097107196</v>
      </c>
      <c r="Q80" s="403">
        <f ca="1"/>
        <v>0.10524792445569001</v>
      </c>
      <c r="R80" s="441">
        <f ca="1"/>
        <v>0.10524792445569001</v>
      </c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-1.6503948390602201E-2</v>
      </c>
      <c r="U80" s="413">
        <f ca="1"/>
        <v>3.04987221462798E-2</v>
      </c>
      <c r="V80" s="413">
        <f ca="1"/>
        <v>4.7002670536882001E-2</v>
      </c>
      <c r="W80" s="414">
        <f ca="1"/>
        <v>6.4887211296532797E-3</v>
      </c>
      <c r="X80" s="415">
        <f ca="1"/>
        <v>4.7002670536881999</v>
      </c>
      <c r="Y80" s="416">
        <f t="shared" ref="Y80:Y143" ca="1" si="7">IF($U$12,IF(T80="","",$U$13*D104/$C$18),"")</f>
        <v>7.0509814444150443E-3</v>
      </c>
      <c r="Z80" s="417">
        <f t="shared" ref="Z80:Z143" ca="1" si="8">IF($U$12,IF(Y80="","",Y80*($Z$10-W80)*X80),"")</f>
        <v>-2.1504592393178896E-4</v>
      </c>
      <c r="AA80" s="416">
        <f t="shared" ref="AA80:AA143" ca="1" si="9">IF($U$12,IF(OR(T80="",L80=""),"",L80/($C$20-$C$19)),"")</f>
        <v>6.6118063159194326E-3</v>
      </c>
      <c r="AB80" s="418">
        <f t="shared" ref="AB80:AB143" ca="1" si="10">IF($U$12,IF(W80="","",W80*$AC$10),"")</f>
        <v>6.1642850731706157E-3</v>
      </c>
      <c r="AC80" s="417">
        <f t="shared" ref="AC80:AC143" ca="1" si="11">IF($U$12,IF(AA80="","",AA80*(AB80-W80)*X80),"")</f>
        <v>-1.0082582185712229E-5</v>
      </c>
      <c r="AD80" s="220"/>
      <c r="AE80" s="220">
        <f t="shared" ref="AE80:AE109" ca="1" si="12">X80*W80</f>
        <v>7.7167346514629082E-3</v>
      </c>
    </row>
    <row r="81" spans="1:31" customFormat="1" ht="14.5">
      <c r="A81" s="220"/>
      <c r="B81" s="267">
        <v>43</v>
      </c>
      <c r="C81" s="68" t="s">
        <v>561</v>
      </c>
      <c r="D81" s="246">
        <f t="shared" ca="1" si="6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3.38048770114678E-4</v>
      </c>
      <c r="J81" s="403">
        <f ca="1"/>
        <v>4.76687026146066E-4</v>
      </c>
      <c r="K81" s="403">
        <f ca="1"/>
        <v>0.70916293411160203</v>
      </c>
      <c r="L81" s="403">
        <f ca="1"/>
        <v>0.70916293411160203</v>
      </c>
      <c r="M81" s="403">
        <f ca="1"/>
        <v>4.1511711438876501E-4</v>
      </c>
      <c r="N81" s="687" t="str">
        <f ca="1"/>
        <v>ENGIE</v>
      </c>
      <c r="O81" s="403">
        <f ca="1"/>
        <v>8.6275450263320105E-2</v>
      </c>
      <c r="P81" s="403">
        <f ca="1"/>
        <v>0.77385160746577097</v>
      </c>
      <c r="Q81" s="403">
        <f ca="1"/>
        <v>0.111488364734238</v>
      </c>
      <c r="R81" s="441">
        <f ca="1"/>
        <v>0.111488364734238</v>
      </c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-2.5106955227127699E-2</v>
      </c>
      <c r="U81" s="413">
        <f ca="1"/>
        <v>2.2083816941978699E-2</v>
      </c>
      <c r="V81" s="413">
        <f ca="1"/>
        <v>4.7190772169106401E-2</v>
      </c>
      <c r="W81" s="414">
        <f ca="1"/>
        <v>4.6796896780671804E-3</v>
      </c>
      <c r="X81" s="415">
        <f ca="1"/>
        <v>4.7190772169106401</v>
      </c>
      <c r="Y81" s="416">
        <f t="shared" ca="1" si="7"/>
        <v>7.0509814444150443E-3</v>
      </c>
      <c r="Z81" s="417">
        <f t="shared" ca="1" si="8"/>
        <v>-1.5571258347975053E-4</v>
      </c>
      <c r="AA81" s="416">
        <f t="shared" ca="1" si="9"/>
        <v>8.0586697058136602E-3</v>
      </c>
      <c r="AB81" s="418">
        <f t="shared" ca="1" si="10"/>
        <v>4.4457051941638216E-3</v>
      </c>
      <c r="AC81" s="417">
        <f t="shared" ca="1" si="11"/>
        <v>-8.8983093289529095E-6</v>
      </c>
      <c r="AD81" s="220"/>
      <c r="AE81" s="220">
        <f t="shared" ca="1" si="12"/>
        <v>6.2456750723365578E-3</v>
      </c>
    </row>
    <row r="82" spans="1:31" customFormat="1" ht="14.5">
      <c r="A82" s="220"/>
      <c r="B82" s="267">
        <v>44</v>
      </c>
      <c r="C82" s="68" t="s">
        <v>547</v>
      </c>
      <c r="D82" s="246">
        <f t="shared" ca="1" si="6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2.8680117330797999E-4</v>
      </c>
      <c r="J82" s="403">
        <f ca="1"/>
        <v>4.6180195921715001E-4</v>
      </c>
      <c r="K82" s="403">
        <f ca="1"/>
        <v>0.62104797864904604</v>
      </c>
      <c r="L82" s="403">
        <f ca="1"/>
        <v>0.62104797864904604</v>
      </c>
      <c r="M82" s="403">
        <f ca="1"/>
        <v>5.0795556463889102E-4</v>
      </c>
      <c r="N82" s="687" t="str">
        <f ca="1"/>
        <v>ENI S.P.A.</v>
      </c>
      <c r="O82" s="403">
        <f ca="1"/>
        <v>8.2442119512310202E-2</v>
      </c>
      <c r="P82" s="403">
        <f ca="1"/>
        <v>0.76846030136490895</v>
      </c>
      <c r="Q82" s="403">
        <f ca="1"/>
        <v>0.10728221011011201</v>
      </c>
      <c r="R82" s="441">
        <f ca="1"/>
        <v>0.10728221011011201</v>
      </c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-1.9431896173588498E-2</v>
      </c>
      <c r="U82" s="413">
        <f ca="1"/>
        <v>2.75907261299E-2</v>
      </c>
      <c r="V82" s="413">
        <f ca="1"/>
        <v>4.7022622303488498E-2</v>
      </c>
      <c r="W82" s="414">
        <f ca="1"/>
        <v>5.8675430629595302E-3</v>
      </c>
      <c r="X82" s="415">
        <f ca="1"/>
        <v>4.7022622303488504</v>
      </c>
      <c r="Y82" s="416">
        <f t="shared" ca="1" si="7"/>
        <v>7.0509814444150443E-3</v>
      </c>
      <c r="Z82" s="417">
        <f t="shared" ca="1" si="8"/>
        <v>-1.9454169797986225E-4</v>
      </c>
      <c r="AA82" s="416">
        <f t="shared" ca="1" si="9"/>
        <v>7.0573633937391599E-3</v>
      </c>
      <c r="AB82" s="418">
        <f t="shared" ca="1" si="10"/>
        <v>5.5741659098115532E-3</v>
      </c>
      <c r="AC82" s="417">
        <f t="shared" ca="1" si="11"/>
        <v>-9.7358890297919573E-6</v>
      </c>
      <c r="AD82" s="220"/>
      <c r="AE82" s="220">
        <f t="shared" ca="1" si="12"/>
        <v>8.0557223684549831E-3</v>
      </c>
    </row>
    <row r="83" spans="1:31" customFormat="1" ht="14.5">
      <c r="A83" s="220"/>
      <c r="B83" s="267">
        <v>45</v>
      </c>
      <c r="C83" s="68" t="s">
        <v>614</v>
      </c>
      <c r="D83" s="246">
        <f t="shared" ca="1" si="6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4.0591024117457401E-4</v>
      </c>
      <c r="J83" s="403">
        <f ca="1"/>
        <v>4.8356964784780198E-4</v>
      </c>
      <c r="K83" s="403">
        <f ca="1"/>
        <v>0.83940388521309695</v>
      </c>
      <c r="L83" s="403">
        <f ca="1"/>
        <v>0.83940388521309695</v>
      </c>
      <c r="M83" s="403">
        <f ca="1"/>
        <v>1.9093928109168901E-4</v>
      </c>
      <c r="N83" s="687" t="str">
        <f ca="1"/>
        <v>EQUINOR ASA</v>
      </c>
      <c r="O83" s="403">
        <f ca="1"/>
        <v>9.2935194732420207E-2</v>
      </c>
      <c r="P83" s="403">
        <f ca="1"/>
        <v>0.78202831715981802</v>
      </c>
      <c r="Q83" s="403">
        <f ca="1"/>
        <v>0.118838656725301</v>
      </c>
      <c r="R83" s="441">
        <f ca="1"/>
        <v>0.118838656725301</v>
      </c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-3.3714018062966401E-2</v>
      </c>
      <c r="U83" s="413">
        <f ca="1"/>
        <v>1.36971862792166E-2</v>
      </c>
      <c r="V83" s="413">
        <f ca="1"/>
        <v>4.7411204342183003E-2</v>
      </c>
      <c r="W83" s="414">
        <f ca="1"/>
        <v>2.8890188446509999E-3</v>
      </c>
      <c r="X83" s="415">
        <f ca="1"/>
        <v>4.7411204342183</v>
      </c>
      <c r="Y83" s="416">
        <f t="shared" ca="1" si="7"/>
        <v>7.0509814444150443E-3</v>
      </c>
      <c r="Z83" s="417">
        <f t="shared" ca="1" si="8"/>
        <v>-9.6578606295452587E-5</v>
      </c>
      <c r="AA83" s="416">
        <f t="shared" ca="1" si="9"/>
        <v>9.5386805137851922E-3</v>
      </c>
      <c r="AB83" s="418">
        <f t="shared" ca="1" si="10"/>
        <v>2.7445679024184497E-3</v>
      </c>
      <c r="AC83" s="417">
        <f t="shared" ca="1" si="11"/>
        <v>-6.5326541927624736E-6</v>
      </c>
      <c r="AD83" s="220"/>
      <c r="AE83" s="220">
        <f t="shared" ca="1" si="12"/>
        <v>4.1544199459633063E-3</v>
      </c>
    </row>
    <row r="84" spans="1:31" customFormat="1" ht="14.5">
      <c r="A84" s="220"/>
      <c r="B84" s="267">
        <v>46</v>
      </c>
      <c r="C84" s="68" t="s">
        <v>562</v>
      </c>
      <c r="D84" s="246">
        <f t="shared" ca="1" si="6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3.3372529109814602E-4</v>
      </c>
      <c r="J84" s="403">
        <f ca="1"/>
        <v>4.7625075924318498E-4</v>
      </c>
      <c r="K84" s="403">
        <f ca="1"/>
        <v>0.70073440224740502</v>
      </c>
      <c r="L84" s="403">
        <f ca="1"/>
        <v>0.70073440224740502</v>
      </c>
      <c r="M84" s="403">
        <f ca="1"/>
        <v>4.2971984453890502E-4</v>
      </c>
      <c r="N84" s="687" t="str">
        <f ca="1"/>
        <v>FORTUM OYJ</v>
      </c>
      <c r="O84" s="403">
        <f ca="1"/>
        <v>8.5851290933970106E-2</v>
      </c>
      <c r="P84" s="403">
        <f ca="1"/>
        <v>0.773300191735107</v>
      </c>
      <c r="Q84" s="403">
        <f ca="1"/>
        <v>0.111019358137413</v>
      </c>
      <c r="R84" s="441">
        <f ca="1"/>
        <v>0.111019358137413</v>
      </c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-2.4526517615901602E-2</v>
      </c>
      <c r="U84" s="413">
        <f ca="1"/>
        <v>2.2668469203380899E-2</v>
      </c>
      <c r="V84" s="413">
        <f ca="1"/>
        <v>4.7194986819282497E-2</v>
      </c>
      <c r="W84" s="414">
        <f ca="1"/>
        <v>4.8031519301366303E-3</v>
      </c>
      <c r="X84" s="415">
        <f ca="1"/>
        <v>4.7194986819282496</v>
      </c>
      <c r="Y84" s="416">
        <f t="shared" ca="1" si="7"/>
        <v>7.0509814444150443E-3</v>
      </c>
      <c r="Z84" s="417">
        <f t="shared" ca="1" si="8"/>
        <v>-1.5983495572633298E-4</v>
      </c>
      <c r="AA84" s="416">
        <f t="shared" ca="1" si="9"/>
        <v>7.9628909346296031E-3</v>
      </c>
      <c r="AB84" s="418">
        <f t="shared" ca="1" si="10"/>
        <v>4.562994333629799E-3</v>
      </c>
      <c r="AC84" s="417">
        <f t="shared" ca="1" si="11"/>
        <v>-9.0253273960766197E-6</v>
      </c>
      <c r="AD84" s="220"/>
      <c r="AE84" s="220">
        <f t="shared" ca="1" si="12"/>
        <v>6.0236785993917144E-3</v>
      </c>
    </row>
    <row r="85" spans="1:31" customFormat="1" ht="14.5">
      <c r="A85" s="220"/>
      <c r="B85" s="267">
        <v>47</v>
      </c>
      <c r="C85" s="68" t="s">
        <v>548</v>
      </c>
      <c r="D85" s="246">
        <f t="shared" ca="1" si="6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3.5754522099456902E-4</v>
      </c>
      <c r="J85" s="403">
        <f ca="1"/>
        <v>4.7908728438779598E-4</v>
      </c>
      <c r="K85" s="403">
        <f ca="1"/>
        <v>0.74630496914870104</v>
      </c>
      <c r="L85" s="403">
        <f ca="1"/>
        <v>0.74630496914870104</v>
      </c>
      <c r="M85" s="403">
        <f ca="1"/>
        <v>3.2417572611639602E-4</v>
      </c>
      <c r="N85" s="687" t="str">
        <f ca="1"/>
        <v>IBERDROLA, S.A.</v>
      </c>
      <c r="O85" s="403">
        <f ca="1"/>
        <v>8.83576771078802E-2</v>
      </c>
      <c r="P85" s="403">
        <f ca="1"/>
        <v>0.77655473934448505</v>
      </c>
      <c r="Q85" s="403">
        <f ca="1"/>
        <v>0.113781646844968</v>
      </c>
      <c r="R85" s="441">
        <f ca="1"/>
        <v>0.113781646844968</v>
      </c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-2.79523572047214E-2</v>
      </c>
      <c r="U85" s="413">
        <f ca="1"/>
        <v>1.9321325156943701E-2</v>
      </c>
      <c r="V85" s="413">
        <f ca="1"/>
        <v>4.7273682361665098E-2</v>
      </c>
      <c r="W85" s="414">
        <f ca="1"/>
        <v>4.08712082319435E-3</v>
      </c>
      <c r="X85" s="415">
        <f ca="1"/>
        <v>4.7273682361665097</v>
      </c>
      <c r="Y85" s="416">
        <f t="shared" ca="1" si="7"/>
        <v>7.0509814444150443E-3</v>
      </c>
      <c r="Z85" s="417">
        <f t="shared" ca="1" si="8"/>
        <v>-1.3623430516311954E-4</v>
      </c>
      <c r="AA85" s="416">
        <f t="shared" ca="1" si="9"/>
        <v>8.4807382857806941E-3</v>
      </c>
      <c r="AB85" s="418">
        <f t="shared" ca="1" si="10"/>
        <v>3.8827647820346323E-3</v>
      </c>
      <c r="AC85" s="417">
        <f t="shared" ca="1" si="11"/>
        <v>-8.1929550995255086E-6</v>
      </c>
      <c r="AD85" s="220"/>
      <c r="AE85" s="220">
        <f t="shared" ca="1" si="12"/>
        <v>5.3641651032835186E-3</v>
      </c>
    </row>
    <row r="86" spans="1:31" customFormat="1" ht="14.5">
      <c r="A86" s="220"/>
      <c r="B86" s="267">
        <v>48</v>
      </c>
      <c r="C86" s="68" t="s">
        <v>563</v>
      </c>
      <c r="D86" s="246">
        <f t="shared" ca="1" si="6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2.8042917515873198E-4</v>
      </c>
      <c r="J86" s="403">
        <f ca="1"/>
        <v>4.6099928111595302E-4</v>
      </c>
      <c r="K86" s="403">
        <f ca="1"/>
        <v>0.60830718538191597</v>
      </c>
      <c r="L86" s="403">
        <f ca="1"/>
        <v>0.60830718538191597</v>
      </c>
      <c r="M86" s="403">
        <f ca="1"/>
        <v>5.3514287534357004E-4</v>
      </c>
      <c r="N86" s="687" t="str">
        <f ca="1"/>
        <v>NATIONAL GRID PLC</v>
      </c>
      <c r="O86" s="403">
        <f ca="1"/>
        <v>8.1779698815380303E-2</v>
      </c>
      <c r="P86" s="403">
        <f ca="1"/>
        <v>0.76745155624052497</v>
      </c>
      <c r="Q86" s="403">
        <f ca="1"/>
        <v>0.106560079460898</v>
      </c>
      <c r="R86" s="441">
        <f ca="1"/>
        <v>0.106560079460898</v>
      </c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-1.8370059200552898E-2</v>
      </c>
      <c r="U86" s="413">
        <f ca="1"/>
        <v>2.8605111636626001E-2</v>
      </c>
      <c r="V86" s="413">
        <f ca="1"/>
        <v>4.6975170837178899E-2</v>
      </c>
      <c r="W86" s="414">
        <f ca="1"/>
        <v>6.0894108795845397E-3</v>
      </c>
      <c r="X86" s="415">
        <f ca="1"/>
        <v>4.6975170837178899</v>
      </c>
      <c r="Y86" s="416">
        <f t="shared" ca="1" si="7"/>
        <v>7.0509814444150443E-3</v>
      </c>
      <c r="Z86" s="417">
        <f t="shared" ca="1" si="8"/>
        <v>-2.0169411136527048E-4</v>
      </c>
      <c r="AA86" s="416">
        <f t="shared" ca="1" si="9"/>
        <v>6.9125816520672267E-3</v>
      </c>
      <c r="AB86" s="418">
        <f t="shared" ca="1" si="10"/>
        <v>5.7849403356053123E-3</v>
      </c>
      <c r="AC86" s="417">
        <f t="shared" ca="1" si="11"/>
        <v>-9.8867584927337767E-6</v>
      </c>
      <c r="AD86" s="220"/>
      <c r="AE86" s="220">
        <f t="shared" ca="1" si="12"/>
        <v>8.6986056660482876E-3</v>
      </c>
    </row>
    <row r="87" spans="1:31" customFormat="1" ht="14.5">
      <c r="A87" s="220"/>
      <c r="B87" s="267">
        <v>49</v>
      </c>
      <c r="C87" s="68" t="s">
        <v>549</v>
      </c>
      <c r="D87" s="246">
        <f t="shared" ca="1" si="6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3.2557141543541098E-4</v>
      </c>
      <c r="J87" s="403">
        <f ca="1"/>
        <v>4.75556067780777E-4</v>
      </c>
      <c r="K87" s="403">
        <f ca="1"/>
        <v>0.684612052065107</v>
      </c>
      <c r="L87" s="403">
        <f ca="1"/>
        <v>0.684612052065107</v>
      </c>
      <c r="M87" s="403">
        <f ca="1"/>
        <v>4.1970171802788099E-4</v>
      </c>
      <c r="N87" s="687" t="str">
        <f ca="1"/>
        <v>NATURGY ENERGY GROUP, S.A.</v>
      </c>
      <c r="O87" s="403">
        <f ca="1"/>
        <v>8.5400446860090198E-2</v>
      </c>
      <c r="P87" s="403">
        <f ca="1"/>
        <v>0.77265731794831005</v>
      </c>
      <c r="Q87" s="403">
        <f ca="1"/>
        <v>0.110528231437528</v>
      </c>
      <c r="R87" s="441">
        <f ca="1"/>
        <v>0.110528231437528</v>
      </c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-2.3849808366642099E-2</v>
      </c>
      <c r="U87" s="413">
        <f ca="1"/>
        <v>2.3287745622337701E-2</v>
      </c>
      <c r="V87" s="413">
        <f ca="1"/>
        <v>4.71375539889798E-2</v>
      </c>
      <c r="W87" s="414">
        <f ca="1"/>
        <v>4.94038057803807E-3</v>
      </c>
      <c r="X87" s="415">
        <f ca="1"/>
        <v>4.7137553988979803</v>
      </c>
      <c r="Y87" s="416">
        <f t="shared" ca="1" si="7"/>
        <v>7.0509814444150443E-3</v>
      </c>
      <c r="Z87" s="417">
        <f t="shared" ca="1" si="8"/>
        <v>-1.6420146226536064E-4</v>
      </c>
      <c r="AA87" s="416">
        <f t="shared" ca="1" si="9"/>
        <v>7.7796824098307618E-3</v>
      </c>
      <c r="AB87" s="418">
        <f t="shared" ca="1" si="10"/>
        <v>4.6933615491361663E-3</v>
      </c>
      <c r="AC87" s="417">
        <f t="shared" ca="1" si="11"/>
        <v>-9.0585632491356938E-6</v>
      </c>
      <c r="AD87" s="220"/>
      <c r="AE87" s="220">
        <f t="shared" ca="1" si="12"/>
        <v>6.9504574422507726E-3</v>
      </c>
    </row>
    <row r="88" spans="1:31" customFormat="1" ht="14.5">
      <c r="A88" s="220"/>
      <c r="B88" s="267">
        <v>50</v>
      </c>
      <c r="C88" s="68" t="s">
        <v>550</v>
      </c>
      <c r="D88" s="246">
        <f t="shared" ca="1" si="6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2.74784148508082E-4</v>
      </c>
      <c r="J88" s="403">
        <f ca="1"/>
        <v>4.6004849195900002E-4</v>
      </c>
      <c r="K88" s="403">
        <f ca="1"/>
        <v>0.59729387947340795</v>
      </c>
      <c r="L88" s="403">
        <f ca="1"/>
        <v>0.59729387947340795</v>
      </c>
      <c r="M88" s="403">
        <f ca="1"/>
        <v>5.8648324477877305E-4</v>
      </c>
      <c r="N88" s="687" t="str">
        <f ca="1"/>
        <v>REPSOL, S.A.</v>
      </c>
      <c r="O88" s="403">
        <f ca="1"/>
        <v>8.1014404066770004E-2</v>
      </c>
      <c r="P88" s="403">
        <f ca="1"/>
        <v>0.76626812794293997</v>
      </c>
      <c r="Q88" s="403">
        <f ca="1"/>
        <v>0.105725921661722</v>
      </c>
      <c r="R88" s="441">
        <f ca="1"/>
        <v>0.105725921661722</v>
      </c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-1.71243452030947E-2</v>
      </c>
      <c r="U88" s="413">
        <f ca="1"/>
        <v>2.9804425859164301E-2</v>
      </c>
      <c r="V88" s="413">
        <f ca="1"/>
        <v>4.6928771062258998E-2</v>
      </c>
      <c r="W88" s="414">
        <f ca="1"/>
        <v>6.3509921918951696E-3</v>
      </c>
      <c r="X88" s="415">
        <f ca="1"/>
        <v>4.6928771062259003</v>
      </c>
      <c r="Y88" s="416">
        <f t="shared" ca="1" si="7"/>
        <v>7.0509814444150443E-3</v>
      </c>
      <c r="Z88" s="417">
        <f t="shared" ca="1" si="8"/>
        <v>-2.1015045369441132E-4</v>
      </c>
      <c r="AA88" s="416">
        <f t="shared" ca="1" si="9"/>
        <v>6.7874304485614542E-3</v>
      </c>
      <c r="AB88" s="418">
        <f t="shared" ca="1" si="10"/>
        <v>6.033442582300411E-3</v>
      </c>
      <c r="AC88" s="417">
        <f t="shared" ca="1" si="11"/>
        <v>-1.0114773378919211E-5</v>
      </c>
      <c r="AD88" s="220"/>
      <c r="AE88" s="220">
        <f t="shared" ca="1" si="12"/>
        <v>9.2764097404042598E-3</v>
      </c>
    </row>
    <row r="89" spans="1:31" customFormat="1" ht="14.5">
      <c r="A89" s="220"/>
      <c r="B89" s="267">
        <v>51</v>
      </c>
      <c r="C89" s="68" t="s">
        <v>551</v>
      </c>
      <c r="D89" s="246">
        <f t="shared" ca="1" si="6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3.8925591105883203E-4</v>
      </c>
      <c r="J89" s="403">
        <f ca="1"/>
        <v>4.82114516557698E-4</v>
      </c>
      <c r="K89" s="403">
        <f ca="1"/>
        <v>0.80739305225265301</v>
      </c>
      <c r="L89" s="403">
        <f ca="1"/>
        <v>0.80739305225265301</v>
      </c>
      <c r="M89" s="403">
        <f ca="1"/>
        <v>2.3521532575078799E-4</v>
      </c>
      <c r="N89" s="687" t="str">
        <f ca="1"/>
        <v>SHELL PLC</v>
      </c>
      <c r="O89" s="403">
        <f ca="1"/>
        <v>9.1339205054989894E-2</v>
      </c>
      <c r="P89" s="403">
        <f ca="1"/>
        <v>0.78018419635537495</v>
      </c>
      <c r="Q89" s="403">
        <f ca="1"/>
        <v>0.11707389803802799</v>
      </c>
      <c r="R89" s="441">
        <f ca="1"/>
        <v>0.11707389803802799</v>
      </c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-3.1772838268815898E-2</v>
      </c>
      <c r="U89" s="413">
        <f ca="1"/>
        <v>1.55948277452561E-2</v>
      </c>
      <c r="V89" s="413">
        <f ca="1"/>
        <v>4.7367666014072003E-2</v>
      </c>
      <c r="W89" s="414">
        <f ca="1"/>
        <v>3.2922938910739598E-3</v>
      </c>
      <c r="X89" s="415">
        <f ca="1"/>
        <v>4.7367666014071999</v>
      </c>
      <c r="Y89" s="416">
        <f t="shared" ca="1" si="7"/>
        <v>7.0509814444150443E-3</v>
      </c>
      <c r="Z89" s="417">
        <f t="shared" ca="1" si="8"/>
        <v>-1.0995884106064957E-4</v>
      </c>
      <c r="AA89" s="416">
        <f t="shared" ca="1" si="9"/>
        <v>9.174921048325603E-3</v>
      </c>
      <c r="AB89" s="418">
        <f t="shared" ca="1" si="10"/>
        <v>3.1276791965202618E-3</v>
      </c>
      <c r="AC89" s="417">
        <f t="shared" ca="1" si="11"/>
        <v>-7.1540656662481074E-6</v>
      </c>
      <c r="AD89" s="220"/>
      <c r="AE89" s="220">
        <f t="shared" ca="1" si="12"/>
        <v>4.5092412496482888E-3</v>
      </c>
    </row>
    <row r="90" spans="1:31" customFormat="1" ht="14.5">
      <c r="A90" s="220"/>
      <c r="B90" s="267">
        <v>52</v>
      </c>
      <c r="C90" s="68" t="s">
        <v>552</v>
      </c>
      <c r="D90" s="246">
        <f t="shared" ca="1" si="6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3.9664579154929502E-4</v>
      </c>
      <c r="J90" s="403">
        <f ca="1"/>
        <v>4.82828411565942E-4</v>
      </c>
      <c r="K90" s="403">
        <f ca="1"/>
        <v>0.82150466303933201</v>
      </c>
      <c r="L90" s="403">
        <f ca="1"/>
        <v>0.82150466303933201</v>
      </c>
      <c r="M90" s="403">
        <f ca="1"/>
        <v>2.1583533960800599E-4</v>
      </c>
      <c r="N90" s="687" t="str">
        <f ca="1"/>
        <v>TOTALENERGIES SE</v>
      </c>
      <c r="O90" s="403">
        <f ca="1"/>
        <v>9.2019465572330095E-2</v>
      </c>
      <c r="P90" s="403">
        <f ca="1"/>
        <v>0.780987590944625</v>
      </c>
      <c r="Q90" s="403">
        <f ca="1"/>
        <v>0.117824491245796</v>
      </c>
      <c r="R90" s="441">
        <f ca="1"/>
        <v>0.117824491245796</v>
      </c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-3.2618516783815298E-2</v>
      </c>
      <c r="U90" s="413">
        <f ca="1"/>
        <v>1.47811091277112E-2</v>
      </c>
      <c r="V90" s="413">
        <f ca="1"/>
        <v>4.7399625911526501E-2</v>
      </c>
      <c r="W90" s="414">
        <f ca="1"/>
        <v>3.1184020640375402E-3</v>
      </c>
      <c r="X90" s="415">
        <f ca="1"/>
        <v>4.7399625911526497</v>
      </c>
      <c r="Y90" s="416">
        <f t="shared" ca="1" si="7"/>
        <v>7.0509814444150443E-3</v>
      </c>
      <c r="Z90" s="417">
        <f t="shared" ca="1" si="8"/>
        <v>-1.0422132618736515E-4</v>
      </c>
      <c r="AA90" s="416">
        <f t="shared" ca="1" si="9"/>
        <v>9.3352802618105902E-3</v>
      </c>
      <c r="AB90" s="418">
        <f t="shared" ca="1" si="10"/>
        <v>2.9624819608356631E-3</v>
      </c>
      <c r="AC90" s="417">
        <f t="shared" ca="1" si="11"/>
        <v>-6.8992898143795163E-6</v>
      </c>
      <c r="AD90" s="220"/>
      <c r="AE90" s="220">
        <f t="shared" ca="1" si="12"/>
        <v>4.1080232978809115E-3</v>
      </c>
    </row>
    <row r="91" spans="1:31" customFormat="1" ht="14.5">
      <c r="A91" s="220"/>
      <c r="B91" s="267">
        <v>53</v>
      </c>
      <c r="C91" s="68" t="s">
        <v>553</v>
      </c>
      <c r="D91" s="246">
        <f t="shared" ca="1" si="6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3.5615830165684601E-4</v>
      </c>
      <c r="J91" s="403">
        <f ca="1"/>
        <v>4.77512728739282E-4</v>
      </c>
      <c r="K91" s="403">
        <f ca="1"/>
        <v>0.74586137755357196</v>
      </c>
      <c r="L91" s="403">
        <f ca="1"/>
        <v>0.74586137755357196</v>
      </c>
      <c r="M91" s="403">
        <f ca="1"/>
        <v>4.8269484927679698E-4</v>
      </c>
      <c r="N91" s="687" t="str">
        <f ca="1"/>
        <v>VEOLIA ENVIRONNEMENT</v>
      </c>
      <c r="O91" s="403">
        <f ca="1"/>
        <v>8.6949131802640106E-2</v>
      </c>
      <c r="P91" s="403">
        <f ca="1"/>
        <v>0.77474712848554805</v>
      </c>
      <c r="Q91" s="403">
        <f ca="1"/>
        <v>0.1122290468796</v>
      </c>
      <c r="R91" s="441">
        <f ca="1"/>
        <v>0.1122290468796</v>
      </c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-2.60496089321555E-2</v>
      </c>
      <c r="U91" s="413">
        <f ca="1"/>
        <v>2.11751698088532E-2</v>
      </c>
      <c r="V91" s="413">
        <f ca="1"/>
        <v>4.7224778741008701E-2</v>
      </c>
      <c r="W91" s="414">
        <f ca="1"/>
        <v>4.48391085641344E-3</v>
      </c>
      <c r="X91" s="415">
        <f ca="1"/>
        <v>4.7224778741008704</v>
      </c>
      <c r="Y91" s="416">
        <f t="shared" ca="1" si="7"/>
        <v>7.0509814444150443E-3</v>
      </c>
      <c r="Z91" s="417">
        <f t="shared" ca="1" si="8"/>
        <v>-1.4930572940456124E-4</v>
      </c>
      <c r="AA91" s="416">
        <f t="shared" ca="1" si="9"/>
        <v>8.4756974721996812E-3</v>
      </c>
      <c r="AB91" s="418">
        <f t="shared" ca="1" si="10"/>
        <v>4.2597153135927679E-3</v>
      </c>
      <c r="AC91" s="417">
        <f t="shared" ca="1" si="11"/>
        <v>-8.973716661114786E-6</v>
      </c>
      <c r="AD91" s="220"/>
      <c r="AE91" s="220">
        <f t="shared" ca="1" si="12"/>
        <v>5.8293674590938292E-3</v>
      </c>
    </row>
    <row r="92" spans="1:31" customFormat="1" ht="14.5">
      <c r="A92" s="220"/>
      <c r="B92" s="267">
        <v>54</v>
      </c>
      <c r="C92" s="68" t="s">
        <v>554</v>
      </c>
      <c r="D92" s="246">
        <f t="shared" ca="1" si="6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3.8166865024193098E-4</v>
      </c>
      <c r="J92" s="403">
        <f ca="1"/>
        <v>4.8128456657747901E-4</v>
      </c>
      <c r="K92" s="403">
        <f ca="1"/>
        <v>0.79302075476066303</v>
      </c>
      <c r="L92" s="403">
        <f ca="1"/>
        <v>0.79302075476066303</v>
      </c>
      <c r="M92" s="403">
        <f ca="1"/>
        <v>2.6301331722244502E-4</v>
      </c>
      <c r="N92" s="687" t="str">
        <f ca="1"/>
        <v>BERTELSMANN SE &amp; CO. KGAA</v>
      </c>
      <c r="O92" s="403">
        <f ca="1"/>
        <v>9.0566299736380099E-2</v>
      </c>
      <c r="P92" s="403">
        <f ca="1"/>
        <v>0.77925606710226702</v>
      </c>
      <c r="Q92" s="403">
        <f ca="1"/>
        <v>0.116221488108728</v>
      </c>
      <c r="R92" s="441">
        <f ca="1"/>
        <v>0.116221488108728</v>
      </c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-3.0795860107648999E-2</v>
      </c>
      <c r="U92" s="413">
        <f ca="1"/>
        <v>1.65343959733758E-2</v>
      </c>
      <c r="V92" s="413">
        <f ca="1"/>
        <v>4.7330256081024799E-2</v>
      </c>
      <c r="W92" s="414">
        <f ca="1"/>
        <v>3.4934093627278298E-3</v>
      </c>
      <c r="X92" s="415">
        <f ca="1"/>
        <v>4.73302560810248</v>
      </c>
      <c r="Y92" s="416">
        <f t="shared" ca="1" si="7"/>
        <v>7.0509814444150443E-3</v>
      </c>
      <c r="Z92" s="417">
        <f t="shared" ca="1" si="8"/>
        <v>-1.1658371920288348E-4</v>
      </c>
      <c r="AA92" s="416">
        <f t="shared" ca="1" si="9"/>
        <v>9.011599485916625E-3</v>
      </c>
      <c r="AB92" s="418">
        <f t="shared" ca="1" si="10"/>
        <v>3.3187388945914382E-3</v>
      </c>
      <c r="AC92" s="417">
        <f t="shared" ca="1" si="11"/>
        <v>-7.4500677126807636E-6</v>
      </c>
      <c r="AD92" s="220"/>
      <c r="AE92" s="220">
        <f t="shared" ca="1" si="12"/>
        <v>4.9820255389902944E-3</v>
      </c>
    </row>
    <row r="93" spans="1:31" customFormat="1" ht="14.5">
      <c r="A93" s="220"/>
      <c r="B93" s="267">
        <v>55</v>
      </c>
      <c r="C93" s="68" t="s">
        <v>555</v>
      </c>
      <c r="D93" s="246">
        <f t="shared" ca="1" si="6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2.44208406748809E-4</v>
      </c>
      <c r="J93" s="403">
        <f ca="1"/>
        <v>4.5506113240431899E-4</v>
      </c>
      <c r="K93" s="403">
        <f ca="1"/>
        <v>0.53664967047071699</v>
      </c>
      <c r="L93" s="403">
        <f ca="1"/>
        <v>0.53664967047071699</v>
      </c>
      <c r="M93" s="403">
        <f ca="1"/>
        <v>7.8764853122676099E-4</v>
      </c>
      <c r="N93" s="687" t="str">
        <f ca="1"/>
        <v>BRITISH TELECOMMUNICATIONS PUBLIC LIMITED COMPANY</v>
      </c>
      <c r="O93" s="403">
        <f ca="1"/>
        <v>7.7324533896250297E-2</v>
      </c>
      <c r="P93" s="403">
        <f ca="1"/>
        <v>0.76028135952183695</v>
      </c>
      <c r="Q93" s="403">
        <f ca="1"/>
        <v>0.101705155503065</v>
      </c>
      <c r="R93" s="441">
        <f ca="1"/>
        <v>0.101705155503065</v>
      </c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-1.08224837071965E-2</v>
      </c>
      <c r="U93" s="413">
        <f ca="1"/>
        <v>3.6051815401866701E-2</v>
      </c>
      <c r="V93" s="413">
        <f ca="1"/>
        <v>4.6874299109063197E-2</v>
      </c>
      <c r="W93" s="414">
        <f ca="1"/>
        <v>7.6911689533713202E-3</v>
      </c>
      <c r="X93" s="415">
        <f ca="1"/>
        <v>4.68742991090632</v>
      </c>
      <c r="Y93" s="416">
        <f t="shared" ca="1" si="7"/>
        <v>7.0509814444150443E-3</v>
      </c>
      <c r="Z93" s="417">
        <f t="shared" ca="1" si="8"/>
        <v>-2.5420068143603921E-4</v>
      </c>
      <c r="AA93" s="416">
        <f t="shared" ca="1" si="9"/>
        <v>6.0982917098945108E-3</v>
      </c>
      <c r="AB93" s="418">
        <f t="shared" ca="1" si="10"/>
        <v>7.3066105057027538E-3</v>
      </c>
      <c r="AC93" s="417">
        <f t="shared" ca="1" si="11"/>
        <v>-1.0992724349592584E-5</v>
      </c>
      <c r="AD93" s="220"/>
      <c r="AE93" s="220">
        <f t="shared" ca="1" si="12"/>
        <v>8.763088184865632E-3</v>
      </c>
    </row>
    <row r="94" spans="1:31" customFormat="1" ht="14.5">
      <c r="A94" s="220"/>
      <c r="B94" s="267">
        <v>56</v>
      </c>
      <c r="C94" s="68" t="s">
        <v>556</v>
      </c>
      <c r="D94" s="246">
        <f t="shared" ca="1" si="6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3.8598362360912301E-4</v>
      </c>
      <c r="J94" s="403">
        <f ca="1"/>
        <v>4.8172063484299901E-4</v>
      </c>
      <c r="K94" s="403">
        <f ca="1"/>
        <v>0.80126030668153103</v>
      </c>
      <c r="L94" s="403">
        <f ca="1"/>
        <v>0.80126030668153103</v>
      </c>
      <c r="M94" s="403">
        <f ca="1"/>
        <v>2.4386248162485899E-4</v>
      </c>
      <c r="N94" s="687" t="str">
        <f ca="1"/>
        <v>DEUTSCHE TELEKOM AG</v>
      </c>
      <c r="O94" s="403">
        <f ca="1"/>
        <v>9.1057703821370198E-2</v>
      </c>
      <c r="P94" s="403">
        <f ca="1"/>
        <v>0.77983584582402898</v>
      </c>
      <c r="Q94" s="403">
        <f ca="1"/>
        <v>0.116765219640747</v>
      </c>
      <c r="R94" s="441">
        <f ca="1"/>
        <v>0.116765219640747</v>
      </c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-3.14061534989774E-2</v>
      </c>
      <c r="U94" s="413">
        <f ca="1"/>
        <v>1.5932529356877199E-2</v>
      </c>
      <c r="V94" s="413">
        <f ca="1"/>
        <v>4.7338682855854602E-2</v>
      </c>
      <c r="W94" s="414">
        <f ca="1"/>
        <v>3.3656469499566302E-3</v>
      </c>
      <c r="X94" s="415">
        <f ca="1"/>
        <v>4.7338682855854604</v>
      </c>
      <c r="Y94" s="416">
        <f t="shared" ca="1" si="7"/>
        <v>7.0509814444150443E-3</v>
      </c>
      <c r="Z94" s="417">
        <f t="shared" ca="1" si="8"/>
        <v>-1.1233996885793858E-4</v>
      </c>
      <c r="AA94" s="416">
        <f t="shared" ca="1" si="9"/>
        <v>9.1052307577446714E-3</v>
      </c>
      <c r="AB94" s="418">
        <f t="shared" ca="1" si="10"/>
        <v>3.1973646024587984E-3</v>
      </c>
      <c r="AC94" s="417">
        <f t="shared" ca="1" si="11"/>
        <v>-7.25346781744539E-6</v>
      </c>
      <c r="AD94" s="220"/>
      <c r="AE94" s="220">
        <f t="shared" ca="1" si="12"/>
        <v>4.9704419312139045E-3</v>
      </c>
    </row>
    <row r="95" spans="1:31" customFormat="1" ht="14.5">
      <c r="A95" s="220"/>
      <c r="B95" s="267">
        <v>57</v>
      </c>
      <c r="C95" s="68" t="s">
        <v>564</v>
      </c>
      <c r="D95" s="246">
        <f t="shared" ca="1" si="6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1.8421600023330601E-4</v>
      </c>
      <c r="J95" s="403">
        <f ca="1"/>
        <v>4.60573807344663E-4</v>
      </c>
      <c r="K95" s="403">
        <f ca="1"/>
        <v>0.39997063944075101</v>
      </c>
      <c r="L95" s="403">
        <f ca="1"/>
        <v>0.39997063944075101</v>
      </c>
      <c r="M95" s="403">
        <f ca="1"/>
        <v>9.3017542959562404E-4</v>
      </c>
      <c r="N95" s="687" t="str">
        <f ca="1"/>
        <v>ITV PLC</v>
      </c>
      <c r="O95" s="403">
        <f ca="1"/>
        <v>7.0953142288390197E-2</v>
      </c>
      <c r="P95" s="403">
        <f ca="1"/>
        <v>0.74749511979995997</v>
      </c>
      <c r="Q95" s="403">
        <f ca="1"/>
        <v>9.4921211401859398E-2</v>
      </c>
      <c r="R95" s="441">
        <f ca="1"/>
        <v>9.4921211401859398E-2</v>
      </c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2.6367160000415999E-3</v>
      </c>
      <c r="U95" s="413">
        <f ca="1"/>
        <v>4.9190449934652797E-2</v>
      </c>
      <c r="V95" s="413">
        <f ca="1"/>
        <v>4.6553733934611201E-2</v>
      </c>
      <c r="W95" s="414">
        <f ca="1"/>
        <v>1.05663812066601E-2</v>
      </c>
      <c r="X95" s="415">
        <f ca="1"/>
        <v>4.6553733934611197</v>
      </c>
      <c r="Y95" s="416">
        <f t="shared" ca="1" si="7"/>
        <v>7.0509814444150443E-3</v>
      </c>
      <c r="Z95" s="417">
        <f t="shared" ca="1" si="8"/>
        <v>-3.4684094973166577E-4</v>
      </c>
      <c r="AA95" s="416">
        <f t="shared" ca="1" si="9"/>
        <v>4.5451209027358068E-3</v>
      </c>
      <c r="AB95" s="418">
        <f t="shared" ca="1" si="10"/>
        <v>1.0038062146327095E-2</v>
      </c>
      <c r="AC95" s="417">
        <f t="shared" ca="1" si="11"/>
        <v>-1.1178827110648542E-5</v>
      </c>
      <c r="AD95" s="220"/>
      <c r="AE95" s="220">
        <f t="shared" ca="1" si="12"/>
        <v>1.154336243580887E-2</v>
      </c>
    </row>
    <row r="96" spans="1:31" customFormat="1" ht="14.5">
      <c r="A96" s="220"/>
      <c r="B96" s="267">
        <v>58</v>
      </c>
      <c r="C96" s="68" t="s">
        <v>557</v>
      </c>
      <c r="D96" s="246">
        <f t="shared" ca="1" si="6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3.2988887096168599E-4</v>
      </c>
      <c r="J96" s="403">
        <f ca="1"/>
        <v>4.7604885422220699E-4</v>
      </c>
      <c r="K96" s="403">
        <f ca="1"/>
        <v>0.69297272335772198</v>
      </c>
      <c r="L96" s="403">
        <f ca="1"/>
        <v>0.69297272335772198</v>
      </c>
      <c r="M96" s="403">
        <f ca="1"/>
        <v>4.1365703443338101E-4</v>
      </c>
      <c r="N96" s="687" t="str">
        <f ca="1"/>
        <v>KONINKLIJKE KPN N.V.</v>
      </c>
      <c r="O96" s="403">
        <f ca="1"/>
        <v>8.5723416501190197E-2</v>
      </c>
      <c r="P96" s="403">
        <f ca="1"/>
        <v>0.77311755519582503</v>
      </c>
      <c r="Q96" s="403">
        <f ca="1"/>
        <v>0.11088018364746199</v>
      </c>
      <c r="R96" s="441">
        <f ca="1"/>
        <v>0.11088018364746199</v>
      </c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-2.4334268627184501E-2</v>
      </c>
      <c r="U96" s="413">
        <f ca="1"/>
        <v>2.2842682863807799E-2</v>
      </c>
      <c r="V96" s="413">
        <f ca="1"/>
        <v>4.7176951490992297E-2</v>
      </c>
      <c r="W96" s="414">
        <f ca="1"/>
        <v>4.8419158385359503E-3</v>
      </c>
      <c r="X96" s="415">
        <f ca="1"/>
        <v>4.7176951490992298</v>
      </c>
      <c r="Y96" s="416">
        <f t="shared" ca="1" si="7"/>
        <v>7.0509814444150443E-3</v>
      </c>
      <c r="Z96" s="417">
        <f t="shared" ca="1" si="8"/>
        <v>-1.6106333301336618E-4</v>
      </c>
      <c r="AA96" s="416">
        <f t="shared" ca="1" si="9"/>
        <v>7.8746900381559317E-3</v>
      </c>
      <c r="AB96" s="418">
        <f t="shared" ca="1" si="10"/>
        <v>4.5998200466091524E-3</v>
      </c>
      <c r="AC96" s="417">
        <f t="shared" ca="1" si="11"/>
        <v>-8.9939523596191314E-6</v>
      </c>
      <c r="AD96" s="220"/>
      <c r="AE96" s="220">
        <f t="shared" ca="1" si="12"/>
        <v>6.3196565064664451E-3</v>
      </c>
    </row>
    <row r="97" spans="1:31" customFormat="1" ht="14.5">
      <c r="A97" s="220"/>
      <c r="B97" s="267">
        <v>59</v>
      </c>
      <c r="C97" s="68" t="s">
        <v>558</v>
      </c>
      <c r="D97" s="246">
        <f t="shared" ca="1" si="6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3.91352591646746E-4</v>
      </c>
      <c r="J97" s="403">
        <f ca="1"/>
        <v>4.8239091109553899E-4</v>
      </c>
      <c r="K97" s="403">
        <f ca="1"/>
        <v>0.81127687658534098</v>
      </c>
      <c r="L97" s="403">
        <f ca="1"/>
        <v>0.81127687658534098</v>
      </c>
      <c r="M97" s="403">
        <f ca="1"/>
        <v>2.3033923164078401E-4</v>
      </c>
      <c r="N97" s="687" t="str">
        <f ca="1"/>
        <v>ORANGE</v>
      </c>
      <c r="O97" s="403">
        <f ca="1"/>
        <v>9.1500819631530103E-2</v>
      </c>
      <c r="P97" s="403">
        <f ca="1"/>
        <v>0.78038914078712296</v>
      </c>
      <c r="Q97" s="403">
        <f ca="1"/>
        <v>0.11725024715136299</v>
      </c>
      <c r="R97" s="441">
        <f ca="1"/>
        <v>0.11725024715136299</v>
      </c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-3.1988569249602902E-2</v>
      </c>
      <c r="U97" s="413">
        <f ca="1"/>
        <v>1.54044541586803E-2</v>
      </c>
      <c r="V97" s="413">
        <f ca="1"/>
        <v>4.7393023408283198E-2</v>
      </c>
      <c r="W97" s="414">
        <f ca="1"/>
        <v>3.2503632498761402E-3</v>
      </c>
      <c r="X97" s="415">
        <f ca="1"/>
        <v>4.7393023408283197</v>
      </c>
      <c r="Y97" s="416">
        <f t="shared" ca="1" si="7"/>
        <v>7.0509814444150443E-3</v>
      </c>
      <c r="Z97" s="417">
        <f t="shared" ca="1" si="8"/>
        <v>-1.0861652043419722E-4</v>
      </c>
      <c r="AA97" s="416">
        <f t="shared" ca="1" si="9"/>
        <v>9.2190554157425119E-3</v>
      </c>
      <c r="AB97" s="418">
        <f t="shared" ca="1" si="10"/>
        <v>3.0878450873823332E-3</v>
      </c>
      <c r="AC97" s="417">
        <f t="shared" ca="1" si="11"/>
        <v>-7.1007258269069596E-6</v>
      </c>
      <c r="AD97" s="220"/>
      <c r="AE97" s="220">
        <f t="shared" ca="1" si="12"/>
        <v>4.0801836681962885E-3</v>
      </c>
    </row>
    <row r="98" spans="1:31" customFormat="1" ht="14.5">
      <c r="A98" s="220"/>
      <c r="B98" s="267">
        <v>60</v>
      </c>
      <c r="C98" s="68" t="s">
        <v>559</v>
      </c>
      <c r="D98" s="246">
        <f t="shared" ca="1" si="6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2.9983485669112599E-4</v>
      </c>
      <c r="J98" s="403">
        <f ca="1"/>
        <v>4.7256361581925302E-4</v>
      </c>
      <c r="K98" s="403">
        <f ca="1"/>
        <v>0.634485700240213</v>
      </c>
      <c r="L98" s="403">
        <f ca="1"/>
        <v>0.634485700240213</v>
      </c>
      <c r="M98" s="403">
        <f ca="1"/>
        <v>4.91008175600571E-4</v>
      </c>
      <c r="N98" s="687" t="str">
        <f ca="1"/>
        <v>PEARSON PLC</v>
      </c>
      <c r="O98" s="403">
        <f ca="1"/>
        <v>8.30255551405501E-2</v>
      </c>
      <c r="P98" s="403">
        <f ca="1"/>
        <v>0.76934383669566497</v>
      </c>
      <c r="Q98" s="403">
        <f ca="1"/>
        <v>0.107917359157831</v>
      </c>
      <c r="R98" s="441">
        <f ca="1"/>
        <v>0.107917359157831</v>
      </c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-2.03619333638577E-2</v>
      </c>
      <c r="U98" s="413">
        <f ca="1"/>
        <v>2.6716788859493801E-2</v>
      </c>
      <c r="V98" s="413">
        <f ca="1"/>
        <v>4.70787222233515E-2</v>
      </c>
      <c r="W98" s="414">
        <f ca="1"/>
        <v>5.6749180091897299E-3</v>
      </c>
      <c r="X98" s="415">
        <f ca="1"/>
        <v>4.7078722223351503</v>
      </c>
      <c r="Y98" s="416">
        <f t="shared" ca="1" si="7"/>
        <v>7.0509814444150443E-3</v>
      </c>
      <c r="Z98" s="417">
        <f t="shared" ca="1" si="8"/>
        <v>-1.883795825026455E-4</v>
      </c>
      <c r="AA98" s="416">
        <f t="shared" ca="1" si="9"/>
        <v>7.2100647754569655E-3</v>
      </c>
      <c r="AB98" s="418">
        <f t="shared" ca="1" si="10"/>
        <v>5.3911721087302432E-3</v>
      </c>
      <c r="AC98" s="417">
        <f t="shared" ca="1" si="11"/>
        <v>-9.6314889134578805E-6</v>
      </c>
      <c r="AD98" s="220"/>
      <c r="AE98" s="220">
        <f t="shared" ca="1" si="12"/>
        <v>7.2159903787417726E-3</v>
      </c>
    </row>
    <row r="99" spans="1:31" customFormat="1" ht="14.5">
      <c r="A99" s="220"/>
      <c r="B99" s="267">
        <v>61</v>
      </c>
      <c r="C99" s="68" t="s">
        <v>565</v>
      </c>
      <c r="D99" s="246">
        <f t="shared" ca="1" si="6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3.3617259179576E-4</v>
      </c>
      <c r="J99" s="403">
        <f ca="1"/>
        <v>4.7649584437104998E-4</v>
      </c>
      <c r="K99" s="403">
        <f ca="1"/>
        <v>0.70551001811881597</v>
      </c>
      <c r="L99" s="403">
        <f ca="1"/>
        <v>0.70551001811881597</v>
      </c>
      <c r="M99" s="403">
        <f ca="1"/>
        <v>4.2675194142750801E-4</v>
      </c>
      <c r="N99" s="687" t="str">
        <f ca="1"/>
        <v>PUBLICIS GROUPE SA</v>
      </c>
      <c r="O99" s="403">
        <f ca="1"/>
        <v>8.6026924866440299E-2</v>
      </c>
      <c r="P99" s="403">
        <f ca="1"/>
        <v>0.773542836435125</v>
      </c>
      <c r="Q99" s="403">
        <f ca="1"/>
        <v>0.111211584949705</v>
      </c>
      <c r="R99" s="441">
        <f ca="1"/>
        <v>0.111211584949705</v>
      </c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-2.47819330896057E-2</v>
      </c>
      <c r="U99" s="413">
        <f ca="1"/>
        <v>2.2428866911555798E-2</v>
      </c>
      <c r="V99" s="413">
        <f ca="1"/>
        <v>4.7210800001161499E-2</v>
      </c>
      <c r="W99" s="414">
        <f ca="1"/>
        <v>4.7507915373185801E-3</v>
      </c>
      <c r="X99" s="415">
        <f ca="1"/>
        <v>4.7210800001161504</v>
      </c>
      <c r="Y99" s="416">
        <f t="shared" ca="1" si="7"/>
        <v>7.0509814444150443E-3</v>
      </c>
      <c r="Z99" s="417">
        <f t="shared" ca="1" si="8"/>
        <v>-1.5814552441263457E-4</v>
      </c>
      <c r="AA99" s="416">
        <f t="shared" ca="1" si="9"/>
        <v>8.0171592968047278E-3</v>
      </c>
      <c r="AB99" s="418">
        <f t="shared" ca="1" si="10"/>
        <v>4.5132519604526508E-3</v>
      </c>
      <c r="AC99" s="417">
        <f t="shared" ca="1" si="11"/>
        <v>-8.9907899438387913E-6</v>
      </c>
      <c r="AD99" s="220"/>
      <c r="AE99" s="220">
        <f t="shared" ca="1" si="12"/>
        <v>5.7854078129028789E-3</v>
      </c>
    </row>
    <row r="100" spans="1:31" customFormat="1" ht="14.5">
      <c r="A100" s="220"/>
      <c r="B100" s="267">
        <v>62</v>
      </c>
      <c r="C100" s="68" t="s">
        <v>566</v>
      </c>
      <c r="D100" s="246">
        <f t="shared" ca="1" si="6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9.7889161728659203E-5</v>
      </c>
      <c r="J100" s="403">
        <f ca="1"/>
        <v>4.4059323115798601E-4</v>
      </c>
      <c r="K100" s="403">
        <f ca="1"/>
        <v>0.22217581843321299</v>
      </c>
      <c r="L100" s="403">
        <f ca="1"/>
        <v>0.22217581843321299</v>
      </c>
      <c r="M100" s="403">
        <f ca="1"/>
        <v>9.5583858997624503E-4</v>
      </c>
      <c r="N100" s="687" t="str">
        <f ca="1"/>
        <v>SES</v>
      </c>
      <c r="O100" s="403">
        <f ca="1"/>
        <v>6.245239996522E-2</v>
      </c>
      <c r="P100" s="403">
        <f ca="1"/>
        <v>0.72148732230034696</v>
      </c>
      <c r="Q100" s="403">
        <f ca="1"/>
        <v>8.6560633894578395E-2</v>
      </c>
      <c r="R100" s="441">
        <f ca="1"/>
        <v>8.6560633894578395E-2</v>
      </c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3.0013344947002699E-2</v>
      </c>
      <c r="U100" s="413">
        <f ca="1"/>
        <v>7.56665408389324E-2</v>
      </c>
      <c r="V100" s="413">
        <f ca="1"/>
        <v>4.5653195891929697E-2</v>
      </c>
      <c r="W100" s="414">
        <f ca="1"/>
        <v>1.6574204578809901E-2</v>
      </c>
      <c r="X100" s="415">
        <f ca="1"/>
        <v>4.5653195891929697</v>
      </c>
      <c r="Y100" s="416">
        <f t="shared" ca="1" si="7"/>
        <v>7.0509814444150443E-3</v>
      </c>
      <c r="Z100" s="417">
        <f t="shared" ca="1" si="8"/>
        <v>-5.3352337541838729E-4</v>
      </c>
      <c r="AA100" s="416">
        <f t="shared" ca="1" si="9"/>
        <v>2.5247252094683296E-3</v>
      </c>
      <c r="AB100" s="418">
        <f t="shared" ca="1" si="10"/>
        <v>1.5745494349869407E-2</v>
      </c>
      <c r="AC100" s="417">
        <f t="shared" ca="1" si="11"/>
        <v>-9.5518611584659078E-6</v>
      </c>
      <c r="AD100" s="220"/>
      <c r="AE100" s="220">
        <f t="shared" ca="1" si="12"/>
        <v>2.1916348710331959E-2</v>
      </c>
    </row>
    <row r="101" spans="1:31" customFormat="1" ht="14.5">
      <c r="A101" s="220"/>
      <c r="B101" s="267">
        <v>63</v>
      </c>
      <c r="C101" s="68" t="s">
        <v>576</v>
      </c>
      <c r="D101" s="246">
        <f t="shared" ca="1" si="6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4.6846622838025097E-4</v>
      </c>
      <c r="J101" s="403">
        <f ca="1"/>
        <v>4.8899953402871898E-4</v>
      </c>
      <c r="K101" s="403">
        <f ca="1"/>
        <v>0.95800955988792003</v>
      </c>
      <c r="L101" s="403">
        <f ca="1"/>
        <v>0.95800955988792003</v>
      </c>
      <c r="M101" s="403">
        <f ca="1"/>
        <v>5.1761484919348201E-5</v>
      </c>
      <c r="N101" s="687" t="str">
        <f ca="1"/>
        <v>SKY LIMITED</v>
      </c>
      <c r="O101" s="403">
        <f ca="1"/>
        <v>9.9176774337910195E-2</v>
      </c>
      <c r="P101" s="403">
        <f ca="1"/>
        <v>0.78876704065516801</v>
      </c>
      <c r="Q101" s="403">
        <f ca="1"/>
        <v>0.125736458581651</v>
      </c>
      <c r="R101" s="441">
        <f ca="1"/>
        <v>0.125736458581651</v>
      </c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-4.0807411215966302E-2</v>
      </c>
      <c r="U101" s="413">
        <f ca="1"/>
        <v>6.816562920144E-3</v>
      </c>
      <c r="V101" s="413">
        <f ca="1"/>
        <v>4.7623974136110303E-2</v>
      </c>
      <c r="W101" s="414">
        <f ca="1"/>
        <v>1.43133013231154E-3</v>
      </c>
      <c r="X101" s="415">
        <f ca="1"/>
        <v>4.7623974136110299</v>
      </c>
      <c r="Y101" s="416">
        <f t="shared" ca="1" si="7"/>
        <v>7.0509814444150443E-3</v>
      </c>
      <c r="Z101" s="417">
        <f t="shared" ca="1" si="8"/>
        <v>-4.806345866462305E-5</v>
      </c>
      <c r="AA101" s="416">
        <f t="shared" ca="1" si="9"/>
        <v>1.0886472271453637E-2</v>
      </c>
      <c r="AB101" s="418">
        <f t="shared" ca="1" si="10"/>
        <v>1.3597636256959629E-3</v>
      </c>
      <c r="AC101" s="417">
        <f t="shared" ca="1" si="11"/>
        <v>-3.7104161608383448E-6</v>
      </c>
      <c r="AD101" s="220"/>
      <c r="AE101" s="220">
        <f t="shared" ca="1" si="12"/>
        <v>1.8373751376222752E-3</v>
      </c>
    </row>
    <row r="102" spans="1:31" customFormat="1" ht="14.5">
      <c r="A102" s="220"/>
      <c r="B102" s="267">
        <v>64</v>
      </c>
      <c r="C102" s="68" t="s">
        <v>615</v>
      </c>
      <c r="D102" s="246">
        <f t="shared" ca="1" si="6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3.9237496978745202E-4</v>
      </c>
      <c r="J102" s="403">
        <f ca="1"/>
        <v>4.8241870344086402E-4</v>
      </c>
      <c r="K102" s="403">
        <f ca="1"/>
        <v>0.81334941408537298</v>
      </c>
      <c r="L102" s="403">
        <f ca="1"/>
        <v>0.81334941408537298</v>
      </c>
      <c r="M102" s="403">
        <f ca="1"/>
        <v>2.27065135516203E-4</v>
      </c>
      <c r="N102" s="687" t="str">
        <f ca="1"/>
        <v>STMICROELECTRONICS N.V.</v>
      </c>
      <c r="O102" s="403">
        <f ca="1"/>
        <v>9.1624661203689894E-2</v>
      </c>
      <c r="P102" s="403">
        <f ca="1"/>
        <v>0.78052316542606204</v>
      </c>
      <c r="Q102" s="403">
        <f ca="1"/>
        <v>0.11738877878618099</v>
      </c>
      <c r="R102" s="441">
        <f ca="1"/>
        <v>0.11738877878618099</v>
      </c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-3.2129647816907497E-2</v>
      </c>
      <c r="U102" s="413">
        <f ca="1"/>
        <v>1.52519905322724E-2</v>
      </c>
      <c r="V102" s="413">
        <f ca="1"/>
        <v>4.7381638349179897E-2</v>
      </c>
      <c r="W102" s="414">
        <f ca="1"/>
        <v>3.21896647386327E-3</v>
      </c>
      <c r="X102" s="415">
        <f ca="1"/>
        <v>4.73816383491799</v>
      </c>
      <c r="Y102" s="416">
        <f t="shared" ca="1" si="7"/>
        <v>7.0509814444150443E-3</v>
      </c>
      <c r="Z102" s="417">
        <f t="shared" ca="1" si="8"/>
        <v>-1.0754150223344685E-4</v>
      </c>
      <c r="AA102" s="416">
        <f t="shared" ca="1" si="9"/>
        <v>9.2426069782428743E-3</v>
      </c>
      <c r="AB102" s="418">
        <f t="shared" ca="1" si="10"/>
        <v>3.0580181501701064E-3</v>
      </c>
      <c r="AC102" s="417">
        <f t="shared" ca="1" si="11"/>
        <v>-7.0484077062837755E-6</v>
      </c>
      <c r="AD102" s="220"/>
      <c r="AE102" s="220">
        <f t="shared" ca="1" si="12"/>
        <v>4.3306960403219075E-3</v>
      </c>
    </row>
    <row r="103" spans="1:31" customFormat="1" ht="14.5">
      <c r="A103" s="220"/>
      <c r="B103" s="267">
        <v>65</v>
      </c>
      <c r="C103" s="68" t="s">
        <v>567</v>
      </c>
      <c r="D103" s="246">
        <f t="shared" ca="1" si="6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2.5181644814150402E-4</v>
      </c>
      <c r="J103" s="403">
        <f ca="1"/>
        <v>4.57590421980938E-4</v>
      </c>
      <c r="K103" s="403">
        <f ca="1"/>
        <v>0.550309700651894</v>
      </c>
      <c r="L103" s="403">
        <f ca="1"/>
        <v>0.550309700651894</v>
      </c>
      <c r="M103" s="403">
        <f ca="1"/>
        <v>6.0201503234884096E-4</v>
      </c>
      <c r="N103" s="687" t="str">
        <f ca="1"/>
        <v>TELEFONICA, S.A.</v>
      </c>
      <c r="O103" s="403">
        <f ca="1"/>
        <v>7.9135791306149894E-2</v>
      </c>
      <c r="P103" s="403">
        <f ca="1"/>
        <v>0.76331982394929299</v>
      </c>
      <c r="Q103" s="403">
        <f ca="1"/>
        <v>0.103673177118228</v>
      </c>
      <c r="R103" s="441">
        <f ca="1"/>
        <v>0.103673177118228</v>
      </c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-1.40208673150447E-2</v>
      </c>
      <c r="U103" s="413">
        <f ca="1"/>
        <v>3.2883088696915599E-2</v>
      </c>
      <c r="V103" s="413">
        <f ca="1"/>
        <v>4.6903956011960297E-2</v>
      </c>
      <c r="W103" s="414">
        <f ca="1"/>
        <v>7.0107281971121E-3</v>
      </c>
      <c r="X103" s="415">
        <f ca="1"/>
        <v>4.6903956011960304</v>
      </c>
      <c r="Y103" s="416">
        <f t="shared" ca="1" si="7"/>
        <v>7.0509814444150443E-3</v>
      </c>
      <c r="Z103" s="417">
        <f t="shared" ca="1" si="8"/>
        <v>-2.3185804823700577E-4</v>
      </c>
      <c r="AA103" s="416">
        <f t="shared" ca="1" si="9"/>
        <v>6.2535193255897044E-3</v>
      </c>
      <c r="AB103" s="418">
        <f t="shared" ca="1" si="10"/>
        <v>6.6601917872564946E-3</v>
      </c>
      <c r="AC103" s="417">
        <f t="shared" ca="1" si="11"/>
        <v>-1.0281751532562107E-5</v>
      </c>
      <c r="AD103" s="220"/>
      <c r="AE103" s="220">
        <f t="shared" ca="1" si="12"/>
        <v>8.9864229916841332E-3</v>
      </c>
    </row>
    <row r="104" spans="1:31" customFormat="1" ht="14.5">
      <c r="A104" s="220"/>
      <c r="B104" s="267">
        <v>66</v>
      </c>
      <c r="C104" s="68" t="s">
        <v>577</v>
      </c>
      <c r="D104" s="246">
        <f t="shared" ref="D104:D133" ca="1" si="13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4.2647340855555898E-4</v>
      </c>
      <c r="J104" s="403">
        <f ca="1"/>
        <v>4.8548194514187802E-4</v>
      </c>
      <c r="K104" s="403">
        <f ca="1"/>
        <v>0.87845369497917303</v>
      </c>
      <c r="L104" s="403">
        <f ca="1"/>
        <v>0.87845369497917303</v>
      </c>
      <c r="M104" s="403">
        <f ca="1"/>
        <v>1.4073581207160401E-4</v>
      </c>
      <c r="N104" s="687" t="str">
        <f ca="1"/>
        <v>TELEKOM AUSTRIA AKTIENGESELLSCHAFT</v>
      </c>
      <c r="O104" s="403">
        <f ca="1"/>
        <v>9.4863915215309902E-2</v>
      </c>
      <c r="P104" s="403">
        <f ca="1"/>
        <v>0.78420567421191301</v>
      </c>
      <c r="Q104" s="403">
        <f ca="1"/>
        <v>0.120968157123631</v>
      </c>
      <c r="R104" s="441">
        <f ca="1"/>
        <v>0.120968157123631</v>
      </c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-3.6005972854644797E-2</v>
      </c>
      <c r="U104" s="413">
        <f ca="1"/>
        <v>1.14929015025919E-2</v>
      </c>
      <c r="V104" s="413">
        <f ca="1"/>
        <v>4.7498874357236702E-2</v>
      </c>
      <c r="W104" s="414">
        <f ca="1"/>
        <v>2.4196155504979601E-3</v>
      </c>
      <c r="X104" s="415">
        <f ca="1"/>
        <v>4.7498874357236698</v>
      </c>
      <c r="Y104" s="416">
        <f t="shared" ca="1" si="7"/>
        <v>7.0509814444150443E-3</v>
      </c>
      <c r="Z104" s="417">
        <f t="shared" ca="1" si="8"/>
        <v>-8.1036235237265053E-5</v>
      </c>
      <c r="AA104" s="416">
        <f t="shared" ca="1" si="9"/>
        <v>9.9824283520360563E-3</v>
      </c>
      <c r="AB104" s="418">
        <f t="shared" ca="1" si="10"/>
        <v>2.2986347729730622E-3</v>
      </c>
      <c r="AC104" s="417">
        <f t="shared" ca="1" si="11"/>
        <v>-5.7363532903315393E-6</v>
      </c>
      <c r="AD104" s="220"/>
      <c r="AE104" s="220">
        <f t="shared" ca="1" si="12"/>
        <v>3.0469274122941516E-3</v>
      </c>
    </row>
    <row r="105" spans="1:31" customFormat="1" ht="14.5">
      <c r="A105" s="220"/>
      <c r="B105" s="267">
        <v>67</v>
      </c>
      <c r="C105" s="68" t="s">
        <v>568</v>
      </c>
      <c r="D105" s="246">
        <f t="shared" ca="1" si="13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4.14697234876273E-4</v>
      </c>
      <c r="J105" s="403">
        <f ca="1"/>
        <v>4.8441394037027899E-4</v>
      </c>
      <c r="K105" s="403">
        <f ca="1"/>
        <v>0.85608030718373695</v>
      </c>
      <c r="L105" s="403">
        <f ca="1"/>
        <v>0.85608030718373695</v>
      </c>
      <c r="M105" s="403">
        <f ca="1"/>
        <v>1.6913660467983199E-4</v>
      </c>
      <c r="N105" s="687" t="str">
        <f ca="1"/>
        <v>TELENOR ASA</v>
      </c>
      <c r="O105" s="403">
        <f ca="1"/>
        <v>9.37473041730401E-2</v>
      </c>
      <c r="P105" s="403">
        <f ca="1"/>
        <v>0.78295850236671705</v>
      </c>
      <c r="Q105" s="403">
        <f ca="1"/>
        <v>0.119734703550267</v>
      </c>
      <c r="R105" s="441">
        <f ca="1"/>
        <v>0.119734703550267</v>
      </c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-3.4693160386017899E-2</v>
      </c>
      <c r="U105" s="413">
        <f ca="1"/>
        <v>1.2759548184942E-2</v>
      </c>
      <c r="V105" s="413">
        <f ca="1"/>
        <v>4.7452708570959901E-2</v>
      </c>
      <c r="W105" s="414">
        <f ca="1"/>
        <v>2.68889776141263E-3</v>
      </c>
      <c r="X105" s="415">
        <f ca="1"/>
        <v>4.7452708570959903</v>
      </c>
      <c r="Y105" s="416">
        <f t="shared" ca="1" si="7"/>
        <v>7.0509814444150443E-3</v>
      </c>
      <c r="Z105" s="417">
        <f t="shared" ca="1" si="8"/>
        <v>-8.9967337491145708E-5</v>
      </c>
      <c r="AA105" s="416">
        <f t="shared" ca="1" si="9"/>
        <v>9.7281853089061024E-3</v>
      </c>
      <c r="AB105" s="418">
        <f t="shared" ca="1" si="10"/>
        <v>2.5544528733419986E-3</v>
      </c>
      <c r="AC105" s="417">
        <f t="shared" ca="1" si="11"/>
        <v>-6.2063624600516099E-6</v>
      </c>
      <c r="AD105" s="220"/>
      <c r="AE105" s="220">
        <f t="shared" ca="1" si="12"/>
        <v>3.6043997981093688E-3</v>
      </c>
    </row>
    <row r="106" spans="1:31" customFormat="1" ht="14.5">
      <c r="A106" s="220"/>
      <c r="B106" s="267">
        <v>68</v>
      </c>
      <c r="C106" s="68" t="s">
        <v>569</v>
      </c>
      <c r="D106" s="246">
        <f t="shared" ca="1" si="13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4.1012274386305E-4</v>
      </c>
      <c r="J106" s="403">
        <f ca="1"/>
        <v>4.8401602918710101E-4</v>
      </c>
      <c r="K106" s="403">
        <f ca="1"/>
        <v>0.84733297893428505</v>
      </c>
      <c r="L106" s="403">
        <f ca="1"/>
        <v>0.84733297893428505</v>
      </c>
      <c r="M106" s="403">
        <f ca="1"/>
        <v>1.80702461348296E-4</v>
      </c>
      <c r="N106" s="687" t="str">
        <f ca="1"/>
        <v>TELIA COMPANY AB</v>
      </c>
      <c r="O106" s="403">
        <f ca="1"/>
        <v>9.3307158825300301E-2</v>
      </c>
      <c r="P106" s="403">
        <f ca="1"/>
        <v>0.78246262716401904</v>
      </c>
      <c r="Q106" s="403">
        <f ca="1"/>
        <v>0.11924807088037601</v>
      </c>
      <c r="R106" s="441">
        <f ca="1"/>
        <v>0.11924807088037601</v>
      </c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-3.4171186488441301E-2</v>
      </c>
      <c r="U106" s="413">
        <f ca="1"/>
        <v>1.32677499383095E-2</v>
      </c>
      <c r="V106" s="413">
        <f ca="1"/>
        <v>4.7438936426750802E-2</v>
      </c>
      <c r="W106" s="414">
        <f ca="1"/>
        <v>2.7968059441627301E-3</v>
      </c>
      <c r="X106" s="415">
        <f ca="1"/>
        <v>4.7438936426750802</v>
      </c>
      <c r="Y106" s="416">
        <f t="shared" ca="1" si="7"/>
        <v>7.0509814444150443E-3</v>
      </c>
      <c r="Z106" s="417">
        <f t="shared" ca="1" si="8"/>
        <v>-9.3550658624158776E-5</v>
      </c>
      <c r="AA106" s="416">
        <f t="shared" ca="1" si="9"/>
        <v>9.6287838515259662E-3</v>
      </c>
      <c r="AB106" s="418">
        <f t="shared" ca="1" si="10"/>
        <v>2.6569656469545935E-3</v>
      </c>
      <c r="AC106" s="417">
        <f t="shared" ca="1" si="11"/>
        <v>-6.3876148176039374E-6</v>
      </c>
      <c r="AD106" s="220"/>
      <c r="AE106" s="220">
        <f t="shared" ca="1" si="12"/>
        <v>3.7390482866800868E-3</v>
      </c>
    </row>
    <row r="107" spans="1:31" customFormat="1" ht="14.5">
      <c r="A107" s="220"/>
      <c r="B107" s="267">
        <v>69</v>
      </c>
      <c r="C107" s="68" t="s">
        <v>578</v>
      </c>
      <c r="D107" s="246">
        <f t="shared" ca="1" si="13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2.8889867223194101E-4</v>
      </c>
      <c r="J107" s="403">
        <f ca="1"/>
        <v>4.61962582700829E-4</v>
      </c>
      <c r="K107" s="403">
        <f ca="1"/>
        <v>0.62537245017316501</v>
      </c>
      <c r="L107" s="403">
        <f ca="1"/>
        <v>0.62537245017316501</v>
      </c>
      <c r="M107" s="403">
        <f ca="1"/>
        <v>5.0472573446707996E-4</v>
      </c>
      <c r="N107" s="687" t="str">
        <f ca="1"/>
        <v>VIVENDI SE</v>
      </c>
      <c r="O107" s="403">
        <f ca="1"/>
        <v>8.2587993002619903E-2</v>
      </c>
      <c r="P107" s="403">
        <f ca="1"/>
        <v>0.76871729042169401</v>
      </c>
      <c r="Q107" s="403">
        <f ca="1"/>
        <v>0.107436106916907</v>
      </c>
      <c r="R107" s="441">
        <f ca="1"/>
        <v>0.107436106916907</v>
      </c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-1.9702410970203799E-2</v>
      </c>
      <c r="U107" s="413">
        <f ca="1"/>
        <v>2.7376910988920301E-2</v>
      </c>
      <c r="V107" s="413">
        <f ca="1"/>
        <v>4.70793219591241E-2</v>
      </c>
      <c r="W107" s="414">
        <f ca="1"/>
        <v>5.8150605934150701E-3</v>
      </c>
      <c r="X107" s="415">
        <f ca="1"/>
        <v>4.7079321959124103</v>
      </c>
      <c r="Y107" s="416">
        <f t="shared" ca="1" si="7"/>
        <v>7.0509814444150443E-3</v>
      </c>
      <c r="Z107" s="417">
        <f t="shared" ca="1" si="8"/>
        <v>-1.9303409138827962E-4</v>
      </c>
      <c r="AA107" s="416">
        <f t="shared" ca="1" si="9"/>
        <v>7.1065051156041477E-3</v>
      </c>
      <c r="AB107" s="418">
        <f t="shared" ca="1" si="10"/>
        <v>5.524307563744316E-3</v>
      </c>
      <c r="AC107" s="417">
        <f t="shared" ca="1" si="11"/>
        <v>-9.7277078996101077E-6</v>
      </c>
      <c r="AD107" s="220"/>
      <c r="AE107" s="220">
        <f t="shared" ca="1" si="12"/>
        <v>7.0428294269594153E-3</v>
      </c>
    </row>
    <row r="108" spans="1:31" customFormat="1" ht="14.5">
      <c r="A108" s="220"/>
      <c r="B108" s="267">
        <v>70</v>
      </c>
      <c r="C108" s="68" t="s">
        <v>570</v>
      </c>
      <c r="D108" s="246">
        <f t="shared" ca="1" si="13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2.5406464566758702E-4</v>
      </c>
      <c r="J108" s="403">
        <f ca="1"/>
        <v>4.57849761207977E-4</v>
      </c>
      <c r="K108" s="403">
        <f ca="1"/>
        <v>0.55490832843784899</v>
      </c>
      <c r="L108" s="403">
        <f ca="1"/>
        <v>0.55490832843784899</v>
      </c>
      <c r="M108" s="403">
        <f ca="1"/>
        <v>5.9670301632830402E-4</v>
      </c>
      <c r="N108" s="687" t="str">
        <f ca="1"/>
        <v>VODAFONE GROUP PUBLIC LIMITED COMPANY</v>
      </c>
      <c r="O108" s="403">
        <f ca="1"/>
        <v>7.9332301480460096E-2</v>
      </c>
      <c r="P108" s="403">
        <f ca="1"/>
        <v>0.76365231676121303</v>
      </c>
      <c r="Q108" s="403">
        <f ca="1"/>
        <v>0.10388536738410301</v>
      </c>
      <c r="R108" s="441">
        <f ca="1"/>
        <v>0.10388536738410301</v>
      </c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-1.43708597486448E-2</v>
      </c>
      <c r="U108" s="413">
        <f ca="1"/>
        <v>3.25540524266454E-2</v>
      </c>
      <c r="V108" s="413">
        <f ca="1"/>
        <v>4.6924912175290198E-2</v>
      </c>
      <c r="W108" s="414">
        <f ca="1"/>
        <v>6.9374775396570101E-3</v>
      </c>
      <c r="X108" s="415">
        <f ca="1"/>
        <v>4.6924912175290201</v>
      </c>
      <c r="Y108" s="416">
        <f t="shared" ca="1" si="7"/>
        <v>7.0509814444150443E-3</v>
      </c>
      <c r="Z108" s="417">
        <f t="shared" ca="1" si="8"/>
        <v>-2.2953801960079093E-4</v>
      </c>
      <c r="AA108" s="416">
        <f t="shared" ca="1" si="9"/>
        <v>6.3057764595210114E-3</v>
      </c>
      <c r="AB108" s="418">
        <f t="shared" ca="1" si="10"/>
        <v>6.590603662674159E-3</v>
      </c>
      <c r="AC108" s="417">
        <f t="shared" ca="1" si="11"/>
        <v>-1.0263928872697673E-5</v>
      </c>
      <c r="AD108" s="220"/>
      <c r="AE108" s="220">
        <f t="shared" ca="1" si="12"/>
        <v>8.6732714407551301E-3</v>
      </c>
    </row>
    <row r="109" spans="1:31" customFormat="1" ht="14.5">
      <c r="A109" s="220"/>
      <c r="B109" s="267">
        <v>71</v>
      </c>
      <c r="C109" s="68" t="s">
        <v>571</v>
      </c>
      <c r="D109" s="246">
        <f t="shared" ca="1" si="13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2.5956093925127099E-4</v>
      </c>
      <c r="J109" s="403">
        <f ca="1"/>
        <v>4.5849116740537602E-4</v>
      </c>
      <c r="K109" s="403">
        <f ca="1"/>
        <v>0.56611982455439402</v>
      </c>
      <c r="L109" s="403">
        <f ca="1"/>
        <v>0.56611982455439402</v>
      </c>
      <c r="M109" s="403">
        <f ca="1"/>
        <v>5.8874914671734298E-4</v>
      </c>
      <c r="N109" s="687" t="str">
        <f ca="1"/>
        <v>WPP 2005 LIMITED</v>
      </c>
      <c r="O109" s="403">
        <f ca="1"/>
        <v>7.9812038034920096E-2</v>
      </c>
      <c r="P109" s="403">
        <f ca="1"/>
        <v>0.76441100689478902</v>
      </c>
      <c r="Q109" s="403">
        <f ca="1"/>
        <v>0.104409849302321</v>
      </c>
      <c r="R109" s="441">
        <f ca="1"/>
        <v>0.104409849302321</v>
      </c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-1.5169480941882999E-2</v>
      </c>
      <c r="U109" s="413">
        <f ca="1"/>
        <v>3.1752811817288999E-2</v>
      </c>
      <c r="V109" s="413">
        <f ca="1"/>
        <v>4.6922292759172E-2</v>
      </c>
      <c r="W109" s="414">
        <f ca="1"/>
        <v>6.7671057721454099E-3</v>
      </c>
      <c r="X109" s="415">
        <f ca="1"/>
        <v>4.6922292759172004</v>
      </c>
      <c r="Y109" s="416">
        <f t="shared" ca="1" si="7"/>
        <v>7.0509814444150443E-3</v>
      </c>
      <c r="Z109" s="417">
        <f t="shared" ca="1" si="8"/>
        <v>-2.2388848693170722E-4</v>
      </c>
      <c r="AA109" s="416">
        <f t="shared" ca="1" si="9"/>
        <v>6.43317982448175E-3</v>
      </c>
      <c r="AB109" s="418">
        <f t="shared" ca="1" si="10"/>
        <v>6.4287504835381388E-3</v>
      </c>
      <c r="AC109" s="417">
        <f t="shared" ca="1" si="11"/>
        <v>-1.0213577417677473E-5</v>
      </c>
      <c r="AD109" s="220"/>
      <c r="AE109" s="220">
        <f t="shared" ca="1" si="12"/>
        <v>8.9196610944298673E-3</v>
      </c>
    </row>
    <row r="110" spans="1:31" customFormat="1" ht="14.5">
      <c r="A110" s="220"/>
      <c r="B110" s="267">
        <v>72</v>
      </c>
      <c r="C110" s="68" t="s">
        <v>572</v>
      </c>
      <c r="D110" s="246">
        <f t="shared" ca="1" si="13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687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7"/>
        <v/>
      </c>
      <c r="Z110" s="417" t="str">
        <f t="shared" ca="1" si="8"/>
        <v/>
      </c>
      <c r="AA110" s="416" t="str">
        <f t="shared" ca="1" si="9"/>
        <v/>
      </c>
      <c r="AB110" s="418" t="str">
        <f t="shared" ca="1" si="10"/>
        <v/>
      </c>
      <c r="AC110" s="417" t="str">
        <f t="shared" ca="1" si="11"/>
        <v/>
      </c>
      <c r="AD110" s="220"/>
    </row>
    <row r="111" spans="1:31" customFormat="1" ht="14.5">
      <c r="A111" s="220"/>
      <c r="B111" s="267">
        <v>73</v>
      </c>
      <c r="C111" s="68" t="s">
        <v>573</v>
      </c>
      <c r="D111" s="246">
        <f t="shared" ca="1" si="13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687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7"/>
        <v/>
      </c>
      <c r="Z111" s="417" t="str">
        <f t="shared" ca="1" si="8"/>
        <v/>
      </c>
      <c r="AA111" s="416" t="str">
        <f t="shared" ca="1" si="9"/>
        <v/>
      </c>
      <c r="AB111" s="418" t="str">
        <f t="shared" ca="1" si="10"/>
        <v/>
      </c>
      <c r="AC111" s="417" t="str">
        <f t="shared" ca="1" si="11"/>
        <v/>
      </c>
      <c r="AD111" s="220"/>
    </row>
    <row r="112" spans="1:31" customFormat="1" ht="14.5">
      <c r="A112" s="220"/>
      <c r="B112" s="267">
        <v>74</v>
      </c>
      <c r="C112" s="68" t="s">
        <v>574</v>
      </c>
      <c r="D112" s="246">
        <f t="shared" ca="1" si="13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687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7"/>
        <v/>
      </c>
      <c r="Z112" s="417" t="str">
        <f t="shared" ca="1" si="8"/>
        <v/>
      </c>
      <c r="AA112" s="416" t="str">
        <f t="shared" ca="1" si="9"/>
        <v/>
      </c>
      <c r="AB112" s="418" t="str">
        <f t="shared" ca="1" si="10"/>
        <v/>
      </c>
      <c r="AC112" s="417" t="str">
        <f t="shared" ca="1" si="11"/>
        <v/>
      </c>
      <c r="AD112" s="220"/>
    </row>
    <row r="113" spans="1:30" customFormat="1" ht="14.5">
      <c r="A113" s="220"/>
      <c r="B113" s="267">
        <v>75</v>
      </c>
      <c r="C113" s="68" t="s">
        <v>579</v>
      </c>
      <c r="D113" s="246">
        <f t="shared" ca="1" si="13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687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7"/>
        <v/>
      </c>
      <c r="Z113" s="417" t="str">
        <f t="shared" ca="1" si="8"/>
        <v/>
      </c>
      <c r="AA113" s="416" t="str">
        <f t="shared" ca="1" si="9"/>
        <v/>
      </c>
      <c r="AB113" s="418" t="str">
        <f t="shared" ca="1" si="10"/>
        <v/>
      </c>
      <c r="AC113" s="417" t="str">
        <f t="shared" ca="1" si="11"/>
        <v/>
      </c>
      <c r="AD113" s="220"/>
    </row>
    <row r="114" spans="1:30" customFormat="1" ht="14.5">
      <c r="A114" s="220"/>
      <c r="B114" s="267">
        <v>76</v>
      </c>
      <c r="C114" s="68" t="s">
        <v>580</v>
      </c>
      <c r="D114" s="246">
        <f t="shared" ca="1" si="13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687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7"/>
        <v/>
      </c>
      <c r="Z114" s="417" t="str">
        <f t="shared" ca="1" si="8"/>
        <v/>
      </c>
      <c r="AA114" s="416" t="str">
        <f t="shared" ca="1" si="9"/>
        <v/>
      </c>
      <c r="AB114" s="418" t="str">
        <f t="shared" ca="1" si="10"/>
        <v/>
      </c>
      <c r="AC114" s="417" t="str">
        <f t="shared" ca="1" si="11"/>
        <v/>
      </c>
      <c r="AD114" s="220"/>
    </row>
    <row r="115" spans="1:30" customFormat="1" ht="14.5">
      <c r="A115" s="220"/>
      <c r="B115" s="267">
        <v>77</v>
      </c>
      <c r="C115" s="68" t="s">
        <v>575</v>
      </c>
      <c r="D115" s="246">
        <f t="shared" ca="1" si="13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687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7"/>
        <v/>
      </c>
      <c r="Z115" s="417" t="str">
        <f t="shared" ca="1" si="8"/>
        <v/>
      </c>
      <c r="AA115" s="416" t="str">
        <f t="shared" ca="1" si="9"/>
        <v/>
      </c>
      <c r="AB115" s="418" t="str">
        <f t="shared" ca="1" si="10"/>
        <v/>
      </c>
      <c r="AC115" s="417" t="str">
        <f t="shared" ca="1" si="11"/>
        <v/>
      </c>
      <c r="AD115" s="220"/>
    </row>
    <row r="116" spans="1:30" customFormat="1" ht="14.5">
      <c r="A116" s="220"/>
      <c r="B116" s="267">
        <v>78</v>
      </c>
      <c r="C116" s="68" t="s">
        <v>581</v>
      </c>
      <c r="D116" s="246">
        <f t="shared" ca="1" si="13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687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7"/>
        <v/>
      </c>
      <c r="Z116" s="417" t="str">
        <f t="shared" ca="1" si="8"/>
        <v/>
      </c>
      <c r="AA116" s="416" t="str">
        <f t="shared" ca="1" si="9"/>
        <v/>
      </c>
      <c r="AB116" s="418" t="str">
        <f t="shared" ca="1" si="10"/>
        <v/>
      </c>
      <c r="AC116" s="417" t="str">
        <f t="shared" ca="1" si="11"/>
        <v/>
      </c>
      <c r="AD116" s="220"/>
    </row>
    <row r="117" spans="1:30" customFormat="1" ht="14.5">
      <c r="A117" s="220"/>
      <c r="B117" s="267">
        <v>79</v>
      </c>
      <c r="C117" s="68" t="s">
        <v>582</v>
      </c>
      <c r="D117" s="246">
        <f t="shared" ca="1" si="13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687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7"/>
        <v/>
      </c>
      <c r="Z117" s="417" t="str">
        <f t="shared" ca="1" si="8"/>
        <v/>
      </c>
      <c r="AA117" s="416" t="str">
        <f t="shared" ca="1" si="9"/>
        <v/>
      </c>
      <c r="AB117" s="418" t="str">
        <f t="shared" ca="1" si="10"/>
        <v/>
      </c>
      <c r="AC117" s="417" t="str">
        <f t="shared" ca="1" si="11"/>
        <v/>
      </c>
      <c r="AD117" s="220"/>
    </row>
    <row r="118" spans="1:30" customFormat="1" ht="14.5">
      <c r="A118" s="220"/>
      <c r="B118" s="267">
        <v>80</v>
      </c>
      <c r="C118" s="68" t="s">
        <v>583</v>
      </c>
      <c r="D118" s="246">
        <f t="shared" ca="1" si="13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687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7"/>
        <v/>
      </c>
      <c r="Z118" s="417" t="str">
        <f t="shared" ca="1" si="8"/>
        <v/>
      </c>
      <c r="AA118" s="416" t="str">
        <f t="shared" ca="1" si="9"/>
        <v/>
      </c>
      <c r="AB118" s="418" t="str">
        <f t="shared" ca="1" si="10"/>
        <v/>
      </c>
      <c r="AC118" s="417" t="str">
        <f t="shared" ca="1" si="11"/>
        <v/>
      </c>
      <c r="AD118" s="220"/>
    </row>
    <row r="119" spans="1:30" customFormat="1" ht="14.5">
      <c r="A119" s="220"/>
      <c r="B119" s="267">
        <v>81</v>
      </c>
      <c r="C119" s="68" t="s">
        <v>584</v>
      </c>
      <c r="D119" s="246">
        <f t="shared" ca="1" si="13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687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7"/>
        <v/>
      </c>
      <c r="Z119" s="417" t="str">
        <f t="shared" ca="1" si="8"/>
        <v/>
      </c>
      <c r="AA119" s="416" t="str">
        <f t="shared" ca="1" si="9"/>
        <v/>
      </c>
      <c r="AB119" s="418" t="str">
        <f t="shared" ca="1" si="10"/>
        <v/>
      </c>
      <c r="AC119" s="417" t="str">
        <f t="shared" ca="1" si="11"/>
        <v/>
      </c>
      <c r="AD119" s="220"/>
    </row>
    <row r="120" spans="1:30" customFormat="1" ht="14.5">
      <c r="A120" s="220"/>
      <c r="B120" s="267">
        <v>82</v>
      </c>
      <c r="C120" s="68" t="s">
        <v>594</v>
      </c>
      <c r="D120" s="246">
        <f t="shared" ca="1" si="13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687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7"/>
        <v/>
      </c>
      <c r="Z120" s="417" t="str">
        <f t="shared" ca="1" si="8"/>
        <v/>
      </c>
      <c r="AA120" s="416" t="str">
        <f t="shared" ca="1" si="9"/>
        <v/>
      </c>
      <c r="AB120" s="418" t="str">
        <f t="shared" ca="1" si="10"/>
        <v/>
      </c>
      <c r="AC120" s="417" t="str">
        <f t="shared" ca="1" si="11"/>
        <v/>
      </c>
      <c r="AD120" s="220"/>
    </row>
    <row r="121" spans="1:30" customFormat="1" ht="14.5">
      <c r="A121" s="220"/>
      <c r="B121" s="267">
        <v>83</v>
      </c>
      <c r="C121" s="68" t="s">
        <v>585</v>
      </c>
      <c r="D121" s="246">
        <f t="shared" ca="1" si="13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687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7"/>
        <v/>
      </c>
      <c r="Z121" s="417" t="str">
        <f t="shared" ca="1" si="8"/>
        <v/>
      </c>
      <c r="AA121" s="416" t="str">
        <f t="shared" ca="1" si="9"/>
        <v/>
      </c>
      <c r="AB121" s="418" t="str">
        <f t="shared" ca="1" si="10"/>
        <v/>
      </c>
      <c r="AC121" s="417" t="str">
        <f t="shared" ca="1" si="11"/>
        <v/>
      </c>
      <c r="AD121" s="220"/>
    </row>
    <row r="122" spans="1:30" customFormat="1" ht="14.5">
      <c r="A122" s="220"/>
      <c r="B122" s="267">
        <v>84</v>
      </c>
      <c r="C122" s="68" t="s">
        <v>586</v>
      </c>
      <c r="D122" s="246">
        <f t="shared" ca="1" si="13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687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7"/>
        <v/>
      </c>
      <c r="Z122" s="417" t="str">
        <f t="shared" ca="1" si="8"/>
        <v/>
      </c>
      <c r="AA122" s="416" t="str">
        <f t="shared" ca="1" si="9"/>
        <v/>
      </c>
      <c r="AB122" s="418" t="str">
        <f t="shared" ca="1" si="10"/>
        <v/>
      </c>
      <c r="AC122" s="417" t="str">
        <f t="shared" ca="1" si="11"/>
        <v/>
      </c>
      <c r="AD122" s="220"/>
    </row>
    <row r="123" spans="1:30" customFormat="1" ht="14.5">
      <c r="A123" s="220"/>
      <c r="B123" s="267">
        <v>85</v>
      </c>
      <c r="C123" s="68" t="s">
        <v>595</v>
      </c>
      <c r="D123" s="246">
        <f t="shared" ca="1" si="13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687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7"/>
        <v/>
      </c>
      <c r="Z123" s="417" t="str">
        <f t="shared" ca="1" si="8"/>
        <v/>
      </c>
      <c r="AA123" s="416" t="str">
        <f t="shared" ca="1" si="9"/>
        <v/>
      </c>
      <c r="AB123" s="418" t="str">
        <f t="shared" ca="1" si="10"/>
        <v/>
      </c>
      <c r="AC123" s="417" t="str">
        <f t="shared" ca="1" si="11"/>
        <v/>
      </c>
      <c r="AD123" s="220"/>
    </row>
    <row r="124" spans="1:30" customFormat="1" ht="14.5">
      <c r="A124" s="220"/>
      <c r="B124" s="267">
        <v>86</v>
      </c>
      <c r="C124" s="68" t="s">
        <v>587</v>
      </c>
      <c r="D124" s="246">
        <f t="shared" ca="1" si="13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687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7"/>
        <v/>
      </c>
      <c r="Z124" s="417" t="str">
        <f t="shared" ca="1" si="8"/>
        <v/>
      </c>
      <c r="AA124" s="416" t="str">
        <f t="shared" ca="1" si="9"/>
        <v/>
      </c>
      <c r="AB124" s="418" t="str">
        <f t="shared" ca="1" si="10"/>
        <v/>
      </c>
      <c r="AC124" s="417" t="str">
        <f t="shared" ca="1" si="11"/>
        <v/>
      </c>
      <c r="AD124" s="220"/>
    </row>
    <row r="125" spans="1:30" customFormat="1" ht="14.5">
      <c r="A125" s="220"/>
      <c r="B125" s="267">
        <v>87</v>
      </c>
      <c r="C125" s="68" t="s">
        <v>616</v>
      </c>
      <c r="D125" s="246">
        <f t="shared" ca="1" si="13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687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7"/>
        <v/>
      </c>
      <c r="Z125" s="417" t="str">
        <f t="shared" ca="1" si="8"/>
        <v/>
      </c>
      <c r="AA125" s="416" t="str">
        <f t="shared" ca="1" si="9"/>
        <v/>
      </c>
      <c r="AB125" s="418" t="str">
        <f t="shared" ca="1" si="10"/>
        <v/>
      </c>
      <c r="AC125" s="417" t="str">
        <f t="shared" ca="1" si="11"/>
        <v/>
      </c>
      <c r="AD125" s="220"/>
    </row>
    <row r="126" spans="1:30" customFormat="1" ht="14.5">
      <c r="A126" s="220"/>
      <c r="B126" s="267">
        <v>88</v>
      </c>
      <c r="C126" s="68" t="s">
        <v>588</v>
      </c>
      <c r="D126" s="246">
        <f t="shared" ca="1" si="13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687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7"/>
        <v/>
      </c>
      <c r="Z126" s="417" t="str">
        <f t="shared" ca="1" si="8"/>
        <v/>
      </c>
      <c r="AA126" s="416" t="str">
        <f t="shared" ca="1" si="9"/>
        <v/>
      </c>
      <c r="AB126" s="418" t="str">
        <f t="shared" ca="1" si="10"/>
        <v/>
      </c>
      <c r="AC126" s="417" t="str">
        <f t="shared" ca="1" si="11"/>
        <v/>
      </c>
      <c r="AD126" s="220"/>
    </row>
    <row r="127" spans="1:30" customFormat="1" ht="14.5">
      <c r="A127" s="220"/>
      <c r="B127" s="267">
        <v>89</v>
      </c>
      <c r="C127" s="68" t="s">
        <v>596</v>
      </c>
      <c r="D127" s="246">
        <f t="shared" ca="1" si="13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687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7"/>
        <v/>
      </c>
      <c r="Z127" s="417" t="str">
        <f t="shared" ca="1" si="8"/>
        <v/>
      </c>
      <c r="AA127" s="416" t="str">
        <f t="shared" ca="1" si="9"/>
        <v/>
      </c>
      <c r="AB127" s="418" t="str">
        <f t="shared" ca="1" si="10"/>
        <v/>
      </c>
      <c r="AC127" s="417" t="str">
        <f t="shared" ca="1" si="11"/>
        <v/>
      </c>
      <c r="AD127" s="220"/>
    </row>
    <row r="128" spans="1:30" customFormat="1" ht="14.5">
      <c r="A128" s="220"/>
      <c r="B128" s="267">
        <v>90</v>
      </c>
      <c r="C128" s="68" t="s">
        <v>589</v>
      </c>
      <c r="D128" s="246">
        <f t="shared" ca="1" si="13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687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7"/>
        <v/>
      </c>
      <c r="Z128" s="417" t="str">
        <f t="shared" ca="1" si="8"/>
        <v/>
      </c>
      <c r="AA128" s="416" t="str">
        <f t="shared" ca="1" si="9"/>
        <v/>
      </c>
      <c r="AB128" s="418" t="str">
        <f t="shared" ca="1" si="10"/>
        <v/>
      </c>
      <c r="AC128" s="417" t="str">
        <f t="shared" ca="1" si="11"/>
        <v/>
      </c>
      <c r="AD128" s="220"/>
    </row>
    <row r="129" spans="1:30" customFormat="1" ht="14.5">
      <c r="A129" s="220"/>
      <c r="B129" s="267">
        <v>91</v>
      </c>
      <c r="C129" s="68" t="s">
        <v>597</v>
      </c>
      <c r="D129" s="246">
        <f t="shared" ca="1" si="13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687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7"/>
        <v/>
      </c>
      <c r="Z129" s="417" t="str">
        <f t="shared" ca="1" si="8"/>
        <v/>
      </c>
      <c r="AA129" s="416" t="str">
        <f t="shared" ca="1" si="9"/>
        <v/>
      </c>
      <c r="AB129" s="418" t="str">
        <f t="shared" ca="1" si="10"/>
        <v/>
      </c>
      <c r="AC129" s="417" t="str">
        <f t="shared" ca="1" si="11"/>
        <v/>
      </c>
      <c r="AD129" s="220"/>
    </row>
    <row r="130" spans="1:30" customFormat="1" ht="14.5">
      <c r="A130" s="220"/>
      <c r="B130" s="267">
        <v>92</v>
      </c>
      <c r="C130" s="68" t="s">
        <v>590</v>
      </c>
      <c r="D130" s="246">
        <f t="shared" ca="1" si="13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687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7"/>
        <v/>
      </c>
      <c r="Z130" s="417" t="str">
        <f t="shared" ca="1" si="8"/>
        <v/>
      </c>
      <c r="AA130" s="416" t="str">
        <f t="shared" ca="1" si="9"/>
        <v/>
      </c>
      <c r="AB130" s="418" t="str">
        <f t="shared" ca="1" si="10"/>
        <v/>
      </c>
      <c r="AC130" s="417" t="str">
        <f t="shared" ca="1" si="11"/>
        <v/>
      </c>
      <c r="AD130" s="220"/>
    </row>
    <row r="131" spans="1:30" customFormat="1" ht="14.5">
      <c r="A131" s="220"/>
      <c r="B131" s="267">
        <v>93</v>
      </c>
      <c r="C131" s="68" t="s">
        <v>591</v>
      </c>
      <c r="D131" s="246">
        <f t="shared" ca="1" si="13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687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7"/>
        <v/>
      </c>
      <c r="Z131" s="417" t="str">
        <f t="shared" ca="1" si="8"/>
        <v/>
      </c>
      <c r="AA131" s="416" t="str">
        <f t="shared" ca="1" si="9"/>
        <v/>
      </c>
      <c r="AB131" s="418" t="str">
        <f t="shared" ca="1" si="10"/>
        <v/>
      </c>
      <c r="AC131" s="417" t="str">
        <f t="shared" ca="1" si="11"/>
        <v/>
      </c>
      <c r="AD131" s="220"/>
    </row>
    <row r="132" spans="1:30" customFormat="1" ht="14.5">
      <c r="A132" s="220"/>
      <c r="B132" s="267">
        <v>94</v>
      </c>
      <c r="C132" s="68" t="s">
        <v>592</v>
      </c>
      <c r="D132" s="246">
        <f t="shared" ca="1" si="13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687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7"/>
        <v/>
      </c>
      <c r="Z132" s="417" t="str">
        <f t="shared" ca="1" si="8"/>
        <v/>
      </c>
      <c r="AA132" s="416" t="str">
        <f t="shared" ca="1" si="9"/>
        <v/>
      </c>
      <c r="AB132" s="418" t="str">
        <f t="shared" ca="1" si="10"/>
        <v/>
      </c>
      <c r="AC132" s="417" t="str">
        <f t="shared" ca="1" si="11"/>
        <v/>
      </c>
      <c r="AD132" s="220"/>
    </row>
    <row r="133" spans="1:30" customFormat="1" ht="14.5">
      <c r="A133" s="220"/>
      <c r="B133" s="267">
        <v>95</v>
      </c>
      <c r="C133" s="68" t="s">
        <v>593</v>
      </c>
      <c r="D133" s="246">
        <f t="shared" ca="1" si="13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687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7"/>
        <v/>
      </c>
      <c r="Z133" s="417" t="str">
        <f t="shared" ca="1" si="8"/>
        <v/>
      </c>
      <c r="AA133" s="416" t="str">
        <f t="shared" ca="1" si="9"/>
        <v/>
      </c>
      <c r="AB133" s="418" t="str">
        <f t="shared" ca="1" si="10"/>
        <v/>
      </c>
      <c r="AC133" s="417" t="str">
        <f t="shared" ca="1" si="11"/>
        <v/>
      </c>
      <c r="AD133" s="220"/>
    </row>
    <row r="134" spans="1:30" customFormat="1" ht="14.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687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7"/>
        <v/>
      </c>
      <c r="Z134" s="417" t="str">
        <f t="shared" ca="1" si="8"/>
        <v/>
      </c>
      <c r="AA134" s="416" t="str">
        <f t="shared" ca="1" si="9"/>
        <v/>
      </c>
      <c r="AB134" s="418" t="str">
        <f t="shared" ca="1" si="10"/>
        <v/>
      </c>
      <c r="AC134" s="417" t="str">
        <f t="shared" ca="1" si="11"/>
        <v/>
      </c>
      <c r="AD134" s="220"/>
    </row>
    <row r="135" spans="1:30" customFormat="1" ht="14.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687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7"/>
        <v/>
      </c>
      <c r="Z135" s="417" t="str">
        <f t="shared" ca="1" si="8"/>
        <v/>
      </c>
      <c r="AA135" s="416" t="str">
        <f t="shared" ca="1" si="9"/>
        <v/>
      </c>
      <c r="AB135" s="418" t="str">
        <f t="shared" ca="1" si="10"/>
        <v/>
      </c>
      <c r="AC135" s="417" t="str">
        <f t="shared" ca="1" si="11"/>
        <v/>
      </c>
      <c r="AD135" s="220"/>
    </row>
    <row r="136" spans="1:30" customFormat="1" ht="14.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687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7"/>
        <v/>
      </c>
      <c r="Z136" s="417" t="str">
        <f t="shared" ca="1" si="8"/>
        <v/>
      </c>
      <c r="AA136" s="416" t="str">
        <f t="shared" ca="1" si="9"/>
        <v/>
      </c>
      <c r="AB136" s="418" t="str">
        <f t="shared" ca="1" si="10"/>
        <v/>
      </c>
      <c r="AC136" s="417" t="str">
        <f t="shared" ca="1" si="11"/>
        <v/>
      </c>
      <c r="AD136" s="220"/>
    </row>
    <row r="137" spans="1:30" customFormat="1" ht="14.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687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7"/>
        <v/>
      </c>
      <c r="Z137" s="417" t="str">
        <f t="shared" ca="1" si="8"/>
        <v/>
      </c>
      <c r="AA137" s="416" t="str">
        <f t="shared" ca="1" si="9"/>
        <v/>
      </c>
      <c r="AB137" s="418" t="str">
        <f t="shared" ca="1" si="10"/>
        <v/>
      </c>
      <c r="AC137" s="417" t="str">
        <f t="shared" ca="1" si="11"/>
        <v/>
      </c>
      <c r="AD137" s="220"/>
    </row>
    <row r="138" spans="1:30" customFormat="1" ht="14.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687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7"/>
        <v/>
      </c>
      <c r="Z138" s="417" t="str">
        <f t="shared" ca="1" si="8"/>
        <v/>
      </c>
      <c r="AA138" s="416" t="str">
        <f t="shared" ca="1" si="9"/>
        <v/>
      </c>
      <c r="AB138" s="418" t="str">
        <f t="shared" ca="1" si="10"/>
        <v/>
      </c>
      <c r="AC138" s="417" t="str">
        <f t="shared" ca="1" si="11"/>
        <v/>
      </c>
      <c r="AD138" s="220"/>
    </row>
    <row r="139" spans="1:30" customFormat="1" ht="14.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687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7"/>
        <v/>
      </c>
      <c r="Z139" s="417" t="str">
        <f t="shared" ca="1" si="8"/>
        <v/>
      </c>
      <c r="AA139" s="416" t="str">
        <f t="shared" ca="1" si="9"/>
        <v/>
      </c>
      <c r="AB139" s="418" t="str">
        <f t="shared" ca="1" si="10"/>
        <v/>
      </c>
      <c r="AC139" s="417" t="str">
        <f t="shared" ca="1" si="11"/>
        <v/>
      </c>
      <c r="AD139" s="220"/>
    </row>
    <row r="140" spans="1:30" customFormat="1" ht="14.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688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7"/>
        <v/>
      </c>
      <c r="Z140" s="417" t="str">
        <f t="shared" ca="1" si="8"/>
        <v/>
      </c>
      <c r="AA140" s="416" t="str">
        <f t="shared" ca="1" si="9"/>
        <v/>
      </c>
      <c r="AB140" s="418" t="str">
        <f t="shared" ca="1" si="10"/>
        <v/>
      </c>
      <c r="AC140" s="417" t="str">
        <f t="shared" ca="1" si="11"/>
        <v/>
      </c>
      <c r="AD140" s="220"/>
    </row>
    <row r="141" spans="1:30" customFormat="1" ht="14.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688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7"/>
        <v/>
      </c>
      <c r="Z141" s="417" t="str">
        <f t="shared" ca="1" si="8"/>
        <v/>
      </c>
      <c r="AA141" s="416" t="str">
        <f t="shared" ca="1" si="9"/>
        <v/>
      </c>
      <c r="AB141" s="418" t="str">
        <f t="shared" ca="1" si="10"/>
        <v/>
      </c>
      <c r="AC141" s="417" t="str">
        <f t="shared" ca="1" si="11"/>
        <v/>
      </c>
      <c r="AD141" s="220"/>
    </row>
    <row r="142" spans="1:30" customFormat="1" ht="14.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688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7"/>
        <v/>
      </c>
      <c r="Z142" s="417" t="str">
        <f t="shared" ca="1" si="8"/>
        <v/>
      </c>
      <c r="AA142" s="416" t="str">
        <f t="shared" ca="1" si="9"/>
        <v/>
      </c>
      <c r="AB142" s="418" t="str">
        <f t="shared" ca="1" si="10"/>
        <v/>
      </c>
      <c r="AC142" s="417" t="str">
        <f t="shared" ca="1" si="11"/>
        <v/>
      </c>
      <c r="AD142" s="220"/>
    </row>
    <row r="143" spans="1:30" customFormat="1" ht="14.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688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7"/>
        <v/>
      </c>
      <c r="Z143" s="417" t="str">
        <f t="shared" ca="1" si="8"/>
        <v/>
      </c>
      <c r="AA143" s="416" t="str">
        <f t="shared" ca="1" si="9"/>
        <v/>
      </c>
      <c r="AB143" s="418" t="str">
        <f t="shared" ca="1" si="10"/>
        <v/>
      </c>
      <c r="AC143" s="417" t="str">
        <f t="shared" ca="1" si="11"/>
        <v/>
      </c>
      <c r="AD143" s="220"/>
    </row>
    <row r="144" spans="1:30" customFormat="1" ht="14.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688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4">IF($U$12,IF(T144="","",$U$13*D168/$C$18),"")</f>
        <v/>
      </c>
      <c r="Z144" s="417" t="str">
        <f t="shared" ref="Z144:Z207" ca="1" si="15">IF($U$12,IF(Y144="","",Y144*($Z$10-W144)*X144),"")</f>
        <v/>
      </c>
      <c r="AA144" s="416" t="str">
        <f t="shared" ref="AA144:AA207" ca="1" si="16">IF($U$12,IF(OR(T144="",L144=""),"",L144/($C$20-$C$19)),"")</f>
        <v/>
      </c>
      <c r="AB144" s="418" t="str">
        <f t="shared" ref="AB144:AB207" ca="1" si="17">IF($U$12,IF(W144="","",W144*$AC$10),"")</f>
        <v/>
      </c>
      <c r="AC144" s="417" t="str">
        <f t="shared" ref="AC144:AC207" ca="1" si="18">IF($U$12,IF(AA144="","",AA144*(AB144-W144)*X144),"")</f>
        <v/>
      </c>
      <c r="AD144" s="220"/>
    </row>
    <row r="145" spans="1:30" customFormat="1" ht="14.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688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4"/>
        <v/>
      </c>
      <c r="Z145" s="417" t="str">
        <f t="shared" ca="1" si="15"/>
        <v/>
      </c>
      <c r="AA145" s="416" t="str">
        <f t="shared" ca="1" si="16"/>
        <v/>
      </c>
      <c r="AB145" s="418" t="str">
        <f t="shared" ca="1" si="17"/>
        <v/>
      </c>
      <c r="AC145" s="417" t="str">
        <f t="shared" ca="1" si="18"/>
        <v/>
      </c>
      <c r="AD145" s="220"/>
    </row>
    <row r="146" spans="1:30" customFormat="1" ht="14.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688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4"/>
        <v/>
      </c>
      <c r="Z146" s="417" t="str">
        <f t="shared" ca="1" si="15"/>
        <v/>
      </c>
      <c r="AA146" s="416" t="str">
        <f t="shared" ca="1" si="16"/>
        <v/>
      </c>
      <c r="AB146" s="418" t="str">
        <f t="shared" ca="1" si="17"/>
        <v/>
      </c>
      <c r="AC146" s="417" t="str">
        <f t="shared" ca="1" si="18"/>
        <v/>
      </c>
      <c r="AD146" s="220"/>
    </row>
    <row r="147" spans="1:30" customFormat="1" ht="14.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688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4"/>
        <v/>
      </c>
      <c r="Z147" s="417" t="str">
        <f t="shared" ca="1" si="15"/>
        <v/>
      </c>
      <c r="AA147" s="416" t="str">
        <f t="shared" ca="1" si="16"/>
        <v/>
      </c>
      <c r="AB147" s="418" t="str">
        <f t="shared" ca="1" si="17"/>
        <v/>
      </c>
      <c r="AC147" s="417" t="str">
        <f t="shared" ca="1" si="18"/>
        <v/>
      </c>
      <c r="AD147" s="220"/>
    </row>
    <row r="148" spans="1:30" customFormat="1" ht="14.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688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4"/>
        <v/>
      </c>
      <c r="Z148" s="417" t="str">
        <f t="shared" ca="1" si="15"/>
        <v/>
      </c>
      <c r="AA148" s="416" t="str">
        <f t="shared" ca="1" si="16"/>
        <v/>
      </c>
      <c r="AB148" s="418" t="str">
        <f t="shared" ca="1" si="17"/>
        <v/>
      </c>
      <c r="AC148" s="417" t="str">
        <f t="shared" ca="1" si="18"/>
        <v/>
      </c>
      <c r="AD148" s="220"/>
    </row>
    <row r="149" spans="1:30" customFormat="1" ht="14.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688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4"/>
        <v/>
      </c>
      <c r="Z149" s="417" t="str">
        <f t="shared" ca="1" si="15"/>
        <v/>
      </c>
      <c r="AA149" s="416" t="str">
        <f t="shared" ca="1" si="16"/>
        <v/>
      </c>
      <c r="AB149" s="418" t="str">
        <f t="shared" ca="1" si="17"/>
        <v/>
      </c>
      <c r="AC149" s="417" t="str">
        <f t="shared" ca="1" si="18"/>
        <v/>
      </c>
      <c r="AD149" s="220"/>
    </row>
    <row r="150" spans="1:30" customFormat="1" ht="14.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688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4"/>
        <v/>
      </c>
      <c r="Z150" s="417" t="str">
        <f t="shared" ca="1" si="15"/>
        <v/>
      </c>
      <c r="AA150" s="416" t="str">
        <f t="shared" ca="1" si="16"/>
        <v/>
      </c>
      <c r="AB150" s="418" t="str">
        <f t="shared" ca="1" si="17"/>
        <v/>
      </c>
      <c r="AC150" s="417" t="str">
        <f t="shared" ca="1" si="18"/>
        <v/>
      </c>
      <c r="AD150" s="220"/>
    </row>
    <row r="151" spans="1:30" customFormat="1" ht="14.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688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4"/>
        <v/>
      </c>
      <c r="Z151" s="417" t="str">
        <f t="shared" ca="1" si="15"/>
        <v/>
      </c>
      <c r="AA151" s="416" t="str">
        <f t="shared" ca="1" si="16"/>
        <v/>
      </c>
      <c r="AB151" s="418" t="str">
        <f t="shared" ca="1" si="17"/>
        <v/>
      </c>
      <c r="AC151" s="417" t="str">
        <f t="shared" ca="1" si="18"/>
        <v/>
      </c>
      <c r="AD151" s="220"/>
    </row>
    <row r="152" spans="1:30" customFormat="1" ht="14.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688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4"/>
        <v/>
      </c>
      <c r="Z152" s="417" t="str">
        <f t="shared" ca="1" si="15"/>
        <v/>
      </c>
      <c r="AA152" s="416" t="str">
        <f t="shared" ca="1" si="16"/>
        <v/>
      </c>
      <c r="AB152" s="418" t="str">
        <f t="shared" ca="1" si="17"/>
        <v/>
      </c>
      <c r="AC152" s="417" t="str">
        <f t="shared" ca="1" si="18"/>
        <v/>
      </c>
      <c r="AD152" s="220"/>
    </row>
    <row r="153" spans="1:30" customFormat="1" ht="14.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688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4"/>
        <v/>
      </c>
      <c r="Z153" s="417" t="str">
        <f t="shared" ca="1" si="15"/>
        <v/>
      </c>
      <c r="AA153" s="416" t="str">
        <f t="shared" ca="1" si="16"/>
        <v/>
      </c>
      <c r="AB153" s="418" t="str">
        <f t="shared" ca="1" si="17"/>
        <v/>
      </c>
      <c r="AC153" s="417" t="str">
        <f t="shared" ca="1" si="18"/>
        <v/>
      </c>
      <c r="AD153" s="220"/>
    </row>
    <row r="154" spans="1:30" customFormat="1" ht="14.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688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4"/>
        <v/>
      </c>
      <c r="Z154" s="417" t="str">
        <f t="shared" ca="1" si="15"/>
        <v/>
      </c>
      <c r="AA154" s="416" t="str">
        <f t="shared" ca="1" si="16"/>
        <v/>
      </c>
      <c r="AB154" s="418" t="str">
        <f t="shared" ca="1" si="17"/>
        <v/>
      </c>
      <c r="AC154" s="417" t="str">
        <f t="shared" ca="1" si="18"/>
        <v/>
      </c>
      <c r="AD154" s="220"/>
    </row>
    <row r="155" spans="1:30" customFormat="1" ht="14.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688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4"/>
        <v/>
      </c>
      <c r="Z155" s="417" t="str">
        <f t="shared" ca="1" si="15"/>
        <v/>
      </c>
      <c r="AA155" s="416" t="str">
        <f t="shared" ca="1" si="16"/>
        <v/>
      </c>
      <c r="AB155" s="418" t="str">
        <f t="shared" ca="1" si="17"/>
        <v/>
      </c>
      <c r="AC155" s="417" t="str">
        <f t="shared" ca="1" si="18"/>
        <v/>
      </c>
      <c r="AD155" s="220"/>
    </row>
    <row r="156" spans="1:30" customFormat="1" ht="14.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688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4"/>
        <v/>
      </c>
      <c r="Z156" s="417" t="str">
        <f t="shared" ca="1" si="15"/>
        <v/>
      </c>
      <c r="AA156" s="416" t="str">
        <f t="shared" ca="1" si="16"/>
        <v/>
      </c>
      <c r="AB156" s="418" t="str">
        <f t="shared" ca="1" si="17"/>
        <v/>
      </c>
      <c r="AC156" s="417" t="str">
        <f t="shared" ca="1" si="18"/>
        <v/>
      </c>
      <c r="AD156" s="220"/>
    </row>
    <row r="157" spans="1:30" customFormat="1" ht="14.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688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4"/>
        <v/>
      </c>
      <c r="Z157" s="417" t="str">
        <f t="shared" ca="1" si="15"/>
        <v/>
      </c>
      <c r="AA157" s="416" t="str">
        <f t="shared" ca="1" si="16"/>
        <v/>
      </c>
      <c r="AB157" s="418" t="str">
        <f t="shared" ca="1" si="17"/>
        <v/>
      </c>
      <c r="AC157" s="417" t="str">
        <f t="shared" ca="1" si="18"/>
        <v/>
      </c>
      <c r="AD157" s="220"/>
    </row>
    <row r="158" spans="1:30" customFormat="1" ht="14.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688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4"/>
        <v/>
      </c>
      <c r="Z158" s="417" t="str">
        <f t="shared" ca="1" si="15"/>
        <v/>
      </c>
      <c r="AA158" s="416" t="str">
        <f t="shared" ca="1" si="16"/>
        <v/>
      </c>
      <c r="AB158" s="418" t="str">
        <f t="shared" ca="1" si="17"/>
        <v/>
      </c>
      <c r="AC158" s="417" t="str">
        <f t="shared" ca="1" si="18"/>
        <v/>
      </c>
      <c r="AD158" s="220"/>
    </row>
    <row r="159" spans="1:30" customFormat="1" ht="14.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688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4"/>
        <v/>
      </c>
      <c r="Z159" s="417" t="str">
        <f t="shared" ca="1" si="15"/>
        <v/>
      </c>
      <c r="AA159" s="416" t="str">
        <f t="shared" ca="1" si="16"/>
        <v/>
      </c>
      <c r="AB159" s="418" t="str">
        <f t="shared" ca="1" si="17"/>
        <v/>
      </c>
      <c r="AC159" s="417" t="str">
        <f t="shared" ca="1" si="18"/>
        <v/>
      </c>
      <c r="AD159" s="220"/>
    </row>
    <row r="160" spans="1:30" customFormat="1" ht="14.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688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4"/>
        <v/>
      </c>
      <c r="Z160" s="417" t="str">
        <f t="shared" ca="1" si="15"/>
        <v/>
      </c>
      <c r="AA160" s="416" t="str">
        <f t="shared" ca="1" si="16"/>
        <v/>
      </c>
      <c r="AB160" s="418" t="str">
        <f t="shared" ca="1" si="17"/>
        <v/>
      </c>
      <c r="AC160" s="417" t="str">
        <f t="shared" ca="1" si="18"/>
        <v/>
      </c>
      <c r="AD160" s="220"/>
    </row>
    <row r="161" spans="1:30" customFormat="1" ht="14.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688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4"/>
        <v/>
      </c>
      <c r="Z161" s="417" t="str">
        <f t="shared" ca="1" si="15"/>
        <v/>
      </c>
      <c r="AA161" s="416" t="str">
        <f t="shared" ca="1" si="16"/>
        <v/>
      </c>
      <c r="AB161" s="418" t="str">
        <f t="shared" ca="1" si="17"/>
        <v/>
      </c>
      <c r="AC161" s="417" t="str">
        <f t="shared" ca="1" si="18"/>
        <v/>
      </c>
      <c r="AD161" s="220"/>
    </row>
    <row r="162" spans="1:30" customFormat="1" ht="14.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688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4"/>
        <v/>
      </c>
      <c r="Z162" s="417" t="str">
        <f t="shared" ca="1" si="15"/>
        <v/>
      </c>
      <c r="AA162" s="416" t="str">
        <f t="shared" ca="1" si="16"/>
        <v/>
      </c>
      <c r="AB162" s="418" t="str">
        <f t="shared" ca="1" si="17"/>
        <v/>
      </c>
      <c r="AC162" s="417" t="str">
        <f t="shared" ca="1" si="18"/>
        <v/>
      </c>
      <c r="AD162" s="220"/>
    </row>
    <row r="163" spans="1:30" customFormat="1" ht="14.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687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4"/>
        <v/>
      </c>
      <c r="Z163" s="417" t="str">
        <f t="shared" ca="1" si="15"/>
        <v/>
      </c>
      <c r="AA163" s="416" t="str">
        <f t="shared" ca="1" si="16"/>
        <v/>
      </c>
      <c r="AB163" s="418" t="str">
        <f t="shared" ca="1" si="17"/>
        <v/>
      </c>
      <c r="AC163" s="417" t="str">
        <f t="shared" ca="1" si="18"/>
        <v/>
      </c>
      <c r="AD163" s="220"/>
    </row>
    <row r="164" spans="1:30" customFormat="1" ht="14.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687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4"/>
        <v/>
      </c>
      <c r="Z164" s="417" t="str">
        <f t="shared" ca="1" si="15"/>
        <v/>
      </c>
      <c r="AA164" s="416" t="str">
        <f t="shared" ca="1" si="16"/>
        <v/>
      </c>
      <c r="AB164" s="418" t="str">
        <f t="shared" ca="1" si="17"/>
        <v/>
      </c>
      <c r="AC164" s="417" t="str">
        <f t="shared" ca="1" si="18"/>
        <v/>
      </c>
      <c r="AD164" s="220"/>
    </row>
    <row r="165" spans="1:30" customFormat="1" ht="14.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687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4"/>
        <v/>
      </c>
      <c r="Z165" s="417" t="str">
        <f t="shared" ca="1" si="15"/>
        <v/>
      </c>
      <c r="AA165" s="416" t="str">
        <f t="shared" ca="1" si="16"/>
        <v/>
      </c>
      <c r="AB165" s="418" t="str">
        <f t="shared" ca="1" si="17"/>
        <v/>
      </c>
      <c r="AC165" s="417" t="str">
        <f t="shared" ca="1" si="18"/>
        <v/>
      </c>
      <c r="AD165" s="220"/>
    </row>
    <row r="166" spans="1:30" customFormat="1" ht="14.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687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4"/>
        <v/>
      </c>
      <c r="Z166" s="417" t="str">
        <f t="shared" ca="1" si="15"/>
        <v/>
      </c>
      <c r="AA166" s="416" t="str">
        <f t="shared" ca="1" si="16"/>
        <v/>
      </c>
      <c r="AB166" s="418" t="str">
        <f t="shared" ca="1" si="17"/>
        <v/>
      </c>
      <c r="AC166" s="417" t="str">
        <f t="shared" ca="1" si="18"/>
        <v/>
      </c>
      <c r="AD166" s="220"/>
    </row>
    <row r="167" spans="1:30" customFormat="1" ht="14.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687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4"/>
        <v/>
      </c>
      <c r="Z167" s="417" t="str">
        <f t="shared" ca="1" si="15"/>
        <v/>
      </c>
      <c r="AA167" s="416" t="str">
        <f t="shared" ca="1" si="16"/>
        <v/>
      </c>
      <c r="AB167" s="418" t="str">
        <f t="shared" ca="1" si="17"/>
        <v/>
      </c>
      <c r="AC167" s="417" t="str">
        <f t="shared" ca="1" si="18"/>
        <v/>
      </c>
      <c r="AD167" s="220"/>
    </row>
    <row r="168" spans="1:30" customFormat="1" ht="14.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687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4"/>
        <v/>
      </c>
      <c r="Z168" s="417" t="str">
        <f t="shared" ca="1" si="15"/>
        <v/>
      </c>
      <c r="AA168" s="416" t="str">
        <f t="shared" ca="1" si="16"/>
        <v/>
      </c>
      <c r="AB168" s="418" t="str">
        <f t="shared" ca="1" si="17"/>
        <v/>
      </c>
      <c r="AC168" s="417" t="str">
        <f t="shared" ca="1" si="18"/>
        <v/>
      </c>
      <c r="AD168" s="220"/>
    </row>
    <row r="169" spans="1:30" customFormat="1" ht="14.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687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4"/>
        <v/>
      </c>
      <c r="Z169" s="417" t="str">
        <f t="shared" ca="1" si="15"/>
        <v/>
      </c>
      <c r="AA169" s="416" t="str">
        <f t="shared" ca="1" si="16"/>
        <v/>
      </c>
      <c r="AB169" s="418" t="str">
        <f t="shared" ca="1" si="17"/>
        <v/>
      </c>
      <c r="AC169" s="417" t="str">
        <f t="shared" ca="1" si="18"/>
        <v/>
      </c>
      <c r="AD169" s="220"/>
    </row>
    <row r="170" spans="1:30" customFormat="1" ht="14.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687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4"/>
        <v/>
      </c>
      <c r="Z170" s="417" t="str">
        <f t="shared" ca="1" si="15"/>
        <v/>
      </c>
      <c r="AA170" s="416" t="str">
        <f t="shared" ca="1" si="16"/>
        <v/>
      </c>
      <c r="AB170" s="418" t="str">
        <f t="shared" ca="1" si="17"/>
        <v/>
      </c>
      <c r="AC170" s="417" t="str">
        <f t="shared" ca="1" si="18"/>
        <v/>
      </c>
      <c r="AD170" s="220"/>
    </row>
    <row r="171" spans="1:30" customFormat="1" ht="14.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687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4"/>
        <v/>
      </c>
      <c r="Z171" s="417" t="str">
        <f t="shared" ca="1" si="15"/>
        <v/>
      </c>
      <c r="AA171" s="416" t="str">
        <f t="shared" ca="1" si="16"/>
        <v/>
      </c>
      <c r="AB171" s="418" t="str">
        <f t="shared" ca="1" si="17"/>
        <v/>
      </c>
      <c r="AC171" s="417" t="str">
        <f t="shared" ca="1" si="18"/>
        <v/>
      </c>
      <c r="AD171" s="220"/>
    </row>
    <row r="172" spans="1:30" customFormat="1" ht="14.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687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4"/>
        <v/>
      </c>
      <c r="Z172" s="417" t="str">
        <f t="shared" ca="1" si="15"/>
        <v/>
      </c>
      <c r="AA172" s="416" t="str">
        <f t="shared" ca="1" si="16"/>
        <v/>
      </c>
      <c r="AB172" s="418" t="str">
        <f t="shared" ca="1" si="17"/>
        <v/>
      </c>
      <c r="AC172" s="417" t="str">
        <f t="shared" ca="1" si="18"/>
        <v/>
      </c>
      <c r="AD172" s="220"/>
    </row>
    <row r="173" spans="1:30" customFormat="1" ht="14.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687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4"/>
        <v/>
      </c>
      <c r="Z173" s="417" t="str">
        <f t="shared" ca="1" si="15"/>
        <v/>
      </c>
      <c r="AA173" s="416" t="str">
        <f t="shared" ca="1" si="16"/>
        <v/>
      </c>
      <c r="AB173" s="418" t="str">
        <f t="shared" ca="1" si="17"/>
        <v/>
      </c>
      <c r="AC173" s="417" t="str">
        <f t="shared" ca="1" si="18"/>
        <v/>
      </c>
      <c r="AD173" s="220"/>
    </row>
    <row r="174" spans="1:30" customFormat="1" ht="14.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687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4"/>
        <v/>
      </c>
      <c r="Z174" s="417" t="str">
        <f t="shared" ca="1" si="15"/>
        <v/>
      </c>
      <c r="AA174" s="416" t="str">
        <f t="shared" ca="1" si="16"/>
        <v/>
      </c>
      <c r="AB174" s="418" t="str">
        <f t="shared" ca="1" si="17"/>
        <v/>
      </c>
      <c r="AC174" s="417" t="str">
        <f t="shared" ca="1" si="18"/>
        <v/>
      </c>
      <c r="AD174" s="220"/>
    </row>
    <row r="175" spans="1:30" customFormat="1" ht="14.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687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4"/>
        <v/>
      </c>
      <c r="Z175" s="417" t="str">
        <f t="shared" ca="1" si="15"/>
        <v/>
      </c>
      <c r="AA175" s="416" t="str">
        <f t="shared" ca="1" si="16"/>
        <v/>
      </c>
      <c r="AB175" s="418" t="str">
        <f t="shared" ca="1" si="17"/>
        <v/>
      </c>
      <c r="AC175" s="417" t="str">
        <f t="shared" ca="1" si="18"/>
        <v/>
      </c>
      <c r="AD175" s="220"/>
    </row>
    <row r="176" spans="1:30" customFormat="1" ht="14.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687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4"/>
        <v/>
      </c>
      <c r="Z176" s="417" t="str">
        <f t="shared" ca="1" si="15"/>
        <v/>
      </c>
      <c r="AA176" s="416" t="str">
        <f t="shared" ca="1" si="16"/>
        <v/>
      </c>
      <c r="AB176" s="418" t="str">
        <f t="shared" ca="1" si="17"/>
        <v/>
      </c>
      <c r="AC176" s="417" t="str">
        <f t="shared" ca="1" si="18"/>
        <v/>
      </c>
      <c r="AD176" s="220"/>
    </row>
    <row r="177" spans="1:30" customFormat="1" ht="14.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687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4"/>
        <v/>
      </c>
      <c r="Z177" s="417" t="str">
        <f t="shared" ca="1" si="15"/>
        <v/>
      </c>
      <c r="AA177" s="416" t="str">
        <f t="shared" ca="1" si="16"/>
        <v/>
      </c>
      <c r="AB177" s="418" t="str">
        <f t="shared" ca="1" si="17"/>
        <v/>
      </c>
      <c r="AC177" s="417" t="str">
        <f t="shared" ca="1" si="18"/>
        <v/>
      </c>
      <c r="AD177" s="220"/>
    </row>
    <row r="178" spans="1:30" customFormat="1" ht="14.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687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4"/>
        <v/>
      </c>
      <c r="Z178" s="417" t="str">
        <f t="shared" ca="1" si="15"/>
        <v/>
      </c>
      <c r="AA178" s="416" t="str">
        <f t="shared" ca="1" si="16"/>
        <v/>
      </c>
      <c r="AB178" s="418" t="str">
        <f t="shared" ca="1" si="17"/>
        <v/>
      </c>
      <c r="AC178" s="417" t="str">
        <f t="shared" ca="1" si="18"/>
        <v/>
      </c>
      <c r="AD178" s="220"/>
    </row>
    <row r="179" spans="1:30" customFormat="1" ht="14.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687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4"/>
        <v/>
      </c>
      <c r="Z179" s="417" t="str">
        <f t="shared" ca="1" si="15"/>
        <v/>
      </c>
      <c r="AA179" s="416" t="str">
        <f t="shared" ca="1" si="16"/>
        <v/>
      </c>
      <c r="AB179" s="418" t="str">
        <f t="shared" ca="1" si="17"/>
        <v/>
      </c>
      <c r="AC179" s="417" t="str">
        <f t="shared" ca="1" si="18"/>
        <v/>
      </c>
      <c r="AD179" s="220"/>
    </row>
    <row r="180" spans="1:30" customFormat="1" ht="14.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687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4"/>
        <v/>
      </c>
      <c r="Z180" s="417" t="str">
        <f t="shared" ca="1" si="15"/>
        <v/>
      </c>
      <c r="AA180" s="416" t="str">
        <f t="shared" ca="1" si="16"/>
        <v/>
      </c>
      <c r="AB180" s="418" t="str">
        <f t="shared" ca="1" si="17"/>
        <v/>
      </c>
      <c r="AC180" s="417" t="str">
        <f t="shared" ca="1" si="18"/>
        <v/>
      </c>
      <c r="AD180" s="220"/>
    </row>
    <row r="181" spans="1:30" customFormat="1" ht="14.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687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4"/>
        <v/>
      </c>
      <c r="Z181" s="417" t="str">
        <f t="shared" ca="1" si="15"/>
        <v/>
      </c>
      <c r="AA181" s="416" t="str">
        <f t="shared" ca="1" si="16"/>
        <v/>
      </c>
      <c r="AB181" s="418" t="str">
        <f t="shared" ca="1" si="17"/>
        <v/>
      </c>
      <c r="AC181" s="417" t="str">
        <f t="shared" ca="1" si="18"/>
        <v/>
      </c>
      <c r="AD181" s="220"/>
    </row>
    <row r="182" spans="1:30" customFormat="1" ht="14.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687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4"/>
        <v/>
      </c>
      <c r="Z182" s="417" t="str">
        <f t="shared" ca="1" si="15"/>
        <v/>
      </c>
      <c r="AA182" s="416" t="str">
        <f t="shared" ca="1" si="16"/>
        <v/>
      </c>
      <c r="AB182" s="418" t="str">
        <f t="shared" ca="1" si="17"/>
        <v/>
      </c>
      <c r="AC182" s="417" t="str">
        <f t="shared" ca="1" si="18"/>
        <v/>
      </c>
      <c r="AD182" s="220"/>
    </row>
    <row r="183" spans="1:30" customFormat="1" ht="14.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687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4"/>
        <v/>
      </c>
      <c r="Z183" s="417" t="str">
        <f t="shared" ca="1" si="15"/>
        <v/>
      </c>
      <c r="AA183" s="416" t="str">
        <f t="shared" ca="1" si="16"/>
        <v/>
      </c>
      <c r="AB183" s="418" t="str">
        <f t="shared" ca="1" si="17"/>
        <v/>
      </c>
      <c r="AC183" s="417" t="str">
        <f t="shared" ca="1" si="18"/>
        <v/>
      </c>
      <c r="AD183" s="220"/>
    </row>
    <row r="184" spans="1:30" customFormat="1" ht="14.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687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4"/>
        <v/>
      </c>
      <c r="Z184" s="417" t="str">
        <f t="shared" ca="1" si="15"/>
        <v/>
      </c>
      <c r="AA184" s="416" t="str">
        <f t="shared" ca="1" si="16"/>
        <v/>
      </c>
      <c r="AB184" s="418" t="str">
        <f t="shared" ca="1" si="17"/>
        <v/>
      </c>
      <c r="AC184" s="417" t="str">
        <f t="shared" ca="1" si="18"/>
        <v/>
      </c>
      <c r="AD184" s="220"/>
    </row>
    <row r="185" spans="1:30" customFormat="1" ht="14.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687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4"/>
        <v/>
      </c>
      <c r="Z185" s="417" t="str">
        <f t="shared" ca="1" si="15"/>
        <v/>
      </c>
      <c r="AA185" s="416" t="str">
        <f t="shared" ca="1" si="16"/>
        <v/>
      </c>
      <c r="AB185" s="418" t="str">
        <f t="shared" ca="1" si="17"/>
        <v/>
      </c>
      <c r="AC185" s="417" t="str">
        <f t="shared" ca="1" si="18"/>
        <v/>
      </c>
      <c r="AD185" s="220"/>
    </row>
    <row r="186" spans="1:30" customFormat="1" ht="14.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687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4"/>
        <v/>
      </c>
      <c r="Z186" s="417" t="str">
        <f t="shared" ca="1" si="15"/>
        <v/>
      </c>
      <c r="AA186" s="416" t="str">
        <f t="shared" ca="1" si="16"/>
        <v/>
      </c>
      <c r="AB186" s="418" t="str">
        <f t="shared" ca="1" si="17"/>
        <v/>
      </c>
      <c r="AC186" s="417" t="str">
        <f t="shared" ca="1" si="18"/>
        <v/>
      </c>
      <c r="AD186" s="220"/>
    </row>
    <row r="187" spans="1:30" customFormat="1" ht="14.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687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4"/>
        <v/>
      </c>
      <c r="Z187" s="417" t="str">
        <f t="shared" ca="1" si="15"/>
        <v/>
      </c>
      <c r="AA187" s="416" t="str">
        <f t="shared" ca="1" si="16"/>
        <v/>
      </c>
      <c r="AB187" s="418" t="str">
        <f t="shared" ca="1" si="17"/>
        <v/>
      </c>
      <c r="AC187" s="417" t="str">
        <f t="shared" ca="1" si="18"/>
        <v/>
      </c>
      <c r="AD187" s="220"/>
    </row>
    <row r="188" spans="1:30" customFormat="1" ht="14.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687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4"/>
        <v/>
      </c>
      <c r="Z188" s="417" t="str">
        <f t="shared" ca="1" si="15"/>
        <v/>
      </c>
      <c r="AA188" s="416" t="str">
        <f t="shared" ca="1" si="16"/>
        <v/>
      </c>
      <c r="AB188" s="418" t="str">
        <f t="shared" ca="1" si="17"/>
        <v/>
      </c>
      <c r="AC188" s="417" t="str">
        <f t="shared" ca="1" si="18"/>
        <v/>
      </c>
      <c r="AD188" s="220"/>
    </row>
    <row r="189" spans="1:30" customFormat="1" ht="14.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687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4"/>
        <v/>
      </c>
      <c r="Z189" s="417" t="str">
        <f t="shared" ca="1" si="15"/>
        <v/>
      </c>
      <c r="AA189" s="416" t="str">
        <f t="shared" ca="1" si="16"/>
        <v/>
      </c>
      <c r="AB189" s="418" t="str">
        <f t="shared" ca="1" si="17"/>
        <v/>
      </c>
      <c r="AC189" s="417" t="str">
        <f t="shared" ca="1" si="18"/>
        <v/>
      </c>
      <c r="AD189" s="220"/>
    </row>
    <row r="190" spans="1:30" customFormat="1" ht="14.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687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4"/>
        <v/>
      </c>
      <c r="Z190" s="417" t="str">
        <f t="shared" ca="1" si="15"/>
        <v/>
      </c>
      <c r="AA190" s="416" t="str">
        <f t="shared" ca="1" si="16"/>
        <v/>
      </c>
      <c r="AB190" s="418" t="str">
        <f t="shared" ca="1" si="17"/>
        <v/>
      </c>
      <c r="AC190" s="417" t="str">
        <f t="shared" ca="1" si="18"/>
        <v/>
      </c>
      <c r="AD190" s="220"/>
    </row>
    <row r="191" spans="1:30" customFormat="1" ht="14.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687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4"/>
        <v/>
      </c>
      <c r="Z191" s="417" t="str">
        <f t="shared" ca="1" si="15"/>
        <v/>
      </c>
      <c r="AA191" s="416" t="str">
        <f t="shared" ca="1" si="16"/>
        <v/>
      </c>
      <c r="AB191" s="418" t="str">
        <f t="shared" ca="1" si="17"/>
        <v/>
      </c>
      <c r="AC191" s="417" t="str">
        <f t="shared" ca="1" si="18"/>
        <v/>
      </c>
      <c r="AD191" s="220"/>
    </row>
    <row r="192" spans="1:30" customFormat="1" ht="14.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687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4"/>
        <v/>
      </c>
      <c r="Z192" s="417" t="str">
        <f t="shared" ca="1" si="15"/>
        <v/>
      </c>
      <c r="AA192" s="416" t="str">
        <f t="shared" ca="1" si="16"/>
        <v/>
      </c>
      <c r="AB192" s="418" t="str">
        <f t="shared" ca="1" si="17"/>
        <v/>
      </c>
      <c r="AC192" s="417" t="str">
        <f t="shared" ca="1" si="18"/>
        <v/>
      </c>
      <c r="AD192" s="220"/>
    </row>
    <row r="193" spans="1:30" customFormat="1" ht="14.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687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4"/>
        <v/>
      </c>
      <c r="Z193" s="417" t="str">
        <f t="shared" ca="1" si="15"/>
        <v/>
      </c>
      <c r="AA193" s="416" t="str">
        <f t="shared" ca="1" si="16"/>
        <v/>
      </c>
      <c r="AB193" s="418" t="str">
        <f t="shared" ca="1" si="17"/>
        <v/>
      </c>
      <c r="AC193" s="417" t="str">
        <f t="shared" ca="1" si="18"/>
        <v/>
      </c>
      <c r="AD193" s="220"/>
    </row>
    <row r="194" spans="1:30" customFormat="1" ht="14.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687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4"/>
        <v/>
      </c>
      <c r="Z194" s="417" t="str">
        <f t="shared" ca="1" si="15"/>
        <v/>
      </c>
      <c r="AA194" s="416" t="str">
        <f t="shared" ca="1" si="16"/>
        <v/>
      </c>
      <c r="AB194" s="418" t="str">
        <f t="shared" ca="1" si="17"/>
        <v/>
      </c>
      <c r="AC194" s="417" t="str">
        <f t="shared" ca="1" si="18"/>
        <v/>
      </c>
      <c r="AD194" s="220"/>
    </row>
    <row r="195" spans="1:30" customFormat="1" ht="14.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687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4"/>
        <v/>
      </c>
      <c r="Z195" s="417" t="str">
        <f t="shared" ca="1" si="15"/>
        <v/>
      </c>
      <c r="AA195" s="416" t="str">
        <f t="shared" ca="1" si="16"/>
        <v/>
      </c>
      <c r="AB195" s="418" t="str">
        <f t="shared" ca="1" si="17"/>
        <v/>
      </c>
      <c r="AC195" s="417" t="str">
        <f t="shared" ca="1" si="18"/>
        <v/>
      </c>
      <c r="AD195" s="220"/>
    </row>
    <row r="196" spans="1:30" customFormat="1" ht="14.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687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4"/>
        <v/>
      </c>
      <c r="Z196" s="417" t="str">
        <f t="shared" ca="1" si="15"/>
        <v/>
      </c>
      <c r="AA196" s="416" t="str">
        <f t="shared" ca="1" si="16"/>
        <v/>
      </c>
      <c r="AB196" s="418" t="str">
        <f t="shared" ca="1" si="17"/>
        <v/>
      </c>
      <c r="AC196" s="417" t="str">
        <f t="shared" ca="1" si="18"/>
        <v/>
      </c>
      <c r="AD196" s="220"/>
    </row>
    <row r="197" spans="1:30" customFormat="1" ht="14.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687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4"/>
        <v/>
      </c>
      <c r="Z197" s="417" t="str">
        <f t="shared" ca="1" si="15"/>
        <v/>
      </c>
      <c r="AA197" s="416" t="str">
        <f t="shared" ca="1" si="16"/>
        <v/>
      </c>
      <c r="AB197" s="418" t="str">
        <f t="shared" ca="1" si="17"/>
        <v/>
      </c>
      <c r="AC197" s="417" t="str">
        <f t="shared" ca="1" si="18"/>
        <v/>
      </c>
      <c r="AD197" s="220"/>
    </row>
    <row r="198" spans="1:30" customFormat="1" ht="14.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687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4"/>
        <v/>
      </c>
      <c r="Z198" s="417" t="str">
        <f t="shared" ca="1" si="15"/>
        <v/>
      </c>
      <c r="AA198" s="416" t="str">
        <f t="shared" ca="1" si="16"/>
        <v/>
      </c>
      <c r="AB198" s="418" t="str">
        <f t="shared" ca="1" si="17"/>
        <v/>
      </c>
      <c r="AC198" s="417" t="str">
        <f t="shared" ca="1" si="18"/>
        <v/>
      </c>
      <c r="AD198" s="220"/>
    </row>
    <row r="199" spans="1:30" customFormat="1" ht="14.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687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4"/>
        <v/>
      </c>
      <c r="Z199" s="417" t="str">
        <f t="shared" ca="1" si="15"/>
        <v/>
      </c>
      <c r="AA199" s="416" t="str">
        <f t="shared" ca="1" si="16"/>
        <v/>
      </c>
      <c r="AB199" s="418" t="str">
        <f t="shared" ca="1" si="17"/>
        <v/>
      </c>
      <c r="AC199" s="417" t="str">
        <f t="shared" ca="1" si="18"/>
        <v/>
      </c>
      <c r="AD199" s="220"/>
    </row>
    <row r="200" spans="1:30" customFormat="1" ht="14.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687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4"/>
        <v/>
      </c>
      <c r="Z200" s="417" t="str">
        <f t="shared" ca="1" si="15"/>
        <v/>
      </c>
      <c r="AA200" s="416" t="str">
        <f t="shared" ca="1" si="16"/>
        <v/>
      </c>
      <c r="AB200" s="418" t="str">
        <f t="shared" ca="1" si="17"/>
        <v/>
      </c>
      <c r="AC200" s="417" t="str">
        <f t="shared" ca="1" si="18"/>
        <v/>
      </c>
      <c r="AD200" s="220"/>
    </row>
    <row r="201" spans="1:30" customFormat="1" ht="14.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687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4"/>
        <v/>
      </c>
      <c r="Z201" s="417" t="str">
        <f t="shared" ca="1" si="15"/>
        <v/>
      </c>
      <c r="AA201" s="416" t="str">
        <f t="shared" ca="1" si="16"/>
        <v/>
      </c>
      <c r="AB201" s="418" t="str">
        <f t="shared" ca="1" si="17"/>
        <v/>
      </c>
      <c r="AC201" s="417" t="str">
        <f t="shared" ca="1" si="18"/>
        <v/>
      </c>
      <c r="AD201" s="220"/>
    </row>
    <row r="202" spans="1:30" customFormat="1" ht="14.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687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4"/>
        <v/>
      </c>
      <c r="Z202" s="417" t="str">
        <f t="shared" ca="1" si="15"/>
        <v/>
      </c>
      <c r="AA202" s="416" t="str">
        <f t="shared" ca="1" si="16"/>
        <v/>
      </c>
      <c r="AB202" s="418" t="str">
        <f t="shared" ca="1" si="17"/>
        <v/>
      </c>
      <c r="AC202" s="417" t="str">
        <f t="shared" ca="1" si="18"/>
        <v/>
      </c>
      <c r="AD202" s="220"/>
    </row>
    <row r="203" spans="1:30" customFormat="1" ht="14.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687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4"/>
        <v/>
      </c>
      <c r="Z203" s="417" t="str">
        <f t="shared" ca="1" si="15"/>
        <v/>
      </c>
      <c r="AA203" s="416" t="str">
        <f t="shared" ca="1" si="16"/>
        <v/>
      </c>
      <c r="AB203" s="418" t="str">
        <f t="shared" ca="1" si="17"/>
        <v/>
      </c>
      <c r="AC203" s="417" t="str">
        <f t="shared" ca="1" si="18"/>
        <v/>
      </c>
      <c r="AD203" s="220"/>
    </row>
    <row r="204" spans="1:30" customFormat="1" ht="14.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687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4"/>
        <v/>
      </c>
      <c r="Z204" s="417" t="str">
        <f t="shared" ca="1" si="15"/>
        <v/>
      </c>
      <c r="AA204" s="416" t="str">
        <f t="shared" ca="1" si="16"/>
        <v/>
      </c>
      <c r="AB204" s="418" t="str">
        <f t="shared" ca="1" si="17"/>
        <v/>
      </c>
      <c r="AC204" s="417" t="str">
        <f t="shared" ca="1" si="18"/>
        <v/>
      </c>
      <c r="AD204" s="220"/>
    </row>
    <row r="205" spans="1:30" customFormat="1" ht="14.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687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4"/>
        <v/>
      </c>
      <c r="Z205" s="417" t="str">
        <f t="shared" ca="1" si="15"/>
        <v/>
      </c>
      <c r="AA205" s="416" t="str">
        <f t="shared" ca="1" si="16"/>
        <v/>
      </c>
      <c r="AB205" s="418" t="str">
        <f t="shared" ca="1" si="17"/>
        <v/>
      </c>
      <c r="AC205" s="417" t="str">
        <f t="shared" ca="1" si="18"/>
        <v/>
      </c>
      <c r="AD205" s="220"/>
    </row>
    <row r="206" spans="1:30" customFormat="1" ht="14.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687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4"/>
        <v/>
      </c>
      <c r="Z206" s="417" t="str">
        <f t="shared" ca="1" si="15"/>
        <v/>
      </c>
      <c r="AA206" s="416" t="str">
        <f t="shared" ca="1" si="16"/>
        <v/>
      </c>
      <c r="AB206" s="418" t="str">
        <f t="shared" ca="1" si="17"/>
        <v/>
      </c>
      <c r="AC206" s="417" t="str">
        <f t="shared" ca="1" si="18"/>
        <v/>
      </c>
      <c r="AD206" s="220"/>
    </row>
    <row r="207" spans="1:30" customFormat="1" ht="14.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687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4"/>
        <v/>
      </c>
      <c r="Z207" s="417" t="str">
        <f t="shared" ca="1" si="15"/>
        <v/>
      </c>
      <c r="AA207" s="416" t="str">
        <f t="shared" ca="1" si="16"/>
        <v/>
      </c>
      <c r="AB207" s="418" t="str">
        <f t="shared" ca="1" si="17"/>
        <v/>
      </c>
      <c r="AC207" s="417" t="str">
        <f t="shared" ca="1" si="18"/>
        <v/>
      </c>
      <c r="AD207" s="220"/>
    </row>
    <row r="208" spans="1:30" customFormat="1" ht="14.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687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9">IF($U$12,IF(T208="","",$U$13*D232/$C$18),"")</f>
        <v/>
      </c>
      <c r="Z208" s="417" t="str">
        <f t="shared" ref="Z208:Z271" ca="1" si="20">IF($U$12,IF(Y208="","",Y208*($Z$10-W208)*X208),"")</f>
        <v/>
      </c>
      <c r="AA208" s="416" t="str">
        <f t="shared" ref="AA208:AA271" ca="1" si="21">IF($U$12,IF(OR(T208="",L208=""),"",L208/($C$20-$C$19)),"")</f>
        <v/>
      </c>
      <c r="AB208" s="418" t="str">
        <f t="shared" ref="AB208:AB271" ca="1" si="22">IF($U$12,IF(W208="","",W208*$AC$10),"")</f>
        <v/>
      </c>
      <c r="AC208" s="417" t="str">
        <f t="shared" ref="AC208:AC271" ca="1" si="23">IF($U$12,IF(AA208="","",AA208*(AB208-W208)*X208),"")</f>
        <v/>
      </c>
      <c r="AD208" s="220"/>
    </row>
    <row r="209" spans="1:30" customFormat="1" ht="14.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687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9"/>
        <v/>
      </c>
      <c r="Z209" s="417" t="str">
        <f t="shared" ca="1" si="20"/>
        <v/>
      </c>
      <c r="AA209" s="416" t="str">
        <f t="shared" ca="1" si="21"/>
        <v/>
      </c>
      <c r="AB209" s="418" t="str">
        <f t="shared" ca="1" si="22"/>
        <v/>
      </c>
      <c r="AC209" s="417" t="str">
        <f t="shared" ca="1" si="23"/>
        <v/>
      </c>
      <c r="AD209" s="220"/>
    </row>
    <row r="210" spans="1:30" customFormat="1" ht="14.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687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9"/>
        <v/>
      </c>
      <c r="Z210" s="417" t="str">
        <f t="shared" ca="1" si="20"/>
        <v/>
      </c>
      <c r="AA210" s="416" t="str">
        <f t="shared" ca="1" si="21"/>
        <v/>
      </c>
      <c r="AB210" s="418" t="str">
        <f t="shared" ca="1" si="22"/>
        <v/>
      </c>
      <c r="AC210" s="417" t="str">
        <f t="shared" ca="1" si="23"/>
        <v/>
      </c>
      <c r="AD210" s="220"/>
    </row>
    <row r="211" spans="1:30" customFormat="1" ht="14.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687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9"/>
        <v/>
      </c>
      <c r="Z211" s="417" t="str">
        <f t="shared" ca="1" si="20"/>
        <v/>
      </c>
      <c r="AA211" s="416" t="str">
        <f t="shared" ca="1" si="21"/>
        <v/>
      </c>
      <c r="AB211" s="418" t="str">
        <f t="shared" ca="1" si="22"/>
        <v/>
      </c>
      <c r="AC211" s="417" t="str">
        <f t="shared" ca="1" si="23"/>
        <v/>
      </c>
      <c r="AD211" s="220"/>
    </row>
    <row r="212" spans="1:30" customFormat="1" ht="14.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687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9"/>
        <v/>
      </c>
      <c r="Z212" s="417" t="str">
        <f t="shared" ca="1" si="20"/>
        <v/>
      </c>
      <c r="AA212" s="416" t="str">
        <f t="shared" ca="1" si="21"/>
        <v/>
      </c>
      <c r="AB212" s="418" t="str">
        <f t="shared" ca="1" si="22"/>
        <v/>
      </c>
      <c r="AC212" s="417" t="str">
        <f t="shared" ca="1" si="23"/>
        <v/>
      </c>
      <c r="AD212" s="220"/>
    </row>
    <row r="213" spans="1:30" customFormat="1" ht="14.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687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9"/>
        <v/>
      </c>
      <c r="Z213" s="417" t="str">
        <f t="shared" ca="1" si="20"/>
        <v/>
      </c>
      <c r="AA213" s="416" t="str">
        <f t="shared" ca="1" si="21"/>
        <v/>
      </c>
      <c r="AB213" s="418" t="str">
        <f t="shared" ca="1" si="22"/>
        <v/>
      </c>
      <c r="AC213" s="417" t="str">
        <f t="shared" ca="1" si="23"/>
        <v/>
      </c>
      <c r="AD213" s="220"/>
    </row>
    <row r="214" spans="1:30" customFormat="1" ht="14.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687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9"/>
        <v/>
      </c>
      <c r="Z214" s="417" t="str">
        <f t="shared" ca="1" si="20"/>
        <v/>
      </c>
      <c r="AA214" s="416" t="str">
        <f t="shared" ca="1" si="21"/>
        <v/>
      </c>
      <c r="AB214" s="418" t="str">
        <f t="shared" ca="1" si="22"/>
        <v/>
      </c>
      <c r="AC214" s="417" t="str">
        <f t="shared" ca="1" si="23"/>
        <v/>
      </c>
      <c r="AD214" s="220"/>
    </row>
    <row r="215" spans="1:30" customFormat="1" ht="14.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687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9"/>
        <v/>
      </c>
      <c r="Z215" s="417" t="str">
        <f t="shared" ca="1" si="20"/>
        <v/>
      </c>
      <c r="AA215" s="416" t="str">
        <f t="shared" ca="1" si="21"/>
        <v/>
      </c>
      <c r="AB215" s="418" t="str">
        <f t="shared" ca="1" si="22"/>
        <v/>
      </c>
      <c r="AC215" s="417" t="str">
        <f t="shared" ca="1" si="23"/>
        <v/>
      </c>
      <c r="AD215" s="220"/>
    </row>
    <row r="216" spans="1:30" customFormat="1" ht="14.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687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9"/>
        <v/>
      </c>
      <c r="Z216" s="417" t="str">
        <f t="shared" ca="1" si="20"/>
        <v/>
      </c>
      <c r="AA216" s="416" t="str">
        <f t="shared" ca="1" si="21"/>
        <v/>
      </c>
      <c r="AB216" s="418" t="str">
        <f t="shared" ca="1" si="22"/>
        <v/>
      </c>
      <c r="AC216" s="417" t="str">
        <f t="shared" ca="1" si="23"/>
        <v/>
      </c>
      <c r="AD216" s="220"/>
    </row>
    <row r="217" spans="1:30" customFormat="1" ht="14.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687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9"/>
        <v/>
      </c>
      <c r="Z217" s="417" t="str">
        <f t="shared" ca="1" si="20"/>
        <v/>
      </c>
      <c r="AA217" s="416" t="str">
        <f t="shared" ca="1" si="21"/>
        <v/>
      </c>
      <c r="AB217" s="418" t="str">
        <f t="shared" ca="1" si="22"/>
        <v/>
      </c>
      <c r="AC217" s="417" t="str">
        <f t="shared" ca="1" si="23"/>
        <v/>
      </c>
      <c r="AD217" s="220"/>
    </row>
    <row r="218" spans="1:30" customFormat="1" ht="14.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687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9"/>
        <v/>
      </c>
      <c r="Z218" s="417" t="str">
        <f t="shared" ca="1" si="20"/>
        <v/>
      </c>
      <c r="AA218" s="416" t="str">
        <f t="shared" ca="1" si="21"/>
        <v/>
      </c>
      <c r="AB218" s="418" t="str">
        <f t="shared" ca="1" si="22"/>
        <v/>
      </c>
      <c r="AC218" s="417" t="str">
        <f t="shared" ca="1" si="23"/>
        <v/>
      </c>
      <c r="AD218" s="220"/>
    </row>
    <row r="219" spans="1:30" customFormat="1" ht="14.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687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9"/>
        <v/>
      </c>
      <c r="Z219" s="417" t="str">
        <f t="shared" ca="1" si="20"/>
        <v/>
      </c>
      <c r="AA219" s="416" t="str">
        <f t="shared" ca="1" si="21"/>
        <v/>
      </c>
      <c r="AB219" s="418" t="str">
        <f t="shared" ca="1" si="22"/>
        <v/>
      </c>
      <c r="AC219" s="417" t="str">
        <f t="shared" ca="1" si="23"/>
        <v/>
      </c>
      <c r="AD219" s="220"/>
    </row>
    <row r="220" spans="1:30" customFormat="1" ht="14.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687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9"/>
        <v/>
      </c>
      <c r="Z220" s="417" t="str">
        <f t="shared" ca="1" si="20"/>
        <v/>
      </c>
      <c r="AA220" s="416" t="str">
        <f t="shared" ca="1" si="21"/>
        <v/>
      </c>
      <c r="AB220" s="418" t="str">
        <f t="shared" ca="1" si="22"/>
        <v/>
      </c>
      <c r="AC220" s="417" t="str">
        <f t="shared" ca="1" si="23"/>
        <v/>
      </c>
      <c r="AD220" s="220"/>
    </row>
    <row r="221" spans="1:30" customFormat="1" ht="14.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687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9"/>
        <v/>
      </c>
      <c r="Z221" s="417" t="str">
        <f t="shared" ca="1" si="20"/>
        <v/>
      </c>
      <c r="AA221" s="416" t="str">
        <f t="shared" ca="1" si="21"/>
        <v/>
      </c>
      <c r="AB221" s="418" t="str">
        <f t="shared" ca="1" si="22"/>
        <v/>
      </c>
      <c r="AC221" s="417" t="str">
        <f t="shared" ca="1" si="23"/>
        <v/>
      </c>
      <c r="AD221" s="220"/>
    </row>
    <row r="222" spans="1:30" customFormat="1" ht="14.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687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9"/>
        <v/>
      </c>
      <c r="Z222" s="417" t="str">
        <f t="shared" ca="1" si="20"/>
        <v/>
      </c>
      <c r="AA222" s="416" t="str">
        <f t="shared" ca="1" si="21"/>
        <v/>
      </c>
      <c r="AB222" s="418" t="str">
        <f t="shared" ca="1" si="22"/>
        <v/>
      </c>
      <c r="AC222" s="417" t="str">
        <f t="shared" ca="1" si="23"/>
        <v/>
      </c>
      <c r="AD222" s="220"/>
    </row>
    <row r="223" spans="1:30" customFormat="1" ht="14.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687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9"/>
        <v/>
      </c>
      <c r="Z223" s="417" t="str">
        <f t="shared" ca="1" si="20"/>
        <v/>
      </c>
      <c r="AA223" s="416" t="str">
        <f t="shared" ca="1" si="21"/>
        <v/>
      </c>
      <c r="AB223" s="418" t="str">
        <f t="shared" ca="1" si="22"/>
        <v/>
      </c>
      <c r="AC223" s="417" t="str">
        <f t="shared" ca="1" si="23"/>
        <v/>
      </c>
      <c r="AD223" s="220"/>
    </row>
    <row r="224" spans="1:30" customFormat="1" ht="14.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687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9"/>
        <v/>
      </c>
      <c r="Z224" s="417" t="str">
        <f t="shared" ca="1" si="20"/>
        <v/>
      </c>
      <c r="AA224" s="416" t="str">
        <f t="shared" ca="1" si="21"/>
        <v/>
      </c>
      <c r="AB224" s="418" t="str">
        <f t="shared" ca="1" si="22"/>
        <v/>
      </c>
      <c r="AC224" s="417" t="str">
        <f t="shared" ca="1" si="23"/>
        <v/>
      </c>
      <c r="AD224" s="220"/>
    </row>
    <row r="225" spans="1:30" customFormat="1" ht="14.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687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9"/>
        <v/>
      </c>
      <c r="Z225" s="417" t="str">
        <f t="shared" ca="1" si="20"/>
        <v/>
      </c>
      <c r="AA225" s="416" t="str">
        <f t="shared" ca="1" si="21"/>
        <v/>
      </c>
      <c r="AB225" s="418" t="str">
        <f t="shared" ca="1" si="22"/>
        <v/>
      </c>
      <c r="AC225" s="417" t="str">
        <f t="shared" ca="1" si="23"/>
        <v/>
      </c>
      <c r="AD225" s="220"/>
    </row>
    <row r="226" spans="1:30" customFormat="1" ht="14.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687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9"/>
        <v/>
      </c>
      <c r="Z226" s="417" t="str">
        <f t="shared" ca="1" si="20"/>
        <v/>
      </c>
      <c r="AA226" s="416" t="str">
        <f t="shared" ca="1" si="21"/>
        <v/>
      </c>
      <c r="AB226" s="418" t="str">
        <f t="shared" ca="1" si="22"/>
        <v/>
      </c>
      <c r="AC226" s="417" t="str">
        <f t="shared" ca="1" si="23"/>
        <v/>
      </c>
      <c r="AD226" s="220"/>
    </row>
    <row r="227" spans="1:30" customFormat="1" ht="14.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687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9"/>
        <v/>
      </c>
      <c r="Z227" s="417" t="str">
        <f t="shared" ca="1" si="20"/>
        <v/>
      </c>
      <c r="AA227" s="416" t="str">
        <f t="shared" ca="1" si="21"/>
        <v/>
      </c>
      <c r="AB227" s="418" t="str">
        <f t="shared" ca="1" si="22"/>
        <v/>
      </c>
      <c r="AC227" s="417" t="str">
        <f t="shared" ca="1" si="23"/>
        <v/>
      </c>
      <c r="AD227" s="220"/>
    </row>
    <row r="228" spans="1:30" customFormat="1" ht="14.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687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9"/>
        <v/>
      </c>
      <c r="Z228" s="417" t="str">
        <f t="shared" ca="1" si="20"/>
        <v/>
      </c>
      <c r="AA228" s="416" t="str">
        <f t="shared" ca="1" si="21"/>
        <v/>
      </c>
      <c r="AB228" s="418" t="str">
        <f t="shared" ca="1" si="22"/>
        <v/>
      </c>
      <c r="AC228" s="417" t="str">
        <f t="shared" ca="1" si="23"/>
        <v/>
      </c>
      <c r="AD228" s="220"/>
    </row>
    <row r="229" spans="1:30" customFormat="1" ht="14.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687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9"/>
        <v/>
      </c>
      <c r="Z229" s="417" t="str">
        <f t="shared" ca="1" si="20"/>
        <v/>
      </c>
      <c r="AA229" s="416" t="str">
        <f t="shared" ca="1" si="21"/>
        <v/>
      </c>
      <c r="AB229" s="418" t="str">
        <f t="shared" ca="1" si="22"/>
        <v/>
      </c>
      <c r="AC229" s="417" t="str">
        <f t="shared" ca="1" si="23"/>
        <v/>
      </c>
      <c r="AD229" s="220"/>
    </row>
    <row r="230" spans="1:30" customFormat="1" ht="14.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687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9"/>
        <v/>
      </c>
      <c r="Z230" s="417" t="str">
        <f t="shared" ca="1" si="20"/>
        <v/>
      </c>
      <c r="AA230" s="416" t="str">
        <f t="shared" ca="1" si="21"/>
        <v/>
      </c>
      <c r="AB230" s="418" t="str">
        <f t="shared" ca="1" si="22"/>
        <v/>
      </c>
      <c r="AC230" s="417" t="str">
        <f t="shared" ca="1" si="23"/>
        <v/>
      </c>
      <c r="AD230" s="220"/>
    </row>
    <row r="231" spans="1:30" customFormat="1" ht="14.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687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9"/>
        <v/>
      </c>
      <c r="Z231" s="417" t="str">
        <f t="shared" ca="1" si="20"/>
        <v/>
      </c>
      <c r="AA231" s="416" t="str">
        <f t="shared" ca="1" si="21"/>
        <v/>
      </c>
      <c r="AB231" s="418" t="str">
        <f t="shared" ca="1" si="22"/>
        <v/>
      </c>
      <c r="AC231" s="417" t="str">
        <f t="shared" ca="1" si="23"/>
        <v/>
      </c>
      <c r="AD231" s="220"/>
    </row>
    <row r="232" spans="1:30" customFormat="1" ht="14.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687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9"/>
        <v/>
      </c>
      <c r="Z232" s="417" t="str">
        <f t="shared" ca="1" si="20"/>
        <v/>
      </c>
      <c r="AA232" s="416" t="str">
        <f t="shared" ca="1" si="21"/>
        <v/>
      </c>
      <c r="AB232" s="418" t="str">
        <f t="shared" ca="1" si="22"/>
        <v/>
      </c>
      <c r="AC232" s="417" t="str">
        <f t="shared" ca="1" si="23"/>
        <v/>
      </c>
      <c r="AD232" s="220"/>
    </row>
    <row r="233" spans="1:30" customFormat="1" ht="14.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687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9"/>
        <v/>
      </c>
      <c r="Z233" s="417" t="str">
        <f t="shared" ca="1" si="20"/>
        <v/>
      </c>
      <c r="AA233" s="416" t="str">
        <f t="shared" ca="1" si="21"/>
        <v/>
      </c>
      <c r="AB233" s="418" t="str">
        <f t="shared" ca="1" si="22"/>
        <v/>
      </c>
      <c r="AC233" s="417" t="str">
        <f t="shared" ca="1" si="23"/>
        <v/>
      </c>
      <c r="AD233" s="220"/>
    </row>
    <row r="234" spans="1:30" customFormat="1" ht="14.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687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9"/>
        <v/>
      </c>
      <c r="Z234" s="417" t="str">
        <f t="shared" ca="1" si="20"/>
        <v/>
      </c>
      <c r="AA234" s="416" t="str">
        <f t="shared" ca="1" si="21"/>
        <v/>
      </c>
      <c r="AB234" s="418" t="str">
        <f t="shared" ca="1" si="22"/>
        <v/>
      </c>
      <c r="AC234" s="417" t="str">
        <f t="shared" ca="1" si="23"/>
        <v/>
      </c>
      <c r="AD234" s="220"/>
    </row>
    <row r="235" spans="1:30" customFormat="1" ht="14.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687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9"/>
        <v/>
      </c>
      <c r="Z235" s="417" t="str">
        <f t="shared" ca="1" si="20"/>
        <v/>
      </c>
      <c r="AA235" s="416" t="str">
        <f t="shared" ca="1" si="21"/>
        <v/>
      </c>
      <c r="AB235" s="418" t="str">
        <f t="shared" ca="1" si="22"/>
        <v/>
      </c>
      <c r="AC235" s="417" t="str">
        <f t="shared" ca="1" si="23"/>
        <v/>
      </c>
      <c r="AD235" s="220"/>
    </row>
    <row r="236" spans="1:30" customFormat="1" ht="14.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687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9"/>
        <v/>
      </c>
      <c r="Z236" s="417" t="str">
        <f t="shared" ca="1" si="20"/>
        <v/>
      </c>
      <c r="AA236" s="416" t="str">
        <f t="shared" ca="1" si="21"/>
        <v/>
      </c>
      <c r="AB236" s="418" t="str">
        <f t="shared" ca="1" si="22"/>
        <v/>
      </c>
      <c r="AC236" s="417" t="str">
        <f t="shared" ca="1" si="23"/>
        <v/>
      </c>
      <c r="AD236" s="220"/>
    </row>
    <row r="237" spans="1:30" customFormat="1" ht="14.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687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9"/>
        <v/>
      </c>
      <c r="Z237" s="417" t="str">
        <f t="shared" ca="1" si="20"/>
        <v/>
      </c>
      <c r="AA237" s="416" t="str">
        <f t="shared" ca="1" si="21"/>
        <v/>
      </c>
      <c r="AB237" s="418" t="str">
        <f t="shared" ca="1" si="22"/>
        <v/>
      </c>
      <c r="AC237" s="417" t="str">
        <f t="shared" ca="1" si="23"/>
        <v/>
      </c>
      <c r="AD237" s="220"/>
    </row>
    <row r="238" spans="1:30" customFormat="1" ht="14.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687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9"/>
        <v/>
      </c>
      <c r="Z238" s="417" t="str">
        <f t="shared" ca="1" si="20"/>
        <v/>
      </c>
      <c r="AA238" s="416" t="str">
        <f t="shared" ca="1" si="21"/>
        <v/>
      </c>
      <c r="AB238" s="418" t="str">
        <f t="shared" ca="1" si="22"/>
        <v/>
      </c>
      <c r="AC238" s="417" t="str">
        <f t="shared" ca="1" si="23"/>
        <v/>
      </c>
      <c r="AD238" s="220"/>
    </row>
    <row r="239" spans="1:30" customFormat="1" ht="14.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687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9"/>
        <v/>
      </c>
      <c r="Z239" s="417" t="str">
        <f t="shared" ca="1" si="20"/>
        <v/>
      </c>
      <c r="AA239" s="416" t="str">
        <f t="shared" ca="1" si="21"/>
        <v/>
      </c>
      <c r="AB239" s="418" t="str">
        <f t="shared" ca="1" si="22"/>
        <v/>
      </c>
      <c r="AC239" s="417" t="str">
        <f t="shared" ca="1" si="23"/>
        <v/>
      </c>
      <c r="AD239" s="220"/>
    </row>
    <row r="240" spans="1:30" customFormat="1" ht="14.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687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9"/>
        <v/>
      </c>
      <c r="Z240" s="417" t="str">
        <f t="shared" ca="1" si="20"/>
        <v/>
      </c>
      <c r="AA240" s="416" t="str">
        <f t="shared" ca="1" si="21"/>
        <v/>
      </c>
      <c r="AB240" s="418" t="str">
        <f t="shared" ca="1" si="22"/>
        <v/>
      </c>
      <c r="AC240" s="417" t="str">
        <f t="shared" ca="1" si="23"/>
        <v/>
      </c>
      <c r="AD240" s="220"/>
    </row>
    <row r="241" spans="1:30" customFormat="1" ht="14.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687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9"/>
        <v/>
      </c>
      <c r="Z241" s="417" t="str">
        <f t="shared" ca="1" si="20"/>
        <v/>
      </c>
      <c r="AA241" s="416" t="str">
        <f t="shared" ca="1" si="21"/>
        <v/>
      </c>
      <c r="AB241" s="418" t="str">
        <f t="shared" ca="1" si="22"/>
        <v/>
      </c>
      <c r="AC241" s="417" t="str">
        <f t="shared" ca="1" si="23"/>
        <v/>
      </c>
      <c r="AD241" s="220"/>
    </row>
    <row r="242" spans="1:30" customFormat="1" ht="14.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687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9"/>
        <v/>
      </c>
      <c r="Z242" s="417" t="str">
        <f t="shared" ca="1" si="20"/>
        <v/>
      </c>
      <c r="AA242" s="416" t="str">
        <f t="shared" ca="1" si="21"/>
        <v/>
      </c>
      <c r="AB242" s="418" t="str">
        <f t="shared" ca="1" si="22"/>
        <v/>
      </c>
      <c r="AC242" s="417" t="str">
        <f t="shared" ca="1" si="23"/>
        <v/>
      </c>
      <c r="AD242" s="220"/>
    </row>
    <row r="243" spans="1:30" customFormat="1" ht="14.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687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9"/>
        <v/>
      </c>
      <c r="Z243" s="417" t="str">
        <f t="shared" ca="1" si="20"/>
        <v/>
      </c>
      <c r="AA243" s="416" t="str">
        <f t="shared" ca="1" si="21"/>
        <v/>
      </c>
      <c r="AB243" s="418" t="str">
        <f t="shared" ca="1" si="22"/>
        <v/>
      </c>
      <c r="AC243" s="417" t="str">
        <f t="shared" ca="1" si="23"/>
        <v/>
      </c>
      <c r="AD243" s="220"/>
    </row>
    <row r="244" spans="1:30" customFormat="1" ht="14.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687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9"/>
        <v/>
      </c>
      <c r="Z244" s="417" t="str">
        <f t="shared" ca="1" si="20"/>
        <v/>
      </c>
      <c r="AA244" s="416" t="str">
        <f t="shared" ca="1" si="21"/>
        <v/>
      </c>
      <c r="AB244" s="418" t="str">
        <f t="shared" ca="1" si="22"/>
        <v/>
      </c>
      <c r="AC244" s="417" t="str">
        <f t="shared" ca="1" si="23"/>
        <v/>
      </c>
      <c r="AD244" s="220"/>
    </row>
    <row r="245" spans="1:30" customFormat="1" ht="14.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687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9"/>
        <v/>
      </c>
      <c r="Z245" s="417" t="str">
        <f t="shared" ca="1" si="20"/>
        <v/>
      </c>
      <c r="AA245" s="416" t="str">
        <f t="shared" ca="1" si="21"/>
        <v/>
      </c>
      <c r="AB245" s="418" t="str">
        <f t="shared" ca="1" si="22"/>
        <v/>
      </c>
      <c r="AC245" s="417" t="str">
        <f t="shared" ca="1" si="23"/>
        <v/>
      </c>
      <c r="AD245" s="220"/>
    </row>
    <row r="246" spans="1:30" customFormat="1" ht="14.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687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9"/>
        <v/>
      </c>
      <c r="Z246" s="417" t="str">
        <f t="shared" ca="1" si="20"/>
        <v/>
      </c>
      <c r="AA246" s="416" t="str">
        <f t="shared" ca="1" si="21"/>
        <v/>
      </c>
      <c r="AB246" s="418" t="str">
        <f t="shared" ca="1" si="22"/>
        <v/>
      </c>
      <c r="AC246" s="417" t="str">
        <f t="shared" ca="1" si="23"/>
        <v/>
      </c>
      <c r="AD246" s="220"/>
    </row>
    <row r="247" spans="1:30" customFormat="1" ht="14.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687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9"/>
        <v/>
      </c>
      <c r="Z247" s="417" t="str">
        <f t="shared" ca="1" si="20"/>
        <v/>
      </c>
      <c r="AA247" s="416" t="str">
        <f t="shared" ca="1" si="21"/>
        <v/>
      </c>
      <c r="AB247" s="418" t="str">
        <f t="shared" ca="1" si="22"/>
        <v/>
      </c>
      <c r="AC247" s="417" t="str">
        <f t="shared" ca="1" si="23"/>
        <v/>
      </c>
      <c r="AD247" s="220"/>
    </row>
    <row r="248" spans="1:30" customFormat="1" ht="14.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687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9"/>
        <v/>
      </c>
      <c r="Z248" s="417" t="str">
        <f t="shared" ca="1" si="20"/>
        <v/>
      </c>
      <c r="AA248" s="416" t="str">
        <f t="shared" ca="1" si="21"/>
        <v/>
      </c>
      <c r="AB248" s="418" t="str">
        <f t="shared" ca="1" si="22"/>
        <v/>
      </c>
      <c r="AC248" s="417" t="str">
        <f t="shared" ca="1" si="23"/>
        <v/>
      </c>
      <c r="AD248" s="220"/>
    </row>
    <row r="249" spans="1:30" customFormat="1" ht="14.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687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9"/>
        <v/>
      </c>
      <c r="Z249" s="417" t="str">
        <f t="shared" ca="1" si="20"/>
        <v/>
      </c>
      <c r="AA249" s="416" t="str">
        <f t="shared" ca="1" si="21"/>
        <v/>
      </c>
      <c r="AB249" s="418" t="str">
        <f t="shared" ca="1" si="22"/>
        <v/>
      </c>
      <c r="AC249" s="417" t="str">
        <f t="shared" ca="1" si="23"/>
        <v/>
      </c>
      <c r="AD249" s="220"/>
    </row>
    <row r="250" spans="1:30" customFormat="1" ht="14.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687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9"/>
        <v/>
      </c>
      <c r="Z250" s="417" t="str">
        <f t="shared" ca="1" si="20"/>
        <v/>
      </c>
      <c r="AA250" s="416" t="str">
        <f t="shared" ca="1" si="21"/>
        <v/>
      </c>
      <c r="AB250" s="418" t="str">
        <f t="shared" ca="1" si="22"/>
        <v/>
      </c>
      <c r="AC250" s="417" t="str">
        <f t="shared" ca="1" si="23"/>
        <v/>
      </c>
      <c r="AD250" s="220"/>
    </row>
    <row r="251" spans="1:30" customFormat="1" ht="14.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687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9"/>
        <v/>
      </c>
      <c r="Z251" s="417" t="str">
        <f t="shared" ca="1" si="20"/>
        <v/>
      </c>
      <c r="AA251" s="416" t="str">
        <f t="shared" ca="1" si="21"/>
        <v/>
      </c>
      <c r="AB251" s="418" t="str">
        <f t="shared" ca="1" si="22"/>
        <v/>
      </c>
      <c r="AC251" s="417" t="str">
        <f t="shared" ca="1" si="23"/>
        <v/>
      </c>
      <c r="AD251" s="220"/>
    </row>
    <row r="252" spans="1:30" customFormat="1" ht="14.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687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9"/>
        <v/>
      </c>
      <c r="Z252" s="417" t="str">
        <f t="shared" ca="1" si="20"/>
        <v/>
      </c>
      <c r="AA252" s="416" t="str">
        <f t="shared" ca="1" si="21"/>
        <v/>
      </c>
      <c r="AB252" s="418" t="str">
        <f t="shared" ca="1" si="22"/>
        <v/>
      </c>
      <c r="AC252" s="417" t="str">
        <f t="shared" ca="1" si="23"/>
        <v/>
      </c>
      <c r="AD252" s="220"/>
    </row>
    <row r="253" spans="1:30" customFormat="1" ht="14.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687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9"/>
        <v/>
      </c>
      <c r="Z253" s="417" t="str">
        <f t="shared" ca="1" si="20"/>
        <v/>
      </c>
      <c r="AA253" s="416" t="str">
        <f t="shared" ca="1" si="21"/>
        <v/>
      </c>
      <c r="AB253" s="418" t="str">
        <f t="shared" ca="1" si="22"/>
        <v/>
      </c>
      <c r="AC253" s="417" t="str">
        <f t="shared" ca="1" si="23"/>
        <v/>
      </c>
      <c r="AD253" s="220"/>
    </row>
    <row r="254" spans="1:30" customFormat="1" ht="14.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687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9"/>
        <v/>
      </c>
      <c r="Z254" s="417" t="str">
        <f t="shared" ca="1" si="20"/>
        <v/>
      </c>
      <c r="AA254" s="416" t="str">
        <f t="shared" ca="1" si="21"/>
        <v/>
      </c>
      <c r="AB254" s="418" t="str">
        <f t="shared" ca="1" si="22"/>
        <v/>
      </c>
      <c r="AC254" s="417" t="str">
        <f t="shared" ca="1" si="23"/>
        <v/>
      </c>
      <c r="AD254" s="220"/>
    </row>
    <row r="255" spans="1:30" customFormat="1" ht="14.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687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9"/>
        <v/>
      </c>
      <c r="Z255" s="417" t="str">
        <f t="shared" ca="1" si="20"/>
        <v/>
      </c>
      <c r="AA255" s="416" t="str">
        <f t="shared" ca="1" si="21"/>
        <v/>
      </c>
      <c r="AB255" s="418" t="str">
        <f t="shared" ca="1" si="22"/>
        <v/>
      </c>
      <c r="AC255" s="417" t="str">
        <f t="shared" ca="1" si="23"/>
        <v/>
      </c>
      <c r="AD255" s="220"/>
    </row>
    <row r="256" spans="1:30" customFormat="1" ht="14.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687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9"/>
        <v/>
      </c>
      <c r="Z256" s="417" t="str">
        <f t="shared" ca="1" si="20"/>
        <v/>
      </c>
      <c r="AA256" s="416" t="str">
        <f t="shared" ca="1" si="21"/>
        <v/>
      </c>
      <c r="AB256" s="418" t="str">
        <f t="shared" ca="1" si="22"/>
        <v/>
      </c>
      <c r="AC256" s="417" t="str">
        <f t="shared" ca="1" si="23"/>
        <v/>
      </c>
      <c r="AD256" s="220"/>
    </row>
    <row r="257" spans="1:30" customFormat="1" ht="14.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687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9"/>
        <v/>
      </c>
      <c r="Z257" s="417" t="str">
        <f t="shared" ca="1" si="20"/>
        <v/>
      </c>
      <c r="AA257" s="416" t="str">
        <f t="shared" ca="1" si="21"/>
        <v/>
      </c>
      <c r="AB257" s="418" t="str">
        <f t="shared" ca="1" si="22"/>
        <v/>
      </c>
      <c r="AC257" s="417" t="str">
        <f t="shared" ca="1" si="23"/>
        <v/>
      </c>
      <c r="AD257" s="220"/>
    </row>
    <row r="258" spans="1:30" customFormat="1" ht="14.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687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9"/>
        <v/>
      </c>
      <c r="Z258" s="417" t="str">
        <f t="shared" ca="1" si="20"/>
        <v/>
      </c>
      <c r="AA258" s="416" t="str">
        <f t="shared" ca="1" si="21"/>
        <v/>
      </c>
      <c r="AB258" s="418" t="str">
        <f t="shared" ca="1" si="22"/>
        <v/>
      </c>
      <c r="AC258" s="417" t="str">
        <f t="shared" ca="1" si="23"/>
        <v/>
      </c>
      <c r="AD258" s="220"/>
    </row>
    <row r="259" spans="1:30" customFormat="1" ht="14.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687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9"/>
        <v/>
      </c>
      <c r="Z259" s="417" t="str">
        <f t="shared" ca="1" si="20"/>
        <v/>
      </c>
      <c r="AA259" s="416" t="str">
        <f t="shared" ca="1" si="21"/>
        <v/>
      </c>
      <c r="AB259" s="418" t="str">
        <f t="shared" ca="1" si="22"/>
        <v/>
      </c>
      <c r="AC259" s="417" t="str">
        <f t="shared" ca="1" si="23"/>
        <v/>
      </c>
      <c r="AD259" s="220"/>
    </row>
    <row r="260" spans="1:30" customFormat="1" ht="14.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687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9"/>
        <v/>
      </c>
      <c r="Z260" s="417" t="str">
        <f t="shared" ca="1" si="20"/>
        <v/>
      </c>
      <c r="AA260" s="416" t="str">
        <f t="shared" ca="1" si="21"/>
        <v/>
      </c>
      <c r="AB260" s="418" t="str">
        <f t="shared" ca="1" si="22"/>
        <v/>
      </c>
      <c r="AC260" s="417" t="str">
        <f t="shared" ca="1" si="23"/>
        <v/>
      </c>
      <c r="AD260" s="220"/>
    </row>
    <row r="261" spans="1:30" customFormat="1" ht="14.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687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9"/>
        <v/>
      </c>
      <c r="Z261" s="417" t="str">
        <f t="shared" ca="1" si="20"/>
        <v/>
      </c>
      <c r="AA261" s="416" t="str">
        <f t="shared" ca="1" si="21"/>
        <v/>
      </c>
      <c r="AB261" s="418" t="str">
        <f t="shared" ca="1" si="22"/>
        <v/>
      </c>
      <c r="AC261" s="417" t="str">
        <f t="shared" ca="1" si="23"/>
        <v/>
      </c>
      <c r="AD261" s="220"/>
    </row>
    <row r="262" spans="1:30" customFormat="1" ht="14.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687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9"/>
        <v/>
      </c>
      <c r="Z262" s="417" t="str">
        <f t="shared" ca="1" si="20"/>
        <v/>
      </c>
      <c r="AA262" s="416" t="str">
        <f t="shared" ca="1" si="21"/>
        <v/>
      </c>
      <c r="AB262" s="418" t="str">
        <f t="shared" ca="1" si="22"/>
        <v/>
      </c>
      <c r="AC262" s="417" t="str">
        <f t="shared" ca="1" si="23"/>
        <v/>
      </c>
      <c r="AD262" s="220"/>
    </row>
    <row r="263" spans="1:30" customFormat="1" ht="14.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687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9"/>
        <v/>
      </c>
      <c r="Z263" s="417" t="str">
        <f t="shared" ca="1" si="20"/>
        <v/>
      </c>
      <c r="AA263" s="416" t="str">
        <f t="shared" ca="1" si="21"/>
        <v/>
      </c>
      <c r="AB263" s="418" t="str">
        <f t="shared" ca="1" si="22"/>
        <v/>
      </c>
      <c r="AC263" s="417" t="str">
        <f t="shared" ca="1" si="23"/>
        <v/>
      </c>
      <c r="AD263" s="220"/>
    </row>
    <row r="264" spans="1:30" customFormat="1" ht="14.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687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9"/>
        <v/>
      </c>
      <c r="Z264" s="417" t="str">
        <f t="shared" ca="1" si="20"/>
        <v/>
      </c>
      <c r="AA264" s="416" t="str">
        <f t="shared" ca="1" si="21"/>
        <v/>
      </c>
      <c r="AB264" s="418" t="str">
        <f t="shared" ca="1" si="22"/>
        <v/>
      </c>
      <c r="AC264" s="417" t="str">
        <f t="shared" ca="1" si="23"/>
        <v/>
      </c>
      <c r="AD264" s="220"/>
    </row>
    <row r="265" spans="1:30" customFormat="1" ht="14.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687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9"/>
        <v/>
      </c>
      <c r="Z265" s="417" t="str">
        <f t="shared" ca="1" si="20"/>
        <v/>
      </c>
      <c r="AA265" s="416" t="str">
        <f t="shared" ca="1" si="21"/>
        <v/>
      </c>
      <c r="AB265" s="418" t="str">
        <f t="shared" ca="1" si="22"/>
        <v/>
      </c>
      <c r="AC265" s="417" t="str">
        <f t="shared" ca="1" si="23"/>
        <v/>
      </c>
      <c r="AD265" s="220"/>
    </row>
    <row r="266" spans="1:30" customFormat="1" ht="14.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687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9"/>
        <v/>
      </c>
      <c r="Z266" s="417" t="str">
        <f t="shared" ca="1" si="20"/>
        <v/>
      </c>
      <c r="AA266" s="416" t="str">
        <f t="shared" ca="1" si="21"/>
        <v/>
      </c>
      <c r="AB266" s="418" t="str">
        <f t="shared" ca="1" si="22"/>
        <v/>
      </c>
      <c r="AC266" s="417" t="str">
        <f t="shared" ca="1" si="23"/>
        <v/>
      </c>
      <c r="AD266" s="220"/>
    </row>
    <row r="267" spans="1:30" customFormat="1" ht="14.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687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9"/>
        <v/>
      </c>
      <c r="Z267" s="417" t="str">
        <f t="shared" ca="1" si="20"/>
        <v/>
      </c>
      <c r="AA267" s="416" t="str">
        <f t="shared" ca="1" si="21"/>
        <v/>
      </c>
      <c r="AB267" s="418" t="str">
        <f t="shared" ca="1" si="22"/>
        <v/>
      </c>
      <c r="AC267" s="417" t="str">
        <f t="shared" ca="1" si="23"/>
        <v/>
      </c>
      <c r="AD267" s="220"/>
    </row>
    <row r="268" spans="1:30" customFormat="1" ht="14.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687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9"/>
        <v/>
      </c>
      <c r="Z268" s="417" t="str">
        <f t="shared" ca="1" si="20"/>
        <v/>
      </c>
      <c r="AA268" s="416" t="str">
        <f t="shared" ca="1" si="21"/>
        <v/>
      </c>
      <c r="AB268" s="418" t="str">
        <f t="shared" ca="1" si="22"/>
        <v/>
      </c>
      <c r="AC268" s="417" t="str">
        <f t="shared" ca="1" si="23"/>
        <v/>
      </c>
      <c r="AD268" s="220"/>
    </row>
    <row r="269" spans="1:30" customFormat="1" ht="14.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687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9"/>
        <v/>
      </c>
      <c r="Z269" s="417" t="str">
        <f t="shared" ca="1" si="20"/>
        <v/>
      </c>
      <c r="AA269" s="416" t="str">
        <f t="shared" ca="1" si="21"/>
        <v/>
      </c>
      <c r="AB269" s="418" t="str">
        <f t="shared" ca="1" si="22"/>
        <v/>
      </c>
      <c r="AC269" s="417" t="str">
        <f t="shared" ca="1" si="23"/>
        <v/>
      </c>
      <c r="AD269" s="220"/>
    </row>
    <row r="270" spans="1:30" customFormat="1" ht="14.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687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9"/>
        <v/>
      </c>
      <c r="Z270" s="417" t="str">
        <f t="shared" ca="1" si="20"/>
        <v/>
      </c>
      <c r="AA270" s="416" t="str">
        <f t="shared" ca="1" si="21"/>
        <v/>
      </c>
      <c r="AB270" s="418" t="str">
        <f t="shared" ca="1" si="22"/>
        <v/>
      </c>
      <c r="AC270" s="417" t="str">
        <f t="shared" ca="1" si="23"/>
        <v/>
      </c>
      <c r="AD270" s="220"/>
    </row>
    <row r="271" spans="1:30" customFormat="1" ht="14.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687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9"/>
        <v/>
      </c>
      <c r="Z271" s="417" t="str">
        <f t="shared" ca="1" si="20"/>
        <v/>
      </c>
      <c r="AA271" s="416" t="str">
        <f t="shared" ca="1" si="21"/>
        <v/>
      </c>
      <c r="AB271" s="418" t="str">
        <f t="shared" ca="1" si="22"/>
        <v/>
      </c>
      <c r="AC271" s="417" t="str">
        <f t="shared" ca="1" si="23"/>
        <v/>
      </c>
      <c r="AD271" s="220"/>
    </row>
    <row r="272" spans="1:30" customFormat="1" ht="14.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687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4">IF($U$12,IF(T272="","",$U$13*D296/$C$18),"")</f>
        <v/>
      </c>
      <c r="Z272" s="417" t="str">
        <f t="shared" ref="Z272:Z314" ca="1" si="25">IF($U$12,IF(Y272="","",Y272*($Z$10-W272)*X272),"")</f>
        <v/>
      </c>
      <c r="AA272" s="416" t="str">
        <f t="shared" ref="AA272:AA313" ca="1" si="26">IF($U$12,IF(OR(T272="",L272=""),"",L272/($C$20-$C$19)),"")</f>
        <v/>
      </c>
      <c r="AB272" s="418" t="str">
        <f t="shared" ref="AB272:AB313" ca="1" si="27">IF($U$12,IF(W272="","",W272*$AC$10),"")</f>
        <v/>
      </c>
      <c r="AC272" s="417" t="str">
        <f t="shared" ref="AC272:AC313" ca="1" si="28">IF($U$12,IF(AA272="","",AA272*(AB272-W272)*X272),"")</f>
        <v/>
      </c>
      <c r="AD272" s="220"/>
    </row>
    <row r="273" spans="1:30" customFormat="1" ht="14.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687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4"/>
        <v/>
      </c>
      <c r="Z273" s="417" t="str">
        <f t="shared" ca="1" si="25"/>
        <v/>
      </c>
      <c r="AA273" s="416" t="str">
        <f t="shared" ca="1" si="26"/>
        <v/>
      </c>
      <c r="AB273" s="418" t="str">
        <f t="shared" ca="1" si="27"/>
        <v/>
      </c>
      <c r="AC273" s="417" t="str">
        <f t="shared" ca="1" si="28"/>
        <v/>
      </c>
      <c r="AD273" s="220"/>
    </row>
    <row r="274" spans="1:30" customFormat="1" ht="14.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687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4"/>
        <v/>
      </c>
      <c r="Z274" s="417" t="str">
        <f t="shared" ca="1" si="25"/>
        <v/>
      </c>
      <c r="AA274" s="416" t="str">
        <f t="shared" ca="1" si="26"/>
        <v/>
      </c>
      <c r="AB274" s="418" t="str">
        <f t="shared" ca="1" si="27"/>
        <v/>
      </c>
      <c r="AC274" s="417" t="str">
        <f t="shared" ca="1" si="28"/>
        <v/>
      </c>
      <c r="AD274" s="220"/>
    </row>
    <row r="275" spans="1:30" customFormat="1" ht="14.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687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4"/>
        <v/>
      </c>
      <c r="Z275" s="417" t="str">
        <f t="shared" ca="1" si="25"/>
        <v/>
      </c>
      <c r="AA275" s="416" t="str">
        <f t="shared" ca="1" si="26"/>
        <v/>
      </c>
      <c r="AB275" s="418" t="str">
        <f t="shared" ca="1" si="27"/>
        <v/>
      </c>
      <c r="AC275" s="417" t="str">
        <f t="shared" ca="1" si="28"/>
        <v/>
      </c>
      <c r="AD275" s="220"/>
    </row>
    <row r="276" spans="1:30" customFormat="1" ht="14.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687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4"/>
        <v/>
      </c>
      <c r="Z276" s="417" t="str">
        <f t="shared" ca="1" si="25"/>
        <v/>
      </c>
      <c r="AA276" s="416" t="str">
        <f t="shared" ca="1" si="26"/>
        <v/>
      </c>
      <c r="AB276" s="418" t="str">
        <f t="shared" ca="1" si="27"/>
        <v/>
      </c>
      <c r="AC276" s="417" t="str">
        <f t="shared" ca="1" si="28"/>
        <v/>
      </c>
      <c r="AD276" s="220"/>
    </row>
    <row r="277" spans="1:30" customFormat="1" ht="14.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687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4"/>
        <v/>
      </c>
      <c r="Z277" s="417" t="str">
        <f t="shared" ca="1" si="25"/>
        <v/>
      </c>
      <c r="AA277" s="416" t="str">
        <f t="shared" ca="1" si="26"/>
        <v/>
      </c>
      <c r="AB277" s="418" t="str">
        <f t="shared" ca="1" si="27"/>
        <v/>
      </c>
      <c r="AC277" s="417" t="str">
        <f t="shared" ca="1" si="28"/>
        <v/>
      </c>
      <c r="AD277" s="220"/>
    </row>
    <row r="278" spans="1:30" customFormat="1" ht="14.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687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4"/>
        <v/>
      </c>
      <c r="Z278" s="417" t="str">
        <f t="shared" ca="1" si="25"/>
        <v/>
      </c>
      <c r="AA278" s="416" t="str">
        <f t="shared" ca="1" si="26"/>
        <v/>
      </c>
      <c r="AB278" s="418" t="str">
        <f t="shared" ca="1" si="27"/>
        <v/>
      </c>
      <c r="AC278" s="417" t="str">
        <f t="shared" ca="1" si="28"/>
        <v/>
      </c>
      <c r="AD278" s="220"/>
    </row>
    <row r="279" spans="1:30" customFormat="1" ht="14.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687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4"/>
        <v/>
      </c>
      <c r="Z279" s="417" t="str">
        <f t="shared" ca="1" si="25"/>
        <v/>
      </c>
      <c r="AA279" s="416" t="str">
        <f t="shared" ca="1" si="26"/>
        <v/>
      </c>
      <c r="AB279" s="418" t="str">
        <f t="shared" ca="1" si="27"/>
        <v/>
      </c>
      <c r="AC279" s="417" t="str">
        <f t="shared" ca="1" si="28"/>
        <v/>
      </c>
      <c r="AD279" s="220"/>
    </row>
    <row r="280" spans="1:30" customFormat="1" ht="14.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687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4"/>
        <v/>
      </c>
      <c r="Z280" s="417" t="str">
        <f t="shared" ca="1" si="25"/>
        <v/>
      </c>
      <c r="AA280" s="416" t="str">
        <f t="shared" ca="1" si="26"/>
        <v/>
      </c>
      <c r="AB280" s="418" t="str">
        <f t="shared" ca="1" si="27"/>
        <v/>
      </c>
      <c r="AC280" s="417" t="str">
        <f t="shared" ca="1" si="28"/>
        <v/>
      </c>
      <c r="AD280" s="220"/>
    </row>
    <row r="281" spans="1:30" customFormat="1" ht="14.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687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4"/>
        <v/>
      </c>
      <c r="Z281" s="417" t="str">
        <f t="shared" ca="1" si="25"/>
        <v/>
      </c>
      <c r="AA281" s="416" t="str">
        <f t="shared" ca="1" si="26"/>
        <v/>
      </c>
      <c r="AB281" s="418" t="str">
        <f t="shared" ca="1" si="27"/>
        <v/>
      </c>
      <c r="AC281" s="417" t="str">
        <f t="shared" ca="1" si="28"/>
        <v/>
      </c>
      <c r="AD281" s="220"/>
    </row>
    <row r="282" spans="1:30" customFormat="1" ht="14.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687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4"/>
        <v/>
      </c>
      <c r="Z282" s="417" t="str">
        <f t="shared" ca="1" si="25"/>
        <v/>
      </c>
      <c r="AA282" s="416" t="str">
        <f t="shared" ca="1" si="26"/>
        <v/>
      </c>
      <c r="AB282" s="418" t="str">
        <f t="shared" ca="1" si="27"/>
        <v/>
      </c>
      <c r="AC282" s="417" t="str">
        <f t="shared" ca="1" si="28"/>
        <v/>
      </c>
      <c r="AD282" s="220"/>
    </row>
    <row r="283" spans="1:30" customFormat="1" ht="14.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687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4"/>
        <v/>
      </c>
      <c r="Z283" s="417" t="str">
        <f t="shared" ca="1" si="25"/>
        <v/>
      </c>
      <c r="AA283" s="416" t="str">
        <f t="shared" ca="1" si="26"/>
        <v/>
      </c>
      <c r="AB283" s="418" t="str">
        <f t="shared" ca="1" si="27"/>
        <v/>
      </c>
      <c r="AC283" s="417" t="str">
        <f t="shared" ca="1" si="28"/>
        <v/>
      </c>
      <c r="AD283" s="220"/>
    </row>
    <row r="284" spans="1:30" customFormat="1" ht="14.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687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4"/>
        <v/>
      </c>
      <c r="Z284" s="417" t="str">
        <f t="shared" ca="1" si="25"/>
        <v/>
      </c>
      <c r="AA284" s="416" t="str">
        <f t="shared" ca="1" si="26"/>
        <v/>
      </c>
      <c r="AB284" s="418" t="str">
        <f t="shared" ca="1" si="27"/>
        <v/>
      </c>
      <c r="AC284" s="417" t="str">
        <f t="shared" ca="1" si="28"/>
        <v/>
      </c>
      <c r="AD284" s="220"/>
    </row>
    <row r="285" spans="1:30" customFormat="1" ht="14.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687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4"/>
        <v/>
      </c>
      <c r="Z285" s="417" t="str">
        <f t="shared" ca="1" si="25"/>
        <v/>
      </c>
      <c r="AA285" s="416" t="str">
        <f t="shared" ca="1" si="26"/>
        <v/>
      </c>
      <c r="AB285" s="418" t="str">
        <f t="shared" ca="1" si="27"/>
        <v/>
      </c>
      <c r="AC285" s="417" t="str">
        <f t="shared" ca="1" si="28"/>
        <v/>
      </c>
      <c r="AD285" s="220"/>
    </row>
    <row r="286" spans="1:30" customFormat="1" ht="14.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687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4"/>
        <v/>
      </c>
      <c r="Z286" s="417" t="str">
        <f t="shared" ca="1" si="25"/>
        <v/>
      </c>
      <c r="AA286" s="416" t="str">
        <f t="shared" ca="1" si="26"/>
        <v/>
      </c>
      <c r="AB286" s="418" t="str">
        <f t="shared" ca="1" si="27"/>
        <v/>
      </c>
      <c r="AC286" s="417" t="str">
        <f t="shared" ca="1" si="28"/>
        <v/>
      </c>
      <c r="AD286" s="220"/>
    </row>
    <row r="287" spans="1:30" customFormat="1" ht="14.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687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4"/>
        <v/>
      </c>
      <c r="Z287" s="417" t="str">
        <f t="shared" ca="1" si="25"/>
        <v/>
      </c>
      <c r="AA287" s="416" t="str">
        <f t="shared" ca="1" si="26"/>
        <v/>
      </c>
      <c r="AB287" s="418" t="str">
        <f t="shared" ca="1" si="27"/>
        <v/>
      </c>
      <c r="AC287" s="417" t="str">
        <f t="shared" ca="1" si="28"/>
        <v/>
      </c>
      <c r="AD287" s="220"/>
    </row>
    <row r="288" spans="1:30" customFormat="1" ht="14.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687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4"/>
        <v/>
      </c>
      <c r="Z288" s="417" t="str">
        <f t="shared" ca="1" si="25"/>
        <v/>
      </c>
      <c r="AA288" s="416" t="str">
        <f t="shared" ca="1" si="26"/>
        <v/>
      </c>
      <c r="AB288" s="418" t="str">
        <f t="shared" ca="1" si="27"/>
        <v/>
      </c>
      <c r="AC288" s="417" t="str">
        <f t="shared" ca="1" si="28"/>
        <v/>
      </c>
      <c r="AD288" s="220"/>
    </row>
    <row r="289" spans="1:30" customFormat="1" ht="14.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687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4"/>
        <v/>
      </c>
      <c r="Z289" s="417" t="str">
        <f t="shared" ca="1" si="25"/>
        <v/>
      </c>
      <c r="AA289" s="416" t="str">
        <f t="shared" ca="1" si="26"/>
        <v/>
      </c>
      <c r="AB289" s="418" t="str">
        <f t="shared" ca="1" si="27"/>
        <v/>
      </c>
      <c r="AC289" s="417" t="str">
        <f t="shared" ca="1" si="28"/>
        <v/>
      </c>
      <c r="AD289" s="220"/>
    </row>
    <row r="290" spans="1:30" customFormat="1" ht="14.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687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4"/>
        <v/>
      </c>
      <c r="Z290" s="417" t="str">
        <f t="shared" ca="1" si="25"/>
        <v/>
      </c>
      <c r="AA290" s="416" t="str">
        <f t="shared" ca="1" si="26"/>
        <v/>
      </c>
      <c r="AB290" s="418" t="str">
        <f t="shared" ca="1" si="27"/>
        <v/>
      </c>
      <c r="AC290" s="417" t="str">
        <f t="shared" ca="1" si="28"/>
        <v/>
      </c>
      <c r="AD290" s="220"/>
    </row>
    <row r="291" spans="1:30" customFormat="1" ht="14.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687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4"/>
        <v/>
      </c>
      <c r="Z291" s="417" t="str">
        <f t="shared" ca="1" si="25"/>
        <v/>
      </c>
      <c r="AA291" s="416" t="str">
        <f t="shared" ca="1" si="26"/>
        <v/>
      </c>
      <c r="AB291" s="418" t="str">
        <f t="shared" ca="1" si="27"/>
        <v/>
      </c>
      <c r="AC291" s="417" t="str">
        <f t="shared" ca="1" si="28"/>
        <v/>
      </c>
      <c r="AD291" s="220"/>
    </row>
    <row r="292" spans="1:30" customFormat="1" ht="14.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687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4"/>
        <v/>
      </c>
      <c r="Z292" s="417" t="str">
        <f t="shared" ca="1" si="25"/>
        <v/>
      </c>
      <c r="AA292" s="416" t="str">
        <f t="shared" ca="1" si="26"/>
        <v/>
      </c>
      <c r="AB292" s="418" t="str">
        <f t="shared" ca="1" si="27"/>
        <v/>
      </c>
      <c r="AC292" s="417" t="str">
        <f t="shared" ca="1" si="28"/>
        <v/>
      </c>
      <c r="AD292" s="220"/>
    </row>
    <row r="293" spans="1:30" customFormat="1" ht="14.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687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4"/>
        <v/>
      </c>
      <c r="Z293" s="417" t="str">
        <f t="shared" ca="1" si="25"/>
        <v/>
      </c>
      <c r="AA293" s="416" t="str">
        <f t="shared" ca="1" si="26"/>
        <v/>
      </c>
      <c r="AB293" s="418" t="str">
        <f t="shared" ca="1" si="27"/>
        <v/>
      </c>
      <c r="AC293" s="417" t="str">
        <f t="shared" ca="1" si="28"/>
        <v/>
      </c>
      <c r="AD293" s="220"/>
    </row>
    <row r="294" spans="1:30" customFormat="1" ht="14.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687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4"/>
        <v/>
      </c>
      <c r="Z294" s="417" t="str">
        <f t="shared" ca="1" si="25"/>
        <v/>
      </c>
      <c r="AA294" s="416" t="str">
        <f t="shared" ca="1" si="26"/>
        <v/>
      </c>
      <c r="AB294" s="418" t="str">
        <f t="shared" ca="1" si="27"/>
        <v/>
      </c>
      <c r="AC294" s="417" t="str">
        <f t="shared" ca="1" si="28"/>
        <v/>
      </c>
      <c r="AD294" s="220"/>
    </row>
    <row r="295" spans="1:30" customFormat="1" ht="14.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687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4"/>
        <v/>
      </c>
      <c r="Z295" s="417" t="str">
        <f t="shared" ca="1" si="25"/>
        <v/>
      </c>
      <c r="AA295" s="416" t="str">
        <f t="shared" ca="1" si="26"/>
        <v/>
      </c>
      <c r="AB295" s="418" t="str">
        <f t="shared" ca="1" si="27"/>
        <v/>
      </c>
      <c r="AC295" s="417" t="str">
        <f t="shared" ca="1" si="28"/>
        <v/>
      </c>
      <c r="AD295" s="220"/>
    </row>
    <row r="296" spans="1:30" customFormat="1" ht="14.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687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4"/>
        <v/>
      </c>
      <c r="Z296" s="417" t="str">
        <f t="shared" ca="1" si="25"/>
        <v/>
      </c>
      <c r="AA296" s="416" t="str">
        <f t="shared" ca="1" si="26"/>
        <v/>
      </c>
      <c r="AB296" s="418" t="str">
        <f t="shared" ca="1" si="27"/>
        <v/>
      </c>
      <c r="AC296" s="417" t="str">
        <f t="shared" ca="1" si="28"/>
        <v/>
      </c>
      <c r="AD296" s="220"/>
    </row>
    <row r="297" spans="1:30" customFormat="1" ht="14.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687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4"/>
        <v/>
      </c>
      <c r="Z297" s="417" t="str">
        <f t="shared" ca="1" si="25"/>
        <v/>
      </c>
      <c r="AA297" s="416" t="str">
        <f t="shared" ca="1" si="26"/>
        <v/>
      </c>
      <c r="AB297" s="418" t="str">
        <f t="shared" ca="1" si="27"/>
        <v/>
      </c>
      <c r="AC297" s="417" t="str">
        <f t="shared" ca="1" si="28"/>
        <v/>
      </c>
      <c r="AD297" s="220"/>
    </row>
    <row r="298" spans="1:30" customFormat="1" ht="14.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687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4"/>
        <v/>
      </c>
      <c r="Z298" s="417" t="str">
        <f t="shared" ca="1" si="25"/>
        <v/>
      </c>
      <c r="AA298" s="416" t="str">
        <f t="shared" ca="1" si="26"/>
        <v/>
      </c>
      <c r="AB298" s="418" t="str">
        <f t="shared" ca="1" si="27"/>
        <v/>
      </c>
      <c r="AC298" s="417" t="str">
        <f t="shared" ca="1" si="28"/>
        <v/>
      </c>
      <c r="AD298" s="220"/>
    </row>
    <row r="299" spans="1:30" customFormat="1" ht="14.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687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4"/>
        <v/>
      </c>
      <c r="Z299" s="417" t="str">
        <f t="shared" ca="1" si="25"/>
        <v/>
      </c>
      <c r="AA299" s="416" t="str">
        <f t="shared" ca="1" si="26"/>
        <v/>
      </c>
      <c r="AB299" s="418" t="str">
        <f t="shared" ca="1" si="27"/>
        <v/>
      </c>
      <c r="AC299" s="417" t="str">
        <f t="shared" ca="1" si="28"/>
        <v/>
      </c>
      <c r="AD299" s="220"/>
    </row>
    <row r="300" spans="1:30" customFormat="1" ht="14.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687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4"/>
        <v/>
      </c>
      <c r="Z300" s="417" t="str">
        <f t="shared" ca="1" si="25"/>
        <v/>
      </c>
      <c r="AA300" s="416" t="str">
        <f t="shared" ca="1" si="26"/>
        <v/>
      </c>
      <c r="AB300" s="418" t="str">
        <f t="shared" ca="1" si="27"/>
        <v/>
      </c>
      <c r="AC300" s="417" t="str">
        <f t="shared" ca="1" si="28"/>
        <v/>
      </c>
      <c r="AD300" s="220"/>
    </row>
    <row r="301" spans="1:30" customFormat="1" ht="14.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687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4"/>
        <v/>
      </c>
      <c r="Z301" s="417" t="str">
        <f t="shared" ca="1" si="25"/>
        <v/>
      </c>
      <c r="AA301" s="416" t="str">
        <f t="shared" ca="1" si="26"/>
        <v/>
      </c>
      <c r="AB301" s="418" t="str">
        <f t="shared" ca="1" si="27"/>
        <v/>
      </c>
      <c r="AC301" s="417" t="str">
        <f t="shared" ca="1" si="28"/>
        <v/>
      </c>
      <c r="AD301" s="220"/>
    </row>
    <row r="302" spans="1:30" customFormat="1" ht="14.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687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4"/>
        <v/>
      </c>
      <c r="Z302" s="417" t="str">
        <f t="shared" ca="1" si="25"/>
        <v/>
      </c>
      <c r="AA302" s="416" t="str">
        <f t="shared" ca="1" si="26"/>
        <v/>
      </c>
      <c r="AB302" s="418" t="str">
        <f t="shared" ca="1" si="27"/>
        <v/>
      </c>
      <c r="AC302" s="417" t="str">
        <f t="shared" ca="1" si="28"/>
        <v/>
      </c>
      <c r="AD302" s="220"/>
    </row>
    <row r="303" spans="1:30" customFormat="1" ht="14.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687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4"/>
        <v/>
      </c>
      <c r="Z303" s="417" t="str">
        <f t="shared" ca="1" si="25"/>
        <v/>
      </c>
      <c r="AA303" s="416" t="str">
        <f t="shared" ca="1" si="26"/>
        <v/>
      </c>
      <c r="AB303" s="418" t="str">
        <f t="shared" ca="1" si="27"/>
        <v/>
      </c>
      <c r="AC303" s="417" t="str">
        <f t="shared" ca="1" si="28"/>
        <v/>
      </c>
      <c r="AD303" s="220"/>
    </row>
    <row r="304" spans="1:30" customFormat="1" ht="14.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687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4"/>
        <v/>
      </c>
      <c r="Z304" s="417" t="str">
        <f t="shared" ca="1" si="25"/>
        <v/>
      </c>
      <c r="AA304" s="416" t="str">
        <f t="shared" ca="1" si="26"/>
        <v/>
      </c>
      <c r="AB304" s="418" t="str">
        <f t="shared" ca="1" si="27"/>
        <v/>
      </c>
      <c r="AC304" s="417" t="str">
        <f t="shared" ca="1" si="28"/>
        <v/>
      </c>
      <c r="AD304" s="220"/>
    </row>
    <row r="305" spans="1:30" customFormat="1" ht="14.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687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4"/>
        <v/>
      </c>
      <c r="Z305" s="417" t="str">
        <f t="shared" ca="1" si="25"/>
        <v/>
      </c>
      <c r="AA305" s="416" t="str">
        <f t="shared" ca="1" si="26"/>
        <v/>
      </c>
      <c r="AB305" s="418" t="str">
        <f t="shared" ca="1" si="27"/>
        <v/>
      </c>
      <c r="AC305" s="417" t="str">
        <f t="shared" ca="1" si="28"/>
        <v/>
      </c>
      <c r="AD305" s="220"/>
    </row>
    <row r="306" spans="1:30" customFormat="1" ht="14.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687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4"/>
        <v/>
      </c>
      <c r="Z306" s="417" t="str">
        <f t="shared" ca="1" si="25"/>
        <v/>
      </c>
      <c r="AA306" s="416" t="str">
        <f t="shared" ca="1" si="26"/>
        <v/>
      </c>
      <c r="AB306" s="418" t="str">
        <f t="shared" ca="1" si="27"/>
        <v/>
      </c>
      <c r="AC306" s="417" t="str">
        <f t="shared" ca="1" si="28"/>
        <v/>
      </c>
      <c r="AD306" s="220"/>
    </row>
    <row r="307" spans="1:30" customFormat="1" ht="14.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687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4"/>
        <v/>
      </c>
      <c r="Z307" s="417" t="str">
        <f t="shared" ca="1" si="25"/>
        <v/>
      </c>
      <c r="AA307" s="416" t="str">
        <f t="shared" ca="1" si="26"/>
        <v/>
      </c>
      <c r="AB307" s="418" t="str">
        <f t="shared" ca="1" si="27"/>
        <v/>
      </c>
      <c r="AC307" s="417" t="str">
        <f t="shared" ca="1" si="28"/>
        <v/>
      </c>
      <c r="AD307" s="220"/>
    </row>
    <row r="308" spans="1:30" customFormat="1" ht="14.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687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4"/>
        <v/>
      </c>
      <c r="Z308" s="417" t="str">
        <f t="shared" ca="1" si="25"/>
        <v/>
      </c>
      <c r="AA308" s="416" t="str">
        <f t="shared" ca="1" si="26"/>
        <v/>
      </c>
      <c r="AB308" s="418" t="str">
        <f t="shared" ca="1" si="27"/>
        <v/>
      </c>
      <c r="AC308" s="417" t="str">
        <f t="shared" ca="1" si="28"/>
        <v/>
      </c>
      <c r="AD308" s="220"/>
    </row>
    <row r="309" spans="1:30" customFormat="1" ht="14.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687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4"/>
        <v/>
      </c>
      <c r="Z309" s="417" t="str">
        <f t="shared" ca="1" si="25"/>
        <v/>
      </c>
      <c r="AA309" s="416" t="str">
        <f t="shared" ca="1" si="26"/>
        <v/>
      </c>
      <c r="AB309" s="418" t="str">
        <f t="shared" ca="1" si="27"/>
        <v/>
      </c>
      <c r="AC309" s="417" t="str">
        <f t="shared" ca="1" si="28"/>
        <v/>
      </c>
      <c r="AD309" s="220"/>
    </row>
    <row r="310" spans="1:30" customFormat="1" ht="14.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687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4"/>
        <v/>
      </c>
      <c r="Z310" s="417" t="str">
        <f t="shared" ca="1" si="25"/>
        <v/>
      </c>
      <c r="AA310" s="416" t="str">
        <f t="shared" ca="1" si="26"/>
        <v/>
      </c>
      <c r="AB310" s="418" t="str">
        <f t="shared" ca="1" si="27"/>
        <v/>
      </c>
      <c r="AC310" s="417" t="str">
        <f t="shared" ca="1" si="28"/>
        <v/>
      </c>
      <c r="AD310" s="220"/>
    </row>
    <row r="311" spans="1:30" customFormat="1" ht="14.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687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4"/>
        <v/>
      </c>
      <c r="Z311" s="417" t="str">
        <f t="shared" ca="1" si="25"/>
        <v/>
      </c>
      <c r="AA311" s="416" t="str">
        <f t="shared" ca="1" si="26"/>
        <v/>
      </c>
      <c r="AB311" s="418" t="str">
        <f t="shared" ca="1" si="27"/>
        <v/>
      </c>
      <c r="AC311" s="417" t="str">
        <f t="shared" ca="1" si="28"/>
        <v/>
      </c>
      <c r="AD311" s="220"/>
    </row>
    <row r="312" spans="1:30" customFormat="1" ht="14.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687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4"/>
        <v/>
      </c>
      <c r="Z312" s="417" t="str">
        <f t="shared" ca="1" si="25"/>
        <v/>
      </c>
      <c r="AA312" s="416" t="str">
        <f t="shared" ca="1" si="26"/>
        <v/>
      </c>
      <c r="AB312" s="418" t="str">
        <f t="shared" ca="1" si="27"/>
        <v/>
      </c>
      <c r="AC312" s="417" t="str">
        <f t="shared" ca="1" si="28"/>
        <v/>
      </c>
      <c r="AD312" s="220"/>
    </row>
    <row r="313" spans="1:30" customFormat="1" ht="14.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687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4"/>
        <v/>
      </c>
      <c r="Z313" s="417" t="str">
        <f t="shared" ca="1" si="25"/>
        <v/>
      </c>
      <c r="AA313" s="416" t="str">
        <f t="shared" ca="1" si="26"/>
        <v/>
      </c>
      <c r="AB313" s="418" t="str">
        <f t="shared" ca="1" si="27"/>
        <v/>
      </c>
      <c r="AC313" s="417" t="str">
        <f t="shared" ca="1" si="28"/>
        <v/>
      </c>
      <c r="AD313" s="220"/>
    </row>
    <row r="314" spans="1:30" customFormat="1" ht="1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5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416" t="str">
        <f t="shared" ca="1" si="24"/>
        <v/>
      </c>
      <c r="Z314" s="417" t="str">
        <f t="shared" ca="1" si="25"/>
        <v/>
      </c>
      <c r="AA314" s="420"/>
      <c r="AB314" s="420"/>
      <c r="AC314" s="406"/>
      <c r="AD314" s="220"/>
    </row>
    <row r="315" spans="1:30" customFormat="1" ht="14.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4.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4.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4.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4.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4.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4.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4.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4.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4.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4.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4.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4.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4.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4.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4.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4.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4.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4.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4.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4.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4.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4.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641350</xdr:colOff>
                    <xdr:row>5</xdr:row>
                    <xdr:rowOff>107950</xdr:rowOff>
                  </from>
                  <to>
                    <xdr:col>9</xdr:col>
                    <xdr:colOff>723900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317500</xdr:colOff>
                    <xdr:row>10</xdr:row>
                    <xdr:rowOff>114300</xdr:rowOff>
                  </from>
                  <to>
                    <xdr:col>5</xdr:col>
                    <xdr:colOff>438150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317500</xdr:colOff>
                    <xdr:row>12</xdr:row>
                    <xdr:rowOff>152400</xdr:rowOff>
                  </from>
                  <to>
                    <xdr:col>5</xdr:col>
                    <xdr:colOff>438150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7" name="Button 65">
              <controlPr defaultSize="0" print="0" autoFill="0" autoPict="0" macro="[0]!CurrentRegionCalculate">
                <anchor moveWithCells="1">
                  <from>
                    <xdr:col>21</xdr:col>
                    <xdr:colOff>381000</xdr:colOff>
                    <xdr:row>9</xdr:row>
                    <xdr:rowOff>88900</xdr:rowOff>
                  </from>
                  <to>
                    <xdr:col>22</xdr:col>
                    <xdr:colOff>127000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U808"/>
  <sheetViews>
    <sheetView tabSelected="1" topLeftCell="AL10" zoomScale="160" zoomScaleNormal="160" workbookViewId="0">
      <selection activeCell="AT14" sqref="AT14"/>
    </sheetView>
  </sheetViews>
  <sheetFormatPr defaultColWidth="9.1796875" defaultRowHeight="10"/>
  <cols>
    <col min="1" max="1" width="2.81640625" style="272" customWidth="1"/>
    <col min="2" max="2" width="17" style="272" bestFit="1" customWidth="1"/>
    <col min="3" max="3" width="10.453125" style="272" bestFit="1" customWidth="1"/>
    <col min="4" max="4" width="10.54296875" style="273" customWidth="1"/>
    <col min="5" max="5" width="9.81640625" style="273" customWidth="1"/>
    <col min="6" max="6" width="22.54296875" style="273" bestFit="1" customWidth="1"/>
    <col min="7" max="12" width="12.453125" style="273" customWidth="1"/>
    <col min="13" max="13" width="36.26953125" style="273" bestFit="1" customWidth="1"/>
    <col min="14" max="14" width="12.453125" style="273" customWidth="1"/>
    <col min="15" max="15" width="9.81640625" style="273" customWidth="1"/>
    <col min="16" max="16" width="9.81640625" style="79" bestFit="1" customWidth="1"/>
    <col min="17" max="17" width="9.1796875" style="79"/>
    <col min="18" max="18" width="12.1796875" style="79" bestFit="1" customWidth="1"/>
    <col min="19" max="19" width="12.26953125" style="79" bestFit="1" customWidth="1"/>
    <col min="20" max="21" width="10.26953125" style="79" bestFit="1" customWidth="1"/>
    <col min="22" max="22" width="12.1796875" style="79" bestFit="1" customWidth="1"/>
    <col min="23" max="23" width="12.26953125" style="79" bestFit="1" customWidth="1"/>
    <col min="24" max="32" width="9" style="79" customWidth="1"/>
    <col min="33" max="33" width="16.7265625" style="272" customWidth="1"/>
    <col min="34" max="51" width="7.7265625" style="272" customWidth="1"/>
    <col min="52" max="54" width="9.1796875" style="272"/>
    <col min="55" max="55" width="7.1796875" style="272" bestFit="1" customWidth="1"/>
    <col min="56" max="58" width="9.1796875" style="272"/>
    <col min="59" max="59" width="9.7265625" style="272" bestFit="1" customWidth="1"/>
    <col min="60" max="61" width="9.1796875" style="272"/>
    <col min="62" max="62" width="9.7265625" style="272" bestFit="1" customWidth="1"/>
    <col min="63" max="63" width="9.1796875" style="272"/>
    <col min="64" max="64" width="6.54296875" style="272" bestFit="1" customWidth="1"/>
    <col min="65" max="16384" width="9.1796875" style="272"/>
  </cols>
  <sheetData>
    <row r="1" spans="1:229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  <c r="HT1" s="477"/>
      <c r="HU1" s="477"/>
    </row>
    <row r="2" spans="1:229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  <c r="HT2" s="477"/>
      <c r="HU2" s="477"/>
    </row>
    <row r="3" spans="1:229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77"/>
      <c r="AB3" s="477"/>
      <c r="AC3" s="480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  <c r="HT3" s="477"/>
      <c r="HU3" s="477"/>
    </row>
    <row r="4" spans="1:229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  <c r="AF4" s="272"/>
    </row>
    <row r="5" spans="1:229">
      <c r="D5" s="272"/>
      <c r="E5" s="272"/>
      <c r="F5" s="272"/>
      <c r="G5" s="272"/>
      <c r="H5" s="605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  <c r="AF5" s="272"/>
      <c r="AW5" s="580"/>
      <c r="AX5" s="580"/>
      <c r="AY5" s="580"/>
      <c r="AZ5" s="580"/>
      <c r="BA5" s="580"/>
    </row>
    <row r="6" spans="1:229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  <c r="AW6" s="580"/>
      <c r="AX6" s="580"/>
      <c r="AY6" s="580"/>
      <c r="AZ6" s="580"/>
      <c r="BA6" s="580"/>
    </row>
    <row r="7" spans="1:229" ht="10.5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578"/>
      <c r="AJ7" s="79"/>
      <c r="AR7" s="580"/>
      <c r="AW7" s="580"/>
      <c r="AX7" s="580"/>
      <c r="AZ7" s="580"/>
      <c r="BA7" s="580"/>
    </row>
    <row r="8" spans="1:229" ht="11" thickBot="1">
      <c r="B8" s="468" t="s">
        <v>626</v>
      </c>
      <c r="C8" s="476" t="s">
        <v>627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468" t="s">
        <v>709</v>
      </c>
      <c r="T8" s="468" t="s">
        <v>665</v>
      </c>
      <c r="U8" s="476" t="s">
        <v>654</v>
      </c>
      <c r="V8" s="476" t="s">
        <v>666</v>
      </c>
      <c r="W8" s="476" t="s">
        <v>667</v>
      </c>
      <c r="X8" s="468" t="s">
        <v>607</v>
      </c>
      <c r="Y8" s="144" t="b">
        <v>1</v>
      </c>
      <c r="Z8" s="272"/>
      <c r="AA8" s="272"/>
      <c r="AB8" s="272"/>
      <c r="AC8" s="272"/>
      <c r="AD8" s="272"/>
      <c r="AE8" s="272"/>
      <c r="AF8" s="272"/>
      <c r="AN8" s="580"/>
      <c r="AO8" s="580"/>
      <c r="AP8" s="580"/>
      <c r="AQ8" s="580"/>
      <c r="AR8" s="580"/>
    </row>
    <row r="9" spans="1:229" ht="10.5" thickBot="1">
      <c r="B9" s="468" t="s">
        <v>628</v>
      </c>
      <c r="C9" s="524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637" cm="1">
        <f t="array" aca="1" ref="S9" ca="1">rw(T9:T103)</f>
        <v>0.06</v>
      </c>
      <c r="T9" s="575" cm="1">
        <f t="array" aca="1" ref="T9:U133" ca="1">riskWeight(E25:E399)</f>
        <v>0.03</v>
      </c>
      <c r="U9" s="572">
        <f ca="1"/>
        <v>1</v>
      </c>
      <c r="V9" s="576">
        <f t="shared" ref="V9:V40" ca="1" si="0">AA14*T9</f>
        <v>0</v>
      </c>
      <c r="W9" s="576">
        <f t="shared" ref="W9:W40" ca="1" si="1">AE14*T9</f>
        <v>0</v>
      </c>
      <c r="X9" s="465" t="s">
        <v>601</v>
      </c>
      <c r="Y9" s="481"/>
      <c r="Z9" s="272"/>
      <c r="AA9" s="272"/>
      <c r="AB9" s="465" t="s">
        <v>602</v>
      </c>
      <c r="AC9" s="483"/>
      <c r="AD9" s="272"/>
      <c r="AE9" s="272"/>
      <c r="AF9" s="272"/>
      <c r="AN9" s="580"/>
      <c r="AO9" s="580"/>
      <c r="AP9" s="580"/>
      <c r="AQ9" s="580"/>
      <c r="AR9" s="580"/>
      <c r="AT9" s="476" t="s">
        <v>705</v>
      </c>
      <c r="AU9" s="476"/>
      <c r="AV9" s="634" t="s">
        <v>706</v>
      </c>
      <c r="AW9" s="476" t="s">
        <v>705</v>
      </c>
      <c r="AX9" s="476"/>
      <c r="AY9" s="634" t="s">
        <v>707</v>
      </c>
    </row>
    <row r="10" spans="1:229" ht="10.5" thickBot="1">
      <c r="B10" s="468" t="s">
        <v>629</v>
      </c>
      <c r="C10" s="468" t="s">
        <v>82</v>
      </c>
      <c r="D10" s="468" t="s">
        <v>432</v>
      </c>
      <c r="E10" s="468" t="s">
        <v>630</v>
      </c>
      <c r="F10" s="468" t="s">
        <v>631</v>
      </c>
      <c r="G10" s="468" t="s">
        <v>632</v>
      </c>
      <c r="H10" s="468" t="s">
        <v>633</v>
      </c>
      <c r="I10" s="468" t="s">
        <v>634</v>
      </c>
      <c r="J10" s="468" t="s">
        <v>635</v>
      </c>
      <c r="K10" s="476" t="s">
        <v>485</v>
      </c>
      <c r="L10" s="272" t="s">
        <v>693</v>
      </c>
      <c r="M10" s="468" t="s">
        <v>676</v>
      </c>
      <c r="N10" s="468" t="s">
        <v>690</v>
      </c>
      <c r="P10" s="273"/>
      <c r="R10" s="273"/>
      <c r="T10" s="576">
        <f ca="1"/>
        <v>0.03</v>
      </c>
      <c r="U10" s="573">
        <f ca="1"/>
        <v>2</v>
      </c>
      <c r="V10" s="576">
        <f t="shared" ca="1" si="0"/>
        <v>0</v>
      </c>
      <c r="W10" s="576">
        <f t="shared" ca="1" si="1"/>
        <v>0</v>
      </c>
      <c r="X10" s="466" t="s">
        <v>604</v>
      </c>
      <c r="Y10" s="493">
        <f ca="1">MAX(MAX(Y11,0)+0.5*MIN(Y11,0),0)</f>
        <v>5.3144791738295102E-3</v>
      </c>
      <c r="Z10" s="272"/>
      <c r="AA10" s="272"/>
      <c r="AB10" s="466" t="s">
        <v>604</v>
      </c>
      <c r="AC10" s="493">
        <f ca="1">MAX(MAX(AC11,0)+0.5*MIN(AC11,0),0)</f>
        <v>5.4090018661103599E-5</v>
      </c>
      <c r="AD10" s="272"/>
      <c r="AE10" s="272"/>
      <c r="AF10" s="272"/>
      <c r="AG10" s="79"/>
      <c r="AH10" s="476" t="s">
        <v>697</v>
      </c>
      <c r="AI10" s="625"/>
      <c r="AJ10" s="625"/>
      <c r="AK10" s="625"/>
      <c r="AL10" s="625"/>
      <c r="AM10" s="624"/>
      <c r="AN10" s="623"/>
      <c r="AO10" s="623"/>
      <c r="AP10" s="623"/>
      <c r="AQ10" s="623"/>
      <c r="AR10" s="623"/>
      <c r="AS10" s="194"/>
      <c r="AT10" s="476" t="s">
        <v>704</v>
      </c>
      <c r="AU10" s="476"/>
      <c r="AV10" s="635" t="s">
        <v>708</v>
      </c>
      <c r="AW10" s="476" t="s">
        <v>704</v>
      </c>
      <c r="AX10" s="476"/>
      <c r="AY10" s="635" t="s">
        <v>708</v>
      </c>
    </row>
    <row r="11" spans="1:229" ht="10.5" thickBot="1">
      <c r="B11" s="529" t="s">
        <v>636</v>
      </c>
      <c r="C11" s="530" t="s">
        <v>66</v>
      </c>
      <c r="D11" s="530" t="s">
        <v>55</v>
      </c>
      <c r="E11" s="530">
        <v>0.12</v>
      </c>
      <c r="F11" s="530">
        <v>1</v>
      </c>
      <c r="G11" s="530" t="s">
        <v>434</v>
      </c>
      <c r="H11" s="530">
        <v>100</v>
      </c>
      <c r="I11" s="530">
        <v>9.4748000000000001</v>
      </c>
      <c r="J11" s="544">
        <v>46376</v>
      </c>
      <c r="K11" s="606"/>
      <c r="L11" s="272"/>
      <c r="M11" s="587" t="s">
        <v>677</v>
      </c>
      <c r="N11" s="589">
        <v>1</v>
      </c>
      <c r="P11" s="273"/>
      <c r="Q11" s="273"/>
      <c r="R11" s="273"/>
      <c r="S11" s="273"/>
      <c r="T11" s="576">
        <f ca="1"/>
        <v>0.06</v>
      </c>
      <c r="U11" s="573">
        <f ca="1"/>
        <v>3</v>
      </c>
      <c r="V11" s="576">
        <f t="shared" ca="1" si="0"/>
        <v>0</v>
      </c>
      <c r="W11" s="576">
        <f t="shared" ca="1" si="1"/>
        <v>0</v>
      </c>
      <c r="X11" s="466" t="s">
        <v>603</v>
      </c>
      <c r="Y11" s="493">
        <f ca="1">(S9*SUM(Z14:Z313)-Y12*SUM(V9:V133))/('CDO Bespoke'!C20-'CDO Bespoke'!C19)</f>
        <v>5.3144791738295102E-3</v>
      </c>
      <c r="Z11" s="272"/>
      <c r="AA11" s="272"/>
      <c r="AB11" s="466" t="s">
        <v>603</v>
      </c>
      <c r="AC11" s="493">
        <f ca="1">(S9*SUM(AD14:AD313)-AC12*SUM(W9:W133))/('CDO Bespoke'!C20-'CDO Bespoke'!C19)</f>
        <v>5.4090018661103599E-5</v>
      </c>
      <c r="AD11" s="272"/>
      <c r="AE11" s="272"/>
      <c r="AF11" s="272"/>
      <c r="AH11" s="503" cm="1">
        <f t="array" aca="1" ref="AH11:AM11" ca="1">GetDeltaCSRCDOProxy(A29:A313,D29:D313,I29:I313,'CDO Bespoke'!B10,'CDO Bespoke'!B23:B24,'CDO Bespoke'!B25:B26,'CDO Bespoke'!F43:F137,'CDO Bespoke'!B12,'CDO Bespoke'!B21,'CDO Bespoke'!B43:B137,'CDO Bespoke'!C43:C137,'CDO Bespoke'!B16,'CDO Bespoke'!B17,'CDO Bespoke'!B18,'CDO Bespoke'!B19,'CDO Bespoke'!B13,'CDO Bespoke'!B14,'CDO Bespoke'!D43:D137,'CDO Bespoke'!E43:E137,'CDO Bespoke'!B28,'CDO Bespoke'!B29,'CDO Bespoke'!K10,'CDO Bespoke'!B33:B35,'CDO Bespoke'!B40,'CDO Bespoke'!B37,'CDO Bespoke'!B39,'CDO Bespoke'!B38)</f>
        <v>-1.3180653499755834E-2</v>
      </c>
      <c r="AI11" s="504">
        <f ca="1"/>
        <v>-2.4480857698794267E-2</v>
      </c>
      <c r="AJ11" s="504">
        <f ca="1"/>
        <v>-5.4004857998890543E-2</v>
      </c>
      <c r="AK11" s="504">
        <f ca="1"/>
        <v>-0.13567459050012332</v>
      </c>
      <c r="AL11" s="505">
        <f ca="1"/>
        <v>0</v>
      </c>
      <c r="AM11" s="621">
        <f ca="1"/>
        <v>1.0164712145070576E-2</v>
      </c>
      <c r="AN11" s="194"/>
      <c r="AO11" s="194"/>
      <c r="AP11" s="194"/>
      <c r="AQ11" s="194"/>
      <c r="AR11" s="194"/>
      <c r="AS11" s="194"/>
      <c r="AT11" s="476" t="s">
        <v>703</v>
      </c>
      <c r="AU11" s="476"/>
      <c r="AV11" s="633">
        <v>1E-4</v>
      </c>
      <c r="AW11" s="476" t="s">
        <v>703</v>
      </c>
      <c r="AX11" s="476"/>
      <c r="AY11" s="633">
        <v>1E-4</v>
      </c>
    </row>
    <row r="12" spans="1:229" ht="10.5" thickBot="1">
      <c r="B12" s="517" t="s">
        <v>636</v>
      </c>
      <c r="C12" s="518" t="s">
        <v>66</v>
      </c>
      <c r="D12" s="518" t="s">
        <v>57</v>
      </c>
      <c r="E12" s="518">
        <v>0.12</v>
      </c>
      <c r="F12" s="518">
        <v>1</v>
      </c>
      <c r="G12" s="518" t="s">
        <v>434</v>
      </c>
      <c r="H12" s="518">
        <v>100</v>
      </c>
      <c r="I12" s="518">
        <v>22.439800000000002</v>
      </c>
      <c r="J12" s="523">
        <v>47107</v>
      </c>
      <c r="K12" s="607"/>
      <c r="L12" s="272"/>
      <c r="M12" s="597" t="s">
        <v>678</v>
      </c>
      <c r="N12" s="598">
        <v>1</v>
      </c>
      <c r="P12" s="273"/>
      <c r="Q12" s="273"/>
      <c r="R12" s="273"/>
      <c r="S12" s="273"/>
      <c r="T12" s="576">
        <f ca="1"/>
        <v>0.06</v>
      </c>
      <c r="U12" s="573">
        <f ca="1"/>
        <v>4</v>
      </c>
      <c r="V12" s="576">
        <f t="shared" ca="1" si="0"/>
        <v>0</v>
      </c>
      <c r="W12" s="576">
        <f t="shared" ca="1" si="1"/>
        <v>0</v>
      </c>
      <c r="X12" s="466" t="s">
        <v>600</v>
      </c>
      <c r="Y12" s="493">
        <f ca="1">SUM(Z14:Z313)/(SUM(Z14:Z313)+SUM(AA14:AA313))</f>
        <v>1</v>
      </c>
      <c r="Z12" s="272"/>
      <c r="AA12" s="272"/>
      <c r="AB12" s="466" t="s">
        <v>600</v>
      </c>
      <c r="AC12" s="493">
        <f ca="1">SUM(AD14:AD313)/(SUM(AD14:AD313)+SUM(AE14:AE313))</f>
        <v>1</v>
      </c>
      <c r="AD12" s="272"/>
      <c r="AE12" s="272"/>
      <c r="AF12" s="272"/>
      <c r="AH12" s="476" t="s">
        <v>694</v>
      </c>
      <c r="AI12" s="622"/>
      <c r="AJ12" s="622"/>
      <c r="AK12" s="622"/>
      <c r="AL12" s="622"/>
      <c r="AM12" s="626"/>
      <c r="AN12" s="476" t="s">
        <v>696</v>
      </c>
      <c r="AO12" s="622"/>
      <c r="AP12" s="622"/>
      <c r="AQ12" s="622"/>
      <c r="AR12" s="622"/>
      <c r="AS12" s="620"/>
      <c r="AT12" s="476" t="s">
        <v>701</v>
      </c>
      <c r="AU12" s="476"/>
      <c r="AV12" s="476"/>
      <c r="AW12" s="476" t="s">
        <v>702</v>
      </c>
      <c r="AX12" s="476"/>
      <c r="AY12" s="476"/>
      <c r="AZ12" s="580"/>
      <c r="BA12" s="580"/>
      <c r="BD12" s="547"/>
    </row>
    <row r="13" spans="1:229" ht="10.5" thickBot="1">
      <c r="B13" s="534" t="s">
        <v>636</v>
      </c>
      <c r="C13" s="535" t="s">
        <v>66</v>
      </c>
      <c r="D13" s="535" t="s">
        <v>59</v>
      </c>
      <c r="E13" s="535">
        <v>0.12</v>
      </c>
      <c r="F13" s="535">
        <v>1</v>
      </c>
      <c r="G13" s="535" t="s">
        <v>434</v>
      </c>
      <c r="H13" s="535">
        <v>100</v>
      </c>
      <c r="I13" s="535">
        <v>37.011200000000002</v>
      </c>
      <c r="J13" s="545">
        <v>47837</v>
      </c>
      <c r="K13" s="608"/>
      <c r="L13" s="272"/>
      <c r="M13" s="595" t="s">
        <v>679</v>
      </c>
      <c r="N13" s="596">
        <v>2</v>
      </c>
      <c r="P13" s="273"/>
      <c r="Q13" s="273"/>
      <c r="R13" s="273"/>
      <c r="S13" s="273"/>
      <c r="T13" s="576">
        <f ca="1"/>
        <v>0.06</v>
      </c>
      <c r="U13" s="573">
        <f ca="1"/>
        <v>5</v>
      </c>
      <c r="V13" s="576">
        <f ca="1">AA18*T13</f>
        <v>0</v>
      </c>
      <c r="W13" s="576">
        <f t="shared" ca="1" si="1"/>
        <v>0</v>
      </c>
      <c r="X13" s="468" t="s">
        <v>598</v>
      </c>
      <c r="Y13" s="476" t="s">
        <v>599</v>
      </c>
      <c r="Z13" s="482" t="s">
        <v>605</v>
      </c>
      <c r="AA13" s="476" t="s">
        <v>606</v>
      </c>
      <c r="AB13" s="482" t="s">
        <v>598</v>
      </c>
      <c r="AC13" s="476" t="s">
        <v>599</v>
      </c>
      <c r="AD13" s="482" t="s">
        <v>605</v>
      </c>
      <c r="AE13" s="476" t="s">
        <v>606</v>
      </c>
      <c r="AF13" s="272"/>
      <c r="AG13" s="476" t="s">
        <v>80</v>
      </c>
      <c r="AH13" s="474" t="s">
        <v>84</v>
      </c>
      <c r="AI13" s="474" t="s">
        <v>53</v>
      </c>
      <c r="AJ13" s="474" t="s">
        <v>55</v>
      </c>
      <c r="AK13" s="474" t="s">
        <v>57</v>
      </c>
      <c r="AL13" s="474" t="s">
        <v>62</v>
      </c>
      <c r="AM13" s="474" t="s">
        <v>695</v>
      </c>
      <c r="AN13" s="474" t="s">
        <v>84</v>
      </c>
      <c r="AO13" s="474" t="s">
        <v>53</v>
      </c>
      <c r="AP13" s="474" t="s">
        <v>55</v>
      </c>
      <c r="AQ13" s="474" t="s">
        <v>57</v>
      </c>
      <c r="AR13" s="474" t="s">
        <v>62</v>
      </c>
      <c r="AS13" s="474" t="s">
        <v>695</v>
      </c>
      <c r="AT13" s="476" t="s">
        <v>699</v>
      </c>
      <c r="AU13" s="476" t="s">
        <v>698</v>
      </c>
      <c r="AV13" s="476" t="s">
        <v>700</v>
      </c>
      <c r="AW13" s="476" t="s">
        <v>699</v>
      </c>
      <c r="AX13" s="476" t="s">
        <v>698</v>
      </c>
      <c r="AY13" s="639" t="s">
        <v>700</v>
      </c>
      <c r="AZ13" s="476" t="s">
        <v>712</v>
      </c>
      <c r="BC13" s="330" t="s">
        <v>83</v>
      </c>
      <c r="BD13" s="501" t="s">
        <v>84</v>
      </c>
      <c r="BE13" s="501" t="s">
        <v>53</v>
      </c>
      <c r="BF13" s="501" t="s">
        <v>54</v>
      </c>
      <c r="BG13" s="501" t="s">
        <v>55</v>
      </c>
      <c r="BH13" s="501" t="s">
        <v>57</v>
      </c>
      <c r="BI13" s="501" t="s">
        <v>62</v>
      </c>
      <c r="BJ13" s="501" t="s">
        <v>63</v>
      </c>
      <c r="BK13" s="501" t="s">
        <v>64</v>
      </c>
      <c r="BL13" s="501" t="s">
        <v>608</v>
      </c>
      <c r="BM13" s="581" t="s">
        <v>499</v>
      </c>
      <c r="BN13" s="476" t="s">
        <v>668</v>
      </c>
    </row>
    <row r="14" spans="1:229" ht="10.5" thickBot="1">
      <c r="B14" s="539" t="s">
        <v>637</v>
      </c>
      <c r="C14" s="540" t="s">
        <v>66</v>
      </c>
      <c r="D14" s="540" t="s">
        <v>55</v>
      </c>
      <c r="E14" s="540">
        <v>0.06</v>
      </c>
      <c r="F14" s="540">
        <v>0.12</v>
      </c>
      <c r="G14" s="540" t="s">
        <v>434</v>
      </c>
      <c r="H14" s="540">
        <v>100</v>
      </c>
      <c r="I14" s="540">
        <v>35.963500000000003</v>
      </c>
      <c r="J14" s="546">
        <v>46376</v>
      </c>
      <c r="K14" s="609">
        <v>0.93662999999999996</v>
      </c>
      <c r="L14" s="272"/>
      <c r="M14" s="586" t="s">
        <v>680</v>
      </c>
      <c r="N14" s="590">
        <v>2</v>
      </c>
      <c r="P14" s="273"/>
      <c r="Q14" s="273"/>
      <c r="R14" s="273"/>
      <c r="S14" s="273"/>
      <c r="T14" s="576">
        <f ca="1"/>
        <v>0.06</v>
      </c>
      <c r="U14" s="573">
        <f ca="1"/>
        <v>6</v>
      </c>
      <c r="V14" s="576">
        <f t="shared" ca="1" si="0"/>
        <v>0</v>
      </c>
      <c r="W14" s="576">
        <f t="shared" ca="1" si="1"/>
        <v>0</v>
      </c>
      <c r="X14" s="486">
        <f ca="1">IF('CDO Bespoke'!O15&lt;&gt;"",'CDO Bespoke'!O15,"")</f>
        <v>8.5827356732360194E-2</v>
      </c>
      <c r="Y14" s="485">
        <f ca="1">IF(X14&lt;&gt;"",0,"")</f>
        <v>0</v>
      </c>
      <c r="Z14" s="487">
        <f ca="1">IF(X14&lt;&gt;"",IF($Y$8,MAX(X14-Y14,0),X14),0)</f>
        <v>8.5827356732360194E-2</v>
      </c>
      <c r="AA14" s="488">
        <f t="shared" ref="AA14:AA77" ca="1" si="2">IF(X14&lt;&gt;"",IF($Y$8,0,Y14),0)</f>
        <v>0</v>
      </c>
      <c r="AB14" s="486">
        <f ca="1">IF('CDO Bespoke'!O15&lt;&gt;"",'CDO Bespoke'!O15,"")</f>
        <v>8.5827356732360194E-2</v>
      </c>
      <c r="AC14" s="485">
        <f ca="1">IF(AB14&lt;&gt;"",ABS(MIN(-0.6*'CDO Bespoke'!K15+'CDO Bespoke'!T15*'CDO Bespoke'!K15,0)),"")</f>
        <v>0.43334160601702071</v>
      </c>
      <c r="AD14" s="487">
        <f ca="1">IF(AB14&lt;&gt;"",IF($Y$8,MAX(AB14-AC14,0),AB14),0)</f>
        <v>0</v>
      </c>
      <c r="AE14" s="488">
        <f t="shared" ref="AE14:AE77" ca="1" si="3">IF(AB14&lt;&gt;"",IF($Y$8,0,AC14),0)</f>
        <v>0</v>
      </c>
      <c r="AF14" s="272"/>
      <c r="AG14" s="471" t="str">
        <f ca="1">IF('CDO Bespoke'!C39&lt;&gt;"",'CDO Bespoke'!C39,"")</f>
        <v>Airbus SE</v>
      </c>
      <c r="AH14" s="503" cm="1">
        <f t="array" aca="1" ref="AH14:AM108" ca="1">GetDeltaCSRCDO(B25:B309,E25:E309,J25:J309,'CDO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-4.1620249996432435E-4</v>
      </c>
      <c r="AI14" s="504">
        <f ca="1"/>
        <v>-7.3777905978955616E-4</v>
      </c>
      <c r="AJ14" s="504">
        <f ca="1"/>
        <v>-1.0324678997863934E-3</v>
      </c>
      <c r="AK14" s="504">
        <f ca="1"/>
        <v>0.6134047684400179</v>
      </c>
      <c r="AL14" s="505">
        <f ca="1"/>
        <v>0</v>
      </c>
      <c r="AM14" s="618">
        <f ca="1"/>
        <v>1.8989594319920091</v>
      </c>
      <c r="AN14" s="503" cm="1">
        <f t="array" aca="1" ref="AN14:AS108" ca="1">GetDeltaCSRCDS(B25:B309,E25:E309,J25:J309,'CDO Bespoke'!C5,CDSRollDate,'CDS Strip'!J4,'CDS Strip'!J6,'CDO Bespoke'!C6,'CDO Bespoke'!G39:G133,'CDO Bespoke'!C17,'CDO Bespoke'!C39:C133,'CDO Bespoke'!K15:K109,'CDO Bespoke'!F39:F133,'CDO Bespoke'!C13,'CDO Bespoke'!C14,'CDO Bespoke'!C15)</f>
        <v>2.9587461260107556E-4</v>
      </c>
      <c r="AO14" s="504">
        <f ca="1"/>
        <v>1.4483711204991631E-3</v>
      </c>
      <c r="AP14" s="504">
        <f ca="1"/>
        <v>6.2903936812012951E-3</v>
      </c>
      <c r="AQ14" s="504">
        <f ca="1"/>
        <v>0.61401605703369821</v>
      </c>
      <c r="AR14" s="505">
        <f ca="1"/>
        <v>0</v>
      </c>
      <c r="AS14" s="627">
        <f ca="1"/>
        <v>0.53360237323381166</v>
      </c>
      <c r="AT14" s="503" cm="1">
        <f t="array" aca="1" ref="AT14:AV108" ca="1">GetCurvatureCSR(AV11,AV9,AH14:AL108,B25:B309,E25:E309,J25:J309,'CDO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Bespoke'!F39:F133,AV10,'CDO Bespoke'!C24,'CDO Bespoke'!C25,'CDO Bespoke'!L6)</f>
        <v>-6.8868955472821403E-3</v>
      </c>
      <c r="AU14" s="505">
        <f ca="1"/>
        <v>-2.9424458879189902E-2</v>
      </c>
      <c r="AV14" s="640">
        <f ca="1"/>
        <v>0.66712997061272206</v>
      </c>
      <c r="AW14" s="503" cm="1">
        <f t="array" aca="1" ref="AW14:AY108" ca="1">GetCurvatureCSR(AY11,AY9,AN14:AR108,B25:B309,E25:E309,J25:J309,'CDO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Bespoke'!F39:F133,AY10,'CDO Bespoke'!C24,'CDO Bespoke'!C25,'CDO Bespoke'!L6)</f>
        <v>-0.11500584231171999</v>
      </c>
      <c r="AX14" s="505">
        <f ca="1"/>
        <v>4.2061384345047116E-3</v>
      </c>
      <c r="AY14" s="640">
        <f ca="1"/>
        <v>0.3652882885677905</v>
      </c>
      <c r="AZ14" s="476" t="s">
        <v>710</v>
      </c>
      <c r="BC14" s="506" cm="1">
        <f t="array" aca="1" ref="BC14:BM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6.0301985869028847E-6</v>
      </c>
      <c r="BD14" s="580">
        <f ca="1"/>
        <v>2.3125734704085716E-5</v>
      </c>
      <c r="BE14" s="580">
        <f ca="1"/>
        <v>7.0069605666855017E-5</v>
      </c>
      <c r="BF14" s="580">
        <f ca="1"/>
        <v>1.7115420693668509E-4</v>
      </c>
      <c r="BG14" s="580">
        <f ca="1"/>
        <v>2.9051250439674441E-4</v>
      </c>
      <c r="BH14" s="580">
        <f ca="1"/>
        <v>2.2567819521597523E-3</v>
      </c>
      <c r="BI14" s="580">
        <f ca="1"/>
        <v>0</v>
      </c>
      <c r="BJ14" s="580">
        <f ca="1"/>
        <v>0</v>
      </c>
      <c r="BK14" s="580">
        <f ca="1"/>
        <v>0</v>
      </c>
      <c r="BL14" s="580">
        <f ca="1"/>
        <v>0</v>
      </c>
      <c r="BM14" s="638">
        <f ca="1"/>
        <v>3.1177916747623665E-5</v>
      </c>
      <c r="BN14" s="475" t="str">
        <f ca="1">IF('IRS Strip'!F21="","",'IRS Strip'!F21)</f>
        <v>6-month EURIBOR Swaps</v>
      </c>
      <c r="BO14" s="475" t="str">
        <f ca="1">IF('IRS Strip'!B21="","",'IRS Strip'!B21)</f>
        <v>EUR</v>
      </c>
    </row>
    <row r="15" spans="1:229" ht="10.5" thickBot="1">
      <c r="B15" s="517" t="s">
        <v>637</v>
      </c>
      <c r="C15" s="518" t="s">
        <v>66</v>
      </c>
      <c r="D15" s="518" t="s">
        <v>57</v>
      </c>
      <c r="E15" s="518">
        <v>0.06</v>
      </c>
      <c r="F15" s="518">
        <v>0.12</v>
      </c>
      <c r="G15" s="518" t="s">
        <v>434</v>
      </c>
      <c r="H15" s="518">
        <v>100</v>
      </c>
      <c r="I15" s="518">
        <v>92.850899999999996</v>
      </c>
      <c r="J15" s="523">
        <v>47107</v>
      </c>
      <c r="K15" s="607"/>
      <c r="L15" s="272"/>
      <c r="M15" s="586" t="s">
        <v>681</v>
      </c>
      <c r="N15" s="590">
        <v>2</v>
      </c>
      <c r="P15" s="273"/>
      <c r="Q15" s="273"/>
      <c r="R15" s="273"/>
      <c r="S15" s="273"/>
      <c r="T15" s="576">
        <f ca="1"/>
        <v>0.03</v>
      </c>
      <c r="U15" s="573">
        <f ca="1"/>
        <v>7</v>
      </c>
      <c r="V15" s="576">
        <f t="shared" ca="1" si="0"/>
        <v>0</v>
      </c>
      <c r="W15" s="576">
        <f t="shared" ca="1" si="1"/>
        <v>0</v>
      </c>
      <c r="X15" s="484">
        <f ca="1">IF('CDO Bespoke'!O16&lt;&gt;"",'CDO Bespoke'!O16,"")</f>
        <v>8.4573642758010201E-2</v>
      </c>
      <c r="Y15" s="485">
        <f ca="1">IF(X15&lt;&gt;"",0,"")</f>
        <v>0</v>
      </c>
      <c r="Z15" s="485">
        <f t="shared" ref="Z15:Z78" ca="1" si="4">IF(X15&lt;&gt;"",IF($Y$8,MAX(X15-Y15,0),X15),0)</f>
        <v>8.4573642758010201E-2</v>
      </c>
      <c r="AA15" s="489">
        <f t="shared" ca="1" si="2"/>
        <v>0</v>
      </c>
      <c r="AB15" s="484">
        <f ca="1">IF('CDO Bespoke'!O16&lt;&gt;"",'CDO Bespoke'!O16,"")</f>
        <v>8.4573642758010201E-2</v>
      </c>
      <c r="AC15" s="485">
        <f ca="1">IF(AB15&lt;&gt;"",ABS(MIN(-0.6*'CDO Bespoke'!K16+'CDO Bespoke'!T16*'CDO Bespoke'!K16,0)),"")</f>
        <v>0.41364084108104643</v>
      </c>
      <c r="AD15" s="485">
        <f t="shared" ref="AD15:AD77" ca="1" si="5">IF(AB15&lt;&gt;"",IF($Y$8,MAX(AB15-AC15,0),AB15),0)</f>
        <v>0</v>
      </c>
      <c r="AE15" s="489">
        <f t="shared" ca="1" si="3"/>
        <v>0</v>
      </c>
      <c r="AF15" s="272"/>
      <c r="AG15" s="494" t="str">
        <f ca="1">IF('CDO Bespoke'!C40&lt;&gt;"",'CDO Bespoke'!C40,"")</f>
        <v>Aktiebolaget Volvo</v>
      </c>
      <c r="AH15" s="496">
        <f ca="1"/>
        <v>-5.9440356997564336E-4</v>
      </c>
      <c r="AI15" s="584">
        <f ca="1"/>
        <v>-1.4943869999783921E-3</v>
      </c>
      <c r="AJ15" s="584">
        <f ca="1"/>
        <v>-3.842337229775783E-3</v>
      </c>
      <c r="AK15" s="584">
        <f ca="1"/>
        <v>0.66697827395018061</v>
      </c>
      <c r="AL15" s="497">
        <f ca="1"/>
        <v>0</v>
      </c>
      <c r="AM15" s="619">
        <f ca="1"/>
        <v>0</v>
      </c>
      <c r="AN15" s="496">
        <f ca="1"/>
        <v>3.0004427850269244E-4</v>
      </c>
      <c r="AO15" s="584">
        <f ca="1"/>
        <v>1.4717340169993764E-3</v>
      </c>
      <c r="AP15" s="584">
        <f ca="1"/>
        <v>6.3244664235025116E-3</v>
      </c>
      <c r="AQ15" s="584">
        <f ca="1"/>
        <v>0.66451458215680159</v>
      </c>
      <c r="AR15" s="497">
        <f ca="1"/>
        <v>0</v>
      </c>
      <c r="AS15" s="619">
        <f ca="1"/>
        <v>0</v>
      </c>
      <c r="AT15" s="496">
        <f ca="1"/>
        <v>-4.2903486299584737E-3</v>
      </c>
      <c r="AU15" s="497">
        <f ca="1"/>
        <v>-3.168792443560256E-2</v>
      </c>
      <c r="AV15" s="640">
        <f ca="1"/>
        <v>0.88934917595375762</v>
      </c>
      <c r="AW15" s="496">
        <f ca="1"/>
        <v>-0.11325782346964691</v>
      </c>
      <c r="AX15" s="497">
        <f ca="1"/>
        <v>4.4552735252574166E-3</v>
      </c>
      <c r="AY15" s="640">
        <f ca="1"/>
        <v>0.73955693118387644</v>
      </c>
      <c r="AZ15" s="476" t="s">
        <v>708</v>
      </c>
      <c r="BC15" s="506">
        <f ca="1"/>
        <v>6.0301985869028847E-6</v>
      </c>
      <c r="BD15" s="580">
        <f ca="1"/>
        <v>2.3125734704085716E-5</v>
      </c>
      <c r="BE15" s="580">
        <f ca="1"/>
        <v>7.0069605666855017E-5</v>
      </c>
      <c r="BF15" s="580">
        <f ca="1"/>
        <v>1.7115420693668509E-4</v>
      </c>
      <c r="BG15" s="580">
        <f ca="1"/>
        <v>2.9051250439674441E-4</v>
      </c>
      <c r="BH15" s="580">
        <f ca="1"/>
        <v>2.2567819521597523E-3</v>
      </c>
      <c r="BI15" s="580">
        <f ca="1"/>
        <v>0</v>
      </c>
      <c r="BJ15" s="580">
        <f ca="1"/>
        <v>0</v>
      </c>
      <c r="BK15" s="580">
        <f ca="1"/>
        <v>0</v>
      </c>
      <c r="BL15" s="580">
        <f ca="1"/>
        <v>0</v>
      </c>
      <c r="BM15" s="582">
        <f ca="1"/>
        <v>0</v>
      </c>
      <c r="BN15" s="475" t="str">
        <f ca="1">IF('IRS Strip'!F22="","",'IRS Strip'!F22)</f>
        <v>3-month EURIBOR Swaps</v>
      </c>
      <c r="BO15" s="475" t="str">
        <f ca="1">IF('IRS Strip'!B22="","",'IRS Strip'!B22)</f>
        <v>EUR</v>
      </c>
    </row>
    <row r="16" spans="1:229" ht="10.5" thickBot="1">
      <c r="B16" s="534" t="s">
        <v>637</v>
      </c>
      <c r="C16" s="535" t="s">
        <v>66</v>
      </c>
      <c r="D16" s="535" t="s">
        <v>59</v>
      </c>
      <c r="E16" s="535">
        <v>0.06</v>
      </c>
      <c r="F16" s="535">
        <v>0.12</v>
      </c>
      <c r="G16" s="535" t="s">
        <v>434</v>
      </c>
      <c r="H16" s="535">
        <v>100</v>
      </c>
      <c r="I16" s="535">
        <v>155.51650000000001</v>
      </c>
      <c r="J16" s="545">
        <v>47837</v>
      </c>
      <c r="K16" s="608"/>
      <c r="L16" s="272"/>
      <c r="M16" s="597" t="s">
        <v>682</v>
      </c>
      <c r="N16" s="598">
        <v>2</v>
      </c>
      <c r="P16" s="273"/>
      <c r="Q16" s="273"/>
      <c r="R16" s="273"/>
      <c r="S16" s="273"/>
      <c r="T16" s="576">
        <f ca="1"/>
        <v>0.06</v>
      </c>
      <c r="U16" s="573">
        <f ca="1"/>
        <v>8</v>
      </c>
      <c r="V16" s="576">
        <f t="shared" ca="1" si="0"/>
        <v>0</v>
      </c>
      <c r="W16" s="576">
        <f t="shared" ca="1" si="1"/>
        <v>0</v>
      </c>
      <c r="X16" s="484">
        <f ca="1">IF('CDO Bespoke'!O17&lt;&gt;"",'CDO Bespoke'!O17,"")</f>
        <v>8.3878208123509906E-2</v>
      </c>
      <c r="Y16" s="485">
        <f t="shared" ref="Y16:Y79" ca="1" si="6">IF(X16&lt;&gt;"",0,"")</f>
        <v>0</v>
      </c>
      <c r="Z16" s="485">
        <f t="shared" ca="1" si="4"/>
        <v>8.3878208123509906E-2</v>
      </c>
      <c r="AA16" s="489">
        <f t="shared" ca="1" si="2"/>
        <v>0</v>
      </c>
      <c r="AB16" s="484">
        <f ca="1">IF('CDO Bespoke'!O17&lt;&gt;"",'CDO Bespoke'!O17,"")</f>
        <v>8.3878208123509906E-2</v>
      </c>
      <c r="AC16" s="485">
        <f ca="1">IF(AB16&lt;&gt;"",ABS(MIN(-0.6*'CDO Bespoke'!K17+'CDO Bespoke'!T17*'CDO Bespoke'!K17,0)),"")</f>
        <v>0.4257020742797113</v>
      </c>
      <c r="AD16" s="485">
        <f t="shared" ca="1" si="5"/>
        <v>0</v>
      </c>
      <c r="AE16" s="489">
        <f t="shared" ca="1" si="3"/>
        <v>0</v>
      </c>
      <c r="AF16" s="272"/>
      <c r="AG16" s="494" t="str">
        <f ca="1">IF('CDO Bespoke'!C41&lt;&gt;"",'CDO Bespoke'!C41,"")</f>
        <v>Akzo Nobel N.V.</v>
      </c>
      <c r="AH16" s="496">
        <f ca="1"/>
        <v>-6.5248462993716672E-4</v>
      </c>
      <c r="AI16" s="584">
        <f ca="1"/>
        <v>-1.7048555800425191E-3</v>
      </c>
      <c r="AJ16" s="584">
        <f ca="1"/>
        <v>-4.6013314500270575E-3</v>
      </c>
      <c r="AK16" s="584">
        <f ca="1"/>
        <v>0.69493671110004707</v>
      </c>
      <c r="AL16" s="497">
        <f ca="1"/>
        <v>0</v>
      </c>
      <c r="AM16" s="619">
        <f ca="1"/>
        <v>0</v>
      </c>
      <c r="AN16" s="496">
        <f ca="1"/>
        <v>3.0003440309924606E-4</v>
      </c>
      <c r="AO16" s="584">
        <f ca="1"/>
        <v>1.4740920274008973E-3</v>
      </c>
      <c r="AP16" s="584">
        <f ca="1"/>
        <v>6.2993065833016892E-3</v>
      </c>
      <c r="AQ16" s="584">
        <f ca="1"/>
        <v>0.69188550325559839</v>
      </c>
      <c r="AR16" s="497">
        <f ca="1"/>
        <v>0</v>
      </c>
      <c r="AS16" s="619">
        <f ca="1"/>
        <v>0</v>
      </c>
      <c r="AT16" s="496">
        <f ca="1"/>
        <v>-2.8644800221190037E-3</v>
      </c>
      <c r="AU16" s="497">
        <f ca="1"/>
        <v>-3.2895987696459017E-2</v>
      </c>
      <c r="AV16" s="689">
        <f ca="1"/>
        <v>1.111595361188235</v>
      </c>
      <c r="AW16" s="496">
        <f ca="1"/>
        <v>-0.1122425331979648</v>
      </c>
      <c r="AX16" s="497">
        <f ca="1"/>
        <v>4.6622813316308971E-3</v>
      </c>
      <c r="AY16" s="689">
        <f ca="1"/>
        <v>0.99157135560436216</v>
      </c>
      <c r="AZ16" s="476" t="s">
        <v>711</v>
      </c>
      <c r="BC16" s="506">
        <f ca="1"/>
        <v>0</v>
      </c>
      <c r="BD16" s="580">
        <f ca="1"/>
        <v>0</v>
      </c>
      <c r="BE16" s="580">
        <f ca="1"/>
        <v>0</v>
      </c>
      <c r="BF16" s="580">
        <f ca="1"/>
        <v>0</v>
      </c>
      <c r="BG16" s="580">
        <f ca="1"/>
        <v>0</v>
      </c>
      <c r="BH16" s="580">
        <f ca="1"/>
        <v>0</v>
      </c>
      <c r="BI16" s="580">
        <f ca="1"/>
        <v>0</v>
      </c>
      <c r="BJ16" s="580">
        <f ca="1"/>
        <v>0</v>
      </c>
      <c r="BK16" s="580">
        <f ca="1"/>
        <v>0</v>
      </c>
      <c r="BL16" s="580">
        <f ca="1"/>
        <v>0</v>
      </c>
      <c r="BM16" s="582">
        <f ca="1"/>
        <v>0</v>
      </c>
      <c r="BN16" s="475" t="str">
        <f ca="1">IF('IRS Strip'!F23="","",'IRS Strip'!F23)</f>
        <v>1-month Term SOFR Swaps</v>
      </c>
      <c r="BO16" s="475" t="str">
        <f ca="1">IF('IRS Strip'!B23="","",'IRS Strip'!B23)</f>
        <v>USD</v>
      </c>
    </row>
    <row r="17" spans="2:67" ht="10.5" thickBot="1">
      <c r="B17" s="539" t="s">
        <v>638</v>
      </c>
      <c r="C17" s="540" t="s">
        <v>66</v>
      </c>
      <c r="D17" s="540" t="s">
        <v>55</v>
      </c>
      <c r="E17" s="540">
        <v>0.03</v>
      </c>
      <c r="F17" s="540">
        <v>0.06</v>
      </c>
      <c r="G17" s="540" t="s">
        <v>639</v>
      </c>
      <c r="H17" s="540">
        <v>100</v>
      </c>
      <c r="I17" s="541">
        <v>-6.1151900000000004E-3</v>
      </c>
      <c r="J17" s="546">
        <v>46376</v>
      </c>
      <c r="K17" s="609">
        <v>0.82702600000000004</v>
      </c>
      <c r="L17" s="272"/>
      <c r="M17" s="599" t="s">
        <v>674</v>
      </c>
      <c r="N17" s="600">
        <v>3</v>
      </c>
      <c r="P17" s="273"/>
      <c r="Q17" s="273"/>
      <c r="R17" s="273"/>
      <c r="S17" s="273"/>
      <c r="T17" s="576">
        <f ca="1"/>
        <v>0.03</v>
      </c>
      <c r="U17" s="573">
        <f ca="1"/>
        <v>9</v>
      </c>
      <c r="V17" s="576">
        <f t="shared" ca="1" si="0"/>
        <v>0</v>
      </c>
      <c r="W17" s="576">
        <f t="shared" ca="1" si="1"/>
        <v>0</v>
      </c>
      <c r="X17" s="484">
        <f ca="1">IF('CDO Bespoke'!O18&lt;&gt;"",'CDO Bespoke'!O18,"")</f>
        <v>6.3876343653499895E-2</v>
      </c>
      <c r="Y17" s="485">
        <f t="shared" ca="1" si="6"/>
        <v>0</v>
      </c>
      <c r="Z17" s="485">
        <f t="shared" ca="1" si="4"/>
        <v>6.3876343653499895E-2</v>
      </c>
      <c r="AA17" s="489">
        <f t="shared" ca="1" si="2"/>
        <v>0</v>
      </c>
      <c r="AB17" s="484">
        <f ca="1">IF('CDO Bespoke'!O18&lt;&gt;"",'CDO Bespoke'!O18,"")</f>
        <v>6.3876343653499895E-2</v>
      </c>
      <c r="AC17" s="485">
        <f ca="1">IF(AB17&lt;&gt;"",ABS(MIN(-0.6*'CDO Bespoke'!K18+'CDO Bespoke'!T18*'CDO Bespoke'!K18,0)),"")</f>
        <v>0.13555822258812369</v>
      </c>
      <c r="AD17" s="485">
        <f t="shared" ca="1" si="5"/>
        <v>0</v>
      </c>
      <c r="AE17" s="489">
        <f t="shared" ca="1" si="3"/>
        <v>0</v>
      </c>
      <c r="AF17" s="272"/>
      <c r="AG17" s="494" t="str">
        <f ca="1">IF('CDO Bespoke'!C42&lt;&gt;"",'CDO Bespoke'!C42,"")</f>
        <v>ALSTOM</v>
      </c>
      <c r="AH17" s="496">
        <f ca="1"/>
        <v>-2.5534333600307768E-3</v>
      </c>
      <c r="AI17" s="584">
        <f ca="1"/>
        <v>-9.5039227998583442E-3</v>
      </c>
      <c r="AJ17" s="584">
        <f ca="1"/>
        <v>-3.6280787229781009E-2</v>
      </c>
      <c r="AK17" s="584">
        <f ca="1"/>
        <v>1.1763627809902033</v>
      </c>
      <c r="AL17" s="497">
        <f ca="1"/>
        <v>0</v>
      </c>
      <c r="AM17" s="619">
        <f ca="1"/>
        <v>0</v>
      </c>
      <c r="AN17" s="496">
        <f ca="1"/>
        <v>-4.3432622100388063E-4</v>
      </c>
      <c r="AO17" s="584">
        <f ca="1"/>
        <v>-1.9850494459988655E-3</v>
      </c>
      <c r="AP17" s="584">
        <f ca="1"/>
        <v>-1.0556396312999886E-2</v>
      </c>
      <c r="AQ17" s="584">
        <f ca="1"/>
        <v>1.1444470582929953</v>
      </c>
      <c r="AR17" s="497">
        <f ca="1"/>
        <v>0</v>
      </c>
      <c r="AS17" s="619">
        <f ca="1"/>
        <v>0</v>
      </c>
      <c r="AT17" s="496">
        <f ca="1"/>
        <v>2.7038397348946641E-2</v>
      </c>
      <c r="AU17" s="497">
        <f ca="1"/>
        <v>-4.5268625993166667E-2</v>
      </c>
      <c r="AV17" s="619">
        <f ca="1"/>
        <v>0</v>
      </c>
      <c r="AW17" s="496">
        <f ca="1"/>
        <v>-8.9915204130259135E-2</v>
      </c>
      <c r="AX17" s="497">
        <f ca="1"/>
        <v>3.7629140744218019E-2</v>
      </c>
      <c r="AY17" s="619">
        <f ca="1"/>
        <v>0</v>
      </c>
      <c r="BC17" s="506"/>
      <c r="BD17" s="580"/>
      <c r="BE17" s="580"/>
      <c r="BF17" s="580"/>
      <c r="BG17" s="580"/>
      <c r="BH17" s="580"/>
      <c r="BI17" s="579"/>
      <c r="BJ17" s="579"/>
      <c r="BK17" s="579"/>
      <c r="BL17" s="547"/>
      <c r="BN17" s="475" t="str">
        <f ca="1">IF('IRS Strip'!F24="","",'IRS Strip'!F24)</f>
        <v/>
      </c>
      <c r="BO17" s="475" t="str">
        <f ca="1">IF('IRS Strip'!B24="","",'IRS Strip'!B24)</f>
        <v/>
      </c>
    </row>
    <row r="18" spans="2:67" ht="10.5" thickBot="1">
      <c r="B18" s="517" t="s">
        <v>638</v>
      </c>
      <c r="C18" s="518" t="s">
        <v>66</v>
      </c>
      <c r="D18" s="518" t="s">
        <v>57</v>
      </c>
      <c r="E18" s="518">
        <v>0.03</v>
      </c>
      <c r="F18" s="518">
        <v>0.06</v>
      </c>
      <c r="G18" s="518" t="s">
        <v>639</v>
      </c>
      <c r="H18" s="518">
        <v>100</v>
      </c>
      <c r="I18" s="525">
        <v>3.497422E-2</v>
      </c>
      <c r="J18" s="523">
        <v>47107</v>
      </c>
      <c r="K18" s="607"/>
      <c r="L18" s="272"/>
      <c r="M18" s="595" t="s">
        <v>673</v>
      </c>
      <c r="N18" s="596">
        <v>4</v>
      </c>
      <c r="P18" s="273"/>
      <c r="Q18" s="273"/>
      <c r="R18" s="273"/>
      <c r="S18" s="273"/>
      <c r="T18" s="576">
        <f ca="1"/>
        <v>0.06</v>
      </c>
      <c r="U18" s="573">
        <f ca="1"/>
        <v>10</v>
      </c>
      <c r="V18" s="576">
        <f t="shared" ca="1" si="0"/>
        <v>0</v>
      </c>
      <c r="W18" s="576">
        <f t="shared" ca="1" si="1"/>
        <v>0</v>
      </c>
      <c r="X18" s="484">
        <f ca="1">IF('CDO Bespoke'!O19&lt;&gt;"",'CDO Bespoke'!O19,"")</f>
        <v>7.1030339698470196E-2</v>
      </c>
      <c r="Y18" s="485">
        <f t="shared" ca="1" si="6"/>
        <v>0</v>
      </c>
      <c r="Z18" s="485">
        <f t="shared" ca="1" si="4"/>
        <v>7.1030339698470196E-2</v>
      </c>
      <c r="AA18" s="489">
        <f t="shared" ca="1" si="2"/>
        <v>0</v>
      </c>
      <c r="AB18" s="484">
        <f ca="1">IF('CDO Bespoke'!O19&lt;&gt;"",'CDO Bespoke'!O19,"")</f>
        <v>7.1030339698470196E-2</v>
      </c>
      <c r="AC18" s="485">
        <f ca="1">IF(AB18&lt;&gt;"",ABS(MIN(-0.6*'CDO Bespoke'!K19+'CDO Bespoke'!T19*'CDO Bespoke'!K19,0)),"")</f>
        <v>0.24295866349887948</v>
      </c>
      <c r="AD18" s="485">
        <f t="shared" ca="1" si="5"/>
        <v>0</v>
      </c>
      <c r="AE18" s="489">
        <f t="shared" ca="1" si="3"/>
        <v>0</v>
      </c>
      <c r="AF18" s="272"/>
      <c r="AG18" s="494" t="str">
        <f ca="1">IF('CDO Bespoke'!C43&lt;&gt;"",'CDO Bespoke'!C43,"")</f>
        <v>Anglo American plc</v>
      </c>
      <c r="AH18" s="496">
        <f ca="1"/>
        <v>-1.9275560600440222E-3</v>
      </c>
      <c r="AI18" s="584">
        <f ca="1"/>
        <v>-6.7595687500143775E-3</v>
      </c>
      <c r="AJ18" s="584">
        <f ca="1"/>
        <v>-2.4078429120000244E-2</v>
      </c>
      <c r="AK18" s="584">
        <f ca="1"/>
        <v>1.1112772150001504</v>
      </c>
      <c r="AL18" s="497">
        <f ca="1"/>
        <v>0</v>
      </c>
      <c r="AM18" s="619">
        <f ca="1"/>
        <v>0</v>
      </c>
      <c r="AN18" s="496">
        <f ca="1"/>
        <v>1.1581928019725393E-5</v>
      </c>
      <c r="AO18" s="584">
        <f ca="1"/>
        <v>1.4152359000961685E-4</v>
      </c>
      <c r="AP18" s="584">
        <f ca="1"/>
        <v>-2.8478124999018264E-4</v>
      </c>
      <c r="AQ18" s="584">
        <f ca="1"/>
        <v>1.09035600388</v>
      </c>
      <c r="AR18" s="497">
        <f ca="1"/>
        <v>0</v>
      </c>
      <c r="AS18" s="619">
        <f ca="1"/>
        <v>0</v>
      </c>
      <c r="AT18" s="496">
        <f ca="1"/>
        <v>2.0042422646697589E-2</v>
      </c>
      <c r="AU18" s="497">
        <f ca="1"/>
        <v>-4.78677996339546E-2</v>
      </c>
      <c r="AV18" s="619">
        <f ca="1"/>
        <v>0</v>
      </c>
      <c r="AW18" s="496">
        <f ca="1"/>
        <v>-9.6177994165406122E-2</v>
      </c>
      <c r="AX18" s="497">
        <f ca="1"/>
        <v>1.7017412525954227E-2</v>
      </c>
      <c r="AY18" s="619">
        <f ca="1"/>
        <v>0</v>
      </c>
      <c r="BC18" s="506"/>
      <c r="BD18" s="580"/>
      <c r="BE18" s="580"/>
      <c r="BF18" s="580"/>
      <c r="BG18" s="580"/>
      <c r="BH18" s="580"/>
      <c r="BI18" s="579"/>
      <c r="BJ18" s="579"/>
      <c r="BK18" s="579"/>
      <c r="BL18" s="547"/>
      <c r="BN18" s="475" t="str">
        <f ca="1">IF('IRS Strip'!F25="","",'IRS Strip'!F25)</f>
        <v/>
      </c>
      <c r="BO18" s="475" t="str">
        <f ca="1">IF('IRS Strip'!B25="","",'IRS Strip'!B25)</f>
        <v/>
      </c>
    </row>
    <row r="19" spans="2:67" ht="10.5" thickBot="1">
      <c r="B19" s="534" t="s">
        <v>638</v>
      </c>
      <c r="C19" s="535" t="s">
        <v>66</v>
      </c>
      <c r="D19" s="535" t="s">
        <v>59</v>
      </c>
      <c r="E19" s="535">
        <v>0.03</v>
      </c>
      <c r="F19" s="535">
        <v>0.06</v>
      </c>
      <c r="G19" s="535" t="s">
        <v>639</v>
      </c>
      <c r="H19" s="535">
        <v>100</v>
      </c>
      <c r="I19" s="536">
        <v>0.10563547</v>
      </c>
      <c r="J19" s="545">
        <v>47837</v>
      </c>
      <c r="K19" s="608"/>
      <c r="L19" s="272"/>
      <c r="M19" s="586" t="s">
        <v>651</v>
      </c>
      <c r="N19" s="590">
        <v>4</v>
      </c>
      <c r="P19" s="273"/>
      <c r="Q19" s="273"/>
      <c r="R19" s="273"/>
      <c r="S19" s="273"/>
      <c r="T19" s="576">
        <f ca="1"/>
        <v>0.03</v>
      </c>
      <c r="U19" s="573">
        <f ca="1"/>
        <v>11</v>
      </c>
      <c r="V19" s="576">
        <f t="shared" ca="1" si="0"/>
        <v>0</v>
      </c>
      <c r="W19" s="576">
        <f t="shared" ca="1" si="1"/>
        <v>0</v>
      </c>
      <c r="X19" s="484">
        <f ca="1">IF('CDO Bespoke'!O20&lt;&gt;"",'CDO Bespoke'!O20,"")</f>
        <v>6.4707421129119896E-2</v>
      </c>
      <c r="Y19" s="485">
        <f t="shared" ca="1" si="6"/>
        <v>0</v>
      </c>
      <c r="Z19" s="485">
        <f t="shared" ca="1" si="4"/>
        <v>6.4707421129119896E-2</v>
      </c>
      <c r="AA19" s="489">
        <f t="shared" ca="1" si="2"/>
        <v>0</v>
      </c>
      <c r="AB19" s="484">
        <f ca="1">IF('CDO Bespoke'!O20&lt;&gt;"",'CDO Bespoke'!O20,"")</f>
        <v>6.4707421129119896E-2</v>
      </c>
      <c r="AC19" s="485">
        <f ca="1">IF(AB19&lt;&gt;"",ABS(MIN(-0.6*'CDO Bespoke'!K20+'CDO Bespoke'!T20*'CDO Bespoke'!K20,0)),"")</f>
        <v>0.15624822101826641</v>
      </c>
      <c r="AD19" s="485">
        <f t="shared" ca="1" si="5"/>
        <v>0</v>
      </c>
      <c r="AE19" s="489">
        <f t="shared" ca="1" si="3"/>
        <v>0</v>
      </c>
      <c r="AF19" s="272"/>
      <c r="AG19" s="494" t="str">
        <f ca="1">IF('CDO Bespoke'!C44&lt;&gt;"",'CDO Bespoke'!C44,"")</f>
        <v>ArcelorMittal</v>
      </c>
      <c r="AH19" s="496">
        <f ca="1"/>
        <v>-2.4909017698471203E-3</v>
      </c>
      <c r="AI19" s="584">
        <f ca="1"/>
        <v>-9.173844199850123E-3</v>
      </c>
      <c r="AJ19" s="584">
        <f ca="1"/>
        <v>-3.4672601429974748E-2</v>
      </c>
      <c r="AK19" s="584">
        <f ca="1"/>
        <v>1.1858896120001128</v>
      </c>
      <c r="AL19" s="497">
        <f ca="1"/>
        <v>0</v>
      </c>
      <c r="AM19" s="619">
        <f ca="1"/>
        <v>0</v>
      </c>
      <c r="AN19" s="496">
        <f ca="1"/>
        <v>-3.7177305999350208E-4</v>
      </c>
      <c r="AO19" s="584">
        <f ca="1"/>
        <v>-1.6774856219977513E-3</v>
      </c>
      <c r="AP19" s="584">
        <f ca="1"/>
        <v>-9.0113198809946976E-3</v>
      </c>
      <c r="AQ19" s="584">
        <f ca="1"/>
        <v>1.1553592298390019</v>
      </c>
      <c r="AR19" s="497">
        <f ca="1"/>
        <v>0</v>
      </c>
      <c r="AS19" s="619">
        <f ca="1"/>
        <v>0</v>
      </c>
      <c r="AT19" s="496">
        <f ca="1"/>
        <v>2.6897256835117039E-2</v>
      </c>
      <c r="AU19" s="497">
        <f ca="1"/>
        <v>-4.654936826595904E-2</v>
      </c>
      <c r="AV19" s="619">
        <f ca="1"/>
        <v>0</v>
      </c>
      <c r="AW19" s="496">
        <f ca="1"/>
        <v>-9.0981449017479926E-2</v>
      </c>
      <c r="AX19" s="497">
        <f ca="1"/>
        <v>3.3922248408773829E-2</v>
      </c>
      <c r="AY19" s="619">
        <f ca="1"/>
        <v>0</v>
      </c>
      <c r="BC19" s="506"/>
      <c r="BD19" s="580"/>
      <c r="BE19" s="580"/>
      <c r="BF19" s="580"/>
      <c r="BG19" s="580"/>
      <c r="BH19" s="580"/>
      <c r="BI19" s="579"/>
      <c r="BJ19" s="579"/>
      <c r="BK19" s="579"/>
      <c r="BL19" s="547"/>
      <c r="BN19" s="475" t="str">
        <f ca="1">IF('IRS Strip'!F26="","",'IRS Strip'!F26)</f>
        <v/>
      </c>
      <c r="BO19" s="475" t="str">
        <f ca="1">IF('IRS Strip'!B26="","",'IRS Strip'!B26)</f>
        <v/>
      </c>
    </row>
    <row r="20" spans="2:67" ht="10.5" thickBot="1">
      <c r="B20" s="517" t="s">
        <v>640</v>
      </c>
      <c r="C20" s="518" t="s">
        <v>66</v>
      </c>
      <c r="D20" s="518" t="s">
        <v>55</v>
      </c>
      <c r="E20" s="518">
        <v>0</v>
      </c>
      <c r="F20" s="518">
        <v>0.03</v>
      </c>
      <c r="G20" s="518" t="s">
        <v>639</v>
      </c>
      <c r="H20" s="518">
        <v>100</v>
      </c>
      <c r="I20" s="603">
        <v>0.1057844</v>
      </c>
      <c r="J20" s="523">
        <v>46376</v>
      </c>
      <c r="K20" s="607">
        <v>0.710345</v>
      </c>
      <c r="L20" s="272">
        <v>28</v>
      </c>
      <c r="M20" s="586" t="s">
        <v>647</v>
      </c>
      <c r="N20" s="590">
        <v>4</v>
      </c>
      <c r="P20" s="273"/>
      <c r="Q20" s="273"/>
      <c r="R20" s="273"/>
      <c r="S20" s="273"/>
      <c r="T20" s="576">
        <f ca="1"/>
        <v>0.03</v>
      </c>
      <c r="U20" s="573">
        <f ca="1"/>
        <v>12</v>
      </c>
      <c r="V20" s="576">
        <f t="shared" ca="1" si="0"/>
        <v>0</v>
      </c>
      <c r="W20" s="576">
        <f t="shared" ca="1" si="1"/>
        <v>0</v>
      </c>
      <c r="X20" s="484">
        <f ca="1">IF('CDO Bespoke'!O21&lt;&gt;"",'CDO Bespoke'!O21,"")</f>
        <v>9.1441315138340001E-2</v>
      </c>
      <c r="Y20" s="485">
        <f t="shared" ca="1" si="6"/>
        <v>0</v>
      </c>
      <c r="Z20" s="485">
        <f t="shared" ca="1" si="4"/>
        <v>9.1441315138340001E-2</v>
      </c>
      <c r="AA20" s="489">
        <f t="shared" ca="1" si="2"/>
        <v>0</v>
      </c>
      <c r="AB20" s="484">
        <f ca="1">IF('CDO Bespoke'!O21&lt;&gt;"",'CDO Bespoke'!O21,"")</f>
        <v>9.1441315138340001E-2</v>
      </c>
      <c r="AC20" s="485">
        <f ca="1">IF(AB20&lt;&gt;"",ABS(MIN(-0.6*'CDO Bespoke'!K21+'CDO Bespoke'!T21*'CDO Bespoke'!K21,0)),"")</f>
        <v>0.51122665409785484</v>
      </c>
      <c r="AD20" s="485">
        <f t="shared" ca="1" si="5"/>
        <v>0</v>
      </c>
      <c r="AE20" s="489">
        <f t="shared" ca="1" si="3"/>
        <v>0</v>
      </c>
      <c r="AF20" s="272"/>
      <c r="AG20" s="494" t="str">
        <f ca="1">IF('CDO Bespoke'!C45&lt;&gt;"",'CDO Bespoke'!C45,"")</f>
        <v>ASTRAZENECA PLC</v>
      </c>
      <c r="AH20" s="496">
        <f ca="1"/>
        <v>-5.5092739814632807E-5</v>
      </c>
      <c r="AI20" s="584">
        <f ca="1"/>
        <v>4.3772375002415487E-4</v>
      </c>
      <c r="AJ20" s="584">
        <f ca="1"/>
        <v>2.7663659601939727E-3</v>
      </c>
      <c r="AK20" s="584">
        <f ca="1"/>
        <v>0.37916906357016167</v>
      </c>
      <c r="AL20" s="497">
        <f ca="1"/>
        <v>0</v>
      </c>
      <c r="AM20" s="619">
        <f ca="1"/>
        <v>0</v>
      </c>
      <c r="AN20" s="496">
        <f ca="1"/>
        <v>2.3304341029845022E-4</v>
      </c>
      <c r="AO20" s="584">
        <f ca="1"/>
        <v>1.1310292288976495E-3</v>
      </c>
      <c r="AP20" s="584">
        <f ca="1"/>
        <v>5.0342620945987432E-3</v>
      </c>
      <c r="AQ20" s="584">
        <f ca="1"/>
        <v>0.38158530911279726</v>
      </c>
      <c r="AR20" s="497">
        <f ca="1"/>
        <v>0</v>
      </c>
      <c r="AS20" s="619">
        <f ca="1"/>
        <v>0</v>
      </c>
      <c r="AT20" s="496">
        <f ca="1"/>
        <v>-1.8609621446467745E-2</v>
      </c>
      <c r="AU20" s="497">
        <f ca="1"/>
        <v>-1.8707381565171266E-2</v>
      </c>
      <c r="AV20" s="619">
        <f ca="1"/>
        <v>0</v>
      </c>
      <c r="AW20" s="496">
        <f ca="1"/>
        <v>-6.5900464746768819E-2</v>
      </c>
      <c r="AX20" s="497">
        <f ca="1"/>
        <v>9.61438496847292E-3</v>
      </c>
      <c r="AY20" s="619">
        <f ca="1"/>
        <v>0</v>
      </c>
      <c r="BC20" s="506"/>
      <c r="BD20" s="580"/>
      <c r="BE20" s="580"/>
      <c r="BF20" s="580"/>
      <c r="BG20" s="580"/>
      <c r="BH20" s="580"/>
      <c r="BI20" s="579"/>
      <c r="BJ20" s="579"/>
      <c r="BK20" s="579"/>
      <c r="BL20" s="547"/>
      <c r="BN20" s="475" t="str">
        <f ca="1">IF('IRS Strip'!F27="","",'IRS Strip'!F27)</f>
        <v/>
      </c>
      <c r="BO20" s="475" t="str">
        <f ca="1">IF('IRS Strip'!B27="","",'IRS Strip'!B27)</f>
        <v/>
      </c>
    </row>
    <row r="21" spans="2:67" ht="10.5" thickBot="1">
      <c r="B21" s="517" t="s">
        <v>640</v>
      </c>
      <c r="C21" s="518" t="s">
        <v>66</v>
      </c>
      <c r="D21" s="518" t="s">
        <v>57</v>
      </c>
      <c r="E21" s="518">
        <v>0</v>
      </c>
      <c r="F21" s="518">
        <v>0.03</v>
      </c>
      <c r="G21" s="518" t="s">
        <v>639</v>
      </c>
      <c r="H21" s="518">
        <v>100</v>
      </c>
      <c r="I21" s="525">
        <v>0.25752876000000002</v>
      </c>
      <c r="J21" s="523">
        <v>47107</v>
      </c>
      <c r="K21" s="607" t="s">
        <v>75</v>
      </c>
      <c r="L21" s="565"/>
      <c r="M21" s="586" t="s">
        <v>683</v>
      </c>
      <c r="N21" s="590">
        <v>4</v>
      </c>
      <c r="P21" s="273"/>
      <c r="Q21" s="273"/>
      <c r="R21" s="273"/>
      <c r="S21" s="273"/>
      <c r="T21" s="576">
        <f ca="1"/>
        <v>0.06</v>
      </c>
      <c r="U21" s="573">
        <f ca="1"/>
        <v>13</v>
      </c>
      <c r="V21" s="576">
        <f t="shared" ca="1" si="0"/>
        <v>0</v>
      </c>
      <c r="W21" s="576">
        <f t="shared" ca="1" si="1"/>
        <v>0</v>
      </c>
      <c r="X21" s="484">
        <f ca="1">IF('CDO Bespoke'!O22&lt;&gt;"",'CDO Bespoke'!O22,"")</f>
        <v>9.0237112987979998E-2</v>
      </c>
      <c r="Y21" s="485">
        <f t="shared" ca="1" si="6"/>
        <v>0</v>
      </c>
      <c r="Z21" s="485">
        <f t="shared" ca="1" si="4"/>
        <v>9.0237112987979998E-2</v>
      </c>
      <c r="AA21" s="489">
        <f t="shared" ca="1" si="2"/>
        <v>0</v>
      </c>
      <c r="AB21" s="484">
        <f ca="1">IF('CDO Bespoke'!O22&lt;&gt;"",'CDO Bespoke'!O22,"")</f>
        <v>9.0237112987979998E-2</v>
      </c>
      <c r="AC21" s="485">
        <f ca="1">IF(AB21&lt;&gt;"",ABS(MIN(-0.6*'CDO Bespoke'!K22+'CDO Bespoke'!T22*'CDO Bespoke'!K22,0)),"")</f>
        <v>0.49965431491758949</v>
      </c>
      <c r="AD21" s="485">
        <f t="shared" ca="1" si="5"/>
        <v>0</v>
      </c>
      <c r="AE21" s="489">
        <f t="shared" ca="1" si="3"/>
        <v>0</v>
      </c>
      <c r="AF21" s="272"/>
      <c r="AG21" s="494" t="str">
        <f ca="1">IF('CDO Bespoke'!C46&lt;&gt;"",'CDO Bespoke'!C46,"")</f>
        <v>BAE SYSTEMS PLC</v>
      </c>
      <c r="AH21" s="496">
        <f ca="1"/>
        <v>-2.4653172003841206E-4</v>
      </c>
      <c r="AI21" s="584">
        <f ca="1"/>
        <v>-3.7735811003747344E-4</v>
      </c>
      <c r="AJ21" s="584">
        <f ca="1"/>
        <v>-7.5417870004645948E-5</v>
      </c>
      <c r="AK21" s="584">
        <f ca="1"/>
        <v>0.43242518177999401</v>
      </c>
      <c r="AL21" s="497">
        <f ca="1"/>
        <v>0</v>
      </c>
      <c r="AM21" s="619">
        <f ca="1"/>
        <v>0</v>
      </c>
      <c r="AN21" s="496">
        <f ca="1"/>
        <v>2.5279635060184574E-4</v>
      </c>
      <c r="AO21" s="584">
        <f ca="1"/>
        <v>1.2278887835020028E-3</v>
      </c>
      <c r="AP21" s="584">
        <f ca="1"/>
        <v>5.433226574003483E-3</v>
      </c>
      <c r="AQ21" s="584">
        <f ca="1"/>
        <v>0.43158414856070237</v>
      </c>
      <c r="AR21" s="497">
        <f ca="1"/>
        <v>0</v>
      </c>
      <c r="AS21" s="619">
        <f ca="1"/>
        <v>0</v>
      </c>
      <c r="AT21" s="496">
        <f ca="1"/>
        <v>-1.6135918084821343E-2</v>
      </c>
      <c r="AU21" s="497">
        <f ca="1"/>
        <v>-2.1059379275605694E-2</v>
      </c>
      <c r="AV21" s="619">
        <f ca="1"/>
        <v>0</v>
      </c>
      <c r="AW21" s="496">
        <f ca="1"/>
        <v>-0.12180704175431881</v>
      </c>
      <c r="AX21" s="497">
        <f ca="1"/>
        <v>3.7524587366733111E-3</v>
      </c>
      <c r="AY21" s="619">
        <f ca="1"/>
        <v>0</v>
      </c>
      <c r="BC21" s="506"/>
      <c r="BD21" s="580"/>
      <c r="BE21" s="580"/>
      <c r="BF21" s="580"/>
      <c r="BG21" s="580"/>
      <c r="BH21" s="580"/>
      <c r="BI21" s="579"/>
      <c r="BJ21" s="579"/>
      <c r="BK21" s="579"/>
      <c r="BL21" s="547"/>
      <c r="BN21" s="475" t="str">
        <f ca="1">IF('IRS Strip'!F28="","",'IRS Strip'!F28)</f>
        <v/>
      </c>
      <c r="BO21" s="475" t="str">
        <f ca="1">IF('IRS Strip'!B28="","",'IRS Strip'!B28)</f>
        <v/>
      </c>
    </row>
    <row r="22" spans="2:67" ht="10.5" thickBot="1">
      <c r="B22" s="520" t="s">
        <v>640</v>
      </c>
      <c r="C22" s="521" t="s">
        <v>66</v>
      </c>
      <c r="D22" s="521" t="s">
        <v>59</v>
      </c>
      <c r="E22" s="521">
        <v>0</v>
      </c>
      <c r="F22" s="521">
        <v>0.03</v>
      </c>
      <c r="G22" s="521" t="s">
        <v>639</v>
      </c>
      <c r="H22" s="521">
        <v>100</v>
      </c>
      <c r="I22" s="526">
        <v>0.38828527000000002</v>
      </c>
      <c r="J22" s="524">
        <v>47837</v>
      </c>
      <c r="K22" s="610"/>
      <c r="L22" s="565"/>
      <c r="M22" s="586" t="s">
        <v>684</v>
      </c>
      <c r="N22" s="590">
        <v>4</v>
      </c>
      <c r="P22" s="273"/>
      <c r="Q22" s="273"/>
      <c r="R22" s="273"/>
      <c r="S22" s="273"/>
      <c r="T22" s="576">
        <f ca="1"/>
        <v>0.06</v>
      </c>
      <c r="U22" s="573">
        <f ca="1"/>
        <v>14</v>
      </c>
      <c r="V22" s="576">
        <f t="shared" ca="1" si="0"/>
        <v>0</v>
      </c>
      <c r="W22" s="576">
        <f t="shared" ca="1" si="1"/>
        <v>0</v>
      </c>
      <c r="X22" s="484">
        <f ca="1">IF('CDO Bespoke'!O23&lt;&gt;"",'CDO Bespoke'!O23,"")</f>
        <v>8.7023944057070104E-2</v>
      </c>
      <c r="Y22" s="485">
        <f t="shared" ca="1" si="6"/>
        <v>0</v>
      </c>
      <c r="Z22" s="485">
        <f t="shared" ca="1" si="4"/>
        <v>8.7023944057070104E-2</v>
      </c>
      <c r="AA22" s="489">
        <f t="shared" ca="1" si="2"/>
        <v>0</v>
      </c>
      <c r="AB22" s="484">
        <f ca="1">IF('CDO Bespoke'!O23&lt;&gt;"",'CDO Bespoke'!O23,"")</f>
        <v>8.7023944057070104E-2</v>
      </c>
      <c r="AC22" s="485">
        <f ca="1">IF(AB22&lt;&gt;"",ABS(MIN(-0.6*'CDO Bespoke'!K23+'CDO Bespoke'!T23*'CDO Bespoke'!K23,0)),"")</f>
        <v>0.46881211537227718</v>
      </c>
      <c r="AD22" s="485">
        <f t="shared" ca="1" si="5"/>
        <v>0</v>
      </c>
      <c r="AE22" s="489">
        <f t="shared" ca="1" si="3"/>
        <v>0</v>
      </c>
      <c r="AF22" s="272"/>
      <c r="AG22" s="494" t="str">
        <f ca="1">IF('CDO Bespoke'!C47&lt;&gt;"",'CDO Bespoke'!C47,"")</f>
        <v>BASF SE</v>
      </c>
      <c r="AH22" s="496">
        <f ca="1"/>
        <v>-5.2231970998350974E-4</v>
      </c>
      <c r="AI22" s="584">
        <f ca="1"/>
        <v>-1.4084420499327344E-3</v>
      </c>
      <c r="AJ22" s="584">
        <f ca="1"/>
        <v>-3.6287011997981899E-3</v>
      </c>
      <c r="AK22" s="584">
        <f ca="1"/>
        <v>0.56921707595997129</v>
      </c>
      <c r="AL22" s="497">
        <f ca="1"/>
        <v>0</v>
      </c>
      <c r="AM22" s="619">
        <f ca="1"/>
        <v>0</v>
      </c>
      <c r="AN22" s="496">
        <f ca="1"/>
        <v>2.9003726439644217E-4</v>
      </c>
      <c r="AO22" s="584">
        <f ca="1"/>
        <v>1.4147668039995662E-3</v>
      </c>
      <c r="AP22" s="584">
        <f ca="1"/>
        <v>6.1627238543988244E-3</v>
      </c>
      <c r="AQ22" s="584">
        <f ca="1"/>
        <v>0.56542693800329824</v>
      </c>
      <c r="AR22" s="497">
        <f ca="1"/>
        <v>0</v>
      </c>
      <c r="AS22" s="619">
        <f ca="1"/>
        <v>0</v>
      </c>
      <c r="AT22" s="496">
        <f ca="1"/>
        <v>-9.397127293321178E-3</v>
      </c>
      <c r="AU22" s="497">
        <f ca="1"/>
        <v>-2.7240285178185858E-2</v>
      </c>
      <c r="AV22" s="619">
        <f ca="1"/>
        <v>0</v>
      </c>
      <c r="AW22" s="496">
        <f ca="1"/>
        <v>-0.11702799940363909</v>
      </c>
      <c r="AX22" s="497">
        <f ca="1"/>
        <v>3.9252815107150077E-3</v>
      </c>
      <c r="AY22" s="619">
        <f ca="1"/>
        <v>0</v>
      </c>
      <c r="BC22" s="506"/>
      <c r="BD22" s="580"/>
      <c r="BE22" s="580"/>
      <c r="BF22" s="580"/>
      <c r="BG22" s="580"/>
      <c r="BH22" s="580"/>
      <c r="BI22" s="579"/>
      <c r="BJ22" s="579"/>
      <c r="BK22" s="579"/>
      <c r="BL22" s="547"/>
      <c r="BN22" s="475" t="str">
        <f ca="1">IF('IRS Strip'!F29="","",'IRS Strip'!F29)</f>
        <v/>
      </c>
      <c r="BO22" s="475" t="str">
        <f ca="1">IF('IRS Strip'!B29="","",'IRS Strip'!B29)</f>
        <v/>
      </c>
    </row>
    <row r="23" spans="2:67" ht="10.5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7" t="s">
        <v>685</v>
      </c>
      <c r="N23" s="598">
        <v>4</v>
      </c>
      <c r="P23" s="273"/>
      <c r="Q23" s="273"/>
      <c r="R23" s="273"/>
      <c r="S23" s="273"/>
      <c r="T23" s="576">
        <f ca="1"/>
        <v>0.06</v>
      </c>
      <c r="U23" s="573">
        <f ca="1"/>
        <v>15</v>
      </c>
      <c r="V23" s="576">
        <f t="shared" ca="1" si="0"/>
        <v>0</v>
      </c>
      <c r="W23" s="576">
        <f t="shared" ca="1" si="1"/>
        <v>0</v>
      </c>
      <c r="X23" s="484">
        <f ca="1">IF('CDO Bespoke'!O24&lt;&gt;"",'CDO Bespoke'!O24,"")</f>
        <v>6.86139603719602E-2</v>
      </c>
      <c r="Y23" s="485">
        <f t="shared" ca="1" si="6"/>
        <v>0</v>
      </c>
      <c r="Z23" s="485">
        <f t="shared" ca="1" si="4"/>
        <v>6.86139603719602E-2</v>
      </c>
      <c r="AA23" s="489">
        <f t="shared" ca="1" si="2"/>
        <v>0</v>
      </c>
      <c r="AB23" s="484">
        <f ca="1">IF('CDO Bespoke'!O24&lt;&gt;"",'CDO Bespoke'!O24,"")</f>
        <v>6.86139603719602E-2</v>
      </c>
      <c r="AC23" s="485">
        <f ca="1">IF(AB23&lt;&gt;"",ABS(MIN(-0.6*'CDO Bespoke'!K24+'CDO Bespoke'!T24*'CDO Bespoke'!K24,0)),"")</f>
        <v>0.19708539897175542</v>
      </c>
      <c r="AD23" s="485">
        <f t="shared" ca="1" si="5"/>
        <v>0</v>
      </c>
      <c r="AE23" s="489">
        <f t="shared" ca="1" si="3"/>
        <v>0</v>
      </c>
      <c r="AF23" s="272"/>
      <c r="AG23" s="494" t="str">
        <f ca="1">IF('CDO Bespoke'!C48&lt;&gt;"",'CDO Bespoke'!C48,"")</f>
        <v>Bayer Aktiengesellschaft</v>
      </c>
      <c r="AH23" s="496">
        <f ca="1"/>
        <v>-2.0741893499987007E-3</v>
      </c>
      <c r="AI23" s="584">
        <f ca="1"/>
        <v>-7.2805241599360748E-3</v>
      </c>
      <c r="AJ23" s="584">
        <f ca="1"/>
        <v>-2.6348518230023821E-2</v>
      </c>
      <c r="AK23" s="584">
        <f ca="1"/>
        <v>1.144540589390064</v>
      </c>
      <c r="AL23" s="497">
        <f ca="1"/>
        <v>0</v>
      </c>
      <c r="AM23" s="619">
        <f ca="1"/>
        <v>0</v>
      </c>
      <c r="AN23" s="496">
        <f ca="1"/>
        <v>-1.1726958599935638E-4</v>
      </c>
      <c r="AO23" s="584">
        <f ca="1"/>
        <v>-4.6876761299920189E-4</v>
      </c>
      <c r="AP23" s="584">
        <f ca="1"/>
        <v>-3.2453669279990799E-3</v>
      </c>
      <c r="AQ23" s="584">
        <f ca="1"/>
        <v>1.1225271322029984</v>
      </c>
      <c r="AR23" s="497">
        <f ca="1"/>
        <v>0</v>
      </c>
      <c r="AS23" s="619">
        <f ca="1"/>
        <v>0</v>
      </c>
      <c r="AT23" s="496">
        <f ca="1"/>
        <v>2.2833889536087254E-2</v>
      </c>
      <c r="AU23" s="497">
        <f ca="1"/>
        <v>-4.7973513227419273E-2</v>
      </c>
      <c r="AV23" s="619">
        <f ca="1"/>
        <v>0</v>
      </c>
      <c r="AW23" s="496">
        <f ca="1"/>
        <v>-5.0605626671544293E-2</v>
      </c>
      <c r="AX23" s="497">
        <f ca="1"/>
        <v>3.9421384222442096E-2</v>
      </c>
      <c r="AY23" s="619">
        <f ca="1"/>
        <v>0</v>
      </c>
      <c r="BC23" s="507"/>
      <c r="BD23" s="508"/>
      <c r="BE23" s="508"/>
      <c r="BF23" s="508"/>
      <c r="BG23" s="508"/>
      <c r="BH23" s="508"/>
      <c r="BI23" s="583"/>
      <c r="BJ23" s="583"/>
      <c r="BK23" s="583"/>
      <c r="BL23" s="585"/>
      <c r="BM23" s="348"/>
      <c r="BN23" s="474" t="str">
        <f ca="1">IF('IRS Strip'!F30="","",'IRS Strip'!F30)</f>
        <v/>
      </c>
      <c r="BO23" s="474" t="str">
        <f ca="1">IF('IRS Strip'!B30="","",'IRS Strip'!B30)</f>
        <v/>
      </c>
    </row>
    <row r="24" spans="2:67" ht="10.5" thickBot="1">
      <c r="B24" s="468" t="s">
        <v>641</v>
      </c>
      <c r="C24" s="468" t="s">
        <v>82</v>
      </c>
      <c r="D24" s="468" t="s">
        <v>432</v>
      </c>
      <c r="E24" s="468" t="s">
        <v>642</v>
      </c>
      <c r="F24" s="468" t="s">
        <v>643</v>
      </c>
      <c r="G24" s="468" t="s">
        <v>644</v>
      </c>
      <c r="H24" s="468" t="s">
        <v>645</v>
      </c>
      <c r="I24" s="468" t="s">
        <v>85</v>
      </c>
      <c r="J24" s="468" t="s">
        <v>692</v>
      </c>
      <c r="K24" s="476" t="s">
        <v>654</v>
      </c>
      <c r="L24" s="272"/>
      <c r="M24" s="595" t="s">
        <v>671</v>
      </c>
      <c r="N24" s="596">
        <v>5</v>
      </c>
      <c r="P24" s="273"/>
      <c r="Q24" s="273"/>
      <c r="R24" s="273"/>
      <c r="S24" s="273"/>
      <c r="T24" s="576">
        <f ca="1"/>
        <v>0.06</v>
      </c>
      <c r="U24" s="573">
        <f ca="1"/>
        <v>16</v>
      </c>
      <c r="V24" s="576">
        <f t="shared" ca="1" si="0"/>
        <v>0</v>
      </c>
      <c r="W24" s="576">
        <f t="shared" ca="1" si="1"/>
        <v>0</v>
      </c>
      <c r="X24" s="484">
        <f ca="1">IF('CDO Bespoke'!O25&lt;&gt;"",'CDO Bespoke'!O25,"")</f>
        <v>8.4324741166640099E-2</v>
      </c>
      <c r="Y24" s="485">
        <f t="shared" ca="1" si="6"/>
        <v>0</v>
      </c>
      <c r="Z24" s="485">
        <f t="shared" ca="1" si="4"/>
        <v>8.4324741166640099E-2</v>
      </c>
      <c r="AA24" s="489">
        <f t="shared" ca="1" si="2"/>
        <v>0</v>
      </c>
      <c r="AB24" s="484">
        <f ca="1">IF('CDO Bespoke'!O25&lt;&gt;"",'CDO Bespoke'!O25,"")</f>
        <v>8.4324741166640099E-2</v>
      </c>
      <c r="AC24" s="485">
        <f ca="1">IF(AB24&lt;&gt;"",ABS(MIN(-0.6*'CDO Bespoke'!K25+'CDO Bespoke'!T25*'CDO Bespoke'!K25,0)),"")</f>
        <v>0.4314555043170234</v>
      </c>
      <c r="AD24" s="485">
        <f t="shared" ca="1" si="5"/>
        <v>0</v>
      </c>
      <c r="AE24" s="489">
        <f t="shared" ca="1" si="3"/>
        <v>0</v>
      </c>
      <c r="AF24" s="272"/>
      <c r="AG24" s="494" t="str">
        <f ca="1">IF('CDO Bespoke'!C49&lt;&gt;"",'CDO Bespoke'!C49,"")</f>
        <v>Bayerische Motoren Werke Aktiengesellschaft</v>
      </c>
      <c r="AH24" s="496">
        <f ca="1"/>
        <v>-6.4934545990213977E-4</v>
      </c>
      <c r="AI24" s="584">
        <f ca="1"/>
        <v>-1.7442288000046879E-3</v>
      </c>
      <c r="AJ24" s="584">
        <f ca="1"/>
        <v>-4.7768987199159341E-3</v>
      </c>
      <c r="AK24" s="584">
        <f ca="1"/>
        <v>0.678078210830102</v>
      </c>
      <c r="AL24" s="497">
        <f ca="1"/>
        <v>0</v>
      </c>
      <c r="AM24" s="619">
        <f ca="1"/>
        <v>0</v>
      </c>
      <c r="AN24" s="496">
        <f ca="1"/>
        <v>3.0053047720118159E-4</v>
      </c>
      <c r="AO24" s="584">
        <f ca="1"/>
        <v>1.4745436966974793E-3</v>
      </c>
      <c r="AP24" s="584">
        <f ca="1"/>
        <v>6.318844770797534E-3</v>
      </c>
      <c r="AQ24" s="584">
        <f ca="1"/>
        <v>0.67447894801959951</v>
      </c>
      <c r="AR24" s="497">
        <f ca="1"/>
        <v>0</v>
      </c>
      <c r="AS24" s="619">
        <f ca="1"/>
        <v>0</v>
      </c>
      <c r="AT24" s="496">
        <f ca="1"/>
        <v>-3.7769967724390341E-3</v>
      </c>
      <c r="AU24" s="497">
        <f ca="1"/>
        <v>-3.2132096242136976E-2</v>
      </c>
      <c r="AV24" s="619">
        <f ca="1"/>
        <v>0</v>
      </c>
      <c r="AW24" s="496">
        <f ca="1"/>
        <v>-0.11293803996492294</v>
      </c>
      <c r="AX24" s="497">
        <f ca="1"/>
        <v>4.5065741079850265E-3</v>
      </c>
      <c r="AY24" s="619">
        <f ca="1"/>
        <v>0</v>
      </c>
      <c r="AZ24" s="580"/>
      <c r="BA24" s="580"/>
      <c r="BB24" s="579"/>
      <c r="BC24" s="579"/>
      <c r="BD24" s="579"/>
    </row>
    <row r="25" spans="2:67">
      <c r="B25" s="529" t="s">
        <v>510</v>
      </c>
      <c r="C25" s="530" t="s">
        <v>66</v>
      </c>
      <c r="D25" s="530" t="s">
        <v>55</v>
      </c>
      <c r="E25" s="530" t="s">
        <v>646</v>
      </c>
      <c r="F25" s="530" t="s">
        <v>647</v>
      </c>
      <c r="G25" s="531">
        <v>0.01</v>
      </c>
      <c r="H25" s="531">
        <v>3.0899999999999999E-3</v>
      </c>
      <c r="I25" s="532">
        <v>0.4</v>
      </c>
      <c r="J25" s="592">
        <v>4</v>
      </c>
      <c r="K25" s="533">
        <v>1</v>
      </c>
      <c r="L25" s="272"/>
      <c r="M25" s="586" t="s">
        <v>687</v>
      </c>
      <c r="N25" s="590">
        <v>5</v>
      </c>
      <c r="P25" s="273"/>
      <c r="Q25" s="273"/>
      <c r="R25" s="273"/>
      <c r="S25" s="273"/>
      <c r="T25" s="576">
        <f ca="1"/>
        <v>0.03</v>
      </c>
      <c r="U25" s="573">
        <f ca="1"/>
        <v>17</v>
      </c>
      <c r="V25" s="576">
        <f t="shared" ca="1" si="0"/>
        <v>0</v>
      </c>
      <c r="W25" s="576">
        <f t="shared" ca="1" si="1"/>
        <v>0</v>
      </c>
      <c r="X25" s="484">
        <f ca="1">IF('CDO Bespoke'!O26&lt;&gt;"",'CDO Bespoke'!O26,"")</f>
        <v>9.0443420443929903E-2</v>
      </c>
      <c r="Y25" s="485">
        <f t="shared" ca="1" si="6"/>
        <v>0</v>
      </c>
      <c r="Z25" s="485">
        <f t="shared" ca="1" si="4"/>
        <v>9.0443420443929903E-2</v>
      </c>
      <c r="AA25" s="489">
        <f t="shared" ca="1" si="2"/>
        <v>0</v>
      </c>
      <c r="AB25" s="484">
        <f ca="1">IF('CDO Bespoke'!O26&lt;&gt;"",'CDO Bespoke'!O26,"")</f>
        <v>9.0443420443929903E-2</v>
      </c>
      <c r="AC25" s="485">
        <f ca="1">IF(AB25&lt;&gt;"",ABS(MIN(-0.6*'CDO Bespoke'!K26+'CDO Bespoke'!T26*'CDO Bespoke'!K26,0)),"")</f>
        <v>0.49960751096978107</v>
      </c>
      <c r="AD25" s="485">
        <f t="shared" ca="1" si="5"/>
        <v>0</v>
      </c>
      <c r="AE25" s="489">
        <f t="shared" ca="1" si="3"/>
        <v>0</v>
      </c>
      <c r="AF25" s="272"/>
      <c r="AG25" s="494" t="str">
        <f ca="1">IF('CDO Bespoke'!C50&lt;&gt;"",'CDO Bespoke'!C50,"")</f>
        <v>BOUYGUES</v>
      </c>
      <c r="AH25" s="496">
        <f ca="1"/>
        <v>-1.5596883978785669E-4</v>
      </c>
      <c r="AI25" s="584">
        <f ca="1"/>
        <v>4.2370080222120521E-5</v>
      </c>
      <c r="AJ25" s="584">
        <f ca="1"/>
        <v>1.4228528599780077E-3</v>
      </c>
      <c r="AK25" s="584">
        <f ca="1"/>
        <v>0.42204344872009969</v>
      </c>
      <c r="AL25" s="497">
        <f ca="1"/>
        <v>0</v>
      </c>
      <c r="AM25" s="619">
        <f ca="1"/>
        <v>0</v>
      </c>
      <c r="AN25" s="496">
        <f ca="1"/>
        <v>2.4948510280245473E-4</v>
      </c>
      <c r="AO25" s="584">
        <f ca="1"/>
        <v>1.2119861007029234E-3</v>
      </c>
      <c r="AP25" s="584">
        <f ca="1"/>
        <v>5.3728982629024438E-3</v>
      </c>
      <c r="AQ25" s="584">
        <f ca="1"/>
        <v>0.42316834837920286</v>
      </c>
      <c r="AR25" s="497">
        <f ca="1"/>
        <v>0</v>
      </c>
      <c r="AS25" s="619">
        <f ca="1"/>
        <v>0</v>
      </c>
      <c r="AT25" s="496">
        <f ca="1"/>
        <v>-1.6547363143203403E-2</v>
      </c>
      <c r="AU25" s="497">
        <f ca="1"/>
        <v>-2.0662132756144619E-2</v>
      </c>
      <c r="AV25" s="619">
        <f ca="1"/>
        <v>0</v>
      </c>
      <c r="AW25" s="496">
        <f ca="1"/>
        <v>-0.12203816854284358</v>
      </c>
      <c r="AX25" s="497">
        <f ca="1"/>
        <v>3.7688431280694795E-3</v>
      </c>
      <c r="AY25" s="619">
        <f ca="1"/>
        <v>0</v>
      </c>
      <c r="AZ25" s="580"/>
      <c r="BA25" s="580"/>
      <c r="BB25" s="579"/>
      <c r="BC25" s="579"/>
      <c r="BD25" s="579"/>
    </row>
    <row r="26" spans="2:67">
      <c r="B26" s="517" t="s">
        <v>510</v>
      </c>
      <c r="C26" s="518" t="s">
        <v>66</v>
      </c>
      <c r="D26" s="518" t="s">
        <v>57</v>
      </c>
      <c r="E26" s="518" t="s">
        <v>646</v>
      </c>
      <c r="F26" s="518" t="s">
        <v>647</v>
      </c>
      <c r="G26" s="525">
        <v>0.01</v>
      </c>
      <c r="H26" s="525">
        <v>4.5950000000000001E-3</v>
      </c>
      <c r="I26" s="527">
        <v>0.4</v>
      </c>
      <c r="J26" s="593">
        <v>4</v>
      </c>
      <c r="K26" s="519">
        <v>1</v>
      </c>
      <c r="L26" s="272"/>
      <c r="M26" s="597" t="s">
        <v>686</v>
      </c>
      <c r="N26" s="598">
        <v>5</v>
      </c>
      <c r="P26" s="273"/>
      <c r="Q26" s="273"/>
      <c r="R26" s="273"/>
      <c r="S26" s="273"/>
      <c r="T26" s="576">
        <f ca="1"/>
        <v>0.06</v>
      </c>
      <c r="U26" s="573">
        <f ca="1"/>
        <v>18</v>
      </c>
      <c r="V26" s="576">
        <f t="shared" ca="1" si="0"/>
        <v>0</v>
      </c>
      <c r="W26" s="576">
        <f t="shared" ca="1" si="1"/>
        <v>0</v>
      </c>
      <c r="X26" s="484">
        <f ca="1">IF('CDO Bespoke'!O27&lt;&gt;"",'CDO Bespoke'!O27,"")</f>
        <v>7.3703722848570005E-2</v>
      </c>
      <c r="Y26" s="485">
        <f t="shared" ca="1" si="6"/>
        <v>0</v>
      </c>
      <c r="Z26" s="485">
        <f t="shared" ca="1" si="4"/>
        <v>7.3703722848570005E-2</v>
      </c>
      <c r="AA26" s="489">
        <f t="shared" ca="1" si="2"/>
        <v>0</v>
      </c>
      <c r="AB26" s="484">
        <f ca="1">IF('CDO Bespoke'!O27&lt;&gt;"",'CDO Bespoke'!O27,"")</f>
        <v>7.3703722848570005E-2</v>
      </c>
      <c r="AC26" s="485">
        <f ca="1">IF(AB26&lt;&gt;"",ABS(MIN(-0.6*'CDO Bespoke'!K27+'CDO Bespoke'!T27*'CDO Bespoke'!K27,0)),"")</f>
        <v>0.26386368725494425</v>
      </c>
      <c r="AD26" s="485">
        <f t="shared" ca="1" si="5"/>
        <v>0</v>
      </c>
      <c r="AE26" s="489">
        <f t="shared" ca="1" si="3"/>
        <v>0</v>
      </c>
      <c r="AF26" s="272"/>
      <c r="AG26" s="494" t="str">
        <f ca="1">IF('CDO Bespoke'!C51&lt;&gt;"",'CDO Bespoke'!C51,"")</f>
        <v>CNH Industrial N.V</v>
      </c>
      <c r="AH26" s="496">
        <f ca="1"/>
        <v>-1.5633394997993655E-3</v>
      </c>
      <c r="AI26" s="584">
        <f ca="1"/>
        <v>-5.1367391498691184E-3</v>
      </c>
      <c r="AJ26" s="584">
        <f ca="1"/>
        <v>-1.7879106109786047E-2</v>
      </c>
      <c r="AK26" s="584">
        <f ca="1"/>
        <v>1.0413367030601139</v>
      </c>
      <c r="AL26" s="497">
        <f ca="1"/>
        <v>0</v>
      </c>
      <c r="AM26" s="619">
        <f ca="1"/>
        <v>0</v>
      </c>
      <c r="AN26" s="496">
        <f ca="1"/>
        <v>1.1914047028994436E-4</v>
      </c>
      <c r="AO26" s="584">
        <f ca="1"/>
        <v>6.4760200809994145E-4</v>
      </c>
      <c r="AP26" s="584">
        <f ca="1"/>
        <v>1.7950018627098212E-3</v>
      </c>
      <c r="AQ26" s="584">
        <f ca="1"/>
        <v>1.0266914889926997</v>
      </c>
      <c r="AR26" s="497">
        <f ca="1"/>
        <v>0</v>
      </c>
      <c r="AS26" s="619">
        <f ca="1"/>
        <v>0</v>
      </c>
      <c r="AT26" s="496">
        <f ca="1"/>
        <v>1.591112569337097E-2</v>
      </c>
      <c r="AU26" s="497">
        <f ca="1"/>
        <v>-4.6121384977729968E-2</v>
      </c>
      <c r="AV26" s="619">
        <f ca="1"/>
        <v>0</v>
      </c>
      <c r="AW26" s="496">
        <f ca="1"/>
        <v>-9.8746286886237031E-2</v>
      </c>
      <c r="AX26" s="497">
        <f ca="1"/>
        <v>1.2881582049514721E-2</v>
      </c>
      <c r="AY26" s="619">
        <f ca="1"/>
        <v>0</v>
      </c>
    </row>
    <row r="27" spans="2:67">
      <c r="B27" s="534" t="s">
        <v>510</v>
      </c>
      <c r="C27" s="535" t="s">
        <v>66</v>
      </c>
      <c r="D27" s="535" t="s">
        <v>59</v>
      </c>
      <c r="E27" s="535" t="s">
        <v>646</v>
      </c>
      <c r="F27" s="535" t="s">
        <v>647</v>
      </c>
      <c r="G27" s="536">
        <v>0.01</v>
      </c>
      <c r="H27" s="536">
        <v>6.3160000000000004E-3</v>
      </c>
      <c r="I27" s="537">
        <v>0.4</v>
      </c>
      <c r="J27" s="594">
        <v>4</v>
      </c>
      <c r="K27" s="538">
        <v>1</v>
      </c>
      <c r="L27" s="272"/>
      <c r="M27" s="595" t="s">
        <v>653</v>
      </c>
      <c r="N27" s="596">
        <v>6</v>
      </c>
      <c r="P27" s="273"/>
      <c r="Q27" s="273"/>
      <c r="R27" s="273"/>
      <c r="S27" s="273"/>
      <c r="T27" s="576">
        <f ca="1"/>
        <v>0.06</v>
      </c>
      <c r="U27" s="573">
        <f ca="1"/>
        <v>19</v>
      </c>
      <c r="V27" s="576">
        <f t="shared" ca="1" si="0"/>
        <v>0</v>
      </c>
      <c r="W27" s="576">
        <f t="shared" ca="1" si="1"/>
        <v>0</v>
      </c>
      <c r="X27" s="484">
        <f ca="1">IF('CDO Bespoke'!O28&lt;&gt;"",'CDO Bespoke'!O28,"")</f>
        <v>5.2783015064949999E-2</v>
      </c>
      <c r="Y27" s="485">
        <f t="shared" ca="1" si="6"/>
        <v>0</v>
      </c>
      <c r="Z27" s="485">
        <f t="shared" ca="1" si="4"/>
        <v>5.2783015064949999E-2</v>
      </c>
      <c r="AA27" s="489">
        <f t="shared" ca="1" si="2"/>
        <v>0</v>
      </c>
      <c r="AB27" s="484">
        <f ca="1">IF('CDO Bespoke'!O28&lt;&gt;"",'CDO Bespoke'!O28,"")</f>
        <v>5.2783015064949999E-2</v>
      </c>
      <c r="AC27" s="485">
        <f ca="1">IF(AB27&lt;&gt;"",ABS(MIN(-0.6*'CDO Bespoke'!K28+'CDO Bespoke'!T28*'CDO Bespoke'!K28,0)),"")</f>
        <v>1.3979740820664232E-2</v>
      </c>
      <c r="AD27" s="485">
        <f t="shared" ca="1" si="5"/>
        <v>3.8803274244285771E-2</v>
      </c>
      <c r="AE27" s="489">
        <f t="shared" ca="1" si="3"/>
        <v>0</v>
      </c>
      <c r="AF27" s="272"/>
      <c r="AG27" s="494" t="str">
        <f ca="1">IF('CDO Bespoke'!C52&lt;&gt;"",'CDO Bespoke'!C52,"")</f>
        <v>COMPAGNIE DE SAINT-GOBAIN</v>
      </c>
      <c r="AH27" s="496">
        <f ca="1"/>
        <v>-1.362422759887405E-3</v>
      </c>
      <c r="AI27" s="584">
        <f ca="1"/>
        <v>-5.6146842097870575E-3</v>
      </c>
      <c r="AJ27" s="584">
        <f ca="1"/>
        <v>-2.0895932469899847E-2</v>
      </c>
      <c r="AK27" s="584">
        <f ca="1"/>
        <v>0.34284798239997416</v>
      </c>
      <c r="AL27" s="497">
        <f ca="1"/>
        <v>0</v>
      </c>
      <c r="AM27" s="619">
        <f ca="1"/>
        <v>0</v>
      </c>
      <c r="AN27" s="496">
        <f ca="1"/>
        <v>-1.1287244710070365E-3</v>
      </c>
      <c r="AO27" s="584">
        <f ca="1"/>
        <v>-5.3145280060062916E-3</v>
      </c>
      <c r="AP27" s="584">
        <f ca="1"/>
        <v>-2.3962872481991804E-2</v>
      </c>
      <c r="AQ27" s="584">
        <f ca="1"/>
        <v>0.33003984470900832</v>
      </c>
      <c r="AR27" s="497">
        <f ca="1"/>
        <v>0</v>
      </c>
      <c r="AS27" s="619">
        <f ca="1"/>
        <v>0</v>
      </c>
      <c r="AT27" s="496">
        <f ca="1"/>
        <v>9.4432387043379973E-3</v>
      </c>
      <c r="AU27" s="497">
        <f ca="1"/>
        <v>1.8976497151813002E-2</v>
      </c>
      <c r="AV27" s="619">
        <f ca="1"/>
        <v>0</v>
      </c>
      <c r="AW27" s="496">
        <f ca="1"/>
        <v>-9.3272104441465914E-2</v>
      </c>
      <c r="AX27" s="497">
        <f ca="1"/>
        <v>0.12613821558234672</v>
      </c>
      <c r="AY27" s="619">
        <f ca="1"/>
        <v>0</v>
      </c>
    </row>
    <row r="28" spans="2:67">
      <c r="B28" s="539" t="s">
        <v>511</v>
      </c>
      <c r="C28" s="540" t="s">
        <v>66</v>
      </c>
      <c r="D28" s="540" t="s">
        <v>55</v>
      </c>
      <c r="E28" s="540" t="s">
        <v>646</v>
      </c>
      <c r="F28" s="540" t="s">
        <v>647</v>
      </c>
      <c r="G28" s="541">
        <v>0.01</v>
      </c>
      <c r="H28" s="541">
        <v>2.9420000000000002E-3</v>
      </c>
      <c r="I28" s="542">
        <v>0.4</v>
      </c>
      <c r="J28" s="601">
        <v>4</v>
      </c>
      <c r="K28" s="543">
        <v>2</v>
      </c>
      <c r="L28" s="272"/>
      <c r="M28" s="597" t="s">
        <v>675</v>
      </c>
      <c r="N28" s="598">
        <v>6</v>
      </c>
      <c r="P28" s="273"/>
      <c r="Q28" s="273"/>
      <c r="R28" s="273"/>
      <c r="S28" s="273"/>
      <c r="T28" s="576">
        <f ca="1"/>
        <v>5.0000000000000001E-3</v>
      </c>
      <c r="U28" s="573">
        <f ca="1"/>
        <v>20</v>
      </c>
      <c r="V28" s="576">
        <f t="shared" ca="1" si="0"/>
        <v>0</v>
      </c>
      <c r="W28" s="576">
        <f t="shared" ca="1" si="1"/>
        <v>0</v>
      </c>
      <c r="X28" s="484">
        <f ca="1">IF('CDO Bespoke'!O29&lt;&gt;"",'CDO Bespoke'!O29,"")</f>
        <v>7.1677140459529998E-2</v>
      </c>
      <c r="Y28" s="485">
        <f t="shared" ca="1" si="6"/>
        <v>0</v>
      </c>
      <c r="Z28" s="485">
        <f t="shared" ca="1" si="4"/>
        <v>7.1677140459529998E-2</v>
      </c>
      <c r="AA28" s="489">
        <f t="shared" ca="1" si="2"/>
        <v>0</v>
      </c>
      <c r="AB28" s="484">
        <f ca="1">IF('CDO Bespoke'!O29&lt;&gt;"",'CDO Bespoke'!O29,"")</f>
        <v>7.1677140459529998E-2</v>
      </c>
      <c r="AC28" s="485">
        <f ca="1">IF(AB28&lt;&gt;"",ABS(MIN(-0.6*'CDO Bespoke'!K29+'CDO Bespoke'!T29*'CDO Bespoke'!K29,0)),"")</f>
        <v>0.23658937989371676</v>
      </c>
      <c r="AD28" s="485">
        <f t="shared" ca="1" si="5"/>
        <v>0</v>
      </c>
      <c r="AE28" s="489">
        <f t="shared" ca="1" si="3"/>
        <v>0</v>
      </c>
      <c r="AF28" s="272"/>
      <c r="AG28" s="494" t="str">
        <f ca="1">IF('CDO Bespoke'!C53&lt;&gt;"",'CDO Bespoke'!C53,"")</f>
        <v>Continental Aktiengesellschaft</v>
      </c>
      <c r="AH28" s="496">
        <f ca="1"/>
        <v>-1.8188396400109497E-3</v>
      </c>
      <c r="AI28" s="584">
        <f ca="1"/>
        <v>-6.2530153899231777E-3</v>
      </c>
      <c r="AJ28" s="584">
        <f ca="1"/>
        <v>-2.2044972699808429E-2</v>
      </c>
      <c r="AK28" s="584">
        <f ca="1"/>
        <v>1.0943875695901273</v>
      </c>
      <c r="AL28" s="497">
        <f ca="1"/>
        <v>0</v>
      </c>
      <c r="AM28" s="619">
        <f ca="1"/>
        <v>0</v>
      </c>
      <c r="AN28" s="496">
        <f ca="1"/>
        <v>4.003737899999386E-5</v>
      </c>
      <c r="AO28" s="584">
        <f ca="1"/>
        <v>2.7567026899980116E-4</v>
      </c>
      <c r="AP28" s="584">
        <f ca="1"/>
        <v>3.6717965900000303E-4</v>
      </c>
      <c r="AQ28" s="584">
        <f ca="1"/>
        <v>1.0757947716109997</v>
      </c>
      <c r="AR28" s="497">
        <f ca="1"/>
        <v>0</v>
      </c>
      <c r="AS28" s="619">
        <f ca="1"/>
        <v>0</v>
      </c>
      <c r="AT28" s="496">
        <f ca="1"/>
        <v>1.9058938763637234E-2</v>
      </c>
      <c r="AU28" s="497">
        <f ca="1"/>
        <v>-4.7509119902717251E-2</v>
      </c>
      <c r="AV28" s="619">
        <f ca="1"/>
        <v>0</v>
      </c>
      <c r="AW28" s="496">
        <f ca="1"/>
        <v>-9.67029680735354E-2</v>
      </c>
      <c r="AX28" s="497">
        <f ca="1"/>
        <v>1.5931803783213322E-2</v>
      </c>
      <c r="AY28" s="619">
        <f ca="1"/>
        <v>0</v>
      </c>
      <c r="BE28" s="578"/>
    </row>
    <row r="29" spans="2:67">
      <c r="B29" s="517" t="s">
        <v>511</v>
      </c>
      <c r="C29" s="518" t="s">
        <v>66</v>
      </c>
      <c r="D29" s="518" t="s">
        <v>57</v>
      </c>
      <c r="E29" s="518" t="s">
        <v>646</v>
      </c>
      <c r="F29" s="518" t="s">
        <v>647</v>
      </c>
      <c r="G29" s="525">
        <v>0.01</v>
      </c>
      <c r="H29" s="525">
        <v>4.9529999999999999E-3</v>
      </c>
      <c r="I29" s="527">
        <v>0.4</v>
      </c>
      <c r="J29" s="593">
        <v>4</v>
      </c>
      <c r="K29" s="519">
        <v>2</v>
      </c>
      <c r="L29" s="272"/>
      <c r="M29" s="595" t="s">
        <v>672</v>
      </c>
      <c r="N29" s="596">
        <v>7</v>
      </c>
      <c r="P29" s="273"/>
      <c r="Q29" s="273"/>
      <c r="R29" s="273"/>
      <c r="S29" s="273"/>
      <c r="T29" s="576">
        <f ca="1"/>
        <v>0.03</v>
      </c>
      <c r="U29" s="573">
        <f ca="1"/>
        <v>21</v>
      </c>
      <c r="V29" s="576">
        <f t="shared" ca="1" si="0"/>
        <v>0</v>
      </c>
      <c r="W29" s="576">
        <f t="shared" ca="1" si="1"/>
        <v>0</v>
      </c>
      <c r="X29" s="484">
        <f ca="1">IF('CDO Bespoke'!O30&lt;&gt;"",'CDO Bespoke'!O30,"")</f>
        <v>6.9531746046790105E-2</v>
      </c>
      <c r="Y29" s="485">
        <f t="shared" ca="1" si="6"/>
        <v>0</v>
      </c>
      <c r="Z29" s="485">
        <f t="shared" ca="1" si="4"/>
        <v>6.9531746046790105E-2</v>
      </c>
      <c r="AA29" s="489">
        <f t="shared" ca="1" si="2"/>
        <v>0</v>
      </c>
      <c r="AB29" s="484">
        <f ca="1">IF('CDO Bespoke'!O30&lt;&gt;"",'CDO Bespoke'!O30,"")</f>
        <v>6.9531746046790105E-2</v>
      </c>
      <c r="AC29" s="485">
        <f ca="1">IF(AB29&lt;&gt;"",ABS(MIN(-0.6*'CDO Bespoke'!K30+'CDO Bespoke'!T30*'CDO Bespoke'!K30,0)),"")</f>
        <v>0.21158893620917249</v>
      </c>
      <c r="AD29" s="485">
        <f t="shared" ca="1" si="5"/>
        <v>0</v>
      </c>
      <c r="AE29" s="489">
        <f t="shared" ca="1" si="3"/>
        <v>0</v>
      </c>
      <c r="AF29" s="272"/>
      <c r="AG29" s="494" t="str">
        <f ca="1">IF('CDO Bespoke'!C54&lt;&gt;"",'CDO Bespoke'!C54,"")</f>
        <v>Glencore International AG</v>
      </c>
      <c r="AH29" s="496">
        <f ca="1"/>
        <v>-2.06912875000409E-3</v>
      </c>
      <c r="AI29" s="584">
        <f ca="1"/>
        <v>-7.3470269199016336E-3</v>
      </c>
      <c r="AJ29" s="584">
        <f ca="1"/>
        <v>-2.6557003279803482E-2</v>
      </c>
      <c r="AK29" s="584">
        <f ca="1"/>
        <v>1.1400025222801924</v>
      </c>
      <c r="AL29" s="497">
        <f ca="1"/>
        <v>0</v>
      </c>
      <c r="AM29" s="619">
        <f ca="1"/>
        <v>0</v>
      </c>
      <c r="AN29" s="496">
        <f ca="1"/>
        <v>-6.3400231000484281E-5</v>
      </c>
      <c r="AO29" s="584">
        <f ca="1"/>
        <v>-2.1220126600112951E-4</v>
      </c>
      <c r="AP29" s="584">
        <f ca="1"/>
        <v>-1.9931752660005443E-3</v>
      </c>
      <c r="AQ29" s="584">
        <f ca="1"/>
        <v>1.1168214071959992</v>
      </c>
      <c r="AR29" s="497">
        <f ca="1"/>
        <v>0</v>
      </c>
      <c r="AS29" s="619">
        <f ca="1"/>
        <v>0</v>
      </c>
      <c r="AT29" s="496">
        <f ca="1"/>
        <v>2.2043162837271146E-2</v>
      </c>
      <c r="AU29" s="497">
        <f ca="1"/>
        <v>-4.8280646314197179E-2</v>
      </c>
      <c r="AV29" s="619">
        <f ca="1"/>
        <v>0</v>
      </c>
      <c r="AW29" s="496">
        <f ca="1"/>
        <v>-9.4739072825582096E-2</v>
      </c>
      <c r="AX29" s="497">
        <f ca="1"/>
        <v>2.0066769830771783E-2</v>
      </c>
      <c r="AY29" s="619">
        <f ca="1"/>
        <v>0</v>
      </c>
    </row>
    <row r="30" spans="2:67">
      <c r="B30" s="534" t="s">
        <v>511</v>
      </c>
      <c r="C30" s="535" t="s">
        <v>66</v>
      </c>
      <c r="D30" s="535" t="s">
        <v>59</v>
      </c>
      <c r="E30" s="535" t="s">
        <v>646</v>
      </c>
      <c r="F30" s="535" t="s">
        <v>647</v>
      </c>
      <c r="G30" s="536">
        <v>0.01</v>
      </c>
      <c r="H30" s="536">
        <v>7.0489999999999997E-3</v>
      </c>
      <c r="I30" s="537">
        <v>0.4</v>
      </c>
      <c r="J30" s="594">
        <v>4</v>
      </c>
      <c r="K30" s="538">
        <v>2</v>
      </c>
      <c r="L30" s="272"/>
      <c r="M30" s="586" t="s">
        <v>652</v>
      </c>
      <c r="N30" s="590">
        <v>7</v>
      </c>
      <c r="P30" s="273"/>
      <c r="Q30" s="273"/>
      <c r="R30" s="273"/>
      <c r="S30" s="273"/>
      <c r="T30" s="576">
        <f ca="1"/>
        <v>0.06</v>
      </c>
      <c r="U30" s="573">
        <f ca="1"/>
        <v>22</v>
      </c>
      <c r="V30" s="576">
        <f t="shared" ca="1" si="0"/>
        <v>0</v>
      </c>
      <c r="W30" s="576">
        <f t="shared" ca="1" si="1"/>
        <v>0</v>
      </c>
      <c r="X30" s="484">
        <f ca="1">IF('CDO Bespoke'!O31&lt;&gt;"",'CDO Bespoke'!O31,"")</f>
        <v>9.4070382664669994E-2</v>
      </c>
      <c r="Y30" s="485">
        <f t="shared" ca="1" si="6"/>
        <v>0</v>
      </c>
      <c r="Z30" s="485">
        <f t="shared" ca="1" si="4"/>
        <v>9.4070382664669994E-2</v>
      </c>
      <c r="AA30" s="489">
        <f t="shared" ca="1" si="2"/>
        <v>0</v>
      </c>
      <c r="AB30" s="484">
        <f ca="1">IF('CDO Bespoke'!O31&lt;&gt;"",'CDO Bespoke'!O31,"")</f>
        <v>9.4070382664669994E-2</v>
      </c>
      <c r="AC30" s="485">
        <f ca="1">IF(AB30&lt;&gt;"",ABS(MIN(-0.6*'CDO Bespoke'!K31+'CDO Bespoke'!T31*'CDO Bespoke'!K31,0)),"")</f>
        <v>0.54766991837820123</v>
      </c>
      <c r="AD30" s="485">
        <f t="shared" ca="1" si="5"/>
        <v>0</v>
      </c>
      <c r="AE30" s="489">
        <f t="shared" ca="1" si="3"/>
        <v>0</v>
      </c>
      <c r="AF30" s="272"/>
      <c r="AG30" s="494" t="str">
        <f ca="1">IF('CDO Bespoke'!C55&lt;&gt;"",'CDO Bespoke'!C55,"")</f>
        <v>GSK PLC</v>
      </c>
      <c r="AH30" s="496">
        <f ca="1"/>
        <v>-8.0125309998013705E-5</v>
      </c>
      <c r="AI30" s="584">
        <f ca="1"/>
        <v>1.089998902248368E-4</v>
      </c>
      <c r="AJ30" s="584">
        <f ca="1"/>
        <v>1.3844406202001558E-3</v>
      </c>
      <c r="AK30" s="584">
        <f ca="1"/>
        <v>0.27331256301998952</v>
      </c>
      <c r="AL30" s="497">
        <f ca="1"/>
        <v>0</v>
      </c>
      <c r="AM30" s="619">
        <f ca="1"/>
        <v>0</v>
      </c>
      <c r="AN30" s="496">
        <f ca="1"/>
        <v>1.8156714270099739E-4</v>
      </c>
      <c r="AO30" s="584">
        <f ca="1"/>
        <v>8.7823140540064723E-4</v>
      </c>
      <c r="AP30" s="584">
        <f ca="1"/>
        <v>3.9320555419997127E-3</v>
      </c>
      <c r="AQ30" s="584">
        <f ca="1"/>
        <v>0.27241479858639917</v>
      </c>
      <c r="AR30" s="497">
        <f ca="1"/>
        <v>0</v>
      </c>
      <c r="AS30" s="619">
        <f ca="1"/>
        <v>0</v>
      </c>
      <c r="AT30" s="496">
        <f ca="1"/>
        <v>-2.4003831094018185E-2</v>
      </c>
      <c r="AU30" s="497">
        <f ca="1"/>
        <v>-1.3528600883896846E-2</v>
      </c>
      <c r="AV30" s="619">
        <f ca="1"/>
        <v>0</v>
      </c>
      <c r="AW30" s="496">
        <f ca="1"/>
        <v>-6.7946420844335387E-2</v>
      </c>
      <c r="AX30" s="497">
        <f ca="1"/>
        <v>8.0691224813386926E-3</v>
      </c>
      <c r="AY30" s="619">
        <f ca="1"/>
        <v>0</v>
      </c>
    </row>
    <row r="31" spans="2:67">
      <c r="B31" s="539" t="s">
        <v>529</v>
      </c>
      <c r="C31" s="540" t="s">
        <v>66</v>
      </c>
      <c r="D31" s="540" t="s">
        <v>55</v>
      </c>
      <c r="E31" s="540" t="s">
        <v>648</v>
      </c>
      <c r="F31" s="540" t="s">
        <v>673</v>
      </c>
      <c r="G31" s="541">
        <v>0.01</v>
      </c>
      <c r="H31" s="541">
        <v>3.0409999999999999E-3</v>
      </c>
      <c r="I31" s="542">
        <v>0.4</v>
      </c>
      <c r="J31" s="601">
        <v>4</v>
      </c>
      <c r="K31" s="543">
        <v>3</v>
      </c>
      <c r="L31" s="272"/>
      <c r="M31" s="597" t="s">
        <v>688</v>
      </c>
      <c r="N31" s="598">
        <v>7</v>
      </c>
      <c r="P31" s="273"/>
      <c r="Q31" s="273"/>
      <c r="R31" s="273"/>
      <c r="S31" s="273"/>
      <c r="T31" s="576">
        <f ca="1"/>
        <v>0.06</v>
      </c>
      <c r="U31" s="573">
        <f ca="1"/>
        <v>23</v>
      </c>
      <c r="V31" s="576">
        <f t="shared" ca="1" si="0"/>
        <v>0</v>
      </c>
      <c r="W31" s="576">
        <f t="shared" ca="1" si="1"/>
        <v>0</v>
      </c>
      <c r="X31" s="484">
        <f ca="1">IF('CDO Bespoke'!O32&lt;&gt;"",'CDO Bespoke'!O32,"")</f>
        <v>7.3666480357020198E-2</v>
      </c>
      <c r="Y31" s="485">
        <f t="shared" ca="1" si="6"/>
        <v>0</v>
      </c>
      <c r="Z31" s="485">
        <f t="shared" ca="1" si="4"/>
        <v>7.3666480357020198E-2</v>
      </c>
      <c r="AA31" s="489">
        <f t="shared" ca="1" si="2"/>
        <v>0</v>
      </c>
      <c r="AB31" s="484">
        <f ca="1">IF('CDO Bespoke'!O32&lt;&gt;"",'CDO Bespoke'!O32,"")</f>
        <v>7.3666480357020198E-2</v>
      </c>
      <c r="AC31" s="485">
        <f ca="1">IF(AB31&lt;&gt;"",ABS(MIN(-0.6*'CDO Bespoke'!K32+'CDO Bespoke'!T32*'CDO Bespoke'!K32,0)),"")</f>
        <v>0.26646605824816871</v>
      </c>
      <c r="AD31" s="485">
        <f t="shared" ca="1" si="5"/>
        <v>0</v>
      </c>
      <c r="AE31" s="489">
        <f t="shared" ca="1" si="3"/>
        <v>0</v>
      </c>
      <c r="AF31" s="272"/>
      <c r="AG31" s="494" t="str">
        <f ca="1">IF('CDO Bespoke'!C56&lt;&gt;"",'CDO Bespoke'!C56,"")</f>
        <v>Heidelberg Materials AG</v>
      </c>
      <c r="AH31" s="496">
        <f ca="1"/>
        <v>-1.5899613198255835E-3</v>
      </c>
      <c r="AI31" s="584">
        <f ca="1"/>
        <v>-5.2764311497810468E-3</v>
      </c>
      <c r="AJ31" s="584">
        <f ca="1"/>
        <v>-1.8478760979989683E-2</v>
      </c>
      <c r="AK31" s="584">
        <f ca="1"/>
        <v>1.0440918975601621</v>
      </c>
      <c r="AL31" s="497">
        <f ca="1"/>
        <v>0</v>
      </c>
      <c r="AM31" s="619">
        <f ca="1"/>
        <v>0</v>
      </c>
      <c r="AN31" s="496">
        <f ca="1"/>
        <v>1.1861510809045399E-4</v>
      </c>
      <c r="AO31" s="584">
        <f ca="1"/>
        <v>6.4492750240056906E-4</v>
      </c>
      <c r="AP31" s="584">
        <f ca="1"/>
        <v>1.763316020410256E-3</v>
      </c>
      <c r="AQ31" s="584">
        <f ca="1"/>
        <v>1.0285980289112104</v>
      </c>
      <c r="AR31" s="497">
        <f ca="1"/>
        <v>0</v>
      </c>
      <c r="AS31" s="619">
        <f ca="1"/>
        <v>0</v>
      </c>
      <c r="AT31" s="496">
        <f ca="1"/>
        <v>1.6012458987654271E-2</v>
      </c>
      <c r="AU31" s="497">
        <f ca="1"/>
        <v>-4.6201906022207306E-2</v>
      </c>
      <c r="AV31" s="619">
        <f ca="1"/>
        <v>0</v>
      </c>
      <c r="AW31" s="496">
        <f ca="1"/>
        <v>-9.8780535346964932E-2</v>
      </c>
      <c r="AX31" s="497">
        <f ca="1"/>
        <v>1.2869982204749046E-2</v>
      </c>
      <c r="AY31" s="619">
        <f ca="1"/>
        <v>0</v>
      </c>
    </row>
    <row r="32" spans="2:67">
      <c r="B32" s="517" t="s">
        <v>529</v>
      </c>
      <c r="C32" s="518" t="s">
        <v>66</v>
      </c>
      <c r="D32" s="518" t="s">
        <v>57</v>
      </c>
      <c r="E32" s="518" t="s">
        <v>648</v>
      </c>
      <c r="F32" s="518" t="s">
        <v>673</v>
      </c>
      <c r="G32" s="525">
        <v>0.01</v>
      </c>
      <c r="H32" s="525">
        <v>5.1590000000000004E-3</v>
      </c>
      <c r="I32" s="527">
        <v>0.4</v>
      </c>
      <c r="J32" s="593">
        <v>4</v>
      </c>
      <c r="K32" s="519">
        <v>3</v>
      </c>
      <c r="L32" s="272"/>
      <c r="M32" s="599" t="s">
        <v>689</v>
      </c>
      <c r="N32" s="600">
        <v>8</v>
      </c>
      <c r="P32" s="273"/>
      <c r="Q32" s="273"/>
      <c r="R32" s="273"/>
      <c r="S32" s="273"/>
      <c r="T32" s="576">
        <f ca="1"/>
        <v>0.03</v>
      </c>
      <c r="U32" s="573">
        <f ca="1"/>
        <v>24</v>
      </c>
      <c r="V32" s="576">
        <f t="shared" ca="1" si="0"/>
        <v>0</v>
      </c>
      <c r="W32" s="576">
        <f t="shared" ca="1" si="1"/>
        <v>0</v>
      </c>
      <c r="X32" s="484">
        <f ca="1">IF('CDO Bespoke'!O33&lt;&gt;"",'CDO Bespoke'!O33,"")</f>
        <v>7.7816974782710005E-2</v>
      </c>
      <c r="Y32" s="485">
        <f t="shared" ca="1" si="6"/>
        <v>0</v>
      </c>
      <c r="Z32" s="485">
        <f t="shared" ca="1" si="4"/>
        <v>7.7816974782710005E-2</v>
      </c>
      <c r="AA32" s="489">
        <f t="shared" ca="1" si="2"/>
        <v>0</v>
      </c>
      <c r="AB32" s="484">
        <f ca="1">IF('CDO Bespoke'!O33&lt;&gt;"",'CDO Bespoke'!O33,"")</f>
        <v>7.7816974782710005E-2</v>
      </c>
      <c r="AC32" s="485">
        <f ca="1">IF(AB32&lt;&gt;"",ABS(MIN(-0.6*'CDO Bespoke'!K33+'CDO Bespoke'!T33*'CDO Bespoke'!K33,0)),"")</f>
        <v>0.32056981785491695</v>
      </c>
      <c r="AD32" s="485">
        <f t="shared" ca="1" si="5"/>
        <v>0</v>
      </c>
      <c r="AE32" s="489">
        <f t="shared" ca="1" si="3"/>
        <v>0</v>
      </c>
      <c r="AF32" s="272"/>
      <c r="AG32" s="494" t="str">
        <f ca="1">IF('CDO Bespoke'!C57&lt;&gt;"",'CDO Bespoke'!C57,"")</f>
        <v>Holcim AG</v>
      </c>
      <c r="AH32" s="496">
        <f ca="1"/>
        <v>-1.1970486299417438E-3</v>
      </c>
      <c r="AI32" s="584">
        <f ca="1"/>
        <v>-3.7428999499766746E-3</v>
      </c>
      <c r="AJ32" s="584">
        <f ca="1"/>
        <v>-1.2305434679837912E-2</v>
      </c>
      <c r="AK32" s="584">
        <f ca="1"/>
        <v>0.91934322037995342</v>
      </c>
      <c r="AL32" s="497">
        <f ca="1"/>
        <v>0</v>
      </c>
      <c r="AM32" s="619">
        <f ca="1"/>
        <v>0</v>
      </c>
      <c r="AN32" s="496">
        <f ca="1"/>
        <v>2.3609790170218276E-4</v>
      </c>
      <c r="AO32" s="584">
        <f ca="1"/>
        <v>1.1908705379020529E-3</v>
      </c>
      <c r="AP32" s="584">
        <f ca="1"/>
        <v>4.6126578142008726E-3</v>
      </c>
      <c r="AQ32" s="584">
        <f ca="1"/>
        <v>0.90935307669859955</v>
      </c>
      <c r="AR32" s="497">
        <f ca="1"/>
        <v>0</v>
      </c>
      <c r="AS32" s="619">
        <f ca="1"/>
        <v>0</v>
      </c>
      <c r="AT32" s="496">
        <f ca="1"/>
        <v>8.927902295338852E-3</v>
      </c>
      <c r="AU32" s="497">
        <f ca="1"/>
        <v>-4.1987998012351868E-2</v>
      </c>
      <c r="AV32" s="619">
        <f ca="1"/>
        <v>0</v>
      </c>
      <c r="AW32" s="496">
        <f ca="1"/>
        <v>-0.10387551295163686</v>
      </c>
      <c r="AX32" s="497">
        <f ca="1"/>
        <v>8.1520624916945617E-3</v>
      </c>
      <c r="AY32" s="619">
        <f ca="1"/>
        <v>0</v>
      </c>
    </row>
    <row r="33" spans="2:51" ht="10.5" thickBot="1">
      <c r="B33" s="534" t="s">
        <v>529</v>
      </c>
      <c r="C33" s="535" t="s">
        <v>66</v>
      </c>
      <c r="D33" s="535" t="s">
        <v>59</v>
      </c>
      <c r="E33" s="535" t="s">
        <v>648</v>
      </c>
      <c r="F33" s="535" t="s">
        <v>673</v>
      </c>
      <c r="G33" s="536">
        <v>0.01</v>
      </c>
      <c r="H33" s="536">
        <v>6.8450000000000004E-3</v>
      </c>
      <c r="I33" s="537">
        <v>0.4</v>
      </c>
      <c r="J33" s="594">
        <v>4</v>
      </c>
      <c r="K33" s="538">
        <v>3</v>
      </c>
      <c r="L33" s="272"/>
      <c r="M33" s="588" t="s">
        <v>691</v>
      </c>
      <c r="N33" s="591">
        <v>16</v>
      </c>
      <c r="P33" s="273"/>
      <c r="Q33" s="273"/>
      <c r="R33" s="273"/>
      <c r="S33" s="273"/>
      <c r="T33" s="576">
        <f ca="1"/>
        <v>0.06</v>
      </c>
      <c r="U33" s="573">
        <f ca="1"/>
        <v>25</v>
      </c>
      <c r="V33" s="576">
        <f t="shared" ca="1" si="0"/>
        <v>0</v>
      </c>
      <c r="W33" s="576">
        <f t="shared" ca="1" si="1"/>
        <v>0</v>
      </c>
      <c r="X33" s="484">
        <f ca="1">IF('CDO Bespoke'!O34&lt;&gt;"",'CDO Bespoke'!O34,"")</f>
        <v>9.6650993702000101E-2</v>
      </c>
      <c r="Y33" s="485">
        <f t="shared" ca="1" si="6"/>
        <v>0</v>
      </c>
      <c r="Z33" s="485">
        <f t="shared" ca="1" si="4"/>
        <v>9.6650993702000101E-2</v>
      </c>
      <c r="AA33" s="489">
        <f t="shared" ca="1" si="2"/>
        <v>0</v>
      </c>
      <c r="AB33" s="484">
        <f ca="1">IF('CDO Bespoke'!O34&lt;&gt;"",'CDO Bespoke'!O34,"")</f>
        <v>9.6650993702000101E-2</v>
      </c>
      <c r="AC33" s="485">
        <f ca="1">IF(AB33&lt;&gt;"",ABS(MIN(-0.6*'CDO Bespoke'!K34+'CDO Bespoke'!T34*'CDO Bespoke'!K34,0)),"")</f>
        <v>0.58192415423170629</v>
      </c>
      <c r="AD33" s="485">
        <f t="shared" ca="1" si="5"/>
        <v>0</v>
      </c>
      <c r="AE33" s="489">
        <f t="shared" ca="1" si="3"/>
        <v>0</v>
      </c>
      <c r="AF33" s="272"/>
      <c r="AG33" s="494" t="str">
        <f ca="1">IF('CDO Bespoke'!C58&lt;&gt;"",'CDO Bespoke'!C58,"")</f>
        <v>DSM B.V</v>
      </c>
      <c r="AH33" s="496">
        <f ca="1"/>
        <v>-4.0223419872642552E-5</v>
      </c>
      <c r="AI33" s="584">
        <f ca="1"/>
        <v>1.5470908998338473E-4</v>
      </c>
      <c r="AJ33" s="584">
        <f ca="1"/>
        <v>1.385943670106915E-3</v>
      </c>
      <c r="AK33" s="584">
        <f ca="1"/>
        <v>0.17305235400000285</v>
      </c>
      <c r="AL33" s="497">
        <f ca="1"/>
        <v>0</v>
      </c>
      <c r="AM33" s="619">
        <f ca="1"/>
        <v>0</v>
      </c>
      <c r="AN33" s="496">
        <f ca="1"/>
        <v>1.2277417390030299E-4</v>
      </c>
      <c r="AO33" s="584">
        <f ca="1"/>
        <v>5.9247450340119481E-4</v>
      </c>
      <c r="AP33" s="584">
        <f ca="1"/>
        <v>2.6679970041012732E-3</v>
      </c>
      <c r="AQ33" s="584">
        <f ca="1"/>
        <v>0.17110705651630095</v>
      </c>
      <c r="AR33" s="497">
        <f ca="1"/>
        <v>0</v>
      </c>
      <c r="AS33" s="619">
        <f ca="1"/>
        <v>0</v>
      </c>
      <c r="AT33" s="496">
        <f ca="1"/>
        <v>-2.8941488071976995E-2</v>
      </c>
      <c r="AU33" s="497">
        <f ca="1"/>
        <v>-8.6450050247250387E-3</v>
      </c>
      <c r="AV33" s="619">
        <f ca="1"/>
        <v>0</v>
      </c>
      <c r="AW33" s="496">
        <f ca="1"/>
        <v>-0.13120832196308418</v>
      </c>
      <c r="AX33" s="497">
        <f ca="1"/>
        <v>4.0361158064383881E-3</v>
      </c>
      <c r="AY33" s="619">
        <f ca="1"/>
        <v>0</v>
      </c>
    </row>
    <row r="34" spans="2:51">
      <c r="B34" s="539" t="s">
        <v>610</v>
      </c>
      <c r="C34" s="540" t="s">
        <v>66</v>
      </c>
      <c r="D34" s="540" t="s">
        <v>55</v>
      </c>
      <c r="E34" s="540" t="s">
        <v>648</v>
      </c>
      <c r="F34" s="540" t="s">
        <v>647</v>
      </c>
      <c r="G34" s="541">
        <v>0.01</v>
      </c>
      <c r="H34" s="541">
        <v>9.8239999999999994E-3</v>
      </c>
      <c r="I34" s="542">
        <v>0.4</v>
      </c>
      <c r="J34" s="601">
        <v>4</v>
      </c>
      <c r="K34" s="543">
        <v>4</v>
      </c>
      <c r="L34" s="272"/>
      <c r="M34" s="272" t="s">
        <v>75</v>
      </c>
      <c r="P34" s="273"/>
      <c r="Q34" s="273"/>
      <c r="R34" s="273"/>
      <c r="S34" s="273"/>
      <c r="T34" s="576">
        <f ca="1"/>
        <v>0.06</v>
      </c>
      <c r="U34" s="573">
        <f ca="1"/>
        <v>26</v>
      </c>
      <c r="V34" s="576">
        <f t="shared" ca="1" si="0"/>
        <v>0</v>
      </c>
      <c r="W34" s="576">
        <f t="shared" ca="1" si="1"/>
        <v>0</v>
      </c>
      <c r="X34" s="484">
        <f ca="1">IF('CDO Bespoke'!O35&lt;&gt;"",'CDO Bespoke'!O35,"")</f>
        <v>9.63520582156598E-2</v>
      </c>
      <c r="Y34" s="485">
        <f t="shared" ca="1" si="6"/>
        <v>0</v>
      </c>
      <c r="Z34" s="485">
        <f t="shared" ca="1" si="4"/>
        <v>9.63520582156598E-2</v>
      </c>
      <c r="AA34" s="489">
        <f t="shared" ca="1" si="2"/>
        <v>0</v>
      </c>
      <c r="AB34" s="484">
        <f ca="1">IF('CDO Bespoke'!O35&lt;&gt;"",'CDO Bespoke'!O35,"")</f>
        <v>9.63520582156598E-2</v>
      </c>
      <c r="AC34" s="485">
        <f ca="1">IF(AB34&lt;&gt;"",ABS(MIN(-0.6*'CDO Bespoke'!K35+'CDO Bespoke'!T35*'CDO Bespoke'!K35,0)),"")</f>
        <v>0.57811903083743721</v>
      </c>
      <c r="AD34" s="485">
        <f t="shared" ca="1" si="5"/>
        <v>0</v>
      </c>
      <c r="AE34" s="489">
        <f t="shared" ca="1" si="3"/>
        <v>0</v>
      </c>
      <c r="AF34" s="272"/>
      <c r="AG34" s="494" t="str">
        <f ca="1">IF('CDO Bespoke'!C59&lt;&gt;"",'CDO Bespoke'!C59,"")</f>
        <v>L'AIR LIQUIDE SOCIETE ANONYME POUR L'ETUDE ET L'EXPLOITATION DES PROCEDES GEORGES CLAUDE</v>
      </c>
      <c r="AH34" s="496">
        <f ca="1"/>
        <v>-5.6342439880285866E-5</v>
      </c>
      <c r="AI34" s="584">
        <f ca="1"/>
        <v>9.6703710039669488E-5</v>
      </c>
      <c r="AJ34" s="584">
        <f ca="1"/>
        <v>1.2143496500027773E-3</v>
      </c>
      <c r="AK34" s="584">
        <f ca="1"/>
        <v>0.18437954314998173</v>
      </c>
      <c r="AL34" s="497">
        <f ca="1"/>
        <v>0</v>
      </c>
      <c r="AM34" s="619">
        <f ca="1"/>
        <v>0</v>
      </c>
      <c r="AN34" s="496">
        <f ca="1"/>
        <v>1.2975543440055248E-4</v>
      </c>
      <c r="AO34" s="584">
        <f ca="1"/>
        <v>6.2629766180068852E-4</v>
      </c>
      <c r="AP34" s="584">
        <f ca="1"/>
        <v>2.818282171001326E-3</v>
      </c>
      <c r="AQ34" s="584">
        <f ca="1"/>
        <v>0.18228719649840061</v>
      </c>
      <c r="AR34" s="497">
        <f ca="1"/>
        <v>0</v>
      </c>
      <c r="AS34" s="619">
        <f ca="1"/>
        <v>0</v>
      </c>
      <c r="AT34" s="496">
        <f ca="1"/>
        <v>-2.8400170835293809E-2</v>
      </c>
      <c r="AU34" s="497">
        <f ca="1"/>
        <v>-9.1878362563342086E-3</v>
      </c>
      <c r="AV34" s="619">
        <f ca="1"/>
        <v>0</v>
      </c>
      <c r="AW34" s="496">
        <f ca="1"/>
        <v>-0.13080975124206082</v>
      </c>
      <c r="AX34" s="497">
        <f ca="1"/>
        <v>4.0285543007283079E-3</v>
      </c>
      <c r="AY34" s="619">
        <f ca="1"/>
        <v>0</v>
      </c>
    </row>
    <row r="35" spans="2:51">
      <c r="B35" s="517" t="s">
        <v>610</v>
      </c>
      <c r="C35" s="518" t="s">
        <v>66</v>
      </c>
      <c r="D35" s="518" t="s">
        <v>57</v>
      </c>
      <c r="E35" s="518" t="s">
        <v>648</v>
      </c>
      <c r="F35" s="518" t="s">
        <v>647</v>
      </c>
      <c r="G35" s="525">
        <v>0.01</v>
      </c>
      <c r="H35" s="525">
        <v>1.4659E-2</v>
      </c>
      <c r="I35" s="527">
        <v>0.4</v>
      </c>
      <c r="J35" s="593">
        <v>4</v>
      </c>
      <c r="K35" s="519">
        <v>4</v>
      </c>
      <c r="L35" s="272"/>
      <c r="M35" s="272"/>
      <c r="P35" s="273"/>
      <c r="Q35" s="273"/>
      <c r="R35" s="273"/>
      <c r="S35" s="273"/>
      <c r="T35" s="576">
        <f ca="1"/>
        <v>0.02</v>
      </c>
      <c r="U35" s="573">
        <f ca="1"/>
        <v>27</v>
      </c>
      <c r="V35" s="576">
        <f t="shared" ca="1" si="0"/>
        <v>0</v>
      </c>
      <c r="W35" s="576">
        <f t="shared" ca="1" si="1"/>
        <v>0</v>
      </c>
      <c r="X35" s="484">
        <f ca="1">IF('CDO Bespoke'!O36&lt;&gt;"",'CDO Bespoke'!O36,"")</f>
        <v>6.1059179105030101E-2</v>
      </c>
      <c r="Y35" s="485">
        <f t="shared" ca="1" si="6"/>
        <v>0</v>
      </c>
      <c r="Z35" s="485">
        <f t="shared" ca="1" si="4"/>
        <v>6.1059179105030101E-2</v>
      </c>
      <c r="AA35" s="489">
        <f t="shared" ca="1" si="2"/>
        <v>0</v>
      </c>
      <c r="AB35" s="484">
        <f ca="1">IF('CDO Bespoke'!O36&lt;&gt;"",'CDO Bespoke'!O36,"")</f>
        <v>6.1059179105030101E-2</v>
      </c>
      <c r="AC35" s="485">
        <f ca="1">IF(AB35&lt;&gt;"",ABS(MIN(-0.6*'CDO Bespoke'!K36+'CDO Bespoke'!T36*'CDO Bespoke'!K36,0)),"")</f>
        <v>0.10091536784520272</v>
      </c>
      <c r="AD35" s="485">
        <f t="shared" ca="1" si="5"/>
        <v>0</v>
      </c>
      <c r="AE35" s="489">
        <f t="shared" ca="1" si="3"/>
        <v>0</v>
      </c>
      <c r="AF35" s="272"/>
      <c r="AG35" s="494" t="str">
        <f ca="1">IF('CDO Bespoke'!C60&lt;&gt;"",'CDO Bespoke'!C60,"")</f>
        <v>LANXESS Aktiengesellschaft</v>
      </c>
      <c r="AH35" s="496">
        <f ca="1"/>
        <v>-2.7904949698176473E-3</v>
      </c>
      <c r="AI35" s="584">
        <f ca="1"/>
        <v>-1.0727442409930177E-2</v>
      </c>
      <c r="AJ35" s="584">
        <f ca="1"/>
        <v>-4.2198910139845669E-2</v>
      </c>
      <c r="AK35" s="584">
        <f ca="1"/>
        <v>1.148720191480046</v>
      </c>
      <c r="AL35" s="497">
        <f ca="1"/>
        <v>0</v>
      </c>
      <c r="AM35" s="619">
        <f ca="1"/>
        <v>0</v>
      </c>
      <c r="AN35" s="496">
        <f ca="1"/>
        <v>-6.6769307600217376E-4</v>
      </c>
      <c r="AO35" s="584">
        <f ca="1"/>
        <v>-3.1126229959980989E-3</v>
      </c>
      <c r="AP35" s="584">
        <f ca="1"/>
        <v>-1.5964038910000478E-2</v>
      </c>
      <c r="AQ35" s="584">
        <f ca="1"/>
        <v>1.1108130018980082</v>
      </c>
      <c r="AR35" s="497">
        <f ca="1"/>
        <v>0</v>
      </c>
      <c r="AS35" s="619">
        <f ca="1"/>
        <v>0</v>
      </c>
      <c r="AT35" s="496">
        <f ca="1"/>
        <v>2.7984014276365626E-2</v>
      </c>
      <c r="AU35" s="497">
        <f ca="1"/>
        <v>-4.0583435027292641E-2</v>
      </c>
      <c r="AV35" s="619">
        <f ca="1"/>
        <v>0</v>
      </c>
      <c r="AW35" s="496">
        <f ca="1"/>
        <v>-8.8672408532105285E-2</v>
      </c>
      <c r="AX35" s="497">
        <f ca="1"/>
        <v>5.1100429537634967E-2</v>
      </c>
      <c r="AY35" s="619">
        <f ca="1"/>
        <v>0</v>
      </c>
    </row>
    <row r="36" spans="2:51">
      <c r="B36" s="534" t="s">
        <v>610</v>
      </c>
      <c r="C36" s="535" t="s">
        <v>66</v>
      </c>
      <c r="D36" s="535" t="s">
        <v>59</v>
      </c>
      <c r="E36" s="535" t="s">
        <v>648</v>
      </c>
      <c r="F36" s="535" t="s">
        <v>647</v>
      </c>
      <c r="G36" s="536">
        <v>0.01</v>
      </c>
      <c r="H36" s="536">
        <v>1.8731999999999999E-2</v>
      </c>
      <c r="I36" s="537">
        <v>0.4</v>
      </c>
      <c r="J36" s="594">
        <v>4</v>
      </c>
      <c r="K36" s="538">
        <v>4</v>
      </c>
      <c r="L36" s="272"/>
      <c r="M36" s="272"/>
      <c r="P36" s="273"/>
      <c r="Q36" s="273"/>
      <c r="R36" s="273"/>
      <c r="S36" s="273"/>
      <c r="T36" s="576">
        <f ca="1"/>
        <v>0.02</v>
      </c>
      <c r="U36" s="573">
        <f ca="1"/>
        <v>28</v>
      </c>
      <c r="V36" s="576">
        <f t="shared" ca="1" si="0"/>
        <v>0</v>
      </c>
      <c r="W36" s="576">
        <f t="shared" ca="1" si="1"/>
        <v>0</v>
      </c>
      <c r="X36" s="484">
        <f ca="1">IF('CDO Bespoke'!O37&lt;&gt;"",'CDO Bespoke'!O37,"")</f>
        <v>7.9101957638650203E-2</v>
      </c>
      <c r="Y36" s="485">
        <f t="shared" ca="1" si="6"/>
        <v>0</v>
      </c>
      <c r="Z36" s="485">
        <f t="shared" ca="1" si="4"/>
        <v>7.9101957638650203E-2</v>
      </c>
      <c r="AA36" s="489">
        <f t="shared" ca="1" si="2"/>
        <v>0</v>
      </c>
      <c r="AB36" s="484">
        <f ca="1">IF('CDO Bespoke'!O37&lt;&gt;"",'CDO Bespoke'!O37,"")</f>
        <v>7.9101957638650203E-2</v>
      </c>
      <c r="AC36" s="485">
        <f ca="1">IF(AB36&lt;&gt;"",ABS(MIN(-0.6*'CDO Bespoke'!K37+'CDO Bespoke'!T37*'CDO Bespoke'!K37,0)),"")</f>
        <v>0.35351322844255195</v>
      </c>
      <c r="AD36" s="485">
        <f t="shared" ca="1" si="5"/>
        <v>0</v>
      </c>
      <c r="AE36" s="489">
        <f t="shared" ca="1" si="3"/>
        <v>0</v>
      </c>
      <c r="AF36" s="272"/>
      <c r="AG36" s="494" t="str">
        <f ca="1">IF('CDO Bespoke'!C61&lt;&gt;"",'CDO Bespoke'!C61,"")</f>
        <v>LEONARDO SOCIETA' PER AZIONI</v>
      </c>
      <c r="AH36" s="496">
        <f ca="1"/>
        <v>-1.1294959798013871E-3</v>
      </c>
      <c r="AI36" s="584">
        <f ca="1"/>
        <v>-3.5605018400275412E-3</v>
      </c>
      <c r="AJ36" s="584">
        <f ca="1"/>
        <v>-1.1601187819842984E-2</v>
      </c>
      <c r="AK36" s="584">
        <f ca="1"/>
        <v>0.87739253017998786</v>
      </c>
      <c r="AL36" s="497">
        <f ca="1"/>
        <v>0</v>
      </c>
      <c r="AM36" s="619">
        <f ca="1"/>
        <v>0</v>
      </c>
      <c r="AN36" s="496">
        <f ca="1"/>
        <v>2.6056946969901795E-4</v>
      </c>
      <c r="AO36" s="584">
        <f ca="1"/>
        <v>1.3023046489986367E-3</v>
      </c>
      <c r="AP36" s="584">
        <f ca="1"/>
        <v>5.2022905163004105E-3</v>
      </c>
      <c r="AQ36" s="584">
        <f ca="1"/>
        <v>0.86742773606549806</v>
      </c>
      <c r="AR36" s="497">
        <f ca="1"/>
        <v>0</v>
      </c>
      <c r="AS36" s="619">
        <f ca="1"/>
        <v>0</v>
      </c>
      <c r="AT36" s="496">
        <f ca="1"/>
        <v>6.5691519546468014E-3</v>
      </c>
      <c r="AU36" s="497">
        <f ca="1"/>
        <v>-4.0345222213833798E-2</v>
      </c>
      <c r="AV36" s="619">
        <f ca="1"/>
        <v>0</v>
      </c>
      <c r="AW36" s="496">
        <f ca="1"/>
        <v>-0.10565781254717771</v>
      </c>
      <c r="AX36" s="497">
        <f ca="1"/>
        <v>7.0753203372682164E-3</v>
      </c>
      <c r="AY36" s="619">
        <f ca="1"/>
        <v>0</v>
      </c>
    </row>
    <row r="37" spans="2:51">
      <c r="B37" s="539" t="s">
        <v>512</v>
      </c>
      <c r="C37" s="540" t="s">
        <v>66</v>
      </c>
      <c r="D37" s="540" t="s">
        <v>55</v>
      </c>
      <c r="E37" s="540" t="s">
        <v>648</v>
      </c>
      <c r="F37" s="540" t="s">
        <v>673</v>
      </c>
      <c r="G37" s="541">
        <v>0.01</v>
      </c>
      <c r="H37" s="541">
        <v>4.7670000000000004E-3</v>
      </c>
      <c r="I37" s="542">
        <v>0.4</v>
      </c>
      <c r="J37" s="601">
        <v>4</v>
      </c>
      <c r="K37" s="543">
        <v>5</v>
      </c>
      <c r="L37" s="272"/>
      <c r="M37" s="272"/>
      <c r="P37" s="273"/>
      <c r="Q37" s="273"/>
      <c r="R37" s="273"/>
      <c r="S37" s="273"/>
      <c r="T37" s="576">
        <f ca="1"/>
        <v>0.06</v>
      </c>
      <c r="U37" s="573">
        <f ca="1"/>
        <v>29</v>
      </c>
      <c r="V37" s="576">
        <f t="shared" ca="1" si="0"/>
        <v>0</v>
      </c>
      <c r="W37" s="576">
        <f t="shared" ca="1" si="1"/>
        <v>0</v>
      </c>
      <c r="X37" s="484">
        <f ca="1">IF('CDO Bespoke'!O38&lt;&gt;"",'CDO Bespoke'!O38,"")</f>
        <v>8.5072101729580102E-2</v>
      </c>
      <c r="Y37" s="485">
        <f t="shared" ca="1" si="6"/>
        <v>0</v>
      </c>
      <c r="Z37" s="485">
        <f t="shared" ca="1" si="4"/>
        <v>8.5072101729580102E-2</v>
      </c>
      <c r="AA37" s="489">
        <f t="shared" ca="1" si="2"/>
        <v>0</v>
      </c>
      <c r="AB37" s="484">
        <f ca="1">IF('CDO Bespoke'!O38&lt;&gt;"",'CDO Bespoke'!O38,"")</f>
        <v>8.5072101729580102E-2</v>
      </c>
      <c r="AC37" s="485">
        <f ca="1">IF(AB37&lt;&gt;"",ABS(MIN(-0.6*'CDO Bespoke'!K38+'CDO Bespoke'!T38*'CDO Bespoke'!K38,0)),"")</f>
        <v>0.42214327923915912</v>
      </c>
      <c r="AD37" s="485">
        <f t="shared" ca="1" si="5"/>
        <v>0</v>
      </c>
      <c r="AE37" s="489">
        <f t="shared" ca="1" si="3"/>
        <v>0</v>
      </c>
      <c r="AF37" s="272"/>
      <c r="AG37" s="494" t="str">
        <f ca="1">IF('CDO Bespoke'!C62&lt;&gt;"",'CDO Bespoke'!C62,"")</f>
        <v>Mercedes-Benz Group AG</v>
      </c>
      <c r="AH37" s="496">
        <f ca="1"/>
        <v>-5.8213944997831391E-4</v>
      </c>
      <c r="AI37" s="584">
        <f ca="1"/>
        <v>-1.4927307998013895E-3</v>
      </c>
      <c r="AJ37" s="584">
        <f ca="1"/>
        <v>-3.8675160099477246E-3</v>
      </c>
      <c r="AK37" s="584">
        <f ca="1"/>
        <v>0.64758680168003346</v>
      </c>
      <c r="AL37" s="497">
        <f ca="1"/>
        <v>0</v>
      </c>
      <c r="AM37" s="619">
        <f ca="1"/>
        <v>0</v>
      </c>
      <c r="AN37" s="496">
        <f ca="1"/>
        <v>2.9945281049964523E-4</v>
      </c>
      <c r="AO37" s="584">
        <f ca="1"/>
        <v>1.4669145794983865E-3</v>
      </c>
      <c r="AP37" s="584">
        <f ca="1"/>
        <v>6.3226531677980716E-3</v>
      </c>
      <c r="AQ37" s="584">
        <f ca="1"/>
        <v>0.64475341570419986</v>
      </c>
      <c r="AR37" s="497">
        <f ca="1"/>
        <v>0</v>
      </c>
      <c r="AS37" s="619">
        <f ca="1"/>
        <v>0</v>
      </c>
      <c r="AT37" s="496">
        <f ca="1"/>
        <v>-5.3181438213827092E-3</v>
      </c>
      <c r="AU37" s="497">
        <f ca="1"/>
        <v>-3.0811684803681322E-2</v>
      </c>
      <c r="AV37" s="619">
        <f ca="1"/>
        <v>0</v>
      </c>
      <c r="AW37" s="496">
        <f ca="1"/>
        <v>-0.11402675192398731</v>
      </c>
      <c r="AX37" s="497">
        <f ca="1"/>
        <v>4.3118252704366193E-3</v>
      </c>
      <c r="AY37" s="619">
        <f ca="1"/>
        <v>0</v>
      </c>
    </row>
    <row r="38" spans="2:51">
      <c r="B38" s="517" t="s">
        <v>512</v>
      </c>
      <c r="C38" s="518" t="s">
        <v>66</v>
      </c>
      <c r="D38" s="518" t="s">
        <v>57</v>
      </c>
      <c r="E38" s="518" t="s">
        <v>648</v>
      </c>
      <c r="F38" s="518" t="s">
        <v>673</v>
      </c>
      <c r="G38" s="525">
        <v>0.01</v>
      </c>
      <c r="H38" s="525">
        <v>1.0057999999999999E-2</v>
      </c>
      <c r="I38" s="527">
        <v>0.4</v>
      </c>
      <c r="J38" s="593">
        <v>4</v>
      </c>
      <c r="K38" s="519">
        <v>5</v>
      </c>
      <c r="L38" s="272"/>
      <c r="M38" s="272"/>
      <c r="P38" s="273"/>
      <c r="Q38" s="273"/>
      <c r="R38" s="273"/>
      <c r="S38" s="273"/>
      <c r="T38" s="576">
        <f ca="1"/>
        <v>0.06</v>
      </c>
      <c r="U38" s="573">
        <f ca="1"/>
        <v>30</v>
      </c>
      <c r="V38" s="576">
        <f t="shared" ca="1" si="0"/>
        <v>0</v>
      </c>
      <c r="W38" s="576">
        <f t="shared" ca="1" si="1"/>
        <v>0</v>
      </c>
      <c r="X38" s="484">
        <f ca="1">IF('CDO Bespoke'!O39&lt;&gt;"",'CDO Bespoke'!O39,"")</f>
        <v>6.6805491238960193E-2</v>
      </c>
      <c r="Y38" s="485">
        <f t="shared" ca="1" si="6"/>
        <v>0</v>
      </c>
      <c r="Z38" s="485">
        <f t="shared" ca="1" si="4"/>
        <v>6.6805491238960193E-2</v>
      </c>
      <c r="AA38" s="489">
        <f t="shared" ca="1" si="2"/>
        <v>0</v>
      </c>
      <c r="AB38" s="484">
        <f ca="1">IF('CDO Bespoke'!O39&lt;&gt;"",'CDO Bespoke'!O39,"")</f>
        <v>6.6805491238960193E-2</v>
      </c>
      <c r="AC38" s="485">
        <f ca="1">IF(AB38&lt;&gt;"",ABS(MIN(-0.6*'CDO Bespoke'!K39+'CDO Bespoke'!T39*'CDO Bespoke'!K39,0)),"")</f>
        <v>0.18290571556166282</v>
      </c>
      <c r="AD38" s="485">
        <f t="shared" ca="1" si="5"/>
        <v>0</v>
      </c>
      <c r="AE38" s="489">
        <f t="shared" ca="1" si="3"/>
        <v>0</v>
      </c>
      <c r="AF38" s="272"/>
      <c r="AG38" s="494" t="str">
        <f ca="1">IF('CDO Bespoke'!C63&lt;&gt;"",'CDO Bespoke'!C63,"")</f>
        <v>PostNL N.V.</v>
      </c>
      <c r="AH38" s="496">
        <f ca="1"/>
        <v>-2.2645318598080166E-3</v>
      </c>
      <c r="AI38" s="584">
        <f ca="1"/>
        <v>-8.134204039778048E-3</v>
      </c>
      <c r="AJ38" s="584">
        <f ca="1"/>
        <v>-3.0085364629839351E-2</v>
      </c>
      <c r="AK38" s="584">
        <f ca="1"/>
        <v>1.1673399852402122</v>
      </c>
      <c r="AL38" s="497">
        <f ca="1"/>
        <v>0</v>
      </c>
      <c r="AM38" s="619">
        <f ca="1"/>
        <v>0</v>
      </c>
      <c r="AN38" s="496">
        <f ca="1"/>
        <v>-2.2644914399790744E-4</v>
      </c>
      <c r="AO38" s="584">
        <f ca="1"/>
        <v>-9.8831096400058688E-4</v>
      </c>
      <c r="AP38" s="584">
        <f ca="1"/>
        <v>-5.751777811999724E-3</v>
      </c>
      <c r="AQ38" s="584">
        <f ca="1"/>
        <v>1.141580267331999</v>
      </c>
      <c r="AR38" s="497">
        <f ca="1"/>
        <v>0</v>
      </c>
      <c r="AS38" s="619">
        <f ca="1"/>
        <v>0</v>
      </c>
      <c r="AT38" s="496">
        <f ca="1"/>
        <v>2.4811015986789337E-2</v>
      </c>
      <c r="AU38" s="497">
        <f ca="1"/>
        <v>-4.7624870683821346E-2</v>
      </c>
      <c r="AV38" s="619">
        <f ca="1"/>
        <v>0</v>
      </c>
      <c r="AW38" s="496">
        <f ca="1"/>
        <v>-9.1959680573470273E-2</v>
      </c>
      <c r="AX38" s="497">
        <f ca="1"/>
        <v>2.7420993773763377E-2</v>
      </c>
      <c r="AY38" s="619">
        <f ca="1"/>
        <v>0</v>
      </c>
    </row>
    <row r="39" spans="2:51">
      <c r="B39" s="534" t="s">
        <v>512</v>
      </c>
      <c r="C39" s="535" t="s">
        <v>66</v>
      </c>
      <c r="D39" s="535" t="s">
        <v>59</v>
      </c>
      <c r="E39" s="535" t="s">
        <v>648</v>
      </c>
      <c r="F39" s="535" t="s">
        <v>673</v>
      </c>
      <c r="G39" s="536">
        <v>0.01</v>
      </c>
      <c r="H39" s="536">
        <v>1.5502E-2</v>
      </c>
      <c r="I39" s="537">
        <v>0.4</v>
      </c>
      <c r="J39" s="594">
        <v>4</v>
      </c>
      <c r="K39" s="538">
        <v>5</v>
      </c>
      <c r="L39" s="272"/>
      <c r="M39" s="272"/>
      <c r="P39" s="273"/>
      <c r="Q39" s="273"/>
      <c r="R39" s="273"/>
      <c r="S39" s="273"/>
      <c r="T39" s="576">
        <f ca="1"/>
        <v>0.06</v>
      </c>
      <c r="U39" s="573">
        <f ca="1"/>
        <v>31</v>
      </c>
      <c r="V39" s="576">
        <f t="shared" ca="1" si="0"/>
        <v>0</v>
      </c>
      <c r="W39" s="576">
        <f t="shared" ca="1" si="1"/>
        <v>0</v>
      </c>
      <c r="X39" s="484">
        <f ca="1">IF('CDO Bespoke'!O40&lt;&gt;"",'CDO Bespoke'!O40,"")</f>
        <v>8.2277226468110004E-2</v>
      </c>
      <c r="Y39" s="485">
        <f t="shared" ca="1" si="6"/>
        <v>0</v>
      </c>
      <c r="Z39" s="485">
        <f t="shared" ca="1" si="4"/>
        <v>8.2277226468110004E-2</v>
      </c>
      <c r="AA39" s="489">
        <f t="shared" ca="1" si="2"/>
        <v>0</v>
      </c>
      <c r="AB39" s="484">
        <f ca="1">IF('CDO Bespoke'!O40&lt;&gt;"",'CDO Bespoke'!O40,"")</f>
        <v>8.2277226468110004E-2</v>
      </c>
      <c r="AC39" s="485">
        <f ca="1">IF(AB39&lt;&gt;"",ABS(MIN(-0.6*'CDO Bespoke'!K40+'CDO Bespoke'!T40*'CDO Bespoke'!K40,0)),"")</f>
        <v>0.38584918902385135</v>
      </c>
      <c r="AD39" s="485">
        <f t="shared" ca="1" si="5"/>
        <v>0</v>
      </c>
      <c r="AE39" s="489">
        <f t="shared" ca="1" si="3"/>
        <v>0</v>
      </c>
      <c r="AF39" s="272"/>
      <c r="AG39" s="494" t="str">
        <f ca="1">IF('CDO Bespoke'!C64&lt;&gt;"",'CDO Bespoke'!C64,"")</f>
        <v>RENTOKIL INITIAL PLC</v>
      </c>
      <c r="AH39" s="496">
        <f ca="1"/>
        <v>-7.6094960999029126E-4</v>
      </c>
      <c r="AI39" s="584">
        <f ca="1"/>
        <v>-2.0568492797856663E-3</v>
      </c>
      <c r="AJ39" s="584">
        <f ca="1"/>
        <v>-5.8520055498667567E-3</v>
      </c>
      <c r="AK39" s="584">
        <f ca="1"/>
        <v>0.75678741262019678</v>
      </c>
      <c r="AL39" s="497">
        <f ca="1"/>
        <v>0</v>
      </c>
      <c r="AM39" s="619">
        <f ca="1"/>
        <v>0</v>
      </c>
      <c r="AN39" s="496">
        <f ca="1"/>
        <v>2.9400847919875545E-4</v>
      </c>
      <c r="AO39" s="584">
        <f ca="1"/>
        <v>1.4513741232978494E-3</v>
      </c>
      <c r="AP39" s="584">
        <f ca="1"/>
        <v>6.1129323028962998E-3</v>
      </c>
      <c r="AQ39" s="584">
        <f ca="1"/>
        <v>0.75272503909529909</v>
      </c>
      <c r="AR39" s="497">
        <f ca="1"/>
        <v>0</v>
      </c>
      <c r="AS39" s="619">
        <f ca="1"/>
        <v>0</v>
      </c>
      <c r="AT39" s="496">
        <f ca="1"/>
        <v>3.6511544458170397E-4</v>
      </c>
      <c r="AU39" s="497">
        <f ca="1"/>
        <v>-3.5550693620145707E-2</v>
      </c>
      <c r="AV39" s="619">
        <f ca="1"/>
        <v>0</v>
      </c>
      <c r="AW39" s="496">
        <f ca="1"/>
        <v>-0.10990709382144885</v>
      </c>
      <c r="AX39" s="497">
        <f ca="1"/>
        <v>5.3061006098173435E-3</v>
      </c>
      <c r="AY39" s="619">
        <f ca="1"/>
        <v>0</v>
      </c>
    </row>
    <row r="40" spans="2:51">
      <c r="B40" s="539" t="s">
        <v>513</v>
      </c>
      <c r="C40" s="540" t="s">
        <v>66</v>
      </c>
      <c r="D40" s="540" t="s">
        <v>55</v>
      </c>
      <c r="E40" s="540" t="s">
        <v>648</v>
      </c>
      <c r="F40" s="540" t="s">
        <v>673</v>
      </c>
      <c r="G40" s="541">
        <v>0.01</v>
      </c>
      <c r="H40" s="541">
        <v>6.8230000000000001E-3</v>
      </c>
      <c r="I40" s="542">
        <v>0.4</v>
      </c>
      <c r="J40" s="601">
        <v>4</v>
      </c>
      <c r="K40" s="543">
        <v>6</v>
      </c>
      <c r="L40" s="272"/>
      <c r="M40" s="272"/>
      <c r="P40" s="273"/>
      <c r="Q40" s="273"/>
      <c r="R40" s="273"/>
      <c r="S40" s="273"/>
      <c r="T40" s="576">
        <f ca="1"/>
        <v>0.06</v>
      </c>
      <c r="U40" s="573">
        <f ca="1"/>
        <v>32</v>
      </c>
      <c r="V40" s="576">
        <f t="shared" ca="1" si="0"/>
        <v>0</v>
      </c>
      <c r="W40" s="576">
        <f t="shared" ca="1" si="1"/>
        <v>0</v>
      </c>
      <c r="X40" s="484">
        <f ca="1">IF('CDO Bespoke'!O41&lt;&gt;"",'CDO Bespoke'!O41,"")</f>
        <v>9.0709547360170006E-2</v>
      </c>
      <c r="Y40" s="485">
        <f t="shared" ca="1" si="6"/>
        <v>0</v>
      </c>
      <c r="Z40" s="485">
        <f t="shared" ca="1" si="4"/>
        <v>9.0709547360170006E-2</v>
      </c>
      <c r="AA40" s="489">
        <f t="shared" ca="1" si="2"/>
        <v>0</v>
      </c>
      <c r="AB40" s="484">
        <f ca="1">IF('CDO Bespoke'!O41&lt;&gt;"",'CDO Bespoke'!O41,"")</f>
        <v>9.0709547360170006E-2</v>
      </c>
      <c r="AC40" s="485">
        <f ca="1">IF(AB40&lt;&gt;"",ABS(MIN(-0.6*'CDO Bespoke'!K41+'CDO Bespoke'!T41*'CDO Bespoke'!K41,0)),"")</f>
        <v>0.50218859160162577</v>
      </c>
      <c r="AD40" s="485">
        <f t="shared" ca="1" si="5"/>
        <v>0</v>
      </c>
      <c r="AE40" s="489">
        <f t="shared" ca="1" si="3"/>
        <v>0</v>
      </c>
      <c r="AF40" s="272"/>
      <c r="AG40" s="494" t="str">
        <f ca="1">IF('CDO Bespoke'!C65&lt;&gt;"",'CDO Bespoke'!C65,"")</f>
        <v>SANOFI</v>
      </c>
      <c r="AH40" s="496">
        <f ca="1"/>
        <v>-1.7631006987706144E-4</v>
      </c>
      <c r="AI40" s="584">
        <f ca="1"/>
        <v>-8.2044759874833062E-5</v>
      </c>
      <c r="AJ40" s="584">
        <f ca="1"/>
        <v>9.4860939020557922E-4</v>
      </c>
      <c r="AK40" s="584">
        <f ca="1"/>
        <v>0.41161234959008475</v>
      </c>
      <c r="AL40" s="497">
        <f ca="1"/>
        <v>0</v>
      </c>
      <c r="AM40" s="619">
        <f ca="1"/>
        <v>0</v>
      </c>
      <c r="AN40" s="496">
        <f ca="1"/>
        <v>2.4537885610128457E-4</v>
      </c>
      <c r="AO40" s="584">
        <f ca="1"/>
        <v>1.1914253924020721E-3</v>
      </c>
      <c r="AP40" s="584">
        <f ca="1"/>
        <v>5.2840464095016068E-3</v>
      </c>
      <c r="AQ40" s="584">
        <f ca="1"/>
        <v>0.41192056603990379</v>
      </c>
      <c r="AR40" s="497">
        <f ca="1"/>
        <v>0</v>
      </c>
      <c r="AS40" s="619">
        <f ca="1"/>
        <v>0</v>
      </c>
      <c r="AT40" s="496">
        <f ca="1"/>
        <v>-1.7111663554690099E-2</v>
      </c>
      <c r="AU40" s="497">
        <f ca="1"/>
        <v>-2.0137105019918944E-2</v>
      </c>
      <c r="AV40" s="619">
        <f ca="1"/>
        <v>0</v>
      </c>
      <c r="AW40" s="496">
        <f ca="1"/>
        <v>-6.538949988367887E-2</v>
      </c>
      <c r="AX40" s="497">
        <f ca="1"/>
        <v>1.004287532598357E-2</v>
      </c>
      <c r="AY40" s="619">
        <f ca="1"/>
        <v>0</v>
      </c>
    </row>
    <row r="41" spans="2:51">
      <c r="B41" s="517" t="s">
        <v>513</v>
      </c>
      <c r="C41" s="518" t="s">
        <v>66</v>
      </c>
      <c r="D41" s="518" t="s">
        <v>57</v>
      </c>
      <c r="E41" s="518" t="s">
        <v>648</v>
      </c>
      <c r="F41" s="518" t="s">
        <v>673</v>
      </c>
      <c r="G41" s="525">
        <v>0.01</v>
      </c>
      <c r="H41" s="525">
        <v>1.3924000000000001E-2</v>
      </c>
      <c r="I41" s="527">
        <v>0.4</v>
      </c>
      <c r="J41" s="593">
        <v>4</v>
      </c>
      <c r="K41" s="519">
        <v>6</v>
      </c>
      <c r="L41" s="272"/>
      <c r="M41" s="272"/>
      <c r="P41" s="273"/>
      <c r="Q41" s="273"/>
      <c r="R41" s="273"/>
      <c r="S41" s="273"/>
      <c r="T41" s="576">
        <f ca="1"/>
        <v>0.06</v>
      </c>
      <c r="U41" s="573">
        <f ca="1"/>
        <v>33</v>
      </c>
      <c r="V41" s="576">
        <f t="shared" ref="V41:V72" ca="1" si="7">AA46*T41</f>
        <v>0</v>
      </c>
      <c r="W41" s="576">
        <f t="shared" ref="W41:W72" ca="1" si="8">AE46*T41</f>
        <v>0</v>
      </c>
      <c r="X41" s="484">
        <f ca="1">IF('CDO Bespoke'!O42&lt;&gt;"",'CDO Bespoke'!O42,"")</f>
        <v>9.0104706197430107E-2</v>
      </c>
      <c r="Y41" s="485">
        <f t="shared" ca="1" si="6"/>
        <v>0</v>
      </c>
      <c r="Z41" s="485">
        <f t="shared" ca="1" si="4"/>
        <v>9.0104706197430107E-2</v>
      </c>
      <c r="AA41" s="489">
        <f t="shared" ca="1" si="2"/>
        <v>0</v>
      </c>
      <c r="AB41" s="484">
        <f ca="1">IF('CDO Bespoke'!O42&lt;&gt;"",'CDO Bespoke'!O42,"")</f>
        <v>9.0104706197430107E-2</v>
      </c>
      <c r="AC41" s="485">
        <f ca="1">IF(AB41&lt;&gt;"",ABS(MIN(-0.6*'CDO Bespoke'!K42+'CDO Bespoke'!T42*'CDO Bespoke'!K42,0)),"")</f>
        <v>0.50631938352197858</v>
      </c>
      <c r="AD41" s="485">
        <f t="shared" ca="1" si="5"/>
        <v>0</v>
      </c>
      <c r="AE41" s="489">
        <f t="shared" ca="1" si="3"/>
        <v>0</v>
      </c>
      <c r="AF41" s="272"/>
      <c r="AG41" s="494" t="str">
        <f ca="1">IF('CDO Bespoke'!C66&lt;&gt;"",'CDO Bespoke'!C66,"")</f>
        <v>Siemens Aktiengesellschaft</v>
      </c>
      <c r="AH41" s="496">
        <f ca="1"/>
        <v>-1.3747993993229457E-4</v>
      </c>
      <c r="AI41" s="584">
        <f ca="1"/>
        <v>1.6793726020924993E-4</v>
      </c>
      <c r="AJ41" s="584">
        <f ca="1"/>
        <v>1.9210397700364368E-3</v>
      </c>
      <c r="AK41" s="584">
        <f ca="1"/>
        <v>0.43540604335007282</v>
      </c>
      <c r="AL41" s="497">
        <f ca="1"/>
        <v>0</v>
      </c>
      <c r="AM41" s="619">
        <f ca="1"/>
        <v>0</v>
      </c>
      <c r="AN41" s="496">
        <f ca="1"/>
        <v>2.5446465629942738E-4</v>
      </c>
      <c r="AO41" s="584">
        <f ca="1"/>
        <v>1.2369822523965526E-3</v>
      </c>
      <c r="AP41" s="584">
        <f ca="1"/>
        <v>5.4802513604988029E-3</v>
      </c>
      <c r="AQ41" s="584">
        <f ca="1"/>
        <v>0.43742328107199652</v>
      </c>
      <c r="AR41" s="497">
        <f ca="1"/>
        <v>0</v>
      </c>
      <c r="AS41" s="619">
        <f ca="1"/>
        <v>0</v>
      </c>
      <c r="AT41" s="496">
        <f ca="1"/>
        <v>-1.5831237585292701E-2</v>
      </c>
      <c r="AU41" s="497">
        <f ca="1"/>
        <v>-2.1325962810757326E-2</v>
      </c>
      <c r="AV41" s="619">
        <f ca="1"/>
        <v>0</v>
      </c>
      <c r="AW41" s="496">
        <f ca="1"/>
        <v>-6.4884376171823729E-2</v>
      </c>
      <c r="AX41" s="497">
        <f ca="1"/>
        <v>1.0446447678144229E-2</v>
      </c>
      <c r="AY41" s="619">
        <f ca="1"/>
        <v>0</v>
      </c>
    </row>
    <row r="42" spans="2:51">
      <c r="B42" s="534" t="s">
        <v>513</v>
      </c>
      <c r="C42" s="535" t="s">
        <v>66</v>
      </c>
      <c r="D42" s="535" t="s">
        <v>59</v>
      </c>
      <c r="E42" s="535" t="s">
        <v>648</v>
      </c>
      <c r="F42" s="535" t="s">
        <v>673</v>
      </c>
      <c r="G42" s="536">
        <v>0.01</v>
      </c>
      <c r="H42" s="536">
        <v>2.0253E-2</v>
      </c>
      <c r="I42" s="537">
        <v>0.4</v>
      </c>
      <c r="J42" s="594">
        <v>4</v>
      </c>
      <c r="K42" s="538">
        <v>6</v>
      </c>
      <c r="L42" s="272"/>
      <c r="M42" s="272"/>
      <c r="P42" s="273"/>
      <c r="Q42" s="273"/>
      <c r="R42" s="273"/>
      <c r="S42" s="273"/>
      <c r="T42" s="576">
        <f ca="1"/>
        <v>0.03</v>
      </c>
      <c r="U42" s="573">
        <f ca="1"/>
        <v>34</v>
      </c>
      <c r="V42" s="576">
        <f t="shared" ca="1" si="7"/>
        <v>0</v>
      </c>
      <c r="W42" s="576">
        <f t="shared" ca="1" si="8"/>
        <v>0</v>
      </c>
      <c r="X42" s="484">
        <f ca="1">IF('CDO Bespoke'!O43&lt;&gt;"",'CDO Bespoke'!O43,"")</f>
        <v>8.5043581891409897E-2</v>
      </c>
      <c r="Y42" s="485">
        <f t="shared" ca="1" si="6"/>
        <v>0</v>
      </c>
      <c r="Z42" s="485">
        <f t="shared" ca="1" si="4"/>
        <v>8.5043581891409897E-2</v>
      </c>
      <c r="AA42" s="489">
        <f t="shared" ca="1" si="2"/>
        <v>0</v>
      </c>
      <c r="AB42" s="484">
        <f ca="1">IF('CDO Bespoke'!O43&lt;&gt;"",'CDO Bespoke'!O43,"")</f>
        <v>8.5043581891409897E-2</v>
      </c>
      <c r="AC42" s="485">
        <f ca="1">IF(AB42&lt;&gt;"",ABS(MIN(-0.6*'CDO Bespoke'!K43+'CDO Bespoke'!T43*'CDO Bespoke'!K43,0)),"")</f>
        <v>0.42138398239633024</v>
      </c>
      <c r="AD42" s="485">
        <f t="shared" ca="1" si="5"/>
        <v>0</v>
      </c>
      <c r="AE42" s="489">
        <f t="shared" ca="1" si="3"/>
        <v>0</v>
      </c>
      <c r="AF42" s="272"/>
      <c r="AG42" s="494" t="str">
        <f ca="1">IF('CDO Bespoke'!C67&lt;&gt;"",'CDO Bespoke'!C67,"")</f>
        <v>SMURFIT KAPPA ACQUISITIONS UNLIMITED COMPANY</v>
      </c>
      <c r="AH42" s="496">
        <f ca="1"/>
        <v>-5.3383458986644428E-4</v>
      </c>
      <c r="AI42" s="584">
        <f ca="1"/>
        <v>-1.2429552398440791E-3</v>
      </c>
      <c r="AJ42" s="584">
        <f ca="1"/>
        <v>-2.9142939497739384E-3</v>
      </c>
      <c r="AK42" s="584">
        <f ca="1"/>
        <v>0.64721836091019558</v>
      </c>
      <c r="AL42" s="497">
        <f ca="1"/>
        <v>0</v>
      </c>
      <c r="AM42" s="619">
        <f ca="1"/>
        <v>0</v>
      </c>
      <c r="AN42" s="496">
        <f ca="1"/>
        <v>2.990629205997658E-4</v>
      </c>
      <c r="AO42" s="584">
        <f ca="1"/>
        <v>1.4656407792013743E-3</v>
      </c>
      <c r="AP42" s="584">
        <f ca="1"/>
        <v>6.3235651112008087E-3</v>
      </c>
      <c r="AQ42" s="584">
        <f ca="1"/>
        <v>0.64573234275439817</v>
      </c>
      <c r="AR42" s="497">
        <f ca="1"/>
        <v>0</v>
      </c>
      <c r="AS42" s="619">
        <f ca="1"/>
        <v>0</v>
      </c>
      <c r="AT42" s="496">
        <f ca="1"/>
        <v>-5.2605121278044564E-3</v>
      </c>
      <c r="AU42" s="497">
        <f ca="1"/>
        <v>-3.0850723005618558E-2</v>
      </c>
      <c r="AV42" s="619">
        <f ca="1"/>
        <v>0</v>
      </c>
      <c r="AW42" s="496">
        <f ca="1"/>
        <v>-0.11391955053556489</v>
      </c>
      <c r="AX42" s="497">
        <f ca="1"/>
        <v>4.3461517858877953E-3</v>
      </c>
      <c r="AY42" s="619">
        <f ca="1"/>
        <v>0</v>
      </c>
    </row>
    <row r="43" spans="2:51">
      <c r="B43" s="539" t="s">
        <v>514</v>
      </c>
      <c r="C43" s="540" t="s">
        <v>66</v>
      </c>
      <c r="D43" s="540" t="s">
        <v>55</v>
      </c>
      <c r="E43" s="540" t="s">
        <v>646</v>
      </c>
      <c r="F43" s="540" t="s">
        <v>672</v>
      </c>
      <c r="G43" s="541">
        <v>0.01</v>
      </c>
      <c r="H43" s="541">
        <v>2.196E-3</v>
      </c>
      <c r="I43" s="542">
        <v>0.4</v>
      </c>
      <c r="J43" s="601">
        <v>7</v>
      </c>
      <c r="K43" s="543">
        <v>7</v>
      </c>
      <c r="L43" s="272"/>
      <c r="M43" s="272"/>
      <c r="P43" s="273"/>
      <c r="Q43" s="273"/>
      <c r="R43" s="273"/>
      <c r="S43" s="273"/>
      <c r="T43" s="576">
        <f ca="1"/>
        <v>0.03</v>
      </c>
      <c r="U43" s="573">
        <f ca="1"/>
        <v>35</v>
      </c>
      <c r="V43" s="576">
        <f t="shared" ca="1" si="7"/>
        <v>0</v>
      </c>
      <c r="W43" s="576">
        <f t="shared" ca="1" si="8"/>
        <v>0</v>
      </c>
      <c r="X43" s="484">
        <f ca="1">IF('CDO Bespoke'!O44&lt;&gt;"",'CDO Bespoke'!O44,"")</f>
        <v>7.5224995821600193E-2</v>
      </c>
      <c r="Y43" s="485">
        <f t="shared" ca="1" si="6"/>
        <v>0</v>
      </c>
      <c r="Z43" s="485">
        <f t="shared" ca="1" si="4"/>
        <v>7.5224995821600193E-2</v>
      </c>
      <c r="AA43" s="489">
        <f t="shared" ca="1" si="2"/>
        <v>0</v>
      </c>
      <c r="AB43" s="484">
        <f ca="1">IF('CDO Bespoke'!O44&lt;&gt;"",'CDO Bespoke'!O44,"")</f>
        <v>7.5224995821600193E-2</v>
      </c>
      <c r="AC43" s="485">
        <f ca="1">IF(AB43&lt;&gt;"",ABS(MIN(-0.6*'CDO Bespoke'!K44+'CDO Bespoke'!T44*'CDO Bespoke'!K44,0)),"")</f>
        <v>0.28789061471027372</v>
      </c>
      <c r="AD43" s="485">
        <f t="shared" ca="1" si="5"/>
        <v>0</v>
      </c>
      <c r="AE43" s="489">
        <f t="shared" ca="1" si="3"/>
        <v>0</v>
      </c>
      <c r="AF43" s="272"/>
      <c r="AG43" s="494" t="str">
        <f ca="1">IF('CDO Bespoke'!C68&lt;&gt;"",'CDO Bespoke'!C68,"")</f>
        <v>Solvay</v>
      </c>
      <c r="AH43" s="496">
        <f ca="1"/>
        <v>-1.3970044798750081E-3</v>
      </c>
      <c r="AI43" s="584">
        <f ca="1"/>
        <v>-4.4482894898112413E-3</v>
      </c>
      <c r="AJ43" s="584">
        <f ca="1"/>
        <v>-1.5051236030017012E-2</v>
      </c>
      <c r="AK43" s="584">
        <f ca="1"/>
        <v>0.99772634703010343</v>
      </c>
      <c r="AL43" s="497">
        <f ca="1"/>
        <v>0</v>
      </c>
      <c r="AM43" s="619">
        <f ca="1"/>
        <v>0</v>
      </c>
      <c r="AN43" s="496">
        <f ca="1"/>
        <v>1.6887319259986655E-4</v>
      </c>
      <c r="AO43" s="584">
        <f ca="1"/>
        <v>8.8024947390158426E-4</v>
      </c>
      <c r="AP43" s="584">
        <f ca="1"/>
        <v>3.0059124909000492E-3</v>
      </c>
      <c r="AQ43" s="584">
        <f ca="1"/>
        <v>0.98588556292189977</v>
      </c>
      <c r="AR43" s="497">
        <f ca="1"/>
        <v>0</v>
      </c>
      <c r="AS43" s="619">
        <f ca="1"/>
        <v>0</v>
      </c>
      <c r="AT43" s="496">
        <f ca="1"/>
        <v>1.3409162202856012E-2</v>
      </c>
      <c r="AU43" s="497">
        <f ca="1"/>
        <v>-4.4773881982128005E-2</v>
      </c>
      <c r="AV43" s="619">
        <f ca="1"/>
        <v>0</v>
      </c>
      <c r="AW43" s="496">
        <f ca="1"/>
        <v>-0.10049351207942167</v>
      </c>
      <c r="AX43" s="497">
        <f ca="1"/>
        <v>1.0924309967247962E-2</v>
      </c>
      <c r="AY43" s="619">
        <f ca="1"/>
        <v>0</v>
      </c>
    </row>
    <row r="44" spans="2:51">
      <c r="B44" s="517" t="s">
        <v>514</v>
      </c>
      <c r="C44" s="518" t="s">
        <v>66</v>
      </c>
      <c r="D44" s="518" t="s">
        <v>57</v>
      </c>
      <c r="E44" s="518" t="s">
        <v>646</v>
      </c>
      <c r="F44" s="518" t="s">
        <v>672</v>
      </c>
      <c r="G44" s="525">
        <v>0.01</v>
      </c>
      <c r="H44" s="525">
        <v>3.117E-3</v>
      </c>
      <c r="I44" s="527">
        <v>0.4</v>
      </c>
      <c r="J44" s="593">
        <v>7</v>
      </c>
      <c r="K44" s="519">
        <v>7</v>
      </c>
      <c r="L44" s="272"/>
      <c r="M44" s="272"/>
      <c r="P44" s="273"/>
      <c r="Q44" s="273"/>
      <c r="R44" s="273"/>
      <c r="S44" s="273"/>
      <c r="T44" s="576">
        <f ca="1"/>
        <v>0.06</v>
      </c>
      <c r="U44" s="573">
        <f ca="1"/>
        <v>36</v>
      </c>
      <c r="V44" s="576">
        <f t="shared" ca="1" si="7"/>
        <v>0</v>
      </c>
      <c r="W44" s="576">
        <f t="shared" ca="1" si="8"/>
        <v>0</v>
      </c>
      <c r="X44" s="484">
        <f ca="1">IF('CDO Bespoke'!O45&lt;&gt;"",'CDO Bespoke'!O45,"")</f>
        <v>7.06991980995402E-2</v>
      </c>
      <c r="Y44" s="485">
        <f t="shared" ca="1" si="6"/>
        <v>0</v>
      </c>
      <c r="Z44" s="485">
        <f t="shared" ca="1" si="4"/>
        <v>7.06991980995402E-2</v>
      </c>
      <c r="AA44" s="489">
        <f t="shared" ca="1" si="2"/>
        <v>0</v>
      </c>
      <c r="AB44" s="484">
        <f ca="1">IF('CDO Bespoke'!O45&lt;&gt;"",'CDO Bespoke'!O45,"")</f>
        <v>7.06991980995402E-2</v>
      </c>
      <c r="AC44" s="485">
        <f ca="1">IF(AB44&lt;&gt;"",ABS(MIN(-0.6*'CDO Bespoke'!K45+'CDO Bespoke'!T45*'CDO Bespoke'!K45,0)),"")</f>
        <v>0.23350574410169336</v>
      </c>
      <c r="AD44" s="485">
        <f t="shared" ca="1" si="5"/>
        <v>0</v>
      </c>
      <c r="AE44" s="489">
        <f t="shared" ca="1" si="3"/>
        <v>0</v>
      </c>
      <c r="AF44" s="272"/>
      <c r="AG44" s="494" t="str">
        <f ca="1">IF('CDO Bespoke'!C69&lt;&gt;"",'CDO Bespoke'!C69,"")</f>
        <v>Stellantis N.V.</v>
      </c>
      <c r="AH44" s="496">
        <f ca="1"/>
        <v>-1.8872540399894611E-3</v>
      </c>
      <c r="AI44" s="584">
        <f ca="1"/>
        <v>-6.501093499922117E-3</v>
      </c>
      <c r="AJ44" s="584">
        <f ca="1"/>
        <v>-2.3090760229993457E-2</v>
      </c>
      <c r="AK44" s="584">
        <f ca="1"/>
        <v>1.1128887135000709</v>
      </c>
      <c r="AL44" s="497">
        <f ca="1"/>
        <v>0</v>
      </c>
      <c r="AM44" s="619">
        <f ca="1"/>
        <v>0</v>
      </c>
      <c r="AN44" s="496">
        <f ca="1"/>
        <v>-5.9764699797144188E-6</v>
      </c>
      <c r="AO44" s="584">
        <f ca="1"/>
        <v>5.887057602039017E-5</v>
      </c>
      <c r="AP44" s="584">
        <f ca="1"/>
        <v>-6.8488420098948045E-4</v>
      </c>
      <c r="AQ44" s="584">
        <f ca="1"/>
        <v>1.0936305843149998</v>
      </c>
      <c r="AR44" s="497">
        <f ca="1"/>
        <v>0</v>
      </c>
      <c r="AS44" s="619">
        <f ca="1"/>
        <v>0</v>
      </c>
      <c r="AT44" s="496">
        <f ca="1"/>
        <v>2.0366976554022281E-2</v>
      </c>
      <c r="AU44" s="497">
        <f ca="1"/>
        <v>-4.7845074647539315E-2</v>
      </c>
      <c r="AV44" s="619">
        <f ca="1"/>
        <v>0</v>
      </c>
      <c r="AW44" s="496">
        <f ca="1"/>
        <v>-9.5596500127063569E-2</v>
      </c>
      <c r="AX44" s="497">
        <f ca="1"/>
        <v>1.7837771799715067E-2</v>
      </c>
      <c r="AY44" s="619">
        <f ca="1"/>
        <v>0</v>
      </c>
    </row>
    <row r="45" spans="2:51">
      <c r="B45" s="534" t="s">
        <v>514</v>
      </c>
      <c r="C45" s="535" t="s">
        <v>66</v>
      </c>
      <c r="D45" s="535" t="s">
        <v>59</v>
      </c>
      <c r="E45" s="535" t="s">
        <v>646</v>
      </c>
      <c r="F45" s="535" t="s">
        <v>672</v>
      </c>
      <c r="G45" s="536">
        <v>0.01</v>
      </c>
      <c r="H45" s="536">
        <v>4.3610000000000003E-3</v>
      </c>
      <c r="I45" s="537">
        <v>0.4</v>
      </c>
      <c r="J45" s="594">
        <v>7</v>
      </c>
      <c r="K45" s="538">
        <v>7</v>
      </c>
      <c r="L45" s="272"/>
      <c r="M45" s="272"/>
      <c r="P45" s="273"/>
      <c r="Q45" s="273"/>
      <c r="R45" s="273"/>
      <c r="S45" s="273"/>
      <c r="T45" s="576">
        <f ca="1"/>
        <v>0.06</v>
      </c>
      <c r="U45" s="573">
        <f ca="1"/>
        <v>37</v>
      </c>
      <c r="V45" s="576">
        <f t="shared" ca="1" si="7"/>
        <v>0</v>
      </c>
      <c r="W45" s="576">
        <f t="shared" ca="1" si="8"/>
        <v>0</v>
      </c>
      <c r="X45" s="484">
        <f ca="1">IF('CDO Bespoke'!O46&lt;&gt;"",'CDO Bespoke'!O46,"")</f>
        <v>7.5353994056659906E-2</v>
      </c>
      <c r="Y45" s="485">
        <f t="shared" ca="1" si="6"/>
        <v>0</v>
      </c>
      <c r="Z45" s="485">
        <f t="shared" ca="1" si="4"/>
        <v>7.5353994056659906E-2</v>
      </c>
      <c r="AA45" s="489">
        <f t="shared" ca="1" si="2"/>
        <v>0</v>
      </c>
      <c r="AB45" s="484">
        <f ca="1">IF('CDO Bespoke'!O46&lt;&gt;"",'CDO Bespoke'!O46,"")</f>
        <v>7.5353994056659906E-2</v>
      </c>
      <c r="AC45" s="485">
        <f ca="1">IF(AB45&lt;&gt;"",ABS(MIN(-0.6*'CDO Bespoke'!K46+'CDO Bespoke'!T46*'CDO Bespoke'!K46,0)),"")</f>
        <v>0.28696299777191897</v>
      </c>
      <c r="AD45" s="485">
        <f t="shared" ca="1" si="5"/>
        <v>0</v>
      </c>
      <c r="AE45" s="489">
        <f t="shared" ca="1" si="3"/>
        <v>0</v>
      </c>
      <c r="AF45" s="272"/>
      <c r="AG45" s="494" t="str">
        <f ca="1">IF('CDO Bespoke'!C70&lt;&gt;"",'CDO Bespoke'!C70,"")</f>
        <v>Stora Enso Oyj</v>
      </c>
      <c r="AH45" s="496">
        <f ca="1"/>
        <v>-1.3966673698129206E-3</v>
      </c>
      <c r="AI45" s="584">
        <f ca="1"/>
        <v>-4.4654931299903389E-3</v>
      </c>
      <c r="AJ45" s="584">
        <f ca="1"/>
        <v>-1.5143233020042945E-2</v>
      </c>
      <c r="AK45" s="584">
        <f ca="1"/>
        <v>0.99485572461005534</v>
      </c>
      <c r="AL45" s="497">
        <f ca="1"/>
        <v>0</v>
      </c>
      <c r="AM45" s="619">
        <f ca="1"/>
        <v>0</v>
      </c>
      <c r="AN45" s="496">
        <f ca="1"/>
        <v>1.7322235150180748E-4</v>
      </c>
      <c r="AO45" s="584">
        <f ca="1"/>
        <v>9.0022709620107833E-4</v>
      </c>
      <c r="AP45" s="584">
        <f ca="1"/>
        <v>3.1004627548008624E-3</v>
      </c>
      <c r="AQ45" s="584">
        <f ca="1"/>
        <v>0.98276715299720063</v>
      </c>
      <c r="AR45" s="497">
        <f ca="1"/>
        <v>0</v>
      </c>
      <c r="AS45" s="619">
        <f ca="1"/>
        <v>0</v>
      </c>
      <c r="AT45" s="496">
        <f ca="1"/>
        <v>1.321331689771546E-2</v>
      </c>
      <c r="AU45" s="497">
        <f ca="1"/>
        <v>-4.4676056754413468E-2</v>
      </c>
      <c r="AV45" s="619">
        <f ca="1"/>
        <v>0</v>
      </c>
      <c r="AW45" s="496">
        <f ca="1"/>
        <v>-0.10068894581164528</v>
      </c>
      <c r="AX45" s="497">
        <f ca="1"/>
        <v>1.0736678036716175E-2</v>
      </c>
      <c r="AY45" s="619">
        <f ca="1"/>
        <v>0</v>
      </c>
    </row>
    <row r="46" spans="2:51">
      <c r="B46" s="539" t="s">
        <v>515</v>
      </c>
      <c r="C46" s="540" t="s">
        <v>66</v>
      </c>
      <c r="D46" s="540" t="s">
        <v>55</v>
      </c>
      <c r="E46" s="540" t="s">
        <v>648</v>
      </c>
      <c r="F46" s="540" t="s">
        <v>647</v>
      </c>
      <c r="G46" s="541">
        <v>0.01</v>
      </c>
      <c r="H46" s="541">
        <v>2.016E-3</v>
      </c>
      <c r="I46" s="542">
        <v>0.4</v>
      </c>
      <c r="J46" s="601">
        <v>4</v>
      </c>
      <c r="K46" s="543">
        <v>8</v>
      </c>
      <c r="L46" s="272"/>
      <c r="M46" s="272"/>
      <c r="P46" s="273"/>
      <c r="Q46" s="273"/>
      <c r="R46" s="273"/>
      <c r="S46" s="273"/>
      <c r="T46" s="576">
        <f ca="1"/>
        <v>0.03</v>
      </c>
      <c r="U46" s="573">
        <f ca="1"/>
        <v>38</v>
      </c>
      <c r="V46" s="576">
        <f t="shared" ca="1" si="7"/>
        <v>0</v>
      </c>
      <c r="W46" s="576">
        <f t="shared" ca="1" si="8"/>
        <v>0</v>
      </c>
      <c r="X46" s="484">
        <f ca="1">IF('CDO Bespoke'!O47&lt;&gt;"",'CDO Bespoke'!O47,"")</f>
        <v>6.7595767161599901E-2</v>
      </c>
      <c r="Y46" s="485">
        <f t="shared" ca="1" si="6"/>
        <v>0</v>
      </c>
      <c r="Z46" s="485">
        <f t="shared" ca="1" si="4"/>
        <v>6.7595767161599901E-2</v>
      </c>
      <c r="AA46" s="489">
        <f t="shared" ca="1" si="2"/>
        <v>0</v>
      </c>
      <c r="AB46" s="484">
        <f ca="1">IF('CDO Bespoke'!O47&lt;&gt;"",'CDO Bespoke'!O47,"")</f>
        <v>6.7595767161599901E-2</v>
      </c>
      <c r="AC46" s="485">
        <f ca="1">IF(AB46&lt;&gt;"",ABS(MIN(-0.6*'CDO Bespoke'!K47+'CDO Bespoke'!T47*'CDO Bespoke'!K47,0)),"")</f>
        <v>0.18322833153770493</v>
      </c>
      <c r="AD46" s="485">
        <f t="shared" ca="1" si="5"/>
        <v>0</v>
      </c>
      <c r="AE46" s="489">
        <f t="shared" ca="1" si="3"/>
        <v>0</v>
      </c>
      <c r="AF46" s="272"/>
      <c r="AG46" s="494" t="str">
        <f ca="1">IF('CDO Bespoke'!C71&lt;&gt;"",'CDO Bespoke'!C71,"")</f>
        <v>UNIBAIL-RODAMCO-WESTFIELD SE</v>
      </c>
      <c r="AH46" s="496">
        <f ca="1"/>
        <v>-2.2012747699640123E-3</v>
      </c>
      <c r="AI46" s="584">
        <f ca="1"/>
        <v>-7.8565988698153788E-3</v>
      </c>
      <c r="AJ46" s="584">
        <f ca="1"/>
        <v>-2.8874280559865184E-2</v>
      </c>
      <c r="AK46" s="584">
        <f ca="1"/>
        <v>1.1633022902401979</v>
      </c>
      <c r="AL46" s="497">
        <f ca="1"/>
        <v>0</v>
      </c>
      <c r="AM46" s="619">
        <f ca="1"/>
        <v>0</v>
      </c>
      <c r="AN46" s="496">
        <f ca="1"/>
        <v>-1.7555107599803027E-4</v>
      </c>
      <c r="AO46" s="584">
        <f ca="1"/>
        <v>-7.4450258400089731E-4</v>
      </c>
      <c r="AP46" s="584">
        <f ca="1"/>
        <v>-4.5640393039978605E-3</v>
      </c>
      <c r="AQ46" s="584">
        <f ca="1"/>
        <v>1.138491102156999</v>
      </c>
      <c r="AR46" s="497">
        <f ca="1"/>
        <v>0</v>
      </c>
      <c r="AS46" s="619">
        <f ca="1"/>
        <v>0</v>
      </c>
      <c r="AT46" s="496">
        <f ca="1"/>
        <v>2.4165621055592668E-2</v>
      </c>
      <c r="AU46" s="497">
        <f ca="1"/>
        <v>-4.8055978241982683E-2</v>
      </c>
      <c r="AV46" s="619">
        <f ca="1"/>
        <v>0</v>
      </c>
      <c r="AW46" s="496">
        <f ca="1"/>
        <v>-0.13888475183715057</v>
      </c>
      <c r="AX46" s="497">
        <f ca="1"/>
        <v>2.3163371335788857E-3</v>
      </c>
      <c r="AY46" s="619">
        <f ca="1"/>
        <v>0</v>
      </c>
    </row>
    <row r="47" spans="2:51">
      <c r="B47" s="517" t="s">
        <v>515</v>
      </c>
      <c r="C47" s="518" t="s">
        <v>66</v>
      </c>
      <c r="D47" s="518" t="s">
        <v>57</v>
      </c>
      <c r="E47" s="518" t="s">
        <v>648</v>
      </c>
      <c r="F47" s="518" t="s">
        <v>647</v>
      </c>
      <c r="G47" s="525">
        <v>0.01</v>
      </c>
      <c r="H47" s="525">
        <v>3.4150000000000001E-3</v>
      </c>
      <c r="I47" s="527">
        <v>0.4</v>
      </c>
      <c r="J47" s="593">
        <v>4</v>
      </c>
      <c r="K47" s="519">
        <v>8</v>
      </c>
      <c r="L47" s="272"/>
      <c r="M47" s="272"/>
      <c r="P47" s="273"/>
      <c r="Q47" s="273"/>
      <c r="R47" s="273"/>
      <c r="S47" s="273"/>
      <c r="T47" s="576">
        <f ca="1"/>
        <v>0.06</v>
      </c>
      <c r="U47" s="573">
        <f ca="1"/>
        <v>39</v>
      </c>
      <c r="V47" s="576">
        <f t="shared" ca="1" si="7"/>
        <v>0</v>
      </c>
      <c r="W47" s="576">
        <f t="shared" ca="1" si="8"/>
        <v>0</v>
      </c>
      <c r="X47" s="484">
        <f ca="1">IF('CDO Bespoke'!O48&lt;&gt;"",'CDO Bespoke'!O48,"")</f>
        <v>9.1502582577629901E-2</v>
      </c>
      <c r="Y47" s="485">
        <f t="shared" ca="1" si="6"/>
        <v>0</v>
      </c>
      <c r="Z47" s="485">
        <f t="shared" ca="1" si="4"/>
        <v>9.1502582577629901E-2</v>
      </c>
      <c r="AA47" s="489">
        <f t="shared" ca="1" si="2"/>
        <v>0</v>
      </c>
      <c r="AB47" s="484">
        <f ca="1">IF('CDO Bespoke'!O48&lt;&gt;"",'CDO Bespoke'!O48,"")</f>
        <v>9.1502582577629901E-2</v>
      </c>
      <c r="AC47" s="485">
        <f ca="1">IF(AB47&lt;&gt;"",ABS(MIN(-0.6*'CDO Bespoke'!K48+'CDO Bespoke'!T48*'CDO Bespoke'!K48,0)),"")</f>
        <v>0.51232366505641902</v>
      </c>
      <c r="AD47" s="485">
        <f t="shared" ca="1" si="5"/>
        <v>0</v>
      </c>
      <c r="AE47" s="489">
        <f t="shared" ca="1" si="3"/>
        <v>0</v>
      </c>
      <c r="AF47" s="272"/>
      <c r="AG47" s="494" t="str">
        <f ca="1">IF('CDO Bespoke'!C72&lt;&gt;"",'CDO Bespoke'!C72,"")</f>
        <v>VINCI</v>
      </c>
      <c r="AH47" s="496">
        <f ca="1"/>
        <v>-1.4623286997972329E-4</v>
      </c>
      <c r="AI47" s="584">
        <f ca="1"/>
        <v>-8.5355600365488726E-6</v>
      </c>
      <c r="AJ47" s="584">
        <f ca="1"/>
        <v>1.1499566002215467E-3</v>
      </c>
      <c r="AK47" s="584">
        <f ca="1"/>
        <v>0.37855816778009643</v>
      </c>
      <c r="AL47" s="497">
        <f ca="1"/>
        <v>0</v>
      </c>
      <c r="AM47" s="619">
        <f ca="1"/>
        <v>0</v>
      </c>
      <c r="AN47" s="496">
        <f ca="1"/>
        <v>2.3209263329791729E-4</v>
      </c>
      <c r="AO47" s="584">
        <f ca="1"/>
        <v>1.1257872543999486E-3</v>
      </c>
      <c r="AP47" s="584">
        <f ca="1"/>
        <v>5.0055598845976518E-3</v>
      </c>
      <c r="AQ47" s="584">
        <f ca="1"/>
        <v>0.37868964620479773</v>
      </c>
      <c r="AR47" s="497">
        <f ca="1"/>
        <v>0</v>
      </c>
      <c r="AS47" s="619">
        <f ca="1"/>
        <v>0</v>
      </c>
      <c r="AT47" s="496">
        <f ca="1"/>
        <v>-1.8763781846984934E-2</v>
      </c>
      <c r="AU47" s="497">
        <f ca="1"/>
        <v>-1.8575550750602104E-2</v>
      </c>
      <c r="AV47" s="619">
        <f ca="1"/>
        <v>0</v>
      </c>
      <c r="AW47" s="496">
        <f ca="1"/>
        <v>-0.12368592547608689</v>
      </c>
      <c r="AX47" s="497">
        <f ca="1"/>
        <v>3.7789721172662039E-3</v>
      </c>
      <c r="AY47" s="619">
        <f ca="1"/>
        <v>0</v>
      </c>
    </row>
    <row r="48" spans="2:51">
      <c r="B48" s="534" t="s">
        <v>515</v>
      </c>
      <c r="C48" s="535" t="s">
        <v>66</v>
      </c>
      <c r="D48" s="535" t="s">
        <v>59</v>
      </c>
      <c r="E48" s="535" t="s">
        <v>648</v>
      </c>
      <c r="F48" s="535" t="s">
        <v>647</v>
      </c>
      <c r="G48" s="536">
        <v>0.01</v>
      </c>
      <c r="H48" s="536">
        <v>5.3829999999999998E-3</v>
      </c>
      <c r="I48" s="537">
        <v>0.4</v>
      </c>
      <c r="J48" s="594">
        <v>4</v>
      </c>
      <c r="K48" s="538">
        <v>8</v>
      </c>
      <c r="L48" s="272"/>
      <c r="M48" s="272"/>
      <c r="P48" s="273"/>
      <c r="Q48" s="273"/>
      <c r="R48" s="273"/>
      <c r="S48" s="273"/>
      <c r="T48" s="576">
        <f ca="1"/>
        <v>0.02</v>
      </c>
      <c r="U48" s="573">
        <f ca="1"/>
        <v>40</v>
      </c>
      <c r="V48" s="576">
        <f t="shared" ca="1" si="7"/>
        <v>0</v>
      </c>
      <c r="W48" s="576">
        <f t="shared" ca="1" si="8"/>
        <v>0</v>
      </c>
      <c r="X48" s="484">
        <f ca="1">IF('CDO Bespoke'!O49&lt;&gt;"",'CDO Bespoke'!O49,"")</f>
        <v>7.3860168199370205E-2</v>
      </c>
      <c r="Y48" s="485">
        <f t="shared" ca="1" si="6"/>
        <v>0</v>
      </c>
      <c r="Z48" s="485">
        <f t="shared" ca="1" si="4"/>
        <v>7.3860168199370205E-2</v>
      </c>
      <c r="AA48" s="489">
        <f t="shared" ca="1" si="2"/>
        <v>0</v>
      </c>
      <c r="AB48" s="484">
        <f ca="1">IF('CDO Bespoke'!O49&lt;&gt;"",'CDO Bespoke'!O49,"")</f>
        <v>7.3860168199370205E-2</v>
      </c>
      <c r="AC48" s="485">
        <f ca="1">IF(AB48&lt;&gt;"",ABS(MIN(-0.6*'CDO Bespoke'!K49+'CDO Bespoke'!T49*'CDO Bespoke'!K49,0)),"")</f>
        <v>0.26663623829370814</v>
      </c>
      <c r="AD48" s="485">
        <f t="shared" ca="1" si="5"/>
        <v>0</v>
      </c>
      <c r="AE48" s="489">
        <f t="shared" ca="1" si="3"/>
        <v>0</v>
      </c>
      <c r="AF48" s="272"/>
      <c r="AG48" s="494" t="str">
        <f ca="1">IF('CDO Bespoke'!C73&lt;&gt;"",'CDO Bespoke'!C73,"")</f>
        <v>VOLKSWAGEN AKTIENGESELLSCHAFT</v>
      </c>
      <c r="AH48" s="496">
        <f ca="1"/>
        <v>-1.5903975197906206E-3</v>
      </c>
      <c r="AI48" s="584">
        <f ca="1"/>
        <v>-5.3053817097858946E-3</v>
      </c>
      <c r="AJ48" s="584">
        <f ca="1"/>
        <v>-1.860180164986458E-2</v>
      </c>
      <c r="AK48" s="584">
        <f ca="1"/>
        <v>1.0401992851299946</v>
      </c>
      <c r="AL48" s="497">
        <f ca="1"/>
        <v>0</v>
      </c>
      <c r="AM48" s="619">
        <f ca="1"/>
        <v>0</v>
      </c>
      <c r="AN48" s="496">
        <f ca="1"/>
        <v>1.2607864070032088E-4</v>
      </c>
      <c r="AO48" s="584">
        <f ca="1"/>
        <v>6.797073152898462E-4</v>
      </c>
      <c r="AP48" s="584">
        <f ca="1"/>
        <v>1.9295934943798498E-3</v>
      </c>
      <c r="AQ48" s="584">
        <f ca="1"/>
        <v>1.0243562875865897</v>
      </c>
      <c r="AR48" s="497">
        <f ca="1"/>
        <v>0</v>
      </c>
      <c r="AS48" s="619">
        <f ca="1"/>
        <v>0</v>
      </c>
      <c r="AT48" s="496">
        <f ca="1"/>
        <v>1.5732950887883679E-2</v>
      </c>
      <c r="AU48" s="497">
        <f ca="1"/>
        <v>-4.6084398505293694E-2</v>
      </c>
      <c r="AV48" s="619">
        <f ca="1"/>
        <v>0</v>
      </c>
      <c r="AW48" s="496">
        <f ca="1"/>
        <v>-9.9058580901791232E-2</v>
      </c>
      <c r="AX48" s="497">
        <f ca="1"/>
        <v>1.2553535533815913E-2</v>
      </c>
      <c r="AY48" s="619">
        <f ca="1"/>
        <v>0</v>
      </c>
    </row>
    <row r="49" spans="2:51">
      <c r="B49" s="539" t="s">
        <v>530</v>
      </c>
      <c r="C49" s="540" t="s">
        <v>66</v>
      </c>
      <c r="D49" s="540" t="s">
        <v>55</v>
      </c>
      <c r="E49" s="540" t="s">
        <v>646</v>
      </c>
      <c r="F49" s="540" t="s">
        <v>673</v>
      </c>
      <c r="G49" s="541">
        <v>0.01</v>
      </c>
      <c r="H49" s="541">
        <v>2.222E-3</v>
      </c>
      <c r="I49" s="542">
        <v>0.4</v>
      </c>
      <c r="J49" s="601">
        <v>4</v>
      </c>
      <c r="K49" s="543">
        <v>9</v>
      </c>
      <c r="L49" s="272"/>
      <c r="M49" s="272"/>
      <c r="P49" s="273"/>
      <c r="Q49" s="273"/>
      <c r="R49" s="273"/>
      <c r="S49" s="273"/>
      <c r="T49" s="576">
        <f ca="1"/>
        <v>0.06</v>
      </c>
      <c r="U49" s="573">
        <f ca="1"/>
        <v>41</v>
      </c>
      <c r="V49" s="576">
        <f t="shared" ca="1" si="7"/>
        <v>0</v>
      </c>
      <c r="W49" s="576">
        <f t="shared" ca="1" si="8"/>
        <v>0</v>
      </c>
      <c r="X49" s="484">
        <f ca="1">IF('CDO Bespoke'!O50&lt;&gt;"",'CDO Bespoke'!O50,"")</f>
        <v>7.8879328935780105E-2</v>
      </c>
      <c r="Y49" s="485">
        <f t="shared" ca="1" si="6"/>
        <v>0</v>
      </c>
      <c r="Z49" s="485">
        <f t="shared" ca="1" si="4"/>
        <v>7.8879328935780105E-2</v>
      </c>
      <c r="AA49" s="489">
        <f t="shared" ca="1" si="2"/>
        <v>0</v>
      </c>
      <c r="AB49" s="484">
        <f ca="1">IF('CDO Bespoke'!O50&lt;&gt;"",'CDO Bespoke'!O50,"")</f>
        <v>7.8879328935780105E-2</v>
      </c>
      <c r="AC49" s="485">
        <f ca="1">IF(AB49&lt;&gt;"",ABS(MIN(-0.6*'CDO Bespoke'!K50+'CDO Bespoke'!T50*'CDO Bespoke'!K50,0)),"")</f>
        <v>0.34798444799657652</v>
      </c>
      <c r="AD49" s="485">
        <f t="shared" ca="1" si="5"/>
        <v>0</v>
      </c>
      <c r="AE49" s="489">
        <f t="shared" ca="1" si="3"/>
        <v>0</v>
      </c>
      <c r="AF49" s="272"/>
      <c r="AG49" s="494" t="str">
        <f ca="1">IF('CDO Bespoke'!C74&lt;&gt;"",'CDO Bespoke'!C74,"")</f>
        <v>WENDEL</v>
      </c>
      <c r="AH49" s="496">
        <f ca="1"/>
        <v>-1.0385312299021621E-3</v>
      </c>
      <c r="AI49" s="584">
        <f ca="1"/>
        <v>-3.0465185199557432E-3</v>
      </c>
      <c r="AJ49" s="584">
        <f ca="1"/>
        <v>-9.5297560198659426E-3</v>
      </c>
      <c r="AK49" s="584">
        <f ca="1"/>
        <v>0.88017359205022627</v>
      </c>
      <c r="AL49" s="497">
        <f ca="1"/>
        <v>0</v>
      </c>
      <c r="AM49" s="619">
        <f ca="1"/>
        <v>0</v>
      </c>
      <c r="AN49" s="496">
        <f ca="1"/>
        <v>2.5473356549989001E-4</v>
      </c>
      <c r="AO49" s="584">
        <f ca="1"/>
        <v>1.2768858443984107E-3</v>
      </c>
      <c r="AP49" s="584">
        <f ca="1"/>
        <v>5.1067090195986223E-3</v>
      </c>
      <c r="AQ49" s="584">
        <f ca="1"/>
        <v>0.87335598590429842</v>
      </c>
      <c r="AR49" s="497">
        <f ca="1"/>
        <v>0</v>
      </c>
      <c r="AS49" s="619">
        <f ca="1"/>
        <v>0</v>
      </c>
      <c r="AT49" s="496">
        <f ca="1"/>
        <v>6.9234797873001241E-3</v>
      </c>
      <c r="AU49" s="497">
        <f ca="1"/>
        <v>-4.0553560589486143E-2</v>
      </c>
      <c r="AV49" s="619">
        <f ca="1"/>
        <v>0</v>
      </c>
      <c r="AW49" s="496">
        <f ca="1"/>
        <v>-0.15890249820617353</v>
      </c>
      <c r="AX49" s="497">
        <f ca="1"/>
        <v>-1.022794023100837E-2</v>
      </c>
      <c r="AY49" s="619">
        <f ca="1"/>
        <v>0</v>
      </c>
    </row>
    <row r="50" spans="2:51">
      <c r="B50" s="517" t="s">
        <v>530</v>
      </c>
      <c r="C50" s="518" t="s">
        <v>66</v>
      </c>
      <c r="D50" s="518" t="s">
        <v>57</v>
      </c>
      <c r="E50" s="518" t="s">
        <v>646</v>
      </c>
      <c r="F50" s="518" t="s">
        <v>673</v>
      </c>
      <c r="G50" s="525">
        <v>0.01</v>
      </c>
      <c r="H50" s="525">
        <v>4.2570000000000004E-3</v>
      </c>
      <c r="I50" s="527">
        <v>0.4</v>
      </c>
      <c r="J50" s="593">
        <v>4</v>
      </c>
      <c r="K50" s="519">
        <v>9</v>
      </c>
      <c r="L50" s="272"/>
      <c r="M50" s="272"/>
      <c r="P50" s="273"/>
      <c r="Q50" s="273"/>
      <c r="R50" s="273"/>
      <c r="S50" s="273"/>
      <c r="T50" s="576">
        <f ca="1"/>
        <v>0.02</v>
      </c>
      <c r="U50" s="573">
        <f ca="1"/>
        <v>42</v>
      </c>
      <c r="V50" s="576">
        <f t="shared" ca="1" si="7"/>
        <v>0</v>
      </c>
      <c r="W50" s="576">
        <f t="shared" ca="1" si="8"/>
        <v>0</v>
      </c>
      <c r="X50" s="484">
        <f ca="1">IF('CDO Bespoke'!O51&lt;&gt;"",'CDO Bespoke'!O51,"")</f>
        <v>6.1683482854950199E-2</v>
      </c>
      <c r="Y50" s="485">
        <f t="shared" ca="1" si="6"/>
        <v>0</v>
      </c>
      <c r="Z50" s="485">
        <f t="shared" ca="1" si="4"/>
        <v>6.1683482854950199E-2</v>
      </c>
      <c r="AA50" s="489">
        <f t="shared" ca="1" si="2"/>
        <v>0</v>
      </c>
      <c r="AB50" s="484">
        <f ca="1">IF('CDO Bespoke'!O51&lt;&gt;"",'CDO Bespoke'!O51,"")</f>
        <v>6.1683482854950199E-2</v>
      </c>
      <c r="AC50" s="485">
        <f ca="1">IF(AB50&lt;&gt;"",ABS(MIN(-0.6*'CDO Bespoke'!K51+'CDO Bespoke'!T51*'CDO Bespoke'!K51,0)),"")</f>
        <v>0.11707801729811038</v>
      </c>
      <c r="AD50" s="485">
        <f t="shared" ca="1" si="5"/>
        <v>0</v>
      </c>
      <c r="AE50" s="489">
        <f t="shared" ca="1" si="3"/>
        <v>0</v>
      </c>
      <c r="AF50" s="272"/>
      <c r="AG50" s="494" t="str">
        <f ca="1">IF('CDO Bespoke'!C75&lt;&gt;"",'CDO Bespoke'!C75,"")</f>
        <v>Aktiebolaget Electrolux</v>
      </c>
      <c r="AH50" s="496">
        <f ca="1"/>
        <v>-2.7321413498260227E-3</v>
      </c>
      <c r="AI50" s="584">
        <f ca="1"/>
        <v>-1.0388959169882472E-2</v>
      </c>
      <c r="AJ50" s="584">
        <f ca="1"/>
        <v>-4.0543400089965154E-2</v>
      </c>
      <c r="AK50" s="584">
        <f ca="1"/>
        <v>1.1608852087902077</v>
      </c>
      <c r="AL50" s="497">
        <f ca="1"/>
        <v>0</v>
      </c>
      <c r="AM50" s="619">
        <f ca="1"/>
        <v>0</v>
      </c>
      <c r="AN50" s="496">
        <f ca="1"/>
        <v>-6.1419809800622449E-4</v>
      </c>
      <c r="AO50" s="584">
        <f ca="1"/>
        <v>-2.8496568769964536E-3</v>
      </c>
      <c r="AP50" s="584">
        <f ca="1"/>
        <v>-1.4671671535008979E-2</v>
      </c>
      <c r="AQ50" s="584">
        <f ca="1"/>
        <v>1.1247353844920025</v>
      </c>
      <c r="AR50" s="497">
        <f ca="1"/>
        <v>0</v>
      </c>
      <c r="AS50" s="619">
        <f ca="1"/>
        <v>0</v>
      </c>
      <c r="AT50" s="496">
        <f ca="1"/>
        <v>2.8019650995962708E-2</v>
      </c>
      <c r="AU50" s="497">
        <f ca="1"/>
        <v>-4.1998660073861716E-2</v>
      </c>
      <c r="AV50" s="619">
        <f ca="1"/>
        <v>0</v>
      </c>
      <c r="AW50" s="496">
        <f ca="1"/>
        <v>-8.9051506672889774E-2</v>
      </c>
      <c r="AX50" s="497">
        <f ca="1"/>
        <v>4.7546297239298485E-2</v>
      </c>
      <c r="AY50" s="619">
        <f ca="1"/>
        <v>0</v>
      </c>
    </row>
    <row r="51" spans="2:51">
      <c r="B51" s="534" t="s">
        <v>530</v>
      </c>
      <c r="C51" s="535" t="s">
        <v>66</v>
      </c>
      <c r="D51" s="535" t="s">
        <v>59</v>
      </c>
      <c r="E51" s="535" t="s">
        <v>646</v>
      </c>
      <c r="F51" s="535" t="s">
        <v>673</v>
      </c>
      <c r="G51" s="536">
        <v>0.01</v>
      </c>
      <c r="H51" s="536">
        <v>6.2550000000000001E-3</v>
      </c>
      <c r="I51" s="537">
        <v>0.4</v>
      </c>
      <c r="J51" s="594">
        <v>4</v>
      </c>
      <c r="K51" s="538">
        <v>9</v>
      </c>
      <c r="L51" s="272"/>
      <c r="M51" s="272"/>
      <c r="P51" s="273"/>
      <c r="Q51" s="273"/>
      <c r="R51" s="273"/>
      <c r="S51" s="273"/>
      <c r="T51" s="576">
        <f ca="1"/>
        <v>0.03</v>
      </c>
      <c r="U51" s="573">
        <f ca="1"/>
        <v>43</v>
      </c>
      <c r="V51" s="576">
        <f t="shared" ca="1" si="7"/>
        <v>0</v>
      </c>
      <c r="W51" s="576">
        <f t="shared" ca="1" si="8"/>
        <v>0</v>
      </c>
      <c r="X51" s="484">
        <f ca="1">IF('CDO Bespoke'!O52&lt;&gt;"",'CDO Bespoke'!O52,"")</f>
        <v>8.80979018225201E-2</v>
      </c>
      <c r="Y51" s="485">
        <f t="shared" ca="1" si="6"/>
        <v>0</v>
      </c>
      <c r="Z51" s="485">
        <f t="shared" ca="1" si="4"/>
        <v>8.80979018225201E-2</v>
      </c>
      <c r="AA51" s="489">
        <f t="shared" ca="1" si="2"/>
        <v>0</v>
      </c>
      <c r="AB51" s="484">
        <f ca="1">IF('CDO Bespoke'!O52&lt;&gt;"",'CDO Bespoke'!O52,"")</f>
        <v>8.80979018225201E-2</v>
      </c>
      <c r="AC51" s="485">
        <f ca="1">IF(AB51&lt;&gt;"",ABS(MIN(-0.6*'CDO Bespoke'!K52+'CDO Bespoke'!T52*'CDO Bespoke'!K52,0)),"")</f>
        <v>0.46462919007187453</v>
      </c>
      <c r="AD51" s="485">
        <f t="shared" ca="1" si="5"/>
        <v>0</v>
      </c>
      <c r="AE51" s="489">
        <f t="shared" ca="1" si="3"/>
        <v>0</v>
      </c>
      <c r="AF51" s="272"/>
      <c r="AG51" s="494" t="str">
        <f ca="1">IF('CDO Bespoke'!C76&lt;&gt;"",'CDO Bespoke'!C76,"")</f>
        <v>Anheuser-Busch InBev</v>
      </c>
      <c r="AH51" s="496">
        <f ca="1"/>
        <v>-3.0380616994341025E-4</v>
      </c>
      <c r="AI51" s="584">
        <f ca="1"/>
        <v>-4.4156253986571414E-4</v>
      </c>
      <c r="AJ51" s="584">
        <f ca="1"/>
        <v>-1.4694963995642851E-4</v>
      </c>
      <c r="AK51" s="584">
        <f ca="1"/>
        <v>0.52071884755006126</v>
      </c>
      <c r="AL51" s="497">
        <f ca="1"/>
        <v>0</v>
      </c>
      <c r="AM51" s="619">
        <f ca="1"/>
        <v>0</v>
      </c>
      <c r="AN51" s="496">
        <f ca="1"/>
        <v>2.7970112159974442E-4</v>
      </c>
      <c r="AO51" s="584">
        <f ca="1"/>
        <v>1.3632320552004612E-3</v>
      </c>
      <c r="AP51" s="584">
        <f ca="1"/>
        <v>5.9857883143036097E-3</v>
      </c>
      <c r="AQ51" s="584">
        <f ca="1"/>
        <v>0.52109540889320149</v>
      </c>
      <c r="AR51" s="497">
        <f ca="1"/>
        <v>0</v>
      </c>
      <c r="AS51" s="619">
        <f ca="1"/>
        <v>0</v>
      </c>
      <c r="AT51" s="496">
        <f ca="1"/>
        <v>-1.1631277400761225E-2</v>
      </c>
      <c r="AU51" s="497">
        <f ca="1"/>
        <v>-2.5204465993667796E-2</v>
      </c>
      <c r="AV51" s="619">
        <f ca="1"/>
        <v>0</v>
      </c>
      <c r="AW51" s="496">
        <f ca="1"/>
        <v>-0.11848676037609104</v>
      </c>
      <c r="AX51" s="497">
        <f ca="1"/>
        <v>3.8568360491393408E-3</v>
      </c>
      <c r="AY51" s="619">
        <f ca="1"/>
        <v>0</v>
      </c>
    </row>
    <row r="52" spans="2:51">
      <c r="B52" s="539" t="s">
        <v>531</v>
      </c>
      <c r="C52" s="540" t="s">
        <v>66</v>
      </c>
      <c r="D52" s="540" t="s">
        <v>55</v>
      </c>
      <c r="E52" s="540" t="s">
        <v>648</v>
      </c>
      <c r="F52" s="540" t="s">
        <v>672</v>
      </c>
      <c r="G52" s="541">
        <v>0.01</v>
      </c>
      <c r="H52" s="541">
        <v>7.633E-3</v>
      </c>
      <c r="I52" s="542">
        <v>0.4</v>
      </c>
      <c r="J52" s="601">
        <v>7</v>
      </c>
      <c r="K52" s="543">
        <v>10</v>
      </c>
      <c r="L52" s="272"/>
      <c r="M52" s="272"/>
      <c r="P52" s="273"/>
      <c r="Q52" s="273"/>
      <c r="R52" s="273"/>
      <c r="S52" s="273"/>
      <c r="T52" s="576">
        <f ca="1"/>
        <v>0.02</v>
      </c>
      <c r="U52" s="573">
        <f ca="1"/>
        <v>44</v>
      </c>
      <c r="V52" s="576">
        <f t="shared" ca="1" si="7"/>
        <v>0</v>
      </c>
      <c r="W52" s="576">
        <f t="shared" ca="1" si="8"/>
        <v>0</v>
      </c>
      <c r="X52" s="484">
        <f ca="1">IF('CDO Bespoke'!O53&lt;&gt;"",'CDO Bespoke'!O53,"")</f>
        <v>7.9009595461770193E-2</v>
      </c>
      <c r="Y52" s="485">
        <f t="shared" ca="1" si="6"/>
        <v>0</v>
      </c>
      <c r="Z52" s="485">
        <f t="shared" ca="1" si="4"/>
        <v>7.9009595461770193E-2</v>
      </c>
      <c r="AA52" s="489">
        <f t="shared" ca="1" si="2"/>
        <v>0</v>
      </c>
      <c r="AB52" s="484">
        <f ca="1">IF('CDO Bespoke'!O53&lt;&gt;"",'CDO Bespoke'!O53,"")</f>
        <v>7.9009595461770193E-2</v>
      </c>
      <c r="AC52" s="485">
        <f ca="1">IF(AB52&lt;&gt;"",ABS(MIN(-0.6*'CDO Bespoke'!K53+'CDO Bespoke'!T53*'CDO Bespoke'!K53,0)),"")</f>
        <v>0.34920903964750516</v>
      </c>
      <c r="AD52" s="485">
        <f t="shared" ca="1" si="5"/>
        <v>0</v>
      </c>
      <c r="AE52" s="489">
        <f t="shared" ca="1" si="3"/>
        <v>0</v>
      </c>
      <c r="AF52" s="272"/>
      <c r="AG52" s="494" t="str">
        <f ca="1">IF('CDO Bespoke'!C77&lt;&gt;"",'CDO Bespoke'!C77,"")</f>
        <v>BRITISH AMERICAN TOBACCO p.l.c.</v>
      </c>
      <c r="AH52" s="496">
        <f ca="1"/>
        <v>-1.0685056597847797E-3</v>
      </c>
      <c r="AI52" s="584">
        <f ca="1"/>
        <v>-3.2259331700368321E-3</v>
      </c>
      <c r="AJ52" s="584">
        <f ca="1"/>
        <v>-1.0280881709845424E-2</v>
      </c>
      <c r="AK52" s="584">
        <f ca="1"/>
        <v>0.87773740784002907</v>
      </c>
      <c r="AL52" s="497">
        <f ca="1"/>
        <v>0</v>
      </c>
      <c r="AM52" s="619">
        <f ca="1"/>
        <v>0</v>
      </c>
      <c r="AN52" s="496">
        <f ca="1"/>
        <v>2.5788385120059654E-4</v>
      </c>
      <c r="AO52" s="584">
        <f ca="1"/>
        <v>1.2907980098978908E-3</v>
      </c>
      <c r="AP52" s="584">
        <f ca="1"/>
        <v>5.1638803361987728E-3</v>
      </c>
      <c r="AQ52" s="584">
        <f ca="1"/>
        <v>0.86973716166770154</v>
      </c>
      <c r="AR52" s="497">
        <f ca="1"/>
        <v>0</v>
      </c>
      <c r="AS52" s="619">
        <f ca="1"/>
        <v>0</v>
      </c>
      <c r="AT52" s="496">
        <f ca="1"/>
        <v>6.7103646574341036E-3</v>
      </c>
      <c r="AU52" s="497">
        <f ca="1"/>
        <v>-4.0422814884522124E-2</v>
      </c>
      <c r="AV52" s="619">
        <f ca="1"/>
        <v>0</v>
      </c>
      <c r="AW52" s="496">
        <f ca="1"/>
        <v>-0.10541320794352593</v>
      </c>
      <c r="AX52" s="497">
        <f ca="1"/>
        <v>7.2132425365828354E-3</v>
      </c>
      <c r="AY52" s="619">
        <f ca="1"/>
        <v>0</v>
      </c>
    </row>
    <row r="53" spans="2:51">
      <c r="B53" s="517" t="s">
        <v>531</v>
      </c>
      <c r="C53" s="518" t="s">
        <v>66</v>
      </c>
      <c r="D53" s="518" t="s">
        <v>57</v>
      </c>
      <c r="E53" s="518" t="s">
        <v>648</v>
      </c>
      <c r="F53" s="518" t="s">
        <v>672</v>
      </c>
      <c r="G53" s="525">
        <v>0.01</v>
      </c>
      <c r="H53" s="525">
        <v>1.1407E-2</v>
      </c>
      <c r="I53" s="527">
        <v>0.4</v>
      </c>
      <c r="J53" s="593">
        <v>7</v>
      </c>
      <c r="K53" s="519">
        <v>10</v>
      </c>
      <c r="L53" s="272"/>
      <c r="M53" s="272"/>
      <c r="P53" s="273"/>
      <c r="Q53" s="273"/>
      <c r="R53" s="273"/>
      <c r="S53" s="273"/>
      <c r="T53" s="576">
        <f ca="1"/>
        <v>0.06</v>
      </c>
      <c r="U53" s="573">
        <f ca="1"/>
        <v>45</v>
      </c>
      <c r="V53" s="576">
        <f t="shared" ca="1" si="7"/>
        <v>0</v>
      </c>
      <c r="W53" s="576">
        <f t="shared" ca="1" si="8"/>
        <v>0</v>
      </c>
      <c r="X53" s="484">
        <f ca="1">IF('CDO Bespoke'!O54&lt;&gt;"",'CDO Bespoke'!O54,"")</f>
        <v>9.2077263342920102E-2</v>
      </c>
      <c r="Y53" s="485">
        <f t="shared" ca="1" si="6"/>
        <v>0</v>
      </c>
      <c r="Z53" s="485">
        <f t="shared" ca="1" si="4"/>
        <v>9.2077263342920102E-2</v>
      </c>
      <c r="AA53" s="489">
        <f t="shared" ca="1" si="2"/>
        <v>0</v>
      </c>
      <c r="AB53" s="484">
        <f ca="1">IF('CDO Bespoke'!O54&lt;&gt;"",'CDO Bespoke'!O54,"")</f>
        <v>9.2077263342920102E-2</v>
      </c>
      <c r="AC53" s="485">
        <f ca="1">IF(AB53&lt;&gt;"",ABS(MIN(-0.6*'CDO Bespoke'!K54+'CDO Bespoke'!T54*'CDO Bespoke'!K54,0)),"")</f>
        <v>0.52054418686947479</v>
      </c>
      <c r="AD53" s="485">
        <f t="shared" ca="1" si="5"/>
        <v>0</v>
      </c>
      <c r="AE53" s="489">
        <f t="shared" ca="1" si="3"/>
        <v>0</v>
      </c>
      <c r="AF53" s="272"/>
      <c r="AG53" s="494" t="str">
        <f ca="1">IF('CDO Bespoke'!C78&lt;&gt;"",'CDO Bespoke'!C78,"")</f>
        <v>CARLSBERG BREWERIES A/S</v>
      </c>
      <c r="AH53" s="496">
        <f ca="1"/>
        <v>-1.7293565995890603E-4</v>
      </c>
      <c r="AI53" s="584">
        <f ca="1"/>
        <v>-1.8153441000423598E-4</v>
      </c>
      <c r="AJ53" s="584">
        <f ca="1"/>
        <v>5.0543252999579735E-4</v>
      </c>
      <c r="AK53" s="584">
        <f ca="1"/>
        <v>0.35555265715997431</v>
      </c>
      <c r="AL53" s="497">
        <f ca="1"/>
        <v>0</v>
      </c>
      <c r="AM53" s="619">
        <f ca="1"/>
        <v>0</v>
      </c>
      <c r="AN53" s="496">
        <f ca="1"/>
        <v>2.2170823629676789E-4</v>
      </c>
      <c r="AO53" s="584">
        <f ca="1"/>
        <v>1.0744836197998028E-3</v>
      </c>
      <c r="AP53" s="584">
        <f ca="1"/>
        <v>4.783065479900539E-3</v>
      </c>
      <c r="AQ53" s="584">
        <f ca="1"/>
        <v>0.3544585308005001</v>
      </c>
      <c r="AR53" s="497">
        <f ca="1"/>
        <v>0</v>
      </c>
      <c r="AS53" s="619">
        <f ca="1"/>
        <v>0</v>
      </c>
      <c r="AT53" s="496">
        <f ca="1"/>
        <v>-1.9968437293040653E-2</v>
      </c>
      <c r="AU53" s="497">
        <f ca="1"/>
        <v>-1.7433315105613356E-2</v>
      </c>
      <c r="AV53" s="619">
        <f ca="1"/>
        <v>0</v>
      </c>
      <c r="AW53" s="496">
        <f ca="1"/>
        <v>-0.12460074775713298</v>
      </c>
      <c r="AX53" s="497">
        <f ca="1"/>
        <v>3.7954072287398801E-3</v>
      </c>
      <c r="AY53" s="619">
        <f ca="1"/>
        <v>0</v>
      </c>
    </row>
    <row r="54" spans="2:51">
      <c r="B54" s="534" t="s">
        <v>531</v>
      </c>
      <c r="C54" s="535" t="s">
        <v>66</v>
      </c>
      <c r="D54" s="535" t="s">
        <v>59</v>
      </c>
      <c r="E54" s="535" t="s">
        <v>648</v>
      </c>
      <c r="F54" s="535" t="s">
        <v>672</v>
      </c>
      <c r="G54" s="536">
        <v>0.01</v>
      </c>
      <c r="H54" s="536">
        <v>1.4759E-2</v>
      </c>
      <c r="I54" s="537">
        <v>0.4</v>
      </c>
      <c r="J54" s="594">
        <v>7</v>
      </c>
      <c r="K54" s="538">
        <v>10</v>
      </c>
      <c r="L54" s="272"/>
      <c r="M54" s="272"/>
      <c r="P54" s="273"/>
      <c r="Q54" s="273"/>
      <c r="R54" s="273"/>
      <c r="S54" s="273"/>
      <c r="T54" s="576">
        <f ca="1"/>
        <v>0.06</v>
      </c>
      <c r="U54" s="573">
        <f ca="1"/>
        <v>46</v>
      </c>
      <c r="V54" s="576">
        <f t="shared" ca="1" si="7"/>
        <v>0</v>
      </c>
      <c r="W54" s="576">
        <f t="shared" ca="1" si="8"/>
        <v>0</v>
      </c>
      <c r="X54" s="484">
        <f ca="1">IF('CDO Bespoke'!O55&lt;&gt;"",'CDO Bespoke'!O55,"")</f>
        <v>8.4275439180649905E-2</v>
      </c>
      <c r="Y54" s="485">
        <f t="shared" ca="1" si="6"/>
        <v>0</v>
      </c>
      <c r="Z54" s="485">
        <f t="shared" ca="1" si="4"/>
        <v>8.4275439180649905E-2</v>
      </c>
      <c r="AA54" s="489">
        <f t="shared" ca="1" si="2"/>
        <v>0</v>
      </c>
      <c r="AB54" s="484">
        <f ca="1">IF('CDO Bespoke'!O55&lt;&gt;"",'CDO Bespoke'!O55,"")</f>
        <v>8.4275439180649905E-2</v>
      </c>
      <c r="AC54" s="485">
        <f ca="1">IF(AB54&lt;&gt;"",ABS(MIN(-0.6*'CDO Bespoke'!K55+'CDO Bespoke'!T55*'CDO Bespoke'!K55,0)),"")</f>
        <v>0.43148358790690727</v>
      </c>
      <c r="AD54" s="485">
        <f t="shared" ca="1" si="5"/>
        <v>0</v>
      </c>
      <c r="AE54" s="489">
        <f t="shared" ca="1" si="3"/>
        <v>0</v>
      </c>
      <c r="AF54" s="272"/>
      <c r="AG54" s="494" t="str">
        <f ca="1">IF('CDO Bespoke'!C79&lt;&gt;"",'CDO Bespoke'!C79,"")</f>
        <v>Carrefour</v>
      </c>
      <c r="AH54" s="496">
        <f ca="1"/>
        <v>-6.4068290978047671E-4</v>
      </c>
      <c r="AI54" s="584">
        <f ca="1"/>
        <v>-1.6940896999106947E-3</v>
      </c>
      <c r="AJ54" s="584">
        <f ca="1"/>
        <v>-4.5846279700390014E-3</v>
      </c>
      <c r="AK54" s="584">
        <f ca="1"/>
        <v>0.67967956556003184</v>
      </c>
      <c r="AL54" s="497">
        <f ca="1"/>
        <v>0</v>
      </c>
      <c r="AM54" s="619">
        <f ca="1"/>
        <v>0</v>
      </c>
      <c r="AN54" s="496">
        <f ca="1"/>
        <v>3.0043002619949827E-4</v>
      </c>
      <c r="AO54" s="584">
        <f ca="1"/>
        <v>1.4743418658017329E-3</v>
      </c>
      <c r="AP54" s="584">
        <f ca="1"/>
        <v>6.3174840730017764E-3</v>
      </c>
      <c r="AQ54" s="584">
        <f ca="1"/>
        <v>0.67638197938270006</v>
      </c>
      <c r="AR54" s="497">
        <f ca="1"/>
        <v>0</v>
      </c>
      <c r="AS54" s="619">
        <f ca="1"/>
        <v>0</v>
      </c>
      <c r="AT54" s="496">
        <f ca="1"/>
        <v>-3.6762593387139331E-3</v>
      </c>
      <c r="AU54" s="497">
        <f ca="1"/>
        <v>-3.221508994093808E-2</v>
      </c>
      <c r="AV54" s="619">
        <f ca="1"/>
        <v>0</v>
      </c>
      <c r="AW54" s="496">
        <f ca="1"/>
        <v>-0.11284974866229952</v>
      </c>
      <c r="AX54" s="497">
        <f ca="1"/>
        <v>4.5276589198570104E-3</v>
      </c>
      <c r="AY54" s="619">
        <f ca="1"/>
        <v>0</v>
      </c>
    </row>
    <row r="55" spans="2:51">
      <c r="B55" s="539" t="s">
        <v>532</v>
      </c>
      <c r="C55" s="540" t="s">
        <v>66</v>
      </c>
      <c r="D55" s="540" t="s">
        <v>55</v>
      </c>
      <c r="E55" s="540" t="s">
        <v>646</v>
      </c>
      <c r="F55" s="540" t="s">
        <v>671</v>
      </c>
      <c r="G55" s="541">
        <v>0.01</v>
      </c>
      <c r="H55" s="541">
        <v>2.836E-3</v>
      </c>
      <c r="I55" s="542">
        <v>0.4</v>
      </c>
      <c r="J55" s="601">
        <v>5</v>
      </c>
      <c r="K55" s="543">
        <v>11</v>
      </c>
      <c r="L55" s="272"/>
      <c r="M55" s="272"/>
      <c r="P55" s="273"/>
      <c r="Q55" s="273"/>
      <c r="R55" s="273"/>
      <c r="S55" s="273"/>
      <c r="T55" s="576">
        <f ca="1"/>
        <v>0.03</v>
      </c>
      <c r="U55" s="573">
        <f ca="1"/>
        <v>47</v>
      </c>
      <c r="V55" s="576">
        <f t="shared" ca="1" si="7"/>
        <v>0</v>
      </c>
      <c r="W55" s="576">
        <f t="shared" ca="1" si="8"/>
        <v>0</v>
      </c>
      <c r="X55" s="484">
        <f ca="1">IF('CDO Bespoke'!O56&lt;&gt;"",'CDO Bespoke'!O56,"")</f>
        <v>9.5207494078909993E-2</v>
      </c>
      <c r="Y55" s="485">
        <f t="shared" ca="1" si="6"/>
        <v>0</v>
      </c>
      <c r="Z55" s="485">
        <f t="shared" ca="1" si="4"/>
        <v>9.5207494078909993E-2</v>
      </c>
      <c r="AA55" s="489">
        <f t="shared" ca="1" si="2"/>
        <v>0</v>
      </c>
      <c r="AB55" s="484">
        <f ca="1">IF('CDO Bespoke'!O56&lt;&gt;"",'CDO Bespoke'!O56,"")</f>
        <v>9.5207494078909993E-2</v>
      </c>
      <c r="AC55" s="485">
        <f ca="1">IF(AB55&lt;&gt;"",ABS(MIN(-0.6*'CDO Bespoke'!K56+'CDO Bespoke'!T56*'CDO Bespoke'!K56,0)),"")</f>
        <v>0.56315185734953666</v>
      </c>
      <c r="AD55" s="485">
        <f t="shared" ca="1" si="5"/>
        <v>0</v>
      </c>
      <c r="AE55" s="489">
        <f t="shared" ca="1" si="3"/>
        <v>0</v>
      </c>
      <c r="AF55" s="272"/>
      <c r="AG55" s="494" t="str">
        <f ca="1">IF('CDO Bespoke'!C80&lt;&gt;"",'CDO Bespoke'!C80,"")</f>
        <v>COMPASS GROUP PLC</v>
      </c>
      <c r="AH55" s="496">
        <f ca="1"/>
        <v>-9.311591997462898E-5</v>
      </c>
      <c r="AI55" s="584">
        <f ca="1"/>
        <v>-1.3213879990203736E-5</v>
      </c>
      <c r="AJ55" s="584">
        <f ca="1"/>
        <v>9.1340815022711297E-4</v>
      </c>
      <c r="AK55" s="584">
        <f ca="1"/>
        <v>0.22863411345996898</v>
      </c>
      <c r="AL55" s="497">
        <f ca="1"/>
        <v>0</v>
      </c>
      <c r="AM55" s="619">
        <f ca="1"/>
        <v>0</v>
      </c>
      <c r="AN55" s="496">
        <f ca="1"/>
        <v>1.5621424939845849E-4</v>
      </c>
      <c r="AO55" s="584">
        <f ca="1"/>
        <v>7.5469596609849948E-4</v>
      </c>
      <c r="AP55" s="584">
        <f ca="1"/>
        <v>3.3869997489999193E-3</v>
      </c>
      <c r="AQ55" s="584">
        <f ca="1"/>
        <v>0.2265533094423979</v>
      </c>
      <c r="AR55" s="497">
        <f ca="1"/>
        <v>0</v>
      </c>
      <c r="AS55" s="619">
        <f ca="1"/>
        <v>0</v>
      </c>
      <c r="AT55" s="496">
        <f ca="1"/>
        <v>-2.6248381565289441E-2</v>
      </c>
      <c r="AU55" s="497">
        <f ca="1"/>
        <v>-1.132749675768957E-2</v>
      </c>
      <c r="AV55" s="619">
        <f ca="1"/>
        <v>0</v>
      </c>
      <c r="AW55" s="496">
        <f ca="1"/>
        <v>-0.12921980123338006</v>
      </c>
      <c r="AX55" s="497">
        <f ca="1"/>
        <v>3.9770584846526543E-3</v>
      </c>
      <c r="AY55" s="619">
        <f ca="1"/>
        <v>0</v>
      </c>
    </row>
    <row r="56" spans="2:51">
      <c r="B56" s="517" t="s">
        <v>532</v>
      </c>
      <c r="C56" s="518" t="s">
        <v>66</v>
      </c>
      <c r="D56" s="518" t="s">
        <v>57</v>
      </c>
      <c r="E56" s="518" t="s">
        <v>646</v>
      </c>
      <c r="F56" s="518" t="s">
        <v>671</v>
      </c>
      <c r="G56" s="525">
        <v>0.01</v>
      </c>
      <c r="H56" s="525">
        <v>5.025E-3</v>
      </c>
      <c r="I56" s="527">
        <v>0.4</v>
      </c>
      <c r="J56" s="593">
        <v>5</v>
      </c>
      <c r="K56" s="519">
        <v>11</v>
      </c>
      <c r="L56" s="272"/>
      <c r="M56" s="272"/>
      <c r="P56" s="273"/>
      <c r="Q56" s="273"/>
      <c r="R56" s="273"/>
      <c r="S56" s="273"/>
      <c r="T56" s="576">
        <f ca="1"/>
        <v>0.06</v>
      </c>
      <c r="U56" s="573">
        <f ca="1"/>
        <v>48</v>
      </c>
      <c r="V56" s="576">
        <f t="shared" ca="1" si="7"/>
        <v>0</v>
      </c>
      <c r="W56" s="576">
        <f t="shared" ca="1" si="8"/>
        <v>0</v>
      </c>
      <c r="X56" s="484">
        <f ca="1">IF('CDO Bespoke'!O57&lt;&gt;"",'CDO Bespoke'!O57,"")</f>
        <v>8.9749593360420196E-2</v>
      </c>
      <c r="Y56" s="485">
        <f t="shared" ca="1" si="6"/>
        <v>0</v>
      </c>
      <c r="Z56" s="485">
        <f t="shared" ca="1" si="4"/>
        <v>8.9749593360420196E-2</v>
      </c>
      <c r="AA56" s="489">
        <f t="shared" ca="1" si="2"/>
        <v>0</v>
      </c>
      <c r="AB56" s="484">
        <f ca="1">IF('CDO Bespoke'!O57&lt;&gt;"",'CDO Bespoke'!O57,"")</f>
        <v>8.9749593360420196E-2</v>
      </c>
      <c r="AC56" s="485">
        <f ca="1">IF(AB56&lt;&gt;"",ABS(MIN(-0.6*'CDO Bespoke'!K57+'CDO Bespoke'!T57*'CDO Bespoke'!K57,0)),"")</f>
        <v>0.50914082938437077</v>
      </c>
      <c r="AD56" s="485">
        <f t="shared" ca="1" si="5"/>
        <v>0</v>
      </c>
      <c r="AE56" s="489">
        <f t="shared" ca="1" si="3"/>
        <v>0</v>
      </c>
      <c r="AF56" s="272"/>
      <c r="AG56" s="494" t="str">
        <f ca="1">IF('CDO Bespoke'!C81&lt;&gt;"",'CDO Bespoke'!C81,"")</f>
        <v>DANONE</v>
      </c>
      <c r="AH56" s="496">
        <f ca="1"/>
        <v>-2.3930554982065644E-4</v>
      </c>
      <c r="AI56" s="584">
        <f ca="1"/>
        <v>-2.9638127979625395E-4</v>
      </c>
      <c r="AJ56" s="584">
        <f ca="1"/>
        <v>2.4898168998754855E-4</v>
      </c>
      <c r="AK56" s="584">
        <f ca="1"/>
        <v>0.4522176438900849</v>
      </c>
      <c r="AL56" s="497">
        <f ca="1"/>
        <v>0</v>
      </c>
      <c r="AM56" s="619">
        <f ca="1"/>
        <v>0</v>
      </c>
      <c r="AN56" s="496">
        <f ca="1"/>
        <v>2.5981263990053349E-4</v>
      </c>
      <c r="AO56" s="584">
        <f ca="1"/>
        <v>1.2630038006026731E-3</v>
      </c>
      <c r="AP56" s="584">
        <f ca="1"/>
        <v>5.5810518692026717E-3</v>
      </c>
      <c r="AQ56" s="584">
        <f ca="1"/>
        <v>0.45212316801089902</v>
      </c>
      <c r="AR56" s="497">
        <f ca="1"/>
        <v>0</v>
      </c>
      <c r="AS56" s="619">
        <f ca="1"/>
        <v>0</v>
      </c>
      <c r="AT56" s="496">
        <f ca="1"/>
        <v>-1.5105701196631238E-2</v>
      </c>
      <c r="AU56" s="497">
        <f ca="1"/>
        <v>-2.2015910852405784E-2</v>
      </c>
      <c r="AV56" s="619">
        <f ca="1"/>
        <v>0</v>
      </c>
      <c r="AW56" s="496">
        <f ca="1"/>
        <v>-0.12103275522616347</v>
      </c>
      <c r="AX56" s="497">
        <f ca="1"/>
        <v>3.7635363751789552E-3</v>
      </c>
      <c r="AY56" s="619">
        <f ca="1"/>
        <v>0</v>
      </c>
    </row>
    <row r="57" spans="2:51">
      <c r="B57" s="534" t="s">
        <v>532</v>
      </c>
      <c r="C57" s="535" t="s">
        <v>66</v>
      </c>
      <c r="D57" s="535" t="s">
        <v>59</v>
      </c>
      <c r="E57" s="535" t="s">
        <v>646</v>
      </c>
      <c r="F57" s="535" t="s">
        <v>671</v>
      </c>
      <c r="G57" s="536">
        <v>0.01</v>
      </c>
      <c r="H57" s="536">
        <v>7.2620000000000002E-3</v>
      </c>
      <c r="I57" s="537">
        <v>0.4</v>
      </c>
      <c r="J57" s="594">
        <v>5</v>
      </c>
      <c r="K57" s="538">
        <v>11</v>
      </c>
      <c r="L57" s="272"/>
      <c r="M57" s="272"/>
      <c r="P57" s="273"/>
      <c r="Q57" s="273"/>
      <c r="R57" s="273"/>
      <c r="S57" s="273"/>
      <c r="T57" s="576">
        <f ca="1"/>
        <v>0.03</v>
      </c>
      <c r="U57" s="573">
        <f ca="1"/>
        <v>49</v>
      </c>
      <c r="V57" s="576">
        <f t="shared" ca="1" si="7"/>
        <v>0</v>
      </c>
      <c r="W57" s="576">
        <f t="shared" ca="1" si="8"/>
        <v>0</v>
      </c>
      <c r="X57" s="484">
        <f ca="1">IF('CDO Bespoke'!O58&lt;&gt;"",'CDO Bespoke'!O58,"")</f>
        <v>5.5801396712829902E-2</v>
      </c>
      <c r="Y57" s="485">
        <f t="shared" ca="1" si="6"/>
        <v>0</v>
      </c>
      <c r="Z57" s="485">
        <f t="shared" ca="1" si="4"/>
        <v>5.5801396712829902E-2</v>
      </c>
      <c r="AA57" s="489">
        <f t="shared" ca="1" si="2"/>
        <v>0</v>
      </c>
      <c r="AB57" s="484">
        <f ca="1">IF('CDO Bespoke'!O58&lt;&gt;"",'CDO Bespoke'!O58,"")</f>
        <v>5.5801396712829902E-2</v>
      </c>
      <c r="AC57" s="485">
        <f ca="1">IF(AB57&lt;&gt;"",ABS(MIN(-0.6*'CDO Bespoke'!K58+'CDO Bespoke'!T58*'CDO Bespoke'!K58,0)),"")</f>
        <v>4.7378528285044096E-2</v>
      </c>
      <c r="AD57" s="485">
        <f t="shared" ca="1" si="5"/>
        <v>8.4228684277858068E-3</v>
      </c>
      <c r="AE57" s="489">
        <f t="shared" ca="1" si="3"/>
        <v>0</v>
      </c>
      <c r="AF57" s="272"/>
      <c r="AG57" s="494" t="str">
        <f ca="1">IF('CDO Bespoke'!C82&lt;&gt;"",'CDO Bespoke'!C82,"")</f>
        <v>DIAGEO PLC</v>
      </c>
      <c r="AH57" s="496">
        <f ca="1"/>
        <v>-3.4711556798350252E-3</v>
      </c>
      <c r="AI57" s="584">
        <f ca="1"/>
        <v>-1.4579977029860469E-2</v>
      </c>
      <c r="AJ57" s="584">
        <f ca="1"/>
        <v>-5.2460209220006604E-2</v>
      </c>
      <c r="AK57" s="584">
        <f ca="1"/>
        <v>0.89384914119000625</v>
      </c>
      <c r="AL57" s="497">
        <f ca="1"/>
        <v>0</v>
      </c>
      <c r="AM57" s="619">
        <f ca="1"/>
        <v>0</v>
      </c>
      <c r="AN57" s="496">
        <f ca="1"/>
        <v>-1.2312540620049162E-3</v>
      </c>
      <c r="AO57" s="584">
        <f ca="1"/>
        <v>-5.7468478359933017E-3</v>
      </c>
      <c r="AP57" s="584">
        <f ca="1"/>
        <v>-2.7146802906996559E-2</v>
      </c>
      <c r="AQ57" s="584">
        <f ca="1"/>
        <v>0.84489080890100265</v>
      </c>
      <c r="AR57" s="497">
        <f ca="1"/>
        <v>0</v>
      </c>
      <c r="AS57" s="619">
        <f ca="1"/>
        <v>0</v>
      </c>
      <c r="AT57" s="496">
        <f ca="1"/>
        <v>2.3535913110483198E-2</v>
      </c>
      <c r="AU57" s="497">
        <f ca="1"/>
        <v>-1.7472025762379217E-2</v>
      </c>
      <c r="AV57" s="619">
        <f ca="1"/>
        <v>0</v>
      </c>
      <c r="AW57" s="496">
        <f ca="1"/>
        <v>-9.3166636073912484E-2</v>
      </c>
      <c r="AX57" s="497">
        <f ca="1"/>
        <v>0.10291763259341977</v>
      </c>
      <c r="AY57" s="619">
        <f ca="1"/>
        <v>0</v>
      </c>
    </row>
    <row r="58" spans="2:51">
      <c r="B58" s="539" t="s">
        <v>516</v>
      </c>
      <c r="C58" s="540" t="s">
        <v>66</v>
      </c>
      <c r="D58" s="540" t="s">
        <v>55</v>
      </c>
      <c r="E58" s="540" t="s">
        <v>646</v>
      </c>
      <c r="F58" s="540" t="s">
        <v>647</v>
      </c>
      <c r="G58" s="541">
        <v>0.01</v>
      </c>
      <c r="H58" s="541">
        <v>2.2030000000000001E-3</v>
      </c>
      <c r="I58" s="542">
        <v>0.4</v>
      </c>
      <c r="J58" s="601">
        <v>4</v>
      </c>
      <c r="K58" s="543">
        <v>12</v>
      </c>
      <c r="L58" s="272"/>
      <c r="M58" s="272"/>
      <c r="P58" s="273"/>
      <c r="Q58" s="273"/>
      <c r="R58" s="273"/>
      <c r="S58" s="273"/>
      <c r="T58" s="576">
        <f ca="1"/>
        <v>0.06</v>
      </c>
      <c r="U58" s="573">
        <f ca="1"/>
        <v>50</v>
      </c>
      <c r="V58" s="576">
        <f t="shared" ca="1" si="7"/>
        <v>0</v>
      </c>
      <c r="W58" s="576">
        <f t="shared" ca="1" si="8"/>
        <v>0</v>
      </c>
      <c r="X58" s="484">
        <f ca="1">IF('CDO Bespoke'!O59&lt;&gt;"",'CDO Bespoke'!O59,"")</f>
        <v>5.6110491078380099E-2</v>
      </c>
      <c r="Y58" s="485">
        <f t="shared" ca="1" si="6"/>
        <v>0</v>
      </c>
      <c r="Z58" s="485">
        <f t="shared" ca="1" si="4"/>
        <v>5.6110491078380099E-2</v>
      </c>
      <c r="AA58" s="489">
        <f t="shared" ca="1" si="2"/>
        <v>0</v>
      </c>
      <c r="AB58" s="484">
        <f ca="1">IF('CDO Bespoke'!O59&lt;&gt;"",'CDO Bespoke'!O59,"")</f>
        <v>5.6110491078380099E-2</v>
      </c>
      <c r="AC58" s="485">
        <f ca="1">IF(AB58&lt;&gt;"",ABS(MIN(-0.6*'CDO Bespoke'!K59+'CDO Bespoke'!T59*'CDO Bespoke'!K59,0)),"")</f>
        <v>4.5040754466634456E-2</v>
      </c>
      <c r="AD58" s="485">
        <f t="shared" ca="1" si="5"/>
        <v>1.1069736611745644E-2</v>
      </c>
      <c r="AE58" s="489">
        <f t="shared" ca="1" si="3"/>
        <v>0</v>
      </c>
      <c r="AF58" s="272"/>
      <c r="AG58" s="494" t="str">
        <f ca="1">IF('CDO Bespoke'!C83&lt;&gt;"",'CDO Bespoke'!C83,"")</f>
        <v>ELO</v>
      </c>
      <c r="AH58" s="496">
        <f ca="1"/>
        <v>-2.9518097999226001E-3</v>
      </c>
      <c r="AI58" s="584">
        <f ca="1"/>
        <v>-1.2152544369981033E-2</v>
      </c>
      <c r="AJ58" s="584">
        <f ca="1"/>
        <v>-5.0677315970026893E-2</v>
      </c>
      <c r="AK58" s="584">
        <f ca="1"/>
        <v>0.94531753782017836</v>
      </c>
      <c r="AL58" s="497">
        <f ca="1"/>
        <v>0</v>
      </c>
      <c r="AM58" s="619">
        <f ca="1"/>
        <v>0</v>
      </c>
      <c r="AN58" s="496">
        <f ca="1"/>
        <v>-1.1158425380040915E-3</v>
      </c>
      <c r="AO58" s="584">
        <f ca="1"/>
        <v>-5.3399375709965724E-3</v>
      </c>
      <c r="AP58" s="584">
        <f ca="1"/>
        <v>-2.6602306491003286E-2</v>
      </c>
      <c r="AQ58" s="584">
        <f ca="1"/>
        <v>0.89824514712601167</v>
      </c>
      <c r="AR58" s="497">
        <f ca="1"/>
        <v>0</v>
      </c>
      <c r="AS58" s="619">
        <f ca="1"/>
        <v>0</v>
      </c>
      <c r="AT58" s="496">
        <f ca="1"/>
        <v>2.4611450981760374E-2</v>
      </c>
      <c r="AU58" s="497">
        <f ca="1"/>
        <v>-2.2291032581489401E-2</v>
      </c>
      <c r="AV58" s="619">
        <f ca="1"/>
        <v>0</v>
      </c>
      <c r="AW58" s="496">
        <f ca="1"/>
        <v>-8.8155814105137772E-2</v>
      </c>
      <c r="AX58" s="497">
        <f ca="1"/>
        <v>9.2888560607490872E-2</v>
      </c>
      <c r="AY58" s="619">
        <f ca="1"/>
        <v>0</v>
      </c>
    </row>
    <row r="59" spans="2:51">
      <c r="B59" s="517" t="s">
        <v>516</v>
      </c>
      <c r="C59" s="518" t="s">
        <v>66</v>
      </c>
      <c r="D59" s="518" t="s">
        <v>57</v>
      </c>
      <c r="E59" s="518" t="s">
        <v>646</v>
      </c>
      <c r="F59" s="518" t="s">
        <v>647</v>
      </c>
      <c r="G59" s="525">
        <v>0.01</v>
      </c>
      <c r="H59" s="525">
        <v>3.3639999999999998E-3</v>
      </c>
      <c r="I59" s="527">
        <v>0.4</v>
      </c>
      <c r="J59" s="593">
        <v>4</v>
      </c>
      <c r="K59" s="519">
        <v>12</v>
      </c>
      <c r="L59" s="272"/>
      <c r="M59" s="272"/>
      <c r="P59" s="273"/>
      <c r="Q59" s="273"/>
      <c r="R59" s="273"/>
      <c r="S59" s="273"/>
      <c r="T59" s="576">
        <f ca="1"/>
        <v>0.06</v>
      </c>
      <c r="U59" s="573">
        <f ca="1"/>
        <v>51</v>
      </c>
      <c r="V59" s="576">
        <f t="shared" ca="1" si="7"/>
        <v>0</v>
      </c>
      <c r="W59" s="576">
        <f t="shared" ca="1" si="8"/>
        <v>0</v>
      </c>
      <c r="X59" s="484">
        <f ca="1">IF('CDO Bespoke'!O60&lt;&gt;"",'CDO Bespoke'!O60,"")</f>
        <v>9.1624342686160307E-2</v>
      </c>
      <c r="Y59" s="485">
        <f t="shared" ca="1" si="6"/>
        <v>0</v>
      </c>
      <c r="Z59" s="485">
        <f t="shared" ca="1" si="4"/>
        <v>9.1624342686160307E-2</v>
      </c>
      <c r="AA59" s="489">
        <f t="shared" ca="1" si="2"/>
        <v>0</v>
      </c>
      <c r="AB59" s="484">
        <f ca="1">IF('CDO Bespoke'!O60&lt;&gt;"",'CDO Bespoke'!O60,"")</f>
        <v>9.1624342686160307E-2</v>
      </c>
      <c r="AC59" s="485">
        <f ca="1">IF(AB59&lt;&gt;"",ABS(MIN(-0.6*'CDO Bespoke'!K60+'CDO Bespoke'!T60*'CDO Bespoke'!K60,0)),"")</f>
        <v>0.5142132914698061</v>
      </c>
      <c r="AD59" s="485">
        <f t="shared" ca="1" si="5"/>
        <v>0</v>
      </c>
      <c r="AE59" s="489">
        <f t="shared" ca="1" si="3"/>
        <v>0</v>
      </c>
      <c r="AF59" s="272"/>
      <c r="AG59" s="494" t="str">
        <f ca="1">IF('CDO Bespoke'!C84&lt;&gt;"",'CDO Bespoke'!C84,"")</f>
        <v>Heineken N.V.</v>
      </c>
      <c r="AH59" s="496">
        <f ca="1"/>
        <v>-1.7918647982062552E-4</v>
      </c>
      <c r="AI59" s="584">
        <f ca="1"/>
        <v>-1.7533622997945031E-4</v>
      </c>
      <c r="AJ59" s="584">
        <f ca="1"/>
        <v>5.5356906003556361E-4</v>
      </c>
      <c r="AK59" s="584">
        <f ca="1"/>
        <v>0.37420726999998211</v>
      </c>
      <c r="AL59" s="497">
        <f ca="1"/>
        <v>0</v>
      </c>
      <c r="AM59" s="619">
        <f ca="1"/>
        <v>0</v>
      </c>
      <c r="AN59" s="496">
        <f ca="1"/>
        <v>2.2995628960048586E-4</v>
      </c>
      <c r="AO59" s="584">
        <f ca="1"/>
        <v>1.1150725786994442E-3</v>
      </c>
      <c r="AP59" s="584">
        <f ca="1"/>
        <v>4.9575146025002473E-3</v>
      </c>
      <c r="AQ59" s="584">
        <f ca="1"/>
        <v>0.37343538362719864</v>
      </c>
      <c r="AR59" s="497">
        <f ca="1"/>
        <v>0</v>
      </c>
      <c r="AS59" s="619">
        <f ca="1"/>
        <v>0</v>
      </c>
      <c r="AT59" s="496">
        <f ca="1"/>
        <v>-1.9027944709835126E-2</v>
      </c>
      <c r="AU59" s="497">
        <f ca="1"/>
        <v>-1.8329259192284897E-2</v>
      </c>
      <c r="AV59" s="619">
        <f ca="1"/>
        <v>0</v>
      </c>
      <c r="AW59" s="496">
        <f ca="1"/>
        <v>-0.12390661396653643</v>
      </c>
      <c r="AX59" s="497">
        <f ca="1"/>
        <v>3.7783668769653372E-3</v>
      </c>
      <c r="AY59" s="619">
        <f ca="1"/>
        <v>0</v>
      </c>
    </row>
    <row r="60" spans="2:51">
      <c r="B60" s="534" t="s">
        <v>516</v>
      </c>
      <c r="C60" s="535" t="s">
        <v>66</v>
      </c>
      <c r="D60" s="535" t="s">
        <v>59</v>
      </c>
      <c r="E60" s="535" t="s">
        <v>646</v>
      </c>
      <c r="F60" s="535" t="s">
        <v>647</v>
      </c>
      <c r="G60" s="536">
        <v>0.01</v>
      </c>
      <c r="H60" s="536">
        <v>4.9129999999999998E-3</v>
      </c>
      <c r="I60" s="537">
        <v>0.4</v>
      </c>
      <c r="J60" s="594">
        <v>4</v>
      </c>
      <c r="K60" s="538">
        <v>12</v>
      </c>
      <c r="L60" s="272"/>
      <c r="M60" s="272"/>
      <c r="P60" s="273"/>
      <c r="Q60" s="273"/>
      <c r="R60" s="273"/>
      <c r="S60" s="273"/>
      <c r="T60" s="576">
        <f ca="1"/>
        <v>0.06</v>
      </c>
      <c r="U60" s="573">
        <f ca="1"/>
        <v>52</v>
      </c>
      <c r="V60" s="576">
        <f t="shared" ca="1" si="7"/>
        <v>0</v>
      </c>
      <c r="W60" s="576">
        <f t="shared" ca="1" si="8"/>
        <v>0</v>
      </c>
      <c r="X60" s="484">
        <f ca="1">IF('CDO Bespoke'!O61&lt;&gt;"",'CDO Bespoke'!O61,"")</f>
        <v>9.6076244366670102E-2</v>
      </c>
      <c r="Y60" s="485">
        <f t="shared" ca="1" si="6"/>
        <v>0</v>
      </c>
      <c r="Z60" s="485">
        <f t="shared" ca="1" si="4"/>
        <v>9.6076244366670102E-2</v>
      </c>
      <c r="AA60" s="489">
        <f t="shared" ca="1" si="2"/>
        <v>0</v>
      </c>
      <c r="AB60" s="484">
        <f ca="1">IF('CDO Bespoke'!O61&lt;&gt;"",'CDO Bespoke'!O61,"")</f>
        <v>9.6076244366670102E-2</v>
      </c>
      <c r="AC60" s="485">
        <f ca="1">IF(AB60&lt;&gt;"",ABS(MIN(-0.6*'CDO Bespoke'!K61+'CDO Bespoke'!T61*'CDO Bespoke'!K61,0)),"")</f>
        <v>0.57419614314561285</v>
      </c>
      <c r="AD60" s="485">
        <f t="shared" ca="1" si="5"/>
        <v>0</v>
      </c>
      <c r="AE60" s="489">
        <f t="shared" ca="1" si="3"/>
        <v>0</v>
      </c>
      <c r="AF60" s="272"/>
      <c r="AG60" s="494" t="str">
        <f ca="1">IF('CDO Bespoke'!C85&lt;&gt;"",'CDO Bespoke'!C85,"")</f>
        <v>Henkel AG &amp; Co. KGaA</v>
      </c>
      <c r="AH60" s="496">
        <f ca="1"/>
        <v>-2.0106000198083507E-6</v>
      </c>
      <c r="AI60" s="584">
        <f ca="1"/>
        <v>3.4844806012790386E-4</v>
      </c>
      <c r="AJ60" s="584">
        <f ca="1"/>
        <v>2.0561097199833789E-3</v>
      </c>
      <c r="AK60" s="584">
        <f ca="1"/>
        <v>0.19405556683005365</v>
      </c>
      <c r="AL60" s="497">
        <f ca="1"/>
        <v>0</v>
      </c>
      <c r="AM60" s="619">
        <f ca="1"/>
        <v>0</v>
      </c>
      <c r="AN60" s="496">
        <f ca="1"/>
        <v>1.3646326930006475E-4</v>
      </c>
      <c r="AO60" s="584">
        <f ca="1"/>
        <v>6.589483218994753E-4</v>
      </c>
      <c r="AP60" s="584">
        <f ca="1"/>
        <v>2.9648686043987418E-3</v>
      </c>
      <c r="AQ60" s="584">
        <f ca="1"/>
        <v>0.19325630884589953</v>
      </c>
      <c r="AR60" s="497">
        <f ca="1"/>
        <v>0</v>
      </c>
      <c r="AS60" s="619">
        <f ca="1"/>
        <v>0</v>
      </c>
      <c r="AT60" s="496">
        <f ca="1"/>
        <v>-2.7862647570849747E-2</v>
      </c>
      <c r="AU60" s="497">
        <f ca="1"/>
        <v>-9.7178181044212664E-3</v>
      </c>
      <c r="AV60" s="619">
        <f ca="1"/>
        <v>0</v>
      </c>
      <c r="AW60" s="496">
        <f ca="1"/>
        <v>-0.13038020969704067</v>
      </c>
      <c r="AX60" s="497">
        <f ca="1"/>
        <v>4.0148495925148653E-3</v>
      </c>
      <c r="AY60" s="619">
        <f ca="1"/>
        <v>0</v>
      </c>
    </row>
    <row r="61" spans="2:51">
      <c r="B61" s="539" t="s">
        <v>611</v>
      </c>
      <c r="C61" s="540" t="s">
        <v>66</v>
      </c>
      <c r="D61" s="540" t="s">
        <v>55</v>
      </c>
      <c r="E61" s="540" t="s">
        <v>648</v>
      </c>
      <c r="F61" s="540" t="s">
        <v>647</v>
      </c>
      <c r="G61" s="541">
        <v>0.01</v>
      </c>
      <c r="H61" s="541">
        <v>5.3819999999999996E-3</v>
      </c>
      <c r="I61" s="542">
        <v>0.4</v>
      </c>
      <c r="J61" s="601">
        <v>4</v>
      </c>
      <c r="K61" s="543">
        <v>13</v>
      </c>
      <c r="L61" s="272"/>
      <c r="M61" s="272"/>
      <c r="P61" s="273"/>
      <c r="Q61" s="273"/>
      <c r="R61" s="273"/>
      <c r="S61" s="273"/>
      <c r="T61" s="576">
        <f ca="1"/>
        <v>0.02</v>
      </c>
      <c r="U61" s="573">
        <f ca="1"/>
        <v>53</v>
      </c>
      <c r="V61" s="576">
        <f t="shared" ca="1" si="7"/>
        <v>0</v>
      </c>
      <c r="W61" s="576">
        <f t="shared" ca="1" si="8"/>
        <v>0</v>
      </c>
      <c r="X61" s="484">
        <f ca="1">IF('CDO Bespoke'!O62&lt;&gt;"",'CDO Bespoke'!O62,"")</f>
        <v>7.6848011603689995E-2</v>
      </c>
      <c r="Y61" s="485">
        <f t="shared" ca="1" si="6"/>
        <v>0</v>
      </c>
      <c r="Z61" s="485">
        <f t="shared" ca="1" si="4"/>
        <v>7.6848011603689995E-2</v>
      </c>
      <c r="AA61" s="489">
        <f t="shared" ca="1" si="2"/>
        <v>0</v>
      </c>
      <c r="AB61" s="484">
        <f ca="1">IF('CDO Bespoke'!O62&lt;&gt;"",'CDO Bespoke'!O62,"")</f>
        <v>7.6848011603689995E-2</v>
      </c>
      <c r="AC61" s="485">
        <f ca="1">IF(AB61&lt;&gt;"",ABS(MIN(-0.6*'CDO Bespoke'!K62+'CDO Bespoke'!T62*'CDO Bespoke'!K62,0)),"")</f>
        <v>0.32098470643944199</v>
      </c>
      <c r="AD61" s="485">
        <f t="shared" ca="1" si="5"/>
        <v>0</v>
      </c>
      <c r="AE61" s="489">
        <f t="shared" ca="1" si="3"/>
        <v>0</v>
      </c>
      <c r="AF61" s="272"/>
      <c r="AG61" s="494" t="str">
        <f ca="1">IF('CDO Bespoke'!C86&lt;&gt;"",'CDO Bespoke'!C86,"")</f>
        <v>IMPERIAL BRANDS PLC</v>
      </c>
      <c r="AH61" s="496">
        <f ca="1"/>
        <v>-1.254107519776948E-3</v>
      </c>
      <c r="AI61" s="584">
        <f ca="1"/>
        <v>-3.9102646398614382E-3</v>
      </c>
      <c r="AJ61" s="584">
        <f ca="1"/>
        <v>-1.2932345329896844E-2</v>
      </c>
      <c r="AK61" s="584">
        <f ca="1"/>
        <v>0.94914285244995789</v>
      </c>
      <c r="AL61" s="497">
        <f ca="1"/>
        <v>0</v>
      </c>
      <c r="AM61" s="619">
        <f ca="1"/>
        <v>0</v>
      </c>
      <c r="AN61" s="496">
        <f ca="1"/>
        <v>2.1350764639995259E-4</v>
      </c>
      <c r="AO61" s="584">
        <f ca="1"/>
        <v>1.0872664310979802E-3</v>
      </c>
      <c r="AP61" s="584">
        <f ca="1"/>
        <v>4.077842993899846E-3</v>
      </c>
      <c r="AQ61" s="584">
        <f ca="1"/>
        <v>0.93902132823699824</v>
      </c>
      <c r="AR61" s="497">
        <f ca="1"/>
        <v>0</v>
      </c>
      <c r="AS61" s="619">
        <f ca="1"/>
        <v>0</v>
      </c>
      <c r="AT61" s="496">
        <f ca="1"/>
        <v>1.0637612851793127E-2</v>
      </c>
      <c r="AU61" s="497">
        <f ca="1"/>
        <v>-4.3101494638072141E-2</v>
      </c>
      <c r="AV61" s="619">
        <f ca="1"/>
        <v>0</v>
      </c>
      <c r="AW61" s="496">
        <f ca="1"/>
        <v>-0.10255390280465812</v>
      </c>
      <c r="AX61" s="497">
        <f ca="1"/>
        <v>9.1077402051828217E-3</v>
      </c>
      <c r="AY61" s="619">
        <f ca="1"/>
        <v>0</v>
      </c>
    </row>
    <row r="62" spans="2:51">
      <c r="B62" s="517" t="s">
        <v>611</v>
      </c>
      <c r="C62" s="518" t="s">
        <v>66</v>
      </c>
      <c r="D62" s="518" t="s">
        <v>57</v>
      </c>
      <c r="E62" s="518" t="s">
        <v>648</v>
      </c>
      <c r="F62" s="518" t="s">
        <v>647</v>
      </c>
      <c r="G62" s="525">
        <v>0.01</v>
      </c>
      <c r="H62" s="525">
        <v>8.8269999999999998E-3</v>
      </c>
      <c r="I62" s="527">
        <v>0.4</v>
      </c>
      <c r="J62" s="593">
        <v>4</v>
      </c>
      <c r="K62" s="519">
        <v>13</v>
      </c>
      <c r="L62" s="272"/>
      <c r="M62" s="272"/>
      <c r="P62" s="273"/>
      <c r="Q62" s="273"/>
      <c r="R62" s="273"/>
      <c r="S62" s="273"/>
      <c r="T62" s="576">
        <f ca="1"/>
        <v>0.02</v>
      </c>
      <c r="U62" s="573">
        <f ca="1"/>
        <v>54</v>
      </c>
      <c r="V62" s="576">
        <f t="shared" ca="1" si="7"/>
        <v>0</v>
      </c>
      <c r="W62" s="576">
        <f t="shared" ca="1" si="8"/>
        <v>0</v>
      </c>
      <c r="X62" s="484">
        <f ca="1">IF('CDO Bespoke'!O63&lt;&gt;"",'CDO Bespoke'!O63,"")</f>
        <v>8.7088714966620198E-2</v>
      </c>
      <c r="Y62" s="485">
        <f t="shared" ca="1" si="6"/>
        <v>0</v>
      </c>
      <c r="Z62" s="485">
        <f t="shared" ca="1" si="4"/>
        <v>8.7088714966620198E-2</v>
      </c>
      <c r="AA62" s="489">
        <f t="shared" ca="1" si="2"/>
        <v>0</v>
      </c>
      <c r="AB62" s="484">
        <f ca="1">IF('CDO Bespoke'!O63&lt;&gt;"",'CDO Bespoke'!O63,"")</f>
        <v>8.7088714966620198E-2</v>
      </c>
      <c r="AC62" s="485">
        <f ca="1">IF(AB62&lt;&gt;"",ABS(MIN(-0.6*'CDO Bespoke'!K63+'CDO Bespoke'!T63*'CDO Bespoke'!K63,0)),"")</f>
        <v>0.4691056763043614</v>
      </c>
      <c r="AD62" s="485">
        <f t="shared" ca="1" si="5"/>
        <v>0</v>
      </c>
      <c r="AE62" s="489">
        <f t="shared" ca="1" si="3"/>
        <v>0</v>
      </c>
      <c r="AF62" s="272"/>
      <c r="AG62" s="494" t="str">
        <f ca="1">IF('CDO Bespoke'!C87&lt;&gt;"",'CDO Bespoke'!C87,"")</f>
        <v>Kering</v>
      </c>
      <c r="AH62" s="496">
        <f ca="1"/>
        <v>-3.7943177988442045E-4</v>
      </c>
      <c r="AI62" s="584">
        <f ca="1"/>
        <v>-7.0594001977397625E-4</v>
      </c>
      <c r="AJ62" s="584">
        <f ca="1"/>
        <v>-1.0483171999919882E-3</v>
      </c>
      <c r="AK62" s="584">
        <f ca="1"/>
        <v>0.56302461988011476</v>
      </c>
      <c r="AL62" s="497">
        <f ca="1"/>
        <v>0</v>
      </c>
      <c r="AM62" s="619">
        <f ca="1"/>
        <v>0</v>
      </c>
      <c r="AN62" s="496">
        <f ca="1"/>
        <v>2.8878414800107E-4</v>
      </c>
      <c r="AO62" s="584">
        <f ca="1"/>
        <v>1.4097557797998136E-3</v>
      </c>
      <c r="AP62" s="584">
        <f ca="1"/>
        <v>6.1585527967025419E-3</v>
      </c>
      <c r="AQ62" s="584">
        <f ca="1"/>
        <v>0.56279169162160192</v>
      </c>
      <c r="AR62" s="497">
        <f ca="1"/>
        <v>0</v>
      </c>
      <c r="AS62" s="619">
        <f ca="1"/>
        <v>0</v>
      </c>
      <c r="AT62" s="496">
        <f ca="1"/>
        <v>-9.5162508452607819E-3</v>
      </c>
      <c r="AU62" s="497">
        <f ca="1"/>
        <v>-2.7112389054796238E-2</v>
      </c>
      <c r="AV62" s="619">
        <f ca="1"/>
        <v>0</v>
      </c>
      <c r="AW62" s="496">
        <f ca="1"/>
        <v>-0.11697102654804034</v>
      </c>
      <c r="AX62" s="497">
        <f ca="1"/>
        <v>3.9628887246020428E-3</v>
      </c>
      <c r="AY62" s="619">
        <f ca="1"/>
        <v>0</v>
      </c>
    </row>
    <row r="63" spans="2:51">
      <c r="B63" s="534" t="s">
        <v>611</v>
      </c>
      <c r="C63" s="535" t="s">
        <v>66</v>
      </c>
      <c r="D63" s="535" t="s">
        <v>59</v>
      </c>
      <c r="E63" s="535" t="s">
        <v>648</v>
      </c>
      <c r="F63" s="535" t="s">
        <v>647</v>
      </c>
      <c r="G63" s="536">
        <v>0.01</v>
      </c>
      <c r="H63" s="536">
        <v>1.2491E-2</v>
      </c>
      <c r="I63" s="537">
        <v>0.4</v>
      </c>
      <c r="J63" s="594">
        <v>4</v>
      </c>
      <c r="K63" s="538">
        <v>13</v>
      </c>
      <c r="L63" s="272"/>
      <c r="M63" s="272"/>
      <c r="P63" s="273"/>
      <c r="Q63" s="273"/>
      <c r="R63" s="273"/>
      <c r="S63" s="273"/>
      <c r="T63" s="576">
        <f ca="1"/>
        <v>0.06</v>
      </c>
      <c r="U63" s="573">
        <f ca="1"/>
        <v>55</v>
      </c>
      <c r="V63" s="576">
        <f t="shared" ca="1" si="7"/>
        <v>0</v>
      </c>
      <c r="W63" s="576">
        <f t="shared" ca="1" si="8"/>
        <v>0</v>
      </c>
      <c r="X63" s="484">
        <f ca="1">IF('CDO Bespoke'!O64&lt;&gt;"",'CDO Bespoke'!O64,"")</f>
        <v>5.4691775864640101E-2</v>
      </c>
      <c r="Y63" s="485">
        <f t="shared" ca="1" si="6"/>
        <v>0</v>
      </c>
      <c r="Z63" s="485">
        <f t="shared" ca="1" si="4"/>
        <v>5.4691775864640101E-2</v>
      </c>
      <c r="AA63" s="489">
        <f t="shared" ca="1" si="2"/>
        <v>0</v>
      </c>
      <c r="AB63" s="484">
        <f ca="1">IF('CDO Bespoke'!O64&lt;&gt;"",'CDO Bespoke'!O64,"")</f>
        <v>5.4691775864640101E-2</v>
      </c>
      <c r="AC63" s="485">
        <f ca="1">IF(AB63&lt;&gt;"",ABS(MIN(-0.6*'CDO Bespoke'!K64+'CDO Bespoke'!T64*'CDO Bespoke'!K64,0)),"")</f>
        <v>3.3655627778838716E-2</v>
      </c>
      <c r="AD63" s="485">
        <f t="shared" ca="1" si="5"/>
        <v>2.1036148085801384E-2</v>
      </c>
      <c r="AE63" s="489">
        <f t="shared" ca="1" si="3"/>
        <v>0</v>
      </c>
      <c r="AF63" s="272"/>
      <c r="AG63" s="494" t="str">
        <f ca="1">IF('CDO Bespoke'!C88&lt;&gt;"",'CDO Bespoke'!C88,"")</f>
        <v>Koninklijke Ahold Delhaize N.V.</v>
      </c>
      <c r="AH63" s="496">
        <f ca="1"/>
        <v>-3.1286501098182207E-3</v>
      </c>
      <c r="AI63" s="584">
        <f ca="1"/>
        <v>-1.3205176739861102E-2</v>
      </c>
      <c r="AJ63" s="584">
        <f ca="1"/>
        <v>-4.7666001319890405E-2</v>
      </c>
      <c r="AK63" s="584">
        <f ca="1"/>
        <v>0.76416760175002096</v>
      </c>
      <c r="AL63" s="497">
        <f ca="1"/>
        <v>0</v>
      </c>
      <c r="AM63" s="619">
        <f ca="1"/>
        <v>0</v>
      </c>
      <c r="AN63" s="496">
        <f ca="1"/>
        <v>-1.3119150260067214E-3</v>
      </c>
      <c r="AO63" s="584">
        <f ca="1"/>
        <v>-6.1391331400081905E-3</v>
      </c>
      <c r="AP63" s="584">
        <f ca="1"/>
        <v>-2.8677670920011777E-2</v>
      </c>
      <c r="AQ63" s="584">
        <f ca="1"/>
        <v>0.72133798582799113</v>
      </c>
      <c r="AR63" s="497">
        <f ca="1"/>
        <v>0</v>
      </c>
      <c r="AS63" s="619">
        <f ca="1"/>
        <v>0</v>
      </c>
      <c r="AT63" s="496">
        <f ca="1"/>
        <v>2.038694280203554E-2</v>
      </c>
      <c r="AU63" s="497">
        <f ca="1"/>
        <v>-8.3117118737965623E-3</v>
      </c>
      <c r="AV63" s="619">
        <f ca="1"/>
        <v>0</v>
      </c>
      <c r="AW63" s="496">
        <f ca="1"/>
        <v>-9.4009770434606454E-2</v>
      </c>
      <c r="AX63" s="497">
        <f ca="1"/>
        <v>0.12372656805615209</v>
      </c>
      <c r="AY63" s="619">
        <f ca="1"/>
        <v>0</v>
      </c>
    </row>
    <row r="64" spans="2:51">
      <c r="B64" s="539" t="s">
        <v>517</v>
      </c>
      <c r="C64" s="540" t="s">
        <v>66</v>
      </c>
      <c r="D64" s="540" t="s">
        <v>55</v>
      </c>
      <c r="E64" s="540" t="s">
        <v>648</v>
      </c>
      <c r="F64" s="540" t="s">
        <v>647</v>
      </c>
      <c r="G64" s="541">
        <v>0.01</v>
      </c>
      <c r="H64" s="541">
        <v>2.905E-3</v>
      </c>
      <c r="I64" s="542">
        <v>0.4</v>
      </c>
      <c r="J64" s="601">
        <v>4</v>
      </c>
      <c r="K64" s="543">
        <v>14</v>
      </c>
      <c r="L64" s="272"/>
      <c r="M64" s="272"/>
      <c r="P64" s="273"/>
      <c r="Q64" s="273"/>
      <c r="R64" s="273"/>
      <c r="S64" s="273"/>
      <c r="T64" s="576">
        <f ca="1"/>
        <v>0.06</v>
      </c>
      <c r="U64" s="573">
        <f ca="1"/>
        <v>56</v>
      </c>
      <c r="V64" s="576">
        <f t="shared" ca="1" si="7"/>
        <v>0</v>
      </c>
      <c r="W64" s="576">
        <f t="shared" ca="1" si="8"/>
        <v>0</v>
      </c>
      <c r="X64" s="484">
        <f ca="1">IF('CDO Bespoke'!O65&lt;&gt;"",'CDO Bespoke'!O65,"")</f>
        <v>8.4704260265369993E-2</v>
      </c>
      <c r="Y64" s="485">
        <f t="shared" ca="1" si="6"/>
        <v>0</v>
      </c>
      <c r="Z64" s="485">
        <f t="shared" ca="1" si="4"/>
        <v>8.4704260265369993E-2</v>
      </c>
      <c r="AA64" s="489">
        <f t="shared" ca="1" si="2"/>
        <v>0</v>
      </c>
      <c r="AB64" s="484">
        <f ca="1">IF('CDO Bespoke'!O65&lt;&gt;"",'CDO Bespoke'!O65,"")</f>
        <v>8.4704260265369993E-2</v>
      </c>
      <c r="AC64" s="485">
        <f ca="1">IF(AB64&lt;&gt;"",ABS(MIN(-0.6*'CDO Bespoke'!K65+'CDO Bespoke'!T65*'CDO Bespoke'!K65,0)),"")</f>
        <v>0.41922421501651541</v>
      </c>
      <c r="AD64" s="485">
        <f t="shared" ca="1" si="5"/>
        <v>0</v>
      </c>
      <c r="AE64" s="489">
        <f t="shared" ca="1" si="3"/>
        <v>0</v>
      </c>
      <c r="AF64" s="272"/>
      <c r="AG64" s="494" t="str">
        <f ca="1">IF('CDO Bespoke'!C89&lt;&gt;"",'CDO Bespoke'!C89,"")</f>
        <v>Koninklijke Philips N.V.</v>
      </c>
      <c r="AH64" s="496">
        <f ca="1"/>
        <v>-5.3173860981026166E-4</v>
      </c>
      <c r="AI64" s="584">
        <f ca="1"/>
        <v>-1.1884047898536032E-3</v>
      </c>
      <c r="AJ64" s="584">
        <f ca="1"/>
        <v>-2.6681401799066862E-3</v>
      </c>
      <c r="AK64" s="584">
        <f ca="1"/>
        <v>0.66000197086996115</v>
      </c>
      <c r="AL64" s="497">
        <f ca="1"/>
        <v>0</v>
      </c>
      <c r="AM64" s="619">
        <f ca="1"/>
        <v>0</v>
      </c>
      <c r="AN64" s="496">
        <f ca="1"/>
        <v>2.9932658920060751E-4</v>
      </c>
      <c r="AO64" s="584">
        <f ca="1"/>
        <v>1.4684259554012882E-3</v>
      </c>
      <c r="AP64" s="584">
        <f ca="1"/>
        <v>6.3252574792997673E-3</v>
      </c>
      <c r="AQ64" s="584">
        <f ca="1"/>
        <v>0.65908628569340177</v>
      </c>
      <c r="AR64" s="497">
        <f ca="1"/>
        <v>0</v>
      </c>
      <c r="AS64" s="619">
        <f ca="1"/>
        <v>0</v>
      </c>
      <c r="AT64" s="496">
        <f ca="1"/>
        <v>-4.5638932747174843E-3</v>
      </c>
      <c r="AU64" s="497">
        <f ca="1"/>
        <v>-3.144123756624953E-2</v>
      </c>
      <c r="AV64" s="619">
        <f ca="1"/>
        <v>0</v>
      </c>
      <c r="AW64" s="496">
        <f ca="1"/>
        <v>-0.11337814016597109</v>
      </c>
      <c r="AX64" s="497">
        <f ca="1"/>
        <v>4.4536272064194006E-3</v>
      </c>
      <c r="AY64" s="619">
        <f ca="1"/>
        <v>0</v>
      </c>
    </row>
    <row r="65" spans="2:51">
      <c r="B65" s="517" t="s">
        <v>517</v>
      </c>
      <c r="C65" s="518" t="s">
        <v>66</v>
      </c>
      <c r="D65" s="518" t="s">
        <v>57</v>
      </c>
      <c r="E65" s="518" t="s">
        <v>648</v>
      </c>
      <c r="F65" s="518" t="s">
        <v>647</v>
      </c>
      <c r="G65" s="525">
        <v>0.01</v>
      </c>
      <c r="H65" s="525">
        <v>4.709E-2</v>
      </c>
      <c r="I65" s="527">
        <v>0.4</v>
      </c>
      <c r="J65" s="593">
        <v>4</v>
      </c>
      <c r="K65" s="519">
        <v>14</v>
      </c>
      <c r="L65" s="272"/>
      <c r="M65" s="272"/>
      <c r="P65" s="273"/>
      <c r="Q65" s="273"/>
      <c r="R65" s="273"/>
      <c r="S65" s="273"/>
      <c r="T65" s="576">
        <f ca="1"/>
        <v>0.06</v>
      </c>
      <c r="U65" s="573">
        <f ca="1"/>
        <v>57</v>
      </c>
      <c r="V65" s="576">
        <f t="shared" ca="1" si="7"/>
        <v>0</v>
      </c>
      <c r="W65" s="576">
        <f t="shared" ca="1" si="8"/>
        <v>0</v>
      </c>
      <c r="X65" s="484">
        <f ca="1">IF('CDO Bespoke'!O66&lt;&gt;"",'CDO Bespoke'!O66,"")</f>
        <v>6.79939166799199E-2</v>
      </c>
      <c r="Y65" s="485">
        <f t="shared" ca="1" si="6"/>
        <v>0</v>
      </c>
      <c r="Z65" s="485">
        <f t="shared" ca="1" si="4"/>
        <v>6.79939166799199E-2</v>
      </c>
      <c r="AA65" s="489">
        <f t="shared" ca="1" si="2"/>
        <v>0</v>
      </c>
      <c r="AB65" s="484">
        <f ca="1">IF('CDO Bespoke'!O66&lt;&gt;"",'CDO Bespoke'!O66,"")</f>
        <v>6.79939166799199E-2</v>
      </c>
      <c r="AC65" s="485">
        <f ca="1">IF(AB65&lt;&gt;"",ABS(MIN(-0.6*'CDO Bespoke'!K66+'CDO Bespoke'!T66*'CDO Bespoke'!K66,0)),"")</f>
        <v>0.18849449122878906</v>
      </c>
      <c r="AD65" s="485">
        <f t="shared" ca="1" si="5"/>
        <v>0</v>
      </c>
      <c r="AE65" s="489">
        <f t="shared" ca="1" si="3"/>
        <v>0</v>
      </c>
      <c r="AF65" s="272"/>
      <c r="AG65" s="494" t="str">
        <f ca="1">IF('CDO Bespoke'!C90&lt;&gt;"",'CDO Bespoke'!C90,"")</f>
        <v>Louis Dreyfus Company B.V.</v>
      </c>
      <c r="AH65" s="496">
        <f ca="1"/>
        <v>-2.1568876698574435E-3</v>
      </c>
      <c r="AI65" s="584">
        <f ca="1"/>
        <v>-7.65711903993882E-3</v>
      </c>
      <c r="AJ65" s="584">
        <f ca="1"/>
        <v>-2.8011476490008569E-2</v>
      </c>
      <c r="AK65" s="584">
        <f ca="1"/>
        <v>1.1576236620400304</v>
      </c>
      <c r="AL65" s="497">
        <f ca="1"/>
        <v>0</v>
      </c>
      <c r="AM65" s="619">
        <f ca="1"/>
        <v>0</v>
      </c>
      <c r="AN65" s="496">
        <f ca="1"/>
        <v>-1.5167090900054803E-4</v>
      </c>
      <c r="AO65" s="584">
        <f ca="1"/>
        <v>-6.3124487100114923E-4</v>
      </c>
      <c r="AP65" s="584">
        <f ca="1"/>
        <v>-4.0209073440006932E-3</v>
      </c>
      <c r="AQ65" s="584">
        <f ca="1"/>
        <v>1.1336999033209962</v>
      </c>
      <c r="AR65" s="497">
        <f ca="1"/>
        <v>0</v>
      </c>
      <c r="AS65" s="619">
        <f ca="1"/>
        <v>0</v>
      </c>
      <c r="AT65" s="496">
        <f ca="1"/>
        <v>2.3704524050340264E-2</v>
      </c>
      <c r="AU65" s="497">
        <f ca="1"/>
        <v>-4.8103084025252291E-2</v>
      </c>
      <c r="AV65" s="619">
        <f ca="1"/>
        <v>0</v>
      </c>
      <c r="AW65" s="496">
        <f ca="1"/>
        <v>-9.3095620923618366E-2</v>
      </c>
      <c r="AX65" s="497">
        <f ca="1"/>
        <v>2.3962065158927688E-2</v>
      </c>
      <c r="AY65" s="619">
        <f ca="1"/>
        <v>0</v>
      </c>
    </row>
    <row r="66" spans="2:51">
      <c r="B66" s="534" t="s">
        <v>517</v>
      </c>
      <c r="C66" s="535" t="s">
        <v>66</v>
      </c>
      <c r="D66" s="535" t="s">
        <v>59</v>
      </c>
      <c r="E66" s="535" t="s">
        <v>648</v>
      </c>
      <c r="F66" s="535" t="s">
        <v>647</v>
      </c>
      <c r="G66" s="536">
        <v>0.01</v>
      </c>
      <c r="H66" s="536">
        <v>6.6230000000000004E-3</v>
      </c>
      <c r="I66" s="537">
        <v>0.4</v>
      </c>
      <c r="J66" s="594">
        <v>4</v>
      </c>
      <c r="K66" s="538">
        <v>14</v>
      </c>
      <c r="L66" s="272"/>
      <c r="M66" s="272"/>
      <c r="P66" s="273"/>
      <c r="Q66" s="273"/>
      <c r="R66" s="273"/>
      <c r="S66" s="273"/>
      <c r="T66" s="576">
        <f ca="1"/>
        <v>0.06</v>
      </c>
      <c r="U66" s="573">
        <f ca="1"/>
        <v>58</v>
      </c>
      <c r="V66" s="576">
        <f t="shared" ca="1" si="7"/>
        <v>0</v>
      </c>
      <c r="W66" s="576">
        <f t="shared" ca="1" si="8"/>
        <v>0</v>
      </c>
      <c r="X66" s="484">
        <f ca="1">IF('CDO Bespoke'!O67&lt;&gt;"",'CDO Bespoke'!O67,"")</f>
        <v>9.1759777961780004E-2</v>
      </c>
      <c r="Y66" s="485">
        <f t="shared" ca="1" si="6"/>
        <v>0</v>
      </c>
      <c r="Z66" s="485">
        <f t="shared" ca="1" si="4"/>
        <v>9.1759777961780004E-2</v>
      </c>
      <c r="AA66" s="489">
        <f t="shared" ca="1" si="2"/>
        <v>0</v>
      </c>
      <c r="AB66" s="484">
        <f ca="1">IF('CDO Bespoke'!O67&lt;&gt;"",'CDO Bespoke'!O67,"")</f>
        <v>9.1759777961780004E-2</v>
      </c>
      <c r="AC66" s="485">
        <f ca="1">IF(AB66&lt;&gt;"",ABS(MIN(-0.6*'CDO Bespoke'!K67+'CDO Bespoke'!T67*'CDO Bespoke'!K67,0)),"")</f>
        <v>0.51609127669444832</v>
      </c>
      <c r="AD66" s="485">
        <f t="shared" ca="1" si="5"/>
        <v>0</v>
      </c>
      <c r="AE66" s="489">
        <f t="shared" ca="1" si="3"/>
        <v>0</v>
      </c>
      <c r="AF66" s="272"/>
      <c r="AG66" s="494" t="str">
        <f ca="1">IF('CDO Bespoke'!C91&lt;&gt;"",'CDO Bespoke'!C91,"")</f>
        <v>LVMH MOET HENNESSY LOUIS VUITTON</v>
      </c>
      <c r="AH66" s="496">
        <f ca="1"/>
        <v>-1.7404597985049008E-4</v>
      </c>
      <c r="AI66" s="584">
        <f ca="1"/>
        <v>-1.6195857988066109E-4</v>
      </c>
      <c r="AJ66" s="584">
        <f ca="1"/>
        <v>5.9212138997510877E-4</v>
      </c>
      <c r="AK66" s="584">
        <f ca="1"/>
        <v>0.36856495408021939</v>
      </c>
      <c r="AL66" s="497">
        <f ca="1"/>
        <v>0</v>
      </c>
      <c r="AM66" s="619">
        <f ca="1"/>
        <v>0</v>
      </c>
      <c r="AN66" s="496">
        <f ca="1"/>
        <v>2.2752830289990422E-4</v>
      </c>
      <c r="AO66" s="584">
        <f ca="1"/>
        <v>1.103136632396931E-3</v>
      </c>
      <c r="AP66" s="584">
        <f ca="1"/>
        <v>4.9064975178982409E-3</v>
      </c>
      <c r="AQ66" s="584">
        <f ca="1"/>
        <v>0.36777040489179708</v>
      </c>
      <c r="AR66" s="497">
        <f ca="1"/>
        <v>0</v>
      </c>
      <c r="AS66" s="619">
        <f ca="1"/>
        <v>0</v>
      </c>
      <c r="AT66" s="496">
        <f ca="1"/>
        <v>-1.9308646565369847E-2</v>
      </c>
      <c r="AU66" s="497">
        <f ca="1"/>
        <v>-1.8061973307589185E-2</v>
      </c>
      <c r="AV66" s="619">
        <f ca="1"/>
        <v>0</v>
      </c>
      <c r="AW66" s="496">
        <f ca="1"/>
        <v>-0.12411154424452044</v>
      </c>
      <c r="AX66" s="497">
        <f ca="1"/>
        <v>3.7832819706507398E-3</v>
      </c>
      <c r="AY66" s="619">
        <f ca="1"/>
        <v>0</v>
      </c>
    </row>
    <row r="67" spans="2:51">
      <c r="B67" s="539" t="s">
        <v>518</v>
      </c>
      <c r="C67" s="540" t="s">
        <v>66</v>
      </c>
      <c r="D67" s="540" t="s">
        <v>55</v>
      </c>
      <c r="E67" s="540" t="s">
        <v>648</v>
      </c>
      <c r="F67" s="540" t="s">
        <v>671</v>
      </c>
      <c r="G67" s="541">
        <v>0.01</v>
      </c>
      <c r="H67" s="541">
        <v>5.1570000000000001E-3</v>
      </c>
      <c r="I67" s="542">
        <v>0.4</v>
      </c>
      <c r="J67" s="601">
        <v>5</v>
      </c>
      <c r="K67" s="543">
        <v>15</v>
      </c>
      <c r="L67" s="272"/>
      <c r="M67" s="272"/>
      <c r="P67" s="273"/>
      <c r="Q67" s="273"/>
      <c r="R67" s="273"/>
      <c r="S67" s="273"/>
      <c r="T67" s="576">
        <f ca="1"/>
        <v>0.06</v>
      </c>
      <c r="U67" s="573">
        <f ca="1"/>
        <v>59</v>
      </c>
      <c r="V67" s="576">
        <f t="shared" ca="1" si="7"/>
        <v>0</v>
      </c>
      <c r="W67" s="576">
        <f t="shared" ca="1" si="8"/>
        <v>0</v>
      </c>
      <c r="X67" s="484">
        <f ca="1">IF('CDO Bespoke'!O68&lt;&gt;"",'CDO Bespoke'!O68,"")</f>
        <v>9.3169906755640006E-2</v>
      </c>
      <c r="Y67" s="485">
        <f t="shared" ca="1" si="6"/>
        <v>0</v>
      </c>
      <c r="Z67" s="485">
        <f t="shared" ca="1" si="4"/>
        <v>9.3169906755640006E-2</v>
      </c>
      <c r="AA67" s="489">
        <f t="shared" ca="1" si="2"/>
        <v>0</v>
      </c>
      <c r="AB67" s="484">
        <f ca="1">IF('CDO Bespoke'!O68&lt;&gt;"",'CDO Bespoke'!O68,"")</f>
        <v>9.3169906755640006E-2</v>
      </c>
      <c r="AC67" s="485">
        <f ca="1">IF(AB67&lt;&gt;"",ABS(MIN(-0.6*'CDO Bespoke'!K68+'CDO Bespoke'!T68*'CDO Bespoke'!K68,0)),"")</f>
        <v>0.53468020818236039</v>
      </c>
      <c r="AD67" s="485">
        <f t="shared" ca="1" si="5"/>
        <v>0</v>
      </c>
      <c r="AE67" s="489">
        <f t="shared" ca="1" si="3"/>
        <v>0</v>
      </c>
      <c r="AF67" s="272"/>
      <c r="AG67" s="494" t="str">
        <f ca="1">IF('CDO Bespoke'!C92&lt;&gt;"",'CDO Bespoke'!C92,"")</f>
        <v>Nestle S.A.</v>
      </c>
      <c r="AH67" s="496">
        <f ca="1"/>
        <v>2.7537150060208404E-5</v>
      </c>
      <c r="AI67" s="584">
        <f ca="1"/>
        <v>6.7969552014490731E-4</v>
      </c>
      <c r="AJ67" s="584">
        <f ca="1"/>
        <v>3.4504668500190405E-3</v>
      </c>
      <c r="AK67" s="584">
        <f ca="1"/>
        <v>0.30753558768997769</v>
      </c>
      <c r="AL67" s="497">
        <f ca="1"/>
        <v>0</v>
      </c>
      <c r="AM67" s="619">
        <f ca="1"/>
        <v>0</v>
      </c>
      <c r="AN67" s="496">
        <f ca="1"/>
        <v>2.0057026089894542E-4</v>
      </c>
      <c r="AO67" s="584">
        <f ca="1"/>
        <v>9.7158026100135908E-4</v>
      </c>
      <c r="AP67" s="584">
        <f ca="1"/>
        <v>4.3464033977003505E-3</v>
      </c>
      <c r="AQ67" s="584">
        <f ca="1"/>
        <v>0.30997445863420026</v>
      </c>
      <c r="AR67" s="497">
        <f ca="1"/>
        <v>0</v>
      </c>
      <c r="AS67" s="619">
        <f ca="1"/>
        <v>0</v>
      </c>
      <c r="AT67" s="496">
        <f ca="1"/>
        <v>-2.2146145986526922E-2</v>
      </c>
      <c r="AU67" s="497">
        <f ca="1"/>
        <v>-1.5316378638581096E-2</v>
      </c>
      <c r="AV67" s="619">
        <f ca="1"/>
        <v>0</v>
      </c>
      <c r="AW67" s="496">
        <f ca="1"/>
        <v>-0.12608259271658867</v>
      </c>
      <c r="AX67" s="497">
        <f ca="1"/>
        <v>3.865436553689974E-3</v>
      </c>
      <c r="AY67" s="619">
        <f ca="1"/>
        <v>0</v>
      </c>
    </row>
    <row r="68" spans="2:51">
      <c r="B68" s="517" t="s">
        <v>518</v>
      </c>
      <c r="C68" s="518" t="s">
        <v>66</v>
      </c>
      <c r="D68" s="518" t="s">
        <v>57</v>
      </c>
      <c r="E68" s="518" t="s">
        <v>648</v>
      </c>
      <c r="F68" s="518" t="s">
        <v>671</v>
      </c>
      <c r="G68" s="525">
        <v>0.01</v>
      </c>
      <c r="H68" s="525">
        <v>9.7490000000000007E-3</v>
      </c>
      <c r="I68" s="527">
        <v>0.4</v>
      </c>
      <c r="J68" s="593">
        <v>5</v>
      </c>
      <c r="K68" s="519">
        <v>15</v>
      </c>
      <c r="L68" s="272"/>
      <c r="M68" s="272"/>
      <c r="P68" s="273"/>
      <c r="Q68" s="273"/>
      <c r="R68" s="273"/>
      <c r="S68" s="273"/>
      <c r="T68" s="576">
        <f ca="1"/>
        <v>0.03</v>
      </c>
      <c r="U68" s="573">
        <f ca="1"/>
        <v>60</v>
      </c>
      <c r="V68" s="576">
        <f t="shared" ca="1" si="7"/>
        <v>0</v>
      </c>
      <c r="W68" s="576">
        <f t="shared" ca="1" si="8"/>
        <v>0</v>
      </c>
      <c r="X68" s="484">
        <f ca="1">IF('CDO Bespoke'!O69&lt;&gt;"",'CDO Bespoke'!O69,"")</f>
        <v>8.5031731192839896E-2</v>
      </c>
      <c r="Y68" s="485">
        <f t="shared" ca="1" si="6"/>
        <v>0</v>
      </c>
      <c r="Z68" s="485">
        <f t="shared" ca="1" si="4"/>
        <v>8.5031731192839896E-2</v>
      </c>
      <c r="AA68" s="489">
        <f t="shared" ca="1" si="2"/>
        <v>0</v>
      </c>
      <c r="AB68" s="484">
        <f ca="1">IF('CDO Bespoke'!O69&lt;&gt;"",'CDO Bespoke'!O69,"")</f>
        <v>8.5031731192839896E-2</v>
      </c>
      <c r="AC68" s="485">
        <f ca="1">IF(AB68&lt;&gt;"",ABS(MIN(-0.6*'CDO Bespoke'!K69+'CDO Bespoke'!T69*'CDO Bespoke'!K69,0)),"")</f>
        <v>0.43960530020584365</v>
      </c>
      <c r="AD68" s="485">
        <f t="shared" ca="1" si="5"/>
        <v>0</v>
      </c>
      <c r="AE68" s="489">
        <f t="shared" ca="1" si="3"/>
        <v>0</v>
      </c>
      <c r="AF68" s="272"/>
      <c r="AG68" s="494" t="str">
        <f ca="1">IF('CDO Bespoke'!C93&lt;&gt;"",'CDO Bespoke'!C93,"")</f>
        <v>NEXT PLC</v>
      </c>
      <c r="AH68" s="496">
        <f ca="1"/>
        <v>-7.0439433980107324E-4</v>
      </c>
      <c r="AI68" s="584">
        <f ca="1"/>
        <v>-2.0995173599658301E-3</v>
      </c>
      <c r="AJ68" s="584">
        <f ca="1"/>
        <v>-6.0963816600478893E-3</v>
      </c>
      <c r="AK68" s="584">
        <f ca="1"/>
        <v>0.6523988143000703</v>
      </c>
      <c r="AL68" s="497">
        <f ca="1"/>
        <v>0</v>
      </c>
      <c r="AM68" s="619">
        <f ca="1"/>
        <v>0</v>
      </c>
      <c r="AN68" s="496">
        <f ca="1"/>
        <v>3.0034306799844174E-4</v>
      </c>
      <c r="AO68" s="584">
        <f ca="1"/>
        <v>1.4702059156993658E-3</v>
      </c>
      <c r="AP68" s="584">
        <f ca="1"/>
        <v>6.3193921943016304E-3</v>
      </c>
      <c r="AQ68" s="584">
        <f ca="1"/>
        <v>0.64647621991510085</v>
      </c>
      <c r="AR68" s="497">
        <f ca="1"/>
        <v>0</v>
      </c>
      <c r="AS68" s="619">
        <f ca="1"/>
        <v>0</v>
      </c>
      <c r="AT68" s="496">
        <f ca="1"/>
        <v>-5.2412764012622348E-3</v>
      </c>
      <c r="AU68" s="497">
        <f ca="1"/>
        <v>-3.0895118002845778E-2</v>
      </c>
      <c r="AV68" s="619">
        <f ca="1"/>
        <v>0</v>
      </c>
      <c r="AW68" s="496">
        <f ca="1"/>
        <v>-0.11410339158711567</v>
      </c>
      <c r="AX68" s="497">
        <f ca="1"/>
        <v>4.2776479179399939E-3</v>
      </c>
      <c r="AY68" s="619">
        <f ca="1"/>
        <v>0</v>
      </c>
    </row>
    <row r="69" spans="2:51">
      <c r="B69" s="534" t="s">
        <v>518</v>
      </c>
      <c r="C69" s="535" t="s">
        <v>66</v>
      </c>
      <c r="D69" s="535" t="s">
        <v>59</v>
      </c>
      <c r="E69" s="535" t="s">
        <v>648</v>
      </c>
      <c r="F69" s="535" t="s">
        <v>671</v>
      </c>
      <c r="G69" s="536">
        <v>0.01</v>
      </c>
      <c r="H69" s="536">
        <v>1.2806E-2</v>
      </c>
      <c r="I69" s="537">
        <v>0.4</v>
      </c>
      <c r="J69" s="594">
        <v>5</v>
      </c>
      <c r="K69" s="538">
        <v>15</v>
      </c>
      <c r="L69" s="272"/>
      <c r="M69" s="272"/>
      <c r="P69" s="273"/>
      <c r="Q69" s="273"/>
      <c r="R69" s="273"/>
      <c r="S69" s="273"/>
      <c r="T69" s="576">
        <f ca="1"/>
        <v>0.03</v>
      </c>
      <c r="U69" s="573">
        <f ca="1"/>
        <v>61</v>
      </c>
      <c r="V69" s="576">
        <f t="shared" ca="1" si="7"/>
        <v>0</v>
      </c>
      <c r="W69" s="576">
        <f t="shared" ca="1" si="8"/>
        <v>0</v>
      </c>
      <c r="X69" s="484">
        <f ca="1">IF('CDO Bespoke'!O70&lt;&gt;"",'CDO Bespoke'!O70,"")</f>
        <v>8.9185985400329806E-2</v>
      </c>
      <c r="Y69" s="485">
        <f t="shared" ca="1" si="6"/>
        <v>0</v>
      </c>
      <c r="Z69" s="485">
        <f t="shared" ca="1" si="4"/>
        <v>8.9185985400329806E-2</v>
      </c>
      <c r="AA69" s="489">
        <f t="shared" ca="1" si="2"/>
        <v>0</v>
      </c>
      <c r="AB69" s="484">
        <f ca="1">IF('CDO Bespoke'!O70&lt;&gt;"",'CDO Bespoke'!O70,"")</f>
        <v>8.9185985400329806E-2</v>
      </c>
      <c r="AC69" s="485">
        <f ca="1">IF(AB69&lt;&gt;"",ABS(MIN(-0.6*'CDO Bespoke'!K70+'CDO Bespoke'!T70*'CDO Bespoke'!K70,0)),"")</f>
        <v>0.5013999577939402</v>
      </c>
      <c r="AD69" s="485">
        <f t="shared" ca="1" si="5"/>
        <v>0</v>
      </c>
      <c r="AE69" s="489">
        <f t="shared" ca="1" si="3"/>
        <v>0</v>
      </c>
      <c r="AF69" s="272"/>
      <c r="AG69" s="494" t="str">
        <f ca="1">IF('CDO Bespoke'!C94&lt;&gt;"",'CDO Bespoke'!C94,"")</f>
        <v>PERNOD RICARD</v>
      </c>
      <c r="AH69" s="496">
        <f ca="1"/>
        <v>-2.5956344990030189E-4</v>
      </c>
      <c r="AI69" s="584">
        <f ca="1"/>
        <v>-3.3903438001470221E-4</v>
      </c>
      <c r="AJ69" s="584">
        <f ca="1"/>
        <v>1.3768170020744819E-4</v>
      </c>
      <c r="AK69" s="584">
        <f ca="1"/>
        <v>0.47564446435000018</v>
      </c>
      <c r="AL69" s="497">
        <f ca="1"/>
        <v>0</v>
      </c>
      <c r="AM69" s="619">
        <f ca="1"/>
        <v>0</v>
      </c>
      <c r="AN69" s="496">
        <f ca="1"/>
        <v>2.6731628099876253E-4</v>
      </c>
      <c r="AO69" s="584">
        <f ca="1"/>
        <v>1.3005852787014577E-3</v>
      </c>
      <c r="AP69" s="584">
        <f ca="1"/>
        <v>5.7353705008996933E-3</v>
      </c>
      <c r="AQ69" s="584">
        <f ca="1"/>
        <v>0.47573910681590004</v>
      </c>
      <c r="AR69" s="497">
        <f ca="1"/>
        <v>0</v>
      </c>
      <c r="AS69" s="619">
        <f ca="1"/>
        <v>0</v>
      </c>
      <c r="AT69" s="496">
        <f ca="1"/>
        <v>-1.3920110782007389E-2</v>
      </c>
      <c r="AU69" s="497">
        <f ca="1"/>
        <v>-2.311247137493963E-2</v>
      </c>
      <c r="AV69" s="619">
        <f ca="1"/>
        <v>0</v>
      </c>
      <c r="AW69" s="496">
        <f ca="1"/>
        <v>-0.12016383152402882</v>
      </c>
      <c r="AX69" s="497">
        <f ca="1"/>
        <v>3.7824864754029026E-3</v>
      </c>
      <c r="AY69" s="619">
        <f ca="1"/>
        <v>0</v>
      </c>
    </row>
    <row r="70" spans="2:51">
      <c r="B70" s="539" t="s">
        <v>533</v>
      </c>
      <c r="C70" s="540" t="s">
        <v>66</v>
      </c>
      <c r="D70" s="540" t="s">
        <v>55</v>
      </c>
      <c r="E70" s="540" t="s">
        <v>648</v>
      </c>
      <c r="F70" s="540" t="s">
        <v>673</v>
      </c>
      <c r="G70" s="541">
        <v>0.01</v>
      </c>
      <c r="H70" s="541">
        <v>5.1190000000000003E-3</v>
      </c>
      <c r="I70" s="542">
        <v>0.4</v>
      </c>
      <c r="J70" s="601">
        <v>4</v>
      </c>
      <c r="K70" s="543">
        <v>16</v>
      </c>
      <c r="L70" s="272"/>
      <c r="M70" s="272"/>
      <c r="P70" s="273"/>
      <c r="Q70" s="273"/>
      <c r="R70" s="273"/>
      <c r="S70" s="273"/>
      <c r="T70" s="576">
        <f ca="1"/>
        <v>0.06</v>
      </c>
      <c r="U70" s="573">
        <f ca="1"/>
        <v>62</v>
      </c>
      <c r="V70" s="576">
        <f t="shared" ca="1" si="7"/>
        <v>0</v>
      </c>
      <c r="W70" s="576">
        <f t="shared" ca="1" si="8"/>
        <v>0</v>
      </c>
      <c r="X70" s="484">
        <f ca="1">IF('CDO Bespoke'!O71&lt;&gt;"",'CDO Bespoke'!O71,"")</f>
        <v>9.3481908082119897E-2</v>
      </c>
      <c r="Y70" s="485">
        <f t="shared" ca="1" si="6"/>
        <v>0</v>
      </c>
      <c r="Z70" s="485">
        <f t="shared" ca="1" si="4"/>
        <v>9.3481908082119897E-2</v>
      </c>
      <c r="AA70" s="489">
        <f t="shared" ca="1" si="2"/>
        <v>0</v>
      </c>
      <c r="AB70" s="484">
        <f ca="1">IF('CDO Bespoke'!O71&lt;&gt;"",'CDO Bespoke'!O71,"")</f>
        <v>9.3481908082119897E-2</v>
      </c>
      <c r="AC70" s="485">
        <f ca="1">IF(AB70&lt;&gt;"",ABS(MIN(-0.6*'CDO Bespoke'!K71+'CDO Bespoke'!T71*'CDO Bespoke'!K71,0)),"")</f>
        <v>0.53969707237644537</v>
      </c>
      <c r="AD70" s="485">
        <f t="shared" ca="1" si="5"/>
        <v>0</v>
      </c>
      <c r="AE70" s="489">
        <f t="shared" ca="1" si="3"/>
        <v>0</v>
      </c>
      <c r="AF70" s="272"/>
      <c r="AG70" s="494" t="str">
        <f ca="1">IF('CDO Bespoke'!C95&lt;&gt;"",'CDO Bespoke'!C95,"")</f>
        <v>SODEXO</v>
      </c>
      <c r="AH70" s="496">
        <f ca="1"/>
        <v>-1.0058694988046568E-4</v>
      </c>
      <c r="AI70" s="584">
        <f ca="1"/>
        <v>5.356763005393006E-5</v>
      </c>
      <c r="AJ70" s="584">
        <f ca="1"/>
        <v>1.2320889999917206E-3</v>
      </c>
      <c r="AK70" s="584">
        <f ca="1"/>
        <v>0.29723940408010741</v>
      </c>
      <c r="AL70" s="497">
        <f ca="1"/>
        <v>0</v>
      </c>
      <c r="AM70" s="619">
        <f ca="1"/>
        <v>0</v>
      </c>
      <c r="AN70" s="496">
        <f ca="1"/>
        <v>1.9401680429777246E-4</v>
      </c>
      <c r="AO70" s="584">
        <f ca="1"/>
        <v>9.389853390965805E-4</v>
      </c>
      <c r="AP70" s="584">
        <f ca="1"/>
        <v>4.1975701723989331E-3</v>
      </c>
      <c r="AQ70" s="584">
        <f ca="1"/>
        <v>0.29641782981589676</v>
      </c>
      <c r="AR70" s="497">
        <f ca="1"/>
        <v>0</v>
      </c>
      <c r="AS70" s="619">
        <f ca="1"/>
        <v>0</v>
      </c>
      <c r="AT70" s="496">
        <f ca="1"/>
        <v>-2.2826666668862378E-2</v>
      </c>
      <c r="AU70" s="497">
        <f ca="1"/>
        <v>-1.4675572326830644E-2</v>
      </c>
      <c r="AV70" s="619">
        <f ca="1"/>
        <v>0</v>
      </c>
      <c r="AW70" s="496">
        <f ca="1"/>
        <v>-0.12667763310034882</v>
      </c>
      <c r="AX70" s="497">
        <f ca="1"/>
        <v>3.8720196638904955E-3</v>
      </c>
      <c r="AY70" s="619">
        <f ca="1"/>
        <v>0</v>
      </c>
    </row>
    <row r="71" spans="2:51">
      <c r="B71" s="517" t="s">
        <v>533</v>
      </c>
      <c r="C71" s="518" t="s">
        <v>66</v>
      </c>
      <c r="D71" s="518" t="s">
        <v>57</v>
      </c>
      <c r="E71" s="518" t="s">
        <v>648</v>
      </c>
      <c r="F71" s="518" t="s">
        <v>673</v>
      </c>
      <c r="G71" s="525">
        <v>0.01</v>
      </c>
      <c r="H71" s="525">
        <v>1.0839E-2</v>
      </c>
      <c r="I71" s="527">
        <v>0.4</v>
      </c>
      <c r="J71" s="593">
        <v>4</v>
      </c>
      <c r="K71" s="519">
        <v>16</v>
      </c>
      <c r="L71" s="272"/>
      <c r="M71" s="272"/>
      <c r="P71" s="273"/>
      <c r="Q71" s="273"/>
      <c r="R71" s="273"/>
      <c r="S71" s="273"/>
      <c r="T71" s="576">
        <f ca="1"/>
        <v>0.06</v>
      </c>
      <c r="U71" s="573">
        <f ca="1"/>
        <v>63</v>
      </c>
      <c r="V71" s="576">
        <f t="shared" ca="1" si="7"/>
        <v>0</v>
      </c>
      <c r="W71" s="576">
        <f t="shared" ca="1" si="8"/>
        <v>0</v>
      </c>
      <c r="X71" s="484">
        <f ca="1">IF('CDO Bespoke'!O72&lt;&gt;"",'CDO Bespoke'!O72,"")</f>
        <v>7.8409034270110006E-2</v>
      </c>
      <c r="Y71" s="485">
        <f t="shared" ca="1" si="6"/>
        <v>0</v>
      </c>
      <c r="Z71" s="485">
        <f t="shared" ca="1" si="4"/>
        <v>7.8409034270110006E-2</v>
      </c>
      <c r="AA71" s="489">
        <f t="shared" ca="1" si="2"/>
        <v>0</v>
      </c>
      <c r="AB71" s="484">
        <f ca="1">IF('CDO Bespoke'!O72&lt;&gt;"",'CDO Bespoke'!O72,"")</f>
        <v>7.8409034270110006E-2</v>
      </c>
      <c r="AC71" s="485">
        <f ca="1">IF(AB71&lt;&gt;"",ABS(MIN(-0.6*'CDO Bespoke'!K72+'CDO Bespoke'!T72*'CDO Bespoke'!K72,0)),"")</f>
        <v>0.32985272617017264</v>
      </c>
      <c r="AD71" s="485">
        <f t="shared" ca="1" si="5"/>
        <v>0</v>
      </c>
      <c r="AE71" s="489">
        <f t="shared" ca="1" si="3"/>
        <v>0</v>
      </c>
      <c r="AF71" s="272"/>
      <c r="AG71" s="494" t="str">
        <f ca="1">IF('CDO Bespoke'!C96&lt;&gt;"",'CDO Bespoke'!C96,"")</f>
        <v>Suedzucker AG</v>
      </c>
      <c r="AH71" s="496">
        <f ca="1"/>
        <v>-1.1251488998831327E-3</v>
      </c>
      <c r="AI71" s="584">
        <f ca="1"/>
        <v>-3.4427065498388032E-3</v>
      </c>
      <c r="AJ71" s="584">
        <f ca="1"/>
        <v>-1.1120944089781926E-2</v>
      </c>
      <c r="AK71" s="584">
        <f ca="1"/>
        <v>0.89854110690013034</v>
      </c>
      <c r="AL71" s="497">
        <f ca="1"/>
        <v>0</v>
      </c>
      <c r="AM71" s="619">
        <f ca="1"/>
        <v>0</v>
      </c>
      <c r="AN71" s="496">
        <f ca="1"/>
        <v>2.4735339510147114E-4</v>
      </c>
      <c r="AO71" s="584">
        <f ca="1"/>
        <v>1.2427354846014302E-3</v>
      </c>
      <c r="AP71" s="584">
        <f ca="1"/>
        <v>4.9003554681995368E-3</v>
      </c>
      <c r="AQ71" s="584">
        <f ca="1"/>
        <v>0.8897947938878028</v>
      </c>
      <c r="AR71" s="497">
        <f ca="1"/>
        <v>0</v>
      </c>
      <c r="AS71" s="619">
        <f ca="1"/>
        <v>0</v>
      </c>
      <c r="AT71" s="496">
        <f ca="1"/>
        <v>7.8295205166613036E-3</v>
      </c>
      <c r="AU71" s="497">
        <f ca="1"/>
        <v>-4.1219771710554326E-2</v>
      </c>
      <c r="AV71" s="619">
        <f ca="1"/>
        <v>0</v>
      </c>
      <c r="AW71" s="496">
        <f ca="1"/>
        <v>-0.10461719873943714</v>
      </c>
      <c r="AX71" s="497">
        <f ca="1"/>
        <v>7.6775021552742406E-3</v>
      </c>
      <c r="AY71" s="619">
        <f ca="1"/>
        <v>0</v>
      </c>
    </row>
    <row r="72" spans="2:51">
      <c r="B72" s="534" t="s">
        <v>533</v>
      </c>
      <c r="C72" s="535" t="s">
        <v>66</v>
      </c>
      <c r="D72" s="535" t="s">
        <v>59</v>
      </c>
      <c r="E72" s="535" t="s">
        <v>648</v>
      </c>
      <c r="F72" s="535" t="s">
        <v>673</v>
      </c>
      <c r="G72" s="536">
        <v>0.01</v>
      </c>
      <c r="H72" s="536">
        <v>1.6057999999999999E-2</v>
      </c>
      <c r="I72" s="537">
        <v>0.4</v>
      </c>
      <c r="J72" s="594">
        <v>4</v>
      </c>
      <c r="K72" s="538">
        <v>16</v>
      </c>
      <c r="L72" s="272"/>
      <c r="M72" s="272"/>
      <c r="P72" s="273"/>
      <c r="Q72" s="273"/>
      <c r="R72" s="273"/>
      <c r="S72" s="273"/>
      <c r="T72" s="576">
        <f ca="1"/>
        <v>0.06</v>
      </c>
      <c r="U72" s="573">
        <f ca="1"/>
        <v>64</v>
      </c>
      <c r="V72" s="576">
        <f t="shared" ca="1" si="7"/>
        <v>0</v>
      </c>
      <c r="W72" s="576">
        <f t="shared" ca="1" si="8"/>
        <v>0</v>
      </c>
      <c r="X72" s="484">
        <f ca="1">IF('CDO Bespoke'!O73&lt;&gt;"",'CDO Bespoke'!O73,"")</f>
        <v>8.3766676342369895E-2</v>
      </c>
      <c r="Y72" s="485">
        <f t="shared" ca="1" si="6"/>
        <v>0</v>
      </c>
      <c r="Z72" s="485">
        <f t="shared" ca="1" si="4"/>
        <v>8.3766676342369895E-2</v>
      </c>
      <c r="AA72" s="489">
        <f t="shared" ca="1" si="2"/>
        <v>0</v>
      </c>
      <c r="AB72" s="484">
        <f ca="1">IF('CDO Bespoke'!O73&lt;&gt;"",'CDO Bespoke'!O73,"")</f>
        <v>8.3766676342369895E-2</v>
      </c>
      <c r="AC72" s="485">
        <f ca="1">IF(AB72&lt;&gt;"",ABS(MIN(-0.6*'CDO Bespoke'!K73+'CDO Bespoke'!T73*'CDO Bespoke'!K73,0)),"")</f>
        <v>0.40451663492568174</v>
      </c>
      <c r="AD72" s="485">
        <f t="shared" ca="1" si="5"/>
        <v>0</v>
      </c>
      <c r="AE72" s="489">
        <f t="shared" ca="1" si="3"/>
        <v>0</v>
      </c>
      <c r="AF72" s="272"/>
      <c r="AG72" s="494" t="str">
        <f ca="1">IF('CDO Bespoke'!C97&lt;&gt;"",'CDO Bespoke'!C97,"")</f>
        <v>TESCO PLC</v>
      </c>
      <c r="AH72" s="496">
        <f ca="1"/>
        <v>-6.4933412979861771E-4</v>
      </c>
      <c r="AI72" s="584">
        <f ca="1"/>
        <v>-1.6742714398221281E-3</v>
      </c>
      <c r="AJ72" s="584">
        <f ca="1"/>
        <v>-4.4750856398323435E-3</v>
      </c>
      <c r="AK72" s="584">
        <f ca="1"/>
        <v>0.69897143962022179</v>
      </c>
      <c r="AL72" s="497">
        <f ca="1"/>
        <v>0</v>
      </c>
      <c r="AM72" s="619">
        <f ca="1"/>
        <v>0</v>
      </c>
      <c r="AN72" s="496">
        <f ca="1"/>
        <v>2.997486173985861E-4</v>
      </c>
      <c r="AO72" s="584">
        <f ca="1"/>
        <v>1.4732914948960285E-3</v>
      </c>
      <c r="AP72" s="584">
        <f ca="1"/>
        <v>6.2921828371991298E-3</v>
      </c>
      <c r="AQ72" s="584">
        <f ca="1"/>
        <v>0.69617243524459826</v>
      </c>
      <c r="AR72" s="497">
        <f ca="1"/>
        <v>0</v>
      </c>
      <c r="AS72" s="619">
        <f ca="1"/>
        <v>0</v>
      </c>
      <c r="AT72" s="496">
        <f ca="1"/>
        <v>-2.6383680724375858E-3</v>
      </c>
      <c r="AU72" s="497">
        <f ca="1"/>
        <v>-3.3082781934552441E-2</v>
      </c>
      <c r="AV72" s="619">
        <f ca="1"/>
        <v>0</v>
      </c>
      <c r="AW72" s="496">
        <f ca="1"/>
        <v>-0.11206305648119694</v>
      </c>
      <c r="AX72" s="497">
        <f ca="1"/>
        <v>4.7069123520452408E-3</v>
      </c>
      <c r="AY72" s="619">
        <f ca="1"/>
        <v>0</v>
      </c>
    </row>
    <row r="73" spans="2:51">
      <c r="B73" s="539" t="s">
        <v>519</v>
      </c>
      <c r="C73" s="540" t="s">
        <v>66</v>
      </c>
      <c r="D73" s="540" t="s">
        <v>55</v>
      </c>
      <c r="E73" s="540" t="s">
        <v>646</v>
      </c>
      <c r="F73" s="540" t="s">
        <v>672</v>
      </c>
      <c r="G73" s="541">
        <v>0.01</v>
      </c>
      <c r="H73" s="541">
        <v>1.5269999999999999E-3</v>
      </c>
      <c r="I73" s="542">
        <v>0.4</v>
      </c>
      <c r="J73" s="601">
        <v>7</v>
      </c>
      <c r="K73" s="543">
        <v>17</v>
      </c>
      <c r="L73" s="272"/>
      <c r="M73" s="272"/>
      <c r="P73" s="273"/>
      <c r="Q73" s="273"/>
      <c r="R73" s="273"/>
      <c r="S73" s="273"/>
      <c r="T73" s="576">
        <f ca="1"/>
        <v>0.06</v>
      </c>
      <c r="U73" s="573">
        <f ca="1"/>
        <v>65</v>
      </c>
      <c r="V73" s="576">
        <f t="shared" ref="V73:V104" ca="1" si="9">AA78*T73</f>
        <v>0</v>
      </c>
      <c r="W73" s="576">
        <f t="shared" ref="W73:W104" ca="1" si="10">AE78*T73</f>
        <v>0</v>
      </c>
      <c r="X73" s="484">
        <f ca="1">IF('CDO Bespoke'!O74&lt;&gt;"",'CDO Bespoke'!O74,"")</f>
        <v>9.3577596796599896E-2</v>
      </c>
      <c r="Y73" s="485">
        <f t="shared" ca="1" si="6"/>
        <v>0</v>
      </c>
      <c r="Z73" s="485">
        <f t="shared" ca="1" si="4"/>
        <v>9.3577596796599896E-2</v>
      </c>
      <c r="AA73" s="489">
        <f t="shared" ca="1" si="2"/>
        <v>0</v>
      </c>
      <c r="AB73" s="484">
        <f ca="1">IF('CDO Bespoke'!O74&lt;&gt;"",'CDO Bespoke'!O74,"")</f>
        <v>9.3577596796599896E-2</v>
      </c>
      <c r="AC73" s="485">
        <f ca="1">IF(AB73&lt;&gt;"",ABS(MIN(-0.6*'CDO Bespoke'!K74+'CDO Bespoke'!T74*'CDO Bespoke'!K74,0)),"")</f>
        <v>0.54034305234880475</v>
      </c>
      <c r="AD73" s="485">
        <f t="shared" ca="1" si="5"/>
        <v>0</v>
      </c>
      <c r="AE73" s="489">
        <f t="shared" ca="1" si="3"/>
        <v>0</v>
      </c>
      <c r="AF73" s="272"/>
      <c r="AG73" s="494" t="str">
        <f ca="1">IF('CDO Bespoke'!C98&lt;&gt;"",'CDO Bespoke'!C98,"")</f>
        <v>UNILEVER PLC</v>
      </c>
      <c r="AH73" s="496">
        <f ca="1"/>
        <v>2.0238420106455379E-5</v>
      </c>
      <c r="AI73" s="584">
        <f ca="1"/>
        <v>6.1129035000551113E-4</v>
      </c>
      <c r="AJ73" s="584">
        <f ca="1"/>
        <v>3.1635914202188253E-3</v>
      </c>
      <c r="AK73" s="584">
        <f ca="1"/>
        <v>0.29132686802019192</v>
      </c>
      <c r="AL73" s="497">
        <f ca="1"/>
        <v>0</v>
      </c>
      <c r="AM73" s="619">
        <f ca="1"/>
        <v>0</v>
      </c>
      <c r="AN73" s="496">
        <f ca="1"/>
        <v>1.9220538730047032E-4</v>
      </c>
      <c r="AO73" s="584">
        <f ca="1"/>
        <v>9.3057730219964913E-4</v>
      </c>
      <c r="AP73" s="584">
        <f ca="1"/>
        <v>4.166273976898352E-3</v>
      </c>
      <c r="AQ73" s="584">
        <f ca="1"/>
        <v>0.2931624938382017</v>
      </c>
      <c r="AR73" s="497">
        <f ca="1"/>
        <v>0</v>
      </c>
      <c r="AS73" s="619">
        <f ca="1"/>
        <v>0</v>
      </c>
      <c r="AT73" s="496">
        <f ca="1"/>
        <v>-2.2974916712986876E-2</v>
      </c>
      <c r="AU73" s="497">
        <f ca="1"/>
        <v>-1.4516175261397146E-2</v>
      </c>
      <c r="AV73" s="619">
        <f ca="1"/>
        <v>0</v>
      </c>
      <c r="AW73" s="496">
        <f ca="1"/>
        <v>-0.1267089416267573</v>
      </c>
      <c r="AX73" s="497">
        <f ca="1"/>
        <v>3.8847077738253973E-3</v>
      </c>
      <c r="AY73" s="619">
        <f ca="1"/>
        <v>0</v>
      </c>
    </row>
    <row r="74" spans="2:51">
      <c r="B74" s="517" t="s">
        <v>519</v>
      </c>
      <c r="C74" s="518" t="s">
        <v>66</v>
      </c>
      <c r="D74" s="518" t="s">
        <v>57</v>
      </c>
      <c r="E74" s="518" t="s">
        <v>646</v>
      </c>
      <c r="F74" s="518" t="s">
        <v>672</v>
      </c>
      <c r="G74" s="525">
        <v>0.01</v>
      </c>
      <c r="H74" s="525">
        <v>2.49E-3</v>
      </c>
      <c r="I74" s="527">
        <v>0.4</v>
      </c>
      <c r="J74" s="593">
        <v>7</v>
      </c>
      <c r="K74" s="519">
        <v>17</v>
      </c>
      <c r="L74" s="272"/>
      <c r="M74" s="272"/>
      <c r="P74" s="273"/>
      <c r="Q74" s="273"/>
      <c r="R74" s="273"/>
      <c r="S74" s="273"/>
      <c r="T74" s="576">
        <f ca="1"/>
        <v>0.06</v>
      </c>
      <c r="U74" s="573">
        <f ca="1"/>
        <v>66</v>
      </c>
      <c r="V74" s="576">
        <f t="shared" ca="1" si="9"/>
        <v>0</v>
      </c>
      <c r="W74" s="576">
        <f t="shared" ca="1" si="10"/>
        <v>0</v>
      </c>
      <c r="X74" s="484">
        <f ca="1">IF('CDO Bespoke'!O75&lt;&gt;"",'CDO Bespoke'!O75,"")</f>
        <v>8.3945622797969993E-2</v>
      </c>
      <c r="Y74" s="485">
        <f t="shared" ca="1" si="6"/>
        <v>0</v>
      </c>
      <c r="Z74" s="485">
        <f t="shared" ca="1" si="4"/>
        <v>8.3945622797969993E-2</v>
      </c>
      <c r="AA74" s="489">
        <f t="shared" ca="1" si="2"/>
        <v>0</v>
      </c>
      <c r="AB74" s="484">
        <f ca="1">IF('CDO Bespoke'!O75&lt;&gt;"",'CDO Bespoke'!O75,"")</f>
        <v>8.3945622797969993E-2</v>
      </c>
      <c r="AC74" s="485">
        <f ca="1">IF(AB74&lt;&gt;"",ABS(MIN(-0.6*'CDO Bespoke'!K75+'CDO Bespoke'!T75*'CDO Bespoke'!K75,0)),"")</f>
        <v>0.41081100848655422</v>
      </c>
      <c r="AD74" s="485">
        <f t="shared" ca="1" si="5"/>
        <v>0</v>
      </c>
      <c r="AE74" s="489">
        <f t="shared" ca="1" si="3"/>
        <v>0</v>
      </c>
      <c r="AF74" s="272"/>
      <c r="AG74" s="494" t="str">
        <f ca="1">IF('CDO Bespoke'!C99&lt;&gt;"",'CDO Bespoke'!C99,"")</f>
        <v>BP P.L.C.</v>
      </c>
      <c r="AH74" s="496">
        <f ca="1"/>
        <v>-6.6808387988448459E-4</v>
      </c>
      <c r="AI74" s="584">
        <f ca="1"/>
        <v>-1.793402149841139E-3</v>
      </c>
      <c r="AJ74" s="584">
        <f ca="1"/>
        <v>-4.9441597999022591E-3</v>
      </c>
      <c r="AK74" s="584">
        <f ca="1"/>
        <v>0.69291757029021905</v>
      </c>
      <c r="AL74" s="497">
        <f ca="1"/>
        <v>0</v>
      </c>
      <c r="AM74" s="619">
        <f ca="1"/>
        <v>0</v>
      </c>
      <c r="AN74" s="496">
        <f ca="1"/>
        <v>3.003226561968525E-4</v>
      </c>
      <c r="AO74" s="584">
        <f ca="1"/>
        <v>1.4749671736974737E-3</v>
      </c>
      <c r="AP74" s="584">
        <f ca="1"/>
        <v>6.303069013699307E-3</v>
      </c>
      <c r="AQ74" s="584">
        <f ca="1"/>
        <v>0.68934205657809888</v>
      </c>
      <c r="AR74" s="497">
        <f ca="1"/>
        <v>0</v>
      </c>
      <c r="AS74" s="619">
        <f ca="1"/>
        <v>0</v>
      </c>
      <c r="AT74" s="496">
        <f ca="1"/>
        <v>-3.0004168794064423E-3</v>
      </c>
      <c r="AU74" s="497">
        <f ca="1"/>
        <v>-3.2786303356717561E-2</v>
      </c>
      <c r="AV74" s="619">
        <f ca="1"/>
        <v>0</v>
      </c>
      <c r="AW74" s="496">
        <f ca="1"/>
        <v>-0.11236901765903183</v>
      </c>
      <c r="AX74" s="497">
        <f ca="1"/>
        <v>4.6280181657973249E-3</v>
      </c>
      <c r="AY74" s="619">
        <f ca="1"/>
        <v>0</v>
      </c>
    </row>
    <row r="75" spans="2:51">
      <c r="B75" s="534" t="s">
        <v>519</v>
      </c>
      <c r="C75" s="535" t="s">
        <v>66</v>
      </c>
      <c r="D75" s="535" t="s">
        <v>59</v>
      </c>
      <c r="E75" s="535" t="s">
        <v>646</v>
      </c>
      <c r="F75" s="535" t="s">
        <v>672</v>
      </c>
      <c r="G75" s="536">
        <v>0.01</v>
      </c>
      <c r="H75" s="536">
        <v>3.63E-3</v>
      </c>
      <c r="I75" s="537">
        <v>0.4</v>
      </c>
      <c r="J75" s="594">
        <v>7</v>
      </c>
      <c r="K75" s="538">
        <v>17</v>
      </c>
      <c r="L75" s="272"/>
      <c r="M75" s="272"/>
      <c r="P75" s="273"/>
      <c r="Q75" s="273"/>
      <c r="R75" s="273"/>
      <c r="S75" s="273"/>
      <c r="T75" s="576">
        <f ca="1"/>
        <v>0.06</v>
      </c>
      <c r="U75" s="573">
        <f ca="1"/>
        <v>67</v>
      </c>
      <c r="V75" s="576">
        <f t="shared" ca="1" si="9"/>
        <v>0</v>
      </c>
      <c r="W75" s="576">
        <f t="shared" ca="1" si="10"/>
        <v>0</v>
      </c>
      <c r="X75" s="484">
        <f ca="1">IF('CDO Bespoke'!O76&lt;&gt;"",'CDO Bespoke'!O76,"")</f>
        <v>8.0262245140409999E-2</v>
      </c>
      <c r="Y75" s="485">
        <f t="shared" ca="1" si="6"/>
        <v>0</v>
      </c>
      <c r="Z75" s="485">
        <f t="shared" ca="1" si="4"/>
        <v>8.0262245140409999E-2</v>
      </c>
      <c r="AA75" s="489">
        <f t="shared" ca="1" si="2"/>
        <v>0</v>
      </c>
      <c r="AB75" s="484">
        <f ca="1">IF('CDO Bespoke'!O76&lt;&gt;"",'CDO Bespoke'!O76,"")</f>
        <v>8.0262245140409999E-2</v>
      </c>
      <c r="AC75" s="485">
        <f ca="1">IF(AB75&lt;&gt;"",ABS(MIN(-0.6*'CDO Bespoke'!K76+'CDO Bespoke'!T76*'CDO Bespoke'!K76,0)),"")</f>
        <v>0.35752818040993201</v>
      </c>
      <c r="AD75" s="485">
        <f t="shared" ca="1" si="5"/>
        <v>0</v>
      </c>
      <c r="AE75" s="489">
        <f t="shared" ca="1" si="3"/>
        <v>0</v>
      </c>
      <c r="AF75" s="272"/>
      <c r="AG75" s="494" t="str">
        <f ca="1">IF('CDO Bespoke'!C100&lt;&gt;"",'CDO Bespoke'!C100,"")</f>
        <v>Centrica plc</v>
      </c>
      <c r="AH75" s="496">
        <f ca="1"/>
        <v>-9.7096906986893217E-4</v>
      </c>
      <c r="AI75" s="584">
        <f ca="1"/>
        <v>-2.8840447599542962E-3</v>
      </c>
      <c r="AJ75" s="584">
        <f ca="1"/>
        <v>-8.9857643698065814E-3</v>
      </c>
      <c r="AK75" s="584">
        <f ca="1"/>
        <v>0.83368226273000667</v>
      </c>
      <c r="AL75" s="497">
        <f ca="1"/>
        <v>0</v>
      </c>
      <c r="AM75" s="619">
        <f ca="1"/>
        <v>0</v>
      </c>
      <c r="AN75" s="496">
        <f ca="1"/>
        <v>2.7622746489892186E-4</v>
      </c>
      <c r="AO75" s="584">
        <f ca="1"/>
        <v>1.3735017653998885E-3</v>
      </c>
      <c r="AP75" s="584">
        <f ca="1"/>
        <v>5.6231412199009637E-3</v>
      </c>
      <c r="AQ75" s="584">
        <f ca="1"/>
        <v>0.82659860626910131</v>
      </c>
      <c r="AR75" s="497">
        <f ca="1"/>
        <v>0</v>
      </c>
      <c r="AS75" s="619">
        <f ca="1"/>
        <v>0</v>
      </c>
      <c r="AT75" s="496">
        <f ca="1"/>
        <v>4.3344187091088338E-3</v>
      </c>
      <c r="AU75" s="497">
        <f ca="1"/>
        <v>-3.867084404691784E-2</v>
      </c>
      <c r="AV75" s="619">
        <f ca="1"/>
        <v>0</v>
      </c>
      <c r="AW75" s="496">
        <f ca="1"/>
        <v>-5.7635689825497091E-2</v>
      </c>
      <c r="AX75" s="497">
        <f ca="1"/>
        <v>1.8851909469133087E-2</v>
      </c>
      <c r="AY75" s="619">
        <f ca="1"/>
        <v>0</v>
      </c>
    </row>
    <row r="76" spans="2:51">
      <c r="B76" s="539" t="s">
        <v>534</v>
      </c>
      <c r="C76" s="540" t="s">
        <v>66</v>
      </c>
      <c r="D76" s="540" t="s">
        <v>55</v>
      </c>
      <c r="E76" s="540" t="s">
        <v>648</v>
      </c>
      <c r="F76" s="540" t="s">
        <v>647</v>
      </c>
      <c r="G76" s="541">
        <v>0.01</v>
      </c>
      <c r="H76" s="541">
        <v>5.0749999999999997E-3</v>
      </c>
      <c r="I76" s="542">
        <v>0.4</v>
      </c>
      <c r="J76" s="601">
        <v>4</v>
      </c>
      <c r="K76" s="543">
        <v>18</v>
      </c>
      <c r="L76" s="272"/>
      <c r="M76" s="272"/>
      <c r="P76" s="273"/>
      <c r="Q76" s="273"/>
      <c r="R76" s="273"/>
      <c r="S76" s="273"/>
      <c r="T76" s="576">
        <f ca="1"/>
        <v>0.03</v>
      </c>
      <c r="U76" s="573">
        <f ca="1"/>
        <v>68</v>
      </c>
      <c r="V76" s="576">
        <f t="shared" ca="1" si="9"/>
        <v>0</v>
      </c>
      <c r="W76" s="576">
        <f t="shared" ca="1" si="10"/>
        <v>0</v>
      </c>
      <c r="X76" s="484">
        <f ca="1">IF('CDO Bespoke'!O77&lt;&gt;"",'CDO Bespoke'!O77,"")</f>
        <v>8.80463000952902E-2</v>
      </c>
      <c r="Y76" s="485">
        <f t="shared" ca="1" si="6"/>
        <v>0</v>
      </c>
      <c r="Z76" s="485">
        <f t="shared" ca="1" si="4"/>
        <v>8.80463000952902E-2</v>
      </c>
      <c r="AA76" s="489">
        <f t="shared" ca="1" si="2"/>
        <v>0</v>
      </c>
      <c r="AB76" s="484">
        <f ca="1">IF('CDO Bespoke'!O77&lt;&gt;"",'CDO Bespoke'!O77,"")</f>
        <v>8.80463000952902E-2</v>
      </c>
      <c r="AC76" s="485">
        <f ca="1">IF(AB76&lt;&gt;"",ABS(MIN(-0.6*'CDO Bespoke'!K77+'CDO Bespoke'!T77*'CDO Bespoke'!K77,0)),"")</f>
        <v>0.46415272083397591</v>
      </c>
      <c r="AD76" s="485">
        <f t="shared" ca="1" si="5"/>
        <v>0</v>
      </c>
      <c r="AE76" s="489">
        <f t="shared" ca="1" si="3"/>
        <v>0</v>
      </c>
      <c r="AF76" s="272"/>
      <c r="AG76" s="494" t="str">
        <f ca="1">IF('CDO Bespoke'!C101&lt;&gt;"",'CDO Bespoke'!C101,"")</f>
        <v>E.ON SE</v>
      </c>
      <c r="AH76" s="496">
        <f ca="1"/>
        <v>-3.4190196979144716E-4</v>
      </c>
      <c r="AI76" s="584">
        <f ca="1"/>
        <v>-6.258029700001444E-4</v>
      </c>
      <c r="AJ76" s="584">
        <f ca="1"/>
        <v>-8.2855393990222126E-4</v>
      </c>
      <c r="AK76" s="584">
        <f ca="1"/>
        <v>0.52376702617012993</v>
      </c>
      <c r="AL76" s="497">
        <f ca="1"/>
        <v>0</v>
      </c>
      <c r="AM76" s="619">
        <f ca="1"/>
        <v>0</v>
      </c>
      <c r="AN76" s="496">
        <f ca="1"/>
        <v>2.8040942710166883E-4</v>
      </c>
      <c r="AO76" s="584">
        <f ca="1"/>
        <v>1.3665015778999146E-3</v>
      </c>
      <c r="AP76" s="584">
        <f ca="1"/>
        <v>5.9949185676018077E-3</v>
      </c>
      <c r="AQ76" s="584">
        <f ca="1"/>
        <v>0.52322819929180153</v>
      </c>
      <c r="AR76" s="497">
        <f ca="1"/>
        <v>0</v>
      </c>
      <c r="AS76" s="619">
        <f ca="1"/>
        <v>0</v>
      </c>
      <c r="AT76" s="496">
        <f ca="1"/>
        <v>-1.1527649141716195E-2</v>
      </c>
      <c r="AU76" s="497">
        <f ca="1"/>
        <v>-2.5304771789190827E-2</v>
      </c>
      <c r="AV76" s="619">
        <f ca="1"/>
        <v>0</v>
      </c>
      <c r="AW76" s="496">
        <f ca="1"/>
        <v>-6.3355474531552824E-2</v>
      </c>
      <c r="AX76" s="497">
        <f ca="1"/>
        <v>1.1811809052927726E-2</v>
      </c>
      <c r="AY76" s="619">
        <f ca="1"/>
        <v>0</v>
      </c>
    </row>
    <row r="77" spans="2:51">
      <c r="B77" s="517" t="s">
        <v>534</v>
      </c>
      <c r="C77" s="518" t="s">
        <v>66</v>
      </c>
      <c r="D77" s="518" t="s">
        <v>57</v>
      </c>
      <c r="E77" s="518" t="s">
        <v>648</v>
      </c>
      <c r="F77" s="518" t="s">
        <v>647</v>
      </c>
      <c r="G77" s="525">
        <v>0.01</v>
      </c>
      <c r="H77" s="525">
        <v>8.8369999999999994E-3</v>
      </c>
      <c r="I77" s="527">
        <v>0.4</v>
      </c>
      <c r="J77" s="593">
        <v>4</v>
      </c>
      <c r="K77" s="519">
        <v>18</v>
      </c>
      <c r="L77" s="272"/>
      <c r="M77" s="272"/>
      <c r="P77" s="273"/>
      <c r="Q77" s="273"/>
      <c r="R77" s="273"/>
      <c r="S77" s="273"/>
      <c r="T77" s="576">
        <f ca="1"/>
        <v>0.02</v>
      </c>
      <c r="U77" s="573">
        <f ca="1"/>
        <v>69</v>
      </c>
      <c r="V77" s="576">
        <f t="shared" ca="1" si="9"/>
        <v>0</v>
      </c>
      <c r="W77" s="576">
        <f t="shared" ca="1" si="10"/>
        <v>0</v>
      </c>
      <c r="X77" s="484">
        <f ca="1">IF('CDO Bespoke'!O78&lt;&gt;"",'CDO Bespoke'!O78,"")</f>
        <v>8.0763310482850195E-2</v>
      </c>
      <c r="Y77" s="485">
        <f t="shared" ca="1" si="6"/>
        <v>0</v>
      </c>
      <c r="Z77" s="485">
        <f t="shared" ca="1" si="4"/>
        <v>8.0763310482850195E-2</v>
      </c>
      <c r="AA77" s="489">
        <f t="shared" ca="1" si="2"/>
        <v>0</v>
      </c>
      <c r="AB77" s="484">
        <f ca="1">IF('CDO Bespoke'!O78&lt;&gt;"",'CDO Bespoke'!O78,"")</f>
        <v>8.0763310482850195E-2</v>
      </c>
      <c r="AC77" s="485">
        <f ca="1">IF(AB77&lt;&gt;"",ABS(MIN(-0.6*'CDO Bespoke'!K78+'CDO Bespoke'!T78*'CDO Bespoke'!K78,0)),"")</f>
        <v>0.36379876427793156</v>
      </c>
      <c r="AD77" s="485">
        <f t="shared" ca="1" si="5"/>
        <v>0</v>
      </c>
      <c r="AE77" s="489">
        <f t="shared" ca="1" si="3"/>
        <v>0</v>
      </c>
      <c r="AF77" s="272"/>
      <c r="AG77" s="494" t="str">
        <f ca="1">IF('CDO Bespoke'!C102&lt;&gt;"",'CDO Bespoke'!C102,"")</f>
        <v>EDP - ENERGIAS DE PORTUGAL S.A.</v>
      </c>
      <c r="AH77" s="496">
        <f ca="1"/>
        <v>-8.344262900084054E-4</v>
      </c>
      <c r="AI77" s="584">
        <f ca="1"/>
        <v>-2.2297896898337832E-3</v>
      </c>
      <c r="AJ77" s="584">
        <f ca="1"/>
        <v>-6.3717756698666861E-3</v>
      </c>
      <c r="AK77" s="584">
        <f ca="1"/>
        <v>0.81118445535016681</v>
      </c>
      <c r="AL77" s="497">
        <f ca="1"/>
        <v>0</v>
      </c>
      <c r="AM77" s="619">
        <f ca="1"/>
        <v>0</v>
      </c>
      <c r="AN77" s="496">
        <f ca="1"/>
        <v>2.8017411579997487E-4</v>
      </c>
      <c r="AO77" s="584">
        <f ca="1"/>
        <v>1.3919073012973529E-3</v>
      </c>
      <c r="AP77" s="584">
        <f ca="1"/>
        <v>5.7683823176998134E-3</v>
      </c>
      <c r="AQ77" s="584">
        <f ca="1"/>
        <v>0.80747992160300031</v>
      </c>
      <c r="AR77" s="497">
        <f ca="1"/>
        <v>0</v>
      </c>
      <c r="AS77" s="619">
        <f ca="1"/>
        <v>0</v>
      </c>
      <c r="AT77" s="496">
        <f ca="1"/>
        <v>3.3163664283928918E-3</v>
      </c>
      <c r="AU77" s="497">
        <f ca="1"/>
        <v>-3.7852960499583893E-2</v>
      </c>
      <c r="AV77" s="619">
        <f ca="1"/>
        <v>0</v>
      </c>
      <c r="AW77" s="496">
        <f ca="1"/>
        <v>-5.7892092959373739E-2</v>
      </c>
      <c r="AX77" s="497">
        <f ca="1"/>
        <v>1.8377735326223839E-2</v>
      </c>
      <c r="AY77" s="619">
        <f ca="1"/>
        <v>0</v>
      </c>
    </row>
    <row r="78" spans="2:51">
      <c r="B78" s="534" t="s">
        <v>534</v>
      </c>
      <c r="C78" s="535" t="s">
        <v>66</v>
      </c>
      <c r="D78" s="535" t="s">
        <v>59</v>
      </c>
      <c r="E78" s="535" t="s">
        <v>648</v>
      </c>
      <c r="F78" s="535" t="s">
        <v>647</v>
      </c>
      <c r="G78" s="536">
        <v>0.01</v>
      </c>
      <c r="H78" s="536">
        <v>1.3018E-2</v>
      </c>
      <c r="I78" s="537">
        <v>0.4</v>
      </c>
      <c r="J78" s="594">
        <v>4</v>
      </c>
      <c r="K78" s="538">
        <v>18</v>
      </c>
      <c r="L78" s="272"/>
      <c r="M78" s="272"/>
      <c r="P78" s="273"/>
      <c r="Q78" s="273"/>
      <c r="R78" s="273"/>
      <c r="S78" s="273"/>
      <c r="T78" s="576">
        <f ca="1"/>
        <v>0.06</v>
      </c>
      <c r="U78" s="573">
        <f ca="1"/>
        <v>70</v>
      </c>
      <c r="V78" s="576">
        <f t="shared" ca="1" si="9"/>
        <v>0</v>
      </c>
      <c r="W78" s="576">
        <f t="shared" ca="1" si="10"/>
        <v>0</v>
      </c>
      <c r="X78" s="484">
        <f ca="1">IF('CDO Bespoke'!O79&lt;&gt;"",'CDO Bespoke'!O79,"")</f>
        <v>7.9440370932550006E-2</v>
      </c>
      <c r="Y78" s="485">
        <f t="shared" ca="1" si="6"/>
        <v>0</v>
      </c>
      <c r="Z78" s="485">
        <f t="shared" ca="1" si="4"/>
        <v>7.9440370932550006E-2</v>
      </c>
      <c r="AA78" s="489">
        <f t="shared" ref="AA78:AA138" ca="1" si="11">IF(X78&lt;&gt;"",IF($Y$8,0,Y78),0)</f>
        <v>0</v>
      </c>
      <c r="AB78" s="484">
        <f ca="1">IF('CDO Bespoke'!O79&lt;&gt;"",'CDO Bespoke'!O79,"")</f>
        <v>7.9440370932550006E-2</v>
      </c>
      <c r="AC78" s="485">
        <f ca="1">IF(AB78&lt;&gt;"",ABS(MIN(-0.6*'CDO Bespoke'!K79+'CDO Bespoke'!T79*'CDO Bespoke'!K79,0)),"")</f>
        <v>0.34133164228254648</v>
      </c>
      <c r="AD78" s="485">
        <f t="shared" ref="AD78:AD138" ca="1" si="12">IF(AB78&lt;&gt;"",IF($Y$8,MAX(AB78-AC78,0),AB78),0)</f>
        <v>0</v>
      </c>
      <c r="AE78" s="489">
        <f t="shared" ref="AE78:AE138" ca="1" si="13">IF(AB78&lt;&gt;"",IF($Y$8,0,AC78),0)</f>
        <v>0</v>
      </c>
      <c r="AF78" s="272"/>
      <c r="AG78" s="494" t="str">
        <f ca="1">IF('CDO Bespoke'!C103&lt;&gt;"",'CDO Bespoke'!C103,"")</f>
        <v>Electricite de France</v>
      </c>
      <c r="AH78" s="496">
        <f ca="1"/>
        <v>-9.9375061984874336E-4</v>
      </c>
      <c r="AI78" s="584">
        <f ca="1"/>
        <v>-2.888583469917716E-3</v>
      </c>
      <c r="AJ78" s="584">
        <f ca="1"/>
        <v>-8.9392771199237053E-3</v>
      </c>
      <c r="AK78" s="584">
        <f ca="1"/>
        <v>0.86090126179022564</v>
      </c>
      <c r="AL78" s="497">
        <f ca="1"/>
        <v>0</v>
      </c>
      <c r="AM78" s="619">
        <f ca="1"/>
        <v>0</v>
      </c>
      <c r="AN78" s="496">
        <f ca="1"/>
        <v>2.6393135569863918E-4</v>
      </c>
      <c r="AO78" s="584">
        <f ca="1"/>
        <v>1.3186612947977197E-3</v>
      </c>
      <c r="AP78" s="584">
        <f ca="1"/>
        <v>5.3336671959006848E-3</v>
      </c>
      <c r="AQ78" s="584">
        <f ca="1"/>
        <v>0.8545019132922973</v>
      </c>
      <c r="AR78" s="497">
        <f ca="1"/>
        <v>0</v>
      </c>
      <c r="AS78" s="619">
        <f ca="1"/>
        <v>0</v>
      </c>
      <c r="AT78" s="496">
        <f ca="1"/>
        <v>5.8760883431247524E-3</v>
      </c>
      <c r="AU78" s="497">
        <f ca="1"/>
        <v>-3.9798675604000772E-2</v>
      </c>
      <c r="AV78" s="619">
        <f ca="1"/>
        <v>0</v>
      </c>
      <c r="AW78" s="496">
        <f ca="1"/>
        <v>-5.7013452020839683E-2</v>
      </c>
      <c r="AX78" s="497">
        <f ca="1"/>
        <v>1.9869735486460285E-2</v>
      </c>
      <c r="AY78" s="619">
        <f ca="1"/>
        <v>0</v>
      </c>
    </row>
    <row r="79" spans="2:51">
      <c r="B79" s="539" t="s">
        <v>535</v>
      </c>
      <c r="C79" s="540" t="s">
        <v>66</v>
      </c>
      <c r="D79" s="540" t="s">
        <v>55</v>
      </c>
      <c r="E79" s="540" t="s">
        <v>648</v>
      </c>
      <c r="F79" s="540" t="s">
        <v>647</v>
      </c>
      <c r="G79" s="541">
        <v>0.01</v>
      </c>
      <c r="H79" s="541">
        <v>4.0559999999999997E-3</v>
      </c>
      <c r="I79" s="542">
        <v>0.4</v>
      </c>
      <c r="J79" s="601">
        <v>4</v>
      </c>
      <c r="K79" s="543">
        <v>19</v>
      </c>
      <c r="L79" s="272"/>
      <c r="M79" s="272"/>
      <c r="P79" s="273"/>
      <c r="Q79" s="273"/>
      <c r="R79" s="273"/>
      <c r="S79" s="273"/>
      <c r="T79" s="576">
        <f ca="1"/>
        <v>0.06</v>
      </c>
      <c r="U79" s="573">
        <f ca="1"/>
        <v>71</v>
      </c>
      <c r="V79" s="576">
        <f t="shared" ca="1" si="9"/>
        <v>0</v>
      </c>
      <c r="W79" s="576">
        <f t="shared" ca="1" si="10"/>
        <v>0</v>
      </c>
      <c r="X79" s="484">
        <f ca="1">IF('CDO Bespoke'!O80&lt;&gt;"",'CDO Bespoke'!O80,"")</f>
        <v>8.0586099339530204E-2</v>
      </c>
      <c r="Y79" s="485">
        <f t="shared" ca="1" si="6"/>
        <v>0</v>
      </c>
      <c r="Z79" s="485">
        <f t="shared" ref="Z79:Z138" ca="1" si="14">IF(X79&lt;&gt;"",IF($Y$8,MAX(X79-Y79,0),X79),0)</f>
        <v>8.0586099339530204E-2</v>
      </c>
      <c r="AA79" s="489">
        <f t="shared" ca="1" si="11"/>
        <v>0</v>
      </c>
      <c r="AB79" s="484">
        <f ca="1">IF('CDO Bespoke'!O80&lt;&gt;"",'CDO Bespoke'!O80,"")</f>
        <v>8.0586099339530204E-2</v>
      </c>
      <c r="AC79" s="485">
        <f ca="1">IF(AB79&lt;&gt;"",ABS(MIN(-0.6*'CDO Bespoke'!K80+'CDO Bespoke'!T80*'CDO Bespoke'!K80,0)),"")</f>
        <v>0.35870601357872611</v>
      </c>
      <c r="AD79" s="485">
        <f t="shared" ca="1" si="12"/>
        <v>0</v>
      </c>
      <c r="AE79" s="489">
        <f t="shared" ca="1" si="13"/>
        <v>0</v>
      </c>
      <c r="AF79" s="272"/>
      <c r="AG79" s="494" t="str">
        <f ca="1">IF('CDO Bespoke'!C104&lt;&gt;"",'CDO Bespoke'!C104,"")</f>
        <v>ENEL S.P.A.</v>
      </c>
      <c r="AH79" s="496">
        <f ca="1"/>
        <v>-9.8320671992890851E-4</v>
      </c>
      <c r="AI79" s="584">
        <f ca="1"/>
        <v>-2.9913079599430681E-3</v>
      </c>
      <c r="AJ79" s="584">
        <f ca="1"/>
        <v>-9.4130105499079519E-3</v>
      </c>
      <c r="AK79" s="584">
        <f ca="1"/>
        <v>0.82335340132022594</v>
      </c>
      <c r="AL79" s="497">
        <f ca="1"/>
        <v>0</v>
      </c>
      <c r="AM79" s="619">
        <f ca="1"/>
        <v>0</v>
      </c>
      <c r="AN79" s="496">
        <f ca="1"/>
        <v>2.8062155989997534E-4</v>
      </c>
      <c r="AO79" s="584">
        <f ca="1"/>
        <v>1.3927601603003908E-3</v>
      </c>
      <c r="AP79" s="584">
        <f ca="1"/>
        <v>5.7222430597993895E-3</v>
      </c>
      <c r="AQ79" s="584">
        <f ca="1"/>
        <v>0.81541963992569877</v>
      </c>
      <c r="AR79" s="497">
        <f ca="1"/>
        <v>0</v>
      </c>
      <c r="AS79" s="619">
        <f ca="1"/>
        <v>0</v>
      </c>
      <c r="AT79" s="496">
        <f ca="1"/>
        <v>3.7203555576642844E-3</v>
      </c>
      <c r="AU79" s="497">
        <f ca="1"/>
        <v>-3.8214508874592323E-2</v>
      </c>
      <c r="AV79" s="619">
        <f ca="1"/>
        <v>0</v>
      </c>
      <c r="AW79" s="496">
        <f ca="1"/>
        <v>-5.789761960104562E-2</v>
      </c>
      <c r="AX79" s="497">
        <f ca="1"/>
        <v>1.8456979935724024E-2</v>
      </c>
      <c r="AY79" s="619">
        <f ca="1"/>
        <v>0</v>
      </c>
    </row>
    <row r="80" spans="2:51">
      <c r="B80" s="517" t="s">
        <v>535</v>
      </c>
      <c r="C80" s="518" t="s">
        <v>66</v>
      </c>
      <c r="D80" s="518" t="s">
        <v>57</v>
      </c>
      <c r="E80" s="518" t="s">
        <v>648</v>
      </c>
      <c r="F80" s="518" t="s">
        <v>647</v>
      </c>
      <c r="G80" s="525">
        <v>0.01</v>
      </c>
      <c r="H80" s="525">
        <v>7.1669999999999998E-3</v>
      </c>
      <c r="I80" s="527">
        <v>0.4</v>
      </c>
      <c r="J80" s="593">
        <v>4</v>
      </c>
      <c r="K80" s="519">
        <v>19</v>
      </c>
      <c r="L80" s="272"/>
      <c r="M80" s="272"/>
      <c r="P80" s="273"/>
      <c r="Q80" s="273"/>
      <c r="R80" s="273"/>
      <c r="S80" s="273"/>
      <c r="T80" s="576">
        <f ca="1"/>
        <v>0.06</v>
      </c>
      <c r="U80" s="573">
        <f ca="1"/>
        <v>72</v>
      </c>
      <c r="V80" s="576">
        <f t="shared" ca="1" si="9"/>
        <v>0</v>
      </c>
      <c r="W80" s="576">
        <f t="shared" ca="1" si="10"/>
        <v>0</v>
      </c>
      <c r="X80" s="484">
        <f ca="1">IF('CDO Bespoke'!O81&lt;&gt;"",'CDO Bespoke'!O81,"")</f>
        <v>8.6275450263320105E-2</v>
      </c>
      <c r="Y80" s="485">
        <f t="shared" ref="Y80:Y138" ca="1" si="15">IF(X80&lt;&gt;"",0,"")</f>
        <v>0</v>
      </c>
      <c r="Z80" s="485">
        <f t="shared" ca="1" si="14"/>
        <v>8.6275450263320105E-2</v>
      </c>
      <c r="AA80" s="489">
        <f t="shared" ca="1" si="11"/>
        <v>0</v>
      </c>
      <c r="AB80" s="484">
        <f ca="1">IF('CDO Bespoke'!O81&lt;&gt;"",'CDO Bespoke'!O81,"")</f>
        <v>8.6275450263320105E-2</v>
      </c>
      <c r="AC80" s="485">
        <f ca="1">IF(AB80&lt;&gt;"",ABS(MIN(-0.6*'CDO Bespoke'!K81+'CDO Bespoke'!T81*'CDO Bespoke'!K81,0)),"")</f>
        <v>0.4433026825024397</v>
      </c>
      <c r="AD80" s="485">
        <f t="shared" ca="1" si="12"/>
        <v>0</v>
      </c>
      <c r="AE80" s="489">
        <f t="shared" ca="1" si="13"/>
        <v>0</v>
      </c>
      <c r="AF80" s="272"/>
      <c r="AG80" s="494" t="str">
        <f ca="1">IF('CDO Bespoke'!C105&lt;&gt;"",'CDO Bespoke'!C105,"")</f>
        <v>ENGIE</v>
      </c>
      <c r="AH80" s="496">
        <f ca="1"/>
        <v>-4.6338075987417682E-4</v>
      </c>
      <c r="AI80" s="584">
        <f ca="1"/>
        <v>-1.034371149843949E-3</v>
      </c>
      <c r="AJ80" s="584">
        <f ca="1"/>
        <v>-2.2200416499584819E-3</v>
      </c>
      <c r="AK80" s="584">
        <f ca="1"/>
        <v>0.5974422076301944</v>
      </c>
      <c r="AL80" s="497">
        <f ca="1"/>
        <v>0</v>
      </c>
      <c r="AM80" s="619">
        <f ca="1"/>
        <v>0</v>
      </c>
      <c r="AN80" s="496">
        <f ca="1"/>
        <v>2.9439642080034134E-4</v>
      </c>
      <c r="AO80" s="584">
        <f ca="1"/>
        <v>1.4389748689965995E-3</v>
      </c>
      <c r="AP80" s="584">
        <f ca="1"/>
        <v>6.2544541841978718E-3</v>
      </c>
      <c r="AQ80" s="584">
        <f ca="1"/>
        <v>0.59610755511479629</v>
      </c>
      <c r="AR80" s="497">
        <f ca="1"/>
        <v>0</v>
      </c>
      <c r="AS80" s="619">
        <f ca="1"/>
        <v>0</v>
      </c>
      <c r="AT80" s="496">
        <f ca="1"/>
        <v>-7.8181108313971071E-3</v>
      </c>
      <c r="AU80" s="497">
        <f ca="1"/>
        <v>-2.8625608017289889E-2</v>
      </c>
      <c r="AV80" s="619">
        <f ca="1"/>
        <v>0</v>
      </c>
      <c r="AW80" s="496">
        <f ca="1"/>
        <v>-6.2008006596195639E-2</v>
      </c>
      <c r="AX80" s="497">
        <f ca="1"/>
        <v>1.3136853421504434E-2</v>
      </c>
      <c r="AY80" s="619">
        <f ca="1"/>
        <v>0</v>
      </c>
    </row>
    <row r="81" spans="2:51">
      <c r="B81" s="534" t="s">
        <v>535</v>
      </c>
      <c r="C81" s="535" t="s">
        <v>66</v>
      </c>
      <c r="D81" s="535" t="s">
        <v>59</v>
      </c>
      <c r="E81" s="535" t="s">
        <v>648</v>
      </c>
      <c r="F81" s="535" t="s">
        <v>647</v>
      </c>
      <c r="G81" s="536">
        <v>0.01</v>
      </c>
      <c r="H81" s="536">
        <v>1.0695E-2</v>
      </c>
      <c r="I81" s="537">
        <v>0.4</v>
      </c>
      <c r="J81" s="594">
        <v>4</v>
      </c>
      <c r="K81" s="538">
        <v>19</v>
      </c>
      <c r="L81" s="272"/>
      <c r="M81" s="272"/>
      <c r="P81" s="273"/>
      <c r="Q81" s="273"/>
      <c r="R81" s="273"/>
      <c r="S81" s="273"/>
      <c r="T81" s="576">
        <f ca="1"/>
        <v>0.06</v>
      </c>
      <c r="U81" s="573">
        <f ca="1"/>
        <v>73</v>
      </c>
      <c r="V81" s="576">
        <f t="shared" ca="1" si="9"/>
        <v>0</v>
      </c>
      <c r="W81" s="576">
        <f t="shared" ca="1" si="10"/>
        <v>0</v>
      </c>
      <c r="X81" s="484">
        <f ca="1">IF('CDO Bespoke'!O82&lt;&gt;"",'CDO Bespoke'!O82,"")</f>
        <v>8.2442119512310202E-2</v>
      </c>
      <c r="Y81" s="485">
        <f t="shared" ca="1" si="15"/>
        <v>0</v>
      </c>
      <c r="Z81" s="485">
        <f t="shared" ca="1" si="14"/>
        <v>8.2442119512310202E-2</v>
      </c>
      <c r="AA81" s="489">
        <f t="shared" ca="1" si="11"/>
        <v>0</v>
      </c>
      <c r="AB81" s="484">
        <f ca="1">IF('CDO Bespoke'!O82&lt;&gt;"",'CDO Bespoke'!O82,"")</f>
        <v>8.2442119512310202E-2</v>
      </c>
      <c r="AC81" s="485">
        <f ca="1">IF(AB81&lt;&gt;"",ABS(MIN(-0.6*'CDO Bespoke'!K82+'CDO Bespoke'!T82*'CDO Bespoke'!K82,0)),"")</f>
        <v>0.38469692702935288</v>
      </c>
      <c r="AD81" s="485">
        <f t="shared" ca="1" si="12"/>
        <v>0</v>
      </c>
      <c r="AE81" s="489">
        <f t="shared" ca="1" si="13"/>
        <v>0</v>
      </c>
      <c r="AF81" s="272"/>
      <c r="AG81" s="494" t="str">
        <f ca="1">IF('CDO Bespoke'!C106&lt;&gt;"",'CDO Bespoke'!C106,"")</f>
        <v>ENI S.P.A.</v>
      </c>
      <c r="AH81" s="496">
        <f ca="1"/>
        <v>-7.341060997978488E-4</v>
      </c>
      <c r="AI81" s="584">
        <f ca="1"/>
        <v>-1.9386849398062012E-3</v>
      </c>
      <c r="AJ81" s="584">
        <f ca="1"/>
        <v>-5.3979594499820038E-3</v>
      </c>
      <c r="AK81" s="584">
        <f ca="1"/>
        <v>0.7499433767299557</v>
      </c>
      <c r="AL81" s="497">
        <f ca="1"/>
        <v>0</v>
      </c>
      <c r="AM81" s="619">
        <f ca="1"/>
        <v>0</v>
      </c>
      <c r="AN81" s="496">
        <f ca="1"/>
        <v>2.9474479289973848E-4</v>
      </c>
      <c r="AO81" s="584">
        <f ca="1"/>
        <v>1.4544907232013488E-3</v>
      </c>
      <c r="AP81" s="584">
        <f ca="1"/>
        <v>6.1396997767023537E-3</v>
      </c>
      <c r="AQ81" s="584">
        <f ca="1"/>
        <v>0.74641249377380148</v>
      </c>
      <c r="AR81" s="497">
        <f ca="1"/>
        <v>0</v>
      </c>
      <c r="AS81" s="619">
        <f ca="1"/>
        <v>0</v>
      </c>
      <c r="AT81" s="496">
        <f ca="1"/>
        <v>3.1835593029466702E-5</v>
      </c>
      <c r="AU81" s="497">
        <f ca="1"/>
        <v>-3.5277037522529503E-2</v>
      </c>
      <c r="AV81" s="619">
        <f ca="1"/>
        <v>0</v>
      </c>
      <c r="AW81" s="496">
        <f ca="1"/>
        <v>-0.11012211842490015</v>
      </c>
      <c r="AX81" s="497">
        <f ca="1"/>
        <v>5.244799979409253E-3</v>
      </c>
      <c r="AY81" s="619">
        <f ca="1"/>
        <v>0</v>
      </c>
    </row>
    <row r="82" spans="2:51">
      <c r="B82" s="539" t="s">
        <v>612</v>
      </c>
      <c r="C82" s="540" t="s">
        <v>66</v>
      </c>
      <c r="D82" s="540" t="s">
        <v>55</v>
      </c>
      <c r="E82" s="540" t="s">
        <v>649</v>
      </c>
      <c r="F82" s="540" t="s">
        <v>673</v>
      </c>
      <c r="G82" s="541">
        <v>0.01</v>
      </c>
      <c r="H82" s="541">
        <v>1.191E-3</v>
      </c>
      <c r="I82" s="542">
        <v>0.4</v>
      </c>
      <c r="J82" s="601">
        <v>4</v>
      </c>
      <c r="K82" s="543">
        <v>20</v>
      </c>
      <c r="L82" s="272"/>
      <c r="M82" s="272"/>
      <c r="P82" s="273"/>
      <c r="Q82" s="273"/>
      <c r="R82" s="273"/>
      <c r="S82" s="273"/>
      <c r="T82" s="576">
        <f ca="1"/>
        <v>0.06</v>
      </c>
      <c r="U82" s="573">
        <f ca="1"/>
        <v>74</v>
      </c>
      <c r="V82" s="576">
        <f t="shared" ca="1" si="9"/>
        <v>0</v>
      </c>
      <c r="W82" s="576">
        <f t="shared" ca="1" si="10"/>
        <v>0</v>
      </c>
      <c r="X82" s="484">
        <f ca="1">IF('CDO Bespoke'!O83&lt;&gt;"",'CDO Bespoke'!O83,"")</f>
        <v>9.2935194732420207E-2</v>
      </c>
      <c r="Y82" s="485">
        <f t="shared" ca="1" si="15"/>
        <v>0</v>
      </c>
      <c r="Z82" s="485">
        <f t="shared" ca="1" si="14"/>
        <v>9.2935194732420207E-2</v>
      </c>
      <c r="AA82" s="489">
        <f t="shared" ca="1" si="11"/>
        <v>0</v>
      </c>
      <c r="AB82" s="484">
        <f ca="1">IF('CDO Bespoke'!O83&lt;&gt;"",'CDO Bespoke'!O83,"")</f>
        <v>9.2935194732420207E-2</v>
      </c>
      <c r="AC82" s="485">
        <f ca="1">IF(AB82&lt;&gt;"",ABS(MIN(-0.6*'CDO Bespoke'!K83+'CDO Bespoke'!T83*'CDO Bespoke'!K83,0)),"")</f>
        <v>0.53194200887605669</v>
      </c>
      <c r="AD82" s="485">
        <f t="shared" ca="1" si="12"/>
        <v>0</v>
      </c>
      <c r="AE82" s="489">
        <f t="shared" ca="1" si="13"/>
        <v>0</v>
      </c>
      <c r="AF82" s="272"/>
      <c r="AG82" s="494" t="str">
        <f ca="1">IF('CDO Bespoke'!C107&lt;&gt;"",'CDO Bespoke'!C107,"")</f>
        <v>EQUINOR ASA</v>
      </c>
      <c r="AH82" s="496">
        <f ca="1"/>
        <v>-6.7052559893365782E-5</v>
      </c>
      <c r="AI82" s="584">
        <f ca="1"/>
        <v>2.4951284011143215E-4</v>
      </c>
      <c r="AJ82" s="584">
        <f ca="1"/>
        <v>1.9485660901485957E-3</v>
      </c>
      <c r="AK82" s="584">
        <f ca="1"/>
        <v>0.31874408569998458</v>
      </c>
      <c r="AL82" s="497">
        <f ca="1"/>
        <v>0</v>
      </c>
      <c r="AM82" s="619">
        <f ca="1"/>
        <v>0</v>
      </c>
      <c r="AN82" s="496">
        <f ca="1"/>
        <v>2.0521917009925367E-4</v>
      </c>
      <c r="AO82" s="584">
        <f ca="1"/>
        <v>9.9395669249900676E-4</v>
      </c>
      <c r="AP82" s="584">
        <f ca="1"/>
        <v>4.4392161176014244E-3</v>
      </c>
      <c r="AQ82" s="584">
        <f ca="1"/>
        <v>0.31920910170739941</v>
      </c>
      <c r="AR82" s="497">
        <f ca="1"/>
        <v>0</v>
      </c>
      <c r="AS82" s="619">
        <f ca="1"/>
        <v>0</v>
      </c>
      <c r="AT82" s="496">
        <f ca="1"/>
        <v>-2.1700902328934457E-2</v>
      </c>
      <c r="AU82" s="497">
        <f ca="1"/>
        <v>-1.5759234562075564E-2</v>
      </c>
      <c r="AV82" s="619">
        <f ca="1"/>
        <v>0</v>
      </c>
      <c r="AW82" s="496">
        <f ca="1"/>
        <v>-0.12581773742610672</v>
      </c>
      <c r="AX82" s="497">
        <f ca="1"/>
        <v>3.84375805786903E-3</v>
      </c>
      <c r="AY82" s="619">
        <f ca="1"/>
        <v>0</v>
      </c>
    </row>
    <row r="83" spans="2:51">
      <c r="B83" s="517" t="s">
        <v>612</v>
      </c>
      <c r="C83" s="518" t="s">
        <v>66</v>
      </c>
      <c r="D83" s="518" t="s">
        <v>57</v>
      </c>
      <c r="E83" s="518" t="s">
        <v>649</v>
      </c>
      <c r="F83" s="518" t="s">
        <v>673</v>
      </c>
      <c r="G83" s="525">
        <v>0.01</v>
      </c>
      <c r="H83" s="525">
        <v>1.908E-3</v>
      </c>
      <c r="I83" s="527">
        <v>0.4</v>
      </c>
      <c r="J83" s="593">
        <v>4</v>
      </c>
      <c r="K83" s="519">
        <v>20</v>
      </c>
      <c r="L83" s="272"/>
      <c r="M83" s="272"/>
      <c r="P83" s="273"/>
      <c r="Q83" s="273"/>
      <c r="R83" s="273"/>
      <c r="S83" s="273"/>
      <c r="T83" s="576">
        <f ca="1"/>
        <v>0.02</v>
      </c>
      <c r="U83" s="573">
        <f ca="1"/>
        <v>75</v>
      </c>
      <c r="V83" s="576">
        <f t="shared" ca="1" si="9"/>
        <v>0</v>
      </c>
      <c r="W83" s="576">
        <f t="shared" ca="1" si="10"/>
        <v>0</v>
      </c>
      <c r="X83" s="484">
        <f ca="1">IF('CDO Bespoke'!O84&lt;&gt;"",'CDO Bespoke'!O84,"")</f>
        <v>8.5851290933970106E-2</v>
      </c>
      <c r="Y83" s="485">
        <f t="shared" ca="1" si="15"/>
        <v>0</v>
      </c>
      <c r="Z83" s="485">
        <f t="shared" ca="1" si="14"/>
        <v>8.5851290933970106E-2</v>
      </c>
      <c r="AA83" s="489">
        <f t="shared" ca="1" si="11"/>
        <v>0</v>
      </c>
      <c r="AB83" s="484">
        <f ca="1">IF('CDO Bespoke'!O84&lt;&gt;"",'CDO Bespoke'!O84,"")</f>
        <v>8.5851290933970106E-2</v>
      </c>
      <c r="AC83" s="485">
        <f ca="1">IF(AB83&lt;&gt;"",ABS(MIN(-0.6*'CDO Bespoke'!K84+'CDO Bespoke'!T84*'CDO Bespoke'!K84,0)),"")</f>
        <v>0.43762721600923227</v>
      </c>
      <c r="AD83" s="485">
        <f t="shared" ca="1" si="12"/>
        <v>0</v>
      </c>
      <c r="AE83" s="489">
        <f t="shared" ca="1" si="13"/>
        <v>0</v>
      </c>
      <c r="AF83" s="272"/>
      <c r="AG83" s="494" t="str">
        <f ca="1">IF('CDO Bespoke'!C108&lt;&gt;"",'CDO Bespoke'!C108,"")</f>
        <v>Fortum Oyj</v>
      </c>
      <c r="AH83" s="496">
        <f ca="1"/>
        <v>-5.3853269982306884E-4</v>
      </c>
      <c r="AI83" s="584">
        <f ca="1"/>
        <v>-1.3635918300058947E-3</v>
      </c>
      <c r="AJ83" s="584">
        <f ca="1"/>
        <v>-3.4252962000103082E-3</v>
      </c>
      <c r="AK83" s="584">
        <f ca="1"/>
        <v>0.61613308107000275</v>
      </c>
      <c r="AL83" s="497">
        <f ca="1"/>
        <v>0</v>
      </c>
      <c r="AM83" s="619">
        <f ca="1"/>
        <v>0</v>
      </c>
      <c r="AN83" s="496">
        <f ca="1"/>
        <v>2.9686215360057167E-4</v>
      </c>
      <c r="AO83" s="584">
        <f ca="1"/>
        <v>1.4517766477005478E-3</v>
      </c>
      <c r="AP83" s="584">
        <f ca="1"/>
        <v>6.2879922815015435E-3</v>
      </c>
      <c r="AQ83" s="584">
        <f ca="1"/>
        <v>0.6133980874365027</v>
      </c>
      <c r="AR83" s="497">
        <f ca="1"/>
        <v>0</v>
      </c>
      <c r="AS83" s="619">
        <f ca="1"/>
        <v>0</v>
      </c>
      <c r="AT83" s="496">
        <f ca="1"/>
        <v>-6.9363507723938234E-3</v>
      </c>
      <c r="AU83" s="497">
        <f ca="1"/>
        <v>-2.9408259919489171E-2</v>
      </c>
      <c r="AV83" s="619">
        <f ca="1"/>
        <v>0</v>
      </c>
      <c r="AW83" s="496">
        <f ca="1"/>
        <v>-6.171686755599802E-2</v>
      </c>
      <c r="AX83" s="497">
        <f ca="1"/>
        <v>1.3456362996977122E-2</v>
      </c>
      <c r="AY83" s="619">
        <f ca="1"/>
        <v>0</v>
      </c>
    </row>
    <row r="84" spans="2:51">
      <c r="B84" s="534" t="s">
        <v>612</v>
      </c>
      <c r="C84" s="535" t="s">
        <v>66</v>
      </c>
      <c r="D84" s="535" t="s">
        <v>59</v>
      </c>
      <c r="E84" s="535" t="s">
        <v>649</v>
      </c>
      <c r="F84" s="535" t="s">
        <v>673</v>
      </c>
      <c r="G84" s="536">
        <v>0.01</v>
      </c>
      <c r="H84" s="536">
        <v>2.9069999999999999E-3</v>
      </c>
      <c r="I84" s="537">
        <v>0.4</v>
      </c>
      <c r="J84" s="594">
        <v>4</v>
      </c>
      <c r="K84" s="538">
        <v>20</v>
      </c>
      <c r="L84" s="272"/>
      <c r="M84" s="272"/>
      <c r="P84" s="273"/>
      <c r="Q84" s="273"/>
      <c r="R84" s="273"/>
      <c r="S84" s="273"/>
      <c r="T84" s="576">
        <f ca="1"/>
        <v>0.03</v>
      </c>
      <c r="U84" s="573">
        <f ca="1"/>
        <v>76</v>
      </c>
      <c r="V84" s="576">
        <f t="shared" ca="1" si="9"/>
        <v>0</v>
      </c>
      <c r="W84" s="576">
        <f t="shared" ca="1" si="10"/>
        <v>0</v>
      </c>
      <c r="X84" s="484">
        <f ca="1">IF('CDO Bespoke'!O85&lt;&gt;"",'CDO Bespoke'!O85,"")</f>
        <v>8.83576771078802E-2</v>
      </c>
      <c r="Y84" s="485">
        <f t="shared" ca="1" si="15"/>
        <v>0</v>
      </c>
      <c r="Z84" s="485">
        <f t="shared" ca="1" si="14"/>
        <v>8.83576771078802E-2</v>
      </c>
      <c r="AA84" s="489">
        <f t="shared" ca="1" si="11"/>
        <v>0</v>
      </c>
      <c r="AB84" s="484">
        <f ca="1">IF('CDO Bespoke'!O85&lt;&gt;"",'CDO Bespoke'!O85,"")</f>
        <v>8.83576771078802E-2</v>
      </c>
      <c r="AC84" s="485">
        <f ca="1">IF(AB84&lt;&gt;"",ABS(MIN(-0.6*'CDO Bespoke'!K85+'CDO Bespoke'!T85*'CDO Bespoke'!K85,0)),"")</f>
        <v>0.46864396457052371</v>
      </c>
      <c r="AD84" s="485">
        <f t="shared" ca="1" si="12"/>
        <v>0</v>
      </c>
      <c r="AE84" s="489">
        <f t="shared" ca="1" si="13"/>
        <v>0</v>
      </c>
      <c r="AF84" s="272"/>
      <c r="AG84" s="494" t="str">
        <f ca="1">IF('CDO Bespoke'!C109&lt;&gt;"",'CDO Bespoke'!C109,"")</f>
        <v>Iberdrola, S.A.</v>
      </c>
      <c r="AH84" s="496">
        <f ca="1"/>
        <v>-3.4488268990662263E-4</v>
      </c>
      <c r="AI84" s="584">
        <f ca="1"/>
        <v>-6.7352318000590827E-4</v>
      </c>
      <c r="AJ84" s="584">
        <f ca="1"/>
        <v>-1.0259728400185963E-3</v>
      </c>
      <c r="AK84" s="584">
        <f ca="1"/>
        <v>0.51126812810997624</v>
      </c>
      <c r="AL84" s="497">
        <f ca="1"/>
        <v>0</v>
      </c>
      <c r="AM84" s="619">
        <f ca="1"/>
        <v>0</v>
      </c>
      <c r="AN84" s="496">
        <f ca="1"/>
        <v>2.7724566049620175E-4</v>
      </c>
      <c r="AO84" s="584">
        <f ca="1"/>
        <v>1.350251410698472E-3</v>
      </c>
      <c r="AP84" s="584">
        <f ca="1"/>
        <v>5.9298435199986455E-3</v>
      </c>
      <c r="AQ84" s="584">
        <f ca="1"/>
        <v>0.51025769522899944</v>
      </c>
      <c r="AR84" s="497">
        <f ca="1"/>
        <v>0</v>
      </c>
      <c r="AS84" s="619">
        <f ca="1"/>
        <v>0</v>
      </c>
      <c r="AT84" s="496">
        <f ca="1"/>
        <v>-1.2185717138949753E-2</v>
      </c>
      <c r="AU84" s="497">
        <f ca="1"/>
        <v>-2.4709487765408267E-2</v>
      </c>
      <c r="AV84" s="619">
        <f ca="1"/>
        <v>0</v>
      </c>
      <c r="AW84" s="496">
        <f ca="1"/>
        <v>-6.3607304024100614E-2</v>
      </c>
      <c r="AX84" s="497">
        <f ca="1"/>
        <v>1.1584814920264608E-2</v>
      </c>
      <c r="AY84" s="619">
        <f ca="1"/>
        <v>0</v>
      </c>
    </row>
    <row r="85" spans="2:51">
      <c r="B85" s="539" t="s">
        <v>520</v>
      </c>
      <c r="C85" s="540" t="s">
        <v>66</v>
      </c>
      <c r="D85" s="540" t="s">
        <v>55</v>
      </c>
      <c r="E85" s="540" t="s">
        <v>646</v>
      </c>
      <c r="F85" s="540" t="s">
        <v>673</v>
      </c>
      <c r="G85" s="541">
        <v>0.01</v>
      </c>
      <c r="H85" s="541">
        <v>1.2049999999999999E-3</v>
      </c>
      <c r="I85" s="542">
        <v>0.4</v>
      </c>
      <c r="J85" s="601">
        <v>4</v>
      </c>
      <c r="K85" s="543">
        <v>21</v>
      </c>
      <c r="L85" s="272"/>
      <c r="M85" s="272"/>
      <c r="P85" s="273"/>
      <c r="Q85" s="273"/>
      <c r="R85" s="273"/>
      <c r="S85" s="273"/>
      <c r="T85" s="576">
        <f ca="1"/>
        <v>0.06</v>
      </c>
      <c r="U85" s="573">
        <f ca="1"/>
        <v>77</v>
      </c>
      <c r="V85" s="576">
        <f t="shared" ca="1" si="9"/>
        <v>0</v>
      </c>
      <c r="W85" s="576">
        <f t="shared" ca="1" si="10"/>
        <v>0</v>
      </c>
      <c r="X85" s="484">
        <f ca="1">IF('CDO Bespoke'!O86&lt;&gt;"",'CDO Bespoke'!O86,"")</f>
        <v>8.1779698815380303E-2</v>
      </c>
      <c r="Y85" s="485">
        <f t="shared" ca="1" si="15"/>
        <v>0</v>
      </c>
      <c r="Z85" s="485">
        <f t="shared" ca="1" si="14"/>
        <v>8.1779698815380303E-2</v>
      </c>
      <c r="AA85" s="489">
        <f t="shared" ca="1" si="11"/>
        <v>0</v>
      </c>
      <c r="AB85" s="484">
        <f ca="1">IF('CDO Bespoke'!O86&lt;&gt;"",'CDO Bespoke'!O86,"")</f>
        <v>8.1779698815380303E-2</v>
      </c>
      <c r="AC85" s="485">
        <f ca="1">IF(AB85&lt;&gt;"",ABS(MIN(-0.6*'CDO Bespoke'!K86+'CDO Bespoke'!T86*'CDO Bespoke'!K86,0)),"")</f>
        <v>0.37615895023673712</v>
      </c>
      <c r="AD85" s="485">
        <f t="shared" ca="1" si="12"/>
        <v>0</v>
      </c>
      <c r="AE85" s="489">
        <f t="shared" ca="1" si="13"/>
        <v>0</v>
      </c>
      <c r="AF85" s="272"/>
      <c r="AG85" s="494" t="str">
        <f ca="1">IF('CDO Bespoke'!C110&lt;&gt;"",'CDO Bespoke'!C110,"")</f>
        <v>NATIONAL GRID PLC</v>
      </c>
      <c r="AH85" s="496">
        <f ca="1"/>
        <v>-7.6567378992642432E-4</v>
      </c>
      <c r="AI85" s="584">
        <f ca="1"/>
        <v>-2.0120579299898189E-3</v>
      </c>
      <c r="AJ85" s="584">
        <f ca="1"/>
        <v>-5.6184435298645141E-3</v>
      </c>
      <c r="AK85" s="584">
        <f ca="1"/>
        <v>0.77422919752018204</v>
      </c>
      <c r="AL85" s="497">
        <f ca="1"/>
        <v>0</v>
      </c>
      <c r="AM85" s="619">
        <f ca="1"/>
        <v>0</v>
      </c>
      <c r="AN85" s="496">
        <f ca="1"/>
        <v>2.9000632869972953E-4</v>
      </c>
      <c r="AO85" s="584">
        <f ca="1"/>
        <v>1.4346518515014062E-3</v>
      </c>
      <c r="AP85" s="584">
        <f ca="1"/>
        <v>6.017711570299733E-3</v>
      </c>
      <c r="AQ85" s="584">
        <f ca="1"/>
        <v>0.77085766329689975</v>
      </c>
      <c r="AR85" s="497">
        <f ca="1"/>
        <v>0</v>
      </c>
      <c r="AS85" s="619">
        <f ca="1"/>
        <v>0</v>
      </c>
      <c r="AT85" s="496">
        <f ca="1"/>
        <v>1.3393905190630662E-3</v>
      </c>
      <c r="AU85" s="497">
        <f ca="1"/>
        <v>-3.6317002191820075E-2</v>
      </c>
      <c r="AV85" s="619">
        <f ca="1"/>
        <v>0</v>
      </c>
      <c r="AW85" s="496">
        <f ca="1"/>
        <v>-5.8640563266629392E-2</v>
      </c>
      <c r="AX85" s="497">
        <f ca="1"/>
        <v>1.725714139570609E-2</v>
      </c>
      <c r="AY85" s="619">
        <f ca="1"/>
        <v>0</v>
      </c>
    </row>
    <row r="86" spans="2:51">
      <c r="B86" s="517" t="s">
        <v>520</v>
      </c>
      <c r="C86" s="518" t="s">
        <v>66</v>
      </c>
      <c r="D86" s="518" t="s">
        <v>57</v>
      </c>
      <c r="E86" s="518" t="s">
        <v>646</v>
      </c>
      <c r="F86" s="518" t="s">
        <v>673</v>
      </c>
      <c r="G86" s="525">
        <v>0.01</v>
      </c>
      <c r="H86" s="525">
        <v>1.9740000000000001E-3</v>
      </c>
      <c r="I86" s="527">
        <v>0.4</v>
      </c>
      <c r="J86" s="593">
        <v>4</v>
      </c>
      <c r="K86" s="519">
        <v>21</v>
      </c>
      <c r="L86" s="272"/>
      <c r="M86" s="272"/>
      <c r="P86" s="273"/>
      <c r="Q86" s="273"/>
      <c r="R86" s="273"/>
      <c r="S86" s="273"/>
      <c r="T86" s="576">
        <f ca="1"/>
        <v>0.06</v>
      </c>
      <c r="U86" s="573">
        <f ca="1"/>
        <v>78</v>
      </c>
      <c r="V86" s="576">
        <f t="shared" ca="1" si="9"/>
        <v>0</v>
      </c>
      <c r="W86" s="576">
        <f t="shared" ca="1" si="10"/>
        <v>0</v>
      </c>
      <c r="X86" s="484">
        <f ca="1">IF('CDO Bespoke'!O87&lt;&gt;"",'CDO Bespoke'!O87,"")</f>
        <v>8.5400446860090198E-2</v>
      </c>
      <c r="Y86" s="485">
        <f t="shared" ca="1" si="15"/>
        <v>0</v>
      </c>
      <c r="Z86" s="485">
        <f t="shared" ca="1" si="14"/>
        <v>8.5400446860090198E-2</v>
      </c>
      <c r="AA86" s="489">
        <f t="shared" ca="1" si="11"/>
        <v>0</v>
      </c>
      <c r="AB86" s="484">
        <f ca="1">IF('CDO Bespoke'!O87&lt;&gt;"",'CDO Bespoke'!O87,"")</f>
        <v>8.5400446860090198E-2</v>
      </c>
      <c r="AC86" s="485">
        <f ca="1">IF(AB86&lt;&gt;"",ABS(MIN(-0.6*'CDO Bespoke'!K87+'CDO Bespoke'!T87*'CDO Bespoke'!K87,0)),"")</f>
        <v>0.42709509748631058</v>
      </c>
      <c r="AD86" s="485">
        <f t="shared" ca="1" si="12"/>
        <v>0</v>
      </c>
      <c r="AE86" s="489">
        <f t="shared" ca="1" si="13"/>
        <v>0</v>
      </c>
      <c r="AF86" s="272"/>
      <c r="AG86" s="494" t="str">
        <f ca="1">IF('CDO Bespoke'!C111&lt;&gt;"",'CDO Bespoke'!C111,"")</f>
        <v>NATURGY ENERGY GROUP, S.A.</v>
      </c>
      <c r="AH86" s="496">
        <f ca="1"/>
        <v>-4.8693298004831576E-4</v>
      </c>
      <c r="AI86" s="584">
        <f ca="1"/>
        <v>-1.0472459299748493E-3</v>
      </c>
      <c r="AJ86" s="584">
        <f ca="1"/>
        <v>-2.1918227099959608E-3</v>
      </c>
      <c r="AK86" s="584">
        <f ca="1"/>
        <v>0.63208709029011212</v>
      </c>
      <c r="AL86" s="497">
        <f ca="1"/>
        <v>0</v>
      </c>
      <c r="AM86" s="619">
        <f ca="1"/>
        <v>0</v>
      </c>
      <c r="AN86" s="496">
        <f ca="1"/>
        <v>2.9787581849911871E-4</v>
      </c>
      <c r="AO86" s="584">
        <f ca="1"/>
        <v>1.4590320911991514E-3</v>
      </c>
      <c r="AP86" s="584">
        <f ca="1"/>
        <v>6.313376313899291E-3</v>
      </c>
      <c r="AQ86" s="584">
        <f ca="1"/>
        <v>0.63136889233679838</v>
      </c>
      <c r="AR86" s="497">
        <f ca="1"/>
        <v>0</v>
      </c>
      <c r="AS86" s="619">
        <f ca="1"/>
        <v>0</v>
      </c>
      <c r="AT86" s="496">
        <f ca="1"/>
        <v>-5.9995588167393588E-3</v>
      </c>
      <c r="AU86" s="497">
        <f ca="1"/>
        <v>-3.020720939710167E-2</v>
      </c>
      <c r="AV86" s="619">
        <f ca="1"/>
        <v>0</v>
      </c>
      <c r="AW86" s="496">
        <f ca="1"/>
        <v>-6.1318666886871459E-2</v>
      </c>
      <c r="AX86" s="497">
        <f ca="1"/>
        <v>1.3864810261212862E-2</v>
      </c>
      <c r="AY86" s="619">
        <f ca="1"/>
        <v>0</v>
      </c>
    </row>
    <row r="87" spans="2:51">
      <c r="B87" s="534" t="s">
        <v>520</v>
      </c>
      <c r="C87" s="535" t="s">
        <v>66</v>
      </c>
      <c r="D87" s="535" t="s">
        <v>59</v>
      </c>
      <c r="E87" s="535" t="s">
        <v>646</v>
      </c>
      <c r="F87" s="535" t="s">
        <v>673</v>
      </c>
      <c r="G87" s="536">
        <v>0.01</v>
      </c>
      <c r="H87" s="536">
        <v>3.055E-3</v>
      </c>
      <c r="I87" s="537">
        <v>0.4</v>
      </c>
      <c r="J87" s="594">
        <v>4</v>
      </c>
      <c r="K87" s="538">
        <v>21</v>
      </c>
      <c r="L87" s="272"/>
      <c r="M87" s="272"/>
      <c r="P87" s="273"/>
      <c r="Q87" s="273"/>
      <c r="R87" s="273"/>
      <c r="S87" s="273"/>
      <c r="T87" s="576">
        <f ca="1"/>
        <v>0.06</v>
      </c>
      <c r="U87" s="573">
        <f ca="1"/>
        <v>79</v>
      </c>
      <c r="V87" s="576">
        <f t="shared" ca="1" si="9"/>
        <v>0</v>
      </c>
      <c r="W87" s="576">
        <f t="shared" ca="1" si="10"/>
        <v>0</v>
      </c>
      <c r="X87" s="484">
        <f ca="1">IF('CDO Bespoke'!O88&lt;&gt;"",'CDO Bespoke'!O88,"")</f>
        <v>8.1014404066770004E-2</v>
      </c>
      <c r="Y87" s="485">
        <f t="shared" ca="1" si="15"/>
        <v>0</v>
      </c>
      <c r="Z87" s="485">
        <f t="shared" ca="1" si="14"/>
        <v>8.1014404066770004E-2</v>
      </c>
      <c r="AA87" s="489">
        <f t="shared" ca="1" si="11"/>
        <v>0</v>
      </c>
      <c r="AB87" s="484">
        <f ca="1">IF('CDO Bespoke'!O88&lt;&gt;"",'CDO Bespoke'!O88,"")</f>
        <v>8.1014404066770004E-2</v>
      </c>
      <c r="AC87" s="485">
        <f ca="1">IF(AB87&lt;&gt;"",ABS(MIN(-0.6*'CDO Bespoke'!K88+'CDO Bespoke'!T88*'CDO Bespoke'!K88,0)),"")</f>
        <v>0.36860459426384301</v>
      </c>
      <c r="AD87" s="485">
        <f t="shared" ca="1" si="12"/>
        <v>0</v>
      </c>
      <c r="AE87" s="489">
        <f t="shared" ca="1" si="13"/>
        <v>0</v>
      </c>
      <c r="AF87" s="272"/>
      <c r="AG87" s="494" t="str">
        <f ca="1">IF('CDO Bespoke'!C112&lt;&gt;"",'CDO Bespoke'!C112,"")</f>
        <v>REPSOL, S.A.</v>
      </c>
      <c r="AH87" s="496">
        <f ca="1"/>
        <v>-8.2000381984581594E-4</v>
      </c>
      <c r="AI87" s="584">
        <f ca="1"/>
        <v>-2.1899120900004121E-3</v>
      </c>
      <c r="AJ87" s="584">
        <f ca="1"/>
        <v>-6.2449406598719115E-3</v>
      </c>
      <c r="AK87" s="584">
        <f ca="1"/>
        <v>0.80231517467999058</v>
      </c>
      <c r="AL87" s="497">
        <f ca="1"/>
        <v>0</v>
      </c>
      <c r="AM87" s="619">
        <f ca="1"/>
        <v>0</v>
      </c>
      <c r="AN87" s="496">
        <f ca="1"/>
        <v>2.8300078609971163E-4</v>
      </c>
      <c r="AO87" s="584">
        <f ca="1"/>
        <v>1.4042959540962879E-3</v>
      </c>
      <c r="AP87" s="584">
        <f ca="1"/>
        <v>5.8374255890994084E-3</v>
      </c>
      <c r="AQ87" s="584">
        <f ca="1"/>
        <v>0.79860579836569989</v>
      </c>
      <c r="AR87" s="497">
        <f ca="1"/>
        <v>0</v>
      </c>
      <c r="AS87" s="619">
        <f ca="1"/>
        <v>0</v>
      </c>
      <c r="AT87" s="496">
        <f ca="1"/>
        <v>2.8340018997036198E-3</v>
      </c>
      <c r="AU87" s="497">
        <f ca="1"/>
        <v>-3.7484766370767642E-2</v>
      </c>
      <c r="AV87" s="619">
        <f ca="1"/>
        <v>0</v>
      </c>
      <c r="AW87" s="496">
        <f ca="1"/>
        <v>-0.10803062396241254</v>
      </c>
      <c r="AX87" s="497">
        <f ca="1"/>
        <v>5.9980264537564387E-3</v>
      </c>
      <c r="AY87" s="619">
        <f ca="1"/>
        <v>0</v>
      </c>
    </row>
    <row r="88" spans="2:51">
      <c r="B88" s="539" t="s">
        <v>613</v>
      </c>
      <c r="C88" s="540" t="s">
        <v>66</v>
      </c>
      <c r="D88" s="540" t="s">
        <v>55</v>
      </c>
      <c r="E88" s="540" t="s">
        <v>648</v>
      </c>
      <c r="F88" s="540" t="s">
        <v>673</v>
      </c>
      <c r="G88" s="541">
        <v>0.01</v>
      </c>
      <c r="H88" s="541">
        <v>1.1557E-2</v>
      </c>
      <c r="I88" s="542">
        <v>0.4</v>
      </c>
      <c r="J88" s="601">
        <v>4</v>
      </c>
      <c r="K88" s="543">
        <v>22</v>
      </c>
      <c r="L88" s="272"/>
      <c r="M88" s="272"/>
      <c r="P88" s="273"/>
      <c r="Q88" s="273"/>
      <c r="R88" s="273"/>
      <c r="S88" s="273"/>
      <c r="T88" s="576">
        <f ca="1"/>
        <v>0.06</v>
      </c>
      <c r="U88" s="573">
        <f ca="1"/>
        <v>80</v>
      </c>
      <c r="V88" s="576">
        <f t="shared" ca="1" si="9"/>
        <v>0</v>
      </c>
      <c r="W88" s="576">
        <f t="shared" ca="1" si="10"/>
        <v>0</v>
      </c>
      <c r="X88" s="484">
        <f ca="1">IF('CDO Bespoke'!O89&lt;&gt;"",'CDO Bespoke'!O89,"")</f>
        <v>9.1339205054989894E-2</v>
      </c>
      <c r="Y88" s="485">
        <f t="shared" ca="1" si="15"/>
        <v>0</v>
      </c>
      <c r="Z88" s="485">
        <f t="shared" ca="1" si="14"/>
        <v>9.1339205054989894E-2</v>
      </c>
      <c r="AA88" s="489">
        <f t="shared" ca="1" si="11"/>
        <v>0</v>
      </c>
      <c r="AB88" s="484">
        <f ca="1">IF('CDO Bespoke'!O89&lt;&gt;"",'CDO Bespoke'!O89,"")</f>
        <v>9.1339205054989894E-2</v>
      </c>
      <c r="AC88" s="485">
        <f ca="1">IF(AB88&lt;&gt;"",ABS(MIN(-0.6*'CDO Bespoke'!K89+'CDO Bespoke'!T89*'CDO Bespoke'!K89,0)),"")</f>
        <v>0.510089000220181</v>
      </c>
      <c r="AD88" s="485">
        <f t="shared" ca="1" si="12"/>
        <v>0</v>
      </c>
      <c r="AE88" s="489">
        <f t="shared" ca="1" si="13"/>
        <v>0</v>
      </c>
      <c r="AF88" s="272"/>
      <c r="AG88" s="494" t="str">
        <f ca="1">IF('CDO Bespoke'!C113&lt;&gt;"",'CDO Bespoke'!C113,"")</f>
        <v>SHELL PLC</v>
      </c>
      <c r="AH88" s="496">
        <f ca="1"/>
        <v>-1.6256356982768949E-4</v>
      </c>
      <c r="AI88" s="584">
        <f ca="1"/>
        <v>-7.2419169827586671E-5</v>
      </c>
      <c r="AJ88" s="584">
        <f ca="1"/>
        <v>9.3527017019923164E-4</v>
      </c>
      <c r="AK88" s="584">
        <f ca="1"/>
        <v>0.38556350845014853</v>
      </c>
      <c r="AL88" s="497">
        <f ca="1"/>
        <v>0</v>
      </c>
      <c r="AM88" s="619">
        <f ca="1"/>
        <v>0</v>
      </c>
      <c r="AN88" s="496">
        <f ca="1"/>
        <v>2.3493138899977756E-4</v>
      </c>
      <c r="AO88" s="584">
        <f ca="1"/>
        <v>1.1397582052978528E-3</v>
      </c>
      <c r="AP88" s="584">
        <f ca="1"/>
        <v>5.0644449572966391E-3</v>
      </c>
      <c r="AQ88" s="584">
        <f ca="1"/>
        <v>0.38548825460519609</v>
      </c>
      <c r="AR88" s="497">
        <f ca="1"/>
        <v>0</v>
      </c>
      <c r="AS88" s="619">
        <f ca="1"/>
        <v>0</v>
      </c>
      <c r="AT88" s="496">
        <f ca="1"/>
        <v>-1.8427392748911392E-2</v>
      </c>
      <c r="AU88" s="497">
        <f ca="1"/>
        <v>-1.8896119095702629E-2</v>
      </c>
      <c r="AV88" s="619">
        <f ca="1"/>
        <v>0</v>
      </c>
      <c r="AW88" s="496">
        <f ca="1"/>
        <v>-0.12344769105366138</v>
      </c>
      <c r="AX88" s="497">
        <f ca="1"/>
        <v>3.7729190030148865E-3</v>
      </c>
      <c r="AY88" s="619">
        <f ca="1"/>
        <v>0</v>
      </c>
    </row>
    <row r="89" spans="2:51">
      <c r="B89" s="517" t="s">
        <v>613</v>
      </c>
      <c r="C89" s="518" t="s">
        <v>66</v>
      </c>
      <c r="D89" s="518" t="s">
        <v>57</v>
      </c>
      <c r="E89" s="518" t="s">
        <v>648</v>
      </c>
      <c r="F89" s="518" t="s">
        <v>673</v>
      </c>
      <c r="G89" s="525">
        <v>0.01</v>
      </c>
      <c r="H89" s="525">
        <v>1.7305000000000001E-2</v>
      </c>
      <c r="I89" s="527">
        <v>0.4</v>
      </c>
      <c r="J89" s="593">
        <v>4</v>
      </c>
      <c r="K89" s="519">
        <v>22</v>
      </c>
      <c r="L89" s="272"/>
      <c r="M89" s="272"/>
      <c r="P89" s="273"/>
      <c r="Q89" s="273"/>
      <c r="R89" s="273"/>
      <c r="S89" s="273"/>
      <c r="T89" s="576">
        <f ca="1"/>
        <v>0.06</v>
      </c>
      <c r="U89" s="573">
        <f ca="1"/>
        <v>81</v>
      </c>
      <c r="V89" s="576">
        <f t="shared" ca="1" si="9"/>
        <v>0</v>
      </c>
      <c r="W89" s="576">
        <f t="shared" ca="1" si="10"/>
        <v>0</v>
      </c>
      <c r="X89" s="484">
        <f ca="1">IF('CDO Bespoke'!O90&lt;&gt;"",'CDO Bespoke'!O90,"")</f>
        <v>9.2019465572330095E-2</v>
      </c>
      <c r="Y89" s="485">
        <f t="shared" ca="1" si="15"/>
        <v>0</v>
      </c>
      <c r="Z89" s="485">
        <f t="shared" ca="1" si="14"/>
        <v>9.2019465572330095E-2</v>
      </c>
      <c r="AA89" s="489">
        <f t="shared" ca="1" si="11"/>
        <v>0</v>
      </c>
      <c r="AB89" s="484">
        <f ca="1">IF('CDO Bespoke'!O90&lt;&gt;"",'CDO Bespoke'!O90,"")</f>
        <v>9.2019465572330095E-2</v>
      </c>
      <c r="AC89" s="485">
        <f ca="1">IF(AB89&lt;&gt;"",ABS(MIN(-0.6*'CDO Bespoke'!K90+'CDO Bespoke'!T90*'CDO Bespoke'!K90,0)),"")</f>
        <v>0.51969906146293021</v>
      </c>
      <c r="AD89" s="485">
        <f t="shared" ca="1" si="12"/>
        <v>0</v>
      </c>
      <c r="AE89" s="489">
        <f t="shared" ca="1" si="13"/>
        <v>0</v>
      </c>
      <c r="AF89" s="272"/>
      <c r="AG89" s="494" t="str">
        <f ca="1">IF('CDO Bespoke'!C114&lt;&gt;"",'CDO Bespoke'!C114,"")</f>
        <v>TotalEnergies SE</v>
      </c>
      <c r="AH89" s="496">
        <f ca="1"/>
        <v>-1.6667095981137692E-4</v>
      </c>
      <c r="AI89" s="584">
        <f ca="1"/>
        <v>-1.477083799716894E-4</v>
      </c>
      <c r="AJ89" s="584">
        <f ca="1"/>
        <v>6.2624704005864729E-4</v>
      </c>
      <c r="AK89" s="584">
        <f ca="1"/>
        <v>0.35780338549007418</v>
      </c>
      <c r="AL89" s="497">
        <f ca="1"/>
        <v>0</v>
      </c>
      <c r="AM89" s="619">
        <f ca="1"/>
        <v>0</v>
      </c>
      <c r="AN89" s="496">
        <f ca="1"/>
        <v>2.2278194370013715E-4</v>
      </c>
      <c r="AO89" s="584">
        <f ca="1"/>
        <v>1.0797999426982036E-3</v>
      </c>
      <c r="AP89" s="584">
        <f ca="1"/>
        <v>4.8063761900985977E-3</v>
      </c>
      <c r="AQ89" s="584">
        <f ca="1"/>
        <v>0.35691100392359809</v>
      </c>
      <c r="AR89" s="497">
        <f ca="1"/>
        <v>0</v>
      </c>
      <c r="AS89" s="619">
        <f ca="1"/>
        <v>0</v>
      </c>
      <c r="AT89" s="496">
        <f ca="1"/>
        <v>-1.984639359730353E-2</v>
      </c>
      <c r="AU89" s="497">
        <f ca="1"/>
        <v>-1.7549028055170501E-2</v>
      </c>
      <c r="AV89" s="619">
        <f ca="1"/>
        <v>0</v>
      </c>
      <c r="AW89" s="496">
        <f ca="1"/>
        <v>-0.12450588845925575</v>
      </c>
      <c r="AX89" s="497">
        <f ca="1"/>
        <v>3.7935531299532529E-3</v>
      </c>
      <c r="AY89" s="619">
        <f ca="1"/>
        <v>0</v>
      </c>
    </row>
    <row r="90" spans="2:51">
      <c r="B90" s="534" t="s">
        <v>613</v>
      </c>
      <c r="C90" s="535" t="s">
        <v>66</v>
      </c>
      <c r="D90" s="535" t="s">
        <v>59</v>
      </c>
      <c r="E90" s="535" t="s">
        <v>648</v>
      </c>
      <c r="F90" s="535" t="s">
        <v>673</v>
      </c>
      <c r="G90" s="536">
        <v>0.01</v>
      </c>
      <c r="H90" s="536">
        <v>2.0903000000000001E-2</v>
      </c>
      <c r="I90" s="537">
        <v>0.4</v>
      </c>
      <c r="J90" s="594">
        <v>4</v>
      </c>
      <c r="K90" s="538">
        <v>22</v>
      </c>
      <c r="L90" s="272"/>
      <c r="M90" s="272"/>
      <c r="P90" s="273"/>
      <c r="Q90" s="273"/>
      <c r="R90" s="273"/>
      <c r="S90" s="273"/>
      <c r="T90" s="576">
        <f ca="1"/>
        <v>0.06</v>
      </c>
      <c r="U90" s="573">
        <f ca="1"/>
        <v>82</v>
      </c>
      <c r="V90" s="576">
        <f t="shared" ca="1" si="9"/>
        <v>0</v>
      </c>
      <c r="W90" s="576">
        <f t="shared" ca="1" si="10"/>
        <v>0</v>
      </c>
      <c r="X90" s="484">
        <f ca="1">IF('CDO Bespoke'!O91&lt;&gt;"",'CDO Bespoke'!O91,"")</f>
        <v>8.6949131802640106E-2</v>
      </c>
      <c r="Y90" s="485">
        <f t="shared" ca="1" si="15"/>
        <v>0</v>
      </c>
      <c r="Z90" s="485">
        <f t="shared" ca="1" si="14"/>
        <v>8.6949131802640106E-2</v>
      </c>
      <c r="AA90" s="489">
        <f t="shared" ca="1" si="11"/>
        <v>0</v>
      </c>
      <c r="AB90" s="484">
        <f ca="1">IF('CDO Bespoke'!O91&lt;&gt;"",'CDO Bespoke'!O91,"")</f>
        <v>8.6949131802640106E-2</v>
      </c>
      <c r="AC90" s="485">
        <f ca="1">IF(AB90&lt;&gt;"",ABS(MIN(-0.6*'CDO Bespoke'!K91+'CDO Bespoke'!T91*'CDO Bespoke'!K91,0)),"")</f>
        <v>0.46694622373501249</v>
      </c>
      <c r="AD90" s="485">
        <f t="shared" ca="1" si="12"/>
        <v>0</v>
      </c>
      <c r="AE90" s="489">
        <f t="shared" ca="1" si="13"/>
        <v>0</v>
      </c>
      <c r="AF90" s="272"/>
      <c r="AG90" s="494" t="str">
        <f ca="1">IF('CDO Bespoke'!C115&lt;&gt;"",'CDO Bespoke'!C115,"")</f>
        <v>VEOLIA ENVIRONNEMENT</v>
      </c>
      <c r="AH90" s="496">
        <f ca="1"/>
        <v>-4.383973897792437E-4</v>
      </c>
      <c r="AI90" s="584">
        <f ca="1"/>
        <v>-9.8597953995804843E-4</v>
      </c>
      <c r="AJ90" s="584">
        <f ca="1"/>
        <v>-2.0857699797871554E-3</v>
      </c>
      <c r="AK90" s="584">
        <f ca="1"/>
        <v>0.57015031810020433</v>
      </c>
      <c r="AL90" s="497">
        <f ca="1"/>
        <v>0</v>
      </c>
      <c r="AM90" s="619">
        <f ca="1"/>
        <v>0</v>
      </c>
      <c r="AN90" s="496">
        <f ca="1"/>
        <v>2.9016463749982624E-4</v>
      </c>
      <c r="AO90" s="584">
        <f ca="1"/>
        <v>1.4163354556014085E-3</v>
      </c>
      <c r="AP90" s="584">
        <f ca="1"/>
        <v>6.1766787660998482E-3</v>
      </c>
      <c r="AQ90" s="584">
        <f ca="1"/>
        <v>0.56856366434569849</v>
      </c>
      <c r="AR90" s="497">
        <f ca="1"/>
        <v>0</v>
      </c>
      <c r="AS90" s="619">
        <f ca="1"/>
        <v>0</v>
      </c>
      <c r="AT90" s="496">
        <f ca="1"/>
        <v>-9.2283072920660014E-3</v>
      </c>
      <c r="AU90" s="497">
        <f ca="1"/>
        <v>-2.7378589588820001E-2</v>
      </c>
      <c r="AV90" s="619">
        <f ca="1"/>
        <v>0</v>
      </c>
      <c r="AW90" s="496">
        <f ca="1"/>
        <v>-6.2533443945559916E-2</v>
      </c>
      <c r="AX90" s="497">
        <f ca="1"/>
        <v>1.2608384305416907E-2</v>
      </c>
      <c r="AY90" s="619">
        <f ca="1"/>
        <v>0</v>
      </c>
    </row>
    <row r="91" spans="2:51">
      <c r="B91" s="539" t="s">
        <v>536</v>
      </c>
      <c r="C91" s="540" t="s">
        <v>66</v>
      </c>
      <c r="D91" s="540" t="s">
        <v>55</v>
      </c>
      <c r="E91" s="540" t="s">
        <v>648</v>
      </c>
      <c r="F91" s="540" t="s">
        <v>647</v>
      </c>
      <c r="G91" s="541">
        <v>0.01</v>
      </c>
      <c r="H91" s="541">
        <v>3.4970000000000001E-3</v>
      </c>
      <c r="I91" s="542">
        <v>0.4</v>
      </c>
      <c r="J91" s="601">
        <v>4</v>
      </c>
      <c r="K91" s="543">
        <v>23</v>
      </c>
      <c r="L91" s="272"/>
      <c r="M91" s="272"/>
      <c r="P91" s="273"/>
      <c r="Q91" s="273"/>
      <c r="R91" s="273"/>
      <c r="S91" s="273"/>
      <c r="T91" s="576">
        <f ca="1"/>
        <v>0.06</v>
      </c>
      <c r="U91" s="573">
        <f ca="1"/>
        <v>83</v>
      </c>
      <c r="V91" s="576">
        <f t="shared" ca="1" si="9"/>
        <v>0</v>
      </c>
      <c r="W91" s="576">
        <f t="shared" ca="1" si="10"/>
        <v>0</v>
      </c>
      <c r="X91" s="484">
        <f ca="1">IF('CDO Bespoke'!O92&lt;&gt;"",'CDO Bespoke'!O92,"")</f>
        <v>9.0566299736380099E-2</v>
      </c>
      <c r="Y91" s="485">
        <f t="shared" ca="1" si="15"/>
        <v>0</v>
      </c>
      <c r="Z91" s="485">
        <f t="shared" ca="1" si="14"/>
        <v>9.0566299736380099E-2</v>
      </c>
      <c r="AA91" s="489">
        <f t="shared" ca="1" si="11"/>
        <v>0</v>
      </c>
      <c r="AB91" s="484">
        <f ca="1">IF('CDO Bespoke'!O92&lt;&gt;"",'CDO Bespoke'!O92,"")</f>
        <v>9.0566299736380099E-2</v>
      </c>
      <c r="AC91" s="485">
        <f ca="1">IF(AB91&lt;&gt;"",ABS(MIN(-0.6*'CDO Bespoke'!K92+'CDO Bespoke'!T92*'CDO Bespoke'!K92,0)),"")</f>
        <v>0.50023420908246941</v>
      </c>
      <c r="AD91" s="485">
        <f t="shared" ca="1" si="12"/>
        <v>0</v>
      </c>
      <c r="AE91" s="489">
        <f t="shared" ca="1" si="13"/>
        <v>0</v>
      </c>
      <c r="AF91" s="272"/>
      <c r="AG91" s="494" t="str">
        <f ca="1">IF('CDO Bespoke'!C116&lt;&gt;"",'CDO Bespoke'!C116,"")</f>
        <v>Bertelsmann SE &amp; Co. KGaA</v>
      </c>
      <c r="AH91" s="496">
        <f ca="1"/>
        <v>-1.6475801001281098E-4</v>
      </c>
      <c r="AI91" s="584">
        <f ca="1"/>
        <v>-1.2470479926474098E-5</v>
      </c>
      <c r="AJ91" s="584">
        <f ca="1"/>
        <v>1.2119663100884637E-3</v>
      </c>
      <c r="AK91" s="584">
        <f ca="1"/>
        <v>0.41722098025998022</v>
      </c>
      <c r="AL91" s="497">
        <f ca="1"/>
        <v>0</v>
      </c>
      <c r="AM91" s="619">
        <f ca="1"/>
        <v>0</v>
      </c>
      <c r="AN91" s="496">
        <f ca="1"/>
        <v>2.4760964549997572E-4</v>
      </c>
      <c r="AO91" s="584">
        <f ca="1"/>
        <v>1.2025933668986452E-3</v>
      </c>
      <c r="AP91" s="584">
        <f ca="1"/>
        <v>5.3323638681988458E-3</v>
      </c>
      <c r="AQ91" s="584">
        <f ca="1"/>
        <v>0.41798014402609757</v>
      </c>
      <c r="AR91" s="497">
        <f ca="1"/>
        <v>0</v>
      </c>
      <c r="AS91" s="619">
        <f ca="1"/>
        <v>0</v>
      </c>
      <c r="AT91" s="496">
        <f ca="1"/>
        <v>-1.6807746635224552E-2</v>
      </c>
      <c r="AU91" s="497">
        <f ca="1"/>
        <v>-2.0420095646766473E-2</v>
      </c>
      <c r="AV91" s="619">
        <f ca="1"/>
        <v>0</v>
      </c>
      <c r="AW91" s="496">
        <f ca="1"/>
        <v>-0.12224076556913825</v>
      </c>
      <c r="AX91" s="497">
        <f ca="1"/>
        <v>3.7658427805827496E-3</v>
      </c>
      <c r="AY91" s="619">
        <f ca="1"/>
        <v>0</v>
      </c>
    </row>
    <row r="92" spans="2:51">
      <c r="B92" s="517" t="s">
        <v>536</v>
      </c>
      <c r="C92" s="518" t="s">
        <v>66</v>
      </c>
      <c r="D92" s="518" t="s">
        <v>57</v>
      </c>
      <c r="E92" s="518" t="s">
        <v>648</v>
      </c>
      <c r="F92" s="518" t="s">
        <v>647</v>
      </c>
      <c r="G92" s="525">
        <v>0.01</v>
      </c>
      <c r="H92" s="525">
        <v>6.7010000000000004E-3</v>
      </c>
      <c r="I92" s="527">
        <v>0.4</v>
      </c>
      <c r="J92" s="593">
        <v>4</v>
      </c>
      <c r="K92" s="519">
        <v>23</v>
      </c>
      <c r="L92" s="272"/>
      <c r="M92" s="272"/>
      <c r="P92" s="273"/>
      <c r="Q92" s="273"/>
      <c r="R92" s="273"/>
      <c r="S92" s="273"/>
      <c r="T92" s="576">
        <f ca="1"/>
        <v>0.06</v>
      </c>
      <c r="U92" s="573">
        <f ca="1"/>
        <v>84</v>
      </c>
      <c r="V92" s="576">
        <f t="shared" ca="1" si="9"/>
        <v>0</v>
      </c>
      <c r="W92" s="576">
        <f t="shared" ca="1" si="10"/>
        <v>0</v>
      </c>
      <c r="X92" s="484">
        <f ca="1">IF('CDO Bespoke'!O93&lt;&gt;"",'CDO Bespoke'!O93,"")</f>
        <v>7.7324533896250297E-2</v>
      </c>
      <c r="Y92" s="485">
        <f t="shared" ca="1" si="15"/>
        <v>0</v>
      </c>
      <c r="Z92" s="485">
        <f t="shared" ca="1" si="14"/>
        <v>7.7324533896250297E-2</v>
      </c>
      <c r="AA92" s="489">
        <f t="shared" ca="1" si="11"/>
        <v>0</v>
      </c>
      <c r="AB92" s="484">
        <f ca="1">IF('CDO Bespoke'!O93&lt;&gt;"",'CDO Bespoke'!O93,"")</f>
        <v>7.7324533896250297E-2</v>
      </c>
      <c r="AC92" s="485">
        <f ca="1">IF(AB92&lt;&gt;"",ABS(MIN(-0.6*'CDO Bespoke'!K93+'CDO Bespoke'!T93*'CDO Bespoke'!K93,0)),"")</f>
        <v>0.32779768459757191</v>
      </c>
      <c r="AD92" s="485">
        <f t="shared" ca="1" si="12"/>
        <v>0</v>
      </c>
      <c r="AE92" s="489">
        <f t="shared" ca="1" si="13"/>
        <v>0</v>
      </c>
      <c r="AF92" s="272"/>
      <c r="AG92" s="494" t="str">
        <f ca="1">IF('CDO Bespoke'!C117&lt;&gt;"",'CDO Bespoke'!C117,"")</f>
        <v>BRITISH TELECOMMUNICATIONS public limited company</v>
      </c>
      <c r="AH92" s="496">
        <f ca="1"/>
        <v>-1.2970125498612539E-3</v>
      </c>
      <c r="AI92" s="584">
        <f ca="1"/>
        <v>-4.2061723798392237E-3</v>
      </c>
      <c r="AJ92" s="584">
        <f ca="1"/>
        <v>-1.4135080879940087E-2</v>
      </c>
      <c r="AK92" s="584">
        <f ca="1"/>
        <v>0.93805282844999782</v>
      </c>
      <c r="AL92" s="497">
        <f ca="1"/>
        <v>0</v>
      </c>
      <c r="AM92" s="619">
        <f ca="1"/>
        <v>0</v>
      </c>
      <c r="AN92" s="496">
        <f ca="1"/>
        <v>2.2648278100168007E-4</v>
      </c>
      <c r="AO92" s="584">
        <f ca="1"/>
        <v>1.1460958642024732E-3</v>
      </c>
      <c r="AP92" s="584">
        <f ca="1"/>
        <v>4.3509704726000381E-3</v>
      </c>
      <c r="AQ92" s="584">
        <f ca="1"/>
        <v>0.92581734931840209</v>
      </c>
      <c r="AR92" s="497">
        <f ca="1"/>
        <v>0</v>
      </c>
      <c r="AS92" s="619">
        <f ca="1"/>
        <v>0</v>
      </c>
      <c r="AT92" s="496">
        <f ca="1"/>
        <v>9.8531096104168547E-3</v>
      </c>
      <c r="AU92" s="497">
        <f ca="1"/>
        <v>-4.2633198169616859E-2</v>
      </c>
      <c r="AV92" s="619">
        <f ca="1"/>
        <v>0</v>
      </c>
      <c r="AW92" s="496">
        <f ca="1"/>
        <v>-7.2438853030322284E-2</v>
      </c>
      <c r="AX92" s="497">
        <f ca="1"/>
        <v>1.7847396466858272E-2</v>
      </c>
      <c r="AY92" s="619">
        <f ca="1"/>
        <v>0</v>
      </c>
    </row>
    <row r="93" spans="2:51">
      <c r="B93" s="534" t="s">
        <v>536</v>
      </c>
      <c r="C93" s="535" t="s">
        <v>66</v>
      </c>
      <c r="D93" s="535" t="s">
        <v>59</v>
      </c>
      <c r="E93" s="535" t="s">
        <v>648</v>
      </c>
      <c r="F93" s="535" t="s">
        <v>647</v>
      </c>
      <c r="G93" s="536">
        <v>0.01</v>
      </c>
      <c r="H93" s="536">
        <v>1.042E-2</v>
      </c>
      <c r="I93" s="537">
        <v>0.4</v>
      </c>
      <c r="J93" s="594">
        <v>4</v>
      </c>
      <c r="K93" s="538">
        <v>23</v>
      </c>
      <c r="L93" s="272"/>
      <c r="M93" s="272"/>
      <c r="P93" s="273"/>
      <c r="Q93" s="273"/>
      <c r="R93" s="273"/>
      <c r="S93" s="273"/>
      <c r="T93" s="576">
        <f ca="1"/>
        <v>0.06</v>
      </c>
      <c r="U93" s="573">
        <f ca="1"/>
        <v>85</v>
      </c>
      <c r="V93" s="576">
        <f t="shared" ca="1" si="9"/>
        <v>0</v>
      </c>
      <c r="W93" s="576">
        <f t="shared" ca="1" si="10"/>
        <v>0</v>
      </c>
      <c r="X93" s="484">
        <f ca="1">IF('CDO Bespoke'!O94&lt;&gt;"",'CDO Bespoke'!O94,"")</f>
        <v>9.1057703821370198E-2</v>
      </c>
      <c r="Y93" s="485">
        <f t="shared" ca="1" si="15"/>
        <v>0</v>
      </c>
      <c r="Z93" s="485">
        <f t="shared" ca="1" si="14"/>
        <v>9.1057703821370198E-2</v>
      </c>
      <c r="AA93" s="489">
        <f t="shared" ca="1" si="11"/>
        <v>0</v>
      </c>
      <c r="AB93" s="484">
        <f ca="1">IF('CDO Bespoke'!O94&lt;&gt;"",'CDO Bespoke'!O94,"")</f>
        <v>9.1057703821370198E-2</v>
      </c>
      <c r="AC93" s="485">
        <f ca="1">IF(AB93&lt;&gt;"",ABS(MIN(-0.6*'CDO Bespoke'!K94+'CDO Bespoke'!T94*'CDO Bespoke'!K94,0)),"")</f>
        <v>0.50592068819319647</v>
      </c>
      <c r="AD93" s="485">
        <f t="shared" ca="1" si="12"/>
        <v>0</v>
      </c>
      <c r="AE93" s="489">
        <f t="shared" ca="1" si="13"/>
        <v>0</v>
      </c>
      <c r="AF93" s="272"/>
      <c r="AG93" s="494" t="str">
        <f ca="1">IF('CDO Bespoke'!C118&lt;&gt;"",'CDO Bespoke'!C118,"")</f>
        <v>Deutsche Telekom AG</v>
      </c>
      <c r="AH93" s="496">
        <f ca="1"/>
        <v>-1.1546470002343767E-4</v>
      </c>
      <c r="AI93" s="584">
        <f ca="1"/>
        <v>1.8026772019563708E-4</v>
      </c>
      <c r="AJ93" s="584">
        <f ca="1"/>
        <v>1.8664176701377322E-3</v>
      </c>
      <c r="AK93" s="584">
        <f ca="1"/>
        <v>0.3960976580000275</v>
      </c>
      <c r="AL93" s="497">
        <f ca="1"/>
        <v>0</v>
      </c>
      <c r="AM93" s="619">
        <f ca="1"/>
        <v>0</v>
      </c>
      <c r="AN93" s="496">
        <f ca="1"/>
        <v>2.3962786829898747E-4</v>
      </c>
      <c r="AO93" s="584">
        <f ca="1"/>
        <v>1.163256130001962E-3</v>
      </c>
      <c r="AP93" s="584">
        <f ca="1"/>
        <v>5.1682723716016746E-3</v>
      </c>
      <c r="AQ93" s="584">
        <f ca="1"/>
        <v>0.39748179242010162</v>
      </c>
      <c r="AR93" s="497">
        <f ca="1"/>
        <v>0</v>
      </c>
      <c r="AS93" s="619">
        <f ca="1"/>
        <v>0</v>
      </c>
      <c r="AT93" s="496">
        <f ca="1"/>
        <v>-1.7825209983753143E-2</v>
      </c>
      <c r="AU93" s="497">
        <f ca="1"/>
        <v>-1.9457391399142876E-2</v>
      </c>
      <c r="AV93" s="619">
        <f ca="1"/>
        <v>0</v>
      </c>
      <c r="AW93" s="496">
        <f ca="1"/>
        <v>-8.5612776986934314E-2</v>
      </c>
      <c r="AX93" s="497">
        <f ca="1"/>
        <v>7.8175970091666179E-3</v>
      </c>
      <c r="AY93" s="619">
        <f ca="1"/>
        <v>0</v>
      </c>
    </row>
    <row r="94" spans="2:51">
      <c r="B94" s="539" t="s">
        <v>521</v>
      </c>
      <c r="C94" s="540" t="s">
        <v>66</v>
      </c>
      <c r="D94" s="540" t="s">
        <v>55</v>
      </c>
      <c r="E94" s="540" t="s">
        <v>646</v>
      </c>
      <c r="F94" s="540" t="s">
        <v>671</v>
      </c>
      <c r="G94" s="541">
        <v>0.01</v>
      </c>
      <c r="H94" s="541">
        <v>2.7599999999999999E-3</v>
      </c>
      <c r="I94" s="542">
        <v>0.4</v>
      </c>
      <c r="J94" s="601">
        <v>5</v>
      </c>
      <c r="K94" s="543">
        <v>24</v>
      </c>
      <c r="L94" s="272"/>
      <c r="M94" s="272"/>
      <c r="P94" s="273"/>
      <c r="Q94" s="273"/>
      <c r="R94" s="273"/>
      <c r="S94" s="273"/>
      <c r="T94" s="576">
        <f ca="1"/>
        <v>0.06</v>
      </c>
      <c r="U94" s="573">
        <f ca="1"/>
        <v>86</v>
      </c>
      <c r="V94" s="576">
        <f t="shared" ca="1" si="9"/>
        <v>0</v>
      </c>
      <c r="W94" s="576">
        <f t="shared" ca="1" si="10"/>
        <v>0</v>
      </c>
      <c r="X94" s="484">
        <f ca="1">IF('CDO Bespoke'!O95&lt;&gt;"",'CDO Bespoke'!O95,"")</f>
        <v>7.0953142288390197E-2</v>
      </c>
      <c r="Y94" s="485">
        <f t="shared" ca="1" si="15"/>
        <v>0</v>
      </c>
      <c r="Z94" s="485">
        <f t="shared" ca="1" si="14"/>
        <v>7.0953142288390197E-2</v>
      </c>
      <c r="AA94" s="489">
        <f t="shared" ca="1" si="11"/>
        <v>0</v>
      </c>
      <c r="AB94" s="484">
        <f ca="1">IF('CDO Bespoke'!O95&lt;&gt;"",'CDO Bespoke'!O95,"")</f>
        <v>7.0953142288390197E-2</v>
      </c>
      <c r="AC94" s="485">
        <f ca="1">IF(AB94&lt;&gt;"",ABS(MIN(-0.6*'CDO Bespoke'!K95+'CDO Bespoke'!T95*'CDO Bespoke'!K95,0)),"")</f>
        <v>0.23892777467989029</v>
      </c>
      <c r="AD94" s="485">
        <f t="shared" ca="1" si="12"/>
        <v>0</v>
      </c>
      <c r="AE94" s="489">
        <f t="shared" ca="1" si="13"/>
        <v>0</v>
      </c>
      <c r="AF94" s="272"/>
      <c r="AG94" s="494" t="str">
        <f ca="1">IF('CDO Bespoke'!C119&lt;&gt;"",'CDO Bespoke'!C119,"")</f>
        <v>ITV PLC</v>
      </c>
      <c r="AH94" s="496">
        <f ca="1"/>
        <v>-1.9166899697942164E-3</v>
      </c>
      <c r="AI94" s="584">
        <f ca="1"/>
        <v>-6.6916854798981795E-3</v>
      </c>
      <c r="AJ94" s="584">
        <f ca="1"/>
        <v>-2.3831202780044691E-2</v>
      </c>
      <c r="AK94" s="584">
        <f ca="1"/>
        <v>1.1118407040999756</v>
      </c>
      <c r="AL94" s="497">
        <f ca="1"/>
        <v>0</v>
      </c>
      <c r="AM94" s="619">
        <f ca="1"/>
        <v>0</v>
      </c>
      <c r="AN94" s="496">
        <f ca="1"/>
        <v>7.6329539900037852E-6</v>
      </c>
      <c r="AO94" s="584">
        <f ca="1"/>
        <v>1.2296557599955106E-4</v>
      </c>
      <c r="AP94" s="584">
        <f ca="1"/>
        <v>-3.7453320298982441E-4</v>
      </c>
      <c r="AQ94" s="584">
        <f ca="1"/>
        <v>1.0913242475119902</v>
      </c>
      <c r="AR94" s="497">
        <f ca="1"/>
        <v>0</v>
      </c>
      <c r="AS94" s="619">
        <f ca="1"/>
        <v>0</v>
      </c>
      <c r="AT94" s="496">
        <f ca="1"/>
        <v>2.0126748366841918E-2</v>
      </c>
      <c r="AU94" s="497">
        <f ca="1"/>
        <v>-4.7873734572188936E-2</v>
      </c>
      <c r="AV94" s="619">
        <f ca="1"/>
        <v>0</v>
      </c>
      <c r="AW94" s="496">
        <f ca="1"/>
        <v>-9.6049542363996515E-2</v>
      </c>
      <c r="AX94" s="497">
        <f ca="1"/>
        <v>1.7195219415123808E-2</v>
      </c>
      <c r="AY94" s="619">
        <f ca="1"/>
        <v>0</v>
      </c>
    </row>
    <row r="95" spans="2:51">
      <c r="B95" s="517" t="s">
        <v>521</v>
      </c>
      <c r="C95" s="518" t="s">
        <v>66</v>
      </c>
      <c r="D95" s="518" t="s">
        <v>57</v>
      </c>
      <c r="E95" s="518" t="s">
        <v>646</v>
      </c>
      <c r="F95" s="518" t="s">
        <v>671</v>
      </c>
      <c r="G95" s="525">
        <v>0.01</v>
      </c>
      <c r="H95" s="525">
        <v>4.8069999999999996E-3</v>
      </c>
      <c r="I95" s="527">
        <v>0.4</v>
      </c>
      <c r="J95" s="593">
        <v>5</v>
      </c>
      <c r="K95" s="519">
        <v>24</v>
      </c>
      <c r="L95" s="272"/>
      <c r="M95" s="272"/>
      <c r="P95" s="273"/>
      <c r="Q95" s="273"/>
      <c r="R95" s="273"/>
      <c r="S95" s="273"/>
      <c r="T95" s="576">
        <f ca="1"/>
        <v>0.03</v>
      </c>
      <c r="U95" s="573">
        <f ca="1"/>
        <v>87</v>
      </c>
      <c r="V95" s="576">
        <f t="shared" ca="1" si="9"/>
        <v>0</v>
      </c>
      <c r="W95" s="576">
        <f t="shared" ca="1" si="10"/>
        <v>0</v>
      </c>
      <c r="X95" s="484">
        <f ca="1">IF('CDO Bespoke'!O96&lt;&gt;"",'CDO Bespoke'!O96,"")</f>
        <v>8.5723416501190197E-2</v>
      </c>
      <c r="Y95" s="485">
        <f t="shared" ca="1" si="15"/>
        <v>0</v>
      </c>
      <c r="Z95" s="485">
        <f t="shared" ca="1" si="14"/>
        <v>8.5723416501190197E-2</v>
      </c>
      <c r="AA95" s="489">
        <f t="shared" ca="1" si="11"/>
        <v>0</v>
      </c>
      <c r="AB95" s="484">
        <f ca="1">IF('CDO Bespoke'!O96&lt;&gt;"",'CDO Bespoke'!O96,"")</f>
        <v>8.5723416501190197E-2</v>
      </c>
      <c r="AC95" s="485">
        <f ca="1">IF(AB95&lt;&gt;"",ABS(MIN(-0.6*'CDO Bespoke'!K96+'CDO Bespoke'!T96*'CDO Bespoke'!K96,0)),"")</f>
        <v>0.43264661841613161</v>
      </c>
      <c r="AD95" s="485">
        <f t="shared" ca="1" si="12"/>
        <v>0</v>
      </c>
      <c r="AE95" s="489">
        <f t="shared" ca="1" si="13"/>
        <v>0</v>
      </c>
      <c r="AF95" s="272"/>
      <c r="AG95" s="494" t="str">
        <f ca="1">IF('CDO Bespoke'!C120&lt;&gt;"",'CDO Bespoke'!C120,"")</f>
        <v>Koninklijke KPN N.V.</v>
      </c>
      <c r="AH95" s="496">
        <f ca="1"/>
        <v>-5.1777143988962493E-4</v>
      </c>
      <c r="AI95" s="584">
        <f ca="1"/>
        <v>-1.2441737998192259E-3</v>
      </c>
      <c r="AJ95" s="584">
        <f ca="1"/>
        <v>-2.9713651999996316E-3</v>
      </c>
      <c r="AK95" s="584">
        <f ca="1"/>
        <v>0.62054656648019568</v>
      </c>
      <c r="AL95" s="497">
        <f ca="1"/>
        <v>0</v>
      </c>
      <c r="AM95" s="619">
        <f ca="1"/>
        <v>0</v>
      </c>
      <c r="AN95" s="496">
        <f ca="1"/>
        <v>2.9720054189798922E-4</v>
      </c>
      <c r="AO95" s="584">
        <f ca="1"/>
        <v>1.4540924160979032E-3</v>
      </c>
      <c r="AP95" s="584">
        <f ca="1"/>
        <v>6.2969176298005233E-3</v>
      </c>
      <c r="AQ95" s="584">
        <f ca="1"/>
        <v>0.61852898410859858</v>
      </c>
      <c r="AR95" s="497">
        <f ca="1"/>
        <v>0</v>
      </c>
      <c r="AS95" s="619">
        <f ca="1"/>
        <v>0</v>
      </c>
      <c r="AT95" s="496">
        <f ca="1"/>
        <v>-6.6688813415806403E-3</v>
      </c>
      <c r="AU95" s="497">
        <f ca="1"/>
        <v>-2.9636751111124376E-2</v>
      </c>
      <c r="AV95" s="619">
        <f ca="1"/>
        <v>0</v>
      </c>
      <c r="AW95" s="496">
        <f ca="1"/>
        <v>-8.0255888231189107E-2</v>
      </c>
      <c r="AX95" s="497">
        <f ca="1"/>
        <v>1.0439190229739999E-2</v>
      </c>
      <c r="AY95" s="619">
        <f ca="1"/>
        <v>0</v>
      </c>
    </row>
    <row r="96" spans="2:51">
      <c r="B96" s="534" t="s">
        <v>521</v>
      </c>
      <c r="C96" s="535" t="s">
        <v>66</v>
      </c>
      <c r="D96" s="535" t="s">
        <v>59</v>
      </c>
      <c r="E96" s="535" t="s">
        <v>646</v>
      </c>
      <c r="F96" s="535" t="s">
        <v>671</v>
      </c>
      <c r="G96" s="536">
        <v>0.01</v>
      </c>
      <c r="H96" s="536">
        <v>6.9220000000000002E-3</v>
      </c>
      <c r="I96" s="537">
        <v>0.4</v>
      </c>
      <c r="J96" s="594">
        <v>5</v>
      </c>
      <c r="K96" s="538">
        <v>24</v>
      </c>
      <c r="L96" s="272"/>
      <c r="M96" s="272"/>
      <c r="P96" s="273"/>
      <c r="Q96" s="273"/>
      <c r="R96" s="273"/>
      <c r="S96" s="273"/>
      <c r="T96" s="576">
        <f ca="1"/>
        <v>0.06</v>
      </c>
      <c r="U96" s="573">
        <f ca="1"/>
        <v>88</v>
      </c>
      <c r="V96" s="576">
        <f t="shared" ca="1" si="9"/>
        <v>0</v>
      </c>
      <c r="W96" s="576">
        <f t="shared" ca="1" si="10"/>
        <v>0</v>
      </c>
      <c r="X96" s="484">
        <f ca="1">IF('CDO Bespoke'!O97&lt;&gt;"",'CDO Bespoke'!O97,"")</f>
        <v>9.1500819631530103E-2</v>
      </c>
      <c r="Y96" s="485">
        <f t="shared" ca="1" si="15"/>
        <v>0</v>
      </c>
      <c r="Z96" s="485">
        <f t="shared" ca="1" si="14"/>
        <v>9.1500819631530103E-2</v>
      </c>
      <c r="AA96" s="489">
        <f t="shared" ca="1" si="11"/>
        <v>0</v>
      </c>
      <c r="AB96" s="484">
        <f ca="1">IF('CDO Bespoke'!O97&lt;&gt;"",'CDO Bespoke'!O97,"")</f>
        <v>9.1500819631530103E-2</v>
      </c>
      <c r="AC96" s="485">
        <f ca="1">IF(AB96&lt;&gt;"",ABS(MIN(-0.6*'CDO Bespoke'!K97+'CDO Bespoke'!T97*'CDO Bespoke'!K97,0)),"")</f>
        <v>0.51271771249845632</v>
      </c>
      <c r="AD96" s="485">
        <f t="shared" ca="1" si="12"/>
        <v>0</v>
      </c>
      <c r="AE96" s="489">
        <f t="shared" ca="1" si="13"/>
        <v>0</v>
      </c>
      <c r="AF96" s="272"/>
      <c r="AG96" s="494" t="str">
        <f ca="1">IF('CDO Bespoke'!C121&lt;&gt;"",'CDO Bespoke'!C121,"")</f>
        <v>Orange</v>
      </c>
      <c r="AH96" s="496">
        <f ca="1"/>
        <v>-2.2467269988890592E-4</v>
      </c>
      <c r="AI96" s="584">
        <f ca="1"/>
        <v>-3.7967454985521343E-4</v>
      </c>
      <c r="AJ96" s="584">
        <f ca="1"/>
        <v>-1.5149935000957626E-4</v>
      </c>
      <c r="AK96" s="584">
        <f ca="1"/>
        <v>0.38011460345016568</v>
      </c>
      <c r="AL96" s="497">
        <f ca="1"/>
        <v>0</v>
      </c>
      <c r="AM96" s="619">
        <f ca="1"/>
        <v>0</v>
      </c>
      <c r="AN96" s="496">
        <f ca="1"/>
        <v>2.3213955090226751E-4</v>
      </c>
      <c r="AO96" s="584">
        <f ca="1"/>
        <v>1.1256296146002973E-3</v>
      </c>
      <c r="AP96" s="584">
        <f ca="1"/>
        <v>5.0001506470996257E-3</v>
      </c>
      <c r="AQ96" s="584">
        <f ca="1"/>
        <v>0.37842415805189927</v>
      </c>
      <c r="AR96" s="497">
        <f ca="1"/>
        <v>0</v>
      </c>
      <c r="AS96" s="619">
        <f ca="1"/>
        <v>0</v>
      </c>
      <c r="AT96" s="496">
        <f ca="1"/>
        <v>-1.8784196764440403E-2</v>
      </c>
      <c r="AU96" s="497">
        <f ca="1"/>
        <v>-1.856575221709561E-2</v>
      </c>
      <c r="AV96" s="619">
        <f ca="1"/>
        <v>0</v>
      </c>
      <c r="AW96" s="496">
        <f ca="1"/>
        <v>-8.6151606569522782E-2</v>
      </c>
      <c r="AX96" s="497">
        <f ca="1"/>
        <v>7.6181523360156697E-3</v>
      </c>
      <c r="AY96" s="619">
        <f ca="1"/>
        <v>0</v>
      </c>
    </row>
    <row r="97" spans="2:51">
      <c r="B97" s="539" t="s">
        <v>537</v>
      </c>
      <c r="C97" s="540" t="s">
        <v>66</v>
      </c>
      <c r="D97" s="540" t="s">
        <v>55</v>
      </c>
      <c r="E97" s="540" t="s">
        <v>648</v>
      </c>
      <c r="F97" s="540" t="s">
        <v>647</v>
      </c>
      <c r="G97" s="541">
        <v>0.01</v>
      </c>
      <c r="H97" s="541">
        <v>8.0549999999999997E-3</v>
      </c>
      <c r="I97" s="542">
        <v>0.4</v>
      </c>
      <c r="J97" s="601">
        <v>4</v>
      </c>
      <c r="K97" s="543">
        <v>25</v>
      </c>
      <c r="L97" s="272"/>
      <c r="M97" s="272"/>
      <c r="P97" s="273"/>
      <c r="Q97" s="273"/>
      <c r="R97" s="273"/>
      <c r="S97" s="273"/>
      <c r="T97" s="576">
        <f ca="1"/>
        <v>0.06</v>
      </c>
      <c r="U97" s="573">
        <f ca="1"/>
        <v>89</v>
      </c>
      <c r="V97" s="576">
        <f t="shared" ca="1" si="9"/>
        <v>0</v>
      </c>
      <c r="W97" s="576">
        <f t="shared" ca="1" si="10"/>
        <v>0</v>
      </c>
      <c r="X97" s="484">
        <f ca="1">IF('CDO Bespoke'!O98&lt;&gt;"",'CDO Bespoke'!O98,"")</f>
        <v>8.30255551405501E-2</v>
      </c>
      <c r="Y97" s="485">
        <f t="shared" ca="1" si="15"/>
        <v>0</v>
      </c>
      <c r="Z97" s="485">
        <f t="shared" ca="1" si="14"/>
        <v>8.30255551405501E-2</v>
      </c>
      <c r="AA97" s="489">
        <f t="shared" ca="1" si="11"/>
        <v>0</v>
      </c>
      <c r="AB97" s="484">
        <f ca="1">IF('CDO Bespoke'!O98&lt;&gt;"",'CDO Bespoke'!O98,"")</f>
        <v>8.30255551405501E-2</v>
      </c>
      <c r="AC97" s="485">
        <f ca="1">IF(AB97&lt;&gt;"",ABS(MIN(-0.6*'CDO Bespoke'!K98+'CDO Bespoke'!T98*'CDO Bespoke'!K98,0)),"")</f>
        <v>0.39361077569273956</v>
      </c>
      <c r="AD97" s="485">
        <f t="shared" ca="1" si="12"/>
        <v>0</v>
      </c>
      <c r="AE97" s="489">
        <f t="shared" ca="1" si="13"/>
        <v>0</v>
      </c>
      <c r="AF97" s="272"/>
      <c r="AG97" s="494" t="str">
        <f ca="1">IF('CDO Bespoke'!C122&lt;&gt;"",'CDO Bespoke'!C122,"")</f>
        <v>PEARSON plc</v>
      </c>
      <c r="AH97" s="496">
        <f ca="1"/>
        <v>-7.3774033992890509E-4</v>
      </c>
      <c r="AI97" s="584">
        <f ca="1"/>
        <v>-2.0352358398589843E-3</v>
      </c>
      <c r="AJ97" s="584">
        <f ca="1"/>
        <v>-5.8198157898425862E-3</v>
      </c>
      <c r="AK97" s="584">
        <f ca="1"/>
        <v>0.72914256954020873</v>
      </c>
      <c r="AL97" s="497">
        <f ca="1"/>
        <v>0</v>
      </c>
      <c r="AM97" s="619">
        <f ca="1"/>
        <v>0</v>
      </c>
      <c r="AN97" s="496">
        <f ca="1"/>
        <v>2.9824264560166652E-4</v>
      </c>
      <c r="AO97" s="584">
        <f ca="1"/>
        <v>1.4683658771004471E-3</v>
      </c>
      <c r="AP97" s="584">
        <f ca="1"/>
        <v>6.2240709764989702E-3</v>
      </c>
      <c r="AQ97" s="584">
        <f ca="1"/>
        <v>0.72497428362410132</v>
      </c>
      <c r="AR97" s="497">
        <f ca="1"/>
        <v>0</v>
      </c>
      <c r="AS97" s="619">
        <f ca="1"/>
        <v>0</v>
      </c>
      <c r="AT97" s="496">
        <f ca="1"/>
        <v>-1.1299466032640981E-3</v>
      </c>
      <c r="AU97" s="497">
        <f ca="1"/>
        <v>-3.4342672149405923E-2</v>
      </c>
      <c r="AV97" s="619">
        <f ca="1"/>
        <v>0</v>
      </c>
      <c r="AW97" s="496">
        <f ca="1"/>
        <v>-0.11102767468100194</v>
      </c>
      <c r="AX97" s="497">
        <f ca="1"/>
        <v>4.9537961893856286E-3</v>
      </c>
      <c r="AY97" s="619">
        <f ca="1"/>
        <v>0</v>
      </c>
    </row>
    <row r="98" spans="2:51">
      <c r="B98" s="517" t="s">
        <v>537</v>
      </c>
      <c r="C98" s="518" t="s">
        <v>66</v>
      </c>
      <c r="D98" s="518" t="s">
        <v>57</v>
      </c>
      <c r="E98" s="518" t="s">
        <v>648</v>
      </c>
      <c r="F98" s="518" t="s">
        <v>647</v>
      </c>
      <c r="G98" s="525">
        <v>0.01</v>
      </c>
      <c r="H98" s="525">
        <v>1.2508999999999999E-2</v>
      </c>
      <c r="I98" s="527">
        <v>0.4</v>
      </c>
      <c r="J98" s="593">
        <v>4</v>
      </c>
      <c r="K98" s="519">
        <v>25</v>
      </c>
      <c r="L98" s="272"/>
      <c r="M98" s="272"/>
      <c r="P98" s="273"/>
      <c r="Q98" s="273"/>
      <c r="R98" s="273"/>
      <c r="S98" s="273"/>
      <c r="T98" s="576">
        <f ca="1"/>
        <v>0.03</v>
      </c>
      <c r="U98" s="573">
        <f ca="1"/>
        <v>90</v>
      </c>
      <c r="V98" s="576">
        <f t="shared" ca="1" si="9"/>
        <v>0</v>
      </c>
      <c r="W98" s="576">
        <f t="shared" ca="1" si="10"/>
        <v>0</v>
      </c>
      <c r="X98" s="484">
        <f ca="1">IF('CDO Bespoke'!O99&lt;&gt;"",'CDO Bespoke'!O99,"")</f>
        <v>8.6026924866440299E-2</v>
      </c>
      <c r="Y98" s="485">
        <f t="shared" ca="1" si="15"/>
        <v>0</v>
      </c>
      <c r="Z98" s="485">
        <f t="shared" ca="1" si="14"/>
        <v>8.6026924866440299E-2</v>
      </c>
      <c r="AA98" s="489">
        <f t="shared" ca="1" si="11"/>
        <v>0</v>
      </c>
      <c r="AB98" s="484">
        <f ca="1">IF('CDO Bespoke'!O99&lt;&gt;"",'CDO Bespoke'!O99,"")</f>
        <v>8.6026924866440299E-2</v>
      </c>
      <c r="AC98" s="485">
        <f ca="1">IF(AB98&lt;&gt;"",ABS(MIN(-0.6*'CDO Bespoke'!K99+'CDO Bespoke'!T99*'CDO Bespoke'!K99,0)),"")</f>
        <v>0.44078991293435654</v>
      </c>
      <c r="AD98" s="485">
        <f t="shared" ca="1" si="12"/>
        <v>0</v>
      </c>
      <c r="AE98" s="489">
        <f t="shared" ca="1" si="13"/>
        <v>0</v>
      </c>
      <c r="AF98" s="272"/>
      <c r="AG98" s="494" t="str">
        <f ca="1">IF('CDO Bespoke'!C123&lt;&gt;"",'CDO Bespoke'!C123,"")</f>
        <v>PUBLICIS GROUPE SA</v>
      </c>
      <c r="AH98" s="496">
        <f ca="1"/>
        <v>-5.4874113003533509E-4</v>
      </c>
      <c r="AI98" s="584">
        <f ca="1"/>
        <v>-1.4342971499381463E-3</v>
      </c>
      <c r="AJ98" s="584">
        <f ca="1"/>
        <v>-3.6941113298882833E-3</v>
      </c>
      <c r="AK98" s="584">
        <f ca="1"/>
        <v>0.60950962656014518</v>
      </c>
      <c r="AL98" s="497">
        <f ca="1"/>
        <v>0</v>
      </c>
      <c r="AM98" s="619">
        <f ca="1"/>
        <v>0</v>
      </c>
      <c r="AN98" s="496">
        <f ca="1"/>
        <v>2.9617300470203417E-4</v>
      </c>
      <c r="AO98" s="584">
        <f ca="1"/>
        <v>1.4476888604000523E-3</v>
      </c>
      <c r="AP98" s="584">
        <f ca="1"/>
        <v>6.2742567714024408E-3</v>
      </c>
      <c r="AQ98" s="584">
        <f ca="1"/>
        <v>0.60628333111000221</v>
      </c>
      <c r="AR98" s="497">
        <f ca="1"/>
        <v>0</v>
      </c>
      <c r="AS98" s="619">
        <f ca="1"/>
        <v>0</v>
      </c>
      <c r="AT98" s="496">
        <f ca="1"/>
        <v>-7.3042412605008322E-3</v>
      </c>
      <c r="AU98" s="497">
        <f ca="1"/>
        <v>-2.9089266515633178E-2</v>
      </c>
      <c r="AV98" s="619">
        <f ca="1"/>
        <v>0</v>
      </c>
      <c r="AW98" s="496">
        <f ca="1"/>
        <v>-0.11548912028443641</v>
      </c>
      <c r="AX98" s="497">
        <f ca="1"/>
        <v>4.0929829990449008E-3</v>
      </c>
      <c r="AY98" s="619">
        <f ca="1"/>
        <v>0</v>
      </c>
    </row>
    <row r="99" spans="2:51">
      <c r="B99" s="534" t="s">
        <v>537</v>
      </c>
      <c r="C99" s="535" t="s">
        <v>66</v>
      </c>
      <c r="D99" s="535" t="s">
        <v>59</v>
      </c>
      <c r="E99" s="535" t="s">
        <v>648</v>
      </c>
      <c r="F99" s="535" t="s">
        <v>647</v>
      </c>
      <c r="G99" s="536">
        <v>0.01</v>
      </c>
      <c r="H99" s="536">
        <v>1.5117E-2</v>
      </c>
      <c r="I99" s="537">
        <v>0.4</v>
      </c>
      <c r="J99" s="594">
        <v>4</v>
      </c>
      <c r="K99" s="538">
        <v>25</v>
      </c>
      <c r="L99" s="272"/>
      <c r="M99" s="272"/>
      <c r="P99" s="273"/>
      <c r="Q99" s="273"/>
      <c r="R99" s="273"/>
      <c r="S99" s="273"/>
      <c r="T99" s="576">
        <f ca="1"/>
        <v>0.06</v>
      </c>
      <c r="U99" s="573">
        <f ca="1"/>
        <v>91</v>
      </c>
      <c r="V99" s="576">
        <f t="shared" ca="1" si="9"/>
        <v>0</v>
      </c>
      <c r="W99" s="576">
        <f t="shared" ca="1" si="10"/>
        <v>0</v>
      </c>
      <c r="X99" s="484">
        <f ca="1">IF('CDO Bespoke'!O100&lt;&gt;"",'CDO Bespoke'!O100,"")</f>
        <v>6.245239996522E-2</v>
      </c>
      <c r="Y99" s="485">
        <f t="shared" ca="1" si="15"/>
        <v>0</v>
      </c>
      <c r="Z99" s="485">
        <f t="shared" ca="1" si="14"/>
        <v>6.245239996522E-2</v>
      </c>
      <c r="AA99" s="489">
        <f t="shared" ca="1" si="11"/>
        <v>0</v>
      </c>
      <c r="AB99" s="484">
        <f ca="1">IF('CDO Bespoke'!O100&lt;&gt;"",'CDO Bespoke'!O100,"")</f>
        <v>6.245239996522E-2</v>
      </c>
      <c r="AC99" s="485">
        <f ca="1">IF(AB99&lt;&gt;"",ABS(MIN(-0.6*'CDO Bespoke'!K100+'CDO Bespoke'!T100*'CDO Bespoke'!K100,0)),"")</f>
        <v>0.12663725158240913</v>
      </c>
      <c r="AD99" s="485">
        <f t="shared" ca="1" si="12"/>
        <v>0</v>
      </c>
      <c r="AE99" s="489">
        <f t="shared" ca="1" si="13"/>
        <v>0</v>
      </c>
      <c r="AF99" s="272"/>
      <c r="AG99" s="494" t="str">
        <f ca="1">IF('CDO Bespoke'!C124&lt;&gt;"",'CDO Bespoke'!C124,"")</f>
        <v>SES</v>
      </c>
      <c r="AH99" s="496">
        <f ca="1"/>
        <v>-2.6679214698566156E-3</v>
      </c>
      <c r="AI99" s="584">
        <f ca="1"/>
        <v>-1.0046023480037025E-2</v>
      </c>
      <c r="AJ99" s="584">
        <f ca="1"/>
        <v>-3.8877483949928404E-2</v>
      </c>
      <c r="AK99" s="584">
        <f ca="1"/>
        <v>1.1710920819402171</v>
      </c>
      <c r="AL99" s="497">
        <f ca="1"/>
        <v>0</v>
      </c>
      <c r="AM99" s="619">
        <f ca="1"/>
        <v>0</v>
      </c>
      <c r="AN99" s="496">
        <f ca="1"/>
        <v>-5.4923210600181516E-4</v>
      </c>
      <c r="AO99" s="584">
        <f ca="1"/>
        <v>-2.5344468300003004E-3</v>
      </c>
      <c r="AP99" s="584">
        <f ca="1"/>
        <v>-1.3151814065000614E-2</v>
      </c>
      <c r="AQ99" s="584">
        <f ca="1"/>
        <v>1.1366257576670042</v>
      </c>
      <c r="AR99" s="497">
        <f ca="1"/>
        <v>0</v>
      </c>
      <c r="AS99" s="619">
        <f ca="1"/>
        <v>0</v>
      </c>
      <c r="AT99" s="496">
        <f ca="1"/>
        <v>2.7865226762804729E-2</v>
      </c>
      <c r="AU99" s="497">
        <f ca="1"/>
        <v>-4.3434717943193757E-2</v>
      </c>
      <c r="AV99" s="619">
        <f ca="1"/>
        <v>0</v>
      </c>
      <c r="AW99" s="496">
        <f ca="1"/>
        <v>-6.2950885062762474E-2</v>
      </c>
      <c r="AX99" s="497">
        <f ca="1"/>
        <v>5.4847006368580177E-2</v>
      </c>
      <c r="AY99" s="619">
        <f ca="1"/>
        <v>0</v>
      </c>
    </row>
    <row r="100" spans="2:51">
      <c r="B100" s="539" t="s">
        <v>522</v>
      </c>
      <c r="C100" s="540" t="s">
        <v>66</v>
      </c>
      <c r="D100" s="540" t="s">
        <v>55</v>
      </c>
      <c r="E100" s="540" t="s">
        <v>648</v>
      </c>
      <c r="F100" s="540" t="s">
        <v>647</v>
      </c>
      <c r="G100" s="541">
        <v>0.01</v>
      </c>
      <c r="H100" s="541">
        <v>3.4320000000000002E-3</v>
      </c>
      <c r="I100" s="542">
        <v>0.4</v>
      </c>
      <c r="J100" s="601">
        <v>4</v>
      </c>
      <c r="K100" s="543">
        <v>26</v>
      </c>
      <c r="L100" s="272"/>
      <c r="M100" s="272"/>
      <c r="P100" s="273"/>
      <c r="Q100" s="273"/>
      <c r="R100" s="273"/>
      <c r="S100" s="273"/>
      <c r="T100" s="576">
        <f ca="1"/>
        <v>0.06</v>
      </c>
      <c r="U100" s="573">
        <f ca="1"/>
        <v>92</v>
      </c>
      <c r="V100" s="576">
        <f t="shared" ca="1" si="9"/>
        <v>0</v>
      </c>
      <c r="W100" s="576">
        <f t="shared" ca="1" si="10"/>
        <v>0</v>
      </c>
      <c r="X100" s="484">
        <f ca="1">IF('CDO Bespoke'!O101&lt;&gt;"",'CDO Bespoke'!O101,"")</f>
        <v>9.9176774337910195E-2</v>
      </c>
      <c r="Y100" s="485">
        <f t="shared" ca="1" si="15"/>
        <v>0</v>
      </c>
      <c r="Z100" s="485">
        <f t="shared" ca="1" si="14"/>
        <v>9.9176774337910195E-2</v>
      </c>
      <c r="AA100" s="489">
        <f t="shared" ca="1" si="11"/>
        <v>0</v>
      </c>
      <c r="AB100" s="484">
        <f ca="1">IF('CDO Bespoke'!O101&lt;&gt;"",'CDO Bespoke'!O101,"")</f>
        <v>9.9176774337910195E-2</v>
      </c>
      <c r="AC100" s="485">
        <f ca="1">IF(AB100&lt;&gt;"",ABS(MIN(-0.6*'CDO Bespoke'!K101+'CDO Bespoke'!T101*'CDO Bespoke'!K101,0)),"")</f>
        <v>0.61389962599192527</v>
      </c>
      <c r="AD100" s="485">
        <f t="shared" ca="1" si="12"/>
        <v>0</v>
      </c>
      <c r="AE100" s="489">
        <f t="shared" ca="1" si="13"/>
        <v>0</v>
      </c>
      <c r="AF100" s="272"/>
      <c r="AG100" s="494" t="str">
        <f ca="1">IF('CDO Bespoke'!C125&lt;&gt;"",'CDO Bespoke'!C125,"")</f>
        <v>SKY LIMITED</v>
      </c>
      <c r="AH100" s="496">
        <f ca="1"/>
        <v>-1.273520100486536E-4</v>
      </c>
      <c r="AI100" s="584">
        <f ca="1"/>
        <v>-2.6702671990230797E-4</v>
      </c>
      <c r="AJ100" s="584">
        <f ca="1"/>
        <v>-4.2494709973084355E-5</v>
      </c>
      <c r="AK100" s="584">
        <f ca="1"/>
        <v>8.6800205190140645E-2</v>
      </c>
      <c r="AL100" s="497">
        <f ca="1"/>
        <v>0</v>
      </c>
      <c r="AM100" s="619">
        <f ca="1"/>
        <v>0</v>
      </c>
      <c r="AN100" s="496">
        <f ca="1"/>
        <v>6.303584317067859E-5</v>
      </c>
      <c r="AO100" s="584">
        <f ca="1"/>
        <v>3.0355279582051226E-4</v>
      </c>
      <c r="AP100" s="584">
        <f ca="1"/>
        <v>1.3726897534599956E-3</v>
      </c>
      <c r="AQ100" s="584">
        <f ca="1"/>
        <v>8.2343443251240531E-2</v>
      </c>
      <c r="AR100" s="497">
        <f ca="1"/>
        <v>0</v>
      </c>
      <c r="AS100" s="619">
        <f ca="1"/>
        <v>0</v>
      </c>
      <c r="AT100" s="496">
        <f ca="1"/>
        <v>-3.3233534716429175E-2</v>
      </c>
      <c r="AU100" s="497">
        <f ca="1"/>
        <v>-4.3012191753438456E-3</v>
      </c>
      <c r="AV100" s="619">
        <f ca="1"/>
        <v>0</v>
      </c>
      <c r="AW100" s="496">
        <f ca="1"/>
        <v>-0.13449469114939566</v>
      </c>
      <c r="AX100" s="497">
        <f ca="1"/>
        <v>3.9670471529950485E-3</v>
      </c>
      <c r="AY100" s="619">
        <f ca="1"/>
        <v>0</v>
      </c>
    </row>
    <row r="101" spans="2:51">
      <c r="B101" s="517" t="s">
        <v>522</v>
      </c>
      <c r="C101" s="518" t="s">
        <v>66</v>
      </c>
      <c r="D101" s="518" t="s">
        <v>57</v>
      </c>
      <c r="E101" s="518" t="s">
        <v>648</v>
      </c>
      <c r="F101" s="518" t="s">
        <v>647</v>
      </c>
      <c r="G101" s="525">
        <v>0.01</v>
      </c>
      <c r="H101" s="525">
        <v>5.6519999999999999E-3</v>
      </c>
      <c r="I101" s="527">
        <v>0.4</v>
      </c>
      <c r="J101" s="593">
        <v>4</v>
      </c>
      <c r="K101" s="519">
        <v>26</v>
      </c>
      <c r="L101" s="272"/>
      <c r="M101" s="272"/>
      <c r="P101" s="273"/>
      <c r="Q101" s="273"/>
      <c r="R101" s="273"/>
      <c r="S101" s="273"/>
      <c r="T101" s="576">
        <f ca="1"/>
        <v>0.06</v>
      </c>
      <c r="U101" s="573">
        <f ca="1"/>
        <v>93</v>
      </c>
      <c r="V101" s="576">
        <f t="shared" ca="1" si="9"/>
        <v>0</v>
      </c>
      <c r="W101" s="576">
        <f t="shared" ca="1" si="10"/>
        <v>0</v>
      </c>
      <c r="X101" s="484">
        <f ca="1">IF('CDO Bespoke'!O102&lt;&gt;"",'CDO Bespoke'!O102,"")</f>
        <v>9.1624661203689894E-2</v>
      </c>
      <c r="Y101" s="485">
        <f t="shared" ca="1" si="15"/>
        <v>0</v>
      </c>
      <c r="Z101" s="485">
        <f t="shared" ca="1" si="14"/>
        <v>9.1624661203689894E-2</v>
      </c>
      <c r="AA101" s="489">
        <f t="shared" ca="1" si="11"/>
        <v>0</v>
      </c>
      <c r="AB101" s="484">
        <f ca="1">IF('CDO Bespoke'!O102&lt;&gt;"",'CDO Bespoke'!O102,"")</f>
        <v>9.1624661203689894E-2</v>
      </c>
      <c r="AC101" s="485">
        <f ca="1">IF(AB101&lt;&gt;"",ABS(MIN(-0.6*'CDO Bespoke'!K102+'CDO Bespoke'!T102*'CDO Bespoke'!K102,0)),"")</f>
        <v>0.51414227867787488</v>
      </c>
      <c r="AD101" s="485">
        <f t="shared" ca="1" si="12"/>
        <v>0</v>
      </c>
      <c r="AE101" s="489">
        <f t="shared" ca="1" si="13"/>
        <v>0</v>
      </c>
      <c r="AF101" s="272"/>
      <c r="AG101" s="494" t="str">
        <f ca="1">IF('CDO Bespoke'!C126&lt;&gt;"",'CDO Bespoke'!C126,"")</f>
        <v>STMicroelectronics N.V.</v>
      </c>
      <c r="AH101" s="496">
        <f ca="1"/>
        <v>-1.6512645001354187E-4</v>
      </c>
      <c r="AI101" s="584">
        <f ca="1"/>
        <v>-1.0878792977564444E-4</v>
      </c>
      <c r="AJ101" s="584">
        <f ca="1"/>
        <v>7.8708137007943435E-4</v>
      </c>
      <c r="AK101" s="584">
        <f ca="1"/>
        <v>0.37392873008995631</v>
      </c>
      <c r="AL101" s="497">
        <f ca="1"/>
        <v>0</v>
      </c>
      <c r="AM101" s="619">
        <f ca="1"/>
        <v>0</v>
      </c>
      <c r="AN101" s="496">
        <f ca="1"/>
        <v>2.2994718240198359E-4</v>
      </c>
      <c r="AO101" s="584">
        <f ca="1"/>
        <v>1.1151039133999036E-3</v>
      </c>
      <c r="AP101" s="584">
        <f ca="1"/>
        <v>4.9584876903995684E-3</v>
      </c>
      <c r="AQ101" s="584">
        <f ca="1"/>
        <v>0.37348363850580285</v>
      </c>
      <c r="AR101" s="497">
        <f ca="1"/>
        <v>0</v>
      </c>
      <c r="AS101" s="619">
        <f ca="1"/>
        <v>0</v>
      </c>
      <c r="AT101" s="496">
        <f ca="1"/>
        <v>-1.9024238899776669E-2</v>
      </c>
      <c r="AU101" s="497">
        <f ca="1"/>
        <v>-1.833104217922335E-2</v>
      </c>
      <c r="AV101" s="619">
        <f ca="1"/>
        <v>0</v>
      </c>
      <c r="AW101" s="496">
        <f ca="1"/>
        <v>-8.6241560392211508E-2</v>
      </c>
      <c r="AX101" s="497">
        <f ca="1"/>
        <v>7.5777825957819124E-3</v>
      </c>
      <c r="AY101" s="619">
        <f ca="1"/>
        <v>0</v>
      </c>
    </row>
    <row r="102" spans="2:51">
      <c r="B102" s="534" t="s">
        <v>522</v>
      </c>
      <c r="C102" s="535" t="s">
        <v>66</v>
      </c>
      <c r="D102" s="535" t="s">
        <v>59</v>
      </c>
      <c r="E102" s="535" t="s">
        <v>648</v>
      </c>
      <c r="F102" s="535" t="s">
        <v>647</v>
      </c>
      <c r="G102" s="536">
        <v>0.01</v>
      </c>
      <c r="H102" s="536">
        <v>8.0560000000000007E-3</v>
      </c>
      <c r="I102" s="537">
        <v>0.4</v>
      </c>
      <c r="J102" s="594">
        <v>4</v>
      </c>
      <c r="K102" s="538">
        <v>26</v>
      </c>
      <c r="L102" s="272"/>
      <c r="M102" s="272"/>
      <c r="P102" s="273"/>
      <c r="Q102" s="273"/>
      <c r="R102" s="273"/>
      <c r="S102" s="273"/>
      <c r="T102" s="576">
        <f ca="1"/>
        <v>0.06</v>
      </c>
      <c r="U102" s="573">
        <f ca="1"/>
        <v>94</v>
      </c>
      <c r="V102" s="576">
        <f t="shared" ca="1" si="9"/>
        <v>0</v>
      </c>
      <c r="W102" s="576">
        <f t="shared" ca="1" si="10"/>
        <v>0</v>
      </c>
      <c r="X102" s="484">
        <f ca="1">IF('CDO Bespoke'!O103&lt;&gt;"",'CDO Bespoke'!O103,"")</f>
        <v>7.9135791306149894E-2</v>
      </c>
      <c r="Y102" s="485">
        <f t="shared" ca="1" si="15"/>
        <v>0</v>
      </c>
      <c r="Z102" s="485">
        <f t="shared" ca="1" si="14"/>
        <v>7.9135791306149894E-2</v>
      </c>
      <c r="AA102" s="489">
        <f t="shared" ca="1" si="11"/>
        <v>0</v>
      </c>
      <c r="AB102" s="484">
        <f ca="1">IF('CDO Bespoke'!O103&lt;&gt;"",'CDO Bespoke'!O103,"")</f>
        <v>7.9135791306149894E-2</v>
      </c>
      <c r="AC102" s="485">
        <f ca="1">IF(AB102&lt;&gt;"",ABS(MIN(-0.6*'CDO Bespoke'!K103+'CDO Bespoke'!T103*'CDO Bespoke'!K103,0)),"")</f>
        <v>0.33790163968615855</v>
      </c>
      <c r="AD102" s="485">
        <f t="shared" ca="1" si="12"/>
        <v>0</v>
      </c>
      <c r="AE102" s="489">
        <f t="shared" ca="1" si="13"/>
        <v>0</v>
      </c>
      <c r="AF102" s="272"/>
      <c r="AG102" s="494" t="str">
        <f ca="1">IF('CDO Bespoke'!C127&lt;&gt;"",'CDO Bespoke'!C127,"")</f>
        <v>TELEFONICA, S.A.</v>
      </c>
      <c r="AH102" s="496">
        <f ca="1"/>
        <v>-1.0633164299056475E-3</v>
      </c>
      <c r="AI102" s="584">
        <f ca="1"/>
        <v>-3.2161594898383328E-3</v>
      </c>
      <c r="AJ102" s="584">
        <f ca="1"/>
        <v>-1.0249088059910427E-2</v>
      </c>
      <c r="AK102" s="584">
        <f ca="1"/>
        <v>0.87360822348003797</v>
      </c>
      <c r="AL102" s="497">
        <f ca="1"/>
        <v>0</v>
      </c>
      <c r="AM102" s="619">
        <f ca="1"/>
        <v>0</v>
      </c>
      <c r="AN102" s="496">
        <f ca="1"/>
        <v>2.6007328740237923E-4</v>
      </c>
      <c r="AO102" s="584">
        <f ca="1"/>
        <v>1.3006712061992137E-3</v>
      </c>
      <c r="AP102" s="584">
        <f ca="1"/>
        <v>5.2158552324996568E-3</v>
      </c>
      <c r="AQ102" s="584">
        <f ca="1"/>
        <v>0.86555740231949829</v>
      </c>
      <c r="AR102" s="497">
        <f ca="1"/>
        <v>0</v>
      </c>
      <c r="AS102" s="619">
        <f ca="1"/>
        <v>0</v>
      </c>
      <c r="AT102" s="496">
        <f ca="1"/>
        <v>6.4769989305921705E-3</v>
      </c>
      <c r="AU102" s="497">
        <f ca="1"/>
        <v>-4.0256836576174182E-2</v>
      </c>
      <c r="AV102" s="619">
        <f ca="1"/>
        <v>0</v>
      </c>
      <c r="AW102" s="496">
        <f ca="1"/>
        <v>-7.3950002316695018E-2</v>
      </c>
      <c r="AX102" s="497">
        <f ca="1"/>
        <v>1.5835864714025507E-2</v>
      </c>
      <c r="AY102" s="619">
        <f ca="1"/>
        <v>0</v>
      </c>
    </row>
    <row r="103" spans="2:51">
      <c r="B103" s="539" t="s">
        <v>523</v>
      </c>
      <c r="C103" s="540" t="s">
        <v>66</v>
      </c>
      <c r="D103" s="540" t="s">
        <v>55</v>
      </c>
      <c r="E103" s="540" t="s">
        <v>650</v>
      </c>
      <c r="F103" s="540" t="s">
        <v>672</v>
      </c>
      <c r="G103" s="541">
        <v>0.01</v>
      </c>
      <c r="H103" s="541">
        <v>2.0699999999999998E-3</v>
      </c>
      <c r="I103" s="542">
        <v>0.4</v>
      </c>
      <c r="J103" s="601">
        <v>7</v>
      </c>
      <c r="K103" s="543">
        <v>27</v>
      </c>
      <c r="L103" s="272"/>
      <c r="M103" s="272"/>
      <c r="P103" s="273"/>
      <c r="Q103" s="273"/>
      <c r="R103" s="273"/>
      <c r="S103" s="273"/>
      <c r="T103" s="576">
        <f ca="1"/>
        <v>0.06</v>
      </c>
      <c r="U103" s="573">
        <f ca="1"/>
        <v>95</v>
      </c>
      <c r="V103" s="576">
        <f t="shared" ca="1" si="9"/>
        <v>0</v>
      </c>
      <c r="W103" s="576">
        <f t="shared" ca="1" si="10"/>
        <v>0</v>
      </c>
      <c r="X103" s="484">
        <f ca="1">IF('CDO Bespoke'!O104&lt;&gt;"",'CDO Bespoke'!O104,"")</f>
        <v>9.4863915215309902E-2</v>
      </c>
      <c r="Y103" s="485">
        <f t="shared" ca="1" si="15"/>
        <v>0</v>
      </c>
      <c r="Z103" s="485">
        <f t="shared" ca="1" si="14"/>
        <v>9.4863915215309902E-2</v>
      </c>
      <c r="AA103" s="489">
        <f t="shared" ca="1" si="11"/>
        <v>0</v>
      </c>
      <c r="AB103" s="484">
        <f ca="1">IF('CDO Bespoke'!O104&lt;&gt;"",'CDO Bespoke'!O104,"")</f>
        <v>9.4863915215309902E-2</v>
      </c>
      <c r="AC103" s="485">
        <f ca="1">IF(AB103&lt;&gt;"",ABS(MIN(-0.6*'CDO Bespoke'!K104+'CDO Bespoke'!T104*'CDO Bespoke'!K104,0)),"")</f>
        <v>0.55870179688298638</v>
      </c>
      <c r="AD103" s="485">
        <f t="shared" ca="1" si="12"/>
        <v>0</v>
      </c>
      <c r="AE103" s="489">
        <f t="shared" ca="1" si="13"/>
        <v>0</v>
      </c>
      <c r="AF103" s="272"/>
      <c r="AG103" s="494" t="str">
        <f ca="1">IF('CDO Bespoke'!C128&lt;&gt;"",'CDO Bespoke'!C128,"")</f>
        <v>Telekom Austria Aktiengesellschaft</v>
      </c>
      <c r="AH103" s="496">
        <f ca="1"/>
        <v>-1.2502993002039275E-4</v>
      </c>
      <c r="AI103" s="584">
        <f ca="1"/>
        <v>-1.376472200109724E-4</v>
      </c>
      <c r="AJ103" s="584">
        <f ca="1"/>
        <v>5.1958900015858234E-4</v>
      </c>
      <c r="AK103" s="584">
        <f ca="1"/>
        <v>0.24252361132015565</v>
      </c>
      <c r="AL103" s="497">
        <f ca="1"/>
        <v>0</v>
      </c>
      <c r="AM103" s="619">
        <f ca="1"/>
        <v>0</v>
      </c>
      <c r="AN103" s="496">
        <f ca="1"/>
        <v>1.6390622350039366E-4</v>
      </c>
      <c r="AO103" s="584">
        <f ca="1"/>
        <v>7.92033068900376E-4</v>
      </c>
      <c r="AP103" s="584">
        <f ca="1"/>
        <v>3.5509573667992858E-3</v>
      </c>
      <c r="AQ103" s="584">
        <f ca="1"/>
        <v>0.24003248714070044</v>
      </c>
      <c r="AR103" s="497">
        <f ca="1"/>
        <v>0</v>
      </c>
      <c r="AS103" s="619">
        <f ca="1"/>
        <v>0</v>
      </c>
      <c r="AT103" s="496">
        <f ca="1"/>
        <v>-2.5592693247544873E-2</v>
      </c>
      <c r="AU103" s="497">
        <f ca="1"/>
        <v>-1.1976769565826162E-2</v>
      </c>
      <c r="AV103" s="619">
        <f ca="1"/>
        <v>0</v>
      </c>
      <c r="AW103" s="496">
        <f ca="1"/>
        <v>-8.9498943572873496E-2</v>
      </c>
      <c r="AX103" s="497">
        <f ca="1"/>
        <v>6.403516909872389E-3</v>
      </c>
      <c r="AY103" s="619">
        <f ca="1"/>
        <v>0</v>
      </c>
    </row>
    <row r="104" spans="2:51">
      <c r="B104" s="517" t="s">
        <v>523</v>
      </c>
      <c r="C104" s="518" t="s">
        <v>66</v>
      </c>
      <c r="D104" s="518" t="s">
        <v>57</v>
      </c>
      <c r="E104" s="518" t="s">
        <v>650</v>
      </c>
      <c r="F104" s="518" t="s">
        <v>672</v>
      </c>
      <c r="G104" s="525">
        <v>0.01</v>
      </c>
      <c r="H104" s="525">
        <v>3.297E-3</v>
      </c>
      <c r="I104" s="527">
        <v>0.4</v>
      </c>
      <c r="J104" s="593">
        <v>7</v>
      </c>
      <c r="K104" s="519">
        <v>27</v>
      </c>
      <c r="L104" s="272"/>
      <c r="M104" s="272"/>
      <c r="P104" s="273"/>
      <c r="Q104" s="273"/>
      <c r="R104" s="273"/>
      <c r="S104" s="273"/>
      <c r="T104" s="576">
        <f ca="1"/>
        <v>0.15</v>
      </c>
      <c r="U104" s="573">
        <f ca="1"/>
        <v>96</v>
      </c>
      <c r="V104" s="576">
        <f t="shared" ca="1" si="9"/>
        <v>0</v>
      </c>
      <c r="W104" s="576">
        <f t="shared" ca="1" si="10"/>
        <v>0</v>
      </c>
      <c r="X104" s="484">
        <f ca="1">IF('CDO Bespoke'!O105&lt;&gt;"",'CDO Bespoke'!O105,"")</f>
        <v>9.37473041730401E-2</v>
      </c>
      <c r="Y104" s="485">
        <f t="shared" ca="1" si="15"/>
        <v>0</v>
      </c>
      <c r="Z104" s="485">
        <f t="shared" ca="1" si="14"/>
        <v>9.37473041730401E-2</v>
      </c>
      <c r="AA104" s="489">
        <f t="shared" ca="1" si="11"/>
        <v>0</v>
      </c>
      <c r="AB104" s="484">
        <f ca="1">IF('CDO Bespoke'!O105&lt;&gt;"",'CDO Bespoke'!O105,"")</f>
        <v>9.37473041730401E-2</v>
      </c>
      <c r="AC104" s="485">
        <f ca="1">IF(AB104&lt;&gt;"",ABS(MIN(-0.6*'CDO Bespoke'!K105+'CDO Bespoke'!T105*'CDO Bespoke'!K105,0)),"")</f>
        <v>0.54334831571067899</v>
      </c>
      <c r="AD104" s="485">
        <f t="shared" ca="1" si="12"/>
        <v>0</v>
      </c>
      <c r="AE104" s="489">
        <f t="shared" ca="1" si="13"/>
        <v>0</v>
      </c>
      <c r="AF104" s="272"/>
      <c r="AG104" s="494" t="str">
        <f ca="1">IF('CDO Bespoke'!C129&lt;&gt;"",'CDO Bespoke'!C129,"")</f>
        <v>TELENOR ASA</v>
      </c>
      <c r="AH104" s="496">
        <f ca="1"/>
        <v>-9.9971699807355208E-5</v>
      </c>
      <c r="AI104" s="584">
        <f ca="1"/>
        <v>3.8838850191513785E-5</v>
      </c>
      <c r="AJ104" s="584">
        <f ca="1"/>
        <v>1.1658577001028014E-3</v>
      </c>
      <c r="AK104" s="584">
        <f ca="1"/>
        <v>0.28655621999995606</v>
      </c>
      <c r="AL104" s="497">
        <f ca="1"/>
        <v>0</v>
      </c>
      <c r="AM104" s="619">
        <f ca="1"/>
        <v>0</v>
      </c>
      <c r="AN104" s="496">
        <f ca="1"/>
        <v>1.884406562995683E-4</v>
      </c>
      <c r="AO104" s="584">
        <f ca="1"/>
        <v>9.1172581969788807E-4</v>
      </c>
      <c r="AP104" s="584">
        <f ca="1"/>
        <v>4.0782384427969984E-3</v>
      </c>
      <c r="AQ104" s="584">
        <f ca="1"/>
        <v>0.28550826353659775</v>
      </c>
      <c r="AR104" s="497">
        <f ca="1"/>
        <v>0</v>
      </c>
      <c r="AS104" s="619">
        <f ca="1"/>
        <v>0</v>
      </c>
      <c r="AT104" s="496">
        <f ca="1"/>
        <v>-2.3362850867608864E-2</v>
      </c>
      <c r="AU104" s="497">
        <f ca="1"/>
        <v>-1.415499300893816E-2</v>
      </c>
      <c r="AV104" s="619">
        <f ca="1"/>
        <v>0</v>
      </c>
      <c r="AW104" s="496">
        <f ca="1"/>
        <v>-8.8376412866692955E-2</v>
      </c>
      <c r="AX104" s="497">
        <f ca="1"/>
        <v>6.7948615066695589E-3</v>
      </c>
      <c r="AY104" s="619">
        <f ca="1"/>
        <v>0</v>
      </c>
    </row>
    <row r="105" spans="2:51">
      <c r="B105" s="534" t="s">
        <v>523</v>
      </c>
      <c r="C105" s="535" t="s">
        <v>66</v>
      </c>
      <c r="D105" s="535" t="s">
        <v>59</v>
      </c>
      <c r="E105" s="535" t="s">
        <v>650</v>
      </c>
      <c r="F105" s="535" t="s">
        <v>672</v>
      </c>
      <c r="G105" s="536">
        <v>0.01</v>
      </c>
      <c r="H105" s="536">
        <v>4.411E-3</v>
      </c>
      <c r="I105" s="537">
        <v>0.4</v>
      </c>
      <c r="J105" s="594">
        <v>7</v>
      </c>
      <c r="K105" s="538">
        <v>27</v>
      </c>
      <c r="L105" s="272"/>
      <c r="M105" s="272"/>
      <c r="P105" s="273"/>
      <c r="Q105" s="273"/>
      <c r="R105" s="273"/>
      <c r="S105" s="273"/>
      <c r="T105" s="576">
        <f ca="1"/>
        <v>0.15</v>
      </c>
      <c r="U105" s="573">
        <f ca="1"/>
        <v>97</v>
      </c>
      <c r="V105" s="576">
        <f t="shared" ref="V105:V133" ca="1" si="16">AA110*T105</f>
        <v>0</v>
      </c>
      <c r="W105" s="576">
        <f t="shared" ref="W105:W133" ca="1" si="17">AE110*T105</f>
        <v>0</v>
      </c>
      <c r="X105" s="484">
        <f ca="1">IF('CDO Bespoke'!O106&lt;&gt;"",'CDO Bespoke'!O106,"")</f>
        <v>9.3307158825300301E-2</v>
      </c>
      <c r="Y105" s="485">
        <f t="shared" ca="1" si="15"/>
        <v>0</v>
      </c>
      <c r="Z105" s="485">
        <f t="shared" ca="1" si="14"/>
        <v>9.3307158825300301E-2</v>
      </c>
      <c r="AA105" s="489">
        <f t="shared" ca="1" si="11"/>
        <v>0</v>
      </c>
      <c r="AB105" s="484">
        <f ca="1">IF('CDO Bespoke'!O106&lt;&gt;"",'CDO Bespoke'!O106,"")</f>
        <v>9.3307158825300301E-2</v>
      </c>
      <c r="AC105" s="485">
        <f ca="1">IF(AB105&lt;&gt;"",ABS(MIN(-0.6*'CDO Bespoke'!K106+'CDO Bespoke'!T106*'CDO Bespoke'!K106,0)),"")</f>
        <v>0.53735416060154095</v>
      </c>
      <c r="AD105" s="485">
        <f t="shared" ca="1" si="12"/>
        <v>0</v>
      </c>
      <c r="AE105" s="489">
        <f t="shared" ca="1" si="13"/>
        <v>0</v>
      </c>
      <c r="AF105" s="272"/>
      <c r="AG105" s="494" t="str">
        <f ca="1">IF('CDO Bespoke'!C130&lt;&gt;"",'CDO Bespoke'!C130,"")</f>
        <v>Telia Company AB</v>
      </c>
      <c r="AH105" s="496">
        <f ca="1"/>
        <v>-1.1348581990811013E-4</v>
      </c>
      <c r="AI105" s="584">
        <f ca="1"/>
        <v>5.9485300019090914E-6</v>
      </c>
      <c r="AJ105" s="584">
        <f ca="1"/>
        <v>1.0798633301445371E-3</v>
      </c>
      <c r="AK105" s="584">
        <f ca="1"/>
        <v>0.30450132354004067</v>
      </c>
      <c r="AL105" s="497">
        <f ca="1"/>
        <v>0</v>
      </c>
      <c r="AM105" s="619">
        <f ca="1"/>
        <v>0</v>
      </c>
      <c r="AN105" s="496">
        <f ca="1"/>
        <v>1.9761736539704311E-4</v>
      </c>
      <c r="AO105" s="584">
        <f ca="1"/>
        <v>9.5654032719778848E-4</v>
      </c>
      <c r="AP105" s="584">
        <f ca="1"/>
        <v>4.2737200697980093E-3</v>
      </c>
      <c r="AQ105" s="584">
        <f ca="1"/>
        <v>0.30355473495859847</v>
      </c>
      <c r="AR105" s="497">
        <f ca="1"/>
        <v>0</v>
      </c>
      <c r="AS105" s="619">
        <f ca="1"/>
        <v>0</v>
      </c>
      <c r="AT105" s="496">
        <f ca="1"/>
        <v>-2.247662019720606E-2</v>
      </c>
      <c r="AU105" s="497">
        <f ca="1"/>
        <v>-1.5016044213304963E-2</v>
      </c>
      <c r="AV105" s="619">
        <f ca="1"/>
        <v>0</v>
      </c>
      <c r="AW105" s="496">
        <f ca="1"/>
        <v>-8.7939975760748579E-2</v>
      </c>
      <c r="AX105" s="497">
        <f ca="1"/>
        <v>6.951188832604073E-3</v>
      </c>
      <c r="AY105" s="619">
        <f ca="1"/>
        <v>0</v>
      </c>
    </row>
    <row r="106" spans="2:51">
      <c r="B106" s="539" t="s">
        <v>524</v>
      </c>
      <c r="C106" s="540" t="s">
        <v>66</v>
      </c>
      <c r="D106" s="540" t="s">
        <v>55</v>
      </c>
      <c r="E106" s="540" t="s">
        <v>650</v>
      </c>
      <c r="F106" s="540" t="s">
        <v>672</v>
      </c>
      <c r="G106" s="541">
        <v>0.01</v>
      </c>
      <c r="H106" s="541">
        <v>2.3649999999999999E-3</v>
      </c>
      <c r="I106" s="542">
        <v>0.4</v>
      </c>
      <c r="J106" s="601">
        <v>7</v>
      </c>
      <c r="K106" s="543">
        <v>28</v>
      </c>
      <c r="L106" s="272"/>
      <c r="M106" s="272"/>
      <c r="P106" s="273"/>
      <c r="Q106" s="273"/>
      <c r="R106" s="273"/>
      <c r="S106" s="273"/>
      <c r="T106" s="576">
        <f ca="1"/>
        <v>0.15</v>
      </c>
      <c r="U106" s="573">
        <f ca="1"/>
        <v>98</v>
      </c>
      <c r="V106" s="576">
        <f t="shared" ca="1" si="16"/>
        <v>0</v>
      </c>
      <c r="W106" s="576">
        <f t="shared" ca="1" si="17"/>
        <v>0</v>
      </c>
      <c r="X106" s="484">
        <f ca="1">IF('CDO Bespoke'!O107&lt;&gt;"",'CDO Bespoke'!O107,"")</f>
        <v>8.2587993002619903E-2</v>
      </c>
      <c r="Y106" s="485">
        <f t="shared" ca="1" si="15"/>
        <v>0</v>
      </c>
      <c r="Z106" s="485">
        <f t="shared" ca="1" si="14"/>
        <v>8.2587993002619903E-2</v>
      </c>
      <c r="AA106" s="489">
        <f t="shared" ca="1" si="11"/>
        <v>0</v>
      </c>
      <c r="AB106" s="484">
        <f ca="1">IF('CDO Bespoke'!O107&lt;&gt;"",'CDO Bespoke'!O107,"")</f>
        <v>8.2587993002619903E-2</v>
      </c>
      <c r="AC106" s="485">
        <f ca="1">IF(AB106&lt;&gt;"",ABS(MIN(-0.6*'CDO Bespoke'!K107+'CDO Bespoke'!T107*'CDO Bespoke'!K107,0)),"")</f>
        <v>0.38754481512665401</v>
      </c>
      <c r="AD106" s="485">
        <f t="shared" ca="1" si="12"/>
        <v>0</v>
      </c>
      <c r="AE106" s="489">
        <f t="shared" ca="1" si="13"/>
        <v>0</v>
      </c>
      <c r="AF106" s="272"/>
      <c r="AG106" s="494" t="str">
        <f ca="1">IF('CDO Bespoke'!C131&lt;&gt;"",'CDO Bespoke'!C131,"")</f>
        <v>Vivendi SE</v>
      </c>
      <c r="AH106" s="496">
        <f ca="1"/>
        <v>-8.0625394000000128E-4</v>
      </c>
      <c r="AI106" s="584">
        <f ca="1"/>
        <v>-2.3325053299938503E-3</v>
      </c>
      <c r="AJ106" s="584">
        <f ca="1"/>
        <v>-6.9376021200051596E-3</v>
      </c>
      <c r="AK106" s="584">
        <f ca="1"/>
        <v>0.74727088521020502</v>
      </c>
      <c r="AL106" s="497">
        <f ca="1"/>
        <v>0</v>
      </c>
      <c r="AM106" s="619">
        <f ca="1"/>
        <v>0</v>
      </c>
      <c r="AN106" s="496">
        <f ca="1"/>
        <v>2.9659169530071861E-4</v>
      </c>
      <c r="AO106" s="584">
        <f ca="1"/>
        <v>1.4616571821033514E-3</v>
      </c>
      <c r="AP106" s="584">
        <f ca="1"/>
        <v>6.1625142602035263E-3</v>
      </c>
      <c r="AQ106" s="584">
        <f ca="1"/>
        <v>0.74143794284270337</v>
      </c>
      <c r="AR106" s="497">
        <f ca="1"/>
        <v>0</v>
      </c>
      <c r="AS106" s="619">
        <f ca="1"/>
        <v>0</v>
      </c>
      <c r="AT106" s="496">
        <f ca="1"/>
        <v>-2.4339758792871202E-4</v>
      </c>
      <c r="AU106" s="497">
        <f ca="1"/>
        <v>-3.5075774275899307E-2</v>
      </c>
      <c r="AV106" s="619">
        <f ca="1"/>
        <v>0</v>
      </c>
      <c r="AW106" s="496">
        <f ca="1"/>
        <v>-0.11045589443746026</v>
      </c>
      <c r="AX106" s="497">
        <f ca="1"/>
        <v>5.1207599716547696E-3</v>
      </c>
      <c r="AY106" s="619">
        <f ca="1"/>
        <v>0</v>
      </c>
    </row>
    <row r="107" spans="2:51">
      <c r="B107" s="517" t="s">
        <v>524</v>
      </c>
      <c r="C107" s="518" t="s">
        <v>66</v>
      </c>
      <c r="D107" s="518" t="s">
        <v>57</v>
      </c>
      <c r="E107" s="518" t="s">
        <v>650</v>
      </c>
      <c r="F107" s="518" t="s">
        <v>672</v>
      </c>
      <c r="G107" s="525">
        <v>0.01</v>
      </c>
      <c r="H107" s="525">
        <v>3.4499999999999999E-3</v>
      </c>
      <c r="I107" s="527">
        <v>0.4</v>
      </c>
      <c r="J107" s="593">
        <v>7</v>
      </c>
      <c r="K107" s="519">
        <v>28</v>
      </c>
      <c r="L107" s="272"/>
      <c r="M107" s="272"/>
      <c r="P107" s="273"/>
      <c r="Q107" s="273"/>
      <c r="R107" s="273"/>
      <c r="S107" s="273"/>
      <c r="T107" s="576">
        <f ca="1"/>
        <v>0.15</v>
      </c>
      <c r="U107" s="573">
        <f ca="1"/>
        <v>99</v>
      </c>
      <c r="V107" s="576">
        <f t="shared" ca="1" si="16"/>
        <v>0</v>
      </c>
      <c r="W107" s="576">
        <f t="shared" ca="1" si="17"/>
        <v>0</v>
      </c>
      <c r="X107" s="484">
        <f ca="1">IF('CDO Bespoke'!O108&lt;&gt;"",'CDO Bespoke'!O108,"")</f>
        <v>7.9332301480460096E-2</v>
      </c>
      <c r="Y107" s="485">
        <f t="shared" ca="1" si="15"/>
        <v>0</v>
      </c>
      <c r="Z107" s="485">
        <f t="shared" ca="1" si="14"/>
        <v>7.9332301480460096E-2</v>
      </c>
      <c r="AA107" s="489">
        <f t="shared" ca="1" si="11"/>
        <v>0</v>
      </c>
      <c r="AB107" s="484">
        <f ca="1">IF('CDO Bespoke'!O108&lt;&gt;"",'CDO Bespoke'!O108,"")</f>
        <v>7.9332301480460096E-2</v>
      </c>
      <c r="AC107" s="485">
        <f ca="1">IF(AB107&lt;&gt;"",ABS(MIN(-0.6*'CDO Bespoke'!K108+'CDO Bespoke'!T108*'CDO Bespoke'!K108,0)),"")</f>
        <v>0.34091950682404459</v>
      </c>
      <c r="AD107" s="485">
        <f t="shared" ca="1" si="12"/>
        <v>0</v>
      </c>
      <c r="AE107" s="489">
        <f t="shared" ca="1" si="13"/>
        <v>0</v>
      </c>
      <c r="AF107" s="272"/>
      <c r="AG107" s="494" t="str">
        <f ca="1">IF('CDO Bespoke'!C132&lt;&gt;"",'CDO Bespoke'!C132,"")</f>
        <v>VODAFONE GROUP PUBLIC LIMITED COMPANY</v>
      </c>
      <c r="AH107" s="496">
        <f ca="1"/>
        <v>-1.0604886899190369E-3</v>
      </c>
      <c r="AI107" s="584">
        <f ca="1"/>
        <v>-3.2285359399808478E-3</v>
      </c>
      <c r="AJ107" s="584">
        <f ca="1"/>
        <v>-1.0307765170025629E-2</v>
      </c>
      <c r="AK107" s="584">
        <f ca="1"/>
        <v>0.86733848586012519</v>
      </c>
      <c r="AL107" s="497">
        <f ca="1"/>
        <v>0</v>
      </c>
      <c r="AM107" s="619">
        <f ca="1"/>
        <v>0</v>
      </c>
      <c r="AN107" s="496">
        <f ca="1"/>
        <v>2.6344548929944228E-4</v>
      </c>
      <c r="AO107" s="584">
        <f ca="1"/>
        <v>1.3158209048996089E-3</v>
      </c>
      <c r="AP107" s="584">
        <f ca="1"/>
        <v>5.2942308844967229E-3</v>
      </c>
      <c r="AQ107" s="584">
        <f ca="1"/>
        <v>0.85905459250589644</v>
      </c>
      <c r="AR107" s="497">
        <f ca="1"/>
        <v>0</v>
      </c>
      <c r="AS107" s="619">
        <f ca="1"/>
        <v>0</v>
      </c>
      <c r="AT107" s="496">
        <f ca="1"/>
        <v>6.1140267494989853E-3</v>
      </c>
      <c r="AU107" s="497">
        <f ca="1"/>
        <v>-3.9998430971770998E-2</v>
      </c>
      <c r="AV107" s="619">
        <f ca="1"/>
        <v>0</v>
      </c>
      <c r="AW107" s="496">
        <f ca="1"/>
        <v>-7.4147396201815166E-2</v>
      </c>
      <c r="AX107" s="497">
        <f ca="1"/>
        <v>1.5613784018085556E-2</v>
      </c>
      <c r="AY107" s="619">
        <f ca="1"/>
        <v>0</v>
      </c>
    </row>
    <row r="108" spans="2:51">
      <c r="B108" s="534" t="s">
        <v>524</v>
      </c>
      <c r="C108" s="535" t="s">
        <v>66</v>
      </c>
      <c r="D108" s="535" t="s">
        <v>59</v>
      </c>
      <c r="E108" s="535" t="s">
        <v>650</v>
      </c>
      <c r="F108" s="535" t="s">
        <v>672</v>
      </c>
      <c r="G108" s="536">
        <v>0.01</v>
      </c>
      <c r="H108" s="536">
        <v>4.6579999999999998E-3</v>
      </c>
      <c r="I108" s="537">
        <v>0.4</v>
      </c>
      <c r="J108" s="594">
        <v>7</v>
      </c>
      <c r="K108" s="538">
        <v>28</v>
      </c>
      <c r="L108" s="272"/>
      <c r="M108" s="272"/>
      <c r="P108" s="273"/>
      <c r="Q108" s="273"/>
      <c r="R108" s="273"/>
      <c r="S108" s="273"/>
      <c r="T108" s="576">
        <f ca="1"/>
        <v>0.15</v>
      </c>
      <c r="U108" s="573">
        <f ca="1"/>
        <v>100</v>
      </c>
      <c r="V108" s="576">
        <f t="shared" ca="1" si="16"/>
        <v>0</v>
      </c>
      <c r="W108" s="576">
        <f t="shared" ca="1" si="17"/>
        <v>0</v>
      </c>
      <c r="X108" s="484">
        <f ca="1">IF('CDO Bespoke'!O109&lt;&gt;"",'CDO Bespoke'!O109,"")</f>
        <v>7.9812038034920096E-2</v>
      </c>
      <c r="Y108" s="485">
        <f t="shared" ca="1" si="15"/>
        <v>0</v>
      </c>
      <c r="Z108" s="485">
        <f t="shared" ca="1" si="14"/>
        <v>7.9812038034920096E-2</v>
      </c>
      <c r="AA108" s="489">
        <f t="shared" ca="1" si="11"/>
        <v>0</v>
      </c>
      <c r="AB108" s="484">
        <f ca="1">IF('CDO Bespoke'!O109&lt;&gt;"",'CDO Bespoke'!O109,"")</f>
        <v>7.9812038034920096E-2</v>
      </c>
      <c r="AC108" s="485">
        <f ca="1">IF(AB108&lt;&gt;"",ABS(MIN(-0.6*'CDO Bespoke'!K109+'CDO Bespoke'!T109*'CDO Bespoke'!K109,0)),"")</f>
        <v>0.34825963862203646</v>
      </c>
      <c r="AD108" s="485">
        <f t="shared" ca="1" si="12"/>
        <v>0</v>
      </c>
      <c r="AE108" s="489">
        <f t="shared" ca="1" si="13"/>
        <v>0</v>
      </c>
      <c r="AF108" s="272"/>
      <c r="AG108" s="494" t="str">
        <f ca="1">IF('CDO Bespoke'!C133&lt;&gt;"",'CDO Bespoke'!C133,"")</f>
        <v>WPP 2005 LIMITED</v>
      </c>
      <c r="AH108" s="496">
        <f ca="1"/>
        <v>-9.8623733985059303E-4</v>
      </c>
      <c r="AI108" s="584">
        <f ca="1"/>
        <v>-2.9020787498112988E-3</v>
      </c>
      <c r="AJ108" s="584">
        <f ca="1"/>
        <v>-9.0297324398247447E-3</v>
      </c>
      <c r="AK108" s="584">
        <f ca="1"/>
        <v>0.84890421397004756</v>
      </c>
      <c r="AL108" s="497">
        <f ca="1"/>
        <v>0</v>
      </c>
      <c r="AM108" s="619">
        <f ca="1"/>
        <v>0</v>
      </c>
      <c r="AN108" s="496">
        <f ca="1"/>
        <v>2.6988986899945805E-4</v>
      </c>
      <c r="AO108" s="584">
        <f ca="1"/>
        <v>1.345282303198865E-3</v>
      </c>
      <c r="AP108" s="584">
        <f ca="1"/>
        <v>5.4714989778997455E-3</v>
      </c>
      <c r="AQ108" s="584">
        <f ca="1"/>
        <v>0.84209313049060219</v>
      </c>
      <c r="AR108" s="497">
        <f ca="1"/>
        <v>0</v>
      </c>
      <c r="AS108" s="619">
        <f ca="1"/>
        <v>0</v>
      </c>
      <c r="AT108" s="496">
        <f ca="1"/>
        <v>5.1866679003360339E-3</v>
      </c>
      <c r="AU108" s="497">
        <f ca="1"/>
        <v>-3.9301716723450064E-2</v>
      </c>
      <c r="AV108" s="619">
        <f ca="1"/>
        <v>0</v>
      </c>
      <c r="AW108" s="496">
        <f ca="1"/>
        <v>-0.10648011486160161</v>
      </c>
      <c r="AX108" s="497">
        <f ca="1"/>
        <v>6.6593087602260931E-3</v>
      </c>
      <c r="AY108" s="619">
        <f ca="1"/>
        <v>0</v>
      </c>
    </row>
    <row r="109" spans="2:51">
      <c r="B109" s="539" t="s">
        <v>538</v>
      </c>
      <c r="C109" s="540" t="s">
        <v>66</v>
      </c>
      <c r="D109" s="540" t="s">
        <v>55</v>
      </c>
      <c r="E109" s="540" t="s">
        <v>648</v>
      </c>
      <c r="F109" s="540" t="s">
        <v>647</v>
      </c>
      <c r="G109" s="541">
        <v>0.01</v>
      </c>
      <c r="H109" s="541">
        <v>2.9680000000000002E-3</v>
      </c>
      <c r="I109" s="542">
        <v>0.4</v>
      </c>
      <c r="J109" s="601">
        <v>4</v>
      </c>
      <c r="K109" s="543">
        <v>29</v>
      </c>
      <c r="L109" s="272"/>
      <c r="M109" s="272"/>
      <c r="P109" s="273"/>
      <c r="Q109" s="273"/>
      <c r="R109" s="273"/>
      <c r="S109" s="273"/>
      <c r="T109" s="576">
        <f ca="1"/>
        <v>0.15</v>
      </c>
      <c r="U109" s="573">
        <f ca="1"/>
        <v>101</v>
      </c>
      <c r="V109" s="576">
        <f t="shared" ca="1" si="16"/>
        <v>0</v>
      </c>
      <c r="W109" s="576">
        <f t="shared" ca="1" si="17"/>
        <v>0</v>
      </c>
      <c r="X109" s="484" t="str">
        <f ca="1">IF('CDO Bespoke'!O110&lt;&gt;"",'CDO Bespoke'!O110,"")</f>
        <v/>
      </c>
      <c r="Y109" s="485" t="str">
        <f t="shared" ca="1" si="15"/>
        <v/>
      </c>
      <c r="Z109" s="485">
        <f t="shared" ca="1" si="14"/>
        <v>0</v>
      </c>
      <c r="AA109" s="489">
        <f t="shared" ca="1" si="11"/>
        <v>0</v>
      </c>
      <c r="AB109" s="484" t="str">
        <f ca="1">IF('CDO Bespoke'!O110&lt;&gt;"",'CDO Bespoke'!O110,"")</f>
        <v/>
      </c>
      <c r="AC109" s="485" t="str">
        <f ca="1">IF(AB109&lt;&gt;"",ABS(MIN(-0.6*'CDO Bespoke'!K110+'CDO Bespoke'!T110*'CDO Bespoke'!K110,0)),"")</f>
        <v/>
      </c>
      <c r="AD109" s="485">
        <f t="shared" ca="1" si="12"/>
        <v>0</v>
      </c>
      <c r="AE109" s="489">
        <f t="shared" ca="1" si="13"/>
        <v>0</v>
      </c>
      <c r="AF109" s="272"/>
      <c r="AG109" s="494" t="str">
        <f ca="1">IF('CDO Bespoke'!C134&lt;&gt;"",'CDO Bespoke'!C134,"")</f>
        <v/>
      </c>
      <c r="AH109" s="496"/>
      <c r="AI109" s="584"/>
      <c r="AJ109" s="584"/>
      <c r="AK109" s="584"/>
      <c r="AL109" s="497"/>
      <c r="AM109" s="619"/>
      <c r="AN109" s="496"/>
      <c r="AO109" s="584"/>
      <c r="AP109" s="584"/>
      <c r="AQ109" s="584"/>
      <c r="AR109" s="497"/>
      <c r="AS109" s="619"/>
      <c r="AT109" s="496"/>
      <c r="AU109" s="497"/>
      <c r="AV109" s="619"/>
      <c r="AW109" s="496"/>
      <c r="AX109" s="497"/>
      <c r="AY109" s="619"/>
    </row>
    <row r="110" spans="2:51">
      <c r="B110" s="517" t="s">
        <v>538</v>
      </c>
      <c r="C110" s="518" t="s">
        <v>66</v>
      </c>
      <c r="D110" s="518" t="s">
        <v>57</v>
      </c>
      <c r="E110" s="518" t="s">
        <v>648</v>
      </c>
      <c r="F110" s="518" t="s">
        <v>647</v>
      </c>
      <c r="G110" s="525">
        <v>0.01</v>
      </c>
      <c r="H110" s="525">
        <v>4.8170000000000001E-3</v>
      </c>
      <c r="I110" s="527">
        <v>0.4</v>
      </c>
      <c r="J110" s="593">
        <v>4</v>
      </c>
      <c r="K110" s="519">
        <v>29</v>
      </c>
      <c r="L110" s="272"/>
      <c r="M110" s="272"/>
      <c r="P110" s="273"/>
      <c r="Q110" s="273"/>
      <c r="R110" s="273"/>
      <c r="S110" s="273"/>
      <c r="T110" s="576">
        <f ca="1"/>
        <v>0.15</v>
      </c>
      <c r="U110" s="573">
        <f ca="1"/>
        <v>102</v>
      </c>
      <c r="V110" s="576">
        <f t="shared" ca="1" si="16"/>
        <v>0</v>
      </c>
      <c r="W110" s="576">
        <f t="shared" ca="1" si="17"/>
        <v>0</v>
      </c>
      <c r="X110" s="484" t="str">
        <f ca="1">IF('CDO Bespoke'!O111&lt;&gt;"",'CDO Bespoke'!O111,"")</f>
        <v/>
      </c>
      <c r="Y110" s="485" t="str">
        <f t="shared" ca="1" si="15"/>
        <v/>
      </c>
      <c r="Z110" s="485">
        <f t="shared" ca="1" si="14"/>
        <v>0</v>
      </c>
      <c r="AA110" s="489">
        <f t="shared" ca="1" si="11"/>
        <v>0</v>
      </c>
      <c r="AB110" s="484" t="str">
        <f ca="1">IF('CDO Bespoke'!O111&lt;&gt;"",'CDO Bespoke'!O111,"")</f>
        <v/>
      </c>
      <c r="AC110" s="485" t="str">
        <f ca="1">IF(AB110&lt;&gt;"",ABS(MIN(-0.6*'CDO Bespoke'!K111+'CDO Bespoke'!T111*'CDO Bespoke'!K111,0)),"")</f>
        <v/>
      </c>
      <c r="AD110" s="485">
        <f t="shared" ca="1" si="12"/>
        <v>0</v>
      </c>
      <c r="AE110" s="489">
        <f t="shared" ca="1" si="13"/>
        <v>0</v>
      </c>
      <c r="AF110" s="272"/>
      <c r="AG110" s="494" t="str">
        <f ca="1">IF('CDO Bespoke'!C135&lt;&gt;"",'CDO Bespoke'!C135,"")</f>
        <v/>
      </c>
      <c r="AH110" s="496"/>
      <c r="AI110" s="584"/>
      <c r="AJ110" s="584"/>
      <c r="AK110" s="584"/>
      <c r="AL110" s="497"/>
      <c r="AM110" s="619"/>
      <c r="AN110" s="496"/>
      <c r="AO110" s="584"/>
      <c r="AP110" s="584"/>
      <c r="AQ110" s="584"/>
      <c r="AR110" s="497"/>
      <c r="AS110" s="619"/>
      <c r="AT110" s="628"/>
      <c r="AU110" s="629"/>
      <c r="AV110" s="619"/>
      <c r="AW110" s="628"/>
      <c r="AX110" s="629"/>
      <c r="AY110" s="619"/>
    </row>
    <row r="111" spans="2:51">
      <c r="B111" s="534" t="s">
        <v>538</v>
      </c>
      <c r="C111" s="535" t="s">
        <v>66</v>
      </c>
      <c r="D111" s="535" t="s">
        <v>59</v>
      </c>
      <c r="E111" s="535" t="s">
        <v>648</v>
      </c>
      <c r="F111" s="535" t="s">
        <v>647</v>
      </c>
      <c r="G111" s="536">
        <v>0.01</v>
      </c>
      <c r="H111" s="536">
        <v>7.1079999999999997E-3</v>
      </c>
      <c r="I111" s="537">
        <v>0.4</v>
      </c>
      <c r="J111" s="594">
        <v>4</v>
      </c>
      <c r="K111" s="538">
        <v>29</v>
      </c>
      <c r="L111" s="272"/>
      <c r="M111" s="272"/>
      <c r="P111" s="273"/>
      <c r="Q111" s="273"/>
      <c r="R111" s="273"/>
      <c r="S111" s="273"/>
      <c r="T111" s="576">
        <f ca="1"/>
        <v>0.15</v>
      </c>
      <c r="U111" s="573">
        <f ca="1"/>
        <v>103</v>
      </c>
      <c r="V111" s="576">
        <f t="shared" ca="1" si="16"/>
        <v>0</v>
      </c>
      <c r="W111" s="576">
        <f t="shared" ca="1" si="17"/>
        <v>0</v>
      </c>
      <c r="X111" s="484" t="str">
        <f ca="1">IF('CDO Bespoke'!O112&lt;&gt;"",'CDO Bespoke'!O112,"")</f>
        <v/>
      </c>
      <c r="Y111" s="485" t="str">
        <f t="shared" ca="1" si="15"/>
        <v/>
      </c>
      <c r="Z111" s="485">
        <f t="shared" ca="1" si="14"/>
        <v>0</v>
      </c>
      <c r="AA111" s="489">
        <f t="shared" ca="1" si="11"/>
        <v>0</v>
      </c>
      <c r="AB111" s="484" t="str">
        <f ca="1">IF('CDO Bespoke'!O112&lt;&gt;"",'CDO Bespoke'!O112,"")</f>
        <v/>
      </c>
      <c r="AC111" s="485" t="str">
        <f ca="1">IF(AB111&lt;&gt;"",ABS(MIN(-0.6*'CDO Bespoke'!K112+'CDO Bespoke'!T112*'CDO Bespoke'!K112,0)),"")</f>
        <v/>
      </c>
      <c r="AD111" s="485">
        <f t="shared" ca="1" si="12"/>
        <v>0</v>
      </c>
      <c r="AE111" s="489">
        <f t="shared" ca="1" si="13"/>
        <v>0</v>
      </c>
      <c r="AF111" s="272"/>
      <c r="AG111" s="494" t="str">
        <f ca="1">IF('CDO Bespoke'!C136&lt;&gt;"",'CDO Bespoke'!C136,"")</f>
        <v/>
      </c>
      <c r="AH111" s="496"/>
      <c r="AI111" s="584"/>
      <c r="AJ111" s="584"/>
      <c r="AK111" s="584"/>
      <c r="AL111" s="497"/>
      <c r="AM111" s="619"/>
      <c r="AN111" s="496"/>
      <c r="AO111" s="584"/>
      <c r="AP111" s="584"/>
      <c r="AQ111" s="584"/>
      <c r="AR111" s="497"/>
      <c r="AS111" s="619"/>
      <c r="AT111" s="506"/>
      <c r="AU111" s="630"/>
      <c r="AV111" s="619"/>
      <c r="AW111" s="506"/>
      <c r="AX111" s="582"/>
      <c r="AY111" s="619"/>
    </row>
    <row r="112" spans="2:51">
      <c r="B112" s="539" t="s">
        <v>539</v>
      </c>
      <c r="C112" s="540" t="s">
        <v>66</v>
      </c>
      <c r="D112" s="540" t="s">
        <v>55</v>
      </c>
      <c r="E112" s="540" t="s">
        <v>648</v>
      </c>
      <c r="F112" s="540" t="s">
        <v>673</v>
      </c>
      <c r="G112" s="541">
        <v>0.01</v>
      </c>
      <c r="H112" s="541">
        <v>5.1580000000000003E-3</v>
      </c>
      <c r="I112" s="542">
        <v>0.4</v>
      </c>
      <c r="J112" s="601">
        <v>4</v>
      </c>
      <c r="K112" s="543">
        <v>30</v>
      </c>
      <c r="L112" s="272"/>
      <c r="M112" s="272"/>
      <c r="P112" s="273"/>
      <c r="Q112" s="273"/>
      <c r="R112" s="273"/>
      <c r="S112" s="273"/>
      <c r="T112" s="576">
        <f ca="1"/>
        <v>0.15</v>
      </c>
      <c r="U112" s="573">
        <f ca="1"/>
        <v>104</v>
      </c>
      <c r="V112" s="576">
        <f t="shared" ca="1" si="16"/>
        <v>0</v>
      </c>
      <c r="W112" s="576">
        <f t="shared" ca="1" si="17"/>
        <v>0</v>
      </c>
      <c r="X112" s="484" t="str">
        <f ca="1">IF('CDO Bespoke'!O113&lt;&gt;"",'CDO Bespoke'!O113,"")</f>
        <v/>
      </c>
      <c r="Y112" s="485" t="str">
        <f t="shared" ca="1" si="15"/>
        <v/>
      </c>
      <c r="Z112" s="485">
        <f t="shared" ca="1" si="14"/>
        <v>0</v>
      </c>
      <c r="AA112" s="489">
        <f t="shared" ca="1" si="11"/>
        <v>0</v>
      </c>
      <c r="AB112" s="484" t="str">
        <f ca="1">IF('CDO Bespoke'!O113&lt;&gt;"",'CDO Bespoke'!O113,"")</f>
        <v/>
      </c>
      <c r="AC112" s="485" t="str">
        <f ca="1">IF(AB112&lt;&gt;"",ABS(MIN(-0.6*'CDO Bespoke'!K113+'CDO Bespoke'!T113*'CDO Bespoke'!K113,0)),"")</f>
        <v/>
      </c>
      <c r="AD112" s="485">
        <f t="shared" ca="1" si="12"/>
        <v>0</v>
      </c>
      <c r="AE112" s="489">
        <f t="shared" ca="1" si="13"/>
        <v>0</v>
      </c>
      <c r="AF112" s="272"/>
      <c r="AG112" s="494" t="str">
        <f ca="1">IF('CDO Bespoke'!C137&lt;&gt;"",'CDO Bespoke'!C137,"")</f>
        <v/>
      </c>
      <c r="AH112" s="496"/>
      <c r="AI112" s="584"/>
      <c r="AJ112" s="584"/>
      <c r="AK112" s="584"/>
      <c r="AL112" s="497"/>
      <c r="AM112" s="619"/>
      <c r="AN112" s="496"/>
      <c r="AO112" s="584"/>
      <c r="AP112" s="584"/>
      <c r="AQ112" s="584"/>
      <c r="AR112" s="497"/>
      <c r="AS112" s="619"/>
      <c r="AT112" s="506"/>
      <c r="AU112" s="630"/>
      <c r="AV112" s="619"/>
      <c r="AW112" s="506"/>
      <c r="AX112" s="582"/>
      <c r="AY112" s="619"/>
    </row>
    <row r="113" spans="2:51">
      <c r="B113" s="517" t="s">
        <v>539</v>
      </c>
      <c r="C113" s="518" t="s">
        <v>66</v>
      </c>
      <c r="D113" s="518" t="s">
        <v>57</v>
      </c>
      <c r="E113" s="518" t="s">
        <v>648</v>
      </c>
      <c r="F113" s="518" t="s">
        <v>673</v>
      </c>
      <c r="G113" s="525">
        <v>0.01</v>
      </c>
      <c r="H113" s="525">
        <v>8.1840000000000003E-3</v>
      </c>
      <c r="I113" s="527">
        <v>0.4</v>
      </c>
      <c r="J113" s="593">
        <v>4</v>
      </c>
      <c r="K113" s="519">
        <v>30</v>
      </c>
      <c r="L113" s="272"/>
      <c r="M113" s="272"/>
      <c r="P113" s="273"/>
      <c r="Q113" s="273"/>
      <c r="R113" s="273"/>
      <c r="S113" s="273"/>
      <c r="T113" s="576">
        <f ca="1"/>
        <v>0.15</v>
      </c>
      <c r="U113" s="573">
        <f ca="1"/>
        <v>105</v>
      </c>
      <c r="V113" s="576">
        <f t="shared" ca="1" si="16"/>
        <v>0</v>
      </c>
      <c r="W113" s="576">
        <f t="shared" ca="1" si="17"/>
        <v>0</v>
      </c>
      <c r="X113" s="484" t="str">
        <f ca="1">IF('CDO Bespoke'!O114&lt;&gt;"",'CDO Bespoke'!O114,"")</f>
        <v/>
      </c>
      <c r="Y113" s="485" t="str">
        <f t="shared" ca="1" si="15"/>
        <v/>
      </c>
      <c r="Z113" s="485">
        <f t="shared" ca="1" si="14"/>
        <v>0</v>
      </c>
      <c r="AA113" s="489">
        <f t="shared" ca="1" si="11"/>
        <v>0</v>
      </c>
      <c r="AB113" s="484" t="str">
        <f ca="1">IF('CDO Bespoke'!O114&lt;&gt;"",'CDO Bespoke'!O114,"")</f>
        <v/>
      </c>
      <c r="AC113" s="485" t="str">
        <f ca="1">IF(AB113&lt;&gt;"",ABS(MIN(-0.6*'CDO Bespoke'!K114+'CDO Bespoke'!T114*'CDO Bespoke'!K114,0)),"")</f>
        <v/>
      </c>
      <c r="AD113" s="485">
        <f t="shared" ca="1" si="12"/>
        <v>0</v>
      </c>
      <c r="AE113" s="489">
        <f t="shared" ca="1" si="13"/>
        <v>0</v>
      </c>
      <c r="AF113" s="272"/>
      <c r="AG113" s="494" t="str">
        <f ca="1">IF('CDO Bespoke'!C138&lt;&gt;"",'CDO Bespoke'!C138,"")</f>
        <v/>
      </c>
      <c r="AH113" s="496"/>
      <c r="AI113" s="584"/>
      <c r="AJ113" s="584"/>
      <c r="AK113" s="584"/>
      <c r="AL113" s="497"/>
      <c r="AM113" s="619"/>
      <c r="AN113" s="496"/>
      <c r="AO113" s="584"/>
      <c r="AP113" s="584"/>
      <c r="AQ113" s="584"/>
      <c r="AR113" s="497"/>
      <c r="AS113" s="619"/>
      <c r="AT113" s="506"/>
      <c r="AU113" s="630"/>
      <c r="AV113" s="619"/>
      <c r="AW113" s="506"/>
      <c r="AX113" s="582"/>
      <c r="AY113" s="619"/>
    </row>
    <row r="114" spans="2:51">
      <c r="B114" s="534" t="s">
        <v>539</v>
      </c>
      <c r="C114" s="535" t="s">
        <v>66</v>
      </c>
      <c r="D114" s="535" t="s">
        <v>59</v>
      </c>
      <c r="E114" s="535" t="s">
        <v>648</v>
      </c>
      <c r="F114" s="535" t="s">
        <v>673</v>
      </c>
      <c r="G114" s="536">
        <v>0.01</v>
      </c>
      <c r="H114" s="536">
        <v>1.0449999999999999E-2</v>
      </c>
      <c r="I114" s="537">
        <v>0.4</v>
      </c>
      <c r="J114" s="594">
        <v>4</v>
      </c>
      <c r="K114" s="538">
        <v>30</v>
      </c>
      <c r="L114" s="272"/>
      <c r="M114" s="272"/>
      <c r="P114" s="273"/>
      <c r="Q114" s="273"/>
      <c r="R114" s="273"/>
      <c r="S114" s="273"/>
      <c r="T114" s="576">
        <f ca="1"/>
        <v>0.15</v>
      </c>
      <c r="U114" s="573">
        <f ca="1"/>
        <v>106</v>
      </c>
      <c r="V114" s="576">
        <f t="shared" ca="1" si="16"/>
        <v>0</v>
      </c>
      <c r="W114" s="576">
        <f t="shared" ca="1" si="17"/>
        <v>0</v>
      </c>
      <c r="X114" s="484" t="str">
        <f ca="1">IF('CDO Bespoke'!O115&lt;&gt;"",'CDO Bespoke'!O115,"")</f>
        <v/>
      </c>
      <c r="Y114" s="485" t="str">
        <f t="shared" ca="1" si="15"/>
        <v/>
      </c>
      <c r="Z114" s="485">
        <f t="shared" ca="1" si="14"/>
        <v>0</v>
      </c>
      <c r="AA114" s="489">
        <f t="shared" ca="1" si="11"/>
        <v>0</v>
      </c>
      <c r="AB114" s="484" t="str">
        <f ca="1">IF('CDO Bespoke'!O115&lt;&gt;"",'CDO Bespoke'!O115,"")</f>
        <v/>
      </c>
      <c r="AC114" s="485" t="str">
        <f ca="1">IF(AB114&lt;&gt;"",ABS(MIN(-0.6*'CDO Bespoke'!K115+'CDO Bespoke'!T115*'CDO Bespoke'!K115,0)),"")</f>
        <v/>
      </c>
      <c r="AD114" s="485">
        <f t="shared" ca="1" si="12"/>
        <v>0</v>
      </c>
      <c r="AE114" s="489">
        <f t="shared" ca="1" si="13"/>
        <v>0</v>
      </c>
      <c r="AF114" s="272"/>
      <c r="AG114" s="494" t="str">
        <f ca="1">IF('CDO Bespoke'!C139&lt;&gt;"",'CDO Bespoke'!C139,"")</f>
        <v/>
      </c>
      <c r="AH114" s="496"/>
      <c r="AI114" s="584"/>
      <c r="AJ114" s="584"/>
      <c r="AK114" s="584"/>
      <c r="AL114" s="497"/>
      <c r="AM114" s="619"/>
      <c r="AN114" s="496"/>
      <c r="AO114" s="584"/>
      <c r="AP114" s="584"/>
      <c r="AQ114" s="584"/>
      <c r="AR114" s="497"/>
      <c r="AS114" s="619"/>
      <c r="AT114" s="506"/>
      <c r="AU114" s="630"/>
      <c r="AV114" s="619"/>
      <c r="AW114" s="506"/>
      <c r="AX114" s="582"/>
      <c r="AY114" s="619"/>
    </row>
    <row r="115" spans="2:51">
      <c r="B115" s="539" t="s">
        <v>540</v>
      </c>
      <c r="C115" s="540" t="s">
        <v>66</v>
      </c>
      <c r="D115" s="540" t="s">
        <v>55</v>
      </c>
      <c r="E115" s="540" t="s">
        <v>648</v>
      </c>
      <c r="F115" s="540" t="s">
        <v>671</v>
      </c>
      <c r="G115" s="541">
        <v>0.01</v>
      </c>
      <c r="H115" s="541">
        <v>5.8869999999999999E-3</v>
      </c>
      <c r="I115" s="542">
        <v>0.4</v>
      </c>
      <c r="J115" s="601">
        <v>5</v>
      </c>
      <c r="K115" s="543">
        <v>31</v>
      </c>
      <c r="L115" s="272"/>
      <c r="M115" s="272"/>
      <c r="P115" s="273"/>
      <c r="Q115" s="273"/>
      <c r="R115" s="273"/>
      <c r="S115" s="273"/>
      <c r="T115" s="576">
        <f ca="1"/>
        <v>0.15</v>
      </c>
      <c r="U115" s="573">
        <f ca="1"/>
        <v>107</v>
      </c>
      <c r="V115" s="576">
        <f t="shared" ca="1" si="16"/>
        <v>0</v>
      </c>
      <c r="W115" s="576">
        <f t="shared" ca="1" si="17"/>
        <v>0</v>
      </c>
      <c r="X115" s="484" t="str">
        <f ca="1">IF('CDO Bespoke'!O116&lt;&gt;"",'CDO Bespoke'!O116,"")</f>
        <v/>
      </c>
      <c r="Y115" s="485" t="str">
        <f t="shared" ca="1" si="15"/>
        <v/>
      </c>
      <c r="Z115" s="485">
        <f t="shared" ca="1" si="14"/>
        <v>0</v>
      </c>
      <c r="AA115" s="489">
        <f t="shared" ca="1" si="11"/>
        <v>0</v>
      </c>
      <c r="AB115" s="484" t="str">
        <f ca="1">IF('CDO Bespoke'!O116&lt;&gt;"",'CDO Bespoke'!O116,"")</f>
        <v/>
      </c>
      <c r="AC115" s="485" t="str">
        <f ca="1">IF(AB115&lt;&gt;"",ABS(MIN(-0.6*'CDO Bespoke'!K116+'CDO Bespoke'!T116*'CDO Bespoke'!K116,0)),"")</f>
        <v/>
      </c>
      <c r="AD115" s="485">
        <f t="shared" ca="1" si="12"/>
        <v>0</v>
      </c>
      <c r="AE115" s="489">
        <f t="shared" ca="1" si="13"/>
        <v>0</v>
      </c>
      <c r="AF115" s="272"/>
      <c r="AG115" s="494" t="str">
        <f ca="1">IF('CDO Bespoke'!C140&lt;&gt;"",'CDO Bespoke'!C140,"")</f>
        <v/>
      </c>
      <c r="AH115" s="496"/>
      <c r="AI115" s="584"/>
      <c r="AJ115" s="584"/>
      <c r="AK115" s="584"/>
      <c r="AL115" s="497"/>
      <c r="AM115" s="619"/>
      <c r="AN115" s="496"/>
      <c r="AO115" s="584"/>
      <c r="AP115" s="584"/>
      <c r="AQ115" s="584"/>
      <c r="AR115" s="497"/>
      <c r="AS115" s="619"/>
      <c r="AT115" s="506"/>
      <c r="AU115" s="630"/>
      <c r="AV115" s="619"/>
      <c r="AW115" s="506"/>
      <c r="AX115" s="582"/>
      <c r="AY115" s="619"/>
    </row>
    <row r="116" spans="2:51">
      <c r="B116" s="517" t="s">
        <v>540</v>
      </c>
      <c r="C116" s="518" t="s">
        <v>66</v>
      </c>
      <c r="D116" s="518" t="s">
        <v>57</v>
      </c>
      <c r="E116" s="518" t="s">
        <v>648</v>
      </c>
      <c r="F116" s="518" t="s">
        <v>671</v>
      </c>
      <c r="G116" s="525">
        <v>0.01</v>
      </c>
      <c r="H116" s="525">
        <v>1.0245000000000001E-2</v>
      </c>
      <c r="I116" s="527">
        <v>0.4</v>
      </c>
      <c r="J116" s="593">
        <v>5</v>
      </c>
      <c r="K116" s="519">
        <v>31</v>
      </c>
      <c r="L116" s="272"/>
      <c r="M116" s="272"/>
      <c r="P116" s="273"/>
      <c r="Q116" s="273"/>
      <c r="R116" s="273"/>
      <c r="S116" s="273"/>
      <c r="T116" s="576">
        <f ca="1"/>
        <v>0.15</v>
      </c>
      <c r="U116" s="573">
        <f ca="1"/>
        <v>108</v>
      </c>
      <c r="V116" s="576">
        <f t="shared" ca="1" si="16"/>
        <v>0</v>
      </c>
      <c r="W116" s="576">
        <f t="shared" ca="1" si="17"/>
        <v>0</v>
      </c>
      <c r="X116" s="484" t="str">
        <f ca="1">IF('CDO Bespoke'!O117&lt;&gt;"",'CDO Bespoke'!O117,"")</f>
        <v/>
      </c>
      <c r="Y116" s="485" t="str">
        <f t="shared" ca="1" si="15"/>
        <v/>
      </c>
      <c r="Z116" s="485">
        <f t="shared" ca="1" si="14"/>
        <v>0</v>
      </c>
      <c r="AA116" s="489">
        <f t="shared" ca="1" si="11"/>
        <v>0</v>
      </c>
      <c r="AB116" s="484" t="str">
        <f ca="1">IF('CDO Bespoke'!O117&lt;&gt;"",'CDO Bespoke'!O117,"")</f>
        <v/>
      </c>
      <c r="AC116" s="485" t="str">
        <f ca="1">IF(AB116&lt;&gt;"",ABS(MIN(-0.6*'CDO Bespoke'!K117+'CDO Bespoke'!T117*'CDO Bespoke'!K117,0)),"")</f>
        <v/>
      </c>
      <c r="AD116" s="485">
        <f t="shared" ca="1" si="12"/>
        <v>0</v>
      </c>
      <c r="AE116" s="489">
        <f t="shared" ca="1" si="13"/>
        <v>0</v>
      </c>
      <c r="AF116" s="272"/>
      <c r="AG116" s="494" t="str">
        <f ca="1">IF('CDO Bespoke'!C141&lt;&gt;"",'CDO Bespoke'!C141,"")</f>
        <v/>
      </c>
      <c r="AH116" s="496"/>
      <c r="AI116" s="584"/>
      <c r="AJ116" s="584"/>
      <c r="AK116" s="584"/>
      <c r="AL116" s="497"/>
      <c r="AM116" s="619"/>
      <c r="AN116" s="496"/>
      <c r="AO116" s="584"/>
      <c r="AP116" s="584"/>
      <c r="AQ116" s="584"/>
      <c r="AR116" s="497"/>
      <c r="AS116" s="619"/>
      <c r="AT116" s="506"/>
      <c r="AU116" s="630"/>
      <c r="AV116" s="619"/>
      <c r="AW116" s="506"/>
      <c r="AX116" s="582"/>
      <c r="AY116" s="619"/>
    </row>
    <row r="117" spans="2:51">
      <c r="B117" s="534" t="s">
        <v>540</v>
      </c>
      <c r="C117" s="535" t="s">
        <v>66</v>
      </c>
      <c r="D117" s="535" t="s">
        <v>59</v>
      </c>
      <c r="E117" s="535" t="s">
        <v>648</v>
      </c>
      <c r="F117" s="535" t="s">
        <v>671</v>
      </c>
      <c r="G117" s="536">
        <v>0.01</v>
      </c>
      <c r="H117" s="536">
        <v>1.4839E-2</v>
      </c>
      <c r="I117" s="537">
        <v>0.4</v>
      </c>
      <c r="J117" s="594">
        <v>5</v>
      </c>
      <c r="K117" s="538">
        <v>31</v>
      </c>
      <c r="L117" s="272"/>
      <c r="M117" s="272"/>
      <c r="P117" s="273"/>
      <c r="Q117" s="273"/>
      <c r="R117" s="273"/>
      <c r="S117" s="273"/>
      <c r="T117" s="576">
        <f ca="1"/>
        <v>0.15</v>
      </c>
      <c r="U117" s="573">
        <f ca="1"/>
        <v>109</v>
      </c>
      <c r="V117" s="576">
        <f t="shared" ca="1" si="16"/>
        <v>0</v>
      </c>
      <c r="W117" s="576">
        <f t="shared" ca="1" si="17"/>
        <v>0</v>
      </c>
      <c r="X117" s="484" t="str">
        <f ca="1">IF('CDO Bespoke'!O118&lt;&gt;"",'CDO Bespoke'!O118,"")</f>
        <v/>
      </c>
      <c r="Y117" s="485" t="str">
        <f t="shared" ca="1" si="15"/>
        <v/>
      </c>
      <c r="Z117" s="485">
        <f t="shared" ca="1" si="14"/>
        <v>0</v>
      </c>
      <c r="AA117" s="489">
        <f t="shared" ca="1" si="11"/>
        <v>0</v>
      </c>
      <c r="AB117" s="484" t="str">
        <f ca="1">IF('CDO Bespoke'!O118&lt;&gt;"",'CDO Bespoke'!O118,"")</f>
        <v/>
      </c>
      <c r="AC117" s="485" t="str">
        <f ca="1">IF(AB117&lt;&gt;"",ABS(MIN(-0.6*'CDO Bespoke'!K118+'CDO Bespoke'!T118*'CDO Bespoke'!K118,0)),"")</f>
        <v/>
      </c>
      <c r="AD117" s="485">
        <f t="shared" ca="1" si="12"/>
        <v>0</v>
      </c>
      <c r="AE117" s="489">
        <f t="shared" ca="1" si="13"/>
        <v>0</v>
      </c>
      <c r="AF117" s="272"/>
      <c r="AG117" s="494" t="str">
        <f ca="1">IF('CDO Bespoke'!C142&lt;&gt;"",'CDO Bespoke'!C142,"")</f>
        <v/>
      </c>
      <c r="AH117" s="496"/>
      <c r="AI117" s="584"/>
      <c r="AJ117" s="584"/>
      <c r="AK117" s="584"/>
      <c r="AL117" s="497"/>
      <c r="AM117" s="619"/>
      <c r="AN117" s="496"/>
      <c r="AO117" s="584"/>
      <c r="AP117" s="584"/>
      <c r="AQ117" s="584"/>
      <c r="AR117" s="497"/>
      <c r="AS117" s="619"/>
      <c r="AT117" s="506"/>
      <c r="AU117" s="630"/>
      <c r="AV117" s="619"/>
      <c r="AW117" s="506"/>
      <c r="AX117" s="582"/>
      <c r="AY117" s="619"/>
    </row>
    <row r="118" spans="2:51">
      <c r="B118" s="539" t="s">
        <v>525</v>
      </c>
      <c r="C118" s="540" t="s">
        <v>66</v>
      </c>
      <c r="D118" s="540" t="s">
        <v>55</v>
      </c>
      <c r="E118" s="540" t="s">
        <v>648</v>
      </c>
      <c r="F118" s="540" t="s">
        <v>673</v>
      </c>
      <c r="G118" s="541">
        <v>0.01</v>
      </c>
      <c r="H118" s="541">
        <v>4.9649999999999998E-3</v>
      </c>
      <c r="I118" s="542">
        <v>0.4</v>
      </c>
      <c r="J118" s="601">
        <v>4</v>
      </c>
      <c r="K118" s="543">
        <v>32</v>
      </c>
      <c r="L118" s="272"/>
      <c r="M118" s="272"/>
      <c r="P118" s="273"/>
      <c r="Q118" s="273"/>
      <c r="R118" s="273"/>
      <c r="S118" s="273"/>
      <c r="T118" s="576">
        <f ca="1"/>
        <v>0.15</v>
      </c>
      <c r="U118" s="573">
        <f ca="1"/>
        <v>110</v>
      </c>
      <c r="V118" s="576">
        <f t="shared" ca="1" si="16"/>
        <v>0</v>
      </c>
      <c r="W118" s="576">
        <f t="shared" ca="1" si="17"/>
        <v>0</v>
      </c>
      <c r="X118" s="484" t="str">
        <f ca="1">IF('CDO Bespoke'!O119&lt;&gt;"",'CDO Bespoke'!O119,"")</f>
        <v/>
      </c>
      <c r="Y118" s="485" t="str">
        <f t="shared" ca="1" si="15"/>
        <v/>
      </c>
      <c r="Z118" s="485">
        <f t="shared" ca="1" si="14"/>
        <v>0</v>
      </c>
      <c r="AA118" s="489">
        <f t="shared" ca="1" si="11"/>
        <v>0</v>
      </c>
      <c r="AB118" s="484" t="str">
        <f ca="1">IF('CDO Bespoke'!O119&lt;&gt;"",'CDO Bespoke'!O119,"")</f>
        <v/>
      </c>
      <c r="AC118" s="485" t="str">
        <f ca="1">IF(AB118&lt;&gt;"",ABS(MIN(-0.6*'CDO Bespoke'!K119+'CDO Bespoke'!T119*'CDO Bespoke'!K119,0)),"")</f>
        <v/>
      </c>
      <c r="AD118" s="485">
        <f t="shared" ca="1" si="12"/>
        <v>0</v>
      </c>
      <c r="AE118" s="489">
        <f t="shared" ca="1" si="13"/>
        <v>0</v>
      </c>
      <c r="AF118" s="272"/>
      <c r="AG118" s="494" t="str">
        <f ca="1">IF('CDO Bespoke'!C143&lt;&gt;"",'CDO Bespoke'!C143,"")</f>
        <v/>
      </c>
      <c r="AH118" s="496"/>
      <c r="AI118" s="584"/>
      <c r="AJ118" s="584"/>
      <c r="AK118" s="584"/>
      <c r="AL118" s="497"/>
      <c r="AM118" s="619"/>
      <c r="AN118" s="496"/>
      <c r="AO118" s="584"/>
      <c r="AP118" s="584"/>
      <c r="AQ118" s="584"/>
      <c r="AR118" s="497"/>
      <c r="AS118" s="619"/>
      <c r="AT118" s="506"/>
      <c r="AU118" s="630"/>
      <c r="AV118" s="619"/>
      <c r="AW118" s="506"/>
      <c r="AX118" s="582"/>
      <c r="AY118" s="619"/>
    </row>
    <row r="119" spans="2:51">
      <c r="B119" s="517" t="s">
        <v>525</v>
      </c>
      <c r="C119" s="518" t="s">
        <v>66</v>
      </c>
      <c r="D119" s="518" t="s">
        <v>57</v>
      </c>
      <c r="E119" s="518" t="s">
        <v>648</v>
      </c>
      <c r="F119" s="518" t="s">
        <v>673</v>
      </c>
      <c r="G119" s="525">
        <v>0.01</v>
      </c>
      <c r="H119" s="525">
        <v>8.1279999999999998E-3</v>
      </c>
      <c r="I119" s="527">
        <v>0.4</v>
      </c>
      <c r="J119" s="593">
        <v>4</v>
      </c>
      <c r="K119" s="519">
        <v>32</v>
      </c>
      <c r="L119" s="272"/>
      <c r="M119" s="272"/>
      <c r="P119" s="273"/>
      <c r="Q119" s="273"/>
      <c r="R119" s="273"/>
      <c r="S119" s="273"/>
      <c r="T119" s="576">
        <f ca="1"/>
        <v>0.15</v>
      </c>
      <c r="U119" s="573">
        <f ca="1"/>
        <v>111</v>
      </c>
      <c r="V119" s="576">
        <f t="shared" ca="1" si="16"/>
        <v>0</v>
      </c>
      <c r="W119" s="576">
        <f t="shared" ca="1" si="17"/>
        <v>0</v>
      </c>
      <c r="X119" s="484" t="str">
        <f ca="1">IF('CDO Bespoke'!O120&lt;&gt;"",'CDO Bespoke'!O120,"")</f>
        <v/>
      </c>
      <c r="Y119" s="485" t="str">
        <f t="shared" ca="1" si="15"/>
        <v/>
      </c>
      <c r="Z119" s="485">
        <f t="shared" ca="1" si="14"/>
        <v>0</v>
      </c>
      <c r="AA119" s="489">
        <f t="shared" ca="1" si="11"/>
        <v>0</v>
      </c>
      <c r="AB119" s="484" t="str">
        <f ca="1">IF('CDO Bespoke'!O120&lt;&gt;"",'CDO Bespoke'!O120,"")</f>
        <v/>
      </c>
      <c r="AC119" s="485" t="str">
        <f ca="1">IF(AB119&lt;&gt;"",ABS(MIN(-0.6*'CDO Bespoke'!K120+'CDO Bespoke'!T120*'CDO Bespoke'!K120,0)),"")</f>
        <v/>
      </c>
      <c r="AD119" s="485">
        <f t="shared" ca="1" si="12"/>
        <v>0</v>
      </c>
      <c r="AE119" s="489">
        <f t="shared" ca="1" si="13"/>
        <v>0</v>
      </c>
      <c r="AF119" s="272"/>
      <c r="AG119" s="494" t="str">
        <f ca="1">IF('CDO Bespoke'!C144&lt;&gt;"",'CDO Bespoke'!C144,"")</f>
        <v/>
      </c>
      <c r="AH119" s="496"/>
      <c r="AI119" s="584"/>
      <c r="AJ119" s="584"/>
      <c r="AK119" s="584"/>
      <c r="AL119" s="497"/>
      <c r="AM119" s="619"/>
      <c r="AN119" s="496"/>
      <c r="AO119" s="584"/>
      <c r="AP119" s="584"/>
      <c r="AQ119" s="584"/>
      <c r="AR119" s="497"/>
      <c r="AS119" s="619"/>
      <c r="AT119" s="506"/>
      <c r="AU119" s="630"/>
      <c r="AV119" s="619"/>
      <c r="AW119" s="506"/>
      <c r="AX119" s="582"/>
      <c r="AY119" s="619"/>
    </row>
    <row r="120" spans="2:51">
      <c r="B120" s="534" t="s">
        <v>525</v>
      </c>
      <c r="C120" s="535" t="s">
        <v>66</v>
      </c>
      <c r="D120" s="535" t="s">
        <v>59</v>
      </c>
      <c r="E120" s="535" t="s">
        <v>648</v>
      </c>
      <c r="F120" s="535" t="s">
        <v>673</v>
      </c>
      <c r="G120" s="536">
        <v>0.01</v>
      </c>
      <c r="H120" s="536">
        <v>1.1227000000000001E-2</v>
      </c>
      <c r="I120" s="537">
        <v>0.4</v>
      </c>
      <c r="J120" s="594">
        <v>4</v>
      </c>
      <c r="K120" s="538">
        <v>32</v>
      </c>
      <c r="L120" s="272"/>
      <c r="M120" s="272"/>
      <c r="P120" s="273"/>
      <c r="Q120" s="273"/>
      <c r="R120" s="273"/>
      <c r="S120" s="273"/>
      <c r="T120" s="576">
        <f ca="1"/>
        <v>0.15</v>
      </c>
      <c r="U120" s="573">
        <f ca="1"/>
        <v>112</v>
      </c>
      <c r="V120" s="576">
        <f t="shared" ca="1" si="16"/>
        <v>0</v>
      </c>
      <c r="W120" s="576">
        <f t="shared" ca="1" si="17"/>
        <v>0</v>
      </c>
      <c r="X120" s="484" t="str">
        <f ca="1">IF('CDO Bespoke'!O121&lt;&gt;"",'CDO Bespoke'!O121,"")</f>
        <v/>
      </c>
      <c r="Y120" s="485" t="str">
        <f t="shared" ca="1" si="15"/>
        <v/>
      </c>
      <c r="Z120" s="485">
        <f t="shared" ca="1" si="14"/>
        <v>0</v>
      </c>
      <c r="AA120" s="489">
        <f t="shared" ca="1" si="11"/>
        <v>0</v>
      </c>
      <c r="AB120" s="484" t="str">
        <f ca="1">IF('CDO Bespoke'!O121&lt;&gt;"",'CDO Bespoke'!O121,"")</f>
        <v/>
      </c>
      <c r="AC120" s="485" t="str">
        <f ca="1">IF(AB120&lt;&gt;"",ABS(MIN(-0.6*'CDO Bespoke'!K121+'CDO Bespoke'!T121*'CDO Bespoke'!K121,0)),"")</f>
        <v/>
      </c>
      <c r="AD120" s="485">
        <f t="shared" ca="1" si="12"/>
        <v>0</v>
      </c>
      <c r="AE120" s="489">
        <f t="shared" ca="1" si="13"/>
        <v>0</v>
      </c>
      <c r="AF120" s="272"/>
      <c r="AG120" s="494" t="str">
        <f ca="1">IF('CDO Bespoke'!C145&lt;&gt;"",'CDO Bespoke'!C145,"")</f>
        <v/>
      </c>
      <c r="AH120" s="496"/>
      <c r="AI120" s="584"/>
      <c r="AJ120" s="584"/>
      <c r="AK120" s="584"/>
      <c r="AL120" s="497"/>
      <c r="AM120" s="619"/>
      <c r="AN120" s="496"/>
      <c r="AO120" s="584"/>
      <c r="AP120" s="584"/>
      <c r="AQ120" s="584"/>
      <c r="AR120" s="497"/>
      <c r="AS120" s="619"/>
      <c r="AT120" s="506"/>
      <c r="AU120" s="630"/>
      <c r="AV120" s="619"/>
      <c r="AW120" s="506"/>
      <c r="AX120" s="582"/>
      <c r="AY120" s="619"/>
    </row>
    <row r="121" spans="2:51">
      <c r="B121" s="539" t="s">
        <v>526</v>
      </c>
      <c r="C121" s="540" t="s">
        <v>66</v>
      </c>
      <c r="D121" s="540" t="s">
        <v>55</v>
      </c>
      <c r="E121" s="540" t="s">
        <v>648</v>
      </c>
      <c r="F121" s="540" t="s">
        <v>674</v>
      </c>
      <c r="G121" s="541">
        <v>0.01</v>
      </c>
      <c r="H121" s="541">
        <v>6.7450000000000001E-3</v>
      </c>
      <c r="I121" s="542">
        <v>0.4</v>
      </c>
      <c r="J121" s="601">
        <v>3</v>
      </c>
      <c r="K121" s="543">
        <v>33</v>
      </c>
      <c r="L121" s="272"/>
      <c r="M121" s="272"/>
      <c r="P121" s="273"/>
      <c r="Q121" s="273"/>
      <c r="R121" s="273"/>
      <c r="S121" s="273"/>
      <c r="T121" s="576">
        <f ca="1"/>
        <v>0.15</v>
      </c>
      <c r="U121" s="573">
        <f ca="1"/>
        <v>113</v>
      </c>
      <c r="V121" s="576">
        <f t="shared" ca="1" si="16"/>
        <v>0</v>
      </c>
      <c r="W121" s="576">
        <f t="shared" ca="1" si="17"/>
        <v>0</v>
      </c>
      <c r="X121" s="484" t="str">
        <f ca="1">IF('CDO Bespoke'!O122&lt;&gt;"",'CDO Bespoke'!O122,"")</f>
        <v/>
      </c>
      <c r="Y121" s="485" t="str">
        <f t="shared" ca="1" si="15"/>
        <v/>
      </c>
      <c r="Z121" s="485">
        <f t="shared" ca="1" si="14"/>
        <v>0</v>
      </c>
      <c r="AA121" s="489">
        <f t="shared" ca="1" si="11"/>
        <v>0</v>
      </c>
      <c r="AB121" s="484" t="str">
        <f ca="1">IF('CDO Bespoke'!O122&lt;&gt;"",'CDO Bespoke'!O122,"")</f>
        <v/>
      </c>
      <c r="AC121" s="485" t="str">
        <f ca="1">IF(AB121&lt;&gt;"",ABS(MIN(-0.6*'CDO Bespoke'!K122+'CDO Bespoke'!T122*'CDO Bespoke'!K122,0)),"")</f>
        <v/>
      </c>
      <c r="AD121" s="485">
        <f t="shared" ca="1" si="12"/>
        <v>0</v>
      </c>
      <c r="AE121" s="489">
        <f t="shared" ca="1" si="13"/>
        <v>0</v>
      </c>
      <c r="AF121" s="272"/>
      <c r="AG121" s="494" t="str">
        <f ca="1">IF('CDO Bespoke'!C146&lt;&gt;"",'CDO Bespoke'!C146,"")</f>
        <v/>
      </c>
      <c r="AH121" s="496"/>
      <c r="AI121" s="584"/>
      <c r="AJ121" s="584"/>
      <c r="AK121" s="584"/>
      <c r="AL121" s="497"/>
      <c r="AM121" s="619"/>
      <c r="AN121" s="496"/>
      <c r="AO121" s="584"/>
      <c r="AP121" s="584"/>
      <c r="AQ121" s="584"/>
      <c r="AR121" s="497"/>
      <c r="AS121" s="619"/>
      <c r="AT121" s="506"/>
      <c r="AU121" s="630"/>
      <c r="AV121" s="619"/>
      <c r="AW121" s="506"/>
      <c r="AX121" s="582"/>
      <c r="AY121" s="619"/>
    </row>
    <row r="122" spans="2:51">
      <c r="B122" s="517" t="s">
        <v>526</v>
      </c>
      <c r="C122" s="518" t="s">
        <v>66</v>
      </c>
      <c r="D122" s="518" t="s">
        <v>57</v>
      </c>
      <c r="E122" s="518" t="s">
        <v>648</v>
      </c>
      <c r="F122" s="518" t="s">
        <v>674</v>
      </c>
      <c r="G122" s="525">
        <v>0.01</v>
      </c>
      <c r="H122" s="525">
        <v>1.1979999999999999E-2</v>
      </c>
      <c r="I122" s="527">
        <v>0.4</v>
      </c>
      <c r="J122" s="593">
        <v>3</v>
      </c>
      <c r="K122" s="519">
        <v>33</v>
      </c>
      <c r="L122" s="272"/>
      <c r="M122" s="272"/>
      <c r="P122" s="273"/>
      <c r="Q122" s="273"/>
      <c r="R122" s="273"/>
      <c r="S122" s="273"/>
      <c r="T122" s="576">
        <f ca="1"/>
        <v>0.15</v>
      </c>
      <c r="U122" s="573">
        <f ca="1"/>
        <v>114</v>
      </c>
      <c r="V122" s="576">
        <f t="shared" ca="1" si="16"/>
        <v>0</v>
      </c>
      <c r="W122" s="576">
        <f t="shared" ca="1" si="17"/>
        <v>0</v>
      </c>
      <c r="X122" s="484" t="str">
        <f ca="1">IF('CDO Bespoke'!O123&lt;&gt;"",'CDO Bespoke'!O123,"")</f>
        <v/>
      </c>
      <c r="Y122" s="485" t="str">
        <f t="shared" ca="1" si="15"/>
        <v/>
      </c>
      <c r="Z122" s="485">
        <f t="shared" ca="1" si="14"/>
        <v>0</v>
      </c>
      <c r="AA122" s="489">
        <f t="shared" ca="1" si="11"/>
        <v>0</v>
      </c>
      <c r="AB122" s="484" t="str">
        <f ca="1">IF('CDO Bespoke'!O123&lt;&gt;"",'CDO Bespoke'!O123,"")</f>
        <v/>
      </c>
      <c r="AC122" s="485" t="str">
        <f ca="1">IF(AB122&lt;&gt;"",ABS(MIN(-0.6*'CDO Bespoke'!K123+'CDO Bespoke'!T123*'CDO Bespoke'!K123,0)),"")</f>
        <v/>
      </c>
      <c r="AD122" s="485">
        <f t="shared" ca="1" si="12"/>
        <v>0</v>
      </c>
      <c r="AE122" s="489">
        <f t="shared" ca="1" si="13"/>
        <v>0</v>
      </c>
      <c r="AF122" s="272"/>
      <c r="AG122" s="494" t="str">
        <f ca="1">IF('CDO Bespoke'!C147&lt;&gt;"",'CDO Bespoke'!C147,"")</f>
        <v/>
      </c>
      <c r="AH122" s="496"/>
      <c r="AI122" s="584"/>
      <c r="AJ122" s="584"/>
      <c r="AK122" s="584"/>
      <c r="AL122" s="497"/>
      <c r="AM122" s="619"/>
      <c r="AN122" s="496"/>
      <c r="AO122" s="584"/>
      <c r="AP122" s="584"/>
      <c r="AQ122" s="584"/>
      <c r="AR122" s="497"/>
      <c r="AS122" s="619"/>
      <c r="AT122" s="506"/>
      <c r="AU122" s="630"/>
      <c r="AV122" s="619"/>
      <c r="AW122" s="506"/>
      <c r="AX122" s="582"/>
      <c r="AY122" s="619"/>
    </row>
    <row r="123" spans="2:51">
      <c r="B123" s="534" t="s">
        <v>526</v>
      </c>
      <c r="C123" s="535" t="s">
        <v>66</v>
      </c>
      <c r="D123" s="535" t="s">
        <v>59</v>
      </c>
      <c r="E123" s="535" t="s">
        <v>648</v>
      </c>
      <c r="F123" s="535" t="s">
        <v>674</v>
      </c>
      <c r="G123" s="536">
        <v>0.01</v>
      </c>
      <c r="H123" s="536">
        <v>1.6924999999999999E-2</v>
      </c>
      <c r="I123" s="537">
        <v>0.4</v>
      </c>
      <c r="J123" s="594">
        <v>3</v>
      </c>
      <c r="K123" s="538">
        <v>33</v>
      </c>
      <c r="L123" s="272"/>
      <c r="M123" s="272"/>
      <c r="P123" s="273"/>
      <c r="Q123" s="273"/>
      <c r="R123" s="273"/>
      <c r="S123" s="273"/>
      <c r="T123" s="576">
        <f ca="1"/>
        <v>0.15</v>
      </c>
      <c r="U123" s="573">
        <f ca="1"/>
        <v>115</v>
      </c>
      <c r="V123" s="576">
        <f t="shared" ca="1" si="16"/>
        <v>0</v>
      </c>
      <c r="W123" s="576">
        <f t="shared" ca="1" si="17"/>
        <v>0</v>
      </c>
      <c r="X123" s="484" t="str">
        <f ca="1">IF('CDO Bespoke'!O124&lt;&gt;"",'CDO Bespoke'!O124,"")</f>
        <v/>
      </c>
      <c r="Y123" s="485" t="str">
        <f t="shared" ca="1" si="15"/>
        <v/>
      </c>
      <c r="Z123" s="485">
        <f t="shared" ca="1" si="14"/>
        <v>0</v>
      </c>
      <c r="AA123" s="489">
        <f t="shared" ca="1" si="11"/>
        <v>0</v>
      </c>
      <c r="AB123" s="484" t="str">
        <f ca="1">IF('CDO Bespoke'!O124&lt;&gt;"",'CDO Bespoke'!O124,"")</f>
        <v/>
      </c>
      <c r="AC123" s="485" t="str">
        <f ca="1">IF(AB123&lt;&gt;"",ABS(MIN(-0.6*'CDO Bespoke'!K124+'CDO Bespoke'!T124*'CDO Bespoke'!K124,0)),"")</f>
        <v/>
      </c>
      <c r="AD123" s="485">
        <f t="shared" ca="1" si="12"/>
        <v>0</v>
      </c>
      <c r="AE123" s="489">
        <f t="shared" ca="1" si="13"/>
        <v>0</v>
      </c>
      <c r="AF123" s="272"/>
      <c r="AG123" s="494" t="str">
        <f ca="1">IF('CDO Bespoke'!C148&lt;&gt;"",'CDO Bespoke'!C148,"")</f>
        <v/>
      </c>
      <c r="AH123" s="496"/>
      <c r="AI123" s="584"/>
      <c r="AJ123" s="584"/>
      <c r="AK123" s="584"/>
      <c r="AL123" s="497"/>
      <c r="AM123" s="619"/>
      <c r="AN123" s="496"/>
      <c r="AO123" s="584"/>
      <c r="AP123" s="584"/>
      <c r="AQ123" s="584"/>
      <c r="AR123" s="497"/>
      <c r="AS123" s="619"/>
      <c r="AT123" s="506"/>
      <c r="AU123" s="630"/>
      <c r="AV123" s="619"/>
      <c r="AW123" s="506"/>
      <c r="AX123" s="582"/>
      <c r="AY123" s="619"/>
    </row>
    <row r="124" spans="2:51">
      <c r="B124" s="539" t="s">
        <v>527</v>
      </c>
      <c r="C124" s="540" t="s">
        <v>66</v>
      </c>
      <c r="D124" s="540" t="s">
        <v>55</v>
      </c>
      <c r="E124" s="540" t="s">
        <v>646</v>
      </c>
      <c r="F124" s="540" t="s">
        <v>647</v>
      </c>
      <c r="G124" s="541">
        <v>0.01</v>
      </c>
      <c r="H124" s="541">
        <v>1.9369999999999999E-3</v>
      </c>
      <c r="I124" s="542">
        <v>0.4</v>
      </c>
      <c r="J124" s="601">
        <v>4</v>
      </c>
      <c r="K124" s="543">
        <v>34</v>
      </c>
      <c r="L124" s="272"/>
      <c r="M124" s="272"/>
      <c r="P124" s="273"/>
      <c r="Q124" s="273"/>
      <c r="R124" s="273"/>
      <c r="S124" s="273"/>
      <c r="T124" s="576">
        <f ca="1"/>
        <v>0.15</v>
      </c>
      <c r="U124" s="573">
        <f ca="1"/>
        <v>116</v>
      </c>
      <c r="V124" s="576">
        <f t="shared" ca="1" si="16"/>
        <v>0</v>
      </c>
      <c r="W124" s="576">
        <f t="shared" ca="1" si="17"/>
        <v>0</v>
      </c>
      <c r="X124" s="484" t="str">
        <f ca="1">IF('CDO Bespoke'!O125&lt;&gt;"",'CDO Bespoke'!O125,"")</f>
        <v/>
      </c>
      <c r="Y124" s="485" t="str">
        <f t="shared" ca="1" si="15"/>
        <v/>
      </c>
      <c r="Z124" s="485">
        <f t="shared" ca="1" si="14"/>
        <v>0</v>
      </c>
      <c r="AA124" s="489">
        <f t="shared" ca="1" si="11"/>
        <v>0</v>
      </c>
      <c r="AB124" s="484" t="str">
        <f ca="1">IF('CDO Bespoke'!O125&lt;&gt;"",'CDO Bespoke'!O125,"")</f>
        <v/>
      </c>
      <c r="AC124" s="485" t="str">
        <f ca="1">IF(AB124&lt;&gt;"",ABS(MIN(-0.6*'CDO Bespoke'!K125+'CDO Bespoke'!T125*'CDO Bespoke'!K125,0)),"")</f>
        <v/>
      </c>
      <c r="AD124" s="485">
        <f t="shared" ca="1" si="12"/>
        <v>0</v>
      </c>
      <c r="AE124" s="489">
        <f t="shared" ca="1" si="13"/>
        <v>0</v>
      </c>
      <c r="AF124" s="272"/>
      <c r="AG124" s="494" t="str">
        <f ca="1">IF('CDO Bespoke'!C149&lt;&gt;"",'CDO Bespoke'!C149,"")</f>
        <v/>
      </c>
      <c r="AH124" s="496"/>
      <c r="AI124" s="584"/>
      <c r="AJ124" s="584"/>
      <c r="AK124" s="584"/>
      <c r="AL124" s="497"/>
      <c r="AM124" s="619"/>
      <c r="AN124" s="496"/>
      <c r="AO124" s="584"/>
      <c r="AP124" s="584"/>
      <c r="AQ124" s="584"/>
      <c r="AR124" s="497"/>
      <c r="AS124" s="619"/>
      <c r="AT124" s="506"/>
      <c r="AU124" s="630"/>
      <c r="AV124" s="619"/>
      <c r="AW124" s="506"/>
      <c r="AX124" s="582"/>
      <c r="AY124" s="619"/>
    </row>
    <row r="125" spans="2:51">
      <c r="B125" s="517" t="s">
        <v>527</v>
      </c>
      <c r="C125" s="518" t="s">
        <v>66</v>
      </c>
      <c r="D125" s="518" t="s">
        <v>57</v>
      </c>
      <c r="E125" s="518" t="s">
        <v>646</v>
      </c>
      <c r="F125" s="518" t="s">
        <v>647</v>
      </c>
      <c r="G125" s="525">
        <v>0.01</v>
      </c>
      <c r="H125" s="525">
        <v>3.101E-3</v>
      </c>
      <c r="I125" s="527">
        <v>0.4</v>
      </c>
      <c r="J125" s="593">
        <v>4</v>
      </c>
      <c r="K125" s="519">
        <v>34</v>
      </c>
      <c r="L125" s="272"/>
      <c r="M125" s="272"/>
      <c r="P125" s="273"/>
      <c r="Q125" s="273"/>
      <c r="R125" s="273"/>
      <c r="S125" s="273"/>
      <c r="T125" s="576">
        <f ca="1"/>
        <v>0.15</v>
      </c>
      <c r="U125" s="573">
        <f ca="1"/>
        <v>117</v>
      </c>
      <c r="V125" s="576">
        <f t="shared" ca="1" si="16"/>
        <v>0</v>
      </c>
      <c r="W125" s="576">
        <f t="shared" ca="1" si="17"/>
        <v>0</v>
      </c>
      <c r="X125" s="484" t="str">
        <f ca="1">IF('CDO Bespoke'!O126&lt;&gt;"",'CDO Bespoke'!O126,"")</f>
        <v/>
      </c>
      <c r="Y125" s="485" t="str">
        <f t="shared" ca="1" si="15"/>
        <v/>
      </c>
      <c r="Z125" s="485">
        <f t="shared" ca="1" si="14"/>
        <v>0</v>
      </c>
      <c r="AA125" s="489">
        <f t="shared" ca="1" si="11"/>
        <v>0</v>
      </c>
      <c r="AB125" s="484" t="str">
        <f ca="1">IF('CDO Bespoke'!O126&lt;&gt;"",'CDO Bespoke'!O126,"")</f>
        <v/>
      </c>
      <c r="AC125" s="485" t="str">
        <f ca="1">IF(AB125&lt;&gt;"",ABS(MIN(-0.6*'CDO Bespoke'!K126+'CDO Bespoke'!T126*'CDO Bespoke'!K126,0)),"")</f>
        <v/>
      </c>
      <c r="AD125" s="485">
        <f t="shared" ca="1" si="12"/>
        <v>0</v>
      </c>
      <c r="AE125" s="489">
        <f t="shared" ca="1" si="13"/>
        <v>0</v>
      </c>
      <c r="AF125" s="272"/>
      <c r="AG125" s="494" t="str">
        <f ca="1">IF('CDO Bespoke'!C150&lt;&gt;"",'CDO Bespoke'!C150,"")</f>
        <v/>
      </c>
      <c r="AH125" s="496"/>
      <c r="AI125" s="584"/>
      <c r="AJ125" s="584"/>
      <c r="AK125" s="584"/>
      <c r="AL125" s="497"/>
      <c r="AM125" s="619"/>
      <c r="AN125" s="496"/>
      <c r="AO125" s="584"/>
      <c r="AP125" s="584"/>
      <c r="AQ125" s="584"/>
      <c r="AR125" s="497"/>
      <c r="AS125" s="619"/>
      <c r="AT125" s="506"/>
      <c r="AU125" s="630"/>
      <c r="AV125" s="619"/>
      <c r="AW125" s="506"/>
      <c r="AX125" s="582"/>
      <c r="AY125" s="619"/>
    </row>
    <row r="126" spans="2:51">
      <c r="B126" s="534" t="s">
        <v>527</v>
      </c>
      <c r="C126" s="535" t="s">
        <v>66</v>
      </c>
      <c r="D126" s="535" t="s">
        <v>59</v>
      </c>
      <c r="E126" s="535" t="s">
        <v>646</v>
      </c>
      <c r="F126" s="535" t="s">
        <v>647</v>
      </c>
      <c r="G126" s="536">
        <v>0.01</v>
      </c>
      <c r="H126" s="536">
        <v>4.6010000000000001E-3</v>
      </c>
      <c r="I126" s="537">
        <v>0.4</v>
      </c>
      <c r="J126" s="594">
        <v>4</v>
      </c>
      <c r="K126" s="538">
        <v>34</v>
      </c>
      <c r="L126" s="272"/>
      <c r="M126" s="272"/>
      <c r="P126" s="273"/>
      <c r="Q126" s="273"/>
      <c r="R126" s="273"/>
      <c r="S126" s="273"/>
      <c r="T126" s="576">
        <f ca="1"/>
        <v>0.15</v>
      </c>
      <c r="U126" s="573">
        <f ca="1"/>
        <v>118</v>
      </c>
      <c r="V126" s="576">
        <f t="shared" ca="1" si="16"/>
        <v>0</v>
      </c>
      <c r="W126" s="576">
        <f t="shared" ca="1" si="17"/>
        <v>0</v>
      </c>
      <c r="X126" s="484" t="str">
        <f ca="1">IF('CDO Bespoke'!O127&lt;&gt;"",'CDO Bespoke'!O127,"")</f>
        <v/>
      </c>
      <c r="Y126" s="485" t="str">
        <f t="shared" ca="1" si="15"/>
        <v/>
      </c>
      <c r="Z126" s="485">
        <f t="shared" ca="1" si="14"/>
        <v>0</v>
      </c>
      <c r="AA126" s="489">
        <f t="shared" ca="1" si="11"/>
        <v>0</v>
      </c>
      <c r="AB126" s="484" t="str">
        <f ca="1">IF('CDO Bespoke'!O127&lt;&gt;"",'CDO Bespoke'!O127,"")</f>
        <v/>
      </c>
      <c r="AC126" s="485" t="str">
        <f ca="1">IF(AB126&lt;&gt;"",ABS(MIN(-0.6*'CDO Bespoke'!K127+'CDO Bespoke'!T127*'CDO Bespoke'!K127,0)),"")</f>
        <v/>
      </c>
      <c r="AD126" s="485">
        <f t="shared" ca="1" si="12"/>
        <v>0</v>
      </c>
      <c r="AE126" s="489">
        <f t="shared" ca="1" si="13"/>
        <v>0</v>
      </c>
      <c r="AF126" s="272"/>
      <c r="AG126" s="494" t="str">
        <f ca="1">IF('CDO Bespoke'!C151&lt;&gt;"",'CDO Bespoke'!C151,"")</f>
        <v/>
      </c>
      <c r="AH126" s="496"/>
      <c r="AI126" s="584"/>
      <c r="AJ126" s="584"/>
      <c r="AK126" s="584"/>
      <c r="AL126" s="497"/>
      <c r="AM126" s="619"/>
      <c r="AN126" s="496"/>
      <c r="AO126" s="584"/>
      <c r="AP126" s="584"/>
      <c r="AQ126" s="584"/>
      <c r="AR126" s="497"/>
      <c r="AS126" s="619"/>
      <c r="AT126" s="506"/>
      <c r="AU126" s="630"/>
      <c r="AV126" s="619"/>
      <c r="AW126" s="506"/>
      <c r="AX126" s="582"/>
      <c r="AY126" s="619"/>
    </row>
    <row r="127" spans="2:51">
      <c r="B127" s="539" t="s">
        <v>541</v>
      </c>
      <c r="C127" s="540" t="s">
        <v>66</v>
      </c>
      <c r="D127" s="540" t="s">
        <v>55</v>
      </c>
      <c r="E127" s="540" t="s">
        <v>646</v>
      </c>
      <c r="F127" s="540" t="s">
        <v>671</v>
      </c>
      <c r="G127" s="541">
        <v>0.01</v>
      </c>
      <c r="H127" s="541">
        <v>4.7990000000000003E-3</v>
      </c>
      <c r="I127" s="542">
        <v>0.4</v>
      </c>
      <c r="J127" s="601">
        <v>5</v>
      </c>
      <c r="K127" s="543">
        <v>35</v>
      </c>
      <c r="L127" s="272"/>
      <c r="M127" s="272"/>
      <c r="P127" s="273"/>
      <c r="Q127" s="273"/>
      <c r="R127" s="273"/>
      <c r="S127" s="273"/>
      <c r="T127" s="576">
        <f ca="1"/>
        <v>0.15</v>
      </c>
      <c r="U127" s="573">
        <f ca="1"/>
        <v>119</v>
      </c>
      <c r="V127" s="576">
        <f t="shared" ca="1" si="16"/>
        <v>0</v>
      </c>
      <c r="W127" s="576">
        <f t="shared" ca="1" si="17"/>
        <v>0</v>
      </c>
      <c r="X127" s="484" t="str">
        <f ca="1">IF('CDO Bespoke'!O128&lt;&gt;"",'CDO Bespoke'!O128,"")</f>
        <v/>
      </c>
      <c r="Y127" s="485" t="str">
        <f t="shared" ca="1" si="15"/>
        <v/>
      </c>
      <c r="Z127" s="485">
        <f t="shared" ca="1" si="14"/>
        <v>0</v>
      </c>
      <c r="AA127" s="489">
        <f t="shared" ca="1" si="11"/>
        <v>0</v>
      </c>
      <c r="AB127" s="484" t="str">
        <f ca="1">IF('CDO Bespoke'!O128&lt;&gt;"",'CDO Bespoke'!O128,"")</f>
        <v/>
      </c>
      <c r="AC127" s="485" t="str">
        <f ca="1">IF(AB127&lt;&gt;"",ABS(MIN(-0.6*'CDO Bespoke'!K128+'CDO Bespoke'!T128*'CDO Bespoke'!K128,0)),"")</f>
        <v/>
      </c>
      <c r="AD127" s="485">
        <f t="shared" ca="1" si="12"/>
        <v>0</v>
      </c>
      <c r="AE127" s="489">
        <f t="shared" ca="1" si="13"/>
        <v>0</v>
      </c>
      <c r="AF127" s="272"/>
      <c r="AG127" s="494" t="str">
        <f ca="1">IF('CDO Bespoke'!C152&lt;&gt;"",'CDO Bespoke'!C152,"")</f>
        <v/>
      </c>
      <c r="AH127" s="496"/>
      <c r="AI127" s="584"/>
      <c r="AJ127" s="584"/>
      <c r="AK127" s="584"/>
      <c r="AL127" s="497"/>
      <c r="AM127" s="619"/>
      <c r="AN127" s="496"/>
      <c r="AO127" s="584"/>
      <c r="AP127" s="584"/>
      <c r="AQ127" s="584"/>
      <c r="AR127" s="497"/>
      <c r="AS127" s="619"/>
      <c r="AT127" s="506"/>
      <c r="AU127" s="630"/>
      <c r="AV127" s="619"/>
      <c r="AW127" s="506"/>
      <c r="AX127" s="582"/>
      <c r="AY127" s="619"/>
    </row>
    <row r="128" spans="2:51">
      <c r="B128" s="517" t="s">
        <v>541</v>
      </c>
      <c r="C128" s="518" t="s">
        <v>66</v>
      </c>
      <c r="D128" s="518" t="s">
        <v>57</v>
      </c>
      <c r="E128" s="518" t="s">
        <v>646</v>
      </c>
      <c r="F128" s="518" t="s">
        <v>671</v>
      </c>
      <c r="G128" s="525">
        <v>0.01</v>
      </c>
      <c r="H128" s="525">
        <v>8.7480000000000006E-3</v>
      </c>
      <c r="I128" s="527">
        <v>0.4</v>
      </c>
      <c r="J128" s="593">
        <v>5</v>
      </c>
      <c r="K128" s="519">
        <v>35</v>
      </c>
      <c r="L128" s="272"/>
      <c r="M128" s="272"/>
      <c r="P128" s="273"/>
      <c r="Q128" s="273"/>
      <c r="R128" s="273"/>
      <c r="S128" s="273"/>
      <c r="T128" s="576">
        <f ca="1"/>
        <v>0.15</v>
      </c>
      <c r="U128" s="573">
        <f ca="1"/>
        <v>120</v>
      </c>
      <c r="V128" s="576">
        <f t="shared" ca="1" si="16"/>
        <v>0</v>
      </c>
      <c r="W128" s="576">
        <f t="shared" ca="1" si="17"/>
        <v>0</v>
      </c>
      <c r="X128" s="484" t="str">
        <f ca="1">IF('CDO Bespoke'!O129&lt;&gt;"",'CDO Bespoke'!O129,"")</f>
        <v/>
      </c>
      <c r="Y128" s="485" t="str">
        <f t="shared" ca="1" si="15"/>
        <v/>
      </c>
      <c r="Z128" s="485">
        <f t="shared" ca="1" si="14"/>
        <v>0</v>
      </c>
      <c r="AA128" s="489">
        <f t="shared" ca="1" si="11"/>
        <v>0</v>
      </c>
      <c r="AB128" s="484" t="str">
        <f ca="1">IF('CDO Bespoke'!O129&lt;&gt;"",'CDO Bespoke'!O129,"")</f>
        <v/>
      </c>
      <c r="AC128" s="485" t="str">
        <f ca="1">IF(AB128&lt;&gt;"",ABS(MIN(-0.6*'CDO Bespoke'!K129+'CDO Bespoke'!T129*'CDO Bespoke'!K129,0)),"")</f>
        <v/>
      </c>
      <c r="AD128" s="485">
        <f t="shared" ca="1" si="12"/>
        <v>0</v>
      </c>
      <c r="AE128" s="489">
        <f t="shared" ca="1" si="13"/>
        <v>0</v>
      </c>
      <c r="AF128" s="272"/>
      <c r="AG128" s="494" t="str">
        <f ca="1">IF('CDO Bespoke'!C153&lt;&gt;"",'CDO Bespoke'!C153,"")</f>
        <v/>
      </c>
      <c r="AH128" s="496"/>
      <c r="AI128" s="584"/>
      <c r="AJ128" s="584"/>
      <c r="AK128" s="584"/>
      <c r="AL128" s="497"/>
      <c r="AM128" s="619"/>
      <c r="AN128" s="496"/>
      <c r="AO128" s="584"/>
      <c r="AP128" s="584"/>
      <c r="AQ128" s="584"/>
      <c r="AR128" s="497"/>
      <c r="AS128" s="619"/>
      <c r="AT128" s="506"/>
      <c r="AU128" s="630"/>
      <c r="AV128" s="619"/>
      <c r="AW128" s="506"/>
      <c r="AX128" s="582"/>
      <c r="AY128" s="619"/>
    </row>
    <row r="129" spans="2:51">
      <c r="B129" s="534" t="s">
        <v>541</v>
      </c>
      <c r="C129" s="535" t="s">
        <v>66</v>
      </c>
      <c r="D129" s="535" t="s">
        <v>59</v>
      </c>
      <c r="E129" s="535" t="s">
        <v>646</v>
      </c>
      <c r="F129" s="535" t="s">
        <v>671</v>
      </c>
      <c r="G129" s="536">
        <v>0.01</v>
      </c>
      <c r="H129" s="536">
        <v>1.2120000000000001E-2</v>
      </c>
      <c r="I129" s="537">
        <v>0.4</v>
      </c>
      <c r="J129" s="594">
        <v>5</v>
      </c>
      <c r="K129" s="538">
        <v>35</v>
      </c>
      <c r="L129" s="272"/>
      <c r="M129" s="272"/>
      <c r="P129" s="273"/>
      <c r="Q129" s="273"/>
      <c r="R129" s="273"/>
      <c r="S129" s="273"/>
      <c r="T129" s="576">
        <f ca="1"/>
        <v>0.15</v>
      </c>
      <c r="U129" s="573">
        <f ca="1"/>
        <v>121</v>
      </c>
      <c r="V129" s="576">
        <f t="shared" ca="1" si="16"/>
        <v>0</v>
      </c>
      <c r="W129" s="576">
        <f t="shared" ca="1" si="17"/>
        <v>0</v>
      </c>
      <c r="X129" s="484" t="str">
        <f ca="1">IF('CDO Bespoke'!O130&lt;&gt;"",'CDO Bespoke'!O130,"")</f>
        <v/>
      </c>
      <c r="Y129" s="485" t="str">
        <f t="shared" ca="1" si="15"/>
        <v/>
      </c>
      <c r="Z129" s="485">
        <f t="shared" ca="1" si="14"/>
        <v>0</v>
      </c>
      <c r="AA129" s="489">
        <f t="shared" ca="1" si="11"/>
        <v>0</v>
      </c>
      <c r="AB129" s="484" t="str">
        <f ca="1">IF('CDO Bespoke'!O130&lt;&gt;"",'CDO Bespoke'!O130,"")</f>
        <v/>
      </c>
      <c r="AC129" s="485" t="str">
        <f ca="1">IF(AB129&lt;&gt;"",ABS(MIN(-0.6*'CDO Bespoke'!K130+'CDO Bespoke'!T130*'CDO Bespoke'!K130,0)),"")</f>
        <v/>
      </c>
      <c r="AD129" s="485">
        <f t="shared" ca="1" si="12"/>
        <v>0</v>
      </c>
      <c r="AE129" s="489">
        <f t="shared" ca="1" si="13"/>
        <v>0</v>
      </c>
      <c r="AF129" s="272"/>
      <c r="AG129" s="494" t="str">
        <f ca="1">IF('CDO Bespoke'!C154&lt;&gt;"",'CDO Bespoke'!C154,"")</f>
        <v/>
      </c>
      <c r="AH129" s="496"/>
      <c r="AI129" s="584"/>
      <c r="AJ129" s="584"/>
      <c r="AK129" s="584"/>
      <c r="AL129" s="497"/>
      <c r="AM129" s="619"/>
      <c r="AN129" s="496"/>
      <c r="AO129" s="584"/>
      <c r="AP129" s="584"/>
      <c r="AQ129" s="584"/>
      <c r="AR129" s="497"/>
      <c r="AS129" s="619"/>
      <c r="AT129" s="506"/>
      <c r="AU129" s="630"/>
      <c r="AV129" s="619"/>
      <c r="AW129" s="506"/>
      <c r="AX129" s="582"/>
      <c r="AY129" s="619"/>
    </row>
    <row r="130" spans="2:51">
      <c r="B130" s="539" t="s">
        <v>528</v>
      </c>
      <c r="C130" s="540" t="s">
        <v>66</v>
      </c>
      <c r="D130" s="540" t="s">
        <v>55</v>
      </c>
      <c r="E130" s="540" t="s">
        <v>648</v>
      </c>
      <c r="F130" s="540" t="s">
        <v>674</v>
      </c>
      <c r="G130" s="541">
        <v>0.01</v>
      </c>
      <c r="H130" s="541">
        <v>4.2960000000000003E-3</v>
      </c>
      <c r="I130" s="542">
        <v>0.4</v>
      </c>
      <c r="J130" s="601">
        <v>3</v>
      </c>
      <c r="K130" s="543">
        <v>36</v>
      </c>
      <c r="L130" s="272"/>
      <c r="M130" s="272"/>
      <c r="P130" s="273"/>
      <c r="Q130" s="273"/>
      <c r="R130" s="273"/>
      <c r="S130" s="273"/>
      <c r="T130" s="576">
        <f ca="1"/>
        <v>0.15</v>
      </c>
      <c r="U130" s="573">
        <f ca="1"/>
        <v>122</v>
      </c>
      <c r="V130" s="576">
        <f t="shared" ca="1" si="16"/>
        <v>0</v>
      </c>
      <c r="W130" s="576">
        <f t="shared" ca="1" si="17"/>
        <v>0</v>
      </c>
      <c r="X130" s="484" t="str">
        <f ca="1">IF('CDO Bespoke'!O131&lt;&gt;"",'CDO Bespoke'!O131,"")</f>
        <v/>
      </c>
      <c r="Y130" s="485" t="str">
        <f t="shared" ca="1" si="15"/>
        <v/>
      </c>
      <c r="Z130" s="485">
        <f t="shared" ca="1" si="14"/>
        <v>0</v>
      </c>
      <c r="AA130" s="489">
        <f t="shared" ca="1" si="11"/>
        <v>0</v>
      </c>
      <c r="AB130" s="484" t="str">
        <f ca="1">IF('CDO Bespoke'!O131&lt;&gt;"",'CDO Bespoke'!O131,"")</f>
        <v/>
      </c>
      <c r="AC130" s="485" t="str">
        <f ca="1">IF(AB130&lt;&gt;"",ABS(MIN(-0.6*'CDO Bespoke'!K131+'CDO Bespoke'!T131*'CDO Bespoke'!K131,0)),"")</f>
        <v/>
      </c>
      <c r="AD130" s="485">
        <f t="shared" ca="1" si="12"/>
        <v>0</v>
      </c>
      <c r="AE130" s="489">
        <f t="shared" ca="1" si="13"/>
        <v>0</v>
      </c>
      <c r="AF130" s="272"/>
      <c r="AG130" s="494" t="str">
        <f ca="1">IF('CDO Bespoke'!C155&lt;&gt;"",'CDO Bespoke'!C155,"")</f>
        <v/>
      </c>
      <c r="AH130" s="496"/>
      <c r="AI130" s="584"/>
      <c r="AJ130" s="584"/>
      <c r="AK130" s="584"/>
      <c r="AL130" s="497"/>
      <c r="AM130" s="619"/>
      <c r="AN130" s="496"/>
      <c r="AO130" s="584"/>
      <c r="AP130" s="584"/>
      <c r="AQ130" s="584"/>
      <c r="AR130" s="497"/>
      <c r="AS130" s="619"/>
      <c r="AT130" s="506"/>
      <c r="AU130" s="630"/>
      <c r="AV130" s="619"/>
      <c r="AW130" s="506"/>
      <c r="AX130" s="582"/>
      <c r="AY130" s="619"/>
    </row>
    <row r="131" spans="2:51">
      <c r="B131" s="517" t="s">
        <v>528</v>
      </c>
      <c r="C131" s="518" t="s">
        <v>66</v>
      </c>
      <c r="D131" s="518" t="s">
        <v>57</v>
      </c>
      <c r="E131" s="518" t="s">
        <v>648</v>
      </c>
      <c r="F131" s="518" t="s">
        <v>674</v>
      </c>
      <c r="G131" s="525">
        <v>0.01</v>
      </c>
      <c r="H131" s="525">
        <v>6.79E-3</v>
      </c>
      <c r="I131" s="527">
        <v>0.4</v>
      </c>
      <c r="J131" s="593">
        <v>3</v>
      </c>
      <c r="K131" s="519">
        <v>36</v>
      </c>
      <c r="L131" s="272"/>
      <c r="M131" s="272"/>
      <c r="P131" s="273"/>
      <c r="Q131" s="273"/>
      <c r="R131" s="273"/>
      <c r="S131" s="273"/>
      <c r="T131" s="576">
        <f ca="1"/>
        <v>0.15</v>
      </c>
      <c r="U131" s="573">
        <f ca="1"/>
        <v>123</v>
      </c>
      <c r="V131" s="576">
        <f t="shared" ca="1" si="16"/>
        <v>0</v>
      </c>
      <c r="W131" s="576">
        <f t="shared" ca="1" si="17"/>
        <v>0</v>
      </c>
      <c r="X131" s="484" t="str">
        <f ca="1">IF('CDO Bespoke'!O132&lt;&gt;"",'CDO Bespoke'!O132,"")</f>
        <v/>
      </c>
      <c r="Y131" s="485" t="str">
        <f t="shared" ca="1" si="15"/>
        <v/>
      </c>
      <c r="Z131" s="485">
        <f t="shared" ca="1" si="14"/>
        <v>0</v>
      </c>
      <c r="AA131" s="489">
        <f t="shared" ca="1" si="11"/>
        <v>0</v>
      </c>
      <c r="AB131" s="484" t="str">
        <f ca="1">IF('CDO Bespoke'!O132&lt;&gt;"",'CDO Bespoke'!O132,"")</f>
        <v/>
      </c>
      <c r="AC131" s="485" t="str">
        <f ca="1">IF(AB131&lt;&gt;"",ABS(MIN(-0.6*'CDO Bespoke'!K132+'CDO Bespoke'!T132*'CDO Bespoke'!K132,0)),"")</f>
        <v/>
      </c>
      <c r="AD131" s="485">
        <f t="shared" ca="1" si="12"/>
        <v>0</v>
      </c>
      <c r="AE131" s="489">
        <f t="shared" ca="1" si="13"/>
        <v>0</v>
      </c>
      <c r="AF131" s="272"/>
      <c r="AG131" s="494" t="str">
        <f ca="1">IF('CDO Bespoke'!C156&lt;&gt;"",'CDO Bespoke'!C156,"")</f>
        <v/>
      </c>
      <c r="AH131" s="496"/>
      <c r="AI131" s="584"/>
      <c r="AJ131" s="584"/>
      <c r="AK131" s="584"/>
      <c r="AL131" s="497"/>
      <c r="AM131" s="619"/>
      <c r="AN131" s="496"/>
      <c r="AO131" s="584"/>
      <c r="AP131" s="584"/>
      <c r="AQ131" s="584"/>
      <c r="AR131" s="497"/>
      <c r="AS131" s="619"/>
      <c r="AT131" s="506"/>
      <c r="AU131" s="630"/>
      <c r="AV131" s="619"/>
      <c r="AW131" s="506"/>
      <c r="AX131" s="582"/>
      <c r="AY131" s="619"/>
    </row>
    <row r="132" spans="2:51">
      <c r="B132" s="534" t="s">
        <v>528</v>
      </c>
      <c r="C132" s="535" t="s">
        <v>66</v>
      </c>
      <c r="D132" s="535" t="s">
        <v>59</v>
      </c>
      <c r="E132" s="535" t="s">
        <v>648</v>
      </c>
      <c r="F132" s="535" t="s">
        <v>674</v>
      </c>
      <c r="G132" s="536">
        <v>0.01</v>
      </c>
      <c r="H132" s="536">
        <v>9.9900000000000006E-3</v>
      </c>
      <c r="I132" s="537">
        <v>0.4</v>
      </c>
      <c r="J132" s="594">
        <v>3</v>
      </c>
      <c r="K132" s="538">
        <v>36</v>
      </c>
      <c r="L132" s="272"/>
      <c r="M132" s="272"/>
      <c r="P132" s="273"/>
      <c r="Q132" s="273"/>
      <c r="R132" s="273"/>
      <c r="S132" s="273"/>
      <c r="T132" s="576">
        <f ca="1"/>
        <v>0.15</v>
      </c>
      <c r="U132" s="573">
        <f ca="1"/>
        <v>124</v>
      </c>
      <c r="V132" s="576">
        <f t="shared" ca="1" si="16"/>
        <v>0</v>
      </c>
      <c r="W132" s="576">
        <f t="shared" ca="1" si="17"/>
        <v>0</v>
      </c>
      <c r="X132" s="484" t="str">
        <f ca="1">IF('CDO Bespoke'!O133&lt;&gt;"",'CDO Bespoke'!O133,"")</f>
        <v/>
      </c>
      <c r="Y132" s="485" t="str">
        <f t="shared" ca="1" si="15"/>
        <v/>
      </c>
      <c r="Z132" s="485">
        <f t="shared" ca="1" si="14"/>
        <v>0</v>
      </c>
      <c r="AA132" s="489">
        <f t="shared" ca="1" si="11"/>
        <v>0</v>
      </c>
      <c r="AB132" s="484" t="str">
        <f ca="1">IF('CDO Bespoke'!O133&lt;&gt;"",'CDO Bespoke'!O133,"")</f>
        <v/>
      </c>
      <c r="AC132" s="485" t="str">
        <f ca="1">IF(AB132&lt;&gt;"",ABS(MIN(-0.6*'CDO Bespoke'!K133+'CDO Bespoke'!T133*'CDO Bespoke'!K133,0)),"")</f>
        <v/>
      </c>
      <c r="AD132" s="485">
        <f t="shared" ca="1" si="12"/>
        <v>0</v>
      </c>
      <c r="AE132" s="489">
        <f t="shared" ca="1" si="13"/>
        <v>0</v>
      </c>
      <c r="AF132" s="272"/>
      <c r="AG132" s="494" t="str">
        <f ca="1">IF('CDO Bespoke'!C157&lt;&gt;"",'CDO Bespoke'!C157,"")</f>
        <v/>
      </c>
      <c r="AH132" s="496"/>
      <c r="AI132" s="584"/>
      <c r="AJ132" s="584"/>
      <c r="AK132" s="584"/>
      <c r="AL132" s="497"/>
      <c r="AM132" s="619"/>
      <c r="AN132" s="496"/>
      <c r="AO132" s="584"/>
      <c r="AP132" s="584"/>
      <c r="AQ132" s="584"/>
      <c r="AR132" s="497"/>
      <c r="AS132" s="619"/>
      <c r="AT132" s="506"/>
      <c r="AU132" s="630"/>
      <c r="AV132" s="619"/>
      <c r="AW132" s="506"/>
      <c r="AX132" s="582"/>
      <c r="AY132" s="619"/>
    </row>
    <row r="133" spans="2:51" ht="10.5" thickBot="1">
      <c r="B133" s="539" t="s">
        <v>542</v>
      </c>
      <c r="C133" s="540" t="s">
        <v>66</v>
      </c>
      <c r="D133" s="540" t="s">
        <v>55</v>
      </c>
      <c r="E133" s="540" t="s">
        <v>648</v>
      </c>
      <c r="F133" s="540" t="s">
        <v>671</v>
      </c>
      <c r="G133" s="541">
        <v>0.01</v>
      </c>
      <c r="H133" s="541">
        <v>1.0371E-2</v>
      </c>
      <c r="I133" s="542">
        <v>0.4</v>
      </c>
      <c r="J133" s="601">
        <v>5</v>
      </c>
      <c r="K133" s="543">
        <v>37</v>
      </c>
      <c r="L133" s="272"/>
      <c r="M133" s="272"/>
      <c r="P133" s="273"/>
      <c r="Q133" s="273"/>
      <c r="R133" s="273"/>
      <c r="S133" s="273"/>
      <c r="T133" s="577">
        <f ca="1"/>
        <v>0.15</v>
      </c>
      <c r="U133" s="574">
        <f ca="1"/>
        <v>125</v>
      </c>
      <c r="V133" s="577">
        <f t="shared" ca="1" si="16"/>
        <v>0</v>
      </c>
      <c r="W133" s="576">
        <f t="shared" ca="1" si="17"/>
        <v>0</v>
      </c>
      <c r="X133" s="484" t="str">
        <f ca="1">IF('CDO Bespoke'!O134&lt;&gt;"",'CDO Bespoke'!O134,"")</f>
        <v/>
      </c>
      <c r="Y133" s="485" t="str">
        <f t="shared" ca="1" si="15"/>
        <v/>
      </c>
      <c r="Z133" s="485">
        <f t="shared" ca="1" si="14"/>
        <v>0</v>
      </c>
      <c r="AA133" s="489">
        <f t="shared" ca="1" si="11"/>
        <v>0</v>
      </c>
      <c r="AB133" s="484" t="str">
        <f ca="1">IF('CDO Bespoke'!O134&lt;&gt;"",'CDO Bespoke'!O134,"")</f>
        <v/>
      </c>
      <c r="AC133" s="485" t="str">
        <f ca="1">IF(AB133&lt;&gt;"",ABS(MIN(-0.6*'CDO Bespoke'!K134+'CDO Bespoke'!T134*'CDO Bespoke'!K134,0)),"")</f>
        <v/>
      </c>
      <c r="AD133" s="485">
        <f t="shared" ca="1" si="12"/>
        <v>0</v>
      </c>
      <c r="AE133" s="489">
        <f t="shared" ca="1" si="13"/>
        <v>0</v>
      </c>
      <c r="AF133" s="272"/>
      <c r="AG133" s="494" t="str">
        <f ca="1">IF('CDO Bespoke'!C158&lt;&gt;"",'CDO Bespoke'!C158,"")</f>
        <v/>
      </c>
      <c r="AH133" s="496"/>
      <c r="AI133" s="584"/>
      <c r="AJ133" s="584"/>
      <c r="AK133" s="584"/>
      <c r="AL133" s="497"/>
      <c r="AM133" s="619"/>
      <c r="AN133" s="496"/>
      <c r="AO133" s="584"/>
      <c r="AP133" s="584"/>
      <c r="AQ133" s="584"/>
      <c r="AR133" s="497"/>
      <c r="AS133" s="619"/>
      <c r="AT133" s="506"/>
      <c r="AU133" s="630"/>
      <c r="AV133" s="619"/>
      <c r="AW133" s="506"/>
      <c r="AX133" s="582"/>
      <c r="AY133" s="619"/>
    </row>
    <row r="134" spans="2:51">
      <c r="B134" s="517" t="s">
        <v>542</v>
      </c>
      <c r="C134" s="518" t="s">
        <v>66</v>
      </c>
      <c r="D134" s="518" t="s">
        <v>57</v>
      </c>
      <c r="E134" s="518" t="s">
        <v>648</v>
      </c>
      <c r="F134" s="518" t="s">
        <v>671</v>
      </c>
      <c r="G134" s="525">
        <v>0.01</v>
      </c>
      <c r="H134" s="525">
        <v>1.6621E-2</v>
      </c>
      <c r="I134" s="527">
        <v>0.4</v>
      </c>
      <c r="J134" s="593">
        <v>5</v>
      </c>
      <c r="K134" s="519">
        <v>37</v>
      </c>
      <c r="L134" s="272"/>
      <c r="M134" s="272"/>
      <c r="P134" s="273"/>
      <c r="Q134" s="273"/>
      <c r="R134" s="273"/>
      <c r="S134" s="273"/>
      <c r="T134" s="273"/>
      <c r="U134" s="273"/>
      <c r="V134" s="273"/>
      <c r="W134" s="273"/>
      <c r="X134" s="484" t="str">
        <f ca="1">IF('CDO Bespoke'!O135&lt;&gt;"",'CDO Bespoke'!O135,"")</f>
        <v/>
      </c>
      <c r="Y134" s="485" t="str">
        <f t="shared" ca="1" si="15"/>
        <v/>
      </c>
      <c r="Z134" s="485">
        <f t="shared" ca="1" si="14"/>
        <v>0</v>
      </c>
      <c r="AA134" s="489">
        <f t="shared" ca="1" si="11"/>
        <v>0</v>
      </c>
      <c r="AB134" s="484" t="str">
        <f ca="1">IF('CDO Bespoke'!O135&lt;&gt;"",'CDO Bespoke'!O135,"")</f>
        <v/>
      </c>
      <c r="AC134" s="485" t="str">
        <f ca="1">IF(AB134&lt;&gt;"",ABS(MIN(-0.6*'CDO Bespoke'!K135+'CDO Bespoke'!T135*'CDO Bespoke'!K135,0)),"")</f>
        <v/>
      </c>
      <c r="AD134" s="485">
        <f t="shared" ca="1" si="12"/>
        <v>0</v>
      </c>
      <c r="AE134" s="489">
        <f t="shared" ca="1" si="13"/>
        <v>0</v>
      </c>
      <c r="AF134" s="272"/>
      <c r="AG134" s="494" t="str">
        <f ca="1">IF('CDO Bespoke'!C159&lt;&gt;"",'CDO Bespoke'!C159,"")</f>
        <v/>
      </c>
      <c r="AH134" s="496"/>
      <c r="AI134" s="584"/>
      <c r="AJ134" s="584"/>
      <c r="AK134" s="584"/>
      <c r="AL134" s="497"/>
      <c r="AM134" s="619"/>
      <c r="AN134" s="496"/>
      <c r="AO134" s="584"/>
      <c r="AP134" s="584"/>
      <c r="AQ134" s="584"/>
      <c r="AR134" s="497"/>
      <c r="AS134" s="619"/>
      <c r="AT134" s="506"/>
      <c r="AU134" s="630"/>
      <c r="AV134" s="619"/>
      <c r="AW134" s="506"/>
      <c r="AX134" s="582"/>
      <c r="AY134" s="619"/>
    </row>
    <row r="135" spans="2:51">
      <c r="B135" s="534" t="s">
        <v>542</v>
      </c>
      <c r="C135" s="535" t="s">
        <v>66</v>
      </c>
      <c r="D135" s="535" t="s">
        <v>59</v>
      </c>
      <c r="E135" s="535" t="s">
        <v>648</v>
      </c>
      <c r="F135" s="535" t="s">
        <v>671</v>
      </c>
      <c r="G135" s="536">
        <v>0.01</v>
      </c>
      <c r="H135" s="536">
        <v>1.9375E-2</v>
      </c>
      <c r="I135" s="537">
        <v>0.4</v>
      </c>
      <c r="J135" s="594">
        <v>5</v>
      </c>
      <c r="K135" s="538">
        <v>37</v>
      </c>
      <c r="L135" s="272"/>
      <c r="M135" s="272"/>
      <c r="P135" s="273"/>
      <c r="Q135" s="273"/>
      <c r="R135" s="273"/>
      <c r="S135" s="273"/>
      <c r="T135" s="273"/>
      <c r="U135" s="273"/>
      <c r="V135" s="273"/>
      <c r="W135" s="273"/>
      <c r="X135" s="484" t="str">
        <f ca="1">IF('CDO Bespoke'!O136&lt;&gt;"",'CDO Bespoke'!O136,"")</f>
        <v/>
      </c>
      <c r="Y135" s="485" t="str">
        <f t="shared" ca="1" si="15"/>
        <v/>
      </c>
      <c r="Z135" s="485">
        <f t="shared" ca="1" si="14"/>
        <v>0</v>
      </c>
      <c r="AA135" s="489">
        <f t="shared" ca="1" si="11"/>
        <v>0</v>
      </c>
      <c r="AB135" s="484" t="str">
        <f ca="1">IF('CDO Bespoke'!O136&lt;&gt;"",'CDO Bespoke'!O136,"")</f>
        <v/>
      </c>
      <c r="AC135" s="485" t="str">
        <f ca="1">IF(AB135&lt;&gt;"",ABS(MIN(-0.6*'CDO Bespoke'!K136+'CDO Bespoke'!T136*'CDO Bespoke'!K136,0)),"")</f>
        <v/>
      </c>
      <c r="AD135" s="485">
        <f t="shared" ca="1" si="12"/>
        <v>0</v>
      </c>
      <c r="AE135" s="489">
        <f t="shared" ca="1" si="13"/>
        <v>0</v>
      </c>
      <c r="AF135" s="272"/>
      <c r="AG135" s="494" t="str">
        <f ca="1">IF('CDO Bespoke'!C160&lt;&gt;"",'CDO Bespoke'!C160,"")</f>
        <v/>
      </c>
      <c r="AH135" s="496"/>
      <c r="AI135" s="584"/>
      <c r="AJ135" s="584"/>
      <c r="AK135" s="584"/>
      <c r="AL135" s="497"/>
      <c r="AM135" s="619"/>
      <c r="AN135" s="496"/>
      <c r="AO135" s="584"/>
      <c r="AP135" s="584"/>
      <c r="AQ135" s="584"/>
      <c r="AR135" s="497"/>
      <c r="AS135" s="619"/>
      <c r="AT135" s="506"/>
      <c r="AU135" s="630"/>
      <c r="AV135" s="619"/>
      <c r="AW135" s="506"/>
      <c r="AX135" s="582"/>
      <c r="AY135" s="619"/>
    </row>
    <row r="136" spans="2:51">
      <c r="B136" s="539" t="s">
        <v>543</v>
      </c>
      <c r="C136" s="540" t="s">
        <v>66</v>
      </c>
      <c r="D136" s="540" t="s">
        <v>55</v>
      </c>
      <c r="E136" s="540" t="s">
        <v>646</v>
      </c>
      <c r="F136" s="540" t="s">
        <v>671</v>
      </c>
      <c r="G136" s="541">
        <v>0.01</v>
      </c>
      <c r="H136" s="541">
        <v>2.5300000000000001E-3</v>
      </c>
      <c r="I136" s="542">
        <v>0.4</v>
      </c>
      <c r="J136" s="601">
        <v>5</v>
      </c>
      <c r="K136" s="543">
        <v>38</v>
      </c>
      <c r="L136" s="272"/>
      <c r="M136" s="272"/>
      <c r="P136" s="273"/>
      <c r="Q136" s="273"/>
      <c r="R136" s="273"/>
      <c r="S136" s="273"/>
      <c r="T136" s="273"/>
      <c r="U136" s="273"/>
      <c r="V136" s="273"/>
      <c r="W136" s="273"/>
      <c r="X136" s="484" t="str">
        <f ca="1">IF('CDO Bespoke'!O137&lt;&gt;"",'CDO Bespoke'!O137,"")</f>
        <v/>
      </c>
      <c r="Y136" s="485" t="str">
        <f t="shared" ca="1" si="15"/>
        <v/>
      </c>
      <c r="Z136" s="485">
        <f t="shared" ca="1" si="14"/>
        <v>0</v>
      </c>
      <c r="AA136" s="489">
        <f t="shared" ca="1" si="11"/>
        <v>0</v>
      </c>
      <c r="AB136" s="484" t="str">
        <f ca="1">IF('CDO Bespoke'!O137&lt;&gt;"",'CDO Bespoke'!O137,"")</f>
        <v/>
      </c>
      <c r="AC136" s="485" t="str">
        <f ca="1">IF(AB136&lt;&gt;"",ABS(MIN(-0.6*'CDO Bespoke'!K137+'CDO Bespoke'!T137*'CDO Bespoke'!K137,0)),"")</f>
        <v/>
      </c>
      <c r="AD136" s="485">
        <f t="shared" ca="1" si="12"/>
        <v>0</v>
      </c>
      <c r="AE136" s="489">
        <f t="shared" ca="1" si="13"/>
        <v>0</v>
      </c>
      <c r="AF136" s="272"/>
      <c r="AG136" s="494" t="str">
        <f ca="1">IF('CDO Bespoke'!C161&lt;&gt;"",'CDO Bespoke'!C161,"")</f>
        <v/>
      </c>
      <c r="AH136" s="496"/>
      <c r="AI136" s="584"/>
      <c r="AJ136" s="584"/>
      <c r="AK136" s="584"/>
      <c r="AL136" s="497"/>
      <c r="AM136" s="619"/>
      <c r="AN136" s="496"/>
      <c r="AO136" s="584"/>
      <c r="AP136" s="584"/>
      <c r="AQ136" s="584"/>
      <c r="AR136" s="497"/>
      <c r="AS136" s="619"/>
      <c r="AT136" s="506"/>
      <c r="AU136" s="630"/>
      <c r="AV136" s="619"/>
      <c r="AW136" s="506"/>
      <c r="AX136" s="582"/>
      <c r="AY136" s="619"/>
    </row>
    <row r="137" spans="2:51">
      <c r="B137" s="517" t="s">
        <v>543</v>
      </c>
      <c r="C137" s="518" t="s">
        <v>66</v>
      </c>
      <c r="D137" s="518" t="s">
        <v>57</v>
      </c>
      <c r="E137" s="518" t="s">
        <v>646</v>
      </c>
      <c r="F137" s="518" t="s">
        <v>671</v>
      </c>
      <c r="G137" s="525">
        <v>0.01</v>
      </c>
      <c r="H137" s="525">
        <v>3.9699999999999996E-3</v>
      </c>
      <c r="I137" s="527">
        <v>0.4</v>
      </c>
      <c r="J137" s="593">
        <v>5</v>
      </c>
      <c r="K137" s="519">
        <v>38</v>
      </c>
      <c r="L137" s="272"/>
      <c r="M137" s="272"/>
      <c r="P137" s="273"/>
      <c r="Q137" s="273"/>
      <c r="R137" s="273"/>
      <c r="S137" s="273"/>
      <c r="T137" s="273"/>
      <c r="U137" s="273"/>
      <c r="V137" s="273"/>
      <c r="W137" s="273"/>
      <c r="X137" s="484" t="str">
        <f ca="1">IF('CDO Bespoke'!O138&lt;&gt;"",'CDO Bespoke'!O138,"")</f>
        <v/>
      </c>
      <c r="Y137" s="485" t="str">
        <f t="shared" ca="1" si="15"/>
        <v/>
      </c>
      <c r="Z137" s="485">
        <f t="shared" ca="1" si="14"/>
        <v>0</v>
      </c>
      <c r="AA137" s="489">
        <f t="shared" ca="1" si="11"/>
        <v>0</v>
      </c>
      <c r="AB137" s="484" t="str">
        <f ca="1">IF('CDO Bespoke'!O138&lt;&gt;"",'CDO Bespoke'!O138,"")</f>
        <v/>
      </c>
      <c r="AC137" s="485" t="str">
        <f ca="1">IF(AB137&lt;&gt;"",ABS(MIN(-0.6*'CDO Bespoke'!K138+'CDO Bespoke'!T138*'CDO Bespoke'!K138,0)),"")</f>
        <v/>
      </c>
      <c r="AD137" s="485">
        <f t="shared" ca="1" si="12"/>
        <v>0</v>
      </c>
      <c r="AE137" s="489">
        <f t="shared" ca="1" si="13"/>
        <v>0</v>
      </c>
      <c r="AF137" s="272"/>
      <c r="AG137" s="494" t="str">
        <f ca="1">IF('CDO Bespoke'!C162&lt;&gt;"",'CDO Bespoke'!C162,"")</f>
        <v/>
      </c>
      <c r="AH137" s="496"/>
      <c r="AI137" s="584"/>
      <c r="AJ137" s="584"/>
      <c r="AK137" s="584"/>
      <c r="AL137" s="497"/>
      <c r="AM137" s="619"/>
      <c r="AN137" s="496"/>
      <c r="AO137" s="584"/>
      <c r="AP137" s="584"/>
      <c r="AQ137" s="584"/>
      <c r="AR137" s="497"/>
      <c r="AS137" s="619"/>
      <c r="AT137" s="506"/>
      <c r="AU137" s="630"/>
      <c r="AV137" s="619"/>
      <c r="AW137" s="506"/>
      <c r="AX137" s="582"/>
      <c r="AY137" s="619"/>
    </row>
    <row r="138" spans="2:51" ht="10.5" thickBot="1">
      <c r="B138" s="534" t="s">
        <v>543</v>
      </c>
      <c r="C138" s="535" t="s">
        <v>66</v>
      </c>
      <c r="D138" s="535" t="s">
        <v>59</v>
      </c>
      <c r="E138" s="535" t="s">
        <v>646</v>
      </c>
      <c r="F138" s="535" t="s">
        <v>671</v>
      </c>
      <c r="G138" s="536">
        <v>0.01</v>
      </c>
      <c r="H138" s="536">
        <v>5.692E-3</v>
      </c>
      <c r="I138" s="537">
        <v>0.4</v>
      </c>
      <c r="J138" s="594">
        <v>5</v>
      </c>
      <c r="K138" s="538">
        <v>38</v>
      </c>
      <c r="L138" s="272"/>
      <c r="M138" s="272"/>
      <c r="P138" s="273"/>
      <c r="Q138" s="273"/>
      <c r="R138" s="273"/>
      <c r="S138" s="273"/>
      <c r="T138" s="273"/>
      <c r="U138" s="273"/>
      <c r="V138" s="273"/>
      <c r="W138" s="273"/>
      <c r="X138" s="484" t="str">
        <f ca="1">IF('CDO Bespoke'!O139&lt;&gt;"",'CDO Bespoke'!O139,"")</f>
        <v/>
      </c>
      <c r="Y138" s="485" t="str">
        <f t="shared" ca="1" si="15"/>
        <v/>
      </c>
      <c r="Z138" s="491">
        <f t="shared" ca="1" si="14"/>
        <v>0</v>
      </c>
      <c r="AA138" s="492">
        <f t="shared" ca="1" si="11"/>
        <v>0</v>
      </c>
      <c r="AB138" s="490" t="str">
        <f ca="1">IF('CDO Bespoke'!O139&lt;&gt;"",'CDO Bespoke'!O139,"")</f>
        <v/>
      </c>
      <c r="AC138" s="485" t="str">
        <f ca="1">IF(AB138&lt;&gt;"",ABS(MIN(-0.6*'CDO Bespoke'!K139+'CDO Bespoke'!T139*'CDO Bespoke'!K139,0)),"")</f>
        <v/>
      </c>
      <c r="AD138" s="491">
        <f t="shared" ca="1" si="12"/>
        <v>0</v>
      </c>
      <c r="AE138" s="492">
        <f t="shared" ca="1" si="13"/>
        <v>0</v>
      </c>
      <c r="AF138" s="272"/>
      <c r="AG138" s="494" t="str">
        <f ca="1">IF('CDO Bespoke'!C163&lt;&gt;"",'CDO Bespoke'!C163,"")</f>
        <v/>
      </c>
      <c r="AH138" s="496"/>
      <c r="AI138" s="584"/>
      <c r="AJ138" s="584"/>
      <c r="AK138" s="584"/>
      <c r="AL138" s="497"/>
      <c r="AM138" s="619"/>
      <c r="AN138" s="496"/>
      <c r="AO138" s="584"/>
      <c r="AP138" s="584"/>
      <c r="AQ138" s="584"/>
      <c r="AR138" s="497"/>
      <c r="AS138" s="619"/>
      <c r="AT138" s="506"/>
      <c r="AU138" s="630"/>
      <c r="AV138" s="619"/>
      <c r="AW138" s="506"/>
      <c r="AX138" s="582"/>
      <c r="AY138" s="619"/>
    </row>
    <row r="139" spans="2:51">
      <c r="B139" s="539" t="s">
        <v>544</v>
      </c>
      <c r="C139" s="540" t="s">
        <v>66</v>
      </c>
      <c r="D139" s="540" t="s">
        <v>55</v>
      </c>
      <c r="E139" s="540" t="s">
        <v>648</v>
      </c>
      <c r="F139" s="540" t="s">
        <v>671</v>
      </c>
      <c r="G139" s="541">
        <v>0.01</v>
      </c>
      <c r="H139" s="541">
        <v>3.9449999999999997E-3</v>
      </c>
      <c r="I139" s="542">
        <v>0.4</v>
      </c>
      <c r="J139" s="601">
        <v>5</v>
      </c>
      <c r="K139" s="543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3"/>
      <c r="AE139" s="273"/>
      <c r="AF139" s="272"/>
      <c r="AG139" s="494" t="str">
        <f ca="1">IF('CDO Bespoke'!C164&lt;&gt;"",'CDO Bespoke'!C164,"")</f>
        <v/>
      </c>
      <c r="AH139" s="496"/>
      <c r="AI139" s="584"/>
      <c r="AJ139" s="584"/>
      <c r="AK139" s="584"/>
      <c r="AL139" s="497"/>
      <c r="AM139" s="619"/>
      <c r="AN139" s="496"/>
      <c r="AO139" s="584"/>
      <c r="AP139" s="584"/>
      <c r="AQ139" s="584"/>
      <c r="AR139" s="497"/>
      <c r="AS139" s="619"/>
      <c r="AT139" s="506"/>
      <c r="AU139" s="630"/>
      <c r="AV139" s="619"/>
      <c r="AW139" s="506"/>
      <c r="AX139" s="582"/>
      <c r="AY139" s="619"/>
    </row>
    <row r="140" spans="2:51">
      <c r="B140" s="517" t="s">
        <v>544</v>
      </c>
      <c r="C140" s="518" t="s">
        <v>66</v>
      </c>
      <c r="D140" s="518" t="s">
        <v>57</v>
      </c>
      <c r="E140" s="518" t="s">
        <v>648</v>
      </c>
      <c r="F140" s="518" t="s">
        <v>671</v>
      </c>
      <c r="G140" s="525">
        <v>0.01</v>
      </c>
      <c r="H140" s="525">
        <v>6.7390000000000002E-3</v>
      </c>
      <c r="I140" s="527">
        <v>0.4</v>
      </c>
      <c r="J140" s="593">
        <v>5</v>
      </c>
      <c r="K140" s="519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3"/>
      <c r="AE140" s="273"/>
      <c r="AF140" s="272"/>
      <c r="AG140" s="494" t="str">
        <f ca="1">IF('CDO Bespoke'!C165&lt;&gt;"",'CDO Bespoke'!C165,"")</f>
        <v/>
      </c>
      <c r="AH140" s="496"/>
      <c r="AI140" s="584"/>
      <c r="AJ140" s="584"/>
      <c r="AK140" s="584"/>
      <c r="AL140" s="497"/>
      <c r="AM140" s="619"/>
      <c r="AN140" s="496"/>
      <c r="AO140" s="584"/>
      <c r="AP140" s="584"/>
      <c r="AQ140" s="584"/>
      <c r="AR140" s="497"/>
      <c r="AS140" s="619"/>
      <c r="AT140" s="506"/>
      <c r="AU140" s="630"/>
      <c r="AV140" s="619"/>
      <c r="AW140" s="506"/>
      <c r="AX140" s="582"/>
      <c r="AY140" s="619"/>
    </row>
    <row r="141" spans="2:51">
      <c r="B141" s="534" t="s">
        <v>544</v>
      </c>
      <c r="C141" s="535" t="s">
        <v>66</v>
      </c>
      <c r="D141" s="535" t="s">
        <v>59</v>
      </c>
      <c r="E141" s="535" t="s">
        <v>648</v>
      </c>
      <c r="F141" s="535" t="s">
        <v>671</v>
      </c>
      <c r="G141" s="536">
        <v>0.01</v>
      </c>
      <c r="H141" s="536">
        <v>9.7630000000000008E-3</v>
      </c>
      <c r="I141" s="537">
        <v>0.4</v>
      </c>
      <c r="J141" s="594">
        <v>5</v>
      </c>
      <c r="K141" s="538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3"/>
      <c r="AC141" s="273"/>
      <c r="AD141" s="273"/>
      <c r="AE141" s="273"/>
      <c r="AF141" s="272"/>
      <c r="AG141" s="494" t="str">
        <f ca="1">IF('CDO Bespoke'!C166&lt;&gt;"",'CDO Bespoke'!C166,"")</f>
        <v/>
      </c>
      <c r="AH141" s="496"/>
      <c r="AI141" s="584"/>
      <c r="AJ141" s="584"/>
      <c r="AK141" s="584"/>
      <c r="AL141" s="497"/>
      <c r="AM141" s="619"/>
      <c r="AN141" s="496"/>
      <c r="AO141" s="584"/>
      <c r="AP141" s="584"/>
      <c r="AQ141" s="584"/>
      <c r="AR141" s="497"/>
      <c r="AS141" s="619"/>
      <c r="AT141" s="506"/>
      <c r="AU141" s="630"/>
      <c r="AV141" s="619"/>
      <c r="AW141" s="506"/>
      <c r="AX141" s="582"/>
      <c r="AY141" s="619"/>
    </row>
    <row r="142" spans="2:51">
      <c r="B142" s="539" t="s">
        <v>560</v>
      </c>
      <c r="C142" s="540" t="s">
        <v>66</v>
      </c>
      <c r="D142" s="540" t="s">
        <v>55</v>
      </c>
      <c r="E142" s="540" t="s">
        <v>650</v>
      </c>
      <c r="F142" s="540" t="s">
        <v>671</v>
      </c>
      <c r="G142" s="541">
        <v>0.01</v>
      </c>
      <c r="H142" s="541">
        <v>1.738E-3</v>
      </c>
      <c r="I142" s="542">
        <v>0.4</v>
      </c>
      <c r="J142" s="601">
        <v>5</v>
      </c>
      <c r="K142" s="543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3"/>
      <c r="AE142" s="273"/>
      <c r="AF142" s="272"/>
      <c r="AG142" s="494" t="str">
        <f ca="1">IF('CDO Bespoke'!C167&lt;&gt;"",'CDO Bespoke'!C167,"")</f>
        <v/>
      </c>
      <c r="AH142" s="496"/>
      <c r="AI142" s="584"/>
      <c r="AJ142" s="584"/>
      <c r="AK142" s="584"/>
      <c r="AL142" s="497"/>
      <c r="AM142" s="619"/>
      <c r="AN142" s="496"/>
      <c r="AO142" s="584"/>
      <c r="AP142" s="584"/>
      <c r="AQ142" s="584"/>
      <c r="AR142" s="497"/>
      <c r="AS142" s="619"/>
      <c r="AT142" s="506"/>
      <c r="AU142" s="630"/>
      <c r="AV142" s="619"/>
      <c r="AW142" s="506"/>
      <c r="AX142" s="582"/>
      <c r="AY142" s="619"/>
    </row>
    <row r="143" spans="2:51">
      <c r="B143" s="517" t="s">
        <v>560</v>
      </c>
      <c r="C143" s="518" t="s">
        <v>66</v>
      </c>
      <c r="D143" s="518" t="s">
        <v>57</v>
      </c>
      <c r="E143" s="518" t="s">
        <v>650</v>
      </c>
      <c r="F143" s="518" t="s">
        <v>671</v>
      </c>
      <c r="G143" s="525">
        <v>0.01</v>
      </c>
      <c r="H143" s="525">
        <v>2.9610000000000001E-3</v>
      </c>
      <c r="I143" s="527">
        <v>0.4</v>
      </c>
      <c r="J143" s="593">
        <v>5</v>
      </c>
      <c r="K143" s="519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3"/>
      <c r="AE143" s="273"/>
      <c r="AF143" s="272"/>
      <c r="AG143" s="494" t="str">
        <f ca="1">IF('CDO Bespoke'!C168&lt;&gt;"",'CDO Bespoke'!C168,"")</f>
        <v/>
      </c>
      <c r="AH143" s="496"/>
      <c r="AI143" s="584"/>
      <c r="AJ143" s="584"/>
      <c r="AK143" s="584"/>
      <c r="AL143" s="497"/>
      <c r="AM143" s="619"/>
      <c r="AN143" s="496"/>
      <c r="AO143" s="584"/>
      <c r="AP143" s="584"/>
      <c r="AQ143" s="584"/>
      <c r="AR143" s="497"/>
      <c r="AS143" s="619"/>
      <c r="AT143" s="506"/>
      <c r="AU143" s="630"/>
      <c r="AV143" s="619"/>
      <c r="AW143" s="506"/>
      <c r="AX143" s="582"/>
      <c r="AY143" s="619"/>
    </row>
    <row r="144" spans="2:51">
      <c r="B144" s="534" t="s">
        <v>560</v>
      </c>
      <c r="C144" s="535" t="s">
        <v>66</v>
      </c>
      <c r="D144" s="535" t="s">
        <v>59</v>
      </c>
      <c r="E144" s="535" t="s">
        <v>650</v>
      </c>
      <c r="F144" s="535" t="s">
        <v>671</v>
      </c>
      <c r="G144" s="536">
        <v>0.01</v>
      </c>
      <c r="H144" s="536">
        <v>4.1469999999999996E-3</v>
      </c>
      <c r="I144" s="537">
        <v>0.4</v>
      </c>
      <c r="J144" s="594">
        <v>5</v>
      </c>
      <c r="K144" s="538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3"/>
      <c r="AE144" s="273"/>
      <c r="AF144" s="272"/>
      <c r="AG144" s="494" t="str">
        <f ca="1">IF('CDO Bespoke'!C169&lt;&gt;"",'CDO Bespoke'!C169,"")</f>
        <v/>
      </c>
      <c r="AH144" s="496"/>
      <c r="AI144" s="584"/>
      <c r="AJ144" s="584"/>
      <c r="AK144" s="584"/>
      <c r="AL144" s="497"/>
      <c r="AM144" s="619"/>
      <c r="AN144" s="496"/>
      <c r="AO144" s="584"/>
      <c r="AP144" s="584"/>
      <c r="AQ144" s="584"/>
      <c r="AR144" s="497"/>
      <c r="AS144" s="619"/>
      <c r="AT144" s="506"/>
      <c r="AU144" s="630"/>
      <c r="AV144" s="619"/>
      <c r="AW144" s="506"/>
      <c r="AX144" s="582"/>
      <c r="AY144" s="619"/>
    </row>
    <row r="145" spans="2:51">
      <c r="B145" s="539" t="s">
        <v>545</v>
      </c>
      <c r="C145" s="540" t="s">
        <v>66</v>
      </c>
      <c r="D145" s="540" t="s">
        <v>55</v>
      </c>
      <c r="E145" s="540" t="s">
        <v>648</v>
      </c>
      <c r="F145" s="540" t="s">
        <v>671</v>
      </c>
      <c r="G145" s="541">
        <v>0.01</v>
      </c>
      <c r="H145" s="541">
        <v>2.8939999999999999E-3</v>
      </c>
      <c r="I145" s="542">
        <v>0.4</v>
      </c>
      <c r="J145" s="601">
        <v>5</v>
      </c>
      <c r="K145" s="543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3"/>
      <c r="AE145" s="273"/>
      <c r="AF145" s="272"/>
      <c r="AG145" s="494" t="str">
        <f ca="1">IF('CDO Bespoke'!C170&lt;&gt;"",'CDO Bespoke'!C170,"")</f>
        <v/>
      </c>
      <c r="AH145" s="496"/>
      <c r="AI145" s="584"/>
      <c r="AJ145" s="584"/>
      <c r="AK145" s="584"/>
      <c r="AL145" s="497"/>
      <c r="AM145" s="619"/>
      <c r="AN145" s="496"/>
      <c r="AO145" s="584"/>
      <c r="AP145" s="584"/>
      <c r="AQ145" s="584"/>
      <c r="AR145" s="497"/>
      <c r="AS145" s="619"/>
      <c r="AT145" s="506"/>
      <c r="AU145" s="630"/>
      <c r="AV145" s="619"/>
      <c r="AW145" s="506"/>
      <c r="AX145" s="582"/>
      <c r="AY145" s="619"/>
    </row>
    <row r="146" spans="2:51">
      <c r="B146" s="517" t="s">
        <v>545</v>
      </c>
      <c r="C146" s="518" t="s">
        <v>66</v>
      </c>
      <c r="D146" s="518" t="s">
        <v>57</v>
      </c>
      <c r="E146" s="518" t="s">
        <v>648</v>
      </c>
      <c r="F146" s="518" t="s">
        <v>671</v>
      </c>
      <c r="G146" s="525">
        <v>0.01</v>
      </c>
      <c r="H146" s="525">
        <v>5.0400000000000002E-3</v>
      </c>
      <c r="I146" s="527">
        <v>0.4</v>
      </c>
      <c r="J146" s="593">
        <v>5</v>
      </c>
      <c r="K146" s="519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3"/>
      <c r="AC146" s="273"/>
      <c r="AD146" s="273"/>
      <c r="AE146" s="273"/>
      <c r="AF146" s="272"/>
      <c r="AG146" s="494" t="str">
        <f ca="1">IF('CDO Bespoke'!C171&lt;&gt;"",'CDO Bespoke'!C171,"")</f>
        <v/>
      </c>
      <c r="AH146" s="496"/>
      <c r="AI146" s="584"/>
      <c r="AJ146" s="584"/>
      <c r="AK146" s="584"/>
      <c r="AL146" s="497"/>
      <c r="AM146" s="619"/>
      <c r="AN146" s="496"/>
      <c r="AO146" s="584"/>
      <c r="AP146" s="584"/>
      <c r="AQ146" s="584"/>
      <c r="AR146" s="497"/>
      <c r="AS146" s="619"/>
      <c r="AT146" s="506"/>
      <c r="AU146" s="630"/>
      <c r="AV146" s="619"/>
      <c r="AW146" s="506"/>
      <c r="AX146" s="582"/>
      <c r="AY146" s="619"/>
    </row>
    <row r="147" spans="2:51">
      <c r="B147" s="534" t="s">
        <v>545</v>
      </c>
      <c r="C147" s="535" t="s">
        <v>66</v>
      </c>
      <c r="D147" s="535" t="s">
        <v>59</v>
      </c>
      <c r="E147" s="535" t="s">
        <v>648</v>
      </c>
      <c r="F147" s="535" t="s">
        <v>671</v>
      </c>
      <c r="G147" s="536">
        <v>0.01</v>
      </c>
      <c r="H147" s="536">
        <v>7.5799999999999999E-3</v>
      </c>
      <c r="I147" s="537">
        <v>0.4</v>
      </c>
      <c r="J147" s="594">
        <v>5</v>
      </c>
      <c r="K147" s="538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3"/>
      <c r="AC147" s="273"/>
      <c r="AD147" s="273"/>
      <c r="AE147" s="273"/>
      <c r="AF147" s="272"/>
      <c r="AG147" s="494" t="str">
        <f ca="1">IF('CDO Bespoke'!C172&lt;&gt;"",'CDO Bespoke'!C172,"")</f>
        <v/>
      </c>
      <c r="AH147" s="496"/>
      <c r="AI147" s="584"/>
      <c r="AJ147" s="584"/>
      <c r="AK147" s="584"/>
      <c r="AL147" s="497"/>
      <c r="AM147" s="619"/>
      <c r="AN147" s="496"/>
      <c r="AO147" s="584"/>
      <c r="AP147" s="584"/>
      <c r="AQ147" s="584"/>
      <c r="AR147" s="497"/>
      <c r="AS147" s="619"/>
      <c r="AT147" s="506"/>
      <c r="AU147" s="630"/>
      <c r="AV147" s="619"/>
      <c r="AW147" s="506"/>
      <c r="AX147" s="582"/>
      <c r="AY147" s="619"/>
    </row>
    <row r="148" spans="2:51">
      <c r="B148" s="539" t="s">
        <v>546</v>
      </c>
      <c r="C148" s="540" t="s">
        <v>66</v>
      </c>
      <c r="D148" s="540" t="s">
        <v>55</v>
      </c>
      <c r="E148" s="540" t="s">
        <v>650</v>
      </c>
      <c r="F148" s="540" t="s">
        <v>671</v>
      </c>
      <c r="G148" s="541">
        <v>0.01</v>
      </c>
      <c r="H148" s="541">
        <v>1.31E-3</v>
      </c>
      <c r="I148" s="542">
        <v>0.4</v>
      </c>
      <c r="J148" s="601">
        <v>5</v>
      </c>
      <c r="K148" s="543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3"/>
      <c r="AE148" s="273"/>
      <c r="AF148" s="272"/>
      <c r="AG148" s="494" t="str">
        <f ca="1">IF('CDO Bespoke'!C173&lt;&gt;"",'CDO Bespoke'!C173,"")</f>
        <v/>
      </c>
      <c r="AH148" s="496"/>
      <c r="AI148" s="584"/>
      <c r="AJ148" s="584"/>
      <c r="AK148" s="584"/>
      <c r="AL148" s="497"/>
      <c r="AM148" s="619"/>
      <c r="AN148" s="496"/>
      <c r="AO148" s="584"/>
      <c r="AP148" s="584"/>
      <c r="AQ148" s="584"/>
      <c r="AR148" s="497"/>
      <c r="AS148" s="619"/>
      <c r="AT148" s="506"/>
      <c r="AU148" s="630"/>
      <c r="AV148" s="619"/>
      <c r="AW148" s="506"/>
      <c r="AX148" s="582"/>
      <c r="AY148" s="619"/>
    </row>
    <row r="149" spans="2:51">
      <c r="B149" s="517" t="s">
        <v>546</v>
      </c>
      <c r="C149" s="518" t="s">
        <v>66</v>
      </c>
      <c r="D149" s="518" t="s">
        <v>57</v>
      </c>
      <c r="E149" s="518" t="s">
        <v>650</v>
      </c>
      <c r="F149" s="518" t="s">
        <v>671</v>
      </c>
      <c r="G149" s="525">
        <v>0.01</v>
      </c>
      <c r="H149" s="525">
        <v>2.2300000000000002E-3</v>
      </c>
      <c r="I149" s="527">
        <v>0.4</v>
      </c>
      <c r="J149" s="593">
        <v>5</v>
      </c>
      <c r="K149" s="519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3"/>
      <c r="AE149" s="273"/>
      <c r="AF149" s="272"/>
      <c r="AG149" s="494" t="str">
        <f ca="1">IF('CDO Bespoke'!C174&lt;&gt;"",'CDO Bespoke'!C174,"")</f>
        <v/>
      </c>
      <c r="AH149" s="496"/>
      <c r="AI149" s="584"/>
      <c r="AJ149" s="584"/>
      <c r="AK149" s="584"/>
      <c r="AL149" s="497"/>
      <c r="AM149" s="619"/>
      <c r="AN149" s="496"/>
      <c r="AO149" s="584"/>
      <c r="AP149" s="584"/>
      <c r="AQ149" s="584"/>
      <c r="AR149" s="497"/>
      <c r="AS149" s="619"/>
      <c r="AT149" s="506"/>
      <c r="AU149" s="630"/>
      <c r="AV149" s="619"/>
      <c r="AW149" s="506"/>
      <c r="AX149" s="582"/>
      <c r="AY149" s="619"/>
    </row>
    <row r="150" spans="2:51">
      <c r="B150" s="534" t="s">
        <v>546</v>
      </c>
      <c r="C150" s="535" t="s">
        <v>66</v>
      </c>
      <c r="D150" s="535" t="s">
        <v>59</v>
      </c>
      <c r="E150" s="535" t="s">
        <v>650</v>
      </c>
      <c r="F150" s="535" t="s">
        <v>671</v>
      </c>
      <c r="G150" s="536">
        <v>0.01</v>
      </c>
      <c r="H150" s="536">
        <v>3.3579999999999999E-3</v>
      </c>
      <c r="I150" s="537">
        <v>0.4</v>
      </c>
      <c r="J150" s="594">
        <v>5</v>
      </c>
      <c r="K150" s="538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3"/>
      <c r="AE150" s="273"/>
      <c r="AF150" s="272"/>
      <c r="AG150" s="494" t="str">
        <f ca="1">IF('CDO Bespoke'!C175&lt;&gt;"",'CDO Bespoke'!C175,"")</f>
        <v/>
      </c>
      <c r="AH150" s="496"/>
      <c r="AI150" s="584"/>
      <c r="AJ150" s="584"/>
      <c r="AK150" s="584"/>
      <c r="AL150" s="497"/>
      <c r="AM150" s="619"/>
      <c r="AN150" s="496"/>
      <c r="AO150" s="584"/>
      <c r="AP150" s="584"/>
      <c r="AQ150" s="584"/>
      <c r="AR150" s="497"/>
      <c r="AS150" s="619"/>
      <c r="AT150" s="506"/>
      <c r="AU150" s="630"/>
      <c r="AV150" s="619"/>
      <c r="AW150" s="506"/>
      <c r="AX150" s="582"/>
      <c r="AY150" s="619"/>
    </row>
    <row r="151" spans="2:51">
      <c r="B151" s="539" t="s">
        <v>561</v>
      </c>
      <c r="C151" s="540" t="s">
        <v>66</v>
      </c>
      <c r="D151" s="540" t="s">
        <v>55</v>
      </c>
      <c r="E151" s="540" t="s">
        <v>646</v>
      </c>
      <c r="F151" s="540" t="s">
        <v>671</v>
      </c>
      <c r="G151" s="541">
        <v>0.01</v>
      </c>
      <c r="H151" s="541">
        <v>2.1749999999999999E-3</v>
      </c>
      <c r="I151" s="542">
        <v>0.4</v>
      </c>
      <c r="J151" s="601">
        <v>5</v>
      </c>
      <c r="K151" s="543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3"/>
      <c r="AC151" s="273"/>
      <c r="AD151" s="273"/>
      <c r="AE151" s="273"/>
      <c r="AF151" s="272"/>
      <c r="AG151" s="494" t="str">
        <f ca="1">IF('CDO Bespoke'!C176&lt;&gt;"",'CDO Bespoke'!C176,"")</f>
        <v/>
      </c>
      <c r="AH151" s="496"/>
      <c r="AI151" s="584"/>
      <c r="AJ151" s="584"/>
      <c r="AK151" s="584"/>
      <c r="AL151" s="497"/>
      <c r="AM151" s="619"/>
      <c r="AN151" s="496"/>
      <c r="AO151" s="584"/>
      <c r="AP151" s="584"/>
      <c r="AQ151" s="584"/>
      <c r="AR151" s="497"/>
      <c r="AS151" s="619"/>
      <c r="AT151" s="506"/>
      <c r="AU151" s="630"/>
      <c r="AV151" s="619"/>
      <c r="AW151" s="506"/>
      <c r="AX151" s="582"/>
      <c r="AY151" s="619"/>
    </row>
    <row r="152" spans="2:51">
      <c r="B152" s="517" t="s">
        <v>561</v>
      </c>
      <c r="C152" s="518" t="s">
        <v>66</v>
      </c>
      <c r="D152" s="518" t="s">
        <v>57</v>
      </c>
      <c r="E152" s="518" t="s">
        <v>646</v>
      </c>
      <c r="F152" s="518" t="s">
        <v>671</v>
      </c>
      <c r="G152" s="525">
        <v>0.01</v>
      </c>
      <c r="H152" s="525">
        <v>3.539E-3</v>
      </c>
      <c r="I152" s="527">
        <v>0.4</v>
      </c>
      <c r="J152" s="593">
        <v>5</v>
      </c>
      <c r="K152" s="519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3"/>
      <c r="AC152" s="273"/>
      <c r="AD152" s="273"/>
      <c r="AE152" s="273"/>
      <c r="AF152" s="272"/>
      <c r="AG152" s="494" t="str">
        <f ca="1">IF('CDO Bespoke'!C177&lt;&gt;"",'CDO Bespoke'!C177,"")</f>
        <v/>
      </c>
      <c r="AH152" s="496"/>
      <c r="AI152" s="584"/>
      <c r="AJ152" s="584"/>
      <c r="AK152" s="584"/>
      <c r="AL152" s="497"/>
      <c r="AM152" s="619"/>
      <c r="AN152" s="496"/>
      <c r="AO152" s="584"/>
      <c r="AP152" s="584"/>
      <c r="AQ152" s="584"/>
      <c r="AR152" s="497"/>
      <c r="AS152" s="619"/>
      <c r="AT152" s="506"/>
      <c r="AU152" s="630"/>
      <c r="AV152" s="619"/>
      <c r="AW152" s="506"/>
      <c r="AX152" s="582"/>
      <c r="AY152" s="619"/>
    </row>
    <row r="153" spans="2:51">
      <c r="B153" s="534" t="s">
        <v>561</v>
      </c>
      <c r="C153" s="535" t="s">
        <v>66</v>
      </c>
      <c r="D153" s="535" t="s">
        <v>59</v>
      </c>
      <c r="E153" s="535" t="s">
        <v>646</v>
      </c>
      <c r="F153" s="535" t="s">
        <v>671</v>
      </c>
      <c r="G153" s="536">
        <v>0.01</v>
      </c>
      <c r="H153" s="536">
        <v>4.816E-3</v>
      </c>
      <c r="I153" s="537">
        <v>0.4</v>
      </c>
      <c r="J153" s="594">
        <v>5</v>
      </c>
      <c r="K153" s="538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3"/>
      <c r="AC153" s="273"/>
      <c r="AD153" s="273"/>
      <c r="AE153" s="273"/>
      <c r="AF153" s="272"/>
      <c r="AG153" s="494" t="str">
        <f ca="1">IF('CDO Bespoke'!C178&lt;&gt;"",'CDO Bespoke'!C178,"")</f>
        <v/>
      </c>
      <c r="AH153" s="496"/>
      <c r="AI153" s="584"/>
      <c r="AJ153" s="584"/>
      <c r="AK153" s="584"/>
      <c r="AL153" s="497"/>
      <c r="AM153" s="619"/>
      <c r="AN153" s="496"/>
      <c r="AO153" s="584"/>
      <c r="AP153" s="584"/>
      <c r="AQ153" s="584"/>
      <c r="AR153" s="497"/>
      <c r="AS153" s="619"/>
      <c r="AT153" s="506"/>
      <c r="AU153" s="630"/>
      <c r="AV153" s="619"/>
      <c r="AW153" s="506"/>
      <c r="AX153" s="582"/>
      <c r="AY153" s="619"/>
    </row>
    <row r="154" spans="2:51">
      <c r="B154" s="539" t="s">
        <v>547</v>
      </c>
      <c r="C154" s="540" t="s">
        <v>66</v>
      </c>
      <c r="D154" s="540" t="s">
        <v>55</v>
      </c>
      <c r="E154" s="540" t="s">
        <v>650</v>
      </c>
      <c r="F154" s="540" t="s">
        <v>671</v>
      </c>
      <c r="G154" s="541">
        <v>0.01</v>
      </c>
      <c r="H154" s="541">
        <v>1.6999999999999999E-3</v>
      </c>
      <c r="I154" s="542">
        <v>0.4</v>
      </c>
      <c r="J154" s="601">
        <v>5</v>
      </c>
      <c r="K154" s="543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3"/>
      <c r="AC154" s="273"/>
      <c r="AD154" s="273"/>
      <c r="AE154" s="273"/>
      <c r="AF154" s="272"/>
      <c r="AG154" s="494" t="str">
        <f ca="1">IF('CDO Bespoke'!C179&lt;&gt;"",'CDO Bespoke'!C179,"")</f>
        <v/>
      </c>
      <c r="AH154" s="496"/>
      <c r="AI154" s="584"/>
      <c r="AJ154" s="584"/>
      <c r="AK154" s="584"/>
      <c r="AL154" s="497"/>
      <c r="AM154" s="619"/>
      <c r="AN154" s="496"/>
      <c r="AO154" s="584"/>
      <c r="AP154" s="584"/>
      <c r="AQ154" s="584"/>
      <c r="AR154" s="497"/>
      <c r="AS154" s="619"/>
      <c r="AT154" s="506"/>
      <c r="AU154" s="630"/>
      <c r="AV154" s="619"/>
      <c r="AW154" s="506"/>
      <c r="AX154" s="582"/>
      <c r="AY154" s="619"/>
    </row>
    <row r="155" spans="2:51">
      <c r="B155" s="517" t="s">
        <v>547</v>
      </c>
      <c r="C155" s="518" t="s">
        <v>66</v>
      </c>
      <c r="D155" s="518" t="s">
        <v>57</v>
      </c>
      <c r="E155" s="518" t="s">
        <v>650</v>
      </c>
      <c r="F155" s="518" t="s">
        <v>671</v>
      </c>
      <c r="G155" s="525">
        <v>0.01</v>
      </c>
      <c r="H155" s="525">
        <v>2.6360000000000001E-2</v>
      </c>
      <c r="I155" s="527">
        <v>0.4</v>
      </c>
      <c r="J155" s="593">
        <v>5</v>
      </c>
      <c r="K155" s="519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3"/>
      <c r="AE155" s="273"/>
      <c r="AF155" s="272"/>
      <c r="AG155" s="494" t="str">
        <f ca="1">IF('CDO Bespoke'!C180&lt;&gt;"",'CDO Bespoke'!C180,"")</f>
        <v/>
      </c>
      <c r="AH155" s="496"/>
      <c r="AI155" s="584"/>
      <c r="AJ155" s="584"/>
      <c r="AK155" s="584"/>
      <c r="AL155" s="497"/>
      <c r="AM155" s="619"/>
      <c r="AN155" s="496"/>
      <c r="AO155" s="584"/>
      <c r="AP155" s="584"/>
      <c r="AQ155" s="584"/>
      <c r="AR155" s="497"/>
      <c r="AS155" s="619"/>
      <c r="AT155" s="506"/>
      <c r="AU155" s="630"/>
      <c r="AV155" s="619"/>
      <c r="AW155" s="506"/>
      <c r="AX155" s="582"/>
      <c r="AY155" s="619"/>
    </row>
    <row r="156" spans="2:51">
      <c r="B156" s="534" t="s">
        <v>547</v>
      </c>
      <c r="C156" s="535" t="s">
        <v>66</v>
      </c>
      <c r="D156" s="535" t="s">
        <v>59</v>
      </c>
      <c r="E156" s="535" t="s">
        <v>650</v>
      </c>
      <c r="F156" s="535" t="s">
        <v>671</v>
      </c>
      <c r="G156" s="536">
        <v>0.01</v>
      </c>
      <c r="H156" s="536">
        <v>3.9090000000000001E-3</v>
      </c>
      <c r="I156" s="537">
        <v>0.4</v>
      </c>
      <c r="J156" s="594">
        <v>5</v>
      </c>
      <c r="K156" s="538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3"/>
      <c r="AE156" s="273"/>
      <c r="AF156" s="272"/>
      <c r="AG156" s="494" t="str">
        <f ca="1">IF('CDO Bespoke'!C181&lt;&gt;"",'CDO Bespoke'!C181,"")</f>
        <v/>
      </c>
      <c r="AH156" s="496"/>
      <c r="AI156" s="584"/>
      <c r="AJ156" s="584"/>
      <c r="AK156" s="584"/>
      <c r="AL156" s="497"/>
      <c r="AM156" s="619"/>
      <c r="AN156" s="496"/>
      <c r="AO156" s="584"/>
      <c r="AP156" s="584"/>
      <c r="AQ156" s="584"/>
      <c r="AR156" s="497"/>
      <c r="AS156" s="619"/>
      <c r="AT156" s="506"/>
      <c r="AU156" s="630"/>
      <c r="AV156" s="619"/>
      <c r="AW156" s="506"/>
      <c r="AX156" s="582"/>
      <c r="AY156" s="619"/>
    </row>
    <row r="157" spans="2:51">
      <c r="B157" s="539" t="s">
        <v>614</v>
      </c>
      <c r="C157" s="540" t="s">
        <v>66</v>
      </c>
      <c r="D157" s="540" t="s">
        <v>55</v>
      </c>
      <c r="E157" s="540" t="s">
        <v>648</v>
      </c>
      <c r="F157" s="540" t="s">
        <v>671</v>
      </c>
      <c r="G157" s="541">
        <v>0.01</v>
      </c>
      <c r="H157" s="541">
        <v>1.7680000000000001E-2</v>
      </c>
      <c r="I157" s="542">
        <v>0.4</v>
      </c>
      <c r="J157" s="601">
        <v>5</v>
      </c>
      <c r="K157" s="543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3"/>
      <c r="AE157" s="273"/>
      <c r="AF157" s="272"/>
      <c r="AG157" s="494" t="str">
        <f ca="1">IF('CDO Bespoke'!C182&lt;&gt;"",'CDO Bespoke'!C182,"")</f>
        <v/>
      </c>
      <c r="AH157" s="496"/>
      <c r="AI157" s="584"/>
      <c r="AJ157" s="584"/>
      <c r="AK157" s="584"/>
      <c r="AL157" s="497"/>
      <c r="AM157" s="619"/>
      <c r="AN157" s="496"/>
      <c r="AO157" s="584"/>
      <c r="AP157" s="584"/>
      <c r="AQ157" s="584"/>
      <c r="AR157" s="497"/>
      <c r="AS157" s="619"/>
      <c r="AT157" s="506"/>
      <c r="AU157" s="630"/>
      <c r="AV157" s="619"/>
      <c r="AW157" s="506"/>
      <c r="AX157" s="582"/>
      <c r="AY157" s="619"/>
    </row>
    <row r="158" spans="2:51">
      <c r="B158" s="517" t="s">
        <v>614</v>
      </c>
      <c r="C158" s="518" t="s">
        <v>66</v>
      </c>
      <c r="D158" s="518" t="s">
        <v>57</v>
      </c>
      <c r="E158" s="518" t="s">
        <v>648</v>
      </c>
      <c r="F158" s="518" t="s">
        <v>671</v>
      </c>
      <c r="G158" s="525">
        <v>0.01</v>
      </c>
      <c r="H158" s="525">
        <v>2.5177000000000001E-2</v>
      </c>
      <c r="I158" s="527">
        <v>0.4</v>
      </c>
      <c r="J158" s="593">
        <v>5</v>
      </c>
      <c r="K158" s="519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3"/>
      <c r="AE158" s="273"/>
      <c r="AF158" s="272"/>
      <c r="AG158" s="494" t="str">
        <f ca="1">IF('CDO Bespoke'!C183&lt;&gt;"",'CDO Bespoke'!C183,"")</f>
        <v/>
      </c>
      <c r="AH158" s="496"/>
      <c r="AI158" s="584"/>
      <c r="AJ158" s="584"/>
      <c r="AK158" s="584"/>
      <c r="AL158" s="497"/>
      <c r="AM158" s="619"/>
      <c r="AN158" s="496"/>
      <c r="AO158" s="584"/>
      <c r="AP158" s="584"/>
      <c r="AQ158" s="584"/>
      <c r="AR158" s="497"/>
      <c r="AS158" s="619"/>
      <c r="AT158" s="506"/>
      <c r="AU158" s="630"/>
      <c r="AV158" s="619"/>
      <c r="AW158" s="506"/>
      <c r="AX158" s="582"/>
      <c r="AY158" s="619"/>
    </row>
    <row r="159" spans="2:51">
      <c r="B159" s="534" t="s">
        <v>614</v>
      </c>
      <c r="C159" s="535" t="s">
        <v>66</v>
      </c>
      <c r="D159" s="535" t="s">
        <v>59</v>
      </c>
      <c r="E159" s="535" t="s">
        <v>648</v>
      </c>
      <c r="F159" s="535" t="s">
        <v>671</v>
      </c>
      <c r="G159" s="536">
        <v>0.01</v>
      </c>
      <c r="H159" s="536">
        <v>3.0232999999999999E-2</v>
      </c>
      <c r="I159" s="537">
        <v>0.4</v>
      </c>
      <c r="J159" s="594">
        <v>5</v>
      </c>
      <c r="K159" s="538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3"/>
      <c r="AE159" s="273"/>
      <c r="AF159" s="272"/>
      <c r="AG159" s="494" t="str">
        <f ca="1">IF('CDO Bespoke'!C184&lt;&gt;"",'CDO Bespoke'!C184,"")</f>
        <v/>
      </c>
      <c r="AH159" s="496"/>
      <c r="AI159" s="584"/>
      <c r="AJ159" s="584"/>
      <c r="AK159" s="584"/>
      <c r="AL159" s="497"/>
      <c r="AM159" s="619"/>
      <c r="AN159" s="496"/>
      <c r="AO159" s="584"/>
      <c r="AP159" s="584"/>
      <c r="AQ159" s="584"/>
      <c r="AR159" s="497"/>
      <c r="AS159" s="619"/>
      <c r="AT159" s="506"/>
      <c r="AU159" s="630"/>
      <c r="AV159" s="619"/>
      <c r="AW159" s="506"/>
      <c r="AX159" s="582"/>
      <c r="AY159" s="619"/>
    </row>
    <row r="160" spans="2:51">
      <c r="B160" s="539" t="s">
        <v>562</v>
      </c>
      <c r="C160" s="540" t="s">
        <v>66</v>
      </c>
      <c r="D160" s="540" t="s">
        <v>55</v>
      </c>
      <c r="E160" s="540" t="s">
        <v>648</v>
      </c>
      <c r="F160" s="540" t="s">
        <v>671</v>
      </c>
      <c r="G160" s="541">
        <v>0.01</v>
      </c>
      <c r="H160" s="541">
        <v>1.828E-3</v>
      </c>
      <c r="I160" s="542">
        <v>0.4</v>
      </c>
      <c r="J160" s="601">
        <v>5</v>
      </c>
      <c r="K160" s="543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3"/>
      <c r="AE160" s="273"/>
      <c r="AF160" s="272"/>
      <c r="AG160" s="494" t="str">
        <f ca="1">IF('CDO Bespoke'!C185&lt;&gt;"",'CDO Bespoke'!C185,"")</f>
        <v/>
      </c>
      <c r="AH160" s="496"/>
      <c r="AI160" s="584"/>
      <c r="AJ160" s="584"/>
      <c r="AK160" s="584"/>
      <c r="AL160" s="497"/>
      <c r="AM160" s="619"/>
      <c r="AN160" s="496"/>
      <c r="AO160" s="584"/>
      <c r="AP160" s="584"/>
      <c r="AQ160" s="584"/>
      <c r="AR160" s="497"/>
      <c r="AS160" s="619"/>
      <c r="AT160" s="506"/>
      <c r="AU160" s="630"/>
      <c r="AV160" s="619"/>
      <c r="AW160" s="506"/>
      <c r="AX160" s="582"/>
      <c r="AY160" s="619"/>
    </row>
    <row r="161" spans="2:51">
      <c r="B161" s="517" t="s">
        <v>562</v>
      </c>
      <c r="C161" s="518" t="s">
        <v>66</v>
      </c>
      <c r="D161" s="518" t="s">
        <v>57</v>
      </c>
      <c r="E161" s="518" t="s">
        <v>648</v>
      </c>
      <c r="F161" s="518" t="s">
        <v>671</v>
      </c>
      <c r="G161" s="525">
        <v>0.01</v>
      </c>
      <c r="H161" s="525">
        <v>3.0709999999999999E-3</v>
      </c>
      <c r="I161" s="527">
        <v>0.4</v>
      </c>
      <c r="J161" s="593">
        <v>5</v>
      </c>
      <c r="K161" s="519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3"/>
      <c r="AE161" s="273"/>
      <c r="AF161" s="272"/>
      <c r="AG161" s="494" t="str">
        <f ca="1">IF('CDO Bespoke'!C186&lt;&gt;"",'CDO Bespoke'!C186,"")</f>
        <v/>
      </c>
      <c r="AH161" s="496"/>
      <c r="AI161" s="584"/>
      <c r="AJ161" s="584"/>
      <c r="AK161" s="584"/>
      <c r="AL161" s="497"/>
      <c r="AM161" s="619"/>
      <c r="AN161" s="496"/>
      <c r="AO161" s="584"/>
      <c r="AP161" s="584"/>
      <c r="AQ161" s="584"/>
      <c r="AR161" s="497"/>
      <c r="AS161" s="619"/>
      <c r="AT161" s="506"/>
      <c r="AU161" s="630"/>
      <c r="AV161" s="619"/>
      <c r="AW161" s="506"/>
      <c r="AX161" s="582"/>
      <c r="AY161" s="619"/>
    </row>
    <row r="162" spans="2:51">
      <c r="B162" s="534" t="s">
        <v>562</v>
      </c>
      <c r="C162" s="535" t="s">
        <v>66</v>
      </c>
      <c r="D162" s="535" t="s">
        <v>59</v>
      </c>
      <c r="E162" s="535" t="s">
        <v>648</v>
      </c>
      <c r="F162" s="535" t="s">
        <v>671</v>
      </c>
      <c r="G162" s="536">
        <v>0.01</v>
      </c>
      <c r="H162" s="536">
        <v>4.3569999999999998E-3</v>
      </c>
      <c r="I162" s="537">
        <v>0.4</v>
      </c>
      <c r="J162" s="594">
        <v>5</v>
      </c>
      <c r="K162" s="538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3"/>
      <c r="AE162" s="273"/>
      <c r="AF162" s="272"/>
      <c r="AG162" s="494" t="str">
        <f ca="1">IF('CDO Bespoke'!C187&lt;&gt;"",'CDO Bespoke'!C187,"")</f>
        <v/>
      </c>
      <c r="AH162" s="496"/>
      <c r="AI162" s="584"/>
      <c r="AJ162" s="584"/>
      <c r="AK162" s="584"/>
      <c r="AL162" s="497"/>
      <c r="AM162" s="619"/>
      <c r="AN162" s="496"/>
      <c r="AO162" s="584"/>
      <c r="AP162" s="584"/>
      <c r="AQ162" s="584"/>
      <c r="AR162" s="497"/>
      <c r="AS162" s="619"/>
      <c r="AT162" s="506"/>
      <c r="AU162" s="630"/>
      <c r="AV162" s="619"/>
      <c r="AW162" s="506"/>
      <c r="AX162" s="582"/>
      <c r="AY162" s="619"/>
    </row>
    <row r="163" spans="2:51">
      <c r="B163" s="539" t="s">
        <v>548</v>
      </c>
      <c r="C163" s="540" t="s">
        <v>66</v>
      </c>
      <c r="D163" s="540" t="s">
        <v>55</v>
      </c>
      <c r="E163" s="540" t="s">
        <v>646</v>
      </c>
      <c r="F163" s="540" t="s">
        <v>671</v>
      </c>
      <c r="G163" s="541">
        <v>0.01</v>
      </c>
      <c r="H163" s="541">
        <v>1.338E-3</v>
      </c>
      <c r="I163" s="542">
        <v>0.4</v>
      </c>
      <c r="J163" s="601">
        <v>5</v>
      </c>
      <c r="K163" s="543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3"/>
      <c r="AE163" s="273"/>
      <c r="AF163" s="272"/>
      <c r="AG163" s="494" t="str">
        <f ca="1">IF('CDO Bespoke'!C188&lt;&gt;"",'CDO Bespoke'!C188,"")</f>
        <v/>
      </c>
      <c r="AH163" s="496"/>
      <c r="AI163" s="584"/>
      <c r="AJ163" s="584"/>
      <c r="AK163" s="584"/>
      <c r="AL163" s="497"/>
      <c r="AM163" s="619"/>
      <c r="AN163" s="496"/>
      <c r="AO163" s="584"/>
      <c r="AP163" s="584"/>
      <c r="AQ163" s="584"/>
      <c r="AR163" s="497"/>
      <c r="AS163" s="619"/>
      <c r="AT163" s="506"/>
      <c r="AU163" s="630"/>
      <c r="AV163" s="619"/>
      <c r="AW163" s="506"/>
      <c r="AX163" s="582"/>
      <c r="AY163" s="619"/>
    </row>
    <row r="164" spans="2:51">
      <c r="B164" s="517" t="s">
        <v>548</v>
      </c>
      <c r="C164" s="518" t="s">
        <v>66</v>
      </c>
      <c r="D164" s="518" t="s">
        <v>57</v>
      </c>
      <c r="E164" s="518" t="s">
        <v>646</v>
      </c>
      <c r="F164" s="518" t="s">
        <v>671</v>
      </c>
      <c r="G164" s="525">
        <v>0.01</v>
      </c>
      <c r="H164" s="525">
        <v>2.0349999999999999E-3</v>
      </c>
      <c r="I164" s="527">
        <v>0.4</v>
      </c>
      <c r="J164" s="593">
        <v>5</v>
      </c>
      <c r="K164" s="519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3"/>
      <c r="AE164" s="273"/>
      <c r="AF164" s="272"/>
      <c r="AG164" s="494" t="str">
        <f ca="1">IF('CDO Bespoke'!C189&lt;&gt;"",'CDO Bespoke'!C189,"")</f>
        <v/>
      </c>
      <c r="AH164" s="496"/>
      <c r="AI164" s="584"/>
      <c r="AJ164" s="584"/>
      <c r="AK164" s="584"/>
      <c r="AL164" s="497"/>
      <c r="AM164" s="619"/>
      <c r="AN164" s="496"/>
      <c r="AO164" s="584"/>
      <c r="AP164" s="584"/>
      <c r="AQ164" s="584"/>
      <c r="AR164" s="497"/>
      <c r="AS164" s="619"/>
      <c r="AT164" s="506"/>
      <c r="AU164" s="630"/>
      <c r="AV164" s="619"/>
      <c r="AW164" s="506"/>
      <c r="AX164" s="582"/>
      <c r="AY164" s="619"/>
    </row>
    <row r="165" spans="2:51">
      <c r="B165" s="534" t="s">
        <v>548</v>
      </c>
      <c r="C165" s="535" t="s">
        <v>66</v>
      </c>
      <c r="D165" s="535" t="s">
        <v>59</v>
      </c>
      <c r="E165" s="535" t="s">
        <v>646</v>
      </c>
      <c r="F165" s="535" t="s">
        <v>671</v>
      </c>
      <c r="G165" s="536">
        <v>0.01</v>
      </c>
      <c r="H165" s="536">
        <v>2.843E-3</v>
      </c>
      <c r="I165" s="537">
        <v>0.4</v>
      </c>
      <c r="J165" s="594">
        <v>5</v>
      </c>
      <c r="K165" s="538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3"/>
      <c r="AE165" s="273"/>
      <c r="AF165" s="272"/>
      <c r="AG165" s="494" t="str">
        <f ca="1">IF('CDO Bespoke'!C190&lt;&gt;"",'CDO Bespoke'!C190,"")</f>
        <v/>
      </c>
      <c r="AH165" s="496"/>
      <c r="AI165" s="584"/>
      <c r="AJ165" s="584"/>
      <c r="AK165" s="584"/>
      <c r="AL165" s="497"/>
      <c r="AM165" s="619"/>
      <c r="AN165" s="496"/>
      <c r="AO165" s="584"/>
      <c r="AP165" s="584"/>
      <c r="AQ165" s="584"/>
      <c r="AR165" s="497"/>
      <c r="AS165" s="619"/>
      <c r="AT165" s="506"/>
      <c r="AU165" s="630"/>
      <c r="AV165" s="619"/>
      <c r="AW165" s="506"/>
      <c r="AX165" s="582"/>
      <c r="AY165" s="619"/>
    </row>
    <row r="166" spans="2:51">
      <c r="B166" s="539" t="s">
        <v>563</v>
      </c>
      <c r="C166" s="540" t="s">
        <v>66</v>
      </c>
      <c r="D166" s="540" t="s">
        <v>55</v>
      </c>
      <c r="E166" s="540" t="s">
        <v>648</v>
      </c>
      <c r="F166" s="540" t="s">
        <v>671</v>
      </c>
      <c r="G166" s="541">
        <v>0.01</v>
      </c>
      <c r="H166" s="541">
        <v>4.5620000000000001E-3</v>
      </c>
      <c r="I166" s="542">
        <v>0.4</v>
      </c>
      <c r="J166" s="601">
        <v>5</v>
      </c>
      <c r="K166" s="543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3"/>
      <c r="AE166" s="273"/>
      <c r="AF166" s="272"/>
      <c r="AG166" s="494" t="str">
        <f ca="1">IF('CDO Bespoke'!C191&lt;&gt;"",'CDO Bespoke'!C191,"")</f>
        <v/>
      </c>
      <c r="AH166" s="496"/>
      <c r="AI166" s="584"/>
      <c r="AJ166" s="584"/>
      <c r="AK166" s="584"/>
      <c r="AL166" s="497"/>
      <c r="AM166" s="619"/>
      <c r="AN166" s="496"/>
      <c r="AO166" s="584"/>
      <c r="AP166" s="584"/>
      <c r="AQ166" s="584"/>
      <c r="AR166" s="497"/>
      <c r="AS166" s="619"/>
      <c r="AT166" s="506"/>
      <c r="AU166" s="630"/>
      <c r="AV166" s="619"/>
      <c r="AW166" s="506"/>
      <c r="AX166" s="582"/>
      <c r="AY166" s="619"/>
    </row>
    <row r="167" spans="2:51">
      <c r="B167" s="517" t="s">
        <v>563</v>
      </c>
      <c r="C167" s="518" t="s">
        <v>66</v>
      </c>
      <c r="D167" s="518" t="s">
        <v>57</v>
      </c>
      <c r="E167" s="518" t="s">
        <v>648</v>
      </c>
      <c r="F167" s="518" t="s">
        <v>671</v>
      </c>
      <c r="G167" s="525">
        <v>0.01</v>
      </c>
      <c r="H167" s="525">
        <v>7.5360000000000002E-3</v>
      </c>
      <c r="I167" s="527">
        <v>0.4</v>
      </c>
      <c r="J167" s="593">
        <v>5</v>
      </c>
      <c r="K167" s="519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3"/>
      <c r="AE167" s="273"/>
      <c r="AF167" s="272"/>
      <c r="AG167" s="494" t="str">
        <f ca="1">IF('CDO Bespoke'!C192&lt;&gt;"",'CDO Bespoke'!C192,"")</f>
        <v/>
      </c>
      <c r="AH167" s="496"/>
      <c r="AI167" s="584"/>
      <c r="AJ167" s="584"/>
      <c r="AK167" s="584"/>
      <c r="AL167" s="497"/>
      <c r="AM167" s="619"/>
      <c r="AN167" s="496"/>
      <c r="AO167" s="584"/>
      <c r="AP167" s="584"/>
      <c r="AQ167" s="584"/>
      <c r="AR167" s="497"/>
      <c r="AS167" s="619"/>
      <c r="AT167" s="506"/>
      <c r="AU167" s="630"/>
      <c r="AV167" s="619"/>
      <c r="AW167" s="506"/>
      <c r="AX167" s="582"/>
      <c r="AY167" s="619"/>
    </row>
    <row r="168" spans="2:51">
      <c r="B168" s="534" t="s">
        <v>563</v>
      </c>
      <c r="C168" s="535" t="s">
        <v>66</v>
      </c>
      <c r="D168" s="535" t="s">
        <v>59</v>
      </c>
      <c r="E168" s="535" t="s">
        <v>648</v>
      </c>
      <c r="F168" s="535" t="s">
        <v>671</v>
      </c>
      <c r="G168" s="536">
        <v>0.01</v>
      </c>
      <c r="H168" s="536">
        <v>1.0989000000000001E-2</v>
      </c>
      <c r="I168" s="537">
        <v>0.4</v>
      </c>
      <c r="J168" s="594">
        <v>5</v>
      </c>
      <c r="K168" s="538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3"/>
      <c r="AE168" s="273"/>
      <c r="AF168" s="272"/>
      <c r="AG168" s="494" t="str">
        <f ca="1">IF('CDO Bespoke'!C193&lt;&gt;"",'CDO Bespoke'!C193,"")</f>
        <v/>
      </c>
      <c r="AH168" s="496"/>
      <c r="AI168" s="584"/>
      <c r="AJ168" s="584"/>
      <c r="AK168" s="584"/>
      <c r="AL168" s="497"/>
      <c r="AM168" s="619"/>
      <c r="AN168" s="496"/>
      <c r="AO168" s="584"/>
      <c r="AP168" s="584"/>
      <c r="AQ168" s="584"/>
      <c r="AR168" s="497"/>
      <c r="AS168" s="619"/>
      <c r="AT168" s="506"/>
      <c r="AU168" s="630"/>
      <c r="AV168" s="619"/>
      <c r="AW168" s="506"/>
      <c r="AX168" s="582"/>
      <c r="AY168" s="619"/>
    </row>
    <row r="169" spans="2:51">
      <c r="B169" s="539" t="s">
        <v>549</v>
      </c>
      <c r="C169" s="540" t="s">
        <v>66</v>
      </c>
      <c r="D169" s="540" t="s">
        <v>55</v>
      </c>
      <c r="E169" s="540" t="s">
        <v>646</v>
      </c>
      <c r="F169" s="540" t="s">
        <v>671</v>
      </c>
      <c r="G169" s="541">
        <v>0.01</v>
      </c>
      <c r="H169" s="541">
        <v>2.6589999999999999E-3</v>
      </c>
      <c r="I169" s="542">
        <v>0.4</v>
      </c>
      <c r="J169" s="601">
        <v>5</v>
      </c>
      <c r="K169" s="543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3"/>
      <c r="AE169" s="273"/>
      <c r="AF169" s="272"/>
      <c r="AG169" s="494" t="str">
        <f ca="1">IF('CDO Bespoke'!C194&lt;&gt;"",'CDO Bespoke'!C194,"")</f>
        <v/>
      </c>
      <c r="AH169" s="496"/>
      <c r="AI169" s="584"/>
      <c r="AJ169" s="584"/>
      <c r="AK169" s="584"/>
      <c r="AL169" s="497"/>
      <c r="AM169" s="619"/>
      <c r="AN169" s="496"/>
      <c r="AO169" s="584"/>
      <c r="AP169" s="584"/>
      <c r="AQ169" s="584"/>
      <c r="AR169" s="497"/>
      <c r="AS169" s="619"/>
      <c r="AT169" s="506"/>
      <c r="AU169" s="630"/>
      <c r="AV169" s="619"/>
      <c r="AW169" s="506"/>
      <c r="AX169" s="582"/>
      <c r="AY169" s="619"/>
    </row>
    <row r="170" spans="2:51">
      <c r="B170" s="517" t="s">
        <v>549</v>
      </c>
      <c r="C170" s="518" t="s">
        <v>66</v>
      </c>
      <c r="D170" s="518" t="s">
        <v>57</v>
      </c>
      <c r="E170" s="518" t="s">
        <v>646</v>
      </c>
      <c r="F170" s="518" t="s">
        <v>671</v>
      </c>
      <c r="G170" s="525">
        <v>0.01</v>
      </c>
      <c r="H170" s="525">
        <v>4.2420000000000001E-3</v>
      </c>
      <c r="I170" s="527">
        <v>0.4</v>
      </c>
      <c r="J170" s="593">
        <v>5</v>
      </c>
      <c r="K170" s="519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3"/>
      <c r="AE170" s="273"/>
      <c r="AF170" s="272"/>
      <c r="AG170" s="494" t="str">
        <f ca="1">IF('CDO Bespoke'!C195&lt;&gt;"",'CDO Bespoke'!C195,"")</f>
        <v/>
      </c>
      <c r="AH170" s="496"/>
      <c r="AI170" s="584"/>
      <c r="AJ170" s="584"/>
      <c r="AK170" s="584"/>
      <c r="AL170" s="497"/>
      <c r="AM170" s="619"/>
      <c r="AN170" s="496"/>
      <c r="AO170" s="584"/>
      <c r="AP170" s="584"/>
      <c r="AQ170" s="584"/>
      <c r="AR170" s="497"/>
      <c r="AS170" s="619"/>
      <c r="AT170" s="506"/>
      <c r="AU170" s="630"/>
      <c r="AV170" s="619"/>
      <c r="AW170" s="506"/>
      <c r="AX170" s="582"/>
      <c r="AY170" s="619"/>
    </row>
    <row r="171" spans="2:51">
      <c r="B171" s="534" t="s">
        <v>549</v>
      </c>
      <c r="C171" s="535" t="s">
        <v>66</v>
      </c>
      <c r="D171" s="535" t="s">
        <v>59</v>
      </c>
      <c r="E171" s="535" t="s">
        <v>646</v>
      </c>
      <c r="F171" s="535" t="s">
        <v>671</v>
      </c>
      <c r="G171" s="536">
        <v>0.01</v>
      </c>
      <c r="H171" s="536">
        <v>5.659E-3</v>
      </c>
      <c r="I171" s="537">
        <v>0.4</v>
      </c>
      <c r="J171" s="594">
        <v>5</v>
      </c>
      <c r="K171" s="538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3"/>
      <c r="AE171" s="273"/>
      <c r="AF171" s="272"/>
      <c r="AG171" s="494" t="str">
        <f ca="1">IF('CDO Bespoke'!C196&lt;&gt;"",'CDO Bespoke'!C196,"")</f>
        <v/>
      </c>
      <c r="AH171" s="496"/>
      <c r="AI171" s="584"/>
      <c r="AJ171" s="584"/>
      <c r="AK171" s="584"/>
      <c r="AL171" s="497"/>
      <c r="AM171" s="619"/>
      <c r="AN171" s="496"/>
      <c r="AO171" s="584"/>
      <c r="AP171" s="584"/>
      <c r="AQ171" s="584"/>
      <c r="AR171" s="497"/>
      <c r="AS171" s="619"/>
      <c r="AT171" s="506"/>
      <c r="AU171" s="630"/>
      <c r="AV171" s="619"/>
      <c r="AW171" s="506"/>
      <c r="AX171" s="582"/>
      <c r="AY171" s="619"/>
    </row>
    <row r="172" spans="2:51">
      <c r="B172" s="539" t="s">
        <v>550</v>
      </c>
      <c r="C172" s="540" t="s">
        <v>66</v>
      </c>
      <c r="D172" s="540" t="s">
        <v>55</v>
      </c>
      <c r="E172" s="540" t="s">
        <v>648</v>
      </c>
      <c r="F172" s="540" t="s">
        <v>671</v>
      </c>
      <c r="G172" s="541">
        <v>0.01</v>
      </c>
      <c r="H172" s="541">
        <v>1.866E-3</v>
      </c>
      <c r="I172" s="542">
        <v>0.4</v>
      </c>
      <c r="J172" s="601">
        <v>5</v>
      </c>
      <c r="K172" s="543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3"/>
      <c r="AE172" s="273"/>
      <c r="AF172" s="272"/>
      <c r="AG172" s="494" t="str">
        <f ca="1">IF('CDO Bespoke'!C197&lt;&gt;"",'CDO Bespoke'!C197,"")</f>
        <v/>
      </c>
      <c r="AH172" s="496"/>
      <c r="AI172" s="584"/>
      <c r="AJ172" s="584"/>
      <c r="AK172" s="584"/>
      <c r="AL172" s="497"/>
      <c r="AM172" s="619"/>
      <c r="AN172" s="496"/>
      <c r="AO172" s="584"/>
      <c r="AP172" s="584"/>
      <c r="AQ172" s="584"/>
      <c r="AR172" s="497"/>
      <c r="AS172" s="619"/>
      <c r="AT172" s="506"/>
      <c r="AU172" s="630"/>
      <c r="AV172" s="619"/>
      <c r="AW172" s="506"/>
      <c r="AX172" s="582"/>
      <c r="AY172" s="619"/>
    </row>
    <row r="173" spans="2:51">
      <c r="B173" s="517" t="s">
        <v>550</v>
      </c>
      <c r="C173" s="518" t="s">
        <v>66</v>
      </c>
      <c r="D173" s="518" t="s">
        <v>57</v>
      </c>
      <c r="E173" s="518" t="s">
        <v>648</v>
      </c>
      <c r="F173" s="518" t="s">
        <v>671</v>
      </c>
      <c r="G173" s="525">
        <v>0.01</v>
      </c>
      <c r="H173" s="525">
        <v>3.0259999999999999E-2</v>
      </c>
      <c r="I173" s="527">
        <v>0.4</v>
      </c>
      <c r="J173" s="593">
        <v>5</v>
      </c>
      <c r="K173" s="519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3"/>
      <c r="AE173" s="273"/>
      <c r="AF173" s="272"/>
      <c r="AG173" s="494" t="str">
        <f ca="1">IF('CDO Bespoke'!C198&lt;&gt;"",'CDO Bespoke'!C198,"")</f>
        <v/>
      </c>
      <c r="AH173" s="496"/>
      <c r="AI173" s="584"/>
      <c r="AJ173" s="584"/>
      <c r="AK173" s="584"/>
      <c r="AL173" s="497"/>
      <c r="AM173" s="619"/>
      <c r="AN173" s="496"/>
      <c r="AO173" s="584"/>
      <c r="AP173" s="584"/>
      <c r="AQ173" s="584"/>
      <c r="AR173" s="497"/>
      <c r="AS173" s="619"/>
      <c r="AT173" s="506"/>
      <c r="AU173" s="630"/>
      <c r="AV173" s="619"/>
      <c r="AW173" s="506"/>
      <c r="AX173" s="582"/>
      <c r="AY173" s="619"/>
    </row>
    <row r="174" spans="2:51">
      <c r="B174" s="534" t="s">
        <v>550</v>
      </c>
      <c r="C174" s="535" t="s">
        <v>66</v>
      </c>
      <c r="D174" s="535" t="s">
        <v>59</v>
      </c>
      <c r="E174" s="535" t="s">
        <v>648</v>
      </c>
      <c r="F174" s="535" t="s">
        <v>671</v>
      </c>
      <c r="G174" s="536">
        <v>0.01</v>
      </c>
      <c r="H174" s="536">
        <v>4.2849999999999997E-3</v>
      </c>
      <c r="I174" s="537">
        <v>0.4</v>
      </c>
      <c r="J174" s="594">
        <v>5</v>
      </c>
      <c r="K174" s="538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3"/>
      <c r="AE174" s="273"/>
      <c r="AF174" s="272"/>
      <c r="AG174" s="494" t="str">
        <f ca="1">IF('CDO Bespoke'!C199&lt;&gt;"",'CDO Bespoke'!C199,"")</f>
        <v/>
      </c>
      <c r="AH174" s="496"/>
      <c r="AI174" s="584"/>
      <c r="AJ174" s="584"/>
      <c r="AK174" s="584"/>
      <c r="AL174" s="497"/>
      <c r="AM174" s="619"/>
      <c r="AN174" s="496"/>
      <c r="AO174" s="584"/>
      <c r="AP174" s="584"/>
      <c r="AQ174" s="584"/>
      <c r="AR174" s="497"/>
      <c r="AS174" s="619"/>
      <c r="AT174" s="506"/>
      <c r="AU174" s="630"/>
      <c r="AV174" s="619"/>
      <c r="AW174" s="506"/>
      <c r="AX174" s="582"/>
      <c r="AY174" s="619"/>
    </row>
    <row r="175" spans="2:51">
      <c r="B175" s="539" t="s">
        <v>551</v>
      </c>
      <c r="C175" s="540" t="s">
        <v>66</v>
      </c>
      <c r="D175" s="540" t="s">
        <v>55</v>
      </c>
      <c r="E175" s="540" t="s">
        <v>648</v>
      </c>
      <c r="F175" s="540" t="s">
        <v>671</v>
      </c>
      <c r="G175" s="541">
        <v>0.01</v>
      </c>
      <c r="H175" s="541">
        <v>3.153E-3</v>
      </c>
      <c r="I175" s="542">
        <v>0.4</v>
      </c>
      <c r="J175" s="601">
        <v>5</v>
      </c>
      <c r="K175" s="543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3"/>
      <c r="AE175" s="273"/>
      <c r="AF175" s="272"/>
      <c r="AG175" s="494" t="str">
        <f ca="1">IF('CDO Bespoke'!C200&lt;&gt;"",'CDO Bespoke'!C200,"")</f>
        <v/>
      </c>
      <c r="AH175" s="496"/>
      <c r="AI175" s="584"/>
      <c r="AJ175" s="584"/>
      <c r="AK175" s="584"/>
      <c r="AL175" s="497"/>
      <c r="AM175" s="619"/>
      <c r="AN175" s="496"/>
      <c r="AO175" s="584"/>
      <c r="AP175" s="584"/>
      <c r="AQ175" s="584"/>
      <c r="AR175" s="497"/>
      <c r="AS175" s="619"/>
      <c r="AT175" s="506"/>
      <c r="AU175" s="630"/>
      <c r="AV175" s="619"/>
      <c r="AW175" s="506"/>
      <c r="AX175" s="582"/>
      <c r="AY175" s="619"/>
    </row>
    <row r="176" spans="2:51">
      <c r="B176" s="517" t="s">
        <v>551</v>
      </c>
      <c r="C176" s="518" t="s">
        <v>66</v>
      </c>
      <c r="D176" s="518" t="s">
        <v>57</v>
      </c>
      <c r="E176" s="518" t="s">
        <v>648</v>
      </c>
      <c r="F176" s="518" t="s">
        <v>671</v>
      </c>
      <c r="G176" s="525">
        <v>0.01</v>
      </c>
      <c r="H176" s="525">
        <v>4.9170000000000004E-3</v>
      </c>
      <c r="I176" s="527">
        <v>0.4</v>
      </c>
      <c r="J176" s="593">
        <v>5</v>
      </c>
      <c r="K176" s="519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3"/>
      <c r="AE176" s="273"/>
      <c r="AF176" s="272"/>
      <c r="AG176" s="494" t="str">
        <f ca="1">IF('CDO Bespoke'!C201&lt;&gt;"",'CDO Bespoke'!C201,"")</f>
        <v/>
      </c>
      <c r="AH176" s="496"/>
      <c r="AI176" s="584"/>
      <c r="AJ176" s="584"/>
      <c r="AK176" s="584"/>
      <c r="AL176" s="497"/>
      <c r="AM176" s="619"/>
      <c r="AN176" s="496"/>
      <c r="AO176" s="584"/>
      <c r="AP176" s="584"/>
      <c r="AQ176" s="584"/>
      <c r="AR176" s="497"/>
      <c r="AS176" s="619"/>
      <c r="AT176" s="506"/>
      <c r="AU176" s="630"/>
      <c r="AV176" s="619"/>
      <c r="AW176" s="506"/>
      <c r="AX176" s="582"/>
      <c r="AY176" s="619"/>
    </row>
    <row r="177" spans="2:51">
      <c r="B177" s="534" t="s">
        <v>551</v>
      </c>
      <c r="C177" s="535" t="s">
        <v>66</v>
      </c>
      <c r="D177" s="535" t="s">
        <v>59</v>
      </c>
      <c r="E177" s="535" t="s">
        <v>648</v>
      </c>
      <c r="F177" s="535" t="s">
        <v>671</v>
      </c>
      <c r="G177" s="536">
        <v>0.01</v>
      </c>
      <c r="H177" s="536">
        <v>6.8279999999999999E-3</v>
      </c>
      <c r="I177" s="537">
        <v>0.4</v>
      </c>
      <c r="J177" s="594">
        <v>5</v>
      </c>
      <c r="K177" s="538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3"/>
      <c r="AE177" s="273"/>
      <c r="AF177" s="272"/>
      <c r="AG177" s="494" t="str">
        <f ca="1">IF('CDO Bespoke'!C202&lt;&gt;"",'CDO Bespoke'!C202,"")</f>
        <v/>
      </c>
      <c r="AH177" s="496"/>
      <c r="AI177" s="584"/>
      <c r="AJ177" s="584"/>
      <c r="AK177" s="584"/>
      <c r="AL177" s="497"/>
      <c r="AM177" s="619"/>
      <c r="AN177" s="496"/>
      <c r="AO177" s="584"/>
      <c r="AP177" s="584"/>
      <c r="AQ177" s="584"/>
      <c r="AR177" s="497"/>
      <c r="AS177" s="619"/>
      <c r="AT177" s="506"/>
      <c r="AU177" s="630"/>
      <c r="AV177" s="619"/>
      <c r="AW177" s="506"/>
      <c r="AX177" s="582"/>
      <c r="AY177" s="619"/>
    </row>
    <row r="178" spans="2:51">
      <c r="B178" s="539" t="s">
        <v>552</v>
      </c>
      <c r="C178" s="540" t="s">
        <v>66</v>
      </c>
      <c r="D178" s="540" t="s">
        <v>55</v>
      </c>
      <c r="E178" s="540" t="s">
        <v>648</v>
      </c>
      <c r="F178" s="540" t="s">
        <v>671</v>
      </c>
      <c r="G178" s="541">
        <v>0.01</v>
      </c>
      <c r="H178" s="541">
        <v>6.7999999999999996E-3</v>
      </c>
      <c r="I178" s="542">
        <v>0.4</v>
      </c>
      <c r="J178" s="601">
        <v>5</v>
      </c>
      <c r="K178" s="543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3"/>
      <c r="AE178" s="273"/>
      <c r="AF178" s="272"/>
      <c r="AG178" s="494" t="str">
        <f ca="1">IF('CDO Bespoke'!C203&lt;&gt;"",'CDO Bespoke'!C203,"")</f>
        <v/>
      </c>
      <c r="AH178" s="496"/>
      <c r="AI178" s="584"/>
      <c r="AJ178" s="584"/>
      <c r="AK178" s="584"/>
      <c r="AL178" s="497"/>
      <c r="AM178" s="619"/>
      <c r="AN178" s="496"/>
      <c r="AO178" s="584"/>
      <c r="AP178" s="584"/>
      <c r="AQ178" s="584"/>
      <c r="AR178" s="497"/>
      <c r="AS178" s="619"/>
      <c r="AT178" s="506"/>
      <c r="AU178" s="630"/>
      <c r="AV178" s="619"/>
      <c r="AW178" s="506"/>
      <c r="AX178" s="582"/>
      <c r="AY178" s="619"/>
    </row>
    <row r="179" spans="2:51">
      <c r="B179" s="517" t="s">
        <v>552</v>
      </c>
      <c r="C179" s="518" t="s">
        <v>66</v>
      </c>
      <c r="D179" s="518" t="s">
        <v>57</v>
      </c>
      <c r="E179" s="518" t="s">
        <v>648</v>
      </c>
      <c r="F179" s="518" t="s">
        <v>671</v>
      </c>
      <c r="G179" s="525">
        <v>0.01</v>
      </c>
      <c r="H179" s="525">
        <v>1.1743E-2</v>
      </c>
      <c r="I179" s="527">
        <v>0.4</v>
      </c>
      <c r="J179" s="593">
        <v>5</v>
      </c>
      <c r="K179" s="519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3"/>
      <c r="AE179" s="273"/>
      <c r="AF179" s="272"/>
      <c r="AG179" s="494" t="str">
        <f ca="1">IF('CDO Bespoke'!C204&lt;&gt;"",'CDO Bespoke'!C204,"")</f>
        <v/>
      </c>
      <c r="AH179" s="496"/>
      <c r="AI179" s="584"/>
      <c r="AJ179" s="584"/>
      <c r="AK179" s="584"/>
      <c r="AL179" s="497"/>
      <c r="AM179" s="619"/>
      <c r="AN179" s="496"/>
      <c r="AO179" s="584"/>
      <c r="AP179" s="584"/>
      <c r="AQ179" s="584"/>
      <c r="AR179" s="497"/>
      <c r="AS179" s="619"/>
      <c r="AT179" s="506"/>
      <c r="AU179" s="630"/>
      <c r="AV179" s="619"/>
      <c r="AW179" s="506"/>
      <c r="AX179" s="582"/>
      <c r="AY179" s="619"/>
    </row>
    <row r="180" spans="2:51">
      <c r="B180" s="534" t="s">
        <v>552</v>
      </c>
      <c r="C180" s="535" t="s">
        <v>66</v>
      </c>
      <c r="D180" s="535" t="s">
        <v>59</v>
      </c>
      <c r="E180" s="535" t="s">
        <v>648</v>
      </c>
      <c r="F180" s="535" t="s">
        <v>671</v>
      </c>
      <c r="G180" s="536">
        <v>0.01</v>
      </c>
      <c r="H180" s="536">
        <v>1.5325E-2</v>
      </c>
      <c r="I180" s="537">
        <v>0.4</v>
      </c>
      <c r="J180" s="594">
        <v>5</v>
      </c>
      <c r="K180" s="538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3"/>
      <c r="AE180" s="273"/>
      <c r="AF180" s="272"/>
      <c r="AG180" s="494" t="str">
        <f ca="1">IF('CDO Bespoke'!C205&lt;&gt;"",'CDO Bespoke'!C205,"")</f>
        <v/>
      </c>
      <c r="AH180" s="496"/>
      <c r="AI180" s="584"/>
      <c r="AJ180" s="584"/>
      <c r="AK180" s="584"/>
      <c r="AL180" s="497"/>
      <c r="AM180" s="619"/>
      <c r="AN180" s="496"/>
      <c r="AO180" s="584"/>
      <c r="AP180" s="584"/>
      <c r="AQ180" s="584"/>
      <c r="AR180" s="497"/>
      <c r="AS180" s="619"/>
      <c r="AT180" s="506"/>
      <c r="AU180" s="630"/>
      <c r="AV180" s="619"/>
      <c r="AW180" s="506"/>
      <c r="AX180" s="582"/>
      <c r="AY180" s="619"/>
    </row>
    <row r="181" spans="2:51">
      <c r="B181" s="539" t="s">
        <v>553</v>
      </c>
      <c r="C181" s="540" t="s">
        <v>66</v>
      </c>
      <c r="D181" s="540" t="s">
        <v>55</v>
      </c>
      <c r="E181" s="540" t="s">
        <v>650</v>
      </c>
      <c r="F181" s="540" t="s">
        <v>671</v>
      </c>
      <c r="G181" s="541">
        <v>0.01</v>
      </c>
      <c r="H181" s="541">
        <v>1.8079999999999999E-3</v>
      </c>
      <c r="I181" s="542">
        <v>0.4</v>
      </c>
      <c r="J181" s="601">
        <v>5</v>
      </c>
      <c r="K181" s="543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3"/>
      <c r="AE181" s="273"/>
      <c r="AF181" s="272"/>
      <c r="AG181" s="494" t="str">
        <f ca="1">IF('CDO Bespoke'!C206&lt;&gt;"",'CDO Bespoke'!C206,"")</f>
        <v/>
      </c>
      <c r="AH181" s="496"/>
      <c r="AI181" s="584"/>
      <c r="AJ181" s="584"/>
      <c r="AK181" s="584"/>
      <c r="AL181" s="497"/>
      <c r="AM181" s="619"/>
      <c r="AN181" s="496"/>
      <c r="AO181" s="584"/>
      <c r="AP181" s="584"/>
      <c r="AQ181" s="584"/>
      <c r="AR181" s="497"/>
      <c r="AS181" s="619"/>
      <c r="AT181" s="506"/>
      <c r="AU181" s="630"/>
      <c r="AV181" s="619"/>
      <c r="AW181" s="506"/>
      <c r="AX181" s="582"/>
      <c r="AY181" s="619"/>
    </row>
    <row r="182" spans="2:51">
      <c r="B182" s="517" t="s">
        <v>553</v>
      </c>
      <c r="C182" s="518" t="s">
        <v>66</v>
      </c>
      <c r="D182" s="518" t="s">
        <v>57</v>
      </c>
      <c r="E182" s="518" t="s">
        <v>650</v>
      </c>
      <c r="F182" s="518" t="s">
        <v>671</v>
      </c>
      <c r="G182" s="525">
        <v>0.01</v>
      </c>
      <c r="H182" s="525">
        <v>3.0379999999999999E-3</v>
      </c>
      <c r="I182" s="527">
        <v>0.4</v>
      </c>
      <c r="J182" s="593">
        <v>5</v>
      </c>
      <c r="K182" s="519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3"/>
      <c r="AE182" s="273"/>
      <c r="AF182" s="272"/>
      <c r="AG182" s="494" t="str">
        <f ca="1">IF('CDO Bespoke'!C207&lt;&gt;"",'CDO Bespoke'!C207,"")</f>
        <v/>
      </c>
      <c r="AH182" s="496"/>
      <c r="AI182" s="584"/>
      <c r="AJ182" s="584"/>
      <c r="AK182" s="584"/>
      <c r="AL182" s="497"/>
      <c r="AM182" s="619"/>
      <c r="AN182" s="496"/>
      <c r="AO182" s="584"/>
      <c r="AP182" s="584"/>
      <c r="AQ182" s="584"/>
      <c r="AR182" s="497"/>
      <c r="AS182" s="619"/>
      <c r="AT182" s="506"/>
      <c r="AU182" s="630"/>
      <c r="AV182" s="619"/>
      <c r="AW182" s="506"/>
      <c r="AX182" s="582"/>
      <c r="AY182" s="619"/>
    </row>
    <row r="183" spans="2:51">
      <c r="B183" s="534" t="s">
        <v>553</v>
      </c>
      <c r="C183" s="535" t="s">
        <v>66</v>
      </c>
      <c r="D183" s="535" t="s">
        <v>59</v>
      </c>
      <c r="E183" s="535" t="s">
        <v>650</v>
      </c>
      <c r="F183" s="535" t="s">
        <v>671</v>
      </c>
      <c r="G183" s="536">
        <v>0.01</v>
      </c>
      <c r="H183" s="536">
        <v>4.2700000000000004E-3</v>
      </c>
      <c r="I183" s="537">
        <v>0.4</v>
      </c>
      <c r="J183" s="594">
        <v>5</v>
      </c>
      <c r="K183" s="538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3"/>
      <c r="AE183" s="273"/>
      <c r="AF183" s="272"/>
      <c r="AG183" s="494" t="str">
        <f ca="1">IF('CDO Bespoke'!C208&lt;&gt;"",'CDO Bespoke'!C208,"")</f>
        <v/>
      </c>
      <c r="AH183" s="496"/>
      <c r="AI183" s="584"/>
      <c r="AJ183" s="584"/>
      <c r="AK183" s="584"/>
      <c r="AL183" s="497"/>
      <c r="AM183" s="619"/>
      <c r="AN183" s="496"/>
      <c r="AO183" s="584"/>
      <c r="AP183" s="584"/>
      <c r="AQ183" s="584"/>
      <c r="AR183" s="497"/>
      <c r="AS183" s="619"/>
      <c r="AT183" s="506"/>
      <c r="AU183" s="630"/>
      <c r="AV183" s="619"/>
      <c r="AW183" s="506"/>
      <c r="AX183" s="582"/>
      <c r="AY183" s="619"/>
    </row>
    <row r="184" spans="2:51">
      <c r="B184" s="539" t="s">
        <v>554</v>
      </c>
      <c r="C184" s="540" t="s">
        <v>66</v>
      </c>
      <c r="D184" s="540" t="s">
        <v>55</v>
      </c>
      <c r="E184" s="540" t="s">
        <v>650</v>
      </c>
      <c r="F184" s="540" t="s">
        <v>671</v>
      </c>
      <c r="G184" s="541">
        <v>0.01</v>
      </c>
      <c r="H184" s="541">
        <v>1.957E-3</v>
      </c>
      <c r="I184" s="542">
        <v>0.4</v>
      </c>
      <c r="J184" s="601">
        <v>5</v>
      </c>
      <c r="K184" s="543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3"/>
      <c r="AE184" s="273"/>
      <c r="AF184" s="272"/>
      <c r="AG184" s="494" t="str">
        <f ca="1">IF('CDO Bespoke'!C209&lt;&gt;"",'CDO Bespoke'!C209,"")</f>
        <v/>
      </c>
      <c r="AH184" s="496"/>
      <c r="AI184" s="584"/>
      <c r="AJ184" s="584"/>
      <c r="AK184" s="584"/>
      <c r="AL184" s="497"/>
      <c r="AM184" s="619"/>
      <c r="AN184" s="496"/>
      <c r="AO184" s="584"/>
      <c r="AP184" s="584"/>
      <c r="AQ184" s="584"/>
      <c r="AR184" s="497"/>
      <c r="AS184" s="619"/>
      <c r="AT184" s="506"/>
      <c r="AU184" s="630"/>
      <c r="AV184" s="619"/>
      <c r="AW184" s="506"/>
      <c r="AX184" s="582"/>
      <c r="AY184" s="619"/>
    </row>
    <row r="185" spans="2:51">
      <c r="B185" s="517" t="s">
        <v>554</v>
      </c>
      <c r="C185" s="518" t="s">
        <v>66</v>
      </c>
      <c r="D185" s="518" t="s">
        <v>57</v>
      </c>
      <c r="E185" s="518" t="s">
        <v>650</v>
      </c>
      <c r="F185" s="518" t="s">
        <v>671</v>
      </c>
      <c r="G185" s="525">
        <v>0.01</v>
      </c>
      <c r="H185" s="525">
        <v>2.7009999999999998E-3</v>
      </c>
      <c r="I185" s="527">
        <v>0.4</v>
      </c>
      <c r="J185" s="593">
        <v>5</v>
      </c>
      <c r="K185" s="519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3"/>
      <c r="AE185" s="273"/>
      <c r="AF185" s="272"/>
      <c r="AG185" s="494" t="str">
        <f ca="1">IF('CDO Bespoke'!C210&lt;&gt;"",'CDO Bespoke'!C210,"")</f>
        <v/>
      </c>
      <c r="AH185" s="496"/>
      <c r="AI185" s="584"/>
      <c r="AJ185" s="584"/>
      <c r="AK185" s="584"/>
      <c r="AL185" s="497"/>
      <c r="AM185" s="619"/>
      <c r="AN185" s="496"/>
      <c r="AO185" s="584"/>
      <c r="AP185" s="584"/>
      <c r="AQ185" s="584"/>
      <c r="AR185" s="497"/>
      <c r="AS185" s="619"/>
      <c r="AT185" s="506"/>
      <c r="AU185" s="630"/>
      <c r="AV185" s="619"/>
      <c r="AW185" s="506"/>
      <c r="AX185" s="582"/>
      <c r="AY185" s="619"/>
    </row>
    <row r="186" spans="2:51">
      <c r="B186" s="534" t="s">
        <v>554</v>
      </c>
      <c r="C186" s="535" t="s">
        <v>66</v>
      </c>
      <c r="D186" s="535" t="s">
        <v>59</v>
      </c>
      <c r="E186" s="535" t="s">
        <v>650</v>
      </c>
      <c r="F186" s="535" t="s">
        <v>671</v>
      </c>
      <c r="G186" s="536">
        <v>0.01</v>
      </c>
      <c r="H186" s="536">
        <v>3.7780000000000001E-3</v>
      </c>
      <c r="I186" s="537">
        <v>0.4</v>
      </c>
      <c r="J186" s="594">
        <v>5</v>
      </c>
      <c r="K186" s="538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3"/>
      <c r="AE186" s="273"/>
      <c r="AF186" s="272"/>
      <c r="AG186" s="494" t="str">
        <f ca="1">IF('CDO Bespoke'!C211&lt;&gt;"",'CDO Bespoke'!C211,"")</f>
        <v/>
      </c>
      <c r="AH186" s="496"/>
      <c r="AI186" s="584"/>
      <c r="AJ186" s="584"/>
      <c r="AK186" s="584"/>
      <c r="AL186" s="497"/>
      <c r="AM186" s="619"/>
      <c r="AN186" s="496"/>
      <c r="AO186" s="584"/>
      <c r="AP186" s="584"/>
      <c r="AQ186" s="584"/>
      <c r="AR186" s="497"/>
      <c r="AS186" s="619"/>
      <c r="AT186" s="506"/>
      <c r="AU186" s="630"/>
      <c r="AV186" s="619"/>
      <c r="AW186" s="506"/>
      <c r="AX186" s="582"/>
      <c r="AY186" s="619"/>
    </row>
    <row r="187" spans="2:51">
      <c r="B187" s="539" t="s">
        <v>555</v>
      </c>
      <c r="C187" s="540" t="s">
        <v>66</v>
      </c>
      <c r="D187" s="540" t="s">
        <v>55</v>
      </c>
      <c r="E187" s="540" t="s">
        <v>648</v>
      </c>
      <c r="F187" s="540" t="s">
        <v>671</v>
      </c>
      <c r="G187" s="541">
        <v>0.01</v>
      </c>
      <c r="H187" s="541">
        <v>2.3579999999999999E-3</v>
      </c>
      <c r="I187" s="542">
        <v>0.4</v>
      </c>
      <c r="J187" s="601">
        <v>5</v>
      </c>
      <c r="K187" s="543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3"/>
      <c r="AE187" s="273"/>
      <c r="AF187" s="272"/>
      <c r="AG187" s="494" t="str">
        <f ca="1">IF('CDO Bespoke'!C212&lt;&gt;"",'CDO Bespoke'!C212,"")</f>
        <v/>
      </c>
      <c r="AH187" s="496"/>
      <c r="AI187" s="584"/>
      <c r="AJ187" s="584"/>
      <c r="AK187" s="584"/>
      <c r="AL187" s="497"/>
      <c r="AM187" s="619"/>
      <c r="AN187" s="496"/>
      <c r="AO187" s="584"/>
      <c r="AP187" s="584"/>
      <c r="AQ187" s="584"/>
      <c r="AR187" s="497"/>
      <c r="AS187" s="619"/>
      <c r="AT187" s="506"/>
      <c r="AU187" s="630"/>
      <c r="AV187" s="619"/>
      <c r="AW187" s="506"/>
      <c r="AX187" s="582"/>
      <c r="AY187" s="619"/>
    </row>
    <row r="188" spans="2:51">
      <c r="B188" s="517" t="s">
        <v>555</v>
      </c>
      <c r="C188" s="518" t="s">
        <v>66</v>
      </c>
      <c r="D188" s="518" t="s">
        <v>57</v>
      </c>
      <c r="E188" s="518" t="s">
        <v>648</v>
      </c>
      <c r="F188" s="518" t="s">
        <v>671</v>
      </c>
      <c r="G188" s="525">
        <v>0.01</v>
      </c>
      <c r="H188" s="525">
        <v>4.816E-3</v>
      </c>
      <c r="I188" s="527">
        <v>0.4</v>
      </c>
      <c r="J188" s="593">
        <v>5</v>
      </c>
      <c r="K188" s="519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3"/>
      <c r="AE188" s="273"/>
      <c r="AF188" s="272"/>
      <c r="AG188" s="494" t="str">
        <f ca="1">IF('CDO Bespoke'!C213&lt;&gt;"",'CDO Bespoke'!C213,"")</f>
        <v/>
      </c>
      <c r="AH188" s="496"/>
      <c r="AI188" s="584"/>
      <c r="AJ188" s="584"/>
      <c r="AK188" s="584"/>
      <c r="AL188" s="497"/>
      <c r="AM188" s="619"/>
      <c r="AN188" s="496"/>
      <c r="AO188" s="584"/>
      <c r="AP188" s="584"/>
      <c r="AQ188" s="584"/>
      <c r="AR188" s="497"/>
      <c r="AS188" s="619"/>
      <c r="AT188" s="506"/>
      <c r="AU188" s="630"/>
      <c r="AV188" s="619"/>
      <c r="AW188" s="506"/>
      <c r="AX188" s="582"/>
      <c r="AY188" s="619"/>
    </row>
    <row r="189" spans="2:51">
      <c r="B189" s="534" t="s">
        <v>555</v>
      </c>
      <c r="C189" s="535" t="s">
        <v>66</v>
      </c>
      <c r="D189" s="535" t="s">
        <v>59</v>
      </c>
      <c r="E189" s="535" t="s">
        <v>648</v>
      </c>
      <c r="F189" s="535" t="s">
        <v>671</v>
      </c>
      <c r="G189" s="536">
        <v>0.01</v>
      </c>
      <c r="H189" s="536">
        <v>7.6169999999999996E-3</v>
      </c>
      <c r="I189" s="537">
        <v>0.4</v>
      </c>
      <c r="J189" s="594">
        <v>5</v>
      </c>
      <c r="K189" s="538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3"/>
      <c r="AE189" s="273"/>
      <c r="AF189" s="272"/>
      <c r="AG189" s="494" t="str">
        <f ca="1">IF('CDO Bespoke'!C214&lt;&gt;"",'CDO Bespoke'!C214,"")</f>
        <v/>
      </c>
      <c r="AH189" s="496"/>
      <c r="AI189" s="584"/>
      <c r="AJ189" s="584"/>
      <c r="AK189" s="584"/>
      <c r="AL189" s="497"/>
      <c r="AM189" s="619"/>
      <c r="AN189" s="496"/>
      <c r="AO189" s="584"/>
      <c r="AP189" s="584"/>
      <c r="AQ189" s="584"/>
      <c r="AR189" s="497"/>
      <c r="AS189" s="619"/>
      <c r="AT189" s="506"/>
      <c r="AU189" s="630"/>
      <c r="AV189" s="619"/>
      <c r="AW189" s="506"/>
      <c r="AX189" s="582"/>
      <c r="AY189" s="619"/>
    </row>
    <row r="190" spans="2:51">
      <c r="B190" s="539" t="s">
        <v>556</v>
      </c>
      <c r="C190" s="540" t="s">
        <v>66</v>
      </c>
      <c r="D190" s="540" t="s">
        <v>55</v>
      </c>
      <c r="E190" s="540" t="s">
        <v>648</v>
      </c>
      <c r="F190" s="540" t="s">
        <v>671</v>
      </c>
      <c r="G190" s="541">
        <v>0.01</v>
      </c>
      <c r="H190" s="541">
        <v>2.2920000000000002E-3</v>
      </c>
      <c r="I190" s="542">
        <v>0.4</v>
      </c>
      <c r="J190" s="601">
        <v>5</v>
      </c>
      <c r="K190" s="543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3"/>
      <c r="AE190" s="273"/>
      <c r="AF190" s="272"/>
      <c r="AG190" s="494" t="str">
        <f ca="1">IF('CDO Bespoke'!C215&lt;&gt;"",'CDO Bespoke'!C215,"")</f>
        <v/>
      </c>
      <c r="AH190" s="496"/>
      <c r="AI190" s="584"/>
      <c r="AJ190" s="584"/>
      <c r="AK190" s="584"/>
      <c r="AL190" s="497"/>
      <c r="AM190" s="619"/>
      <c r="AN190" s="496"/>
      <c r="AO190" s="584"/>
      <c r="AP190" s="584"/>
      <c r="AQ190" s="584"/>
      <c r="AR190" s="497"/>
      <c r="AS190" s="619"/>
      <c r="AT190" s="506"/>
      <c r="AU190" s="630"/>
      <c r="AV190" s="619"/>
      <c r="AW190" s="506"/>
      <c r="AX190" s="582"/>
      <c r="AY190" s="619"/>
    </row>
    <row r="191" spans="2:51">
      <c r="B191" s="517" t="s">
        <v>556</v>
      </c>
      <c r="C191" s="518" t="s">
        <v>66</v>
      </c>
      <c r="D191" s="518" t="s">
        <v>57</v>
      </c>
      <c r="E191" s="518" t="s">
        <v>648</v>
      </c>
      <c r="F191" s="518" t="s">
        <v>671</v>
      </c>
      <c r="G191" s="525">
        <v>0.01</v>
      </c>
      <c r="H191" s="525">
        <v>3.6840000000000002E-3</v>
      </c>
      <c r="I191" s="527">
        <v>0.4</v>
      </c>
      <c r="J191" s="593">
        <v>5</v>
      </c>
      <c r="K191" s="519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3"/>
      <c r="AE191" s="273"/>
      <c r="AF191" s="272"/>
      <c r="AG191" s="494" t="str">
        <f ca="1">IF('CDO Bespoke'!C216&lt;&gt;"",'CDO Bespoke'!C216,"")</f>
        <v/>
      </c>
      <c r="AH191" s="496"/>
      <c r="AI191" s="584"/>
      <c r="AJ191" s="584"/>
      <c r="AK191" s="584"/>
      <c r="AL191" s="497"/>
      <c r="AM191" s="619"/>
      <c r="AN191" s="496"/>
      <c r="AO191" s="584"/>
      <c r="AP191" s="584"/>
      <c r="AQ191" s="584"/>
      <c r="AR191" s="497"/>
      <c r="AS191" s="619"/>
      <c r="AT191" s="506"/>
      <c r="AU191" s="630"/>
      <c r="AV191" s="619"/>
      <c r="AW191" s="506"/>
      <c r="AX191" s="582"/>
      <c r="AY191" s="619"/>
    </row>
    <row r="192" spans="2:51">
      <c r="B192" s="534" t="s">
        <v>556</v>
      </c>
      <c r="C192" s="535" t="s">
        <v>66</v>
      </c>
      <c r="D192" s="535" t="s">
        <v>59</v>
      </c>
      <c r="E192" s="535" t="s">
        <v>648</v>
      </c>
      <c r="F192" s="535" t="s">
        <v>671</v>
      </c>
      <c r="G192" s="536">
        <v>0.01</v>
      </c>
      <c r="H192" s="536">
        <v>5.0730000000000003E-3</v>
      </c>
      <c r="I192" s="537">
        <v>0.4</v>
      </c>
      <c r="J192" s="594">
        <v>5</v>
      </c>
      <c r="K192" s="538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3"/>
      <c r="AE192" s="273"/>
      <c r="AF192" s="272"/>
      <c r="AG192" s="494" t="str">
        <f ca="1">IF('CDO Bespoke'!C217&lt;&gt;"",'CDO Bespoke'!C217,"")</f>
        <v/>
      </c>
      <c r="AH192" s="496"/>
      <c r="AI192" s="584"/>
      <c r="AJ192" s="584"/>
      <c r="AK192" s="584"/>
      <c r="AL192" s="497"/>
      <c r="AM192" s="619"/>
      <c r="AN192" s="496"/>
      <c r="AO192" s="584"/>
      <c r="AP192" s="584"/>
      <c r="AQ192" s="584"/>
      <c r="AR192" s="497"/>
      <c r="AS192" s="619"/>
      <c r="AT192" s="506"/>
      <c r="AU192" s="630"/>
      <c r="AV192" s="619"/>
      <c r="AW192" s="506"/>
      <c r="AX192" s="582"/>
      <c r="AY192" s="619"/>
    </row>
    <row r="193" spans="2:51">
      <c r="B193" s="539" t="s">
        <v>564</v>
      </c>
      <c r="C193" s="540" t="s">
        <v>66</v>
      </c>
      <c r="D193" s="540" t="s">
        <v>55</v>
      </c>
      <c r="E193" s="540" t="s">
        <v>648</v>
      </c>
      <c r="F193" s="540" t="s">
        <v>671</v>
      </c>
      <c r="G193" s="541">
        <v>0.01</v>
      </c>
      <c r="H193" s="541">
        <v>1.598E-3</v>
      </c>
      <c r="I193" s="542">
        <v>0.4</v>
      </c>
      <c r="J193" s="601">
        <v>5</v>
      </c>
      <c r="K193" s="543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3"/>
      <c r="AE193" s="273"/>
      <c r="AF193" s="272"/>
      <c r="AG193" s="494" t="str">
        <f ca="1">IF('CDO Bespoke'!C218&lt;&gt;"",'CDO Bespoke'!C218,"")</f>
        <v/>
      </c>
      <c r="AH193" s="496"/>
      <c r="AI193" s="584"/>
      <c r="AJ193" s="584"/>
      <c r="AK193" s="584"/>
      <c r="AL193" s="497"/>
      <c r="AM193" s="619"/>
      <c r="AN193" s="496"/>
      <c r="AO193" s="584"/>
      <c r="AP193" s="584"/>
      <c r="AQ193" s="584"/>
      <c r="AR193" s="497"/>
      <c r="AS193" s="619"/>
      <c r="AT193" s="506"/>
      <c r="AU193" s="630"/>
      <c r="AV193" s="619"/>
      <c r="AW193" s="506"/>
      <c r="AX193" s="582"/>
      <c r="AY193" s="619"/>
    </row>
    <row r="194" spans="2:51">
      <c r="B194" s="517" t="s">
        <v>564</v>
      </c>
      <c r="C194" s="518" t="s">
        <v>66</v>
      </c>
      <c r="D194" s="518" t="s">
        <v>57</v>
      </c>
      <c r="E194" s="518" t="s">
        <v>648</v>
      </c>
      <c r="F194" s="518" t="s">
        <v>671</v>
      </c>
      <c r="G194" s="525">
        <v>0.01</v>
      </c>
      <c r="H194" s="525">
        <v>2.627E-3</v>
      </c>
      <c r="I194" s="527">
        <v>0.4</v>
      </c>
      <c r="J194" s="593">
        <v>5</v>
      </c>
      <c r="K194" s="519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3"/>
      <c r="AE194" s="273"/>
      <c r="AF194" s="272"/>
      <c r="AG194" s="494" t="str">
        <f ca="1">IF('CDO Bespoke'!C219&lt;&gt;"",'CDO Bespoke'!C219,"")</f>
        <v/>
      </c>
      <c r="AH194" s="496"/>
      <c r="AI194" s="584"/>
      <c r="AJ194" s="584"/>
      <c r="AK194" s="584"/>
      <c r="AL194" s="497"/>
      <c r="AM194" s="619"/>
      <c r="AN194" s="496"/>
      <c r="AO194" s="584"/>
      <c r="AP194" s="584"/>
      <c r="AQ194" s="584"/>
      <c r="AR194" s="497"/>
      <c r="AS194" s="619"/>
      <c r="AT194" s="506"/>
      <c r="AU194" s="630"/>
      <c r="AV194" s="619"/>
      <c r="AW194" s="506"/>
      <c r="AX194" s="582"/>
      <c r="AY194" s="619"/>
    </row>
    <row r="195" spans="2:51">
      <c r="B195" s="534" t="s">
        <v>564</v>
      </c>
      <c r="C195" s="535" t="s">
        <v>66</v>
      </c>
      <c r="D195" s="535" t="s">
        <v>59</v>
      </c>
      <c r="E195" s="535" t="s">
        <v>648</v>
      </c>
      <c r="F195" s="535" t="s">
        <v>671</v>
      </c>
      <c r="G195" s="536">
        <v>0.01</v>
      </c>
      <c r="H195" s="536">
        <v>3.8070000000000001E-3</v>
      </c>
      <c r="I195" s="537">
        <v>0.4</v>
      </c>
      <c r="J195" s="594">
        <v>5</v>
      </c>
      <c r="K195" s="538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3"/>
      <c r="AE195" s="273"/>
      <c r="AF195" s="272"/>
      <c r="AG195" s="494" t="str">
        <f ca="1">IF('CDO Bespoke'!C220&lt;&gt;"",'CDO Bespoke'!C220,"")</f>
        <v/>
      </c>
      <c r="AH195" s="496"/>
      <c r="AI195" s="584"/>
      <c r="AJ195" s="584"/>
      <c r="AK195" s="584"/>
      <c r="AL195" s="497"/>
      <c r="AM195" s="619"/>
      <c r="AN195" s="496"/>
      <c r="AO195" s="584"/>
      <c r="AP195" s="584"/>
      <c r="AQ195" s="584"/>
      <c r="AR195" s="497"/>
      <c r="AS195" s="619"/>
      <c r="AT195" s="506"/>
      <c r="AU195" s="630"/>
      <c r="AV195" s="619"/>
      <c r="AW195" s="506"/>
      <c r="AX195" s="582"/>
      <c r="AY195" s="619"/>
    </row>
    <row r="196" spans="2:51">
      <c r="B196" s="539" t="s">
        <v>557</v>
      </c>
      <c r="C196" s="540" t="s">
        <v>66</v>
      </c>
      <c r="D196" s="540" t="s">
        <v>55</v>
      </c>
      <c r="E196" s="540" t="s">
        <v>648</v>
      </c>
      <c r="F196" s="540" t="s">
        <v>671</v>
      </c>
      <c r="G196" s="541">
        <v>0.01</v>
      </c>
      <c r="H196" s="541">
        <v>4.0590000000000001E-3</v>
      </c>
      <c r="I196" s="542">
        <v>0.4</v>
      </c>
      <c r="J196" s="601">
        <v>5</v>
      </c>
      <c r="K196" s="543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3"/>
      <c r="AE196" s="273"/>
      <c r="AF196" s="272"/>
      <c r="AG196" s="494" t="str">
        <f ca="1">IF('CDO Bespoke'!C221&lt;&gt;"",'CDO Bespoke'!C221,"")</f>
        <v/>
      </c>
      <c r="AH196" s="496"/>
      <c r="AI196" s="584"/>
      <c r="AJ196" s="584"/>
      <c r="AK196" s="584"/>
      <c r="AL196" s="497"/>
      <c r="AM196" s="619"/>
      <c r="AN196" s="496"/>
      <c r="AO196" s="584"/>
      <c r="AP196" s="584"/>
      <c r="AQ196" s="584"/>
      <c r="AR196" s="497"/>
      <c r="AS196" s="619"/>
      <c r="AT196" s="506"/>
      <c r="AU196" s="630"/>
      <c r="AV196" s="619"/>
      <c r="AW196" s="506"/>
      <c r="AX196" s="582"/>
      <c r="AY196" s="619"/>
    </row>
    <row r="197" spans="2:51">
      <c r="B197" s="517" t="s">
        <v>557</v>
      </c>
      <c r="C197" s="518" t="s">
        <v>66</v>
      </c>
      <c r="D197" s="518" t="s">
        <v>57</v>
      </c>
      <c r="E197" s="518" t="s">
        <v>648</v>
      </c>
      <c r="F197" s="518" t="s">
        <v>671</v>
      </c>
      <c r="G197" s="525">
        <v>0.01</v>
      </c>
      <c r="H197" s="525">
        <v>6.953E-3</v>
      </c>
      <c r="I197" s="527">
        <v>0.4</v>
      </c>
      <c r="J197" s="593">
        <v>5</v>
      </c>
      <c r="K197" s="519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3"/>
      <c r="AE197" s="273"/>
      <c r="AF197" s="272"/>
      <c r="AG197" s="494" t="str">
        <f ca="1">IF('CDO Bespoke'!C222&lt;&gt;"",'CDO Bespoke'!C222,"")</f>
        <v/>
      </c>
      <c r="AH197" s="496"/>
      <c r="AI197" s="584"/>
      <c r="AJ197" s="584"/>
      <c r="AK197" s="584"/>
      <c r="AL197" s="497"/>
      <c r="AM197" s="619"/>
      <c r="AN197" s="496"/>
      <c r="AO197" s="584"/>
      <c r="AP197" s="584"/>
      <c r="AQ197" s="584"/>
      <c r="AR197" s="497"/>
      <c r="AS197" s="619"/>
      <c r="AT197" s="506"/>
      <c r="AU197" s="630"/>
      <c r="AV197" s="619"/>
      <c r="AW197" s="506"/>
      <c r="AX197" s="582"/>
      <c r="AY197" s="619"/>
    </row>
    <row r="198" spans="2:51">
      <c r="B198" s="534" t="s">
        <v>557</v>
      </c>
      <c r="C198" s="535" t="s">
        <v>66</v>
      </c>
      <c r="D198" s="535" t="s">
        <v>59</v>
      </c>
      <c r="E198" s="535" t="s">
        <v>648</v>
      </c>
      <c r="F198" s="535" t="s">
        <v>671</v>
      </c>
      <c r="G198" s="536">
        <v>0.01</v>
      </c>
      <c r="H198" s="536">
        <v>1.0121E-2</v>
      </c>
      <c r="I198" s="537">
        <v>0.4</v>
      </c>
      <c r="J198" s="594">
        <v>5</v>
      </c>
      <c r="K198" s="538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3"/>
      <c r="AE198" s="273"/>
      <c r="AF198" s="272"/>
      <c r="AG198" s="494" t="str">
        <f ca="1">IF('CDO Bespoke'!C223&lt;&gt;"",'CDO Bespoke'!C223,"")</f>
        <v/>
      </c>
      <c r="AH198" s="496"/>
      <c r="AI198" s="584"/>
      <c r="AJ198" s="584"/>
      <c r="AK198" s="584"/>
      <c r="AL198" s="497"/>
      <c r="AM198" s="619"/>
      <c r="AN198" s="496"/>
      <c r="AO198" s="584"/>
      <c r="AP198" s="584"/>
      <c r="AQ198" s="584"/>
      <c r="AR198" s="497"/>
      <c r="AS198" s="619"/>
      <c r="AT198" s="506"/>
      <c r="AU198" s="630"/>
      <c r="AV198" s="619"/>
      <c r="AW198" s="506"/>
      <c r="AX198" s="582"/>
      <c r="AY198" s="619"/>
    </row>
    <row r="199" spans="2:51">
      <c r="B199" s="539" t="s">
        <v>558</v>
      </c>
      <c r="C199" s="540" t="s">
        <v>66</v>
      </c>
      <c r="D199" s="540" t="s">
        <v>55</v>
      </c>
      <c r="E199" s="540" t="s">
        <v>648</v>
      </c>
      <c r="F199" s="540" t="s">
        <v>671</v>
      </c>
      <c r="G199" s="541">
        <v>0.01</v>
      </c>
      <c r="H199" s="541">
        <v>3.114E-3</v>
      </c>
      <c r="I199" s="542">
        <v>0.4</v>
      </c>
      <c r="J199" s="601">
        <v>5</v>
      </c>
      <c r="K199" s="543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3"/>
      <c r="AE199" s="273"/>
      <c r="AF199" s="272"/>
      <c r="AG199" s="494" t="str">
        <f ca="1">IF('CDO Bespoke'!C224&lt;&gt;"",'CDO Bespoke'!C224,"")</f>
        <v/>
      </c>
      <c r="AH199" s="496"/>
      <c r="AI199" s="584"/>
      <c r="AJ199" s="584"/>
      <c r="AK199" s="584"/>
      <c r="AL199" s="497"/>
      <c r="AM199" s="619"/>
      <c r="AN199" s="496"/>
      <c r="AO199" s="584"/>
      <c r="AP199" s="584"/>
      <c r="AQ199" s="584"/>
      <c r="AR199" s="497"/>
      <c r="AS199" s="619"/>
      <c r="AT199" s="506"/>
      <c r="AU199" s="630"/>
      <c r="AV199" s="619"/>
      <c r="AW199" s="506"/>
      <c r="AX199" s="582"/>
      <c r="AY199" s="619"/>
    </row>
    <row r="200" spans="2:51">
      <c r="B200" s="517" t="s">
        <v>558</v>
      </c>
      <c r="C200" s="518" t="s">
        <v>66</v>
      </c>
      <c r="D200" s="518" t="s">
        <v>57</v>
      </c>
      <c r="E200" s="518" t="s">
        <v>648</v>
      </c>
      <c r="F200" s="518" t="s">
        <v>671</v>
      </c>
      <c r="G200" s="525">
        <v>0.01</v>
      </c>
      <c r="H200" s="525">
        <v>5.1929999999999997E-3</v>
      </c>
      <c r="I200" s="527">
        <v>0.4</v>
      </c>
      <c r="J200" s="593">
        <v>5</v>
      </c>
      <c r="K200" s="519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3"/>
      <c r="AE200" s="273"/>
      <c r="AF200" s="272"/>
      <c r="AG200" s="494" t="str">
        <f ca="1">IF('CDO Bespoke'!C225&lt;&gt;"",'CDO Bespoke'!C225,"")</f>
        <v/>
      </c>
      <c r="AH200" s="496"/>
      <c r="AI200" s="584"/>
      <c r="AJ200" s="584"/>
      <c r="AK200" s="584"/>
      <c r="AL200" s="497"/>
      <c r="AM200" s="619"/>
      <c r="AN200" s="496"/>
      <c r="AO200" s="584"/>
      <c r="AP200" s="584"/>
      <c r="AQ200" s="584"/>
      <c r="AR200" s="497"/>
      <c r="AS200" s="619"/>
      <c r="AT200" s="506"/>
      <c r="AU200" s="630"/>
      <c r="AV200" s="619"/>
      <c r="AW200" s="506"/>
      <c r="AX200" s="582"/>
      <c r="AY200" s="619"/>
    </row>
    <row r="201" spans="2:51">
      <c r="B201" s="534" t="s">
        <v>558</v>
      </c>
      <c r="C201" s="535" t="s">
        <v>66</v>
      </c>
      <c r="D201" s="535" t="s">
        <v>59</v>
      </c>
      <c r="E201" s="535" t="s">
        <v>648</v>
      </c>
      <c r="F201" s="535" t="s">
        <v>671</v>
      </c>
      <c r="G201" s="536">
        <v>0.01</v>
      </c>
      <c r="H201" s="536">
        <v>7.737E-3</v>
      </c>
      <c r="I201" s="537">
        <v>0.4</v>
      </c>
      <c r="J201" s="594">
        <v>5</v>
      </c>
      <c r="K201" s="538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3"/>
      <c r="AE201" s="273"/>
      <c r="AF201" s="272"/>
      <c r="AG201" s="494" t="str">
        <f ca="1">IF('CDO Bespoke'!C226&lt;&gt;"",'CDO Bespoke'!C226,"")</f>
        <v/>
      </c>
      <c r="AH201" s="496"/>
      <c r="AI201" s="584"/>
      <c r="AJ201" s="584"/>
      <c r="AK201" s="584"/>
      <c r="AL201" s="497"/>
      <c r="AM201" s="619"/>
      <c r="AN201" s="496"/>
      <c r="AO201" s="584"/>
      <c r="AP201" s="584"/>
      <c r="AQ201" s="584"/>
      <c r="AR201" s="497"/>
      <c r="AS201" s="619"/>
      <c r="AT201" s="506"/>
      <c r="AU201" s="630"/>
      <c r="AV201" s="619"/>
      <c r="AW201" s="506"/>
      <c r="AX201" s="582"/>
      <c r="AY201" s="619"/>
    </row>
    <row r="202" spans="2:51">
      <c r="B202" s="539" t="s">
        <v>559</v>
      </c>
      <c r="C202" s="540" t="s">
        <v>66</v>
      </c>
      <c r="D202" s="540" t="s">
        <v>55</v>
      </c>
      <c r="E202" s="540" t="s">
        <v>646</v>
      </c>
      <c r="F202" s="540" t="s">
        <v>671</v>
      </c>
      <c r="G202" s="541">
        <v>0.01</v>
      </c>
      <c r="H202" s="541">
        <v>1.8439999999999999E-3</v>
      </c>
      <c r="I202" s="542">
        <v>0.4</v>
      </c>
      <c r="J202" s="601">
        <v>5</v>
      </c>
      <c r="K202" s="543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3"/>
      <c r="AE202" s="273"/>
      <c r="AF202" s="272"/>
      <c r="AG202" s="494" t="str">
        <f ca="1">IF('CDO Bespoke'!C227&lt;&gt;"",'CDO Bespoke'!C227,"")</f>
        <v/>
      </c>
      <c r="AH202" s="496"/>
      <c r="AI202" s="584"/>
      <c r="AJ202" s="584"/>
      <c r="AK202" s="584"/>
      <c r="AL202" s="497"/>
      <c r="AM202" s="619"/>
      <c r="AN202" s="496"/>
      <c r="AO202" s="584"/>
      <c r="AP202" s="584"/>
      <c r="AQ202" s="584"/>
      <c r="AR202" s="497"/>
      <c r="AS202" s="619"/>
      <c r="AT202" s="506"/>
      <c r="AU202" s="630"/>
      <c r="AV202" s="619"/>
      <c r="AW202" s="506"/>
      <c r="AX202" s="582"/>
      <c r="AY202" s="619"/>
    </row>
    <row r="203" spans="2:51">
      <c r="B203" s="517" t="s">
        <v>559</v>
      </c>
      <c r="C203" s="518" t="s">
        <v>66</v>
      </c>
      <c r="D203" s="518" t="s">
        <v>57</v>
      </c>
      <c r="E203" s="518" t="s">
        <v>646</v>
      </c>
      <c r="F203" s="518" t="s">
        <v>671</v>
      </c>
      <c r="G203" s="525">
        <v>0.01</v>
      </c>
      <c r="H203" s="525">
        <v>2.6050000000000001E-3</v>
      </c>
      <c r="I203" s="527">
        <v>0.4</v>
      </c>
      <c r="J203" s="593">
        <v>5</v>
      </c>
      <c r="K203" s="519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3"/>
      <c r="AE203" s="273"/>
      <c r="AF203" s="272"/>
      <c r="AG203" s="494" t="str">
        <f ca="1">IF('CDO Bespoke'!C228&lt;&gt;"",'CDO Bespoke'!C228,"")</f>
        <v/>
      </c>
      <c r="AH203" s="496"/>
      <c r="AI203" s="584"/>
      <c r="AJ203" s="584"/>
      <c r="AK203" s="584"/>
      <c r="AL203" s="497"/>
      <c r="AM203" s="619"/>
      <c r="AN203" s="496"/>
      <c r="AO203" s="584"/>
      <c r="AP203" s="584"/>
      <c r="AQ203" s="584"/>
      <c r="AR203" s="497"/>
      <c r="AS203" s="619"/>
      <c r="AT203" s="506"/>
      <c r="AU203" s="630"/>
      <c r="AV203" s="619"/>
      <c r="AW203" s="506"/>
      <c r="AX203" s="582"/>
      <c r="AY203" s="619"/>
    </row>
    <row r="204" spans="2:51">
      <c r="B204" s="534" t="s">
        <v>559</v>
      </c>
      <c r="C204" s="535" t="s">
        <v>66</v>
      </c>
      <c r="D204" s="535" t="s">
        <v>59</v>
      </c>
      <c r="E204" s="535" t="s">
        <v>646</v>
      </c>
      <c r="F204" s="535" t="s">
        <v>671</v>
      </c>
      <c r="G204" s="536">
        <v>0.01</v>
      </c>
      <c r="H204" s="536">
        <v>3.6050000000000001E-3</v>
      </c>
      <c r="I204" s="537">
        <v>0.4</v>
      </c>
      <c r="J204" s="594">
        <v>5</v>
      </c>
      <c r="K204" s="538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3"/>
      <c r="AC204" s="273"/>
      <c r="AD204" s="273"/>
      <c r="AE204" s="273"/>
      <c r="AF204" s="272"/>
      <c r="AG204" s="494" t="str">
        <f ca="1">IF('CDO Bespoke'!C229&lt;&gt;"",'CDO Bespoke'!C229,"")</f>
        <v/>
      </c>
      <c r="AH204" s="496"/>
      <c r="AI204" s="584"/>
      <c r="AJ204" s="584"/>
      <c r="AK204" s="584"/>
      <c r="AL204" s="497"/>
      <c r="AM204" s="619"/>
      <c r="AN204" s="496"/>
      <c r="AO204" s="584"/>
      <c r="AP204" s="584"/>
      <c r="AQ204" s="584"/>
      <c r="AR204" s="497"/>
      <c r="AS204" s="619"/>
      <c r="AT204" s="506"/>
      <c r="AU204" s="630"/>
      <c r="AV204" s="619"/>
      <c r="AW204" s="506"/>
      <c r="AX204" s="582"/>
      <c r="AY204" s="619"/>
    </row>
    <row r="205" spans="2:51">
      <c r="B205" s="539" t="s">
        <v>565</v>
      </c>
      <c r="C205" s="540" t="s">
        <v>66</v>
      </c>
      <c r="D205" s="540" t="s">
        <v>55</v>
      </c>
      <c r="E205" s="540" t="s">
        <v>646</v>
      </c>
      <c r="F205" s="540" t="s">
        <v>651</v>
      </c>
      <c r="G205" s="541">
        <v>0.01</v>
      </c>
      <c r="H205" s="541">
        <v>2.9399999999999999E-3</v>
      </c>
      <c r="I205" s="542">
        <v>0.4</v>
      </c>
      <c r="J205" s="601">
        <v>4</v>
      </c>
      <c r="K205" s="543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3"/>
      <c r="AC205" s="273"/>
      <c r="AD205" s="273"/>
      <c r="AE205" s="273"/>
      <c r="AF205" s="272"/>
      <c r="AG205" s="494" t="str">
        <f ca="1">IF('CDO Bespoke'!C230&lt;&gt;"",'CDO Bespoke'!C230,"")</f>
        <v/>
      </c>
      <c r="AH205" s="496"/>
      <c r="AI205" s="584"/>
      <c r="AJ205" s="584"/>
      <c r="AK205" s="584"/>
      <c r="AL205" s="497"/>
      <c r="AM205" s="619"/>
      <c r="AN205" s="496"/>
      <c r="AO205" s="584"/>
      <c r="AP205" s="584"/>
      <c r="AQ205" s="584"/>
      <c r="AR205" s="497"/>
      <c r="AS205" s="619"/>
      <c r="AT205" s="506"/>
      <c r="AU205" s="630"/>
      <c r="AV205" s="619"/>
      <c r="AW205" s="506"/>
      <c r="AX205" s="582"/>
      <c r="AY205" s="619"/>
    </row>
    <row r="206" spans="2:51">
      <c r="B206" s="517" t="s">
        <v>565</v>
      </c>
      <c r="C206" s="518" t="s">
        <v>66</v>
      </c>
      <c r="D206" s="518" t="s">
        <v>57</v>
      </c>
      <c r="E206" s="518" t="s">
        <v>646</v>
      </c>
      <c r="F206" s="518" t="s">
        <v>651</v>
      </c>
      <c r="G206" s="525">
        <v>0.01</v>
      </c>
      <c r="H206" s="525">
        <v>5.1380000000000002E-3</v>
      </c>
      <c r="I206" s="527">
        <v>0.4</v>
      </c>
      <c r="J206" s="593">
        <v>4</v>
      </c>
      <c r="K206" s="519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3"/>
      <c r="AC206" s="273"/>
      <c r="AD206" s="273"/>
      <c r="AE206" s="273"/>
      <c r="AF206" s="272"/>
      <c r="AG206" s="494" t="str">
        <f ca="1">IF('CDO Bespoke'!C231&lt;&gt;"",'CDO Bespoke'!C231,"")</f>
        <v/>
      </c>
      <c r="AH206" s="496"/>
      <c r="AI206" s="584"/>
      <c r="AJ206" s="584"/>
      <c r="AK206" s="584"/>
      <c r="AL206" s="497"/>
      <c r="AM206" s="619"/>
      <c r="AN206" s="496"/>
      <c r="AO206" s="584"/>
      <c r="AP206" s="584"/>
      <c r="AQ206" s="584"/>
      <c r="AR206" s="497"/>
      <c r="AS206" s="619"/>
      <c r="AT206" s="506"/>
      <c r="AU206" s="630"/>
      <c r="AV206" s="619"/>
      <c r="AW206" s="506"/>
      <c r="AX206" s="582"/>
      <c r="AY206" s="619"/>
    </row>
    <row r="207" spans="2:51">
      <c r="B207" s="534" t="s">
        <v>565</v>
      </c>
      <c r="C207" s="535" t="s">
        <v>66</v>
      </c>
      <c r="D207" s="535" t="s">
        <v>59</v>
      </c>
      <c r="E207" s="535" t="s">
        <v>646</v>
      </c>
      <c r="F207" s="535" t="s">
        <v>651</v>
      </c>
      <c r="G207" s="536">
        <v>0.01</v>
      </c>
      <c r="H207" s="536">
        <v>7.4939999999999998E-3</v>
      </c>
      <c r="I207" s="537">
        <v>0.4</v>
      </c>
      <c r="J207" s="594">
        <v>4</v>
      </c>
      <c r="K207" s="538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3"/>
      <c r="AC207" s="273"/>
      <c r="AD207" s="273"/>
      <c r="AE207" s="273"/>
      <c r="AF207" s="272"/>
      <c r="AG207" s="494" t="str">
        <f ca="1">IF('CDO Bespoke'!C232&lt;&gt;"",'CDO Bespoke'!C232,"")</f>
        <v/>
      </c>
      <c r="AH207" s="496"/>
      <c r="AI207" s="584"/>
      <c r="AJ207" s="584"/>
      <c r="AK207" s="584"/>
      <c r="AL207" s="497"/>
      <c r="AM207" s="619"/>
      <c r="AN207" s="496"/>
      <c r="AO207" s="584"/>
      <c r="AP207" s="584"/>
      <c r="AQ207" s="584"/>
      <c r="AR207" s="497"/>
      <c r="AS207" s="619"/>
      <c r="AT207" s="506"/>
      <c r="AU207" s="630"/>
      <c r="AV207" s="619"/>
      <c r="AW207" s="506"/>
      <c r="AX207" s="582"/>
      <c r="AY207" s="619"/>
    </row>
    <row r="208" spans="2:51">
      <c r="B208" s="539" t="s">
        <v>566</v>
      </c>
      <c r="C208" s="540" t="s">
        <v>66</v>
      </c>
      <c r="D208" s="540" t="s">
        <v>55</v>
      </c>
      <c r="E208" s="540" t="s">
        <v>648</v>
      </c>
      <c r="F208" s="540" t="s">
        <v>652</v>
      </c>
      <c r="G208" s="541">
        <v>0.01</v>
      </c>
      <c r="H208" s="541">
        <v>3.604E-3</v>
      </c>
      <c r="I208" s="542">
        <v>0.4</v>
      </c>
      <c r="J208" s="601">
        <v>7</v>
      </c>
      <c r="K208" s="543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3"/>
      <c r="AC208" s="273"/>
      <c r="AD208" s="273"/>
      <c r="AE208" s="273"/>
      <c r="AF208" s="272"/>
      <c r="AG208" s="494" t="str">
        <f ca="1">IF('CDO Bespoke'!C233&lt;&gt;"",'CDO Bespoke'!C233,"")</f>
        <v/>
      </c>
      <c r="AH208" s="496"/>
      <c r="AI208" s="584"/>
      <c r="AJ208" s="584"/>
      <c r="AK208" s="584"/>
      <c r="AL208" s="497"/>
      <c r="AM208" s="619"/>
      <c r="AN208" s="496"/>
      <c r="AO208" s="584"/>
      <c r="AP208" s="584"/>
      <c r="AQ208" s="584"/>
      <c r="AR208" s="497"/>
      <c r="AS208" s="619"/>
      <c r="AT208" s="506"/>
      <c r="AU208" s="630"/>
      <c r="AV208" s="619"/>
      <c r="AW208" s="506"/>
      <c r="AX208" s="582"/>
      <c r="AY208" s="619"/>
    </row>
    <row r="209" spans="2:51">
      <c r="B209" s="517" t="s">
        <v>566</v>
      </c>
      <c r="C209" s="518" t="s">
        <v>66</v>
      </c>
      <c r="D209" s="518" t="s">
        <v>57</v>
      </c>
      <c r="E209" s="518" t="s">
        <v>648</v>
      </c>
      <c r="F209" s="518" t="s">
        <v>652</v>
      </c>
      <c r="G209" s="525">
        <v>0.01</v>
      </c>
      <c r="H209" s="525">
        <v>6.306E-3</v>
      </c>
      <c r="I209" s="527">
        <v>0.4</v>
      </c>
      <c r="J209" s="593">
        <v>7</v>
      </c>
      <c r="K209" s="519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3"/>
      <c r="AC209" s="273"/>
      <c r="AD209" s="273"/>
      <c r="AE209" s="273"/>
      <c r="AF209" s="272"/>
      <c r="AG209" s="494" t="str">
        <f ca="1">IF('CDO Bespoke'!C234&lt;&gt;"",'CDO Bespoke'!C234,"")</f>
        <v/>
      </c>
      <c r="AH209" s="496"/>
      <c r="AI209" s="584"/>
      <c r="AJ209" s="584"/>
      <c r="AK209" s="584"/>
      <c r="AL209" s="497"/>
      <c r="AM209" s="619"/>
      <c r="AN209" s="496"/>
      <c r="AO209" s="584"/>
      <c r="AP209" s="584"/>
      <c r="AQ209" s="584"/>
      <c r="AR209" s="497"/>
      <c r="AS209" s="619"/>
      <c r="AT209" s="506"/>
      <c r="AU209" s="630"/>
      <c r="AV209" s="619"/>
      <c r="AW209" s="506"/>
      <c r="AX209" s="582"/>
      <c r="AY209" s="619"/>
    </row>
    <row r="210" spans="2:51">
      <c r="B210" s="534" t="s">
        <v>566</v>
      </c>
      <c r="C210" s="535" t="s">
        <v>66</v>
      </c>
      <c r="D210" s="535" t="s">
        <v>59</v>
      </c>
      <c r="E210" s="535" t="s">
        <v>648</v>
      </c>
      <c r="F210" s="535" t="s">
        <v>652</v>
      </c>
      <c r="G210" s="536">
        <v>0.01</v>
      </c>
      <c r="H210" s="536">
        <v>9.0629999999999999E-3</v>
      </c>
      <c r="I210" s="537">
        <v>0.4</v>
      </c>
      <c r="J210" s="594">
        <v>7</v>
      </c>
      <c r="K210" s="538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3"/>
      <c r="AE210" s="273"/>
      <c r="AF210" s="272"/>
      <c r="AG210" s="494" t="str">
        <f ca="1">IF('CDO Bespoke'!C235&lt;&gt;"",'CDO Bespoke'!C235,"")</f>
        <v/>
      </c>
      <c r="AH210" s="496"/>
      <c r="AI210" s="584"/>
      <c r="AJ210" s="584"/>
      <c r="AK210" s="584"/>
      <c r="AL210" s="497"/>
      <c r="AM210" s="619"/>
      <c r="AN210" s="496"/>
      <c r="AO210" s="584"/>
      <c r="AP210" s="584"/>
      <c r="AQ210" s="584"/>
      <c r="AR210" s="497"/>
      <c r="AS210" s="619"/>
      <c r="AT210" s="506"/>
      <c r="AU210" s="630"/>
      <c r="AV210" s="619"/>
      <c r="AW210" s="506"/>
      <c r="AX210" s="582"/>
      <c r="AY210" s="619"/>
    </row>
    <row r="211" spans="2:51">
      <c r="B211" s="539" t="s">
        <v>576</v>
      </c>
      <c r="C211" s="540" t="s">
        <v>66</v>
      </c>
      <c r="D211" s="540" t="s">
        <v>55</v>
      </c>
      <c r="E211" s="540" t="s">
        <v>648</v>
      </c>
      <c r="F211" s="540" t="s">
        <v>652</v>
      </c>
      <c r="G211" s="541">
        <v>0.01</v>
      </c>
      <c r="H211" s="541">
        <v>2.4229999999999998E-3</v>
      </c>
      <c r="I211" s="542">
        <v>0.4</v>
      </c>
      <c r="J211" s="601">
        <v>7</v>
      </c>
      <c r="K211" s="543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3"/>
      <c r="AC211" s="273"/>
      <c r="AD211" s="273"/>
      <c r="AE211" s="273"/>
      <c r="AF211" s="272"/>
      <c r="AG211" s="494" t="str">
        <f ca="1">IF('CDO Bespoke'!C236&lt;&gt;"",'CDO Bespoke'!C236,"")</f>
        <v/>
      </c>
      <c r="AH211" s="496"/>
      <c r="AI211" s="584"/>
      <c r="AJ211" s="584"/>
      <c r="AK211" s="584"/>
      <c r="AL211" s="497"/>
      <c r="AM211" s="619"/>
      <c r="AN211" s="496"/>
      <c r="AO211" s="584"/>
      <c r="AP211" s="584"/>
      <c r="AQ211" s="584"/>
      <c r="AR211" s="497"/>
      <c r="AS211" s="619"/>
      <c r="AT211" s="506"/>
      <c r="AU211" s="630"/>
      <c r="AV211" s="619"/>
      <c r="AW211" s="506"/>
      <c r="AX211" s="582"/>
      <c r="AY211" s="619"/>
    </row>
    <row r="212" spans="2:51">
      <c r="B212" s="517" t="s">
        <v>576</v>
      </c>
      <c r="C212" s="518" t="s">
        <v>66</v>
      </c>
      <c r="D212" s="518" t="s">
        <v>57</v>
      </c>
      <c r="E212" s="518" t="s">
        <v>648</v>
      </c>
      <c r="F212" s="518" t="s">
        <v>652</v>
      </c>
      <c r="G212" s="525">
        <v>0.01</v>
      </c>
      <c r="H212" s="525">
        <v>3.9830000000000004E-3</v>
      </c>
      <c r="I212" s="527">
        <v>0.4</v>
      </c>
      <c r="J212" s="593">
        <v>7</v>
      </c>
      <c r="K212" s="519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3"/>
      <c r="AC212" s="273"/>
      <c r="AD212" s="273"/>
      <c r="AE212" s="273"/>
      <c r="AF212" s="272"/>
      <c r="AG212" s="494" t="str">
        <f ca="1">IF('CDO Bespoke'!C237&lt;&gt;"",'CDO Bespoke'!C237,"")</f>
        <v/>
      </c>
      <c r="AH212" s="496"/>
      <c r="AI212" s="584"/>
      <c r="AJ212" s="584"/>
      <c r="AK212" s="584"/>
      <c r="AL212" s="497"/>
      <c r="AM212" s="619"/>
      <c r="AN212" s="496"/>
      <c r="AO212" s="584"/>
      <c r="AP212" s="584"/>
      <c r="AQ212" s="584"/>
      <c r="AR212" s="497"/>
      <c r="AS212" s="619"/>
      <c r="AT212" s="506"/>
      <c r="AU212" s="630"/>
      <c r="AV212" s="619"/>
      <c r="AW212" s="506"/>
      <c r="AX212" s="582"/>
      <c r="AY212" s="619"/>
    </row>
    <row r="213" spans="2:51">
      <c r="B213" s="534" t="s">
        <v>576</v>
      </c>
      <c r="C213" s="535" t="s">
        <v>66</v>
      </c>
      <c r="D213" s="535" t="s">
        <v>59</v>
      </c>
      <c r="E213" s="535" t="s">
        <v>648</v>
      </c>
      <c r="F213" s="535" t="s">
        <v>652</v>
      </c>
      <c r="G213" s="536">
        <v>0.01</v>
      </c>
      <c r="H213" s="536">
        <v>6.0039999999999998E-3</v>
      </c>
      <c r="I213" s="537">
        <v>0.4</v>
      </c>
      <c r="J213" s="594">
        <v>7</v>
      </c>
      <c r="K213" s="538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3"/>
      <c r="AC213" s="273"/>
      <c r="AD213" s="273"/>
      <c r="AE213" s="273"/>
      <c r="AF213" s="272"/>
      <c r="AG213" s="494" t="str">
        <f ca="1">IF('CDO Bespoke'!C238&lt;&gt;"",'CDO Bespoke'!C238,"")</f>
        <v/>
      </c>
      <c r="AH213" s="496"/>
      <c r="AI213" s="584"/>
      <c r="AJ213" s="584"/>
      <c r="AK213" s="584"/>
      <c r="AL213" s="497"/>
      <c r="AM213" s="619"/>
      <c r="AN213" s="496"/>
      <c r="AO213" s="584"/>
      <c r="AP213" s="584"/>
      <c r="AQ213" s="584"/>
      <c r="AR213" s="497"/>
      <c r="AS213" s="619"/>
      <c r="AT213" s="506"/>
      <c r="AU213" s="630"/>
      <c r="AV213" s="619"/>
      <c r="AW213" s="506"/>
      <c r="AX213" s="582"/>
      <c r="AY213" s="619"/>
    </row>
    <row r="214" spans="2:51">
      <c r="B214" s="539" t="s">
        <v>615</v>
      </c>
      <c r="C214" s="540" t="s">
        <v>66</v>
      </c>
      <c r="D214" s="540" t="s">
        <v>55</v>
      </c>
      <c r="E214" s="540" t="s">
        <v>648</v>
      </c>
      <c r="F214" s="540" t="s">
        <v>652</v>
      </c>
      <c r="G214" s="541">
        <v>0.01</v>
      </c>
      <c r="H214" s="541">
        <v>4.1190000000000003E-3</v>
      </c>
      <c r="I214" s="542">
        <v>0.4</v>
      </c>
      <c r="J214" s="601">
        <v>7</v>
      </c>
      <c r="K214" s="543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3"/>
      <c r="AE214" s="273"/>
      <c r="AF214" s="272"/>
      <c r="AG214" s="494" t="str">
        <f ca="1">IF('CDO Bespoke'!C239&lt;&gt;"",'CDO Bespoke'!C239,"")</f>
        <v/>
      </c>
      <c r="AH214" s="496"/>
      <c r="AI214" s="584"/>
      <c r="AJ214" s="584"/>
      <c r="AK214" s="584"/>
      <c r="AL214" s="497"/>
      <c r="AM214" s="619"/>
      <c r="AN214" s="496"/>
      <c r="AO214" s="584"/>
      <c r="AP214" s="584"/>
      <c r="AQ214" s="584"/>
      <c r="AR214" s="497"/>
      <c r="AS214" s="619"/>
      <c r="AT214" s="506"/>
      <c r="AU214" s="630"/>
      <c r="AV214" s="619"/>
      <c r="AW214" s="506"/>
      <c r="AX214" s="582"/>
      <c r="AY214" s="619"/>
    </row>
    <row r="215" spans="2:51">
      <c r="B215" s="517" t="s">
        <v>615</v>
      </c>
      <c r="C215" s="518" t="s">
        <v>66</v>
      </c>
      <c r="D215" s="518" t="s">
        <v>57</v>
      </c>
      <c r="E215" s="518" t="s">
        <v>648</v>
      </c>
      <c r="F215" s="518" t="s">
        <v>652</v>
      </c>
      <c r="G215" s="525">
        <v>0.01</v>
      </c>
      <c r="H215" s="525">
        <v>6.1469999999999997E-3</v>
      </c>
      <c r="I215" s="527">
        <v>0.4</v>
      </c>
      <c r="J215" s="593">
        <v>7</v>
      </c>
      <c r="K215" s="519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3"/>
      <c r="AC215" s="273"/>
      <c r="AD215" s="273"/>
      <c r="AE215" s="273"/>
      <c r="AF215" s="272"/>
      <c r="AG215" s="494" t="str">
        <f ca="1">IF('CDO Bespoke'!C240&lt;&gt;"",'CDO Bespoke'!C240,"")</f>
        <v/>
      </c>
      <c r="AH215" s="496"/>
      <c r="AI215" s="584"/>
      <c r="AJ215" s="584"/>
      <c r="AK215" s="584"/>
      <c r="AL215" s="497"/>
      <c r="AM215" s="619"/>
      <c r="AN215" s="496"/>
      <c r="AO215" s="584"/>
      <c r="AP215" s="584"/>
      <c r="AQ215" s="584"/>
      <c r="AR215" s="497"/>
      <c r="AS215" s="619"/>
      <c r="AT215" s="506"/>
      <c r="AU215" s="630"/>
      <c r="AV215" s="619"/>
      <c r="AW215" s="506"/>
      <c r="AX215" s="582"/>
      <c r="AY215" s="619"/>
    </row>
    <row r="216" spans="2:51">
      <c r="B216" s="534" t="s">
        <v>615</v>
      </c>
      <c r="C216" s="535" t="s">
        <v>66</v>
      </c>
      <c r="D216" s="535" t="s">
        <v>59</v>
      </c>
      <c r="E216" s="535" t="s">
        <v>648</v>
      </c>
      <c r="F216" s="535" t="s">
        <v>652</v>
      </c>
      <c r="G216" s="536">
        <v>0.01</v>
      </c>
      <c r="H216" s="536">
        <v>8.4799999999999997E-3</v>
      </c>
      <c r="I216" s="537">
        <v>0.4</v>
      </c>
      <c r="J216" s="594">
        <v>7</v>
      </c>
      <c r="K216" s="538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3"/>
      <c r="AC216" s="273"/>
      <c r="AD216" s="273"/>
      <c r="AE216" s="273"/>
      <c r="AF216" s="272"/>
      <c r="AG216" s="494" t="str">
        <f ca="1">IF('CDO Bespoke'!C241&lt;&gt;"",'CDO Bespoke'!C241,"")</f>
        <v/>
      </c>
      <c r="AH216" s="496"/>
      <c r="AI216" s="584"/>
      <c r="AJ216" s="584"/>
      <c r="AK216" s="584"/>
      <c r="AL216" s="497"/>
      <c r="AM216" s="619"/>
      <c r="AN216" s="496"/>
      <c r="AO216" s="584"/>
      <c r="AP216" s="584"/>
      <c r="AQ216" s="584"/>
      <c r="AR216" s="497"/>
      <c r="AS216" s="619"/>
      <c r="AT216" s="506"/>
      <c r="AU216" s="630"/>
      <c r="AV216" s="619"/>
      <c r="AW216" s="506"/>
      <c r="AX216" s="582"/>
      <c r="AY216" s="619"/>
    </row>
    <row r="217" spans="2:51">
      <c r="B217" s="539" t="s">
        <v>567</v>
      </c>
      <c r="C217" s="540" t="s">
        <v>66</v>
      </c>
      <c r="D217" s="540" t="s">
        <v>55</v>
      </c>
      <c r="E217" s="540" t="s">
        <v>648</v>
      </c>
      <c r="F217" s="540" t="s">
        <v>652</v>
      </c>
      <c r="G217" s="541">
        <v>0.01</v>
      </c>
      <c r="H217" s="541">
        <v>4.1130000000000003E-3</v>
      </c>
      <c r="I217" s="542">
        <v>0.4</v>
      </c>
      <c r="J217" s="601">
        <v>7</v>
      </c>
      <c r="K217" s="543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3"/>
      <c r="AC217" s="273"/>
      <c r="AD217" s="273"/>
      <c r="AE217" s="273"/>
      <c r="AF217" s="272"/>
      <c r="AG217" s="494" t="str">
        <f ca="1">IF('CDO Bespoke'!C242&lt;&gt;"",'CDO Bespoke'!C242,"")</f>
        <v/>
      </c>
      <c r="AH217" s="496"/>
      <c r="AI217" s="584"/>
      <c r="AJ217" s="584"/>
      <c r="AK217" s="584"/>
      <c r="AL217" s="497"/>
      <c r="AM217" s="619"/>
      <c r="AN217" s="496"/>
      <c r="AO217" s="584"/>
      <c r="AP217" s="584"/>
      <c r="AQ217" s="584"/>
      <c r="AR217" s="497"/>
      <c r="AS217" s="619"/>
      <c r="AT217" s="506"/>
      <c r="AU217" s="630"/>
      <c r="AV217" s="619"/>
      <c r="AW217" s="506"/>
      <c r="AX217" s="582"/>
      <c r="AY217" s="619"/>
    </row>
    <row r="218" spans="2:51">
      <c r="B218" s="517" t="s">
        <v>567</v>
      </c>
      <c r="C218" s="518" t="s">
        <v>66</v>
      </c>
      <c r="D218" s="518" t="s">
        <v>57</v>
      </c>
      <c r="E218" s="518" t="s">
        <v>648</v>
      </c>
      <c r="F218" s="518" t="s">
        <v>652</v>
      </c>
      <c r="G218" s="525">
        <v>0.01</v>
      </c>
      <c r="H218" s="525">
        <v>6.5919999999999998E-3</v>
      </c>
      <c r="I218" s="527">
        <v>0.4</v>
      </c>
      <c r="J218" s="593">
        <v>7</v>
      </c>
      <c r="K218" s="519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3"/>
      <c r="AC218" s="273"/>
      <c r="AD218" s="273"/>
      <c r="AE218" s="273"/>
      <c r="AF218" s="272"/>
      <c r="AG218" s="494" t="str">
        <f ca="1">IF('CDO Bespoke'!C243&lt;&gt;"",'CDO Bespoke'!C243,"")</f>
        <v/>
      </c>
      <c r="AH218" s="496"/>
      <c r="AI218" s="584"/>
      <c r="AJ218" s="584"/>
      <c r="AK218" s="584"/>
      <c r="AL218" s="497"/>
      <c r="AM218" s="619"/>
      <c r="AN218" s="496"/>
      <c r="AO218" s="584"/>
      <c r="AP218" s="584"/>
      <c r="AQ218" s="584"/>
      <c r="AR218" s="497"/>
      <c r="AS218" s="619"/>
      <c r="AT218" s="506"/>
      <c r="AU218" s="630"/>
      <c r="AV218" s="619"/>
      <c r="AW218" s="506"/>
      <c r="AX218" s="582"/>
      <c r="AY218" s="619"/>
    </row>
    <row r="219" spans="2:51">
      <c r="B219" s="534" t="s">
        <v>567</v>
      </c>
      <c r="C219" s="535" t="s">
        <v>66</v>
      </c>
      <c r="D219" s="535" t="s">
        <v>59</v>
      </c>
      <c r="E219" s="535" t="s">
        <v>648</v>
      </c>
      <c r="F219" s="535" t="s">
        <v>652</v>
      </c>
      <c r="G219" s="536">
        <v>0.01</v>
      </c>
      <c r="H219" s="536">
        <v>9.4090000000000007E-3</v>
      </c>
      <c r="I219" s="537">
        <v>0.4</v>
      </c>
      <c r="J219" s="594">
        <v>7</v>
      </c>
      <c r="K219" s="538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3"/>
      <c r="AC219" s="273"/>
      <c r="AD219" s="273"/>
      <c r="AE219" s="273"/>
      <c r="AF219" s="272"/>
      <c r="AG219" s="494" t="str">
        <f ca="1">IF('CDO Bespoke'!C244&lt;&gt;"",'CDO Bespoke'!C244,"")</f>
        <v/>
      </c>
      <c r="AH219" s="496"/>
      <c r="AI219" s="584"/>
      <c r="AJ219" s="584"/>
      <c r="AK219" s="584"/>
      <c r="AL219" s="497"/>
      <c r="AM219" s="619"/>
      <c r="AN219" s="496"/>
      <c r="AO219" s="584"/>
      <c r="AP219" s="584"/>
      <c r="AQ219" s="584"/>
      <c r="AR219" s="497"/>
      <c r="AS219" s="619"/>
      <c r="AT219" s="506"/>
      <c r="AU219" s="630"/>
      <c r="AV219" s="619"/>
      <c r="AW219" s="506"/>
      <c r="AX219" s="582"/>
      <c r="AY219" s="619"/>
    </row>
    <row r="220" spans="2:51">
      <c r="B220" s="539" t="s">
        <v>577</v>
      </c>
      <c r="C220" s="540" t="s">
        <v>66</v>
      </c>
      <c r="D220" s="540" t="s">
        <v>55</v>
      </c>
      <c r="E220" s="540" t="s">
        <v>648</v>
      </c>
      <c r="F220" s="540" t="s">
        <v>652</v>
      </c>
      <c r="G220" s="541">
        <v>0.01</v>
      </c>
      <c r="H220" s="541">
        <v>3.3249999999999998E-3</v>
      </c>
      <c r="I220" s="542">
        <v>0.4</v>
      </c>
      <c r="J220" s="601">
        <v>7</v>
      </c>
      <c r="K220" s="543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3"/>
      <c r="AC220" s="273"/>
      <c r="AD220" s="273"/>
      <c r="AE220" s="273"/>
      <c r="AF220" s="272"/>
      <c r="AG220" s="494" t="str">
        <f ca="1">IF('CDO Bespoke'!C245&lt;&gt;"",'CDO Bespoke'!C245,"")</f>
        <v/>
      </c>
      <c r="AH220" s="496"/>
      <c r="AI220" s="584"/>
      <c r="AJ220" s="584"/>
      <c r="AK220" s="584"/>
      <c r="AL220" s="497"/>
      <c r="AM220" s="619"/>
      <c r="AN220" s="496"/>
      <c r="AO220" s="584"/>
      <c r="AP220" s="584"/>
      <c r="AQ220" s="584"/>
      <c r="AR220" s="497"/>
      <c r="AS220" s="619"/>
      <c r="AT220" s="506"/>
      <c r="AU220" s="630"/>
      <c r="AV220" s="619"/>
      <c r="AW220" s="506"/>
      <c r="AX220" s="582"/>
      <c r="AY220" s="619"/>
    </row>
    <row r="221" spans="2:51">
      <c r="B221" s="517" t="s">
        <v>577</v>
      </c>
      <c r="C221" s="518" t="s">
        <v>66</v>
      </c>
      <c r="D221" s="518" t="s">
        <v>57</v>
      </c>
      <c r="E221" s="518" t="s">
        <v>648</v>
      </c>
      <c r="F221" s="518" t="s">
        <v>652</v>
      </c>
      <c r="G221" s="525">
        <v>0.01</v>
      </c>
      <c r="H221" s="525">
        <v>6.195E-3</v>
      </c>
      <c r="I221" s="527">
        <v>0.4</v>
      </c>
      <c r="J221" s="593">
        <v>7</v>
      </c>
      <c r="K221" s="519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3"/>
      <c r="AC221" s="273"/>
      <c r="AD221" s="273"/>
      <c r="AE221" s="273"/>
      <c r="AF221" s="272"/>
      <c r="AG221" s="494" t="str">
        <f ca="1">IF('CDO Bespoke'!C246&lt;&gt;"",'CDO Bespoke'!C246,"")</f>
        <v/>
      </c>
      <c r="AH221" s="496"/>
      <c r="AI221" s="584"/>
      <c r="AJ221" s="584"/>
      <c r="AK221" s="584"/>
      <c r="AL221" s="497"/>
      <c r="AM221" s="619"/>
      <c r="AN221" s="496"/>
      <c r="AO221" s="584"/>
      <c r="AP221" s="584"/>
      <c r="AQ221" s="584"/>
      <c r="AR221" s="497"/>
      <c r="AS221" s="619"/>
      <c r="AT221" s="506"/>
      <c r="AU221" s="630"/>
      <c r="AV221" s="619"/>
      <c r="AW221" s="506"/>
      <c r="AX221" s="582"/>
      <c r="AY221" s="619"/>
    </row>
    <row r="222" spans="2:51">
      <c r="B222" s="534" t="s">
        <v>577</v>
      </c>
      <c r="C222" s="535" t="s">
        <v>66</v>
      </c>
      <c r="D222" s="535" t="s">
        <v>59</v>
      </c>
      <c r="E222" s="535" t="s">
        <v>648</v>
      </c>
      <c r="F222" s="535" t="s">
        <v>652</v>
      </c>
      <c r="G222" s="536">
        <v>0.01</v>
      </c>
      <c r="H222" s="536">
        <v>9.2610000000000001E-3</v>
      </c>
      <c r="I222" s="537">
        <v>0.4</v>
      </c>
      <c r="J222" s="594">
        <v>7</v>
      </c>
      <c r="K222" s="538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3"/>
      <c r="AC222" s="273"/>
      <c r="AD222" s="273"/>
      <c r="AE222" s="273"/>
      <c r="AF222" s="272"/>
      <c r="AG222" s="494" t="str">
        <f ca="1">IF('CDO Bespoke'!C247&lt;&gt;"",'CDO Bespoke'!C247,"")</f>
        <v/>
      </c>
      <c r="AH222" s="496"/>
      <c r="AI222" s="584"/>
      <c r="AJ222" s="584"/>
      <c r="AK222" s="584"/>
      <c r="AL222" s="497"/>
      <c r="AM222" s="619"/>
      <c r="AN222" s="496"/>
      <c r="AO222" s="584"/>
      <c r="AP222" s="584"/>
      <c r="AQ222" s="584"/>
      <c r="AR222" s="497"/>
      <c r="AS222" s="619"/>
      <c r="AT222" s="506"/>
      <c r="AU222" s="630"/>
      <c r="AV222" s="619"/>
      <c r="AW222" s="506"/>
      <c r="AX222" s="582"/>
      <c r="AY222" s="619"/>
    </row>
    <row r="223" spans="2:51">
      <c r="B223" s="539" t="s">
        <v>568</v>
      </c>
      <c r="C223" s="540" t="s">
        <v>66</v>
      </c>
      <c r="D223" s="540" t="s">
        <v>55</v>
      </c>
      <c r="E223" s="540" t="s">
        <v>648</v>
      </c>
      <c r="F223" s="540" t="s">
        <v>652</v>
      </c>
      <c r="G223" s="541">
        <v>0.01</v>
      </c>
      <c r="H223" s="541">
        <v>2.6879999999999999E-3</v>
      </c>
      <c r="I223" s="542">
        <v>0.4</v>
      </c>
      <c r="J223" s="601">
        <v>7</v>
      </c>
      <c r="K223" s="543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3"/>
      <c r="AC223" s="273"/>
      <c r="AD223" s="273"/>
      <c r="AE223" s="273"/>
      <c r="AF223" s="272"/>
      <c r="AG223" s="494" t="str">
        <f ca="1">IF('CDO Bespoke'!C248&lt;&gt;"",'CDO Bespoke'!C248,"")</f>
        <v/>
      </c>
      <c r="AH223" s="496"/>
      <c r="AI223" s="584"/>
      <c r="AJ223" s="584"/>
      <c r="AK223" s="584"/>
      <c r="AL223" s="497"/>
      <c r="AM223" s="619"/>
      <c r="AN223" s="496"/>
      <c r="AO223" s="584"/>
      <c r="AP223" s="584"/>
      <c r="AQ223" s="584"/>
      <c r="AR223" s="497"/>
      <c r="AS223" s="619"/>
      <c r="AT223" s="506"/>
      <c r="AU223" s="630"/>
      <c r="AV223" s="619"/>
      <c r="AW223" s="506"/>
      <c r="AX223" s="582"/>
      <c r="AY223" s="619"/>
    </row>
    <row r="224" spans="2:51">
      <c r="B224" s="517" t="s">
        <v>568</v>
      </c>
      <c r="C224" s="518" t="s">
        <v>66</v>
      </c>
      <c r="D224" s="518" t="s">
        <v>57</v>
      </c>
      <c r="E224" s="518" t="s">
        <v>648</v>
      </c>
      <c r="F224" s="518" t="s">
        <v>652</v>
      </c>
      <c r="G224" s="525">
        <v>0.01</v>
      </c>
      <c r="H224" s="525">
        <v>4.4660000000000004E-3</v>
      </c>
      <c r="I224" s="527">
        <v>0.4</v>
      </c>
      <c r="J224" s="593">
        <v>7</v>
      </c>
      <c r="K224" s="519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3"/>
      <c r="AE224" s="273"/>
      <c r="AF224" s="272"/>
      <c r="AG224" s="494" t="str">
        <f ca="1">IF('CDO Bespoke'!C249&lt;&gt;"",'CDO Bespoke'!C249,"")</f>
        <v/>
      </c>
      <c r="AH224" s="496"/>
      <c r="AI224" s="584"/>
      <c r="AJ224" s="584"/>
      <c r="AK224" s="584"/>
      <c r="AL224" s="497"/>
      <c r="AM224" s="619"/>
      <c r="AN224" s="496"/>
      <c r="AO224" s="584"/>
      <c r="AP224" s="584"/>
      <c r="AQ224" s="584"/>
      <c r="AR224" s="497"/>
      <c r="AS224" s="619"/>
      <c r="AT224" s="506"/>
      <c r="AU224" s="630"/>
      <c r="AV224" s="619"/>
      <c r="AW224" s="506"/>
      <c r="AX224" s="582"/>
      <c r="AY224" s="619"/>
    </row>
    <row r="225" spans="2:51">
      <c r="B225" s="534" t="s">
        <v>568</v>
      </c>
      <c r="C225" s="535" t="s">
        <v>66</v>
      </c>
      <c r="D225" s="535" t="s">
        <v>59</v>
      </c>
      <c r="E225" s="535" t="s">
        <v>648</v>
      </c>
      <c r="F225" s="535" t="s">
        <v>652</v>
      </c>
      <c r="G225" s="536">
        <v>0.01</v>
      </c>
      <c r="H225" s="536">
        <v>5.9670000000000001E-3</v>
      </c>
      <c r="I225" s="537">
        <v>0.4</v>
      </c>
      <c r="J225" s="594">
        <v>7</v>
      </c>
      <c r="K225" s="538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3"/>
      <c r="AE225" s="273"/>
      <c r="AF225" s="272"/>
      <c r="AG225" s="494" t="str">
        <f ca="1">IF('CDO Bespoke'!C250&lt;&gt;"",'CDO Bespoke'!C250,"")</f>
        <v/>
      </c>
      <c r="AH225" s="496"/>
      <c r="AI225" s="584"/>
      <c r="AJ225" s="584"/>
      <c r="AK225" s="584"/>
      <c r="AL225" s="497"/>
      <c r="AM225" s="619"/>
      <c r="AN225" s="496"/>
      <c r="AO225" s="584"/>
      <c r="AP225" s="584"/>
      <c r="AQ225" s="584"/>
      <c r="AR225" s="497"/>
      <c r="AS225" s="619"/>
      <c r="AT225" s="506"/>
      <c r="AU225" s="630"/>
      <c r="AV225" s="619"/>
      <c r="AW225" s="506"/>
      <c r="AX225" s="582"/>
      <c r="AY225" s="619"/>
    </row>
    <row r="226" spans="2:51">
      <c r="B226" s="539" t="s">
        <v>569</v>
      </c>
      <c r="C226" s="540" t="s">
        <v>66</v>
      </c>
      <c r="D226" s="540" t="s">
        <v>55</v>
      </c>
      <c r="E226" s="540" t="s">
        <v>646</v>
      </c>
      <c r="F226" s="540" t="s">
        <v>651</v>
      </c>
      <c r="G226" s="541">
        <v>0.01</v>
      </c>
      <c r="H226" s="541">
        <v>3.4719999999999998E-3</v>
      </c>
      <c r="I226" s="542">
        <v>0.4</v>
      </c>
      <c r="J226" s="601">
        <v>4</v>
      </c>
      <c r="K226" s="543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3"/>
      <c r="AE226" s="273"/>
      <c r="AF226" s="272"/>
      <c r="AG226" s="494" t="str">
        <f ca="1">IF('CDO Bespoke'!C251&lt;&gt;"",'CDO Bespoke'!C251,"")</f>
        <v/>
      </c>
      <c r="AH226" s="496"/>
      <c r="AI226" s="584"/>
      <c r="AJ226" s="584"/>
      <c r="AK226" s="584"/>
      <c r="AL226" s="497"/>
      <c r="AM226" s="619"/>
      <c r="AN226" s="496"/>
      <c r="AO226" s="584"/>
      <c r="AP226" s="584"/>
      <c r="AQ226" s="584"/>
      <c r="AR226" s="497"/>
      <c r="AS226" s="619"/>
      <c r="AT226" s="506"/>
      <c r="AU226" s="630"/>
      <c r="AV226" s="619"/>
      <c r="AW226" s="506"/>
      <c r="AX226" s="582"/>
      <c r="AY226" s="619"/>
    </row>
    <row r="227" spans="2:51">
      <c r="B227" s="517" t="s">
        <v>569</v>
      </c>
      <c r="C227" s="518" t="s">
        <v>66</v>
      </c>
      <c r="D227" s="518" t="s">
        <v>57</v>
      </c>
      <c r="E227" s="518" t="s">
        <v>646</v>
      </c>
      <c r="F227" s="518" t="s">
        <v>651</v>
      </c>
      <c r="G227" s="525">
        <v>0.01</v>
      </c>
      <c r="H227" s="525">
        <v>5.6010000000000001E-3</v>
      </c>
      <c r="I227" s="527">
        <v>0.4</v>
      </c>
      <c r="J227" s="593">
        <v>4</v>
      </c>
      <c r="K227" s="519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3"/>
      <c r="AC227" s="273"/>
      <c r="AD227" s="273"/>
      <c r="AE227" s="273"/>
      <c r="AF227" s="272"/>
      <c r="AG227" s="494" t="str">
        <f ca="1">IF('CDO Bespoke'!C252&lt;&gt;"",'CDO Bespoke'!C252,"")</f>
        <v/>
      </c>
      <c r="AH227" s="496"/>
      <c r="AI227" s="584"/>
      <c r="AJ227" s="584"/>
      <c r="AK227" s="584"/>
      <c r="AL227" s="497"/>
      <c r="AM227" s="619"/>
      <c r="AN227" s="496"/>
      <c r="AO227" s="584"/>
      <c r="AP227" s="584"/>
      <c r="AQ227" s="584"/>
      <c r="AR227" s="497"/>
      <c r="AS227" s="619"/>
      <c r="AT227" s="506"/>
      <c r="AU227" s="630"/>
      <c r="AV227" s="619"/>
      <c r="AW227" s="506"/>
      <c r="AX227" s="582"/>
      <c r="AY227" s="619"/>
    </row>
    <row r="228" spans="2:51">
      <c r="B228" s="534" t="s">
        <v>569</v>
      </c>
      <c r="C228" s="535" t="s">
        <v>66</v>
      </c>
      <c r="D228" s="535" t="s">
        <v>59</v>
      </c>
      <c r="E228" s="535" t="s">
        <v>646</v>
      </c>
      <c r="F228" s="535" t="s">
        <v>651</v>
      </c>
      <c r="G228" s="536">
        <v>0.01</v>
      </c>
      <c r="H228" s="536">
        <v>7.7669999999999996E-3</v>
      </c>
      <c r="I228" s="537">
        <v>0.4</v>
      </c>
      <c r="J228" s="594">
        <v>4</v>
      </c>
      <c r="K228" s="538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3"/>
      <c r="AC228" s="273"/>
      <c r="AD228" s="273"/>
      <c r="AE228" s="273"/>
      <c r="AF228" s="272"/>
      <c r="AG228" s="494" t="str">
        <f ca="1">IF('CDO Bespoke'!C253&lt;&gt;"",'CDO Bespoke'!C253,"")</f>
        <v/>
      </c>
      <c r="AH228" s="496"/>
      <c r="AI228" s="584"/>
      <c r="AJ228" s="584"/>
      <c r="AK228" s="584"/>
      <c r="AL228" s="497"/>
      <c r="AM228" s="619"/>
      <c r="AN228" s="496"/>
      <c r="AO228" s="584"/>
      <c r="AP228" s="584"/>
      <c r="AQ228" s="584"/>
      <c r="AR228" s="497"/>
      <c r="AS228" s="619"/>
      <c r="AT228" s="506"/>
      <c r="AU228" s="630"/>
      <c r="AV228" s="619"/>
      <c r="AW228" s="506"/>
      <c r="AX228" s="582"/>
      <c r="AY228" s="619"/>
    </row>
    <row r="229" spans="2:51">
      <c r="B229" s="539" t="s">
        <v>578</v>
      </c>
      <c r="C229" s="540" t="s">
        <v>66</v>
      </c>
      <c r="D229" s="540" t="s">
        <v>55</v>
      </c>
      <c r="E229" s="540" t="s">
        <v>650</v>
      </c>
      <c r="F229" s="540" t="s">
        <v>651</v>
      </c>
      <c r="G229" s="541">
        <v>0.01</v>
      </c>
      <c r="H229" s="541">
        <v>1.7849999999999999E-3</v>
      </c>
      <c r="I229" s="542">
        <v>0.4</v>
      </c>
      <c r="J229" s="601">
        <v>4</v>
      </c>
      <c r="K229" s="543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3"/>
      <c r="AE229" s="273"/>
      <c r="AF229" s="272"/>
      <c r="AG229" s="494" t="str">
        <f ca="1">IF('CDO Bespoke'!C254&lt;&gt;"",'CDO Bespoke'!C254,"")</f>
        <v/>
      </c>
      <c r="AH229" s="496"/>
      <c r="AI229" s="584"/>
      <c r="AJ229" s="584"/>
      <c r="AK229" s="584"/>
      <c r="AL229" s="497"/>
      <c r="AM229" s="619"/>
      <c r="AN229" s="496"/>
      <c r="AO229" s="584"/>
      <c r="AP229" s="584"/>
      <c r="AQ229" s="584"/>
      <c r="AR229" s="497"/>
      <c r="AS229" s="619"/>
      <c r="AT229" s="506"/>
      <c r="AU229" s="630"/>
      <c r="AV229" s="619"/>
      <c r="AW229" s="506"/>
      <c r="AX229" s="582"/>
      <c r="AY229" s="619"/>
    </row>
    <row r="230" spans="2:51">
      <c r="B230" s="517" t="s">
        <v>578</v>
      </c>
      <c r="C230" s="518" t="s">
        <v>66</v>
      </c>
      <c r="D230" s="518" t="s">
        <v>57</v>
      </c>
      <c r="E230" s="518" t="s">
        <v>650</v>
      </c>
      <c r="F230" s="518" t="s">
        <v>651</v>
      </c>
      <c r="G230" s="525">
        <v>0.01</v>
      </c>
      <c r="H230" s="525">
        <v>2.7560000000000002E-3</v>
      </c>
      <c r="I230" s="527">
        <v>0.4</v>
      </c>
      <c r="J230" s="593">
        <v>4</v>
      </c>
      <c r="K230" s="519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3"/>
      <c r="AE230" s="273"/>
      <c r="AF230" s="272"/>
      <c r="AG230" s="494" t="str">
        <f ca="1">IF('CDO Bespoke'!C255&lt;&gt;"",'CDO Bespoke'!C255,"")</f>
        <v/>
      </c>
      <c r="AH230" s="496"/>
      <c r="AI230" s="584"/>
      <c r="AJ230" s="584"/>
      <c r="AK230" s="584"/>
      <c r="AL230" s="497"/>
      <c r="AM230" s="619"/>
      <c r="AN230" s="496"/>
      <c r="AO230" s="584"/>
      <c r="AP230" s="584"/>
      <c r="AQ230" s="584"/>
      <c r="AR230" s="497"/>
      <c r="AS230" s="619"/>
      <c r="AT230" s="506"/>
      <c r="AU230" s="630"/>
      <c r="AV230" s="619"/>
      <c r="AW230" s="506"/>
      <c r="AX230" s="582"/>
      <c r="AY230" s="619"/>
    </row>
    <row r="231" spans="2:51">
      <c r="B231" s="534" t="s">
        <v>578</v>
      </c>
      <c r="C231" s="535" t="s">
        <v>66</v>
      </c>
      <c r="D231" s="535" t="s">
        <v>59</v>
      </c>
      <c r="E231" s="535" t="s">
        <v>650</v>
      </c>
      <c r="F231" s="535" t="s">
        <v>651</v>
      </c>
      <c r="G231" s="536">
        <v>0.01</v>
      </c>
      <c r="H231" s="536">
        <v>3.7669999999999999E-3</v>
      </c>
      <c r="I231" s="537">
        <v>0.4</v>
      </c>
      <c r="J231" s="594">
        <v>4</v>
      </c>
      <c r="K231" s="538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3"/>
      <c r="AC231" s="273"/>
      <c r="AD231" s="273"/>
      <c r="AE231" s="273"/>
      <c r="AF231" s="272"/>
      <c r="AG231" s="494" t="str">
        <f ca="1">IF('CDO Bespoke'!C256&lt;&gt;"",'CDO Bespoke'!C256,"")</f>
        <v/>
      </c>
      <c r="AH231" s="496"/>
      <c r="AI231" s="584"/>
      <c r="AJ231" s="584"/>
      <c r="AK231" s="584"/>
      <c r="AL231" s="497"/>
      <c r="AM231" s="619"/>
      <c r="AN231" s="496"/>
      <c r="AO231" s="584"/>
      <c r="AP231" s="584"/>
      <c r="AQ231" s="584"/>
      <c r="AR231" s="497"/>
      <c r="AS231" s="619"/>
      <c r="AT231" s="506"/>
      <c r="AU231" s="630"/>
      <c r="AV231" s="619"/>
      <c r="AW231" s="506"/>
      <c r="AX231" s="582"/>
      <c r="AY231" s="619"/>
    </row>
    <row r="232" spans="2:51">
      <c r="B232" s="539" t="s">
        <v>570</v>
      </c>
      <c r="C232" s="540" t="s">
        <v>66</v>
      </c>
      <c r="D232" s="540" t="s">
        <v>55</v>
      </c>
      <c r="E232" s="540" t="s">
        <v>648</v>
      </c>
      <c r="F232" s="540" t="s">
        <v>652</v>
      </c>
      <c r="G232" s="541">
        <v>0.01</v>
      </c>
      <c r="H232" s="541">
        <v>2.5920000000000001E-3</v>
      </c>
      <c r="I232" s="542">
        <v>0.4</v>
      </c>
      <c r="J232" s="601">
        <v>7</v>
      </c>
      <c r="K232" s="543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3"/>
      <c r="AC232" s="273"/>
      <c r="AD232" s="273"/>
      <c r="AE232" s="273"/>
      <c r="AF232" s="272"/>
      <c r="AG232" s="494" t="str">
        <f ca="1">IF('CDO Bespoke'!C257&lt;&gt;"",'CDO Bespoke'!C257,"")</f>
        <v/>
      </c>
      <c r="AH232" s="496"/>
      <c r="AI232" s="584"/>
      <c r="AJ232" s="584"/>
      <c r="AK232" s="584"/>
      <c r="AL232" s="497"/>
      <c r="AM232" s="619"/>
      <c r="AN232" s="496"/>
      <c r="AO232" s="584"/>
      <c r="AP232" s="584"/>
      <c r="AQ232" s="584"/>
      <c r="AR232" s="497"/>
      <c r="AS232" s="619"/>
      <c r="AT232" s="506"/>
      <c r="AU232" s="630"/>
      <c r="AV232" s="619"/>
      <c r="AW232" s="506"/>
      <c r="AX232" s="582"/>
      <c r="AY232" s="619"/>
    </row>
    <row r="233" spans="2:51">
      <c r="B233" s="517" t="s">
        <v>570</v>
      </c>
      <c r="C233" s="518" t="s">
        <v>66</v>
      </c>
      <c r="D233" s="518" t="s">
        <v>57</v>
      </c>
      <c r="E233" s="518" t="s">
        <v>648</v>
      </c>
      <c r="F233" s="518" t="s">
        <v>652</v>
      </c>
      <c r="G233" s="525">
        <v>0.01</v>
      </c>
      <c r="H233" s="525">
        <v>4.5840000000000004E-3</v>
      </c>
      <c r="I233" s="527">
        <v>0.4</v>
      </c>
      <c r="J233" s="593">
        <v>7</v>
      </c>
      <c r="K233" s="519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3"/>
      <c r="AE233" s="273"/>
      <c r="AF233" s="272"/>
      <c r="AG233" s="494" t="str">
        <f ca="1">IF('CDO Bespoke'!C258&lt;&gt;"",'CDO Bespoke'!C258,"")</f>
        <v/>
      </c>
      <c r="AH233" s="496"/>
      <c r="AI233" s="584"/>
      <c r="AJ233" s="584"/>
      <c r="AK233" s="584"/>
      <c r="AL233" s="497"/>
      <c r="AM233" s="619"/>
      <c r="AN233" s="496"/>
      <c r="AO233" s="584"/>
      <c r="AP233" s="584"/>
      <c r="AQ233" s="584"/>
      <c r="AR233" s="497"/>
      <c r="AS233" s="619"/>
      <c r="AT233" s="506"/>
      <c r="AU233" s="630"/>
      <c r="AV233" s="619"/>
      <c r="AW233" s="506"/>
      <c r="AX233" s="582"/>
      <c r="AY233" s="619"/>
    </row>
    <row r="234" spans="2:51">
      <c r="B234" s="534" t="s">
        <v>570</v>
      </c>
      <c r="C234" s="535" t="s">
        <v>66</v>
      </c>
      <c r="D234" s="535" t="s">
        <v>59</v>
      </c>
      <c r="E234" s="535" t="s">
        <v>648</v>
      </c>
      <c r="F234" s="535" t="s">
        <v>652</v>
      </c>
      <c r="G234" s="536">
        <v>0.01</v>
      </c>
      <c r="H234" s="536">
        <v>6.4619999999999999E-3</v>
      </c>
      <c r="I234" s="537">
        <v>0.4</v>
      </c>
      <c r="J234" s="594">
        <v>7</v>
      </c>
      <c r="K234" s="538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3"/>
      <c r="AE234" s="273"/>
      <c r="AF234" s="272"/>
      <c r="AG234" s="494" t="str">
        <f ca="1">IF('CDO Bespoke'!C259&lt;&gt;"",'CDO Bespoke'!C259,"")</f>
        <v/>
      </c>
      <c r="AH234" s="496"/>
      <c r="AI234" s="584"/>
      <c r="AJ234" s="584"/>
      <c r="AK234" s="584"/>
      <c r="AL234" s="497"/>
      <c r="AM234" s="619"/>
      <c r="AN234" s="496"/>
      <c r="AO234" s="584"/>
      <c r="AP234" s="584"/>
      <c r="AQ234" s="584"/>
      <c r="AR234" s="497"/>
      <c r="AS234" s="619"/>
      <c r="AT234" s="506"/>
      <c r="AU234" s="630"/>
      <c r="AV234" s="619"/>
      <c r="AW234" s="506"/>
      <c r="AX234" s="582"/>
      <c r="AY234" s="619"/>
    </row>
    <row r="235" spans="2:51">
      <c r="B235" s="539" t="s">
        <v>571</v>
      </c>
      <c r="C235" s="540" t="s">
        <v>66</v>
      </c>
      <c r="D235" s="540" t="s">
        <v>55</v>
      </c>
      <c r="E235" s="540" t="s">
        <v>648</v>
      </c>
      <c r="F235" s="540" t="s">
        <v>652</v>
      </c>
      <c r="G235" s="541">
        <v>0.01</v>
      </c>
      <c r="H235" s="541">
        <v>2.307E-3</v>
      </c>
      <c r="I235" s="542">
        <v>0.4</v>
      </c>
      <c r="J235" s="601">
        <v>7</v>
      </c>
      <c r="K235" s="543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3"/>
      <c r="AE235" s="273"/>
      <c r="AF235" s="272"/>
      <c r="AG235" s="494" t="str">
        <f ca="1">IF('CDO Bespoke'!C260&lt;&gt;"",'CDO Bespoke'!C260,"")</f>
        <v/>
      </c>
      <c r="AH235" s="496"/>
      <c r="AI235" s="584"/>
      <c r="AJ235" s="584"/>
      <c r="AK235" s="584"/>
      <c r="AL235" s="497"/>
      <c r="AM235" s="619"/>
      <c r="AN235" s="496"/>
      <c r="AO235" s="584"/>
      <c r="AP235" s="584"/>
      <c r="AQ235" s="584"/>
      <c r="AR235" s="497"/>
      <c r="AS235" s="619"/>
      <c r="AT235" s="506"/>
      <c r="AU235" s="630"/>
      <c r="AV235" s="619"/>
      <c r="AW235" s="506"/>
      <c r="AX235" s="582"/>
      <c r="AY235" s="619"/>
    </row>
    <row r="236" spans="2:51">
      <c r="B236" s="517" t="s">
        <v>571</v>
      </c>
      <c r="C236" s="518" t="s">
        <v>66</v>
      </c>
      <c r="D236" s="518" t="s">
        <v>57</v>
      </c>
      <c r="E236" s="518" t="s">
        <v>648</v>
      </c>
      <c r="F236" s="518" t="s">
        <v>652</v>
      </c>
      <c r="G236" s="525">
        <v>0.01</v>
      </c>
      <c r="H236" s="525">
        <v>3.8999999999999998E-3</v>
      </c>
      <c r="I236" s="527">
        <v>0.4</v>
      </c>
      <c r="J236" s="593">
        <v>7</v>
      </c>
      <c r="K236" s="519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3"/>
      <c r="AC236" s="273"/>
      <c r="AD236" s="273"/>
      <c r="AE236" s="273"/>
      <c r="AF236" s="272"/>
      <c r="AG236" s="494" t="str">
        <f ca="1">IF('CDO Bespoke'!C261&lt;&gt;"",'CDO Bespoke'!C261,"")</f>
        <v/>
      </c>
      <c r="AH236" s="496"/>
      <c r="AI236" s="584"/>
      <c r="AJ236" s="584"/>
      <c r="AK236" s="584"/>
      <c r="AL236" s="497"/>
      <c r="AM236" s="619"/>
      <c r="AN236" s="496"/>
      <c r="AO236" s="584"/>
      <c r="AP236" s="584"/>
      <c r="AQ236" s="584"/>
      <c r="AR236" s="497"/>
      <c r="AS236" s="619"/>
      <c r="AT236" s="506"/>
      <c r="AU236" s="630"/>
      <c r="AV236" s="619"/>
      <c r="AW236" s="506"/>
      <c r="AX236" s="582"/>
      <c r="AY236" s="619"/>
    </row>
    <row r="237" spans="2:51">
      <c r="B237" s="534" t="s">
        <v>571</v>
      </c>
      <c r="C237" s="535" t="s">
        <v>66</v>
      </c>
      <c r="D237" s="535" t="s">
        <v>59</v>
      </c>
      <c r="E237" s="535" t="s">
        <v>648</v>
      </c>
      <c r="F237" s="535" t="s">
        <v>652</v>
      </c>
      <c r="G237" s="536">
        <v>0.01</v>
      </c>
      <c r="H237" s="536">
        <v>5.7710000000000001E-3</v>
      </c>
      <c r="I237" s="537">
        <v>0.4</v>
      </c>
      <c r="J237" s="594">
        <v>7</v>
      </c>
      <c r="K237" s="538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3"/>
      <c r="AE237" s="273"/>
      <c r="AF237" s="272"/>
      <c r="AG237" s="494" t="str">
        <f ca="1">IF('CDO Bespoke'!C262&lt;&gt;"",'CDO Bespoke'!C262,"")</f>
        <v/>
      </c>
      <c r="AH237" s="496"/>
      <c r="AI237" s="584"/>
      <c r="AJ237" s="584"/>
      <c r="AK237" s="584"/>
      <c r="AL237" s="497"/>
      <c r="AM237" s="619"/>
      <c r="AN237" s="496"/>
      <c r="AO237" s="584"/>
      <c r="AP237" s="584"/>
      <c r="AQ237" s="584"/>
      <c r="AR237" s="497"/>
      <c r="AS237" s="619"/>
      <c r="AT237" s="506"/>
      <c r="AU237" s="630"/>
      <c r="AV237" s="619"/>
      <c r="AW237" s="506"/>
      <c r="AX237" s="582"/>
      <c r="AY237" s="619"/>
    </row>
    <row r="238" spans="2:51">
      <c r="B238" s="539" t="s">
        <v>572</v>
      </c>
      <c r="C238" s="540" t="s">
        <v>66</v>
      </c>
      <c r="D238" s="540" t="s">
        <v>55</v>
      </c>
      <c r="E238" s="540" t="s">
        <v>648</v>
      </c>
      <c r="F238" s="540" t="s">
        <v>652</v>
      </c>
      <c r="G238" s="541">
        <v>0.01</v>
      </c>
      <c r="H238" s="541">
        <v>3.751E-3</v>
      </c>
      <c r="I238" s="542">
        <v>0.4</v>
      </c>
      <c r="J238" s="601">
        <v>7</v>
      </c>
      <c r="K238" s="543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3"/>
      <c r="AC238" s="273"/>
      <c r="AD238" s="273"/>
      <c r="AE238" s="273"/>
      <c r="AF238" s="272"/>
      <c r="AG238" s="494" t="str">
        <f ca="1">IF('CDO Bespoke'!C263&lt;&gt;"",'CDO Bespoke'!C263,"")</f>
        <v/>
      </c>
      <c r="AH238" s="496"/>
      <c r="AI238" s="584"/>
      <c r="AJ238" s="584"/>
      <c r="AK238" s="584"/>
      <c r="AL238" s="497"/>
      <c r="AM238" s="619"/>
      <c r="AN238" s="496"/>
      <c r="AO238" s="584"/>
      <c r="AP238" s="584"/>
      <c r="AQ238" s="584"/>
      <c r="AR238" s="497"/>
      <c r="AS238" s="619"/>
      <c r="AT238" s="506"/>
      <c r="AU238" s="630"/>
      <c r="AV238" s="619"/>
      <c r="AW238" s="506"/>
      <c r="AX238" s="582"/>
      <c r="AY238" s="619"/>
    </row>
    <row r="239" spans="2:51">
      <c r="B239" s="517" t="s">
        <v>572</v>
      </c>
      <c r="C239" s="518" t="s">
        <v>66</v>
      </c>
      <c r="D239" s="518" t="s">
        <v>57</v>
      </c>
      <c r="E239" s="518" t="s">
        <v>648</v>
      </c>
      <c r="F239" s="518" t="s">
        <v>652</v>
      </c>
      <c r="G239" s="525">
        <v>0.01</v>
      </c>
      <c r="H239" s="525">
        <v>5.8129999999999996E-3</v>
      </c>
      <c r="I239" s="527">
        <v>0.4</v>
      </c>
      <c r="J239" s="593">
        <v>7</v>
      </c>
      <c r="K239" s="519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3"/>
      <c r="AC239" s="273"/>
      <c r="AD239" s="273"/>
      <c r="AE239" s="273"/>
      <c r="AF239" s="272"/>
      <c r="AG239" s="494" t="str">
        <f ca="1">IF('CDO Bespoke'!C264&lt;&gt;"",'CDO Bespoke'!C264,"")</f>
        <v/>
      </c>
      <c r="AH239" s="496"/>
      <c r="AI239" s="584"/>
      <c r="AJ239" s="584"/>
      <c r="AK239" s="584"/>
      <c r="AL239" s="497"/>
      <c r="AM239" s="619"/>
      <c r="AN239" s="496"/>
      <c r="AO239" s="584"/>
      <c r="AP239" s="584"/>
      <c r="AQ239" s="584"/>
      <c r="AR239" s="497"/>
      <c r="AS239" s="619"/>
      <c r="AT239" s="506"/>
      <c r="AU239" s="630"/>
      <c r="AV239" s="619"/>
      <c r="AW239" s="506"/>
      <c r="AX239" s="582"/>
      <c r="AY239" s="619"/>
    </row>
    <row r="240" spans="2:51">
      <c r="B240" s="534" t="s">
        <v>572</v>
      </c>
      <c r="C240" s="535" t="s">
        <v>66</v>
      </c>
      <c r="D240" s="535" t="s">
        <v>59</v>
      </c>
      <c r="E240" s="535" t="s">
        <v>648</v>
      </c>
      <c r="F240" s="535" t="s">
        <v>652</v>
      </c>
      <c r="G240" s="536">
        <v>0.01</v>
      </c>
      <c r="H240" s="536">
        <v>8.0239999999999999E-3</v>
      </c>
      <c r="I240" s="537">
        <v>0.4</v>
      </c>
      <c r="J240" s="594">
        <v>7</v>
      </c>
      <c r="K240" s="538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3"/>
      <c r="AC240" s="273"/>
      <c r="AD240" s="273"/>
      <c r="AE240" s="273"/>
      <c r="AF240" s="272"/>
      <c r="AG240" s="494" t="str">
        <f ca="1">IF('CDO Bespoke'!C265&lt;&gt;"",'CDO Bespoke'!C265,"")</f>
        <v/>
      </c>
      <c r="AH240" s="496"/>
      <c r="AI240" s="584"/>
      <c r="AJ240" s="584"/>
      <c r="AK240" s="584"/>
      <c r="AL240" s="497"/>
      <c r="AM240" s="619"/>
      <c r="AN240" s="496"/>
      <c r="AO240" s="584"/>
      <c r="AP240" s="584"/>
      <c r="AQ240" s="584"/>
      <c r="AR240" s="497"/>
      <c r="AS240" s="619"/>
      <c r="AT240" s="506"/>
      <c r="AU240" s="630"/>
      <c r="AV240" s="619"/>
      <c r="AW240" s="506"/>
      <c r="AX240" s="582"/>
      <c r="AY240" s="619"/>
    </row>
    <row r="241" spans="2:51">
      <c r="B241" s="539" t="s">
        <v>573</v>
      </c>
      <c r="C241" s="540" t="s">
        <v>66</v>
      </c>
      <c r="D241" s="540" t="s">
        <v>55</v>
      </c>
      <c r="E241" s="540" t="s">
        <v>648</v>
      </c>
      <c r="F241" s="540" t="s">
        <v>652</v>
      </c>
      <c r="G241" s="541">
        <v>0.01</v>
      </c>
      <c r="H241" s="541">
        <v>2.993E-3</v>
      </c>
      <c r="I241" s="542">
        <v>0.4</v>
      </c>
      <c r="J241" s="601">
        <v>7</v>
      </c>
      <c r="K241" s="543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3"/>
      <c r="AC241" s="273"/>
      <c r="AD241" s="273"/>
      <c r="AE241" s="273"/>
      <c r="AF241" s="272"/>
      <c r="AG241" s="494" t="str">
        <f ca="1">IF('CDO Bespoke'!C266&lt;&gt;"",'CDO Bespoke'!C266,"")</f>
        <v/>
      </c>
      <c r="AH241" s="496"/>
      <c r="AI241" s="584"/>
      <c r="AJ241" s="584"/>
      <c r="AK241" s="584"/>
      <c r="AL241" s="497"/>
      <c r="AM241" s="619"/>
      <c r="AN241" s="496"/>
      <c r="AO241" s="584"/>
      <c r="AP241" s="584"/>
      <c r="AQ241" s="584"/>
      <c r="AR241" s="497"/>
      <c r="AS241" s="619"/>
      <c r="AT241" s="506"/>
      <c r="AU241" s="630"/>
      <c r="AV241" s="619"/>
      <c r="AW241" s="506"/>
      <c r="AX241" s="582"/>
      <c r="AY241" s="619"/>
    </row>
    <row r="242" spans="2:51">
      <c r="B242" s="517" t="s">
        <v>573</v>
      </c>
      <c r="C242" s="518" t="s">
        <v>66</v>
      </c>
      <c r="D242" s="518" t="s">
        <v>57</v>
      </c>
      <c r="E242" s="518" t="s">
        <v>648</v>
      </c>
      <c r="F242" s="518" t="s">
        <v>652</v>
      </c>
      <c r="G242" s="525">
        <v>0.01</v>
      </c>
      <c r="H242" s="525">
        <v>4.7149999999999996E-3</v>
      </c>
      <c r="I242" s="527">
        <v>0.4</v>
      </c>
      <c r="J242" s="593">
        <v>7</v>
      </c>
      <c r="K242" s="519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3"/>
      <c r="AC242" s="273"/>
      <c r="AD242" s="273"/>
      <c r="AE242" s="273"/>
      <c r="AF242" s="272"/>
      <c r="AG242" s="494" t="str">
        <f ca="1">IF('CDO Bespoke'!C267&lt;&gt;"",'CDO Bespoke'!C267,"")</f>
        <v/>
      </c>
      <c r="AH242" s="496"/>
      <c r="AI242" s="584"/>
      <c r="AJ242" s="584"/>
      <c r="AK242" s="584"/>
      <c r="AL242" s="497"/>
      <c r="AM242" s="619"/>
      <c r="AN242" s="496"/>
      <c r="AO242" s="584"/>
      <c r="AP242" s="584"/>
      <c r="AQ242" s="584"/>
      <c r="AR242" s="497"/>
      <c r="AS242" s="619"/>
      <c r="AT242" s="506"/>
      <c r="AU242" s="630"/>
      <c r="AV242" s="619"/>
      <c r="AW242" s="506"/>
      <c r="AX242" s="582"/>
      <c r="AY242" s="619"/>
    </row>
    <row r="243" spans="2:51">
      <c r="B243" s="534" t="s">
        <v>573</v>
      </c>
      <c r="C243" s="535" t="s">
        <v>66</v>
      </c>
      <c r="D243" s="535" t="s">
        <v>59</v>
      </c>
      <c r="E243" s="535" t="s">
        <v>648</v>
      </c>
      <c r="F243" s="535" t="s">
        <v>652</v>
      </c>
      <c r="G243" s="536">
        <v>0.01</v>
      </c>
      <c r="H243" s="536">
        <v>6.6360000000000004E-3</v>
      </c>
      <c r="I243" s="537">
        <v>0.4</v>
      </c>
      <c r="J243" s="594">
        <v>7</v>
      </c>
      <c r="K243" s="538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3"/>
      <c r="AC243" s="273"/>
      <c r="AD243" s="273"/>
      <c r="AE243" s="273"/>
      <c r="AF243" s="272"/>
      <c r="AG243" s="494" t="str">
        <f ca="1">IF('CDO Bespoke'!C268&lt;&gt;"",'CDO Bespoke'!C268,"")</f>
        <v/>
      </c>
      <c r="AH243" s="496"/>
      <c r="AI243" s="584"/>
      <c r="AJ243" s="584"/>
      <c r="AK243" s="584"/>
      <c r="AL243" s="497"/>
      <c r="AM243" s="619"/>
      <c r="AN243" s="496"/>
      <c r="AO243" s="584"/>
      <c r="AP243" s="584"/>
      <c r="AQ243" s="584"/>
      <c r="AR243" s="497"/>
      <c r="AS243" s="619"/>
      <c r="AT243" s="506"/>
      <c r="AU243" s="630"/>
      <c r="AV243" s="619"/>
      <c r="AW243" s="506"/>
      <c r="AX243" s="582"/>
      <c r="AY243" s="619"/>
    </row>
    <row r="244" spans="2:51">
      <c r="B244" s="539" t="s">
        <v>574</v>
      </c>
      <c r="C244" s="540" t="s">
        <v>66</v>
      </c>
      <c r="D244" s="540" t="s">
        <v>55</v>
      </c>
      <c r="E244" s="540" t="s">
        <v>648</v>
      </c>
      <c r="F244" s="540" t="s">
        <v>651</v>
      </c>
      <c r="G244" s="541">
        <v>0.01</v>
      </c>
      <c r="H244" s="541">
        <v>4.0020000000000003E-3</v>
      </c>
      <c r="I244" s="542">
        <v>0.4</v>
      </c>
      <c r="J244" s="601">
        <v>4</v>
      </c>
      <c r="K244" s="543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3"/>
      <c r="AE244" s="273"/>
      <c r="AF244" s="272"/>
      <c r="AG244" s="494" t="str">
        <f ca="1">IF('CDO Bespoke'!C269&lt;&gt;"",'CDO Bespoke'!C269,"")</f>
        <v/>
      </c>
      <c r="AH244" s="496"/>
      <c r="AI244" s="584"/>
      <c r="AJ244" s="584"/>
      <c r="AK244" s="584"/>
      <c r="AL244" s="497"/>
      <c r="AM244" s="619"/>
      <c r="AN244" s="496"/>
      <c r="AO244" s="584"/>
      <c r="AP244" s="584"/>
      <c r="AQ244" s="584"/>
      <c r="AR244" s="497"/>
      <c r="AS244" s="619"/>
      <c r="AT244" s="506"/>
      <c r="AU244" s="630"/>
      <c r="AV244" s="619"/>
      <c r="AW244" s="506"/>
      <c r="AX244" s="582"/>
      <c r="AY244" s="619"/>
    </row>
    <row r="245" spans="2:51">
      <c r="B245" s="517" t="s">
        <v>574</v>
      </c>
      <c r="C245" s="518" t="s">
        <v>66</v>
      </c>
      <c r="D245" s="518" t="s">
        <v>57</v>
      </c>
      <c r="E245" s="518" t="s">
        <v>648</v>
      </c>
      <c r="F245" s="518" t="s">
        <v>651</v>
      </c>
      <c r="G245" s="525">
        <v>0.01</v>
      </c>
      <c r="H245" s="525">
        <v>6.0629999999999998E-3</v>
      </c>
      <c r="I245" s="527">
        <v>0.4</v>
      </c>
      <c r="J245" s="593">
        <v>4</v>
      </c>
      <c r="K245" s="519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3"/>
      <c r="AC245" s="273"/>
      <c r="AD245" s="273"/>
      <c r="AE245" s="273"/>
      <c r="AF245" s="272"/>
      <c r="AG245" s="494" t="str">
        <f ca="1">IF('CDO Bespoke'!C270&lt;&gt;"",'CDO Bespoke'!C270,"")</f>
        <v/>
      </c>
      <c r="AH245" s="496"/>
      <c r="AI245" s="584"/>
      <c r="AJ245" s="584"/>
      <c r="AK245" s="584"/>
      <c r="AL245" s="497"/>
      <c r="AM245" s="619"/>
      <c r="AN245" s="496"/>
      <c r="AO245" s="584"/>
      <c r="AP245" s="584"/>
      <c r="AQ245" s="584"/>
      <c r="AR245" s="497"/>
      <c r="AS245" s="619"/>
      <c r="AT245" s="506"/>
      <c r="AU245" s="630"/>
      <c r="AV245" s="619"/>
      <c r="AW245" s="506"/>
      <c r="AX245" s="582"/>
      <c r="AY245" s="619"/>
    </row>
    <row r="246" spans="2:51">
      <c r="B246" s="534" t="s">
        <v>574</v>
      </c>
      <c r="C246" s="535" t="s">
        <v>66</v>
      </c>
      <c r="D246" s="535" t="s">
        <v>59</v>
      </c>
      <c r="E246" s="535" t="s">
        <v>648</v>
      </c>
      <c r="F246" s="535" t="s">
        <v>651</v>
      </c>
      <c r="G246" s="536">
        <v>0.01</v>
      </c>
      <c r="H246" s="536">
        <v>8.3820000000000006E-3</v>
      </c>
      <c r="I246" s="537">
        <v>0.4</v>
      </c>
      <c r="J246" s="594">
        <v>4</v>
      </c>
      <c r="K246" s="538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3"/>
      <c r="AC246" s="273"/>
      <c r="AD246" s="273"/>
      <c r="AE246" s="273"/>
      <c r="AF246" s="272"/>
      <c r="AG246" s="494" t="str">
        <f ca="1">IF('CDO Bespoke'!C271&lt;&gt;"",'CDO Bespoke'!C271,"")</f>
        <v/>
      </c>
      <c r="AH246" s="496"/>
      <c r="AI246" s="584"/>
      <c r="AJ246" s="584"/>
      <c r="AK246" s="584"/>
      <c r="AL246" s="497"/>
      <c r="AM246" s="619"/>
      <c r="AN246" s="496"/>
      <c r="AO246" s="584"/>
      <c r="AP246" s="584"/>
      <c r="AQ246" s="584"/>
      <c r="AR246" s="497"/>
      <c r="AS246" s="619"/>
      <c r="AT246" s="506"/>
      <c r="AU246" s="630"/>
      <c r="AV246" s="619"/>
      <c r="AW246" s="506"/>
      <c r="AX246" s="582"/>
      <c r="AY246" s="619"/>
    </row>
    <row r="247" spans="2:51">
      <c r="B247" s="539" t="s">
        <v>579</v>
      </c>
      <c r="C247" s="540" t="s">
        <v>66</v>
      </c>
      <c r="D247" s="540" t="s">
        <v>55</v>
      </c>
      <c r="E247" s="540" t="s">
        <v>650</v>
      </c>
      <c r="F247" s="540" t="s">
        <v>651</v>
      </c>
      <c r="G247" s="541">
        <v>0.01</v>
      </c>
      <c r="H247" s="541">
        <v>1.9380000000000001E-3</v>
      </c>
      <c r="I247" s="542">
        <v>0.4</v>
      </c>
      <c r="J247" s="601">
        <v>4</v>
      </c>
      <c r="K247" s="543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3"/>
      <c r="AC247" s="273"/>
      <c r="AD247" s="273"/>
      <c r="AE247" s="273"/>
      <c r="AF247" s="272"/>
      <c r="AG247" s="494" t="str">
        <f ca="1">IF('CDO Bespoke'!C272&lt;&gt;"",'CDO Bespoke'!C272,"")</f>
        <v/>
      </c>
      <c r="AH247" s="496"/>
      <c r="AI247" s="584"/>
      <c r="AJ247" s="584"/>
      <c r="AK247" s="584"/>
      <c r="AL247" s="497"/>
      <c r="AM247" s="619"/>
      <c r="AN247" s="496"/>
      <c r="AO247" s="584"/>
      <c r="AP247" s="584"/>
      <c r="AQ247" s="584"/>
      <c r="AR247" s="497"/>
      <c r="AS247" s="619"/>
      <c r="AT247" s="506"/>
      <c r="AU247" s="630"/>
      <c r="AV247" s="619"/>
      <c r="AW247" s="506"/>
      <c r="AX247" s="582"/>
      <c r="AY247" s="619"/>
    </row>
    <row r="248" spans="2:51">
      <c r="B248" s="517" t="s">
        <v>579</v>
      </c>
      <c r="C248" s="518" t="s">
        <v>66</v>
      </c>
      <c r="D248" s="518" t="s">
        <v>57</v>
      </c>
      <c r="E248" s="518" t="s">
        <v>650</v>
      </c>
      <c r="F248" s="518" t="s">
        <v>651</v>
      </c>
      <c r="G248" s="525">
        <v>0.01</v>
      </c>
      <c r="H248" s="525">
        <v>3.1410000000000001E-3</v>
      </c>
      <c r="I248" s="527">
        <v>0.4</v>
      </c>
      <c r="J248" s="593">
        <v>4</v>
      </c>
      <c r="K248" s="519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3"/>
      <c r="AC248" s="273"/>
      <c r="AD248" s="273"/>
      <c r="AE248" s="273"/>
      <c r="AF248" s="272"/>
      <c r="AG248" s="494" t="str">
        <f ca="1">IF('CDO Bespoke'!C273&lt;&gt;"",'CDO Bespoke'!C273,"")</f>
        <v/>
      </c>
      <c r="AH248" s="496"/>
      <c r="AI248" s="584"/>
      <c r="AJ248" s="584"/>
      <c r="AK248" s="584"/>
      <c r="AL248" s="497"/>
      <c r="AM248" s="619"/>
      <c r="AN248" s="496"/>
      <c r="AO248" s="584"/>
      <c r="AP248" s="584"/>
      <c r="AQ248" s="584"/>
      <c r="AR248" s="497"/>
      <c r="AS248" s="619"/>
      <c r="AT248" s="506"/>
      <c r="AU248" s="630"/>
      <c r="AV248" s="619"/>
      <c r="AW248" s="506"/>
      <c r="AX248" s="582"/>
      <c r="AY248" s="619"/>
    </row>
    <row r="249" spans="2:51">
      <c r="B249" s="534" t="s">
        <v>579</v>
      </c>
      <c r="C249" s="535" t="s">
        <v>66</v>
      </c>
      <c r="D249" s="535" t="s">
        <v>59</v>
      </c>
      <c r="E249" s="535" t="s">
        <v>650</v>
      </c>
      <c r="F249" s="535" t="s">
        <v>651</v>
      </c>
      <c r="G249" s="536">
        <v>0.01</v>
      </c>
      <c r="H249" s="536">
        <v>4.7060000000000001E-3</v>
      </c>
      <c r="I249" s="537">
        <v>0.4</v>
      </c>
      <c r="J249" s="594">
        <v>4</v>
      </c>
      <c r="K249" s="538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3"/>
      <c r="AC249" s="273"/>
      <c r="AD249" s="273"/>
      <c r="AE249" s="273"/>
      <c r="AF249" s="272"/>
      <c r="AG249" s="494" t="str">
        <f ca="1">IF('CDO Bespoke'!C274&lt;&gt;"",'CDO Bespoke'!C274,"")</f>
        <v/>
      </c>
      <c r="AH249" s="496"/>
      <c r="AI249" s="584"/>
      <c r="AJ249" s="584"/>
      <c r="AK249" s="584"/>
      <c r="AL249" s="497"/>
      <c r="AM249" s="619"/>
      <c r="AN249" s="496"/>
      <c r="AO249" s="584"/>
      <c r="AP249" s="584"/>
      <c r="AQ249" s="584"/>
      <c r="AR249" s="497"/>
      <c r="AS249" s="619"/>
      <c r="AT249" s="506"/>
      <c r="AU249" s="630"/>
      <c r="AV249" s="619"/>
      <c r="AW249" s="506"/>
      <c r="AX249" s="582"/>
      <c r="AY249" s="619"/>
    </row>
    <row r="250" spans="2:51">
      <c r="B250" s="539" t="s">
        <v>580</v>
      </c>
      <c r="C250" s="540" t="s">
        <v>66</v>
      </c>
      <c r="D250" s="540" t="s">
        <v>55</v>
      </c>
      <c r="E250" s="540" t="s">
        <v>646</v>
      </c>
      <c r="F250" s="540" t="s">
        <v>651</v>
      </c>
      <c r="G250" s="541">
        <v>0.01</v>
      </c>
      <c r="H250" s="541">
        <v>1.7650000000000001E-3</v>
      </c>
      <c r="I250" s="542">
        <v>0.4</v>
      </c>
      <c r="J250" s="601">
        <v>4</v>
      </c>
      <c r="K250" s="543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3"/>
      <c r="AC250" s="273"/>
      <c r="AD250" s="273"/>
      <c r="AE250" s="273"/>
      <c r="AF250" s="272"/>
      <c r="AG250" s="494" t="str">
        <f ca="1">IF('CDO Bespoke'!C275&lt;&gt;"",'CDO Bespoke'!C275,"")</f>
        <v/>
      </c>
      <c r="AH250" s="496"/>
      <c r="AI250" s="584"/>
      <c r="AJ250" s="584"/>
      <c r="AK250" s="584"/>
      <c r="AL250" s="497"/>
      <c r="AM250" s="619"/>
      <c r="AN250" s="496"/>
      <c r="AO250" s="584"/>
      <c r="AP250" s="584"/>
      <c r="AQ250" s="584"/>
      <c r="AR250" s="497"/>
      <c r="AS250" s="619"/>
      <c r="AT250" s="506"/>
      <c r="AU250" s="630"/>
      <c r="AV250" s="619"/>
      <c r="AW250" s="506"/>
      <c r="AX250" s="582"/>
      <c r="AY250" s="619"/>
    </row>
    <row r="251" spans="2:51">
      <c r="B251" s="517" t="s">
        <v>580</v>
      </c>
      <c r="C251" s="518" t="s">
        <v>66</v>
      </c>
      <c r="D251" s="518" t="s">
        <v>57</v>
      </c>
      <c r="E251" s="518" t="s">
        <v>646</v>
      </c>
      <c r="F251" s="518" t="s">
        <v>651</v>
      </c>
      <c r="G251" s="525">
        <v>0.01</v>
      </c>
      <c r="H251" s="525">
        <v>2.9750000000000002E-3</v>
      </c>
      <c r="I251" s="527">
        <v>0.4</v>
      </c>
      <c r="J251" s="593">
        <v>4</v>
      </c>
      <c r="K251" s="519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3"/>
      <c r="AC251" s="273"/>
      <c r="AD251" s="273"/>
      <c r="AE251" s="273"/>
      <c r="AF251" s="272"/>
      <c r="AG251" s="494" t="str">
        <f ca="1">IF('CDO Bespoke'!C276&lt;&gt;"",'CDO Bespoke'!C276,"")</f>
        <v/>
      </c>
      <c r="AH251" s="496"/>
      <c r="AI251" s="584"/>
      <c r="AJ251" s="584"/>
      <c r="AK251" s="584"/>
      <c r="AL251" s="497"/>
      <c r="AM251" s="619"/>
      <c r="AN251" s="496"/>
      <c r="AO251" s="584"/>
      <c r="AP251" s="584"/>
      <c r="AQ251" s="584"/>
      <c r="AR251" s="497"/>
      <c r="AS251" s="619"/>
      <c r="AT251" s="506"/>
      <c r="AU251" s="630"/>
      <c r="AV251" s="619"/>
      <c r="AW251" s="506"/>
      <c r="AX251" s="582"/>
      <c r="AY251" s="619"/>
    </row>
    <row r="252" spans="2:51">
      <c r="B252" s="534" t="s">
        <v>580</v>
      </c>
      <c r="C252" s="535" t="s">
        <v>66</v>
      </c>
      <c r="D252" s="535" t="s">
        <v>59</v>
      </c>
      <c r="E252" s="535" t="s">
        <v>646</v>
      </c>
      <c r="F252" s="535" t="s">
        <v>651</v>
      </c>
      <c r="G252" s="536">
        <v>0.01</v>
      </c>
      <c r="H252" s="536">
        <v>4.2370000000000003E-3</v>
      </c>
      <c r="I252" s="537">
        <v>0.4</v>
      </c>
      <c r="J252" s="594">
        <v>4</v>
      </c>
      <c r="K252" s="538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3"/>
      <c r="AC252" s="273"/>
      <c r="AD252" s="273"/>
      <c r="AE252" s="273"/>
      <c r="AF252" s="272"/>
      <c r="AG252" s="494" t="str">
        <f ca="1">IF('CDO Bespoke'!C277&lt;&gt;"",'CDO Bespoke'!C277,"")</f>
        <v/>
      </c>
      <c r="AH252" s="496"/>
      <c r="AI252" s="584"/>
      <c r="AJ252" s="584"/>
      <c r="AK252" s="584"/>
      <c r="AL252" s="497"/>
      <c r="AM252" s="619"/>
      <c r="AN252" s="496"/>
      <c r="AO252" s="584"/>
      <c r="AP252" s="584"/>
      <c r="AQ252" s="584"/>
      <c r="AR252" s="497"/>
      <c r="AS252" s="619"/>
      <c r="AT252" s="506"/>
      <c r="AU252" s="630"/>
      <c r="AV252" s="619"/>
      <c r="AW252" s="506"/>
      <c r="AX252" s="582"/>
      <c r="AY252" s="619"/>
    </row>
    <row r="253" spans="2:51">
      <c r="B253" s="539" t="s">
        <v>575</v>
      </c>
      <c r="C253" s="540" t="s">
        <v>66</v>
      </c>
      <c r="D253" s="540" t="s">
        <v>55</v>
      </c>
      <c r="E253" s="540" t="s">
        <v>648</v>
      </c>
      <c r="F253" s="540" t="s">
        <v>652</v>
      </c>
      <c r="G253" s="541">
        <v>0.01</v>
      </c>
      <c r="H253" s="541">
        <v>2.5079999999999998E-3</v>
      </c>
      <c r="I253" s="542">
        <v>0.4</v>
      </c>
      <c r="J253" s="601">
        <v>7</v>
      </c>
      <c r="K253" s="543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3"/>
      <c r="AC253" s="273"/>
      <c r="AD253" s="273"/>
      <c r="AE253" s="273"/>
      <c r="AF253" s="272"/>
      <c r="AG253" s="494" t="str">
        <f ca="1">IF('CDO Bespoke'!C278&lt;&gt;"",'CDO Bespoke'!C278,"")</f>
        <v/>
      </c>
      <c r="AH253" s="496"/>
      <c r="AI253" s="584"/>
      <c r="AJ253" s="584"/>
      <c r="AK253" s="584"/>
      <c r="AL253" s="497"/>
      <c r="AM253" s="619"/>
      <c r="AN253" s="496"/>
      <c r="AO253" s="584"/>
      <c r="AP253" s="584"/>
      <c r="AQ253" s="584"/>
      <c r="AR253" s="497"/>
      <c r="AS253" s="619"/>
      <c r="AT253" s="506"/>
      <c r="AU253" s="630"/>
      <c r="AV253" s="619"/>
      <c r="AW253" s="506"/>
      <c r="AX253" s="582"/>
      <c r="AY253" s="619"/>
    </row>
    <row r="254" spans="2:51">
      <c r="B254" s="517" t="s">
        <v>575</v>
      </c>
      <c r="C254" s="518" t="s">
        <v>66</v>
      </c>
      <c r="D254" s="518" t="s">
        <v>57</v>
      </c>
      <c r="E254" s="518" t="s">
        <v>648</v>
      </c>
      <c r="F254" s="518" t="s">
        <v>652</v>
      </c>
      <c r="G254" s="525">
        <v>0.01</v>
      </c>
      <c r="H254" s="525">
        <v>4.2789999999999998E-3</v>
      </c>
      <c r="I254" s="527">
        <v>0.4</v>
      </c>
      <c r="J254" s="593">
        <v>7</v>
      </c>
      <c r="K254" s="519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3"/>
      <c r="AC254" s="273"/>
      <c r="AD254" s="273"/>
      <c r="AE254" s="273"/>
      <c r="AF254" s="272"/>
      <c r="AG254" s="494" t="str">
        <f ca="1">IF('CDO Bespoke'!C279&lt;&gt;"",'CDO Bespoke'!C279,"")</f>
        <v/>
      </c>
      <c r="AH254" s="496"/>
      <c r="AI254" s="584"/>
      <c r="AJ254" s="584"/>
      <c r="AK254" s="584"/>
      <c r="AL254" s="497"/>
      <c r="AM254" s="619"/>
      <c r="AN254" s="496"/>
      <c r="AO254" s="584"/>
      <c r="AP254" s="584"/>
      <c r="AQ254" s="584"/>
      <c r="AR254" s="497"/>
      <c r="AS254" s="619"/>
      <c r="AT254" s="506"/>
      <c r="AU254" s="630"/>
      <c r="AV254" s="619"/>
      <c r="AW254" s="506"/>
      <c r="AX254" s="582"/>
      <c r="AY254" s="619"/>
    </row>
    <row r="255" spans="2:51">
      <c r="B255" s="534" t="s">
        <v>575</v>
      </c>
      <c r="C255" s="535" t="s">
        <v>66</v>
      </c>
      <c r="D255" s="535" t="s">
        <v>59</v>
      </c>
      <c r="E255" s="535" t="s">
        <v>648</v>
      </c>
      <c r="F255" s="535" t="s">
        <v>652</v>
      </c>
      <c r="G255" s="536">
        <v>0.01</v>
      </c>
      <c r="H255" s="536">
        <v>5.8820000000000001E-3</v>
      </c>
      <c r="I255" s="537">
        <v>0.4</v>
      </c>
      <c r="J255" s="594">
        <v>7</v>
      </c>
      <c r="K255" s="538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3"/>
      <c r="AC255" s="273"/>
      <c r="AD255" s="273"/>
      <c r="AE255" s="273"/>
      <c r="AF255" s="272"/>
      <c r="AG255" s="494" t="str">
        <f ca="1">IF('CDO Bespoke'!C280&lt;&gt;"",'CDO Bespoke'!C280,"")</f>
        <v/>
      </c>
      <c r="AH255" s="496"/>
      <c r="AI255" s="584"/>
      <c r="AJ255" s="584"/>
      <c r="AK255" s="584"/>
      <c r="AL255" s="497"/>
      <c r="AM255" s="619"/>
      <c r="AN255" s="496"/>
      <c r="AO255" s="584"/>
      <c r="AP255" s="584"/>
      <c r="AQ255" s="584"/>
      <c r="AR255" s="497"/>
      <c r="AS255" s="619"/>
      <c r="AT255" s="506"/>
      <c r="AU255" s="630"/>
      <c r="AV255" s="619"/>
      <c r="AW255" s="506"/>
      <c r="AX255" s="582"/>
      <c r="AY255" s="619"/>
    </row>
    <row r="256" spans="2:51">
      <c r="B256" s="539" t="s">
        <v>581</v>
      </c>
      <c r="C256" s="540" t="s">
        <v>66</v>
      </c>
      <c r="D256" s="540" t="s">
        <v>55</v>
      </c>
      <c r="E256" s="540" t="s">
        <v>648</v>
      </c>
      <c r="F256" s="540" t="s">
        <v>671</v>
      </c>
      <c r="G256" s="541">
        <v>0.01</v>
      </c>
      <c r="H256" s="541">
        <v>2.1419999999999998E-3</v>
      </c>
      <c r="I256" s="542">
        <v>0.4</v>
      </c>
      <c r="J256" s="601">
        <v>5</v>
      </c>
      <c r="K256" s="543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3"/>
      <c r="AC256" s="273"/>
      <c r="AD256" s="273"/>
      <c r="AE256" s="273"/>
      <c r="AF256" s="272"/>
      <c r="AG256" s="494" t="str">
        <f ca="1">IF('CDO Bespoke'!C281&lt;&gt;"",'CDO Bespoke'!C281,"")</f>
        <v/>
      </c>
      <c r="AH256" s="496"/>
      <c r="AI256" s="584"/>
      <c r="AJ256" s="584"/>
      <c r="AK256" s="584"/>
      <c r="AL256" s="497"/>
      <c r="AM256" s="619"/>
      <c r="AN256" s="496"/>
      <c r="AO256" s="584"/>
      <c r="AP256" s="584"/>
      <c r="AQ256" s="584"/>
      <c r="AR256" s="497"/>
      <c r="AS256" s="619"/>
      <c r="AT256" s="506"/>
      <c r="AU256" s="630"/>
      <c r="AV256" s="619"/>
      <c r="AW256" s="506"/>
      <c r="AX256" s="582"/>
      <c r="AY256" s="619"/>
    </row>
    <row r="257" spans="2:51">
      <c r="B257" s="517" t="s">
        <v>581</v>
      </c>
      <c r="C257" s="518" t="s">
        <v>66</v>
      </c>
      <c r="D257" s="518" t="s">
        <v>57</v>
      </c>
      <c r="E257" s="518" t="s">
        <v>648</v>
      </c>
      <c r="F257" s="518" t="s">
        <v>671</v>
      </c>
      <c r="G257" s="525">
        <v>0.01</v>
      </c>
      <c r="H257" s="525">
        <v>3.333E-3</v>
      </c>
      <c r="I257" s="527">
        <v>0.4</v>
      </c>
      <c r="J257" s="593">
        <v>5</v>
      </c>
      <c r="K257" s="519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3"/>
      <c r="AC257" s="273"/>
      <c r="AD257" s="273"/>
      <c r="AE257" s="273"/>
      <c r="AF257" s="272"/>
      <c r="AG257" s="494" t="str">
        <f ca="1">IF('CDO Bespoke'!C282&lt;&gt;"",'CDO Bespoke'!C282,"")</f>
        <v/>
      </c>
      <c r="AH257" s="496"/>
      <c r="AI257" s="584"/>
      <c r="AJ257" s="584"/>
      <c r="AK257" s="584"/>
      <c r="AL257" s="497"/>
      <c r="AM257" s="619"/>
      <c r="AN257" s="496"/>
      <c r="AO257" s="584"/>
      <c r="AP257" s="584"/>
      <c r="AQ257" s="584"/>
      <c r="AR257" s="497"/>
      <c r="AS257" s="619"/>
      <c r="AT257" s="506"/>
      <c r="AU257" s="630"/>
      <c r="AV257" s="619"/>
      <c r="AW257" s="506"/>
      <c r="AX257" s="582"/>
      <c r="AY257" s="619"/>
    </row>
    <row r="258" spans="2:51">
      <c r="B258" s="534" t="s">
        <v>581</v>
      </c>
      <c r="C258" s="535" t="s">
        <v>66</v>
      </c>
      <c r="D258" s="535" t="s">
        <v>59</v>
      </c>
      <c r="E258" s="535" t="s">
        <v>648</v>
      </c>
      <c r="F258" s="535" t="s">
        <v>671</v>
      </c>
      <c r="G258" s="536">
        <v>0.01</v>
      </c>
      <c r="H258" s="536">
        <v>4.7910000000000001E-3</v>
      </c>
      <c r="I258" s="537">
        <v>0.4</v>
      </c>
      <c r="J258" s="594">
        <v>5</v>
      </c>
      <c r="K258" s="538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3"/>
      <c r="AC258" s="273"/>
      <c r="AD258" s="273"/>
      <c r="AE258" s="273"/>
      <c r="AF258" s="272"/>
      <c r="AG258" s="494" t="str">
        <f ca="1">IF('CDO Bespoke'!C283&lt;&gt;"",'CDO Bespoke'!C283,"")</f>
        <v/>
      </c>
      <c r="AH258" s="496"/>
      <c r="AI258" s="584"/>
      <c r="AJ258" s="584"/>
      <c r="AK258" s="584"/>
      <c r="AL258" s="497"/>
      <c r="AM258" s="619"/>
      <c r="AN258" s="496"/>
      <c r="AO258" s="584"/>
      <c r="AP258" s="584"/>
      <c r="AQ258" s="584"/>
      <c r="AR258" s="497"/>
      <c r="AS258" s="619"/>
      <c r="AT258" s="506"/>
      <c r="AU258" s="630"/>
      <c r="AV258" s="619"/>
      <c r="AW258" s="506"/>
      <c r="AX258" s="582"/>
      <c r="AY258" s="619"/>
    </row>
    <row r="259" spans="2:51">
      <c r="B259" s="539" t="s">
        <v>582</v>
      </c>
      <c r="C259" s="540" t="s">
        <v>66</v>
      </c>
      <c r="D259" s="540" t="s">
        <v>55</v>
      </c>
      <c r="E259" s="540" t="s">
        <v>648</v>
      </c>
      <c r="F259" s="540" t="s">
        <v>675</v>
      </c>
      <c r="G259" s="541">
        <v>0.01</v>
      </c>
      <c r="H259" s="541">
        <v>3.7789999999999998E-3</v>
      </c>
      <c r="I259" s="542">
        <v>0.4</v>
      </c>
      <c r="J259" s="601">
        <v>6</v>
      </c>
      <c r="K259" s="543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3"/>
      <c r="AC259" s="273"/>
      <c r="AD259" s="273"/>
      <c r="AE259" s="273"/>
      <c r="AF259" s="272"/>
      <c r="AG259" s="494" t="str">
        <f ca="1">IF('CDO Bespoke'!C284&lt;&gt;"",'CDO Bespoke'!C284,"")</f>
        <v/>
      </c>
      <c r="AH259" s="496"/>
      <c r="AI259" s="584"/>
      <c r="AJ259" s="584"/>
      <c r="AK259" s="584"/>
      <c r="AL259" s="497"/>
      <c r="AM259" s="619"/>
      <c r="AN259" s="496"/>
      <c r="AO259" s="584"/>
      <c r="AP259" s="584"/>
      <c r="AQ259" s="584"/>
      <c r="AR259" s="497"/>
      <c r="AS259" s="619"/>
      <c r="AT259" s="506"/>
      <c r="AU259" s="630"/>
      <c r="AV259" s="619"/>
      <c r="AW259" s="506"/>
      <c r="AX259" s="582"/>
      <c r="AY259" s="619"/>
    </row>
    <row r="260" spans="2:51">
      <c r="B260" s="517" t="s">
        <v>582</v>
      </c>
      <c r="C260" s="518" t="s">
        <v>66</v>
      </c>
      <c r="D260" s="518" t="s">
        <v>57</v>
      </c>
      <c r="E260" s="518" t="s">
        <v>648</v>
      </c>
      <c r="F260" s="518" t="s">
        <v>675</v>
      </c>
      <c r="G260" s="525">
        <v>0.01</v>
      </c>
      <c r="H260" s="525">
        <v>7.345E-3</v>
      </c>
      <c r="I260" s="527">
        <v>0.4</v>
      </c>
      <c r="J260" s="593">
        <v>6</v>
      </c>
      <c r="K260" s="519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3"/>
      <c r="AC260" s="273"/>
      <c r="AD260" s="273"/>
      <c r="AE260" s="273"/>
      <c r="AF260" s="272"/>
      <c r="AG260" s="494" t="str">
        <f ca="1">IF('CDO Bespoke'!C285&lt;&gt;"",'CDO Bespoke'!C285,"")</f>
        <v/>
      </c>
      <c r="AH260" s="496"/>
      <c r="AI260" s="584"/>
      <c r="AJ260" s="584"/>
      <c r="AK260" s="584"/>
      <c r="AL260" s="497"/>
      <c r="AM260" s="619"/>
      <c r="AN260" s="496"/>
      <c r="AO260" s="584"/>
      <c r="AP260" s="584"/>
      <c r="AQ260" s="584"/>
      <c r="AR260" s="497"/>
      <c r="AS260" s="619"/>
      <c r="AT260" s="506"/>
      <c r="AU260" s="630"/>
      <c r="AV260" s="619"/>
      <c r="AW260" s="506"/>
      <c r="AX260" s="582"/>
      <c r="AY260" s="619"/>
    </row>
    <row r="261" spans="2:51">
      <c r="B261" s="534" t="s">
        <v>582</v>
      </c>
      <c r="C261" s="535" t="s">
        <v>66</v>
      </c>
      <c r="D261" s="535" t="s">
        <v>59</v>
      </c>
      <c r="E261" s="535" t="s">
        <v>648</v>
      </c>
      <c r="F261" s="535" t="s">
        <v>675</v>
      </c>
      <c r="G261" s="536">
        <v>0.01</v>
      </c>
      <c r="H261" s="536">
        <v>1.0267999999999999E-2</v>
      </c>
      <c r="I261" s="537">
        <v>0.4</v>
      </c>
      <c r="J261" s="594">
        <v>6</v>
      </c>
      <c r="K261" s="538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3"/>
      <c r="AC261" s="273"/>
      <c r="AD261" s="273"/>
      <c r="AE261" s="273"/>
      <c r="AF261" s="272"/>
      <c r="AG261" s="494" t="str">
        <f ca="1">IF('CDO Bespoke'!C286&lt;&gt;"",'CDO Bespoke'!C286,"")</f>
        <v/>
      </c>
      <c r="AH261" s="496"/>
      <c r="AI261" s="584"/>
      <c r="AJ261" s="584"/>
      <c r="AK261" s="584"/>
      <c r="AL261" s="497"/>
      <c r="AM261" s="619"/>
      <c r="AN261" s="496"/>
      <c r="AO261" s="584"/>
      <c r="AP261" s="584"/>
      <c r="AQ261" s="584"/>
      <c r="AR261" s="497"/>
      <c r="AS261" s="619"/>
      <c r="AT261" s="506"/>
      <c r="AU261" s="630"/>
      <c r="AV261" s="619"/>
      <c r="AW261" s="506"/>
      <c r="AX261" s="582"/>
      <c r="AY261" s="619"/>
    </row>
    <row r="262" spans="2:51">
      <c r="B262" s="539" t="s">
        <v>583</v>
      </c>
      <c r="C262" s="540" t="s">
        <v>66</v>
      </c>
      <c r="D262" s="540" t="s">
        <v>55</v>
      </c>
      <c r="E262" s="540" t="s">
        <v>648</v>
      </c>
      <c r="F262" s="540" t="s">
        <v>675</v>
      </c>
      <c r="G262" s="541">
        <v>0.01</v>
      </c>
      <c r="H262" s="541">
        <v>2.137E-3</v>
      </c>
      <c r="I262" s="542">
        <v>0.4</v>
      </c>
      <c r="J262" s="601">
        <v>6</v>
      </c>
      <c r="K262" s="543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3"/>
      <c r="AC262" s="273"/>
      <c r="AD262" s="273"/>
      <c r="AE262" s="273"/>
      <c r="AF262" s="272"/>
      <c r="AG262" s="494" t="str">
        <f ca="1">IF('CDO Bespoke'!C287&lt;&gt;"",'CDO Bespoke'!C287,"")</f>
        <v/>
      </c>
      <c r="AH262" s="496"/>
      <c r="AI262" s="584"/>
      <c r="AJ262" s="584"/>
      <c r="AK262" s="584"/>
      <c r="AL262" s="497"/>
      <c r="AM262" s="619"/>
      <c r="AN262" s="496"/>
      <c r="AO262" s="584"/>
      <c r="AP262" s="584"/>
      <c r="AQ262" s="584"/>
      <c r="AR262" s="497"/>
      <c r="AS262" s="619"/>
      <c r="AT262" s="506"/>
      <c r="AU262" s="630"/>
      <c r="AV262" s="619"/>
      <c r="AW262" s="506"/>
      <c r="AX262" s="582"/>
      <c r="AY262" s="619"/>
    </row>
    <row r="263" spans="2:51">
      <c r="B263" s="517" t="s">
        <v>583</v>
      </c>
      <c r="C263" s="518" t="s">
        <v>66</v>
      </c>
      <c r="D263" s="518" t="s">
        <v>57</v>
      </c>
      <c r="E263" s="518" t="s">
        <v>648</v>
      </c>
      <c r="F263" s="518" t="s">
        <v>675</v>
      </c>
      <c r="G263" s="525">
        <v>0.01</v>
      </c>
      <c r="H263" s="525">
        <v>3.2109999999999999E-3</v>
      </c>
      <c r="I263" s="527">
        <v>0.4</v>
      </c>
      <c r="J263" s="593">
        <v>6</v>
      </c>
      <c r="K263" s="519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3"/>
      <c r="AC263" s="273"/>
      <c r="AD263" s="273"/>
      <c r="AE263" s="273"/>
      <c r="AF263" s="272"/>
      <c r="AG263" s="494" t="str">
        <f ca="1">IF('CDO Bespoke'!C288&lt;&gt;"",'CDO Bespoke'!C288,"")</f>
        <v/>
      </c>
      <c r="AH263" s="496"/>
      <c r="AI263" s="584"/>
      <c r="AJ263" s="584"/>
      <c r="AK263" s="584"/>
      <c r="AL263" s="497"/>
      <c r="AM263" s="619"/>
      <c r="AN263" s="496"/>
      <c r="AO263" s="584"/>
      <c r="AP263" s="584"/>
      <c r="AQ263" s="584"/>
      <c r="AR263" s="497"/>
      <c r="AS263" s="619"/>
      <c r="AT263" s="506"/>
      <c r="AU263" s="630"/>
      <c r="AV263" s="619"/>
      <c r="AW263" s="506"/>
      <c r="AX263" s="582"/>
      <c r="AY263" s="619"/>
    </row>
    <row r="264" spans="2:51">
      <c r="B264" s="534" t="s">
        <v>583</v>
      </c>
      <c r="C264" s="535" t="s">
        <v>66</v>
      </c>
      <c r="D264" s="535" t="s">
        <v>59</v>
      </c>
      <c r="E264" s="535" t="s">
        <v>648</v>
      </c>
      <c r="F264" s="535" t="s">
        <v>675</v>
      </c>
      <c r="G264" s="536">
        <v>0.01</v>
      </c>
      <c r="H264" s="536">
        <v>4.6039999999999996E-3</v>
      </c>
      <c r="I264" s="537">
        <v>0.4</v>
      </c>
      <c r="J264" s="594">
        <v>6</v>
      </c>
      <c r="K264" s="538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3"/>
      <c r="AC264" s="273"/>
      <c r="AD264" s="273"/>
      <c r="AE264" s="273"/>
      <c r="AF264" s="272"/>
      <c r="AG264" s="494" t="str">
        <f ca="1">IF('CDO Bespoke'!C289&lt;&gt;"",'CDO Bespoke'!C289,"")</f>
        <v/>
      </c>
      <c r="AH264" s="496"/>
      <c r="AI264" s="584"/>
      <c r="AJ264" s="584"/>
      <c r="AK264" s="584"/>
      <c r="AL264" s="497"/>
      <c r="AM264" s="619"/>
      <c r="AN264" s="496"/>
      <c r="AO264" s="584"/>
      <c r="AP264" s="584"/>
      <c r="AQ264" s="584"/>
      <c r="AR264" s="497"/>
      <c r="AS264" s="619"/>
      <c r="AT264" s="506"/>
      <c r="AU264" s="630"/>
      <c r="AV264" s="619"/>
      <c r="AW264" s="506"/>
      <c r="AX264" s="582"/>
      <c r="AY264" s="619"/>
    </row>
    <row r="265" spans="2:51">
      <c r="B265" s="539" t="s">
        <v>584</v>
      </c>
      <c r="C265" s="540" t="s">
        <v>66</v>
      </c>
      <c r="D265" s="540" t="s">
        <v>55</v>
      </c>
      <c r="E265" s="540" t="s">
        <v>648</v>
      </c>
      <c r="F265" s="540" t="s">
        <v>671</v>
      </c>
      <c r="G265" s="541">
        <v>0.01</v>
      </c>
      <c r="H265" s="541">
        <v>4.9890000000000004E-3</v>
      </c>
      <c r="I265" s="542">
        <v>0.4</v>
      </c>
      <c r="J265" s="601">
        <v>5</v>
      </c>
      <c r="K265" s="543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3"/>
      <c r="AC265" s="273"/>
      <c r="AD265" s="273"/>
      <c r="AE265" s="273"/>
      <c r="AF265" s="272"/>
      <c r="AG265" s="494" t="str">
        <f ca="1">IF('CDO Bespoke'!C290&lt;&gt;"",'CDO Bespoke'!C290,"")</f>
        <v/>
      </c>
      <c r="AH265" s="496"/>
      <c r="AI265" s="584"/>
      <c r="AJ265" s="584"/>
      <c r="AK265" s="584"/>
      <c r="AL265" s="497"/>
      <c r="AM265" s="619"/>
      <c r="AN265" s="496"/>
      <c r="AO265" s="584"/>
      <c r="AP265" s="584"/>
      <c r="AQ265" s="584"/>
      <c r="AR265" s="497"/>
      <c r="AS265" s="619"/>
      <c r="AT265" s="506"/>
      <c r="AU265" s="630"/>
      <c r="AV265" s="619"/>
      <c r="AW265" s="506"/>
      <c r="AX265" s="582"/>
      <c r="AY265" s="619"/>
    </row>
    <row r="266" spans="2:51">
      <c r="B266" s="517" t="s">
        <v>584</v>
      </c>
      <c r="C266" s="518" t="s">
        <v>66</v>
      </c>
      <c r="D266" s="518" t="s">
        <v>57</v>
      </c>
      <c r="E266" s="518" t="s">
        <v>648</v>
      </c>
      <c r="F266" s="518" t="s">
        <v>671</v>
      </c>
      <c r="G266" s="525">
        <v>0.01</v>
      </c>
      <c r="H266" s="525">
        <v>1.01E-2</v>
      </c>
      <c r="I266" s="527">
        <v>0.4</v>
      </c>
      <c r="J266" s="593">
        <v>5</v>
      </c>
      <c r="K266" s="519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3"/>
      <c r="AC266" s="273"/>
      <c r="AD266" s="273"/>
      <c r="AE266" s="273"/>
      <c r="AF266" s="272"/>
      <c r="AG266" s="494" t="str">
        <f ca="1">IF('CDO Bespoke'!C291&lt;&gt;"",'CDO Bespoke'!C291,"")</f>
        <v/>
      </c>
      <c r="AH266" s="496"/>
      <c r="AI266" s="584"/>
      <c r="AJ266" s="584"/>
      <c r="AK266" s="584"/>
      <c r="AL266" s="497"/>
      <c r="AM266" s="619"/>
      <c r="AN266" s="496"/>
      <c r="AO266" s="584"/>
      <c r="AP266" s="584"/>
      <c r="AQ266" s="584"/>
      <c r="AR266" s="497"/>
      <c r="AS266" s="619"/>
      <c r="AT266" s="506"/>
      <c r="AU266" s="630"/>
      <c r="AV266" s="619"/>
      <c r="AW266" s="506"/>
      <c r="AX266" s="582"/>
      <c r="AY266" s="619"/>
    </row>
    <row r="267" spans="2:51">
      <c r="B267" s="534" t="s">
        <v>584</v>
      </c>
      <c r="C267" s="535" t="s">
        <v>66</v>
      </c>
      <c r="D267" s="535" t="s">
        <v>59</v>
      </c>
      <c r="E267" s="535" t="s">
        <v>648</v>
      </c>
      <c r="F267" s="535" t="s">
        <v>671</v>
      </c>
      <c r="G267" s="536">
        <v>0.01</v>
      </c>
      <c r="H267" s="536">
        <v>1.474E-2</v>
      </c>
      <c r="I267" s="537">
        <v>0.4</v>
      </c>
      <c r="J267" s="594">
        <v>5</v>
      </c>
      <c r="K267" s="538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3"/>
      <c r="AC267" s="273"/>
      <c r="AD267" s="273"/>
      <c r="AE267" s="273"/>
      <c r="AF267" s="272"/>
      <c r="AG267" s="494" t="str">
        <f ca="1">IF('CDO Bespoke'!C292&lt;&gt;"",'CDO Bespoke'!C292,"")</f>
        <v/>
      </c>
      <c r="AH267" s="496"/>
      <c r="AI267" s="584"/>
      <c r="AJ267" s="584"/>
      <c r="AK267" s="584"/>
      <c r="AL267" s="497"/>
      <c r="AM267" s="619"/>
      <c r="AN267" s="496"/>
      <c r="AO267" s="584"/>
      <c r="AP267" s="584"/>
      <c r="AQ267" s="584"/>
      <c r="AR267" s="497"/>
      <c r="AS267" s="619"/>
      <c r="AT267" s="506"/>
      <c r="AU267" s="630"/>
      <c r="AV267" s="619"/>
      <c r="AW267" s="506"/>
      <c r="AX267" s="582"/>
      <c r="AY267" s="619"/>
    </row>
    <row r="268" spans="2:51">
      <c r="B268" s="539" t="s">
        <v>594</v>
      </c>
      <c r="C268" s="540" t="s">
        <v>66</v>
      </c>
      <c r="D268" s="540" t="s">
        <v>55</v>
      </c>
      <c r="E268" s="540" t="s">
        <v>648</v>
      </c>
      <c r="F268" s="540" t="s">
        <v>675</v>
      </c>
      <c r="G268" s="541">
        <v>0.01</v>
      </c>
      <c r="H268" s="541">
        <v>2.7200000000000002E-3</v>
      </c>
      <c r="I268" s="542">
        <v>0.4</v>
      </c>
      <c r="J268" s="601">
        <v>6</v>
      </c>
      <c r="K268" s="543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3"/>
      <c r="AC268" s="273"/>
      <c r="AD268" s="273"/>
      <c r="AE268" s="273"/>
      <c r="AF268" s="272"/>
      <c r="AG268" s="494" t="str">
        <f ca="1">IF('CDO Bespoke'!C293&lt;&gt;"",'CDO Bespoke'!C293,"")</f>
        <v/>
      </c>
      <c r="AH268" s="496"/>
      <c r="AI268" s="584"/>
      <c r="AJ268" s="584"/>
      <c r="AK268" s="584"/>
      <c r="AL268" s="497"/>
      <c r="AM268" s="619"/>
      <c r="AN268" s="496"/>
      <c r="AO268" s="584"/>
      <c r="AP268" s="584"/>
      <c r="AQ268" s="584"/>
      <c r="AR268" s="497"/>
      <c r="AS268" s="619"/>
      <c r="AT268" s="506"/>
      <c r="AU268" s="630"/>
      <c r="AV268" s="619"/>
      <c r="AW268" s="506"/>
      <c r="AX268" s="582"/>
      <c r="AY268" s="619"/>
    </row>
    <row r="269" spans="2:51">
      <c r="B269" s="517" t="s">
        <v>594</v>
      </c>
      <c r="C269" s="518" t="s">
        <v>66</v>
      </c>
      <c r="D269" s="518" t="s">
        <v>57</v>
      </c>
      <c r="E269" s="518" t="s">
        <v>648</v>
      </c>
      <c r="F269" s="518" t="s">
        <v>675</v>
      </c>
      <c r="G269" s="525">
        <v>0.01</v>
      </c>
      <c r="H269" s="525">
        <v>4.6210000000000001E-3</v>
      </c>
      <c r="I269" s="527">
        <v>0.4</v>
      </c>
      <c r="J269" s="593">
        <v>6</v>
      </c>
      <c r="K269" s="519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3"/>
      <c r="AE269" s="273"/>
      <c r="AF269" s="272"/>
      <c r="AG269" s="494" t="str">
        <f ca="1">IF('CDO Bespoke'!C294&lt;&gt;"",'CDO Bespoke'!C294,"")</f>
        <v/>
      </c>
      <c r="AH269" s="496"/>
      <c r="AI269" s="584"/>
      <c r="AJ269" s="584"/>
      <c r="AK269" s="584"/>
      <c r="AL269" s="497"/>
      <c r="AM269" s="619"/>
      <c r="AN269" s="496"/>
      <c r="AO269" s="584"/>
      <c r="AP269" s="584"/>
      <c r="AQ269" s="584"/>
      <c r="AR269" s="497"/>
      <c r="AS269" s="619"/>
      <c r="AT269" s="506"/>
      <c r="AU269" s="630"/>
      <c r="AV269" s="619"/>
      <c r="AW269" s="506"/>
      <c r="AX269" s="582"/>
      <c r="AY269" s="619"/>
    </row>
    <row r="270" spans="2:51">
      <c r="B270" s="534" t="s">
        <v>594</v>
      </c>
      <c r="C270" s="535" t="s">
        <v>66</v>
      </c>
      <c r="D270" s="535" t="s">
        <v>59</v>
      </c>
      <c r="E270" s="535" t="s">
        <v>648</v>
      </c>
      <c r="F270" s="535" t="s">
        <v>675</v>
      </c>
      <c r="G270" s="536">
        <v>0.01</v>
      </c>
      <c r="H270" s="536">
        <v>6.9170000000000004E-3</v>
      </c>
      <c r="I270" s="537">
        <v>0.4</v>
      </c>
      <c r="J270" s="594">
        <v>6</v>
      </c>
      <c r="K270" s="538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3"/>
      <c r="AE270" s="273"/>
      <c r="AF270" s="272"/>
      <c r="AG270" s="494" t="str">
        <f ca="1">IF('CDO Bespoke'!C295&lt;&gt;"",'CDO Bespoke'!C295,"")</f>
        <v/>
      </c>
      <c r="AH270" s="496"/>
      <c r="AI270" s="584"/>
      <c r="AJ270" s="584"/>
      <c r="AK270" s="584"/>
      <c r="AL270" s="497"/>
      <c r="AM270" s="619"/>
      <c r="AN270" s="496"/>
      <c r="AO270" s="584"/>
      <c r="AP270" s="584"/>
      <c r="AQ270" s="584"/>
      <c r="AR270" s="497"/>
      <c r="AS270" s="619"/>
      <c r="AT270" s="506"/>
      <c r="AU270" s="630"/>
      <c r="AV270" s="619"/>
      <c r="AW270" s="506"/>
      <c r="AX270" s="582"/>
      <c r="AY270" s="619"/>
    </row>
    <row r="271" spans="2:51">
      <c r="B271" s="539" t="s">
        <v>585</v>
      </c>
      <c r="C271" s="540" t="s">
        <v>66</v>
      </c>
      <c r="D271" s="540" t="s">
        <v>55</v>
      </c>
      <c r="E271" s="540" t="s">
        <v>648</v>
      </c>
      <c r="F271" s="540" t="s">
        <v>675</v>
      </c>
      <c r="G271" s="541">
        <v>0.01</v>
      </c>
      <c r="H271" s="541">
        <v>1.753E-3</v>
      </c>
      <c r="I271" s="542">
        <v>0.4</v>
      </c>
      <c r="J271" s="601">
        <v>6</v>
      </c>
      <c r="K271" s="543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3"/>
      <c r="AE271" s="273"/>
      <c r="AF271" s="272"/>
      <c r="AG271" s="494" t="str">
        <f ca="1">IF('CDO Bespoke'!C296&lt;&gt;"",'CDO Bespoke'!C296,"")</f>
        <v/>
      </c>
      <c r="AH271" s="496"/>
      <c r="AI271" s="584"/>
      <c r="AJ271" s="584"/>
      <c r="AK271" s="584"/>
      <c r="AL271" s="497"/>
      <c r="AM271" s="619"/>
      <c r="AN271" s="496"/>
      <c r="AO271" s="584"/>
      <c r="AP271" s="584"/>
      <c r="AQ271" s="584"/>
      <c r="AR271" s="497"/>
      <c r="AS271" s="619"/>
      <c r="AT271" s="506"/>
      <c r="AU271" s="630"/>
      <c r="AV271" s="619"/>
      <c r="AW271" s="506"/>
      <c r="AX271" s="582"/>
      <c r="AY271" s="619"/>
    </row>
    <row r="272" spans="2:51">
      <c r="B272" s="517" t="s">
        <v>585</v>
      </c>
      <c r="C272" s="518" t="s">
        <v>66</v>
      </c>
      <c r="D272" s="518" t="s">
        <v>57</v>
      </c>
      <c r="E272" s="518" t="s">
        <v>648</v>
      </c>
      <c r="F272" s="518" t="s">
        <v>675</v>
      </c>
      <c r="G272" s="525">
        <v>0.01</v>
      </c>
      <c r="H272" s="525">
        <v>3.101E-3</v>
      </c>
      <c r="I272" s="527">
        <v>0.4</v>
      </c>
      <c r="J272" s="593">
        <v>6</v>
      </c>
      <c r="K272" s="519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3"/>
      <c r="AE272" s="273"/>
      <c r="AF272" s="272"/>
      <c r="AG272" s="494" t="str">
        <f ca="1">IF('CDO Bespoke'!C297&lt;&gt;"",'CDO Bespoke'!C297,"")</f>
        <v/>
      </c>
      <c r="AH272" s="496"/>
      <c r="AI272" s="584"/>
      <c r="AJ272" s="584"/>
      <c r="AK272" s="584"/>
      <c r="AL272" s="497"/>
      <c r="AM272" s="619"/>
      <c r="AN272" s="496"/>
      <c r="AO272" s="584"/>
      <c r="AP272" s="584"/>
      <c r="AQ272" s="584"/>
      <c r="AR272" s="497"/>
      <c r="AS272" s="619"/>
      <c r="AT272" s="506"/>
      <c r="AU272" s="630"/>
      <c r="AV272" s="619"/>
      <c r="AW272" s="506"/>
      <c r="AX272" s="582"/>
      <c r="AY272" s="619"/>
    </row>
    <row r="273" spans="2:51">
      <c r="B273" s="534" t="s">
        <v>585</v>
      </c>
      <c r="C273" s="535" t="s">
        <v>66</v>
      </c>
      <c r="D273" s="535" t="s">
        <v>59</v>
      </c>
      <c r="E273" s="535" t="s">
        <v>648</v>
      </c>
      <c r="F273" s="535" t="s">
        <v>675</v>
      </c>
      <c r="G273" s="536">
        <v>0.01</v>
      </c>
      <c r="H273" s="536">
        <v>4.653E-3</v>
      </c>
      <c r="I273" s="537">
        <v>0.4</v>
      </c>
      <c r="J273" s="594">
        <v>6</v>
      </c>
      <c r="K273" s="538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3"/>
      <c r="AE273" s="273"/>
      <c r="AF273" s="272"/>
      <c r="AG273" s="494" t="str">
        <f ca="1">IF('CDO Bespoke'!C298&lt;&gt;"",'CDO Bespoke'!C298,"")</f>
        <v/>
      </c>
      <c r="AH273" s="496"/>
      <c r="AI273" s="584"/>
      <c r="AJ273" s="584"/>
      <c r="AK273" s="584"/>
      <c r="AL273" s="497"/>
      <c r="AM273" s="619"/>
      <c r="AN273" s="496"/>
      <c r="AO273" s="584"/>
      <c r="AP273" s="584"/>
      <c r="AQ273" s="584"/>
      <c r="AR273" s="497"/>
      <c r="AS273" s="619"/>
      <c r="AT273" s="506"/>
      <c r="AU273" s="630"/>
      <c r="AV273" s="619"/>
      <c r="AW273" s="506"/>
      <c r="AX273" s="582"/>
      <c r="AY273" s="619"/>
    </row>
    <row r="274" spans="2:51">
      <c r="B274" s="539" t="s">
        <v>586</v>
      </c>
      <c r="C274" s="540" t="s">
        <v>66</v>
      </c>
      <c r="D274" s="540" t="s">
        <v>55</v>
      </c>
      <c r="E274" s="540" t="s">
        <v>648</v>
      </c>
      <c r="F274" s="540" t="s">
        <v>671</v>
      </c>
      <c r="G274" s="541">
        <v>0.01</v>
      </c>
      <c r="H274" s="541">
        <v>3.1080000000000001E-3</v>
      </c>
      <c r="I274" s="542">
        <v>0.4</v>
      </c>
      <c r="J274" s="601">
        <v>5</v>
      </c>
      <c r="K274" s="543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3"/>
      <c r="AE274" s="273"/>
      <c r="AF274" s="272"/>
      <c r="AG274" s="494" t="str">
        <f ca="1">IF('CDO Bespoke'!C299&lt;&gt;"",'CDO Bespoke'!C299,"")</f>
        <v/>
      </c>
      <c r="AH274" s="496"/>
      <c r="AI274" s="584"/>
      <c r="AJ274" s="584"/>
      <c r="AK274" s="584"/>
      <c r="AL274" s="497"/>
      <c r="AM274" s="619"/>
      <c r="AN274" s="496"/>
      <c r="AO274" s="584"/>
      <c r="AP274" s="584"/>
      <c r="AQ274" s="584"/>
      <c r="AR274" s="497"/>
      <c r="AS274" s="619"/>
      <c r="AT274" s="506"/>
      <c r="AU274" s="630"/>
      <c r="AV274" s="619"/>
      <c r="AW274" s="506"/>
      <c r="AX274" s="582"/>
      <c r="AY274" s="619"/>
    </row>
    <row r="275" spans="2:51">
      <c r="B275" s="517" t="s">
        <v>586</v>
      </c>
      <c r="C275" s="518" t="s">
        <v>66</v>
      </c>
      <c r="D275" s="518" t="s">
        <v>57</v>
      </c>
      <c r="E275" s="518" t="s">
        <v>648</v>
      </c>
      <c r="F275" s="518" t="s">
        <v>671</v>
      </c>
      <c r="G275" s="525">
        <v>0.01</v>
      </c>
      <c r="H275" s="525">
        <v>5.4169999999999999E-3</v>
      </c>
      <c r="I275" s="527">
        <v>0.4</v>
      </c>
      <c r="J275" s="593">
        <v>5</v>
      </c>
      <c r="K275" s="519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3"/>
      <c r="AE275" s="273"/>
      <c r="AF275" s="272"/>
      <c r="AG275" s="494" t="str">
        <f ca="1">IF('CDO Bespoke'!C300&lt;&gt;"",'CDO Bespoke'!C300,"")</f>
        <v/>
      </c>
      <c r="AH275" s="496"/>
      <c r="AI275" s="584"/>
      <c r="AJ275" s="584"/>
      <c r="AK275" s="584"/>
      <c r="AL275" s="497"/>
      <c r="AM275" s="619"/>
      <c r="AN275" s="496"/>
      <c r="AO275" s="584"/>
      <c r="AP275" s="584"/>
      <c r="AQ275" s="584"/>
      <c r="AR275" s="497"/>
      <c r="AS275" s="619"/>
      <c r="AT275" s="506"/>
      <c r="AU275" s="630"/>
      <c r="AV275" s="619"/>
      <c r="AW275" s="506"/>
      <c r="AX275" s="582"/>
      <c r="AY275" s="619"/>
    </row>
    <row r="276" spans="2:51">
      <c r="B276" s="534" t="s">
        <v>586</v>
      </c>
      <c r="C276" s="535" t="s">
        <v>66</v>
      </c>
      <c r="D276" s="535" t="s">
        <v>59</v>
      </c>
      <c r="E276" s="535" t="s">
        <v>648</v>
      </c>
      <c r="F276" s="535" t="s">
        <v>671</v>
      </c>
      <c r="G276" s="536">
        <v>0.01</v>
      </c>
      <c r="H276" s="536">
        <v>8.0789999999999994E-3</v>
      </c>
      <c r="I276" s="537">
        <v>0.4</v>
      </c>
      <c r="J276" s="594">
        <v>5</v>
      </c>
      <c r="K276" s="538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3"/>
      <c r="AE276" s="273"/>
      <c r="AF276" s="272"/>
      <c r="AG276" s="494" t="str">
        <f ca="1">IF('CDO Bespoke'!C301&lt;&gt;"",'CDO Bespoke'!C301,"")</f>
        <v/>
      </c>
      <c r="AH276" s="496"/>
      <c r="AI276" s="584"/>
      <c r="AJ276" s="584"/>
      <c r="AK276" s="584"/>
      <c r="AL276" s="497"/>
      <c r="AM276" s="619"/>
      <c r="AN276" s="496"/>
      <c r="AO276" s="584"/>
      <c r="AP276" s="584"/>
      <c r="AQ276" s="584"/>
      <c r="AR276" s="497"/>
      <c r="AS276" s="619"/>
      <c r="AT276" s="506"/>
      <c r="AU276" s="630"/>
      <c r="AV276" s="619"/>
      <c r="AW276" s="506"/>
      <c r="AX276" s="582"/>
      <c r="AY276" s="619"/>
    </row>
    <row r="277" spans="2:51">
      <c r="B277" s="539" t="s">
        <v>595</v>
      </c>
      <c r="C277" s="540" t="s">
        <v>66</v>
      </c>
      <c r="D277" s="540" t="s">
        <v>55</v>
      </c>
      <c r="E277" s="540" t="s">
        <v>648</v>
      </c>
      <c r="F277" s="540" t="s">
        <v>671</v>
      </c>
      <c r="G277" s="541">
        <v>0.01</v>
      </c>
      <c r="H277" s="541">
        <v>2.4889999999999999E-3</v>
      </c>
      <c r="I277" s="542">
        <v>0.4</v>
      </c>
      <c r="J277" s="601">
        <v>5</v>
      </c>
      <c r="K277" s="543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3"/>
      <c r="AE277" s="273"/>
      <c r="AF277" s="272"/>
      <c r="AG277" s="494" t="str">
        <f ca="1">IF('CDO Bespoke'!C302&lt;&gt;"",'CDO Bespoke'!C302,"")</f>
        <v/>
      </c>
      <c r="AH277" s="496"/>
      <c r="AI277" s="584"/>
      <c r="AJ277" s="584"/>
      <c r="AK277" s="584"/>
      <c r="AL277" s="497"/>
      <c r="AM277" s="619"/>
      <c r="AN277" s="496"/>
      <c r="AO277" s="584"/>
      <c r="AP277" s="584"/>
      <c r="AQ277" s="584"/>
      <c r="AR277" s="497"/>
      <c r="AS277" s="619"/>
      <c r="AT277" s="506"/>
      <c r="AU277" s="630"/>
      <c r="AV277" s="619"/>
      <c r="AW277" s="506"/>
      <c r="AX277" s="582"/>
      <c r="AY277" s="619"/>
    </row>
    <row r="278" spans="2:51">
      <c r="B278" s="517" t="s">
        <v>595</v>
      </c>
      <c r="C278" s="518" t="s">
        <v>66</v>
      </c>
      <c r="D278" s="518" t="s">
        <v>57</v>
      </c>
      <c r="E278" s="518" t="s">
        <v>648</v>
      </c>
      <c r="F278" s="518" t="s">
        <v>671</v>
      </c>
      <c r="G278" s="525">
        <v>0.01</v>
      </c>
      <c r="H278" s="525">
        <v>4.5339999999999998E-3</v>
      </c>
      <c r="I278" s="527">
        <v>0.4</v>
      </c>
      <c r="J278" s="593">
        <v>5</v>
      </c>
      <c r="K278" s="519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3"/>
      <c r="AE278" s="273"/>
      <c r="AF278" s="272"/>
      <c r="AG278" s="494" t="str">
        <f ca="1">IF('CDO Bespoke'!C303&lt;&gt;"",'CDO Bespoke'!C303,"")</f>
        <v/>
      </c>
      <c r="AH278" s="496"/>
      <c r="AI278" s="584"/>
      <c r="AJ278" s="584"/>
      <c r="AK278" s="584"/>
      <c r="AL278" s="497"/>
      <c r="AM278" s="619"/>
      <c r="AN278" s="496"/>
      <c r="AO278" s="584"/>
      <c r="AP278" s="584"/>
      <c r="AQ278" s="584"/>
      <c r="AR278" s="497"/>
      <c r="AS278" s="619"/>
      <c r="AT278" s="506"/>
      <c r="AU278" s="630"/>
      <c r="AV278" s="619"/>
      <c r="AW278" s="506"/>
      <c r="AX278" s="582"/>
      <c r="AY278" s="619"/>
    </row>
    <row r="279" spans="2:51">
      <c r="B279" s="534" t="s">
        <v>595</v>
      </c>
      <c r="C279" s="535" t="s">
        <v>66</v>
      </c>
      <c r="D279" s="535" t="s">
        <v>59</v>
      </c>
      <c r="E279" s="535" t="s">
        <v>648</v>
      </c>
      <c r="F279" s="535" t="s">
        <v>671</v>
      </c>
      <c r="G279" s="536">
        <v>0.01</v>
      </c>
      <c r="H279" s="536">
        <v>6.875E-3</v>
      </c>
      <c r="I279" s="537">
        <v>0.4</v>
      </c>
      <c r="J279" s="594">
        <v>5</v>
      </c>
      <c r="K279" s="538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3"/>
      <c r="AE279" s="273"/>
      <c r="AF279" s="272"/>
      <c r="AG279" s="494" t="str">
        <f ca="1">IF('CDO Bespoke'!C304&lt;&gt;"",'CDO Bespoke'!C304,"")</f>
        <v/>
      </c>
      <c r="AH279" s="496"/>
      <c r="AI279" s="584"/>
      <c r="AJ279" s="584"/>
      <c r="AK279" s="584"/>
      <c r="AL279" s="497"/>
      <c r="AM279" s="619"/>
      <c r="AN279" s="496"/>
      <c r="AO279" s="584"/>
      <c r="AP279" s="584"/>
      <c r="AQ279" s="584"/>
      <c r="AR279" s="497"/>
      <c r="AS279" s="619"/>
      <c r="AT279" s="506"/>
      <c r="AU279" s="630"/>
      <c r="AV279" s="619"/>
      <c r="AW279" s="506"/>
      <c r="AX279" s="582"/>
      <c r="AY279" s="619"/>
    </row>
    <row r="280" spans="2:51">
      <c r="B280" s="539" t="s">
        <v>587</v>
      </c>
      <c r="C280" s="540" t="s">
        <v>66</v>
      </c>
      <c r="D280" s="540" t="s">
        <v>55</v>
      </c>
      <c r="E280" s="540" t="s">
        <v>648</v>
      </c>
      <c r="F280" s="540" t="s">
        <v>675</v>
      </c>
      <c r="G280" s="541">
        <v>0.01</v>
      </c>
      <c r="H280" s="541">
        <v>9.5580000000000005E-3</v>
      </c>
      <c r="I280" s="542">
        <v>0.4</v>
      </c>
      <c r="J280" s="601">
        <v>6</v>
      </c>
      <c r="K280" s="543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3"/>
      <c r="AE280" s="273"/>
      <c r="AF280" s="272"/>
      <c r="AG280" s="494" t="str">
        <f ca="1">IF('CDO Bespoke'!C305&lt;&gt;"",'CDO Bespoke'!C305,"")</f>
        <v/>
      </c>
      <c r="AH280" s="496"/>
      <c r="AI280" s="584"/>
      <c r="AJ280" s="584"/>
      <c r="AK280" s="584"/>
      <c r="AL280" s="497"/>
      <c r="AM280" s="619"/>
      <c r="AN280" s="496"/>
      <c r="AO280" s="584"/>
      <c r="AP280" s="584"/>
      <c r="AQ280" s="584"/>
      <c r="AR280" s="497"/>
      <c r="AS280" s="619"/>
      <c r="AT280" s="506"/>
      <c r="AU280" s="630"/>
      <c r="AV280" s="619"/>
      <c r="AW280" s="506"/>
      <c r="AX280" s="582"/>
      <c r="AY280" s="619"/>
    </row>
    <row r="281" spans="2:51">
      <c r="B281" s="517" t="s">
        <v>587</v>
      </c>
      <c r="C281" s="518" t="s">
        <v>66</v>
      </c>
      <c r="D281" s="518" t="s">
        <v>57</v>
      </c>
      <c r="E281" s="518" t="s">
        <v>648</v>
      </c>
      <c r="F281" s="518" t="s">
        <v>675</v>
      </c>
      <c r="G281" s="525">
        <v>0.01</v>
      </c>
      <c r="H281" s="525">
        <v>1.5862999999999999E-2</v>
      </c>
      <c r="I281" s="527">
        <v>0.4</v>
      </c>
      <c r="J281" s="593">
        <v>6</v>
      </c>
      <c r="K281" s="519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3"/>
      <c r="AE281" s="273"/>
      <c r="AF281" s="272"/>
      <c r="AG281" s="494" t="str">
        <f ca="1">IF('CDO Bespoke'!C306&lt;&gt;"",'CDO Bespoke'!C306,"")</f>
        <v/>
      </c>
      <c r="AH281" s="496"/>
      <c r="AI281" s="584"/>
      <c r="AJ281" s="584"/>
      <c r="AK281" s="584"/>
      <c r="AL281" s="497"/>
      <c r="AM281" s="619"/>
      <c r="AN281" s="496"/>
      <c r="AO281" s="584"/>
      <c r="AP281" s="584"/>
      <c r="AQ281" s="584"/>
      <c r="AR281" s="497"/>
      <c r="AS281" s="619"/>
      <c r="AT281" s="506"/>
      <c r="AU281" s="630"/>
      <c r="AV281" s="619"/>
      <c r="AW281" s="506"/>
      <c r="AX281" s="582"/>
      <c r="AY281" s="619"/>
    </row>
    <row r="282" spans="2:51">
      <c r="B282" s="534" t="s">
        <v>587</v>
      </c>
      <c r="C282" s="535" t="s">
        <v>66</v>
      </c>
      <c r="D282" s="535" t="s">
        <v>59</v>
      </c>
      <c r="E282" s="535" t="s">
        <v>648</v>
      </c>
      <c r="F282" s="535" t="s">
        <v>675</v>
      </c>
      <c r="G282" s="536">
        <v>0.01</v>
      </c>
      <c r="H282" s="536">
        <v>1.9740000000000001E-2</v>
      </c>
      <c r="I282" s="537">
        <v>0.4</v>
      </c>
      <c r="J282" s="594">
        <v>6</v>
      </c>
      <c r="K282" s="538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3"/>
      <c r="AE282" s="273"/>
      <c r="AF282" s="272"/>
      <c r="AG282" s="494" t="str">
        <f ca="1">IF('CDO Bespoke'!C307&lt;&gt;"",'CDO Bespoke'!C307,"")</f>
        <v/>
      </c>
      <c r="AH282" s="496"/>
      <c r="AI282" s="584"/>
      <c r="AJ282" s="584"/>
      <c r="AK282" s="584"/>
      <c r="AL282" s="497"/>
      <c r="AM282" s="619"/>
      <c r="AN282" s="496"/>
      <c r="AO282" s="584"/>
      <c r="AP282" s="584"/>
      <c r="AQ282" s="584"/>
      <c r="AR282" s="497"/>
      <c r="AS282" s="619"/>
      <c r="AT282" s="506"/>
      <c r="AU282" s="630"/>
      <c r="AV282" s="619"/>
      <c r="AW282" s="506"/>
      <c r="AX282" s="582"/>
      <c r="AY282" s="619"/>
    </row>
    <row r="283" spans="2:51">
      <c r="B283" s="539" t="s">
        <v>616</v>
      </c>
      <c r="C283" s="540" t="s">
        <v>66</v>
      </c>
      <c r="D283" s="540" t="s">
        <v>55</v>
      </c>
      <c r="E283" s="540" t="s">
        <v>646</v>
      </c>
      <c r="F283" s="540" t="s">
        <v>671</v>
      </c>
      <c r="G283" s="541">
        <v>0.01</v>
      </c>
      <c r="H283" s="541">
        <v>7.8799999999999996E-4</v>
      </c>
      <c r="I283" s="542">
        <v>0.4</v>
      </c>
      <c r="J283" s="601">
        <v>5</v>
      </c>
      <c r="K283" s="543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3"/>
      <c r="AE283" s="273"/>
      <c r="AF283" s="272"/>
      <c r="AG283" s="494" t="str">
        <f ca="1">IF('CDO Bespoke'!C308&lt;&gt;"",'CDO Bespoke'!C308,"")</f>
        <v/>
      </c>
      <c r="AH283" s="496"/>
      <c r="AI283" s="584"/>
      <c r="AJ283" s="584"/>
      <c r="AK283" s="584"/>
      <c r="AL283" s="497"/>
      <c r="AM283" s="619"/>
      <c r="AN283" s="496"/>
      <c r="AO283" s="584"/>
      <c r="AP283" s="584"/>
      <c r="AQ283" s="584"/>
      <c r="AR283" s="497"/>
      <c r="AS283" s="619"/>
      <c r="AT283" s="506"/>
      <c r="AU283" s="630"/>
      <c r="AV283" s="619"/>
      <c r="AW283" s="506"/>
      <c r="AX283" s="582"/>
      <c r="AY283" s="619"/>
    </row>
    <row r="284" spans="2:51">
      <c r="B284" s="517" t="s">
        <v>616</v>
      </c>
      <c r="C284" s="518" t="s">
        <v>66</v>
      </c>
      <c r="D284" s="518" t="s">
        <v>57</v>
      </c>
      <c r="E284" s="518" t="s">
        <v>646</v>
      </c>
      <c r="F284" s="518" t="s">
        <v>671</v>
      </c>
      <c r="G284" s="525">
        <v>0.01</v>
      </c>
      <c r="H284" s="525">
        <v>1.3649999999999999E-3</v>
      </c>
      <c r="I284" s="527">
        <v>0.4</v>
      </c>
      <c r="J284" s="593">
        <v>5</v>
      </c>
      <c r="K284" s="519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3"/>
      <c r="AE284" s="273"/>
      <c r="AF284" s="272"/>
      <c r="AG284" s="494" t="str">
        <f ca="1">IF('CDO Bespoke'!C309&lt;&gt;"",'CDO Bespoke'!C309,"")</f>
        <v/>
      </c>
      <c r="AH284" s="496"/>
      <c r="AI284" s="584"/>
      <c r="AJ284" s="584"/>
      <c r="AK284" s="584"/>
      <c r="AL284" s="497"/>
      <c r="AM284" s="619"/>
      <c r="AN284" s="496"/>
      <c r="AO284" s="584"/>
      <c r="AP284" s="584"/>
      <c r="AQ284" s="584"/>
      <c r="AR284" s="497"/>
      <c r="AS284" s="619"/>
      <c r="AT284" s="506"/>
      <c r="AU284" s="630"/>
      <c r="AV284" s="619"/>
      <c r="AW284" s="506"/>
      <c r="AX284" s="582"/>
      <c r="AY284" s="619"/>
    </row>
    <row r="285" spans="2:51">
      <c r="B285" s="534" t="s">
        <v>616</v>
      </c>
      <c r="C285" s="535" t="s">
        <v>66</v>
      </c>
      <c r="D285" s="535" t="s">
        <v>59</v>
      </c>
      <c r="E285" s="535" t="s">
        <v>646</v>
      </c>
      <c r="F285" s="535" t="s">
        <v>671</v>
      </c>
      <c r="G285" s="536">
        <v>0.01</v>
      </c>
      <c r="H285" s="536">
        <v>2.568E-3</v>
      </c>
      <c r="I285" s="537">
        <v>0.4</v>
      </c>
      <c r="J285" s="594">
        <v>5</v>
      </c>
      <c r="K285" s="538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3"/>
      <c r="AE285" s="273"/>
      <c r="AF285" s="272"/>
      <c r="AG285" s="494" t="str">
        <f ca="1">IF('CDO Bespoke'!C310&lt;&gt;"",'CDO Bespoke'!C310,"")</f>
        <v/>
      </c>
      <c r="AH285" s="496"/>
      <c r="AI285" s="584"/>
      <c r="AJ285" s="584"/>
      <c r="AK285" s="584"/>
      <c r="AL285" s="497"/>
      <c r="AM285" s="619"/>
      <c r="AN285" s="496"/>
      <c r="AO285" s="584"/>
      <c r="AP285" s="584"/>
      <c r="AQ285" s="584"/>
      <c r="AR285" s="497"/>
      <c r="AS285" s="619"/>
      <c r="AT285" s="506"/>
      <c r="AU285" s="630"/>
      <c r="AV285" s="619"/>
      <c r="AW285" s="506"/>
      <c r="AX285" s="582"/>
      <c r="AY285" s="619"/>
    </row>
    <row r="286" spans="2:51">
      <c r="B286" s="539" t="s">
        <v>588</v>
      </c>
      <c r="C286" s="540" t="s">
        <v>66</v>
      </c>
      <c r="D286" s="540" t="s">
        <v>55</v>
      </c>
      <c r="E286" s="540" t="s">
        <v>648</v>
      </c>
      <c r="F286" s="540" t="s">
        <v>653</v>
      </c>
      <c r="G286" s="541">
        <v>0.01</v>
      </c>
      <c r="H286" s="541">
        <v>1.861E-3</v>
      </c>
      <c r="I286" s="542">
        <v>0.4</v>
      </c>
      <c r="J286" s="601">
        <v>6</v>
      </c>
      <c r="K286" s="543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3"/>
      <c r="AE286" s="273"/>
      <c r="AF286" s="272"/>
      <c r="AG286" s="494" t="str">
        <f ca="1">IF('CDO Bespoke'!C311&lt;&gt;"",'CDO Bespoke'!C311,"")</f>
        <v/>
      </c>
      <c r="AH286" s="496"/>
      <c r="AI286" s="584"/>
      <c r="AJ286" s="584"/>
      <c r="AK286" s="584"/>
      <c r="AL286" s="497"/>
      <c r="AM286" s="619"/>
      <c r="AN286" s="496"/>
      <c r="AO286" s="584"/>
      <c r="AP286" s="584"/>
      <c r="AQ286" s="584"/>
      <c r="AR286" s="497"/>
      <c r="AS286" s="619"/>
      <c r="AT286" s="506"/>
      <c r="AU286" s="630"/>
      <c r="AV286" s="619"/>
      <c r="AW286" s="506"/>
      <c r="AX286" s="582"/>
      <c r="AY286" s="619"/>
    </row>
    <row r="287" spans="2:51">
      <c r="B287" s="517" t="s">
        <v>588</v>
      </c>
      <c r="C287" s="518" t="s">
        <v>66</v>
      </c>
      <c r="D287" s="518" t="s">
        <v>57</v>
      </c>
      <c r="E287" s="518" t="s">
        <v>648</v>
      </c>
      <c r="F287" s="518" t="s">
        <v>653</v>
      </c>
      <c r="G287" s="525">
        <v>0.01</v>
      </c>
      <c r="H287" s="525">
        <v>3.0709999999999999E-3</v>
      </c>
      <c r="I287" s="527">
        <v>0.4</v>
      </c>
      <c r="J287" s="593">
        <v>6</v>
      </c>
      <c r="K287" s="519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3"/>
      <c r="AE287" s="273"/>
      <c r="AF287" s="272"/>
      <c r="AG287" s="494" t="str">
        <f ca="1">IF('CDO Bespoke'!C312&lt;&gt;"",'CDO Bespoke'!C312,"")</f>
        <v/>
      </c>
      <c r="AH287" s="496"/>
      <c r="AI287" s="584"/>
      <c r="AJ287" s="584"/>
      <c r="AK287" s="584"/>
      <c r="AL287" s="497"/>
      <c r="AM287" s="619"/>
      <c r="AN287" s="496"/>
      <c r="AO287" s="584"/>
      <c r="AP287" s="584"/>
      <c r="AQ287" s="584"/>
      <c r="AR287" s="497"/>
      <c r="AS287" s="619"/>
      <c r="AT287" s="506"/>
      <c r="AU287" s="630"/>
      <c r="AV287" s="619"/>
      <c r="AW287" s="506"/>
      <c r="AX287" s="582"/>
      <c r="AY287" s="619"/>
    </row>
    <row r="288" spans="2:51">
      <c r="B288" s="534" t="s">
        <v>588</v>
      </c>
      <c r="C288" s="535" t="s">
        <v>66</v>
      </c>
      <c r="D288" s="535" t="s">
        <v>59</v>
      </c>
      <c r="E288" s="535" t="s">
        <v>648</v>
      </c>
      <c r="F288" s="535" t="s">
        <v>653</v>
      </c>
      <c r="G288" s="536">
        <v>0.01</v>
      </c>
      <c r="H288" s="536">
        <v>4.4549999999999998E-3</v>
      </c>
      <c r="I288" s="537">
        <v>0.4</v>
      </c>
      <c r="J288" s="594">
        <v>6</v>
      </c>
      <c r="K288" s="538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3"/>
      <c r="AE288" s="273"/>
      <c r="AF288" s="272"/>
      <c r="AG288" s="494" t="str">
        <f ca="1">IF('CDO Bespoke'!C313&lt;&gt;"",'CDO Bespoke'!C313,"")</f>
        <v/>
      </c>
      <c r="AH288" s="496"/>
      <c r="AI288" s="584"/>
      <c r="AJ288" s="584"/>
      <c r="AK288" s="584"/>
      <c r="AL288" s="497"/>
      <c r="AM288" s="619"/>
      <c r="AN288" s="496"/>
      <c r="AO288" s="584"/>
      <c r="AP288" s="584"/>
      <c r="AQ288" s="584"/>
      <c r="AR288" s="497"/>
      <c r="AS288" s="619"/>
      <c r="AT288" s="506"/>
      <c r="AU288" s="630"/>
      <c r="AV288" s="619"/>
      <c r="AW288" s="506"/>
      <c r="AX288" s="582"/>
      <c r="AY288" s="619"/>
    </row>
    <row r="289" spans="2:51">
      <c r="B289" s="539" t="s">
        <v>596</v>
      </c>
      <c r="C289" s="540" t="s">
        <v>66</v>
      </c>
      <c r="D289" s="540" t="s">
        <v>55</v>
      </c>
      <c r="E289" s="540" t="s">
        <v>648</v>
      </c>
      <c r="F289" s="540" t="s">
        <v>675</v>
      </c>
      <c r="G289" s="541">
        <v>0.01</v>
      </c>
      <c r="H289" s="541">
        <v>3.8760000000000001E-3</v>
      </c>
      <c r="I289" s="542">
        <v>0.4</v>
      </c>
      <c r="J289" s="601">
        <v>6</v>
      </c>
      <c r="K289" s="543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3"/>
      <c r="AE289" s="273"/>
      <c r="AF289" s="272"/>
      <c r="AG289" s="494" t="str">
        <f ca="1">IF('CDO Bespoke'!C314&lt;&gt;"",'CDO Bespoke'!C314,"")</f>
        <v/>
      </c>
      <c r="AH289" s="496"/>
      <c r="AI289" s="584"/>
      <c r="AJ289" s="584"/>
      <c r="AK289" s="584"/>
      <c r="AL289" s="497"/>
      <c r="AM289" s="619"/>
      <c r="AN289" s="496"/>
      <c r="AO289" s="584"/>
      <c r="AP289" s="584"/>
      <c r="AQ289" s="584"/>
      <c r="AR289" s="497"/>
      <c r="AS289" s="619"/>
      <c r="AT289" s="506"/>
      <c r="AU289" s="630"/>
      <c r="AV289" s="619"/>
      <c r="AW289" s="506"/>
      <c r="AX289" s="582"/>
      <c r="AY289" s="619"/>
    </row>
    <row r="290" spans="2:51">
      <c r="B290" s="517" t="s">
        <v>596</v>
      </c>
      <c r="C290" s="518" t="s">
        <v>66</v>
      </c>
      <c r="D290" s="518" t="s">
        <v>57</v>
      </c>
      <c r="E290" s="518" t="s">
        <v>648</v>
      </c>
      <c r="F290" s="518" t="s">
        <v>675</v>
      </c>
      <c r="G290" s="525">
        <v>0.01</v>
      </c>
      <c r="H290" s="525">
        <v>6.6940000000000003E-3</v>
      </c>
      <c r="I290" s="527">
        <v>0.4</v>
      </c>
      <c r="J290" s="593">
        <v>6</v>
      </c>
      <c r="K290" s="519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3"/>
      <c r="AE290" s="273"/>
      <c r="AF290" s="272"/>
      <c r="AG290" s="494" t="str">
        <f ca="1">IF('CDO Bespoke'!C315&lt;&gt;"",'CDO Bespoke'!C315,"")</f>
        <v/>
      </c>
      <c r="AH290" s="496"/>
      <c r="AI290" s="584"/>
      <c r="AJ290" s="584"/>
      <c r="AK290" s="584"/>
      <c r="AL290" s="497"/>
      <c r="AM290" s="619"/>
      <c r="AN290" s="496"/>
      <c r="AO290" s="584"/>
      <c r="AP290" s="584"/>
      <c r="AQ290" s="584"/>
      <c r="AR290" s="497"/>
      <c r="AS290" s="619"/>
      <c r="AT290" s="506"/>
      <c r="AU290" s="630"/>
      <c r="AV290" s="619"/>
      <c r="AW290" s="506"/>
      <c r="AX290" s="582"/>
      <c r="AY290" s="619"/>
    </row>
    <row r="291" spans="2:51">
      <c r="B291" s="534" t="s">
        <v>596</v>
      </c>
      <c r="C291" s="535" t="s">
        <v>66</v>
      </c>
      <c r="D291" s="535" t="s">
        <v>59</v>
      </c>
      <c r="E291" s="535" t="s">
        <v>648</v>
      </c>
      <c r="F291" s="535" t="s">
        <v>675</v>
      </c>
      <c r="G291" s="536">
        <v>0.01</v>
      </c>
      <c r="H291" s="536">
        <v>1.0071999999999999E-2</v>
      </c>
      <c r="I291" s="537">
        <v>0.4</v>
      </c>
      <c r="J291" s="594">
        <v>6</v>
      </c>
      <c r="K291" s="538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3"/>
      <c r="AE291" s="273"/>
      <c r="AF291" s="272"/>
      <c r="AG291" s="494" t="str">
        <f ca="1">IF('CDO Bespoke'!C316&lt;&gt;"",'CDO Bespoke'!C316,"")</f>
        <v/>
      </c>
      <c r="AH291" s="496"/>
      <c r="AI291" s="584"/>
      <c r="AJ291" s="584"/>
      <c r="AK291" s="584"/>
      <c r="AL291" s="497"/>
      <c r="AM291" s="619"/>
      <c r="AN291" s="496"/>
      <c r="AO291" s="584"/>
      <c r="AP291" s="584"/>
      <c r="AQ291" s="584"/>
      <c r="AR291" s="497"/>
      <c r="AS291" s="619"/>
      <c r="AT291" s="506"/>
      <c r="AU291" s="630"/>
      <c r="AV291" s="619"/>
      <c r="AW291" s="506"/>
      <c r="AX291" s="582"/>
      <c r="AY291" s="619"/>
    </row>
    <row r="292" spans="2:51">
      <c r="B292" s="539" t="s">
        <v>589</v>
      </c>
      <c r="C292" s="540" t="s">
        <v>66</v>
      </c>
      <c r="D292" s="540" t="s">
        <v>55</v>
      </c>
      <c r="E292" s="540" t="s">
        <v>646</v>
      </c>
      <c r="F292" s="540" t="s">
        <v>675</v>
      </c>
      <c r="G292" s="541">
        <v>0.01</v>
      </c>
      <c r="H292" s="541">
        <v>1.3079999999999999E-3</v>
      </c>
      <c r="I292" s="542">
        <v>0.4</v>
      </c>
      <c r="J292" s="601">
        <v>6</v>
      </c>
      <c r="K292" s="543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3"/>
      <c r="AE292" s="273"/>
      <c r="AF292" s="272"/>
      <c r="AG292" s="494" t="str">
        <f ca="1">IF('CDO Bespoke'!C317&lt;&gt;"",'CDO Bespoke'!C317,"")</f>
        <v/>
      </c>
      <c r="AH292" s="496"/>
      <c r="AI292" s="584"/>
      <c r="AJ292" s="584"/>
      <c r="AK292" s="584"/>
      <c r="AL292" s="497"/>
      <c r="AM292" s="619"/>
      <c r="AN292" s="496"/>
      <c r="AO292" s="584"/>
      <c r="AP292" s="584"/>
      <c r="AQ292" s="584"/>
      <c r="AR292" s="497"/>
      <c r="AS292" s="619"/>
      <c r="AT292" s="506"/>
      <c r="AU292" s="630"/>
      <c r="AV292" s="619"/>
      <c r="AW292" s="506"/>
      <c r="AX292" s="582"/>
      <c r="AY292" s="619"/>
    </row>
    <row r="293" spans="2:51">
      <c r="B293" s="517" t="s">
        <v>589</v>
      </c>
      <c r="C293" s="518" t="s">
        <v>66</v>
      </c>
      <c r="D293" s="518" t="s">
        <v>57</v>
      </c>
      <c r="E293" s="518" t="s">
        <v>646</v>
      </c>
      <c r="F293" s="518" t="s">
        <v>675</v>
      </c>
      <c r="G293" s="525">
        <v>0.01</v>
      </c>
      <c r="H293" s="525">
        <v>2.3080000000000002E-3</v>
      </c>
      <c r="I293" s="527">
        <v>0.4</v>
      </c>
      <c r="J293" s="593">
        <v>6</v>
      </c>
      <c r="K293" s="519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3"/>
      <c r="AE293" s="273"/>
      <c r="AF293" s="272"/>
      <c r="AG293" s="494" t="str">
        <f ca="1">IF('CDO Bespoke'!C318&lt;&gt;"",'CDO Bespoke'!C318,"")</f>
        <v/>
      </c>
      <c r="AH293" s="496"/>
      <c r="AI293" s="584"/>
      <c r="AJ293" s="584"/>
      <c r="AK293" s="584"/>
      <c r="AL293" s="497"/>
      <c r="AM293" s="619"/>
      <c r="AN293" s="496"/>
      <c r="AO293" s="584"/>
      <c r="AP293" s="584"/>
      <c r="AQ293" s="584"/>
      <c r="AR293" s="497"/>
      <c r="AS293" s="619"/>
      <c r="AT293" s="506"/>
      <c r="AU293" s="630"/>
      <c r="AV293" s="619"/>
      <c r="AW293" s="506"/>
      <c r="AX293" s="582"/>
      <c r="AY293" s="619"/>
    </row>
    <row r="294" spans="2:51">
      <c r="B294" s="534" t="s">
        <v>589</v>
      </c>
      <c r="C294" s="535" t="s">
        <v>66</v>
      </c>
      <c r="D294" s="535" t="s">
        <v>59</v>
      </c>
      <c r="E294" s="535" t="s">
        <v>646</v>
      </c>
      <c r="F294" s="535" t="s">
        <v>675</v>
      </c>
      <c r="G294" s="536">
        <v>0.01</v>
      </c>
      <c r="H294" s="536">
        <v>3.643E-3</v>
      </c>
      <c r="I294" s="537">
        <v>0.4</v>
      </c>
      <c r="J294" s="594">
        <v>6</v>
      </c>
      <c r="K294" s="538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3"/>
      <c r="AC294" s="273"/>
      <c r="AD294" s="273"/>
      <c r="AE294" s="273"/>
      <c r="AF294" s="272"/>
      <c r="AG294" s="494" t="str">
        <f ca="1">IF('CDO Bespoke'!C319&lt;&gt;"",'CDO Bespoke'!C319,"")</f>
        <v/>
      </c>
      <c r="AH294" s="496"/>
      <c r="AI294" s="584"/>
      <c r="AJ294" s="584"/>
      <c r="AK294" s="584"/>
      <c r="AL294" s="497"/>
      <c r="AM294" s="619"/>
      <c r="AN294" s="496"/>
      <c r="AO294" s="584"/>
      <c r="AP294" s="584"/>
      <c r="AQ294" s="584"/>
      <c r="AR294" s="497"/>
      <c r="AS294" s="619"/>
      <c r="AT294" s="506"/>
      <c r="AU294" s="630"/>
      <c r="AV294" s="619"/>
      <c r="AW294" s="506"/>
      <c r="AX294" s="582"/>
      <c r="AY294" s="619"/>
    </row>
    <row r="295" spans="2:51">
      <c r="B295" s="539" t="s">
        <v>597</v>
      </c>
      <c r="C295" s="540" t="s">
        <v>66</v>
      </c>
      <c r="D295" s="540" t="s">
        <v>55</v>
      </c>
      <c r="E295" s="540" t="s">
        <v>648</v>
      </c>
      <c r="F295" s="540" t="s">
        <v>675</v>
      </c>
      <c r="G295" s="541">
        <v>0.01</v>
      </c>
      <c r="H295" s="541">
        <v>1.5479999999999999E-3</v>
      </c>
      <c r="I295" s="542">
        <v>0.4</v>
      </c>
      <c r="J295" s="601">
        <v>6</v>
      </c>
      <c r="K295" s="543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3"/>
      <c r="AE295" s="273"/>
      <c r="AF295" s="272"/>
      <c r="AG295" s="494" t="str">
        <f ca="1">IF('CDO Bespoke'!C320&lt;&gt;"",'CDO Bespoke'!C320,"")</f>
        <v/>
      </c>
      <c r="AH295" s="496"/>
      <c r="AI295" s="584"/>
      <c r="AJ295" s="584"/>
      <c r="AK295" s="584"/>
      <c r="AL295" s="497"/>
      <c r="AM295" s="619"/>
      <c r="AN295" s="496"/>
      <c r="AO295" s="584"/>
      <c r="AP295" s="584"/>
      <c r="AQ295" s="584"/>
      <c r="AR295" s="497"/>
      <c r="AS295" s="619"/>
      <c r="AT295" s="506"/>
      <c r="AU295" s="630"/>
      <c r="AV295" s="619"/>
      <c r="AW295" s="506"/>
      <c r="AX295" s="582"/>
      <c r="AY295" s="619"/>
    </row>
    <row r="296" spans="2:51">
      <c r="B296" s="517" t="s">
        <v>597</v>
      </c>
      <c r="C296" s="518" t="s">
        <v>66</v>
      </c>
      <c r="D296" s="518" t="s">
        <v>57</v>
      </c>
      <c r="E296" s="518" t="s">
        <v>648</v>
      </c>
      <c r="F296" s="518" t="s">
        <v>675</v>
      </c>
      <c r="G296" s="525">
        <v>0.01</v>
      </c>
      <c r="H296" s="525">
        <v>2.565E-3</v>
      </c>
      <c r="I296" s="527">
        <v>0.4</v>
      </c>
      <c r="J296" s="593">
        <v>6</v>
      </c>
      <c r="K296" s="519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3"/>
      <c r="AE296" s="273"/>
      <c r="AF296" s="272"/>
      <c r="AG296" s="494" t="str">
        <f ca="1">IF('CDO Bespoke'!C321&lt;&gt;"",'CDO Bespoke'!C321,"")</f>
        <v/>
      </c>
      <c r="AH296" s="496"/>
      <c r="AI296" s="584"/>
      <c r="AJ296" s="584"/>
      <c r="AK296" s="584"/>
      <c r="AL296" s="497"/>
      <c r="AM296" s="619"/>
      <c r="AN296" s="496"/>
      <c r="AO296" s="584"/>
      <c r="AP296" s="584"/>
      <c r="AQ296" s="584"/>
      <c r="AR296" s="497"/>
      <c r="AS296" s="619"/>
      <c r="AT296" s="506"/>
      <c r="AU296" s="630"/>
      <c r="AV296" s="619"/>
      <c r="AW296" s="506"/>
      <c r="AX296" s="582"/>
      <c r="AY296" s="619"/>
    </row>
    <row r="297" spans="2:51">
      <c r="B297" s="534" t="s">
        <v>597</v>
      </c>
      <c r="C297" s="535" t="s">
        <v>66</v>
      </c>
      <c r="D297" s="535" t="s">
        <v>59</v>
      </c>
      <c r="E297" s="535" t="s">
        <v>648</v>
      </c>
      <c r="F297" s="535" t="s">
        <v>675</v>
      </c>
      <c r="G297" s="536">
        <v>0.01</v>
      </c>
      <c r="H297" s="536">
        <v>3.594E-3</v>
      </c>
      <c r="I297" s="537">
        <v>0.4</v>
      </c>
      <c r="J297" s="594">
        <v>6</v>
      </c>
      <c r="K297" s="538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3"/>
      <c r="AC297" s="273"/>
      <c r="AD297" s="273"/>
      <c r="AE297" s="273"/>
      <c r="AF297" s="272"/>
      <c r="AG297" s="494" t="str">
        <f ca="1">IF('CDO Bespoke'!C322&lt;&gt;"",'CDO Bespoke'!C322,"")</f>
        <v/>
      </c>
      <c r="AH297" s="496"/>
      <c r="AI297" s="584"/>
      <c r="AJ297" s="584"/>
      <c r="AK297" s="584"/>
      <c r="AL297" s="497"/>
      <c r="AM297" s="619"/>
      <c r="AN297" s="496"/>
      <c r="AO297" s="584"/>
      <c r="AP297" s="584"/>
      <c r="AQ297" s="584"/>
      <c r="AR297" s="497"/>
      <c r="AS297" s="619"/>
      <c r="AT297" s="506"/>
      <c r="AU297" s="630"/>
      <c r="AV297" s="619"/>
      <c r="AW297" s="506"/>
      <c r="AX297" s="582"/>
      <c r="AY297" s="619"/>
    </row>
    <row r="298" spans="2:51">
      <c r="B298" s="539" t="s">
        <v>590</v>
      </c>
      <c r="C298" s="540" t="s">
        <v>66</v>
      </c>
      <c r="D298" s="540" t="s">
        <v>55</v>
      </c>
      <c r="E298" s="540" t="s">
        <v>648</v>
      </c>
      <c r="F298" s="540" t="s">
        <v>675</v>
      </c>
      <c r="G298" s="541">
        <v>0.01</v>
      </c>
      <c r="H298" s="541">
        <v>1.606E-3</v>
      </c>
      <c r="I298" s="542">
        <v>0.4</v>
      </c>
      <c r="J298" s="601">
        <v>6</v>
      </c>
      <c r="K298" s="543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3"/>
      <c r="AC298" s="273"/>
      <c r="AD298" s="273"/>
      <c r="AE298" s="273"/>
      <c r="AF298" s="272"/>
      <c r="AG298" s="494" t="str">
        <f ca="1">IF('CDO Bespoke'!C323&lt;&gt;"",'CDO Bespoke'!C323,"")</f>
        <v/>
      </c>
      <c r="AH298" s="496"/>
      <c r="AI298" s="584"/>
      <c r="AJ298" s="584"/>
      <c r="AK298" s="584"/>
      <c r="AL298" s="497"/>
      <c r="AM298" s="619"/>
      <c r="AN298" s="496"/>
      <c r="AO298" s="584"/>
      <c r="AP298" s="584"/>
      <c r="AQ298" s="584"/>
      <c r="AR298" s="497"/>
      <c r="AS298" s="619"/>
      <c r="AT298" s="506"/>
      <c r="AU298" s="630"/>
      <c r="AV298" s="619"/>
      <c r="AW298" s="506"/>
      <c r="AX298" s="582"/>
      <c r="AY298" s="619"/>
    </row>
    <row r="299" spans="2:51">
      <c r="B299" s="517" t="s">
        <v>590</v>
      </c>
      <c r="C299" s="518" t="s">
        <v>66</v>
      </c>
      <c r="D299" s="518" t="s">
        <v>57</v>
      </c>
      <c r="E299" s="518" t="s">
        <v>648</v>
      </c>
      <c r="F299" s="518" t="s">
        <v>675</v>
      </c>
      <c r="G299" s="525">
        <v>0.01</v>
      </c>
      <c r="H299" s="525">
        <v>2.6679999999999998E-3</v>
      </c>
      <c r="I299" s="527">
        <v>0.4</v>
      </c>
      <c r="J299" s="593">
        <v>6</v>
      </c>
      <c r="K299" s="519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3"/>
      <c r="AC299" s="273"/>
      <c r="AD299" s="273"/>
      <c r="AE299" s="273"/>
      <c r="AF299" s="272"/>
      <c r="AG299" s="494" t="str">
        <f ca="1">IF('CDO Bespoke'!C324&lt;&gt;"",'CDO Bespoke'!C324,"")</f>
        <v/>
      </c>
      <c r="AH299" s="496"/>
      <c r="AI299" s="584"/>
      <c r="AJ299" s="584"/>
      <c r="AK299" s="584"/>
      <c r="AL299" s="497"/>
      <c r="AM299" s="619"/>
      <c r="AN299" s="496"/>
      <c r="AO299" s="584"/>
      <c r="AP299" s="584"/>
      <c r="AQ299" s="584"/>
      <c r="AR299" s="497"/>
      <c r="AS299" s="619"/>
      <c r="AT299" s="506"/>
      <c r="AU299" s="630"/>
      <c r="AV299" s="619"/>
      <c r="AW299" s="506"/>
      <c r="AX299" s="582"/>
      <c r="AY299" s="619"/>
    </row>
    <row r="300" spans="2:51">
      <c r="B300" s="534" t="s">
        <v>590</v>
      </c>
      <c r="C300" s="535" t="s">
        <v>66</v>
      </c>
      <c r="D300" s="535" t="s">
        <v>59</v>
      </c>
      <c r="E300" s="535" t="s">
        <v>648</v>
      </c>
      <c r="F300" s="535" t="s">
        <v>675</v>
      </c>
      <c r="G300" s="536">
        <v>0.01</v>
      </c>
      <c r="H300" s="536">
        <v>3.9750000000000002E-3</v>
      </c>
      <c r="I300" s="537">
        <v>0.4</v>
      </c>
      <c r="J300" s="594">
        <v>6</v>
      </c>
      <c r="K300" s="538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3"/>
      <c r="AE300" s="273"/>
      <c r="AF300" s="272"/>
      <c r="AG300" s="494" t="str">
        <f ca="1">IF('CDO Bespoke'!C325&lt;&gt;"",'CDO Bespoke'!C325,"")</f>
        <v/>
      </c>
      <c r="AH300" s="496"/>
      <c r="AI300" s="584"/>
      <c r="AJ300" s="584"/>
      <c r="AK300" s="584"/>
      <c r="AL300" s="497"/>
      <c r="AM300" s="619"/>
      <c r="AN300" s="496"/>
      <c r="AO300" s="584"/>
      <c r="AP300" s="584"/>
      <c r="AQ300" s="584"/>
      <c r="AR300" s="497"/>
      <c r="AS300" s="619"/>
      <c r="AT300" s="506"/>
      <c r="AU300" s="630"/>
      <c r="AV300" s="619"/>
      <c r="AW300" s="506"/>
      <c r="AX300" s="582"/>
      <c r="AY300" s="619"/>
    </row>
    <row r="301" spans="2:51">
      <c r="B301" s="539" t="s">
        <v>591</v>
      </c>
      <c r="C301" s="540" t="s">
        <v>66</v>
      </c>
      <c r="D301" s="540" t="s">
        <v>55</v>
      </c>
      <c r="E301" s="540" t="s">
        <v>648</v>
      </c>
      <c r="F301" s="540" t="s">
        <v>671</v>
      </c>
      <c r="G301" s="541">
        <v>0.01</v>
      </c>
      <c r="H301" s="541">
        <v>3.0330000000000001E-3</v>
      </c>
      <c r="I301" s="542">
        <v>0.4</v>
      </c>
      <c r="J301" s="601">
        <v>5</v>
      </c>
      <c r="K301" s="543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3"/>
      <c r="AE301" s="273"/>
      <c r="AF301" s="272"/>
      <c r="AG301" s="494" t="str">
        <f ca="1">IF('CDO Bespoke'!C326&lt;&gt;"",'CDO Bespoke'!C326,"")</f>
        <v/>
      </c>
      <c r="AH301" s="496"/>
      <c r="AI301" s="584"/>
      <c r="AJ301" s="584"/>
      <c r="AK301" s="584"/>
      <c r="AL301" s="497"/>
      <c r="AM301" s="619"/>
      <c r="AN301" s="496"/>
      <c r="AO301" s="584"/>
      <c r="AP301" s="584"/>
      <c r="AQ301" s="584"/>
      <c r="AR301" s="497"/>
      <c r="AS301" s="619"/>
      <c r="AT301" s="506"/>
      <c r="AU301" s="630"/>
      <c r="AV301" s="619"/>
      <c r="AW301" s="506"/>
      <c r="AX301" s="582"/>
      <c r="AY301" s="619"/>
    </row>
    <row r="302" spans="2:51">
      <c r="B302" s="517" t="s">
        <v>591</v>
      </c>
      <c r="C302" s="518" t="s">
        <v>66</v>
      </c>
      <c r="D302" s="518" t="s">
        <v>57</v>
      </c>
      <c r="E302" s="518" t="s">
        <v>648</v>
      </c>
      <c r="F302" s="518" t="s">
        <v>671</v>
      </c>
      <c r="G302" s="525">
        <v>0.01</v>
      </c>
      <c r="H302" s="525">
        <v>5.5510000000000004E-3</v>
      </c>
      <c r="I302" s="527">
        <v>0.4</v>
      </c>
      <c r="J302" s="593">
        <v>5</v>
      </c>
      <c r="K302" s="519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3"/>
      <c r="AE302" s="273"/>
      <c r="AF302" s="272"/>
      <c r="AG302" s="494" t="str">
        <f ca="1">IF('CDO Bespoke'!C327&lt;&gt;"",'CDO Bespoke'!C327,"")</f>
        <v/>
      </c>
      <c r="AH302" s="496"/>
      <c r="AI302" s="584"/>
      <c r="AJ302" s="584"/>
      <c r="AK302" s="584"/>
      <c r="AL302" s="497"/>
      <c r="AM302" s="619"/>
      <c r="AN302" s="496"/>
      <c r="AO302" s="584"/>
      <c r="AP302" s="584"/>
      <c r="AQ302" s="584"/>
      <c r="AR302" s="497"/>
      <c r="AS302" s="619"/>
      <c r="AT302" s="506"/>
      <c r="AU302" s="630"/>
      <c r="AV302" s="619"/>
      <c r="AW302" s="506"/>
      <c r="AX302" s="582"/>
      <c r="AY302" s="619"/>
    </row>
    <row r="303" spans="2:51">
      <c r="B303" s="534" t="s">
        <v>591</v>
      </c>
      <c r="C303" s="535" t="s">
        <v>66</v>
      </c>
      <c r="D303" s="535" t="s">
        <v>59</v>
      </c>
      <c r="E303" s="535" t="s">
        <v>648</v>
      </c>
      <c r="F303" s="535" t="s">
        <v>671</v>
      </c>
      <c r="G303" s="536">
        <v>0.01</v>
      </c>
      <c r="H303" s="536">
        <v>8.4740000000000006E-3</v>
      </c>
      <c r="I303" s="537">
        <v>0.4</v>
      </c>
      <c r="J303" s="594">
        <v>5</v>
      </c>
      <c r="K303" s="538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3"/>
      <c r="AE303" s="273"/>
      <c r="AF303" s="272"/>
      <c r="AG303" s="494" t="str">
        <f ca="1">IF('CDO Bespoke'!C328&lt;&gt;"",'CDO Bespoke'!C328,"")</f>
        <v/>
      </c>
      <c r="AH303" s="496"/>
      <c r="AI303" s="584"/>
      <c r="AJ303" s="584"/>
      <c r="AK303" s="584"/>
      <c r="AL303" s="497"/>
      <c r="AM303" s="619"/>
      <c r="AN303" s="496"/>
      <c r="AO303" s="584"/>
      <c r="AP303" s="584"/>
      <c r="AQ303" s="584"/>
      <c r="AR303" s="497"/>
      <c r="AS303" s="619"/>
      <c r="AT303" s="506"/>
      <c r="AU303" s="630"/>
      <c r="AV303" s="619"/>
      <c r="AW303" s="506"/>
      <c r="AX303" s="582"/>
      <c r="AY303" s="619"/>
    </row>
    <row r="304" spans="2:51">
      <c r="B304" s="539" t="s">
        <v>592</v>
      </c>
      <c r="C304" s="540" t="s">
        <v>66</v>
      </c>
      <c r="D304" s="540" t="s">
        <v>55</v>
      </c>
      <c r="E304" s="540" t="s">
        <v>648</v>
      </c>
      <c r="F304" s="540" t="s">
        <v>675</v>
      </c>
      <c r="G304" s="541">
        <v>0.01</v>
      </c>
      <c r="H304" s="541">
        <v>3.7399999999999998E-3</v>
      </c>
      <c r="I304" s="542">
        <v>0.4</v>
      </c>
      <c r="J304" s="601">
        <v>6</v>
      </c>
      <c r="K304" s="543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3"/>
      <c r="AE304" s="273"/>
      <c r="AF304" s="272"/>
      <c r="AG304" s="494" t="str">
        <f ca="1">IF('CDO Bespoke'!C329&lt;&gt;"",'CDO Bespoke'!C329,"")</f>
        <v/>
      </c>
      <c r="AH304" s="496"/>
      <c r="AI304" s="584"/>
      <c r="AJ304" s="584"/>
      <c r="AK304" s="584"/>
      <c r="AL304" s="497"/>
      <c r="AM304" s="619"/>
      <c r="AN304" s="496"/>
      <c r="AO304" s="584"/>
      <c r="AP304" s="584"/>
      <c r="AQ304" s="584"/>
      <c r="AR304" s="497"/>
      <c r="AS304" s="619"/>
      <c r="AT304" s="506"/>
      <c r="AU304" s="630"/>
      <c r="AV304" s="619"/>
      <c r="AW304" s="506"/>
      <c r="AX304" s="582"/>
      <c r="AY304" s="619"/>
    </row>
    <row r="305" spans="2:51">
      <c r="B305" s="517" t="s">
        <v>592</v>
      </c>
      <c r="C305" s="518" t="s">
        <v>66</v>
      </c>
      <c r="D305" s="518" t="s">
        <v>57</v>
      </c>
      <c r="E305" s="518" t="s">
        <v>648</v>
      </c>
      <c r="F305" s="518" t="s">
        <v>675</v>
      </c>
      <c r="G305" s="525">
        <v>0.01</v>
      </c>
      <c r="H305" s="525">
        <v>6.6239999999999997E-3</v>
      </c>
      <c r="I305" s="527">
        <v>0.4</v>
      </c>
      <c r="J305" s="593">
        <v>6</v>
      </c>
      <c r="K305" s="519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3"/>
      <c r="AE305" s="273"/>
      <c r="AF305" s="272"/>
      <c r="AG305" s="494" t="str">
        <f ca="1">IF('CDO Bespoke'!C330&lt;&gt;"",'CDO Bespoke'!C330,"")</f>
        <v/>
      </c>
      <c r="AH305" s="496"/>
      <c r="AI305" s="584"/>
      <c r="AJ305" s="584"/>
      <c r="AK305" s="584"/>
      <c r="AL305" s="497"/>
      <c r="AM305" s="619"/>
      <c r="AN305" s="496"/>
      <c r="AO305" s="584"/>
      <c r="AP305" s="584"/>
      <c r="AQ305" s="584"/>
      <c r="AR305" s="497"/>
      <c r="AS305" s="619"/>
      <c r="AT305" s="506"/>
      <c r="AU305" s="630"/>
      <c r="AV305" s="619"/>
      <c r="AW305" s="506"/>
      <c r="AX305" s="582"/>
      <c r="AY305" s="619"/>
    </row>
    <row r="306" spans="2:51">
      <c r="B306" s="534" t="s">
        <v>592</v>
      </c>
      <c r="C306" s="535" t="s">
        <v>66</v>
      </c>
      <c r="D306" s="535" t="s">
        <v>59</v>
      </c>
      <c r="E306" s="535" t="s">
        <v>648</v>
      </c>
      <c r="F306" s="535" t="s">
        <v>675</v>
      </c>
      <c r="G306" s="536">
        <v>0.01</v>
      </c>
      <c r="H306" s="536">
        <v>9.2910000000000006E-3</v>
      </c>
      <c r="I306" s="537">
        <v>0.4</v>
      </c>
      <c r="J306" s="594">
        <v>6</v>
      </c>
      <c r="K306" s="538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3"/>
      <c r="AE306" s="273"/>
      <c r="AF306" s="272"/>
      <c r="AG306" s="494" t="str">
        <f ca="1">IF('CDO Bespoke'!C331&lt;&gt;"",'CDO Bespoke'!C331,"")</f>
        <v/>
      </c>
      <c r="AH306" s="496"/>
      <c r="AI306" s="584"/>
      <c r="AJ306" s="584"/>
      <c r="AK306" s="584"/>
      <c r="AL306" s="497"/>
      <c r="AM306" s="619"/>
      <c r="AN306" s="496"/>
      <c r="AO306" s="584"/>
      <c r="AP306" s="584"/>
      <c r="AQ306" s="584"/>
      <c r="AR306" s="497"/>
      <c r="AS306" s="619"/>
      <c r="AT306" s="506"/>
      <c r="AU306" s="630"/>
      <c r="AV306" s="619"/>
      <c r="AW306" s="506"/>
      <c r="AX306" s="582"/>
      <c r="AY306" s="619"/>
    </row>
    <row r="307" spans="2:51">
      <c r="B307" s="539" t="s">
        <v>593</v>
      </c>
      <c r="C307" s="540" t="s">
        <v>66</v>
      </c>
      <c r="D307" s="540" t="s">
        <v>55</v>
      </c>
      <c r="E307" s="540" t="s">
        <v>648</v>
      </c>
      <c r="F307" s="540" t="s">
        <v>671</v>
      </c>
      <c r="G307" s="541">
        <v>0.01</v>
      </c>
      <c r="H307" s="541">
        <v>3.8470000000000002E-3</v>
      </c>
      <c r="I307" s="542">
        <v>0.4</v>
      </c>
      <c r="J307" s="601">
        <v>5</v>
      </c>
      <c r="K307" s="543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3"/>
      <c r="AE307" s="273"/>
      <c r="AF307" s="272"/>
      <c r="AG307" s="494" t="str">
        <f ca="1">IF('CDO Bespoke'!C332&lt;&gt;"",'CDO Bespoke'!C332,"")</f>
        <v/>
      </c>
      <c r="AH307" s="496"/>
      <c r="AI307" s="584"/>
      <c r="AJ307" s="584"/>
      <c r="AK307" s="584"/>
      <c r="AL307" s="497"/>
      <c r="AM307" s="619"/>
      <c r="AN307" s="496"/>
      <c r="AO307" s="584"/>
      <c r="AP307" s="584"/>
      <c r="AQ307" s="584"/>
      <c r="AR307" s="497"/>
      <c r="AS307" s="619"/>
      <c r="AT307" s="506"/>
      <c r="AU307" s="630"/>
      <c r="AV307" s="619"/>
      <c r="AW307" s="506"/>
      <c r="AX307" s="582"/>
      <c r="AY307" s="619"/>
    </row>
    <row r="308" spans="2:51">
      <c r="B308" s="517" t="s">
        <v>593</v>
      </c>
      <c r="C308" s="518" t="s">
        <v>66</v>
      </c>
      <c r="D308" s="518" t="s">
        <v>57</v>
      </c>
      <c r="E308" s="518" t="s">
        <v>648</v>
      </c>
      <c r="F308" s="518" t="s">
        <v>671</v>
      </c>
      <c r="G308" s="525">
        <v>0.01</v>
      </c>
      <c r="H308" s="525">
        <v>6.4609999999999997E-3</v>
      </c>
      <c r="I308" s="527">
        <v>0.4</v>
      </c>
      <c r="J308" s="593">
        <v>5</v>
      </c>
      <c r="K308" s="519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3"/>
      <c r="AE308" s="273"/>
      <c r="AF308" s="272"/>
      <c r="AG308" s="494" t="str">
        <f ca="1">IF('CDO Bespoke'!C333&lt;&gt;"",'CDO Bespoke'!C333,"")</f>
        <v/>
      </c>
      <c r="AH308" s="496"/>
      <c r="AI308" s="584"/>
      <c r="AJ308" s="584"/>
      <c r="AK308" s="584"/>
      <c r="AL308" s="497"/>
      <c r="AM308" s="619"/>
      <c r="AN308" s="496"/>
      <c r="AO308" s="584"/>
      <c r="AP308" s="584"/>
      <c r="AQ308" s="584"/>
      <c r="AR308" s="497"/>
      <c r="AS308" s="619"/>
      <c r="AT308" s="506"/>
      <c r="AU308" s="630"/>
      <c r="AV308" s="619"/>
      <c r="AW308" s="506"/>
      <c r="AX308" s="582"/>
      <c r="AY308" s="619"/>
    </row>
    <row r="309" spans="2:51">
      <c r="B309" s="534" t="s">
        <v>593</v>
      </c>
      <c r="C309" s="535" t="s">
        <v>66</v>
      </c>
      <c r="D309" s="535" t="s">
        <v>59</v>
      </c>
      <c r="E309" s="535" t="s">
        <v>648</v>
      </c>
      <c r="F309" s="535" t="s">
        <v>671</v>
      </c>
      <c r="G309" s="536">
        <v>0.01</v>
      </c>
      <c r="H309" s="536">
        <v>8.9420000000000003E-3</v>
      </c>
      <c r="I309" s="537">
        <v>0.4</v>
      </c>
      <c r="J309" s="594">
        <v>5</v>
      </c>
      <c r="K309" s="538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3"/>
      <c r="AE309" s="273"/>
      <c r="AF309" s="272"/>
      <c r="AG309" s="494" t="str">
        <f ca="1">IF('CDO Bespoke'!C334&lt;&gt;"",'CDO Bespoke'!C334,"")</f>
        <v/>
      </c>
      <c r="AH309" s="496"/>
      <c r="AI309" s="584"/>
      <c r="AJ309" s="584"/>
      <c r="AK309" s="584"/>
      <c r="AL309" s="497"/>
      <c r="AM309" s="619"/>
      <c r="AN309" s="496"/>
      <c r="AO309" s="584"/>
      <c r="AP309" s="584"/>
      <c r="AQ309" s="584"/>
      <c r="AR309" s="497"/>
      <c r="AS309" s="619"/>
      <c r="AT309" s="506"/>
      <c r="AU309" s="630"/>
      <c r="AV309" s="619"/>
      <c r="AW309" s="506"/>
      <c r="AX309" s="582"/>
      <c r="AY309" s="619"/>
    </row>
    <row r="310" spans="2:51">
      <c r="B310" s="539"/>
      <c r="C310" s="540" t="s">
        <v>66</v>
      </c>
      <c r="D310" s="540" t="s">
        <v>55</v>
      </c>
      <c r="E310" s="540"/>
      <c r="F310" s="540"/>
      <c r="G310" s="541">
        <v>0.01</v>
      </c>
      <c r="H310" s="541"/>
      <c r="I310" s="542">
        <v>0.4</v>
      </c>
      <c r="J310" s="601"/>
      <c r="K310" s="543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3"/>
      <c r="AE310" s="273"/>
      <c r="AF310" s="272"/>
      <c r="AG310" s="494" t="str">
        <f ca="1">IF('CDO Bespoke'!C335&lt;&gt;"",'CDO Bespoke'!C335,"")</f>
        <v/>
      </c>
      <c r="AH310" s="496"/>
      <c r="AI310" s="584"/>
      <c r="AJ310" s="584"/>
      <c r="AK310" s="584"/>
      <c r="AL310" s="497"/>
      <c r="AM310" s="619"/>
      <c r="AN310" s="496"/>
      <c r="AO310" s="584"/>
      <c r="AP310" s="584"/>
      <c r="AQ310" s="584"/>
      <c r="AR310" s="497"/>
      <c r="AS310" s="619"/>
      <c r="AT310" s="506"/>
      <c r="AU310" s="630"/>
      <c r="AV310" s="619"/>
      <c r="AW310" s="506"/>
      <c r="AX310" s="582"/>
      <c r="AY310" s="619"/>
    </row>
    <row r="311" spans="2:51">
      <c r="B311" s="517"/>
      <c r="C311" s="518" t="s">
        <v>66</v>
      </c>
      <c r="D311" s="518" t="s">
        <v>57</v>
      </c>
      <c r="E311" s="518"/>
      <c r="F311" s="518"/>
      <c r="G311" s="525">
        <v>0.01</v>
      </c>
      <c r="H311" s="525"/>
      <c r="I311" s="527">
        <v>0.4</v>
      </c>
      <c r="J311" s="593"/>
      <c r="K311" s="519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3"/>
      <c r="AE311" s="273"/>
      <c r="AF311" s="272"/>
      <c r="AG311" s="494" t="str">
        <f ca="1">IF('CDO Bespoke'!C336&lt;&gt;"",'CDO Bespoke'!C336,"")</f>
        <v/>
      </c>
      <c r="AH311" s="496"/>
      <c r="AI311" s="584"/>
      <c r="AJ311" s="584"/>
      <c r="AK311" s="584"/>
      <c r="AL311" s="497"/>
      <c r="AM311" s="619"/>
      <c r="AN311" s="496"/>
      <c r="AO311" s="584"/>
      <c r="AP311" s="584"/>
      <c r="AQ311" s="584"/>
      <c r="AR311" s="497"/>
      <c r="AS311" s="619"/>
      <c r="AT311" s="506"/>
      <c r="AU311" s="630"/>
      <c r="AV311" s="619"/>
      <c r="AW311" s="506"/>
      <c r="AX311" s="582"/>
      <c r="AY311" s="619"/>
    </row>
    <row r="312" spans="2:51">
      <c r="B312" s="534"/>
      <c r="C312" s="535" t="s">
        <v>66</v>
      </c>
      <c r="D312" s="535" t="s">
        <v>59</v>
      </c>
      <c r="E312" s="535"/>
      <c r="F312" s="535"/>
      <c r="G312" s="536">
        <v>0.01</v>
      </c>
      <c r="H312" s="536"/>
      <c r="I312" s="537">
        <v>0.4</v>
      </c>
      <c r="J312" s="594"/>
      <c r="K312" s="538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3"/>
      <c r="AE312" s="273"/>
      <c r="AF312" s="272"/>
      <c r="AG312" s="494" t="str">
        <f ca="1">IF('CDO Bespoke'!C337&lt;&gt;"",'CDO Bespoke'!C337,"")</f>
        <v/>
      </c>
      <c r="AH312" s="496"/>
      <c r="AI312" s="584"/>
      <c r="AJ312" s="584"/>
      <c r="AK312" s="584"/>
      <c r="AL312" s="497"/>
      <c r="AM312" s="619"/>
      <c r="AN312" s="496"/>
      <c r="AO312" s="584"/>
      <c r="AP312" s="584"/>
      <c r="AQ312" s="584"/>
      <c r="AR312" s="497"/>
      <c r="AS312" s="619"/>
      <c r="AT312" s="506"/>
      <c r="AU312" s="630"/>
      <c r="AV312" s="619"/>
      <c r="AW312" s="506"/>
      <c r="AX312" s="582"/>
      <c r="AY312" s="619"/>
    </row>
    <row r="313" spans="2:51" ht="10.5" thickBot="1">
      <c r="B313" s="539"/>
      <c r="C313" s="540" t="s">
        <v>66</v>
      </c>
      <c r="D313" s="540" t="s">
        <v>55</v>
      </c>
      <c r="E313" s="540"/>
      <c r="F313" s="540"/>
      <c r="G313" s="541">
        <v>0.01</v>
      </c>
      <c r="H313" s="541"/>
      <c r="I313" s="542">
        <v>0.4</v>
      </c>
      <c r="J313" s="601"/>
      <c r="K313" s="543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3"/>
      <c r="AE313" s="273"/>
      <c r="AF313" s="272"/>
      <c r="AG313" s="495" t="str">
        <f ca="1">IF('CDO Bespoke'!C338&lt;&gt;"",'CDO Bespoke'!C338,"")</f>
        <v/>
      </c>
      <c r="AH313" s="498"/>
      <c r="AI313" s="499"/>
      <c r="AJ313" s="499"/>
      <c r="AK313" s="499"/>
      <c r="AL313" s="500"/>
      <c r="AM313" s="619"/>
      <c r="AN313" s="498"/>
      <c r="AO313" s="499"/>
      <c r="AP313" s="499"/>
      <c r="AQ313" s="499"/>
      <c r="AR313" s="500"/>
      <c r="AS313" s="619"/>
      <c r="AT313" s="507"/>
      <c r="AU313" s="631"/>
      <c r="AV313" s="619"/>
      <c r="AW313" s="507"/>
      <c r="AX313" s="632"/>
      <c r="AY313" s="619"/>
    </row>
    <row r="314" spans="2:51">
      <c r="B314" s="517"/>
      <c r="C314" s="518" t="s">
        <v>66</v>
      </c>
      <c r="D314" s="518" t="s">
        <v>57</v>
      </c>
      <c r="E314" s="518"/>
      <c r="F314" s="518"/>
      <c r="G314" s="525">
        <v>0.01</v>
      </c>
      <c r="H314" s="525"/>
      <c r="I314" s="527">
        <v>0.4</v>
      </c>
      <c r="J314" s="593"/>
      <c r="K314" s="519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3"/>
      <c r="AE314" s="273"/>
      <c r="AF314" s="272"/>
      <c r="AN314" s="580"/>
      <c r="AO314" s="580"/>
      <c r="AP314" s="580"/>
      <c r="AQ314" s="580"/>
      <c r="AR314" s="580"/>
    </row>
    <row r="315" spans="2:51">
      <c r="B315" s="534"/>
      <c r="C315" s="535" t="s">
        <v>66</v>
      </c>
      <c r="D315" s="535" t="s">
        <v>59</v>
      </c>
      <c r="E315" s="535"/>
      <c r="F315" s="535"/>
      <c r="G315" s="536">
        <v>0.01</v>
      </c>
      <c r="H315" s="536"/>
      <c r="I315" s="537">
        <v>0.4</v>
      </c>
      <c r="J315" s="594"/>
      <c r="K315" s="538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3"/>
      <c r="AE315" s="273"/>
      <c r="AF315" s="272"/>
      <c r="AN315" s="580"/>
      <c r="AO315" s="580"/>
      <c r="AP315" s="580"/>
      <c r="AQ315" s="580"/>
      <c r="AR315" s="580"/>
    </row>
    <row r="316" spans="2:51">
      <c r="B316" s="539"/>
      <c r="C316" s="540" t="s">
        <v>66</v>
      </c>
      <c r="D316" s="540" t="s">
        <v>55</v>
      </c>
      <c r="E316" s="540"/>
      <c r="F316" s="540"/>
      <c r="G316" s="541">
        <v>0.01</v>
      </c>
      <c r="H316" s="541"/>
      <c r="I316" s="542">
        <v>0.4</v>
      </c>
      <c r="J316" s="601"/>
      <c r="K316" s="543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3"/>
      <c r="AE316" s="273"/>
      <c r="AF316" s="272"/>
    </row>
    <row r="317" spans="2:51">
      <c r="B317" s="517"/>
      <c r="C317" s="518" t="s">
        <v>66</v>
      </c>
      <c r="D317" s="518" t="s">
        <v>57</v>
      </c>
      <c r="E317" s="518"/>
      <c r="F317" s="518"/>
      <c r="G317" s="525">
        <v>0.01</v>
      </c>
      <c r="H317" s="525"/>
      <c r="I317" s="527">
        <v>0.4</v>
      </c>
      <c r="J317" s="593"/>
      <c r="K317" s="519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3"/>
      <c r="AE317" s="273"/>
      <c r="AF317" s="272"/>
    </row>
    <row r="318" spans="2:51">
      <c r="B318" s="534"/>
      <c r="C318" s="535" t="s">
        <v>66</v>
      </c>
      <c r="D318" s="535" t="s">
        <v>59</v>
      </c>
      <c r="E318" s="535"/>
      <c r="F318" s="535"/>
      <c r="G318" s="536">
        <v>0.01</v>
      </c>
      <c r="H318" s="536"/>
      <c r="I318" s="537">
        <v>0.4</v>
      </c>
      <c r="J318" s="594"/>
      <c r="K318" s="538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3"/>
      <c r="AE318" s="273"/>
      <c r="AF318" s="272"/>
    </row>
    <row r="319" spans="2:51">
      <c r="B319" s="539"/>
      <c r="C319" s="540" t="s">
        <v>66</v>
      </c>
      <c r="D319" s="540" t="s">
        <v>55</v>
      </c>
      <c r="E319" s="540"/>
      <c r="F319" s="540"/>
      <c r="G319" s="541">
        <v>0.01</v>
      </c>
      <c r="H319" s="541"/>
      <c r="I319" s="542">
        <v>0.4</v>
      </c>
      <c r="J319" s="601"/>
      <c r="K319" s="543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3"/>
      <c r="AE319" s="273"/>
      <c r="AF319" s="272"/>
    </row>
    <row r="320" spans="2:51">
      <c r="B320" s="517"/>
      <c r="C320" s="518" t="s">
        <v>66</v>
      </c>
      <c r="D320" s="518" t="s">
        <v>57</v>
      </c>
      <c r="E320" s="518"/>
      <c r="F320" s="518"/>
      <c r="G320" s="525">
        <v>0.01</v>
      </c>
      <c r="H320" s="525"/>
      <c r="I320" s="527">
        <v>0.4</v>
      </c>
      <c r="J320" s="593"/>
      <c r="K320" s="519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3"/>
      <c r="AE320" s="273"/>
      <c r="AF320" s="272"/>
    </row>
    <row r="321" spans="2:32">
      <c r="B321" s="534"/>
      <c r="C321" s="535" t="s">
        <v>66</v>
      </c>
      <c r="D321" s="535" t="s">
        <v>59</v>
      </c>
      <c r="E321" s="535"/>
      <c r="F321" s="535"/>
      <c r="G321" s="536">
        <v>0.01</v>
      </c>
      <c r="H321" s="536"/>
      <c r="I321" s="537">
        <v>0.4</v>
      </c>
      <c r="J321" s="594"/>
      <c r="K321" s="538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3"/>
      <c r="AC321" s="273"/>
      <c r="AD321" s="273"/>
      <c r="AE321" s="273"/>
      <c r="AF321" s="272"/>
    </row>
    <row r="322" spans="2:32">
      <c r="B322" s="539"/>
      <c r="C322" s="540" t="s">
        <v>66</v>
      </c>
      <c r="D322" s="540" t="s">
        <v>55</v>
      </c>
      <c r="E322" s="540"/>
      <c r="F322" s="540"/>
      <c r="G322" s="541">
        <v>0.01</v>
      </c>
      <c r="H322" s="541"/>
      <c r="I322" s="542">
        <v>0.4</v>
      </c>
      <c r="J322" s="601"/>
      <c r="K322" s="543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3"/>
      <c r="AC322" s="273"/>
      <c r="AD322" s="273"/>
      <c r="AE322" s="273"/>
      <c r="AF322" s="272"/>
    </row>
    <row r="323" spans="2:32">
      <c r="B323" s="517"/>
      <c r="C323" s="518" t="s">
        <v>66</v>
      </c>
      <c r="D323" s="518" t="s">
        <v>57</v>
      </c>
      <c r="E323" s="518"/>
      <c r="F323" s="518"/>
      <c r="G323" s="525">
        <v>0.01</v>
      </c>
      <c r="H323" s="525"/>
      <c r="I323" s="527">
        <v>0.4</v>
      </c>
      <c r="J323" s="593"/>
      <c r="K323" s="519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3"/>
      <c r="AE323" s="273"/>
      <c r="AF323" s="272"/>
    </row>
    <row r="324" spans="2:32">
      <c r="B324" s="534"/>
      <c r="C324" s="535" t="s">
        <v>66</v>
      </c>
      <c r="D324" s="535" t="s">
        <v>59</v>
      </c>
      <c r="E324" s="535"/>
      <c r="F324" s="535"/>
      <c r="G324" s="536">
        <v>0.01</v>
      </c>
      <c r="H324" s="536"/>
      <c r="I324" s="537">
        <v>0.4</v>
      </c>
      <c r="J324" s="594"/>
      <c r="K324" s="538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3"/>
      <c r="AE324" s="273"/>
      <c r="AF324" s="272"/>
    </row>
    <row r="325" spans="2:32">
      <c r="B325" s="539"/>
      <c r="C325" s="540" t="s">
        <v>66</v>
      </c>
      <c r="D325" s="540" t="s">
        <v>55</v>
      </c>
      <c r="E325" s="540"/>
      <c r="F325" s="540"/>
      <c r="G325" s="541">
        <v>0.01</v>
      </c>
      <c r="H325" s="541"/>
      <c r="I325" s="542">
        <v>0.4</v>
      </c>
      <c r="J325" s="601"/>
      <c r="K325" s="543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3"/>
      <c r="AE325" s="273"/>
      <c r="AF325" s="272"/>
    </row>
    <row r="326" spans="2:32">
      <c r="B326" s="517"/>
      <c r="C326" s="518" t="s">
        <v>66</v>
      </c>
      <c r="D326" s="518" t="s">
        <v>57</v>
      </c>
      <c r="E326" s="518"/>
      <c r="F326" s="518"/>
      <c r="G326" s="525">
        <v>0.01</v>
      </c>
      <c r="H326" s="525"/>
      <c r="I326" s="527">
        <v>0.4</v>
      </c>
      <c r="J326" s="593"/>
      <c r="K326" s="519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3"/>
      <c r="AC326" s="273"/>
      <c r="AD326" s="273"/>
      <c r="AE326" s="273"/>
      <c r="AF326" s="272"/>
    </row>
    <row r="327" spans="2:32">
      <c r="B327" s="534"/>
      <c r="C327" s="535" t="s">
        <v>66</v>
      </c>
      <c r="D327" s="535" t="s">
        <v>59</v>
      </c>
      <c r="E327" s="535"/>
      <c r="F327" s="535"/>
      <c r="G327" s="536">
        <v>0.01</v>
      </c>
      <c r="H327" s="536"/>
      <c r="I327" s="537">
        <v>0.4</v>
      </c>
      <c r="J327" s="594"/>
      <c r="K327" s="538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3"/>
      <c r="AC327" s="273"/>
      <c r="AD327" s="273"/>
      <c r="AE327" s="273"/>
      <c r="AF327" s="272"/>
    </row>
    <row r="328" spans="2:32">
      <c r="B328" s="539"/>
      <c r="C328" s="540" t="s">
        <v>66</v>
      </c>
      <c r="D328" s="540" t="s">
        <v>55</v>
      </c>
      <c r="E328" s="540"/>
      <c r="F328" s="540"/>
      <c r="G328" s="541">
        <v>0.01</v>
      </c>
      <c r="H328" s="541"/>
      <c r="I328" s="542">
        <v>0.4</v>
      </c>
      <c r="J328" s="601"/>
      <c r="K328" s="543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3"/>
      <c r="AC328" s="273"/>
      <c r="AD328" s="273"/>
      <c r="AE328" s="273"/>
      <c r="AF328" s="272"/>
    </row>
    <row r="329" spans="2:32">
      <c r="B329" s="517"/>
      <c r="C329" s="518" t="s">
        <v>66</v>
      </c>
      <c r="D329" s="518" t="s">
        <v>57</v>
      </c>
      <c r="E329" s="518"/>
      <c r="F329" s="518"/>
      <c r="G329" s="525">
        <v>0.01</v>
      </c>
      <c r="H329" s="525"/>
      <c r="I329" s="527">
        <v>0.4</v>
      </c>
      <c r="J329" s="593"/>
      <c r="K329" s="519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2"/>
      <c r="W329" s="272"/>
      <c r="X329" s="273"/>
      <c r="Y329" s="273"/>
      <c r="Z329" s="273"/>
      <c r="AA329" s="273"/>
      <c r="AB329" s="273"/>
      <c r="AC329" s="273"/>
      <c r="AD329" s="273"/>
      <c r="AE329" s="273"/>
      <c r="AF329" s="272"/>
    </row>
    <row r="330" spans="2:32">
      <c r="B330" s="534"/>
      <c r="C330" s="535" t="s">
        <v>66</v>
      </c>
      <c r="D330" s="535" t="s">
        <v>59</v>
      </c>
      <c r="E330" s="535"/>
      <c r="F330" s="535"/>
      <c r="G330" s="536">
        <v>0.01</v>
      </c>
      <c r="H330" s="536"/>
      <c r="I330" s="537">
        <v>0.4</v>
      </c>
      <c r="J330" s="594"/>
      <c r="K330" s="538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2"/>
      <c r="W330" s="272"/>
      <c r="X330" s="273"/>
      <c r="Y330" s="273"/>
      <c r="Z330" s="273"/>
      <c r="AA330" s="273"/>
      <c r="AB330" s="273"/>
      <c r="AC330" s="273"/>
      <c r="AD330" s="273"/>
      <c r="AE330" s="273"/>
      <c r="AF330" s="272"/>
    </row>
    <row r="331" spans="2:32">
      <c r="B331" s="539"/>
      <c r="C331" s="540" t="s">
        <v>66</v>
      </c>
      <c r="D331" s="540" t="s">
        <v>55</v>
      </c>
      <c r="E331" s="540"/>
      <c r="F331" s="540"/>
      <c r="G331" s="541">
        <v>0.01</v>
      </c>
      <c r="H331" s="541"/>
      <c r="I331" s="542">
        <v>0.4</v>
      </c>
      <c r="J331" s="601"/>
      <c r="K331" s="543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2"/>
      <c r="W331" s="272"/>
      <c r="X331" s="273"/>
      <c r="Y331" s="273"/>
      <c r="Z331" s="273"/>
      <c r="AA331" s="273"/>
      <c r="AB331" s="273"/>
      <c r="AC331" s="273"/>
      <c r="AD331" s="273"/>
      <c r="AE331" s="273"/>
      <c r="AF331" s="272"/>
    </row>
    <row r="332" spans="2:32">
      <c r="B332" s="517"/>
      <c r="C332" s="518" t="s">
        <v>66</v>
      </c>
      <c r="D332" s="518" t="s">
        <v>57</v>
      </c>
      <c r="E332" s="518"/>
      <c r="F332" s="518"/>
      <c r="G332" s="525">
        <v>0.01</v>
      </c>
      <c r="H332" s="525"/>
      <c r="I332" s="527">
        <v>0.4</v>
      </c>
      <c r="J332" s="593"/>
      <c r="K332" s="519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2"/>
      <c r="W332" s="272"/>
      <c r="X332" s="273"/>
      <c r="Y332" s="273"/>
      <c r="Z332" s="273"/>
      <c r="AA332" s="273"/>
      <c r="AB332" s="273"/>
      <c r="AC332" s="273"/>
      <c r="AD332" s="273"/>
      <c r="AE332" s="273"/>
      <c r="AF332" s="272"/>
    </row>
    <row r="333" spans="2:32">
      <c r="B333" s="534"/>
      <c r="C333" s="535" t="s">
        <v>66</v>
      </c>
      <c r="D333" s="535" t="s">
        <v>59</v>
      </c>
      <c r="E333" s="535"/>
      <c r="F333" s="535"/>
      <c r="G333" s="536">
        <v>0.01</v>
      </c>
      <c r="H333" s="536"/>
      <c r="I333" s="537">
        <v>0.4</v>
      </c>
      <c r="J333" s="594"/>
      <c r="K333" s="538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2"/>
      <c r="W333" s="272"/>
      <c r="X333" s="273"/>
      <c r="Y333" s="273"/>
      <c r="Z333" s="273"/>
      <c r="AA333" s="273"/>
      <c r="AB333" s="273"/>
      <c r="AC333" s="273"/>
      <c r="AD333" s="273"/>
      <c r="AE333" s="273"/>
      <c r="AF333" s="272"/>
    </row>
    <row r="334" spans="2:32">
      <c r="B334" s="539"/>
      <c r="C334" s="540" t="s">
        <v>66</v>
      </c>
      <c r="D334" s="540" t="s">
        <v>55</v>
      </c>
      <c r="E334" s="540"/>
      <c r="F334" s="540"/>
      <c r="G334" s="541">
        <v>0.01</v>
      </c>
      <c r="H334" s="541"/>
      <c r="I334" s="542">
        <v>0.4</v>
      </c>
      <c r="J334" s="601"/>
      <c r="K334" s="543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2"/>
      <c r="W334" s="272"/>
      <c r="X334" s="273"/>
      <c r="Y334" s="273"/>
      <c r="Z334" s="273"/>
      <c r="AA334" s="273"/>
      <c r="AB334" s="273"/>
      <c r="AC334" s="273"/>
      <c r="AD334" s="273"/>
      <c r="AE334" s="273"/>
      <c r="AF334" s="272"/>
    </row>
    <row r="335" spans="2:32">
      <c r="B335" s="517"/>
      <c r="C335" s="518" t="s">
        <v>66</v>
      </c>
      <c r="D335" s="518" t="s">
        <v>57</v>
      </c>
      <c r="E335" s="518"/>
      <c r="F335" s="518"/>
      <c r="G335" s="525">
        <v>0.01</v>
      </c>
      <c r="H335" s="525"/>
      <c r="I335" s="527">
        <v>0.4</v>
      </c>
      <c r="J335" s="593"/>
      <c r="K335" s="519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2"/>
      <c r="W335" s="272"/>
      <c r="X335" s="273"/>
      <c r="Y335" s="273"/>
      <c r="Z335" s="273"/>
      <c r="AA335" s="273"/>
      <c r="AB335" s="273"/>
      <c r="AC335" s="273"/>
      <c r="AD335" s="273"/>
      <c r="AE335" s="273"/>
      <c r="AF335" s="272"/>
    </row>
    <row r="336" spans="2:32">
      <c r="B336" s="534"/>
      <c r="C336" s="535" t="s">
        <v>66</v>
      </c>
      <c r="D336" s="535" t="s">
        <v>59</v>
      </c>
      <c r="E336" s="535"/>
      <c r="F336" s="535"/>
      <c r="G336" s="536">
        <v>0.01</v>
      </c>
      <c r="H336" s="536"/>
      <c r="I336" s="537">
        <v>0.4</v>
      </c>
      <c r="J336" s="594"/>
      <c r="K336" s="538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2"/>
      <c r="W336" s="272"/>
      <c r="X336" s="273"/>
      <c r="Y336" s="273"/>
      <c r="Z336" s="273"/>
      <c r="AA336" s="273"/>
      <c r="AB336" s="273"/>
      <c r="AC336" s="273"/>
      <c r="AD336" s="273"/>
      <c r="AE336" s="273"/>
      <c r="AF336" s="272"/>
    </row>
    <row r="337" spans="2:31">
      <c r="B337" s="539"/>
      <c r="C337" s="540" t="s">
        <v>66</v>
      </c>
      <c r="D337" s="540" t="s">
        <v>55</v>
      </c>
      <c r="E337" s="540"/>
      <c r="F337" s="540"/>
      <c r="G337" s="541">
        <v>0.01</v>
      </c>
      <c r="H337" s="541"/>
      <c r="I337" s="542">
        <v>0.4</v>
      </c>
      <c r="J337" s="601"/>
      <c r="K337" s="543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2"/>
      <c r="W337" s="272"/>
      <c r="X337" s="273"/>
      <c r="Y337" s="273"/>
      <c r="Z337" s="273"/>
      <c r="AA337" s="273"/>
      <c r="AB337" s="273"/>
      <c r="AC337" s="273"/>
      <c r="AD337" s="273"/>
      <c r="AE337" s="273"/>
    </row>
    <row r="338" spans="2:31">
      <c r="B338" s="517"/>
      <c r="C338" s="518" t="s">
        <v>66</v>
      </c>
      <c r="D338" s="518" t="s">
        <v>57</v>
      </c>
      <c r="E338" s="518"/>
      <c r="F338" s="518"/>
      <c r="G338" s="525">
        <v>0.01</v>
      </c>
      <c r="H338" s="525"/>
      <c r="I338" s="527">
        <v>0.4</v>
      </c>
      <c r="J338" s="593"/>
      <c r="K338" s="519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2"/>
      <c r="W338" s="272"/>
      <c r="X338" s="273"/>
      <c r="Y338" s="273"/>
      <c r="Z338" s="273"/>
      <c r="AA338" s="273"/>
      <c r="AB338" s="273"/>
      <c r="AC338" s="273"/>
      <c r="AD338" s="273"/>
      <c r="AE338" s="273"/>
    </row>
    <row r="339" spans="2:31">
      <c r="B339" s="534"/>
      <c r="C339" s="535" t="s">
        <v>66</v>
      </c>
      <c r="D339" s="535" t="s">
        <v>59</v>
      </c>
      <c r="E339" s="535"/>
      <c r="F339" s="535"/>
      <c r="G339" s="536">
        <v>0.01</v>
      </c>
      <c r="H339" s="536"/>
      <c r="I339" s="537">
        <v>0.4</v>
      </c>
      <c r="J339" s="594"/>
      <c r="K339" s="538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2"/>
      <c r="W339" s="272"/>
      <c r="X339" s="273"/>
      <c r="Y339" s="273"/>
      <c r="Z339" s="273"/>
      <c r="AA339" s="273"/>
      <c r="AB339" s="273"/>
      <c r="AC339" s="273"/>
      <c r="AD339" s="273"/>
      <c r="AE339" s="273"/>
    </row>
    <row r="340" spans="2:31">
      <c r="B340" s="539"/>
      <c r="C340" s="540" t="s">
        <v>66</v>
      </c>
      <c r="D340" s="540" t="s">
        <v>55</v>
      </c>
      <c r="E340" s="540"/>
      <c r="F340" s="540"/>
      <c r="G340" s="541">
        <v>0.01</v>
      </c>
      <c r="H340" s="541"/>
      <c r="I340" s="542">
        <v>0.4</v>
      </c>
      <c r="J340" s="601"/>
      <c r="K340" s="543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2"/>
      <c r="W340" s="272"/>
      <c r="X340" s="273"/>
      <c r="Y340" s="273"/>
      <c r="Z340" s="273"/>
      <c r="AA340" s="273"/>
      <c r="AB340" s="273"/>
      <c r="AC340" s="273"/>
      <c r="AD340" s="273"/>
      <c r="AE340" s="273"/>
    </row>
    <row r="341" spans="2:31">
      <c r="B341" s="517"/>
      <c r="C341" s="518" t="s">
        <v>66</v>
      </c>
      <c r="D341" s="518" t="s">
        <v>57</v>
      </c>
      <c r="E341" s="518"/>
      <c r="F341" s="518"/>
      <c r="G341" s="525">
        <v>0.01</v>
      </c>
      <c r="H341" s="525"/>
      <c r="I341" s="527">
        <v>0.4</v>
      </c>
      <c r="J341" s="593"/>
      <c r="K341" s="519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2"/>
      <c r="W341" s="272"/>
      <c r="X341" s="273"/>
      <c r="Y341" s="273"/>
      <c r="Z341" s="273"/>
      <c r="AA341" s="273"/>
      <c r="AB341" s="273"/>
      <c r="AC341" s="273"/>
      <c r="AD341" s="273"/>
      <c r="AE341" s="273"/>
    </row>
    <row r="342" spans="2:31">
      <c r="B342" s="534"/>
      <c r="C342" s="535" t="s">
        <v>66</v>
      </c>
      <c r="D342" s="535" t="s">
        <v>59</v>
      </c>
      <c r="E342" s="535"/>
      <c r="F342" s="535"/>
      <c r="G342" s="536">
        <v>0.01</v>
      </c>
      <c r="H342" s="536"/>
      <c r="I342" s="537">
        <v>0.4</v>
      </c>
      <c r="J342" s="594"/>
      <c r="K342" s="538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2"/>
      <c r="W342" s="272"/>
      <c r="X342" s="273"/>
      <c r="Y342" s="273"/>
      <c r="Z342" s="273"/>
      <c r="AA342" s="273"/>
      <c r="AB342" s="273"/>
      <c r="AC342" s="273"/>
      <c r="AD342" s="273"/>
      <c r="AE342" s="273"/>
    </row>
    <row r="343" spans="2:31">
      <c r="B343" s="539"/>
      <c r="C343" s="540" t="s">
        <v>66</v>
      </c>
      <c r="D343" s="540" t="s">
        <v>55</v>
      </c>
      <c r="E343" s="540"/>
      <c r="F343" s="540"/>
      <c r="G343" s="541">
        <v>0.01</v>
      </c>
      <c r="H343" s="541"/>
      <c r="I343" s="542">
        <v>0.4</v>
      </c>
      <c r="J343" s="601"/>
      <c r="K343" s="543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2"/>
      <c r="W343" s="272"/>
      <c r="X343" s="273"/>
      <c r="Y343" s="273"/>
      <c r="Z343" s="273"/>
      <c r="AA343" s="273"/>
      <c r="AB343" s="273"/>
      <c r="AC343" s="273"/>
      <c r="AD343" s="273"/>
      <c r="AE343" s="273"/>
    </row>
    <row r="344" spans="2:31">
      <c r="B344" s="517"/>
      <c r="C344" s="518" t="s">
        <v>66</v>
      </c>
      <c r="D344" s="518" t="s">
        <v>57</v>
      </c>
      <c r="E344" s="518"/>
      <c r="F344" s="518"/>
      <c r="G344" s="525">
        <v>0.01</v>
      </c>
      <c r="H344" s="525"/>
      <c r="I344" s="527">
        <v>0.4</v>
      </c>
      <c r="J344" s="593"/>
      <c r="K344" s="519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2"/>
      <c r="W344" s="272"/>
      <c r="X344" s="273"/>
      <c r="Y344" s="273"/>
      <c r="Z344" s="273"/>
      <c r="AA344" s="273"/>
      <c r="AB344" s="273"/>
      <c r="AC344" s="273"/>
      <c r="AD344" s="273"/>
      <c r="AE344" s="273"/>
    </row>
    <row r="345" spans="2:31">
      <c r="B345" s="534"/>
      <c r="C345" s="535" t="s">
        <v>66</v>
      </c>
      <c r="D345" s="535" t="s">
        <v>59</v>
      </c>
      <c r="E345" s="535"/>
      <c r="F345" s="535"/>
      <c r="G345" s="536">
        <v>0.01</v>
      </c>
      <c r="H345" s="536"/>
      <c r="I345" s="537">
        <v>0.4</v>
      </c>
      <c r="J345" s="594"/>
      <c r="K345" s="538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2"/>
      <c r="W345" s="272"/>
      <c r="X345" s="273"/>
      <c r="Y345" s="273"/>
      <c r="Z345" s="273"/>
      <c r="AA345" s="273"/>
      <c r="AB345" s="273"/>
      <c r="AC345" s="273"/>
      <c r="AD345" s="273"/>
      <c r="AE345" s="273"/>
    </row>
    <row r="346" spans="2:31">
      <c r="B346" s="539"/>
      <c r="C346" s="540" t="s">
        <v>66</v>
      </c>
      <c r="D346" s="540" t="s">
        <v>55</v>
      </c>
      <c r="E346" s="540"/>
      <c r="F346" s="540"/>
      <c r="G346" s="541">
        <v>0.01</v>
      </c>
      <c r="H346" s="541"/>
      <c r="I346" s="542">
        <v>0.4</v>
      </c>
      <c r="J346" s="601"/>
      <c r="K346" s="543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2"/>
      <c r="W346" s="272"/>
      <c r="X346" s="273"/>
      <c r="Y346" s="273"/>
      <c r="Z346" s="273"/>
      <c r="AA346" s="273"/>
      <c r="AB346" s="273"/>
      <c r="AC346" s="273"/>
      <c r="AD346" s="273"/>
      <c r="AE346" s="273"/>
    </row>
    <row r="347" spans="2:31">
      <c r="B347" s="517"/>
      <c r="C347" s="518" t="s">
        <v>66</v>
      </c>
      <c r="D347" s="518" t="s">
        <v>57</v>
      </c>
      <c r="E347" s="518"/>
      <c r="F347" s="518"/>
      <c r="G347" s="525">
        <v>0.01</v>
      </c>
      <c r="H347" s="525"/>
      <c r="I347" s="527">
        <v>0.4</v>
      </c>
      <c r="J347" s="593"/>
      <c r="K347" s="519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2"/>
      <c r="W347" s="272"/>
      <c r="X347" s="273"/>
      <c r="Y347" s="273"/>
      <c r="Z347" s="273"/>
      <c r="AA347" s="273"/>
      <c r="AB347" s="273"/>
      <c r="AC347" s="273"/>
      <c r="AD347" s="273"/>
      <c r="AE347" s="273"/>
    </row>
    <row r="348" spans="2:31">
      <c r="B348" s="534"/>
      <c r="C348" s="535" t="s">
        <v>66</v>
      </c>
      <c r="D348" s="535" t="s">
        <v>59</v>
      </c>
      <c r="E348" s="535"/>
      <c r="F348" s="535"/>
      <c r="G348" s="536">
        <v>0.01</v>
      </c>
      <c r="H348" s="536"/>
      <c r="I348" s="537">
        <v>0.4</v>
      </c>
      <c r="J348" s="594"/>
      <c r="K348" s="538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2"/>
      <c r="W348" s="272"/>
      <c r="X348" s="273"/>
      <c r="Y348" s="273"/>
      <c r="Z348" s="273"/>
      <c r="AA348" s="273"/>
      <c r="AB348" s="273"/>
      <c r="AC348" s="273"/>
      <c r="AD348" s="273"/>
      <c r="AE348" s="273"/>
    </row>
    <row r="349" spans="2:31">
      <c r="B349" s="539"/>
      <c r="C349" s="540" t="s">
        <v>66</v>
      </c>
      <c r="D349" s="540" t="s">
        <v>55</v>
      </c>
      <c r="E349" s="540"/>
      <c r="F349" s="540"/>
      <c r="G349" s="541">
        <v>0.01</v>
      </c>
      <c r="H349" s="541"/>
      <c r="I349" s="542">
        <v>0.4</v>
      </c>
      <c r="J349" s="601"/>
      <c r="K349" s="543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2"/>
      <c r="W349" s="272"/>
      <c r="X349" s="273"/>
      <c r="Y349" s="273"/>
      <c r="Z349" s="273"/>
      <c r="AA349" s="273"/>
      <c r="AB349" s="273"/>
      <c r="AC349" s="273"/>
      <c r="AD349" s="273"/>
      <c r="AE349" s="273"/>
    </row>
    <row r="350" spans="2:31">
      <c r="B350" s="517"/>
      <c r="C350" s="518" t="s">
        <v>66</v>
      </c>
      <c r="D350" s="518" t="s">
        <v>57</v>
      </c>
      <c r="E350" s="518"/>
      <c r="F350" s="518"/>
      <c r="G350" s="525">
        <v>0.01</v>
      </c>
      <c r="H350" s="525"/>
      <c r="I350" s="527">
        <v>0.4</v>
      </c>
      <c r="J350" s="593"/>
      <c r="K350" s="519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2"/>
      <c r="W350" s="272"/>
      <c r="X350" s="273"/>
      <c r="Y350" s="273"/>
      <c r="Z350" s="273"/>
      <c r="AA350" s="273"/>
      <c r="AB350" s="273"/>
      <c r="AC350" s="273"/>
      <c r="AD350" s="273"/>
      <c r="AE350" s="273"/>
    </row>
    <row r="351" spans="2:31">
      <c r="B351" s="534"/>
      <c r="C351" s="535" t="s">
        <v>66</v>
      </c>
      <c r="D351" s="535" t="s">
        <v>59</v>
      </c>
      <c r="E351" s="535"/>
      <c r="F351" s="535"/>
      <c r="G351" s="536">
        <v>0.01</v>
      </c>
      <c r="H351" s="536"/>
      <c r="I351" s="537">
        <v>0.4</v>
      </c>
      <c r="J351" s="594"/>
      <c r="K351" s="538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2"/>
      <c r="W351" s="272"/>
      <c r="X351" s="273"/>
      <c r="Y351" s="273"/>
      <c r="Z351" s="273"/>
      <c r="AA351" s="273"/>
      <c r="AB351" s="273"/>
      <c r="AC351" s="273"/>
      <c r="AD351" s="273"/>
      <c r="AE351" s="273"/>
    </row>
    <row r="352" spans="2:31">
      <c r="B352" s="539"/>
      <c r="C352" s="540" t="s">
        <v>66</v>
      </c>
      <c r="D352" s="540" t="s">
        <v>55</v>
      </c>
      <c r="E352" s="540"/>
      <c r="F352" s="540"/>
      <c r="G352" s="541">
        <v>0.01</v>
      </c>
      <c r="H352" s="541"/>
      <c r="I352" s="542">
        <v>0.4</v>
      </c>
      <c r="J352" s="601"/>
      <c r="K352" s="543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2"/>
      <c r="W352" s="272"/>
      <c r="X352" s="273"/>
      <c r="Y352" s="273"/>
      <c r="Z352" s="273"/>
      <c r="AA352" s="273"/>
      <c r="AB352" s="273"/>
      <c r="AC352" s="273"/>
      <c r="AD352" s="273"/>
      <c r="AE352" s="273"/>
    </row>
    <row r="353" spans="2:31">
      <c r="B353" s="517"/>
      <c r="C353" s="518" t="s">
        <v>66</v>
      </c>
      <c r="D353" s="518" t="s">
        <v>57</v>
      </c>
      <c r="E353" s="518"/>
      <c r="F353" s="518"/>
      <c r="G353" s="525">
        <v>0.01</v>
      </c>
      <c r="H353" s="525"/>
      <c r="I353" s="527">
        <v>0.4</v>
      </c>
      <c r="J353" s="593"/>
      <c r="K353" s="519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2"/>
      <c r="W353" s="272"/>
      <c r="X353" s="273"/>
      <c r="Y353" s="273"/>
      <c r="Z353" s="273"/>
      <c r="AA353" s="273"/>
      <c r="AB353" s="273"/>
      <c r="AC353" s="273"/>
      <c r="AD353" s="273"/>
      <c r="AE353" s="273"/>
    </row>
    <row r="354" spans="2:31">
      <c r="B354" s="534"/>
      <c r="C354" s="535" t="s">
        <v>66</v>
      </c>
      <c r="D354" s="535" t="s">
        <v>59</v>
      </c>
      <c r="E354" s="535"/>
      <c r="F354" s="535"/>
      <c r="G354" s="536">
        <v>0.01</v>
      </c>
      <c r="H354" s="536"/>
      <c r="I354" s="537">
        <v>0.4</v>
      </c>
      <c r="J354" s="594"/>
      <c r="K354" s="538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2"/>
      <c r="W354" s="272"/>
      <c r="X354" s="273"/>
      <c r="Y354" s="273"/>
      <c r="Z354" s="273"/>
      <c r="AA354" s="273"/>
      <c r="AB354" s="273"/>
      <c r="AC354" s="273"/>
      <c r="AD354" s="273"/>
      <c r="AE354" s="273"/>
    </row>
    <row r="355" spans="2:31">
      <c r="B355" s="539"/>
      <c r="C355" s="540" t="s">
        <v>66</v>
      </c>
      <c r="D355" s="540" t="s">
        <v>55</v>
      </c>
      <c r="E355" s="540"/>
      <c r="F355" s="540"/>
      <c r="G355" s="541">
        <v>0.01</v>
      </c>
      <c r="H355" s="541"/>
      <c r="I355" s="542">
        <v>0.4</v>
      </c>
      <c r="J355" s="601"/>
      <c r="K355" s="543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2"/>
      <c r="W355" s="272"/>
      <c r="X355" s="273"/>
      <c r="Y355" s="273"/>
      <c r="Z355" s="273"/>
      <c r="AA355" s="273"/>
      <c r="AB355" s="273"/>
      <c r="AC355" s="273"/>
      <c r="AD355" s="273"/>
      <c r="AE355" s="273"/>
    </row>
    <row r="356" spans="2:31">
      <c r="B356" s="517"/>
      <c r="C356" s="518" t="s">
        <v>66</v>
      </c>
      <c r="D356" s="518" t="s">
        <v>57</v>
      </c>
      <c r="E356" s="518"/>
      <c r="F356" s="518"/>
      <c r="G356" s="525">
        <v>0.01</v>
      </c>
      <c r="H356" s="525"/>
      <c r="I356" s="527">
        <v>0.4</v>
      </c>
      <c r="J356" s="593"/>
      <c r="K356" s="519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2"/>
      <c r="W356" s="272"/>
      <c r="X356" s="273"/>
      <c r="Y356" s="273"/>
      <c r="Z356" s="273"/>
      <c r="AA356" s="273"/>
      <c r="AB356" s="273"/>
      <c r="AC356" s="273"/>
      <c r="AD356" s="273"/>
      <c r="AE356" s="273"/>
    </row>
    <row r="357" spans="2:31">
      <c r="B357" s="534"/>
      <c r="C357" s="535" t="s">
        <v>66</v>
      </c>
      <c r="D357" s="535" t="s">
        <v>59</v>
      </c>
      <c r="E357" s="535"/>
      <c r="F357" s="535"/>
      <c r="G357" s="536">
        <v>0.01</v>
      </c>
      <c r="H357" s="536"/>
      <c r="I357" s="537">
        <v>0.4</v>
      </c>
      <c r="J357" s="594"/>
      <c r="K357" s="538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2"/>
      <c r="W357" s="272"/>
      <c r="X357" s="273"/>
      <c r="Y357" s="273"/>
      <c r="Z357" s="273"/>
      <c r="AA357" s="273"/>
      <c r="AB357" s="273"/>
      <c r="AC357" s="273"/>
      <c r="AD357" s="273"/>
      <c r="AE357" s="273"/>
    </row>
    <row r="358" spans="2:31">
      <c r="B358" s="539"/>
      <c r="C358" s="540" t="s">
        <v>66</v>
      </c>
      <c r="D358" s="540" t="s">
        <v>55</v>
      </c>
      <c r="E358" s="540"/>
      <c r="F358" s="540"/>
      <c r="G358" s="541">
        <v>0.01</v>
      </c>
      <c r="H358" s="541"/>
      <c r="I358" s="542">
        <v>0.4</v>
      </c>
      <c r="J358" s="601"/>
      <c r="K358" s="543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2"/>
      <c r="W358" s="272"/>
      <c r="X358" s="273"/>
      <c r="Y358" s="273"/>
      <c r="Z358" s="273"/>
      <c r="AA358" s="273"/>
      <c r="AB358" s="273"/>
      <c r="AC358" s="273"/>
      <c r="AD358" s="273"/>
      <c r="AE358" s="273"/>
    </row>
    <row r="359" spans="2:31">
      <c r="B359" s="517"/>
      <c r="C359" s="518" t="s">
        <v>66</v>
      </c>
      <c r="D359" s="518" t="s">
        <v>57</v>
      </c>
      <c r="E359" s="518"/>
      <c r="F359" s="518"/>
      <c r="G359" s="525">
        <v>0.01</v>
      </c>
      <c r="H359" s="525"/>
      <c r="I359" s="527">
        <v>0.4</v>
      </c>
      <c r="J359" s="593"/>
      <c r="K359" s="519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2"/>
      <c r="W359" s="272"/>
      <c r="X359" s="273"/>
      <c r="Y359" s="273"/>
      <c r="Z359" s="273"/>
      <c r="AA359" s="273"/>
      <c r="AB359" s="273"/>
      <c r="AC359" s="273"/>
      <c r="AD359" s="273"/>
      <c r="AE359" s="273"/>
    </row>
    <row r="360" spans="2:31">
      <c r="B360" s="534"/>
      <c r="C360" s="535" t="s">
        <v>66</v>
      </c>
      <c r="D360" s="535" t="s">
        <v>59</v>
      </c>
      <c r="E360" s="535"/>
      <c r="F360" s="535"/>
      <c r="G360" s="536">
        <v>0.01</v>
      </c>
      <c r="H360" s="536"/>
      <c r="I360" s="537">
        <v>0.4</v>
      </c>
      <c r="J360" s="594"/>
      <c r="K360" s="538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2"/>
      <c r="W360" s="272"/>
      <c r="X360" s="273"/>
      <c r="Y360" s="273"/>
      <c r="Z360" s="273"/>
      <c r="AA360" s="273"/>
      <c r="AB360" s="273"/>
      <c r="AC360" s="273"/>
      <c r="AD360" s="273"/>
      <c r="AE360" s="273"/>
    </row>
    <row r="361" spans="2:31">
      <c r="B361" s="539"/>
      <c r="C361" s="540" t="s">
        <v>66</v>
      </c>
      <c r="D361" s="540" t="s">
        <v>55</v>
      </c>
      <c r="E361" s="540"/>
      <c r="F361" s="540"/>
      <c r="G361" s="541">
        <v>0.01</v>
      </c>
      <c r="H361" s="541"/>
      <c r="I361" s="542">
        <v>0.4</v>
      </c>
      <c r="J361" s="601"/>
      <c r="K361" s="543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2"/>
      <c r="W361" s="272"/>
      <c r="X361" s="273"/>
      <c r="Y361" s="273"/>
      <c r="Z361" s="273"/>
      <c r="AA361" s="273"/>
      <c r="AB361" s="273"/>
      <c r="AC361" s="273"/>
      <c r="AD361" s="273"/>
      <c r="AE361" s="273"/>
    </row>
    <row r="362" spans="2:31">
      <c r="B362" s="517"/>
      <c r="C362" s="518" t="s">
        <v>66</v>
      </c>
      <c r="D362" s="518" t="s">
        <v>57</v>
      </c>
      <c r="E362" s="518"/>
      <c r="F362" s="518"/>
      <c r="G362" s="525">
        <v>0.01</v>
      </c>
      <c r="H362" s="525"/>
      <c r="I362" s="527">
        <v>0.4</v>
      </c>
      <c r="J362" s="593"/>
      <c r="K362" s="519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2"/>
      <c r="W362" s="272"/>
      <c r="X362" s="273"/>
      <c r="Y362" s="273"/>
      <c r="Z362" s="273"/>
      <c r="AA362" s="273"/>
      <c r="AB362" s="273"/>
      <c r="AC362" s="273"/>
      <c r="AD362" s="273"/>
      <c r="AE362" s="273"/>
    </row>
    <row r="363" spans="2:31">
      <c r="B363" s="534"/>
      <c r="C363" s="535" t="s">
        <v>66</v>
      </c>
      <c r="D363" s="535" t="s">
        <v>59</v>
      </c>
      <c r="E363" s="535"/>
      <c r="F363" s="535"/>
      <c r="G363" s="536">
        <v>0.01</v>
      </c>
      <c r="H363" s="536"/>
      <c r="I363" s="537">
        <v>0.4</v>
      </c>
      <c r="J363" s="594"/>
      <c r="K363" s="538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2"/>
      <c r="W363" s="272"/>
      <c r="X363" s="273"/>
      <c r="Y363" s="273"/>
      <c r="Z363" s="273"/>
      <c r="AA363" s="273"/>
      <c r="AB363" s="273"/>
      <c r="AC363" s="273"/>
      <c r="AD363" s="273"/>
      <c r="AE363" s="273"/>
    </row>
    <row r="364" spans="2:31">
      <c r="B364" s="539"/>
      <c r="C364" s="540" t="s">
        <v>66</v>
      </c>
      <c r="D364" s="540" t="s">
        <v>55</v>
      </c>
      <c r="E364" s="540"/>
      <c r="F364" s="540"/>
      <c r="G364" s="541">
        <v>0.01</v>
      </c>
      <c r="H364" s="541"/>
      <c r="I364" s="542">
        <v>0.4</v>
      </c>
      <c r="J364" s="601"/>
      <c r="K364" s="543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2:31">
      <c r="B365" s="517"/>
      <c r="C365" s="518" t="s">
        <v>66</v>
      </c>
      <c r="D365" s="518" t="s">
        <v>57</v>
      </c>
      <c r="E365" s="518"/>
      <c r="F365" s="518"/>
      <c r="G365" s="525">
        <v>0.01</v>
      </c>
      <c r="H365" s="525"/>
      <c r="I365" s="527">
        <v>0.4</v>
      </c>
      <c r="J365" s="593"/>
      <c r="K365" s="519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2:31">
      <c r="B366" s="534"/>
      <c r="C366" s="535" t="s">
        <v>66</v>
      </c>
      <c r="D366" s="535" t="s">
        <v>59</v>
      </c>
      <c r="E366" s="535"/>
      <c r="F366" s="535"/>
      <c r="G366" s="536">
        <v>0.01</v>
      </c>
      <c r="H366" s="536"/>
      <c r="I366" s="537">
        <v>0.4</v>
      </c>
      <c r="J366" s="594"/>
      <c r="K366" s="538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2:31">
      <c r="B367" s="539"/>
      <c r="C367" s="540" t="s">
        <v>66</v>
      </c>
      <c r="D367" s="540" t="s">
        <v>55</v>
      </c>
      <c r="E367" s="540"/>
      <c r="F367" s="540"/>
      <c r="G367" s="541">
        <v>0.01</v>
      </c>
      <c r="H367" s="541"/>
      <c r="I367" s="542">
        <v>0.4</v>
      </c>
      <c r="J367" s="601"/>
      <c r="K367" s="543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2:31">
      <c r="B368" s="517"/>
      <c r="C368" s="518" t="s">
        <v>66</v>
      </c>
      <c r="D368" s="518" t="s">
        <v>57</v>
      </c>
      <c r="E368" s="518"/>
      <c r="F368" s="518"/>
      <c r="G368" s="525">
        <v>0.01</v>
      </c>
      <c r="H368" s="525"/>
      <c r="I368" s="527">
        <v>0.4</v>
      </c>
      <c r="J368" s="593"/>
      <c r="K368" s="519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2:31">
      <c r="B369" s="534"/>
      <c r="C369" s="535" t="s">
        <v>66</v>
      </c>
      <c r="D369" s="535" t="s">
        <v>59</v>
      </c>
      <c r="E369" s="535"/>
      <c r="F369" s="535"/>
      <c r="G369" s="536">
        <v>0.01</v>
      </c>
      <c r="H369" s="536"/>
      <c r="I369" s="537">
        <v>0.4</v>
      </c>
      <c r="J369" s="594"/>
      <c r="K369" s="538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2:31">
      <c r="B370" s="539"/>
      <c r="C370" s="540" t="s">
        <v>66</v>
      </c>
      <c r="D370" s="540" t="s">
        <v>55</v>
      </c>
      <c r="E370" s="540"/>
      <c r="F370" s="540"/>
      <c r="G370" s="541">
        <v>0.01</v>
      </c>
      <c r="H370" s="541"/>
      <c r="I370" s="542">
        <v>0.4</v>
      </c>
      <c r="J370" s="601"/>
      <c r="K370" s="543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2:31">
      <c r="B371" s="517"/>
      <c r="C371" s="518" t="s">
        <v>66</v>
      </c>
      <c r="D371" s="518" t="s">
        <v>57</v>
      </c>
      <c r="E371" s="518"/>
      <c r="F371" s="518"/>
      <c r="G371" s="525">
        <v>0.01</v>
      </c>
      <c r="H371" s="525"/>
      <c r="I371" s="527">
        <v>0.4</v>
      </c>
      <c r="J371" s="593"/>
      <c r="K371" s="519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2:31">
      <c r="B372" s="534"/>
      <c r="C372" s="535" t="s">
        <v>66</v>
      </c>
      <c r="D372" s="535" t="s">
        <v>59</v>
      </c>
      <c r="E372" s="535"/>
      <c r="F372" s="535"/>
      <c r="G372" s="536">
        <v>0.01</v>
      </c>
      <c r="H372" s="536"/>
      <c r="I372" s="537">
        <v>0.4</v>
      </c>
      <c r="J372" s="594"/>
      <c r="K372" s="538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2:31">
      <c r="B373" s="539"/>
      <c r="C373" s="540" t="s">
        <v>66</v>
      </c>
      <c r="D373" s="540" t="s">
        <v>55</v>
      </c>
      <c r="E373" s="540"/>
      <c r="F373" s="540"/>
      <c r="G373" s="541">
        <v>0.01</v>
      </c>
      <c r="H373" s="541"/>
      <c r="I373" s="542">
        <v>0.4</v>
      </c>
      <c r="J373" s="601"/>
      <c r="K373" s="543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2:31">
      <c r="B374" s="517"/>
      <c r="C374" s="518" t="s">
        <v>66</v>
      </c>
      <c r="D374" s="518" t="s">
        <v>57</v>
      </c>
      <c r="E374" s="518"/>
      <c r="F374" s="518"/>
      <c r="G374" s="525">
        <v>0.01</v>
      </c>
      <c r="H374" s="525"/>
      <c r="I374" s="527">
        <v>0.4</v>
      </c>
      <c r="J374" s="593"/>
      <c r="K374" s="519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2:31">
      <c r="B375" s="534"/>
      <c r="C375" s="535" t="s">
        <v>66</v>
      </c>
      <c r="D375" s="535" t="s">
        <v>59</v>
      </c>
      <c r="E375" s="535"/>
      <c r="F375" s="535"/>
      <c r="G375" s="536">
        <v>0.01</v>
      </c>
      <c r="H375" s="536"/>
      <c r="I375" s="537">
        <v>0.4</v>
      </c>
      <c r="J375" s="594"/>
      <c r="K375" s="538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2:31">
      <c r="B376" s="539"/>
      <c r="C376" s="540" t="s">
        <v>66</v>
      </c>
      <c r="D376" s="540" t="s">
        <v>55</v>
      </c>
      <c r="E376" s="540"/>
      <c r="F376" s="540"/>
      <c r="G376" s="541">
        <v>0.01</v>
      </c>
      <c r="H376" s="541"/>
      <c r="I376" s="542">
        <v>0.4</v>
      </c>
      <c r="J376" s="601"/>
      <c r="K376" s="543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2:31">
      <c r="B377" s="517"/>
      <c r="C377" s="518" t="s">
        <v>66</v>
      </c>
      <c r="D377" s="518" t="s">
        <v>57</v>
      </c>
      <c r="E377" s="518"/>
      <c r="F377" s="518"/>
      <c r="G377" s="525">
        <v>0.01</v>
      </c>
      <c r="H377" s="525"/>
      <c r="I377" s="527">
        <v>0.4</v>
      </c>
      <c r="J377" s="593"/>
      <c r="K377" s="519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2:31">
      <c r="B378" s="534"/>
      <c r="C378" s="535" t="s">
        <v>66</v>
      </c>
      <c r="D378" s="535" t="s">
        <v>59</v>
      </c>
      <c r="E378" s="535"/>
      <c r="F378" s="535"/>
      <c r="G378" s="536">
        <v>0.01</v>
      </c>
      <c r="H378" s="536"/>
      <c r="I378" s="537">
        <v>0.4</v>
      </c>
      <c r="J378" s="594"/>
      <c r="K378" s="538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2:31">
      <c r="B379" s="539"/>
      <c r="C379" s="540" t="s">
        <v>66</v>
      </c>
      <c r="D379" s="540" t="s">
        <v>55</v>
      </c>
      <c r="E379" s="540"/>
      <c r="F379" s="540"/>
      <c r="G379" s="541">
        <v>0.01</v>
      </c>
      <c r="H379" s="541"/>
      <c r="I379" s="542">
        <v>0.4</v>
      </c>
      <c r="J379" s="601"/>
      <c r="K379" s="543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2:31">
      <c r="B380" s="517"/>
      <c r="C380" s="518" t="s">
        <v>66</v>
      </c>
      <c r="D380" s="518" t="s">
        <v>57</v>
      </c>
      <c r="E380" s="518"/>
      <c r="F380" s="518"/>
      <c r="G380" s="525">
        <v>0.01</v>
      </c>
      <c r="H380" s="525"/>
      <c r="I380" s="527">
        <v>0.4</v>
      </c>
      <c r="J380" s="593"/>
      <c r="K380" s="519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2:31">
      <c r="B381" s="534"/>
      <c r="C381" s="535" t="s">
        <v>66</v>
      </c>
      <c r="D381" s="535" t="s">
        <v>59</v>
      </c>
      <c r="E381" s="535"/>
      <c r="F381" s="535"/>
      <c r="G381" s="536">
        <v>0.01</v>
      </c>
      <c r="H381" s="536"/>
      <c r="I381" s="537">
        <v>0.4</v>
      </c>
      <c r="J381" s="594"/>
      <c r="K381" s="538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2:31">
      <c r="B382" s="539"/>
      <c r="C382" s="540" t="s">
        <v>66</v>
      </c>
      <c r="D382" s="540" t="s">
        <v>55</v>
      </c>
      <c r="E382" s="540"/>
      <c r="F382" s="540"/>
      <c r="G382" s="541">
        <v>0.01</v>
      </c>
      <c r="H382" s="541"/>
      <c r="I382" s="542">
        <v>0.4</v>
      </c>
      <c r="J382" s="601"/>
      <c r="K382" s="543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2:31">
      <c r="B383" s="517"/>
      <c r="C383" s="518" t="s">
        <v>66</v>
      </c>
      <c r="D383" s="518" t="s">
        <v>57</v>
      </c>
      <c r="E383" s="518"/>
      <c r="F383" s="518"/>
      <c r="G383" s="525">
        <v>0.01</v>
      </c>
      <c r="H383" s="525"/>
      <c r="I383" s="527">
        <v>0.4</v>
      </c>
      <c r="J383" s="593"/>
      <c r="K383" s="519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2:31">
      <c r="B384" s="534"/>
      <c r="C384" s="535" t="s">
        <v>66</v>
      </c>
      <c r="D384" s="535" t="s">
        <v>59</v>
      </c>
      <c r="E384" s="535"/>
      <c r="F384" s="535"/>
      <c r="G384" s="536">
        <v>0.01</v>
      </c>
      <c r="H384" s="536"/>
      <c r="I384" s="537">
        <v>0.4</v>
      </c>
      <c r="J384" s="594"/>
      <c r="K384" s="538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2:31">
      <c r="B385" s="539"/>
      <c r="C385" s="540" t="s">
        <v>66</v>
      </c>
      <c r="D385" s="540" t="s">
        <v>55</v>
      </c>
      <c r="E385" s="540"/>
      <c r="F385" s="540"/>
      <c r="G385" s="541">
        <v>0.01</v>
      </c>
      <c r="H385" s="541"/>
      <c r="I385" s="542">
        <v>0.4</v>
      </c>
      <c r="J385" s="601"/>
      <c r="K385" s="543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2:31">
      <c r="B386" s="517"/>
      <c r="C386" s="518" t="s">
        <v>66</v>
      </c>
      <c r="D386" s="518" t="s">
        <v>57</v>
      </c>
      <c r="E386" s="518"/>
      <c r="F386" s="518"/>
      <c r="G386" s="525">
        <v>0.01</v>
      </c>
      <c r="H386" s="525"/>
      <c r="I386" s="527">
        <v>0.4</v>
      </c>
      <c r="J386" s="593"/>
      <c r="K386" s="519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2:31">
      <c r="B387" s="534"/>
      <c r="C387" s="535" t="s">
        <v>66</v>
      </c>
      <c r="D387" s="535" t="s">
        <v>59</v>
      </c>
      <c r="E387" s="535"/>
      <c r="F387" s="535"/>
      <c r="G387" s="536">
        <v>0.01</v>
      </c>
      <c r="H387" s="536"/>
      <c r="I387" s="537">
        <v>0.4</v>
      </c>
      <c r="J387" s="594"/>
      <c r="K387" s="538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2:31">
      <c r="B388" s="539"/>
      <c r="C388" s="540" t="s">
        <v>66</v>
      </c>
      <c r="D388" s="540" t="s">
        <v>55</v>
      </c>
      <c r="E388" s="540"/>
      <c r="F388" s="540"/>
      <c r="G388" s="541">
        <v>0.01</v>
      </c>
      <c r="H388" s="541"/>
      <c r="I388" s="542">
        <v>0.4</v>
      </c>
      <c r="J388" s="601"/>
      <c r="K388" s="543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2:31">
      <c r="B389" s="517"/>
      <c r="C389" s="518" t="s">
        <v>66</v>
      </c>
      <c r="D389" s="518" t="s">
        <v>57</v>
      </c>
      <c r="E389" s="518"/>
      <c r="F389" s="518"/>
      <c r="G389" s="525">
        <v>0.01</v>
      </c>
      <c r="H389" s="525"/>
      <c r="I389" s="527">
        <v>0.4</v>
      </c>
      <c r="J389" s="593"/>
      <c r="K389" s="519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2:31">
      <c r="B390" s="534"/>
      <c r="C390" s="535" t="s">
        <v>66</v>
      </c>
      <c r="D390" s="535" t="s">
        <v>59</v>
      </c>
      <c r="E390" s="535"/>
      <c r="F390" s="535"/>
      <c r="G390" s="536">
        <v>0.01</v>
      </c>
      <c r="H390" s="536"/>
      <c r="I390" s="537">
        <v>0.4</v>
      </c>
      <c r="J390" s="594"/>
      <c r="K390" s="538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2:31">
      <c r="B391" s="539"/>
      <c r="C391" s="540" t="s">
        <v>66</v>
      </c>
      <c r="D391" s="540" t="s">
        <v>55</v>
      </c>
      <c r="E391" s="540"/>
      <c r="F391" s="540"/>
      <c r="G391" s="541">
        <v>0.01</v>
      </c>
      <c r="H391" s="541"/>
      <c r="I391" s="542">
        <v>0.4</v>
      </c>
      <c r="J391" s="601"/>
      <c r="K391" s="543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2:31">
      <c r="B392" s="517"/>
      <c r="C392" s="518" t="s">
        <v>66</v>
      </c>
      <c r="D392" s="518" t="s">
        <v>57</v>
      </c>
      <c r="E392" s="518"/>
      <c r="F392" s="518"/>
      <c r="G392" s="525">
        <v>0.01</v>
      </c>
      <c r="H392" s="525"/>
      <c r="I392" s="527">
        <v>0.4</v>
      </c>
      <c r="J392" s="593"/>
      <c r="K392" s="519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2:31">
      <c r="B393" s="534"/>
      <c r="C393" s="535" t="s">
        <v>66</v>
      </c>
      <c r="D393" s="535" t="s">
        <v>59</v>
      </c>
      <c r="E393" s="535"/>
      <c r="F393" s="535"/>
      <c r="G393" s="536">
        <v>0.01</v>
      </c>
      <c r="H393" s="536"/>
      <c r="I393" s="537">
        <v>0.4</v>
      </c>
      <c r="J393" s="594"/>
      <c r="K393" s="538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2:31">
      <c r="B394" s="539"/>
      <c r="C394" s="540" t="s">
        <v>66</v>
      </c>
      <c r="D394" s="540" t="s">
        <v>55</v>
      </c>
      <c r="E394" s="540"/>
      <c r="F394" s="540"/>
      <c r="G394" s="541">
        <v>0.01</v>
      </c>
      <c r="H394" s="541"/>
      <c r="I394" s="542">
        <v>0.4</v>
      </c>
      <c r="J394" s="601"/>
      <c r="K394" s="543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2:31">
      <c r="B395" s="517"/>
      <c r="C395" s="518" t="s">
        <v>66</v>
      </c>
      <c r="D395" s="518" t="s">
        <v>57</v>
      </c>
      <c r="E395" s="518"/>
      <c r="F395" s="518"/>
      <c r="G395" s="525">
        <v>0.01</v>
      </c>
      <c r="H395" s="525"/>
      <c r="I395" s="527">
        <v>0.4</v>
      </c>
      <c r="J395" s="593"/>
      <c r="K395" s="519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2:31">
      <c r="B396" s="534"/>
      <c r="C396" s="535" t="s">
        <v>66</v>
      </c>
      <c r="D396" s="535" t="s">
        <v>59</v>
      </c>
      <c r="E396" s="535"/>
      <c r="F396" s="535"/>
      <c r="G396" s="536">
        <v>0.01</v>
      </c>
      <c r="H396" s="536"/>
      <c r="I396" s="537">
        <v>0.4</v>
      </c>
      <c r="J396" s="594"/>
      <c r="K396" s="538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2:31">
      <c r="B397" s="517"/>
      <c r="C397" s="518" t="s">
        <v>66</v>
      </c>
      <c r="D397" s="518" t="s">
        <v>55</v>
      </c>
      <c r="E397" s="518"/>
      <c r="F397" s="518"/>
      <c r="G397" s="525">
        <v>0.01</v>
      </c>
      <c r="H397" s="525"/>
      <c r="I397" s="527">
        <v>0.4</v>
      </c>
      <c r="J397" s="593"/>
      <c r="K397" s="519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2:31">
      <c r="B398" s="517"/>
      <c r="C398" s="518" t="s">
        <v>66</v>
      </c>
      <c r="D398" s="518" t="s">
        <v>57</v>
      </c>
      <c r="E398" s="518"/>
      <c r="F398" s="518"/>
      <c r="G398" s="525">
        <v>0.01</v>
      </c>
      <c r="H398" s="525"/>
      <c r="I398" s="527">
        <v>0.4</v>
      </c>
      <c r="J398" s="593"/>
      <c r="K398" s="519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2:31" ht="10.5" thickBot="1">
      <c r="B399" s="520"/>
      <c r="C399" s="521" t="s">
        <v>66</v>
      </c>
      <c r="D399" s="521" t="s">
        <v>59</v>
      </c>
      <c r="E399" s="521"/>
      <c r="F399" s="521"/>
      <c r="G399" s="526">
        <v>0.01</v>
      </c>
      <c r="H399" s="526"/>
      <c r="I399" s="528">
        <v>0.4</v>
      </c>
      <c r="J399" s="602"/>
      <c r="K399" s="522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2:31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2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  <c r="AF753" s="272"/>
    </row>
    <row r="754" spans="4:32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  <c r="AF754" s="272"/>
    </row>
    <row r="755" spans="4:32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  <c r="AF755" s="272"/>
    </row>
    <row r="756" spans="4:32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  <c r="AF756" s="272"/>
    </row>
    <row r="757" spans="4:32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  <c r="AF757" s="272"/>
    </row>
    <row r="758" spans="4:32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  <c r="AF758" s="272"/>
    </row>
    <row r="759" spans="4:32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  <c r="AF759" s="272"/>
    </row>
    <row r="760" spans="4:32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  <c r="AF760" s="272"/>
    </row>
    <row r="761" spans="4:32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  <c r="AF761" s="272"/>
    </row>
    <row r="762" spans="4:32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  <c r="AF762" s="272"/>
    </row>
    <row r="763" spans="4:32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  <c r="AF763" s="272"/>
    </row>
    <row r="764" spans="4:32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  <c r="AF764" s="272"/>
    </row>
    <row r="765" spans="4:32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  <c r="AF765" s="272"/>
    </row>
    <row r="766" spans="4:32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  <c r="AF766" s="272"/>
    </row>
    <row r="767" spans="4:32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  <c r="AF767" s="272"/>
    </row>
    <row r="768" spans="4:32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  <c r="AF768" s="272"/>
    </row>
    <row r="769" spans="16:32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  <c r="AF769" s="272"/>
    </row>
    <row r="770" spans="16:32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  <c r="AF770" s="272"/>
    </row>
    <row r="771" spans="16:32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  <c r="AF771" s="272"/>
    </row>
    <row r="772" spans="16:32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  <c r="AF772" s="272"/>
    </row>
    <row r="773" spans="16:32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  <c r="AF773" s="272"/>
    </row>
    <row r="774" spans="16:32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  <c r="AF774" s="272"/>
    </row>
    <row r="775" spans="16:32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  <c r="AF775" s="272"/>
    </row>
    <row r="776" spans="16:32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  <c r="AF776" s="272"/>
    </row>
    <row r="777" spans="16:32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  <c r="AF777" s="272"/>
    </row>
    <row r="778" spans="16:32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  <c r="AF778" s="272"/>
    </row>
    <row r="779" spans="16:32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  <c r="AF779" s="272"/>
    </row>
    <row r="780" spans="16:32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  <c r="AF780" s="272"/>
    </row>
    <row r="781" spans="16:32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  <c r="AF781" s="272"/>
    </row>
    <row r="782" spans="16:32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  <c r="AF782" s="272"/>
    </row>
    <row r="783" spans="16:32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  <c r="AF783" s="272"/>
    </row>
    <row r="784" spans="16:32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  <c r="AF784" s="272"/>
    </row>
    <row r="785" spans="16:32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  <c r="AF785" s="272"/>
    </row>
    <row r="786" spans="16:32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  <c r="AF786" s="272"/>
    </row>
    <row r="787" spans="16:32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  <c r="AF787" s="272"/>
    </row>
    <row r="788" spans="16:32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  <c r="AF788" s="272"/>
    </row>
    <row r="789" spans="16:32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  <c r="AF789" s="272"/>
    </row>
    <row r="790" spans="16:32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  <c r="AF790" s="272"/>
    </row>
    <row r="791" spans="16:32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  <c r="AF791" s="272"/>
    </row>
    <row r="792" spans="16:32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  <c r="AF792" s="272"/>
    </row>
    <row r="793" spans="16:32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  <c r="AF793" s="272"/>
    </row>
    <row r="794" spans="16:32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  <c r="AF794" s="272"/>
    </row>
    <row r="795" spans="16:32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  <c r="AF795" s="272"/>
    </row>
    <row r="796" spans="16:32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  <c r="AF796" s="272"/>
    </row>
    <row r="797" spans="16:32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  <c r="AF797" s="272"/>
    </row>
    <row r="798" spans="16:32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  <c r="AF798" s="272"/>
    </row>
    <row r="799" spans="16:32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  <c r="AF799" s="272"/>
    </row>
    <row r="800" spans="16:32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  <c r="AF800" s="272"/>
    </row>
    <row r="801" spans="16:32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  <c r="AF801" s="272"/>
    </row>
    <row r="802" spans="16:32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  <c r="AF802" s="272"/>
    </row>
    <row r="803" spans="16:32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  <c r="AF803" s="272"/>
    </row>
    <row r="804" spans="16:32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  <c r="AF804" s="272"/>
    </row>
    <row r="805" spans="16:32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  <c r="AF805" s="272"/>
    </row>
    <row r="806" spans="16:32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  <c r="AF806" s="272"/>
    </row>
    <row r="807" spans="16:32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  <c r="AF807" s="272"/>
    </row>
    <row r="808" spans="16:32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  <c r="AF808" s="272"/>
    </row>
  </sheetData>
  <autoFilter ref="B24:K399" xr:uid="{BAB8E048-3245-4E24-912E-3BBF0790E685}"/>
  <dataValidations disablePrompts="1" count="3">
    <dataValidation type="list" allowBlank="1" showInputMessage="1" showErrorMessage="1" sqref="Y8" xr:uid="{44381CB1-248E-4567-9214-77DFC5B13FFC}">
      <formula1>TrueFalseTab</formula1>
    </dataValidation>
    <dataValidation type="list" allowBlank="1" showInputMessage="1" showErrorMessage="1" sqref="AV9 AY9" xr:uid="{C92ADC74-D9A3-400E-9284-59CF7D83F111}">
      <formula1>"SecCtp,NonSec"</formula1>
    </dataValidation>
    <dataValidation type="list" allowBlank="1" showInputMessage="1" showErrorMessage="1" sqref="AV10 AY10" xr:uid="{1CDD63ED-E5D2-4B62-B6DA-82E87376F347}">
      <formula1>"Low,Medium,High"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44" r:id="rId3" name="Button 60">
              <controlPr defaultSize="0" print="0" autoFill="0" autoPict="0" macro="[0]!CurrentRegionCalculate">
                <anchor moveWithCells="1">
                  <from>
                    <xdr:col>25</xdr:col>
                    <xdr:colOff>387350</xdr:colOff>
                    <xdr:row>5</xdr:row>
                    <xdr:rowOff>12700</xdr:rowOff>
                  </from>
                  <to>
                    <xdr:col>26</xdr:col>
                    <xdr:colOff>342900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796875" defaultRowHeight="10"/>
  <cols>
    <col min="1" max="1" width="2.81640625" style="272" customWidth="1"/>
    <col min="2" max="2" width="17" style="272" bestFit="1" customWidth="1"/>
    <col min="3" max="3" width="26.54296875" style="272" bestFit="1" customWidth="1"/>
    <col min="4" max="4" width="10.54296875" style="273" customWidth="1"/>
    <col min="5" max="14" width="9.81640625" style="273" customWidth="1"/>
    <col min="15" max="31" width="9.1796875" style="79"/>
    <col min="32" max="16384" width="9.179687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0.5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 ht="10.5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 ht="10.5">
      <c r="B6" s="276" t="s">
        <v>475</v>
      </c>
      <c r="C6" s="277">
        <v>5000</v>
      </c>
      <c r="D6" s="272"/>
      <c r="E6" s="682"/>
      <c r="F6" s="682"/>
      <c r="G6" s="682"/>
      <c r="H6" s="682"/>
      <c r="I6" s="682"/>
      <c r="J6" s="682"/>
      <c r="K6" s="682"/>
      <c r="L6" s="682"/>
      <c r="M6" s="682"/>
      <c r="N6" s="682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1" thickBot="1">
      <c r="B7" s="278" t="s">
        <v>476</v>
      </c>
      <c r="C7" s="279" t="b">
        <v>0</v>
      </c>
      <c r="D7" s="272"/>
      <c r="E7" s="272"/>
      <c r="H7" s="280"/>
      <c r="O7" s="682"/>
      <c r="P7" s="682"/>
      <c r="Q7" s="682"/>
      <c r="R7" s="682"/>
      <c r="S7" s="682"/>
      <c r="T7" s="682"/>
      <c r="U7" s="682"/>
      <c r="V7" s="682"/>
      <c r="W7" s="682"/>
      <c r="X7" s="682"/>
      <c r="Y7" s="272"/>
      <c r="Z7" s="272"/>
      <c r="AA7" s="272"/>
      <c r="AB7" s="272"/>
      <c r="AC7" s="272"/>
      <c r="AD7" s="272"/>
      <c r="AE7" s="272"/>
    </row>
    <row r="8" spans="1:228" ht="11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1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1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 ht="10.5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 ht="10.5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1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1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 ht="10.5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 ht="10.5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1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1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1" thickBot="1">
      <c r="B19" s="286" t="s">
        <v>480</v>
      </c>
      <c r="C19" s="298"/>
      <c r="D19" s="299"/>
      <c r="E19" s="683" t="s">
        <v>481</v>
      </c>
      <c r="F19" s="683"/>
      <c r="G19" s="683"/>
      <c r="H19" s="683"/>
      <c r="I19" s="683"/>
      <c r="J19" s="683"/>
      <c r="K19" s="683"/>
      <c r="L19" s="683"/>
      <c r="M19" s="683"/>
      <c r="N19" s="684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1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 ht="10.5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1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1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1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1" thickBot="1">
      <c r="B25" s="274" t="s">
        <v>485</v>
      </c>
      <c r="C25" s="329">
        <v>8.3836702003960026E-2</v>
      </c>
      <c r="D25" s="330"/>
      <c r="E25" s="681" t="s">
        <v>486</v>
      </c>
      <c r="F25" s="681"/>
      <c r="G25" s="681"/>
      <c r="H25" s="681"/>
      <c r="I25" s="681"/>
      <c r="J25" s="681"/>
      <c r="K25" s="681"/>
      <c r="L25" s="681"/>
      <c r="M25" s="681"/>
      <c r="N25" s="680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1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 ht="10.5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 ht="10.5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 ht="10.5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 ht="10.5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 ht="10.5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 ht="10.5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1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0.5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1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1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79" t="s">
        <v>480</v>
      </c>
      <c r="D37" s="680"/>
      <c r="E37" s="681" t="s">
        <v>489</v>
      </c>
      <c r="F37" s="681"/>
      <c r="G37" s="681"/>
      <c r="H37" s="681"/>
      <c r="I37" s="681"/>
      <c r="J37" s="681"/>
      <c r="K37" s="681"/>
      <c r="L37" s="681"/>
      <c r="M37" s="681"/>
      <c r="N37" s="680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1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1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1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82"/>
      <c r="Q41" s="682"/>
      <c r="R41" s="682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1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1" thickBot="1">
      <c r="C44" s="323"/>
      <c r="D44" s="373"/>
      <c r="E44" s="679" t="s">
        <v>493</v>
      </c>
      <c r="F44" s="681"/>
      <c r="G44" s="681"/>
      <c r="H44" s="681"/>
      <c r="I44" s="681"/>
      <c r="J44" s="681"/>
      <c r="K44" s="681"/>
      <c r="L44" s="681"/>
      <c r="M44" s="681"/>
      <c r="N44" s="680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1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4.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4.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4.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4.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4.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4.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4.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4.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4.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4.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4.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4.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4.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4.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4.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4.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4.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4.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4.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4.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4.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4.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4.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4.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4.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4.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4.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4.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4.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4.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4.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4.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4.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4.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4.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4.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4.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4.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4.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4.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4.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4.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4.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4.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4.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4.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4.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4.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4.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4.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4.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4.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4.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4.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4.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4.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4.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4.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4.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4.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4.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4.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4.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4.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4.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4.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4.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4.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4.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4.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4.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4.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4.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4.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4.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4.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4.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4.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4.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4.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4.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4.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4.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4.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4.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4.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4.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4.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4.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4.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4.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4.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4.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4.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4.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4.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4.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4.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4.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4.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4.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4.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4.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4.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4.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4.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4.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4.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4.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4.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4.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4.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4.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4.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4.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4.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4.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4.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4.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4.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4.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4.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4.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4.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4.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4.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4.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4.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4.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4.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4.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4.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4.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4.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4.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4.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4.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4.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4.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4.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4.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4.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4.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4.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4.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4.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4.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4.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4.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4.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4.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4.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4.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4.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4.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4.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4.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4.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4.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4.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4.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4.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4.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4.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4.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4.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4.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4.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4.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4.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4.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4.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4.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4.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4.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4.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4.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4.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4.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4.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4.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4.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4.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4.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4.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4.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4.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4.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4.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4.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4.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4.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4.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4.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4.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4.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4.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4.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4.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4.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4.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4.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4.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4.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4.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4.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4.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4.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4.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4.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4.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4.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4.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4.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4.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4.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4.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4.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4.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4.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4.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4.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4.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4.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4.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4.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4.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4.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4.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4.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4.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4.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4.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4.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4.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4.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4.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4.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4.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4.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4.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4.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4.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4.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4.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4.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4.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4.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4.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4.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4.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4.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4.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4.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4.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4.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4.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4.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4.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4.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4.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4.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4.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4.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4.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4.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4.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4.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4.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4.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4.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4.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4.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4.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4.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4.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4.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4.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4.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4.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4.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4.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4.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4.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4.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4.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4.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4.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4.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4.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4.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4.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4.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4.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4.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4.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4.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4.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4.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28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Chart2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2024-09-30T13:48:56Z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