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313" documentId="13_ncr:1_{2DE68908-DF70-42A2-9ACB-2FC04BD79C15}" xr6:coauthVersionLast="47" xr6:coauthVersionMax="47" xr10:uidLastSave="{A7EEA54D-3F5D-48C3-B95D-59C3E6748224}"/>
  <bookViews>
    <workbookView xWindow="-120" yWindow="-120" windowWidth="29040" windowHeight="16440" firstSheet="1" activeTab="7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CDS" sheetId="8" r:id="rId6"/>
    <sheet name="Fwd Intensity" sheetId="7" r:id="rId7"/>
    <sheet name="CDO Bespoke" sheetId="11" r:id="rId8"/>
    <sheet name="FRTB" sheetId="12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Z10" i="11"/>
  <c r="T15" i="11" a="1"/>
  <c r="T15" i="11"/>
  <c r="U13" i="11"/>
  <c r="Y15" i="11"/>
  <c r="Z15" i="11"/>
  <c r="Z11" i="11"/>
  <c r="AA15" i="11"/>
  <c r="AC15" i="11"/>
  <c r="AC11" i="11"/>
  <c r="Z12" i="11"/>
  <c r="AC12" i="11"/>
  <c r="Z13" i="11"/>
  <c r="AC13" i="11"/>
  <c r="AB15" i="11"/>
  <c r="T16" i="11" a="1"/>
  <c r="T16" i="11"/>
  <c r="Y16" i="11"/>
  <c r="Z16" i="11"/>
  <c r="AA16" i="11"/>
  <c r="AB16" i="11"/>
  <c r="AC16" i="11"/>
  <c r="T17" i="11" a="1"/>
  <c r="T17" i="11"/>
  <c r="Y17" i="11"/>
  <c r="Z17" i="11"/>
  <c r="AA17" i="11"/>
  <c r="AB17" i="11"/>
  <c r="AC17" i="11"/>
  <c r="T18" i="11" a="1"/>
  <c r="T18" i="11"/>
  <c r="Y18" i="11"/>
  <c r="Z18" i="11"/>
  <c r="AA18" i="11"/>
  <c r="AB18" i="11"/>
  <c r="AC18" i="11"/>
  <c r="T19" i="11" a="1"/>
  <c r="T19" i="11"/>
  <c r="Y19" i="11"/>
  <c r="Z19" i="11"/>
  <c r="AA19" i="11"/>
  <c r="AB19" i="11"/>
  <c r="AC19" i="11"/>
  <c r="T20" i="11" a="1"/>
  <c r="T20" i="11"/>
  <c r="Y20" i="11"/>
  <c r="Z20" i="11"/>
  <c r="AA20" i="11"/>
  <c r="AB20" i="11"/>
  <c r="AC20" i="11"/>
  <c r="T21" i="11" a="1"/>
  <c r="T21" i="11"/>
  <c r="Y21" i="11"/>
  <c r="Z21" i="11"/>
  <c r="AA21" i="11"/>
  <c r="AB21" i="11"/>
  <c r="AC21" i="11"/>
  <c r="T22" i="11" a="1"/>
  <c r="T22" i="11"/>
  <c r="Y22" i="11"/>
  <c r="Z22" i="11"/>
  <c r="AA22" i="11"/>
  <c r="AB22" i="11"/>
  <c r="AC22" i="11"/>
  <c r="T23" i="11" a="1"/>
  <c r="T23" i="11"/>
  <c r="Y23" i="11"/>
  <c r="Z23" i="11"/>
  <c r="AA23" i="11"/>
  <c r="AB23" i="11"/>
  <c r="AC23" i="11"/>
  <c r="T24" i="11" a="1"/>
  <c r="T24" i="11"/>
  <c r="Y24" i="11"/>
  <c r="Z24" i="11"/>
  <c r="AA24" i="11"/>
  <c r="AB24" i="11"/>
  <c r="AC24" i="11"/>
  <c r="T25" i="11" a="1"/>
  <c r="T25" i="11"/>
  <c r="Y25" i="11"/>
  <c r="Z25" i="11"/>
  <c r="AA25" i="11"/>
  <c r="AB25" i="11"/>
  <c r="AC25" i="11"/>
  <c r="T26" i="11" a="1"/>
  <c r="T26" i="11"/>
  <c r="Y26" i="11"/>
  <c r="Z26" i="11"/>
  <c r="AA26" i="11"/>
  <c r="AB26" i="11"/>
  <c r="AC26" i="11"/>
  <c r="T27" i="11" a="1"/>
  <c r="T27" i="11"/>
  <c r="Y27" i="11"/>
  <c r="Z27" i="11"/>
  <c r="AA27" i="11"/>
  <c r="AB27" i="11"/>
  <c r="AC27" i="11"/>
  <c r="T28" i="11" a="1"/>
  <c r="T28" i="11"/>
  <c r="Y28" i="11"/>
  <c r="Z28" i="11"/>
  <c r="AA28" i="11"/>
  <c r="AB28" i="11"/>
  <c r="AC28" i="11"/>
  <c r="T29" i="11" a="1"/>
  <c r="T29" i="11"/>
  <c r="Y29" i="11"/>
  <c r="Z29" i="11"/>
  <c r="AA29" i="11"/>
  <c r="AB29" i="11"/>
  <c r="AC29" i="11"/>
  <c r="T30" i="11" a="1"/>
  <c r="T30" i="11"/>
  <c r="Y30" i="11"/>
  <c r="Z30" i="11"/>
  <c r="AA30" i="11"/>
  <c r="AB30" i="11"/>
  <c r="AC30" i="11"/>
  <c r="T31" i="11" a="1"/>
  <c r="T31" i="11"/>
  <c r="Y31" i="11"/>
  <c r="Z31" i="11"/>
  <c r="AA31" i="11"/>
  <c r="AB31" i="11"/>
  <c r="AC31" i="11"/>
  <c r="T32" i="11" a="1"/>
  <c r="T32" i="11"/>
  <c r="Y32" i="11"/>
  <c r="Z32" i="11"/>
  <c r="AA32" i="11"/>
  <c r="AB32" i="11"/>
  <c r="AC32" i="11"/>
  <c r="T33" i="11" a="1"/>
  <c r="T33" i="11"/>
  <c r="Y33" i="11"/>
  <c r="Z33" i="11"/>
  <c r="AA33" i="11"/>
  <c r="AB33" i="11"/>
  <c r="AC33" i="11"/>
  <c r="T34" i="11" a="1"/>
  <c r="T34" i="11"/>
  <c r="Y34" i="11"/>
  <c r="Z34" i="11"/>
  <c r="AA34" i="11"/>
  <c r="AB34" i="11"/>
  <c r="AC34" i="11"/>
  <c r="T35" i="11" a="1"/>
  <c r="T35" i="11"/>
  <c r="Y35" i="11"/>
  <c r="Z35" i="11"/>
  <c r="AA35" i="11"/>
  <c r="AB35" i="11"/>
  <c r="AC35" i="11"/>
  <c r="T36" i="11" a="1"/>
  <c r="T36" i="11"/>
  <c r="Y36" i="11"/>
  <c r="Z36" i="11"/>
  <c r="AA36" i="11"/>
  <c r="AB36" i="11"/>
  <c r="AC36" i="11"/>
  <c r="T37" i="11" a="1"/>
  <c r="T37" i="11"/>
  <c r="Y37" i="11"/>
  <c r="Z37" i="11"/>
  <c r="AA37" i="11"/>
  <c r="AB37" i="11"/>
  <c r="AC37" i="11"/>
  <c r="T38" i="11" a="1"/>
  <c r="T38" i="11"/>
  <c r="Y38" i="11"/>
  <c r="Z38" i="11"/>
  <c r="AA38" i="11"/>
  <c r="AB38" i="11"/>
  <c r="AC38" i="11"/>
  <c r="T39" i="11" a="1"/>
  <c r="T39" i="11"/>
  <c r="Y39" i="11"/>
  <c r="Z39" i="11"/>
  <c r="AA39" i="11"/>
  <c r="AB39" i="11"/>
  <c r="AC39" i="11"/>
  <c r="T40" i="11" a="1"/>
  <c r="T40" i="11"/>
  <c r="Y40" i="11"/>
  <c r="Z40" i="11"/>
  <c r="AA40" i="11"/>
  <c r="AB40" i="11"/>
  <c r="AC40" i="11"/>
  <c r="T41" i="11" a="1"/>
  <c r="T41" i="11"/>
  <c r="Y41" i="11"/>
  <c r="Z41" i="11"/>
  <c r="AA41" i="11"/>
  <c r="AB41" i="11"/>
  <c r="AC41" i="11"/>
  <c r="T42" i="11" a="1"/>
  <c r="T42" i="11"/>
  <c r="Y42" i="11"/>
  <c r="Z42" i="11"/>
  <c r="AA42" i="11"/>
  <c r="AB42" i="11"/>
  <c r="AC42" i="11"/>
  <c r="T43" i="11" a="1"/>
  <c r="T43" i="11"/>
  <c r="Y43" i="11"/>
  <c r="Z43" i="11"/>
  <c r="AA43" i="11"/>
  <c r="AB43" i="11"/>
  <c r="AC43" i="11"/>
  <c r="T44" i="11" a="1"/>
  <c r="T44" i="11"/>
  <c r="Y44" i="11"/>
  <c r="Z44" i="11"/>
  <c r="AA44" i="11"/>
  <c r="AB44" i="11"/>
  <c r="AC44" i="11"/>
  <c r="T45" i="11" a="1"/>
  <c r="T45" i="11"/>
  <c r="Y45" i="11"/>
  <c r="Z45" i="11"/>
  <c r="AA45" i="11"/>
  <c r="AB45" i="11"/>
  <c r="AC45" i="11"/>
  <c r="T46" i="11" a="1"/>
  <c r="T46" i="11"/>
  <c r="Y46" i="11"/>
  <c r="Z46" i="11"/>
  <c r="AA46" i="11"/>
  <c r="AB46" i="11"/>
  <c r="AC46" i="11"/>
  <c r="T47" i="11" a="1"/>
  <c r="T47" i="11"/>
  <c r="Y47" i="11"/>
  <c r="Z47" i="11"/>
  <c r="AA47" i="11"/>
  <c r="AB47" i="11"/>
  <c r="AC47" i="11"/>
  <c r="T48" i="11" a="1"/>
  <c r="T48" i="11"/>
  <c r="Y48" i="11"/>
  <c r="Z48" i="11"/>
  <c r="AA48" i="11"/>
  <c r="AB48" i="11"/>
  <c r="AC48" i="11"/>
  <c r="T49" i="11" a="1"/>
  <c r="T49" i="11"/>
  <c r="Y49" i="11"/>
  <c r="Z49" i="11"/>
  <c r="AA49" i="11"/>
  <c r="AB49" i="11"/>
  <c r="AC49" i="11"/>
  <c r="T50" i="11" a="1"/>
  <c r="T50" i="11"/>
  <c r="Y50" i="11"/>
  <c r="Z50" i="11"/>
  <c r="AA50" i="11"/>
  <c r="AB50" i="11"/>
  <c r="AC50" i="11"/>
  <c r="T51" i="11" a="1"/>
  <c r="T51" i="11"/>
  <c r="Y51" i="11"/>
  <c r="Z51" i="11"/>
  <c r="AA51" i="11"/>
  <c r="AB51" i="11"/>
  <c r="AC51" i="11"/>
  <c r="T52" i="11" a="1"/>
  <c r="T52" i="11"/>
  <c r="Y52" i="11"/>
  <c r="Z52" i="11"/>
  <c r="AA52" i="11"/>
  <c r="AB52" i="11"/>
  <c r="AC52" i="11"/>
  <c r="T53" i="11" a="1"/>
  <c r="T53" i="11"/>
  <c r="Y53" i="11"/>
  <c r="Z53" i="11"/>
  <c r="AA53" i="11"/>
  <c r="AB53" i="11"/>
  <c r="AC53" i="11"/>
  <c r="T54" i="11" a="1"/>
  <c r="T54" i="11"/>
  <c r="Y54" i="11"/>
  <c r="Z54" i="11"/>
  <c r="AA54" i="11"/>
  <c r="AB54" i="11"/>
  <c r="AC54" i="11"/>
  <c r="T55" i="11" a="1"/>
  <c r="T55" i="11"/>
  <c r="Y55" i="11"/>
  <c r="Z55" i="11"/>
  <c r="AA55" i="11"/>
  <c r="AB55" i="11"/>
  <c r="AC55" i="11"/>
  <c r="T56" i="11" a="1"/>
  <c r="T56" i="11"/>
  <c r="Y56" i="11"/>
  <c r="Z56" i="11"/>
  <c r="AA56" i="11"/>
  <c r="AB56" i="11"/>
  <c r="AC56" i="11"/>
  <c r="T57" i="11" a="1"/>
  <c r="T57" i="11"/>
  <c r="Y57" i="11"/>
  <c r="Z57" i="11"/>
  <c r="AA57" i="11"/>
  <c r="AB57" i="11"/>
  <c r="AC57" i="11"/>
  <c r="T58" i="11" a="1"/>
  <c r="T58" i="11"/>
  <c r="Y58" i="11"/>
  <c r="Z58" i="11"/>
  <c r="AA58" i="11"/>
  <c r="AB58" i="11"/>
  <c r="AC58" i="11"/>
  <c r="T59" i="11" a="1"/>
  <c r="T59" i="11"/>
  <c r="Y59" i="11"/>
  <c r="Z59" i="11"/>
  <c r="AA59" i="11"/>
  <c r="AB59" i="11"/>
  <c r="AC59" i="11"/>
  <c r="T60" i="11" a="1"/>
  <c r="T60" i="11"/>
  <c r="Y60" i="11"/>
  <c r="Z60" i="11"/>
  <c r="AA60" i="11"/>
  <c r="AB60" i="11"/>
  <c r="AC60" i="11"/>
  <c r="T61" i="11" a="1"/>
  <c r="T61" i="11"/>
  <c r="Y61" i="11"/>
  <c r="Z61" i="11"/>
  <c r="AA61" i="11"/>
  <c r="AB61" i="11"/>
  <c r="AC61" i="11"/>
  <c r="T62" i="11" a="1"/>
  <c r="T62" i="11"/>
  <c r="Y62" i="11"/>
  <c r="Z62" i="11"/>
  <c r="AA62" i="11"/>
  <c r="AB62" i="11"/>
  <c r="AC62" i="11"/>
  <c r="T63" i="11" a="1"/>
  <c r="T63" i="11"/>
  <c r="Y63" i="11"/>
  <c r="Z63" i="11"/>
  <c r="AA63" i="11"/>
  <c r="AB63" i="11"/>
  <c r="AC63" i="11"/>
  <c r="T64" i="11" a="1"/>
  <c r="T64" i="11"/>
  <c r="Y64" i="11"/>
  <c r="Z64" i="11"/>
  <c r="AA64" i="11"/>
  <c r="AB64" i="11"/>
  <c r="AC64" i="11"/>
  <c r="T65" i="11" a="1"/>
  <c r="T65" i="11"/>
  <c r="Y65" i="11"/>
  <c r="Z65" i="11"/>
  <c r="AA65" i="11"/>
  <c r="AB65" i="11"/>
  <c r="AC65" i="11"/>
  <c r="T66" i="11" a="1"/>
  <c r="T66" i="11"/>
  <c r="Y66" i="11"/>
  <c r="Z66" i="11"/>
  <c r="AA66" i="11"/>
  <c r="AB66" i="11"/>
  <c r="AC66" i="11"/>
  <c r="T67" i="11" a="1"/>
  <c r="T67" i="11"/>
  <c r="Y67" i="11"/>
  <c r="Z67" i="11"/>
  <c r="AA67" i="11"/>
  <c r="AB67" i="11"/>
  <c r="AC67" i="11"/>
  <c r="T68" i="11" a="1"/>
  <c r="T68" i="11"/>
  <c r="Y68" i="11"/>
  <c r="Z68" i="11"/>
  <c r="AA68" i="11"/>
  <c r="AB68" i="11"/>
  <c r="AC68" i="11"/>
  <c r="T69" i="11" a="1"/>
  <c r="T69" i="11"/>
  <c r="Y69" i="11"/>
  <c r="Z69" i="11"/>
  <c r="AA69" i="11"/>
  <c r="AB69" i="11"/>
  <c r="AC69" i="11"/>
  <c r="T70" i="11" a="1"/>
  <c r="T70" i="11"/>
  <c r="Y70" i="11"/>
  <c r="Z70" i="11"/>
  <c r="AA70" i="11"/>
  <c r="AB70" i="11"/>
  <c r="AC70" i="11"/>
  <c r="T71" i="11" a="1"/>
  <c r="T71" i="11"/>
  <c r="Y71" i="11"/>
  <c r="Z71" i="11"/>
  <c r="AA71" i="11"/>
  <c r="AB71" i="11"/>
  <c r="AC71" i="11"/>
  <c r="T72" i="11" a="1"/>
  <c r="T72" i="11"/>
  <c r="Y72" i="11"/>
  <c r="Z72" i="11"/>
  <c r="AA72" i="11"/>
  <c r="AB72" i="11"/>
  <c r="AC72" i="11"/>
  <c r="T73" i="11" a="1"/>
  <c r="T73" i="11"/>
  <c r="Y73" i="11"/>
  <c r="Z73" i="11"/>
  <c r="AA73" i="11"/>
  <c r="AB73" i="11"/>
  <c r="AC73" i="11"/>
  <c r="T74" i="11" a="1"/>
  <c r="T74" i="11"/>
  <c r="Y74" i="11"/>
  <c r="Z74" i="11"/>
  <c r="AA74" i="11"/>
  <c r="AB74" i="11"/>
  <c r="AC74" i="11"/>
  <c r="T75" i="11" a="1"/>
  <c r="T75" i="11"/>
  <c r="Y75" i="11"/>
  <c r="Z75" i="11"/>
  <c r="AA75" i="11"/>
  <c r="AB75" i="11"/>
  <c r="AC75" i="11"/>
  <c r="T76" i="11" a="1"/>
  <c r="T76" i="11"/>
  <c r="Y76" i="11"/>
  <c r="Z76" i="11"/>
  <c r="AA76" i="11"/>
  <c r="AB76" i="11"/>
  <c r="AC76" i="11"/>
  <c r="T77" i="11" a="1"/>
  <c r="T77" i="11"/>
  <c r="Y77" i="11"/>
  <c r="Z77" i="11"/>
  <c r="AA77" i="11"/>
  <c r="AB77" i="11"/>
  <c r="AC77" i="11"/>
  <c r="T78" i="11" a="1"/>
  <c r="T78" i="11"/>
  <c r="Y78" i="11"/>
  <c r="Z78" i="11"/>
  <c r="AA78" i="11"/>
  <c r="AB78" i="11"/>
  <c r="AC78" i="11"/>
  <c r="T79" i="11" a="1"/>
  <c r="T79" i="11"/>
  <c r="Y79" i="11"/>
  <c r="Z79" i="11"/>
  <c r="AA79" i="11"/>
  <c r="AB79" i="11"/>
  <c r="AC79" i="11"/>
  <c r="T80" i="11" a="1"/>
  <c r="T80" i="11"/>
  <c r="Y80" i="11"/>
  <c r="Z80" i="11"/>
  <c r="AA80" i="11"/>
  <c r="AB80" i="11"/>
  <c r="AC80" i="11"/>
  <c r="T81" i="11" a="1"/>
  <c r="T81" i="11"/>
  <c r="Y81" i="11"/>
  <c r="Z81" i="11"/>
  <c r="AA81" i="11"/>
  <c r="AB81" i="11"/>
  <c r="AC81" i="11"/>
  <c r="T82" i="11" a="1"/>
  <c r="T82" i="11"/>
  <c r="Y82" i="11"/>
  <c r="Z82" i="11"/>
  <c r="AA82" i="11"/>
  <c r="AB82" i="11"/>
  <c r="AC82" i="11"/>
  <c r="T83" i="11" a="1"/>
  <c r="T83" i="11"/>
  <c r="Y83" i="11"/>
  <c r="Z83" i="11"/>
  <c r="AA83" i="11"/>
  <c r="AB83" i="11"/>
  <c r="AC83" i="11"/>
  <c r="T84" i="11" a="1"/>
  <c r="T84" i="11"/>
  <c r="Y84" i="11"/>
  <c r="Z84" i="11"/>
  <c r="AA84" i="11"/>
  <c r="AB84" i="11"/>
  <c r="AC84" i="11"/>
  <c r="T85" i="11" a="1"/>
  <c r="T85" i="11"/>
  <c r="Y85" i="11"/>
  <c r="Z85" i="11"/>
  <c r="AA85" i="11"/>
  <c r="AB85" i="11"/>
  <c r="AC85" i="11"/>
  <c r="T86" i="11" a="1"/>
  <c r="T86" i="11"/>
  <c r="Y86" i="11"/>
  <c r="Z86" i="11"/>
  <c r="AA86" i="11"/>
  <c r="AB86" i="11"/>
  <c r="AC86" i="11"/>
  <c r="T87" i="11" a="1"/>
  <c r="T87" i="11"/>
  <c r="Y87" i="11"/>
  <c r="Z87" i="11"/>
  <c r="AA87" i="11"/>
  <c r="AB87" i="11"/>
  <c r="AC87" i="11"/>
  <c r="T88" i="11" a="1"/>
  <c r="T88" i="11"/>
  <c r="Y88" i="11"/>
  <c r="Z88" i="11"/>
  <c r="AA88" i="11"/>
  <c r="AB88" i="11"/>
  <c r="AC88" i="11"/>
  <c r="T89" i="11" a="1"/>
  <c r="T89" i="11"/>
  <c r="Y89" i="11"/>
  <c r="Z89" i="11"/>
  <c r="AA89" i="11"/>
  <c r="AB89" i="11"/>
  <c r="AC89" i="11"/>
  <c r="T90" i="11" a="1"/>
  <c r="T90" i="11"/>
  <c r="Y90" i="11"/>
  <c r="Z90" i="11"/>
  <c r="AA90" i="11"/>
  <c r="AB90" i="11"/>
  <c r="AC90" i="11"/>
  <c r="T91" i="11" a="1"/>
  <c r="T91" i="11"/>
  <c r="Y91" i="11"/>
  <c r="Z91" i="11"/>
  <c r="AA91" i="11"/>
  <c r="AB91" i="11"/>
  <c r="AC91" i="11"/>
  <c r="T92" i="11" a="1"/>
  <c r="T92" i="11"/>
  <c r="Y92" i="11"/>
  <c r="Z92" i="11"/>
  <c r="AA92" i="11"/>
  <c r="AB92" i="11"/>
  <c r="AC92" i="11"/>
  <c r="T93" i="11" a="1"/>
  <c r="T93" i="11"/>
  <c r="Y93" i="11"/>
  <c r="Z93" i="11"/>
  <c r="AA93" i="11"/>
  <c r="AB93" i="11"/>
  <c r="AC93" i="11"/>
  <c r="T94" i="11" a="1"/>
  <c r="T94" i="11"/>
  <c r="Y94" i="11"/>
  <c r="Z94" i="11"/>
  <c r="AA94" i="11"/>
  <c r="AB94" i="11"/>
  <c r="AC94" i="11"/>
  <c r="T95" i="11" a="1"/>
  <c r="T95" i="11"/>
  <c r="Y95" i="11"/>
  <c r="Z95" i="11"/>
  <c r="AA95" i="11"/>
  <c r="AB95" i="11"/>
  <c r="AC95" i="11"/>
  <c r="T96" i="11" a="1"/>
  <c r="T96" i="11"/>
  <c r="Y96" i="11"/>
  <c r="Z96" i="11"/>
  <c r="AA96" i="11"/>
  <c r="AB96" i="11"/>
  <c r="AC96" i="11"/>
  <c r="T97" i="11" a="1"/>
  <c r="T97" i="11"/>
  <c r="Y97" i="11"/>
  <c r="Z97" i="11"/>
  <c r="AA97" i="11"/>
  <c r="AB97" i="11"/>
  <c r="AC97" i="11"/>
  <c r="T98" i="11" a="1"/>
  <c r="T98" i="11"/>
  <c r="Y98" i="11"/>
  <c r="Z98" i="11"/>
  <c r="AA98" i="11"/>
  <c r="AB98" i="11"/>
  <c r="AC98" i="11"/>
  <c r="T99" i="11" a="1"/>
  <c r="T99" i="11"/>
  <c r="Y99" i="11"/>
  <c r="Z99" i="11"/>
  <c r="AA99" i="11"/>
  <c r="AB99" i="11"/>
  <c r="AC99" i="11"/>
  <c r="T100" i="11" a="1"/>
  <c r="T100" i="11"/>
  <c r="Y100" i="11"/>
  <c r="Z100" i="11"/>
  <c r="AA100" i="11"/>
  <c r="AB100" i="11"/>
  <c r="AC100" i="11"/>
  <c r="T101" i="11" a="1"/>
  <c r="T101" i="11"/>
  <c r="Y101" i="11"/>
  <c r="Z101" i="11"/>
  <c r="AA101" i="11"/>
  <c r="AB101" i="11"/>
  <c r="AC101" i="11"/>
  <c r="T102" i="11" a="1"/>
  <c r="T102" i="11"/>
  <c r="Y102" i="11"/>
  <c r="Z102" i="11"/>
  <c r="AA102" i="11"/>
  <c r="AB102" i="11"/>
  <c r="AC102" i="11"/>
  <c r="T103" i="11" a="1"/>
  <c r="T103" i="11"/>
  <c r="Y103" i="11"/>
  <c r="Z103" i="11"/>
  <c r="AA103" i="11"/>
  <c r="AB103" i="11"/>
  <c r="AC103" i="11"/>
  <c r="T104" i="11" a="1"/>
  <c r="T104" i="11"/>
  <c r="Y104" i="11"/>
  <c r="Z104" i="11"/>
  <c r="AA104" i="11"/>
  <c r="AB104" i="11"/>
  <c r="AC104" i="11"/>
  <c r="T105" i="11" a="1"/>
  <c r="T105" i="11"/>
  <c r="Y105" i="11"/>
  <c r="Z105" i="11"/>
  <c r="AA105" i="11"/>
  <c r="AB105" i="11"/>
  <c r="AC105" i="11"/>
  <c r="T106" i="11" a="1"/>
  <c r="T106" i="11"/>
  <c r="Y106" i="11"/>
  <c r="Z106" i="11"/>
  <c r="AA106" i="11"/>
  <c r="AB106" i="11"/>
  <c r="AC106" i="11"/>
  <c r="T107" i="11" a="1"/>
  <c r="T107" i="11"/>
  <c r="Y107" i="11"/>
  <c r="Z107" i="11"/>
  <c r="AA107" i="11"/>
  <c r="AB107" i="11"/>
  <c r="AC107" i="11"/>
  <c r="T108" i="11" a="1"/>
  <c r="T108" i="11"/>
  <c r="Y108" i="11"/>
  <c r="Z108" i="11"/>
  <c r="AA108" i="11"/>
  <c r="AB108" i="11"/>
  <c r="AC108" i="11"/>
  <c r="T109" i="11" a="1"/>
  <c r="T109" i="11"/>
  <c r="Y109" i="11"/>
  <c r="Z109" i="11"/>
  <c r="AA109" i="11"/>
  <c r="AB109" i="11"/>
  <c r="AC109" i="11"/>
  <c r="T110" i="11" a="1"/>
  <c r="T110" i="11"/>
  <c r="Y110" i="11"/>
  <c r="Z110" i="11"/>
  <c r="AA110" i="11"/>
  <c r="AB110" i="11"/>
  <c r="AC110" i="11"/>
  <c r="T111" i="11" a="1"/>
  <c r="T111" i="11"/>
  <c r="Y111" i="11"/>
  <c r="Z111" i="11"/>
  <c r="AA111" i="11"/>
  <c r="AB111" i="11"/>
  <c r="AC111" i="11"/>
  <c r="T112" i="11" a="1"/>
  <c r="T112" i="11"/>
  <c r="Y112" i="11"/>
  <c r="Z112" i="11"/>
  <c r="AA112" i="11"/>
  <c r="AB112" i="11"/>
  <c r="AC112" i="11"/>
  <c r="T113" i="11" a="1"/>
  <c r="T113" i="11"/>
  <c r="Y113" i="11"/>
  <c r="Z113" i="11"/>
  <c r="AA113" i="11"/>
  <c r="AB113" i="11"/>
  <c r="AC113" i="11"/>
  <c r="T114" i="11" a="1"/>
  <c r="T114" i="11"/>
  <c r="Y114" i="11"/>
  <c r="Z114" i="11"/>
  <c r="AA114" i="11"/>
  <c r="AB114" i="11"/>
  <c r="AC114" i="11"/>
  <c r="T115" i="11" a="1"/>
  <c r="T115" i="11"/>
  <c r="Y115" i="11"/>
  <c r="Z115" i="11"/>
  <c r="AA115" i="11"/>
  <c r="AB115" i="11"/>
  <c r="AC115" i="11"/>
  <c r="T116" i="11" a="1"/>
  <c r="T116" i="11"/>
  <c r="Y116" i="11"/>
  <c r="Z116" i="11"/>
  <c r="AA116" i="11"/>
  <c r="AB116" i="11"/>
  <c r="AC116" i="11"/>
  <c r="T117" i="11" a="1"/>
  <c r="T117" i="11"/>
  <c r="Y117" i="11"/>
  <c r="Z117" i="11"/>
  <c r="AA117" i="11"/>
  <c r="AB117" i="11"/>
  <c r="AC117" i="11"/>
  <c r="T118" i="11" a="1"/>
  <c r="T118" i="11"/>
  <c r="Y118" i="11"/>
  <c r="Z118" i="11"/>
  <c r="AA118" i="11"/>
  <c r="AB118" i="11"/>
  <c r="AC118" i="11"/>
  <c r="T119" i="11" a="1"/>
  <c r="T119" i="11"/>
  <c r="Y119" i="11"/>
  <c r="Z119" i="11"/>
  <c r="AA119" i="11"/>
  <c r="AB119" i="11"/>
  <c r="AC119" i="11"/>
  <c r="T120" i="11" a="1"/>
  <c r="T120" i="11"/>
  <c r="Y120" i="11"/>
  <c r="Z120" i="11"/>
  <c r="AA120" i="11"/>
  <c r="AB120" i="11"/>
  <c r="AC120" i="11"/>
  <c r="T121" i="11" a="1"/>
  <c r="T121" i="11"/>
  <c r="Y121" i="11"/>
  <c r="Z121" i="11"/>
  <c r="AA121" i="11"/>
  <c r="AB121" i="11"/>
  <c r="AC121" i="11"/>
  <c r="T122" i="11" a="1"/>
  <c r="T122" i="11"/>
  <c r="Y122" i="11"/>
  <c r="Z122" i="11"/>
  <c r="AA122" i="11"/>
  <c r="AB122" i="11"/>
  <c r="AC122" i="11"/>
  <c r="T123" i="11" a="1"/>
  <c r="T123" i="11"/>
  <c r="Y123" i="11"/>
  <c r="Z123" i="11"/>
  <c r="AA123" i="11"/>
  <c r="AB123" i="11"/>
  <c r="AC123" i="11"/>
  <c r="T124" i="11" a="1"/>
  <c r="T124" i="11"/>
  <c r="Y124" i="11"/>
  <c r="Z124" i="11"/>
  <c r="AA124" i="11"/>
  <c r="AB124" i="11"/>
  <c r="AC124" i="11"/>
  <c r="T125" i="11" a="1"/>
  <c r="T125" i="11"/>
  <c r="Y125" i="11"/>
  <c r="Z125" i="11"/>
  <c r="AA125" i="11"/>
  <c r="AB125" i="11"/>
  <c r="AC125" i="11"/>
  <c r="T126" i="11" a="1"/>
  <c r="T126" i="11"/>
  <c r="Y126" i="11"/>
  <c r="Z126" i="11"/>
  <c r="AA126" i="11"/>
  <c r="AB126" i="11"/>
  <c r="AC126" i="11"/>
  <c r="T127" i="11" a="1"/>
  <c r="T127" i="11"/>
  <c r="Y127" i="11"/>
  <c r="Z127" i="11"/>
  <c r="AA127" i="11"/>
  <c r="AB127" i="11"/>
  <c r="AC127" i="11"/>
  <c r="T128" i="11" a="1"/>
  <c r="T128" i="11"/>
  <c r="Y128" i="11"/>
  <c r="Z128" i="11"/>
  <c r="AA128" i="11"/>
  <c r="AB128" i="11"/>
  <c r="AC128" i="11"/>
  <c r="T129" i="11" a="1"/>
  <c r="T129" i="11"/>
  <c r="Y129" i="11"/>
  <c r="Z129" i="11"/>
  <c r="AA129" i="11"/>
  <c r="AB129" i="11"/>
  <c r="AC129" i="11"/>
  <c r="T130" i="11" a="1"/>
  <c r="T130" i="11"/>
  <c r="Y130" i="11"/>
  <c r="Z130" i="11"/>
  <c r="AA130" i="11"/>
  <c r="AB130" i="11"/>
  <c r="AC130" i="11"/>
  <c r="T131" i="11" a="1"/>
  <c r="T131" i="11"/>
  <c r="Y131" i="11"/>
  <c r="Z131" i="11"/>
  <c r="AA131" i="11"/>
  <c r="AB131" i="11"/>
  <c r="AC131" i="11"/>
  <c r="T132" i="11" a="1"/>
  <c r="T132" i="11"/>
  <c r="Y132" i="11"/>
  <c r="Z132" i="11"/>
  <c r="AA132" i="11"/>
  <c r="AB132" i="11"/>
  <c r="AC132" i="11"/>
  <c r="T133" i="11" a="1"/>
  <c r="T133" i="11"/>
  <c r="Y133" i="11"/>
  <c r="Z133" i="11"/>
  <c r="AA133" i="11"/>
  <c r="AB133" i="11"/>
  <c r="AC133" i="11"/>
  <c r="T134" i="11" a="1"/>
  <c r="T134" i="11"/>
  <c r="Y134" i="11"/>
  <c r="Z134" i="11"/>
  <c r="AA134" i="11"/>
  <c r="AB134" i="11"/>
  <c r="AC134" i="11"/>
  <c r="T135" i="11" a="1"/>
  <c r="T135" i="11"/>
  <c r="Y135" i="11"/>
  <c r="Z135" i="11"/>
  <c r="AA135" i="11"/>
  <c r="AB135" i="11"/>
  <c r="AC135" i="11"/>
  <c r="T136" i="11" a="1"/>
  <c r="T136" i="11"/>
  <c r="Y136" i="11"/>
  <c r="Z136" i="11"/>
  <c r="AA136" i="11"/>
  <c r="AB136" i="11"/>
  <c r="AC136" i="11"/>
  <c r="T137" i="11" a="1"/>
  <c r="T137" i="11"/>
  <c r="Y137" i="11"/>
  <c r="Z137" i="11"/>
  <c r="AA137" i="11"/>
  <c r="AB137" i="11"/>
  <c r="AC137" i="11"/>
  <c r="T138" i="11" a="1"/>
  <c r="T138" i="11"/>
  <c r="Y138" i="11"/>
  <c r="Z138" i="11"/>
  <c r="AA138" i="11"/>
  <c r="AB138" i="11"/>
  <c r="AC138" i="11"/>
  <c r="T139" i="11" a="1"/>
  <c r="T139" i="11"/>
  <c r="Y139" i="11"/>
  <c r="Z139" i="11"/>
  <c r="AA139" i="11"/>
  <c r="AB139" i="11"/>
  <c r="AC139" i="11"/>
  <c r="T140" i="11" a="1"/>
  <c r="T140" i="11"/>
  <c r="Y140" i="11"/>
  <c r="Z140" i="11"/>
  <c r="AA140" i="11"/>
  <c r="AB140" i="11"/>
  <c r="AC140" i="11"/>
  <c r="T141" i="11" a="1"/>
  <c r="T141" i="11"/>
  <c r="Y141" i="11"/>
  <c r="Z141" i="11"/>
  <c r="AA141" i="11"/>
  <c r="AB141" i="11"/>
  <c r="AC141" i="11"/>
  <c r="T142" i="11" a="1"/>
  <c r="T142" i="11"/>
  <c r="Y142" i="11"/>
  <c r="Z142" i="11"/>
  <c r="AA142" i="11"/>
  <c r="AB142" i="11"/>
  <c r="AC142" i="11"/>
  <c r="T143" i="11" a="1"/>
  <c r="T143" i="11"/>
  <c r="Y143" i="11"/>
  <c r="Z143" i="11"/>
  <c r="AA143" i="11"/>
  <c r="AB143" i="11"/>
  <c r="AC143" i="11"/>
  <c r="T144" i="11" a="1"/>
  <c r="T144" i="11"/>
  <c r="Y144" i="11"/>
  <c r="Z144" i="11"/>
  <c r="AA144" i="11"/>
  <c r="AB144" i="11"/>
  <c r="AC144" i="11"/>
  <c r="T145" i="11" a="1"/>
  <c r="T145" i="11"/>
  <c r="Y145" i="11"/>
  <c r="Z145" i="11"/>
  <c r="AA145" i="11"/>
  <c r="AB145" i="11"/>
  <c r="AC145" i="11"/>
  <c r="T146" i="11" a="1"/>
  <c r="T146" i="11"/>
  <c r="Y146" i="11"/>
  <c r="Z146" i="11"/>
  <c r="AA146" i="11"/>
  <c r="AB146" i="11"/>
  <c r="AC146" i="11"/>
  <c r="T147" i="11" a="1"/>
  <c r="T147" i="11"/>
  <c r="Y147" i="11"/>
  <c r="Z147" i="11"/>
  <c r="AA147" i="11"/>
  <c r="AB147" i="11"/>
  <c r="AC147" i="11"/>
  <c r="T148" i="11" a="1"/>
  <c r="T148" i="11"/>
  <c r="Y148" i="11"/>
  <c r="Z148" i="11"/>
  <c r="AA148" i="11"/>
  <c r="AB148" i="11"/>
  <c r="AC148" i="11"/>
  <c r="T149" i="11" a="1"/>
  <c r="T149" i="11"/>
  <c r="Y149" i="11"/>
  <c r="Z149" i="11"/>
  <c r="AA149" i="11"/>
  <c r="AB149" i="11"/>
  <c r="AC149" i="11"/>
  <c r="T150" i="11" a="1"/>
  <c r="T150" i="11"/>
  <c r="Y150" i="11"/>
  <c r="Z150" i="11"/>
  <c r="AA150" i="11"/>
  <c r="AB150" i="11"/>
  <c r="AC150" i="11"/>
  <c r="T151" i="11" a="1"/>
  <c r="T151" i="11"/>
  <c r="Y151" i="11"/>
  <c r="Z151" i="11"/>
  <c r="AA151" i="11"/>
  <c r="AB151" i="11"/>
  <c r="AC151" i="11"/>
  <c r="T152" i="11" a="1"/>
  <c r="T152" i="11"/>
  <c r="Y152" i="11"/>
  <c r="Z152" i="11"/>
  <c r="AA152" i="11"/>
  <c r="AB152" i="11"/>
  <c r="AC152" i="11"/>
  <c r="T153" i="11" a="1"/>
  <c r="T153" i="11"/>
  <c r="Y153" i="11"/>
  <c r="Z153" i="11"/>
  <c r="AA153" i="11"/>
  <c r="AB153" i="11"/>
  <c r="AC153" i="11"/>
  <c r="T154" i="11" a="1"/>
  <c r="T154" i="11"/>
  <c r="Y154" i="11"/>
  <c r="Z154" i="11"/>
  <c r="AA154" i="11"/>
  <c r="AB154" i="11"/>
  <c r="AC154" i="11"/>
  <c r="T155" i="11" a="1"/>
  <c r="T155" i="11"/>
  <c r="Y155" i="11"/>
  <c r="Z155" i="11"/>
  <c r="AA155" i="11"/>
  <c r="AB155" i="11"/>
  <c r="AC155" i="11"/>
  <c r="T156" i="11" a="1"/>
  <c r="T156" i="11"/>
  <c r="Y156" i="11"/>
  <c r="Z156" i="11"/>
  <c r="AA156" i="11"/>
  <c r="AB156" i="11"/>
  <c r="AC156" i="11"/>
  <c r="T157" i="11" a="1"/>
  <c r="T157" i="11"/>
  <c r="Y157" i="11"/>
  <c r="Z157" i="11"/>
  <c r="AA157" i="11"/>
  <c r="AB157" i="11"/>
  <c r="AC157" i="11"/>
  <c r="T158" i="11" a="1"/>
  <c r="T158" i="11"/>
  <c r="Y158" i="11"/>
  <c r="Z158" i="11"/>
  <c r="AA158" i="11"/>
  <c r="AB158" i="11"/>
  <c r="AC158" i="11"/>
  <c r="T159" i="11" a="1"/>
  <c r="T159" i="11"/>
  <c r="Y159" i="11"/>
  <c r="Z159" i="11"/>
  <c r="AA159" i="11"/>
  <c r="AB159" i="11"/>
  <c r="AC159" i="11"/>
  <c r="T160" i="11" a="1"/>
  <c r="T160" i="11"/>
  <c r="Y160" i="11"/>
  <c r="Z160" i="11"/>
  <c r="AA160" i="11"/>
  <c r="AB160" i="11"/>
  <c r="AC160" i="11"/>
  <c r="T161" i="11" a="1"/>
  <c r="T161" i="11"/>
  <c r="Y161" i="11"/>
  <c r="Z161" i="11"/>
  <c r="AA161" i="11"/>
  <c r="AB161" i="11"/>
  <c r="AC161" i="11"/>
  <c r="T162" i="11" a="1"/>
  <c r="T162" i="11"/>
  <c r="Y162" i="11"/>
  <c r="Z162" i="11"/>
  <c r="AA162" i="11"/>
  <c r="AB162" i="11"/>
  <c r="AC162" i="11"/>
  <c r="T163" i="11" a="1"/>
  <c r="T163" i="11"/>
  <c r="Y163" i="11"/>
  <c r="Z163" i="11"/>
  <c r="AA163" i="11"/>
  <c r="AB163" i="11"/>
  <c r="AC163" i="11"/>
  <c r="T164" i="11" a="1"/>
  <c r="T164" i="11"/>
  <c r="Y164" i="11"/>
  <c r="Z164" i="11"/>
  <c r="AA164" i="11"/>
  <c r="AB164" i="11"/>
  <c r="AC164" i="11"/>
  <c r="T165" i="11" a="1"/>
  <c r="T165" i="11"/>
  <c r="Y165" i="11"/>
  <c r="Z165" i="11"/>
  <c r="AA165" i="11"/>
  <c r="AB165" i="11"/>
  <c r="AC165" i="11"/>
  <c r="T166" i="11" a="1"/>
  <c r="T166" i="11"/>
  <c r="Y166" i="11"/>
  <c r="Z166" i="11"/>
  <c r="AA166" i="11"/>
  <c r="AB166" i="11"/>
  <c r="AC166" i="11"/>
  <c r="T167" i="11" a="1"/>
  <c r="T167" i="11"/>
  <c r="Y167" i="11"/>
  <c r="Z167" i="11"/>
  <c r="AA167" i="11"/>
  <c r="AB167" i="11"/>
  <c r="AC167" i="11"/>
  <c r="T168" i="11" a="1"/>
  <c r="T168" i="11"/>
  <c r="Y168" i="11"/>
  <c r="Z168" i="11"/>
  <c r="AA168" i="11"/>
  <c r="AB168" i="11"/>
  <c r="AC168" i="11"/>
  <c r="T169" i="11" a="1"/>
  <c r="T169" i="11"/>
  <c r="Y169" i="11"/>
  <c r="Z169" i="11"/>
  <c r="AA169" i="11"/>
  <c r="AB169" i="11"/>
  <c r="AC169" i="11"/>
  <c r="T170" i="11" a="1"/>
  <c r="T170" i="11"/>
  <c r="Y170" i="11"/>
  <c r="Z170" i="11"/>
  <c r="AA170" i="11"/>
  <c r="AB170" i="11"/>
  <c r="AC170" i="11"/>
  <c r="T171" i="11" a="1"/>
  <c r="T171" i="11"/>
  <c r="Y171" i="11"/>
  <c r="Z171" i="11"/>
  <c r="AA171" i="11"/>
  <c r="AB171" i="11"/>
  <c r="AC171" i="11"/>
  <c r="T172" i="11" a="1"/>
  <c r="T172" i="11"/>
  <c r="Y172" i="11"/>
  <c r="Z172" i="11"/>
  <c r="AA172" i="11"/>
  <c r="AB172" i="11"/>
  <c r="AC172" i="11"/>
  <c r="T173" i="11" a="1"/>
  <c r="T173" i="11"/>
  <c r="Y173" i="11"/>
  <c r="Z173" i="11"/>
  <c r="AA173" i="11"/>
  <c r="AB173" i="11"/>
  <c r="AC173" i="11"/>
  <c r="T174" i="11" a="1"/>
  <c r="T174" i="11"/>
  <c r="Y174" i="11"/>
  <c r="Z174" i="11"/>
  <c r="AA174" i="11"/>
  <c r="AB174" i="11"/>
  <c r="AC174" i="11"/>
  <c r="T175" i="11" a="1"/>
  <c r="T175" i="11"/>
  <c r="Y175" i="11"/>
  <c r="Z175" i="11"/>
  <c r="AA175" i="11"/>
  <c r="AB175" i="11"/>
  <c r="AC175" i="11"/>
  <c r="T176" i="11" a="1"/>
  <c r="T176" i="11"/>
  <c r="Y176" i="11"/>
  <c r="Z176" i="11"/>
  <c r="AA176" i="11"/>
  <c r="AB176" i="11"/>
  <c r="AC176" i="11"/>
  <c r="T177" i="11" a="1"/>
  <c r="T177" i="11"/>
  <c r="Y177" i="11"/>
  <c r="Z177" i="11"/>
  <c r="AA177" i="11"/>
  <c r="AB177" i="11"/>
  <c r="AC177" i="11"/>
  <c r="T178" i="11" a="1"/>
  <c r="T178" i="11"/>
  <c r="Y178" i="11"/>
  <c r="Z178" i="11"/>
  <c r="AA178" i="11"/>
  <c r="AB178" i="11"/>
  <c r="AC178" i="11"/>
  <c r="T179" i="11" a="1"/>
  <c r="T179" i="11"/>
  <c r="Y179" i="11"/>
  <c r="Z179" i="11"/>
  <c r="AA179" i="11"/>
  <c r="AB179" i="11"/>
  <c r="AC179" i="11"/>
  <c r="T180" i="11" a="1"/>
  <c r="T180" i="11"/>
  <c r="Y180" i="11"/>
  <c r="Z180" i="11"/>
  <c r="AA180" i="11"/>
  <c r="AB180" i="11"/>
  <c r="AC180" i="11"/>
  <c r="T181" i="11" a="1"/>
  <c r="T181" i="11"/>
  <c r="Y181" i="11"/>
  <c r="Z181" i="11"/>
  <c r="AA181" i="11"/>
  <c r="AB181" i="11"/>
  <c r="AC181" i="11"/>
  <c r="T182" i="11" a="1"/>
  <c r="T182" i="11"/>
  <c r="Y182" i="11"/>
  <c r="Z182" i="11"/>
  <c r="AA182" i="11"/>
  <c r="AB182" i="11"/>
  <c r="AC182" i="11"/>
  <c r="T183" i="11" a="1"/>
  <c r="T183" i="11"/>
  <c r="Y183" i="11"/>
  <c r="Z183" i="11"/>
  <c r="AA183" i="11"/>
  <c r="AB183" i="11"/>
  <c r="AC183" i="11"/>
  <c r="T184" i="11" a="1"/>
  <c r="T184" i="11"/>
  <c r="Y184" i="11"/>
  <c r="Z184" i="11"/>
  <c r="AA184" i="11"/>
  <c r="AB184" i="11"/>
  <c r="AC184" i="11"/>
  <c r="T185" i="11" a="1"/>
  <c r="T185" i="11"/>
  <c r="Y185" i="11"/>
  <c r="Z185" i="11"/>
  <c r="AA185" i="11"/>
  <c r="AB185" i="11"/>
  <c r="AC185" i="11"/>
  <c r="T186" i="11" a="1"/>
  <c r="T186" i="11"/>
  <c r="Y186" i="11"/>
  <c r="Z186" i="11"/>
  <c r="AA186" i="11"/>
  <c r="AB186" i="11"/>
  <c r="AC186" i="11"/>
  <c r="T187" i="11" a="1"/>
  <c r="T187" i="11"/>
  <c r="Y187" i="11"/>
  <c r="Z187" i="11"/>
  <c r="AA187" i="11"/>
  <c r="AB187" i="11"/>
  <c r="AC187" i="11"/>
  <c r="T188" i="11" a="1"/>
  <c r="T188" i="11"/>
  <c r="Y188" i="11"/>
  <c r="Z188" i="11"/>
  <c r="AA188" i="11"/>
  <c r="AB188" i="11"/>
  <c r="AC188" i="11"/>
  <c r="T189" i="11" a="1"/>
  <c r="T189" i="11"/>
  <c r="Y189" i="11"/>
  <c r="Z189" i="11"/>
  <c r="AA189" i="11"/>
  <c r="AB189" i="11"/>
  <c r="AC189" i="11"/>
  <c r="T190" i="11" a="1"/>
  <c r="T190" i="11"/>
  <c r="Y190" i="11"/>
  <c r="Z190" i="11"/>
  <c r="AA190" i="11"/>
  <c r="AB190" i="11"/>
  <c r="AC190" i="11"/>
  <c r="T191" i="11" a="1"/>
  <c r="T191" i="11"/>
  <c r="Y191" i="11"/>
  <c r="Z191" i="11"/>
  <c r="AA191" i="11"/>
  <c r="AB191" i="11"/>
  <c r="AC191" i="11"/>
  <c r="T192" i="11" a="1"/>
  <c r="T192" i="11"/>
  <c r="Y192" i="11"/>
  <c r="Z192" i="11"/>
  <c r="AA192" i="11"/>
  <c r="AB192" i="11"/>
  <c r="AC192" i="11"/>
  <c r="T193" i="11" a="1"/>
  <c r="T193" i="11"/>
  <c r="Y193" i="11"/>
  <c r="Z193" i="11"/>
  <c r="AA193" i="11"/>
  <c r="AB193" i="11"/>
  <c r="AC193" i="11"/>
  <c r="T194" i="11" a="1"/>
  <c r="T194" i="11"/>
  <c r="Y194" i="11"/>
  <c r="Z194" i="11"/>
  <c r="AA194" i="11"/>
  <c r="AB194" i="11"/>
  <c r="AC194" i="11"/>
  <c r="T195" i="11" a="1"/>
  <c r="T195" i="11"/>
  <c r="Y195" i="11"/>
  <c r="Z195" i="11"/>
  <c r="AA195" i="11"/>
  <c r="AB195" i="11"/>
  <c r="AC195" i="11"/>
  <c r="T196" i="11" a="1"/>
  <c r="T196" i="11"/>
  <c r="Y196" i="11"/>
  <c r="Z196" i="11"/>
  <c r="AA196" i="11"/>
  <c r="AB196" i="11"/>
  <c r="AC196" i="11"/>
  <c r="T197" i="11" a="1"/>
  <c r="T197" i="11"/>
  <c r="Y197" i="11"/>
  <c r="Z197" i="11"/>
  <c r="AA197" i="11"/>
  <c r="AB197" i="11"/>
  <c r="AC197" i="11"/>
  <c r="T198" i="11" a="1"/>
  <c r="T198" i="11"/>
  <c r="Y198" i="11"/>
  <c r="Z198" i="11"/>
  <c r="AA198" i="11"/>
  <c r="AB198" i="11"/>
  <c r="AC198" i="11"/>
  <c r="T199" i="11" a="1"/>
  <c r="T199" i="11"/>
  <c r="Y199" i="11"/>
  <c r="Z199" i="11"/>
  <c r="AA199" i="11"/>
  <c r="AB199" i="11"/>
  <c r="AC199" i="11"/>
  <c r="T200" i="11" a="1"/>
  <c r="T200" i="11"/>
  <c r="Y200" i="11"/>
  <c r="Z200" i="11"/>
  <c r="AA200" i="11"/>
  <c r="AB200" i="11"/>
  <c r="AC200" i="11"/>
  <c r="T201" i="11" a="1"/>
  <c r="T201" i="11"/>
  <c r="Y201" i="11"/>
  <c r="Z201" i="11"/>
  <c r="AA201" i="11"/>
  <c r="AB201" i="11"/>
  <c r="AC201" i="11"/>
  <c r="T202" i="11" a="1"/>
  <c r="T202" i="11"/>
  <c r="Y202" i="11"/>
  <c r="Z202" i="11"/>
  <c r="AA202" i="11"/>
  <c r="AB202" i="11"/>
  <c r="AC202" i="11"/>
  <c r="T203" i="11" a="1"/>
  <c r="T203" i="11"/>
  <c r="Y203" i="11"/>
  <c r="Z203" i="11"/>
  <c r="AA203" i="11"/>
  <c r="AB203" i="11"/>
  <c r="AC203" i="11"/>
  <c r="T204" i="11" a="1"/>
  <c r="T204" i="11"/>
  <c r="Y204" i="11"/>
  <c r="Z204" i="11"/>
  <c r="AA204" i="11"/>
  <c r="AB204" i="11"/>
  <c r="AC204" i="11"/>
  <c r="T205" i="11" a="1"/>
  <c r="T205" i="11"/>
  <c r="Y205" i="11"/>
  <c r="Z205" i="11"/>
  <c r="AA205" i="11"/>
  <c r="AB205" i="11"/>
  <c r="AC205" i="11"/>
  <c r="T206" i="11" a="1"/>
  <c r="T206" i="11"/>
  <c r="Y206" i="11"/>
  <c r="Z206" i="11"/>
  <c r="AA206" i="11"/>
  <c r="AB206" i="11"/>
  <c r="AC206" i="11"/>
  <c r="T207" i="11" a="1"/>
  <c r="T207" i="11"/>
  <c r="Y207" i="11"/>
  <c r="Z207" i="11"/>
  <c r="AA207" i="11"/>
  <c r="AB207" i="11"/>
  <c r="AC207" i="11"/>
  <c r="T208" i="11" a="1"/>
  <c r="T208" i="11"/>
  <c r="Y208" i="11"/>
  <c r="Z208" i="11"/>
  <c r="AA208" i="11"/>
  <c r="AB208" i="11"/>
  <c r="AC208" i="11"/>
  <c r="T209" i="11" a="1"/>
  <c r="T209" i="11"/>
  <c r="Y209" i="11"/>
  <c r="Z209" i="11"/>
  <c r="AA209" i="11"/>
  <c r="AB209" i="11"/>
  <c r="AC209" i="11"/>
  <c r="T210" i="11" a="1"/>
  <c r="T210" i="11"/>
  <c r="Y210" i="11"/>
  <c r="Z210" i="11"/>
  <c r="AA210" i="11"/>
  <c r="AB210" i="11"/>
  <c r="AC210" i="11"/>
  <c r="T211" i="11" a="1"/>
  <c r="T211" i="11"/>
  <c r="Y211" i="11"/>
  <c r="Z211" i="11"/>
  <c r="AA211" i="11"/>
  <c r="AB211" i="11"/>
  <c r="AC211" i="11"/>
  <c r="T212" i="11" a="1"/>
  <c r="T212" i="11"/>
  <c r="Y212" i="11"/>
  <c r="Z212" i="11"/>
  <c r="AA212" i="11"/>
  <c r="AB212" i="11"/>
  <c r="AC212" i="11"/>
  <c r="T213" i="11" a="1"/>
  <c r="T213" i="11"/>
  <c r="Y213" i="11"/>
  <c r="Z213" i="11"/>
  <c r="AA213" i="11"/>
  <c r="AB213" i="11"/>
  <c r="AC213" i="11"/>
  <c r="T214" i="11" a="1"/>
  <c r="T214" i="11"/>
  <c r="Y214" i="11"/>
  <c r="Z214" i="11"/>
  <c r="AA214" i="11"/>
  <c r="AB214" i="11"/>
  <c r="AC214" i="11"/>
  <c r="T215" i="11" a="1"/>
  <c r="T215" i="11"/>
  <c r="Y215" i="11"/>
  <c r="Z215" i="11"/>
  <c r="AA215" i="11"/>
  <c r="AB215" i="11"/>
  <c r="AC215" i="11"/>
  <c r="T216" i="11" a="1"/>
  <c r="T216" i="11"/>
  <c r="Y216" i="11"/>
  <c r="Z216" i="11"/>
  <c r="AA216" i="11"/>
  <c r="AB216" i="11"/>
  <c r="AC216" i="11"/>
  <c r="T217" i="11" a="1"/>
  <c r="T217" i="11"/>
  <c r="Y217" i="11"/>
  <c r="Z217" i="11"/>
  <c r="AA217" i="11"/>
  <c r="AB217" i="11"/>
  <c r="AC217" i="11"/>
  <c r="T218" i="11" a="1"/>
  <c r="T218" i="11"/>
  <c r="Y218" i="11"/>
  <c r="Z218" i="11"/>
  <c r="AA218" i="11"/>
  <c r="AB218" i="11"/>
  <c r="AC218" i="11"/>
  <c r="T219" i="11" a="1"/>
  <c r="T219" i="11"/>
  <c r="Y219" i="11"/>
  <c r="Z219" i="11"/>
  <c r="AA219" i="11"/>
  <c r="AB219" i="11"/>
  <c r="AC219" i="11"/>
  <c r="T220" i="11" a="1"/>
  <c r="T220" i="11"/>
  <c r="Y220" i="11"/>
  <c r="Z220" i="11"/>
  <c r="AA220" i="11"/>
  <c r="AB220" i="11"/>
  <c r="AC220" i="11"/>
  <c r="T221" i="11" a="1"/>
  <c r="T221" i="11"/>
  <c r="Y221" i="11"/>
  <c r="Z221" i="11"/>
  <c r="AA221" i="11"/>
  <c r="AB221" i="11"/>
  <c r="AC221" i="11"/>
  <c r="T222" i="11" a="1"/>
  <c r="T222" i="11"/>
  <c r="Y222" i="11"/>
  <c r="Z222" i="11"/>
  <c r="AA222" i="11"/>
  <c r="AB222" i="11"/>
  <c r="AC222" i="11"/>
  <c r="T223" i="11" a="1"/>
  <c r="T223" i="11"/>
  <c r="Y223" i="11"/>
  <c r="Z223" i="11"/>
  <c r="AA223" i="11"/>
  <c r="AB223" i="11"/>
  <c r="AC223" i="11"/>
  <c r="T224" i="11" a="1"/>
  <c r="T224" i="11"/>
  <c r="Y224" i="11"/>
  <c r="Z224" i="11"/>
  <c r="AA224" i="11"/>
  <c r="AB224" i="11"/>
  <c r="AC224" i="11"/>
  <c r="T225" i="11" a="1"/>
  <c r="T225" i="11"/>
  <c r="Y225" i="11"/>
  <c r="Z225" i="11"/>
  <c r="AA225" i="11"/>
  <c r="AB225" i="11"/>
  <c r="AC225" i="11"/>
  <c r="T226" i="11" a="1"/>
  <c r="T226" i="11"/>
  <c r="Y226" i="11"/>
  <c r="Z226" i="11"/>
  <c r="AA226" i="11"/>
  <c r="AB226" i="11"/>
  <c r="AC226" i="11"/>
  <c r="T227" i="11" a="1"/>
  <c r="T227" i="11"/>
  <c r="Y227" i="11"/>
  <c r="Z227" i="11"/>
  <c r="AA227" i="11"/>
  <c r="AB227" i="11"/>
  <c r="AC227" i="11"/>
  <c r="T228" i="11" a="1"/>
  <c r="T228" i="11"/>
  <c r="Y228" i="11"/>
  <c r="Z228" i="11"/>
  <c r="AA228" i="11"/>
  <c r="AB228" i="11"/>
  <c r="AC228" i="11"/>
  <c r="T229" i="11" a="1"/>
  <c r="T229" i="11"/>
  <c r="Y229" i="11"/>
  <c r="Z229" i="11"/>
  <c r="AA229" i="11"/>
  <c r="AB229" i="11"/>
  <c r="AC229" i="11"/>
  <c r="T230" i="11" a="1"/>
  <c r="T230" i="11"/>
  <c r="Y230" i="11"/>
  <c r="Z230" i="11"/>
  <c r="AA230" i="11"/>
  <c r="AB230" i="11"/>
  <c r="AC230" i="11"/>
  <c r="T231" i="11" a="1"/>
  <c r="T231" i="11"/>
  <c r="Y231" i="11"/>
  <c r="Z231" i="11"/>
  <c r="AA231" i="11"/>
  <c r="AB231" i="11"/>
  <c r="AC231" i="11"/>
  <c r="T232" i="11" a="1"/>
  <c r="T232" i="11"/>
  <c r="Y232" i="11"/>
  <c r="Z232" i="11"/>
  <c r="AA232" i="11"/>
  <c r="AB232" i="11"/>
  <c r="AC232" i="11"/>
  <c r="T233" i="11" a="1"/>
  <c r="T233" i="11"/>
  <c r="Y233" i="11"/>
  <c r="Z233" i="11"/>
  <c r="AA233" i="11"/>
  <c r="AB233" i="11"/>
  <c r="AC233" i="11"/>
  <c r="T234" i="11" a="1"/>
  <c r="T234" i="11"/>
  <c r="Y234" i="11"/>
  <c r="Z234" i="11"/>
  <c r="AA234" i="11"/>
  <c r="AB234" i="11"/>
  <c r="AC234" i="11"/>
  <c r="T235" i="11" a="1"/>
  <c r="T235" i="11"/>
  <c r="Y235" i="11"/>
  <c r="Z235" i="11"/>
  <c r="AA235" i="11"/>
  <c r="AB235" i="11"/>
  <c r="AC235" i="11"/>
  <c r="T236" i="11" a="1"/>
  <c r="T236" i="11"/>
  <c r="Y236" i="11"/>
  <c r="Z236" i="11"/>
  <c r="AA236" i="11"/>
  <c r="AB236" i="11"/>
  <c r="AC236" i="11"/>
  <c r="T237" i="11" a="1"/>
  <c r="T237" i="11"/>
  <c r="Y237" i="11"/>
  <c r="Z237" i="11"/>
  <c r="AA237" i="11"/>
  <c r="AB237" i="11"/>
  <c r="AC237" i="11"/>
  <c r="T238" i="11" a="1"/>
  <c r="T238" i="11"/>
  <c r="Y238" i="11"/>
  <c r="Z238" i="11"/>
  <c r="AA238" i="11"/>
  <c r="AB238" i="11"/>
  <c r="AC238" i="11"/>
  <c r="T239" i="11" a="1"/>
  <c r="T239" i="11"/>
  <c r="Y239" i="11"/>
  <c r="Z239" i="11"/>
  <c r="AA239" i="11"/>
  <c r="AB239" i="11"/>
  <c r="AC239" i="11"/>
  <c r="T240" i="11" a="1"/>
  <c r="T240" i="11"/>
  <c r="Y240" i="11"/>
  <c r="Z240" i="11"/>
  <c r="AA240" i="11"/>
  <c r="AB240" i="11"/>
  <c r="AC240" i="11"/>
  <c r="T241" i="11" a="1"/>
  <c r="T241" i="11"/>
  <c r="Y241" i="11"/>
  <c r="Z241" i="11"/>
  <c r="AA241" i="11"/>
  <c r="AB241" i="11"/>
  <c r="AC241" i="11"/>
  <c r="T242" i="11" a="1"/>
  <c r="T242" i="11"/>
  <c r="Y242" i="11"/>
  <c r="Z242" i="11"/>
  <c r="AA242" i="11"/>
  <c r="AB242" i="11"/>
  <c r="AC242" i="11"/>
  <c r="T243" i="11" a="1"/>
  <c r="T243" i="11"/>
  <c r="Y243" i="11"/>
  <c r="Z243" i="11"/>
  <c r="AA243" i="11"/>
  <c r="AB243" i="11"/>
  <c r="AC243" i="11"/>
  <c r="T244" i="11" a="1"/>
  <c r="T244" i="11"/>
  <c r="Y244" i="11"/>
  <c r="Z244" i="11"/>
  <c r="AA244" i="11"/>
  <c r="AB244" i="11"/>
  <c r="AC244" i="11"/>
  <c r="T245" i="11" a="1"/>
  <c r="T245" i="11"/>
  <c r="Y245" i="11"/>
  <c r="Z245" i="11"/>
  <c r="AA245" i="11"/>
  <c r="AB245" i="11"/>
  <c r="AC245" i="11"/>
  <c r="T246" i="11" a="1"/>
  <c r="T246" i="11"/>
  <c r="Y246" i="11"/>
  <c r="Z246" i="11"/>
  <c r="AA246" i="11"/>
  <c r="AB246" i="11"/>
  <c r="AC246" i="11"/>
  <c r="T247" i="11" a="1"/>
  <c r="T247" i="11"/>
  <c r="Y247" i="11"/>
  <c r="Z247" i="11"/>
  <c r="AA247" i="11"/>
  <c r="AB247" i="11"/>
  <c r="AC247" i="11"/>
  <c r="T248" i="11" a="1"/>
  <c r="T248" i="11"/>
  <c r="Y248" i="11"/>
  <c r="Z248" i="11"/>
  <c r="AA248" i="11"/>
  <c r="AB248" i="11"/>
  <c r="AC248" i="11"/>
  <c r="T249" i="11" a="1"/>
  <c r="T249" i="11"/>
  <c r="Y249" i="11"/>
  <c r="Z249" i="11"/>
  <c r="AA249" i="11"/>
  <c r="AB249" i="11"/>
  <c r="AC249" i="11"/>
  <c r="T250" i="11" a="1"/>
  <c r="T250" i="11"/>
  <c r="Y250" i="11"/>
  <c r="Z250" i="11"/>
  <c r="AA250" i="11"/>
  <c r="AB250" i="11"/>
  <c r="AC250" i="11"/>
  <c r="T251" i="11" a="1"/>
  <c r="T251" i="11"/>
  <c r="Y251" i="11"/>
  <c r="Z251" i="11"/>
  <c r="AA251" i="11"/>
  <c r="AB251" i="11"/>
  <c r="AC251" i="11"/>
  <c r="T252" i="11" a="1"/>
  <c r="T252" i="11"/>
  <c r="Y252" i="11"/>
  <c r="Z252" i="11"/>
  <c r="AA252" i="11"/>
  <c r="AB252" i="11"/>
  <c r="AC252" i="11"/>
  <c r="T253" i="11" a="1"/>
  <c r="T253" i="11"/>
  <c r="Y253" i="11"/>
  <c r="Z253" i="11"/>
  <c r="AA253" i="11"/>
  <c r="AB253" i="11"/>
  <c r="AC253" i="11"/>
  <c r="T254" i="11" a="1"/>
  <c r="T254" i="11"/>
  <c r="Y254" i="11"/>
  <c r="Z254" i="11"/>
  <c r="AA254" i="11"/>
  <c r="AB254" i="11"/>
  <c r="AC254" i="11"/>
  <c r="T255" i="11" a="1"/>
  <c r="T255" i="11"/>
  <c r="Y255" i="11"/>
  <c r="Z255" i="11"/>
  <c r="AA255" i="11"/>
  <c r="AB255" i="11"/>
  <c r="AC255" i="11"/>
  <c r="T256" i="11" a="1"/>
  <c r="T256" i="11"/>
  <c r="Y256" i="11"/>
  <c r="Z256" i="11"/>
  <c r="AA256" i="11"/>
  <c r="AB256" i="11"/>
  <c r="AC256" i="11"/>
  <c r="T257" i="11" a="1"/>
  <c r="T257" i="11"/>
  <c r="Y257" i="11"/>
  <c r="Z257" i="11"/>
  <c r="AA257" i="11"/>
  <c r="AB257" i="11"/>
  <c r="AC257" i="11"/>
  <c r="T258" i="11" a="1"/>
  <c r="T258" i="11"/>
  <c r="Y258" i="11"/>
  <c r="Z258" i="11"/>
  <c r="AA258" i="11"/>
  <c r="AB258" i="11"/>
  <c r="AC258" i="11"/>
  <c r="T259" i="11" a="1"/>
  <c r="T259" i="11"/>
  <c r="Y259" i="11"/>
  <c r="Z259" i="11"/>
  <c r="AA259" i="11"/>
  <c r="AB259" i="11"/>
  <c r="AC259" i="11"/>
  <c r="T260" i="11" a="1"/>
  <c r="T260" i="11"/>
  <c r="Y260" i="11"/>
  <c r="Z260" i="11"/>
  <c r="AA260" i="11"/>
  <c r="AB260" i="11"/>
  <c r="AC260" i="11"/>
  <c r="T261" i="11" a="1"/>
  <c r="T261" i="11"/>
  <c r="Y261" i="11"/>
  <c r="Z261" i="11"/>
  <c r="AA261" i="11"/>
  <c r="AB261" i="11"/>
  <c r="AC261" i="11"/>
  <c r="T262" i="11" a="1"/>
  <c r="T262" i="11"/>
  <c r="Y262" i="11"/>
  <c r="Z262" i="11"/>
  <c r="AA262" i="11"/>
  <c r="AB262" i="11"/>
  <c r="AC262" i="11"/>
  <c r="T263" i="11" a="1"/>
  <c r="T263" i="11"/>
  <c r="Y263" i="11"/>
  <c r="Z263" i="11"/>
  <c r="AA263" i="11"/>
  <c r="AB263" i="11"/>
  <c r="AC263" i="11"/>
  <c r="T264" i="11" a="1"/>
  <c r="T264" i="11"/>
  <c r="Y264" i="11"/>
  <c r="Z264" i="11"/>
  <c r="AA264" i="11"/>
  <c r="AB264" i="11"/>
  <c r="AC264" i="11"/>
  <c r="T265" i="11" a="1"/>
  <c r="T265" i="11"/>
  <c r="Y265" i="11"/>
  <c r="Z265" i="11"/>
  <c r="AA265" i="11"/>
  <c r="AB265" i="11"/>
  <c r="AC265" i="11"/>
  <c r="T266" i="11" a="1"/>
  <c r="T266" i="11"/>
  <c r="Y266" i="11"/>
  <c r="Z266" i="11"/>
  <c r="AA266" i="11"/>
  <c r="AB266" i="11"/>
  <c r="AC266" i="11"/>
  <c r="T267" i="11" a="1"/>
  <c r="T267" i="11"/>
  <c r="Y267" i="11"/>
  <c r="Z267" i="11"/>
  <c r="AA267" i="11"/>
  <c r="AB267" i="11"/>
  <c r="AC267" i="11"/>
  <c r="T268" i="11" a="1"/>
  <c r="T268" i="11"/>
  <c r="Y268" i="11"/>
  <c r="Z268" i="11"/>
  <c r="AA268" i="11"/>
  <c r="AB268" i="11"/>
  <c r="AC268" i="11"/>
  <c r="T269" i="11" a="1"/>
  <c r="T269" i="11"/>
  <c r="Y269" i="11"/>
  <c r="Z269" i="11"/>
  <c r="AA269" i="11"/>
  <c r="AB269" i="11"/>
  <c r="AC269" i="11"/>
  <c r="T270" i="11" a="1"/>
  <c r="T270" i="11"/>
  <c r="Y270" i="11"/>
  <c r="Z270" i="11"/>
  <c r="AA270" i="11"/>
  <c r="AB270" i="11"/>
  <c r="AC270" i="11"/>
  <c r="T271" i="11" a="1"/>
  <c r="T271" i="11"/>
  <c r="Y271" i="11"/>
  <c r="Z271" i="11"/>
  <c r="AA271" i="11"/>
  <c r="AB271" i="11"/>
  <c r="AC271" i="11"/>
  <c r="T272" i="11" a="1"/>
  <c r="T272" i="11"/>
  <c r="Y272" i="11"/>
  <c r="Z272" i="11"/>
  <c r="AA272" i="11"/>
  <c r="AB272" i="11"/>
  <c r="AC272" i="11"/>
  <c r="T273" i="11" a="1"/>
  <c r="T273" i="11"/>
  <c r="Y273" i="11"/>
  <c r="Z273" i="11"/>
  <c r="AA273" i="11"/>
  <c r="AB273" i="11"/>
  <c r="AC273" i="11"/>
  <c r="T274" i="11" a="1"/>
  <c r="T274" i="11"/>
  <c r="Y274" i="11"/>
  <c r="Z274" i="11"/>
  <c r="AA274" i="11"/>
  <c r="AB274" i="11"/>
  <c r="AC274" i="11"/>
  <c r="T275" i="11" a="1"/>
  <c r="T275" i="11"/>
  <c r="Y275" i="11"/>
  <c r="Z275" i="11"/>
  <c r="AA275" i="11"/>
  <c r="AB275" i="11"/>
  <c r="AC275" i="11"/>
  <c r="T276" i="11" a="1"/>
  <c r="T276" i="11"/>
  <c r="Y276" i="11"/>
  <c r="Z276" i="11"/>
  <c r="AA276" i="11"/>
  <c r="AB276" i="11"/>
  <c r="AC276" i="11"/>
  <c r="T277" i="11" a="1"/>
  <c r="T277" i="11"/>
  <c r="Y277" i="11"/>
  <c r="Z277" i="11"/>
  <c r="AA277" i="11"/>
  <c r="AB277" i="11"/>
  <c r="AC277" i="11"/>
  <c r="T278" i="11" a="1"/>
  <c r="T278" i="11"/>
  <c r="Y278" i="11"/>
  <c r="Z278" i="11"/>
  <c r="AA278" i="11"/>
  <c r="AB278" i="11"/>
  <c r="AC278" i="11"/>
  <c r="T279" i="11" a="1"/>
  <c r="T279" i="11"/>
  <c r="Y279" i="11"/>
  <c r="Z279" i="11"/>
  <c r="AA279" i="11"/>
  <c r="AB279" i="11"/>
  <c r="AC279" i="11"/>
  <c r="T280" i="11" a="1"/>
  <c r="T280" i="11"/>
  <c r="Y280" i="11"/>
  <c r="Z280" i="11"/>
  <c r="AA280" i="11"/>
  <c r="AB280" i="11"/>
  <c r="AC280" i="11"/>
  <c r="T281" i="11" a="1"/>
  <c r="T281" i="11"/>
  <c r="Y281" i="11"/>
  <c r="Z281" i="11"/>
  <c r="AA281" i="11"/>
  <c r="AB281" i="11"/>
  <c r="AC281" i="11"/>
  <c r="T282" i="11" a="1"/>
  <c r="T282" i="11"/>
  <c r="Y282" i="11"/>
  <c r="Z282" i="11"/>
  <c r="AA282" i="11"/>
  <c r="AB282" i="11"/>
  <c r="AC282" i="11"/>
  <c r="T283" i="11" a="1"/>
  <c r="T283" i="11"/>
  <c r="Y283" i="11"/>
  <c r="Z283" i="11"/>
  <c r="AA283" i="11"/>
  <c r="AB283" i="11"/>
  <c r="AC283" i="11"/>
  <c r="T284" i="11" a="1"/>
  <c r="T284" i="11"/>
  <c r="Y284" i="11"/>
  <c r="Z284" i="11"/>
  <c r="AA284" i="11"/>
  <c r="AB284" i="11"/>
  <c r="AC284" i="11"/>
  <c r="T285" i="11" a="1"/>
  <c r="T285" i="11"/>
  <c r="Y285" i="11"/>
  <c r="Z285" i="11"/>
  <c r="AA285" i="11"/>
  <c r="AB285" i="11"/>
  <c r="AC285" i="11"/>
  <c r="T286" i="11" a="1"/>
  <c r="T286" i="11"/>
  <c r="Y286" i="11"/>
  <c r="Z286" i="11"/>
  <c r="AA286" i="11"/>
  <c r="AB286" i="11"/>
  <c r="AC286" i="11"/>
  <c r="T287" i="11" a="1"/>
  <c r="T287" i="11"/>
  <c r="Y287" i="11"/>
  <c r="Z287" i="11"/>
  <c r="AA287" i="11"/>
  <c r="AB287" i="11"/>
  <c r="AC287" i="11"/>
  <c r="T288" i="11" a="1"/>
  <c r="T288" i="11"/>
  <c r="Y288" i="11"/>
  <c r="Z288" i="11"/>
  <c r="AA288" i="11"/>
  <c r="AB288" i="11"/>
  <c r="AC288" i="11"/>
  <c r="T289" i="11" a="1"/>
  <c r="T289" i="11"/>
  <c r="Y289" i="11"/>
  <c r="Z289" i="11"/>
  <c r="AA289" i="11"/>
  <c r="AB289" i="11"/>
  <c r="AC289" i="11"/>
  <c r="T290" i="11" a="1"/>
  <c r="T290" i="11"/>
  <c r="Y290" i="11"/>
  <c r="Z290" i="11"/>
  <c r="AA290" i="11"/>
  <c r="AB290" i="11"/>
  <c r="AC290" i="11"/>
  <c r="T291" i="11" a="1"/>
  <c r="T291" i="11"/>
  <c r="Y291" i="11"/>
  <c r="Z291" i="11"/>
  <c r="AA291" i="11"/>
  <c r="AB291" i="11"/>
  <c r="AC291" i="11"/>
  <c r="T292" i="11" a="1"/>
  <c r="T292" i="11"/>
  <c r="Y292" i="11"/>
  <c r="Z292" i="11"/>
  <c r="AA292" i="11"/>
  <c r="AB292" i="11"/>
  <c r="AC292" i="11"/>
  <c r="T293" i="11" a="1"/>
  <c r="T293" i="11"/>
  <c r="Y293" i="11"/>
  <c r="Z293" i="11"/>
  <c r="AA293" i="11"/>
  <c r="AB293" i="11"/>
  <c r="AC293" i="11"/>
  <c r="T294" i="11" a="1"/>
  <c r="T294" i="11"/>
  <c r="Y294" i="11"/>
  <c r="Z294" i="11"/>
  <c r="AA294" i="11"/>
  <c r="AB294" i="11"/>
  <c r="AC294" i="11"/>
  <c r="T295" i="11" a="1"/>
  <c r="T295" i="11"/>
  <c r="Y295" i="11"/>
  <c r="Z295" i="11"/>
  <c r="AA295" i="11"/>
  <c r="AB295" i="11"/>
  <c r="AC295" i="11"/>
  <c r="T296" i="11" a="1"/>
  <c r="T296" i="11"/>
  <c r="Y296" i="11"/>
  <c r="Z296" i="11"/>
  <c r="AA296" i="11"/>
  <c r="AB296" i="11"/>
  <c r="AC296" i="11"/>
  <c r="T297" i="11" a="1"/>
  <c r="T297" i="11"/>
  <c r="Y297" i="11"/>
  <c r="Z297" i="11"/>
  <c r="AA297" i="11"/>
  <c r="AB297" i="11"/>
  <c r="AC297" i="11"/>
  <c r="T298" i="11" a="1"/>
  <c r="T298" i="11"/>
  <c r="Y298" i="11"/>
  <c r="Z298" i="11"/>
  <c r="AA298" i="11"/>
  <c r="AB298" i="11"/>
  <c r="AC298" i="11"/>
  <c r="T299" i="11" a="1"/>
  <c r="T299" i="11"/>
  <c r="Y299" i="11"/>
  <c r="Z299" i="11"/>
  <c r="AA299" i="11"/>
  <c r="AB299" i="11"/>
  <c r="AC299" i="11"/>
  <c r="T300" i="11" a="1"/>
  <c r="T300" i="11"/>
  <c r="Y300" i="11"/>
  <c r="Z300" i="11"/>
  <c r="AA300" i="11"/>
  <c r="AB300" i="11"/>
  <c r="AC300" i="11"/>
  <c r="T301" i="11" a="1"/>
  <c r="T301" i="11"/>
  <c r="Y301" i="11"/>
  <c r="Z301" i="11"/>
  <c r="AA301" i="11"/>
  <c r="AB301" i="11"/>
  <c r="AC301" i="11"/>
  <c r="T302" i="11" a="1"/>
  <c r="T302" i="11"/>
  <c r="Y302" i="11"/>
  <c r="Z302" i="11"/>
  <c r="AA302" i="11"/>
  <c r="AB302" i="11"/>
  <c r="AC302" i="11"/>
  <c r="T303" i="11" a="1"/>
  <c r="T303" i="11"/>
  <c r="Y303" i="11"/>
  <c r="Z303" i="11"/>
  <c r="AA303" i="11"/>
  <c r="AB303" i="11"/>
  <c r="AC303" i="11"/>
  <c r="T304" i="11" a="1"/>
  <c r="T304" i="11"/>
  <c r="Y304" i="11"/>
  <c r="Z304" i="11"/>
  <c r="AA304" i="11"/>
  <c r="AB304" i="11"/>
  <c r="AC304" i="11"/>
  <c r="T305" i="11" a="1"/>
  <c r="T305" i="11"/>
  <c r="Y305" i="11"/>
  <c r="Z305" i="11"/>
  <c r="AA305" i="11"/>
  <c r="AB305" i="11"/>
  <c r="AC305" i="11"/>
  <c r="T306" i="11" a="1"/>
  <c r="T306" i="11"/>
  <c r="Y306" i="11"/>
  <c r="Z306" i="11"/>
  <c r="AA306" i="11"/>
  <c r="AB306" i="11"/>
  <c r="AC306" i="11"/>
  <c r="T307" i="11" a="1"/>
  <c r="T307" i="11"/>
  <c r="Y307" i="11"/>
  <c r="Z307" i="11"/>
  <c r="AA307" i="11"/>
  <c r="AB307" i="11"/>
  <c r="AC307" i="11"/>
  <c r="T308" i="11" a="1"/>
  <c r="T308" i="11"/>
  <c r="Y308" i="11"/>
  <c r="Z308" i="11"/>
  <c r="AA308" i="11"/>
  <c r="AB308" i="11"/>
  <c r="AC308" i="11"/>
  <c r="T309" i="11" a="1"/>
  <c r="T309" i="11"/>
  <c r="Y309" i="11"/>
  <c r="Z309" i="11"/>
  <c r="AA309" i="11"/>
  <c r="AB309" i="11"/>
  <c r="AC309" i="11"/>
  <c r="T310" i="11" a="1"/>
  <c r="T310" i="11"/>
  <c r="Y310" i="11"/>
  <c r="Z310" i="11"/>
  <c r="AA310" i="11"/>
  <c r="AB310" i="11"/>
  <c r="AC310" i="11"/>
  <c r="T311" i="11" a="1"/>
  <c r="T311" i="11"/>
  <c r="Y311" i="11"/>
  <c r="Z311" i="11"/>
  <c r="AA311" i="11"/>
  <c r="AB311" i="11"/>
  <c r="AC311" i="11"/>
  <c r="T312" i="11" a="1"/>
  <c r="T312" i="11"/>
  <c r="Y312" i="11"/>
  <c r="Z312" i="11"/>
  <c r="AA312" i="11"/>
  <c r="AB312" i="11"/>
  <c r="AC312" i="11"/>
  <c r="T313" i="11" a="1"/>
  <c r="T313" i="11"/>
  <c r="Y313" i="11"/>
  <c r="Z313" i="11"/>
  <c r="AA313" i="11"/>
  <c r="AB313" i="11"/>
  <c r="AC313" i="11"/>
  <c r="T314" i="11" a="1"/>
  <c r="T314" i="11"/>
  <c r="Y314" i="11"/>
  <c r="Z314" i="11"/>
  <c r="F15" i="8" a="1"/>
  <c r="F15" i="8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AO10" i="11" a="1"/>
  <c r="AO10" i="11"/>
  <c r="AF122" i="11"/>
  <c r="AG122" i="11"/>
  <c r="AF123" i="11"/>
  <c r="AG123" i="11"/>
  <c r="AF124" i="11"/>
  <c r="AG124" i="11"/>
  <c r="AF125" i="11"/>
  <c r="AG125" i="11"/>
  <c r="AF126" i="11"/>
  <c r="AG126" i="11"/>
  <c r="AF127" i="11"/>
  <c r="AG127" i="11"/>
  <c r="AF128" i="11"/>
  <c r="AG128" i="11"/>
  <c r="AF129" i="11"/>
  <c r="AG129" i="11"/>
  <c r="AF130" i="11"/>
  <c r="AG130" i="11"/>
  <c r="AF131" i="11"/>
  <c r="AG131" i="11"/>
  <c r="AF132" i="11"/>
  <c r="AG132" i="11"/>
  <c r="AF133" i="11"/>
  <c r="AG133" i="11"/>
  <c r="AF134" i="11"/>
  <c r="AG134" i="11"/>
  <c r="AF135" i="11"/>
  <c r="AG135" i="11"/>
  <c r="AF136" i="11"/>
  <c r="AG136" i="11"/>
  <c r="AF137" i="11"/>
  <c r="AG137" i="11"/>
  <c r="AF138" i="11"/>
  <c r="AG138" i="11"/>
  <c r="AF139" i="11"/>
  <c r="AG139" i="11"/>
  <c r="AF140" i="11"/>
  <c r="AG140" i="11"/>
  <c r="AF141" i="11"/>
  <c r="AG141" i="11"/>
  <c r="AF142" i="11"/>
  <c r="AG142" i="11"/>
  <c r="AF143" i="11"/>
  <c r="AG143" i="11"/>
  <c r="AF144" i="11"/>
  <c r="AG144" i="11"/>
  <c r="AF145" i="11"/>
  <c r="AG145" i="11"/>
  <c r="AF146" i="11"/>
  <c r="AG146" i="11"/>
  <c r="AF147" i="11"/>
  <c r="AG147" i="11"/>
  <c r="AF148" i="11"/>
  <c r="AG148" i="11"/>
  <c r="AF149" i="11"/>
  <c r="AG149" i="11"/>
  <c r="AF150" i="11"/>
  <c r="AG150" i="11"/>
  <c r="AF151" i="11"/>
  <c r="AG151" i="11"/>
  <c r="AF152" i="11"/>
  <c r="AG152" i="11"/>
  <c r="AF153" i="11"/>
  <c r="AG153" i="11"/>
  <c r="AF154" i="11"/>
  <c r="AG154" i="11"/>
  <c r="AF155" i="11"/>
  <c r="AG155" i="11"/>
  <c r="AF156" i="11"/>
  <c r="AG156" i="11"/>
  <c r="AF157" i="11"/>
  <c r="AG157" i="11"/>
  <c r="AF158" i="11"/>
  <c r="AG158" i="11"/>
  <c r="AF159" i="11"/>
  <c r="AG159" i="11"/>
  <c r="AF160" i="11"/>
  <c r="AG160" i="11"/>
  <c r="AF161" i="11"/>
  <c r="AG161" i="11"/>
  <c r="AF162" i="11"/>
  <c r="AG162" i="11"/>
  <c r="AF163" i="11"/>
  <c r="AG163" i="11"/>
  <c r="AF164" i="11"/>
  <c r="AG164" i="11"/>
  <c r="AF165" i="11"/>
  <c r="AG165" i="11"/>
  <c r="AF166" i="11"/>
  <c r="AG166" i="11"/>
  <c r="AF167" i="11"/>
  <c r="AG167" i="11"/>
  <c r="AF168" i="11"/>
  <c r="AG168" i="11"/>
  <c r="AF169" i="11"/>
  <c r="AG169" i="11"/>
  <c r="AF170" i="11"/>
  <c r="AG170" i="11"/>
  <c r="AF171" i="11"/>
  <c r="AG171" i="11"/>
  <c r="AF172" i="11"/>
  <c r="AG172" i="11"/>
  <c r="AF173" i="11"/>
  <c r="AG173" i="11"/>
  <c r="AF174" i="11"/>
  <c r="AG174" i="11"/>
  <c r="AF175" i="11"/>
  <c r="AG175" i="11"/>
  <c r="AF176" i="11"/>
  <c r="AG176" i="11"/>
  <c r="AF177" i="11"/>
  <c r="AG177" i="11"/>
  <c r="AF178" i="11"/>
  <c r="AG178" i="11"/>
  <c r="AF179" i="11"/>
  <c r="AG179" i="11"/>
  <c r="AF180" i="11"/>
  <c r="AG180" i="11"/>
  <c r="AF181" i="11"/>
  <c r="AG181" i="11"/>
  <c r="AF182" i="11"/>
  <c r="AG182" i="11"/>
  <c r="AF183" i="11"/>
  <c r="AG183" i="11"/>
  <c r="AF184" i="11"/>
  <c r="AG184" i="11"/>
  <c r="AF185" i="11"/>
  <c r="AG185" i="11"/>
  <c r="AF186" i="11"/>
  <c r="AG186" i="11"/>
  <c r="AF187" i="11"/>
  <c r="AG187" i="11"/>
  <c r="AF188" i="11"/>
  <c r="AG188" i="11"/>
  <c r="AF189" i="11"/>
  <c r="AG189" i="11"/>
  <c r="AF190" i="11"/>
  <c r="AG190" i="11"/>
  <c r="AF191" i="11"/>
  <c r="AG191" i="11"/>
  <c r="AF192" i="11"/>
  <c r="AG192" i="11"/>
  <c r="AF193" i="11"/>
  <c r="AG193" i="11"/>
  <c r="AF194" i="11"/>
  <c r="AG194" i="11"/>
  <c r="AF195" i="11"/>
  <c r="AG195" i="11"/>
  <c r="AF196" i="11"/>
  <c r="AG196" i="11"/>
  <c r="AF197" i="11"/>
  <c r="AG197" i="11"/>
  <c r="AF198" i="11"/>
  <c r="AG198" i="11"/>
  <c r="AF199" i="11"/>
  <c r="AG199" i="11"/>
  <c r="AF200" i="11"/>
  <c r="AG200" i="11"/>
  <c r="AF201" i="11"/>
  <c r="AG201" i="11"/>
  <c r="AF202" i="11"/>
  <c r="AG202" i="11"/>
  <c r="AF203" i="11"/>
  <c r="AG203" i="11"/>
  <c r="AF204" i="11"/>
  <c r="AG204" i="11"/>
  <c r="AF205" i="11"/>
  <c r="AG205" i="11"/>
  <c r="AF206" i="11"/>
  <c r="AG206" i="11"/>
  <c r="AF207" i="11"/>
  <c r="AG207" i="11"/>
  <c r="AF208" i="11"/>
  <c r="AG208" i="11"/>
  <c r="AF209" i="11"/>
  <c r="AG209" i="11"/>
  <c r="AF210" i="11"/>
  <c r="AG210" i="11"/>
  <c r="AF211" i="11"/>
  <c r="AG211" i="11"/>
  <c r="AF212" i="11"/>
  <c r="AG212" i="11"/>
  <c r="AF213" i="11"/>
  <c r="AG213" i="11"/>
  <c r="AF214" i="11"/>
  <c r="AG214" i="11"/>
  <c r="AF215" i="11"/>
  <c r="AG215" i="11"/>
  <c r="AF216" i="11"/>
  <c r="AG216" i="11"/>
  <c r="AF217" i="11"/>
  <c r="AG217" i="11"/>
  <c r="AF218" i="11"/>
  <c r="AG218" i="11"/>
  <c r="AF219" i="11"/>
  <c r="AG219" i="11"/>
  <c r="AF220" i="11"/>
  <c r="AG220" i="11"/>
  <c r="AF221" i="11"/>
  <c r="AG221" i="11"/>
  <c r="AH122" i="11"/>
  <c r="AH123" i="11"/>
  <c r="AH124" i="11"/>
  <c r="AH125" i="11"/>
  <c r="AH126" i="11"/>
  <c r="AH127" i="11"/>
  <c r="AH128" i="11"/>
  <c r="AH129" i="11"/>
  <c r="AH130" i="11"/>
  <c r="AH131" i="11"/>
  <c r="AH132" i="11"/>
  <c r="AH133" i="11"/>
  <c r="AH134" i="11"/>
  <c r="AH135" i="11"/>
  <c r="AH136" i="11"/>
  <c r="AH137" i="11"/>
  <c r="AH138" i="11"/>
  <c r="AH139" i="11"/>
  <c r="AH140" i="11"/>
  <c r="AH141" i="11"/>
  <c r="AH142" i="11"/>
  <c r="AH143" i="11"/>
  <c r="AH144" i="11"/>
  <c r="AH145" i="11"/>
  <c r="AH146" i="11"/>
  <c r="AH147" i="11"/>
  <c r="AH148" i="11"/>
  <c r="AH149" i="11"/>
  <c r="AH150" i="11"/>
  <c r="AH151" i="11"/>
  <c r="AH152" i="11"/>
  <c r="AH153" i="11"/>
  <c r="AH154" i="11"/>
  <c r="AH155" i="11"/>
  <c r="AH156" i="11"/>
  <c r="AH157" i="11"/>
  <c r="AH158" i="11"/>
  <c r="AH159" i="11"/>
  <c r="AH160" i="11"/>
  <c r="AH161" i="11"/>
  <c r="AH162" i="11"/>
  <c r="AH163" i="11"/>
  <c r="AH164" i="11"/>
  <c r="AH165" i="11"/>
  <c r="AH166" i="11"/>
  <c r="AH167" i="11"/>
  <c r="AH168" i="11"/>
  <c r="AH169" i="11"/>
  <c r="AH170" i="11"/>
  <c r="AH171" i="11"/>
  <c r="AH172" i="11"/>
  <c r="AH173" i="11"/>
  <c r="AH174" i="11"/>
  <c r="AH175" i="11"/>
  <c r="AH176" i="11"/>
  <c r="AH177" i="11"/>
  <c r="AH178" i="11"/>
  <c r="AH179" i="11"/>
  <c r="AH180" i="11"/>
  <c r="AH181" i="11"/>
  <c r="AH182" i="11"/>
  <c r="AH183" i="11"/>
  <c r="AH184" i="11"/>
  <c r="AH185" i="11"/>
  <c r="AH186" i="11"/>
  <c r="AH187" i="11"/>
  <c r="AH188" i="11"/>
  <c r="AH189" i="11"/>
  <c r="AH190" i="11"/>
  <c r="AH191" i="11"/>
  <c r="AH192" i="11"/>
  <c r="AH193" i="11"/>
  <c r="AH194" i="11"/>
  <c r="AH195" i="11"/>
  <c r="AH196" i="11"/>
  <c r="AH197" i="11"/>
  <c r="AH198" i="11"/>
  <c r="AH199" i="11"/>
  <c r="AH200" i="11"/>
  <c r="AH201" i="11"/>
  <c r="AH202" i="11"/>
  <c r="AH203" i="11"/>
  <c r="AH204" i="11"/>
  <c r="AH205" i="11"/>
  <c r="AH206" i="11"/>
  <c r="AH207" i="11"/>
  <c r="AH208" i="11"/>
  <c r="AH209" i="11"/>
  <c r="AH210" i="11"/>
  <c r="AH211" i="11"/>
  <c r="AH212" i="11"/>
  <c r="AH213" i="11"/>
  <c r="AH214" i="11"/>
  <c r="AH215" i="11"/>
  <c r="AH216" i="11"/>
  <c r="AH217" i="11"/>
  <c r="AH218" i="11"/>
  <c r="AH219" i="11"/>
  <c r="AH220" i="11"/>
  <c r="AH221" i="11"/>
  <c r="AF120" i="11"/>
  <c r="AF118" i="11"/>
  <c r="AI122" i="11"/>
  <c r="AJ122" i="11"/>
  <c r="AK122" i="11"/>
  <c r="AI123" i="11"/>
  <c r="AJ123" i="11"/>
  <c r="AK123" i="11"/>
  <c r="AI124" i="11"/>
  <c r="AJ124" i="11"/>
  <c r="AK124" i="11"/>
  <c r="AI125" i="11"/>
  <c r="AJ125" i="11"/>
  <c r="AK125" i="11"/>
  <c r="AI126" i="11"/>
  <c r="AJ126" i="11"/>
  <c r="AK126" i="11"/>
  <c r="AI127" i="11"/>
  <c r="AJ127" i="11"/>
  <c r="AK127" i="11"/>
  <c r="AI128" i="11"/>
  <c r="AJ128" i="11"/>
  <c r="AK128" i="11"/>
  <c r="AI129" i="11"/>
  <c r="AJ129" i="11"/>
  <c r="AK129" i="11"/>
  <c r="AI130" i="11"/>
  <c r="AJ130" i="11"/>
  <c r="AK130" i="11"/>
  <c r="AI131" i="11"/>
  <c r="AJ131" i="11"/>
  <c r="AK131" i="11"/>
  <c r="AI132" i="11"/>
  <c r="AJ132" i="11"/>
  <c r="AK132" i="11"/>
  <c r="AI133" i="11"/>
  <c r="AJ133" i="11"/>
  <c r="AK133" i="11"/>
  <c r="AI134" i="11"/>
  <c r="AJ134" i="11"/>
  <c r="AK134" i="11"/>
  <c r="AI135" i="11"/>
  <c r="AJ135" i="11"/>
  <c r="AK135" i="11"/>
  <c r="AI136" i="11"/>
  <c r="AJ136" i="11"/>
  <c r="AK136" i="11"/>
  <c r="AI137" i="11"/>
  <c r="AJ137" i="11"/>
  <c r="AK137" i="11"/>
  <c r="AI138" i="11"/>
  <c r="AJ138" i="11"/>
  <c r="AK138" i="11"/>
  <c r="AI139" i="11"/>
  <c r="AJ139" i="11"/>
  <c r="AK139" i="11"/>
  <c r="AI140" i="11"/>
  <c r="AJ140" i="11"/>
  <c r="AK140" i="11"/>
  <c r="AI141" i="11"/>
  <c r="AJ141" i="11"/>
  <c r="AK141" i="11"/>
  <c r="AI142" i="11"/>
  <c r="AJ142" i="11"/>
  <c r="AK142" i="11"/>
  <c r="AI143" i="11"/>
  <c r="AJ143" i="11"/>
  <c r="AK143" i="11"/>
  <c r="AI144" i="11"/>
  <c r="AJ144" i="11"/>
  <c r="AK144" i="11"/>
  <c r="AI145" i="11"/>
  <c r="AJ145" i="11"/>
  <c r="AK145" i="11"/>
  <c r="AI146" i="11"/>
  <c r="AJ146" i="11"/>
  <c r="AK146" i="11"/>
  <c r="AI147" i="11"/>
  <c r="AJ147" i="11"/>
  <c r="AK147" i="11"/>
  <c r="AI148" i="11"/>
  <c r="AJ148" i="11"/>
  <c r="AK148" i="11"/>
  <c r="AI149" i="11"/>
  <c r="AJ149" i="11"/>
  <c r="AK149" i="11"/>
  <c r="AI150" i="11"/>
  <c r="AJ150" i="11"/>
  <c r="AK150" i="11"/>
  <c r="AI151" i="11"/>
  <c r="AJ151" i="11"/>
  <c r="AK151" i="11"/>
  <c r="AI152" i="11"/>
  <c r="AJ152" i="11"/>
  <c r="AK152" i="11"/>
  <c r="AI153" i="11"/>
  <c r="AJ153" i="11"/>
  <c r="AK153" i="11"/>
  <c r="AI154" i="11"/>
  <c r="AJ154" i="11"/>
  <c r="AK154" i="11"/>
  <c r="AI155" i="11"/>
  <c r="AJ155" i="11"/>
  <c r="AK155" i="11"/>
  <c r="AI156" i="11"/>
  <c r="AJ156" i="11"/>
  <c r="AK156" i="11"/>
  <c r="AI157" i="11"/>
  <c r="AJ157" i="11"/>
  <c r="AK157" i="11"/>
  <c r="AI158" i="11"/>
  <c r="AJ158" i="11"/>
  <c r="AK158" i="11"/>
  <c r="AI159" i="11"/>
  <c r="AJ159" i="11"/>
  <c r="AK159" i="11"/>
  <c r="AI160" i="11"/>
  <c r="AJ160" i="11"/>
  <c r="AK160" i="11"/>
  <c r="AI161" i="11"/>
  <c r="AJ161" i="11"/>
  <c r="AK161" i="11"/>
  <c r="AI162" i="11"/>
  <c r="AJ162" i="11"/>
  <c r="AK162" i="11"/>
  <c r="AI163" i="11"/>
  <c r="AJ163" i="11"/>
  <c r="AK163" i="11"/>
  <c r="AI164" i="11"/>
  <c r="AJ164" i="11"/>
  <c r="AK164" i="11"/>
  <c r="AI165" i="11"/>
  <c r="AJ165" i="11"/>
  <c r="AK165" i="11"/>
  <c r="AI166" i="11"/>
  <c r="AJ166" i="11"/>
  <c r="AK166" i="11"/>
  <c r="AI167" i="11"/>
  <c r="AJ167" i="11"/>
  <c r="AK167" i="11"/>
  <c r="AI168" i="11"/>
  <c r="AJ168" i="11"/>
  <c r="AK168" i="11"/>
  <c r="AI169" i="11"/>
  <c r="AJ169" i="11"/>
  <c r="AK169" i="11"/>
  <c r="AI170" i="11"/>
  <c r="AJ170" i="11"/>
  <c r="AK170" i="11"/>
  <c r="AI171" i="11"/>
  <c r="AJ171" i="11"/>
  <c r="AK171" i="11"/>
  <c r="AI172" i="11"/>
  <c r="AJ172" i="11"/>
  <c r="AK172" i="11"/>
  <c r="AI173" i="11"/>
  <c r="AJ173" i="11"/>
  <c r="AK173" i="11"/>
  <c r="AI174" i="11"/>
  <c r="AJ174" i="11"/>
  <c r="AK174" i="11"/>
  <c r="AI175" i="11"/>
  <c r="AJ175" i="11"/>
  <c r="AK175" i="11"/>
  <c r="AI176" i="11"/>
  <c r="AJ176" i="11"/>
  <c r="AK176" i="11"/>
  <c r="AI177" i="11"/>
  <c r="AJ177" i="11"/>
  <c r="AK177" i="11"/>
  <c r="AI178" i="11"/>
  <c r="AJ178" i="11"/>
  <c r="AK178" i="11"/>
  <c r="AI179" i="11"/>
  <c r="AJ179" i="11"/>
  <c r="AK179" i="11"/>
  <c r="AI180" i="11"/>
  <c r="AJ180" i="11"/>
  <c r="AK180" i="11"/>
  <c r="AI181" i="11"/>
  <c r="AJ181" i="11"/>
  <c r="AK181" i="11"/>
  <c r="AI182" i="11"/>
  <c r="AJ182" i="11"/>
  <c r="AK182" i="11"/>
  <c r="AI183" i="11"/>
  <c r="AJ183" i="11"/>
  <c r="AK183" i="11"/>
  <c r="AI184" i="11"/>
  <c r="AJ184" i="11"/>
  <c r="AK184" i="11"/>
  <c r="AI185" i="11"/>
  <c r="AJ185" i="11"/>
  <c r="AK185" i="11"/>
  <c r="AI186" i="11"/>
  <c r="AJ186" i="11"/>
  <c r="AK186" i="11"/>
  <c r="AI187" i="11"/>
  <c r="AJ187" i="11"/>
  <c r="AK187" i="11"/>
  <c r="AI188" i="11"/>
  <c r="AJ188" i="11"/>
  <c r="AK188" i="11"/>
  <c r="AI189" i="11"/>
  <c r="AJ189" i="11"/>
  <c r="AK189" i="11"/>
  <c r="AI190" i="11"/>
  <c r="AJ190" i="11"/>
  <c r="AK190" i="11"/>
  <c r="AI191" i="11"/>
  <c r="AJ191" i="11"/>
  <c r="AK191" i="11"/>
  <c r="AI192" i="11"/>
  <c r="AJ192" i="11"/>
  <c r="AK192" i="11"/>
  <c r="AI193" i="11"/>
  <c r="AJ193" i="11"/>
  <c r="AK193" i="11"/>
  <c r="AI194" i="11"/>
  <c r="AJ194" i="11"/>
  <c r="AK194" i="11"/>
  <c r="AI195" i="11"/>
  <c r="AJ195" i="11"/>
  <c r="AK195" i="11"/>
  <c r="AI196" i="11"/>
  <c r="AJ196" i="11"/>
  <c r="AK196" i="11"/>
  <c r="AI197" i="11"/>
  <c r="AJ197" i="11"/>
  <c r="AK197" i="11"/>
  <c r="AI198" i="11"/>
  <c r="AJ198" i="11"/>
  <c r="AK198" i="11"/>
  <c r="AI199" i="11"/>
  <c r="AJ199" i="11"/>
  <c r="AK199" i="11"/>
  <c r="AI200" i="11"/>
  <c r="AJ200" i="11"/>
  <c r="AK200" i="11"/>
  <c r="AI201" i="11"/>
  <c r="AJ201" i="11"/>
  <c r="AK201" i="11"/>
  <c r="AI202" i="11"/>
  <c r="AJ202" i="11"/>
  <c r="AK202" i="11"/>
  <c r="AI203" i="11"/>
  <c r="AJ203" i="11"/>
  <c r="AK203" i="11"/>
  <c r="AI204" i="11"/>
  <c r="AJ204" i="11"/>
  <c r="AK204" i="11"/>
  <c r="AI205" i="11"/>
  <c r="AJ205" i="11"/>
  <c r="AK205" i="11"/>
  <c r="AI206" i="11"/>
  <c r="AJ206" i="11"/>
  <c r="AK206" i="11"/>
  <c r="AI207" i="11"/>
  <c r="AJ207" i="11"/>
  <c r="AK207" i="11"/>
  <c r="AI208" i="11"/>
  <c r="AJ208" i="11"/>
  <c r="AK208" i="11"/>
  <c r="AI209" i="11"/>
  <c r="AJ209" i="11"/>
  <c r="AK209" i="11"/>
  <c r="AI210" i="11"/>
  <c r="AJ210" i="11"/>
  <c r="AK210" i="11"/>
  <c r="AI211" i="11"/>
  <c r="AJ211" i="11"/>
  <c r="AK211" i="11"/>
  <c r="AI212" i="11"/>
  <c r="AJ212" i="11"/>
  <c r="AK212" i="11"/>
  <c r="AI213" i="11"/>
  <c r="AJ213" i="11"/>
  <c r="AK213" i="11"/>
  <c r="AI214" i="11"/>
  <c r="AJ214" i="11"/>
  <c r="AK214" i="11"/>
  <c r="AI215" i="11"/>
  <c r="AJ215" i="11"/>
  <c r="AK215" i="11"/>
  <c r="AI216" i="11"/>
  <c r="AJ216" i="11"/>
  <c r="AK216" i="11"/>
  <c r="AI217" i="11"/>
  <c r="AJ217" i="11"/>
  <c r="AK217" i="11"/>
  <c r="AI218" i="11"/>
  <c r="AJ218" i="11"/>
  <c r="AK218" i="11"/>
  <c r="AI219" i="11"/>
  <c r="AJ219" i="11"/>
  <c r="AK219" i="11"/>
  <c r="AI220" i="11"/>
  <c r="AJ220" i="11"/>
  <c r="AK220" i="11"/>
  <c r="AI221" i="11"/>
  <c r="AJ221" i="11"/>
  <c r="AK221" i="11"/>
  <c r="AL122" i="11"/>
  <c r="AL123" i="11"/>
  <c r="AL124" i="11"/>
  <c r="AL125" i="11"/>
  <c r="AL126" i="11"/>
  <c r="AL127" i="11"/>
  <c r="AL128" i="11"/>
  <c r="AL129" i="11"/>
  <c r="AL130" i="11"/>
  <c r="AL131" i="11"/>
  <c r="AL132" i="11"/>
  <c r="AL133" i="11"/>
  <c r="AL134" i="11"/>
  <c r="AL135" i="11"/>
  <c r="AL136" i="11"/>
  <c r="AL137" i="11"/>
  <c r="AL138" i="11"/>
  <c r="AL139" i="11"/>
  <c r="AL140" i="11"/>
  <c r="AL141" i="11"/>
  <c r="AL142" i="11"/>
  <c r="AL143" i="11"/>
  <c r="AL144" i="11"/>
  <c r="AL145" i="11"/>
  <c r="AL146" i="11"/>
  <c r="AL147" i="11"/>
  <c r="AL148" i="11"/>
  <c r="AL149" i="11"/>
  <c r="AL150" i="11"/>
  <c r="AL151" i="11"/>
  <c r="AL152" i="11"/>
  <c r="AL153" i="11"/>
  <c r="AL154" i="11"/>
  <c r="AL155" i="11"/>
  <c r="AL156" i="11"/>
  <c r="AL157" i="11"/>
  <c r="AL158" i="11"/>
  <c r="AL159" i="11"/>
  <c r="AL160" i="11"/>
  <c r="AL161" i="11"/>
  <c r="AL162" i="11"/>
  <c r="AL163" i="11"/>
  <c r="AL164" i="11"/>
  <c r="AL165" i="11"/>
  <c r="AL166" i="11"/>
  <c r="AL167" i="11"/>
  <c r="AL168" i="11"/>
  <c r="AL169" i="11"/>
  <c r="AL170" i="11"/>
  <c r="AL171" i="11"/>
  <c r="AL172" i="11"/>
  <c r="AL173" i="11"/>
  <c r="AL174" i="11"/>
  <c r="AL175" i="11"/>
  <c r="AL176" i="11"/>
  <c r="AL177" i="11"/>
  <c r="AL178" i="11"/>
  <c r="AL179" i="11"/>
  <c r="AL180" i="11"/>
  <c r="AL181" i="11"/>
  <c r="AL182" i="11"/>
  <c r="AL183" i="11"/>
  <c r="AL184" i="11"/>
  <c r="AL185" i="11"/>
  <c r="AL186" i="11"/>
  <c r="AL187" i="11"/>
  <c r="AL188" i="11"/>
  <c r="AL189" i="11"/>
  <c r="AL190" i="11"/>
  <c r="AL191" i="11"/>
  <c r="AL192" i="11"/>
  <c r="AL193" i="11"/>
  <c r="AL194" i="11"/>
  <c r="AL195" i="11"/>
  <c r="AL196" i="11"/>
  <c r="AL197" i="11"/>
  <c r="AL198" i="11"/>
  <c r="AL199" i="11"/>
  <c r="AL200" i="11"/>
  <c r="AL201" i="11"/>
  <c r="AL202" i="11"/>
  <c r="AL203" i="11"/>
  <c r="AL204" i="11"/>
  <c r="AL205" i="11"/>
  <c r="AL206" i="11"/>
  <c r="AL207" i="11"/>
  <c r="AL208" i="11"/>
  <c r="AL209" i="11"/>
  <c r="AL210" i="11"/>
  <c r="AL211" i="11"/>
  <c r="AL212" i="11"/>
  <c r="AL213" i="11"/>
  <c r="AL214" i="11"/>
  <c r="AL215" i="11"/>
  <c r="AL216" i="11"/>
  <c r="AL217" i="11"/>
  <c r="AL218" i="11"/>
  <c r="AL219" i="11"/>
  <c r="AL220" i="11"/>
  <c r="AL221" i="11"/>
  <c r="AJ120" i="11"/>
  <c r="AJ118" i="11"/>
  <c r="AF119" i="11"/>
  <c r="AJ119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F15" i="11"/>
  <c r="AG15" i="11"/>
  <c r="AF16" i="11"/>
  <c r="AG16" i="11"/>
  <c r="AF17" i="11"/>
  <c r="AG17" i="11"/>
  <c r="AF18" i="11"/>
  <c r="AG18" i="11"/>
  <c r="AF19" i="11"/>
  <c r="AG19" i="11"/>
  <c r="AF20" i="11"/>
  <c r="AG20" i="11"/>
  <c r="AF21" i="11"/>
  <c r="AG21" i="11"/>
  <c r="AF22" i="11"/>
  <c r="AG22" i="11"/>
  <c r="AF23" i="11"/>
  <c r="AG23" i="11"/>
  <c r="AF24" i="11"/>
  <c r="AG24" i="11"/>
  <c r="AF25" i="11"/>
  <c r="AG25" i="11"/>
  <c r="AF26" i="11"/>
  <c r="AG26" i="11"/>
  <c r="AF27" i="11"/>
  <c r="AG27" i="11"/>
  <c r="AF28" i="11"/>
  <c r="AG28" i="11"/>
  <c r="AF29" i="11"/>
  <c r="AG29" i="11"/>
  <c r="AF30" i="11"/>
  <c r="AG30" i="11"/>
  <c r="AF31" i="11"/>
  <c r="AG31" i="11"/>
  <c r="AF32" i="11"/>
  <c r="AG32" i="11"/>
  <c r="AF33" i="11"/>
  <c r="AG33" i="11"/>
  <c r="AF34" i="11"/>
  <c r="AG34" i="11"/>
  <c r="AF35" i="11"/>
  <c r="AG35" i="11"/>
  <c r="AF36" i="11"/>
  <c r="AG36" i="11"/>
  <c r="AF37" i="11"/>
  <c r="AG37" i="11"/>
  <c r="AF38" i="11"/>
  <c r="AG38" i="11"/>
  <c r="AF39" i="11"/>
  <c r="AG39" i="11"/>
  <c r="AF40" i="11"/>
  <c r="AG40" i="11"/>
  <c r="AF41" i="11"/>
  <c r="AG41" i="11"/>
  <c r="AF42" i="11"/>
  <c r="AG42" i="11"/>
  <c r="AF43" i="11"/>
  <c r="AG43" i="11"/>
  <c r="AF44" i="11"/>
  <c r="AG44" i="11"/>
  <c r="AF45" i="11"/>
  <c r="AG45" i="11"/>
  <c r="AF46" i="11"/>
  <c r="AG46" i="11"/>
  <c r="AF47" i="11"/>
  <c r="AG47" i="11"/>
  <c r="AF48" i="11"/>
  <c r="AG48" i="11"/>
  <c r="AF49" i="11"/>
  <c r="AG49" i="11"/>
  <c r="AF50" i="11"/>
  <c r="AG50" i="11"/>
  <c r="AF51" i="11"/>
  <c r="AG51" i="11"/>
  <c r="AF52" i="11"/>
  <c r="AG52" i="11"/>
  <c r="AF53" i="11"/>
  <c r="AG53" i="11"/>
  <c r="AF54" i="11"/>
  <c r="AG54" i="11"/>
  <c r="AF55" i="11"/>
  <c r="AG55" i="11"/>
  <c r="AF56" i="11"/>
  <c r="AG56" i="11"/>
  <c r="AF57" i="11"/>
  <c r="AG57" i="11"/>
  <c r="AF58" i="11"/>
  <c r="AG58" i="11"/>
  <c r="AF59" i="11"/>
  <c r="AG59" i="11"/>
  <c r="AF60" i="11"/>
  <c r="AG60" i="11"/>
  <c r="AF61" i="11"/>
  <c r="AG61" i="11"/>
  <c r="AF62" i="11"/>
  <c r="AG62" i="11"/>
  <c r="AF63" i="11"/>
  <c r="AG63" i="11"/>
  <c r="AF64" i="11"/>
  <c r="AG64" i="11"/>
  <c r="AF65" i="11"/>
  <c r="AG65" i="11"/>
  <c r="AF66" i="11"/>
  <c r="AG66" i="11"/>
  <c r="AF67" i="11"/>
  <c r="AG67" i="11"/>
  <c r="AF68" i="11"/>
  <c r="AG68" i="11"/>
  <c r="AF69" i="11"/>
  <c r="AG69" i="11"/>
  <c r="AF70" i="11"/>
  <c r="AG70" i="11"/>
  <c r="AF71" i="11"/>
  <c r="AG71" i="11"/>
  <c r="AF72" i="11"/>
  <c r="AG72" i="11"/>
  <c r="AF73" i="11"/>
  <c r="AG73" i="11"/>
  <c r="AF74" i="11"/>
  <c r="AG74" i="11"/>
  <c r="AF75" i="11"/>
  <c r="AG75" i="11"/>
  <c r="AF76" i="11"/>
  <c r="AG76" i="11"/>
  <c r="AF77" i="11"/>
  <c r="AG77" i="11"/>
  <c r="AF78" i="11"/>
  <c r="AG78" i="11"/>
  <c r="AF79" i="11"/>
  <c r="AG79" i="11"/>
  <c r="AF80" i="11"/>
  <c r="AG80" i="11"/>
  <c r="AF81" i="11"/>
  <c r="AG81" i="11"/>
  <c r="AF82" i="11"/>
  <c r="AG82" i="11"/>
  <c r="AF83" i="11"/>
  <c r="AG83" i="11"/>
  <c r="AF84" i="11"/>
  <c r="AG84" i="11"/>
  <c r="AF85" i="11"/>
  <c r="AG85" i="11"/>
  <c r="AF86" i="11"/>
  <c r="AG86" i="11"/>
  <c r="AF87" i="11"/>
  <c r="AG87" i="11"/>
  <c r="AF88" i="11"/>
  <c r="AG88" i="11"/>
  <c r="AF89" i="11"/>
  <c r="AG89" i="11"/>
  <c r="AF90" i="11"/>
  <c r="AG90" i="11"/>
  <c r="AF91" i="11"/>
  <c r="AG91" i="11"/>
  <c r="AF92" i="11"/>
  <c r="AG92" i="11"/>
  <c r="AF93" i="11"/>
  <c r="AG93" i="11"/>
  <c r="AF94" i="11"/>
  <c r="AG94" i="11"/>
  <c r="AF95" i="11"/>
  <c r="AG95" i="11"/>
  <c r="AF96" i="11"/>
  <c r="AG96" i="11"/>
  <c r="AF97" i="11"/>
  <c r="AG97" i="11"/>
  <c r="AF98" i="11"/>
  <c r="AG98" i="11"/>
  <c r="AF99" i="11"/>
  <c r="AG99" i="11"/>
  <c r="AF100" i="11"/>
  <c r="AG100" i="11"/>
  <c r="AF101" i="11"/>
  <c r="AG101" i="11"/>
  <c r="AF102" i="11"/>
  <c r="AG102" i="11"/>
  <c r="AF103" i="11"/>
  <c r="AG103" i="11"/>
  <c r="AF104" i="11"/>
  <c r="AG104" i="11"/>
  <c r="AF105" i="11"/>
  <c r="AG105" i="11"/>
  <c r="AF106" i="11"/>
  <c r="AG106" i="11"/>
  <c r="AF107" i="11"/>
  <c r="AG107" i="11"/>
  <c r="AF108" i="11"/>
  <c r="AG108" i="11"/>
  <c r="AF109" i="11"/>
  <c r="AG109" i="11"/>
  <c r="AF110" i="11"/>
  <c r="AG110" i="11"/>
  <c r="AF111" i="11"/>
  <c r="AG111" i="11"/>
  <c r="AF112" i="11"/>
  <c r="AG112" i="11"/>
  <c r="AF113" i="11"/>
  <c r="AG113" i="11"/>
  <c r="AF114" i="11"/>
  <c r="AG1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AH30" i="11"/>
  <c r="AH31" i="11"/>
  <c r="AH32" i="11"/>
  <c r="AH33" i="11"/>
  <c r="AH34" i="1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49" i="11"/>
  <c r="AH50" i="11"/>
  <c r="AH51" i="11"/>
  <c r="AH52" i="11"/>
  <c r="AH53" i="11"/>
  <c r="AH54" i="11"/>
  <c r="AH55" i="11"/>
  <c r="AH56" i="11"/>
  <c r="AH57" i="11"/>
  <c r="AH58" i="11"/>
  <c r="AH59" i="11"/>
  <c r="AH60" i="11"/>
  <c r="AH61" i="11"/>
  <c r="AH62" i="11"/>
  <c r="AH63" i="11"/>
  <c r="AH64" i="11"/>
  <c r="AH65" i="11"/>
  <c r="AH66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H79" i="11"/>
  <c r="AH80" i="11"/>
  <c r="AH81" i="11"/>
  <c r="AH82" i="11"/>
  <c r="AH83" i="11"/>
  <c r="AH84" i="11"/>
  <c r="AH85" i="11"/>
  <c r="AH86" i="11"/>
  <c r="AH87" i="11"/>
  <c r="AH88" i="11"/>
  <c r="AH89" i="11"/>
  <c r="AH90" i="11"/>
  <c r="AH91" i="11"/>
  <c r="AH92" i="11"/>
  <c r="AH93" i="11"/>
  <c r="AH94" i="11"/>
  <c r="AH95" i="11"/>
  <c r="AH96" i="11"/>
  <c r="AH97" i="11"/>
  <c r="AH98" i="11"/>
  <c r="AH99" i="11"/>
  <c r="AH100" i="11"/>
  <c r="AH101" i="11"/>
  <c r="AH102" i="11"/>
  <c r="AH103" i="11"/>
  <c r="AH104" i="11"/>
  <c r="AH105" i="11"/>
  <c r="AH106" i="11"/>
  <c r="AH107" i="11"/>
  <c r="AH108" i="11"/>
  <c r="AH109" i="11"/>
  <c r="AH110" i="11"/>
  <c r="AH111" i="11"/>
  <c r="AH112" i="11"/>
  <c r="AH113" i="11"/>
  <c r="AH114" i="11"/>
  <c r="AF13" i="11"/>
  <c r="AF12" i="11"/>
  <c r="AF11" i="11"/>
  <c r="AI15" i="11"/>
  <c r="AJ15" i="11"/>
  <c r="AK15" i="11"/>
  <c r="AI16" i="11"/>
  <c r="AJ16" i="11"/>
  <c r="AK16" i="11"/>
  <c r="AI17" i="11"/>
  <c r="AJ17" i="11"/>
  <c r="AK17" i="11"/>
  <c r="AI18" i="11"/>
  <c r="AJ18" i="11"/>
  <c r="AK18" i="11"/>
  <c r="AI19" i="11"/>
  <c r="AJ19" i="11"/>
  <c r="AK19" i="11"/>
  <c r="AI20" i="11"/>
  <c r="AJ20" i="11"/>
  <c r="AK20" i="11"/>
  <c r="AI21" i="11"/>
  <c r="AJ21" i="11"/>
  <c r="AK21" i="11"/>
  <c r="AI22" i="11"/>
  <c r="AJ22" i="11"/>
  <c r="AK22" i="11"/>
  <c r="AI23" i="11"/>
  <c r="AJ23" i="11"/>
  <c r="AK23" i="11"/>
  <c r="AI24" i="11"/>
  <c r="AJ24" i="11"/>
  <c r="AK24" i="11"/>
  <c r="AI25" i="11"/>
  <c r="AJ25" i="11"/>
  <c r="AK25" i="11"/>
  <c r="AI26" i="11"/>
  <c r="AJ26" i="11"/>
  <c r="AK26" i="11"/>
  <c r="AI27" i="11"/>
  <c r="AJ27" i="11"/>
  <c r="AK27" i="11"/>
  <c r="AI28" i="11"/>
  <c r="AJ28" i="11"/>
  <c r="AK28" i="11"/>
  <c r="AI29" i="11"/>
  <c r="AJ29" i="11"/>
  <c r="AK29" i="11"/>
  <c r="AI30" i="11"/>
  <c r="AJ30" i="11"/>
  <c r="AK30" i="11"/>
  <c r="AI31" i="11"/>
  <c r="AJ31" i="11"/>
  <c r="AK31" i="11"/>
  <c r="AI32" i="11"/>
  <c r="AJ32" i="11"/>
  <c r="AK32" i="11"/>
  <c r="AI33" i="11"/>
  <c r="AJ33" i="11"/>
  <c r="AK33" i="11"/>
  <c r="AI34" i="11"/>
  <c r="AJ34" i="11"/>
  <c r="AK34" i="11"/>
  <c r="AI35" i="11"/>
  <c r="AJ35" i="11"/>
  <c r="AK35" i="11"/>
  <c r="AI36" i="11"/>
  <c r="AJ36" i="11"/>
  <c r="AK36" i="11"/>
  <c r="AI37" i="11"/>
  <c r="AJ37" i="11"/>
  <c r="AK37" i="11"/>
  <c r="AI38" i="11"/>
  <c r="AJ38" i="11"/>
  <c r="AK38" i="11"/>
  <c r="AI39" i="11"/>
  <c r="AJ39" i="11"/>
  <c r="AK39" i="11"/>
  <c r="AI40" i="11"/>
  <c r="AJ40" i="11"/>
  <c r="AK40" i="11"/>
  <c r="AI41" i="11"/>
  <c r="AJ41" i="11"/>
  <c r="AK41" i="11"/>
  <c r="AI42" i="11"/>
  <c r="AJ42" i="11"/>
  <c r="AK42" i="11"/>
  <c r="AI43" i="11"/>
  <c r="AJ43" i="11"/>
  <c r="AK43" i="11"/>
  <c r="AI44" i="11"/>
  <c r="AJ44" i="11"/>
  <c r="AK44" i="11"/>
  <c r="AI45" i="11"/>
  <c r="AJ45" i="11"/>
  <c r="AK45" i="11"/>
  <c r="AI46" i="11"/>
  <c r="AJ46" i="11"/>
  <c r="AK46" i="11"/>
  <c r="AI47" i="11"/>
  <c r="AJ47" i="11"/>
  <c r="AK47" i="11"/>
  <c r="AI48" i="11"/>
  <c r="AJ48" i="11"/>
  <c r="AK48" i="11"/>
  <c r="AI49" i="11"/>
  <c r="AJ49" i="11"/>
  <c r="AK49" i="11"/>
  <c r="AI50" i="11"/>
  <c r="AJ50" i="11"/>
  <c r="AK50" i="11"/>
  <c r="AI51" i="11"/>
  <c r="AJ51" i="11"/>
  <c r="AK51" i="11"/>
  <c r="AI52" i="11"/>
  <c r="AJ52" i="11"/>
  <c r="AK52" i="11"/>
  <c r="AI53" i="11"/>
  <c r="AJ53" i="11"/>
  <c r="AK53" i="11"/>
  <c r="AI54" i="11"/>
  <c r="AJ54" i="11"/>
  <c r="AK54" i="11"/>
  <c r="AI55" i="11"/>
  <c r="AJ55" i="11"/>
  <c r="AK55" i="11"/>
  <c r="AI56" i="11"/>
  <c r="AJ56" i="11"/>
  <c r="AK56" i="11"/>
  <c r="AI57" i="11"/>
  <c r="AJ57" i="11"/>
  <c r="AK57" i="11"/>
  <c r="AI58" i="11"/>
  <c r="AJ58" i="11"/>
  <c r="AK58" i="11"/>
  <c r="AI59" i="11"/>
  <c r="AJ59" i="11"/>
  <c r="AK59" i="11"/>
  <c r="AI60" i="11"/>
  <c r="AJ60" i="11"/>
  <c r="AK60" i="11"/>
  <c r="AI61" i="11"/>
  <c r="AJ61" i="11"/>
  <c r="AK61" i="11"/>
  <c r="AI62" i="11"/>
  <c r="AJ62" i="11"/>
  <c r="AK62" i="11"/>
  <c r="AI63" i="11"/>
  <c r="AJ63" i="11"/>
  <c r="AK63" i="11"/>
  <c r="AI64" i="11"/>
  <c r="AJ64" i="11"/>
  <c r="AK64" i="11"/>
  <c r="AI65" i="11"/>
  <c r="AJ65" i="11"/>
  <c r="AK65" i="11"/>
  <c r="AI66" i="11"/>
  <c r="AJ66" i="11"/>
  <c r="AK66" i="11"/>
  <c r="AI67" i="11"/>
  <c r="AJ67" i="11"/>
  <c r="AK67" i="11"/>
  <c r="AI68" i="11"/>
  <c r="AJ68" i="11"/>
  <c r="AK68" i="11"/>
  <c r="AI69" i="11"/>
  <c r="AJ69" i="11"/>
  <c r="AK69" i="11"/>
  <c r="AI70" i="11"/>
  <c r="AJ70" i="11"/>
  <c r="AK70" i="11"/>
  <c r="AI71" i="11"/>
  <c r="AJ71" i="11"/>
  <c r="AK71" i="11"/>
  <c r="AI72" i="11"/>
  <c r="AJ72" i="11"/>
  <c r="AK72" i="11"/>
  <c r="AI73" i="11"/>
  <c r="AJ73" i="11"/>
  <c r="AK73" i="11"/>
  <c r="AI74" i="11"/>
  <c r="AJ74" i="11"/>
  <c r="AK74" i="11"/>
  <c r="AI75" i="11"/>
  <c r="AJ75" i="11"/>
  <c r="AK75" i="11"/>
  <c r="AI76" i="11"/>
  <c r="AJ76" i="11"/>
  <c r="AK76" i="11"/>
  <c r="AI77" i="11"/>
  <c r="AJ77" i="11"/>
  <c r="AK77" i="11"/>
  <c r="AI78" i="11"/>
  <c r="AJ78" i="11"/>
  <c r="AK78" i="11"/>
  <c r="AI79" i="11"/>
  <c r="AJ79" i="11"/>
  <c r="AK79" i="11"/>
  <c r="AI80" i="11"/>
  <c r="AJ80" i="11"/>
  <c r="AK80" i="11"/>
  <c r="AI81" i="11"/>
  <c r="AJ81" i="11"/>
  <c r="AK81" i="11"/>
  <c r="AI82" i="11"/>
  <c r="AJ82" i="11"/>
  <c r="AK82" i="11"/>
  <c r="AI83" i="11"/>
  <c r="AJ83" i="11"/>
  <c r="AK83" i="11"/>
  <c r="AI84" i="11"/>
  <c r="AJ84" i="11"/>
  <c r="AK84" i="11"/>
  <c r="AI85" i="11"/>
  <c r="AJ85" i="11"/>
  <c r="AK85" i="11"/>
  <c r="AI86" i="11"/>
  <c r="AJ86" i="11"/>
  <c r="AK86" i="11"/>
  <c r="AI87" i="11"/>
  <c r="AJ87" i="11"/>
  <c r="AK87" i="11"/>
  <c r="AI88" i="11"/>
  <c r="AJ88" i="11"/>
  <c r="AK88" i="11"/>
  <c r="AI89" i="11"/>
  <c r="AJ89" i="11"/>
  <c r="AK89" i="11"/>
  <c r="AI90" i="11"/>
  <c r="AJ90" i="11"/>
  <c r="AK90" i="11"/>
  <c r="AI91" i="11"/>
  <c r="AJ91" i="11"/>
  <c r="AK91" i="11"/>
  <c r="AI92" i="11"/>
  <c r="AJ92" i="11"/>
  <c r="AK92" i="11"/>
  <c r="AI93" i="11"/>
  <c r="AJ93" i="11"/>
  <c r="AK93" i="11"/>
  <c r="AI94" i="11"/>
  <c r="AJ94" i="11"/>
  <c r="AK94" i="11"/>
  <c r="AI95" i="11"/>
  <c r="AJ95" i="11"/>
  <c r="AK95" i="11"/>
  <c r="AI96" i="11"/>
  <c r="AJ96" i="11"/>
  <c r="AK96" i="11"/>
  <c r="AI97" i="11"/>
  <c r="AJ97" i="11"/>
  <c r="AK97" i="11"/>
  <c r="AI98" i="11"/>
  <c r="AJ98" i="11"/>
  <c r="AK98" i="11"/>
  <c r="AI99" i="11"/>
  <c r="AJ99" i="11"/>
  <c r="AK99" i="11"/>
  <c r="AI100" i="11"/>
  <c r="AJ100" i="11"/>
  <c r="AK100" i="11"/>
  <c r="AI101" i="11"/>
  <c r="AJ101" i="11"/>
  <c r="AK101" i="11"/>
  <c r="AI102" i="11"/>
  <c r="AJ102" i="11"/>
  <c r="AK102" i="11"/>
  <c r="AI103" i="11"/>
  <c r="AJ103" i="11"/>
  <c r="AK103" i="11"/>
  <c r="AI104" i="11"/>
  <c r="AJ104" i="11"/>
  <c r="AK104" i="11"/>
  <c r="AI105" i="11"/>
  <c r="AJ105" i="11"/>
  <c r="AK105" i="11"/>
  <c r="AI106" i="11"/>
  <c r="AJ106" i="11"/>
  <c r="AK106" i="11"/>
  <c r="AI107" i="11"/>
  <c r="AJ107" i="11"/>
  <c r="AK107" i="11"/>
  <c r="AI108" i="11"/>
  <c r="AJ108" i="11"/>
  <c r="AK108" i="11"/>
  <c r="AI109" i="11"/>
  <c r="AJ109" i="11"/>
  <c r="AK109" i="11"/>
  <c r="AI110" i="11"/>
  <c r="AJ110" i="11"/>
  <c r="AK110" i="11"/>
  <c r="AI111" i="11"/>
  <c r="AJ111" i="11"/>
  <c r="AK111" i="11"/>
  <c r="AI112" i="11"/>
  <c r="AJ112" i="11"/>
  <c r="AK112" i="11"/>
  <c r="AI113" i="11"/>
  <c r="AJ113" i="11"/>
  <c r="AK113" i="11"/>
  <c r="AI114" i="11"/>
  <c r="AJ114" i="11"/>
  <c r="AK1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30" i="11"/>
  <c r="AL31" i="11"/>
  <c r="AL32" i="11"/>
  <c r="AL33" i="11"/>
  <c r="AL34" i="11"/>
  <c r="AL35" i="11"/>
  <c r="AL36" i="11"/>
  <c r="AL37" i="11"/>
  <c r="AL38" i="11"/>
  <c r="AL39" i="11"/>
  <c r="AL40" i="11"/>
  <c r="AL41" i="11"/>
  <c r="AL42" i="11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72" i="11"/>
  <c r="AL73" i="11"/>
  <c r="AL74" i="11"/>
  <c r="AL75" i="11"/>
  <c r="AL76" i="11"/>
  <c r="AL77" i="11"/>
  <c r="AL78" i="11"/>
  <c r="AL79" i="11"/>
  <c r="AL80" i="11"/>
  <c r="AL81" i="11"/>
  <c r="AL82" i="11"/>
  <c r="AL83" i="11"/>
  <c r="AL84" i="11"/>
  <c r="AL85" i="11"/>
  <c r="AL86" i="11"/>
  <c r="AL87" i="11"/>
  <c r="AL88" i="11"/>
  <c r="AL89" i="11"/>
  <c r="AL90" i="11"/>
  <c r="AL91" i="11"/>
  <c r="AL92" i="11"/>
  <c r="AL93" i="11"/>
  <c r="AL94" i="11"/>
  <c r="AL95" i="11"/>
  <c r="AL96" i="11"/>
  <c r="AL97" i="11"/>
  <c r="AL98" i="11"/>
  <c r="AL99" i="11"/>
  <c r="AL100" i="11"/>
  <c r="AL101" i="11"/>
  <c r="AL102" i="11"/>
  <c r="AL103" i="11"/>
  <c r="AL104" i="11"/>
  <c r="AL105" i="11"/>
  <c r="AL106" i="11"/>
  <c r="AL107" i="11"/>
  <c r="AL108" i="11"/>
  <c r="AL109" i="11"/>
  <c r="AL110" i="11"/>
  <c r="AL111" i="11"/>
  <c r="AL112" i="11"/>
  <c r="AL113" i="11"/>
  <c r="AL114" i="11"/>
  <c r="AJ13" i="11"/>
  <c r="AJ12" i="11"/>
  <c r="AJ11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N297" i="11"/>
  <c r="AN298" i="11"/>
  <c r="AN299" i="11"/>
  <c r="AN300" i="11"/>
  <c r="AN301" i="11"/>
  <c r="AN302" i="11"/>
  <c r="AN303" i="11"/>
  <c r="AN304" i="11"/>
  <c r="AN305" i="11"/>
  <c r="AN306" i="11"/>
  <c r="AN307" i="11"/>
  <c r="AN308" i="11"/>
  <c r="AN309" i="11"/>
  <c r="AN310" i="11"/>
  <c r="AN311" i="11"/>
  <c r="AN312" i="11"/>
  <c r="AN14" i="11"/>
  <c r="AO14" i="11" a="1"/>
  <c r="AO14" i="11"/>
  <c r="AP14" i="11" a="1"/>
  <c r="AP14" i="11"/>
  <c r="AQ14" i="11" a="1"/>
  <c r="AQ14" i="11"/>
  <c r="AR14" i="11" a="1"/>
  <c r="AR14" i="11"/>
  <c r="AS14" i="11" a="1"/>
  <c r="AS14" i="11"/>
  <c r="AN15" i="11"/>
  <c r="AO15" i="11" a="1"/>
  <c r="AO15" i="11"/>
  <c r="AP15" i="11" a="1"/>
  <c r="AP15" i="11"/>
  <c r="AQ15" i="11" a="1"/>
  <c r="AQ15" i="11"/>
  <c r="AR15" i="11" a="1"/>
  <c r="AR15" i="11"/>
  <c r="AS15" i="11" a="1"/>
  <c r="AS15" i="11"/>
  <c r="AN16" i="11"/>
  <c r="AO16" i="11" a="1"/>
  <c r="AO16" i="11"/>
  <c r="AP16" i="11" a="1"/>
  <c r="AP16" i="11"/>
  <c r="AQ16" i="11" a="1"/>
  <c r="AQ16" i="11"/>
  <c r="AR16" i="11" a="1"/>
  <c r="AR16" i="11"/>
  <c r="AS16" i="11" a="1"/>
  <c r="AS16" i="11"/>
  <c r="AN17" i="11"/>
  <c r="AO17" i="11" a="1"/>
  <c r="AO17" i="11"/>
  <c r="AP17" i="11" a="1"/>
  <c r="AP17" i="11"/>
  <c r="AQ17" i="11" a="1"/>
  <c r="AQ17" i="11"/>
  <c r="AR17" i="11" a="1"/>
  <c r="AR17" i="11"/>
  <c r="AS17" i="11" a="1"/>
  <c r="AS17" i="11"/>
  <c r="AN18" i="11"/>
  <c r="AO18" i="11" a="1"/>
  <c r="AO18" i="11"/>
  <c r="AP18" i="11" a="1"/>
  <c r="AP18" i="11"/>
  <c r="AQ18" i="11" a="1"/>
  <c r="AQ18" i="11"/>
  <c r="AR18" i="11" a="1"/>
  <c r="AR18" i="11"/>
  <c r="AS18" i="11" a="1"/>
  <c r="AS18" i="11"/>
  <c r="AN19" i="11"/>
  <c r="AO19" i="11" a="1"/>
  <c r="AO19" i="11"/>
  <c r="AP19" i="11" a="1"/>
  <c r="AP19" i="11"/>
  <c r="AQ19" i="11" a="1"/>
  <c r="AQ19" i="11"/>
  <c r="AR19" i="11" a="1"/>
  <c r="AR19" i="11"/>
  <c r="AS19" i="11" a="1"/>
  <c r="AS19" i="11"/>
  <c r="AN20" i="11"/>
  <c r="AO20" i="11" a="1"/>
  <c r="AO20" i="11"/>
  <c r="AP20" i="11" a="1"/>
  <c r="AP20" i="11"/>
  <c r="AQ20" i="11" a="1"/>
  <c r="AQ20" i="11"/>
  <c r="AR20" i="11" a="1"/>
  <c r="AR20" i="11"/>
  <c r="AS20" i="11" a="1"/>
  <c r="AS20" i="11"/>
  <c r="AN21" i="11"/>
  <c r="AO21" i="11" a="1"/>
  <c r="AO21" i="11"/>
  <c r="AP21" i="11" a="1"/>
  <c r="AP21" i="11"/>
  <c r="AQ21" i="11" a="1"/>
  <c r="AQ21" i="11"/>
  <c r="AR21" i="11" a="1"/>
  <c r="AR21" i="11"/>
  <c r="AS21" i="11" a="1"/>
  <c r="AS21" i="11"/>
  <c r="AN22" i="11"/>
  <c r="AO22" i="11" a="1"/>
  <c r="AO22" i="11"/>
  <c r="AP22" i="11" a="1"/>
  <c r="AP22" i="11"/>
  <c r="AQ22" i="11" a="1"/>
  <c r="AQ22" i="11"/>
  <c r="AR22" i="11" a="1"/>
  <c r="AR22" i="11"/>
  <c r="AS22" i="11" a="1"/>
  <c r="AS22" i="11"/>
  <c r="AN23" i="11"/>
  <c r="AO23" i="11" a="1"/>
  <c r="AO23" i="11"/>
  <c r="AP23" i="11" a="1"/>
  <c r="AP23" i="11"/>
  <c r="AQ23" i="11" a="1"/>
  <c r="AQ23" i="11"/>
  <c r="AR23" i="11" a="1"/>
  <c r="AR23" i="11"/>
  <c r="AS23" i="11" a="1"/>
  <c r="AS23" i="11"/>
  <c r="AN24" i="11"/>
  <c r="AO24" i="11" a="1"/>
  <c r="AO24" i="11"/>
  <c r="AP24" i="11" a="1"/>
  <c r="AP24" i="11"/>
  <c r="AQ24" i="11" a="1"/>
  <c r="AQ24" i="11"/>
  <c r="AR24" i="11" a="1"/>
  <c r="AR24" i="11"/>
  <c r="AS24" i="11" a="1"/>
  <c r="AS24" i="11"/>
  <c r="AN25" i="11"/>
  <c r="AO25" i="11" a="1"/>
  <c r="AO25" i="11"/>
  <c r="AP25" i="11" a="1"/>
  <c r="AP25" i="11"/>
  <c r="AQ25" i="11" a="1"/>
  <c r="AQ25" i="11"/>
  <c r="AR25" i="11" a="1"/>
  <c r="AR25" i="11"/>
  <c r="AS25" i="11" a="1"/>
  <c r="AS25" i="11"/>
  <c r="AN26" i="11"/>
  <c r="AO26" i="11" a="1"/>
  <c r="AO26" i="11"/>
  <c r="AP26" i="11" a="1"/>
  <c r="AP26" i="11"/>
  <c r="AQ26" i="11" a="1"/>
  <c r="AQ26" i="11"/>
  <c r="AR26" i="11" a="1"/>
  <c r="AR26" i="11"/>
  <c r="AS26" i="11" a="1"/>
  <c r="AS26" i="11"/>
  <c r="AN27" i="11"/>
  <c r="AO27" i="11" a="1"/>
  <c r="AO27" i="11"/>
  <c r="AP27" i="11" a="1"/>
  <c r="AP27" i="11"/>
  <c r="AQ27" i="11" a="1"/>
  <c r="AQ27" i="11"/>
  <c r="AR27" i="11" a="1"/>
  <c r="AR27" i="11"/>
  <c r="AS27" i="11" a="1"/>
  <c r="AS27" i="11"/>
  <c r="AN28" i="11"/>
  <c r="AO28" i="11" a="1"/>
  <c r="AO28" i="11"/>
  <c r="AP28" i="11" a="1"/>
  <c r="AP28" i="11"/>
  <c r="AQ28" i="11" a="1"/>
  <c r="AQ28" i="11"/>
  <c r="AR28" i="11" a="1"/>
  <c r="AR28" i="11"/>
  <c r="AS28" i="11" a="1"/>
  <c r="AS28" i="11"/>
  <c r="AN29" i="11"/>
  <c r="AO29" i="11" a="1"/>
  <c r="AO29" i="11"/>
  <c r="AP29" i="11" a="1"/>
  <c r="AP29" i="11"/>
  <c r="AQ29" i="11" a="1"/>
  <c r="AQ29" i="11"/>
  <c r="AR29" i="11" a="1"/>
  <c r="AR29" i="11"/>
  <c r="AS29" i="11" a="1"/>
  <c r="AS29" i="11"/>
  <c r="AN30" i="11"/>
  <c r="AO30" i="11" a="1"/>
  <c r="AO30" i="11"/>
  <c r="AP30" i="11" a="1"/>
  <c r="AP30" i="11"/>
  <c r="AQ30" i="11" a="1"/>
  <c r="AQ30" i="11"/>
  <c r="AR30" i="11" a="1"/>
  <c r="AR30" i="11"/>
  <c r="AS30" i="11" a="1"/>
  <c r="AS30" i="11"/>
  <c r="AN31" i="11"/>
  <c r="AO31" i="11" a="1"/>
  <c r="AO31" i="11"/>
  <c r="AP31" i="11" a="1"/>
  <c r="AP31" i="11"/>
  <c r="AQ31" i="11" a="1"/>
  <c r="AQ31" i="11"/>
  <c r="AR31" i="11" a="1"/>
  <c r="AR31" i="11"/>
  <c r="AS31" i="11" a="1"/>
  <c r="AS31" i="11"/>
  <c r="AN32" i="11"/>
  <c r="AO32" i="11" a="1"/>
  <c r="AO32" i="11"/>
  <c r="AP32" i="11" a="1"/>
  <c r="AP32" i="11"/>
  <c r="AQ32" i="11" a="1"/>
  <c r="AQ32" i="11"/>
  <c r="AR32" i="11" a="1"/>
  <c r="AR32" i="11"/>
  <c r="AS32" i="11" a="1"/>
  <c r="AS32" i="11"/>
  <c r="AN33" i="11"/>
  <c r="AO33" i="11" a="1"/>
  <c r="AO33" i="11"/>
  <c r="AP33" i="11" a="1"/>
  <c r="AP33" i="11"/>
  <c r="AQ33" i="11" a="1"/>
  <c r="AQ33" i="11"/>
  <c r="AR33" i="11" a="1"/>
  <c r="AR33" i="11"/>
  <c r="AS33" i="11" a="1"/>
  <c r="AS33" i="11"/>
  <c r="AN34" i="11"/>
  <c r="AO34" i="11" a="1"/>
  <c r="AO34" i="11"/>
  <c r="AP34" i="11" a="1"/>
  <c r="AP34" i="11"/>
  <c r="AQ34" i="11" a="1"/>
  <c r="AQ34" i="11"/>
  <c r="AR34" i="11" a="1"/>
  <c r="AR34" i="11"/>
  <c r="AS34" i="11" a="1"/>
  <c r="AS34" i="11"/>
  <c r="AN35" i="11"/>
  <c r="AO35" i="11" a="1"/>
  <c r="AO35" i="11"/>
  <c r="AP35" i="11" a="1"/>
  <c r="AP35" i="11"/>
  <c r="AQ35" i="11" a="1"/>
  <c r="AQ35" i="11"/>
  <c r="AR35" i="11" a="1"/>
  <c r="AR35" i="11"/>
  <c r="AS35" i="11" a="1"/>
  <c r="AS35" i="11"/>
  <c r="AN36" i="11"/>
  <c r="AO36" i="11" a="1"/>
  <c r="AO36" i="11"/>
  <c r="AP36" i="11" a="1"/>
  <c r="AP36" i="11"/>
  <c r="AQ36" i="11" a="1"/>
  <c r="AQ36" i="11"/>
  <c r="AR36" i="11" a="1"/>
  <c r="AR36" i="11"/>
  <c r="AS36" i="11" a="1"/>
  <c r="AS36" i="11"/>
  <c r="AN37" i="11"/>
  <c r="AO37" i="11" a="1"/>
  <c r="AO37" i="11"/>
  <c r="AP37" i="11" a="1"/>
  <c r="AP37" i="11"/>
  <c r="AQ37" i="11" a="1"/>
  <c r="AQ37" i="11"/>
  <c r="AR37" i="11" a="1"/>
  <c r="AR37" i="11"/>
  <c r="AS37" i="11" a="1"/>
  <c r="AS37" i="11"/>
  <c r="AN38" i="11"/>
  <c r="AO38" i="11" a="1"/>
  <c r="AO38" i="11"/>
  <c r="AP38" i="11" a="1"/>
  <c r="AP38" i="11"/>
  <c r="AQ38" i="11" a="1"/>
  <c r="AQ38" i="11"/>
  <c r="AR38" i="11" a="1"/>
  <c r="AR38" i="11"/>
  <c r="AS38" i="11" a="1"/>
  <c r="AS38" i="11"/>
  <c r="AN39" i="11"/>
  <c r="AO39" i="11" a="1"/>
  <c r="AO39" i="11"/>
  <c r="AP39" i="11" a="1"/>
  <c r="AP39" i="11"/>
  <c r="AQ39" i="11" a="1"/>
  <c r="AQ39" i="11"/>
  <c r="AR39" i="11" a="1"/>
  <c r="AR39" i="11"/>
  <c r="AS39" i="11" a="1"/>
  <c r="AS39" i="11"/>
  <c r="AN40" i="11"/>
  <c r="AO40" i="11" a="1"/>
  <c r="AO40" i="11"/>
  <c r="AP40" i="11" a="1"/>
  <c r="AP40" i="11"/>
  <c r="AQ40" i="11" a="1"/>
  <c r="AQ40" i="11"/>
  <c r="AR40" i="11" a="1"/>
  <c r="AR40" i="11"/>
  <c r="AS40" i="11" a="1"/>
  <c r="AS40" i="11"/>
  <c r="AN41" i="11"/>
  <c r="AO41" i="11" a="1"/>
  <c r="AO41" i="11"/>
  <c r="AP41" i="11" a="1"/>
  <c r="AP41" i="11"/>
  <c r="AQ41" i="11" a="1"/>
  <c r="AQ41" i="11"/>
  <c r="AR41" i="11" a="1"/>
  <c r="AR41" i="11"/>
  <c r="AS41" i="11" a="1"/>
  <c r="AS41" i="11"/>
  <c r="AN42" i="11"/>
  <c r="AO42" i="11" a="1"/>
  <c r="AO42" i="11"/>
  <c r="AP42" i="11" a="1"/>
  <c r="AP42" i="11"/>
  <c r="AQ42" i="11" a="1"/>
  <c r="AQ42" i="11"/>
  <c r="AR42" i="11" a="1"/>
  <c r="AR42" i="11"/>
  <c r="AS42" i="11" a="1"/>
  <c r="AS42" i="11"/>
  <c r="AN43" i="11"/>
  <c r="AO43" i="11" a="1"/>
  <c r="AO43" i="11"/>
  <c r="AP43" i="11" a="1"/>
  <c r="AP43" i="11"/>
  <c r="AQ43" i="11" a="1"/>
  <c r="AQ43" i="11"/>
  <c r="AR43" i="11" a="1"/>
  <c r="AR43" i="11"/>
  <c r="AS43" i="11" a="1"/>
  <c r="AS43" i="11"/>
  <c r="AN44" i="11"/>
  <c r="AO44" i="11" a="1"/>
  <c r="AO44" i="11"/>
  <c r="AP44" i="11" a="1"/>
  <c r="AP44" i="11"/>
  <c r="AQ44" i="11" a="1"/>
  <c r="AQ44" i="11"/>
  <c r="AR44" i="11" a="1"/>
  <c r="AR44" i="11"/>
  <c r="AS44" i="11" a="1"/>
  <c r="AS44" i="11"/>
  <c r="AN45" i="11"/>
  <c r="AO45" i="11" a="1"/>
  <c r="AO45" i="11"/>
  <c r="AP45" i="11" a="1"/>
  <c r="AP45" i="11"/>
  <c r="AQ45" i="11" a="1"/>
  <c r="AQ45" i="11"/>
  <c r="AR45" i="11" a="1"/>
  <c r="AR45" i="11"/>
  <c r="AS45" i="11" a="1"/>
  <c r="AS45" i="11"/>
  <c r="AN46" i="11"/>
  <c r="AO46" i="11" a="1"/>
  <c r="AO46" i="11"/>
  <c r="AP46" i="11" a="1"/>
  <c r="AP46" i="11"/>
  <c r="AQ46" i="11" a="1"/>
  <c r="AQ46" i="11"/>
  <c r="AR46" i="11" a="1"/>
  <c r="AR46" i="11"/>
  <c r="AS46" i="11" a="1"/>
  <c r="AS46" i="11"/>
  <c r="AN47" i="11"/>
  <c r="AO47" i="11" a="1"/>
  <c r="AO47" i="11"/>
  <c r="AP47" i="11" a="1"/>
  <c r="AP47" i="11"/>
  <c r="AQ47" i="11" a="1"/>
  <c r="AQ47" i="11"/>
  <c r="AR47" i="11" a="1"/>
  <c r="AR47" i="11"/>
  <c r="AS47" i="11" a="1"/>
  <c r="AS47" i="11"/>
  <c r="AN48" i="11"/>
  <c r="AO48" i="11" a="1"/>
  <c r="AO48" i="11"/>
  <c r="AP48" i="11" a="1"/>
  <c r="AP48" i="11"/>
  <c r="AQ48" i="11" a="1"/>
  <c r="AQ48" i="11"/>
  <c r="AR48" i="11" a="1"/>
  <c r="AR48" i="11"/>
  <c r="AS48" i="11" a="1"/>
  <c r="AS48" i="11"/>
  <c r="AN49" i="11"/>
  <c r="AO49" i="11" a="1"/>
  <c r="AO49" i="11"/>
  <c r="AP49" i="11" a="1"/>
  <c r="AP49" i="11"/>
  <c r="AQ49" i="11" a="1"/>
  <c r="AQ49" i="11"/>
  <c r="AR49" i="11" a="1"/>
  <c r="AR49" i="11"/>
  <c r="AS49" i="11" a="1"/>
  <c r="AS49" i="11"/>
  <c r="AN50" i="11"/>
  <c r="AO50" i="11" a="1"/>
  <c r="AO50" i="11"/>
  <c r="AP50" i="11" a="1"/>
  <c r="AP50" i="11"/>
  <c r="AQ50" i="11" a="1"/>
  <c r="AQ50" i="11"/>
  <c r="AR50" i="11" a="1"/>
  <c r="AR50" i="11"/>
  <c r="AS50" i="11" a="1"/>
  <c r="AS50" i="11"/>
  <c r="AN51" i="11"/>
  <c r="AO51" i="11" a="1"/>
  <c r="AO51" i="11"/>
  <c r="AP51" i="11" a="1"/>
  <c r="AP51" i="11"/>
  <c r="AQ51" i="11" a="1"/>
  <c r="AQ51" i="11"/>
  <c r="AR51" i="11" a="1"/>
  <c r="AR51" i="11"/>
  <c r="AS51" i="11" a="1"/>
  <c r="AS51" i="11"/>
  <c r="AN52" i="11"/>
  <c r="AO52" i="11" a="1"/>
  <c r="AO52" i="11"/>
  <c r="AP52" i="11" a="1"/>
  <c r="AP52" i="11"/>
  <c r="AQ52" i="11" a="1"/>
  <c r="AQ52" i="11"/>
  <c r="AR52" i="11" a="1"/>
  <c r="AR52" i="11"/>
  <c r="AS52" i="11" a="1"/>
  <c r="AS52" i="11"/>
  <c r="AN53" i="11"/>
  <c r="AO53" i="11" a="1"/>
  <c r="AO53" i="11"/>
  <c r="AP53" i="11" a="1"/>
  <c r="AP53" i="11"/>
  <c r="AQ53" i="11" a="1"/>
  <c r="AQ53" i="11"/>
  <c r="AR53" i="11" a="1"/>
  <c r="AR53" i="11"/>
  <c r="AS53" i="11" a="1"/>
  <c r="AS53" i="11"/>
  <c r="AN54" i="11"/>
  <c r="AO54" i="11" a="1"/>
  <c r="AO54" i="11"/>
  <c r="AP54" i="11" a="1"/>
  <c r="AP54" i="11"/>
  <c r="AQ54" i="11" a="1"/>
  <c r="AQ54" i="11"/>
  <c r="AR54" i="11" a="1"/>
  <c r="AR54" i="11"/>
  <c r="AS54" i="11" a="1"/>
  <c r="AS54" i="11"/>
  <c r="AN55" i="11"/>
  <c r="AO55" i="11" a="1"/>
  <c r="AO55" i="11"/>
  <c r="AP55" i="11" a="1"/>
  <c r="AP55" i="11"/>
  <c r="AQ55" i="11" a="1"/>
  <c r="AQ55" i="11"/>
  <c r="AR55" i="11" a="1"/>
  <c r="AR55" i="11"/>
  <c r="AS55" i="11" a="1"/>
  <c r="AS55" i="11"/>
  <c r="AN56" i="11"/>
  <c r="AO56" i="11" a="1"/>
  <c r="AO56" i="11"/>
  <c r="AP56" i="11" a="1"/>
  <c r="AP56" i="11"/>
  <c r="AQ56" i="11" a="1"/>
  <c r="AQ56" i="11"/>
  <c r="AR56" i="11" a="1"/>
  <c r="AR56" i="11"/>
  <c r="AS56" i="11" a="1"/>
  <c r="AS56" i="11"/>
  <c r="AN57" i="11"/>
  <c r="AO57" i="11" a="1"/>
  <c r="AO57" i="11"/>
  <c r="AP57" i="11" a="1"/>
  <c r="AP57" i="11"/>
  <c r="AQ57" i="11" a="1"/>
  <c r="AQ57" i="11"/>
  <c r="AR57" i="11" a="1"/>
  <c r="AR57" i="11"/>
  <c r="AS57" i="11" a="1"/>
  <c r="AS57" i="11"/>
  <c r="AN58" i="11"/>
  <c r="AO58" i="11" a="1"/>
  <c r="AO58" i="11"/>
  <c r="AP58" i="11" a="1"/>
  <c r="AP58" i="11"/>
  <c r="AQ58" i="11" a="1"/>
  <c r="AQ58" i="11"/>
  <c r="AR58" i="11" a="1"/>
  <c r="AR58" i="11"/>
  <c r="AS58" i="11" a="1"/>
  <c r="AS58" i="11"/>
  <c r="AN59" i="11"/>
  <c r="AO59" i="11" a="1"/>
  <c r="AO59" i="11"/>
  <c r="AP59" i="11" a="1"/>
  <c r="AP59" i="11"/>
  <c r="AQ59" i="11" a="1"/>
  <c r="AQ59" i="11"/>
  <c r="AR59" i="11" a="1"/>
  <c r="AR59" i="11"/>
  <c r="AS59" i="11" a="1"/>
  <c r="AS59" i="11"/>
  <c r="AN60" i="11"/>
  <c r="AO60" i="11" a="1"/>
  <c r="AO60" i="11"/>
  <c r="AP60" i="11" a="1"/>
  <c r="AP60" i="11"/>
  <c r="AQ60" i="11" a="1"/>
  <c r="AQ60" i="11"/>
  <c r="AR60" i="11" a="1"/>
  <c r="AR60" i="11"/>
  <c r="AS60" i="11" a="1"/>
  <c r="AS60" i="11"/>
  <c r="AN61" i="11"/>
  <c r="AO61" i="11" a="1"/>
  <c r="AO61" i="11"/>
  <c r="AP61" i="11" a="1"/>
  <c r="AP61" i="11"/>
  <c r="AQ61" i="11" a="1"/>
  <c r="AQ61" i="11"/>
  <c r="AR61" i="11" a="1"/>
  <c r="AR61" i="11"/>
  <c r="AS61" i="11" a="1"/>
  <c r="AS61" i="11"/>
  <c r="AN62" i="11"/>
  <c r="AO62" i="11" a="1"/>
  <c r="AO62" i="11"/>
  <c r="AP62" i="11" a="1"/>
  <c r="AP62" i="11"/>
  <c r="AQ62" i="11" a="1"/>
  <c r="AQ62" i="11"/>
  <c r="AR62" i="11" a="1"/>
  <c r="AR62" i="11"/>
  <c r="AS62" i="11" a="1"/>
  <c r="AS62" i="11"/>
  <c r="AN63" i="11"/>
  <c r="AO63" i="11" a="1"/>
  <c r="AO63" i="11"/>
  <c r="AP63" i="11" a="1"/>
  <c r="AP63" i="11"/>
  <c r="AQ63" i="11" a="1"/>
  <c r="AQ63" i="11"/>
  <c r="AR63" i="11" a="1"/>
  <c r="AR63" i="11"/>
  <c r="AS63" i="11" a="1"/>
  <c r="AS63" i="11"/>
  <c r="AN64" i="11"/>
  <c r="AO64" i="11" a="1"/>
  <c r="AO64" i="11"/>
  <c r="AP64" i="11" a="1"/>
  <c r="AP64" i="11"/>
  <c r="AQ64" i="11" a="1"/>
  <c r="AQ64" i="11"/>
  <c r="AR64" i="11" a="1"/>
  <c r="AR64" i="11"/>
  <c r="AS64" i="11" a="1"/>
  <c r="AS64" i="11"/>
  <c r="AN65" i="11"/>
  <c r="AO65" i="11" a="1"/>
  <c r="AO65" i="11"/>
  <c r="AP65" i="11" a="1"/>
  <c r="AP65" i="11"/>
  <c r="AQ65" i="11" a="1"/>
  <c r="AQ65" i="11"/>
  <c r="AR65" i="11" a="1"/>
  <c r="AR65" i="11"/>
  <c r="AS65" i="11" a="1"/>
  <c r="AS65" i="11"/>
  <c r="AN66" i="11"/>
  <c r="AO66" i="11" a="1"/>
  <c r="AO66" i="11"/>
  <c r="AP66" i="11" a="1"/>
  <c r="AP66" i="11"/>
  <c r="AQ66" i="11" a="1"/>
  <c r="AQ66" i="11"/>
  <c r="AR66" i="11" a="1"/>
  <c r="AR66" i="11"/>
  <c r="AS66" i="11" a="1"/>
  <c r="AS66" i="11"/>
  <c r="AN67" i="11"/>
  <c r="AO67" i="11" a="1"/>
  <c r="AO67" i="11"/>
  <c r="AP67" i="11" a="1"/>
  <c r="AP67" i="11"/>
  <c r="AQ67" i="11" a="1"/>
  <c r="AQ67" i="11"/>
  <c r="AR67" i="11" a="1"/>
  <c r="AR67" i="11"/>
  <c r="AS67" i="11" a="1"/>
  <c r="AS67" i="11"/>
  <c r="AN68" i="11"/>
  <c r="AO68" i="11" a="1"/>
  <c r="AO68" i="11"/>
  <c r="AP68" i="11" a="1"/>
  <c r="AP68" i="11"/>
  <c r="AQ68" i="11" a="1"/>
  <c r="AQ68" i="11"/>
  <c r="AR68" i="11" a="1"/>
  <c r="AR68" i="11"/>
  <c r="AS68" i="11" a="1"/>
  <c r="AS68" i="11"/>
  <c r="AN69" i="11"/>
  <c r="AO69" i="11" a="1"/>
  <c r="AO69" i="11"/>
  <c r="AP69" i="11" a="1"/>
  <c r="AP69" i="11"/>
  <c r="AQ69" i="11" a="1"/>
  <c r="AQ69" i="11"/>
  <c r="AR69" i="11" a="1"/>
  <c r="AR69" i="11"/>
  <c r="AS69" i="11" a="1"/>
  <c r="AS69" i="11"/>
  <c r="AN70" i="11"/>
  <c r="AO70" i="11" a="1"/>
  <c r="AO70" i="11"/>
  <c r="AP70" i="11" a="1"/>
  <c r="AP70" i="11"/>
  <c r="AQ70" i="11" a="1"/>
  <c r="AQ70" i="11"/>
  <c r="AR70" i="11" a="1"/>
  <c r="AR70" i="11"/>
  <c r="AS70" i="11" a="1"/>
  <c r="AS70" i="11"/>
  <c r="AN71" i="11"/>
  <c r="AO71" i="11" a="1"/>
  <c r="AO71" i="11"/>
  <c r="AP71" i="11" a="1"/>
  <c r="AP71" i="11"/>
  <c r="AQ71" i="11" a="1"/>
  <c r="AQ71" i="11"/>
  <c r="AR71" i="11" a="1"/>
  <c r="AR71" i="11"/>
  <c r="AS71" i="11" a="1"/>
  <c r="AS71" i="11"/>
  <c r="AN72" i="11"/>
  <c r="AO72" i="11" a="1"/>
  <c r="AO72" i="11"/>
  <c r="AP72" i="11" a="1"/>
  <c r="AP72" i="11"/>
  <c r="AQ72" i="11" a="1"/>
  <c r="AQ72" i="11"/>
  <c r="AR72" i="11" a="1"/>
  <c r="AR72" i="11"/>
  <c r="AS72" i="11" a="1"/>
  <c r="AS72" i="11"/>
  <c r="AN73" i="11"/>
  <c r="AO73" i="11" a="1"/>
  <c r="AO73" i="11"/>
  <c r="AP73" i="11" a="1"/>
  <c r="AP73" i="11"/>
  <c r="AQ73" i="11" a="1"/>
  <c r="AQ73" i="11"/>
  <c r="AR73" i="11" a="1"/>
  <c r="AR73" i="11"/>
  <c r="AS73" i="11" a="1"/>
  <c r="AS73" i="11"/>
  <c r="AN74" i="11"/>
  <c r="AO74" i="11" a="1"/>
  <c r="AO74" i="11"/>
  <c r="AP74" i="11" a="1"/>
  <c r="AP74" i="11"/>
  <c r="AQ74" i="11" a="1"/>
  <c r="AQ74" i="11"/>
  <c r="AR74" i="11" a="1"/>
  <c r="AR74" i="11"/>
  <c r="AS74" i="11" a="1"/>
  <c r="AS74" i="11"/>
  <c r="AN75" i="11"/>
  <c r="AO75" i="11" a="1"/>
  <c r="AO75" i="11"/>
  <c r="AP75" i="11" a="1"/>
  <c r="AP75" i="11"/>
  <c r="AQ75" i="11" a="1"/>
  <c r="AQ75" i="11"/>
  <c r="AR75" i="11" a="1"/>
  <c r="AR75" i="11"/>
  <c r="AS75" i="11" a="1"/>
  <c r="AS75" i="11"/>
  <c r="AN76" i="11"/>
  <c r="AO76" i="11" a="1"/>
  <c r="AO76" i="11"/>
  <c r="AP76" i="11" a="1"/>
  <c r="AP76" i="11"/>
  <c r="AQ76" i="11" a="1"/>
  <c r="AQ76" i="11"/>
  <c r="AR76" i="11" a="1"/>
  <c r="AR76" i="11"/>
  <c r="AS76" i="11" a="1"/>
  <c r="AS76" i="11"/>
  <c r="AN77" i="11"/>
  <c r="AO77" i="11" a="1"/>
  <c r="AO77" i="11"/>
  <c r="AP77" i="11" a="1"/>
  <c r="AP77" i="11"/>
  <c r="AQ77" i="11" a="1"/>
  <c r="AQ77" i="11"/>
  <c r="AR77" i="11" a="1"/>
  <c r="AR77" i="11"/>
  <c r="AS77" i="11" a="1"/>
  <c r="AS77" i="11"/>
  <c r="AN78" i="11"/>
  <c r="AO78" i="11" a="1"/>
  <c r="AO78" i="11"/>
  <c r="AP78" i="11" a="1"/>
  <c r="AP78" i="11"/>
  <c r="AQ78" i="11" a="1"/>
  <c r="AQ78" i="11"/>
  <c r="AR78" i="11" a="1"/>
  <c r="AR78" i="11"/>
  <c r="AS78" i="11" a="1"/>
  <c r="AS78" i="11"/>
  <c r="AN79" i="11"/>
  <c r="AO79" i="11" a="1"/>
  <c r="AO79" i="11"/>
  <c r="AP79" i="11" a="1"/>
  <c r="AP79" i="11"/>
  <c r="AQ79" i="11" a="1"/>
  <c r="AQ79" i="11"/>
  <c r="AR79" i="11" a="1"/>
  <c r="AR79" i="11"/>
  <c r="AS79" i="11" a="1"/>
  <c r="AS79" i="11"/>
  <c r="AN80" i="11"/>
  <c r="AO80" i="11" a="1"/>
  <c r="AO80" i="11"/>
  <c r="AP80" i="11" a="1"/>
  <c r="AP80" i="11"/>
  <c r="AQ80" i="11" a="1"/>
  <c r="AQ80" i="11"/>
  <c r="AR80" i="11" a="1"/>
  <c r="AR80" i="11"/>
  <c r="AS80" i="11" a="1"/>
  <c r="AS80" i="11"/>
  <c r="AN81" i="11"/>
  <c r="AO81" i="11" a="1"/>
  <c r="AO81" i="11"/>
  <c r="AP81" i="11" a="1"/>
  <c r="AP81" i="11"/>
  <c r="AQ81" i="11" a="1"/>
  <c r="AQ81" i="11"/>
  <c r="AR81" i="11" a="1"/>
  <c r="AR81" i="11"/>
  <c r="AS81" i="11" a="1"/>
  <c r="AS81" i="11"/>
  <c r="AN82" i="11"/>
  <c r="AO82" i="11" a="1"/>
  <c r="AO82" i="11"/>
  <c r="AP82" i="11" a="1"/>
  <c r="AP82" i="11"/>
  <c r="AQ82" i="11" a="1"/>
  <c r="AQ82" i="11"/>
  <c r="AR82" i="11" a="1"/>
  <c r="AR82" i="11"/>
  <c r="AS82" i="11" a="1"/>
  <c r="AS82" i="11"/>
  <c r="AN83" i="11"/>
  <c r="AO83" i="11" a="1"/>
  <c r="AO83" i="11"/>
  <c r="AP83" i="11" a="1"/>
  <c r="AP83" i="11"/>
  <c r="AQ83" i="11" a="1"/>
  <c r="AQ83" i="11"/>
  <c r="AR83" i="11" a="1"/>
  <c r="AR83" i="11"/>
  <c r="AS83" i="11" a="1"/>
  <c r="AS83" i="11"/>
  <c r="AN84" i="11"/>
  <c r="AO84" i="11" a="1"/>
  <c r="AO84" i="11"/>
  <c r="AP84" i="11" a="1"/>
  <c r="AP84" i="11"/>
  <c r="AQ84" i="11" a="1"/>
  <c r="AQ84" i="11"/>
  <c r="AR84" i="11" a="1"/>
  <c r="AR84" i="11"/>
  <c r="AS84" i="11" a="1"/>
  <c r="AS84" i="11"/>
  <c r="AN85" i="11"/>
  <c r="AO85" i="11" a="1"/>
  <c r="AO85" i="11"/>
  <c r="AP85" i="11" a="1"/>
  <c r="AP85" i="11"/>
  <c r="AQ85" i="11" a="1"/>
  <c r="AQ85" i="11"/>
  <c r="AR85" i="11" a="1"/>
  <c r="AR85" i="11"/>
  <c r="AS85" i="11" a="1"/>
  <c r="AS85" i="11"/>
  <c r="AN86" i="11"/>
  <c r="AO86" i="11" a="1"/>
  <c r="AO86" i="11"/>
  <c r="AP86" i="11" a="1"/>
  <c r="AP86" i="11"/>
  <c r="AQ86" i="11" a="1"/>
  <c r="AQ86" i="11"/>
  <c r="AR86" i="11" a="1"/>
  <c r="AR86" i="11"/>
  <c r="AS86" i="11" a="1"/>
  <c r="AS86" i="11"/>
  <c r="AN87" i="11"/>
  <c r="AO87" i="11" a="1"/>
  <c r="AO87" i="11"/>
  <c r="AP87" i="11" a="1"/>
  <c r="AP87" i="11"/>
  <c r="AQ87" i="11" a="1"/>
  <c r="AQ87" i="11"/>
  <c r="AR87" i="11" a="1"/>
  <c r="AR87" i="11"/>
  <c r="AS87" i="11" a="1"/>
  <c r="AS87" i="11"/>
  <c r="AN88" i="11"/>
  <c r="AO88" i="11" a="1"/>
  <c r="AO88" i="11"/>
  <c r="AP88" i="11" a="1"/>
  <c r="AP88" i="11"/>
  <c r="AQ88" i="11" a="1"/>
  <c r="AQ88" i="11"/>
  <c r="AR88" i="11" a="1"/>
  <c r="AR88" i="11"/>
  <c r="AS88" i="11" a="1"/>
  <c r="AS88" i="11"/>
  <c r="AN89" i="11"/>
  <c r="AO89" i="11" a="1"/>
  <c r="AO89" i="11"/>
  <c r="AP89" i="11" a="1"/>
  <c r="AP89" i="11"/>
  <c r="AQ89" i="11" a="1"/>
  <c r="AQ89" i="11"/>
  <c r="AR89" i="11" a="1"/>
  <c r="AR89" i="11"/>
  <c r="AS89" i="11" a="1"/>
  <c r="AS89" i="11"/>
  <c r="AN90" i="11"/>
  <c r="AO90" i="11" a="1"/>
  <c r="AO90" i="11"/>
  <c r="AP90" i="11" a="1"/>
  <c r="AP90" i="11"/>
  <c r="AQ90" i="11" a="1"/>
  <c r="AQ90" i="11"/>
  <c r="AR90" i="11" a="1"/>
  <c r="AR90" i="11"/>
  <c r="AS90" i="11" a="1"/>
  <c r="AS90" i="11"/>
  <c r="AN91" i="11"/>
  <c r="AO91" i="11" a="1"/>
  <c r="AO91" i="11"/>
  <c r="AP91" i="11" a="1"/>
  <c r="AP91" i="11"/>
  <c r="AQ91" i="11" a="1"/>
  <c r="AQ91" i="11"/>
  <c r="AR91" i="11" a="1"/>
  <c r="AR91" i="11"/>
  <c r="AS91" i="11" a="1"/>
  <c r="AS91" i="11"/>
  <c r="AN92" i="11"/>
  <c r="AO92" i="11" a="1"/>
  <c r="AO92" i="11"/>
  <c r="AP92" i="11" a="1"/>
  <c r="AP92" i="11"/>
  <c r="AQ92" i="11" a="1"/>
  <c r="AQ92" i="11"/>
  <c r="AR92" i="11" a="1"/>
  <c r="AR92" i="11"/>
  <c r="AS92" i="11" a="1"/>
  <c r="AS92" i="11"/>
  <c r="AN93" i="11"/>
  <c r="AO93" i="11" a="1"/>
  <c r="AO93" i="11"/>
  <c r="AP93" i="11" a="1"/>
  <c r="AP93" i="11"/>
  <c r="AQ93" i="11" a="1"/>
  <c r="AQ93" i="11"/>
  <c r="AR93" i="11" a="1"/>
  <c r="AR93" i="11"/>
  <c r="AS93" i="11" a="1"/>
  <c r="AS93" i="11"/>
  <c r="AN94" i="11"/>
  <c r="AO94" i="11" a="1"/>
  <c r="AO94" i="11"/>
  <c r="AP94" i="11" a="1"/>
  <c r="AP94" i="11"/>
  <c r="AQ94" i="11" a="1"/>
  <c r="AQ94" i="11"/>
  <c r="AR94" i="11" a="1"/>
  <c r="AR94" i="11"/>
  <c r="AS94" i="11" a="1"/>
  <c r="AS94" i="11"/>
  <c r="AN95" i="11"/>
  <c r="AO95" i="11" a="1"/>
  <c r="AO95" i="11"/>
  <c r="AP95" i="11" a="1"/>
  <c r="AP95" i="11"/>
  <c r="AQ95" i="11" a="1"/>
  <c r="AQ95" i="11"/>
  <c r="AR95" i="11" a="1"/>
  <c r="AR95" i="11"/>
  <c r="AS95" i="11" a="1"/>
  <c r="AS95" i="11"/>
  <c r="AN96" i="11"/>
  <c r="AO96" i="11" a="1"/>
  <c r="AO96" i="11"/>
  <c r="AP96" i="11" a="1"/>
  <c r="AP96" i="11"/>
  <c r="AQ96" i="11" a="1"/>
  <c r="AQ96" i="11"/>
  <c r="AR96" i="11" a="1"/>
  <c r="AR96" i="11"/>
  <c r="AS96" i="11" a="1"/>
  <c r="AS96" i="11"/>
  <c r="AN97" i="11"/>
  <c r="AO97" i="11" a="1"/>
  <c r="AO97" i="11"/>
  <c r="AP97" i="11" a="1"/>
  <c r="AP97" i="11"/>
  <c r="AQ97" i="11" a="1"/>
  <c r="AQ97" i="11"/>
  <c r="AR97" i="11" a="1"/>
  <c r="AR97" i="11"/>
  <c r="AS97" i="11" a="1"/>
  <c r="AS97" i="11"/>
  <c r="AN98" i="11"/>
  <c r="AO98" i="11" a="1"/>
  <c r="AO98" i="11"/>
  <c r="AP98" i="11" a="1"/>
  <c r="AP98" i="11"/>
  <c r="AQ98" i="11" a="1"/>
  <c r="AQ98" i="11"/>
  <c r="AR98" i="11" a="1"/>
  <c r="AR98" i="11"/>
  <c r="AS98" i="11" a="1"/>
  <c r="AS98" i="11"/>
  <c r="AN99" i="11"/>
  <c r="AO99" i="11" a="1"/>
  <c r="AO99" i="11"/>
  <c r="AP99" i="11" a="1"/>
  <c r="AP99" i="11"/>
  <c r="AQ99" i="11" a="1"/>
  <c r="AQ99" i="11"/>
  <c r="AR99" i="11" a="1"/>
  <c r="AR99" i="11"/>
  <c r="AS99" i="11" a="1"/>
  <c r="AS99" i="11"/>
  <c r="AN100" i="11"/>
  <c r="AO100" i="11" a="1"/>
  <c r="AO100" i="11"/>
  <c r="AP100" i="11" a="1"/>
  <c r="AP100" i="11"/>
  <c r="AQ100" i="11" a="1"/>
  <c r="AQ100" i="11"/>
  <c r="AR100" i="11" a="1"/>
  <c r="AR100" i="11"/>
  <c r="AS100" i="11" a="1"/>
  <c r="AS100" i="11"/>
  <c r="AN101" i="11"/>
  <c r="AO101" i="11" a="1"/>
  <c r="AO101" i="11"/>
  <c r="AP101" i="11" a="1"/>
  <c r="AP101" i="11"/>
  <c r="AQ101" i="11" a="1"/>
  <c r="AQ101" i="11"/>
  <c r="AR101" i="11" a="1"/>
  <c r="AR101" i="11"/>
  <c r="AS101" i="11" a="1"/>
  <c r="AS101" i="11"/>
  <c r="AN102" i="11"/>
  <c r="AO102" i="11" a="1"/>
  <c r="AO102" i="11"/>
  <c r="AP102" i="11" a="1"/>
  <c r="AP102" i="11"/>
  <c r="AQ102" i="11" a="1"/>
  <c r="AQ102" i="11"/>
  <c r="AR102" i="11" a="1"/>
  <c r="AR102" i="11"/>
  <c r="AS102" i="11" a="1"/>
  <c r="AS102" i="11"/>
  <c r="AN103" i="11"/>
  <c r="AO103" i="11" a="1"/>
  <c r="AO103" i="11"/>
  <c r="AP103" i="11" a="1"/>
  <c r="AP103" i="11"/>
  <c r="AQ103" i="11" a="1"/>
  <c r="AQ103" i="11"/>
  <c r="AR103" i="11" a="1"/>
  <c r="AR103" i="11"/>
  <c r="AS103" i="11" a="1"/>
  <c r="AS103" i="11"/>
  <c r="AN104" i="11"/>
  <c r="AO104" i="11" a="1"/>
  <c r="AO104" i="11"/>
  <c r="AP104" i="11" a="1"/>
  <c r="AP104" i="11"/>
  <c r="AQ104" i="11" a="1"/>
  <c r="AQ104" i="11"/>
  <c r="AR104" i="11" a="1"/>
  <c r="AR104" i="11"/>
  <c r="AS104" i="11" a="1"/>
  <c r="AS104" i="11"/>
  <c r="AN105" i="11"/>
  <c r="AO105" i="11" a="1"/>
  <c r="AO105" i="11"/>
  <c r="AP105" i="11" a="1"/>
  <c r="AP105" i="11"/>
  <c r="AQ105" i="11" a="1"/>
  <c r="AQ105" i="11"/>
  <c r="AR105" i="11" a="1"/>
  <c r="AR105" i="11"/>
  <c r="AS105" i="11" a="1"/>
  <c r="AS105" i="11"/>
  <c r="AN106" i="11"/>
  <c r="AO106" i="11" a="1"/>
  <c r="AO106" i="11"/>
  <c r="AP106" i="11" a="1"/>
  <c r="AP106" i="11"/>
  <c r="AQ106" i="11" a="1"/>
  <c r="AQ106" i="11"/>
  <c r="AR106" i="11" a="1"/>
  <c r="AR106" i="11"/>
  <c r="AS106" i="11" a="1"/>
  <c r="AS106" i="11"/>
  <c r="AN107" i="11"/>
  <c r="AO107" i="11" a="1"/>
  <c r="AO107" i="11"/>
  <c r="AP107" i="11" a="1"/>
  <c r="AP107" i="11"/>
  <c r="AQ107" i="11" a="1"/>
  <c r="AQ107" i="11"/>
  <c r="AR107" i="11" a="1"/>
  <c r="AR107" i="11"/>
  <c r="AS107" i="11" a="1"/>
  <c r="AS107" i="11"/>
  <c r="AN108" i="11"/>
  <c r="AO108" i="11" a="1"/>
  <c r="AO108" i="11"/>
  <c r="AP108" i="11" a="1"/>
  <c r="AP108" i="11"/>
  <c r="AQ108" i="11" a="1"/>
  <c r="AQ108" i="11"/>
  <c r="AR108" i="11" a="1"/>
  <c r="AR108" i="11"/>
  <c r="AS108" i="11" a="1"/>
  <c r="AS108" i="11"/>
  <c r="AN109" i="11"/>
  <c r="AO109" i="11" a="1"/>
  <c r="AO109" i="11"/>
  <c r="AP109" i="11" a="1"/>
  <c r="AP109" i="11"/>
  <c r="AQ109" i="11" a="1"/>
  <c r="AQ109" i="11"/>
  <c r="AR109" i="11" a="1"/>
  <c r="AR109" i="11"/>
  <c r="AS109" i="11" a="1"/>
  <c r="AS109" i="11"/>
  <c r="AN110" i="11"/>
  <c r="AO110" i="11" a="1"/>
  <c r="AO110" i="11"/>
  <c r="AP110" i="11" a="1"/>
  <c r="AP110" i="11"/>
  <c r="AQ110" i="11" a="1"/>
  <c r="AQ110" i="11"/>
  <c r="AR110" i="11" a="1"/>
  <c r="AR110" i="11"/>
  <c r="AS110" i="11" a="1"/>
  <c r="AS110" i="11"/>
  <c r="AN111" i="11"/>
  <c r="AO111" i="11" a="1"/>
  <c r="AO111" i="11"/>
  <c r="AP111" i="11" a="1"/>
  <c r="AP111" i="11"/>
  <c r="AQ111" i="11" a="1"/>
  <c r="AQ111" i="11"/>
  <c r="AR111" i="11" a="1"/>
  <c r="AR111" i="11"/>
  <c r="AS111" i="11" a="1"/>
  <c r="AS111" i="11"/>
  <c r="AN112" i="11"/>
  <c r="AO112" i="11" a="1"/>
  <c r="AO112" i="11"/>
  <c r="AP112" i="11" a="1"/>
  <c r="AP112" i="11"/>
  <c r="AQ112" i="11" a="1"/>
  <c r="AQ112" i="11"/>
  <c r="AR112" i="11" a="1"/>
  <c r="AR112" i="11"/>
  <c r="AS112" i="11" a="1"/>
  <c r="AS112" i="11"/>
  <c r="AN113" i="11"/>
  <c r="AO113" i="11" a="1"/>
  <c r="AO113" i="11"/>
  <c r="AP113" i="11" a="1"/>
  <c r="AP113" i="11"/>
  <c r="AQ113" i="11" a="1"/>
  <c r="AQ113" i="11"/>
  <c r="AR113" i="11" a="1"/>
  <c r="AR113" i="11"/>
  <c r="AS113" i="11" a="1"/>
  <c r="AS113" i="11"/>
  <c r="AN114" i="11"/>
  <c r="AO114" i="11" a="1"/>
  <c r="AO114" i="11"/>
  <c r="AP114" i="11" a="1"/>
  <c r="AP114" i="11"/>
  <c r="AQ114" i="11" a="1"/>
  <c r="AQ114" i="11"/>
  <c r="AR114" i="11" a="1"/>
  <c r="AR114" i="11"/>
  <c r="AS114" i="11" a="1"/>
  <c r="AS114" i="11"/>
  <c r="AN115" i="11"/>
  <c r="AO115" i="11" a="1"/>
  <c r="AO115" i="11"/>
  <c r="AP115" i="11" a="1"/>
  <c r="AP115" i="11"/>
  <c r="AQ115" i="11" a="1"/>
  <c r="AQ115" i="11"/>
  <c r="AR115" i="11" a="1"/>
  <c r="AR115" i="11"/>
  <c r="AS115" i="11" a="1"/>
  <c r="AS115" i="11"/>
  <c r="AN116" i="11"/>
  <c r="AO116" i="11" a="1"/>
  <c r="AO116" i="11"/>
  <c r="AP116" i="11" a="1"/>
  <c r="AP116" i="11"/>
  <c r="AQ116" i="11" a="1"/>
  <c r="AQ116" i="11"/>
  <c r="AR116" i="11" a="1"/>
  <c r="AR116" i="11"/>
  <c r="AS116" i="11" a="1"/>
  <c r="AS116" i="11"/>
  <c r="AN117" i="11"/>
  <c r="AO117" i="11" a="1"/>
  <c r="AO117" i="11"/>
  <c r="AP117" i="11" a="1"/>
  <c r="AP117" i="11"/>
  <c r="AQ117" i="11" a="1"/>
  <c r="AQ117" i="11"/>
  <c r="AR117" i="11" a="1"/>
  <c r="AR117" i="11"/>
  <c r="AS117" i="11" a="1"/>
  <c r="AS117" i="11"/>
  <c r="AN118" i="11"/>
  <c r="AO118" i="11" a="1"/>
  <c r="AO118" i="11"/>
  <c r="AP118" i="11" a="1"/>
  <c r="AP118" i="11"/>
  <c r="AQ118" i="11" a="1"/>
  <c r="AQ118" i="11"/>
  <c r="AR118" i="11" a="1"/>
  <c r="AR118" i="11"/>
  <c r="AS118" i="11" a="1"/>
  <c r="AS118" i="11"/>
  <c r="AN119" i="11"/>
  <c r="AO119" i="11" a="1"/>
  <c r="AO119" i="11"/>
  <c r="AP119" i="11" a="1"/>
  <c r="AP119" i="11"/>
  <c r="AQ119" i="11" a="1"/>
  <c r="AQ119" i="11"/>
  <c r="AR119" i="11" a="1"/>
  <c r="AR119" i="11"/>
  <c r="AS119" i="11" a="1"/>
  <c r="AS119" i="11"/>
  <c r="AN120" i="11"/>
  <c r="AO120" i="11" a="1"/>
  <c r="AO120" i="11"/>
  <c r="AP120" i="11" a="1"/>
  <c r="AP120" i="11"/>
  <c r="AQ120" i="11" a="1"/>
  <c r="AQ120" i="11"/>
  <c r="AR120" i="11" a="1"/>
  <c r="AR120" i="11"/>
  <c r="AS120" i="11" a="1"/>
  <c r="AS120" i="11"/>
  <c r="AN121" i="11"/>
  <c r="AO121" i="11" a="1"/>
  <c r="AO121" i="11"/>
  <c r="AP121" i="11" a="1"/>
  <c r="AP121" i="11"/>
  <c r="AQ121" i="11" a="1"/>
  <c r="AQ121" i="11"/>
  <c r="AR121" i="11" a="1"/>
  <c r="AR121" i="11"/>
  <c r="AS121" i="11" a="1"/>
  <c r="AS121" i="11"/>
  <c r="AN122" i="11"/>
  <c r="AO122" i="11" a="1"/>
  <c r="AO122" i="11"/>
  <c r="AP122" i="11" a="1"/>
  <c r="AP122" i="11"/>
  <c r="AQ122" i="11" a="1"/>
  <c r="AQ122" i="11"/>
  <c r="AR122" i="11" a="1"/>
  <c r="AR122" i="11"/>
  <c r="AS122" i="11" a="1"/>
  <c r="AS122" i="11"/>
  <c r="AN123" i="11"/>
  <c r="AO123" i="11" a="1"/>
  <c r="AO123" i="11"/>
  <c r="AP123" i="11" a="1"/>
  <c r="AP123" i="11"/>
  <c r="AQ123" i="11" a="1"/>
  <c r="AQ123" i="11"/>
  <c r="AR123" i="11" a="1"/>
  <c r="AR123" i="11"/>
  <c r="AS123" i="11" a="1"/>
  <c r="AS123" i="11"/>
  <c r="AN124" i="11"/>
  <c r="AO124" i="11" a="1"/>
  <c r="AO124" i="11"/>
  <c r="AP124" i="11" a="1"/>
  <c r="AP124" i="11"/>
  <c r="AQ124" i="11" a="1"/>
  <c r="AQ124" i="11"/>
  <c r="AR124" i="11" a="1"/>
  <c r="AR124" i="11"/>
  <c r="AS124" i="11" a="1"/>
  <c r="AS124" i="11"/>
  <c r="AN125" i="11"/>
  <c r="AO125" i="11" a="1"/>
  <c r="AO125" i="11"/>
  <c r="AP125" i="11" a="1"/>
  <c r="AP125" i="11"/>
  <c r="AQ125" i="11" a="1"/>
  <c r="AQ125" i="11"/>
  <c r="AR125" i="11" a="1"/>
  <c r="AR125" i="11"/>
  <c r="AS125" i="11" a="1"/>
  <c r="AS125" i="11"/>
  <c r="AN126" i="11"/>
  <c r="AO126" i="11" a="1"/>
  <c r="AO126" i="11"/>
  <c r="AP126" i="11" a="1"/>
  <c r="AP126" i="11"/>
  <c r="AQ126" i="11" a="1"/>
  <c r="AQ126" i="11"/>
  <c r="AR126" i="11" a="1"/>
  <c r="AR126" i="11"/>
  <c r="AS126" i="11" a="1"/>
  <c r="AS126" i="11"/>
  <c r="AN127" i="11"/>
  <c r="AO127" i="11" a="1"/>
  <c r="AO127" i="11"/>
  <c r="AP127" i="11" a="1"/>
  <c r="AP127" i="11"/>
  <c r="AQ127" i="11" a="1"/>
  <c r="AQ127" i="11"/>
  <c r="AR127" i="11" a="1"/>
  <c r="AR127" i="11"/>
  <c r="AS127" i="11" a="1"/>
  <c r="AS127" i="11"/>
  <c r="AN128" i="11"/>
  <c r="AO128" i="11" a="1"/>
  <c r="AO128" i="11"/>
  <c r="AP128" i="11" a="1"/>
  <c r="AP128" i="11"/>
  <c r="AQ128" i="11" a="1"/>
  <c r="AQ128" i="11"/>
  <c r="AR128" i="11" a="1"/>
  <c r="AR128" i="11"/>
  <c r="AS128" i="11" a="1"/>
  <c r="AS128" i="11"/>
  <c r="AN129" i="11"/>
  <c r="AO129" i="11" a="1"/>
  <c r="AO129" i="11"/>
  <c r="AP129" i="11" a="1"/>
  <c r="AP129" i="11"/>
  <c r="AQ129" i="11" a="1"/>
  <c r="AQ129" i="11"/>
  <c r="AR129" i="11" a="1"/>
  <c r="AR129" i="11"/>
  <c r="AS129" i="11" a="1"/>
  <c r="AS129" i="11"/>
  <c r="AN130" i="11"/>
  <c r="AO130" i="11" a="1"/>
  <c r="AO130" i="11"/>
  <c r="AP130" i="11" a="1"/>
  <c r="AP130" i="11"/>
  <c r="AQ130" i="11" a="1"/>
  <c r="AQ130" i="11"/>
  <c r="AR130" i="11" a="1"/>
  <c r="AR130" i="11"/>
  <c r="AS130" i="11" a="1"/>
  <c r="AS130" i="11"/>
  <c r="AN131" i="11"/>
  <c r="AO131" i="11" a="1"/>
  <c r="AO131" i="11"/>
  <c r="AP131" i="11" a="1"/>
  <c r="AP131" i="11"/>
  <c r="AQ131" i="11" a="1"/>
  <c r="AQ131" i="11"/>
  <c r="AR131" i="11" a="1"/>
  <c r="AR131" i="11"/>
  <c r="AS131" i="11" a="1"/>
  <c r="AS131" i="11"/>
  <c r="AN132" i="11"/>
  <c r="AO132" i="11" a="1"/>
  <c r="AO132" i="11"/>
  <c r="AP132" i="11" a="1"/>
  <c r="AP132" i="11"/>
  <c r="AQ132" i="11" a="1"/>
  <c r="AQ132" i="11"/>
  <c r="AR132" i="11" a="1"/>
  <c r="AR132" i="11"/>
  <c r="AS132" i="11" a="1"/>
  <c r="AS132" i="11"/>
  <c r="AN133" i="11"/>
  <c r="AO133" i="11" a="1"/>
  <c r="AO133" i="11"/>
  <c r="AP133" i="11" a="1"/>
  <c r="AP133" i="11"/>
  <c r="AQ133" i="11" a="1"/>
  <c r="AQ133" i="11"/>
  <c r="AR133" i="11" a="1"/>
  <c r="AR133" i="11"/>
  <c r="AS133" i="11" a="1"/>
  <c r="AS133" i="11"/>
  <c r="AN134" i="11"/>
  <c r="AO134" i="11" a="1"/>
  <c r="AO134" i="11"/>
  <c r="AP134" i="11" a="1"/>
  <c r="AP134" i="11"/>
  <c r="AQ134" i="11" a="1"/>
  <c r="AQ134" i="11"/>
  <c r="AR134" i="11" a="1"/>
  <c r="AR134" i="11"/>
  <c r="AS134" i="11" a="1"/>
  <c r="AS134" i="11"/>
  <c r="AN135" i="11"/>
  <c r="AO135" i="11" a="1"/>
  <c r="AO135" i="11"/>
  <c r="AP135" i="11" a="1"/>
  <c r="AP135" i="11"/>
  <c r="AQ135" i="11" a="1"/>
  <c r="AQ135" i="11"/>
  <c r="AR135" i="11" a="1"/>
  <c r="AR135" i="11"/>
  <c r="AS135" i="11" a="1"/>
  <c r="AS135" i="11"/>
  <c r="AN136" i="11"/>
  <c r="AO136" i="11" a="1"/>
  <c r="AO136" i="11"/>
  <c r="AP136" i="11" a="1"/>
  <c r="AP136" i="11"/>
  <c r="AQ136" i="11" a="1"/>
  <c r="AQ136" i="11"/>
  <c r="AR136" i="11" a="1"/>
  <c r="AR136" i="11"/>
  <c r="AS136" i="11" a="1"/>
  <c r="AS136" i="11"/>
  <c r="AN137" i="11"/>
  <c r="AO137" i="11" a="1"/>
  <c r="AO137" i="11"/>
  <c r="AP137" i="11" a="1"/>
  <c r="AP137" i="11"/>
  <c r="AQ137" i="11" a="1"/>
  <c r="AQ137" i="11"/>
  <c r="AR137" i="11" a="1"/>
  <c r="AR137" i="11"/>
  <c r="AS137" i="11" a="1"/>
  <c r="AS137" i="11"/>
  <c r="AN138" i="11"/>
  <c r="AO138" i="11" a="1"/>
  <c r="AO138" i="11"/>
  <c r="AP138" i="11" a="1"/>
  <c r="AP138" i="11"/>
  <c r="AQ138" i="11" a="1"/>
  <c r="AQ138" i="11"/>
  <c r="AR138" i="11" a="1"/>
  <c r="AR138" i="11"/>
  <c r="AS138" i="11" a="1"/>
  <c r="AS138" i="11"/>
  <c r="AN139" i="11"/>
  <c r="AO139" i="11" a="1"/>
  <c r="AO139" i="11"/>
  <c r="AP139" i="11" a="1"/>
  <c r="AP139" i="11"/>
  <c r="AQ139" i="11" a="1"/>
  <c r="AQ139" i="11"/>
  <c r="AR139" i="11" a="1"/>
  <c r="AR139" i="11"/>
  <c r="AS139" i="11" a="1"/>
  <c r="AS139" i="11"/>
  <c r="AN140" i="11"/>
  <c r="AO140" i="11" a="1"/>
  <c r="AO140" i="11"/>
  <c r="AP140" i="11" a="1"/>
  <c r="AP140" i="11"/>
  <c r="AQ140" i="11" a="1"/>
  <c r="AQ140" i="11"/>
  <c r="AR140" i="11" a="1"/>
  <c r="AR140" i="11"/>
  <c r="AS140" i="11" a="1"/>
  <c r="AS140" i="11"/>
  <c r="AN141" i="11"/>
  <c r="AO141" i="11" a="1"/>
  <c r="AO141" i="11"/>
  <c r="AP141" i="11" a="1"/>
  <c r="AP141" i="11"/>
  <c r="AQ141" i="11" a="1"/>
  <c r="AQ141" i="11"/>
  <c r="AR141" i="11" a="1"/>
  <c r="AR141" i="11"/>
  <c r="AS141" i="11" a="1"/>
  <c r="AS141" i="11"/>
  <c r="AN142" i="11"/>
  <c r="AO142" i="11" a="1"/>
  <c r="AO142" i="11"/>
  <c r="AP142" i="11" a="1"/>
  <c r="AP142" i="11"/>
  <c r="AQ142" i="11" a="1"/>
  <c r="AQ142" i="11"/>
  <c r="AR142" i="11" a="1"/>
  <c r="AR142" i="11"/>
  <c r="AS142" i="11" a="1"/>
  <c r="AS142" i="11"/>
  <c r="AN143" i="11"/>
  <c r="AO143" i="11" a="1"/>
  <c r="AO143" i="11"/>
  <c r="AP143" i="11" a="1"/>
  <c r="AP143" i="11"/>
  <c r="AQ143" i="11" a="1"/>
  <c r="AQ143" i="11"/>
  <c r="AR143" i="11" a="1"/>
  <c r="AR143" i="11"/>
  <c r="AS143" i="11" a="1"/>
  <c r="AS143" i="11"/>
  <c r="AN144" i="11"/>
  <c r="AO144" i="11" a="1"/>
  <c r="AO144" i="11"/>
  <c r="AP144" i="11" a="1"/>
  <c r="AP144" i="11"/>
  <c r="AQ144" i="11" a="1"/>
  <c r="AQ144" i="11"/>
  <c r="AR144" i="11" a="1"/>
  <c r="AR144" i="11"/>
  <c r="AS144" i="11" a="1"/>
  <c r="AS144" i="11"/>
  <c r="AN145" i="11"/>
  <c r="AO145" i="11" a="1"/>
  <c r="AO145" i="11"/>
  <c r="AP145" i="11" a="1"/>
  <c r="AP145" i="11"/>
  <c r="AQ145" i="11" a="1"/>
  <c r="AQ145" i="11"/>
  <c r="AR145" i="11" a="1"/>
  <c r="AR145" i="11"/>
  <c r="AS145" i="11" a="1"/>
  <c r="AS145" i="11"/>
  <c r="AN146" i="11"/>
  <c r="AO146" i="11" a="1"/>
  <c r="AO146" i="11"/>
  <c r="AP146" i="11" a="1"/>
  <c r="AP146" i="11"/>
  <c r="AQ146" i="11" a="1"/>
  <c r="AQ146" i="11"/>
  <c r="AR146" i="11" a="1"/>
  <c r="AR146" i="11"/>
  <c r="AS146" i="11" a="1"/>
  <c r="AS146" i="11"/>
  <c r="AN147" i="11"/>
  <c r="AO147" i="11" a="1"/>
  <c r="AO147" i="11"/>
  <c r="AP147" i="11" a="1"/>
  <c r="AP147" i="11"/>
  <c r="AQ147" i="11" a="1"/>
  <c r="AQ147" i="11"/>
  <c r="AR147" i="11" a="1"/>
  <c r="AR147" i="11"/>
  <c r="AS147" i="11" a="1"/>
  <c r="AS147" i="11"/>
  <c r="AN148" i="11"/>
  <c r="AO148" i="11" a="1"/>
  <c r="AO148" i="11"/>
  <c r="AP148" i="11" a="1"/>
  <c r="AP148" i="11"/>
  <c r="AQ148" i="11" a="1"/>
  <c r="AQ148" i="11"/>
  <c r="AR148" i="11" a="1"/>
  <c r="AR148" i="11"/>
  <c r="AS148" i="11" a="1"/>
  <c r="AS148" i="11"/>
  <c r="AN149" i="11"/>
  <c r="AO149" i="11" a="1"/>
  <c r="AO149" i="11"/>
  <c r="AP149" i="11" a="1"/>
  <c r="AP149" i="11"/>
  <c r="AQ149" i="11" a="1"/>
  <c r="AQ149" i="11"/>
  <c r="AR149" i="11" a="1"/>
  <c r="AR149" i="11"/>
  <c r="AS149" i="11" a="1"/>
  <c r="AS149" i="11"/>
  <c r="AN150" i="11"/>
  <c r="AO150" i="11" a="1"/>
  <c r="AO150" i="11"/>
  <c r="AP150" i="11" a="1"/>
  <c r="AP150" i="11"/>
  <c r="AQ150" i="11" a="1"/>
  <c r="AQ150" i="11"/>
  <c r="AR150" i="11" a="1"/>
  <c r="AR150" i="11"/>
  <c r="AS150" i="11" a="1"/>
  <c r="AS150" i="11"/>
  <c r="AN151" i="11"/>
  <c r="AO151" i="11" a="1"/>
  <c r="AO151" i="11"/>
  <c r="AP151" i="11" a="1"/>
  <c r="AP151" i="11"/>
  <c r="AQ151" i="11" a="1"/>
  <c r="AQ151" i="11"/>
  <c r="AR151" i="11" a="1"/>
  <c r="AR151" i="11"/>
  <c r="AS151" i="11" a="1"/>
  <c r="AS151" i="11"/>
  <c r="AN152" i="11"/>
  <c r="AO152" i="11" a="1"/>
  <c r="AO152" i="11"/>
  <c r="AP152" i="11" a="1"/>
  <c r="AP152" i="11"/>
  <c r="AQ152" i="11" a="1"/>
  <c r="AQ152" i="11"/>
  <c r="AR152" i="11" a="1"/>
  <c r="AR152" i="11"/>
  <c r="AS152" i="11" a="1"/>
  <c r="AS152" i="11"/>
  <c r="AN153" i="11"/>
  <c r="AO153" i="11" a="1"/>
  <c r="AO153" i="11"/>
  <c r="AP153" i="11" a="1"/>
  <c r="AP153" i="11"/>
  <c r="AQ153" i="11" a="1"/>
  <c r="AQ153" i="11"/>
  <c r="AR153" i="11" a="1"/>
  <c r="AR153" i="11"/>
  <c r="AS153" i="11" a="1"/>
  <c r="AS153" i="11"/>
  <c r="AN154" i="11"/>
  <c r="AO154" i="11" a="1"/>
  <c r="AO154" i="11"/>
  <c r="AP154" i="11" a="1"/>
  <c r="AP154" i="11"/>
  <c r="AQ154" i="11" a="1"/>
  <c r="AQ154" i="11"/>
  <c r="AR154" i="11" a="1"/>
  <c r="AR154" i="11"/>
  <c r="AS154" i="11" a="1"/>
  <c r="AS154" i="11"/>
  <c r="AN155" i="11"/>
  <c r="AO155" i="11" a="1"/>
  <c r="AO155" i="11"/>
  <c r="AP155" i="11" a="1"/>
  <c r="AP155" i="11"/>
  <c r="AQ155" i="11" a="1"/>
  <c r="AQ155" i="11"/>
  <c r="AR155" i="11" a="1"/>
  <c r="AR155" i="11"/>
  <c r="AS155" i="11" a="1"/>
  <c r="AS155" i="11"/>
  <c r="AN156" i="11"/>
  <c r="AO156" i="11" a="1"/>
  <c r="AO156" i="11"/>
  <c r="AP156" i="11" a="1"/>
  <c r="AP156" i="11"/>
  <c r="AQ156" i="11" a="1"/>
  <c r="AQ156" i="11"/>
  <c r="AR156" i="11" a="1"/>
  <c r="AR156" i="11"/>
  <c r="AS156" i="11" a="1"/>
  <c r="AS156" i="11"/>
  <c r="AN157" i="11"/>
  <c r="AO157" i="11" a="1"/>
  <c r="AO157" i="11"/>
  <c r="AP157" i="11" a="1"/>
  <c r="AP157" i="11"/>
  <c r="AQ157" i="11" a="1"/>
  <c r="AQ157" i="11"/>
  <c r="AR157" i="11" a="1"/>
  <c r="AR157" i="11"/>
  <c r="AS157" i="11" a="1"/>
  <c r="AS157" i="11"/>
  <c r="AN158" i="11"/>
  <c r="AO158" i="11" a="1"/>
  <c r="AO158" i="11"/>
  <c r="AP158" i="11" a="1"/>
  <c r="AP158" i="11"/>
  <c r="AQ158" i="11" a="1"/>
  <c r="AQ158" i="11"/>
  <c r="AR158" i="11" a="1"/>
  <c r="AR158" i="11"/>
  <c r="AS158" i="11" a="1"/>
  <c r="AS158" i="11"/>
  <c r="AN159" i="11"/>
  <c r="AO159" i="11" a="1"/>
  <c r="AO159" i="11"/>
  <c r="AP159" i="11" a="1"/>
  <c r="AP159" i="11"/>
  <c r="AQ159" i="11" a="1"/>
  <c r="AQ159" i="11"/>
  <c r="AR159" i="11" a="1"/>
  <c r="AR159" i="11"/>
  <c r="AS159" i="11" a="1"/>
  <c r="AS159" i="11"/>
  <c r="AN160" i="11"/>
  <c r="AO160" i="11" a="1"/>
  <c r="AO160" i="11"/>
  <c r="AP160" i="11" a="1"/>
  <c r="AP160" i="11"/>
  <c r="AQ160" i="11" a="1"/>
  <c r="AQ160" i="11"/>
  <c r="AR160" i="11" a="1"/>
  <c r="AR160" i="11"/>
  <c r="AS160" i="11" a="1"/>
  <c r="AS160" i="11"/>
  <c r="AN161" i="11"/>
  <c r="AO161" i="11" a="1"/>
  <c r="AO161" i="11"/>
  <c r="AP161" i="11" a="1"/>
  <c r="AP161" i="11"/>
  <c r="AQ161" i="11" a="1"/>
  <c r="AQ161" i="11"/>
  <c r="AR161" i="11" a="1"/>
  <c r="AR161" i="11"/>
  <c r="AS161" i="11" a="1"/>
  <c r="AS161" i="11"/>
  <c r="AN162" i="11"/>
  <c r="AO162" i="11" a="1"/>
  <c r="AO162" i="11"/>
  <c r="AP162" i="11" a="1"/>
  <c r="AP162" i="11"/>
  <c r="AQ162" i="11" a="1"/>
  <c r="AQ162" i="11"/>
  <c r="AR162" i="11" a="1"/>
  <c r="AR162" i="11"/>
  <c r="AS162" i="11" a="1"/>
  <c r="AS162" i="11"/>
  <c r="AN163" i="11"/>
  <c r="AO163" i="11" a="1"/>
  <c r="AO163" i="11"/>
  <c r="AP163" i="11" a="1"/>
  <c r="AP163" i="11"/>
  <c r="AQ163" i="11" a="1"/>
  <c r="AQ163" i="11"/>
  <c r="AR163" i="11" a="1"/>
  <c r="AR163" i="11"/>
  <c r="AS163" i="11" a="1"/>
  <c r="AS163" i="11"/>
  <c r="AN164" i="11"/>
  <c r="AO164" i="11" a="1"/>
  <c r="AO164" i="11"/>
  <c r="AP164" i="11" a="1"/>
  <c r="AP164" i="11"/>
  <c r="AQ164" i="11" a="1"/>
  <c r="AQ164" i="11"/>
  <c r="AR164" i="11" a="1"/>
  <c r="AR164" i="11"/>
  <c r="AS164" i="11" a="1"/>
  <c r="AS164" i="11"/>
  <c r="AN165" i="11"/>
  <c r="AO165" i="11" a="1"/>
  <c r="AO165" i="11"/>
  <c r="AP165" i="11" a="1"/>
  <c r="AP165" i="11"/>
  <c r="AQ165" i="11" a="1"/>
  <c r="AQ165" i="11"/>
  <c r="AR165" i="11" a="1"/>
  <c r="AR165" i="11"/>
  <c r="AS165" i="11" a="1"/>
  <c r="AS165" i="11"/>
  <c r="AN166" i="11"/>
  <c r="AO166" i="11" a="1"/>
  <c r="AO166" i="11"/>
  <c r="AP166" i="11" a="1"/>
  <c r="AP166" i="11"/>
  <c r="AQ166" i="11" a="1"/>
  <c r="AQ166" i="11"/>
  <c r="AR166" i="11" a="1"/>
  <c r="AR166" i="11"/>
  <c r="AS166" i="11" a="1"/>
  <c r="AS166" i="11"/>
  <c r="AN167" i="11"/>
  <c r="AO167" i="11" a="1"/>
  <c r="AO167" i="11"/>
  <c r="AP167" i="11" a="1"/>
  <c r="AP167" i="11"/>
  <c r="AQ167" i="11" a="1"/>
  <c r="AQ167" i="11"/>
  <c r="AR167" i="11" a="1"/>
  <c r="AR167" i="11"/>
  <c r="AS167" i="11" a="1"/>
  <c r="AS167" i="11"/>
  <c r="AN168" i="11"/>
  <c r="AO168" i="11" a="1"/>
  <c r="AO168" i="11"/>
  <c r="AP168" i="11" a="1"/>
  <c r="AP168" i="11"/>
  <c r="AQ168" i="11" a="1"/>
  <c r="AQ168" i="11"/>
  <c r="AR168" i="11" a="1"/>
  <c r="AR168" i="11"/>
  <c r="AS168" i="11" a="1"/>
  <c r="AS168" i="11"/>
  <c r="AN169" i="11"/>
  <c r="AO169" i="11" a="1"/>
  <c r="AO169" i="11"/>
  <c r="AP169" i="11" a="1"/>
  <c r="AP169" i="11"/>
  <c r="AQ169" i="11" a="1"/>
  <c r="AQ169" i="11"/>
  <c r="AR169" i="11" a="1"/>
  <c r="AR169" i="11"/>
  <c r="AS169" i="11" a="1"/>
  <c r="AS169" i="11"/>
  <c r="AN170" i="11"/>
  <c r="AO170" i="11" a="1"/>
  <c r="AO170" i="11"/>
  <c r="AP170" i="11" a="1"/>
  <c r="AP170" i="11"/>
  <c r="AQ170" i="11" a="1"/>
  <c r="AQ170" i="11"/>
  <c r="AR170" i="11" a="1"/>
  <c r="AR170" i="11"/>
  <c r="AS170" i="11" a="1"/>
  <c r="AS170" i="11"/>
  <c r="AN171" i="11"/>
  <c r="AO171" i="11" a="1"/>
  <c r="AO171" i="11"/>
  <c r="AP171" i="11" a="1"/>
  <c r="AP171" i="11"/>
  <c r="AQ171" i="11" a="1"/>
  <c r="AQ171" i="11"/>
  <c r="AR171" i="11" a="1"/>
  <c r="AR171" i="11"/>
  <c r="AS171" i="11" a="1"/>
  <c r="AS171" i="11"/>
  <c r="AN172" i="11"/>
  <c r="AO172" i="11" a="1"/>
  <c r="AO172" i="11"/>
  <c r="AP172" i="11" a="1"/>
  <c r="AP172" i="11"/>
  <c r="AQ172" i="11" a="1"/>
  <c r="AQ172" i="11"/>
  <c r="AR172" i="11" a="1"/>
  <c r="AR172" i="11"/>
  <c r="AS172" i="11" a="1"/>
  <c r="AS172" i="11"/>
  <c r="AN173" i="11"/>
  <c r="AO173" i="11" a="1"/>
  <c r="AO173" i="11"/>
  <c r="AP173" i="11" a="1"/>
  <c r="AP173" i="11"/>
  <c r="AQ173" i="11" a="1"/>
  <c r="AQ173" i="11"/>
  <c r="AR173" i="11" a="1"/>
  <c r="AR173" i="11"/>
  <c r="AS173" i="11" a="1"/>
  <c r="AS173" i="11"/>
  <c r="AN174" i="11"/>
  <c r="AO174" i="11" a="1"/>
  <c r="AO174" i="11"/>
  <c r="AP174" i="11" a="1"/>
  <c r="AP174" i="11"/>
  <c r="AQ174" i="11" a="1"/>
  <c r="AQ174" i="11"/>
  <c r="AR174" i="11" a="1"/>
  <c r="AR174" i="11"/>
  <c r="AS174" i="11" a="1"/>
  <c r="AS174" i="11"/>
  <c r="AN175" i="11"/>
  <c r="AO175" i="11" a="1"/>
  <c r="AO175" i="11"/>
  <c r="AP175" i="11" a="1"/>
  <c r="AP175" i="11"/>
  <c r="AQ175" i="11" a="1"/>
  <c r="AQ175" i="11"/>
  <c r="AR175" i="11" a="1"/>
  <c r="AR175" i="11"/>
  <c r="AS175" i="11" a="1"/>
  <c r="AS175" i="11"/>
  <c r="AN176" i="11"/>
  <c r="AO176" i="11" a="1"/>
  <c r="AO176" i="11"/>
  <c r="AP176" i="11" a="1"/>
  <c r="AP176" i="11"/>
  <c r="AQ176" i="11" a="1"/>
  <c r="AQ176" i="11"/>
  <c r="AR176" i="11" a="1"/>
  <c r="AR176" i="11"/>
  <c r="AS176" i="11" a="1"/>
  <c r="AS176" i="11"/>
  <c r="AN177" i="11"/>
  <c r="AO177" i="11" a="1"/>
  <c r="AO177" i="11"/>
  <c r="AP177" i="11" a="1"/>
  <c r="AP177" i="11"/>
  <c r="AQ177" i="11" a="1"/>
  <c r="AQ177" i="11"/>
  <c r="AR177" i="11" a="1"/>
  <c r="AR177" i="11"/>
  <c r="AS177" i="11" a="1"/>
  <c r="AS177" i="11"/>
  <c r="AN178" i="11"/>
  <c r="AO178" i="11" a="1"/>
  <c r="AO178" i="11"/>
  <c r="AP178" i="11" a="1"/>
  <c r="AP178" i="11"/>
  <c r="AQ178" i="11" a="1"/>
  <c r="AQ178" i="11"/>
  <c r="AR178" i="11" a="1"/>
  <c r="AR178" i="11"/>
  <c r="AS178" i="11" a="1"/>
  <c r="AS178" i="11"/>
  <c r="AN179" i="11"/>
  <c r="AO179" i="11" a="1"/>
  <c r="AO179" i="11"/>
  <c r="AP179" i="11" a="1"/>
  <c r="AP179" i="11"/>
  <c r="AQ179" i="11" a="1"/>
  <c r="AQ179" i="11"/>
  <c r="AR179" i="11" a="1"/>
  <c r="AR179" i="11"/>
  <c r="AS179" i="11" a="1"/>
  <c r="AS179" i="11"/>
  <c r="AN180" i="11"/>
  <c r="AO180" i="11" a="1"/>
  <c r="AO180" i="11"/>
  <c r="AP180" i="11" a="1"/>
  <c r="AP180" i="11"/>
  <c r="AQ180" i="11" a="1"/>
  <c r="AQ180" i="11"/>
  <c r="AR180" i="11" a="1"/>
  <c r="AR180" i="11"/>
  <c r="AS180" i="11" a="1"/>
  <c r="AS180" i="11"/>
  <c r="AN181" i="11"/>
  <c r="AO181" i="11" a="1"/>
  <c r="AO181" i="11"/>
  <c r="AP181" i="11" a="1"/>
  <c r="AP181" i="11"/>
  <c r="AQ181" i="11" a="1"/>
  <c r="AQ181" i="11"/>
  <c r="AR181" i="11" a="1"/>
  <c r="AR181" i="11"/>
  <c r="AS181" i="11" a="1"/>
  <c r="AS181" i="11"/>
  <c r="AN182" i="11"/>
  <c r="AO182" i="11" a="1"/>
  <c r="AO182" i="11"/>
  <c r="AP182" i="11" a="1"/>
  <c r="AP182" i="11"/>
  <c r="AQ182" i="11" a="1"/>
  <c r="AQ182" i="11"/>
  <c r="AR182" i="11" a="1"/>
  <c r="AR182" i="11"/>
  <c r="AS182" i="11" a="1"/>
  <c r="AS182" i="11"/>
  <c r="AN183" i="11"/>
  <c r="AO183" i="11" a="1"/>
  <c r="AO183" i="11"/>
  <c r="AP183" i="11" a="1"/>
  <c r="AP183" i="11"/>
  <c r="AQ183" i="11" a="1"/>
  <c r="AQ183" i="11"/>
  <c r="AR183" i="11" a="1"/>
  <c r="AR183" i="11"/>
  <c r="AS183" i="11" a="1"/>
  <c r="AS183" i="11"/>
  <c r="AN184" i="11"/>
  <c r="AO184" i="11" a="1"/>
  <c r="AO184" i="11"/>
  <c r="AP184" i="11" a="1"/>
  <c r="AP184" i="11"/>
  <c r="AQ184" i="11" a="1"/>
  <c r="AQ184" i="11"/>
  <c r="AR184" i="11" a="1"/>
  <c r="AR184" i="11"/>
  <c r="AS184" i="11" a="1"/>
  <c r="AS184" i="11"/>
  <c r="AN185" i="11"/>
  <c r="AO185" i="11" a="1"/>
  <c r="AO185" i="11"/>
  <c r="AP185" i="11" a="1"/>
  <c r="AP185" i="11"/>
  <c r="AQ185" i="11" a="1"/>
  <c r="AQ185" i="11"/>
  <c r="AR185" i="11" a="1"/>
  <c r="AR185" i="11"/>
  <c r="AS185" i="11" a="1"/>
  <c r="AS185" i="11"/>
  <c r="AN186" i="11"/>
  <c r="AO186" i="11" a="1"/>
  <c r="AO186" i="11"/>
  <c r="AP186" i="11" a="1"/>
  <c r="AP186" i="11"/>
  <c r="AQ186" i="11" a="1"/>
  <c r="AQ186" i="11"/>
  <c r="AR186" i="11" a="1"/>
  <c r="AR186" i="11"/>
  <c r="AS186" i="11" a="1"/>
  <c r="AS186" i="11"/>
  <c r="AN187" i="11"/>
  <c r="AO187" i="11" a="1"/>
  <c r="AO187" i="11"/>
  <c r="AP187" i="11" a="1"/>
  <c r="AP187" i="11"/>
  <c r="AQ187" i="11" a="1"/>
  <c r="AQ187" i="11"/>
  <c r="AR187" i="11" a="1"/>
  <c r="AR187" i="11"/>
  <c r="AS187" i="11" a="1"/>
  <c r="AS187" i="11"/>
  <c r="AN188" i="11"/>
  <c r="AO188" i="11" a="1"/>
  <c r="AO188" i="11"/>
  <c r="AP188" i="11" a="1"/>
  <c r="AP188" i="11"/>
  <c r="AQ188" i="11" a="1"/>
  <c r="AQ188" i="11"/>
  <c r="AR188" i="11" a="1"/>
  <c r="AR188" i="11"/>
  <c r="AS188" i="11" a="1"/>
  <c r="AS188" i="11"/>
  <c r="AN189" i="11"/>
  <c r="AO189" i="11" a="1"/>
  <c r="AO189" i="11"/>
  <c r="AP189" i="11" a="1"/>
  <c r="AP189" i="11"/>
  <c r="AQ189" i="11" a="1"/>
  <c r="AQ189" i="11"/>
  <c r="AR189" i="11" a="1"/>
  <c r="AR189" i="11"/>
  <c r="AS189" i="11" a="1"/>
  <c r="AS189" i="11"/>
  <c r="AN190" i="11"/>
  <c r="AO190" i="11" a="1"/>
  <c r="AO190" i="11"/>
  <c r="AP190" i="11" a="1"/>
  <c r="AP190" i="11"/>
  <c r="AQ190" i="11" a="1"/>
  <c r="AQ190" i="11"/>
  <c r="AR190" i="11" a="1"/>
  <c r="AR190" i="11"/>
  <c r="AS190" i="11" a="1"/>
  <c r="AS190" i="11"/>
  <c r="AN191" i="11"/>
  <c r="AO191" i="11" a="1"/>
  <c r="AO191" i="11"/>
  <c r="AP191" i="11" a="1"/>
  <c r="AP191" i="11"/>
  <c r="AQ191" i="11" a="1"/>
  <c r="AQ191" i="11"/>
  <c r="AR191" i="11" a="1"/>
  <c r="AR191" i="11"/>
  <c r="AS191" i="11" a="1"/>
  <c r="AS191" i="11"/>
  <c r="AN192" i="11"/>
  <c r="AO192" i="11" a="1"/>
  <c r="AO192" i="11"/>
  <c r="AP192" i="11" a="1"/>
  <c r="AP192" i="11"/>
  <c r="AQ192" i="11" a="1"/>
  <c r="AQ192" i="11"/>
  <c r="AR192" i="11" a="1"/>
  <c r="AR192" i="11"/>
  <c r="AS192" i="11" a="1"/>
  <c r="AS192" i="11"/>
  <c r="AN193" i="11"/>
  <c r="AO193" i="11" a="1"/>
  <c r="AO193" i="11"/>
  <c r="AP193" i="11" a="1"/>
  <c r="AP193" i="11"/>
  <c r="AQ193" i="11" a="1"/>
  <c r="AQ193" i="11"/>
  <c r="AR193" i="11" a="1"/>
  <c r="AR193" i="11"/>
  <c r="AS193" i="11" a="1"/>
  <c r="AS193" i="11"/>
  <c r="AN194" i="11"/>
  <c r="AO194" i="11" a="1"/>
  <c r="AO194" i="11"/>
  <c r="AP194" i="11" a="1"/>
  <c r="AP194" i="11"/>
  <c r="AQ194" i="11" a="1"/>
  <c r="AQ194" i="11"/>
  <c r="AR194" i="11" a="1"/>
  <c r="AR194" i="11"/>
  <c r="AS194" i="11" a="1"/>
  <c r="AS194" i="11"/>
  <c r="AN195" i="11"/>
  <c r="AO195" i="11" a="1"/>
  <c r="AO195" i="11"/>
  <c r="AP195" i="11" a="1"/>
  <c r="AP195" i="11"/>
  <c r="AQ195" i="11" a="1"/>
  <c r="AQ195" i="11"/>
  <c r="AR195" i="11" a="1"/>
  <c r="AR195" i="11"/>
  <c r="AS195" i="11" a="1"/>
  <c r="AS195" i="11"/>
  <c r="AN196" i="11"/>
  <c r="AO196" i="11" a="1"/>
  <c r="AO196" i="11"/>
  <c r="AP196" i="11" a="1"/>
  <c r="AP196" i="11"/>
  <c r="AQ196" i="11" a="1"/>
  <c r="AQ196" i="11"/>
  <c r="AR196" i="11" a="1"/>
  <c r="AR196" i="11"/>
  <c r="AS196" i="11" a="1"/>
  <c r="AS196" i="11"/>
  <c r="AN197" i="11"/>
  <c r="AO197" i="11" a="1"/>
  <c r="AO197" i="11"/>
  <c r="AP197" i="11" a="1"/>
  <c r="AP197" i="11"/>
  <c r="AQ197" i="11" a="1"/>
  <c r="AQ197" i="11"/>
  <c r="AR197" i="11" a="1"/>
  <c r="AR197" i="11"/>
  <c r="AS197" i="11" a="1"/>
  <c r="AS197" i="11"/>
  <c r="AN198" i="11"/>
  <c r="AO198" i="11" a="1"/>
  <c r="AO198" i="11"/>
  <c r="AP198" i="11" a="1"/>
  <c r="AP198" i="11"/>
  <c r="AQ198" i="11" a="1"/>
  <c r="AQ198" i="11"/>
  <c r="AR198" i="11" a="1"/>
  <c r="AR198" i="11"/>
  <c r="AS198" i="11" a="1"/>
  <c r="AS198" i="11"/>
  <c r="AN199" i="11"/>
  <c r="AO199" i="11" a="1"/>
  <c r="AO199" i="11"/>
  <c r="AP199" i="11" a="1"/>
  <c r="AP199" i="11"/>
  <c r="AQ199" i="11" a="1"/>
  <c r="AQ199" i="11"/>
  <c r="AR199" i="11" a="1"/>
  <c r="AR199" i="11"/>
  <c r="AS199" i="11" a="1"/>
  <c r="AS199" i="11"/>
  <c r="AN200" i="11"/>
  <c r="AO200" i="11" a="1"/>
  <c r="AO200" i="11"/>
  <c r="AP200" i="11" a="1"/>
  <c r="AP200" i="11"/>
  <c r="AQ200" i="11" a="1"/>
  <c r="AQ200" i="11"/>
  <c r="AR200" i="11" a="1"/>
  <c r="AR200" i="11"/>
  <c r="AS200" i="11" a="1"/>
  <c r="AS200" i="11"/>
  <c r="AN201" i="11"/>
  <c r="AO201" i="11" a="1"/>
  <c r="AO201" i="11"/>
  <c r="AP201" i="11" a="1"/>
  <c r="AP201" i="11"/>
  <c r="AQ201" i="11" a="1"/>
  <c r="AQ201" i="11"/>
  <c r="AR201" i="11" a="1"/>
  <c r="AR201" i="11"/>
  <c r="AS201" i="11" a="1"/>
  <c r="AS201" i="11"/>
  <c r="AN202" i="11"/>
  <c r="AO202" i="11" a="1"/>
  <c r="AO202" i="11"/>
  <c r="AP202" i="11" a="1"/>
  <c r="AP202" i="11"/>
  <c r="AQ202" i="11" a="1"/>
  <c r="AQ202" i="11"/>
  <c r="AR202" i="11" a="1"/>
  <c r="AR202" i="11"/>
  <c r="AS202" i="11" a="1"/>
  <c r="AS202" i="11"/>
  <c r="AN203" i="11"/>
  <c r="AO203" i="11" a="1"/>
  <c r="AO203" i="11"/>
  <c r="AP203" i="11" a="1"/>
  <c r="AP203" i="11"/>
  <c r="AQ203" i="11" a="1"/>
  <c r="AQ203" i="11"/>
  <c r="AR203" i="11" a="1"/>
  <c r="AR203" i="11"/>
  <c r="AS203" i="11" a="1"/>
  <c r="AS203" i="11"/>
  <c r="AN204" i="11"/>
  <c r="AO204" i="11" a="1"/>
  <c r="AO204" i="11"/>
  <c r="AP204" i="11" a="1"/>
  <c r="AP204" i="11"/>
  <c r="AQ204" i="11" a="1"/>
  <c r="AQ204" i="11"/>
  <c r="AR204" i="11" a="1"/>
  <c r="AR204" i="11"/>
  <c r="AS204" i="11" a="1"/>
  <c r="AS204" i="11"/>
  <c r="AN205" i="11"/>
  <c r="AO205" i="11" a="1"/>
  <c r="AO205" i="11"/>
  <c r="AP205" i="11" a="1"/>
  <c r="AP205" i="11"/>
  <c r="AQ205" i="11" a="1"/>
  <c r="AQ205" i="11"/>
  <c r="AR205" i="11" a="1"/>
  <c r="AR205" i="11"/>
  <c r="AS205" i="11" a="1"/>
  <c r="AS205" i="11"/>
  <c r="AN206" i="11"/>
  <c r="AO206" i="11" a="1"/>
  <c r="AO206" i="11"/>
  <c r="AP206" i="11" a="1"/>
  <c r="AP206" i="11"/>
  <c r="AQ206" i="11" a="1"/>
  <c r="AQ206" i="11"/>
  <c r="AR206" i="11" a="1"/>
  <c r="AR206" i="11"/>
  <c r="AS206" i="11" a="1"/>
  <c r="AS206" i="11"/>
  <c r="AN207" i="11"/>
  <c r="AO207" i="11" a="1"/>
  <c r="AO207" i="11"/>
  <c r="AP207" i="11" a="1"/>
  <c r="AP207" i="11"/>
  <c r="AQ207" i="11" a="1"/>
  <c r="AQ207" i="11"/>
  <c r="AR207" i="11" a="1"/>
  <c r="AR207" i="11"/>
  <c r="AS207" i="11" a="1"/>
  <c r="AS207" i="11"/>
  <c r="AN208" i="11"/>
  <c r="AO208" i="11" a="1"/>
  <c r="AO208" i="11"/>
  <c r="AP208" i="11" a="1"/>
  <c r="AP208" i="11"/>
  <c r="AQ208" i="11" a="1"/>
  <c r="AQ208" i="11"/>
  <c r="AR208" i="11" a="1"/>
  <c r="AR208" i="11"/>
  <c r="AS208" i="11" a="1"/>
  <c r="AS208" i="11"/>
  <c r="AN209" i="11"/>
  <c r="AO209" i="11" a="1"/>
  <c r="AO209" i="11"/>
  <c r="AP209" i="11" a="1"/>
  <c r="AP209" i="11"/>
  <c r="AQ209" i="11" a="1"/>
  <c r="AQ209" i="11"/>
  <c r="AR209" i="11" a="1"/>
  <c r="AR209" i="11"/>
  <c r="AS209" i="11" a="1"/>
  <c r="AS209" i="11"/>
  <c r="AN210" i="11"/>
  <c r="AO210" i="11" a="1"/>
  <c r="AO210" i="11"/>
  <c r="AP210" i="11" a="1"/>
  <c r="AP210" i="11"/>
  <c r="AQ210" i="11" a="1"/>
  <c r="AQ210" i="11"/>
  <c r="AR210" i="11" a="1"/>
  <c r="AR210" i="11"/>
  <c r="AS210" i="11" a="1"/>
  <c r="AS210" i="11"/>
  <c r="AN211" i="11"/>
  <c r="AO211" i="11" a="1"/>
  <c r="AO211" i="11"/>
  <c r="AP211" i="11" a="1"/>
  <c r="AP211" i="11"/>
  <c r="AQ211" i="11" a="1"/>
  <c r="AQ211" i="11"/>
  <c r="AR211" i="11" a="1"/>
  <c r="AR211" i="11"/>
  <c r="AS211" i="11" a="1"/>
  <c r="AS211" i="11"/>
  <c r="AN212" i="11"/>
  <c r="AO212" i="11" a="1"/>
  <c r="AO212" i="11"/>
  <c r="AP212" i="11" a="1"/>
  <c r="AP212" i="11"/>
  <c r="AQ212" i="11" a="1"/>
  <c r="AQ212" i="11"/>
  <c r="AR212" i="11" a="1"/>
  <c r="AR212" i="11"/>
  <c r="AS212" i="11" a="1"/>
  <c r="AS212" i="11"/>
  <c r="AN213" i="11"/>
  <c r="AO213" i="11" a="1"/>
  <c r="AO213" i="11"/>
  <c r="AP213" i="11" a="1"/>
  <c r="AP213" i="11"/>
  <c r="AQ213" i="11" a="1"/>
  <c r="AQ213" i="11"/>
  <c r="AR213" i="11" a="1"/>
  <c r="AR213" i="11"/>
  <c r="AS213" i="11" a="1"/>
  <c r="AS213" i="11"/>
  <c r="AN214" i="11"/>
  <c r="AO214" i="11" a="1"/>
  <c r="AO214" i="11"/>
  <c r="AP214" i="11" a="1"/>
  <c r="AP214" i="11"/>
  <c r="AQ214" i="11" a="1"/>
  <c r="AQ214" i="11"/>
  <c r="AR214" i="11" a="1"/>
  <c r="AR214" i="11"/>
  <c r="AS214" i="11" a="1"/>
  <c r="AS214" i="11"/>
  <c r="AN215" i="11"/>
  <c r="AO215" i="11" a="1"/>
  <c r="AO215" i="11"/>
  <c r="AP215" i="11" a="1"/>
  <c r="AP215" i="11"/>
  <c r="AQ215" i="11" a="1"/>
  <c r="AQ215" i="11"/>
  <c r="AR215" i="11" a="1"/>
  <c r="AR215" i="11"/>
  <c r="AS215" i="11" a="1"/>
  <c r="AS215" i="11"/>
  <c r="AN216" i="11"/>
  <c r="AO216" i="11" a="1"/>
  <c r="AO216" i="11"/>
  <c r="AP216" i="11" a="1"/>
  <c r="AP216" i="11"/>
  <c r="AQ216" i="11" a="1"/>
  <c r="AQ216" i="11"/>
  <c r="AR216" i="11" a="1"/>
  <c r="AR216" i="11"/>
  <c r="AS216" i="11" a="1"/>
  <c r="AS216" i="11"/>
  <c r="AN217" i="11"/>
  <c r="AO217" i="11" a="1"/>
  <c r="AO217" i="11"/>
  <c r="AP217" i="11" a="1"/>
  <c r="AP217" i="11"/>
  <c r="AQ217" i="11" a="1"/>
  <c r="AQ217" i="11"/>
  <c r="AR217" i="11" a="1"/>
  <c r="AR217" i="11"/>
  <c r="AS217" i="11" a="1"/>
  <c r="AS217" i="11"/>
  <c r="AN218" i="11"/>
  <c r="AO218" i="11" a="1"/>
  <c r="AO218" i="11"/>
  <c r="AP218" i="11" a="1"/>
  <c r="AP218" i="11"/>
  <c r="AQ218" i="11" a="1"/>
  <c r="AQ218" i="11"/>
  <c r="AR218" i="11" a="1"/>
  <c r="AR218" i="11"/>
  <c r="AS218" i="11" a="1"/>
  <c r="AS218" i="11"/>
  <c r="AN219" i="11"/>
  <c r="AO219" i="11" a="1"/>
  <c r="AO219" i="11"/>
  <c r="AP219" i="11" a="1"/>
  <c r="AP219" i="11"/>
  <c r="AQ219" i="11" a="1"/>
  <c r="AQ219" i="11"/>
  <c r="AR219" i="11" a="1"/>
  <c r="AR219" i="11"/>
  <c r="AS219" i="11" a="1"/>
  <c r="AS219" i="11"/>
  <c r="AN220" i="11"/>
  <c r="AO220" i="11" a="1"/>
  <c r="AO220" i="11"/>
  <c r="AP220" i="11" a="1"/>
  <c r="AP220" i="11"/>
  <c r="AQ220" i="11" a="1"/>
  <c r="AQ220" i="11"/>
  <c r="AR220" i="11" a="1"/>
  <c r="AR220" i="11"/>
  <c r="AS220" i="11" a="1"/>
  <c r="AS220" i="11"/>
  <c r="AN221" i="11"/>
  <c r="AO221" i="11" a="1"/>
  <c r="AO221" i="11"/>
  <c r="AP221" i="11" a="1"/>
  <c r="AP221" i="11"/>
  <c r="AQ221" i="11" a="1"/>
  <c r="AQ221" i="11"/>
  <c r="AR221" i="11" a="1"/>
  <c r="AR221" i="11"/>
  <c r="AS221" i="11" a="1"/>
  <c r="AS221" i="11"/>
  <c r="AN222" i="11"/>
  <c r="AO222" i="11" a="1"/>
  <c r="AO222" i="11"/>
  <c r="AP222" i="11" a="1"/>
  <c r="AP222" i="11"/>
  <c r="AQ222" i="11" a="1"/>
  <c r="AQ222" i="11"/>
  <c r="AR222" i="11" a="1"/>
  <c r="AR222" i="11"/>
  <c r="AS222" i="11" a="1"/>
  <c r="AS222" i="11"/>
  <c r="AN223" i="11"/>
  <c r="AO223" i="11" a="1"/>
  <c r="AO223" i="11"/>
  <c r="AP223" i="11" a="1"/>
  <c r="AP223" i="11"/>
  <c r="AQ223" i="11" a="1"/>
  <c r="AQ223" i="11"/>
  <c r="AR223" i="11" a="1"/>
  <c r="AR223" i="11"/>
  <c r="AS223" i="11" a="1"/>
  <c r="AS223" i="11"/>
  <c r="AN224" i="11"/>
  <c r="AO224" i="11" a="1"/>
  <c r="AO224" i="11"/>
  <c r="AP224" i="11" a="1"/>
  <c r="AP224" i="11"/>
  <c r="AQ224" i="11" a="1"/>
  <c r="AQ224" i="11"/>
  <c r="AR224" i="11" a="1"/>
  <c r="AR224" i="11"/>
  <c r="AS224" i="11" a="1"/>
  <c r="AS224" i="11"/>
  <c r="AN225" i="11"/>
  <c r="AO225" i="11" a="1"/>
  <c r="AO225" i="11"/>
  <c r="AP225" i="11" a="1"/>
  <c r="AP225" i="11"/>
  <c r="AQ225" i="11" a="1"/>
  <c r="AQ225" i="11"/>
  <c r="AR225" i="11" a="1"/>
  <c r="AR225" i="11"/>
  <c r="AS225" i="11" a="1"/>
  <c r="AS225" i="11"/>
  <c r="AN226" i="11"/>
  <c r="AO226" i="11" a="1"/>
  <c r="AO226" i="11"/>
  <c r="AP226" i="11" a="1"/>
  <c r="AP226" i="11"/>
  <c r="AQ226" i="11" a="1"/>
  <c r="AQ226" i="11"/>
  <c r="AR226" i="11" a="1"/>
  <c r="AR226" i="11"/>
  <c r="AS226" i="11" a="1"/>
  <c r="AS226" i="11"/>
  <c r="AN227" i="11"/>
  <c r="AO227" i="11" a="1"/>
  <c r="AO227" i="11"/>
  <c r="AP227" i="11" a="1"/>
  <c r="AP227" i="11"/>
  <c r="AQ227" i="11" a="1"/>
  <c r="AQ227" i="11"/>
  <c r="AR227" i="11" a="1"/>
  <c r="AR227" i="11"/>
  <c r="AS227" i="11" a="1"/>
  <c r="AS227" i="11"/>
  <c r="AN228" i="11"/>
  <c r="AO228" i="11" a="1"/>
  <c r="AO228" i="11"/>
  <c r="AP228" i="11" a="1"/>
  <c r="AP228" i="11"/>
  <c r="AQ228" i="11" a="1"/>
  <c r="AQ228" i="11"/>
  <c r="AR228" i="11" a="1"/>
  <c r="AR228" i="11"/>
  <c r="AS228" i="11" a="1"/>
  <c r="AS228" i="11"/>
  <c r="AN229" i="11"/>
  <c r="AO229" i="11" a="1"/>
  <c r="AO229" i="11"/>
  <c r="AP229" i="11" a="1"/>
  <c r="AP229" i="11"/>
  <c r="AQ229" i="11" a="1"/>
  <c r="AQ229" i="11"/>
  <c r="AR229" i="11" a="1"/>
  <c r="AR229" i="11"/>
  <c r="AS229" i="11" a="1"/>
  <c r="AS229" i="11"/>
  <c r="AN230" i="11"/>
  <c r="AO230" i="11" a="1"/>
  <c r="AO230" i="11"/>
  <c r="AP230" i="11" a="1"/>
  <c r="AP230" i="11"/>
  <c r="AQ230" i="11" a="1"/>
  <c r="AQ230" i="11"/>
  <c r="AR230" i="11" a="1"/>
  <c r="AR230" i="11"/>
  <c r="AS230" i="11" a="1"/>
  <c r="AS230" i="11"/>
  <c r="AN231" i="11"/>
  <c r="AO231" i="11" a="1"/>
  <c r="AO231" i="11"/>
  <c r="AP231" i="11" a="1"/>
  <c r="AP231" i="11"/>
  <c r="AQ231" i="11" a="1"/>
  <c r="AQ231" i="11"/>
  <c r="AR231" i="11" a="1"/>
  <c r="AR231" i="11"/>
  <c r="AS231" i="11" a="1"/>
  <c r="AS231" i="11"/>
  <c r="AN232" i="11"/>
  <c r="AO232" i="11" a="1"/>
  <c r="AO232" i="11"/>
  <c r="AP232" i="11" a="1"/>
  <c r="AP232" i="11"/>
  <c r="AQ232" i="11" a="1"/>
  <c r="AQ232" i="11"/>
  <c r="AR232" i="11" a="1"/>
  <c r="AR232" i="11"/>
  <c r="AS232" i="11" a="1"/>
  <c r="AS232" i="11"/>
  <c r="AN233" i="11"/>
  <c r="AO233" i="11" a="1"/>
  <c r="AO233" i="11"/>
  <c r="AP233" i="11" a="1"/>
  <c r="AP233" i="11"/>
  <c r="AQ233" i="11" a="1"/>
  <c r="AQ233" i="11"/>
  <c r="AR233" i="11" a="1"/>
  <c r="AR233" i="11"/>
  <c r="AS233" i="11" a="1"/>
  <c r="AS233" i="11"/>
  <c r="AN234" i="11"/>
  <c r="AO234" i="11" a="1"/>
  <c r="AO234" i="11"/>
  <c r="AP234" i="11" a="1"/>
  <c r="AP234" i="11"/>
  <c r="AQ234" i="11" a="1"/>
  <c r="AQ234" i="11"/>
  <c r="AR234" i="11" a="1"/>
  <c r="AR234" i="11"/>
  <c r="AS234" i="11" a="1"/>
  <c r="AS234" i="11"/>
  <c r="AN235" i="11"/>
  <c r="AO235" i="11" a="1"/>
  <c r="AO235" i="11"/>
  <c r="AP235" i="11" a="1"/>
  <c r="AP235" i="11"/>
  <c r="AQ235" i="11" a="1"/>
  <c r="AQ235" i="11"/>
  <c r="AR235" i="11" a="1"/>
  <c r="AR235" i="11"/>
  <c r="AS235" i="11" a="1"/>
  <c r="AS235" i="11"/>
  <c r="AN236" i="11"/>
  <c r="AO236" i="11" a="1"/>
  <c r="AO236" i="11"/>
  <c r="AP236" i="11" a="1"/>
  <c r="AP236" i="11"/>
  <c r="AQ236" i="11" a="1"/>
  <c r="AQ236" i="11"/>
  <c r="AR236" i="11" a="1"/>
  <c r="AR236" i="11"/>
  <c r="AS236" i="11" a="1"/>
  <c r="AS236" i="11"/>
  <c r="AN237" i="11"/>
  <c r="AO237" i="11" a="1"/>
  <c r="AO237" i="11"/>
  <c r="AP237" i="11" a="1"/>
  <c r="AP237" i="11"/>
  <c r="AQ237" i="11" a="1"/>
  <c r="AQ237" i="11"/>
  <c r="AR237" i="11" a="1"/>
  <c r="AR237" i="11"/>
  <c r="AS237" i="11" a="1"/>
  <c r="AS237" i="11"/>
  <c r="AN238" i="11"/>
  <c r="AO238" i="11" a="1"/>
  <c r="AO238" i="11"/>
  <c r="AP238" i="11" a="1"/>
  <c r="AP238" i="11"/>
  <c r="AQ238" i="11" a="1"/>
  <c r="AQ238" i="11"/>
  <c r="AR238" i="11" a="1"/>
  <c r="AR238" i="11"/>
  <c r="AS238" i="11" a="1"/>
  <c r="AS238" i="11"/>
  <c r="AN239" i="11"/>
  <c r="AO239" i="11" a="1"/>
  <c r="AO239" i="11"/>
  <c r="AP239" i="11" a="1"/>
  <c r="AP239" i="11"/>
  <c r="AQ239" i="11" a="1"/>
  <c r="AQ239" i="11"/>
  <c r="AR239" i="11" a="1"/>
  <c r="AR239" i="11"/>
  <c r="AS239" i="11" a="1"/>
  <c r="AS239" i="11"/>
  <c r="AN240" i="11"/>
  <c r="AO240" i="11" a="1"/>
  <c r="AO240" i="11"/>
  <c r="AP240" i="11" a="1"/>
  <c r="AP240" i="11"/>
  <c r="AQ240" i="11" a="1"/>
  <c r="AQ240" i="11"/>
  <c r="AR240" i="11" a="1"/>
  <c r="AR240" i="11"/>
  <c r="AS240" i="11" a="1"/>
  <c r="AS240" i="11"/>
  <c r="AN241" i="11"/>
  <c r="AO241" i="11" a="1"/>
  <c r="AO241" i="11"/>
  <c r="AP241" i="11" a="1"/>
  <c r="AP241" i="11"/>
  <c r="AQ241" i="11" a="1"/>
  <c r="AQ241" i="11"/>
  <c r="AR241" i="11" a="1"/>
  <c r="AR241" i="11"/>
  <c r="AS241" i="11" a="1"/>
  <c r="AS241" i="11"/>
  <c r="AN242" i="11"/>
  <c r="AO242" i="11" a="1"/>
  <c r="AO242" i="11"/>
  <c r="AP242" i="11" a="1"/>
  <c r="AP242" i="11"/>
  <c r="AQ242" i="11" a="1"/>
  <c r="AQ242" i="11"/>
  <c r="AR242" i="11" a="1"/>
  <c r="AR242" i="11"/>
  <c r="AS242" i="11" a="1"/>
  <c r="AS242" i="11"/>
  <c r="AN243" i="11"/>
  <c r="AO243" i="11" a="1"/>
  <c r="AO243" i="11"/>
  <c r="AP243" i="11" a="1"/>
  <c r="AP243" i="11"/>
  <c r="AQ243" i="11" a="1"/>
  <c r="AQ243" i="11"/>
  <c r="AR243" i="11" a="1"/>
  <c r="AR243" i="11"/>
  <c r="AS243" i="11" a="1"/>
  <c r="AS243" i="11"/>
  <c r="AN244" i="11"/>
  <c r="AO244" i="11" a="1"/>
  <c r="AO244" i="11"/>
  <c r="AP244" i="11" a="1"/>
  <c r="AP244" i="11"/>
  <c r="AQ244" i="11" a="1"/>
  <c r="AQ244" i="11"/>
  <c r="AR244" i="11" a="1"/>
  <c r="AR244" i="11"/>
  <c r="AS244" i="11" a="1"/>
  <c r="AS244" i="11"/>
  <c r="AN245" i="11"/>
  <c r="AO245" i="11" a="1"/>
  <c r="AO245" i="11"/>
  <c r="AP245" i="11" a="1"/>
  <c r="AP245" i="11"/>
  <c r="AQ245" i="11" a="1"/>
  <c r="AQ245" i="11"/>
  <c r="AR245" i="11" a="1"/>
  <c r="AR245" i="11"/>
  <c r="AS245" i="11" a="1"/>
  <c r="AS245" i="11"/>
  <c r="AN246" i="11"/>
  <c r="AO246" i="11" a="1"/>
  <c r="AO246" i="11"/>
  <c r="AP246" i="11" a="1"/>
  <c r="AP246" i="11"/>
  <c r="AQ246" i="11" a="1"/>
  <c r="AQ246" i="11"/>
  <c r="AR246" i="11" a="1"/>
  <c r="AR246" i="11"/>
  <c r="AS246" i="11" a="1"/>
  <c r="AS246" i="11"/>
  <c r="AN247" i="11"/>
  <c r="AO247" i="11" a="1"/>
  <c r="AO247" i="11"/>
  <c r="AP247" i="11" a="1"/>
  <c r="AP247" i="11"/>
  <c r="AQ247" i="11" a="1"/>
  <c r="AQ247" i="11"/>
  <c r="AR247" i="11" a="1"/>
  <c r="AR247" i="11"/>
  <c r="AS247" i="11" a="1"/>
  <c r="AS247" i="11"/>
  <c r="AN248" i="11"/>
  <c r="AO248" i="11" a="1"/>
  <c r="AO248" i="11"/>
  <c r="AP248" i="11" a="1"/>
  <c r="AP248" i="11"/>
  <c r="AQ248" i="11" a="1"/>
  <c r="AQ248" i="11"/>
  <c r="AR248" i="11" a="1"/>
  <c r="AR248" i="11"/>
  <c r="AS248" i="11" a="1"/>
  <c r="AS248" i="11"/>
  <c r="AN249" i="11"/>
  <c r="AO249" i="11" a="1"/>
  <c r="AO249" i="11"/>
  <c r="AP249" i="11" a="1"/>
  <c r="AP249" i="11"/>
  <c r="AQ249" i="11" a="1"/>
  <c r="AQ249" i="11"/>
  <c r="AR249" i="11" a="1"/>
  <c r="AR249" i="11"/>
  <c r="AS249" i="11" a="1"/>
  <c r="AS249" i="11"/>
  <c r="AN250" i="11"/>
  <c r="AO250" i="11" a="1"/>
  <c r="AO250" i="11"/>
  <c r="AP250" i="11" a="1"/>
  <c r="AP250" i="11"/>
  <c r="AQ250" i="11" a="1"/>
  <c r="AQ250" i="11"/>
  <c r="AR250" i="11" a="1"/>
  <c r="AR250" i="11"/>
  <c r="AS250" i="11" a="1"/>
  <c r="AS250" i="11"/>
  <c r="AN251" i="11"/>
  <c r="AO251" i="11" a="1"/>
  <c r="AO251" i="11"/>
  <c r="AP251" i="11" a="1"/>
  <c r="AP251" i="11"/>
  <c r="AQ251" i="11" a="1"/>
  <c r="AQ251" i="11"/>
  <c r="AR251" i="11" a="1"/>
  <c r="AR251" i="11"/>
  <c r="AS251" i="11" a="1"/>
  <c r="AS251" i="11"/>
  <c r="AN252" i="11"/>
  <c r="AO252" i="11" a="1"/>
  <c r="AO252" i="11"/>
  <c r="AP252" i="11" a="1"/>
  <c r="AP252" i="11"/>
  <c r="AQ252" i="11" a="1"/>
  <c r="AQ252" i="11"/>
  <c r="AR252" i="11" a="1"/>
  <c r="AR252" i="11"/>
  <c r="AS252" i="11" a="1"/>
  <c r="AS252" i="11"/>
  <c r="AN253" i="11"/>
  <c r="AO253" i="11" a="1"/>
  <c r="AO253" i="11"/>
  <c r="AP253" i="11" a="1"/>
  <c r="AP253" i="11"/>
  <c r="AQ253" i="11" a="1"/>
  <c r="AQ253" i="11"/>
  <c r="AR253" i="11" a="1"/>
  <c r="AR253" i="11"/>
  <c r="AS253" i="11" a="1"/>
  <c r="AS253" i="11"/>
  <c r="AN254" i="11"/>
  <c r="AO254" i="11" a="1"/>
  <c r="AO254" i="11"/>
  <c r="AP254" i="11" a="1"/>
  <c r="AP254" i="11"/>
  <c r="AQ254" i="11" a="1"/>
  <c r="AQ254" i="11"/>
  <c r="AR254" i="11" a="1"/>
  <c r="AR254" i="11"/>
  <c r="AS254" i="11" a="1"/>
  <c r="AS254" i="11"/>
  <c r="AN255" i="11"/>
  <c r="AO255" i="11" a="1"/>
  <c r="AO255" i="11"/>
  <c r="AP255" i="11" a="1"/>
  <c r="AP255" i="11"/>
  <c r="AQ255" i="11" a="1"/>
  <c r="AQ255" i="11"/>
  <c r="AR255" i="11" a="1"/>
  <c r="AR255" i="11"/>
  <c r="AS255" i="11" a="1"/>
  <c r="AS255" i="11"/>
  <c r="AN256" i="11"/>
  <c r="AO256" i="11" a="1"/>
  <c r="AO256" i="11"/>
  <c r="AP256" i="11" a="1"/>
  <c r="AP256" i="11"/>
  <c r="AQ256" i="11" a="1"/>
  <c r="AQ256" i="11"/>
  <c r="AR256" i="11" a="1"/>
  <c r="AR256" i="11"/>
  <c r="AS256" i="11" a="1"/>
  <c r="AS256" i="11"/>
  <c r="AN257" i="11"/>
  <c r="AO257" i="11" a="1"/>
  <c r="AO257" i="11"/>
  <c r="AP257" i="11" a="1"/>
  <c r="AP257" i="11"/>
  <c r="AQ257" i="11" a="1"/>
  <c r="AQ257" i="11"/>
  <c r="AR257" i="11" a="1"/>
  <c r="AR257" i="11"/>
  <c r="AS257" i="11" a="1"/>
  <c r="AS257" i="11"/>
  <c r="AN258" i="11"/>
  <c r="AO258" i="11" a="1"/>
  <c r="AO258" i="11"/>
  <c r="AP258" i="11" a="1"/>
  <c r="AP258" i="11"/>
  <c r="AQ258" i="11" a="1"/>
  <c r="AQ258" i="11"/>
  <c r="AR258" i="11" a="1"/>
  <c r="AR258" i="11"/>
  <c r="AS258" i="11" a="1"/>
  <c r="AS258" i="11"/>
  <c r="AN259" i="11"/>
  <c r="AO259" i="11" a="1"/>
  <c r="AO259" i="11"/>
  <c r="AP259" i="11" a="1"/>
  <c r="AP259" i="11"/>
  <c r="AQ259" i="11" a="1"/>
  <c r="AQ259" i="11"/>
  <c r="AR259" i="11" a="1"/>
  <c r="AR259" i="11"/>
  <c r="AS259" i="11" a="1"/>
  <c r="AS259" i="11"/>
  <c r="AN260" i="11"/>
  <c r="AO260" i="11" a="1"/>
  <c r="AO260" i="11"/>
  <c r="AP260" i="11" a="1"/>
  <c r="AP260" i="11"/>
  <c r="AQ260" i="11" a="1"/>
  <c r="AQ260" i="11"/>
  <c r="AR260" i="11" a="1"/>
  <c r="AR260" i="11"/>
  <c r="AS260" i="11" a="1"/>
  <c r="AS260" i="11"/>
  <c r="AN261" i="11"/>
  <c r="AO261" i="11" a="1"/>
  <c r="AO261" i="11"/>
  <c r="AP261" i="11" a="1"/>
  <c r="AP261" i="11"/>
  <c r="AQ261" i="11" a="1"/>
  <c r="AQ261" i="11"/>
  <c r="AR261" i="11" a="1"/>
  <c r="AR261" i="11"/>
  <c r="AS261" i="11" a="1"/>
  <c r="AS261" i="11"/>
  <c r="AN262" i="11"/>
  <c r="AO262" i="11" a="1"/>
  <c r="AO262" i="11"/>
  <c r="AP262" i="11" a="1"/>
  <c r="AP262" i="11"/>
  <c r="AQ262" i="11" a="1"/>
  <c r="AQ262" i="11"/>
  <c r="AR262" i="11" a="1"/>
  <c r="AR262" i="11"/>
  <c r="AS262" i="11" a="1"/>
  <c r="AS262" i="11"/>
  <c r="AN263" i="11"/>
  <c r="AO263" i="11" a="1"/>
  <c r="AO263" i="11"/>
  <c r="AP263" i="11" a="1"/>
  <c r="AP263" i="11"/>
  <c r="AQ263" i="11" a="1"/>
  <c r="AQ263" i="11"/>
  <c r="AR263" i="11" a="1"/>
  <c r="AR263" i="11"/>
  <c r="AS263" i="11" a="1"/>
  <c r="AS263" i="11"/>
  <c r="AN264" i="11"/>
  <c r="AO264" i="11" a="1"/>
  <c r="AO264" i="11"/>
  <c r="AP264" i="11" a="1"/>
  <c r="AP264" i="11"/>
  <c r="AQ264" i="11" a="1"/>
  <c r="AQ264" i="11"/>
  <c r="AR264" i="11" a="1"/>
  <c r="AR264" i="11"/>
  <c r="AS264" i="11" a="1"/>
  <c r="AS264" i="11"/>
  <c r="AN265" i="11"/>
  <c r="AO265" i="11" a="1"/>
  <c r="AO265" i="11"/>
  <c r="AP265" i="11" a="1"/>
  <c r="AP265" i="11"/>
  <c r="AQ265" i="11" a="1"/>
  <c r="AQ265" i="11"/>
  <c r="AR265" i="11" a="1"/>
  <c r="AR265" i="11"/>
  <c r="AS265" i="11" a="1"/>
  <c r="AS265" i="11"/>
  <c r="AN266" i="11"/>
  <c r="AO266" i="11" a="1"/>
  <c r="AO266" i="11"/>
  <c r="AP266" i="11" a="1"/>
  <c r="AP266" i="11"/>
  <c r="AQ266" i="11" a="1"/>
  <c r="AQ266" i="11"/>
  <c r="AR266" i="11" a="1"/>
  <c r="AR266" i="11"/>
  <c r="AS266" i="11" a="1"/>
  <c r="AS266" i="11"/>
  <c r="AN267" i="11"/>
  <c r="AO267" i="11" a="1"/>
  <c r="AO267" i="11"/>
  <c r="AP267" i="11" a="1"/>
  <c r="AP267" i="11"/>
  <c r="AQ267" i="11" a="1"/>
  <c r="AQ267" i="11"/>
  <c r="AR267" i="11" a="1"/>
  <c r="AR267" i="11"/>
  <c r="AS267" i="11" a="1"/>
  <c r="AS267" i="11"/>
  <c r="AN268" i="11"/>
  <c r="AO268" i="11" a="1"/>
  <c r="AO268" i="11"/>
  <c r="AP268" i="11" a="1"/>
  <c r="AP268" i="11"/>
  <c r="AQ268" i="11" a="1"/>
  <c r="AQ268" i="11"/>
  <c r="AR268" i="11" a="1"/>
  <c r="AR268" i="11"/>
  <c r="AS268" i="11" a="1"/>
  <c r="AS268" i="11"/>
  <c r="AN269" i="11"/>
  <c r="AO269" i="11" a="1"/>
  <c r="AO269" i="11"/>
  <c r="AP269" i="11" a="1"/>
  <c r="AP269" i="11"/>
  <c r="AQ269" i="11" a="1"/>
  <c r="AQ269" i="11"/>
  <c r="AR269" i="11" a="1"/>
  <c r="AR269" i="11"/>
  <c r="AS269" i="11" a="1"/>
  <c r="AS269" i="11"/>
  <c r="AN270" i="11"/>
  <c r="AO270" i="11" a="1"/>
  <c r="AO270" i="11"/>
  <c r="AP270" i="11" a="1"/>
  <c r="AP270" i="11"/>
  <c r="AQ270" i="11" a="1"/>
  <c r="AQ270" i="11"/>
  <c r="AR270" i="11" a="1"/>
  <c r="AR270" i="11"/>
  <c r="AS270" i="11" a="1"/>
  <c r="AS270" i="11"/>
  <c r="AN271" i="11"/>
  <c r="AO271" i="11" a="1"/>
  <c r="AO271" i="11"/>
  <c r="AP271" i="11" a="1"/>
  <c r="AP271" i="11"/>
  <c r="AQ271" i="11" a="1"/>
  <c r="AQ271" i="11"/>
  <c r="AR271" i="11" a="1"/>
  <c r="AR271" i="11"/>
  <c r="AS271" i="11" a="1"/>
  <c r="AS271" i="11"/>
  <c r="AN272" i="11"/>
  <c r="AO272" i="11" a="1"/>
  <c r="AO272" i="11"/>
  <c r="AP272" i="11" a="1"/>
  <c r="AP272" i="11"/>
  <c r="AQ272" i="11" a="1"/>
  <c r="AQ272" i="11"/>
  <c r="AR272" i="11" a="1"/>
  <c r="AR272" i="11"/>
  <c r="AS272" i="11" a="1"/>
  <c r="AS272" i="11"/>
  <c r="AN273" i="11"/>
  <c r="AO273" i="11" a="1"/>
  <c r="AO273" i="11"/>
  <c r="AP273" i="11" a="1"/>
  <c r="AP273" i="11"/>
  <c r="AQ273" i="11" a="1"/>
  <c r="AQ273" i="11"/>
  <c r="AR273" i="11" a="1"/>
  <c r="AR273" i="11"/>
  <c r="AS273" i="11" a="1"/>
  <c r="AS273" i="11"/>
  <c r="AN274" i="11"/>
  <c r="AO274" i="11" a="1"/>
  <c r="AO274" i="11"/>
  <c r="AP274" i="11" a="1"/>
  <c r="AP274" i="11"/>
  <c r="AQ274" i="11" a="1"/>
  <c r="AQ274" i="11"/>
  <c r="AR274" i="11" a="1"/>
  <c r="AR274" i="11"/>
  <c r="AS274" i="11" a="1"/>
  <c r="AS274" i="11"/>
  <c r="AN275" i="11"/>
  <c r="AO275" i="11" a="1"/>
  <c r="AO275" i="11"/>
  <c r="AP275" i="11" a="1"/>
  <c r="AP275" i="11"/>
  <c r="AQ275" i="11" a="1"/>
  <c r="AQ275" i="11"/>
  <c r="AR275" i="11" a="1"/>
  <c r="AR275" i="11"/>
  <c r="AS275" i="11" a="1"/>
  <c r="AS275" i="11"/>
  <c r="AN276" i="11"/>
  <c r="AO276" i="11" a="1"/>
  <c r="AO276" i="11"/>
  <c r="AP276" i="11" a="1"/>
  <c r="AP276" i="11"/>
  <c r="AQ276" i="11" a="1"/>
  <c r="AQ276" i="11"/>
  <c r="AR276" i="11" a="1"/>
  <c r="AR276" i="11"/>
  <c r="AS276" i="11" a="1"/>
  <c r="AS276" i="11"/>
  <c r="AN277" i="11"/>
  <c r="AO277" i="11" a="1"/>
  <c r="AO277" i="11"/>
  <c r="AP277" i="11" a="1"/>
  <c r="AP277" i="11"/>
  <c r="AQ277" i="11" a="1"/>
  <c r="AQ277" i="11"/>
  <c r="AR277" i="11" a="1"/>
  <c r="AR277" i="11"/>
  <c r="AS277" i="11" a="1"/>
  <c r="AS277" i="11"/>
  <c r="AN278" i="11"/>
  <c r="AO278" i="11" a="1"/>
  <c r="AO278" i="11"/>
  <c r="AP278" i="11" a="1"/>
  <c r="AP278" i="11"/>
  <c r="AQ278" i="11" a="1"/>
  <c r="AQ278" i="11"/>
  <c r="AR278" i="11" a="1"/>
  <c r="AR278" i="11"/>
  <c r="AS278" i="11" a="1"/>
  <c r="AS278" i="11"/>
  <c r="AN279" i="11"/>
  <c r="AO279" i="11" a="1"/>
  <c r="AO279" i="11"/>
  <c r="AP279" i="11" a="1"/>
  <c r="AP279" i="11"/>
  <c r="AQ279" i="11" a="1"/>
  <c r="AQ279" i="11"/>
  <c r="AR279" i="11" a="1"/>
  <c r="AR279" i="11"/>
  <c r="AS279" i="11" a="1"/>
  <c r="AS279" i="11"/>
  <c r="AN280" i="11"/>
  <c r="AO280" i="11" a="1"/>
  <c r="AO280" i="11"/>
  <c r="AP280" i="11" a="1"/>
  <c r="AP280" i="11"/>
  <c r="AQ280" i="11" a="1"/>
  <c r="AQ280" i="11"/>
  <c r="AR280" i="11" a="1"/>
  <c r="AR280" i="11"/>
  <c r="AS280" i="11" a="1"/>
  <c r="AS280" i="11"/>
  <c r="AN281" i="11"/>
  <c r="AO281" i="11" a="1"/>
  <c r="AO281" i="11"/>
  <c r="AP281" i="11" a="1"/>
  <c r="AP281" i="11"/>
  <c r="AQ281" i="11" a="1"/>
  <c r="AQ281" i="11"/>
  <c r="AR281" i="11" a="1"/>
  <c r="AR281" i="11"/>
  <c r="AS281" i="11" a="1"/>
  <c r="AS281" i="11"/>
  <c r="AN282" i="11"/>
  <c r="AO282" i="11" a="1"/>
  <c r="AO282" i="11"/>
  <c r="AP282" i="11" a="1"/>
  <c r="AP282" i="11"/>
  <c r="AQ282" i="11" a="1"/>
  <c r="AQ282" i="11"/>
  <c r="AR282" i="11" a="1"/>
  <c r="AR282" i="11"/>
  <c r="AS282" i="11" a="1"/>
  <c r="AS282" i="11"/>
  <c r="AN283" i="11"/>
  <c r="AO283" i="11" a="1"/>
  <c r="AO283" i="11"/>
  <c r="AP283" i="11" a="1"/>
  <c r="AP283" i="11"/>
  <c r="AQ283" i="11" a="1"/>
  <c r="AQ283" i="11"/>
  <c r="AR283" i="11" a="1"/>
  <c r="AR283" i="11"/>
  <c r="AS283" i="11" a="1"/>
  <c r="AS283" i="11"/>
  <c r="AN284" i="11"/>
  <c r="AO284" i="11" a="1"/>
  <c r="AO284" i="11"/>
  <c r="AP284" i="11" a="1"/>
  <c r="AP284" i="11"/>
  <c r="AQ284" i="11" a="1"/>
  <c r="AQ284" i="11"/>
  <c r="AR284" i="11" a="1"/>
  <c r="AR284" i="11"/>
  <c r="AS284" i="11" a="1"/>
  <c r="AS284" i="11"/>
  <c r="AN285" i="11"/>
  <c r="AO285" i="11" a="1"/>
  <c r="AO285" i="11"/>
  <c r="AP285" i="11" a="1"/>
  <c r="AP285" i="11"/>
  <c r="AQ285" i="11" a="1"/>
  <c r="AQ285" i="11"/>
  <c r="AR285" i="11" a="1"/>
  <c r="AR285" i="11"/>
  <c r="AS285" i="11" a="1"/>
  <c r="AS285" i="11"/>
  <c r="AN286" i="11"/>
  <c r="AO286" i="11" a="1"/>
  <c r="AO286" i="11"/>
  <c r="AP286" i="11" a="1"/>
  <c r="AP286" i="11"/>
  <c r="AQ286" i="11" a="1"/>
  <c r="AQ286" i="11"/>
  <c r="AR286" i="11" a="1"/>
  <c r="AR286" i="11"/>
  <c r="AS286" i="11" a="1"/>
  <c r="AS286" i="11"/>
  <c r="AN287" i="11"/>
  <c r="AO287" i="11" a="1"/>
  <c r="AO287" i="11"/>
  <c r="AP287" i="11" a="1"/>
  <c r="AP287" i="11"/>
  <c r="AQ287" i="11" a="1"/>
  <c r="AQ287" i="11"/>
  <c r="AR287" i="11" a="1"/>
  <c r="AR287" i="11"/>
  <c r="AS287" i="11" a="1"/>
  <c r="AS287" i="11"/>
  <c r="AN288" i="11"/>
  <c r="AO288" i="11" a="1"/>
  <c r="AO288" i="11"/>
  <c r="AP288" i="11" a="1"/>
  <c r="AP288" i="11"/>
  <c r="AQ288" i="11" a="1"/>
  <c r="AQ288" i="11"/>
  <c r="AR288" i="11" a="1"/>
  <c r="AR288" i="11"/>
  <c r="AS288" i="11" a="1"/>
  <c r="AS288" i="11"/>
  <c r="AN289" i="11"/>
  <c r="AO289" i="11" a="1"/>
  <c r="AO289" i="11"/>
  <c r="AP289" i="11" a="1"/>
  <c r="AP289" i="11"/>
  <c r="AQ289" i="11" a="1"/>
  <c r="AQ289" i="11"/>
  <c r="AR289" i="11" a="1"/>
  <c r="AR289" i="11"/>
  <c r="AS289" i="11" a="1"/>
  <c r="AS289" i="11"/>
  <c r="AN290" i="11"/>
  <c r="AO290" i="11" a="1"/>
  <c r="AO290" i="11"/>
  <c r="AP290" i="11" a="1"/>
  <c r="AP290" i="11"/>
  <c r="AQ290" i="11" a="1"/>
  <c r="AQ290" i="11"/>
  <c r="AR290" i="11" a="1"/>
  <c r="AR290" i="11"/>
  <c r="AS290" i="11" a="1"/>
  <c r="AS290" i="11"/>
  <c r="AN291" i="11"/>
  <c r="AO291" i="11" a="1"/>
  <c r="AO291" i="11"/>
  <c r="AP291" i="11" a="1"/>
  <c r="AP291" i="11"/>
  <c r="AQ291" i="11" a="1"/>
  <c r="AQ291" i="11"/>
  <c r="AR291" i="11" a="1"/>
  <c r="AR291" i="11"/>
  <c r="AS291" i="11" a="1"/>
  <c r="AS291" i="11"/>
  <c r="AN292" i="11"/>
  <c r="AO292" i="11" a="1"/>
  <c r="AO292" i="11"/>
  <c r="AP292" i="11" a="1"/>
  <c r="AP292" i="11"/>
  <c r="AQ292" i="11" a="1"/>
  <c r="AQ292" i="11"/>
  <c r="AR292" i="11" a="1"/>
  <c r="AR292" i="11"/>
  <c r="AS292" i="11" a="1"/>
  <c r="AS292" i="11"/>
  <c r="AN293" i="11"/>
  <c r="AO293" i="11" a="1"/>
  <c r="AO293" i="11"/>
  <c r="AP293" i="11" a="1"/>
  <c r="AP293" i="11"/>
  <c r="AQ293" i="11" a="1"/>
  <c r="AQ293" i="11"/>
  <c r="AR293" i="11" a="1"/>
  <c r="AR293" i="11"/>
  <c r="AS293" i="11" a="1"/>
  <c r="AS293" i="11"/>
  <c r="AN294" i="11"/>
  <c r="AO294" i="11" a="1"/>
  <c r="AO294" i="11"/>
  <c r="AP294" i="11" a="1"/>
  <c r="AP294" i="11"/>
  <c r="AQ294" i="11" a="1"/>
  <c r="AQ294" i="11"/>
  <c r="AR294" i="11" a="1"/>
  <c r="AR294" i="11"/>
  <c r="AS294" i="11" a="1"/>
  <c r="AS294" i="11"/>
  <c r="AN295" i="11"/>
  <c r="AO295" i="11" a="1"/>
  <c r="AO295" i="11"/>
  <c r="AP295" i="11" a="1"/>
  <c r="AP295" i="11"/>
  <c r="AQ295" i="11" a="1"/>
  <c r="AQ295" i="11"/>
  <c r="AR295" i="11" a="1"/>
  <c r="AR295" i="11"/>
  <c r="AS295" i="11" a="1"/>
  <c r="AS295" i="11"/>
  <c r="AN296" i="11"/>
  <c r="AO296" i="11" a="1"/>
  <c r="AO296" i="11"/>
  <c r="AP296" i="11" a="1"/>
  <c r="AP296" i="11"/>
  <c r="AQ296" i="11" a="1"/>
  <c r="AQ296" i="11"/>
  <c r="AR296" i="11" a="1"/>
  <c r="AR296" i="11"/>
  <c r="AS296" i="11" a="1"/>
  <c r="AS296" i="11"/>
  <c r="AO297" i="11" a="1"/>
  <c r="AO297" i="11"/>
  <c r="AP297" i="11" a="1"/>
  <c r="AP297" i="11"/>
  <c r="AQ297" i="11" a="1"/>
  <c r="AQ297" i="11"/>
  <c r="AR297" i="11" a="1"/>
  <c r="AR297" i="11"/>
  <c r="AS297" i="11" a="1"/>
  <c r="AS297" i="11"/>
  <c r="AO298" i="11" a="1"/>
  <c r="AO298" i="11"/>
  <c r="AP298" i="11" a="1"/>
  <c r="AP298" i="11"/>
  <c r="AQ298" i="11" a="1"/>
  <c r="AQ298" i="11"/>
  <c r="AR298" i="11" a="1"/>
  <c r="AR298" i="11"/>
  <c r="AS298" i="11" a="1"/>
  <c r="AS298" i="11"/>
  <c r="AO299" i="11" a="1"/>
  <c r="AO299" i="11"/>
  <c r="AP299" i="11" a="1"/>
  <c r="AP299" i="11"/>
  <c r="AQ299" i="11" a="1"/>
  <c r="AQ299" i="11"/>
  <c r="AR299" i="11" a="1"/>
  <c r="AR299" i="11"/>
  <c r="AS299" i="11" a="1"/>
  <c r="AS299" i="11"/>
  <c r="AO300" i="11" a="1"/>
  <c r="AO300" i="11"/>
  <c r="AP300" i="11" a="1"/>
  <c r="AP300" i="11"/>
  <c r="AQ300" i="11" a="1"/>
  <c r="AQ300" i="11"/>
  <c r="AR300" i="11" a="1"/>
  <c r="AR300" i="11"/>
  <c r="AS300" i="11" a="1"/>
  <c r="AS300" i="11"/>
  <c r="AO301" i="11" a="1"/>
  <c r="AO301" i="11"/>
  <c r="AP301" i="11" a="1"/>
  <c r="AP301" i="11"/>
  <c r="AQ301" i="11" a="1"/>
  <c r="AQ301" i="11"/>
  <c r="AR301" i="11" a="1"/>
  <c r="AR301" i="11"/>
  <c r="AS301" i="11" a="1"/>
  <c r="AS301" i="11"/>
  <c r="AO302" i="11" a="1"/>
  <c r="AO302" i="11"/>
  <c r="AP302" i="11" a="1"/>
  <c r="AP302" i="11"/>
  <c r="AQ302" i="11" a="1"/>
  <c r="AQ302" i="11"/>
  <c r="AR302" i="11" a="1"/>
  <c r="AR302" i="11"/>
  <c r="AS302" i="11" a="1"/>
  <c r="AS302" i="11"/>
  <c r="AO303" i="11" a="1"/>
  <c r="AO303" i="11"/>
  <c r="AP303" i="11" a="1"/>
  <c r="AP303" i="11"/>
  <c r="AQ303" i="11" a="1"/>
  <c r="AQ303" i="11"/>
  <c r="AR303" i="11" a="1"/>
  <c r="AR303" i="11"/>
  <c r="AS303" i="11" a="1"/>
  <c r="AS303" i="11"/>
  <c r="AN313" i="11"/>
  <c r="AN314" i="11"/>
  <c r="AN315" i="11"/>
  <c r="C9" i="8"/>
  <c r="F11" i="8"/>
  <c r="C7" i="4" l="1"/>
  <c r="E7" i="3"/>
  <c r="I7" i="7" l="1" a="1"/>
  <c r="F10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Francois Jordan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AE9" authorId="2" shapeId="0" xr:uid="{E623F53E-4CCC-4D66-8D65-01A344545FD5}">
      <text>
        <r>
          <rPr>
            <b/>
            <sz val="9"/>
            <color indexed="81"/>
            <rFont val="Tahoma"/>
            <family val="2"/>
          </rPr>
          <t>More details on 22.3</t>
        </r>
      </text>
    </comment>
    <comment ref="AN10" authorId="2" shapeId="0" xr:uid="{568D15F8-C59E-4191-9E9A-89316B6E1F84}">
      <text>
        <r>
          <rPr>
            <b/>
            <sz val="9"/>
            <color indexed="81"/>
            <rFont val="Tahoma"/>
            <family val="2"/>
          </rPr>
          <t>Change of NPV when the riskfree curve is shifted by 1bp, divided by 0.0001</t>
        </r>
      </text>
    </comment>
    <comment ref="AE11" authorId="3" shapeId="0" xr:uid="{9F08EA24-453F-4EA2-9F91-B073FF9C85FD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N11" authorId="2" shapeId="0" xr:uid="{1EDA8A48-8A4A-493F-ACEA-239F266C83D6}">
      <text>
        <r>
          <rPr>
            <b/>
            <sz val="9"/>
            <color indexed="81"/>
            <rFont val="Tahoma"/>
            <family val="2"/>
          </rPr>
          <t>Change of NPV when the spread (not the curve), is shifted by 1bp, divided by 0.0001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AE12" authorId="3" shapeId="0" xr:uid="{B44E3145-0091-42D4-8F3A-913BD729507C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E13" authorId="3" shapeId="0" xr:uid="{7280FA8E-2BD4-4BA4-AA14-4DBCA917C4E0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4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AE14" authorId="2" shapeId="0" xr:uid="{842DB093-9DBD-4D2E-902B-14B98FF14F59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AF14" authorId="2" shapeId="0" xr:uid="{F75CF336-F4B5-4C58-B85C-B161AAB0B849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  <comment ref="AE116" authorId="2" shapeId="0" xr:uid="{70496763-B990-4200-B8E8-580390D6F98F}">
      <text>
        <r>
          <rPr>
            <b/>
            <sz val="9"/>
            <color indexed="81"/>
            <rFont val="Tahoma"/>
            <family val="2"/>
          </rPr>
          <t>More details on 22.3</t>
        </r>
      </text>
    </comment>
    <comment ref="AE118" authorId="3" shapeId="0" xr:uid="{B09314BD-0E54-4BB3-8E86-F489715C5466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E119" authorId="3" shapeId="0" xr:uid="{264B1BD8-08FC-41F3-BEDC-E29BFBB4E7D7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E120" authorId="3" shapeId="0" xr:uid="{13999356-2965-4DB3-A921-26C678FD8C51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AE121" authorId="2" shapeId="0" xr:uid="{49FBD7C6-C76B-468D-B114-0CC0A31825B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AF121" authorId="2" shapeId="0" xr:uid="{E34E05C3-1224-46DA-A17D-9D7B56718F59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where Q15*(0,75-P15) is the MTM of the first CDS, 0.75 is the LGD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<sst xmlns="http://schemas.openxmlformats.org/spreadsheetml/2006/main" count="2496" uniqueCount="625">
  <si>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</si>
  <si>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</si>
  <si>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</si>
  <si>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</si>
  <si>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</si>
  <si>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</si>
  <si>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</si>
  <si>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</si>
  <si>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</si>
  <si>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</si>
  <si>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</si>
  <si>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</si>
  <si>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</si>
  <si>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</si>
  <si>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</si>
  <si>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</si>
  <si>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</si>
  <si>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</si>
  <si>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</si>
  <si>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</si>
  <si>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</si>
  <si>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</si>
  <si>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</si>
  <si>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</si>
  <si>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</si>
  <si>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</si>
  <si>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</si>
  <si>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</si>
  <si>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</si>
  <si>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</si>
  <si>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</si>
  <si>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</si>
  <si>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</si>
  <si>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</si>
  <si>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</si>
  <si>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</si>
  <si>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</si>
  <si>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</si>
  <si>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</si>
  <si>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</si>
  <si>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</si>
  <si>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</si>
  <si>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</si>
  <si>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</si>
  <si>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</si>
  <si>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</si>
  <si>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</si>
  <si>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</si>
  <si>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</si>
  <si>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</si>
  <si>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</si>
  <si>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</si>
  <si>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</si>
  <si>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</si>
  <si>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</si>
  <si>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</si>
  <si>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</si>
  <si>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</si>
  <si>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</si>
  <si>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</si>
  <si>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</si>
  <si>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</si>
  <si>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</si>
  <si>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</si>
  <si>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</si>
  <si>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</si>
  <si>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</si>
  <si>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</si>
  <si>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</si>
  <si>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</si>
  <si>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</si>
  <si>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</si>
  <si>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</si>
  <si>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</si>
  <si>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</si>
  <si>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</si>
  <si>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</si>
  <si>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</si>
  <si>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</si>
  <si>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</si>
  <si>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</si>
  <si>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</si>
  <si>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</si>
  <si>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</si>
  <si>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</si>
  <si>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</si>
  <si>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</si>
  <si>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</si>
  <si>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</si>
  <si>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</si>
  <si>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</si>
  <si>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</si>
  <si>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</si>
  <si>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</si>
  <si>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</si>
  <si>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</si>
  <si>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</si>
  <si>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</si>
  <si>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</si>
  <si>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</si>
  <si>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</si>
  <si>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</si>
  <si>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</si>
  <si>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</si>
  <si>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</si>
  <si>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</si>
  <si>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</si>
  <si>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</si>
  <si>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</si>
  <si>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</si>
  <si>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</si>
  <si>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</si>
  <si>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</si>
  <si>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</si>
  <si>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</si>
  <si>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</si>
  <si>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</si>
  <si>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</si>
  <si>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</si>
  <si>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</si>
  <si>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</si>
  <si>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</si>
  <si>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</si>
  <si>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</si>
  <si>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</si>
  <si>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</si>
  <si>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</si>
  <si>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</si>
  <si>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</si>
  <si>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</si>
  <si>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</si>
  <si>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</si>
  <si>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</si>
  <si>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</si>
  <si>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</si>
  <si>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</si>
  <si>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</si>
  <si>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</si>
  <si>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</si>
  <si>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</si>
  <si>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</si>
  <si>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</si>
  <si>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</si>
  <si>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</si>
  <si>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</si>
  <si>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</si>
  <si>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</si>
  <si>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</si>
  <si>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</si>
  <si>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</si>
  <si>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</si>
  <si>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</si>
  <si>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</si>
  <si>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</si>
  <si>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</si>
  <si>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</si>
  <si>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</si>
  <si>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</si>
  <si>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</si>
  <si>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</si>
  <si>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</si>
  <si>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</si>
  <si>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</si>
  <si>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</si>
  <si>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</si>
  <si>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</si>
  <si>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</si>
  <si>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</si>
  <si>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</si>
  <si>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</si>
  <si>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</si>
  <si>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</si>
  <si>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</si>
  <si>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</si>
  <si>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</si>
  <si>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</si>
  <si>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</si>
  <si>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</si>
  <si>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</si>
  <si>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</si>
  <si>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</si>
  <si>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</si>
  <si>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</si>
  <si>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</si>
  <si>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</si>
  <si>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</si>
  <si>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</si>
  <si>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</si>
  <si>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</si>
  <si>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</si>
  <si>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</si>
  <si>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</si>
  <si>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</si>
  <si>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</si>
  <si>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</si>
  <si>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</si>
  <si>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</si>
  <si>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</si>
  <si>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</si>
  <si>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</si>
  <si>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</si>
  <si>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</si>
  <si>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</si>
  <si>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</si>
  <si>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</si>
  <si>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</si>
  <si>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</si>
  <si>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</si>
  <si>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</si>
  <si>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</si>
  <si>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</si>
  <si>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</si>
  <si>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</si>
  <si>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</si>
  <si>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</si>
  <si>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</si>
  <si>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</si>
  <si>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</si>
  <si>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</si>
  <si>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</si>
  <si>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</si>
  <si>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</si>
  <si>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</si>
  <si>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</si>
  <si>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</si>
  <si>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</si>
  <si>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</si>
  <si>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</si>
  <si>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</si>
  <si>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</si>
  <si>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</si>
  <si>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</si>
  <si>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</si>
  <si>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</si>
  <si>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</si>
  <si>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</si>
  <si>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</si>
  <si>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</si>
  <si>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</si>
  <si>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</si>
  <si>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</si>
  <si>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</si>
  <si>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</si>
  <si>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</si>
  <si>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</si>
  <si>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</si>
  <si>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</si>
  <si>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</si>
  <si>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</si>
  <si>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</si>
  <si>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</si>
  <si>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</si>
  <si>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</si>
  <si>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</si>
  <si>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</si>
  <si>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</si>
  <si>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</si>
  <si>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</si>
  <si>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</si>
  <si>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</si>
  <si>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</si>
  <si>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</si>
  <si>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</si>
  <si>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</si>
  <si>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</si>
  <si>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</si>
  <si>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</si>
  <si>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</si>
  <si>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</si>
  <si>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</si>
  <si>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</si>
  <si>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</si>
  <si>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</si>
  <si>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</si>
  <si>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</si>
  <si>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</si>
  <si>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</si>
  <si>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</si>
  <si>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</si>
  <si>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</si>
  <si>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</si>
  <si>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</si>
  <si>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</si>
  <si>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</si>
  <si>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</si>
  <si>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</si>
  <si>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</si>
  <si>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</si>
  <si>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</si>
  <si>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</si>
  <si>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</si>
  <si>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</si>
  <si>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</si>
  <si>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</si>
  <si>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</si>
  <si>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</si>
  <si>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</si>
  <si>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</si>
  <si>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</si>
  <si>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</si>
  <si>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</si>
  <si>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</si>
  <si>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</si>
  <si>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</si>
  <si>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</si>
  <si>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</si>
  <si>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</si>
  <si>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</si>
  <si>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</si>
  <si>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</si>
  <si>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</si>
  <si>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</si>
  <si>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</si>
  <si>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</si>
  <si>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</si>
  <si>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</si>
  <si>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</si>
  <si>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</si>
  <si>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</si>
  <si>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</si>
  <si>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</si>
  <si>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</si>
  <si>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</si>
  <si>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</si>
  <si>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</si>
  <si>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</si>
  <si>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</si>
  <si>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</si>
  <si>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</si>
  <si>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</si>
  <si>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</si>
  <si>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</si>
  <si>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</si>
  <si>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</si>
  <si>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</si>
  <si>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</si>
  <si>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</si>
  <si>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</si>
  <si>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</si>
  <si>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</si>
  <si>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</si>
  <si>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</si>
  <si>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</si>
  <si>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</si>
  <si>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</si>
  <si>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</si>
  <si>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</si>
  <si>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</si>
  <si>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</si>
  <si>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</si>
  <si>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</si>
  <si>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</si>
  <si>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</si>
  <si>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</si>
  <si>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</si>
  <si>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</si>
  <si>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</si>
  <si>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</si>
  <si>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</si>
  <si>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</si>
  <si>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</si>
  <si>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</si>
  <si>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</si>
  <si>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</si>
  <si>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</si>
  <si>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</si>
  <si>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</si>
  <si>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</si>
  <si>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</si>
  <si>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</si>
  <si>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</si>
  <si>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</si>
  <si>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</si>
  <si>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</si>
  <si>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</si>
  <si>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</si>
  <si>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</si>
  <si>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</si>
  <si>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</si>
  <si>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</si>
  <si>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</si>
  <si>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</si>
  <si>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</si>
  <si>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</si>
  <si>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</si>
  <si>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</si>
  <si>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</si>
  <si>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</si>
  <si>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</si>
  <si>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</si>
  <si>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</si>
  <si>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</si>
  <si>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</si>
  <si>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</si>
  <si>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</si>
  <si>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</si>
  <si>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</si>
  <si>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</si>
  <si>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</si>
  <si>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</si>
  <si>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</si>
  <si>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</si>
  <si>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</si>
  <si>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</si>
  <si>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</si>
  <si>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</si>
  <si>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</si>
  <si>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</si>
  <si>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</si>
  <si>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</si>
  <si>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</si>
  <si>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</si>
  <si>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</si>
  <si>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</si>
  <si>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</si>
  <si>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</si>
  <si>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</si>
  <si>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</si>
  <si>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</si>
  <si>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</si>
  <si>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</si>
  <si>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</si>
  <si>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</si>
  <si>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</si>
  <si>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</si>
  <si>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</si>
  <si>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</si>
  <si>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</si>
  <si>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</si>
  <si>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</si>
  <si>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</si>
  <si>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</si>
  <si>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</si>
  <si>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</si>
  <si>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</si>
  <si>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</si>
  <si>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</si>
  <si>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</si>
  <si>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</si>
  <si>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</si>
  <si>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</si>
  <si>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</si>
  <si>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</si>
  <si>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</si>
  <si>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</si>
  <si>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</si>
  <si>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</si>
  <si>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</si>
  <si>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</si>
  <si>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</si>
  <si>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</si>
  <si>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</si>
  <si>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</si>
  <si>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</si>
  <si>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</si>
  <si>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</si>
  <si>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</si>
  <si>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</si>
  <si>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</si>
  <si>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</si>
  <si>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</si>
  <si>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</si>
  <si>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</si>
  <si>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</si>
  <si>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</si>
  <si>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</si>
  <si>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</si>
  <si>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</si>
  <si>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</si>
  <si>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</si>
  <si>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</si>
  <si>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</si>
  <si>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</si>
  <si>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</si>
  <si>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</si>
  <si>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</si>
  <si>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</si>
  <si>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</si>
  <si>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</si>
  <si>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</si>
  <si>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</si>
  <si>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</si>
  <si>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</si>
  <si>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</si>
  <si>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</si>
  <si>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</si>
  <si>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</si>
  <si>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</si>
  <si>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</si>
  <si>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</si>
  <si>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</si>
  <si>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</si>
  <si>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</si>
  <si>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</si>
  <si>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</si>
  <si>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</si>
  <si>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</si>
  <si>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</si>
  <si>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</si>
  <si>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</si>
  <si>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</si>
  <si>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</si>
  <si>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</si>
  <si>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</si>
  <si>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</si>
  <si>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</si>
  <si>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</si>
  <si>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</si>
  <si>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</si>
  <si>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</si>
  <si>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</si>
  <si>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</si>
  <si>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</si>
  <si>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</si>
  <si>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</si>
  <si>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</si>
  <si>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</si>
  <si>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</si>
  <si>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</si>
  <si>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</si>
  <si>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</si>
  <si>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</si>
  <si>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</si>
  <si>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</si>
  <si>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</si>
  <si>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</si>
  <si>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</si>
  <si>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</si>
  <si>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</si>
  <si>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</si>
  <si>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</si>
  <si>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</si>
  <si>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</si>
  <si>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</si>
  <si>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</si>
  <si>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</si>
  <si>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</si>
  <si>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</si>
  <si>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</si>
  <si>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</si>
  <si>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</si>
  <si>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</si>
  <si>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</si>
  <si>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</si>
  <si>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</si>
  <si>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</si>
  <si>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</si>
  <si>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</si>
  <si>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</si>
  <si>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</si>
  <si>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</si>
  <si>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</si>
  <si>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</si>
  <si>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</si>
  <si>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</si>
  <si>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</si>
  <si>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</si>
  <si>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</si>
  <si>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</si>
  <si>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</si>
  <si>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</si>
  <si>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</si>
  <si>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</si>
  <si>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</si>
  <si>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</si>
  <si>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</si>
  <si>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</si>
  <si>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</si>
  <si>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</si>
  <si>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</si>
  <si>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</si>
  <si>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</si>
  <si>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</si>
  <si>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</si>
  <si>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</si>
  <si>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</si>
  <si>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</si>
  <si>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</si>
  <si>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</si>
  <si>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</si>
  <si>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</si>
  <si>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</si>
  <si>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</si>
  <si>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</si>
  <si>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</si>
  <si>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</si>
  <si>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</si>
  <si>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</si>
  <si>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</si>
  <si>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</si>
  <si>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</si>
  <si>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</si>
  <si>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</si>
  <si>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</si>
  <si>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</si>
  <si>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</si>
  <si>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</si>
  <si>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</si>
  <si>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</si>
  <si>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</si>
  <si>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</si>
  <si>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</si>
  <si>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</si>
  <si>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</si>
  <si>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</si>
  <si>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</si>
  <si>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</si>
  <si>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</si>
  <si>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</si>
  <si>
    <t>Gross JTD Long</t>
  </si>
  <si>
    <t>Gross JTD short</t>
  </si>
  <si>
    <t>HBR</t>
  </si>
  <si>
    <t>JTD Hedge</t>
  </si>
  <si>
    <t>Delta Hedge</t>
  </si>
  <si>
    <t>DRCb</t>
  </si>
  <si>
    <t>DRC CTP</t>
  </si>
  <si>
    <t>Caution, LGD may be wrong for the CDS and the weights too</t>
  </si>
  <si>
    <t>Net JTD Long</t>
  </si>
  <si>
    <t>Net JTD short</t>
  </si>
  <si>
    <t>Offsetable ?</t>
  </si>
  <si>
    <t>Can be this if 22.11 FAQ holds ( ie JTD bucket of CDS is only (0 recov)  the nominal - MTM)</t>
  </si>
  <si>
    <t>Delta GIRR</t>
  </si>
  <si>
    <t>Delta CSR</t>
  </si>
  <si>
    <t>30Y</t>
  </si>
  <si>
    <t>CDO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</si>
</sst>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7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49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27" xfId="0" applyBorder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34" fillId="0" borderId="0" xfId="2" applyFont="1" applyAlignment="1">
      <alignment horizontal="left"/>
    </xf>
    <xf numFmtId="0" fontId="26" fillId="2" borderId="7" xfId="0" applyFont="1" applyFill="1" applyBorder="1" applyAlignment="1">
      <alignment horizontal="center"/>
    </xf>
    <xf numFmtId="178" fontId="21" fillId="0" borderId="0" xfId="2" applyNumberFormat="1" applyFont="1" applyAlignment="1"/>
    <xf numFmtId="177" fontId="25" fillId="4" borderId="23" xfId="1" quotePrefix="1" applyNumberFormat="1" applyFont="1" applyFill="1" applyBorder="1" applyAlignment="1">
      <alignment horizontal="center"/>
    </xf>
    <xf numFmtId="0" fontId="26" fillId="2" borderId="28" xfId="0" applyFont="1" applyFill="1" applyBorder="1"/>
    <xf numFmtId="0" fontId="0" fillId="0" borderId="23" xfId="0" applyBorder="1"/>
    <xf numFmtId="0" fontId="26" fillId="2" borderId="7" xfId="0" applyFont="1" applyFill="1" applyBorder="1"/>
    <xf numFmtId="0" fontId="26" fillId="2" borderId="1" xfId="0" applyFont="1" applyFill="1" applyBorder="1"/>
    <xf numFmtId="0" fontId="26" fillId="2" borderId="3" xfId="0" applyFont="1" applyFill="1" applyBorder="1"/>
    <xf numFmtId="0" fontId="26" fillId="2" borderId="4" xfId="0" applyFont="1" applyFill="1" applyBorder="1"/>
    <xf numFmtId="0" fontId="26" fillId="4" borderId="9" xfId="0" applyFont="1" applyFill="1" applyBorder="1"/>
    <xf numFmtId="177" fontId="0" fillId="0" borderId="0" xfId="0" applyNumberFormat="1"/>
    <xf numFmtId="11" fontId="0" fillId="0" borderId="0" xfId="0" applyNumberFormat="1"/>
    <xf numFmtId="178" fontId="47" fillId="0" borderId="7" xfId="2" applyNumberFormat="1" applyFont="1" applyBorder="1" applyAlignment="1"/>
    <xf numFmtId="177" fontId="47" fillId="0" borderId="0" xfId="2" applyNumberFormat="1" applyFont="1" applyAlignment="1"/>
    <xf numFmtId="178" fontId="47" fillId="0" borderId="23" xfId="2" applyNumberFormat="1" applyFont="1" applyBorder="1" applyAlignment="1"/>
    <xf numFmtId="177" fontId="47" fillId="0" borderId="8" xfId="2" applyNumberFormat="1" applyFont="1" applyBorder="1" applyAlignment="1"/>
    <xf numFmtId="178" fontId="47" fillId="0" borderId="1" xfId="2" applyNumberFormat="1" applyFont="1" applyBorder="1" applyAlignment="1"/>
    <xf numFmtId="178" fontId="47" fillId="0" borderId="0" xfId="2" applyNumberFormat="1" applyFont="1" applyAlignment="1"/>
    <xf numFmtId="177" fontId="47" fillId="0" borderId="2" xfId="2" applyNumberFormat="1" applyFont="1" applyBorder="1" applyAlignment="1"/>
    <xf numFmtId="178" fontId="47" fillId="0" borderId="3" xfId="2" applyNumberFormat="1" applyFont="1" applyBorder="1" applyAlignment="1"/>
    <xf numFmtId="178" fontId="47" fillId="0" borderId="28" xfId="2" applyNumberFormat="1" applyFont="1" applyBorder="1" applyAlignment="1"/>
    <xf numFmtId="177" fontId="47" fillId="0" borderId="4" xfId="2" applyNumberFormat="1" applyFont="1" applyBorder="1" applyAlignment="1"/>
    <xf numFmtId="178" fontId="47" fillId="4" borderId="10" xfId="0" applyNumberFormat="1" applyFont="1" applyFill="1" applyBorder="1"/>
    <xf numFmtId="178" fontId="47" fillId="0" borderId="10" xfId="2" applyNumberFormat="1" applyFont="1" applyBorder="1" applyAlignment="1"/>
    <xf numFmtId="178" fontId="47" fillId="4" borderId="1" xfId="0" applyNumberFormat="1" applyFont="1" applyFill="1" applyBorder="1"/>
    <xf numFmtId="177" fontId="47" fillId="0" borderId="28" xfId="2" applyNumberFormat="1" applyFont="1" applyBorder="1" applyAlignment="1"/>
    <xf numFmtId="0" fontId="26" fillId="2" borderId="5" xfId="0" applyFont="1" applyFill="1" applyBorder="1"/>
    <xf numFmtId="0" fontId="26" fillId="2" borderId="6" xfId="0" applyFont="1" applyFill="1" applyBorder="1"/>
    <xf numFmtId="177" fontId="47" fillId="0" borderId="23" xfId="2" applyNumberFormat="1" applyFont="1" applyBorder="1" applyAlignment="1"/>
    <xf numFmtId="178" fontId="47" fillId="0" borderId="11" xfId="2" applyNumberFormat="1" applyFont="1" applyBorder="1" applyAlignment="1"/>
    <xf numFmtId="0" fontId="21" fillId="0" borderId="3" xfId="2" applyFont="1" applyBorder="1" applyAlignment="1"/>
    <xf numFmtId="0" fontId="21" fillId="0" borderId="4" xfId="2" applyFont="1" applyBorder="1" applyAlignment="1"/>
    <xf numFmtId="177" fontId="47" fillId="0" borderId="3" xfId="2" applyNumberFormat="1" applyFont="1" applyBorder="1" applyAlignment="1"/>
    <xf numFmtId="178" fontId="47" fillId="0" borderId="28" xfId="2" applyNumberFormat="1" applyFont="1" applyBorder="1" applyAlignment="1">
      <alignment horizontal="left"/>
    </xf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177" fontId="47" fillId="0" borderId="7" xfId="2" applyNumberFormat="1" applyFont="1" applyBorder="1" applyAlignment="1">
      <alignment horizontal="center"/>
    </xf>
    <xf numFmtId="177" fontId="47" fillId="0" borderId="23" xfId="2" applyNumberFormat="1" applyFont="1" applyBorder="1" applyAlignment="1">
      <alignment horizontal="center"/>
    </xf>
    <xf numFmtId="177" fontId="47" fillId="0" borderId="8" xfId="2" applyNumberFormat="1" applyFont="1" applyBorder="1" applyAlignment="1">
      <alignment horizontal="center"/>
    </xf>
    <xf numFmtId="177" fontId="47" fillId="0" borderId="28" xfId="2" applyNumberFormat="1" applyFont="1" applyBorder="1" applyAlignment="1">
      <alignment horizontal="center"/>
    </xf>
    <xf numFmtId="177" fontId="45" fillId="0" borderId="28" xfId="2" applyNumberFormat="1" applyFont="1" applyBorder="1" applyAlignment="1">
      <alignment horizontal="center"/>
    </xf>
    <xf numFmtId="177" fontId="45" fillId="0" borderId="4" xfId="2" applyNumberFormat="1" applyFont="1" applyBorder="1" applyAlignment="1">
      <alignment horizontal="center"/>
    </xf>
    <xf numFmtId="177" fontId="45" fillId="0" borderId="3" xfId="2" applyNumberFormat="1" applyFont="1" applyBorder="1" applyAlignment="1">
      <alignment horizontal="center"/>
    </xf>
    <xf numFmtId="0" fontId="26" fillId="2" borderId="8" xfId="0" applyFont="1" applyFill="1" applyBorder="1"/>
    <xf numFmtId="164" fontId="25" fillId="0" borderId="0" xfId="5" applyNumberFormat="1" applyFont="1" applyBorder="1" applyAlignment="1">
      <alignment horizontal="center"/>
    </xf>
    <xf numFmtId="164" fontId="25" fillId="0" borderId="2" xfId="5" applyNumberFormat="1" applyFont="1" applyBorder="1" applyAlignment="1">
      <alignment horizontal="center"/>
    </xf>
    <xf numFmtId="165" fontId="25" fillId="0" borderId="0" xfId="5" applyNumberFormat="1" applyFont="1" applyBorder="1" applyAlignment="1">
      <alignment horizontal="center"/>
    </xf>
    <xf numFmtId="165" fontId="25" fillId="0" borderId="2" xfId="5" applyNumberFormat="1" applyFont="1" applyBorder="1" applyAlignment="1">
      <alignment horizontal="center"/>
    </xf>
    <xf numFmtId="0" fontId="0" fillId="0" borderId="2" xfId="0" applyBorder="1"/>
    <xf numFmtId="0" fontId="0" fillId="0" borderId="28" xfId="0" applyBorder="1"/>
    <xf numFmtId="0" fontId="0" fillId="0" borderId="4" xfId="0" applyBorder="1"/>
    <xf numFmtId="0" fontId="34" fillId="0" borderId="9" xfId="2" applyFont="1" applyBorder="1" applyAlignment="1">
      <alignment horizontal="left"/>
    </xf>
    <xf numFmtId="0" fontId="34" fillId="0" borderId="10" xfId="2" applyFont="1" applyBorder="1" applyAlignment="1">
      <alignment horizontal="left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2.2311654584812051E-3</c:v>
                </c:pt>
                <c:pt idx="1">
                  <c:v>2.2311654584814063E-3</c:v>
                </c:pt>
                <c:pt idx="2">
                  <c:v>2.2311654584801751E-3</c:v>
                </c:pt>
                <c:pt idx="3">
                  <c:v>2.2311654584814076E-3</c:v>
                </c:pt>
                <c:pt idx="4">
                  <c:v>2.2311654584814076E-3</c:v>
                </c:pt>
                <c:pt idx="5">
                  <c:v>2.2311654584814492E-3</c:v>
                </c:pt>
                <c:pt idx="6">
                  <c:v>5.0291111491636686E-3</c:v>
                </c:pt>
                <c:pt idx="7">
                  <c:v>5.0291111491625609E-3</c:v>
                </c:pt>
                <c:pt idx="8">
                  <c:v>5.0291111491623606E-3</c:v>
                </c:pt>
                <c:pt idx="9">
                  <c:v>5.0291111491639054E-3</c:v>
                </c:pt>
                <c:pt idx="10">
                  <c:v>5.0291111491636686E-3</c:v>
                </c:pt>
                <c:pt idx="11">
                  <c:v>5.0291111491636686E-3</c:v>
                </c:pt>
                <c:pt idx="12">
                  <c:v>5.673440582127539E-3</c:v>
                </c:pt>
                <c:pt idx="13">
                  <c:v>5.6734405821266942E-3</c:v>
                </c:pt>
                <c:pt idx="14">
                  <c:v>5.673440582126172E-3</c:v>
                </c:pt>
                <c:pt idx="15">
                  <c:v>5.6734405821266942E-3</c:v>
                </c:pt>
                <c:pt idx="16">
                  <c:v>5.6734405821266942E-3</c:v>
                </c:pt>
                <c:pt idx="17">
                  <c:v>5.6734405821279145E-3</c:v>
                </c:pt>
                <c:pt idx="18">
                  <c:v>5.6734405821266794E-3</c:v>
                </c:pt>
                <c:pt idx="19">
                  <c:v>5.6734405821261876E-3</c:v>
                </c:pt>
                <c:pt idx="20">
                  <c:v>5.6734405821266942E-3</c:v>
                </c:pt>
                <c:pt idx="21">
                  <c:v>5.673440582126172E-3</c:v>
                </c:pt>
                <c:pt idx="22">
                  <c:v>5.6734405821280013E-3</c:v>
                </c:pt>
                <c:pt idx="23">
                  <c:v>5.6734405821280013E-3</c:v>
                </c:pt>
                <c:pt idx="24">
                  <c:v>7.5760774477749131E-3</c:v>
                </c:pt>
                <c:pt idx="25">
                  <c:v>7.5760774477768196E-3</c:v>
                </c:pt>
                <c:pt idx="26">
                  <c:v>7.5760774477762654E-3</c:v>
                </c:pt>
                <c:pt idx="27">
                  <c:v>7.5760774477742045E-3</c:v>
                </c:pt>
                <c:pt idx="28">
                  <c:v>7.5760774477754735E-3</c:v>
                </c:pt>
                <c:pt idx="29">
                  <c:v>7.5760774477751135E-3</c:v>
                </c:pt>
                <c:pt idx="30">
                  <c:v>7.5760774477742045E-3</c:v>
                </c:pt>
                <c:pt idx="31">
                  <c:v>7.5760774477748724E-3</c:v>
                </c:pt>
                <c:pt idx="32">
                  <c:v>7.5760774477755125E-3</c:v>
                </c:pt>
                <c:pt idx="33">
                  <c:v>7.5760774477749131E-3</c:v>
                </c:pt>
                <c:pt idx="34">
                  <c:v>7.5760774477755125E-3</c:v>
                </c:pt>
                <c:pt idx="35">
                  <c:v>7.5760774477755125E-3</c:v>
                </c:pt>
                <c:pt idx="36">
                  <c:v>9.3156514060705534E-3</c:v>
                </c:pt>
                <c:pt idx="37">
                  <c:v>9.3156514060668844E-3</c:v>
                </c:pt>
                <c:pt idx="38">
                  <c:v>9.3156514060678507E-3</c:v>
                </c:pt>
                <c:pt idx="39">
                  <c:v>9.3156514060668844E-3</c:v>
                </c:pt>
                <c:pt idx="40">
                  <c:v>9.3156514060681456E-3</c:v>
                </c:pt>
                <c:pt idx="41">
                  <c:v>9.3156514060675748E-3</c:v>
                </c:pt>
                <c:pt idx="42">
                  <c:v>9.3156514060681941E-3</c:v>
                </c:pt>
                <c:pt idx="43">
                  <c:v>9.3156514060678507E-3</c:v>
                </c:pt>
                <c:pt idx="44">
                  <c:v>9.3156514060668844E-3</c:v>
                </c:pt>
                <c:pt idx="45">
                  <c:v>9.3156514060678507E-3</c:v>
                </c:pt>
                <c:pt idx="46">
                  <c:v>9.3156514060681456E-3</c:v>
                </c:pt>
                <c:pt idx="47">
                  <c:v>9.315651406066933E-3</c:v>
                </c:pt>
                <c:pt idx="48">
                  <c:v>9.3156514060691534E-3</c:v>
                </c:pt>
                <c:pt idx="49">
                  <c:v>9.315651406066933E-3</c:v>
                </c:pt>
                <c:pt idx="50">
                  <c:v>9.3156514060678004E-3</c:v>
                </c:pt>
                <c:pt idx="51">
                  <c:v>9.3156514060668359E-3</c:v>
                </c:pt>
                <c:pt idx="52">
                  <c:v>9.315651406066933E-3</c:v>
                </c:pt>
                <c:pt idx="53">
                  <c:v>9.315651406068234E-3</c:v>
                </c:pt>
                <c:pt idx="54">
                  <c:v>9.3156514060681456E-3</c:v>
                </c:pt>
                <c:pt idx="55">
                  <c:v>9.3156514060665496E-3</c:v>
                </c:pt>
                <c:pt idx="56">
                  <c:v>9.3156514060668359E-3</c:v>
                </c:pt>
                <c:pt idx="57">
                  <c:v>9.3156514060692541E-3</c:v>
                </c:pt>
                <c:pt idx="58">
                  <c:v>9.3156514060681456E-3</c:v>
                </c:pt>
                <c:pt idx="59">
                  <c:v>9.315651406066933E-3</c:v>
                </c:pt>
                <c:pt idx="60">
                  <c:v>9.5163136295708505E-3</c:v>
                </c:pt>
                <c:pt idx="61">
                  <c:v>9.5163136295706025E-3</c:v>
                </c:pt>
                <c:pt idx="62">
                  <c:v>9.5163136295708505E-3</c:v>
                </c:pt>
                <c:pt idx="63">
                  <c:v>9.5163136295705036E-3</c:v>
                </c:pt>
                <c:pt idx="64">
                  <c:v>9.5163136295719122E-3</c:v>
                </c:pt>
                <c:pt idx="65">
                  <c:v>9.5163136295689874E-3</c:v>
                </c:pt>
                <c:pt idx="66">
                  <c:v>9.5163136295718116E-3</c:v>
                </c:pt>
                <c:pt idx="67">
                  <c:v>9.5163136295709546E-3</c:v>
                </c:pt>
                <c:pt idx="68">
                  <c:v>9.5163136295691956E-3</c:v>
                </c:pt>
                <c:pt idx="69">
                  <c:v>9.5163136295709546E-3</c:v>
                </c:pt>
                <c:pt idx="70">
                  <c:v>9.5163136295691956E-3</c:v>
                </c:pt>
                <c:pt idx="71">
                  <c:v>9.5163136295719122E-3</c:v>
                </c:pt>
                <c:pt idx="72">
                  <c:v>9.5163136295694992E-3</c:v>
                </c:pt>
                <c:pt idx="73">
                  <c:v>9.5163136295719122E-3</c:v>
                </c:pt>
                <c:pt idx="74">
                  <c:v>9.5163136295708505E-3</c:v>
                </c:pt>
                <c:pt idx="75">
                  <c:v>9.5163136295705036E-3</c:v>
                </c:pt>
                <c:pt idx="76">
                  <c:v>9.5163136295706025E-3</c:v>
                </c:pt>
                <c:pt idx="77">
                  <c:v>9.5163136295704342E-3</c:v>
                </c:pt>
                <c:pt idx="78">
                  <c:v>9.5163136295718116E-3</c:v>
                </c:pt>
                <c:pt idx="79">
                  <c:v>9.5163136295696015E-3</c:v>
                </c:pt>
                <c:pt idx="80">
                  <c:v>9.5163136295718116E-3</c:v>
                </c:pt>
                <c:pt idx="81">
                  <c:v>9.5163136295696015E-3</c:v>
                </c:pt>
                <c:pt idx="82">
                  <c:v>9.5163136295705036E-3</c:v>
                </c:pt>
                <c:pt idx="83">
                  <c:v>9.5163136295706025E-3</c:v>
                </c:pt>
                <c:pt idx="84">
                  <c:v>1.0209599680253182E-2</c:v>
                </c:pt>
                <c:pt idx="85">
                  <c:v>1.0209599680255161E-2</c:v>
                </c:pt>
                <c:pt idx="86">
                  <c:v>1.0209599680253182E-2</c:v>
                </c:pt>
                <c:pt idx="87">
                  <c:v>1.0209599680255055E-2</c:v>
                </c:pt>
                <c:pt idx="88">
                  <c:v>1.0209599680253853E-2</c:v>
                </c:pt>
                <c:pt idx="89">
                  <c:v>1.0209599680253758E-2</c:v>
                </c:pt>
                <c:pt idx="90">
                  <c:v>1.0209599680252545E-2</c:v>
                </c:pt>
                <c:pt idx="91">
                  <c:v>1.0209599680253182E-2</c:v>
                </c:pt>
                <c:pt idx="92">
                  <c:v>1.0209599680255055E-2</c:v>
                </c:pt>
                <c:pt idx="93">
                  <c:v>1.0209599680254644E-2</c:v>
                </c:pt>
                <c:pt idx="94">
                  <c:v>1.0209599680252437E-2</c:v>
                </c:pt>
                <c:pt idx="95">
                  <c:v>1.0209599680253747E-2</c:v>
                </c:pt>
                <c:pt idx="96">
                  <c:v>1.0209599680254644E-2</c:v>
                </c:pt>
                <c:pt idx="97">
                  <c:v>1.0209599680252437E-2</c:v>
                </c:pt>
                <c:pt idx="98">
                  <c:v>1.0209599680255995E-2</c:v>
                </c:pt>
                <c:pt idx="99">
                  <c:v>1.0209599680252437E-2</c:v>
                </c:pt>
                <c:pt idx="100">
                  <c:v>1.0209599680253747E-2</c:v>
                </c:pt>
                <c:pt idx="101">
                  <c:v>1.0209599680252757E-2</c:v>
                </c:pt>
                <c:pt idx="102">
                  <c:v>1.0209599680253747E-2</c:v>
                </c:pt>
                <c:pt idx="103">
                  <c:v>1.0209599680254644E-2</c:v>
                </c:pt>
                <c:pt idx="104">
                  <c:v>1.0209599680253747E-2</c:v>
                </c:pt>
                <c:pt idx="105">
                  <c:v>1.0209599680253293E-2</c:v>
                </c:pt>
                <c:pt idx="106">
                  <c:v>1.0209599680255055E-2</c:v>
                </c:pt>
                <c:pt idx="107">
                  <c:v>1.0209599680252437E-2</c:v>
                </c:pt>
                <c:pt idx="108">
                  <c:v>1.0209599680253293E-2</c:v>
                </c:pt>
                <c:pt idx="109">
                  <c:v>1.0209599680255055E-2</c:v>
                </c:pt>
                <c:pt idx="110">
                  <c:v>1.0209599680253293E-2</c:v>
                </c:pt>
                <c:pt idx="111">
                  <c:v>1.0209599680252437E-2</c:v>
                </c:pt>
                <c:pt idx="112">
                  <c:v>1.0209599680253747E-2</c:v>
                </c:pt>
                <c:pt idx="113">
                  <c:v>1.0209599680254205E-2</c:v>
                </c:pt>
                <c:pt idx="114">
                  <c:v>1.0209599680253747E-2</c:v>
                </c:pt>
                <c:pt idx="115">
                  <c:v>1.0209599680253293E-2</c:v>
                </c:pt>
                <c:pt idx="116">
                  <c:v>1.0209599680252437E-2</c:v>
                </c:pt>
                <c:pt idx="117">
                  <c:v>1.0209599680254644E-2</c:v>
                </c:pt>
                <c:pt idx="118">
                  <c:v>1.0209599680253747E-2</c:v>
                </c:pt>
                <c:pt idx="119">
                  <c:v>1.0209599680253747E-2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7.0272291349315896E-4</c:v>
                </c:pt>
                <c:pt idx="1">
                  <c:v>8.9206805389607791E-4</c:v>
                </c:pt>
                <c:pt idx="2">
                  <c:v>1.075271126988242E-3</c:v>
                </c:pt>
                <c:pt idx="3">
                  <c:v>1.2645456775922659E-3</c:v>
                </c:pt>
                <c:pt idx="4">
                  <c:v>1.4537843647779436E-3</c:v>
                </c:pt>
                <c:pt idx="5">
                  <c:v>1.6246788109022248E-3</c:v>
                </c:pt>
                <c:pt idx="6">
                  <c:v>2.0510237910273954E-3</c:v>
                </c:pt>
                <c:pt idx="7">
                  <c:v>2.4634423555509599E-3</c:v>
                </c:pt>
                <c:pt idx="8">
                  <c:v>2.8894291511143422E-3</c:v>
                </c:pt>
                <c:pt idx="9">
                  <c:v>3.3015012310547709E-3</c:v>
                </c:pt>
                <c:pt idx="10">
                  <c:v>3.7271301429776527E-3</c:v>
                </c:pt>
                <c:pt idx="11">
                  <c:v>4.1525772948488582E-3</c:v>
                </c:pt>
                <c:pt idx="12">
                  <c:v>4.6168428363074776E-3</c:v>
                </c:pt>
                <c:pt idx="13">
                  <c:v>5.0963565134012345E-3</c:v>
                </c:pt>
                <c:pt idx="14">
                  <c:v>5.5601820635921007E-3</c:v>
                </c:pt>
                <c:pt idx="15">
                  <c:v>6.0392412985361688E-3</c:v>
                </c:pt>
                <c:pt idx="16">
                  <c:v>6.5180697525456521E-3</c:v>
                </c:pt>
                <c:pt idx="17">
                  <c:v>6.9503617004107454E-3</c:v>
                </c:pt>
                <c:pt idx="18">
                  <c:v>7.4287512332962269E-3</c:v>
                </c:pt>
                <c:pt idx="19">
                  <c:v>7.8914894176187467E-3</c:v>
                </c:pt>
                <c:pt idx="20">
                  <c:v>8.3694255737225554E-3</c:v>
                </c:pt>
                <c:pt idx="21">
                  <c:v>8.8317252142761093E-3</c:v>
                </c:pt>
                <c:pt idx="22">
                  <c:v>9.3092084232702099E-3</c:v>
                </c:pt>
                <c:pt idx="23">
                  <c:v>9.7864616105609592E-3</c:v>
                </c:pt>
                <c:pt idx="24">
                  <c:v>1.0402867028102447E-2</c:v>
                </c:pt>
                <c:pt idx="25">
                  <c:v>1.1039416186161E-2</c:v>
                </c:pt>
                <c:pt idx="26">
                  <c:v>1.1655041642655406E-2</c:v>
                </c:pt>
                <c:pt idx="27">
                  <c:v>1.229078535103123E-2</c:v>
                </c:pt>
                <c:pt idx="28">
                  <c:v>1.2926120123175622E-2</c:v>
                </c:pt>
                <c:pt idx="29">
                  <c:v>1.3499619614500413E-2</c:v>
                </c:pt>
                <c:pt idx="30">
                  <c:v>1.4134176815240096E-2</c:v>
                </c:pt>
                <c:pt idx="31">
                  <c:v>1.4747875791087828E-2</c:v>
                </c:pt>
                <c:pt idx="32">
                  <c:v>1.5381630062643814E-2</c:v>
                </c:pt>
                <c:pt idx="33">
                  <c:v>1.5994552502007209E-2</c:v>
                </c:pt>
                <c:pt idx="34">
                  <c:v>1.6627504860356024E-2</c:v>
                </c:pt>
                <c:pt idx="35">
                  <c:v>1.7260050077983258E-2</c:v>
                </c:pt>
                <c:pt idx="36">
                  <c:v>1.8012216561996475E-2</c:v>
                </c:pt>
                <c:pt idx="37">
                  <c:v>1.8788850472042595E-2</c:v>
                </c:pt>
                <c:pt idx="38">
                  <c:v>1.9539846847506315E-2</c:v>
                </c:pt>
                <c:pt idx="39">
                  <c:v>2.0315272586227118E-2</c:v>
                </c:pt>
                <c:pt idx="40">
                  <c:v>2.1090085056704178E-2</c:v>
                </c:pt>
                <c:pt idx="41">
                  <c:v>2.1814354859499008E-2</c:v>
                </c:pt>
                <c:pt idx="42">
                  <c:v>2.2587981736685636E-2</c:v>
                </c:pt>
                <c:pt idx="43">
                  <c:v>2.3336070344732507E-2</c:v>
                </c:pt>
                <c:pt idx="44">
                  <c:v>2.4108493728487446E-2</c:v>
                </c:pt>
                <c:pt idx="45">
                  <c:v>2.4855418571736898E-2</c:v>
                </c:pt>
                <c:pt idx="46">
                  <c:v>2.5626640334276085E-2</c:v>
                </c:pt>
                <c:pt idx="47">
                  <c:v>2.6397252153409489E-2</c:v>
                </c:pt>
                <c:pt idx="48">
                  <c:v>2.7142425233766532E-2</c:v>
                </c:pt>
                <c:pt idx="49">
                  <c:v>2.7911838249846443E-2</c:v>
                </c:pt>
                <c:pt idx="50">
                  <c:v>2.8655852100949564E-2</c:v>
                </c:pt>
                <c:pt idx="51">
                  <c:v>2.9424068178895202E-2</c:v>
                </c:pt>
                <c:pt idx="52">
                  <c:v>3.0191676690569214E-2</c:v>
                </c:pt>
                <c:pt idx="53">
                  <c:v>3.0884478691088901E-2</c:v>
                </c:pt>
                <c:pt idx="54">
                  <c:v>3.1650932194171699E-2</c:v>
                </c:pt>
                <c:pt idx="55">
                  <c:v>3.239208422903761E-2</c:v>
                </c:pt>
                <c:pt idx="56">
                  <c:v>3.3157345397955451E-2</c:v>
                </c:pt>
                <c:pt idx="57">
                  <c:v>3.3897344458911127E-2</c:v>
                </c:pt>
                <c:pt idx="58">
                  <c:v>3.4661415148519947E-2</c:v>
                </c:pt>
                <c:pt idx="59">
                  <c:v>3.5424881550359277E-2</c:v>
                </c:pt>
                <c:pt idx="60">
                  <c:v>3.6179041314871929E-2</c:v>
                </c:pt>
                <c:pt idx="61">
                  <c:v>3.6957720288693929E-2</c:v>
                </c:pt>
                <c:pt idx="62">
                  <c:v>3.7710681592578843E-2</c:v>
                </c:pt>
                <c:pt idx="63">
                  <c:v>3.848812314147354E-2</c:v>
                </c:pt>
                <c:pt idx="64">
                  <c:v>3.9264936588870869E-2</c:v>
                </c:pt>
                <c:pt idx="65">
                  <c:v>3.996603509682406E-2</c:v>
                </c:pt>
                <c:pt idx="66">
                  <c:v>4.0741654526852855E-2</c:v>
                </c:pt>
                <c:pt idx="67">
                  <c:v>4.1491657335438248E-2</c:v>
                </c:pt>
                <c:pt idx="68">
                  <c:v>4.2266044202563413E-2</c:v>
                </c:pt>
                <c:pt idx="69">
                  <c:v>4.3014855156479515E-2</c:v>
                </c:pt>
                <c:pt idx="70">
                  <c:v>4.3788011419408468E-2</c:v>
                </c:pt>
                <c:pt idx="71">
                  <c:v>4.4560543042958312E-2</c:v>
                </c:pt>
                <c:pt idx="72">
                  <c:v>4.5307560026998761E-2</c:v>
                </c:pt>
                <c:pt idx="73">
                  <c:v>4.6078863994582164E-2</c:v>
                </c:pt>
                <c:pt idx="74">
                  <c:v>4.6824693868827483E-2</c:v>
                </c:pt>
                <c:pt idx="75">
                  <c:v>4.7594772131353769E-2</c:v>
                </c:pt>
                <c:pt idx="76">
                  <c:v>4.8364228241242868E-2</c:v>
                </c:pt>
                <c:pt idx="77">
                  <c:v>4.9058686521266659E-2</c:v>
                </c:pt>
                <c:pt idx="78">
                  <c:v>4.9826959922537051E-2</c:v>
                </c:pt>
                <c:pt idx="79">
                  <c:v>5.0569859321914823E-2</c:v>
                </c:pt>
                <c:pt idx="80">
                  <c:v>5.1336911834102938E-2</c:v>
                </c:pt>
                <c:pt idx="81">
                  <c:v>5.2078630667077741E-2</c:v>
                </c:pt>
                <c:pt idx="82">
                  <c:v>5.2844464230339394E-2</c:v>
                </c:pt>
                <c:pt idx="83">
                  <c:v>5.3609679070291794E-2</c:v>
                </c:pt>
                <c:pt idx="84">
                  <c:v>5.4403504831628036E-2</c:v>
                </c:pt>
                <c:pt idx="85">
                  <c:v>5.5223091939847424E-2</c:v>
                </c:pt>
                <c:pt idx="86">
                  <c:v>5.6015564381447391E-2</c:v>
                </c:pt>
                <c:pt idx="87">
                  <c:v>5.6833754251805257E-2</c:v>
                </c:pt>
                <c:pt idx="88">
                  <c:v>5.7651234963580933E-2</c:v>
                </c:pt>
                <c:pt idx="89">
                  <c:v>5.8415333522559565E-2</c:v>
                </c:pt>
                <c:pt idx="90">
                  <c:v>5.9231443414976548E-2</c:v>
                </c:pt>
                <c:pt idx="91">
                  <c:v>6.002055367863468E-2</c:v>
                </c:pt>
                <c:pt idx="92">
                  <c:v>6.0835272261172357E-2</c:v>
                </c:pt>
                <c:pt idx="93">
                  <c:v>6.1623037244107892E-2</c:v>
                </c:pt>
                <c:pt idx="94">
                  <c:v>6.2436366888680706E-2</c:v>
                </c:pt>
                <c:pt idx="95">
                  <c:v>6.3248991587227632E-2</c:v>
                </c:pt>
                <c:pt idx="96">
                  <c:v>6.4034731958817037E-2</c:v>
                </c:pt>
                <c:pt idx="97">
                  <c:v>6.4845971289067328E-2</c:v>
                </c:pt>
                <c:pt idx="98">
                  <c:v>6.5630372124949821E-2</c:v>
                </c:pt>
                <c:pt idx="99">
                  <c:v>6.6440228448689242E-2</c:v>
                </c:pt>
                <c:pt idx="100">
                  <c:v>6.7249382836871874E-2</c:v>
                </c:pt>
                <c:pt idx="101">
                  <c:v>6.7979629139168551E-2</c:v>
                </c:pt>
                <c:pt idx="102">
                  <c:v>6.8787449265891087E-2</c:v>
                </c:pt>
                <c:pt idx="103">
                  <c:v>6.9568544016866851E-2</c:v>
                </c:pt>
                <c:pt idx="104">
                  <c:v>7.0374986966160624E-2</c:v>
                </c:pt>
                <c:pt idx="105">
                  <c:v>7.1154750101316E-2</c:v>
                </c:pt>
                <c:pt idx="106">
                  <c:v>7.1959818221002947E-2</c:v>
                </c:pt>
                <c:pt idx="107">
                  <c:v>7.2764188555264786E-2</c:v>
                </c:pt>
                <c:pt idx="108">
                  <c:v>7.3541947644384931E-2</c:v>
                </c:pt>
                <c:pt idx="109">
                  <c:v>7.4344946682448732E-2</c:v>
                </c:pt>
                <c:pt idx="110">
                  <c:v>7.5121379842408298E-2</c:v>
                </c:pt>
                <c:pt idx="111">
                  <c:v>7.5923009922069018E-2</c:v>
                </c:pt>
                <c:pt idx="112">
                  <c:v>7.6723945196194632E-2</c:v>
                </c:pt>
                <c:pt idx="113">
                  <c:v>7.7446773905834321E-2</c:v>
                </c:pt>
                <c:pt idx="114">
                  <c:v>7.8246388471472361E-2</c:v>
                </c:pt>
                <c:pt idx="115">
                  <c:v>7.9019549128607203E-2</c:v>
                </c:pt>
                <c:pt idx="116">
                  <c:v>7.9817800505714631E-2</c:v>
                </c:pt>
                <c:pt idx="117">
                  <c:v>8.0589643073128214E-2</c:v>
                </c:pt>
                <c:pt idx="118">
                  <c:v>8.13865335856786E-2</c:v>
                </c:pt>
                <c:pt idx="119">
                  <c:v>8.2182733400670283E-2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133350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6</xdr:row>
          <xdr:rowOff>95250</xdr:rowOff>
        </xdr:from>
        <xdr:to>
          <xdr:col>30</xdr:col>
          <xdr:colOff>609600</xdr:colOff>
          <xdr:row>7</xdr:row>
          <xdr:rowOff>123825</xdr:rowOff>
        </xdr:to>
        <xdr:sp macro="" textlink="">
          <xdr:nvSpPr>
            <xdr:cNvPr id="11336" name="Button 72" hidden="1">
              <a:extLst>
                <a:ext uri="{63B3BB69-23CF-44E3-9099-C40C66FF867C}">
                  <a14:compatExt spid="_x0000_s11336"/>
                </a:ext>
                <a:ext uri="{FF2B5EF4-FFF2-40B4-BE49-F238E27FC236}">
                  <a16:creationId xmlns:a16="http://schemas.microsoft.com/office/drawing/2014/main" id="{00000000-0008-0000-0700-00004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FRTB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266700</xdr:colOff>
          <xdr:row>3</xdr:row>
          <xdr:rowOff>142875</xdr:rowOff>
        </xdr:from>
        <xdr:to>
          <xdr:col>39</xdr:col>
          <xdr:colOff>95250</xdr:colOff>
          <xdr:row>4</xdr:row>
          <xdr:rowOff>171450</xdr:rowOff>
        </xdr:to>
        <xdr:sp macro="" textlink="">
          <xdr:nvSpPr>
            <xdr:cNvPr id="11338" name="Button 74" hidden="1">
              <a:extLst>
                <a:ext uri="{63B3BB69-23CF-44E3-9099-C40C66FF867C}">
                  <a14:compatExt spid="_x0000_s11338"/>
                </a:ext>
                <a:ext uri="{FF2B5EF4-FFF2-40B4-BE49-F238E27FC236}">
                  <a16:creationId xmlns:a16="http://schemas.microsoft.com/office/drawing/2014/main" id="{00000000-0008-0000-0700-00004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74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45470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B1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45470</v>
      </c>
      <c r="D7" s="110"/>
      <c r="E7" s="111"/>
      <c r="F7" s="536" t="s">
        <v>48</v>
      </c>
      <c r="G7" s="537"/>
      <c r="H7" s="537"/>
      <c r="I7" s="537"/>
      <c r="J7" s="537"/>
      <c r="K7" s="537"/>
      <c r="L7" s="537"/>
      <c r="M7" s="537"/>
      <c r="N7" s="537"/>
      <c r="O7" s="537"/>
      <c r="P7" s="537"/>
      <c r="Q7" s="538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533" t="s">
        <v>68</v>
      </c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5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539" t="s">
        <v>21</v>
      </c>
      <c r="D5" s="540"/>
      <c r="F5" s="541" t="s">
        <v>23</v>
      </c>
      <c r="G5" s="542"/>
      <c r="I5" s="541" t="s">
        <v>22</v>
      </c>
      <c r="J5" s="542"/>
      <c r="R5" s="539" t="s">
        <v>39</v>
      </c>
      <c r="S5" s="540"/>
      <c r="U5" s="541" t="s">
        <v>40</v>
      </c>
      <c r="V5" s="542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20.905974634124664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539" t="s">
        <v>21</v>
      </c>
      <c r="C20" s="543"/>
      <c r="D20" s="543"/>
      <c r="E20" s="543"/>
      <c r="F20" s="543"/>
      <c r="G20" s="543"/>
      <c r="H20" s="543"/>
      <c r="I20" s="543"/>
      <c r="J20" s="540"/>
      <c r="L20" s="539" t="s">
        <v>23</v>
      </c>
      <c r="M20" s="540"/>
      <c r="O20" s="539" t="s">
        <v>22</v>
      </c>
      <c r="P20" s="540"/>
      <c r="R20" s="544" t="s">
        <v>39</v>
      </c>
      <c r="S20" s="545"/>
      <c r="T20" s="545"/>
      <c r="U20" s="545"/>
      <c r="V20" s="545"/>
      <c r="W20" s="545"/>
      <c r="X20" s="546"/>
      <c r="Z20" s="541" t="s">
        <v>40</v>
      </c>
      <c r="AA20" s="542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8.9166795550551345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zoomScaleNormal="100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536" t="s">
        <v>72</v>
      </c>
      <c r="H2" s="537"/>
      <c r="I2" s="537"/>
      <c r="J2" s="145" t="b">
        <v>1</v>
      </c>
    </row>
    <row r="3" spans="1:50" ht="15.75" thickBot="1">
      <c r="J3" s="99"/>
    </row>
    <row r="4" spans="1:50" ht="15.75" thickBot="1">
      <c r="G4" s="536" t="s">
        <v>73</v>
      </c>
      <c r="H4" s="537"/>
      <c r="I4" s="538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50" t="b">
        <v>1</v>
      </c>
      <c r="D6" s="551"/>
      <c r="E6" s="85"/>
      <c r="F6" s="85"/>
      <c r="G6" s="536" t="s">
        <v>74</v>
      </c>
      <c r="H6" s="537"/>
      <c r="I6" s="538"/>
      <c r="J6" s="140" t="s">
        <v>422</v>
      </c>
      <c r="K6" s="85"/>
      <c r="L6" s="93"/>
      <c r="M6" s="448"/>
      <c r="N6" s="277"/>
      <c r="O6" s="277"/>
      <c r="P6" s="277"/>
      <c r="Q6" s="277"/>
      <c r="R6" s="277"/>
      <c r="S6" s="277"/>
      <c r="T6" s="277"/>
      <c r="U6" s="277"/>
      <c r="V6" s="277"/>
      <c r="W6" s="277"/>
      <c r="X6" s="277"/>
    </row>
    <row r="7" spans="1:50" s="79" customFormat="1" ht="13.5" customHeight="1" thickBot="1">
      <c r="B7" s="147" t="s">
        <v>71</v>
      </c>
      <c r="C7" s="552">
        <f ca="1">GetCDSRefDate(Parameter_Date,C6)</f>
        <v>45555</v>
      </c>
      <c r="D7" s="553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536" t="s">
        <v>76</v>
      </c>
      <c r="F9" s="537"/>
      <c r="G9" s="537"/>
      <c r="H9" s="537"/>
      <c r="I9" s="537"/>
      <c r="J9" s="537"/>
      <c r="K9" s="537"/>
      <c r="L9" s="537"/>
      <c r="M9" s="538"/>
      <c r="N9" s="547" t="s">
        <v>77</v>
      </c>
      <c r="O9" s="548"/>
      <c r="P9" s="548"/>
      <c r="Q9" s="548"/>
      <c r="R9" s="548"/>
      <c r="S9" s="548"/>
      <c r="T9" s="548"/>
      <c r="U9" s="548"/>
      <c r="V9" s="549"/>
      <c r="W9" s="547" t="s">
        <v>78</v>
      </c>
      <c r="X9" s="548"/>
      <c r="Y9" s="548"/>
      <c r="Z9" s="548"/>
      <c r="AA9" s="548"/>
      <c r="AB9" s="548"/>
      <c r="AC9" s="548"/>
      <c r="AD9" s="548"/>
      <c r="AE9" s="549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45646</v>
      </c>
      <c r="F11" s="152" cm="1">
        <f t="array" aca="1" ref="F11" ca="1">IF(F10="","",GetConvertDate(CDSRollDate,F10))</f>
        <v>45736</v>
      </c>
      <c r="G11" s="152" cm="1">
        <f t="array" aca="1" ref="G11" ca="1">IF(G10="","",GetConvertDate(CDSRollDate,G10))</f>
        <v>45920</v>
      </c>
      <c r="H11" s="152" cm="1">
        <f t="array" aca="1" ref="H11" ca="1">IF(H10="","",GetConvertDate(CDSRollDate,H10))</f>
        <v>46285</v>
      </c>
      <c r="I11" s="152" cm="1">
        <f t="array" aca="1" ref="I11" ca="1">IF(I10="","",GetConvertDate(CDSRollDate,I10))</f>
        <v>46650</v>
      </c>
      <c r="J11" s="152" cm="1">
        <f t="array" aca="1" ref="J11" ca="1">IF(J10="","",GetConvertDate(CDSRollDate,J10))</f>
        <v>47016</v>
      </c>
      <c r="K11" s="152" cm="1">
        <f t="array" aca="1" ref="K11" ca="1">IF(K10="","",GetConvertDate(CDSRollDate,K10))</f>
        <v>47381</v>
      </c>
      <c r="L11" s="152" cm="1">
        <f t="array" aca="1" ref="L11" ca="1">IF(L10="","",GetConvertDate(CDSRollDate,L10))</f>
        <v>48111</v>
      </c>
      <c r="M11" s="475" cm="1">
        <f t="array" aca="1" ref="M11" ca="1">IF(M10="","",GetConvertDate(CDSRollDate,M10))</f>
        <v>49207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0">
        <f ca="1"/>
        <v>1.6246788109022248E-3</v>
      </c>
      <c r="P12" s="133">
        <f ca="1"/>
        <v>4.1525772948489692E-3</v>
      </c>
      <c r="Q12" s="133">
        <f ca="1"/>
        <v>9.7864616105609592E-3</v>
      </c>
      <c r="R12" s="133">
        <f ca="1"/>
        <v>1.7260050077983369E-2</v>
      </c>
      <c r="S12" s="133">
        <f ca="1"/>
        <v>0</v>
      </c>
      <c r="T12" s="133">
        <f ca="1"/>
        <v>3.5424881550359277E-2</v>
      </c>
      <c r="U12" s="133">
        <f ca="1"/>
        <v>5.3609679070291794E-2</v>
      </c>
      <c r="V12" s="134">
        <f ca="1"/>
        <v>8.2182733400670283E-2</v>
      </c>
      <c r="W12" s="132">
        <f ca="1"/>
        <v>0</v>
      </c>
      <c r="X12" s="133">
        <f ca="1"/>
        <v>1.7467206752052045E-3</v>
      </c>
      <c r="Y12" s="133">
        <f ca="1"/>
        <v>4.3585961529920558E-3</v>
      </c>
      <c r="Z12" s="133">
        <f ca="1"/>
        <v>1.015757786785898E-2</v>
      </c>
      <c r="AA12" s="133">
        <f ca="1"/>
        <v>1.7793756405287131E-2</v>
      </c>
      <c r="AB12" s="133">
        <f ca="1"/>
        <v>0</v>
      </c>
      <c r="AC12" s="133">
        <f ca="1"/>
        <v>3.6272459410053637E-2</v>
      </c>
      <c r="AD12" s="133">
        <f ca="1"/>
        <v>5.4761321554734121E-2</v>
      </c>
      <c r="AE12" s="134">
        <f ca="1"/>
        <v>8.3758510315028678E-2</v>
      </c>
      <c r="AG12" s="463" t="s">
        <v>510</v>
      </c>
      <c r="AH12" s="467">
        <v>8.7500000000000008E-3</v>
      </c>
      <c r="AI12" s="466">
        <v>2026</v>
      </c>
      <c r="AJ12" s="468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9.7756569606266552E-4</v>
      </c>
      <c r="P13" s="162">
        <f ca="1"/>
        <v>2.2831786556108957E-3</v>
      </c>
      <c r="Q13" s="162">
        <f ca="1"/>
        <v>6.0419968193438089E-3</v>
      </c>
      <c r="R13" s="162">
        <f ca="1"/>
        <v>1.2672626056902558E-2</v>
      </c>
      <c r="S13" s="162">
        <f ca="1"/>
        <v>0</v>
      </c>
      <c r="T13" s="162">
        <f ca="1"/>
        <v>3.2369271803996513E-2</v>
      </c>
      <c r="U13" s="162">
        <f ca="1"/>
        <v>5.3329660753493102E-2</v>
      </c>
      <c r="V13" s="138">
        <f ca="1"/>
        <v>9.3163102570299916E-2</v>
      </c>
      <c r="W13" s="137">
        <f ca="1"/>
        <v>0</v>
      </c>
      <c r="X13" s="162">
        <f ca="1"/>
        <v>1.0996914127785473E-3</v>
      </c>
      <c r="Y13" s="162">
        <f ca="1"/>
        <v>2.4895452751776403E-3</v>
      </c>
      <c r="Z13" s="162">
        <f ca="1"/>
        <v>6.4144979565495808E-3</v>
      </c>
      <c r="AA13" s="162">
        <f ca="1"/>
        <v>1.3208937321568581E-2</v>
      </c>
      <c r="AB13" s="162">
        <f ca="1"/>
        <v>0</v>
      </c>
      <c r="AC13" s="162">
        <f ca="1"/>
        <v>3.322038463499366E-2</v>
      </c>
      <c r="AD13" s="162">
        <f ca="1"/>
        <v>5.4483890472430407E-2</v>
      </c>
      <c r="AE13" s="138">
        <f ca="1"/>
        <v>9.4719489688891878E-2</v>
      </c>
      <c r="AG13" s="464" t="s">
        <v>511</v>
      </c>
      <c r="AH13" s="467">
        <v>1.6250000000000001E-2</v>
      </c>
      <c r="AI13" s="466">
        <v>2025</v>
      </c>
      <c r="AJ13" s="468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7.3326354287817086E-4</v>
      </c>
      <c r="P14" s="162">
        <f ca="1"/>
        <v>2.0803197510151916E-3</v>
      </c>
      <c r="Q14" s="162">
        <f ca="1"/>
        <v>6.8237074229156036E-3</v>
      </c>
      <c r="R14" s="162">
        <f ca="1"/>
        <v>1.4914264337740457E-2</v>
      </c>
      <c r="S14" s="162">
        <f ca="1"/>
        <v>0</v>
      </c>
      <c r="T14" s="162">
        <f ca="1"/>
        <v>3.5883273278047634E-2</v>
      </c>
      <c r="U14" s="162">
        <f ca="1"/>
        <v>6.3365325343751389E-2</v>
      </c>
      <c r="V14" s="138">
        <f ca="1"/>
        <v>0.10843926496192435</v>
      </c>
      <c r="W14" s="137">
        <f ca="1"/>
        <v>0</v>
      </c>
      <c r="X14" s="162">
        <f ca="1"/>
        <v>8.5542027225893325E-4</v>
      </c>
      <c r="Y14" s="162">
        <f ca="1"/>
        <v>2.2867411550059336E-3</v>
      </c>
      <c r="Z14" s="162">
        <f ca="1"/>
        <v>7.1960186841982798E-3</v>
      </c>
      <c r="AA14" s="162">
        <f ca="1"/>
        <v>1.5449626957040774E-2</v>
      </c>
      <c r="AB14" s="162">
        <f ca="1"/>
        <v>0</v>
      </c>
      <c r="AC14" s="162">
        <f ca="1"/>
        <v>3.6731160568407528E-2</v>
      </c>
      <c r="AD14" s="162">
        <f ca="1"/>
        <v>6.450721304780338E-2</v>
      </c>
      <c r="AE14" s="138">
        <f ca="1"/>
        <v>0.10999746338400884</v>
      </c>
      <c r="AG14" s="465" t="s">
        <v>512</v>
      </c>
      <c r="AH14" s="467">
        <v>1.6250000000000001E-2</v>
      </c>
      <c r="AI14" s="466">
        <v>2026</v>
      </c>
      <c r="AJ14" s="468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1.5392349663463367E-3</v>
      </c>
      <c r="P15" s="162">
        <f ca="1"/>
        <v>3.6727042760403839E-3</v>
      </c>
      <c r="Q15" s="162">
        <f ca="1"/>
        <v>9.0409834273771361E-3</v>
      </c>
      <c r="R15" s="162">
        <f ca="1"/>
        <v>1.5906335489238255E-2</v>
      </c>
      <c r="S15" s="162">
        <f ca="1"/>
        <v>0</v>
      </c>
      <c r="T15" s="162">
        <f ca="1"/>
        <v>3.3740553888511049E-2</v>
      </c>
      <c r="U15" s="162">
        <f ca="1"/>
        <v>5.2113590961061607E-2</v>
      </c>
      <c r="V15" s="138">
        <f ca="1"/>
        <v>7.8905713804145128E-2</v>
      </c>
      <c r="W15" s="137">
        <f ca="1"/>
        <v>0</v>
      </c>
      <c r="X15" s="162">
        <f ca="1"/>
        <v>1.6612880474534686E-3</v>
      </c>
      <c r="Y15" s="162">
        <f ca="1"/>
        <v>3.8788052375936521E-3</v>
      </c>
      <c r="Z15" s="162">
        <f ca="1"/>
        <v>9.4123826443155423E-3</v>
      </c>
      <c r="AA15" s="162">
        <f ca="1"/>
        <v>1.6440749331901872E-2</v>
      </c>
      <c r="AB15" s="162">
        <f ca="1"/>
        <v>0</v>
      </c>
      <c r="AC15" s="162">
        <f ca="1"/>
        <v>3.4589803102440309E-2</v>
      </c>
      <c r="AD15" s="162">
        <f ca="1"/>
        <v>5.3267439836537145E-2</v>
      </c>
      <c r="AE15" s="138">
        <f ca="1"/>
        <v>8.0488289218559661E-2</v>
      </c>
      <c r="AG15" s="465" t="s">
        <v>513</v>
      </c>
      <c r="AH15" s="467">
        <v>1.7500000000000002E-2</v>
      </c>
      <c r="AI15" s="466">
        <v>2025</v>
      </c>
      <c r="AJ15" s="468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6.110901553602055E-4</v>
      </c>
      <c r="P16" s="162">
        <f ca="1"/>
        <v>1.2436805199068646E-3</v>
      </c>
      <c r="Q16" s="162">
        <f ca="1"/>
        <v>4.1699892845995512E-3</v>
      </c>
      <c r="R16" s="162">
        <f ca="1"/>
        <v>8.2769680005947421E-3</v>
      </c>
      <c r="S16" s="162">
        <f ca="1"/>
        <v>0</v>
      </c>
      <c r="T16" s="162">
        <f ca="1"/>
        <v>2.2611811281615046E-2</v>
      </c>
      <c r="U16" s="162">
        <f ca="1"/>
        <v>4.0185842238634417E-2</v>
      </c>
      <c r="V16" s="138">
        <f ca="1"/>
        <v>6.9376756454990973E-2</v>
      </c>
      <c r="W16" s="137">
        <f ca="1"/>
        <v>0</v>
      </c>
      <c r="X16" s="162">
        <f ca="1"/>
        <v>7.3326226528613869E-4</v>
      </c>
      <c r="Y16" s="162">
        <f ca="1"/>
        <v>1.4502386101516995E-3</v>
      </c>
      <c r="Z16" s="162">
        <f ca="1"/>
        <v>4.5431872899949211E-3</v>
      </c>
      <c r="AA16" s="162">
        <f ca="1"/>
        <v>8.8154155332365036E-3</v>
      </c>
      <c r="AB16" s="162">
        <f ca="1"/>
        <v>0</v>
      </c>
      <c r="AC16" s="162">
        <f ca="1"/>
        <v>2.3471943634492676E-2</v>
      </c>
      <c r="AD16" s="162">
        <f ca="1"/>
        <v>4.1356046784424727E-2</v>
      </c>
      <c r="AE16" s="138">
        <f ca="1"/>
        <v>7.0980363522952894E-2</v>
      </c>
      <c r="AG16" s="465" t="s">
        <v>514</v>
      </c>
      <c r="AH16" s="467">
        <v>1.2500000000000001E-2</v>
      </c>
      <c r="AI16" s="466">
        <v>2028</v>
      </c>
      <c r="AJ16" s="468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1.5026139473457434E-3</v>
      </c>
      <c r="P17" s="162">
        <f ca="1"/>
        <v>3.296159127911813E-3</v>
      </c>
      <c r="Q17" s="162">
        <f ca="1"/>
        <v>8.3280612148460831E-3</v>
      </c>
      <c r="R17" s="162">
        <f ca="1"/>
        <v>1.3752614334376023E-2</v>
      </c>
      <c r="S17" s="162">
        <f ca="1"/>
        <v>0</v>
      </c>
      <c r="T17" s="162">
        <f ca="1"/>
        <v>2.8394089303952152E-2</v>
      </c>
      <c r="U17" s="162">
        <f ca="1"/>
        <v>4.4523984455867582E-2</v>
      </c>
      <c r="V17" s="138">
        <f ca="1"/>
        <v>7.10939652744349E-2</v>
      </c>
      <c r="W17" s="137">
        <f ca="1"/>
        <v>0</v>
      </c>
      <c r="X17" s="162">
        <f ca="1"/>
        <v>1.62467182224868E-3</v>
      </c>
      <c r="Y17" s="162">
        <f ca="1"/>
        <v>3.5023210852225262E-3</v>
      </c>
      <c r="Z17" s="162">
        <f ca="1"/>
        <v>8.6997182489121361E-3</v>
      </c>
      <c r="AA17" s="162">
        <f ca="1"/>
        <v>1.4288025681581273E-2</v>
      </c>
      <c r="AB17" s="162">
        <f ca="1"/>
        <v>0</v>
      </c>
      <c r="AC17" s="162">
        <f ca="1"/>
        <v>2.924814959020694E-2</v>
      </c>
      <c r="AD17" s="162">
        <f ca="1"/>
        <v>4.5686732729199542E-2</v>
      </c>
      <c r="AE17" s="138">
        <f ca="1"/>
        <v>7.2690940685801619E-2</v>
      </c>
      <c r="AG17" s="465" t="s">
        <v>515</v>
      </c>
      <c r="AH17" s="467">
        <v>3.4000000000000002E-2</v>
      </c>
      <c r="AI17" s="466">
        <v>2030</v>
      </c>
      <c r="AJ17" s="468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6.110901553602055E-4</v>
      </c>
      <c r="P18" s="162">
        <f ca="1"/>
        <v>2.9237833713681161E-3</v>
      </c>
      <c r="Q18" s="162">
        <f ca="1"/>
        <v>9.0971332777772806E-3</v>
      </c>
      <c r="R18" s="162">
        <f ca="1"/>
        <v>1.9294830723947776E-2</v>
      </c>
      <c r="S18" s="162">
        <f ca="1"/>
        <v>0</v>
      </c>
      <c r="T18" s="162">
        <f ca="1"/>
        <v>5.1070831930811189E-2</v>
      </c>
      <c r="U18" s="162">
        <f ca="1"/>
        <v>8.6145285610346845E-2</v>
      </c>
      <c r="V18" s="138">
        <f ca="1"/>
        <v>0.14632147014961849</v>
      </c>
      <c r="W18" s="137">
        <f ca="1"/>
        <v>0</v>
      </c>
      <c r="X18" s="162">
        <f ca="1"/>
        <v>7.3326226528613869E-4</v>
      </c>
      <c r="Y18" s="162">
        <f ca="1"/>
        <v>3.1300885795445543E-3</v>
      </c>
      <c r="Z18" s="162">
        <f ca="1"/>
        <v>9.4686765201766887E-3</v>
      </c>
      <c r="AA18" s="162">
        <f ca="1"/>
        <v>1.9828018207880493E-2</v>
      </c>
      <c r="AB18" s="162">
        <f ca="1"/>
        <v>0</v>
      </c>
      <c r="AC18" s="162">
        <f ca="1"/>
        <v>5.1902719234969918E-2</v>
      </c>
      <c r="AD18" s="162">
        <f ca="1"/>
        <v>8.7258714174954788E-2</v>
      </c>
      <c r="AE18" s="138">
        <f ca="1"/>
        <v>0.14782468238098523</v>
      </c>
      <c r="AG18" s="465" t="s">
        <v>516</v>
      </c>
      <c r="AH18" s="467">
        <v>1.375E-2</v>
      </c>
      <c r="AI18" s="466">
        <v>2027</v>
      </c>
      <c r="AJ18" s="468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1.5880609117143729E-3</v>
      </c>
      <c r="P19" s="162">
        <f ca="1"/>
        <v>2.8949554566588542E-3</v>
      </c>
      <c r="Q19" s="162">
        <f ca="1"/>
        <v>9.8331090888021944E-3</v>
      </c>
      <c r="R19" s="162">
        <f ca="1"/>
        <v>1.8097535581372837E-2</v>
      </c>
      <c r="S19" s="162">
        <f ca="1"/>
        <v>0</v>
      </c>
      <c r="T19" s="162">
        <f ca="1"/>
        <v>4.6487521080502359E-2</v>
      </c>
      <c r="U19" s="162">
        <f ca="1"/>
        <v>8.1442397073253514E-2</v>
      </c>
      <c r="V19" s="138">
        <f ca="1"/>
        <v>0.13630250291566681</v>
      </c>
      <c r="W19" s="137">
        <f ca="1"/>
        <v>0</v>
      </c>
      <c r="X19" s="162">
        <f ca="1"/>
        <v>1.710107588628107E-3</v>
      </c>
      <c r="Y19" s="162">
        <f ca="1"/>
        <v>3.1011695113527527E-3</v>
      </c>
      <c r="Z19" s="162">
        <f ca="1"/>
        <v>1.0204313788592101E-2</v>
      </c>
      <c r="AA19" s="162">
        <f ca="1"/>
        <v>1.863106123888103E-2</v>
      </c>
      <c r="AB19" s="162">
        <f ca="1"/>
        <v>0</v>
      </c>
      <c r="AC19" s="162">
        <f ca="1"/>
        <v>4.732415772920251E-2</v>
      </c>
      <c r="AD19" s="162">
        <f ca="1"/>
        <v>8.2560999640046706E-2</v>
      </c>
      <c r="AE19" s="138">
        <f ca="1"/>
        <v>0.13781957365233832</v>
      </c>
      <c r="AG19" s="465" t="s">
        <v>517</v>
      </c>
      <c r="AH19" s="467">
        <v>3.85E-2</v>
      </c>
      <c r="AI19" s="466">
        <v>2027</v>
      </c>
      <c r="AJ19" s="468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3.6669874493666654E-4</v>
      </c>
      <c r="P20" s="162">
        <f ca="1"/>
        <v>1.2506883231890864E-3</v>
      </c>
      <c r="Q20" s="162">
        <f ca="1"/>
        <v>4.1771153785520321E-3</v>
      </c>
      <c r="R20" s="162">
        <f ca="1"/>
        <v>8.8514912637397414E-3</v>
      </c>
      <c r="S20" s="162">
        <f ca="1"/>
        <v>0</v>
      </c>
      <c r="T20" s="162">
        <f ca="1"/>
        <v>2.0711398372143197E-2</v>
      </c>
      <c r="U20" s="162">
        <f ca="1"/>
        <v>3.4971505008483228E-2</v>
      </c>
      <c r="V20" s="138">
        <f ca="1"/>
        <v>6.6329037718155348E-2</v>
      </c>
      <c r="W20" s="137">
        <f ca="1"/>
        <v>0</v>
      </c>
      <c r="X20" s="162">
        <f ca="1"/>
        <v>4.8890136868151579E-4</v>
      </c>
      <c r="Y20" s="162">
        <f ca="1"/>
        <v>1.4572703110591334E-3</v>
      </c>
      <c r="Z20" s="162">
        <f ca="1"/>
        <v>4.5503367082891932E-3</v>
      </c>
      <c r="AA20" s="162">
        <f ca="1"/>
        <v>9.3897438060930316E-3</v>
      </c>
      <c r="AB20" s="162">
        <f ca="1"/>
        <v>0</v>
      </c>
      <c r="AC20" s="162">
        <f ca="1"/>
        <v>2.157306127561609E-2</v>
      </c>
      <c r="AD20" s="162">
        <f ca="1"/>
        <v>3.6147000026163112E-2</v>
      </c>
      <c r="AE20" s="138">
        <f ca="1"/>
        <v>6.793678535174652E-2</v>
      </c>
      <c r="AG20" s="465" t="s">
        <v>518</v>
      </c>
      <c r="AH20" s="467">
        <v>1.6250000000000001E-2</v>
      </c>
      <c r="AI20" s="466">
        <v>2025</v>
      </c>
      <c r="AJ20" s="468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1.4537838419134141E-3</v>
      </c>
      <c r="P21" s="162">
        <f ca="1"/>
        <v>2.9618735399699059E-3</v>
      </c>
      <c r="Q21" s="162">
        <f ca="1"/>
        <v>7.1920641468687929E-3</v>
      </c>
      <c r="R21" s="162">
        <f ca="1"/>
        <v>1.2690047162676521E-2</v>
      </c>
      <c r="S21" s="162">
        <f ca="1"/>
        <v>0</v>
      </c>
      <c r="T21" s="162">
        <f ca="1"/>
        <v>2.7618990255089848E-2</v>
      </c>
      <c r="U21" s="162">
        <f ca="1"/>
        <v>4.3172023823414452E-2</v>
      </c>
      <c r="V21" s="138">
        <f ca="1"/>
        <v>6.7637062312365881E-2</v>
      </c>
      <c r="W21" s="137">
        <f ca="1"/>
        <v>0</v>
      </c>
      <c r="X21" s="162">
        <f ca="1"/>
        <v>1.575848096086796E-3</v>
      </c>
      <c r="Y21" s="162">
        <f ca="1"/>
        <v>3.168090864520523E-3</v>
      </c>
      <c r="Z21" s="162">
        <f ca="1"/>
        <v>7.5641035923451616E-3</v>
      </c>
      <c r="AA21" s="162">
        <f ca="1"/>
        <v>1.322606889568001E-2</v>
      </c>
      <c r="AB21" s="162">
        <f ca="1"/>
        <v>0</v>
      </c>
      <c r="AC21" s="162">
        <f ca="1"/>
        <v>2.8473972677097614E-2</v>
      </c>
      <c r="AD21" s="162">
        <f ca="1"/>
        <v>4.4336765321871918E-2</v>
      </c>
      <c r="AE21" s="138">
        <f ca="1"/>
        <v>6.9240667294995006E-2</v>
      </c>
      <c r="AG21" s="465" t="s">
        <v>519</v>
      </c>
      <c r="AH21" s="467">
        <v>3.7499999999999999E-3</v>
      </c>
      <c r="AI21" s="466">
        <v>2025</v>
      </c>
      <c r="AJ21" s="468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1.5270281085814075E-3</v>
      </c>
      <c r="P22" s="162">
        <f ca="1"/>
        <v>3.3793577800650398E-3</v>
      </c>
      <c r="Q22" s="162">
        <f ca="1"/>
        <v>8.5158179133274503E-3</v>
      </c>
      <c r="R22" s="162">
        <f ca="1"/>
        <v>1.4417914334489579E-2</v>
      </c>
      <c r="S22" s="162">
        <f ca="1"/>
        <v>0</v>
      </c>
      <c r="T22" s="162">
        <f ca="1"/>
        <v>3.018628705861659E-2</v>
      </c>
      <c r="U22" s="162">
        <f ca="1"/>
        <v>4.7200402936074193E-2</v>
      </c>
      <c r="V22" s="138">
        <f ca="1"/>
        <v>7.4348381086805415E-2</v>
      </c>
      <c r="W22" s="137">
        <f ca="1"/>
        <v>0</v>
      </c>
      <c r="X22" s="162">
        <f ca="1"/>
        <v>1.6490827885333736E-3</v>
      </c>
      <c r="Y22" s="162">
        <f ca="1"/>
        <v>3.5855047107083982E-3</v>
      </c>
      <c r="Z22" s="162">
        <f ca="1"/>
        <v>8.887406985968016E-3</v>
      </c>
      <c r="AA22" s="162">
        <f ca="1"/>
        <v>1.4953026437937056E-2</v>
      </c>
      <c r="AB22" s="162">
        <f ca="1"/>
        <v>0</v>
      </c>
      <c r="AC22" s="162">
        <f ca="1"/>
        <v>3.1038771113983898E-2</v>
      </c>
      <c r="AD22" s="162">
        <f ca="1"/>
        <v>4.8360070163109281E-2</v>
      </c>
      <c r="AE22" s="138">
        <f ca="1"/>
        <v>7.5939439596699021E-2</v>
      </c>
      <c r="AG22" s="465" t="s">
        <v>520</v>
      </c>
      <c r="AH22" s="467">
        <v>0.01</v>
      </c>
      <c r="AI22" s="466">
        <v>2025</v>
      </c>
      <c r="AJ22" s="468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1.2828597496177263E-3</v>
      </c>
      <c r="P23" s="162">
        <f ca="1"/>
        <v>4.2677575527949596E-3</v>
      </c>
      <c r="Q23" s="162">
        <f ca="1"/>
        <v>1.1743888113830869E-2</v>
      </c>
      <c r="R23" s="162">
        <f ca="1"/>
        <v>2.0159133287140918E-2</v>
      </c>
      <c r="S23" s="162">
        <f ca="1"/>
        <v>0</v>
      </c>
      <c r="T23" s="162">
        <f ca="1"/>
        <v>3.9720728199484578E-2</v>
      </c>
      <c r="U23" s="162">
        <f ca="1"/>
        <v>6.1403693640443513E-2</v>
      </c>
      <c r="V23" s="138">
        <f ca="1"/>
        <v>9.4698621522211202E-2</v>
      </c>
      <c r="W23" s="137">
        <f ca="1"/>
        <v>0</v>
      </c>
      <c r="X23" s="162">
        <f ca="1"/>
        <v>1.4049462198163498E-3</v>
      </c>
      <c r="Y23" s="162">
        <f ca="1"/>
        <v>4.473790533315869E-3</v>
      </c>
      <c r="Z23" s="162">
        <f ca="1"/>
        <v>1.2114402145708802E-2</v>
      </c>
      <c r="AA23" s="162">
        <f ca="1"/>
        <v>2.0691455315737017E-2</v>
      </c>
      <c r="AB23" s="162">
        <f ca="1"/>
        <v>0</v>
      </c>
      <c r="AC23" s="162">
        <f ca="1"/>
        <v>4.0564192741139427E-2</v>
      </c>
      <c r="AD23" s="162">
        <f ca="1"/>
        <v>6.2545662459081885E-2</v>
      </c>
      <c r="AE23" s="138">
        <f ca="1"/>
        <v>9.6250733510897413E-2</v>
      </c>
      <c r="AG23" s="465" t="s">
        <v>521</v>
      </c>
      <c r="AH23" s="467">
        <v>3.3750000000000002E-2</v>
      </c>
      <c r="AI23" s="466">
        <v>2027</v>
      </c>
      <c r="AJ23" s="468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1.8809666744558085E-3</v>
      </c>
      <c r="P24" s="162">
        <f ca="1"/>
        <v>4.8996745123963681E-3</v>
      </c>
      <c r="Q24" s="162">
        <f ca="1"/>
        <v>1.15866702946964E-2</v>
      </c>
      <c r="R24" s="162">
        <f ca="1"/>
        <v>1.8374706176970568E-2</v>
      </c>
      <c r="S24" s="162">
        <f ca="1"/>
        <v>0</v>
      </c>
      <c r="T24" s="162">
        <f ca="1"/>
        <v>3.5202166798561585E-2</v>
      </c>
      <c r="U24" s="162">
        <f ca="1"/>
        <v>5.3387470402481485E-2</v>
      </c>
      <c r="V24" s="138">
        <f ca="1"/>
        <v>8.5856870027772536E-2</v>
      </c>
      <c r="W24" s="137">
        <f ca="1"/>
        <v>0</v>
      </c>
      <c r="X24" s="162">
        <f ca="1"/>
        <v>2.0029746227337997E-3</v>
      </c>
      <c r="Y24" s="162">
        <f ca="1"/>
        <v>5.1055528306618303E-3</v>
      </c>
      <c r="Z24" s="162">
        <f ca="1"/>
        <v>1.1957126538332141E-2</v>
      </c>
      <c r="AA24" s="162">
        <f ca="1"/>
        <v>1.8907631194997276E-2</v>
      </c>
      <c r="AB24" s="162">
        <f ca="1"/>
        <v>0</v>
      </c>
      <c r="AC24" s="162">
        <f ca="1"/>
        <v>3.604953713520842E-2</v>
      </c>
      <c r="AD24" s="162">
        <f ca="1"/>
        <v>5.4538551860875417E-2</v>
      </c>
      <c r="AE24" s="138">
        <f ca="1"/>
        <v>8.7424566854228059E-2</v>
      </c>
      <c r="AG24" s="465" t="s">
        <v>522</v>
      </c>
      <c r="AH24" s="467">
        <v>1.2500000000000001E-2</v>
      </c>
      <c r="AI24" s="466">
        <v>2025</v>
      </c>
      <c r="AJ24" s="468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6.110901553602055E-4</v>
      </c>
      <c r="P25" s="162">
        <f ca="1"/>
        <v>1.2436805199068646E-3</v>
      </c>
      <c r="Q25" s="162">
        <f ca="1"/>
        <v>3.0174960223986469E-3</v>
      </c>
      <c r="R25" s="162">
        <f ca="1"/>
        <v>6.627300685347004E-3</v>
      </c>
      <c r="S25" s="162">
        <f ca="1"/>
        <v>0</v>
      </c>
      <c r="T25" s="162">
        <f ca="1"/>
        <v>1.7183181949101289E-2</v>
      </c>
      <c r="U25" s="162">
        <f ca="1"/>
        <v>3.0178453355322765E-2</v>
      </c>
      <c r="V25" s="138">
        <f ca="1"/>
        <v>5.5773234908106484E-2</v>
      </c>
      <c r="W25" s="137">
        <f ca="1"/>
        <v>0</v>
      </c>
      <c r="X25" s="162">
        <f ca="1"/>
        <v>7.3326226528613869E-4</v>
      </c>
      <c r="Y25" s="162">
        <f ca="1"/>
        <v>1.4502386101516995E-3</v>
      </c>
      <c r="Z25" s="162">
        <f ca="1"/>
        <v>3.391023579843444E-3</v>
      </c>
      <c r="AA25" s="162">
        <f ca="1"/>
        <v>7.1665355301036016E-3</v>
      </c>
      <c r="AB25" s="162">
        <f ca="1"/>
        <v>0</v>
      </c>
      <c r="AC25" s="162">
        <f ca="1"/>
        <v>1.8047934132173316E-2</v>
      </c>
      <c r="AD25" s="162">
        <f ca="1"/>
        <v>3.135980953281492E-2</v>
      </c>
      <c r="AE25" s="138">
        <f ca="1"/>
        <v>5.7400965040044327E-2</v>
      </c>
      <c r="AG25" s="465" t="s">
        <v>523</v>
      </c>
      <c r="AH25" s="467">
        <v>0.01</v>
      </c>
      <c r="AI25" s="466">
        <v>2027</v>
      </c>
      <c r="AJ25" s="468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3.6669874493666654E-4</v>
      </c>
      <c r="P26" s="162">
        <f ca="1"/>
        <v>1.8809359262729197E-3</v>
      </c>
      <c r="Q26" s="162">
        <f ca="1"/>
        <v>5.6910499236345613E-3</v>
      </c>
      <c r="R26" s="162">
        <f ca="1"/>
        <v>1.1025162469097571E-2</v>
      </c>
      <c r="S26" s="162">
        <f ca="1"/>
        <v>0</v>
      </c>
      <c r="T26" s="162">
        <f ca="1"/>
        <v>2.9763801033032888E-2</v>
      </c>
      <c r="U26" s="162">
        <f ca="1"/>
        <v>5.1144074485543145E-2</v>
      </c>
      <c r="V26" s="138">
        <f ca="1"/>
        <v>9.2057934318233836E-2</v>
      </c>
      <c r="W26" s="137">
        <f ca="1"/>
        <v>0</v>
      </c>
      <c r="X26" s="162">
        <f ca="1"/>
        <v>4.8890136868151579E-4</v>
      </c>
      <c r="Y26" s="162">
        <f ca="1"/>
        <v>2.0874237491346204E-3</v>
      </c>
      <c r="Z26" s="162">
        <f ca="1"/>
        <v>6.0637610000664477E-3</v>
      </c>
      <c r="AA26" s="162">
        <f ca="1"/>
        <v>1.1562289271324633E-2</v>
      </c>
      <c r="AB26" s="162">
        <f ca="1"/>
        <v>0</v>
      </c>
      <c r="AC26" s="162">
        <f ca="1"/>
        <v>3.0617406330445629E-2</v>
      </c>
      <c r="AD26" s="162">
        <f ca="1"/>
        <v>5.2301295018256311E-2</v>
      </c>
      <c r="AE26" s="138">
        <f ca="1"/>
        <v>9.3641583089862812E-2</v>
      </c>
      <c r="AG26" s="465" t="s">
        <v>524</v>
      </c>
      <c r="AH26" s="467">
        <v>8.7500000000000008E-3</v>
      </c>
      <c r="AI26" s="466">
        <v>2026</v>
      </c>
      <c r="AJ26" s="468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7.3326354287817086E-4</v>
      </c>
      <c r="P27" s="162">
        <f ca="1"/>
        <v>1.2401771315383447E-3</v>
      </c>
      <c r="Q27" s="162">
        <f ca="1"/>
        <v>4.1664266667346128E-3</v>
      </c>
      <c r="R27" s="162">
        <f ca="1"/>
        <v>8.2733616662352683E-3</v>
      </c>
      <c r="S27" s="162">
        <f ca="1"/>
        <v>0</v>
      </c>
      <c r="T27" s="162">
        <f ca="1"/>
        <v>2.2608101733447961E-2</v>
      </c>
      <c r="U27" s="162">
        <f ca="1"/>
        <v>4.1523816971744898E-2</v>
      </c>
      <c r="V27" s="138">
        <f ca="1"/>
        <v>7.7064530952152266E-2</v>
      </c>
      <c r="W27" s="137">
        <f ca="1"/>
        <v>0</v>
      </c>
      <c r="X27" s="162">
        <f ca="1"/>
        <v>8.5542027225893325E-4</v>
      </c>
      <c r="Y27" s="162">
        <f ca="1"/>
        <v>1.4467231902479671E-3</v>
      </c>
      <c r="Z27" s="162">
        <f ca="1"/>
        <v>4.5396130185579864E-3</v>
      </c>
      <c r="AA27" s="162">
        <f ca="1"/>
        <v>8.8117981918673927E-3</v>
      </c>
      <c r="AB27" s="162">
        <f ca="1"/>
        <v>0</v>
      </c>
      <c r="AC27" s="162">
        <f ca="1"/>
        <v>2.3468224483687572E-2</v>
      </c>
      <c r="AD27" s="162">
        <f ca="1"/>
        <v>4.2692583418412311E-2</v>
      </c>
      <c r="AE27" s="138">
        <f ca="1"/>
        <v>7.8653502753426641E-2</v>
      </c>
      <c r="AG27" s="465" t="s">
        <v>525</v>
      </c>
      <c r="AH27" s="467">
        <v>5.0000000000000001E-3</v>
      </c>
      <c r="AI27" s="466">
        <v>2027</v>
      </c>
      <c r="AJ27" s="468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1.3805342260280185E-3</v>
      </c>
      <c r="P28" s="162">
        <f ca="1"/>
        <v>3.8033231186390681E-3</v>
      </c>
      <c r="Q28" s="162">
        <f ca="1"/>
        <v>9.9216500073258107E-3</v>
      </c>
      <c r="R28" s="162">
        <f ca="1"/>
        <v>1.5807348639406027E-2</v>
      </c>
      <c r="S28" s="162">
        <f ca="1"/>
        <v>0</v>
      </c>
      <c r="T28" s="162">
        <f ca="1"/>
        <v>2.9068699779904006E-2</v>
      </c>
      <c r="U28" s="162">
        <f ca="1"/>
        <v>4.4440167952180976E-2</v>
      </c>
      <c r="V28" s="138">
        <f ca="1"/>
        <v>7.0707462118919318E-2</v>
      </c>
      <c r="W28" s="137">
        <f ca="1"/>
        <v>0</v>
      </c>
      <c r="X28" s="162">
        <f ca="1"/>
        <v>1.5026080225247762E-3</v>
      </c>
      <c r="Y28" s="162">
        <f ca="1"/>
        <v>4.0094191861813622E-3</v>
      </c>
      <c r="Z28" s="162">
        <f ca="1"/>
        <v>1.0292778360043275E-2</v>
      </c>
      <c r="AA28" s="162">
        <f ca="1"/>
        <v>1.6341697881219974E-2</v>
      </c>
      <c r="AB28" s="162">
        <f ca="1"/>
        <v>0</v>
      </c>
      <c r="AC28" s="162">
        <f ca="1"/>
        <v>2.9921806562839937E-2</v>
      </c>
      <c r="AD28" s="162">
        <f ca="1"/>
        <v>4.5602024111710548E-2</v>
      </c>
      <c r="AE28" s="138">
        <f ca="1"/>
        <v>7.2303856284179568E-2</v>
      </c>
      <c r="AG28" s="465" t="s">
        <v>526</v>
      </c>
      <c r="AH28" s="467">
        <v>3.4000000000000002E-2</v>
      </c>
      <c r="AI28" s="466">
        <v>2027</v>
      </c>
      <c r="AJ28" s="468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8.5542205552979755E-4</v>
      </c>
      <c r="P29" s="162">
        <f ca="1"/>
        <v>1.6567555318549587E-3</v>
      </c>
      <c r="Q29" s="162">
        <f ca="1"/>
        <v>5.3001450529169825E-3</v>
      </c>
      <c r="R29" s="162">
        <f ca="1"/>
        <v>1.0469365357402616E-2</v>
      </c>
      <c r="S29" s="162">
        <f ca="1"/>
        <v>0</v>
      </c>
      <c r="T29" s="162">
        <f ca="1"/>
        <v>2.7957270742504203E-2</v>
      </c>
      <c r="U29" s="162">
        <f ca="1"/>
        <v>4.8725307901392623E-2</v>
      </c>
      <c r="V29" s="138">
        <f ca="1"/>
        <v>9.4643353578385825E-2</v>
      </c>
      <c r="W29" s="137">
        <f ca="1"/>
        <v>0</v>
      </c>
      <c r="X29" s="162">
        <f ca="1"/>
        <v>9.7756332082132857E-4</v>
      </c>
      <c r="Y29" s="162">
        <f ca="1"/>
        <v>1.8632277156690469E-3</v>
      </c>
      <c r="Z29" s="162">
        <f ca="1"/>
        <v>5.6729424597440348E-3</v>
      </c>
      <c r="AA29" s="162">
        <f ca="1"/>
        <v>1.1006735801036727E-2</v>
      </c>
      <c r="AB29" s="162">
        <f ca="1"/>
        <v>0</v>
      </c>
      <c r="AC29" s="162">
        <f ca="1"/>
        <v>2.8812526969591468E-2</v>
      </c>
      <c r="AD29" s="162">
        <f ca="1"/>
        <v>4.9885364451134673E-2</v>
      </c>
      <c r="AE29" s="138">
        <f ca="1"/>
        <v>9.622612282330989E-2</v>
      </c>
      <c r="AG29" s="465" t="s">
        <v>527</v>
      </c>
      <c r="AH29" s="467">
        <v>2.5000000000000001E-2</v>
      </c>
      <c r="AI29" s="466">
        <v>2027</v>
      </c>
      <c r="AJ29" s="468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6.110901553602055E-4</v>
      </c>
      <c r="P30" s="162">
        <f ca="1"/>
        <v>1.6638126430698064E-3</v>
      </c>
      <c r="Q30" s="162">
        <f ca="1"/>
        <v>4.5395668971538461E-3</v>
      </c>
      <c r="R30" s="162">
        <f ca="1"/>
        <v>8.8117831727324569E-3</v>
      </c>
      <c r="S30" s="162">
        <f ca="1"/>
        <v>0</v>
      </c>
      <c r="T30" s="162">
        <f ca="1"/>
        <v>2.3469840772248562E-2</v>
      </c>
      <c r="U30" s="162">
        <f ca="1"/>
        <v>4.0013550061553271E-2</v>
      </c>
      <c r="V30" s="138">
        <f ca="1"/>
        <v>6.3285545860678472E-2</v>
      </c>
      <c r="W30" s="137">
        <f ca="1"/>
        <v>0</v>
      </c>
      <c r="X30" s="162">
        <f ca="1"/>
        <v>7.3326226528613869E-4</v>
      </c>
      <c r="Y30" s="162">
        <f ca="1"/>
        <v>1.8703085362642424E-3</v>
      </c>
      <c r="Z30" s="162">
        <f ca="1"/>
        <v>4.9126126485451449E-3</v>
      </c>
      <c r="AA30" s="162">
        <f ca="1"/>
        <v>9.349920322513694E-3</v>
      </c>
      <c r="AB30" s="162">
        <f ca="1"/>
        <v>0</v>
      </c>
      <c r="AC30" s="162">
        <f ca="1"/>
        <v>2.4329122129839953E-2</v>
      </c>
      <c r="AD30" s="162">
        <f ca="1"/>
        <v>4.118362439093548E-2</v>
      </c>
      <c r="AE30" s="138">
        <f ca="1"/>
        <v>6.4899413678256912E-2</v>
      </c>
      <c r="AG30" s="465" t="s">
        <v>528</v>
      </c>
      <c r="AH30" s="467">
        <v>1.375E-2</v>
      </c>
      <c r="AI30" s="466">
        <v>2026</v>
      </c>
      <c r="AJ30" s="468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7.8212873276040096E-4</v>
      </c>
      <c r="P31" s="162">
        <f ca="1"/>
        <v>2.4568607111474794E-3</v>
      </c>
      <c r="Q31" s="162">
        <f ca="1"/>
        <v>6.2720621893112005E-3</v>
      </c>
      <c r="R31" s="162">
        <f ca="1"/>
        <v>1.1585930559574797E-2</v>
      </c>
      <c r="S31" s="162">
        <f ca="1"/>
        <v>0</v>
      </c>
      <c r="T31" s="162">
        <f ca="1"/>
        <v>2.6863627205032437E-2</v>
      </c>
      <c r="U31" s="162">
        <f ca="1"/>
        <v>4.464803087967617E-2</v>
      </c>
      <c r="V31" s="138">
        <f ca="1"/>
        <v>6.5773719058609625E-2</v>
      </c>
      <c r="W31" s="137">
        <f ca="1"/>
        <v>0</v>
      </c>
      <c r="X31" s="162">
        <f ca="1"/>
        <v>9.0427928655734124E-4</v>
      </c>
      <c r="Y31" s="162">
        <f ca="1"/>
        <v>2.6632205465709768E-3</v>
      </c>
      <c r="Z31" s="162">
        <f ca="1"/>
        <v>6.6444984306432975E-3</v>
      </c>
      <c r="AA31" s="162">
        <f ca="1"/>
        <v>1.2122642093781222E-2</v>
      </c>
      <c r="AB31" s="162">
        <f ca="1"/>
        <v>0</v>
      </c>
      <c r="AC31" s="162">
        <f ca="1"/>
        <v>2.7719570420316808E-2</v>
      </c>
      <c r="AD31" s="162">
        <f ca="1"/>
        <v>4.5811903102211615E-2</v>
      </c>
      <c r="AE31" s="138">
        <f ca="1"/>
        <v>6.7381802630475218E-2</v>
      </c>
      <c r="AG31" s="465" t="s">
        <v>529</v>
      </c>
      <c r="AH31" s="467">
        <v>0.01</v>
      </c>
      <c r="AI31" s="466">
        <v>2025</v>
      </c>
      <c r="AJ31" s="468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1.343907411974099E-3</v>
      </c>
      <c r="P32" s="162">
        <f ca="1"/>
        <v>3.3218568499966405E-3</v>
      </c>
      <c r="Q32" s="162">
        <f ca="1"/>
        <v>7.910751380445169E-3</v>
      </c>
      <c r="R32" s="162">
        <f ca="1"/>
        <v>1.6489724111470538E-2</v>
      </c>
      <c r="S32" s="162">
        <f ca="1"/>
        <v>0</v>
      </c>
      <c r="T32" s="162">
        <f ca="1"/>
        <v>3.4704093435106609E-2</v>
      </c>
      <c r="U32" s="162">
        <f ca="1"/>
        <v>5.6571670160054155E-2</v>
      </c>
      <c r="V32" s="138">
        <f ca="1"/>
        <v>9.9577080659162265E-2</v>
      </c>
      <c r="W32" s="137">
        <f ca="1"/>
        <v>0</v>
      </c>
      <c r="X32" s="162">
        <f ca="1"/>
        <v>1.46598596771641E-3</v>
      </c>
      <c r="Y32" s="162">
        <f ca="1"/>
        <v>3.5280303506294297E-3</v>
      </c>
      <c r="Z32" s="162">
        <f ca="1"/>
        <v>8.2825508433354011E-3</v>
      </c>
      <c r="AA32" s="162">
        <f ca="1"/>
        <v>1.702408723085691E-2</v>
      </c>
      <c r="AB32" s="162">
        <f ca="1"/>
        <v>0</v>
      </c>
      <c r="AC32" s="162">
        <f ca="1"/>
        <v>3.5552770712242276E-2</v>
      </c>
      <c r="AD32" s="162">
        <f ca="1"/>
        <v>5.7720701780487604E-2</v>
      </c>
      <c r="AE32" s="138">
        <f ca="1"/>
        <v>0.10114649905981832</v>
      </c>
      <c r="AG32" s="465" t="s">
        <v>530</v>
      </c>
      <c r="AH32" s="467">
        <v>1.375E-2</v>
      </c>
      <c r="AI32" s="466">
        <v>2026</v>
      </c>
      <c r="AJ32" s="468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9.5313815757536169E-4</v>
      </c>
      <c r="P33" s="162">
        <f ca="1"/>
        <v>2.8507182978392276E-3</v>
      </c>
      <c r="Q33" s="162">
        <f ca="1"/>
        <v>8.7059461020687623E-3</v>
      </c>
      <c r="R33" s="162">
        <f ca="1"/>
        <v>1.478687749168206E-2</v>
      </c>
      <c r="S33" s="162">
        <f ca="1"/>
        <v>0</v>
      </c>
      <c r="T33" s="162">
        <f ca="1"/>
        <v>2.9263336803475037E-2</v>
      </c>
      <c r="U33" s="162">
        <f ca="1"/>
        <v>4.5302029415152378E-2</v>
      </c>
      <c r="V33" s="138">
        <f ca="1"/>
        <v>6.8845582333846411E-2</v>
      </c>
      <c r="W33" s="137">
        <f ca="1"/>
        <v>0</v>
      </c>
      <c r="X33" s="162">
        <f ca="1"/>
        <v>1.0752669908168366E-3</v>
      </c>
      <c r="Y33" s="162">
        <f ca="1"/>
        <v>3.0570016095249342E-3</v>
      </c>
      <c r="Z33" s="162">
        <f ca="1"/>
        <v>9.0775825127775711E-3</v>
      </c>
      <c r="AA33" s="162">
        <f ca="1"/>
        <v>1.5321952452182486E-2</v>
      </c>
      <c r="AB33" s="162">
        <f ca="1"/>
        <v>0</v>
      </c>
      <c r="AC33" s="162">
        <f ca="1"/>
        <v>3.011670677717726E-2</v>
      </c>
      <c r="AD33" s="162">
        <f ca="1"/>
        <v>4.6463699195631425E-2</v>
      </c>
      <c r="AE33" s="138">
        <f ca="1"/>
        <v>7.0446190913666662E-2</v>
      </c>
      <c r="AG33" s="465" t="s">
        <v>531</v>
      </c>
      <c r="AH33" s="467">
        <v>1.125E-2</v>
      </c>
      <c r="AI33" s="466">
        <v>2026</v>
      </c>
      <c r="AJ33" s="468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6.110901553602055E-4</v>
      </c>
      <c r="P34" s="162">
        <f ca="1"/>
        <v>1.8738520964797223E-3</v>
      </c>
      <c r="Q34" s="162">
        <f ca="1"/>
        <v>6.067529046935749E-3</v>
      </c>
      <c r="R34" s="162">
        <f ca="1"/>
        <v>1.3264836907767807E-2</v>
      </c>
      <c r="S34" s="162">
        <f ca="1"/>
        <v>0</v>
      </c>
      <c r="T34" s="162">
        <f ca="1"/>
        <v>3.2353504530055255E-2</v>
      </c>
      <c r="U34" s="162">
        <f ca="1"/>
        <v>5.73082961201824E-2</v>
      </c>
      <c r="V34" s="138">
        <f ca="1"/>
        <v>0.1022589630045353</v>
      </c>
      <c r="W34" s="137">
        <f ca="1"/>
        <v>0</v>
      </c>
      <c r="X34" s="162">
        <f ca="1"/>
        <v>7.3326226528613869E-4</v>
      </c>
      <c r="Y34" s="162">
        <f ca="1"/>
        <v>2.0803166397749262E-3</v>
      </c>
      <c r="Z34" s="162">
        <f ca="1"/>
        <v>6.440102043253515E-3</v>
      </c>
      <c r="AA34" s="162">
        <f ca="1"/>
        <v>1.3800999953238469E-2</v>
      </c>
      <c r="AB34" s="162">
        <f ca="1"/>
        <v>0</v>
      </c>
      <c r="AC34" s="162">
        <f ca="1"/>
        <v>3.3204765091175537E-2</v>
      </c>
      <c r="AD34" s="162">
        <f ca="1"/>
        <v>5.8457784193121309E-2</v>
      </c>
      <c r="AE34" s="138">
        <f ca="1"/>
        <v>0.10382787421429296</v>
      </c>
      <c r="AG34" s="465" t="s">
        <v>532</v>
      </c>
      <c r="AH34" s="467">
        <v>7.4999999999999997E-3</v>
      </c>
      <c r="AI34" s="466">
        <v>2026</v>
      </c>
      <c r="AJ34" s="468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1.4049513590542739E-3</v>
      </c>
      <c r="P35" s="162">
        <f ca="1"/>
        <v>3.7606346569099003E-3</v>
      </c>
      <c r="Q35" s="162">
        <f ca="1"/>
        <v>1.0572906905478963E-2</v>
      </c>
      <c r="R35" s="162">
        <f ca="1"/>
        <v>1.9161942737698778E-2</v>
      </c>
      <c r="S35" s="162">
        <f ca="1"/>
        <v>0</v>
      </c>
      <c r="T35" s="162">
        <f ca="1"/>
        <v>4.0801769235802254E-2</v>
      </c>
      <c r="U35" s="162">
        <f ca="1"/>
        <v>6.3445064591845846E-2</v>
      </c>
      <c r="V35" s="138">
        <f ca="1"/>
        <v>9.7369117302348096E-2</v>
      </c>
      <c r="W35" s="137">
        <f ca="1"/>
        <v>0</v>
      </c>
      <c r="X35" s="162">
        <f ca="1"/>
        <v>1.5270219783213301E-3</v>
      </c>
      <c r="Y35" s="162">
        <f ca="1"/>
        <v>3.9667349829565213E-3</v>
      </c>
      <c r="Z35" s="162">
        <f ca="1"/>
        <v>1.0943827029371023E-2</v>
      </c>
      <c r="AA35" s="162">
        <f ca="1"/>
        <v>1.9694853413245617E-2</v>
      </c>
      <c r="AB35" s="162">
        <f ca="1"/>
        <v>0</v>
      </c>
      <c r="AC35" s="162">
        <f ca="1"/>
        <v>4.1644356445993402E-2</v>
      </c>
      <c r="AD35" s="162">
        <f ca="1"/>
        <v>6.4585340058571195E-2</v>
      </c>
      <c r="AE35" s="138">
        <f ca="1"/>
        <v>9.8917123647003669E-2</v>
      </c>
      <c r="AG35" s="465" t="s">
        <v>533</v>
      </c>
      <c r="AH35" s="467">
        <v>0.04</v>
      </c>
      <c r="AI35" s="466">
        <v>2026</v>
      </c>
      <c r="AJ35" s="468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6.110901553602055E-4</v>
      </c>
      <c r="P36" s="162">
        <f ca="1"/>
        <v>1.4537554516381723E-3</v>
      </c>
      <c r="Q36" s="162">
        <f ca="1"/>
        <v>4.1627859393597033E-3</v>
      </c>
      <c r="R36" s="162">
        <f ca="1"/>
        <v>8.8369353641674087E-3</v>
      </c>
      <c r="S36" s="162">
        <f ca="1"/>
        <v>0</v>
      </c>
      <c r="T36" s="162">
        <f ca="1"/>
        <v>2.0696569662021158E-2</v>
      </c>
      <c r="U36" s="162">
        <f ca="1"/>
        <v>3.6300515124861543E-2</v>
      </c>
      <c r="V36" s="138">
        <f ca="1"/>
        <v>6.6128950162710032E-2</v>
      </c>
      <c r="W36" s="137">
        <f ca="1"/>
        <v>0</v>
      </c>
      <c r="X36" s="162">
        <f ca="1"/>
        <v>7.3326226528613869E-4</v>
      </c>
      <c r="Y36" s="162">
        <f ca="1"/>
        <v>1.6602825265449317E-3</v>
      </c>
      <c r="Z36" s="162">
        <f ca="1"/>
        <v>4.5359633972557045E-3</v>
      </c>
      <c r="AA36" s="162">
        <f ca="1"/>
        <v>9.3751420219748693E-3</v>
      </c>
      <c r="AB36" s="162">
        <f ca="1"/>
        <v>0</v>
      </c>
      <c r="AC36" s="162">
        <f ca="1"/>
        <v>2.1558192185277436E-2</v>
      </c>
      <c r="AD36" s="162">
        <f ca="1"/>
        <v>3.7474629169330309E-2</v>
      </c>
      <c r="AE36" s="138">
        <f ca="1"/>
        <v>6.7737618869500027E-2</v>
      </c>
      <c r="AG36" s="465" t="s">
        <v>534</v>
      </c>
      <c r="AH36" s="467">
        <v>7.4999999999999997E-3</v>
      </c>
      <c r="AI36" s="466">
        <v>2026</v>
      </c>
      <c r="AJ36" s="468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1.0996944671649578E-3</v>
      </c>
      <c r="P37" s="162">
        <f ca="1"/>
        <v>4.5879300823600255E-3</v>
      </c>
      <c r="Q37" s="162">
        <f ca="1"/>
        <v>1.2464298693177667E-2</v>
      </c>
      <c r="R37" s="162">
        <f ca="1"/>
        <v>2.4677320619703291E-2</v>
      </c>
      <c r="S37" s="162">
        <f ca="1"/>
        <v>0</v>
      </c>
      <c r="T37" s="162">
        <f ca="1"/>
        <v>6.0426007050263242E-2</v>
      </c>
      <c r="U37" s="162">
        <f ca="1"/>
        <v>0.10249133728049997</v>
      </c>
      <c r="V37" s="138">
        <f ca="1"/>
        <v>0.17153500605940319</v>
      </c>
      <c r="W37" s="137">
        <f ca="1"/>
        <v>0</v>
      </c>
      <c r="X37" s="162">
        <f ca="1"/>
        <v>1.2218045500240748E-3</v>
      </c>
      <c r="Y37" s="162">
        <f ca="1"/>
        <v>4.7939293527260451E-3</v>
      </c>
      <c r="Z37" s="162">
        <f ca="1"/>
        <v>1.2834571770645731E-2</v>
      </c>
      <c r="AA37" s="162">
        <f ca="1"/>
        <v>2.5207584927163906E-2</v>
      </c>
      <c r="AB37" s="162">
        <f ca="1"/>
        <v>0</v>
      </c>
      <c r="AC37" s="162">
        <f ca="1"/>
        <v>6.1247232596182255E-2</v>
      </c>
      <c r="AD37" s="162">
        <f ca="1"/>
        <v>0.10358119120916831</v>
      </c>
      <c r="AE37" s="138">
        <f ca="1"/>
        <v>0.17300077052347018</v>
      </c>
      <c r="AG37" s="465" t="s">
        <v>535</v>
      </c>
      <c r="AH37" s="467">
        <v>3.7499999999999999E-2</v>
      </c>
      <c r="AI37" s="466">
        <v>2026</v>
      </c>
      <c r="AJ37" s="468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6.110901553602055E-4</v>
      </c>
      <c r="P38" s="162">
        <f ca="1"/>
        <v>1.2436805199068646E-3</v>
      </c>
      <c r="Q38" s="162">
        <f ca="1"/>
        <v>4.5540256936738022E-3</v>
      </c>
      <c r="R38" s="162">
        <f ca="1"/>
        <v>8.8264143414539253E-3</v>
      </c>
      <c r="S38" s="162">
        <f ca="1"/>
        <v>0</v>
      </c>
      <c r="T38" s="162">
        <f ca="1"/>
        <v>2.0685856947469272E-2</v>
      </c>
      <c r="U38" s="162">
        <f ca="1"/>
        <v>3.3601341700960519E-2</v>
      </c>
      <c r="V38" s="138">
        <f ca="1"/>
        <v>5.8572595194095078E-2</v>
      </c>
      <c r="W38" s="137">
        <f ca="1"/>
        <v>0</v>
      </c>
      <c r="X38" s="162">
        <f ca="1"/>
        <v>7.3326226528613869E-4</v>
      </c>
      <c r="Y38" s="162">
        <f ca="1"/>
        <v>1.4502386101516995E-3</v>
      </c>
      <c r="Z38" s="162">
        <f ca="1"/>
        <v>4.9271115877400629E-3</v>
      </c>
      <c r="AA38" s="162">
        <f ca="1"/>
        <v>9.3645992587537696E-3</v>
      </c>
      <c r="AB38" s="162">
        <f ca="1"/>
        <v>0</v>
      </c>
      <c r="AC38" s="162">
        <f ca="1"/>
        <v>2.1547447323699176E-2</v>
      </c>
      <c r="AD38" s="162">
        <f ca="1"/>
        <v>3.4778086991954504E-2</v>
      </c>
      <c r="AE38" s="138">
        <f ca="1"/>
        <v>6.019406878788125E-2</v>
      </c>
      <c r="AG38" s="465" t="s">
        <v>536</v>
      </c>
      <c r="AH38" s="467">
        <v>3.7499999999999999E-2</v>
      </c>
      <c r="AI38" s="466">
        <v>2032</v>
      </c>
      <c r="AJ38" s="468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1.2218083715535011E-3</v>
      </c>
      <c r="P39" s="162">
        <f ca="1"/>
        <v>2.6958757914686826E-3</v>
      </c>
      <c r="Q39" s="162">
        <f ca="1"/>
        <v>8.7030493926926189E-3</v>
      </c>
      <c r="R39" s="162">
        <f ca="1"/>
        <v>1.8737946273821082E-2</v>
      </c>
      <c r="S39" s="162">
        <f ca="1"/>
        <v>0</v>
      </c>
      <c r="T39" s="162">
        <f ca="1"/>
        <v>4.5600862417704557E-2</v>
      </c>
      <c r="U39" s="162">
        <f ca="1"/>
        <v>8.0268616167680884E-2</v>
      </c>
      <c r="V39" s="138">
        <f ca="1"/>
        <v>0.13093506307720049</v>
      </c>
      <c r="W39" s="137">
        <f ca="1"/>
        <v>0</v>
      </c>
      <c r="X39" s="162">
        <f ca="1"/>
        <v>1.3439027343919996E-3</v>
      </c>
      <c r="Y39" s="162">
        <f ca="1"/>
        <v>2.902156138712364E-3</v>
      </c>
      <c r="Z39" s="162">
        <f ca="1"/>
        <v>9.0746707716758968E-3</v>
      </c>
      <c r="AA39" s="162">
        <f ca="1"/>
        <v>1.9271373117269675E-2</v>
      </c>
      <c r="AB39" s="162">
        <f ca="1"/>
        <v>0</v>
      </c>
      <c r="AC39" s="162">
        <f ca="1"/>
        <v>4.6438903644849594E-2</v>
      </c>
      <c r="AD39" s="162">
        <f ca="1"/>
        <v>8.138866159652236E-2</v>
      </c>
      <c r="AE39" s="138">
        <f ca="1"/>
        <v>0.13245852801565561</v>
      </c>
      <c r="AG39" s="465" t="s">
        <v>537</v>
      </c>
      <c r="AH39" s="467">
        <v>2.375E-2</v>
      </c>
      <c r="AI39" s="466">
        <v>2025</v>
      </c>
      <c r="AJ39" s="468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2.3323621637519887E-3</v>
      </c>
      <c r="P40" s="162">
        <f ca="1"/>
        <v>4.5086061243130304E-3</v>
      </c>
      <c r="Q40" s="162">
        <f ca="1"/>
        <v>1.0936639771737644E-2</v>
      </c>
      <c r="R40" s="162">
        <f ca="1"/>
        <v>1.8970425871788654E-2</v>
      </c>
      <c r="S40" s="162">
        <f ca="1"/>
        <v>0</v>
      </c>
      <c r="T40" s="162">
        <f ca="1"/>
        <v>3.7961964850583563E-2</v>
      </c>
      <c r="U40" s="162">
        <f ca="1"/>
        <v>5.7719365484130369E-2</v>
      </c>
      <c r="V40" s="138">
        <f ca="1"/>
        <v>8.6829659718580587E-2</v>
      </c>
      <c r="W40" s="137">
        <f ca="1"/>
        <v>0</v>
      </c>
      <c r="X40" s="162">
        <f ca="1"/>
        <v>2.4543093658481174E-3</v>
      </c>
      <c r="Y40" s="162">
        <f ca="1"/>
        <v>4.714502631581019E-3</v>
      </c>
      <c r="Z40" s="162">
        <f ca="1"/>
        <v>1.1307286918989523E-2</v>
      </c>
      <c r="AA40" s="162">
        <f ca="1"/>
        <v>1.9503179810328342E-2</v>
      </c>
      <c r="AB40" s="162">
        <f ca="1"/>
        <v>0</v>
      </c>
      <c r="AC40" s="162">
        <f ca="1"/>
        <v>3.8806977493471506E-2</v>
      </c>
      <c r="AD40" s="162">
        <f ca="1"/>
        <v>5.8865733635099948E-2</v>
      </c>
      <c r="AE40" s="138">
        <f ca="1"/>
        <v>8.8396552108297444E-2</v>
      </c>
      <c r="AG40" s="465" t="s">
        <v>538</v>
      </c>
      <c r="AH40" s="467">
        <v>2.375E-2</v>
      </c>
      <c r="AI40" s="466">
        <v>2026</v>
      </c>
      <c r="AJ40" s="468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4.8890189028605313E-4</v>
      </c>
      <c r="P41" s="162">
        <f ca="1"/>
        <v>1.457271853753106E-3</v>
      </c>
      <c r="Q41" s="162">
        <f ca="1"/>
        <v>4.5503709289340666E-3</v>
      </c>
      <c r="R41" s="162">
        <f ca="1"/>
        <v>1.0523770372320662E-2</v>
      </c>
      <c r="S41" s="162">
        <f ca="1"/>
        <v>0</v>
      </c>
      <c r="T41" s="162">
        <f ca="1"/>
        <v>2.5220398709642544E-2</v>
      </c>
      <c r="U41" s="162">
        <f ca="1"/>
        <v>4.5064589524159593E-2</v>
      </c>
      <c r="V41" s="138">
        <f ca="1"/>
        <v>7.7982139162865116E-2</v>
      </c>
      <c r="W41" s="137">
        <f ca="1"/>
        <v>0</v>
      </c>
      <c r="X41" s="162">
        <f ca="1"/>
        <v>6.1108929803876944E-4</v>
      </c>
      <c r="Y41" s="162">
        <f ca="1"/>
        <v>1.6638108028337317E-3</v>
      </c>
      <c r="Z41" s="162">
        <f ca="1"/>
        <v>4.9234485795915939E-3</v>
      </c>
      <c r="AA41" s="162">
        <f ca="1"/>
        <v>1.1061281443469295E-2</v>
      </c>
      <c r="AB41" s="162">
        <f ca="1"/>
        <v>0</v>
      </c>
      <c r="AC41" s="162">
        <f ca="1"/>
        <v>2.6078221072691754E-2</v>
      </c>
      <c r="AD41" s="162">
        <f ca="1"/>
        <v>4.6228806507101039E-2</v>
      </c>
      <c r="AE41" s="138">
        <f ca="1"/>
        <v>7.9569496580745414E-2</v>
      </c>
      <c r="AG41" s="465" t="s">
        <v>539</v>
      </c>
      <c r="AH41" s="467">
        <v>6.2500000000000003E-3</v>
      </c>
      <c r="AI41" s="466">
        <v>2026</v>
      </c>
      <c r="AJ41" s="468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1.0996944671649578E-3</v>
      </c>
      <c r="P42" s="162">
        <f ca="1"/>
        <v>3.7487900317417777E-3</v>
      </c>
      <c r="Q42" s="162">
        <f ca="1"/>
        <v>1.3259859446197675E-2</v>
      </c>
      <c r="R42" s="162">
        <f ca="1"/>
        <v>2.2418967820496905E-2</v>
      </c>
      <c r="S42" s="162">
        <f ca="1"/>
        <v>0</v>
      </c>
      <c r="T42" s="162">
        <f ca="1"/>
        <v>5.2362900093775311E-2</v>
      </c>
      <c r="U42" s="162">
        <f ca="1"/>
        <v>8.7998208101859876E-2</v>
      </c>
      <c r="V42" s="138">
        <f ca="1"/>
        <v>0.1451463239994224</v>
      </c>
      <c r="W42" s="137">
        <f ca="1"/>
        <v>0</v>
      </c>
      <c r="X42" s="162">
        <f ca="1"/>
        <v>1.2218045500240748E-3</v>
      </c>
      <c r="Y42" s="162">
        <f ca="1"/>
        <v>3.9549211755443014E-3</v>
      </c>
      <c r="Z42" s="162">
        <f ca="1"/>
        <v>1.3629909595263445E-2</v>
      </c>
      <c r="AA42" s="162">
        <f ca="1"/>
        <v>2.2950278412422809E-2</v>
      </c>
      <c r="AB42" s="162">
        <f ca="1"/>
        <v>0</v>
      </c>
      <c r="AC42" s="162">
        <f ca="1"/>
        <v>5.3193284002715946E-2</v>
      </c>
      <c r="AD42" s="162">
        <f ca="1"/>
        <v>8.9107482455367149E-2</v>
      </c>
      <c r="AE42" s="138">
        <f ca="1"/>
        <v>0.14664766438479138</v>
      </c>
      <c r="AG42" s="465" t="s">
        <v>540</v>
      </c>
      <c r="AH42" s="467">
        <v>2.75E-2</v>
      </c>
      <c r="AI42" s="466">
        <v>2025</v>
      </c>
      <c r="AJ42" s="468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4.0336125114126542E-4</v>
      </c>
      <c r="P43" s="162">
        <f ca="1"/>
        <v>1.9008783871966584E-3</v>
      </c>
      <c r="Q43" s="162">
        <f ca="1"/>
        <v>6.2264263036629908E-3</v>
      </c>
      <c r="R43" s="162">
        <f ca="1"/>
        <v>1.2017467876313526E-2</v>
      </c>
      <c r="S43" s="162">
        <f ca="1"/>
        <v>0</v>
      </c>
      <c r="T43" s="162">
        <f ca="1"/>
        <v>2.687018617755399E-2</v>
      </c>
      <c r="U43" s="162">
        <f ca="1"/>
        <v>4.2648273900363853E-2</v>
      </c>
      <c r="V43" s="138">
        <f ca="1"/>
        <v>6.605730813935129E-2</v>
      </c>
      <c r="W43" s="137">
        <f ca="1"/>
        <v>0</v>
      </c>
      <c r="X43" s="162">
        <f ca="1"/>
        <v>5.2555931863018657E-4</v>
      </c>
      <c r="Y43" s="162">
        <f ca="1"/>
        <v>2.1073595703563486E-3</v>
      </c>
      <c r="Z43" s="162">
        <f ca="1"/>
        <v>6.5989710476277441E-3</v>
      </c>
      <c r="AA43" s="162">
        <f ca="1"/>
        <v>1.2554130504916383E-2</v>
      </c>
      <c r="AB43" s="162">
        <f ca="1"/>
        <v>0</v>
      </c>
      <c r="AC43" s="162">
        <f ca="1"/>
        <v>2.772624651520228E-2</v>
      </c>
      <c r="AD43" s="162">
        <f ca="1"/>
        <v>4.3814236434157161E-2</v>
      </c>
      <c r="AE43" s="138">
        <f ca="1"/>
        <v>6.7664476948191332E-2</v>
      </c>
      <c r="AG43" s="465" t="s">
        <v>541</v>
      </c>
      <c r="AH43" s="467"/>
      <c r="AI43" s="466"/>
      <c r="AJ43" s="468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1.0142058885326266E-3</v>
      </c>
      <c r="P44" s="162">
        <f ca="1"/>
        <v>3.6674148659822103E-3</v>
      </c>
      <c r="Q44" s="162">
        <f ca="1"/>
        <v>1.0703568965238608E-2</v>
      </c>
      <c r="R44" s="162">
        <f ca="1"/>
        <v>1.9228804328712212E-2</v>
      </c>
      <c r="S44" s="162">
        <f ca="1"/>
        <v>0</v>
      </c>
      <c r="T44" s="162">
        <f ca="1"/>
        <v>4.2652372330952204E-2</v>
      </c>
      <c r="U44" s="162">
        <f ca="1"/>
        <v>6.4569492434652931E-2</v>
      </c>
      <c r="V44" s="138">
        <f ca="1"/>
        <v>9.698212363772285E-2</v>
      </c>
      <c r="W44" s="137">
        <f ca="1"/>
        <v>0</v>
      </c>
      <c r="X44" s="162">
        <f ca="1"/>
        <v>1.1363269241186913E-3</v>
      </c>
      <c r="Y44" s="162">
        <f ca="1"/>
        <v>3.8735667236428073E-3</v>
      </c>
      <c r="Z44" s="162">
        <f ca="1"/>
        <v>1.1074495260750883E-2</v>
      </c>
      <c r="AA44" s="162">
        <f ca="1"/>
        <v>1.9761728909923892E-2</v>
      </c>
      <c r="AB44" s="162">
        <f ca="1"/>
        <v>0</v>
      </c>
      <c r="AC44" s="162">
        <f ca="1"/>
        <v>4.3493148006769178E-2</v>
      </c>
      <c r="AD44" s="162">
        <f ca="1"/>
        <v>6.5708675380263037E-2</v>
      </c>
      <c r="AE44" s="138">
        <f ca="1"/>
        <v>9.8530946110353623E-2</v>
      </c>
      <c r="AG44" s="465" t="s">
        <v>542</v>
      </c>
      <c r="AH44" s="467">
        <v>3.875E-2</v>
      </c>
      <c r="AI44" s="466">
        <v>2026</v>
      </c>
      <c r="AJ44" s="468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1.4659915911424681E-3</v>
      </c>
      <c r="P45" s="162">
        <f ca="1"/>
        <v>2.8985577152496056E-3</v>
      </c>
      <c r="Q45" s="162">
        <f ca="1"/>
        <v>6.7723035404010368E-3</v>
      </c>
      <c r="R45" s="162">
        <f ca="1"/>
        <v>1.2598854208077381E-2</v>
      </c>
      <c r="S45" s="162">
        <f ca="1"/>
        <v>0</v>
      </c>
      <c r="T45" s="162">
        <f ca="1"/>
        <v>2.3929778047311001E-2</v>
      </c>
      <c r="U45" s="162">
        <f ca="1"/>
        <v>4.078106047202934E-2</v>
      </c>
      <c r="V45" s="138">
        <f ca="1"/>
        <v>7.2378813092094596E-2</v>
      </c>
      <c r="W45" s="137">
        <f ca="1"/>
        <v>0</v>
      </c>
      <c r="X45" s="162">
        <f ca="1"/>
        <v>1.5880542518309504E-3</v>
      </c>
      <c r="Y45" s="162">
        <f ca="1"/>
        <v>3.1047833624059384E-3</v>
      </c>
      <c r="Z45" s="162">
        <f ca="1"/>
        <v>7.1444737217494225E-3</v>
      </c>
      <c r="AA45" s="162">
        <f ca="1"/>
        <v>1.3134971688637642E-2</v>
      </c>
      <c r="AB45" s="162">
        <f ca="1"/>
        <v>0</v>
      </c>
      <c r="AC45" s="162">
        <f ca="1"/>
        <v>2.4787839935434319E-2</v>
      </c>
      <c r="AD45" s="162">
        <f ca="1"/>
        <v>4.1948542578632786E-2</v>
      </c>
      <c r="AE45" s="138">
        <f ca="1"/>
        <v>7.3974221002305995E-2</v>
      </c>
      <c r="AG45" s="465" t="s">
        <v>543</v>
      </c>
      <c r="AH45" s="467">
        <v>3.875E-2</v>
      </c>
      <c r="AI45" s="466">
        <v>2026</v>
      </c>
      <c r="AJ45" s="468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4.8890189028605313E-4</v>
      </c>
      <c r="P46" s="162">
        <f ca="1"/>
        <v>1.8773938384613054E-3</v>
      </c>
      <c r="Q46" s="162">
        <f ca="1"/>
        <v>5.3036602017239032E-3</v>
      </c>
      <c r="R46" s="162">
        <f ca="1"/>
        <v>9.9061915077619522E-3</v>
      </c>
      <c r="S46" s="162">
        <f ca="1"/>
        <v>0</v>
      </c>
      <c r="T46" s="162">
        <f ca="1"/>
        <v>2.4278402369770524E-2</v>
      </c>
      <c r="U46" s="162">
        <f ca="1"/>
        <v>4.247293923546136E-2</v>
      </c>
      <c r="V46" s="138">
        <f ca="1"/>
        <v>7.2547400597038125E-2</v>
      </c>
      <c r="W46" s="137">
        <f ca="1"/>
        <v>0</v>
      </c>
      <c r="X46" s="162">
        <f ca="1"/>
        <v>6.1108929803876944E-4</v>
      </c>
      <c r="Y46" s="162">
        <f ca="1"/>
        <v>2.0838700494308915E-3</v>
      </c>
      <c r="Z46" s="162">
        <f ca="1"/>
        <v>5.6764732514769101E-3</v>
      </c>
      <c r="AA46" s="162">
        <f ca="1"/>
        <v>1.0443790227813388E-2</v>
      </c>
      <c r="AB46" s="162">
        <f ca="1"/>
        <v>0</v>
      </c>
      <c r="AC46" s="162">
        <f ca="1"/>
        <v>2.5136831719007158E-2</v>
      </c>
      <c r="AD46" s="162">
        <f ca="1"/>
        <v>4.3639935913263539E-2</v>
      </c>
      <c r="AE46" s="138">
        <f ca="1"/>
        <v>7.4144518317206809E-2</v>
      </c>
      <c r="AG46" s="465" t="s">
        <v>544</v>
      </c>
      <c r="AH46" s="467">
        <v>0.03</v>
      </c>
      <c r="AI46" s="466">
        <v>2026</v>
      </c>
      <c r="AJ46" s="468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2.2591766993805829E-3</v>
      </c>
      <c r="P47" s="162">
        <f ca="1"/>
        <v>4.2802182802312849E-3</v>
      </c>
      <c r="Q47" s="162">
        <f ca="1"/>
        <v>1.0564942888594997E-2</v>
      </c>
      <c r="R47" s="162">
        <f ca="1"/>
        <v>1.7759601924437374E-2</v>
      </c>
      <c r="S47" s="162">
        <f ca="1"/>
        <v>0</v>
      </c>
      <c r="T47" s="162">
        <f ca="1"/>
        <v>3.6240426578608931E-2</v>
      </c>
      <c r="U47" s="162">
        <f ca="1"/>
        <v>5.6056322009243598E-2</v>
      </c>
      <c r="V47" s="138">
        <f ca="1"/>
        <v>8.5492019529318841E-2</v>
      </c>
      <c r="W47" s="137">
        <f ca="1"/>
        <v>0</v>
      </c>
      <c r="X47" s="162">
        <f ca="1"/>
        <v>2.381133839366445E-3</v>
      </c>
      <c r="Y47" s="162">
        <f ca="1"/>
        <v>4.4861568170809774E-3</v>
      </c>
      <c r="Z47" s="162">
        <f ca="1"/>
        <v>1.0935734626201454E-2</v>
      </c>
      <c r="AA47" s="162">
        <f ca="1"/>
        <v>1.8292932433511822E-2</v>
      </c>
      <c r="AB47" s="162">
        <f ca="1"/>
        <v>0</v>
      </c>
      <c r="AC47" s="162">
        <f ca="1"/>
        <v>3.7087057486205888E-2</v>
      </c>
      <c r="AD47" s="162">
        <f ca="1"/>
        <v>5.7204925645476745E-2</v>
      </c>
      <c r="AE47" s="138">
        <f ca="1"/>
        <v>8.706185600055194E-2</v>
      </c>
      <c r="AG47" s="465" t="s">
        <v>545</v>
      </c>
      <c r="AH47" s="467">
        <v>1.7500000000000002E-2</v>
      </c>
      <c r="AI47" s="466">
        <v>2025</v>
      </c>
      <c r="AJ47" s="468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6.110901553602055E-4</v>
      </c>
      <c r="P48" s="162">
        <f ca="1"/>
        <v>1.4537554516381723E-3</v>
      </c>
      <c r="Q48" s="162">
        <f ca="1"/>
        <v>4.1627859393597033E-3</v>
      </c>
      <c r="R48" s="162">
        <f ca="1"/>
        <v>8.2696766879776229E-3</v>
      </c>
      <c r="S48" s="162">
        <f ca="1"/>
        <v>0</v>
      </c>
      <c r="T48" s="162">
        <f ca="1"/>
        <v>2.1671106992720013E-2</v>
      </c>
      <c r="U48" s="162">
        <f ca="1"/>
        <v>3.8932443804123973E-2</v>
      </c>
      <c r="V48" s="138">
        <f ca="1"/>
        <v>7.1624034136049564E-2</v>
      </c>
      <c r="W48" s="137">
        <f ca="1"/>
        <v>0</v>
      </c>
      <c r="X48" s="162">
        <f ca="1"/>
        <v>7.3326226528613869E-4</v>
      </c>
      <c r="Y48" s="162">
        <f ca="1"/>
        <v>1.6602825265449317E-3</v>
      </c>
      <c r="Z48" s="162">
        <f ca="1"/>
        <v>4.5359633972557045E-3</v>
      </c>
      <c r="AA48" s="162">
        <f ca="1"/>
        <v>8.8081003356486054E-3</v>
      </c>
      <c r="AB48" s="162">
        <f ca="1"/>
        <v>0</v>
      </c>
      <c r="AC48" s="162">
        <f ca="1"/>
        <v>2.2531983675384115E-2</v>
      </c>
      <c r="AD48" s="162">
        <f ca="1"/>
        <v>4.0103962856833042E-2</v>
      </c>
      <c r="AE48" s="138">
        <f ca="1"/>
        <v>7.3223024417835236E-2</v>
      </c>
      <c r="AG48" s="465" t="s">
        <v>546</v>
      </c>
      <c r="AH48" s="467">
        <v>2.5000000000000001E-2</v>
      </c>
      <c r="AI48" s="466">
        <v>2030</v>
      </c>
      <c r="AJ48" s="468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1.343907411974099E-3</v>
      </c>
      <c r="P49" s="162">
        <f ca="1"/>
        <v>3.3218568499966405E-3</v>
      </c>
      <c r="Q49" s="162">
        <f ca="1"/>
        <v>7.5276271398995176E-3</v>
      </c>
      <c r="R49" s="162">
        <f ca="1"/>
        <v>1.5378222666851848E-2</v>
      </c>
      <c r="S49" s="162">
        <f ca="1"/>
        <v>0</v>
      </c>
      <c r="T49" s="162">
        <f ca="1"/>
        <v>3.4809381400196959E-2</v>
      </c>
      <c r="U49" s="162">
        <f ca="1"/>
        <v>5.6677540075330879E-2</v>
      </c>
      <c r="V49" s="138">
        <f ca="1"/>
        <v>9.7745754010532648E-2</v>
      </c>
      <c r="W49" s="137">
        <f ca="1"/>
        <v>0</v>
      </c>
      <c r="X49" s="162">
        <f ca="1"/>
        <v>1.46598596771641E-3</v>
      </c>
      <c r="Y49" s="162">
        <f ca="1"/>
        <v>3.5280303506294297E-3</v>
      </c>
      <c r="Z49" s="162">
        <f ca="1"/>
        <v>7.8995426254627743E-3</v>
      </c>
      <c r="AA49" s="162">
        <f ca="1"/>
        <v>1.5913087971175743E-2</v>
      </c>
      <c r="AB49" s="162">
        <f ca="1"/>
        <v>0</v>
      </c>
      <c r="AC49" s="162">
        <f ca="1"/>
        <v>3.5657960662383803E-2</v>
      </c>
      <c r="AD49" s="162">
        <f ca="1"/>
        <v>5.7826859475552994E-2</v>
      </c>
      <c r="AE49" s="138">
        <f ca="1"/>
        <v>9.9317420853589966E-2</v>
      </c>
      <c r="AG49" s="465" t="s">
        <v>547</v>
      </c>
      <c r="AH49" s="467">
        <v>1.15E-2</v>
      </c>
      <c r="AI49" s="466">
        <v>2027</v>
      </c>
      <c r="AJ49" s="468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8.5542205552979755E-4</v>
      </c>
      <c r="P50" s="162">
        <f ca="1"/>
        <v>1.8667696501976083E-3</v>
      </c>
      <c r="Q50" s="162">
        <f ca="1"/>
        <v>4.909060144927313E-3</v>
      </c>
      <c r="R50" s="162">
        <f ca="1"/>
        <v>9.9132274796721598E-3</v>
      </c>
      <c r="S50" s="162">
        <f ca="1"/>
        <v>0</v>
      </c>
      <c r="T50" s="162">
        <f ca="1"/>
        <v>2.6148616460915708E-2</v>
      </c>
      <c r="U50" s="162">
        <f ca="1"/>
        <v>4.4963465724892404E-2</v>
      </c>
      <c r="V50" s="138">
        <f ca="1"/>
        <v>7.7880716498944458E-2</v>
      </c>
      <c r="W50" s="137">
        <f ca="1"/>
        <v>0</v>
      </c>
      <c r="X50" s="162">
        <f ca="1"/>
        <v>9.7756332082132857E-4</v>
      </c>
      <c r="Y50" s="162">
        <f ca="1"/>
        <v>2.0732106907078718E-3</v>
      </c>
      <c r="Z50" s="162">
        <f ca="1"/>
        <v>5.2819507088143203E-3</v>
      </c>
      <c r="AA50" s="162">
        <f ca="1"/>
        <v>1.0450837626347242E-2</v>
      </c>
      <c r="AB50" s="162">
        <f ca="1"/>
        <v>0</v>
      </c>
      <c r="AC50" s="162">
        <f ca="1"/>
        <v>2.7005490418607336E-2</v>
      </c>
      <c r="AD50" s="162">
        <f ca="1"/>
        <v>4.612781720285708E-2</v>
      </c>
      <c r="AE50" s="138">
        <f ca="1"/>
        <v>7.9467873988558702E-2</v>
      </c>
      <c r="AG50" s="465" t="s">
        <v>548</v>
      </c>
      <c r="AH50" s="467">
        <v>2.75E-2</v>
      </c>
      <c r="AI50" s="466">
        <v>2025</v>
      </c>
      <c r="AJ50" s="468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1.4659915911424681E-3</v>
      </c>
      <c r="P51" s="162">
        <f ca="1"/>
        <v>4.9962054776847564E-3</v>
      </c>
      <c r="Q51" s="162">
        <f ca="1"/>
        <v>1.4347022445970636E-2</v>
      </c>
      <c r="R51" s="162">
        <f ca="1"/>
        <v>2.9607660439404659E-2</v>
      </c>
      <c r="S51" s="162">
        <f ca="1"/>
        <v>0</v>
      </c>
      <c r="T51" s="162">
        <f ca="1"/>
        <v>7.0799098200439503E-2</v>
      </c>
      <c r="U51" s="162">
        <f ca="1"/>
        <v>0.11609304532853881</v>
      </c>
      <c r="V51" s="138">
        <f ca="1"/>
        <v>0.18748735550531348</v>
      </c>
      <c r="W51" s="137">
        <f ca="1"/>
        <v>0</v>
      </c>
      <c r="X51" s="162">
        <f ca="1"/>
        <v>1.5880542518309504E-3</v>
      </c>
      <c r="Y51" s="162">
        <f ca="1"/>
        <v>5.2021065383937026E-3</v>
      </c>
      <c r="Z51" s="162">
        <f ca="1"/>
        <v>1.4716590535440055E-2</v>
      </c>
      <c r="AA51" s="162">
        <f ca="1"/>
        <v>3.0135412009764329E-2</v>
      </c>
      <c r="AB51" s="162">
        <f ca="1"/>
        <v>0</v>
      </c>
      <c r="AC51" s="162">
        <f ca="1"/>
        <v>7.160791280060208E-2</v>
      </c>
      <c r="AD51" s="162">
        <f ca="1"/>
        <v>0.11718684773358568</v>
      </c>
      <c r="AE51" s="138">
        <f ca="1"/>
        <v>0.18892295166610829</v>
      </c>
      <c r="AG51" s="465" t="s">
        <v>549</v>
      </c>
      <c r="AH51" s="467">
        <v>1.2500000000000001E-2</v>
      </c>
      <c r="AI51" s="466">
        <v>2025</v>
      </c>
      <c r="AJ51" s="468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7.3326354287817086E-4</v>
      </c>
      <c r="P52" s="162">
        <f ca="1"/>
        <v>1.4502393929984869E-3</v>
      </c>
      <c r="Q52" s="162">
        <f ca="1"/>
        <v>4.5432215113582197E-3</v>
      </c>
      <c r="R52" s="162">
        <f ca="1"/>
        <v>9.9495616266147557E-3</v>
      </c>
      <c r="S52" s="162">
        <f ca="1"/>
        <v>0</v>
      </c>
      <c r="T52" s="162">
        <f ca="1"/>
        <v>2.5254631607717015E-2</v>
      </c>
      <c r="U52" s="162">
        <f ca="1"/>
        <v>4.3760284071697853E-2</v>
      </c>
      <c r="V52" s="138">
        <f ca="1"/>
        <v>7.8205230613987431E-2</v>
      </c>
      <c r="W52" s="137">
        <f ca="1"/>
        <v>0</v>
      </c>
      <c r="X52" s="162">
        <f ca="1"/>
        <v>8.5542027225893325E-4</v>
      </c>
      <c r="Y52" s="162">
        <f ca="1"/>
        <v>1.6567545382761839E-3</v>
      </c>
      <c r="Z52" s="162">
        <f ca="1"/>
        <v>4.9162758557477204E-3</v>
      </c>
      <c r="AA52" s="162">
        <f ca="1"/>
        <v>1.0487273632856731E-2</v>
      </c>
      <c r="AB52" s="162">
        <f ca="1"/>
        <v>0</v>
      </c>
      <c r="AC52" s="162">
        <f ca="1"/>
        <v>2.6112407709357188E-2</v>
      </c>
      <c r="AD52" s="162">
        <f ca="1"/>
        <v>4.492605878696232E-2</v>
      </c>
      <c r="AE52" s="138">
        <f ca="1"/>
        <v>7.9791527428714759E-2</v>
      </c>
      <c r="AG52" s="465" t="s">
        <v>550</v>
      </c>
      <c r="AH52" s="467">
        <v>0.02</v>
      </c>
      <c r="AI52" s="466">
        <v>2025</v>
      </c>
      <c r="AJ52" s="468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8.5542205552979755E-4</v>
      </c>
      <c r="P53" s="162">
        <f ca="1"/>
        <v>1.6567555318549587E-3</v>
      </c>
      <c r="Q53" s="162">
        <f ca="1"/>
        <v>4.1484602305156271E-3</v>
      </c>
      <c r="R53" s="162">
        <f ca="1"/>
        <v>9.3894960598093213E-3</v>
      </c>
      <c r="S53" s="162">
        <f ca="1"/>
        <v>0</v>
      </c>
      <c r="T53" s="162">
        <f ca="1"/>
        <v>2.5303498961535276E-2</v>
      </c>
      <c r="U53" s="162">
        <f ca="1"/>
        <v>4.5148828815945952E-2</v>
      </c>
      <c r="V53" s="138">
        <f ca="1"/>
        <v>8.0030185496082762E-2</v>
      </c>
      <c r="W53" s="137">
        <f ca="1"/>
        <v>0</v>
      </c>
      <c r="X53" s="162">
        <f ca="1"/>
        <v>9.7756332082132857E-4</v>
      </c>
      <c r="Y53" s="162">
        <f ca="1"/>
        <v>1.8632277156690469E-3</v>
      </c>
      <c r="Z53" s="162">
        <f ca="1"/>
        <v>4.5215934881869257E-3</v>
      </c>
      <c r="AA53" s="162">
        <f ca="1"/>
        <v>9.9274373549503858E-3</v>
      </c>
      <c r="AB53" s="162">
        <f ca="1"/>
        <v>0</v>
      </c>
      <c r="AC53" s="162">
        <f ca="1"/>
        <v>2.6161264694681052E-2</v>
      </c>
      <c r="AD53" s="162">
        <f ca="1"/>
        <v>4.6313288262448293E-2</v>
      </c>
      <c r="AE53" s="138">
        <f ca="1"/>
        <v>8.1613706846355605E-2</v>
      </c>
      <c r="AG53" s="465" t="s">
        <v>551</v>
      </c>
      <c r="AH53" s="467">
        <v>1.375E-2</v>
      </c>
      <c r="AI53" s="466">
        <v>2025</v>
      </c>
      <c r="AJ53" s="468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4.8890189028605313E-4</v>
      </c>
      <c r="P54" s="162">
        <f ca="1"/>
        <v>1.2471842504704345E-3</v>
      </c>
      <c r="Q54" s="162">
        <f ca="1"/>
        <v>3.7894392937349863E-3</v>
      </c>
      <c r="R54" s="162">
        <f ca="1"/>
        <v>7.7308950945285115E-3</v>
      </c>
      <c r="S54" s="162">
        <f ca="1"/>
        <v>0</v>
      </c>
      <c r="T54" s="162">
        <f ca="1"/>
        <v>1.8939574330114173E-2</v>
      </c>
      <c r="U54" s="162">
        <f ca="1"/>
        <v>2.9875497952581043E-2</v>
      </c>
      <c r="V54" s="138">
        <f ca="1"/>
        <v>5.1494770340094975E-2</v>
      </c>
      <c r="W54" s="137">
        <f ca="1"/>
        <v>0</v>
      </c>
      <c r="X54" s="162">
        <f ca="1"/>
        <v>6.1108929803876944E-4</v>
      </c>
      <c r="Y54" s="162">
        <f ca="1"/>
        <v>1.4537543170896061E-3</v>
      </c>
      <c r="Z54" s="162">
        <f ca="1"/>
        <v>4.1627599374167712E-3</v>
      </c>
      <c r="AA54" s="162">
        <f ca="1"/>
        <v>8.2696161744257868E-3</v>
      </c>
      <c r="AB54" s="162">
        <f ca="1"/>
        <v>0</v>
      </c>
      <c r="AC54" s="162">
        <f ca="1"/>
        <v>1.9802758144291777E-2</v>
      </c>
      <c r="AD54" s="162">
        <f ca="1"/>
        <v>3.1056464523917193E-2</v>
      </c>
      <c r="AE54" s="138">
        <f ca="1"/>
        <v>5.3128572082293379E-2</v>
      </c>
      <c r="AG54" s="465" t="s">
        <v>552</v>
      </c>
      <c r="AH54" s="467">
        <v>1.2500000000000001E-2</v>
      </c>
      <c r="AI54" s="466">
        <v>2026</v>
      </c>
      <c r="AJ54" s="468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7.3326354287817086E-4</v>
      </c>
      <c r="P55" s="162">
        <f ca="1"/>
        <v>2.2903110690472017E-3</v>
      </c>
      <c r="Q55" s="162">
        <f ca="1"/>
        <v>6.8163226075181882E-3</v>
      </c>
      <c r="R55" s="162">
        <f ca="1"/>
        <v>1.3775269687441472E-2</v>
      </c>
      <c r="S55" s="162">
        <f ca="1"/>
        <v>0</v>
      </c>
      <c r="T55" s="162">
        <f ca="1"/>
        <v>3.0397515352727611E-2</v>
      </c>
      <c r="U55" s="162">
        <f ca="1"/>
        <v>5.2079766048645504E-2</v>
      </c>
      <c r="V55" s="138">
        <f ca="1"/>
        <v>8.7587886942251836E-2</v>
      </c>
      <c r="W55" s="137">
        <f ca="1"/>
        <v>0</v>
      </c>
      <c r="X55" s="162">
        <f ca="1"/>
        <v>8.5542027225893325E-4</v>
      </c>
      <c r="Y55" s="162">
        <f ca="1"/>
        <v>2.4967008862741835E-3</v>
      </c>
      <c r="Z55" s="162">
        <f ca="1"/>
        <v>7.1886165456402917E-3</v>
      </c>
      <c r="AA55" s="162">
        <f ca="1"/>
        <v>1.4311071769341432E-2</v>
      </c>
      <c r="AB55" s="162">
        <f ca="1"/>
        <v>0</v>
      </c>
      <c r="AC55" s="162">
        <f ca="1"/>
        <v>3.1250352032918371E-2</v>
      </c>
      <c r="AD55" s="162">
        <f ca="1"/>
        <v>5.3234842359537793E-2</v>
      </c>
      <c r="AE55" s="138">
        <f ca="1"/>
        <v>8.9155936035246186E-2</v>
      </c>
      <c r="AG55" s="465" t="s">
        <v>553</v>
      </c>
      <c r="AH55" s="467">
        <v>1.2500000000000001E-2</v>
      </c>
      <c r="AI55" s="466">
        <v>2026</v>
      </c>
      <c r="AJ55" s="468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7.3326354287817086E-4</v>
      </c>
      <c r="P56" s="162">
        <f ca="1"/>
        <v>2.9201786507243588E-3</v>
      </c>
      <c r="Q56" s="162">
        <f ca="1"/>
        <v>7.9440790111049431E-3</v>
      </c>
      <c r="R56" s="162">
        <f ca="1"/>
        <v>1.4828359935592395E-2</v>
      </c>
      <c r="S56" s="162">
        <f ca="1"/>
        <v>0</v>
      </c>
      <c r="T56" s="162">
        <f ca="1"/>
        <v>3.2088171542872357E-2</v>
      </c>
      <c r="U56" s="162">
        <f ca="1"/>
        <v>5.4377366074151223E-2</v>
      </c>
      <c r="V56" s="138">
        <f ca="1"/>
        <v>9.0738237121449572E-2</v>
      </c>
      <c r="W56" s="137">
        <f ca="1"/>
        <v>0</v>
      </c>
      <c r="X56" s="162">
        <f ca="1"/>
        <v>8.5542027225893325E-4</v>
      </c>
      <c r="Y56" s="162">
        <f ca="1"/>
        <v>3.126472663358304E-3</v>
      </c>
      <c r="Z56" s="162">
        <f ca="1"/>
        <v>8.3159702596335983E-3</v>
      </c>
      <c r="AA56" s="162">
        <f ca="1"/>
        <v>1.5363523040732963E-2</v>
      </c>
      <c r="AB56" s="162">
        <f ca="1"/>
        <v>0</v>
      </c>
      <c r="AC56" s="162">
        <f ca="1"/>
        <v>3.2939252558106369E-2</v>
      </c>
      <c r="AD56" s="162">
        <f ca="1"/>
        <v>5.5529323034654188E-2</v>
      </c>
      <c r="AE56" s="138">
        <f ca="1"/>
        <v>9.2299778413325817E-2</v>
      </c>
      <c r="AG56" s="465" t="s">
        <v>554</v>
      </c>
      <c r="AH56" s="467">
        <v>6.8750000000000006E-2</v>
      </c>
      <c r="AI56" s="466">
        <v>2029</v>
      </c>
      <c r="AJ56" s="468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6.110901553602055E-4</v>
      </c>
      <c r="P57" s="162">
        <f ca="1"/>
        <v>1.6638126430698064E-3</v>
      </c>
      <c r="Q57" s="162">
        <f ca="1"/>
        <v>5.3073427353341751E-3</v>
      </c>
      <c r="R57" s="162">
        <f ca="1"/>
        <v>1.2176374512908206E-2</v>
      </c>
      <c r="S57" s="162">
        <f ca="1"/>
        <v>0</v>
      </c>
      <c r="T57" s="162">
        <f ca="1"/>
        <v>3.1556067592250825E-2</v>
      </c>
      <c r="U57" s="162">
        <f ca="1"/>
        <v>5.3545841072977662E-2</v>
      </c>
      <c r="V57" s="138">
        <f ca="1"/>
        <v>9.3380816835949121E-2</v>
      </c>
      <c r="W57" s="137">
        <f ca="1"/>
        <v>0</v>
      </c>
      <c r="X57" s="162">
        <f ca="1"/>
        <v>7.3326226528613869E-4</v>
      </c>
      <c r="Y57" s="162">
        <f ca="1"/>
        <v>1.8703085362642424E-3</v>
      </c>
      <c r="Z57" s="162">
        <f ca="1"/>
        <v>5.6801634189325156E-3</v>
      </c>
      <c r="AA57" s="162">
        <f ca="1"/>
        <v>1.2713093557015109E-2</v>
      </c>
      <c r="AB57" s="162">
        <f ca="1"/>
        <v>0</v>
      </c>
      <c r="AC57" s="162">
        <f ca="1"/>
        <v>3.2408161810499214E-2</v>
      </c>
      <c r="AD57" s="162">
        <f ca="1"/>
        <v>5.4700180014792266E-2</v>
      </c>
      <c r="AE57" s="138">
        <f ca="1"/>
        <v>9.4937631145008305E-2</v>
      </c>
      <c r="AG57" s="465" t="s">
        <v>555</v>
      </c>
      <c r="AH57" s="467">
        <v>5.0000000000000001E-3</v>
      </c>
      <c r="AI57" s="466">
        <v>2026</v>
      </c>
      <c r="AJ57" s="468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1.4659915911424681E-3</v>
      </c>
      <c r="P58" s="162">
        <f ca="1"/>
        <v>3.5280379713817922E-3</v>
      </c>
      <c r="Q58" s="162">
        <f ca="1"/>
        <v>1.0579428286480952E-2</v>
      </c>
      <c r="R58" s="162">
        <f ca="1"/>
        <v>1.9168577927210606E-2</v>
      </c>
      <c r="S58" s="162">
        <f ca="1"/>
        <v>0</v>
      </c>
      <c r="T58" s="162">
        <f ca="1"/>
        <v>3.9885957499769531E-2</v>
      </c>
      <c r="U58" s="162">
        <f ca="1"/>
        <v>6.355376093132703E-2</v>
      </c>
      <c r="V58" s="138">
        <f ca="1"/>
        <v>0.10710548148327659</v>
      </c>
      <c r="W58" s="137">
        <f ca="1"/>
        <v>0</v>
      </c>
      <c r="X58" s="162">
        <f ca="1"/>
        <v>1.5880542518309504E-3</v>
      </c>
      <c r="Y58" s="162">
        <f ca="1"/>
        <v>3.7341681496788626E-3</v>
      </c>
      <c r="Z58" s="162">
        <f ca="1"/>
        <v>1.0950356877212686E-2</v>
      </c>
      <c r="AA58" s="162">
        <f ca="1"/>
        <v>1.9701509402028861E-2</v>
      </c>
      <c r="AB58" s="162">
        <f ca="1"/>
        <v>0</v>
      </c>
      <c r="AC58" s="162">
        <f ca="1"/>
        <v>4.0729461682706081E-2</v>
      </c>
      <c r="AD58" s="162">
        <f ca="1"/>
        <v>6.4693815743390171E-2</v>
      </c>
      <c r="AE58" s="138">
        <f ca="1"/>
        <v>0.1086610917820009</v>
      </c>
      <c r="AG58" s="465" t="s">
        <v>556</v>
      </c>
      <c r="AH58" s="467">
        <v>2.375E-2</v>
      </c>
      <c r="AI58" s="466">
        <v>2025</v>
      </c>
      <c r="AJ58" s="468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9.7756569606266552E-4</v>
      </c>
      <c r="P59" s="162">
        <f ca="1"/>
        <v>2.7030574530719775E-3</v>
      </c>
      <c r="Q59" s="162">
        <f ca="1"/>
        <v>8.7104641058588506E-3</v>
      </c>
      <c r="R59" s="162">
        <f ca="1"/>
        <v>1.5921667633036041E-2</v>
      </c>
      <c r="S59" s="162">
        <f ca="1"/>
        <v>0</v>
      </c>
      <c r="T59" s="162">
        <f ca="1"/>
        <v>3.3818071806307026E-2</v>
      </c>
      <c r="U59" s="162">
        <f ca="1"/>
        <v>5.5383020909554492E-2</v>
      </c>
      <c r="V59" s="138">
        <f ca="1"/>
        <v>9.6031499680804933E-2</v>
      </c>
      <c r="W59" s="137">
        <f ca="1"/>
        <v>0</v>
      </c>
      <c r="X59" s="162">
        <f ca="1"/>
        <v>1.0996914127785473E-3</v>
      </c>
      <c r="Y59" s="162">
        <f ca="1"/>
        <v>2.909360801308214E-3</v>
      </c>
      <c r="Z59" s="162">
        <f ca="1"/>
        <v>9.0821086470290746E-3</v>
      </c>
      <c r="AA59" s="162">
        <f ca="1"/>
        <v>1.6456302167981995E-2</v>
      </c>
      <c r="AB59" s="162">
        <f ca="1"/>
        <v>0</v>
      </c>
      <c r="AC59" s="162">
        <f ca="1"/>
        <v>3.4667507836095957E-2</v>
      </c>
      <c r="AD59" s="162">
        <f ca="1"/>
        <v>5.6533497082258855E-2</v>
      </c>
      <c r="AE59" s="138">
        <f ca="1"/>
        <v>9.7605560053767082E-2</v>
      </c>
      <c r="AG59" s="465" t="s">
        <v>557</v>
      </c>
      <c r="AH59" s="467"/>
      <c r="AI59" s="466"/>
      <c r="AJ59" s="468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7.3326354287817086E-4</v>
      </c>
      <c r="P60" s="162">
        <f ca="1"/>
        <v>1.870310700490041E-3</v>
      </c>
      <c r="Q60" s="162">
        <f ca="1"/>
        <v>4.912645822777173E-3</v>
      </c>
      <c r="R60" s="162">
        <f ca="1"/>
        <v>9.3499915265444766E-3</v>
      </c>
      <c r="S60" s="162">
        <f ca="1"/>
        <v>0</v>
      </c>
      <c r="T60" s="162">
        <f ca="1"/>
        <v>1.9667284102008908E-2</v>
      </c>
      <c r="U60" s="162">
        <f ca="1"/>
        <v>3.2265972791945652E-2</v>
      </c>
      <c r="V60" s="138">
        <f ca="1"/>
        <v>5.6782821007587914E-2</v>
      </c>
      <c r="W60" s="137">
        <f ca="1"/>
        <v>0</v>
      </c>
      <c r="X60" s="162">
        <f ca="1"/>
        <v>8.5542027225893325E-4</v>
      </c>
      <c r="Y60" s="162">
        <f ca="1"/>
        <v>2.0767635202104673E-3</v>
      </c>
      <c r="Z60" s="162">
        <f ca="1"/>
        <v>5.2855480297878676E-3</v>
      </c>
      <c r="AA60" s="162">
        <f ca="1"/>
        <v>9.8878310930543556E-3</v>
      </c>
      <c r="AB60" s="162">
        <f ca="1"/>
        <v>0</v>
      </c>
      <c r="AC60" s="162">
        <f ca="1"/>
        <v>2.0529453801867215E-2</v>
      </c>
      <c r="AD60" s="162">
        <f ca="1"/>
        <v>3.3443801422047947E-2</v>
      </c>
      <c r="AE60" s="138">
        <f ca="1"/>
        <v>5.8407105034472662E-2</v>
      </c>
      <c r="AG60" s="465" t="s">
        <v>558</v>
      </c>
      <c r="AH60" s="467">
        <v>8.7500000000000008E-3</v>
      </c>
      <c r="AI60" s="466">
        <v>2025</v>
      </c>
      <c r="AJ60" s="468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9.7756569606266552E-4</v>
      </c>
      <c r="P61" s="162">
        <f ca="1"/>
        <v>2.2831786556108957E-3</v>
      </c>
      <c r="Q61" s="162">
        <f ca="1"/>
        <v>6.0419968193438089E-3</v>
      </c>
      <c r="R61" s="162">
        <f ca="1"/>
        <v>9.8410075917105821E-3</v>
      </c>
      <c r="S61" s="162">
        <f ca="1"/>
        <v>0</v>
      </c>
      <c r="T61" s="162">
        <f ca="1"/>
        <v>2.1415555921292073E-2</v>
      </c>
      <c r="U61" s="162">
        <f ca="1"/>
        <v>3.4645723564120989E-2</v>
      </c>
      <c r="V61" s="138">
        <f ca="1"/>
        <v>6.2045831093879733E-2</v>
      </c>
      <c r="W61" s="137">
        <f ca="1"/>
        <v>0</v>
      </c>
      <c r="X61" s="162">
        <f ca="1"/>
        <v>1.0996914127785473E-3</v>
      </c>
      <c r="Y61" s="162">
        <f ca="1"/>
        <v>2.4895452751776403E-3</v>
      </c>
      <c r="Z61" s="162">
        <f ca="1"/>
        <v>6.4144979565495808E-3</v>
      </c>
      <c r="AA61" s="162">
        <f ca="1"/>
        <v>1.0378422318698788E-2</v>
      </c>
      <c r="AB61" s="162">
        <f ca="1"/>
        <v>0</v>
      </c>
      <c r="AC61" s="162">
        <f ca="1"/>
        <v>2.2276052317015127E-2</v>
      </c>
      <c r="AD61" s="162">
        <f ca="1"/>
        <v>3.582062217419224E-2</v>
      </c>
      <c r="AE61" s="138">
        <f ca="1"/>
        <v>6.3660351941205118E-2</v>
      </c>
      <c r="AG61" s="465" t="s">
        <v>559</v>
      </c>
      <c r="AH61" s="467">
        <v>3.6249999999999998E-2</v>
      </c>
      <c r="AI61" s="466">
        <v>2028</v>
      </c>
      <c r="AJ61" s="468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6.110901553602055E-4</v>
      </c>
      <c r="P62" s="162">
        <f ca="1"/>
        <v>1.2436805199068646E-3</v>
      </c>
      <c r="Q62" s="162">
        <f ca="1"/>
        <v>4.5540256936738022E-3</v>
      </c>
      <c r="R62" s="162">
        <f ca="1"/>
        <v>9.3935404279572587E-3</v>
      </c>
      <c r="S62" s="162">
        <f ca="1"/>
        <v>0</v>
      </c>
      <c r="T62" s="162">
        <f ca="1"/>
        <v>2.4375720748562535E-2</v>
      </c>
      <c r="U62" s="162">
        <f ca="1"/>
        <v>4.1231184058793224E-2</v>
      </c>
      <c r="V62" s="138">
        <f ca="1"/>
        <v>7.0864324204020002E-2</v>
      </c>
      <c r="W62" s="137">
        <f ca="1"/>
        <v>0</v>
      </c>
      <c r="X62" s="162">
        <f ca="1"/>
        <v>7.3326226528613869E-4</v>
      </c>
      <c r="Y62" s="162">
        <f ca="1"/>
        <v>1.4502386101516995E-3</v>
      </c>
      <c r="Z62" s="162">
        <f ca="1"/>
        <v>4.9271115877400629E-3</v>
      </c>
      <c r="AA62" s="162">
        <f ca="1"/>
        <v>9.9315076012382875E-3</v>
      </c>
      <c r="AB62" s="162">
        <f ca="1"/>
        <v>0</v>
      </c>
      <c r="AC62" s="162">
        <f ca="1"/>
        <v>2.5234286562158537E-2</v>
      </c>
      <c r="AD62" s="162">
        <f ca="1"/>
        <v>4.2399850394932992E-2</v>
      </c>
      <c r="AE62" s="138">
        <f ca="1"/>
        <v>7.2464461110839484E-2</v>
      </c>
      <c r="AG62" s="465" t="s">
        <v>560</v>
      </c>
      <c r="AH62" s="467">
        <v>1.125E-2</v>
      </c>
      <c r="AI62" s="466">
        <v>2025</v>
      </c>
      <c r="AJ62" s="468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1.2218083715535011E-3</v>
      </c>
      <c r="P63" s="162">
        <f ca="1"/>
        <v>2.485970574770513E-3</v>
      </c>
      <c r="Q63" s="162">
        <f ca="1"/>
        <v>5.6438637972231476E-3</v>
      </c>
      <c r="R63" s="162">
        <f ca="1"/>
        <v>1.2109858411590846E-2</v>
      </c>
      <c r="S63" s="162">
        <f ca="1"/>
        <v>0</v>
      </c>
      <c r="T63" s="162">
        <f ca="1"/>
        <v>2.6840519098011995E-2</v>
      </c>
      <c r="U63" s="162">
        <f ca="1"/>
        <v>4.4624855521326445E-2</v>
      </c>
      <c r="V63" s="138">
        <f ca="1"/>
        <v>8.1462007950633963E-2</v>
      </c>
      <c r="W63" s="137">
        <f ca="1"/>
        <v>0</v>
      </c>
      <c r="X63" s="162">
        <f ca="1"/>
        <v>1.3439027343919996E-3</v>
      </c>
      <c r="Y63" s="162">
        <f ca="1"/>
        <v>2.6922824331240269E-3</v>
      </c>
      <c r="Z63" s="162">
        <f ca="1"/>
        <v>6.016435458117142E-3</v>
      </c>
      <c r="AA63" s="162">
        <f ca="1"/>
        <v>1.2646389365643107E-2</v>
      </c>
      <c r="AB63" s="162">
        <f ca="1"/>
        <v>0</v>
      </c>
      <c r="AC63" s="162">
        <f ca="1"/>
        <v>2.7696534514133897E-2</v>
      </c>
      <c r="AD63" s="162">
        <f ca="1"/>
        <v>4.5788661341742865E-2</v>
      </c>
      <c r="AE63" s="138">
        <f ca="1"/>
        <v>8.3040277684196417E-2</v>
      </c>
      <c r="AG63" s="465" t="s">
        <v>561</v>
      </c>
      <c r="AH63" s="467">
        <v>5.1249999999999997E-2</v>
      </c>
      <c r="AI63" s="466">
        <v>2027</v>
      </c>
      <c r="AJ63" s="468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3.6669874493666654E-4</v>
      </c>
      <c r="P64" s="162">
        <f ca="1"/>
        <v>1.0405703024687352E-3</v>
      </c>
      <c r="Q64" s="162">
        <f ca="1"/>
        <v>3.8001685676630759E-3</v>
      </c>
      <c r="R64" s="162">
        <f ca="1"/>
        <v>8.3092530529125241E-3</v>
      </c>
      <c r="S64" s="162">
        <f ca="1"/>
        <v>0</v>
      </c>
      <c r="T64" s="162">
        <f ca="1"/>
        <v>2.0778081283150729E-2</v>
      </c>
      <c r="U64" s="162">
        <f ca="1"/>
        <v>3.6382949772516548E-2</v>
      </c>
      <c r="V64" s="138">
        <f ca="1"/>
        <v>6.0279807286112819E-2</v>
      </c>
      <c r="W64" s="137">
        <f ca="1"/>
        <v>0</v>
      </c>
      <c r="X64" s="162">
        <f ca="1"/>
        <v>4.8890136868151579E-4</v>
      </c>
      <c r="Y64" s="162">
        <f ca="1"/>
        <v>1.2471833441808355E-3</v>
      </c>
      <c r="Z64" s="162">
        <f ca="1"/>
        <v>4.1735217271932079E-3</v>
      </c>
      <c r="AA64" s="162">
        <f ca="1"/>
        <v>8.8477927530673517E-3</v>
      </c>
      <c r="AB64" s="162">
        <f ca="1"/>
        <v>0</v>
      </c>
      <c r="AC64" s="162">
        <f ca="1"/>
        <v>2.1639822843459666E-2</v>
      </c>
      <c r="AD64" s="162">
        <f ca="1"/>
        <v>3.7557280798749426E-2</v>
      </c>
      <c r="AE64" s="138">
        <f ca="1"/>
        <v>6.1899375970418835E-2</v>
      </c>
      <c r="AG64" s="465" t="s">
        <v>562</v>
      </c>
      <c r="AH64" s="467">
        <v>0.15</v>
      </c>
      <c r="AI64" s="466">
        <v>2037</v>
      </c>
      <c r="AJ64" s="468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3.6669874493666654E-4</v>
      </c>
      <c r="P65" s="162">
        <f ca="1"/>
        <v>1.0405703024687352E-3</v>
      </c>
      <c r="Q65" s="162">
        <f ca="1"/>
        <v>3.8001685676630759E-3</v>
      </c>
      <c r="R65" s="162">
        <f ca="1"/>
        <v>7.1741689971991374E-3</v>
      </c>
      <c r="S65" s="162">
        <f ca="1"/>
        <v>0</v>
      </c>
      <c r="T65" s="162">
        <f ca="1"/>
        <v>1.8056585773416733E-2</v>
      </c>
      <c r="U65" s="162">
        <f ca="1"/>
        <v>3.0021754319500493E-2</v>
      </c>
      <c r="V65" s="138">
        <f ca="1"/>
        <v>5.1641497960377425E-2</v>
      </c>
      <c r="W65" s="137">
        <f ca="1"/>
        <v>0</v>
      </c>
      <c r="X65" s="162">
        <f ca="1"/>
        <v>4.8890136868151579E-4</v>
      </c>
      <c r="Y65" s="162">
        <f ca="1"/>
        <v>1.2471833441808355E-3</v>
      </c>
      <c r="Z65" s="162">
        <f ca="1"/>
        <v>4.1735217271932079E-3</v>
      </c>
      <c r="AA65" s="162">
        <f ca="1"/>
        <v>7.7131387776093741E-3</v>
      </c>
      <c r="AB65" s="162">
        <f ca="1"/>
        <v>0</v>
      </c>
      <c r="AC65" s="162">
        <f ca="1"/>
        <v>1.8920536834822865E-2</v>
      </c>
      <c r="AD65" s="162">
        <f ca="1"/>
        <v>3.1202908556685616E-2</v>
      </c>
      <c r="AE65" s="138">
        <f ca="1"/>
        <v>5.3275626362004114E-2</v>
      </c>
      <c r="AG65" s="465" t="s">
        <v>563</v>
      </c>
      <c r="AH65" s="467">
        <v>1.4999999999999999E-2</v>
      </c>
      <c r="AI65" s="466">
        <v>2026</v>
      </c>
      <c r="AJ65" s="468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2.4448071659144421E-4</v>
      </c>
      <c r="P66" s="162">
        <f ca="1"/>
        <v>1.044062042309668E-3</v>
      </c>
      <c r="Q66" s="162">
        <f ca="1"/>
        <v>4.1878842497738988E-3</v>
      </c>
      <c r="R66" s="162">
        <f ca="1"/>
        <v>7.7276389048193117E-3</v>
      </c>
      <c r="S66" s="162">
        <f ca="1"/>
        <v>0</v>
      </c>
      <c r="T66" s="162">
        <f ca="1"/>
        <v>1.8936253277816451E-2</v>
      </c>
      <c r="U66" s="162">
        <f ca="1"/>
        <v>3.1218892986679236E-2</v>
      </c>
      <c r="V66" s="138">
        <f ca="1"/>
        <v>5.3296804570737932E-2</v>
      </c>
      <c r="W66" s="137">
        <f ca="1"/>
        <v>0</v>
      </c>
      <c r="X66" s="162">
        <f ca="1"/>
        <v>3.6669847537906808E-4</v>
      </c>
      <c r="Y66" s="162">
        <f ca="1"/>
        <v>1.2506870520179181E-3</v>
      </c>
      <c r="Z66" s="162">
        <f ca="1"/>
        <v>4.5611374477900757E-3</v>
      </c>
      <c r="AA66" s="162">
        <f ca="1"/>
        <v>8.2663579015290756E-3</v>
      </c>
      <c r="AB66" s="162">
        <f ca="1"/>
        <v>0</v>
      </c>
      <c r="AC66" s="162">
        <f ca="1"/>
        <v>1.9799424339479899E-2</v>
      </c>
      <c r="AD66" s="162">
        <f ca="1"/>
        <v>3.2398582286587763E-2</v>
      </c>
      <c r="AE66" s="138">
        <f ca="1"/>
        <v>5.4927853146994221E-2</v>
      </c>
      <c r="AG66" s="465" t="s">
        <v>564</v>
      </c>
      <c r="AH66" s="467"/>
      <c r="AI66" s="466"/>
      <c r="AJ66" s="468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1.0508447428565493E-3</v>
      </c>
      <c r="P67" s="162">
        <f ca="1"/>
        <v>2.7009028073771146E-3</v>
      </c>
      <c r="Q67" s="162">
        <f ca="1"/>
        <v>7.4820785009460655E-3</v>
      </c>
      <c r="R67" s="162">
        <f ca="1"/>
        <v>1.320834393805681E-2</v>
      </c>
      <c r="S67" s="162">
        <f ca="1"/>
        <v>0</v>
      </c>
      <c r="T67" s="162">
        <f ca="1"/>
        <v>2.7590464227137845E-2</v>
      </c>
      <c r="U67" s="162">
        <f ca="1"/>
        <v>4.35445340592997E-2</v>
      </c>
      <c r="V67" s="138">
        <f ca="1"/>
        <v>6.9518941617323193E-2</v>
      </c>
      <c r="W67" s="137">
        <f ca="1"/>
        <v>0</v>
      </c>
      <c r="X67" s="162">
        <f ca="1"/>
        <v>1.1729610895856446E-3</v>
      </c>
      <c r="Y67" s="162">
        <f ca="1"/>
        <v>2.9071992790380419E-3</v>
      </c>
      <c r="Z67" s="162">
        <f ca="1"/>
        <v>7.8540974750864745E-3</v>
      </c>
      <c r="AA67" s="162">
        <f ca="1"/>
        <v>1.3744203676523958E-2</v>
      </c>
      <c r="AB67" s="162">
        <f ca="1"/>
        <v>0</v>
      </c>
      <c r="AC67" s="162">
        <f ca="1"/>
        <v>2.8445491624546126E-2</v>
      </c>
      <c r="AD67" s="162">
        <f ca="1"/>
        <v>4.470877654295502E-2</v>
      </c>
      <c r="AE67" s="138">
        <f ca="1"/>
        <v>7.1119212151861899E-2</v>
      </c>
      <c r="AG67" s="465" t="s">
        <v>565</v>
      </c>
      <c r="AH67" s="467">
        <v>5.7099999999999998E-3</v>
      </c>
      <c r="AI67" s="466">
        <v>2027</v>
      </c>
      <c r="AJ67" s="468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1.2218083715535011E-3</v>
      </c>
      <c r="P68" s="162">
        <f ca="1"/>
        <v>3.7451360977521775E-3</v>
      </c>
      <c r="Q68" s="162">
        <f ca="1"/>
        <v>9.4312145702468708E-3</v>
      </c>
      <c r="R68" s="162">
        <f ca="1"/>
        <v>2.0353645453143332E-2</v>
      </c>
      <c r="S68" s="162">
        <f ca="1"/>
        <v>0</v>
      </c>
      <c r="T68" s="162">
        <f ca="1"/>
        <v>4.9067701058713609E-2</v>
      </c>
      <c r="U68" s="162">
        <f ca="1"/>
        <v>8.4880411989234905E-2</v>
      </c>
      <c r="V68" s="138">
        <f ca="1"/>
        <v>0.14278448992974857</v>
      </c>
      <c r="W68" s="137">
        <f ca="1"/>
        <v>0</v>
      </c>
      <c r="X68" s="162">
        <f ca="1"/>
        <v>1.3439027343919996E-3</v>
      </c>
      <c r="Y68" s="162">
        <f ca="1"/>
        <v>3.9512562509976812E-3</v>
      </c>
      <c r="Z68" s="162">
        <f ca="1"/>
        <v>9.8025195660860209E-3</v>
      </c>
      <c r="AA68" s="162">
        <f ca="1"/>
        <v>2.0886166392931171E-2</v>
      </c>
      <c r="AB68" s="162">
        <f ca="1"/>
        <v>0</v>
      </c>
      <c r="AC68" s="162">
        <f ca="1"/>
        <v>4.9901992141119345E-2</v>
      </c>
      <c r="AD68" s="162">
        <f ca="1"/>
        <v>8.5994280933605172E-2</v>
      </c>
      <c r="AE68" s="138">
        <f ca="1"/>
        <v>0.14429196622702767</v>
      </c>
      <c r="AG68" s="465" t="s">
        <v>566</v>
      </c>
      <c r="AH68" s="467">
        <v>0.01</v>
      </c>
      <c r="AI68" s="466">
        <v>2026</v>
      </c>
      <c r="AJ68" s="468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2.076189662727157E-3</v>
      </c>
      <c r="P69" s="162">
        <f ca="1"/>
        <v>4.3486466075202124E-3</v>
      </c>
      <c r="Q69" s="162">
        <f ca="1"/>
        <v>1.0912462348424024E-2</v>
      </c>
      <c r="R69" s="162">
        <f ca="1"/>
        <v>2.4169341730225335E-2</v>
      </c>
      <c r="S69" s="162">
        <f ca="1"/>
        <v>0</v>
      </c>
      <c r="T69" s="162">
        <f ca="1"/>
        <v>5.320633382277562E-2</v>
      </c>
      <c r="U69" s="162">
        <f ca="1"/>
        <v>9.1740100553509007E-2</v>
      </c>
      <c r="V69" s="138">
        <f ca="1"/>
        <v>0.15753939153571839</v>
      </c>
      <c r="W69" s="137">
        <f ca="1"/>
        <v>0</v>
      </c>
      <c r="X69" s="162">
        <f ca="1"/>
        <v>2.1981714990990664E-3</v>
      </c>
      <c r="Y69" s="162">
        <f ca="1"/>
        <v>4.5545922289905727E-3</v>
      </c>
      <c r="Z69" s="162">
        <f ca="1"/>
        <v>1.1283156864922872E-2</v>
      </c>
      <c r="AA69" s="162">
        <f ca="1"/>
        <v>2.4699860061698109E-2</v>
      </c>
      <c r="AB69" s="162">
        <f ca="1"/>
        <v>0</v>
      </c>
      <c r="AC69" s="162">
        <f ca="1"/>
        <v>5.4036467772174301E-2</v>
      </c>
      <c r="AD69" s="162">
        <f ca="1"/>
        <v>9.2843724666556326E-2</v>
      </c>
      <c r="AE69" s="138">
        <f ca="1"/>
        <v>0.15902606335057468</v>
      </c>
      <c r="AG69" s="465" t="s">
        <v>567</v>
      </c>
      <c r="AH69" s="467">
        <v>3.3750000000000002E-2</v>
      </c>
      <c r="AI69" s="466">
        <v>2026</v>
      </c>
      <c r="AJ69" s="468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4.8890189028605313E-4</v>
      </c>
      <c r="P70" s="162">
        <f ca="1"/>
        <v>1.8773938384613054E-3</v>
      </c>
      <c r="Q70" s="162">
        <f ca="1"/>
        <v>5.6874384253368104E-3</v>
      </c>
      <c r="R70" s="162">
        <f ca="1"/>
        <v>1.2154382599042557E-2</v>
      </c>
      <c r="S70" s="162">
        <f ca="1"/>
        <v>0</v>
      </c>
      <c r="T70" s="162">
        <f ca="1"/>
        <v>3.1533272111415322E-2</v>
      </c>
      <c r="U70" s="162">
        <f ca="1"/>
        <v>5.6187365506846332E-2</v>
      </c>
      <c r="V70" s="138">
        <f ca="1"/>
        <v>9.8783207843138543E-2</v>
      </c>
      <c r="W70" s="137">
        <f ca="1"/>
        <v>0</v>
      </c>
      <c r="X70" s="162">
        <f ca="1"/>
        <v>6.1108929803876944E-4</v>
      </c>
      <c r="Y70" s="162">
        <f ca="1"/>
        <v>2.0838700494308915E-3</v>
      </c>
      <c r="Z70" s="162">
        <f ca="1"/>
        <v>6.0601378533626793E-3</v>
      </c>
      <c r="AA70" s="162">
        <f ca="1"/>
        <v>1.2691050628223066E-2</v>
      </c>
      <c r="AB70" s="162">
        <f ca="1"/>
        <v>0</v>
      </c>
      <c r="AC70" s="162">
        <f ca="1"/>
        <v>3.2385302248217451E-2</v>
      </c>
      <c r="AD70" s="162">
        <f ca="1"/>
        <v>5.7338511751702237E-2</v>
      </c>
      <c r="AE70" s="138">
        <f ca="1"/>
        <v>0.10035690971045941</v>
      </c>
      <c r="AG70" s="465" t="s">
        <v>568</v>
      </c>
      <c r="AH70" s="467">
        <v>2.5000000000000001E-2</v>
      </c>
      <c r="AI70" s="466">
        <v>2026</v>
      </c>
      <c r="AJ70" s="468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1.4049513590542739E-3</v>
      </c>
      <c r="P71" s="162">
        <f ca="1"/>
        <v>2.984301419515778E-3</v>
      </c>
      <c r="Q71" s="162">
        <f ca="1"/>
        <v>7.5760035413643401E-3</v>
      </c>
      <c r="R71" s="162">
        <f ca="1"/>
        <v>1.2898773258768315E-2</v>
      </c>
      <c r="S71" s="162">
        <f ca="1"/>
        <v>0</v>
      </c>
      <c r="T71" s="162">
        <f ca="1"/>
        <v>2.6655000183141153E-2</v>
      </c>
      <c r="U71" s="162">
        <f ca="1"/>
        <v>4.2164811325057894E-2</v>
      </c>
      <c r="V71" s="138">
        <f ca="1"/>
        <v>6.7847019428516786E-2</v>
      </c>
      <c r="W71" s="137">
        <f ca="1"/>
        <v>0</v>
      </c>
      <c r="X71" s="162">
        <f ca="1"/>
        <v>1.5270219783213301E-3</v>
      </c>
      <c r="Y71" s="162">
        <f ca="1"/>
        <v>3.1905201827929774E-3</v>
      </c>
      <c r="Z71" s="162">
        <f ca="1"/>
        <v>7.9479298101533535E-3</v>
      </c>
      <c r="AA71" s="162">
        <f ca="1"/>
        <v>1.3434666614035362E-2</v>
      </c>
      <c r="AB71" s="162">
        <f ca="1"/>
        <v>0</v>
      </c>
      <c r="AC71" s="162">
        <f ca="1"/>
        <v>2.7510715161808919E-2</v>
      </c>
      <c r="AD71" s="162">
        <f ca="1"/>
        <v>4.3330501134427601E-2</v>
      </c>
      <c r="AE71" s="138">
        <f ca="1"/>
        <v>6.9450181863317861E-2</v>
      </c>
      <c r="AG71" s="465" t="s">
        <v>569</v>
      </c>
      <c r="AH71" s="467">
        <v>1.7500000000000002E-2</v>
      </c>
      <c r="AI71" s="466">
        <v>2026</v>
      </c>
      <c r="AJ71" s="468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8.5542205552979755E-4</v>
      </c>
      <c r="P72" s="162">
        <f ca="1"/>
        <v>2.4967056122537912E-3</v>
      </c>
      <c r="Q72" s="162">
        <f ca="1"/>
        <v>9.1047738953521362E-3</v>
      </c>
      <c r="R72" s="162">
        <f ca="1"/>
        <v>1.7608997985848585E-2</v>
      </c>
      <c r="S72" s="162">
        <f ca="1"/>
        <v>0</v>
      </c>
      <c r="T72" s="162">
        <f ca="1"/>
        <v>4.2001104025089497E-2</v>
      </c>
      <c r="U72" s="162">
        <f ca="1"/>
        <v>6.8908545587781811E-2</v>
      </c>
      <c r="V72" s="138">
        <f ca="1"/>
        <v>0.1236812284726313</v>
      </c>
      <c r="W72" s="137">
        <f ca="1"/>
        <v>0</v>
      </c>
      <c r="X72" s="162">
        <f ca="1"/>
        <v>9.7756332082132857E-4</v>
      </c>
      <c r="Y72" s="162">
        <f ca="1"/>
        <v>2.7030522045823346E-3</v>
      </c>
      <c r="Z72" s="162">
        <f ca="1"/>
        <v>9.4763221478850745E-3</v>
      </c>
      <c r="AA72" s="162">
        <f ca="1"/>
        <v>1.8142934139455558E-2</v>
      </c>
      <c r="AB72" s="162">
        <f ca="1"/>
        <v>0</v>
      </c>
      <c r="AC72" s="162">
        <f ca="1"/>
        <v>4.2842754426216989E-2</v>
      </c>
      <c r="AD72" s="162">
        <f ca="1"/>
        <v>7.004332410738745E-2</v>
      </c>
      <c r="AE72" s="138">
        <f ca="1"/>
        <v>0.12521783508690043</v>
      </c>
      <c r="AG72" s="465" t="s">
        <v>570</v>
      </c>
      <c r="AH72" s="467">
        <v>2.972E-2</v>
      </c>
      <c r="AI72" s="466">
        <v>2026</v>
      </c>
      <c r="AJ72" s="468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4.8890189028605313E-4</v>
      </c>
      <c r="P73" s="162">
        <f ca="1"/>
        <v>1.2471842504704345E-3</v>
      </c>
      <c r="Q73" s="162">
        <f ca="1"/>
        <v>4.1735521878391024E-3</v>
      </c>
      <c r="R73" s="162">
        <f ca="1"/>
        <v>7.713182832153942E-3</v>
      </c>
      <c r="S73" s="162">
        <f ca="1"/>
        <v>0</v>
      </c>
      <c r="T73" s="162">
        <f ca="1"/>
        <v>2.1723473691090622E-2</v>
      </c>
      <c r="U73" s="162">
        <f ca="1"/>
        <v>4.032814462372003E-2</v>
      </c>
      <c r="V73" s="138">
        <f ca="1"/>
        <v>7.3462194379098622E-2</v>
      </c>
      <c r="W73" s="137">
        <f ca="1"/>
        <v>0</v>
      </c>
      <c r="X73" s="162">
        <f ca="1"/>
        <v>6.1108929803876944E-4</v>
      </c>
      <c r="Y73" s="162">
        <f ca="1"/>
        <v>1.4537543170896061E-3</v>
      </c>
      <c r="Z73" s="162">
        <f ca="1"/>
        <v>4.5467618532127885E-3</v>
      </c>
      <c r="AA73" s="162">
        <f ca="1"/>
        <v>8.2518558580824131E-3</v>
      </c>
      <c r="AB73" s="162">
        <f ca="1"/>
        <v>0</v>
      </c>
      <c r="AC73" s="162">
        <f ca="1"/>
        <v>2.2584370007608268E-2</v>
      </c>
      <c r="AD73" s="162">
        <f ca="1"/>
        <v>4.1498387390368929E-2</v>
      </c>
      <c r="AE73" s="138">
        <f ca="1"/>
        <v>7.5058424981489846E-2</v>
      </c>
      <c r="AG73" s="465" t="s">
        <v>571</v>
      </c>
      <c r="AH73" s="467">
        <v>4.3749999999999997E-2</v>
      </c>
      <c r="AI73" s="466">
        <v>2029</v>
      </c>
      <c r="AJ73" s="468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7.3326354287817086E-4</v>
      </c>
      <c r="P74" s="162">
        <f ca="1"/>
        <v>2.2903110690472017E-3</v>
      </c>
      <c r="Q74" s="162">
        <f ca="1"/>
        <v>7.5831492382479881E-3</v>
      </c>
      <c r="R74" s="162">
        <f ca="1"/>
        <v>1.4304105374438048E-2</v>
      </c>
      <c r="S74" s="162">
        <f ca="1"/>
        <v>0</v>
      </c>
      <c r="T74" s="162">
        <f ca="1"/>
        <v>3.0317495363873515E-2</v>
      </c>
      <c r="U74" s="162">
        <f ca="1"/>
        <v>5.0665924345278501E-2</v>
      </c>
      <c r="V74" s="138">
        <f ca="1"/>
        <v>8.574494605334182E-2</v>
      </c>
      <c r="W74" s="137">
        <f ca="1"/>
        <v>0</v>
      </c>
      <c r="X74" s="162">
        <f ca="1"/>
        <v>8.5542027225893325E-4</v>
      </c>
      <c r="Y74" s="162">
        <f ca="1"/>
        <v>2.4967008862741835E-3</v>
      </c>
      <c r="Z74" s="162">
        <f ca="1"/>
        <v>7.9552079230521544E-3</v>
      </c>
      <c r="AA74" s="162">
        <f ca="1"/>
        <v>1.4839605119088772E-2</v>
      </c>
      <c r="AB74" s="162">
        <f ca="1"/>
        <v>0</v>
      </c>
      <c r="AC74" s="162">
        <f ca="1"/>
        <v>3.1170271849597087E-2</v>
      </c>
      <c r="AD74" s="162">
        <f ca="1"/>
        <v>5.182229564305918E-2</v>
      </c>
      <c r="AE74" s="138">
        <f ca="1"/>
        <v>8.7315703597302452E-2</v>
      </c>
      <c r="AG74" s="465" t="s">
        <v>572</v>
      </c>
      <c r="AH74" s="467">
        <v>5.6250000000000001E-2</v>
      </c>
      <c r="AI74" s="466">
        <v>2033</v>
      </c>
      <c r="AJ74" s="468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2.4448071659144421E-4</v>
      </c>
      <c r="P75" s="162">
        <f ca="1"/>
        <v>6.2374740447712629E-4</v>
      </c>
      <c r="Q75" s="162">
        <f ca="1"/>
        <v>2.2805722147256624E-3</v>
      </c>
      <c r="R75" s="162">
        <f ca="1"/>
        <v>4.9902809856033903E-3</v>
      </c>
      <c r="S75" s="162">
        <f ca="1"/>
        <v>0</v>
      </c>
      <c r="T75" s="162">
        <f ca="1"/>
        <v>1.1751101502317729E-2</v>
      </c>
      <c r="U75" s="162">
        <f ca="1"/>
        <v>2.2826933159419971E-2</v>
      </c>
      <c r="V75" s="138">
        <f ca="1"/>
        <v>4.5665702822744847E-2</v>
      </c>
      <c r="W75" s="137">
        <f ca="1"/>
        <v>0</v>
      </c>
      <c r="X75" s="162">
        <f ca="1"/>
        <v>3.6669847537906808E-4</v>
      </c>
      <c r="Y75" s="162">
        <f ca="1"/>
        <v>8.3043423248252424E-4</v>
      </c>
      <c r="Z75" s="162">
        <f ca="1"/>
        <v>2.654418138748893E-3</v>
      </c>
      <c r="AA75" s="162">
        <f ca="1"/>
        <v>5.5303560716696287E-3</v>
      </c>
      <c r="AB75" s="162">
        <f ca="1"/>
        <v>0</v>
      </c>
      <c r="AC75" s="162">
        <f ca="1"/>
        <v>1.2620274027647982E-2</v>
      </c>
      <c r="AD75" s="162">
        <f ca="1"/>
        <v>2.4016714119937999E-2</v>
      </c>
      <c r="AE75" s="138">
        <f ca="1"/>
        <v>4.7311874530676201E-2</v>
      </c>
      <c r="AG75" s="465" t="s">
        <v>573</v>
      </c>
      <c r="AH75" s="467">
        <v>1.4999999999999999E-2</v>
      </c>
      <c r="AI75" s="466">
        <v>2028</v>
      </c>
      <c r="AJ75" s="468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1.1241184372902113E-3</v>
      </c>
      <c r="P76" s="162">
        <f ca="1"/>
        <v>2.8876569445978051E-3</v>
      </c>
      <c r="Q76" s="162">
        <f ca="1"/>
        <v>7.8564063772907922E-3</v>
      </c>
      <c r="R76" s="162">
        <f ca="1"/>
        <v>1.363347363800782E-2</v>
      </c>
      <c r="S76" s="162">
        <f ca="1"/>
        <v>0</v>
      </c>
      <c r="T76" s="162">
        <f ca="1"/>
        <v>2.659998919322859E-2</v>
      </c>
      <c r="U76" s="162">
        <f ca="1"/>
        <v>4.103984404374128E-2</v>
      </c>
      <c r="V76" s="138">
        <f ca="1"/>
        <v>6.4003452558654028E-2</v>
      </c>
      <c r="W76" s="137">
        <f ca="1"/>
        <v>0</v>
      </c>
      <c r="X76" s="162">
        <f ca="1"/>
        <v>1.2462253830691772E-3</v>
      </c>
      <c r="Y76" s="162">
        <f ca="1"/>
        <v>3.0939179346382017E-3</v>
      </c>
      <c r="Z76" s="162">
        <f ca="1"/>
        <v>8.2282857343660698E-3</v>
      </c>
      <c r="AA76" s="162">
        <f ca="1"/>
        <v>1.416908633496694E-2</v>
      </c>
      <c r="AB76" s="162">
        <f ca="1"/>
        <v>0</v>
      </c>
      <c r="AC76" s="162">
        <f ca="1"/>
        <v>2.7455715733995856E-2</v>
      </c>
      <c r="AD76" s="162">
        <f ca="1"/>
        <v>4.2206454323401976E-2</v>
      </c>
      <c r="AE76" s="138">
        <f ca="1"/>
        <v>6.5612791385178726E-2</v>
      </c>
      <c r="AG76" s="465" t="s">
        <v>574</v>
      </c>
      <c r="AH76" s="467">
        <v>1.2500000000000001E-2</v>
      </c>
      <c r="AI76" s="466">
        <v>2026</v>
      </c>
      <c r="AJ76" s="468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2.9298435485524132E-3</v>
      </c>
      <c r="P77" s="162">
        <f ca="1"/>
        <v>6.6271160055287881E-3</v>
      </c>
      <c r="Q77" s="162">
        <f ca="1"/>
        <v>1.8429206727739289E-2</v>
      </c>
      <c r="R77" s="162">
        <f ca="1"/>
        <v>3.6548075726653195E-2</v>
      </c>
      <c r="S77" s="162">
        <f ca="1"/>
        <v>0</v>
      </c>
      <c r="T77" s="162">
        <f ca="1"/>
        <v>9.0546425543589826E-2</v>
      </c>
      <c r="U77" s="162">
        <f ca="1"/>
        <v>0.14691275301201101</v>
      </c>
      <c r="V77" s="138">
        <f ca="1"/>
        <v>0.23247785853880321</v>
      </c>
      <c r="W77" s="137">
        <f ca="1"/>
        <v>0</v>
      </c>
      <c r="X77" s="162">
        <f ca="1"/>
        <v>3.051708295135902E-3</v>
      </c>
      <c r="Y77" s="162">
        <f ca="1"/>
        <v>6.8326248757374364E-3</v>
      </c>
      <c r="Z77" s="162">
        <f ca="1"/>
        <v>1.8797080692675383E-2</v>
      </c>
      <c r="AA77" s="162">
        <f ca="1"/>
        <v>3.7071873809531364E-2</v>
      </c>
      <c r="AB77" s="162">
        <f ca="1"/>
        <v>0</v>
      </c>
      <c r="AC77" s="162">
        <f ca="1"/>
        <v>9.1357395918170048E-2</v>
      </c>
      <c r="AD77" s="162">
        <f ca="1"/>
        <v>0.14797209971436187</v>
      </c>
      <c r="AE77" s="138">
        <f ca="1"/>
        <v>0.23384194175941864</v>
      </c>
      <c r="AG77" s="465" t="s">
        <v>575</v>
      </c>
      <c r="AH77" s="467">
        <v>1.6250000000000001E-2</v>
      </c>
      <c r="AI77" s="466">
        <v>2026</v>
      </c>
      <c r="AJ77" s="468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7.3326354287817086E-4</v>
      </c>
      <c r="P78" s="162">
        <f ca="1"/>
        <v>2.2903110690472017E-3</v>
      </c>
      <c r="Q78" s="162">
        <f ca="1"/>
        <v>7.9664668043707421E-3</v>
      </c>
      <c r="R78" s="162">
        <f ca="1"/>
        <v>1.541648258728634E-2</v>
      </c>
      <c r="S78" s="162">
        <f ca="1"/>
        <v>0</v>
      </c>
      <c r="T78" s="162">
        <f ca="1"/>
        <v>3.5774732804738085E-2</v>
      </c>
      <c r="U78" s="162">
        <f ca="1"/>
        <v>5.9273246270668878E-2</v>
      </c>
      <c r="V78" s="138">
        <f ca="1"/>
        <v>0.10697807336474241</v>
      </c>
      <c r="W78" s="137">
        <f ca="1"/>
        <v>0</v>
      </c>
      <c r="X78" s="162">
        <f ca="1"/>
        <v>8.5542027225893325E-4</v>
      </c>
      <c r="Y78" s="162">
        <f ca="1"/>
        <v>2.4967008862741835E-3</v>
      </c>
      <c r="Z78" s="162">
        <f ca="1"/>
        <v>8.3384060330599086E-3</v>
      </c>
      <c r="AA78" s="162">
        <f ca="1"/>
        <v>1.5951487228199057E-2</v>
      </c>
      <c r="AB78" s="162">
        <f ca="1"/>
        <v>0</v>
      </c>
      <c r="AC78" s="162">
        <f ca="1"/>
        <v>3.6622537100217456E-2</v>
      </c>
      <c r="AD78" s="162">
        <f ca="1"/>
        <v>6.0419754130654812E-2</v>
      </c>
      <c r="AE78" s="138">
        <f ca="1"/>
        <v>0.10853890413630551</v>
      </c>
      <c r="AG78" s="465" t="s">
        <v>576</v>
      </c>
      <c r="AH78" s="467">
        <v>1.125E-2</v>
      </c>
      <c r="AI78" s="466">
        <v>2026</v>
      </c>
      <c r="AJ78" s="468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1.2218083715535011E-3</v>
      </c>
      <c r="P79" s="162">
        <f ca="1"/>
        <v>2.905763286686458E-3</v>
      </c>
      <c r="Q79" s="162">
        <f ca="1"/>
        <v>8.3124755249266435E-3</v>
      </c>
      <c r="R79" s="162">
        <f ca="1"/>
        <v>1.8184526700224857E-2</v>
      </c>
      <c r="S79" s="162">
        <f ca="1"/>
        <v>0</v>
      </c>
      <c r="T79" s="162">
        <f ca="1"/>
        <v>4.5657270989953869E-2</v>
      </c>
      <c r="U79" s="162">
        <f ca="1"/>
        <v>7.7692891311984313E-2</v>
      </c>
      <c r="V79" s="138">
        <f ca="1"/>
        <v>0.13139219543800296</v>
      </c>
      <c r="W79" s="137">
        <f ca="1"/>
        <v>0</v>
      </c>
      <c r="X79" s="162">
        <f ca="1"/>
        <v>1.3439027343919996E-3</v>
      </c>
      <c r="Y79" s="162">
        <f ca="1"/>
        <v>3.1120119493308618E-3</v>
      </c>
      <c r="Z79" s="162">
        <f ca="1"/>
        <v>8.6842017601960197E-3</v>
      </c>
      <c r="AA79" s="162">
        <f ca="1"/>
        <v>1.8718199379752276E-2</v>
      </c>
      <c r="AB79" s="162">
        <f ca="1"/>
        <v>0</v>
      </c>
      <c r="AC79" s="162">
        <f ca="1"/>
        <v>4.6495167687180095E-2</v>
      </c>
      <c r="AD79" s="162">
        <f ca="1"/>
        <v>7.881683668682149E-2</v>
      </c>
      <c r="AE79" s="138">
        <f ca="1"/>
        <v>0.1329162234492105</v>
      </c>
      <c r="AG79" s="465" t="s">
        <v>577</v>
      </c>
      <c r="AH79" s="467">
        <v>5.5300000000000002E-3</v>
      </c>
      <c r="AI79" s="466">
        <v>2029</v>
      </c>
      <c r="AJ79" s="468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6.110901553602055E-4</v>
      </c>
      <c r="P80" s="162">
        <f ca="1"/>
        <v>1.0335878456338987E-3</v>
      </c>
      <c r="Q80" s="162">
        <f ca="1"/>
        <v>3.7930663829350841E-3</v>
      </c>
      <c r="R80" s="162">
        <f ca="1"/>
        <v>1.0003879922609427E-2</v>
      </c>
      <c r="S80" s="162">
        <f ca="1"/>
        <v>0</v>
      </c>
      <c r="T80" s="162">
        <f ca="1"/>
        <v>2.4378511911553158E-2</v>
      </c>
      <c r="U80" s="162">
        <f ca="1"/>
        <v>4.3914451194344895E-2</v>
      </c>
      <c r="V80" s="138">
        <f ca="1"/>
        <v>8.0324693579317041E-2</v>
      </c>
      <c r="W80" s="137">
        <f ca="1"/>
        <v>0</v>
      </c>
      <c r="X80" s="162">
        <f ca="1"/>
        <v>7.3326226528613869E-4</v>
      </c>
      <c r="Y80" s="162">
        <f ca="1"/>
        <v>1.240176786656666E-3</v>
      </c>
      <c r="Z80" s="162">
        <f ca="1"/>
        <v>4.1663962118132503E-3</v>
      </c>
      <c r="AA80" s="162">
        <f ca="1"/>
        <v>1.0541733370950213E-2</v>
      </c>
      <c r="AB80" s="162">
        <f ca="1"/>
        <v>0</v>
      </c>
      <c r="AC80" s="162">
        <f ca="1"/>
        <v>2.5237228341303486E-2</v>
      </c>
      <c r="AD80" s="162">
        <f ca="1"/>
        <v>4.5080249728010946E-2</v>
      </c>
      <c r="AE80" s="138">
        <f ca="1"/>
        <v>8.1907185433473306E-2</v>
      </c>
      <c r="AG80" s="465" t="s">
        <v>578</v>
      </c>
      <c r="AH80" s="467">
        <v>8.7500000000000008E-3</v>
      </c>
      <c r="AI80" s="466">
        <v>2025</v>
      </c>
      <c r="AJ80" s="468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1.2218083715535011E-3</v>
      </c>
      <c r="P81" s="162">
        <f ca="1"/>
        <v>2.0661069679985822E-3</v>
      </c>
      <c r="Q81" s="162">
        <f ca="1"/>
        <v>6.8091192401628087E-3</v>
      </c>
      <c r="R81" s="162">
        <f ca="1"/>
        <v>1.6030252447334914E-2</v>
      </c>
      <c r="S81" s="162">
        <f ca="1"/>
        <v>0</v>
      </c>
      <c r="T81" s="162">
        <f ca="1"/>
        <v>3.8557612945019581E-2</v>
      </c>
      <c r="U81" s="162">
        <f ca="1"/>
        <v>6.6930686428190667E-2</v>
      </c>
      <c r="V81" s="138">
        <f ca="1"/>
        <v>0.12091604098224829</v>
      </c>
      <c r="W81" s="137">
        <f ca="1"/>
        <v>0</v>
      </c>
      <c r="X81" s="162">
        <f ca="1"/>
        <v>1.3439027343919996E-3</v>
      </c>
      <c r="Y81" s="162">
        <f ca="1"/>
        <v>2.2724813352524853E-3</v>
      </c>
      <c r="Z81" s="162">
        <f ca="1"/>
        <v>7.1813840647825256E-3</v>
      </c>
      <c r="AA81" s="162">
        <f ca="1"/>
        <v>1.6565097197556056E-2</v>
      </c>
      <c r="AB81" s="162">
        <f ca="1"/>
        <v>0</v>
      </c>
      <c r="AC81" s="162">
        <f ca="1"/>
        <v>3.940295917672032E-2</v>
      </c>
      <c r="AD81" s="162">
        <f ca="1"/>
        <v>6.8068178647054611E-2</v>
      </c>
      <c r="AE81" s="138">
        <f ca="1"/>
        <v>0.12245851884034953</v>
      </c>
      <c r="AG81" s="465" t="s">
        <v>579</v>
      </c>
      <c r="AH81" s="467">
        <v>2.2499999999999999E-2</v>
      </c>
      <c r="AI81" s="466">
        <v>2026</v>
      </c>
      <c r="AJ81" s="468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4.8890189028605313E-4</v>
      </c>
      <c r="P82" s="162">
        <f ca="1"/>
        <v>1.8773938384613054E-3</v>
      </c>
      <c r="Q82" s="162">
        <f ca="1"/>
        <v>4.9198180419901538E-3</v>
      </c>
      <c r="R82" s="162">
        <f ca="1"/>
        <v>9.9241498863581468E-3</v>
      </c>
      <c r="S82" s="162">
        <f ca="1"/>
        <v>0</v>
      </c>
      <c r="T82" s="162">
        <f ca="1"/>
        <v>2.5228491333053271E-2</v>
      </c>
      <c r="U82" s="162">
        <f ca="1"/>
        <v>4.3733760877077477E-2</v>
      </c>
      <c r="V82" s="138">
        <f ca="1"/>
        <v>7.6213996091894276E-2</v>
      </c>
      <c r="W82" s="137">
        <f ca="1"/>
        <v>0</v>
      </c>
      <c r="X82" s="162">
        <f ca="1"/>
        <v>6.1108929803876944E-4</v>
      </c>
      <c r="Y82" s="162">
        <f ca="1"/>
        <v>2.0838700494308915E-3</v>
      </c>
      <c r="Z82" s="162">
        <f ca="1"/>
        <v>5.2927435527417854E-3</v>
      </c>
      <c r="AA82" s="162">
        <f ca="1"/>
        <v>1.0461792990524854E-2</v>
      </c>
      <c r="AB82" s="162">
        <f ca="1"/>
        <v>0</v>
      </c>
      <c r="AC82" s="162">
        <f ca="1"/>
        <v>2.6086191607662679E-2</v>
      </c>
      <c r="AD82" s="162">
        <f ca="1"/>
        <v>4.4899469828479588E-2</v>
      </c>
      <c r="AE82" s="138">
        <f ca="1"/>
        <v>7.7804239386144669E-2</v>
      </c>
      <c r="AG82" s="465" t="s">
        <v>580</v>
      </c>
      <c r="AH82" s="467">
        <v>1.7500000000000002E-2</v>
      </c>
      <c r="AI82" s="466">
        <v>2025</v>
      </c>
      <c r="AJ82" s="468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7.3326354287817086E-4</v>
      </c>
      <c r="P83" s="162">
        <f ca="1"/>
        <v>2.710240516665241E-3</v>
      </c>
      <c r="Q83" s="162">
        <f ca="1"/>
        <v>7.1849470941234284E-3</v>
      </c>
      <c r="R83" s="162">
        <f ca="1"/>
        <v>1.3741803217768744E-2</v>
      </c>
      <c r="S83" s="162">
        <f ca="1"/>
        <v>0</v>
      </c>
      <c r="T83" s="162">
        <f ca="1"/>
        <v>3.5927169061389597E-2</v>
      </c>
      <c r="U83" s="162">
        <f ca="1"/>
        <v>6.3409673423496238E-2</v>
      </c>
      <c r="V83" s="138">
        <f ca="1"/>
        <v>0.1084839490371996</v>
      </c>
      <c r="W83" s="137">
        <f ca="1"/>
        <v>0</v>
      </c>
      <c r="X83" s="162">
        <f ca="1"/>
        <v>8.5542027225893325E-4</v>
      </c>
      <c r="Y83" s="162">
        <f ca="1"/>
        <v>2.9165666400094992E-3</v>
      </c>
      <c r="Z83" s="162">
        <f ca="1"/>
        <v>7.5570896565192447E-3</v>
      </c>
      <c r="AA83" s="162">
        <f ca="1"/>
        <v>1.4277520309094016E-2</v>
      </c>
      <c r="AB83" s="162">
        <f ca="1"/>
        <v>0</v>
      </c>
      <c r="AC83" s="162">
        <f ca="1"/>
        <v>3.6774733543243343E-2</v>
      </c>
      <c r="AD83" s="162">
        <f ca="1"/>
        <v>6.4551711983953042E-2</v>
      </c>
      <c r="AE83" s="138">
        <f ca="1"/>
        <v>0.11004227247675746</v>
      </c>
      <c r="AG83" s="465" t="s">
        <v>581</v>
      </c>
      <c r="AH83" s="467">
        <v>1.25E-3</v>
      </c>
      <c r="AI83" s="466">
        <v>2026</v>
      </c>
      <c r="AJ83" s="468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3.6669874493666654E-4</v>
      </c>
      <c r="P84" s="162">
        <f ca="1"/>
        <v>1.8809359262729197E-3</v>
      </c>
      <c r="Q84" s="162">
        <f ca="1"/>
        <v>5.6910499236345613E-3</v>
      </c>
      <c r="R84" s="162">
        <f ca="1"/>
        <v>1.2158072451702417E-2</v>
      </c>
      <c r="S84" s="162">
        <f ca="1"/>
        <v>0</v>
      </c>
      <c r="T84" s="162">
        <f ca="1"/>
        <v>2.7819767096092241E-2</v>
      </c>
      <c r="U84" s="162">
        <f ca="1"/>
        <v>4.9921651258749922E-2</v>
      </c>
      <c r="V84" s="138">
        <f ca="1"/>
        <v>9.043533435070672E-2</v>
      </c>
      <c r="W84" s="137">
        <f ca="1"/>
        <v>0</v>
      </c>
      <c r="X84" s="162">
        <f ca="1"/>
        <v>4.8890136868151579E-4</v>
      </c>
      <c r="Y84" s="162">
        <f ca="1"/>
        <v>2.0874237491346204E-3</v>
      </c>
      <c r="Z84" s="162">
        <f ca="1"/>
        <v>6.0637610000664477E-3</v>
      </c>
      <c r="AA84" s="162">
        <f ca="1"/>
        <v>1.2694751444877639E-2</v>
      </c>
      <c r="AB84" s="162">
        <f ca="1"/>
        <v>0</v>
      </c>
      <c r="AC84" s="162">
        <f ca="1"/>
        <v>2.8675122731643188E-2</v>
      </c>
      <c r="AD84" s="162">
        <f ca="1"/>
        <v>5.1079800782418139E-2</v>
      </c>
      <c r="AE84" s="138">
        <f ca="1"/>
        <v>9.1997367361632221E-2</v>
      </c>
      <c r="AG84" s="465" t="s">
        <v>582</v>
      </c>
      <c r="AH84" s="467">
        <v>5.6250000000000001E-2</v>
      </c>
      <c r="AI84" s="466">
        <v>2027</v>
      </c>
      <c r="AJ84" s="468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1.2218083715535011E-3</v>
      </c>
      <c r="P85" s="162">
        <f ca="1"/>
        <v>2.2760476343698377E-3</v>
      </c>
      <c r="Q85" s="162">
        <f ca="1"/>
        <v>7.185132022677676E-3</v>
      </c>
      <c r="R85" s="162">
        <f ca="1"/>
        <v>1.3741987426703628E-2</v>
      </c>
      <c r="S85" s="162">
        <f ca="1"/>
        <v>0</v>
      </c>
      <c r="T85" s="162">
        <f ca="1"/>
        <v>3.5927392995295571E-2</v>
      </c>
      <c r="U85" s="162">
        <f ca="1"/>
        <v>6.2082746015566181E-2</v>
      </c>
      <c r="V85" s="138">
        <f ca="1"/>
        <v>9.7091771436266905E-2</v>
      </c>
      <c r="W85" s="137">
        <f ca="1"/>
        <v>0</v>
      </c>
      <c r="X85" s="162">
        <f ca="1"/>
        <v>1.3439027343919996E-3</v>
      </c>
      <c r="Y85" s="162">
        <f ca="1"/>
        <v>2.4823908321103261E-3</v>
      </c>
      <c r="Z85" s="162">
        <f ca="1"/>
        <v>7.5572625184920916E-3</v>
      </c>
      <c r="AA85" s="162">
        <f ca="1"/>
        <v>1.4277708517458909E-2</v>
      </c>
      <c r="AB85" s="162">
        <f ca="1"/>
        <v>0</v>
      </c>
      <c r="AC85" s="162">
        <f ca="1"/>
        <v>3.6774961413727381E-2</v>
      </c>
      <c r="AD85" s="162">
        <f ca="1"/>
        <v>6.3226457346907017E-2</v>
      </c>
      <c r="AE85" s="138">
        <f ca="1"/>
        <v>9.8643972750315112E-2</v>
      </c>
      <c r="AG85" s="465" t="s">
        <v>583</v>
      </c>
      <c r="AH85" s="467">
        <v>7.4999999999999997E-3</v>
      </c>
      <c r="AI85" s="466">
        <v>2026</v>
      </c>
      <c r="AJ85" s="468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2.1493884850414258E-3</v>
      </c>
      <c r="P86" s="162">
        <f ca="1"/>
        <v>4.3254672156453067E-3</v>
      </c>
      <c r="Q86" s="162">
        <f ca="1"/>
        <v>1.0260838397230243E-2</v>
      </c>
      <c r="R86" s="162">
        <f ca="1"/>
        <v>1.6873894064624029E-2</v>
      </c>
      <c r="S86" s="162">
        <f ca="1"/>
        <v>0</v>
      </c>
      <c r="T86" s="162">
        <f ca="1"/>
        <v>3.2626883385225569E-2</v>
      </c>
      <c r="U86" s="162">
        <f ca="1"/>
        <v>4.9230812097392662E-2</v>
      </c>
      <c r="V86" s="138">
        <f ca="1"/>
        <v>7.5303251299653762E-2</v>
      </c>
      <c r="W86" s="137">
        <f ca="1"/>
        <v>0</v>
      </c>
      <c r="X86" s="162">
        <f ca="1"/>
        <v>2.2713604681372512E-3</v>
      </c>
      <c r="Y86" s="162">
        <f ca="1"/>
        <v>4.5314093890270746E-3</v>
      </c>
      <c r="Z86" s="162">
        <f ca="1"/>
        <v>1.0631734892516564E-2</v>
      </c>
      <c r="AA86" s="162">
        <f ca="1"/>
        <v>1.7407623982811038E-2</v>
      </c>
      <c r="AB86" s="162">
        <f ca="1"/>
        <v>0</v>
      </c>
      <c r="AC86" s="162">
        <f ca="1"/>
        <v>3.3476765137368192E-2</v>
      </c>
      <c r="AD86" s="162">
        <f ca="1"/>
        <v>5.0387053759314071E-2</v>
      </c>
      <c r="AE86" s="138">
        <f ca="1"/>
        <v>7.6891061776786618E-2</v>
      </c>
      <c r="AG86" s="465" t="s">
        <v>584</v>
      </c>
      <c r="AH86" s="467">
        <v>1.8749999999999999E-2</v>
      </c>
      <c r="AI86" s="466">
        <v>2025</v>
      </c>
      <c r="AJ86" s="468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1.4171597026582106E-3</v>
      </c>
      <c r="P87" s="162">
        <f ca="1"/>
        <v>3.130832222909774E-3</v>
      </c>
      <c r="Q87" s="162">
        <f ca="1"/>
        <v>7.6470640533982115E-3</v>
      </c>
      <c r="R87" s="162">
        <f ca="1"/>
        <v>1.3002618070030114E-2</v>
      </c>
      <c r="S87" s="162">
        <f ca="1"/>
        <v>0</v>
      </c>
      <c r="T87" s="162">
        <f ca="1"/>
        <v>2.5707652925532121E-2</v>
      </c>
      <c r="U87" s="162">
        <f ca="1"/>
        <v>4.0370910572263607E-2</v>
      </c>
      <c r="V87" s="138">
        <f ca="1"/>
        <v>6.4246839571283409E-2</v>
      </c>
      <c r="W87" s="137">
        <f ca="1"/>
        <v>0</v>
      </c>
      <c r="X87" s="162">
        <f ca="1"/>
        <v>1.5392287319847542E-3</v>
      </c>
      <c r="Y87" s="162">
        <f ca="1"/>
        <v>3.3370276236470708E-3</v>
      </c>
      <c r="Z87" s="162">
        <f ca="1"/>
        <v>8.0189537152800527E-3</v>
      </c>
      <c r="AA87" s="162">
        <f ca="1"/>
        <v>1.3538441037216908E-2</v>
      </c>
      <c r="AB87" s="162">
        <f ca="1"/>
        <v>0</v>
      </c>
      <c r="AC87" s="162">
        <f ca="1"/>
        <v>2.6564099916034589E-2</v>
      </c>
      <c r="AD87" s="162">
        <f ca="1"/>
        <v>4.1538406446627207E-2</v>
      </c>
      <c r="AE87" s="138">
        <f ca="1"/>
        <v>6.5856094694108025E-2</v>
      </c>
      <c r="AG87" s="465" t="s">
        <v>585</v>
      </c>
      <c r="AH87" s="467">
        <v>3.8830000000000003E-2</v>
      </c>
      <c r="AI87" s="466">
        <v>2028</v>
      </c>
      <c r="AJ87" s="468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8.5542205552979755E-4</v>
      </c>
      <c r="P88" s="162">
        <f ca="1"/>
        <v>2.076766034885047E-3</v>
      </c>
      <c r="Q88" s="162">
        <f ca="1"/>
        <v>6.0529503236207427E-3</v>
      </c>
      <c r="R88" s="162">
        <f ca="1"/>
        <v>1.1551373487186933E-2</v>
      </c>
      <c r="S88" s="162">
        <f ca="1"/>
        <v>0</v>
      </c>
      <c r="T88" s="162">
        <f ca="1"/>
        <v>2.9679794045181285E-2</v>
      </c>
      <c r="U88" s="162">
        <f ca="1"/>
        <v>4.972450545525775E-2</v>
      </c>
      <c r="V88" s="138">
        <f ca="1"/>
        <v>8.437484963771924E-2</v>
      </c>
      <c r="W88" s="137">
        <f ca="1"/>
        <v>0</v>
      </c>
      <c r="X88" s="162">
        <f ca="1"/>
        <v>9.7756332082132857E-4</v>
      </c>
      <c r="Y88" s="162">
        <f ca="1"/>
        <v>2.2831757635591865E-3</v>
      </c>
      <c r="Z88" s="162">
        <f ca="1"/>
        <v>6.4254817484981075E-3</v>
      </c>
      <c r="AA88" s="162">
        <f ca="1"/>
        <v>1.2088168780458042E-2</v>
      </c>
      <c r="AB88" s="162">
        <f ca="1"/>
        <v>0</v>
      </c>
      <c r="AC88" s="162">
        <f ca="1"/>
        <v>3.0533353143210484E-2</v>
      </c>
      <c r="AD88" s="162">
        <f ca="1"/>
        <v>5.0883006069980197E-2</v>
      </c>
      <c r="AE88" s="138">
        <f ca="1"/>
        <v>8.5949307021841559E-2</v>
      </c>
      <c r="AG88" s="465" t="s">
        <v>586</v>
      </c>
      <c r="AH88" s="467">
        <v>1.6250000000000001E-2</v>
      </c>
      <c r="AI88" s="466">
        <v>2027</v>
      </c>
      <c r="AJ88" s="468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2.076189662727157E-3</v>
      </c>
      <c r="P89" s="162">
        <f ca="1"/>
        <v>3.7195685414866952E-3</v>
      </c>
      <c r="Q89" s="162">
        <f ca="1"/>
        <v>1.017041152058562E-2</v>
      </c>
      <c r="R89" s="162">
        <f ca="1"/>
        <v>2.1415726184196959E-2</v>
      </c>
      <c r="S89" s="162">
        <f ca="1"/>
        <v>0</v>
      </c>
      <c r="T89" s="162">
        <f ca="1"/>
        <v>5.3501150694477251E-2</v>
      </c>
      <c r="U89" s="162">
        <f ca="1"/>
        <v>8.8114564553456676E-2</v>
      </c>
      <c r="V89" s="138">
        <f ca="1"/>
        <v>0.14903951942434068</v>
      </c>
      <c r="W89" s="137">
        <f ca="1"/>
        <v>0</v>
      </c>
      <c r="X89" s="162">
        <f ca="1"/>
        <v>2.1981714990990664E-3</v>
      </c>
      <c r="Y89" s="162">
        <f ca="1"/>
        <v>3.9256101507012531E-3</v>
      </c>
      <c r="Z89" s="162">
        <f ca="1"/>
        <v>1.0541392822785545E-2</v>
      </c>
      <c r="AA89" s="162">
        <f ca="1"/>
        <v>2.1947629538245694E-2</v>
      </c>
      <c r="AB89" s="162">
        <f ca="1"/>
        <v>0</v>
      </c>
      <c r="AC89" s="162">
        <f ca="1"/>
        <v>5.4330319613743572E-2</v>
      </c>
      <c r="AD89" s="162">
        <f ca="1"/>
        <v>8.922493858392655E-2</v>
      </c>
      <c r="AE89" s="138">
        <f ca="1"/>
        <v>0.15053713796712487</v>
      </c>
      <c r="AG89" s="465" t="s">
        <v>587</v>
      </c>
      <c r="AH89" s="467"/>
      <c r="AI89" s="466"/>
      <c r="AJ89" s="468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4.8890189028605313E-4</v>
      </c>
      <c r="P90" s="162">
        <f ca="1"/>
        <v>1.457271853753106E-3</v>
      </c>
      <c r="Q90" s="162">
        <f ca="1"/>
        <v>5.7020550006265935E-3</v>
      </c>
      <c r="R90" s="162">
        <f ca="1"/>
        <v>1.2169317173724936E-2</v>
      </c>
      <c r="S90" s="162">
        <f ca="1"/>
        <v>0</v>
      </c>
      <c r="T90" s="162">
        <f ca="1"/>
        <v>3.0619848451843845E-2</v>
      </c>
      <c r="U90" s="162">
        <f ca="1"/>
        <v>5.2304824914983672E-2</v>
      </c>
      <c r="V90" s="138">
        <f ca="1"/>
        <v>9.7531556468842817E-2</v>
      </c>
      <c r="W90" s="137">
        <f ca="1"/>
        <v>0</v>
      </c>
      <c r="X90" s="162">
        <f ca="1"/>
        <v>6.1108929803876944E-4</v>
      </c>
      <c r="Y90" s="162">
        <f ca="1"/>
        <v>1.6638108028337317E-3</v>
      </c>
      <c r="Z90" s="162">
        <f ca="1"/>
        <v>6.074791321912909E-3</v>
      </c>
      <c r="AA90" s="162">
        <f ca="1"/>
        <v>1.2706032906409481E-2</v>
      </c>
      <c r="AB90" s="162">
        <f ca="1"/>
        <v>0</v>
      </c>
      <c r="AC90" s="162">
        <f ca="1"/>
        <v>3.1472773421247324E-2</v>
      </c>
      <c r="AD90" s="162">
        <f ca="1"/>
        <v>5.3460486698132303E-2</v>
      </c>
      <c r="AE90" s="138">
        <f ca="1"/>
        <v>9.9108411342014535E-2</v>
      </c>
      <c r="AG90" s="465" t="s">
        <v>588</v>
      </c>
      <c r="AH90" s="467">
        <v>1.125E-2</v>
      </c>
      <c r="AI90" s="466">
        <v>2026</v>
      </c>
      <c r="AJ90" s="468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1.343907411974099E-3</v>
      </c>
      <c r="P91" s="162">
        <f ca="1"/>
        <v>2.272482645796603E-3</v>
      </c>
      <c r="Q91" s="162">
        <f ca="1"/>
        <v>6.0311334225523483E-3</v>
      </c>
      <c r="R91" s="162">
        <f ca="1"/>
        <v>1.2661529772550972E-2</v>
      </c>
      <c r="S91" s="162">
        <f ca="1"/>
        <v>0</v>
      </c>
      <c r="T91" s="162">
        <f ca="1"/>
        <v>3.3285705374121566E-2</v>
      </c>
      <c r="U91" s="162">
        <f ca="1"/>
        <v>5.3218402632624562E-2</v>
      </c>
      <c r="V91" s="138">
        <f ca="1"/>
        <v>9.4972195388742131E-2</v>
      </c>
      <c r="W91" s="137">
        <f ca="1"/>
        <v>0</v>
      </c>
      <c r="X91" s="162">
        <f ca="1"/>
        <v>1.46598596771641E-3</v>
      </c>
      <c r="Y91" s="162">
        <f ca="1"/>
        <v>2.4788140485345611E-3</v>
      </c>
      <c r="Z91" s="162">
        <f ca="1"/>
        <v>6.4035997166701497E-3</v>
      </c>
      <c r="AA91" s="162">
        <f ca="1"/>
        <v>1.3197808263745614E-2</v>
      </c>
      <c r="AB91" s="162">
        <f ca="1"/>
        <v>0</v>
      </c>
      <c r="AC91" s="162">
        <f ca="1"/>
        <v>3.4135914592870908E-2</v>
      </c>
      <c r="AD91" s="162">
        <f ca="1"/>
        <v>5.437277244205807E-2</v>
      </c>
      <c r="AE91" s="138">
        <f ca="1"/>
        <v>9.6549927369520505E-2</v>
      </c>
      <c r="AG91" s="465" t="s">
        <v>589</v>
      </c>
      <c r="AH91" s="467">
        <v>5.7500000000000002E-2</v>
      </c>
      <c r="AI91" s="466">
        <v>2028</v>
      </c>
      <c r="AJ91" s="468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7.3326354287817086E-4</v>
      </c>
      <c r="P92" s="162">
        <f ca="1"/>
        <v>1.4502393929984869E-3</v>
      </c>
      <c r="Q92" s="162">
        <f ca="1"/>
        <v>4.5432215113582197E-3</v>
      </c>
      <c r="R92" s="162">
        <f ca="1"/>
        <v>9.382568571918104E-3</v>
      </c>
      <c r="S92" s="162">
        <f ca="1"/>
        <v>0</v>
      </c>
      <c r="T92" s="162">
        <f ca="1"/>
        <v>2.4364434012094205E-2</v>
      </c>
      <c r="U92" s="162">
        <f ca="1"/>
        <v>4.3899957142368384E-2</v>
      </c>
      <c r="V92" s="138">
        <f ca="1"/>
        <v>8.2272979024078263E-2</v>
      </c>
      <c r="W92" s="137">
        <f ca="1"/>
        <v>0</v>
      </c>
      <c r="X92" s="162">
        <f ca="1"/>
        <v>8.5542027225893325E-4</v>
      </c>
      <c r="Y92" s="162">
        <f ca="1"/>
        <v>1.6567545382761839E-3</v>
      </c>
      <c r="Z92" s="162">
        <f ca="1"/>
        <v>4.9162758557477204E-3</v>
      </c>
      <c r="AA92" s="162">
        <f ca="1"/>
        <v>9.9205008720144594E-3</v>
      </c>
      <c r="AB92" s="162">
        <f ca="1"/>
        <v>0</v>
      </c>
      <c r="AC92" s="162">
        <f ca="1"/>
        <v>2.5222969254736105E-2</v>
      </c>
      <c r="AD92" s="162">
        <f ca="1"/>
        <v>4.5065738311982684E-2</v>
      </c>
      <c r="AE92" s="138">
        <f ca="1"/>
        <v>8.3851215355066899E-2</v>
      </c>
      <c r="AG92" s="465" t="s">
        <v>590</v>
      </c>
      <c r="AH92" s="467">
        <v>5.0000000000000001E-3</v>
      </c>
      <c r="AI92" s="466">
        <v>2027</v>
      </c>
      <c r="AJ92" s="468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1.0996944671649578E-3</v>
      </c>
      <c r="P93" s="162">
        <f ca="1"/>
        <v>5.0073938845563992E-3</v>
      </c>
      <c r="Q93" s="162">
        <f ca="1"/>
        <v>1.3212918716136723E-2</v>
      </c>
      <c r="R93" s="162">
        <f ca="1"/>
        <v>2.4622040563560321E-2</v>
      </c>
      <c r="S93" s="162">
        <f ca="1"/>
        <v>0</v>
      </c>
      <c r="T93" s="162">
        <f ca="1"/>
        <v>6.0367684013328926E-2</v>
      </c>
      <c r="U93" s="162">
        <f ca="1"/>
        <v>9.983012686876469E-2</v>
      </c>
      <c r="V93" s="138">
        <f ca="1"/>
        <v>0.16816271640291092</v>
      </c>
      <c r="W93" s="137">
        <f ca="1"/>
        <v>0</v>
      </c>
      <c r="X93" s="162">
        <f ca="1"/>
        <v>1.2218045500240748E-3</v>
      </c>
      <c r="Y93" s="162">
        <f ca="1"/>
        <v>5.2133260827808003E-3</v>
      </c>
      <c r="Z93" s="162">
        <f ca="1"/>
        <v>1.3582914035068505E-2</v>
      </c>
      <c r="AA93" s="162">
        <f ca="1"/>
        <v>2.5152223099452753E-2</v>
      </c>
      <c r="AB93" s="162">
        <f ca="1"/>
        <v>0</v>
      </c>
      <c r="AC93" s="162">
        <f ca="1"/>
        <v>6.11887685033351E-2</v>
      </c>
      <c r="AD93" s="162">
        <f ca="1"/>
        <v>0.10092413200875217</v>
      </c>
      <c r="AE93" s="138">
        <f ca="1"/>
        <v>0.16963255645312481</v>
      </c>
      <c r="AG93" s="465" t="s">
        <v>591</v>
      </c>
      <c r="AH93" s="467">
        <v>1.375E-2</v>
      </c>
      <c r="AI93" s="466">
        <v>2026</v>
      </c>
      <c r="AJ93" s="468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8.5542205552979755E-4</v>
      </c>
      <c r="P94" s="162">
        <f ca="1"/>
        <v>2.076766034885047E-3</v>
      </c>
      <c r="Q94" s="162">
        <f ca="1"/>
        <v>7.5869141048485744E-3</v>
      </c>
      <c r="R94" s="162">
        <f ca="1"/>
        <v>1.7134692260431628E-2</v>
      </c>
      <c r="S94" s="162">
        <f ca="1"/>
        <v>0</v>
      </c>
      <c r="T94" s="162">
        <f ca="1"/>
        <v>4.3062764128573572E-2</v>
      </c>
      <c r="U94" s="162">
        <f ca="1"/>
        <v>7.2907747372754184E-2</v>
      </c>
      <c r="V94" s="138">
        <f ca="1"/>
        <v>0.1269527174593903</v>
      </c>
      <c r="W94" s="137">
        <f ca="1"/>
        <v>0</v>
      </c>
      <c r="X94" s="162">
        <f ca="1"/>
        <v>9.7756332082132857E-4</v>
      </c>
      <c r="Y94" s="162">
        <f ca="1"/>
        <v>2.2831757635591865E-3</v>
      </c>
      <c r="Z94" s="162">
        <f ca="1"/>
        <v>7.9589771509332996E-3</v>
      </c>
      <c r="AA94" s="162">
        <f ca="1"/>
        <v>1.7669031424912718E-2</v>
      </c>
      <c r="AB94" s="162">
        <f ca="1"/>
        <v>0</v>
      </c>
      <c r="AC94" s="162">
        <f ca="1"/>
        <v>4.3903541287298564E-2</v>
      </c>
      <c r="AD94" s="162">
        <f ca="1"/>
        <v>7.403805935309371E-2</v>
      </c>
      <c r="AE94" s="138">
        <f ca="1"/>
        <v>0.12848462900007884</v>
      </c>
      <c r="AG94" s="465" t="s">
        <v>592</v>
      </c>
      <c r="AH94" s="467">
        <v>0.01</v>
      </c>
      <c r="AI94" s="466">
        <v>2025</v>
      </c>
      <c r="AJ94" s="468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6.110901553602055E-4</v>
      </c>
      <c r="P95" s="162">
        <f ca="1"/>
        <v>1.2436805199068646E-3</v>
      </c>
      <c r="Q95" s="162">
        <f ca="1"/>
        <v>5.3219065902161411E-3</v>
      </c>
      <c r="R95" s="162">
        <f ca="1"/>
        <v>1.0491452018077774E-2</v>
      </c>
      <c r="S95" s="162">
        <f ca="1"/>
        <v>0</v>
      </c>
      <c r="T95" s="162">
        <f ca="1"/>
        <v>2.7049490249431929E-2</v>
      </c>
      <c r="U95" s="162">
        <f ca="1"/>
        <v>4.7510360495102377E-2</v>
      </c>
      <c r="V95" s="138">
        <f ca="1"/>
        <v>8.9103046445193179E-2</v>
      </c>
      <c r="W95" s="137">
        <f ca="1"/>
        <v>0</v>
      </c>
      <c r="X95" s="162">
        <f ca="1"/>
        <v>7.3326226528613869E-4</v>
      </c>
      <c r="Y95" s="162">
        <f ca="1"/>
        <v>1.4502386101516995E-3</v>
      </c>
      <c r="Z95" s="162">
        <f ca="1"/>
        <v>5.6947647980051253E-3</v>
      </c>
      <c r="AA95" s="162">
        <f ca="1"/>
        <v>1.1028892191302209E-2</v>
      </c>
      <c r="AB95" s="162">
        <f ca="1"/>
        <v>0</v>
      </c>
      <c r="AC95" s="162">
        <f ca="1"/>
        <v>2.7905626638231595E-2</v>
      </c>
      <c r="AD95" s="162">
        <f ca="1"/>
        <v>4.8671810795728798E-2</v>
      </c>
      <c r="AE95" s="138">
        <f ca="1"/>
        <v>9.069250184977895E-2</v>
      </c>
      <c r="AG95" s="465" t="s">
        <v>593</v>
      </c>
      <c r="AH95" s="467">
        <v>1.375E-2</v>
      </c>
      <c r="AI95" s="466">
        <v>2025</v>
      </c>
      <c r="AJ95" s="468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1.0996944671649578E-3</v>
      </c>
      <c r="P96" s="162">
        <f ca="1"/>
        <v>1.8596885867413482E-3</v>
      </c>
      <c r="Q96" s="162">
        <f ca="1"/>
        <v>6.8201494573206789E-3</v>
      </c>
      <c r="R96" s="162">
        <f ca="1"/>
        <v>1.2647364000115124E-2</v>
      </c>
      <c r="S96" s="162">
        <f ca="1"/>
        <v>0</v>
      </c>
      <c r="T96" s="162">
        <f ca="1"/>
        <v>3.3270989640893589E-2</v>
      </c>
      <c r="U96" s="162">
        <f ca="1"/>
        <v>5.3203568197980666E-2</v>
      </c>
      <c r="V96" s="138">
        <f ca="1"/>
        <v>9.3036312052327985E-2</v>
      </c>
      <c r="W96" s="137">
        <f ca="1"/>
        <v>0</v>
      </c>
      <c r="X96" s="162">
        <f ca="1"/>
        <v>1.2218045500240748E-3</v>
      </c>
      <c r="Y96" s="162">
        <f ca="1"/>
        <v>2.0661059016656713E-3</v>
      </c>
      <c r="Z96" s="162">
        <f ca="1"/>
        <v>7.1924428604591695E-3</v>
      </c>
      <c r="AA96" s="162">
        <f ca="1"/>
        <v>1.3183633474688761E-2</v>
      </c>
      <c r="AB96" s="162">
        <f ca="1"/>
        <v>0</v>
      </c>
      <c r="AC96" s="162">
        <f ca="1"/>
        <v>3.4121154331399728E-2</v>
      </c>
      <c r="AD96" s="162">
        <f ca="1"/>
        <v>5.4357899027432599E-2</v>
      </c>
      <c r="AE96" s="138">
        <f ca="1"/>
        <v>9.4592448123982709E-2</v>
      </c>
      <c r="AG96" s="465" t="s">
        <v>594</v>
      </c>
      <c r="AH96" s="467">
        <v>8.7500000000000008E-3</v>
      </c>
      <c r="AI96" s="466">
        <v>2027</v>
      </c>
      <c r="AJ96" s="468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8.5542205552979755E-4</v>
      </c>
      <c r="P97" s="162">
        <f ca="1"/>
        <v>3.5462443737881433E-3</v>
      </c>
      <c r="Q97" s="162">
        <f ca="1"/>
        <v>1.0215562270828316E-2</v>
      </c>
      <c r="R97" s="162">
        <f ca="1"/>
        <v>1.9206764191869841E-2</v>
      </c>
      <c r="S97" s="162">
        <f ca="1"/>
        <v>0</v>
      </c>
      <c r="T97" s="162">
        <f ca="1"/>
        <v>4.2692162881412421E-2</v>
      </c>
      <c r="U97" s="162">
        <f ca="1"/>
        <v>6.9892534423416142E-2</v>
      </c>
      <c r="V97" s="138">
        <f ca="1"/>
        <v>0.11739553106606881</v>
      </c>
      <c r="W97" s="137">
        <f ca="1"/>
        <v>0</v>
      </c>
      <c r="X97" s="162">
        <f ca="1"/>
        <v>9.7756332082132857E-4</v>
      </c>
      <c r="Y97" s="162">
        <f ca="1"/>
        <v>3.7524300503019026E-3</v>
      </c>
      <c r="Z97" s="162">
        <f ca="1"/>
        <v>1.0586672731353053E-2</v>
      </c>
      <c r="AA97" s="162">
        <f ca="1"/>
        <v>1.973977891294576E-2</v>
      </c>
      <c r="AB97" s="162">
        <f ca="1"/>
        <v>0</v>
      </c>
      <c r="AC97" s="162">
        <f ca="1"/>
        <v>4.3533016984678485E-2</v>
      </c>
      <c r="AD97" s="162">
        <f ca="1"/>
        <v>7.1025360688422357E-2</v>
      </c>
      <c r="AE97" s="138">
        <f ca="1"/>
        <v>0.11893720092417115</v>
      </c>
      <c r="AG97" s="465" t="s">
        <v>595</v>
      </c>
      <c r="AH97" s="467"/>
      <c r="AI97" s="466"/>
      <c r="AJ97" s="468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3.6669874493666654E-4</v>
      </c>
      <c r="P98" s="162">
        <f ca="1"/>
        <v>1.0405703024687352E-3</v>
      </c>
      <c r="Q98" s="162">
        <f ca="1"/>
        <v>3.4159528810456807E-3</v>
      </c>
      <c r="R98" s="162">
        <f ca="1"/>
        <v>7.1918211410167965E-3</v>
      </c>
      <c r="S98" s="162">
        <f ca="1"/>
        <v>0</v>
      </c>
      <c r="T98" s="162">
        <f ca="1"/>
        <v>1.9009499296591681E-2</v>
      </c>
      <c r="U98" s="162">
        <f ca="1"/>
        <v>3.3985174352013203E-2</v>
      </c>
      <c r="V98" s="138">
        <f ca="1"/>
        <v>6.093979318515963E-2</v>
      </c>
      <c r="W98" s="137">
        <f ca="1"/>
        <v>0</v>
      </c>
      <c r="X98" s="162">
        <f ca="1"/>
        <v>4.8890136868151579E-4</v>
      </c>
      <c r="Y98" s="162">
        <f ca="1"/>
        <v>1.2471833441808355E-3</v>
      </c>
      <c r="Z98" s="162">
        <f ca="1"/>
        <v>3.7894165381913147E-3</v>
      </c>
      <c r="AA98" s="162">
        <f ca="1"/>
        <v>7.7308395856462431E-3</v>
      </c>
      <c r="AB98" s="162">
        <f ca="1"/>
        <v>0</v>
      </c>
      <c r="AC98" s="162">
        <f ca="1"/>
        <v>1.9872779223809256E-2</v>
      </c>
      <c r="AD98" s="162">
        <f ca="1"/>
        <v>3.5162437255171097E-2</v>
      </c>
      <c r="AE98" s="138">
        <f ca="1"/>
        <v>6.2558590996359409E-2</v>
      </c>
      <c r="AG98" s="465" t="s">
        <v>596</v>
      </c>
      <c r="AH98" s="467">
        <v>1.4999999999999999E-2</v>
      </c>
      <c r="AI98" s="466">
        <v>2026</v>
      </c>
      <c r="AJ98" s="468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2.0151865617886733E-3</v>
      </c>
      <c r="P99" s="162">
        <f ca="1"/>
        <v>5.2519192564008943E-3</v>
      </c>
      <c r="Q99" s="162">
        <f ca="1"/>
        <v>1.2142554868935451E-2</v>
      </c>
      <c r="R99" s="162">
        <f ca="1"/>
        <v>1.9230579148240334E-2</v>
      </c>
      <c r="S99" s="162">
        <f ca="1"/>
        <v>0</v>
      </c>
      <c r="T99" s="162">
        <f ca="1"/>
        <v>3.6933879383171275E-2</v>
      </c>
      <c r="U99" s="162">
        <f ca="1"/>
        <v>5.5726483389325954E-2</v>
      </c>
      <c r="V99" s="138">
        <f ca="1"/>
        <v>8.5165994773313103E-2</v>
      </c>
      <c r="W99" s="137">
        <f ca="1"/>
        <v>0</v>
      </c>
      <c r="X99" s="162">
        <f ca="1"/>
        <v>2.1371765835573875E-3</v>
      </c>
      <c r="Y99" s="162">
        <f ca="1"/>
        <v>5.457729714855919E-3</v>
      </c>
      <c r="Z99" s="162">
        <f ca="1"/>
        <v>1.251279050146592E-2</v>
      </c>
      <c r="AA99" s="162">
        <f ca="1"/>
        <v>1.9763032937370695E-2</v>
      </c>
      <c r="AB99" s="162">
        <f ca="1"/>
        <v>0</v>
      </c>
      <c r="AC99" s="162">
        <f ca="1"/>
        <v>3.7779568429513688E-2</v>
      </c>
      <c r="AD99" s="162">
        <f ca="1"/>
        <v>5.6874640312117641E-2</v>
      </c>
      <c r="AE99" s="138">
        <f ca="1"/>
        <v>8.6735161923536364E-2</v>
      </c>
      <c r="AG99" s="465" t="s">
        <v>597</v>
      </c>
      <c r="AH99" s="467">
        <v>0.03</v>
      </c>
      <c r="AI99" s="466">
        <v>2027</v>
      </c>
      <c r="AJ99" s="468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4.8890189028605313E-4</v>
      </c>
      <c r="P100" s="162">
        <f ca="1"/>
        <v>1.457271853753106E-3</v>
      </c>
      <c r="Q100" s="162">
        <f ca="1"/>
        <v>4.5503709289340666E-3</v>
      </c>
      <c r="R100" s="162">
        <f ca="1"/>
        <v>7.6882085628268149E-3</v>
      </c>
      <c r="S100" s="162">
        <f ca="1"/>
        <v>0</v>
      </c>
      <c r="T100" s="162">
        <f ca="1"/>
        <v>1.8896043566161369E-2</v>
      </c>
      <c r="U100" s="162">
        <f ca="1"/>
        <v>3.1178405568395573E-2</v>
      </c>
      <c r="V100" s="138">
        <f ca="1"/>
        <v>5.3256137837522477E-2</v>
      </c>
      <c r="W100" s="137">
        <f ca="1"/>
        <v>0</v>
      </c>
      <c r="X100" s="162">
        <f ca="1"/>
        <v>6.1108929803876944E-4</v>
      </c>
      <c r="Y100" s="162">
        <f ca="1"/>
        <v>1.6638108028337317E-3</v>
      </c>
      <c r="Z100" s="162">
        <f ca="1"/>
        <v>4.9234485795915939E-3</v>
      </c>
      <c r="AA100" s="162">
        <f ca="1"/>
        <v>8.2268084589752766E-3</v>
      </c>
      <c r="AB100" s="162">
        <f ca="1"/>
        <v>0</v>
      </c>
      <c r="AC100" s="162">
        <f ca="1"/>
        <v>1.9759099767763799E-2</v>
      </c>
      <c r="AD100" s="162">
        <f ca="1"/>
        <v>3.2357994788693056E-2</v>
      </c>
      <c r="AE100" s="138">
        <f ca="1"/>
        <v>5.4887109179066362E-2</v>
      </c>
      <c r="AG100" s="465" t="s">
        <v>598</v>
      </c>
      <c r="AH100" s="467">
        <v>1.8749999999999999E-2</v>
      </c>
      <c r="AI100" s="466">
        <v>2026</v>
      </c>
      <c r="AJ100" s="468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7.3326354287817086E-4</v>
      </c>
      <c r="P101" s="162">
        <f ca="1"/>
        <v>3.1300990612982416E-3</v>
      </c>
      <c r="Q101" s="162">
        <f ca="1"/>
        <v>8.7028513211030445E-3</v>
      </c>
      <c r="R101" s="162">
        <f ca="1"/>
        <v>1.8737740060809194E-2</v>
      </c>
      <c r="S101" s="162">
        <f ca="1"/>
        <v>0</v>
      </c>
      <c r="T101" s="162">
        <f ca="1"/>
        <v>4.7443021595736212E-2</v>
      </c>
      <c r="U101" s="162">
        <f ca="1"/>
        <v>8.1371923092134701E-2</v>
      </c>
      <c r="V101" s="138">
        <f ca="1"/>
        <v>0.14193031898114006</v>
      </c>
      <c r="W101" s="137">
        <f ca="1"/>
        <v>0</v>
      </c>
      <c r="X101" s="162">
        <f ca="1"/>
        <v>8.5542027225893325E-4</v>
      </c>
      <c r="Y101" s="162">
        <f ca="1"/>
        <v>3.3363607849433707E-3</v>
      </c>
      <c r="Z101" s="162">
        <f ca="1"/>
        <v>9.0744887436702282E-3</v>
      </c>
      <c r="AA101" s="162">
        <f ca="1"/>
        <v>1.9271162740479464E-2</v>
      </c>
      <c r="AB101" s="162">
        <f ca="1"/>
        <v>0</v>
      </c>
      <c r="AC101" s="162">
        <f ca="1"/>
        <v>4.8279010182956328E-2</v>
      </c>
      <c r="AD101" s="162">
        <f ca="1"/>
        <v>8.2491070328275407E-2</v>
      </c>
      <c r="AE101" s="138">
        <f ca="1"/>
        <v>0.14344125372584782</v>
      </c>
      <c r="AG101" s="465" t="s">
        <v>599</v>
      </c>
      <c r="AH101" s="467">
        <v>1.8749999999999999E-2</v>
      </c>
      <c r="AI101" s="466">
        <v>2025</v>
      </c>
      <c r="AJ101" s="468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4.8890189028605313E-4</v>
      </c>
      <c r="P102" s="162">
        <f ca="1"/>
        <v>1.0370789035837324E-3</v>
      </c>
      <c r="Q102" s="162">
        <f ca="1"/>
        <v>3.4124141413860443E-3</v>
      </c>
      <c r="R102" s="162">
        <f ca="1"/>
        <v>6.6205016232901981E-3</v>
      </c>
      <c r="S102" s="162">
        <f ca="1"/>
        <v>0</v>
      </c>
      <c r="T102" s="162">
        <f ca="1"/>
        <v>1.8111586185668216E-2</v>
      </c>
      <c r="U102" s="162">
        <f ca="1"/>
        <v>3.1424470811241334E-2</v>
      </c>
      <c r="V102" s="138">
        <f ca="1"/>
        <v>5.9457817563820847E-2</v>
      </c>
      <c r="W102" s="137">
        <f ca="1"/>
        <v>0</v>
      </c>
      <c r="X102" s="162">
        <f ca="1"/>
        <v>6.1108929803876944E-4</v>
      </c>
      <c r="Y102" s="162">
        <f ca="1"/>
        <v>1.243679922386054E-3</v>
      </c>
      <c r="Z102" s="162">
        <f ca="1"/>
        <v>3.7858661246032987E-3</v>
      </c>
      <c r="AA102" s="162">
        <f ca="1"/>
        <v>7.1597220924098925E-3</v>
      </c>
      <c r="AB102" s="162">
        <f ca="1"/>
        <v>0</v>
      </c>
      <c r="AC102" s="162">
        <f ca="1"/>
        <v>1.8975596666004901E-2</v>
      </c>
      <c r="AD102" s="162">
        <f ca="1"/>
        <v>3.2604490539323794E-2</v>
      </c>
      <c r="AE102" s="138">
        <f ca="1"/>
        <v>6.1078940008909344E-2</v>
      </c>
      <c r="AG102" s="465" t="s">
        <v>600</v>
      </c>
      <c r="AH102" s="467">
        <v>2.2499999999999999E-2</v>
      </c>
      <c r="AI102" s="466">
        <v>2026</v>
      </c>
      <c r="AJ102" s="468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6.110901553602055E-4</v>
      </c>
      <c r="P103" s="162">
        <f ca="1"/>
        <v>1.0335878456338987E-3</v>
      </c>
      <c r="Q103" s="162">
        <f ca="1"/>
        <v>3.4088756853637436E-3</v>
      </c>
      <c r="R103" s="162">
        <f ca="1"/>
        <v>7.1846539637924201E-3</v>
      </c>
      <c r="S103" s="162">
        <f ca="1"/>
        <v>0</v>
      </c>
      <c r="T103" s="162">
        <f ca="1"/>
        <v>1.8067286455423437E-2</v>
      </c>
      <c r="U103" s="162">
        <f ca="1"/>
        <v>3.1379813483519037E-2</v>
      </c>
      <c r="V103" s="138">
        <f ca="1"/>
        <v>4.9483757361349134E-2</v>
      </c>
      <c r="W103" s="137">
        <f ca="1"/>
        <v>0</v>
      </c>
      <c r="X103" s="162">
        <f ca="1"/>
        <v>7.3326226528613869E-4</v>
      </c>
      <c r="Y103" s="162">
        <f ca="1"/>
        <v>1.240176786656666E-3</v>
      </c>
      <c r="Z103" s="162">
        <f ca="1"/>
        <v>3.78231600088208E-3</v>
      </c>
      <c r="AA103" s="162">
        <f ca="1"/>
        <v>7.723650346142974E-3</v>
      </c>
      <c r="AB103" s="162">
        <f ca="1"/>
        <v>0</v>
      </c>
      <c r="AC103" s="162">
        <f ca="1"/>
        <v>1.8931271498475732E-2</v>
      </c>
      <c r="AD103" s="162">
        <f ca="1"/>
        <v>3.2559707366525248E-2</v>
      </c>
      <c r="AE103" s="138">
        <f ca="1"/>
        <v>5.1121517577820907E-2</v>
      </c>
      <c r="AG103" s="465" t="s">
        <v>601</v>
      </c>
      <c r="AH103" s="467">
        <v>6.2500000000000003E-3</v>
      </c>
      <c r="AI103" s="466">
        <v>2025</v>
      </c>
      <c r="AJ103" s="468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3.6669874493666654E-4</v>
      </c>
      <c r="P104" s="162">
        <f ca="1"/>
        <v>2.3010123015667627E-3</v>
      </c>
      <c r="Q104" s="162">
        <f ca="1"/>
        <v>5.6764340285613279E-3</v>
      </c>
      <c r="R104" s="162">
        <f ca="1"/>
        <v>1.1010331618570013E-2</v>
      </c>
      <c r="S104" s="162">
        <f ca="1"/>
        <v>0</v>
      </c>
      <c r="T104" s="162">
        <f ca="1"/>
        <v>2.6027719031904484E-2</v>
      </c>
      <c r="U104" s="162">
        <f ca="1"/>
        <v>4.4841221392603825E-2</v>
      </c>
      <c r="V104" s="138">
        <f ca="1"/>
        <v>7.9719671022117189E-2</v>
      </c>
      <c r="W104" s="137">
        <f ca="1"/>
        <v>0</v>
      </c>
      <c r="X104" s="162">
        <f ca="1"/>
        <v>4.8890136868151579E-4</v>
      </c>
      <c r="Y104" s="162">
        <f ca="1"/>
        <v>2.5074364934801752E-3</v>
      </c>
      <c r="Z104" s="162">
        <f ca="1"/>
        <v>6.0491068233415879E-3</v>
      </c>
      <c r="AA104" s="162">
        <f ca="1"/>
        <v>1.1547410756290621E-2</v>
      </c>
      <c r="AB104" s="162">
        <f ca="1"/>
        <v>0</v>
      </c>
      <c r="AC104" s="162">
        <f ca="1"/>
        <v>2.6884551220959008E-2</v>
      </c>
      <c r="AD104" s="162">
        <f ca="1"/>
        <v>4.6005237941597277E-2</v>
      </c>
      <c r="AE104" s="138">
        <f ca="1"/>
        <v>8.1302541235799386E-2</v>
      </c>
      <c r="AG104" s="465" t="s">
        <v>602</v>
      </c>
      <c r="AH104" s="467">
        <v>1.6250000000000001E-2</v>
      </c>
      <c r="AI104" s="466">
        <v>2024</v>
      </c>
      <c r="AJ104" s="468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3.6669874493666654E-4</v>
      </c>
      <c r="P105" s="162">
        <f ca="1"/>
        <v>1.0405703024687352E-3</v>
      </c>
      <c r="Q105" s="162">
        <f ca="1"/>
        <v>3.4159528810456807E-3</v>
      </c>
      <c r="R105" s="162">
        <f ca="1"/>
        <v>7.1918211410167965E-3</v>
      </c>
      <c r="S105" s="162">
        <f ca="1"/>
        <v>0</v>
      </c>
      <c r="T105" s="162">
        <f ca="1"/>
        <v>1.9009499296591681E-2</v>
      </c>
      <c r="U105" s="162">
        <f ca="1"/>
        <v>3.3985174352013203E-2</v>
      </c>
      <c r="V105" s="138">
        <f ca="1"/>
        <v>6.093979318515963E-2</v>
      </c>
      <c r="W105" s="137">
        <f ca="1"/>
        <v>0</v>
      </c>
      <c r="X105" s="162">
        <f ca="1"/>
        <v>4.8890136868151579E-4</v>
      </c>
      <c r="Y105" s="162">
        <f ca="1"/>
        <v>1.2471833441808355E-3</v>
      </c>
      <c r="Z105" s="162">
        <f ca="1"/>
        <v>3.7894165381913147E-3</v>
      </c>
      <c r="AA105" s="162">
        <f ca="1"/>
        <v>7.7308395856462431E-3</v>
      </c>
      <c r="AB105" s="162">
        <f ca="1"/>
        <v>0</v>
      </c>
      <c r="AC105" s="162">
        <f ca="1"/>
        <v>1.9872779223809256E-2</v>
      </c>
      <c r="AD105" s="162">
        <f ca="1"/>
        <v>3.5162437255171097E-2</v>
      </c>
      <c r="AE105" s="138">
        <f ca="1"/>
        <v>6.2558590996359409E-2</v>
      </c>
      <c r="AG105" s="465" t="s">
        <v>603</v>
      </c>
      <c r="AH105" s="467">
        <v>1.495E-2</v>
      </c>
      <c r="AI105" s="466">
        <v>2025</v>
      </c>
      <c r="AJ105" s="468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1.0996944671649578E-3</v>
      </c>
      <c r="P106" s="162">
        <f ca="1"/>
        <v>1.8596885867413482E-3</v>
      </c>
      <c r="Q106" s="162">
        <f ca="1"/>
        <v>6.8201494573206789E-3</v>
      </c>
      <c r="R106" s="162">
        <f ca="1"/>
        <v>1.4344938701907894E-2</v>
      </c>
      <c r="S106" s="162">
        <f ca="1"/>
        <v>0</v>
      </c>
      <c r="T106" s="162">
        <f ca="1"/>
        <v>3.8700580298009823E-2</v>
      </c>
      <c r="U106" s="162">
        <f ca="1"/>
        <v>6.7075739864809303E-2</v>
      </c>
      <c r="V106" s="138">
        <f ca="1"/>
        <v>0.11144588749259821</v>
      </c>
      <c r="W106" s="137">
        <f ca="1"/>
        <v>0</v>
      </c>
      <c r="X106" s="162">
        <f ca="1"/>
        <v>1.2218045500240748E-3</v>
      </c>
      <c r="Y106" s="162">
        <f ca="1"/>
        <v>2.0661059016656713E-3</v>
      </c>
      <c r="Z106" s="162">
        <f ca="1"/>
        <v>7.1924428604591695E-3</v>
      </c>
      <c r="AA106" s="162">
        <f ca="1"/>
        <v>1.4880525465477801E-2</v>
      </c>
      <c r="AB106" s="162">
        <f ca="1"/>
        <v>0</v>
      </c>
      <c r="AC106" s="162">
        <f ca="1"/>
        <v>3.9545575289416046E-2</v>
      </c>
      <c r="AD106" s="162">
        <f ca="1"/>
        <v>6.8213633709881871E-2</v>
      </c>
      <c r="AE106" s="138">
        <f ca="1"/>
        <v>0.112998708798417</v>
      </c>
      <c r="AG106" s="465" t="s">
        <v>604</v>
      </c>
      <c r="AH106" s="467">
        <v>7.4999999999999997E-3</v>
      </c>
      <c r="AI106" s="466">
        <v>2026</v>
      </c>
      <c r="AJ106" s="468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3.6669874493666654E-4</v>
      </c>
      <c r="P107" s="162">
        <f ca="1"/>
        <v>1.0405703024687352E-3</v>
      </c>
      <c r="Q107" s="162">
        <f ca="1"/>
        <v>4.5684078977498155E-3</v>
      </c>
      <c r="R107" s="162">
        <f ca="1"/>
        <v>8.8409683682263429E-3</v>
      </c>
      <c r="S107" s="162">
        <f ca="1"/>
        <v>0</v>
      </c>
      <c r="T107" s="162">
        <f ca="1"/>
        <v>2.3499881105696563E-2</v>
      </c>
      <c r="U107" s="162">
        <f ca="1"/>
        <v>4.2726069277031042E-2</v>
      </c>
      <c r="V107" s="138">
        <f ca="1"/>
        <v>7.8702305682446627E-2</v>
      </c>
      <c r="W107" s="137">
        <f ca="1"/>
        <v>0</v>
      </c>
      <c r="X107" s="162">
        <f ca="1"/>
        <v>4.8890136868151579E-4</v>
      </c>
      <c r="Y107" s="162">
        <f ca="1"/>
        <v>1.2471833441808355E-3</v>
      </c>
      <c r="Z107" s="162">
        <f ca="1"/>
        <v>4.9415366565287444E-3</v>
      </c>
      <c r="AA107" s="162">
        <f ca="1"/>
        <v>9.3791992104370614E-3</v>
      </c>
      <c r="AB107" s="162">
        <f ca="1"/>
        <v>0</v>
      </c>
      <c r="AC107" s="162">
        <f ca="1"/>
        <v>2.4359244727482188E-2</v>
      </c>
      <c r="AD107" s="162">
        <f ca="1"/>
        <v>4.3893371955681659E-2</v>
      </c>
      <c r="AE107" s="138">
        <f ca="1"/>
        <v>8.028805514161852E-2</v>
      </c>
      <c r="AH107" s="135"/>
      <c r="AI107" s="466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8.5542205552979755E-4</v>
      </c>
      <c r="P108" s="162">
        <f ca="1"/>
        <v>2.2867446881481568E-3</v>
      </c>
      <c r="Q108" s="162">
        <f ca="1"/>
        <v>7.5794773832158491E-3</v>
      </c>
      <c r="R108" s="162">
        <f ca="1"/>
        <v>1.5996631609708212E-2</v>
      </c>
      <c r="S108" s="162">
        <f ca="1"/>
        <v>0</v>
      </c>
      <c r="T108" s="162">
        <f ca="1"/>
        <v>4.4066710332050674E-2</v>
      </c>
      <c r="U108" s="162">
        <f ca="1"/>
        <v>7.4205044103224704E-2</v>
      </c>
      <c r="V108" s="138">
        <f ca="1"/>
        <v>0.12481967991888543</v>
      </c>
      <c r="W108" s="137">
        <f ca="1"/>
        <v>0</v>
      </c>
      <c r="X108" s="162">
        <f ca="1"/>
        <v>9.7756332082132857E-4</v>
      </c>
      <c r="Y108" s="162">
        <f ca="1"/>
        <v>2.4931229347049388E-3</v>
      </c>
      <c r="Z108" s="162">
        <f ca="1"/>
        <v>7.9515244591435996E-3</v>
      </c>
      <c r="AA108" s="162">
        <f ca="1"/>
        <v>1.6531424704633313E-2</v>
      </c>
      <c r="AB108" s="162">
        <f ca="1"/>
        <v>0</v>
      </c>
      <c r="AC108" s="162">
        <f ca="1"/>
        <v>4.490611886329432E-2</v>
      </c>
      <c r="AD108" s="162">
        <f ca="1"/>
        <v>7.533422700220338E-2</v>
      </c>
      <c r="AE108" s="138">
        <f ca="1"/>
        <v>0.12635332053651382</v>
      </c>
      <c r="AH108" s="135"/>
      <c r="AI108" s="466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4.8890189028605313E-4</v>
      </c>
      <c r="P109" s="162">
        <f ca="1"/>
        <v>1.8773938384613054E-3</v>
      </c>
      <c r="Q109" s="162">
        <f ca="1"/>
        <v>5.3036602017239032E-3</v>
      </c>
      <c r="R109" s="162">
        <f ca="1"/>
        <v>9.3393544684726715E-3</v>
      </c>
      <c r="S109" s="162">
        <f ca="1"/>
        <v>0</v>
      </c>
      <c r="T109" s="162">
        <f ca="1"/>
        <v>2.2455513474964661E-2</v>
      </c>
      <c r="U109" s="162">
        <f ca="1"/>
        <v>3.6001085316993309E-2</v>
      </c>
      <c r="V109" s="138">
        <f ca="1"/>
        <v>5.9897745167701411E-2</v>
      </c>
      <c r="W109" s="137">
        <f ca="1"/>
        <v>0</v>
      </c>
      <c r="X109" s="162">
        <f ca="1"/>
        <v>6.1108929803876944E-4</v>
      </c>
      <c r="Y109" s="162">
        <f ca="1"/>
        <v>2.0838700494308915E-3</v>
      </c>
      <c r="Z109" s="162">
        <f ca="1"/>
        <v>5.6764732514769101E-3</v>
      </c>
      <c r="AA109" s="162">
        <f ca="1"/>
        <v>9.8771698227257954E-3</v>
      </c>
      <c r="AB109" s="162">
        <f ca="1"/>
        <v>0</v>
      </c>
      <c r="AC109" s="162">
        <f ca="1"/>
        <v>2.3315457318638044E-2</v>
      </c>
      <c r="AD109" s="162">
        <f ca="1"/>
        <v>3.7174954153020079E-2</v>
      </c>
      <c r="AE109" s="138">
        <f ca="1"/>
        <v>6.1516491158503439E-2</v>
      </c>
      <c r="AH109" s="135"/>
      <c r="AI109" s="466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9.7756569606266552E-4</v>
      </c>
      <c r="P110" s="162">
        <f ca="1"/>
        <v>1.6532274930576296E-3</v>
      </c>
      <c r="Q110" s="162">
        <f ca="1"/>
        <v>6.4476186420059367E-3</v>
      </c>
      <c r="R110" s="162">
        <f ca="1"/>
        <v>1.2676820007239464E-2</v>
      </c>
      <c r="S110" s="162">
        <f ca="1"/>
        <v>0</v>
      </c>
      <c r="T110" s="162">
        <f ca="1"/>
        <v>3.7936831248786218E-2</v>
      </c>
      <c r="U110" s="162">
        <f ca="1"/>
        <v>6.6017749515471347E-2</v>
      </c>
      <c r="V110" s="138">
        <f ca="1"/>
        <v>0.11383572206849502</v>
      </c>
      <c r="W110" s="137">
        <f ca="1"/>
        <v>0</v>
      </c>
      <c r="X110" s="162">
        <f ca="1"/>
        <v>1.0996914127785473E-3</v>
      </c>
      <c r="Y110" s="162">
        <f ca="1"/>
        <v>1.8596877388795674E-3</v>
      </c>
      <c r="Z110" s="162">
        <f ca="1"/>
        <v>6.8200580978573511E-3</v>
      </c>
      <c r="AA110" s="162">
        <f ca="1"/>
        <v>1.3213164145322587E-2</v>
      </c>
      <c r="AB110" s="162">
        <f ca="1"/>
        <v>0</v>
      </c>
      <c r="AC110" s="162">
        <f ca="1"/>
        <v>3.8782449029960087E-2</v>
      </c>
      <c r="AD110" s="162">
        <f ca="1"/>
        <v>6.7157464288632673E-2</v>
      </c>
      <c r="AE110" s="138">
        <f ca="1"/>
        <v>0.11538736814158213</v>
      </c>
      <c r="AH110" s="135"/>
      <c r="AI110" s="466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1.9541797492570456E-3</v>
      </c>
      <c r="P111" s="162">
        <f ca="1"/>
        <v>3.9329430129110277E-3</v>
      </c>
      <c r="Q111" s="162">
        <f ca="1"/>
        <v>9.0185576366373921E-3</v>
      </c>
      <c r="R111" s="162">
        <f ca="1"/>
        <v>1.4697556710739468E-2</v>
      </c>
      <c r="S111" s="162">
        <f ca="1"/>
        <v>0</v>
      </c>
      <c r="T111" s="162">
        <f ca="1"/>
        <v>2.9173057528881663E-2</v>
      </c>
      <c r="U111" s="162">
        <f ca="1"/>
        <v>4.4544308179519265E-2</v>
      </c>
      <c r="V111" s="138">
        <f ca="1"/>
        <v>7.0811254871097851E-2</v>
      </c>
      <c r="W111" s="137">
        <f ca="1"/>
        <v>0</v>
      </c>
      <c r="X111" s="162">
        <f ca="1"/>
        <v>2.0761779332703068E-3</v>
      </c>
      <c r="Y111" s="162">
        <f ca="1"/>
        <v>4.1389640904097025E-3</v>
      </c>
      <c r="Z111" s="162">
        <f ca="1"/>
        <v>9.3898966946548423E-3</v>
      </c>
      <c r="AA111" s="162">
        <f ca="1"/>
        <v>1.5232376417844029E-2</v>
      </c>
      <c r="AB111" s="162">
        <f ca="1"/>
        <v>0</v>
      </c>
      <c r="AC111" s="162">
        <f ca="1"/>
        <v>3.0026186603391292E-2</v>
      </c>
      <c r="AD111" s="162">
        <f ca="1"/>
        <v>4.5706453814145287E-2</v>
      </c>
      <c r="AE111" s="138">
        <f ca="1"/>
        <v>7.240787901467427E-2</v>
      </c>
      <c r="AH111" s="135"/>
      <c r="AI111" s="466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8.5542205552979755E-4</v>
      </c>
      <c r="P112" s="162">
        <f ca="1"/>
        <v>2.9165742819321494E-3</v>
      </c>
      <c r="Q112" s="162">
        <f ca="1"/>
        <v>9.4726643686200429E-3</v>
      </c>
      <c r="R112" s="162">
        <f ca="1"/>
        <v>1.9832401677321698E-2</v>
      </c>
      <c r="S112" s="162">
        <f ca="1"/>
        <v>0</v>
      </c>
      <c r="T112" s="162">
        <f ca="1"/>
        <v>5.0077586969139554E-2</v>
      </c>
      <c r="U112" s="162">
        <f ca="1"/>
        <v>8.6177609511814079E-2</v>
      </c>
      <c r="V112" s="138">
        <f ca="1"/>
        <v>0.14824411434108975</v>
      </c>
      <c r="W112" s="137">
        <f ca="1"/>
        <v>0</v>
      </c>
      <c r="X112" s="162">
        <f ca="1"/>
        <v>9.7756332082132857E-4</v>
      </c>
      <c r="Y112" s="162">
        <f ca="1"/>
        <v>3.122857042286098E-3</v>
      </c>
      <c r="Z112" s="162">
        <f ca="1"/>
        <v>9.8440620589428374E-3</v>
      </c>
      <c r="AA112" s="162">
        <f ca="1"/>
        <v>2.0365297549734707E-2</v>
      </c>
      <c r="AB112" s="162">
        <f ca="1"/>
        <v>0</v>
      </c>
      <c r="AC112" s="162">
        <f ca="1"/>
        <v>5.0910719330417686E-2</v>
      </c>
      <c r="AD112" s="162">
        <f ca="1"/>
        <v>8.7290294453785222E-2</v>
      </c>
      <c r="AE112" s="138">
        <f ca="1"/>
        <v>0.14974543502982407</v>
      </c>
      <c r="AH112" s="135"/>
      <c r="AI112" s="466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1.4659915911424681E-3</v>
      </c>
      <c r="P113" s="162">
        <f ca="1"/>
        <v>3.5280379713817922E-3</v>
      </c>
      <c r="Q113" s="162">
        <f ca="1"/>
        <v>1.1726964934864137E-2</v>
      </c>
      <c r="R113" s="162">
        <f ca="1"/>
        <v>2.2492664244845528E-2</v>
      </c>
      <c r="S113" s="162">
        <f ca="1"/>
        <v>0</v>
      </c>
      <c r="T113" s="162">
        <f ca="1"/>
        <v>4.5089885212961978E-2</v>
      </c>
      <c r="U113" s="162">
        <f ca="1"/>
        <v>7.4485124717774576E-2</v>
      </c>
      <c r="V113" s="138">
        <f ca="1"/>
        <v>0.13311619918621276</v>
      </c>
      <c r="W113" s="137">
        <f ca="1"/>
        <v>0</v>
      </c>
      <c r="X113" s="162">
        <f ca="1"/>
        <v>1.5880542518309504E-3</v>
      </c>
      <c r="Y113" s="162">
        <f ca="1"/>
        <v>3.7341681496788626E-3</v>
      </c>
      <c r="Z113" s="162">
        <f ca="1"/>
        <v>1.2097513600067389E-2</v>
      </c>
      <c r="AA113" s="162">
        <f ca="1"/>
        <v>2.3024062214653251E-2</v>
      </c>
      <c r="AB113" s="162">
        <f ca="1"/>
        <v>0</v>
      </c>
      <c r="AC113" s="162">
        <f ca="1"/>
        <v>4.5928462416004456E-2</v>
      </c>
      <c r="AD113" s="162">
        <f ca="1"/>
        <v>7.5611183187513697E-2</v>
      </c>
      <c r="AE113" s="138">
        <f ca="1"/>
        <v>0.13463758210994858</v>
      </c>
      <c r="AH113" s="135"/>
      <c r="AI113" s="466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2.1981847311952629E-3</v>
      </c>
      <c r="P114" s="162">
        <f ca="1"/>
        <v>4.3449575998434353E-3</v>
      </c>
      <c r="Q114" s="162">
        <f ca="1"/>
        <v>8.6133523757963015E-3</v>
      </c>
      <c r="R114" s="162">
        <f ca="1"/>
        <v>1.4693425846948993E-2</v>
      </c>
      <c r="S114" s="162">
        <f ca="1"/>
        <v>0</v>
      </c>
      <c r="T114" s="162">
        <f ca="1"/>
        <v>3.3803351614109967E-2</v>
      </c>
      <c r="U114" s="162">
        <f ca="1"/>
        <v>5.6696889882000168E-2</v>
      </c>
      <c r="V114" s="138">
        <f ca="1"/>
        <v>9.9703110245207061E-2</v>
      </c>
      <c r="W114" s="137">
        <f ca="1"/>
        <v>0</v>
      </c>
      <c r="X114" s="162">
        <f ca="1"/>
        <v>2.3201501267451352E-3</v>
      </c>
      <c r="Y114" s="162">
        <f ca="1"/>
        <v>4.5508920977228584E-3</v>
      </c>
      <c r="Z114" s="162">
        <f ca="1"/>
        <v>8.9847512623963954E-3</v>
      </c>
      <c r="AA114" s="162">
        <f ca="1"/>
        <v>1.5228216137771811E-2</v>
      </c>
      <c r="AB114" s="162">
        <f ca="1"/>
        <v>0</v>
      </c>
      <c r="AC114" s="162">
        <f ca="1"/>
        <v>3.4652386802397683E-2</v>
      </c>
      <c r="AD114" s="162">
        <f ca="1"/>
        <v>5.7845849084340317E-2</v>
      </c>
      <c r="AE114" s="138">
        <f ca="1"/>
        <v>0.10127285868990576</v>
      </c>
      <c r="AH114" s="135"/>
      <c r="AI114" s="466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7.3326354287817086E-4</v>
      </c>
      <c r="P115" s="162">
        <f ca="1"/>
        <v>1.660283915222327E-3</v>
      </c>
      <c r="Q115" s="162">
        <f ca="1"/>
        <v>5.3037437501810558E-3</v>
      </c>
      <c r="R115" s="162">
        <f ca="1"/>
        <v>1.0473018244257504E-2</v>
      </c>
      <c r="S115" s="162">
        <f ca="1"/>
        <v>0</v>
      </c>
      <c r="T115" s="162">
        <f ca="1"/>
        <v>2.7030478674229808E-2</v>
      </c>
      <c r="U115" s="162">
        <f ca="1"/>
        <v>4.615383930674799E-2</v>
      </c>
      <c r="V115" s="138">
        <f ca="1"/>
        <v>8.7318343337746351E-2</v>
      </c>
      <c r="W115" s="137">
        <f ca="1"/>
        <v>0</v>
      </c>
      <c r="X115" s="162">
        <f ca="1"/>
        <v>8.5542027225893325E-4</v>
      </c>
      <c r="Y115" s="162">
        <f ca="1"/>
        <v>1.8667679814481364E-3</v>
      </c>
      <c r="Z115" s="162">
        <f ca="1"/>
        <v>5.6765527920046299E-3</v>
      </c>
      <c r="AA115" s="162">
        <f ca="1"/>
        <v>1.1010399658162084E-2</v>
      </c>
      <c r="AB115" s="162">
        <f ca="1"/>
        <v>0</v>
      </c>
      <c r="AC115" s="162">
        <f ca="1"/>
        <v>2.7886563649437424E-2</v>
      </c>
      <c r="AD115" s="162">
        <f ca="1"/>
        <v>4.7316717395651353E-2</v>
      </c>
      <c r="AE115" s="138">
        <f ca="1"/>
        <v>8.8910124376398336E-2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1.0996944671649578E-3</v>
      </c>
      <c r="P116" s="162">
        <f ca="1"/>
        <v>2.069659643442856E-3</v>
      </c>
      <c r="Q116" s="162">
        <f ca="1"/>
        <v>6.8127658463298379E-3</v>
      </c>
      <c r="R116" s="162">
        <f ca="1"/>
        <v>1.1507743956702399E-2</v>
      </c>
      <c r="S116" s="162">
        <f ca="1"/>
        <v>0</v>
      </c>
      <c r="T116" s="162">
        <f ca="1"/>
        <v>2.9634712915423411E-2</v>
      </c>
      <c r="U116" s="162">
        <f ca="1"/>
        <v>5.1013228424453994E-2</v>
      </c>
      <c r="V116" s="138">
        <f ca="1"/>
        <v>9.1925289390043297E-2</v>
      </c>
      <c r="W116" s="137">
        <f ca="1"/>
        <v>0</v>
      </c>
      <c r="X116" s="162">
        <f ca="1"/>
        <v>1.2218045500240748E-3</v>
      </c>
      <c r="Y116" s="162">
        <f ca="1"/>
        <v>2.2760458537218753E-3</v>
      </c>
      <c r="Z116" s="162">
        <f ca="1"/>
        <v>7.1850422717204543E-3</v>
      </c>
      <c r="AA116" s="162">
        <f ca="1"/>
        <v>1.2044431334164218E-2</v>
      </c>
      <c r="AB116" s="162">
        <f ca="1"/>
        <v>0</v>
      </c>
      <c r="AC116" s="162">
        <f ca="1"/>
        <v>3.0488148251829217E-2</v>
      </c>
      <c r="AD116" s="162">
        <f ca="1"/>
        <v>5.217012543567201E-2</v>
      </c>
      <c r="AE116" s="138">
        <f ca="1"/>
        <v>9.3508691545722056E-2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6.110901553602055E-4</v>
      </c>
      <c r="P117" s="162">
        <f ca="1"/>
        <v>1.4537554516381723E-3</v>
      </c>
      <c r="Q117" s="162">
        <f ca="1"/>
        <v>4.5467960764565829E-3</v>
      </c>
      <c r="R117" s="162">
        <f ca="1"/>
        <v>9.9532041110940161E-3</v>
      </c>
      <c r="S117" s="162">
        <f ca="1"/>
        <v>0</v>
      </c>
      <c r="T117" s="162">
        <f ca="1"/>
        <v>2.6189854822487035E-2</v>
      </c>
      <c r="U117" s="162">
        <f ca="1"/>
        <v>4.3666582680339072E-2</v>
      </c>
      <c r="V117" s="138">
        <f ca="1"/>
        <v>8.3997742982950041E-2</v>
      </c>
      <c r="W117" s="137">
        <f ca="1"/>
        <v>0</v>
      </c>
      <c r="X117" s="162">
        <f ca="1"/>
        <v>7.3326226528613869E-4</v>
      </c>
      <c r="Y117" s="162">
        <f ca="1"/>
        <v>1.6602825265449317E-3</v>
      </c>
      <c r="Z117" s="162">
        <f ca="1"/>
        <v>4.9198620712939123E-3</v>
      </c>
      <c r="AA117" s="162">
        <f ca="1"/>
        <v>1.0490927101310832E-2</v>
      </c>
      <c r="AB117" s="162">
        <f ca="1"/>
        <v>0</v>
      </c>
      <c r="AC117" s="162">
        <f ca="1"/>
        <v>2.7046842648994707E-2</v>
      </c>
      <c r="AD117" s="162">
        <f ca="1"/>
        <v>4.4832461379153976E-2</v>
      </c>
      <c r="AE117" s="138">
        <f ca="1"/>
        <v>8.5571099175909771E-2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2.4448071659144421E-4</v>
      </c>
      <c r="P118" s="162">
        <f ca="1"/>
        <v>1.044062042309668E-3</v>
      </c>
      <c r="Q118" s="162">
        <f ca="1"/>
        <v>3.8037200888457745E-3</v>
      </c>
      <c r="R118" s="162">
        <f ca="1"/>
        <v>8.3128613790264261E-3</v>
      </c>
      <c r="S118" s="162">
        <f ca="1"/>
        <v>0</v>
      </c>
      <c r="T118" s="162">
        <f ca="1"/>
        <v>2.0781768862860539E-2</v>
      </c>
      <c r="U118" s="162">
        <f ca="1"/>
        <v>3.504242000565827E-2</v>
      </c>
      <c r="V118" s="138">
        <f ca="1"/>
        <v>6.2445882764798899E-2</v>
      </c>
      <c r="W118" s="137">
        <f ca="1"/>
        <v>0</v>
      </c>
      <c r="X118" s="162">
        <f ca="1"/>
        <v>3.6669847537906808E-4</v>
      </c>
      <c r="Y118" s="162">
        <f ca="1"/>
        <v>1.2506870520179181E-3</v>
      </c>
      <c r="Z118" s="162">
        <f ca="1"/>
        <v>4.1770849212209304E-3</v>
      </c>
      <c r="AA118" s="162">
        <f ca="1"/>
        <v>8.8514121023849368E-3</v>
      </c>
      <c r="AB118" s="162">
        <f ca="1"/>
        <v>0</v>
      </c>
      <c r="AC118" s="162">
        <f ca="1"/>
        <v>2.1643520070072197E-2</v>
      </c>
      <c r="AD118" s="162">
        <f ca="1"/>
        <v>3.6218105846397175E-2</v>
      </c>
      <c r="AE118" s="138">
        <f ca="1"/>
        <v>6.4061229679503562E-2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7.3326354287817086E-4</v>
      </c>
      <c r="P119" s="162">
        <f ca="1"/>
        <v>1.870310700490041E-3</v>
      </c>
      <c r="Q119" s="162">
        <f ca="1"/>
        <v>6.4475311149051473E-3</v>
      </c>
      <c r="R119" s="162">
        <f ca="1"/>
        <v>1.3242786516482252E-2</v>
      </c>
      <c r="S119" s="162">
        <f ca="1"/>
        <v>0</v>
      </c>
      <c r="T119" s="162">
        <f ca="1"/>
        <v>3.4186099604497922E-2</v>
      </c>
      <c r="U119" s="162">
        <f ca="1"/>
        <v>6.1072334573026632E-2</v>
      </c>
      <c r="V119" s="138">
        <f ca="1"/>
        <v>0.11305565064247436</v>
      </c>
      <c r="W119" s="137">
        <f ca="1"/>
        <v>0</v>
      </c>
      <c r="X119" s="162">
        <f ca="1"/>
        <v>8.5542027225893325E-4</v>
      </c>
      <c r="Y119" s="162">
        <f ca="1"/>
        <v>2.0767635202104673E-3</v>
      </c>
      <c r="Z119" s="162">
        <f ca="1"/>
        <v>6.8199765099592469E-3</v>
      </c>
      <c r="AA119" s="162">
        <f ca="1"/>
        <v>1.3778901850248992E-2</v>
      </c>
      <c r="AB119" s="162">
        <f ca="1"/>
        <v>0</v>
      </c>
      <c r="AC119" s="162">
        <f ca="1"/>
        <v>3.5035551212829752E-2</v>
      </c>
      <c r="AD119" s="162">
        <f ca="1"/>
        <v>6.2217396658311053E-2</v>
      </c>
      <c r="AE119" s="138">
        <f ca="1"/>
        <v>0.11461113453980698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1.392742866844876E-3</v>
      </c>
      <c r="P120" s="162">
        <f ca="1"/>
        <v>3.4043344179488511E-3</v>
      </c>
      <c r="Q120" s="162">
        <f ca="1"/>
        <v>8.9020805501234257E-3</v>
      </c>
      <c r="R120" s="162">
        <f ca="1"/>
        <v>1.598470945973951E-2</v>
      </c>
      <c r="S120" s="162">
        <f ca="1"/>
        <v>0</v>
      </c>
      <c r="T120" s="162">
        <f ca="1"/>
        <v>3.5609930585065563E-2</v>
      </c>
      <c r="U120" s="162">
        <f ca="1"/>
        <v>5.3794151889310249E-2</v>
      </c>
      <c r="V120" s="138">
        <f ca="1"/>
        <v>8.0415698922937984E-2</v>
      </c>
      <c r="W120" s="137">
        <f ca="1"/>
        <v>0</v>
      </c>
      <c r="X120" s="162">
        <f ca="1"/>
        <v>1.5148150751588263E-3</v>
      </c>
      <c r="Y120" s="162">
        <f ca="1"/>
        <v>3.6104905920767427E-3</v>
      </c>
      <c r="Z120" s="162">
        <f ca="1"/>
        <v>9.2735618082327997E-3</v>
      </c>
      <c r="AA120" s="162">
        <f ca="1"/>
        <v>1.6519158768437237E-2</v>
      </c>
      <c r="AB120" s="162">
        <f ca="1"/>
        <v>0</v>
      </c>
      <c r="AC120" s="162">
        <f ca="1"/>
        <v>3.6457542152126599E-2</v>
      </c>
      <c r="AD120" s="162">
        <f ca="1"/>
        <v>5.4946274417456142E-2</v>
      </c>
      <c r="AE120" s="138">
        <f ca="1"/>
        <v>8.1995493275201059E-2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1.4049513590542739E-3</v>
      </c>
      <c r="P121" s="162">
        <f ca="1"/>
        <v>3.7606346569099003E-3</v>
      </c>
      <c r="Q121" s="162">
        <f ca="1"/>
        <v>1.0572906905478963E-2</v>
      </c>
      <c r="R121" s="162">
        <f ca="1"/>
        <v>1.9161942737698778E-2</v>
      </c>
      <c r="S121" s="162">
        <f ca="1"/>
        <v>0</v>
      </c>
      <c r="T121" s="162">
        <f ca="1"/>
        <v>4.0801769235802254E-2</v>
      </c>
      <c r="U121" s="162">
        <f ca="1"/>
        <v>6.3445064591845846E-2</v>
      </c>
      <c r="V121" s="138">
        <f ca="1"/>
        <v>9.7369117302348096E-2</v>
      </c>
      <c r="W121" s="137">
        <f ca="1"/>
        <v>0</v>
      </c>
      <c r="X121" s="162">
        <f ca="1"/>
        <v>1.5270219783213301E-3</v>
      </c>
      <c r="Y121" s="162">
        <f ca="1"/>
        <v>3.9667349829565213E-3</v>
      </c>
      <c r="Z121" s="162">
        <f ca="1"/>
        <v>1.0943827029371023E-2</v>
      </c>
      <c r="AA121" s="162">
        <f ca="1"/>
        <v>1.9694853413245617E-2</v>
      </c>
      <c r="AB121" s="162">
        <f ca="1"/>
        <v>0</v>
      </c>
      <c r="AC121" s="162">
        <f ca="1"/>
        <v>4.1644356445993402E-2</v>
      </c>
      <c r="AD121" s="162">
        <f ca="1"/>
        <v>6.4585340058571195E-2</v>
      </c>
      <c r="AE121" s="138">
        <f ca="1"/>
        <v>9.8917123647003669E-2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3.6669874493666654E-4</v>
      </c>
      <c r="P122" s="162">
        <f ca="1"/>
        <v>6.2028101796784973E-4</v>
      </c>
      <c r="Q122" s="162">
        <f ca="1"/>
        <v>2.6615300802338426E-3</v>
      </c>
      <c r="R122" s="162">
        <f ca="1"/>
        <v>5.5375538188165985E-3</v>
      </c>
      <c r="S122" s="162">
        <f ca="1"/>
        <v>0</v>
      </c>
      <c r="T122" s="162">
        <f ca="1"/>
        <v>1.5439046646033239E-2</v>
      </c>
      <c r="U122" s="162">
        <f ca="1"/>
        <v>2.779803307342843E-2</v>
      </c>
      <c r="V122" s="138">
        <f ca="1"/>
        <v>5.0489859586974606E-2</v>
      </c>
      <c r="W122" s="137">
        <f ca="1"/>
        <v>0</v>
      </c>
      <c r="X122" s="162">
        <f ca="1"/>
        <v>4.8890136868151579E-4</v>
      </c>
      <c r="Y122" s="162">
        <f ca="1"/>
        <v>8.2695567647816937E-4</v>
      </c>
      <c r="Z122" s="162">
        <f ca="1"/>
        <v>3.0352558797984708E-3</v>
      </c>
      <c r="AA122" s="162">
        <f ca="1"/>
        <v>6.0773563647010809E-3</v>
      </c>
      <c r="AB122" s="162">
        <f ca="1"/>
        <v>0</v>
      </c>
      <c r="AC122" s="162">
        <f ca="1"/>
        <v>1.6305400744529686E-2</v>
      </c>
      <c r="AD122" s="162">
        <f ca="1"/>
        <v>2.8982375310963482E-2</v>
      </c>
      <c r="AE122" s="138">
        <f ca="1"/>
        <v>5.2127264710878252E-2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8.5542205552979755E-4</v>
      </c>
      <c r="P123" s="162">
        <f ca="1"/>
        <v>2.4967056122537912E-3</v>
      </c>
      <c r="Q123" s="162">
        <f ca="1"/>
        <v>7.1886984013646016E-3</v>
      </c>
      <c r="R123" s="162">
        <f ca="1"/>
        <v>1.4311264047540129E-2</v>
      </c>
      <c r="S123" s="162">
        <f ca="1"/>
        <v>0</v>
      </c>
      <c r="T123" s="162">
        <f ca="1"/>
        <v>3.40347150342456E-2</v>
      </c>
      <c r="U123" s="162">
        <f ca="1"/>
        <v>5.6931045024789517E-2</v>
      </c>
      <c r="V123" s="138">
        <f ca="1"/>
        <v>9.6083480990117653E-2</v>
      </c>
      <c r="W123" s="137">
        <f ca="1"/>
        <v>0</v>
      </c>
      <c r="X123" s="162">
        <f ca="1"/>
        <v>9.7756332082132857E-4</v>
      </c>
      <c r="Y123" s="162">
        <f ca="1"/>
        <v>2.7030522045823346E-3</v>
      </c>
      <c r="Z123" s="162">
        <f ca="1"/>
        <v>7.5608467015948477E-3</v>
      </c>
      <c r="AA123" s="162">
        <f ca="1"/>
        <v>1.484676568864296E-2</v>
      </c>
      <c r="AB123" s="162">
        <f ca="1"/>
        <v>0</v>
      </c>
      <c r="AC123" s="162">
        <f ca="1"/>
        <v>3.4884168996735965E-2</v>
      </c>
      <c r="AD123" s="162">
        <f ca="1"/>
        <v>5.8080551344711351E-2</v>
      </c>
      <c r="AE123" s="138">
        <f ca="1"/>
        <v>9.7634682393017536E-2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7.3326354287817086E-4</v>
      </c>
      <c r="P124" s="162">
        <f ca="1"/>
        <v>1.660283915222327E-3</v>
      </c>
      <c r="Q124" s="162">
        <f ca="1"/>
        <v>5.3037437501810558E-3</v>
      </c>
      <c r="R124" s="162">
        <f ca="1"/>
        <v>1.103966786043642E-2</v>
      </c>
      <c r="S124" s="162">
        <f ca="1"/>
        <v>0</v>
      </c>
      <c r="T124" s="162">
        <f ca="1"/>
        <v>2.7918931840085315E-2</v>
      </c>
      <c r="U124" s="162">
        <f ca="1"/>
        <v>4.8686533398957565E-2</v>
      </c>
      <c r="V124" s="138">
        <f ca="1"/>
        <v>8.2906050378269702E-2</v>
      </c>
      <c r="W124" s="137">
        <f ca="1"/>
        <v>0</v>
      </c>
      <c r="X124" s="162">
        <f ca="1"/>
        <v>8.5542027225893325E-4</v>
      </c>
      <c r="Y124" s="162">
        <f ca="1"/>
        <v>1.8667679814481364E-3</v>
      </c>
      <c r="Z124" s="162">
        <f ca="1"/>
        <v>5.6765527920046299E-3</v>
      </c>
      <c r="AA124" s="162">
        <f ca="1"/>
        <v>1.1576827470282214E-2</v>
      </c>
      <c r="AB124" s="162">
        <f ca="1"/>
        <v>0</v>
      </c>
      <c r="AC124" s="162">
        <f ca="1"/>
        <v>2.8774248522061119E-2</v>
      </c>
      <c r="AD124" s="162">
        <f ca="1"/>
        <v>4.9846476924787497E-2</v>
      </c>
      <c r="AE124" s="138">
        <f ca="1"/>
        <v>8.4483995554171964E-2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2.5640808936349124E-3</v>
      </c>
      <c r="P125" s="162">
        <f ca="1"/>
        <v>4.3338927359422019E-3</v>
      </c>
      <c r="Q125" s="162">
        <f ca="1"/>
        <v>1.4335739726708319E-2</v>
      </c>
      <c r="R125" s="162">
        <f ca="1"/>
        <v>3.9125503368134473E-2</v>
      </c>
      <c r="S125" s="162">
        <f ca="1"/>
        <v>0</v>
      </c>
      <c r="T125" s="162">
        <f ca="1"/>
        <v>8.4408389890387014E-2</v>
      </c>
      <c r="U125" s="162">
        <f ca="1"/>
        <v>0.13773733481907879</v>
      </c>
      <c r="V125" s="138">
        <f ca="1"/>
        <v>0.21721824464309003</v>
      </c>
      <c r="W125" s="137">
        <f ca="1"/>
        <v>0</v>
      </c>
      <c r="X125" s="162">
        <f ca="1"/>
        <v>2.6859963994081415E-3</v>
      </c>
      <c r="Y125" s="162">
        <f ca="1"/>
        <v>4.5397935148699942E-3</v>
      </c>
      <c r="Z125" s="162">
        <f ca="1"/>
        <v>1.4705227060713422E-2</v>
      </c>
      <c r="AA125" s="162">
        <f ca="1"/>
        <v>3.964808684396659E-2</v>
      </c>
      <c r="AB125" s="162">
        <f ca="1"/>
        <v>0</v>
      </c>
      <c r="AC125" s="162">
        <f ca="1"/>
        <v>8.5223497303710594E-2</v>
      </c>
      <c r="AD125" s="162">
        <f ca="1"/>
        <v>0.13880606883914548</v>
      </c>
      <c r="AE125" s="138">
        <f ca="1"/>
        <v>0.21860463681209741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1.7101153764632615E-3</v>
      </c>
      <c r="P126" s="162">
        <f ca="1"/>
        <v>3.520757897521154E-3</v>
      </c>
      <c r="Q126" s="162">
        <f ca="1"/>
        <v>1.2101718405128081E-2</v>
      </c>
      <c r="R126" s="162">
        <f ca="1"/>
        <v>2.4154484057075098E-2</v>
      </c>
      <c r="S126" s="162">
        <f ca="1"/>
        <v>0</v>
      </c>
      <c r="T126" s="162">
        <f ca="1"/>
        <v>5.6855532386259844E-2</v>
      </c>
      <c r="U126" s="162">
        <f ca="1"/>
        <v>9.7814776239137924E-2</v>
      </c>
      <c r="V126" s="138">
        <f ca="1"/>
        <v>0.1579371609168202</v>
      </c>
      <c r="W126" s="137">
        <f ca="1"/>
        <v>0</v>
      </c>
      <c r="X126" s="162">
        <f ca="1"/>
        <v>1.8321459798823492E-3</v>
      </c>
      <c r="Y126" s="162">
        <f ca="1"/>
        <v>3.7268654754141206E-3</v>
      </c>
      <c r="Z126" s="162">
        <f ca="1"/>
        <v>1.2472114761540087E-2</v>
      </c>
      <c r="AA126" s="162">
        <f ca="1"/>
        <v>2.4685085651174443E-2</v>
      </c>
      <c r="AB126" s="162">
        <f ca="1"/>
        <v>0</v>
      </c>
      <c r="AC126" s="162">
        <f ca="1"/>
        <v>5.7681244222691386E-2</v>
      </c>
      <c r="AD126" s="162">
        <f ca="1"/>
        <v>9.8910570072908266E-2</v>
      </c>
      <c r="AE126" s="138">
        <f ca="1"/>
        <v>0.15942010167640785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3.6669874493666654E-4</v>
      </c>
      <c r="P127" s="162">
        <f ca="1"/>
        <v>1.2506883231890864E-3</v>
      </c>
      <c r="Q127" s="162">
        <f ca="1"/>
        <v>4.1771153785520321E-3</v>
      </c>
      <c r="R127" s="162">
        <f ca="1"/>
        <v>7.7167773132483797E-3</v>
      </c>
      <c r="S127" s="162">
        <f ca="1"/>
        <v>0</v>
      </c>
      <c r="T127" s="162">
        <f ca="1"/>
        <v>1.985948375522395E-2</v>
      </c>
      <c r="U127" s="162">
        <f ca="1"/>
        <v>3.2459079689154957E-2</v>
      </c>
      <c r="V127" s="138">
        <f ca="1"/>
        <v>5.4993945642499376E-2</v>
      </c>
      <c r="W127" s="137">
        <f ca="1"/>
        <v>0</v>
      </c>
      <c r="X127" s="162">
        <f ca="1"/>
        <v>4.8890136868151579E-4</v>
      </c>
      <c r="Y127" s="162">
        <f ca="1"/>
        <v>1.4572703110591334E-3</v>
      </c>
      <c r="Z127" s="162">
        <f ca="1"/>
        <v>4.5503367082891932E-3</v>
      </c>
      <c r="AA127" s="162">
        <f ca="1"/>
        <v>8.2554613636992569E-3</v>
      </c>
      <c r="AB127" s="162">
        <f ca="1"/>
        <v>0</v>
      </c>
      <c r="AC127" s="162">
        <f ca="1"/>
        <v>2.072189427076776E-2</v>
      </c>
      <c r="AD127" s="162">
        <f ca="1"/>
        <v>3.3637433199136924E-2</v>
      </c>
      <c r="AE127" s="138">
        <f ca="1"/>
        <v>5.6622016594683799E-2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6.110901553602055E-4</v>
      </c>
      <c r="P128" s="162">
        <f ca="1"/>
        <v>2.293877798116295E-3</v>
      </c>
      <c r="Q128" s="162">
        <f ca="1"/>
        <v>7.2034275360968181E-3</v>
      </c>
      <c r="R128" s="162">
        <f ca="1"/>
        <v>1.3760599139122309E-2</v>
      </c>
      <c r="S128" s="162">
        <f ca="1"/>
        <v>0</v>
      </c>
      <c r="T128" s="162">
        <f ca="1"/>
        <v>3.4093231925514833E-2</v>
      </c>
      <c r="U128" s="162">
        <f ca="1"/>
        <v>5.6990095532293061E-2</v>
      </c>
      <c r="V128" s="138">
        <f ca="1"/>
        <v>9.8060140635922721E-2</v>
      </c>
      <c r="W128" s="137">
        <f ca="1"/>
        <v>0</v>
      </c>
      <c r="X128" s="162">
        <f ca="1"/>
        <v>7.3326226528613869E-4</v>
      </c>
      <c r="Y128" s="162">
        <f ca="1"/>
        <v>2.5002791299122418E-3</v>
      </c>
      <c r="Z128" s="162">
        <f ca="1"/>
        <v>7.5756160717931342E-3</v>
      </c>
      <c r="AA128" s="162">
        <f ca="1"/>
        <v>1.4296374813882684E-2</v>
      </c>
      <c r="AB128" s="162">
        <f ca="1"/>
        <v>0</v>
      </c>
      <c r="AC128" s="162">
        <f ca="1"/>
        <v>3.494263914069129E-2</v>
      </c>
      <c r="AD128" s="162">
        <f ca="1"/>
        <v>5.8139758329378566E-2</v>
      </c>
      <c r="AE128" s="138">
        <f ca="1"/>
        <v>9.9632444326709479E-2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1.2218083715535011E-3</v>
      </c>
      <c r="P129" s="162">
        <f ca="1"/>
        <v>3.3254851217070502E-3</v>
      </c>
      <c r="Q129" s="162">
        <f ca="1"/>
        <v>9.0634591549407784E-3</v>
      </c>
      <c r="R129" s="162">
        <f ca="1"/>
        <v>1.7002135659343165E-2</v>
      </c>
      <c r="S129" s="162">
        <f ca="1"/>
        <v>0</v>
      </c>
      <c r="T129" s="162">
        <f ca="1"/>
        <v>4.6612669242699578E-2</v>
      </c>
      <c r="U129" s="162">
        <f ca="1"/>
        <v>7.7621360012489427E-2</v>
      </c>
      <c r="V129" s="138">
        <f ca="1"/>
        <v>0.12368926045914519</v>
      </c>
      <c r="W129" s="137">
        <f ca="1"/>
        <v>0</v>
      </c>
      <c r="X129" s="162">
        <f ca="1"/>
        <v>1.3439027343919996E-3</v>
      </c>
      <c r="Y129" s="162">
        <f ca="1"/>
        <v>3.5316698874642283E-3</v>
      </c>
      <c r="Z129" s="162">
        <f ca="1"/>
        <v>9.4349148066096289E-3</v>
      </c>
      <c r="AA129" s="162">
        <f ca="1"/>
        <v>1.7536179093294302E-2</v>
      </c>
      <c r="AB129" s="162">
        <f ca="1"/>
        <v>0</v>
      </c>
      <c r="AC129" s="162">
        <f ca="1"/>
        <v>4.7449002595405965E-2</v>
      </c>
      <c r="AD129" s="162">
        <f ca="1"/>
        <v>7.874588894563872E-2</v>
      </c>
      <c r="AE129" s="138">
        <f ca="1"/>
        <v>0.12522113120654155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8.5542205552979755E-4</v>
      </c>
      <c r="P130" s="162">
        <f ca="1"/>
        <v>2.076766034885047E-3</v>
      </c>
      <c r="Q130" s="162">
        <f ca="1"/>
        <v>6.4365370694765556E-3</v>
      </c>
      <c r="R130" s="162">
        <f ca="1"/>
        <v>1.3231560058448943E-2</v>
      </c>
      <c r="S130" s="162">
        <f ca="1"/>
        <v>0</v>
      </c>
      <c r="T130" s="162">
        <f ca="1"/>
        <v>3.4174439529573886E-2</v>
      </c>
      <c r="U130" s="162">
        <f ca="1"/>
        <v>5.9731431368828303E-2</v>
      </c>
      <c r="V130" s="138">
        <f ca="1"/>
        <v>0.10550774030560273</v>
      </c>
      <c r="W130" s="137">
        <f ca="1"/>
        <v>0</v>
      </c>
      <c r="X130" s="162">
        <f ca="1"/>
        <v>9.7756332082132857E-4</v>
      </c>
      <c r="Y130" s="162">
        <f ca="1"/>
        <v>2.2831757635591865E-3</v>
      </c>
      <c r="Z130" s="162">
        <f ca="1"/>
        <v>6.8089531998078989E-3</v>
      </c>
      <c r="AA130" s="162">
        <f ca="1"/>
        <v>1.3767640617911359E-2</v>
      </c>
      <c r="AB130" s="162">
        <f ca="1"/>
        <v>0</v>
      </c>
      <c r="AC130" s="162">
        <f ca="1"/>
        <v>3.5023861036265869E-2</v>
      </c>
      <c r="AD130" s="162">
        <f ca="1"/>
        <v>6.0878118583367224E-2</v>
      </c>
      <c r="AE130" s="138">
        <f ca="1"/>
        <v>0.10707155040032501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1.343907411974099E-3</v>
      </c>
      <c r="P131" s="162">
        <f ca="1"/>
        <v>3.1120174454799532E-3</v>
      </c>
      <c r="Q131" s="162">
        <f ca="1"/>
        <v>7.1518451464990251E-3</v>
      </c>
      <c r="R131" s="162">
        <f ca="1"/>
        <v>1.4273650273113003E-2</v>
      </c>
      <c r="S131" s="162">
        <f ca="1"/>
        <v>0</v>
      </c>
      <c r="T131" s="162">
        <f ca="1"/>
        <v>3.3995938201674347E-2</v>
      </c>
      <c r="U131" s="162">
        <f ca="1"/>
        <v>5.8221066557740841E-2</v>
      </c>
      <c r="V131" s="138">
        <f ca="1"/>
        <v>9.9708116533981817E-2</v>
      </c>
      <c r="W131" s="137">
        <f ca="1"/>
        <v>0</v>
      </c>
      <c r="X131" s="162">
        <f ca="1"/>
        <v>1.46598596771641E-3</v>
      </c>
      <c r="Y131" s="162">
        <f ca="1"/>
        <v>3.3182228756319931E-3</v>
      </c>
      <c r="Z131" s="162">
        <f ca="1"/>
        <v>7.5238938807874467E-3</v>
      </c>
      <c r="AA131" s="162">
        <f ca="1"/>
        <v>1.4809036947355136E-2</v>
      </c>
      <c r="AB131" s="162">
        <f ca="1"/>
        <v>0</v>
      </c>
      <c r="AC131" s="162">
        <f ca="1"/>
        <v>3.4845292575080622E-2</v>
      </c>
      <c r="AD131" s="162">
        <f ca="1"/>
        <v>5.9368911974148064E-2</v>
      </c>
      <c r="AE131" s="138">
        <f ca="1"/>
        <v>0.10127792374583822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9.7756569606266552E-4</v>
      </c>
      <c r="P132" s="162">
        <f ca="1"/>
        <v>2.0732126658604688E-3</v>
      </c>
      <c r="Q132" s="162">
        <f ca="1"/>
        <v>7.1998592894253477E-3</v>
      </c>
      <c r="R132" s="162">
        <f ca="1"/>
        <v>1.3191186304058355E-2</v>
      </c>
      <c r="S132" s="162">
        <f ca="1"/>
        <v>0</v>
      </c>
      <c r="T132" s="162">
        <f ca="1"/>
        <v>3.413251732847955E-2</v>
      </c>
      <c r="U132" s="162">
        <f ca="1"/>
        <v>5.5699517721388703E-2</v>
      </c>
      <c r="V132" s="138">
        <f ca="1"/>
        <v>9.4431114177188413E-2</v>
      </c>
      <c r="W132" s="137">
        <f ca="1"/>
        <v>0</v>
      </c>
      <c r="X132" s="162">
        <f ca="1"/>
        <v>1.0996914127785473E-3</v>
      </c>
      <c r="Y132" s="162">
        <f ca="1"/>
        <v>2.2796106631310931E-3</v>
      </c>
      <c r="Z132" s="162">
        <f ca="1"/>
        <v>7.5720296362988826E-3</v>
      </c>
      <c r="AA132" s="162">
        <f ca="1"/>
        <v>1.3727178741975932E-2</v>
      </c>
      <c r="AB132" s="162">
        <f ca="1"/>
        <v>0</v>
      </c>
      <c r="AC132" s="162">
        <f ca="1"/>
        <v>3.4981824894018465E-2</v>
      </c>
      <c r="AD132" s="162">
        <f ca="1"/>
        <v>5.6850839609340342E-2</v>
      </c>
      <c r="AE132" s="138">
        <f ca="1"/>
        <v>9.5985445488899201E-2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8.5542205552979755E-4</v>
      </c>
      <c r="P133" s="162">
        <f ca="1"/>
        <v>1.6567555318549587E-3</v>
      </c>
      <c r="Q133" s="162">
        <f ca="1"/>
        <v>4.9163140677299655E-3</v>
      </c>
      <c r="R133" s="162">
        <f ca="1"/>
        <v>9.3537021028915479E-3</v>
      </c>
      <c r="S133" s="162">
        <f ca="1"/>
        <v>0</v>
      </c>
      <c r="T133" s="162">
        <f ca="1"/>
        <v>2.4334740472952809E-2</v>
      </c>
      <c r="U133" s="162">
        <f ca="1"/>
        <v>3.8507995305588127E-2</v>
      </c>
      <c r="V133" s="138">
        <f ca="1"/>
        <v>6.9224054637512022E-2</v>
      </c>
      <c r="W133" s="137">
        <f ca="1"/>
        <v>0</v>
      </c>
      <c r="X133" s="162">
        <f ca="1"/>
        <v>9.7756332082132857E-4</v>
      </c>
      <c r="Y133" s="162">
        <f ca="1"/>
        <v>1.8632277156690469E-3</v>
      </c>
      <c r="Z133" s="162">
        <f ca="1"/>
        <v>5.2892245738439536E-3</v>
      </c>
      <c r="AA133" s="162">
        <f ca="1"/>
        <v>9.8915545448360342E-3</v>
      </c>
      <c r="AB133" s="162">
        <f ca="1"/>
        <v>0</v>
      </c>
      <c r="AC133" s="162">
        <f ca="1"/>
        <v>2.5193192188525226E-2</v>
      </c>
      <c r="AD133" s="162">
        <f ca="1"/>
        <v>3.9679286536065561E-2</v>
      </c>
      <c r="AE133" s="138">
        <f ca="1"/>
        <v>7.0826004254528341E-2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3.6669874493666654E-4</v>
      </c>
      <c r="P134" s="162">
        <f ca="1"/>
        <v>1.2506883231890864E-3</v>
      </c>
      <c r="Q134" s="162">
        <f ca="1"/>
        <v>4.9451741667743132E-3</v>
      </c>
      <c r="R134" s="162">
        <f ca="1"/>
        <v>9.9498925676856365E-3</v>
      </c>
      <c r="S134" s="162">
        <f ca="1"/>
        <v>0</v>
      </c>
      <c r="T134" s="162">
        <f ca="1"/>
        <v>2.6186436608190644E-2</v>
      </c>
      <c r="U134" s="162">
        <f ca="1"/>
        <v>4.3663118594743477E-2</v>
      </c>
      <c r="V134" s="138">
        <f ca="1"/>
        <v>8.0070602727425055E-2</v>
      </c>
      <c r="W134" s="137">
        <f ca="1"/>
        <v>0</v>
      </c>
      <c r="X134" s="162">
        <f ca="1"/>
        <v>4.8890136868151579E-4</v>
      </c>
      <c r="Y134" s="162">
        <f ca="1"/>
        <v>1.4572703110591334E-3</v>
      </c>
      <c r="Z134" s="162">
        <f ca="1"/>
        <v>5.3181701011334459E-3</v>
      </c>
      <c r="AA134" s="162">
        <f ca="1"/>
        <v>1.0487618266753818E-2</v>
      </c>
      <c r="AB134" s="162">
        <f ca="1"/>
        <v>0</v>
      </c>
      <c r="AC134" s="162">
        <f ca="1"/>
        <v>2.7043411540741524E-2</v>
      </c>
      <c r="AD134" s="162">
        <f ca="1"/>
        <v>4.4828985705084645E-2</v>
      </c>
      <c r="AE134" s="138">
        <f ca="1"/>
        <v>8.1652565460846094E-2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7.3326354287817086E-4</v>
      </c>
      <c r="P135" s="162">
        <f ca="1"/>
        <v>1.870310700490041E-3</v>
      </c>
      <c r="Q135" s="162">
        <f ca="1"/>
        <v>6.8310926877475087E-3</v>
      </c>
      <c r="R135" s="162">
        <f ca="1"/>
        <v>1.3790346838100986E-2</v>
      </c>
      <c r="S135" s="162">
        <f ca="1"/>
        <v>0</v>
      </c>
      <c r="T135" s="162">
        <f ca="1"/>
        <v>3.5051034547347371E-2</v>
      </c>
      <c r="U135" s="162">
        <f ca="1"/>
        <v>5.9579135720033927E-2</v>
      </c>
      <c r="V135" s="138">
        <f ca="1"/>
        <v>0.11115266351773667</v>
      </c>
      <c r="W135" s="137">
        <f ca="1"/>
        <v>0</v>
      </c>
      <c r="X135" s="162">
        <f ca="1"/>
        <v>8.5542027225893325E-4</v>
      </c>
      <c r="Y135" s="162">
        <f ca="1"/>
        <v>2.0767635202104673E-3</v>
      </c>
      <c r="Z135" s="162">
        <f ca="1"/>
        <v>7.2034209179621111E-3</v>
      </c>
      <c r="AA135" s="162">
        <f ca="1"/>
        <v>1.4326196612279962E-2</v>
      </c>
      <c r="AB135" s="162">
        <f ca="1"/>
        <v>0</v>
      </c>
      <c r="AC135" s="162">
        <f ca="1"/>
        <v>3.5899638407991485E-2</v>
      </c>
      <c r="AD135" s="162">
        <f ca="1"/>
        <v>6.0725941703517305E-2</v>
      </c>
      <c r="AE135" s="138">
        <f ca="1"/>
        <v>0.11271008956560791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1.4415759440858933E-3</v>
      </c>
      <c r="P136" s="162">
        <f ca="1"/>
        <v>3.1720758505652258E-3</v>
      </c>
      <c r="Q136" s="162">
        <f ca="1"/>
        <v>7.7980947867777317E-3</v>
      </c>
      <c r="R136" s="162">
        <f ca="1"/>
        <v>1.3615107504437174E-2</v>
      </c>
      <c r="S136" s="162">
        <f ca="1"/>
        <v>0</v>
      </c>
      <c r="T136" s="162">
        <f ca="1"/>
        <v>2.8439307940759107E-2</v>
      </c>
      <c r="U136" s="162">
        <f ca="1"/>
        <v>4.4435758162628347E-2</v>
      </c>
      <c r="V136" s="138">
        <f ca="1"/>
        <v>6.9193967239104093E-2</v>
      </c>
      <c r="W136" s="137">
        <f ca="1"/>
        <v>0</v>
      </c>
      <c r="X136" s="162">
        <f ca="1"/>
        <v>1.5636417908804212E-3</v>
      </c>
      <c r="Y136" s="162">
        <f ca="1"/>
        <v>3.3782626068525889E-3</v>
      </c>
      <c r="Z136" s="162">
        <f ca="1"/>
        <v>8.1699320455945745E-3</v>
      </c>
      <c r="AA136" s="162">
        <f ca="1"/>
        <v>1.4150662526035473E-2</v>
      </c>
      <c r="AB136" s="162">
        <f ca="1"/>
        <v>0</v>
      </c>
      <c r="AC136" s="162">
        <f ca="1"/>
        <v>2.9293450859520731E-2</v>
      </c>
      <c r="AD136" s="162">
        <f ca="1"/>
        <v>4.5598758219977054E-2</v>
      </c>
      <c r="AE136" s="138">
        <f ca="1"/>
        <v>7.079446554015778E-2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1.4777259295380984E-3</v>
      </c>
      <c r="Q137" s="162">
        <f ca="1"/>
        <v>0</v>
      </c>
      <c r="R137" s="162">
        <f ca="1"/>
        <v>9.9745459308698825E-3</v>
      </c>
      <c r="S137" s="162">
        <f ca="1"/>
        <v>0</v>
      </c>
      <c r="T137" s="162">
        <f ca="1"/>
        <v>2.4765026441367022E-2</v>
      </c>
      <c r="U137" s="162">
        <f ca="1"/>
        <v>3.8212846408536727E-2</v>
      </c>
      <c r="V137" s="138">
        <f ca="1"/>
        <v>6.4163133864984845E-2</v>
      </c>
      <c r="W137" s="137">
        <f ca="1"/>
        <v>0</v>
      </c>
      <c r="X137" s="162">
        <f ca="1"/>
        <v>0</v>
      </c>
      <c r="Y137" s="162">
        <f ca="1"/>
        <v>1.6842157145247061E-3</v>
      </c>
      <c r="Z137" s="162">
        <f ca="1"/>
        <v>0</v>
      </c>
      <c r="AA137" s="162">
        <f ca="1"/>
        <v>1.0511459570267889E-2</v>
      </c>
      <c r="AB137" s="162">
        <f ca="1"/>
        <v>0</v>
      </c>
      <c r="AC137" s="162">
        <f ca="1"/>
        <v>2.5622435641470487E-2</v>
      </c>
      <c r="AD137" s="162">
        <f ca="1"/>
        <v>3.9383369195514994E-2</v>
      </c>
      <c r="AE137" s="138">
        <f ca="1"/>
        <v>6.5772108461201295E-2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2.9367897553662647E-3</v>
      </c>
      <c r="Q138" s="162">
        <f ca="1"/>
        <v>0</v>
      </c>
      <c r="R138" s="162">
        <f ca="1"/>
        <v>1.4425689204309977E-2</v>
      </c>
      <c r="S138" s="162">
        <f ca="1"/>
        <v>0</v>
      </c>
      <c r="T138" s="162">
        <f ca="1"/>
        <v>3.4508352224280725E-2</v>
      </c>
      <c r="U138" s="162">
        <f ca="1"/>
        <v>5.9265918020515174E-2</v>
      </c>
      <c r="V138" s="138">
        <f ca="1"/>
        <v>9.9809626549668962E-2</v>
      </c>
      <c r="W138" s="137">
        <f ca="1"/>
        <v>0</v>
      </c>
      <c r="X138" s="162">
        <f ca="1"/>
        <v>0</v>
      </c>
      <c r="Y138" s="162">
        <f ca="1"/>
        <v>3.1429469746069305E-3</v>
      </c>
      <c r="Z138" s="162">
        <f ca="1"/>
        <v>0</v>
      </c>
      <c r="AA138" s="162">
        <f ca="1"/>
        <v>1.4959754044181595E-2</v>
      </c>
      <c r="AB138" s="162">
        <f ca="1"/>
        <v>0</v>
      </c>
      <c r="AC138" s="162">
        <f ca="1"/>
        <v>3.5356256897537741E-2</v>
      </c>
      <c r="AD138" s="162">
        <f ca="1"/>
        <v>6.0411131051757327E-2</v>
      </c>
      <c r="AE138" s="138">
        <f ca="1"/>
        <v>0.10137820207746406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1.6369100729786146E-3</v>
      </c>
      <c r="P139" s="162">
        <f ca="1"/>
        <v>4.3199812849964436E-3</v>
      </c>
      <c r="Q139" s="162">
        <f ca="1"/>
        <v>1.1500687505826446E-2</v>
      </c>
      <c r="R139" s="162">
        <f ca="1"/>
        <v>1.9312216853721198E-2</v>
      </c>
      <c r="S139" s="162">
        <f ca="1"/>
        <v>0</v>
      </c>
      <c r="T139" s="162">
        <f ca="1"/>
        <v>3.7691611361402977E-2</v>
      </c>
      <c r="U139" s="162">
        <f ca="1"/>
        <v>5.6358552769514292E-2</v>
      </c>
      <c r="V139" s="138">
        <f ca="1"/>
        <v>8.5548732150889539E-2</v>
      </c>
      <c r="W139" s="137">
        <f ca="1"/>
        <v>0</v>
      </c>
      <c r="X139" s="162">
        <f ca="1"/>
        <v>1.7589522527891033E-3</v>
      </c>
      <c r="Y139" s="162">
        <f ca="1"/>
        <v>4.5259751026015538E-3</v>
      </c>
      <c r="Z139" s="162">
        <f ca="1"/>
        <v>1.1871220545903061E-2</v>
      </c>
      <c r="AA139" s="162">
        <f ca="1"/>
        <v>1.984474946316428E-2</v>
      </c>
      <c r="AB139" s="162">
        <f ca="1"/>
        <v>0</v>
      </c>
      <c r="AC139" s="162">
        <f ca="1"/>
        <v>3.8536179860787612E-2</v>
      </c>
      <c r="AD139" s="162">
        <f ca="1"/>
        <v>5.7505391320103572E-2</v>
      </c>
      <c r="AE139" s="138">
        <f ca="1"/>
        <v>8.7115380492346239E-2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1.6057623608281002E-3</v>
      </c>
      <c r="Q140" s="162">
        <f ca="1"/>
        <v>0</v>
      </c>
      <c r="R140" s="162">
        <f ca="1"/>
        <v>8.1967195964184336E-3</v>
      </c>
      <c r="S140" s="162">
        <f ca="1"/>
        <v>0</v>
      </c>
      <c r="T140" s="162">
        <f ca="1"/>
        <v>1.9514792916576429E-2</v>
      </c>
      <c r="U140" s="162">
        <f ca="1"/>
        <v>3.1247911039992249E-2</v>
      </c>
      <c r="V140" s="138">
        <f ca="1"/>
        <v>6.3045000904840887E-2</v>
      </c>
      <c r="W140" s="137">
        <f ca="1"/>
        <v>0</v>
      </c>
      <c r="X140" s="162">
        <f ca="1"/>
        <v>0</v>
      </c>
      <c r="Y140" s="162">
        <f ca="1"/>
        <v>1.8122238254710821E-3</v>
      </c>
      <c r="Z140" s="162">
        <f ca="1"/>
        <v>0</v>
      </c>
      <c r="AA140" s="162">
        <f ca="1"/>
        <v>8.7346025256196391E-3</v>
      </c>
      <c r="AB140" s="162">
        <f ca="1"/>
        <v>0</v>
      </c>
      <c r="AC140" s="162">
        <f ca="1"/>
        <v>2.0376714900534831E-2</v>
      </c>
      <c r="AD140" s="162">
        <f ca="1"/>
        <v>3.2426351018161492E-2</v>
      </c>
      <c r="AE140" s="138">
        <f ca="1"/>
        <v>6.4655438763751683E-2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1.9484894890205995E-3</v>
      </c>
      <c r="Q141" s="162">
        <f ca="1"/>
        <v>0</v>
      </c>
      <c r="R141" s="162">
        <f ca="1"/>
        <v>1.4842378390139466E-2</v>
      </c>
      <c r="S141" s="162">
        <f ca="1"/>
        <v>0</v>
      </c>
      <c r="T141" s="162">
        <f ca="1"/>
        <v>3.4999622947412878E-2</v>
      </c>
      <c r="U141" s="162">
        <f ca="1"/>
        <v>5.7341310061310713E-2</v>
      </c>
      <c r="V141" s="138">
        <f ca="1"/>
        <v>0.10023255250406748</v>
      </c>
      <c r="W141" s="137">
        <f ca="1"/>
        <v>0</v>
      </c>
      <c r="X141" s="162">
        <f ca="1"/>
        <v>0</v>
      </c>
      <c r="Y141" s="162">
        <f ca="1"/>
        <v>2.1548743420949368E-3</v>
      </c>
      <c r="Z141" s="162">
        <f ca="1"/>
        <v>0</v>
      </c>
      <c r="AA141" s="162">
        <f ca="1"/>
        <v>1.5376253727365952E-2</v>
      </c>
      <c r="AB141" s="162">
        <f ca="1"/>
        <v>0</v>
      </c>
      <c r="AC141" s="162">
        <f ca="1"/>
        <v>3.5847373547993056E-2</v>
      </c>
      <c r="AD141" s="162">
        <f ca="1"/>
        <v>5.8489158474353653E-2</v>
      </c>
      <c r="AE141" s="138">
        <f ca="1"/>
        <v>0.10180133691244497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2.4912462428006155E-3</v>
      </c>
      <c r="Q142" s="162">
        <f ca="1"/>
        <v>0</v>
      </c>
      <c r="R142" s="162">
        <f ca="1"/>
        <v>1.0470583131974465E-2</v>
      </c>
      <c r="S142" s="162">
        <f ca="1"/>
        <v>0</v>
      </c>
      <c r="T142" s="162">
        <f ca="1"/>
        <v>2.1463255578103912E-2</v>
      </c>
      <c r="U142" s="162">
        <f ca="1"/>
        <v>3.3007143895316116E-2</v>
      </c>
      <c r="V142" s="138">
        <f ca="1"/>
        <v>5.687335999718679E-2</v>
      </c>
      <c r="W142" s="137">
        <f ca="1"/>
        <v>0</v>
      </c>
      <c r="X142" s="162">
        <f ca="1"/>
        <v>0</v>
      </c>
      <c r="Y142" s="162">
        <f ca="1"/>
        <v>2.6975073354512658E-3</v>
      </c>
      <c r="Z142" s="162">
        <f ca="1"/>
        <v>0</v>
      </c>
      <c r="AA142" s="162">
        <f ca="1"/>
        <v>1.1007063911697146E-2</v>
      </c>
      <c r="AB142" s="162">
        <f ca="1"/>
        <v>0</v>
      </c>
      <c r="AC142" s="162">
        <f ca="1"/>
        <v>2.2323047777945138E-2</v>
      </c>
      <c r="AD142" s="162">
        <f ca="1"/>
        <v>3.4182552436756941E-2</v>
      </c>
      <c r="AE142" s="138">
        <f ca="1"/>
        <v>5.8494485808439745E-2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2.4334761651633174E-3</v>
      </c>
      <c r="Q143" s="162">
        <f ca="1"/>
        <v>0</v>
      </c>
      <c r="R143" s="162">
        <f ca="1"/>
        <v>1.2588014310842555E-2</v>
      </c>
      <c r="S143" s="162">
        <f ca="1"/>
        <v>0</v>
      </c>
      <c r="T143" s="162">
        <f ca="1"/>
        <v>3.0264914323327452E-2</v>
      </c>
      <c r="U143" s="162">
        <f ca="1"/>
        <v>5.4433613064253317E-2</v>
      </c>
      <c r="V143" s="138">
        <f ca="1"/>
        <v>9.4519966981411296E-2</v>
      </c>
      <c r="W143" s="137">
        <f ca="1"/>
        <v>0</v>
      </c>
      <c r="X143" s="162">
        <f ca="1"/>
        <v>0</v>
      </c>
      <c r="Y143" s="162">
        <f ca="1"/>
        <v>2.6397505745864303E-3</v>
      </c>
      <c r="Z143" s="162">
        <f ca="1"/>
        <v>0</v>
      </c>
      <c r="AA143" s="162">
        <f ca="1"/>
        <v>1.3123264803812651E-2</v>
      </c>
      <c r="AB143" s="162">
        <f ca="1"/>
        <v>0</v>
      </c>
      <c r="AC143" s="162">
        <f ca="1"/>
        <v>3.1116994808263021E-2</v>
      </c>
      <c r="AD143" s="162">
        <f ca="1"/>
        <v>5.5584936215912428E-2</v>
      </c>
      <c r="AE143" s="138">
        <f ca="1"/>
        <v>9.6098335054873751E-2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2.4582351756754495E-3</v>
      </c>
      <c r="Q144" s="162">
        <f ca="1"/>
        <v>0</v>
      </c>
      <c r="R144" s="162">
        <f ca="1"/>
        <v>1.3282362472137876E-2</v>
      </c>
      <c r="S144" s="162">
        <f ca="1"/>
        <v>0</v>
      </c>
      <c r="T144" s="162">
        <f ca="1"/>
        <v>3.1529402320578326E-2</v>
      </c>
      <c r="U144" s="162">
        <f ca="1"/>
        <v>4.4841289740516932E-2</v>
      </c>
      <c r="V144" s="138">
        <f ca="1"/>
        <v>6.6150267638632188E-2</v>
      </c>
      <c r="W144" s="137">
        <f ca="1"/>
        <v>0</v>
      </c>
      <c r="X144" s="162">
        <f ca="1"/>
        <v>0</v>
      </c>
      <c r="Y144" s="162">
        <f ca="1"/>
        <v>2.664503882077951E-3</v>
      </c>
      <c r="Z144" s="162">
        <f ca="1"/>
        <v>0</v>
      </c>
      <c r="AA144" s="162">
        <f ca="1"/>
        <v>1.3817186299602935E-2</v>
      </c>
      <c r="AB144" s="162">
        <f ca="1"/>
        <v>0</v>
      </c>
      <c r="AC144" s="162">
        <f ca="1"/>
        <v>3.2380292826733492E-2</v>
      </c>
      <c r="AD144" s="162">
        <f ca="1"/>
        <v>4.6003233397555521E-2</v>
      </c>
      <c r="AE144" s="138">
        <f ca="1"/>
        <v>6.7753707828507981E-2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2.278718556419701E-3</v>
      </c>
      <c r="Q145" s="162">
        <f ca="1"/>
        <v>0</v>
      </c>
      <c r="R145" s="162">
        <f ca="1"/>
        <v>9.8562365720676892E-3</v>
      </c>
      <c r="S145" s="162">
        <f ca="1"/>
        <v>0</v>
      </c>
      <c r="T145" s="162">
        <f ca="1"/>
        <v>2.2898278770308811E-2</v>
      </c>
      <c r="U145" s="162">
        <f ca="1"/>
        <v>4.3536678954483321E-2</v>
      </c>
      <c r="V145" s="138">
        <f ca="1"/>
        <v>7.6253855237777279E-2</v>
      </c>
      <c r="W145" s="137">
        <f ca="1"/>
        <v>0</v>
      </c>
      <c r="X145" s="162">
        <f ca="1"/>
        <v>0</v>
      </c>
      <c r="Y145" s="162">
        <f ca="1"/>
        <v>2.4850284695878688E-3</v>
      </c>
      <c r="Z145" s="162">
        <f ca="1"/>
        <v>0</v>
      </c>
      <c r="AA145" s="162">
        <f ca="1"/>
        <v>1.0393095375544115E-2</v>
      </c>
      <c r="AB145" s="162">
        <f ca="1"/>
        <v>0</v>
      </c>
      <c r="AC145" s="162">
        <f ca="1"/>
        <v>2.3757042040024268E-2</v>
      </c>
      <c r="AD145" s="162">
        <f ca="1"/>
        <v>4.470120860245741E-2</v>
      </c>
      <c r="AE145" s="138">
        <f ca="1"/>
        <v>7.7842113087008391E-2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2.4210964316701E-3</v>
      </c>
      <c r="Q146" s="162">
        <f ca="1"/>
        <v>0</v>
      </c>
      <c r="R146" s="162">
        <f ca="1"/>
        <v>1.6988759025151512E-2</v>
      </c>
      <c r="S146" s="162">
        <f ca="1"/>
        <v>0</v>
      </c>
      <c r="T146" s="162">
        <f ca="1"/>
        <v>3.4713307021803863E-2</v>
      </c>
      <c r="U146" s="162">
        <f ca="1"/>
        <v>5.950518622630685E-2</v>
      </c>
      <c r="V146" s="138">
        <f ca="1"/>
        <v>0.10853494337539182</v>
      </c>
      <c r="W146" s="137">
        <f ca="1"/>
        <v>0</v>
      </c>
      <c r="X146" s="162">
        <f ca="1"/>
        <v>0</v>
      </c>
      <c r="Y146" s="162">
        <f ca="1"/>
        <v>2.6273736902449052E-3</v>
      </c>
      <c r="Z146" s="162">
        <f ca="1"/>
        <v>0</v>
      </c>
      <c r="AA146" s="162">
        <f ca="1"/>
        <v>1.7521167517376979E-2</v>
      </c>
      <c r="AB146" s="162">
        <f ca="1"/>
        <v>0</v>
      </c>
      <c r="AC146" s="162">
        <f ca="1"/>
        <v>3.5561263197062098E-2</v>
      </c>
      <c r="AD146" s="162">
        <f ca="1"/>
        <v>6.0649329404914853E-2</v>
      </c>
      <c r="AE146" s="138">
        <f ca="1"/>
        <v>0.11009347230979394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2.1445760562018856E-3</v>
      </c>
      <c r="Q147" s="162">
        <f ca="1"/>
        <v>0</v>
      </c>
      <c r="R147" s="162">
        <f ca="1"/>
        <v>1.5626873205392466E-2</v>
      </c>
      <c r="S147" s="162">
        <f ca="1"/>
        <v>0</v>
      </c>
      <c r="T147" s="162">
        <f ca="1"/>
        <v>3.8940781581667361E-2</v>
      </c>
      <c r="U147" s="162">
        <f ca="1"/>
        <v>6.7761760079758093E-2</v>
      </c>
      <c r="V147" s="138">
        <f ca="1"/>
        <v>0.12729400541676084</v>
      </c>
      <c r="W147" s="137">
        <f ca="1"/>
        <v>0</v>
      </c>
      <c r="X147" s="162">
        <f ca="1"/>
        <v>0</v>
      </c>
      <c r="Y147" s="162">
        <f ca="1"/>
        <v>2.3509165446770064E-3</v>
      </c>
      <c r="Z147" s="162">
        <f ca="1"/>
        <v>0</v>
      </c>
      <c r="AA147" s="162">
        <f ca="1"/>
        <v>1.6160217671845833E-2</v>
      </c>
      <c r="AB147" s="162">
        <f ca="1"/>
        <v>0</v>
      </c>
      <c r="AC147" s="162">
        <f ca="1"/>
        <v>3.9784508566808152E-2</v>
      </c>
      <c r="AD147" s="162">
        <f ca="1"/>
        <v>6.8896719790618177E-2</v>
      </c>
      <c r="AE147" s="138">
        <f ca="1"/>
        <v>0.12882926172690123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1.9732604251447849E-3</v>
      </c>
      <c r="Q148" s="162">
        <f ca="1"/>
        <v>0</v>
      </c>
      <c r="R148" s="162">
        <f ca="1"/>
        <v>9.8968447744618437E-3</v>
      </c>
      <c r="S148" s="162">
        <f ca="1"/>
        <v>0</v>
      </c>
      <c r="T148" s="162">
        <f ca="1"/>
        <v>3.1503306434126466E-2</v>
      </c>
      <c r="U148" s="162">
        <f ca="1"/>
        <v>5.9468500314990291E-2</v>
      </c>
      <c r="V148" s="138">
        <f ca="1"/>
        <v>0.11467121032834371</v>
      </c>
      <c r="W148" s="137">
        <f ca="1"/>
        <v>0</v>
      </c>
      <c r="X148" s="162">
        <f ca="1"/>
        <v>0</v>
      </c>
      <c r="Y148" s="162">
        <f ca="1"/>
        <v>2.1796396952808994E-3</v>
      </c>
      <c r="Z148" s="162">
        <f ca="1"/>
        <v>0</v>
      </c>
      <c r="AA148" s="162">
        <f ca="1"/>
        <v>1.0433728571828893E-2</v>
      </c>
      <c r="AB148" s="162">
        <f ca="1"/>
        <v>0</v>
      </c>
      <c r="AC148" s="162">
        <f ca="1"/>
        <v>3.2354236337718612E-2</v>
      </c>
      <c r="AD148" s="162">
        <f ca="1"/>
        <v>6.0614795739162508E-2</v>
      </c>
      <c r="AE148" s="138">
        <f ca="1"/>
        <v>0.11622770274619165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1.3042312556506008E-3</v>
      </c>
      <c r="Q149" s="162">
        <f ca="1"/>
        <v>0</v>
      </c>
      <c r="R149" s="162">
        <f ca="1"/>
        <v>1.0309436713032305E-2</v>
      </c>
      <c r="S149" s="162">
        <f ca="1"/>
        <v>0</v>
      </c>
      <c r="T149" s="162">
        <f ca="1"/>
        <v>3.1069641186991848E-2</v>
      </c>
      <c r="U149" s="162">
        <f ca="1"/>
        <v>5.4510333879603134E-2</v>
      </c>
      <c r="V149" s="138">
        <f ca="1"/>
        <v>0.10414440996536856</v>
      </c>
      <c r="W149" s="137">
        <f ca="1"/>
        <v>0</v>
      </c>
      <c r="X149" s="162">
        <f ca="1"/>
        <v>0</v>
      </c>
      <c r="Y149" s="162">
        <f ca="1"/>
        <v>1.5107591580959534E-3</v>
      </c>
      <c r="Z149" s="162">
        <f ca="1"/>
        <v>0</v>
      </c>
      <c r="AA149" s="162">
        <f ca="1"/>
        <v>1.0846181253041931E-2</v>
      </c>
      <c r="AB149" s="162">
        <f ca="1"/>
        <v>0</v>
      </c>
      <c r="AC149" s="162">
        <f ca="1"/>
        <v>3.1921235073940402E-2</v>
      </c>
      <c r="AD149" s="162">
        <f ca="1"/>
        <v>5.5662949721996036E-2</v>
      </c>
      <c r="AE149" s="138">
        <f ca="1"/>
        <v>0.10571374736179018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6.7816284922039838E-4</v>
      </c>
      <c r="Q150" s="162">
        <f ca="1"/>
        <v>0</v>
      </c>
      <c r="R150" s="162">
        <f ca="1"/>
        <v>5.4263593825658596E-3</v>
      </c>
      <c r="S150" s="162">
        <f ca="1"/>
        <v>0</v>
      </c>
      <c r="T150" s="162">
        <f ca="1"/>
        <v>1.4904197794807894E-2</v>
      </c>
      <c r="U150" s="162">
        <f ca="1"/>
        <v>2.8017483908281515E-2</v>
      </c>
      <c r="V150" s="138">
        <f ca="1"/>
        <v>5.406553021560967E-2</v>
      </c>
      <c r="W150" s="137">
        <f ca="1"/>
        <v>0</v>
      </c>
      <c r="X150" s="162">
        <f ca="1"/>
        <v>0</v>
      </c>
      <c r="Y150" s="162">
        <f ca="1"/>
        <v>8.8482587264515633E-4</v>
      </c>
      <c r="Z150" s="162">
        <f ca="1"/>
        <v>0</v>
      </c>
      <c r="AA150" s="162">
        <f ca="1"/>
        <v>5.9658735345019531E-3</v>
      </c>
      <c r="AB150" s="162">
        <f ca="1"/>
        <v>0</v>
      </c>
      <c r="AC150" s="162">
        <f ca="1"/>
        <v>1.5770423891037333E-2</v>
      </c>
      <c r="AD150" s="162">
        <f ca="1"/>
        <v>2.9200850768789866E-2</v>
      </c>
      <c r="AE150" s="138">
        <f ca="1"/>
        <v>5.569516020923615E-2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6.2268726475931402E-3</v>
      </c>
      <c r="Q151" s="162">
        <f ca="1"/>
        <v>0</v>
      </c>
      <c r="R151" s="162">
        <f ca="1"/>
        <v>5.0770664400216714E-2</v>
      </c>
      <c r="S151" s="162">
        <f ca="1"/>
        <v>0</v>
      </c>
      <c r="T151" s="162">
        <f ca="1"/>
        <v>0.13138970344103407</v>
      </c>
      <c r="U151" s="162">
        <f ca="1"/>
        <v>0.20269184639613613</v>
      </c>
      <c r="V151" s="138">
        <f ca="1"/>
        <v>0.3077322572257557</v>
      </c>
      <c r="W151" s="137">
        <f ca="1"/>
        <v>0</v>
      </c>
      <c r="X151" s="162">
        <f ca="1"/>
        <v>0</v>
      </c>
      <c r="Y151" s="162">
        <f ca="1"/>
        <v>6.4321947978904781E-3</v>
      </c>
      <c r="Z151" s="162">
        <f ca="1"/>
        <v>0</v>
      </c>
      <c r="AA151" s="162">
        <f ca="1"/>
        <v>5.1289092686561122E-2</v>
      </c>
      <c r="AB151" s="162">
        <f ca="1"/>
        <v>0</v>
      </c>
      <c r="AC151" s="162">
        <f ca="1"/>
        <v>0.13217067711567454</v>
      </c>
      <c r="AD151" s="162">
        <f ca="1"/>
        <v>0.20369027597826894</v>
      </c>
      <c r="AE151" s="138">
        <f ca="1"/>
        <v>0.30897592930385198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1.0976510181679444E-3</v>
      </c>
      <c r="Q152" s="162">
        <f ca="1"/>
        <v>0</v>
      </c>
      <c r="R152" s="162">
        <f ca="1"/>
        <v>3.6824503762180605E-3</v>
      </c>
      <c r="S152" s="162">
        <f ca="1"/>
        <v>0</v>
      </c>
      <c r="T152" s="162">
        <f ca="1"/>
        <v>1.0495967913277227E-2</v>
      </c>
      <c r="U152" s="162">
        <f ca="1"/>
        <v>1.8982430980324483E-2</v>
      </c>
      <c r="V152" s="138">
        <f ca="1"/>
        <v>3.6262928241895032E-2</v>
      </c>
      <c r="W152" s="137">
        <f ca="1"/>
        <v>0</v>
      </c>
      <c r="X152" s="162">
        <f ca="1"/>
        <v>0</v>
      </c>
      <c r="Y152" s="162">
        <f ca="1"/>
        <v>1.3042239234773989E-3</v>
      </c>
      <c r="Z152" s="162">
        <f ca="1"/>
        <v>0</v>
      </c>
      <c r="AA152" s="162">
        <f ca="1"/>
        <v>4.222726870042659E-3</v>
      </c>
      <c r="AB152" s="162">
        <f ca="1"/>
        <v>0</v>
      </c>
      <c r="AC152" s="162">
        <f ca="1"/>
        <v>1.1365662859770587E-2</v>
      </c>
      <c r="AD152" s="162">
        <f ca="1"/>
        <v>2.0175442568792556E-2</v>
      </c>
      <c r="AE152" s="138">
        <f ca="1"/>
        <v>3.7923002157668306E-2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9.9021255525988394E-4</v>
      </c>
      <c r="Q153" s="162">
        <f ca="1"/>
        <v>0</v>
      </c>
      <c r="R153" s="162">
        <f ca="1"/>
        <v>6.8519016235808472E-3</v>
      </c>
      <c r="S153" s="162">
        <f ca="1"/>
        <v>0</v>
      </c>
      <c r="T153" s="162">
        <f ca="1"/>
        <v>1.8810286272923804E-2</v>
      </c>
      <c r="U153" s="162">
        <f ca="1"/>
        <v>3.2534890602639366E-2</v>
      </c>
      <c r="V153" s="138">
        <f ca="1"/>
        <v>5.5338557636822716E-2</v>
      </c>
      <c r="W153" s="137">
        <f ca="1"/>
        <v>0</v>
      </c>
      <c r="X153" s="162">
        <f ca="1"/>
        <v>0</v>
      </c>
      <c r="Y153" s="162">
        <f ca="1"/>
        <v>1.1968087020697293E-3</v>
      </c>
      <c r="Z153" s="162">
        <f ca="1"/>
        <v>0</v>
      </c>
      <c r="AA153" s="162">
        <f ca="1"/>
        <v>7.3906151924802987E-3</v>
      </c>
      <c r="AB153" s="162">
        <f ca="1"/>
        <v>0</v>
      </c>
      <c r="AC153" s="162">
        <f ca="1"/>
        <v>1.9673137477733915E-2</v>
      </c>
      <c r="AD153" s="162">
        <f ca="1"/>
        <v>3.371281942216986E-2</v>
      </c>
      <c r="AE153" s="138">
        <f ca="1"/>
        <v>5.6965224702834827E-2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1.8948170375394646E-3</v>
      </c>
      <c r="Q154" s="162">
        <f ca="1"/>
        <v>0</v>
      </c>
      <c r="R154" s="162">
        <f ca="1"/>
        <v>9.2438523478747259E-3</v>
      </c>
      <c r="S154" s="162">
        <f ca="1"/>
        <v>0</v>
      </c>
      <c r="T154" s="162">
        <f ca="1"/>
        <v>2.2098452963243087E-2</v>
      </c>
      <c r="U154" s="162">
        <f ca="1"/>
        <v>4.3542528716904449E-2</v>
      </c>
      <c r="V154" s="138">
        <f ca="1"/>
        <v>8.4781535957993204E-2</v>
      </c>
      <c r="W154" s="137">
        <f ca="1"/>
        <v>0</v>
      </c>
      <c r="X154" s="162">
        <f ca="1"/>
        <v>0</v>
      </c>
      <c r="Y154" s="162">
        <f ca="1"/>
        <v>2.1012139661020779E-3</v>
      </c>
      <c r="Z154" s="162">
        <f ca="1"/>
        <v>0</v>
      </c>
      <c r="AA154" s="162">
        <f ca="1"/>
        <v>9.7811134020754364E-3</v>
      </c>
      <c r="AB154" s="162">
        <f ca="1"/>
        <v>0</v>
      </c>
      <c r="AC154" s="162">
        <f ca="1"/>
        <v>2.2958060090323862E-2</v>
      </c>
      <c r="AD154" s="162">
        <f ca="1"/>
        <v>4.4707329549554253E-2</v>
      </c>
      <c r="AE154" s="138">
        <f ca="1"/>
        <v>8.6378758402043676E-2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8.4556576458372223E-4</v>
      </c>
      <c r="Q155" s="162">
        <f ca="1"/>
        <v>0</v>
      </c>
      <c r="R155" s="162">
        <f ca="1"/>
        <v>7.0073691016440121E-3</v>
      </c>
      <c r="S155" s="162">
        <f ca="1"/>
        <v>0</v>
      </c>
      <c r="T155" s="162">
        <f ca="1"/>
        <v>1.6991277554579853E-2</v>
      </c>
      <c r="U155" s="162">
        <f ca="1"/>
        <v>3.4300179707209333E-2</v>
      </c>
      <c r="V155" s="138">
        <f ca="1"/>
        <v>5.9754822850226819E-2</v>
      </c>
      <c r="W155" s="137">
        <f ca="1"/>
        <v>0</v>
      </c>
      <c r="X155" s="162">
        <f ca="1"/>
        <v>0</v>
      </c>
      <c r="Y155" s="162">
        <f ca="1"/>
        <v>1.0521930268125868E-3</v>
      </c>
      <c r="Z155" s="162">
        <f ca="1"/>
        <v>0</v>
      </c>
      <c r="AA155" s="162">
        <f ca="1"/>
        <v>7.5460273467127248E-3</v>
      </c>
      <c r="AB155" s="162">
        <f ca="1"/>
        <v>0</v>
      </c>
      <c r="AC155" s="162">
        <f ca="1"/>
        <v>1.7855586579436422E-2</v>
      </c>
      <c r="AD155" s="162">
        <f ca="1"/>
        <v>3.5476308699978309E-2</v>
      </c>
      <c r="AE155" s="138">
        <f ca="1"/>
        <v>6.1374863830092607E-2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9.2972206582919714E-3</v>
      </c>
      <c r="Q156" s="162">
        <f ca="1"/>
        <v>0</v>
      </c>
      <c r="R156" s="162">
        <f ca="1"/>
        <v>2.9887655113243095E-2</v>
      </c>
      <c r="S156" s="162">
        <f ca="1"/>
        <v>0</v>
      </c>
      <c r="T156" s="162">
        <f ca="1"/>
        <v>6.0581810806127012E-2</v>
      </c>
      <c r="U156" s="162">
        <f ca="1"/>
        <v>8.2222730525748799E-2</v>
      </c>
      <c r="V156" s="138">
        <f ca="1"/>
        <v>0.11381562296333947</v>
      </c>
      <c r="W156" s="137">
        <f ca="1"/>
        <v>0</v>
      </c>
      <c r="X156" s="162">
        <f ca="1"/>
        <v>0</v>
      </c>
      <c r="Y156" s="162">
        <f ca="1"/>
        <v>9.5016442919757527E-3</v>
      </c>
      <c r="Z156" s="162">
        <f ca="1"/>
        <v>0</v>
      </c>
      <c r="AA156" s="162">
        <f ca="1"/>
        <v>3.04104995618939E-2</v>
      </c>
      <c r="AB156" s="162">
        <f ca="1"/>
        <v>0</v>
      </c>
      <c r="AC156" s="162">
        <f ca="1"/>
        <v>6.1401410690980818E-2</v>
      </c>
      <c r="AD156" s="162">
        <f ca="1"/>
        <v>8.333680737609106E-2</v>
      </c>
      <c r="AE156" s="138">
        <f ca="1"/>
        <v>0.11532557519844788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1.4157669755278102E-3</v>
      </c>
      <c r="Q157" s="162">
        <f ca="1"/>
        <v>0</v>
      </c>
      <c r="R157" s="162">
        <f ca="1"/>
        <v>1.0389263522405767E-2</v>
      </c>
      <c r="S157" s="162">
        <f ca="1"/>
        <v>0</v>
      </c>
      <c r="T157" s="162">
        <f ca="1"/>
        <v>2.3825879326812238E-2</v>
      </c>
      <c r="U157" s="162">
        <f ca="1"/>
        <v>4.5322318525320648E-2</v>
      </c>
      <c r="V157" s="138">
        <f ca="1"/>
        <v>8.2422504190067802E-2</v>
      </c>
      <c r="W157" s="137">
        <f ca="1"/>
        <v>0</v>
      </c>
      <c r="X157" s="162">
        <f ca="1"/>
        <v>0</v>
      </c>
      <c r="Y157" s="162">
        <f ca="1"/>
        <v>1.622270407129478E-3</v>
      </c>
      <c r="Z157" s="162">
        <f ca="1"/>
        <v>0</v>
      </c>
      <c r="AA157" s="162">
        <f ca="1"/>
        <v>1.0925946321272528E-2</v>
      </c>
      <c r="AB157" s="162">
        <f ca="1"/>
        <v>0</v>
      </c>
      <c r="AC157" s="162">
        <f ca="1"/>
        <v>2.4684078160274625E-2</v>
      </c>
      <c r="AD157" s="162">
        <f ca="1"/>
        <v>4.648492206149113E-2</v>
      </c>
      <c r="AE157" s="138">
        <f ca="1"/>
        <v>8.3998217121892038E-2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1.8638508606785287E-3</v>
      </c>
      <c r="Q158" s="162">
        <f ca="1"/>
        <v>0</v>
      </c>
      <c r="R158" s="162">
        <f ca="1"/>
        <v>1.1992012000968E-2</v>
      </c>
      <c r="S158" s="162">
        <f ca="1"/>
        <v>0</v>
      </c>
      <c r="T158" s="162">
        <f ca="1"/>
        <v>3.0831309462813428E-2</v>
      </c>
      <c r="U158" s="162">
        <f ca="1"/>
        <v>5.3998409175393669E-2</v>
      </c>
      <c r="V158" s="138">
        <f ca="1"/>
        <v>9.1260921009244544E-2</v>
      </c>
      <c r="W158" s="137">
        <f ca="1"/>
        <v>0</v>
      </c>
      <c r="X158" s="162">
        <f ca="1"/>
        <v>0</v>
      </c>
      <c r="Y158" s="162">
        <f ca="1"/>
        <v>2.0702547429487517E-3</v>
      </c>
      <c r="Z158" s="162">
        <f ca="1"/>
        <v>0</v>
      </c>
      <c r="AA158" s="162">
        <f ca="1"/>
        <v>1.2527688264196368E-2</v>
      </c>
      <c r="AB158" s="162">
        <f ca="1"/>
        <v>0</v>
      </c>
      <c r="AC158" s="162">
        <f ca="1"/>
        <v>3.1683025464541159E-2</v>
      </c>
      <c r="AD158" s="162">
        <f ca="1"/>
        <v>5.5150780241375541E-2</v>
      </c>
      <c r="AE158" s="138">
        <f ca="1"/>
        <v>9.2819983397166017E-2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1.3001000658893203E-3</v>
      </c>
      <c r="Q159" s="162">
        <f ca="1"/>
        <v>0</v>
      </c>
      <c r="R159" s="162">
        <f ca="1"/>
        <v>9.9054079689879782E-3</v>
      </c>
      <c r="S159" s="162">
        <f ca="1"/>
        <v>0</v>
      </c>
      <c r="T159" s="162">
        <f ca="1"/>
        <v>2.3438882683166296E-2</v>
      </c>
      <c r="U159" s="162">
        <f ca="1"/>
        <v>4.096752827698813E-2</v>
      </c>
      <c r="V159" s="138">
        <f ca="1"/>
        <v>6.909323613157814E-2</v>
      </c>
      <c r="W159" s="137">
        <f ca="1"/>
        <v>0</v>
      </c>
      <c r="X159" s="162">
        <f ca="1"/>
        <v>0</v>
      </c>
      <c r="Y159" s="162">
        <f ca="1"/>
        <v>1.5066288723873944E-3</v>
      </c>
      <c r="Z159" s="162">
        <f ca="1"/>
        <v>0</v>
      </c>
      <c r="AA159" s="162">
        <f ca="1"/>
        <v>1.0442386937245973E-2</v>
      </c>
      <c r="AB159" s="162">
        <f ca="1"/>
        <v>0</v>
      </c>
      <c r="AC159" s="162">
        <f ca="1"/>
        <v>2.4297486129854606E-2</v>
      </c>
      <c r="AD159" s="162">
        <f ca="1"/>
        <v>4.2135267027725853E-2</v>
      </c>
      <c r="AE159" s="138">
        <f ca="1"/>
        <v>7.0694648477371613E-2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2.5572651305926231E-3</v>
      </c>
      <c r="Q160" s="162">
        <f ca="1"/>
        <v>0</v>
      </c>
      <c r="R160" s="162">
        <f ca="1"/>
        <v>2.2234061607898425E-2</v>
      </c>
      <c r="S160" s="162">
        <f ca="1"/>
        <v>0</v>
      </c>
      <c r="T160" s="162">
        <f ca="1"/>
        <v>5.0649206020353388E-2</v>
      </c>
      <c r="U160" s="162">
        <f ca="1"/>
        <v>9.1742842494722865E-2</v>
      </c>
      <c r="V160" s="138">
        <f ca="1"/>
        <v>0.16247730279173189</v>
      </c>
      <c r="W160" s="137">
        <f ca="1"/>
        <v>0</v>
      </c>
      <c r="X160" s="162">
        <f ca="1"/>
        <v>0</v>
      </c>
      <c r="Y160" s="162">
        <f ca="1"/>
        <v>2.7635109626880094E-3</v>
      </c>
      <c r="Z160" s="162">
        <f ca="1"/>
        <v>0</v>
      </c>
      <c r="AA160" s="162">
        <f ca="1"/>
        <v>2.2762586005481755E-2</v>
      </c>
      <c r="AB160" s="162">
        <f ca="1"/>
        <v>0</v>
      </c>
      <c r="AC160" s="162">
        <f ca="1"/>
        <v>5.1480909172017753E-2</v>
      </c>
      <c r="AD160" s="162">
        <f ca="1"/>
        <v>9.2843784356699266E-2</v>
      </c>
      <c r="AE160" s="138">
        <f ca="1"/>
        <v>0.16396151310211071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6.8735747228386934E-2</v>
      </c>
      <c r="Q161" s="162">
        <f ca="1"/>
        <v>0</v>
      </c>
      <c r="R161" s="162">
        <f ca="1"/>
        <v>0.16797440865040858</v>
      </c>
      <c r="S161" s="162">
        <f ca="1"/>
        <v>0</v>
      </c>
      <c r="T161" s="162">
        <f ca="1"/>
        <v>0.22722028126366656</v>
      </c>
      <c r="U161" s="162">
        <f ca="1"/>
        <v>0.27978833043625628</v>
      </c>
      <c r="V161" s="138">
        <f ca="1"/>
        <v>0.35984028176127214</v>
      </c>
      <c r="W161" s="137">
        <f ca="1"/>
        <v>0</v>
      </c>
      <c r="X161" s="162">
        <f ca="1"/>
        <v>0</v>
      </c>
      <c r="Y161" s="162">
        <f ca="1"/>
        <v>6.8928325127840862E-2</v>
      </c>
      <c r="Z161" s="162">
        <f ca="1"/>
        <v>0</v>
      </c>
      <c r="AA161" s="162">
        <f ca="1"/>
        <v>0.1684252865509781</v>
      </c>
      <c r="AB161" s="162">
        <f ca="1"/>
        <v>0</v>
      </c>
      <c r="AC161" s="162">
        <f ca="1"/>
        <v>0.22788922129046973</v>
      </c>
      <c r="AD161" s="162">
        <f ca="1"/>
        <v>0.280628087430562</v>
      </c>
      <c r="AE161" s="138">
        <f ca="1"/>
        <v>0.36090632600805439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2.2374458439732292E-3</v>
      </c>
      <c r="Q162" s="162">
        <f ca="1"/>
        <v>0</v>
      </c>
      <c r="R162" s="162">
        <f ca="1"/>
        <v>1.6717083354107931E-2</v>
      </c>
      <c r="S162" s="162">
        <f ca="1"/>
        <v>0</v>
      </c>
      <c r="T162" s="162">
        <f ca="1"/>
        <v>4.3729378481336512E-2</v>
      </c>
      <c r="U162" s="162">
        <f ca="1"/>
        <v>8.1008105322619706E-2</v>
      </c>
      <c r="V162" s="138">
        <f ca="1"/>
        <v>0.15224374385136485</v>
      </c>
      <c r="W162" s="137">
        <f ca="1"/>
        <v>0</v>
      </c>
      <c r="X162" s="162">
        <f ca="1"/>
        <v>0</v>
      </c>
      <c r="Y162" s="162">
        <f ca="1"/>
        <v>2.4437651840361063E-3</v>
      </c>
      <c r="Z162" s="162">
        <f ca="1"/>
        <v>0</v>
      </c>
      <c r="AA162" s="162">
        <f ca="1"/>
        <v>1.7249685581543939E-2</v>
      </c>
      <c r="AB162" s="162">
        <f ca="1"/>
        <v>0</v>
      </c>
      <c r="AC162" s="162">
        <f ca="1"/>
        <v>4.4567976772676543E-2</v>
      </c>
      <c r="AD162" s="162">
        <f ca="1"/>
        <v>8.2124999721374436E-2</v>
      </c>
      <c r="AE162" s="138">
        <f ca="1"/>
        <v>0.15374672621000451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2.2663369202714501E-3</v>
      </c>
      <c r="Q163" s="162">
        <f ca="1"/>
        <v>0</v>
      </c>
      <c r="R163" s="162">
        <f ca="1"/>
        <v>8.9710404523214438E-3</v>
      </c>
      <c r="S163" s="162">
        <f ca="1"/>
        <v>0</v>
      </c>
      <c r="T163" s="162">
        <f ca="1"/>
        <v>2.1644970526801588E-2</v>
      </c>
      <c r="U163" s="162">
        <f ca="1"/>
        <v>3.3024972263054564E-2</v>
      </c>
      <c r="V163" s="138">
        <f ca="1"/>
        <v>5.8460570745720419E-2</v>
      </c>
      <c r="W163" s="137">
        <f ca="1"/>
        <v>0</v>
      </c>
      <c r="X163" s="162">
        <f ca="1"/>
        <v>0</v>
      </c>
      <c r="Y163" s="162">
        <f ca="1"/>
        <v>2.4726496632876405E-3</v>
      </c>
      <c r="Z163" s="162">
        <f ca="1"/>
        <v>0</v>
      </c>
      <c r="AA163" s="162">
        <f ca="1"/>
        <v>9.5083884271439656E-3</v>
      </c>
      <c r="AB163" s="162">
        <f ca="1"/>
        <v>0</v>
      </c>
      <c r="AC163" s="162">
        <f ca="1"/>
        <v>2.2504869624389912E-2</v>
      </c>
      <c r="AD163" s="162">
        <f ca="1"/>
        <v>3.4200978808992089E-2</v>
      </c>
      <c r="AE163" s="138">
        <f ca="1"/>
        <v>6.0079428612568986E-2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3.1079415507958563E-3</v>
      </c>
      <c r="Q164" s="162">
        <f ca="1"/>
        <v>0</v>
      </c>
      <c r="R164" s="162">
        <f ca="1"/>
        <v>1.4235224575380068E-2</v>
      </c>
      <c r="S164" s="162">
        <f ca="1"/>
        <v>0</v>
      </c>
      <c r="T164" s="162">
        <f ca="1"/>
        <v>3.3619626615898346E-2</v>
      </c>
      <c r="U164" s="162">
        <f ca="1"/>
        <v>5.9962147661929865E-2</v>
      </c>
      <c r="V164" s="138">
        <f ca="1"/>
        <v>0.10246938182738807</v>
      </c>
      <c r="W164" s="137">
        <f ca="1"/>
        <v>0</v>
      </c>
      <c r="X164" s="162">
        <f ca="1"/>
        <v>0</v>
      </c>
      <c r="Y164" s="162">
        <f ca="1"/>
        <v>3.3140583113223654E-3</v>
      </c>
      <c r="Z164" s="162">
        <f ca="1"/>
        <v>0</v>
      </c>
      <c r="AA164" s="162">
        <f ca="1"/>
        <v>1.4769392766230571E-2</v>
      </c>
      <c r="AB164" s="162">
        <f ca="1"/>
        <v>0</v>
      </c>
      <c r="AC164" s="162">
        <f ca="1"/>
        <v>3.4468338957330036E-2</v>
      </c>
      <c r="AD164" s="162">
        <f ca="1"/>
        <v>6.110628291630682E-2</v>
      </c>
      <c r="AE164" s="138">
        <f ca="1"/>
        <v>0.10403534392936686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1.0976510181679444E-3</v>
      </c>
      <c r="Q165" s="162">
        <f ca="1"/>
        <v>0</v>
      </c>
      <c r="R165" s="162">
        <f ca="1"/>
        <v>7.9699880876431539E-3</v>
      </c>
      <c r="S165" s="162">
        <f ca="1"/>
        <v>0</v>
      </c>
      <c r="T165" s="162">
        <f ca="1"/>
        <v>1.9132521351022724E-2</v>
      </c>
      <c r="U165" s="162">
        <f ca="1"/>
        <v>3.5328420413196615E-2</v>
      </c>
      <c r="V165" s="138">
        <f ca="1"/>
        <v>7.2331309791284437E-2</v>
      </c>
      <c r="W165" s="137">
        <f ca="1"/>
        <v>0</v>
      </c>
      <c r="X165" s="162">
        <f ca="1"/>
        <v>0</v>
      </c>
      <c r="Y165" s="162">
        <f ca="1"/>
        <v>1.3042239234773989E-3</v>
      </c>
      <c r="Z165" s="162">
        <f ca="1"/>
        <v>0</v>
      </c>
      <c r="AA165" s="162">
        <f ca="1"/>
        <v>8.5080827780209534E-3</v>
      </c>
      <c r="AB165" s="162">
        <f ca="1"/>
        <v>0</v>
      </c>
      <c r="AC165" s="162">
        <f ca="1"/>
        <v>1.9994932575321367E-2</v>
      </c>
      <c r="AD165" s="162">
        <f ca="1"/>
        <v>3.6502996075538752E-2</v>
      </c>
      <c r="AE165" s="138">
        <f ca="1"/>
        <v>7.3924914500729355E-2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6.0483137345160976E-2</v>
      </c>
      <c r="Q166" s="162">
        <f ca="1"/>
        <v>0</v>
      </c>
      <c r="R166" s="162">
        <f ca="1"/>
        <v>0.10998607270009619</v>
      </c>
      <c r="S166" s="162">
        <f ca="1"/>
        <v>0</v>
      </c>
      <c r="T166" s="162">
        <f ca="1"/>
        <v>0.14321909841970271</v>
      </c>
      <c r="U166" s="162">
        <f ca="1"/>
        <v>0.1750105429551726</v>
      </c>
      <c r="V166" s="138">
        <f ca="1"/>
        <v>0.22525657654666764</v>
      </c>
      <c r="W166" s="137">
        <f ca="1"/>
        <v>0</v>
      </c>
      <c r="X166" s="162">
        <f ca="1"/>
        <v>0</v>
      </c>
      <c r="Y166" s="162">
        <f ca="1"/>
        <v>6.0677423274064779E-2</v>
      </c>
      <c r="Z166" s="162">
        <f ca="1"/>
        <v>0</v>
      </c>
      <c r="AA166" s="162">
        <f ca="1"/>
        <v>0.11046405718287478</v>
      </c>
      <c r="AB166" s="162">
        <f ca="1"/>
        <v>0</v>
      </c>
      <c r="AC166" s="162">
        <f ca="1"/>
        <v>0.14393278509360974</v>
      </c>
      <c r="AD166" s="162">
        <f ca="1"/>
        <v>0.17597246942218481</v>
      </c>
      <c r="AE166" s="138">
        <f ca="1"/>
        <v>0.22654674015075538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1.7028113939453471E-3</v>
      </c>
      <c r="Q167" s="162">
        <f ca="1"/>
        <v>0</v>
      </c>
      <c r="R167" s="162">
        <f ca="1"/>
        <v>1.3912165789485953E-2</v>
      </c>
      <c r="S167" s="162">
        <f ca="1"/>
        <v>0</v>
      </c>
      <c r="T167" s="162">
        <f ca="1"/>
        <v>3.1527946010111774E-2</v>
      </c>
      <c r="U167" s="162">
        <f ca="1"/>
        <v>5.7266537081610669E-2</v>
      </c>
      <c r="V167" s="138">
        <f ca="1"/>
        <v>0.10569799160195481</v>
      </c>
      <c r="W167" s="137">
        <f ca="1"/>
        <v>0</v>
      </c>
      <c r="X167" s="162">
        <f ca="1"/>
        <v>0</v>
      </c>
      <c r="Y167" s="162">
        <f ca="1"/>
        <v>1.9092512839686826E-3</v>
      </c>
      <c r="Z167" s="162">
        <f ca="1"/>
        <v>0</v>
      </c>
      <c r="AA167" s="162">
        <f ca="1"/>
        <v>1.4446662677599309E-2</v>
      </c>
      <c r="AB167" s="162">
        <f ca="1"/>
        <v>0</v>
      </c>
      <c r="AC167" s="162">
        <f ca="1"/>
        <v>3.2379077153802949E-2</v>
      </c>
      <c r="AD167" s="162">
        <f ca="1"/>
        <v>5.8414254849414204E-2</v>
      </c>
      <c r="AE167" s="138">
        <f ca="1"/>
        <v>0.10726298806056844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1.4157669755278102E-3</v>
      </c>
      <c r="Q168" s="162">
        <f ca="1"/>
        <v>0</v>
      </c>
      <c r="R168" s="162">
        <f ca="1"/>
        <v>1.2481259849436821E-2</v>
      </c>
      <c r="S168" s="162">
        <f ca="1"/>
        <v>0</v>
      </c>
      <c r="T168" s="162">
        <f ca="1"/>
        <v>3.0817564549231569E-2</v>
      </c>
      <c r="U168" s="162">
        <f ca="1"/>
        <v>6.1657883050644013E-2</v>
      </c>
      <c r="V168" s="138">
        <f ca="1"/>
        <v>0.11450036045120726</v>
      </c>
      <c r="W168" s="137">
        <f ca="1"/>
        <v>0</v>
      </c>
      <c r="X168" s="162">
        <f ca="1"/>
        <v>0</v>
      </c>
      <c r="Y168" s="162">
        <f ca="1"/>
        <v>1.622270407129478E-3</v>
      </c>
      <c r="Z168" s="162">
        <f ca="1"/>
        <v>0</v>
      </c>
      <c r="AA168" s="162">
        <f ca="1"/>
        <v>1.3016685632290637E-2</v>
      </c>
      <c r="AB168" s="162">
        <f ca="1"/>
        <v>0</v>
      </c>
      <c r="AC168" s="162">
        <f ca="1"/>
        <v>3.1669440150545181E-2</v>
      </c>
      <c r="AD168" s="162">
        <f ca="1"/>
        <v>6.2800133641568223E-2</v>
      </c>
      <c r="AE168" s="138">
        <f ca="1"/>
        <v>0.1160557342314491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9.3855537047571325E-4</v>
      </c>
      <c r="Q169" s="162">
        <f ca="1"/>
        <v>0</v>
      </c>
      <c r="R169" s="162">
        <f ca="1"/>
        <v>8.5813187636271104E-3</v>
      </c>
      <c r="S169" s="162">
        <f ca="1"/>
        <v>0</v>
      </c>
      <c r="T169" s="162">
        <f ca="1"/>
        <v>2.0442810510653997E-2</v>
      </c>
      <c r="U169" s="162">
        <f ca="1"/>
        <v>3.7570992616505428E-2</v>
      </c>
      <c r="V169" s="138">
        <f ca="1"/>
        <v>6.5436616459187968E-2</v>
      </c>
      <c r="W169" s="137">
        <f ca="1"/>
        <v>0</v>
      </c>
      <c r="X169" s="162">
        <f ca="1"/>
        <v>0</v>
      </c>
      <c r="Y169" s="162">
        <f ca="1"/>
        <v>1.1451626524754399E-3</v>
      </c>
      <c r="Z169" s="162">
        <f ca="1"/>
        <v>0</v>
      </c>
      <c r="AA169" s="162">
        <f ca="1"/>
        <v>9.1191028710473354E-3</v>
      </c>
      <c r="AB169" s="162">
        <f ca="1"/>
        <v>0</v>
      </c>
      <c r="AC169" s="162">
        <f ca="1"/>
        <v>2.1304139308994108E-2</v>
      </c>
      <c r="AD169" s="162">
        <f ca="1"/>
        <v>3.874298590971792E-2</v>
      </c>
      <c r="AE169" s="138">
        <f ca="1"/>
        <v>6.7045312156790771E-2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1.5252252139109634E-3</v>
      </c>
      <c r="Q170" s="162">
        <f ca="1"/>
        <v>0</v>
      </c>
      <c r="R170" s="162">
        <f ca="1"/>
        <v>1.1094831978123776E-2</v>
      </c>
      <c r="S170" s="162">
        <f ca="1"/>
        <v>0</v>
      </c>
      <c r="T170" s="162">
        <f ca="1"/>
        <v>2.1930863298698311E-2</v>
      </c>
      <c r="U170" s="162">
        <f ca="1"/>
        <v>3.4662013526968405E-2</v>
      </c>
      <c r="V170" s="138">
        <f ca="1"/>
        <v>6.4194633192048656E-2</v>
      </c>
      <c r="W170" s="137">
        <f ca="1"/>
        <v>0</v>
      </c>
      <c r="X170" s="162">
        <f ca="1"/>
        <v>0</v>
      </c>
      <c r="Y170" s="162">
        <f ca="1"/>
        <v>1.7317045114793039E-3</v>
      </c>
      <c r="Z170" s="162">
        <f ca="1"/>
        <v>0</v>
      </c>
      <c r="AA170" s="162">
        <f ca="1"/>
        <v>1.1631085938402119E-2</v>
      </c>
      <c r="AB170" s="162">
        <f ca="1"/>
        <v>0</v>
      </c>
      <c r="AC170" s="162">
        <f ca="1"/>
        <v>2.2790494419890672E-2</v>
      </c>
      <c r="AD170" s="162">
        <f ca="1"/>
        <v>3.5835837020644634E-2</v>
      </c>
      <c r="AE170" s="138">
        <f ca="1"/>
        <v>6.5802543272101333E-2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2.0145439649688068E-3</v>
      </c>
      <c r="Q171" s="162">
        <f ca="1"/>
        <v>0</v>
      </c>
      <c r="R171" s="162">
        <f ca="1"/>
        <v>1.6989008335177913E-2</v>
      </c>
      <c r="S171" s="162">
        <f ca="1"/>
        <v>0</v>
      </c>
      <c r="T171" s="162">
        <f ca="1"/>
        <v>4.3718952851223625E-2</v>
      </c>
      <c r="U171" s="162">
        <f ca="1"/>
        <v>7.4684535033721744E-2</v>
      </c>
      <c r="V171" s="138">
        <f ca="1"/>
        <v>0.122960879040655</v>
      </c>
      <c r="W171" s="137">
        <f ca="1"/>
        <v>0</v>
      </c>
      <c r="X171" s="162">
        <f ca="1"/>
        <v>0</v>
      </c>
      <c r="Y171" s="162">
        <f ca="1"/>
        <v>2.2209139167307379E-3</v>
      </c>
      <c r="Z171" s="162">
        <f ca="1"/>
        <v>0</v>
      </c>
      <c r="AA171" s="162">
        <f ca="1"/>
        <v>1.7521430284765604E-2</v>
      </c>
      <c r="AB171" s="162">
        <f ca="1"/>
        <v>0</v>
      </c>
      <c r="AC171" s="162">
        <f ca="1"/>
        <v>4.4557689634433406E-2</v>
      </c>
      <c r="AD171" s="162">
        <f ca="1"/>
        <v>7.5810973245174718E-2</v>
      </c>
      <c r="AE171" s="138">
        <f ca="1"/>
        <v>0.12449595156053517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0.16172303255573839</v>
      </c>
      <c r="Q172" s="162">
        <f ca="1"/>
        <v>0</v>
      </c>
      <c r="R172" s="162">
        <f ca="1"/>
        <v>0.23577010900225348</v>
      </c>
      <c r="S172" s="162">
        <f ca="1"/>
        <v>0</v>
      </c>
      <c r="T172" s="162">
        <f ca="1"/>
        <v>0.26775455541289539</v>
      </c>
      <c r="U172" s="162">
        <f ca="1"/>
        <v>0.291300631781228</v>
      </c>
      <c r="V172" s="138">
        <f ca="1"/>
        <v>0.34535839478253161</v>
      </c>
      <c r="W172" s="137">
        <f ca="1"/>
        <v>0</v>
      </c>
      <c r="X172" s="162">
        <f ca="1"/>
        <v>0</v>
      </c>
      <c r="Y172" s="162">
        <f ca="1"/>
        <v>0.1618963616194653</v>
      </c>
      <c r="Z172" s="162">
        <f ca="1"/>
        <v>0</v>
      </c>
      <c r="AA172" s="162">
        <f ca="1"/>
        <v>0.23615212843491229</v>
      </c>
      <c r="AB172" s="162">
        <f ca="1"/>
        <v>0</v>
      </c>
      <c r="AC172" s="162">
        <f ca="1"/>
        <v>0.26836450576878979</v>
      </c>
      <c r="AD172" s="162">
        <f ca="1"/>
        <v>0.29207502036102539</v>
      </c>
      <c r="AE172" s="138">
        <f ca="1"/>
        <v>0.34638220654171048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2.0289928041581362E-3</v>
      </c>
      <c r="Q173" s="162">
        <f ca="1"/>
        <v>0</v>
      </c>
      <c r="R173" s="162">
        <f ca="1"/>
        <v>1.7500576364699594E-2</v>
      </c>
      <c r="S173" s="162">
        <f ca="1"/>
        <v>0</v>
      </c>
      <c r="T173" s="162">
        <f ca="1"/>
        <v>4.0975762782722081E-2</v>
      </c>
      <c r="U173" s="162">
        <f ca="1"/>
        <v>7.3105106477576842E-2</v>
      </c>
      <c r="V173" s="138">
        <f ca="1"/>
        <v>0.12865179541385596</v>
      </c>
      <c r="W173" s="137">
        <f ca="1"/>
        <v>0</v>
      </c>
      <c r="X173" s="162">
        <f ca="1"/>
        <v>0</v>
      </c>
      <c r="Y173" s="162">
        <f ca="1"/>
        <v>2.2353594905466512E-3</v>
      </c>
      <c r="Z173" s="162">
        <f ca="1"/>
        <v>0</v>
      </c>
      <c r="AA173" s="162">
        <f ca="1"/>
        <v>1.8032639322201671E-2</v>
      </c>
      <c r="AB173" s="162">
        <f ca="1"/>
        <v>0</v>
      </c>
      <c r="AC173" s="162">
        <f ca="1"/>
        <v>4.1817608649575289E-2</v>
      </c>
      <c r="AD173" s="162">
        <f ca="1"/>
        <v>7.4232542124542111E-2</v>
      </c>
      <c r="AE173" s="138">
        <f ca="1"/>
        <v>0.13018240158215466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2.4912462428006155E-3</v>
      </c>
      <c r="Q174" s="162">
        <f ca="1"/>
        <v>0</v>
      </c>
      <c r="R174" s="162">
        <f ca="1"/>
        <v>1.5598678908512631E-2</v>
      </c>
      <c r="S174" s="162">
        <f ca="1"/>
        <v>0</v>
      </c>
      <c r="T174" s="162">
        <f ca="1"/>
        <v>4.2043293451141772E-2</v>
      </c>
      <c r="U174" s="162">
        <f ca="1"/>
        <v>7.8539649234731446E-2</v>
      </c>
      <c r="V174" s="138">
        <f ca="1"/>
        <v>0.13138451018016029</v>
      </c>
      <c r="W174" s="137">
        <f ca="1"/>
        <v>0</v>
      </c>
      <c r="X174" s="162">
        <f ca="1"/>
        <v>0</v>
      </c>
      <c r="Y174" s="162">
        <f ca="1"/>
        <v>2.6975073354512658E-3</v>
      </c>
      <c r="Z174" s="162">
        <f ca="1"/>
        <v>0</v>
      </c>
      <c r="AA174" s="162">
        <f ca="1"/>
        <v>1.6132021332960544E-2</v>
      </c>
      <c r="AB174" s="162">
        <f ca="1"/>
        <v>0</v>
      </c>
      <c r="AC174" s="162">
        <f ca="1"/>
        <v>4.2883509740304304E-2</v>
      </c>
      <c r="AD174" s="162">
        <f ca="1"/>
        <v>7.9659935431813933E-2</v>
      </c>
      <c r="AE174" s="138">
        <f ca="1"/>
        <v>0.13291083808719739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1.0398009615308901E-3</v>
      </c>
      <c r="Q175" s="162">
        <f ca="1"/>
        <v>0</v>
      </c>
      <c r="R175" s="162">
        <f ca="1"/>
        <v>1.1836220323086288E-2</v>
      </c>
      <c r="S175" s="162">
        <f ca="1"/>
        <v>0</v>
      </c>
      <c r="T175" s="162">
        <f ca="1"/>
        <v>2.6407439093408369E-2</v>
      </c>
      <c r="U175" s="162">
        <f ca="1"/>
        <v>4.8168164142781245E-2</v>
      </c>
      <c r="V175" s="138">
        <f ca="1"/>
        <v>8.9451458486322188E-2</v>
      </c>
      <c r="W175" s="137">
        <f ca="1"/>
        <v>0</v>
      </c>
      <c r="X175" s="162">
        <f ca="1"/>
        <v>0</v>
      </c>
      <c r="Y175" s="162">
        <f ca="1"/>
        <v>1.246386394982979E-3</v>
      </c>
      <c r="Z175" s="162">
        <f ca="1"/>
        <v>0</v>
      </c>
      <c r="AA175" s="162">
        <f ca="1"/>
        <v>1.2372083382698573E-2</v>
      </c>
      <c r="AB175" s="162">
        <f ca="1"/>
        <v>0</v>
      </c>
      <c r="AC175" s="162">
        <f ca="1"/>
        <v>2.7263439640365261E-2</v>
      </c>
      <c r="AD175" s="162">
        <f ca="1"/>
        <v>4.9327265496302508E-2</v>
      </c>
      <c r="AE175" s="138">
        <f ca="1"/>
        <v>9.1039653378728658E-2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3.155364008356365E-3</v>
      </c>
      <c r="Q176" s="162">
        <f ca="1"/>
        <v>0</v>
      </c>
      <c r="R176" s="162">
        <f ca="1"/>
        <v>1.6167828751101121E-2</v>
      </c>
      <c r="S176" s="162">
        <f ca="1"/>
        <v>0</v>
      </c>
      <c r="T176" s="162">
        <f ca="1"/>
        <v>4.1023273740765864E-2</v>
      </c>
      <c r="U176" s="162">
        <f ca="1"/>
        <v>6.9761087274136879E-2</v>
      </c>
      <c r="V176" s="138">
        <f ca="1"/>
        <v>0.13058841808172739</v>
      </c>
      <c r="W176" s="137">
        <f ca="1"/>
        <v>0</v>
      </c>
      <c r="X176" s="162">
        <f ca="1"/>
        <v>0</v>
      </c>
      <c r="Y176" s="162">
        <f ca="1"/>
        <v>3.3614695033103992E-3</v>
      </c>
      <c r="Z176" s="162">
        <f ca="1"/>
        <v>0</v>
      </c>
      <c r="AA176" s="162">
        <f ca="1"/>
        <v>1.6700753963321269E-2</v>
      </c>
      <c r="AB176" s="162">
        <f ca="1"/>
        <v>0</v>
      </c>
      <c r="AC176" s="162">
        <f ca="1"/>
        <v>4.1864516396780016E-2</v>
      </c>
      <c r="AD176" s="162">
        <f ca="1"/>
        <v>7.0893432817957125E-2</v>
      </c>
      <c r="AE176" s="138">
        <f ca="1"/>
        <v>0.13211821744646135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1.1141789958101223E-3</v>
      </c>
      <c r="Q177" s="162">
        <f ca="1"/>
        <v>0</v>
      </c>
      <c r="R177" s="162">
        <f ca="1"/>
        <v>9.9200083549056961E-3</v>
      </c>
      <c r="S177" s="162">
        <f ca="1"/>
        <v>0</v>
      </c>
      <c r="T177" s="162">
        <f ca="1"/>
        <v>2.3453769709787187E-2</v>
      </c>
      <c r="U177" s="162">
        <f ca="1"/>
        <v>4.0982622550982728E-2</v>
      </c>
      <c r="V177" s="138">
        <f ca="1"/>
        <v>6.9108397610473604E-2</v>
      </c>
      <c r="W177" s="137">
        <f ca="1"/>
        <v>0</v>
      </c>
      <c r="X177" s="162">
        <f ca="1"/>
        <v>0</v>
      </c>
      <c r="Y177" s="162">
        <f ca="1"/>
        <v>1.3207483157511302E-3</v>
      </c>
      <c r="Z177" s="162">
        <f ca="1"/>
        <v>0</v>
      </c>
      <c r="AA177" s="162">
        <f ca="1"/>
        <v>1.0457005301811595E-2</v>
      </c>
      <c r="AB177" s="162">
        <f ca="1"/>
        <v>0</v>
      </c>
      <c r="AC177" s="162">
        <f ca="1"/>
        <v>2.4312416167484363E-2</v>
      </c>
      <c r="AD177" s="162">
        <f ca="1"/>
        <v>4.2150398635864228E-2</v>
      </c>
      <c r="AE177" s="138">
        <f ca="1"/>
        <v>7.0709838595495067E-2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1.2815095026021961E-3</v>
      </c>
      <c r="Q178" s="162">
        <f ca="1"/>
        <v>0</v>
      </c>
      <c r="R178" s="162">
        <f ca="1"/>
        <v>8.6045077982732643E-3</v>
      </c>
      <c r="S178" s="162">
        <f ca="1"/>
        <v>0</v>
      </c>
      <c r="T178" s="162">
        <f ca="1"/>
        <v>1.949942488591927E-2</v>
      </c>
      <c r="U178" s="162">
        <f ca="1"/>
        <v>3.5586122032436496E-2</v>
      </c>
      <c r="V178" s="138">
        <f ca="1"/>
        <v>6.5631572291607099E-2</v>
      </c>
      <c r="W178" s="137">
        <f ca="1"/>
        <v>0</v>
      </c>
      <c r="X178" s="162">
        <f ca="1"/>
        <v>0</v>
      </c>
      <c r="Y178" s="162">
        <f ca="1"/>
        <v>1.4880423752162697E-3</v>
      </c>
      <c r="Z178" s="162">
        <f ca="1"/>
        <v>0</v>
      </c>
      <c r="AA178" s="162">
        <f ca="1"/>
        <v>9.1422232541648052E-3</v>
      </c>
      <c r="AB178" s="162">
        <f ca="1"/>
        <v>0</v>
      </c>
      <c r="AC178" s="162">
        <f ca="1"/>
        <v>2.0361400221293846E-2</v>
      </c>
      <c r="AD178" s="162">
        <f ca="1"/>
        <v>3.6760123597840533E-2</v>
      </c>
      <c r="AE178" s="138">
        <f ca="1"/>
        <v>6.7239126031856E-2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2.1714059856364765E-3</v>
      </c>
      <c r="Q179" s="162">
        <f ca="1"/>
        <v>0</v>
      </c>
      <c r="R179" s="162">
        <f ca="1"/>
        <v>1.2039435428392919E-2</v>
      </c>
      <c r="S179" s="162">
        <f ca="1"/>
        <v>0</v>
      </c>
      <c r="T179" s="162">
        <f ca="1"/>
        <v>2.8995067204494296E-2</v>
      </c>
      <c r="U179" s="162">
        <f ca="1"/>
        <v>5.3481971388182781E-2</v>
      </c>
      <c r="V179" s="138">
        <f ca="1"/>
        <v>9.1741611830203462E-2</v>
      </c>
      <c r="W179" s="137">
        <f ca="1"/>
        <v>0</v>
      </c>
      <c r="X179" s="162">
        <f ca="1"/>
        <v>0</v>
      </c>
      <c r="Y179" s="162">
        <f ca="1"/>
        <v>2.3777403734368541E-3</v>
      </c>
      <c r="Z179" s="162">
        <f ca="1"/>
        <v>0</v>
      </c>
      <c r="AA179" s="162">
        <f ca="1"/>
        <v>1.2575046777249743E-2</v>
      </c>
      <c r="AB179" s="162">
        <f ca="1"/>
        <v>0</v>
      </c>
      <c r="AC179" s="162">
        <f ca="1"/>
        <v>2.9848406111041559E-2</v>
      </c>
      <c r="AD179" s="162">
        <f ca="1"/>
        <v>5.4634543233843647E-2</v>
      </c>
      <c r="AE179" s="138">
        <f ca="1"/>
        <v>9.3299722785615047E-2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7.5463429736177812E-4</v>
      </c>
      <c r="Q180" s="162">
        <f ca="1"/>
        <v>0</v>
      </c>
      <c r="R180" s="162">
        <f ca="1"/>
        <v>1.3164609401567162E-2</v>
      </c>
      <c r="S180" s="162">
        <f ca="1"/>
        <v>0</v>
      </c>
      <c r="T180" s="162">
        <f ca="1"/>
        <v>2.7194296426396702E-2</v>
      </c>
      <c r="U180" s="162">
        <f ca="1"/>
        <v>4.874974246074959E-2</v>
      </c>
      <c r="V180" s="138">
        <f ca="1"/>
        <v>8.7611167551895019E-2</v>
      </c>
      <c r="W180" s="137">
        <f ca="1"/>
        <v>0</v>
      </c>
      <c r="X180" s="162">
        <f ca="1"/>
        <v>0</v>
      </c>
      <c r="Y180" s="162">
        <f ca="1"/>
        <v>9.6128101775150299E-4</v>
      </c>
      <c r="Z180" s="162">
        <f ca="1"/>
        <v>0</v>
      </c>
      <c r="AA180" s="162">
        <f ca="1"/>
        <v>1.3699662847741045E-2</v>
      </c>
      <c r="AB180" s="162">
        <f ca="1"/>
        <v>0</v>
      </c>
      <c r="AC180" s="162">
        <f ca="1"/>
        <v>2.8049621206788888E-2</v>
      </c>
      <c r="AD180" s="162">
        <f ca="1"/>
        <v>4.9907841576889433E-2</v>
      </c>
      <c r="AE180" s="138">
        <f ca="1"/>
        <v>8.9175524946617624E-2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2.8316097602140156E-3</v>
      </c>
      <c r="Q181" s="162">
        <f ca="1"/>
        <v>0</v>
      </c>
      <c r="R181" s="162">
        <f ca="1"/>
        <v>1.0548874534338615E-2</v>
      </c>
      <c r="S181" s="162">
        <f ca="1"/>
        <v>0</v>
      </c>
      <c r="T181" s="162">
        <f ca="1"/>
        <v>2.9997655779502419E-2</v>
      </c>
      <c r="U181" s="162">
        <f ca="1"/>
        <v>5.55754620691572E-2</v>
      </c>
      <c r="V181" s="138">
        <f ca="1"/>
        <v>9.4291610871194087E-2</v>
      </c>
      <c r="W181" s="137">
        <f ca="1"/>
        <v>0</v>
      </c>
      <c r="X181" s="162">
        <f ca="1"/>
        <v>0</v>
      </c>
      <c r="Y181" s="162">
        <f ca="1"/>
        <v>3.037791688994762E-3</v>
      </c>
      <c r="Z181" s="162">
        <f ca="1"/>
        <v>0</v>
      </c>
      <c r="AA181" s="162">
        <f ca="1"/>
        <v>1.1085258898838934E-2</v>
      </c>
      <c r="AB181" s="162">
        <f ca="1"/>
        <v>0</v>
      </c>
      <c r="AC181" s="162">
        <f ca="1"/>
        <v>3.0849844072769694E-2</v>
      </c>
      <c r="AD181" s="162">
        <f ca="1"/>
        <v>5.6725953743196111E-2</v>
      </c>
      <c r="AE181" s="138">
        <f ca="1"/>
        <v>9.5845590143292303E-2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9.1169258784651319E-4</v>
      </c>
      <c r="Q182" s="162">
        <f ca="1"/>
        <v>0</v>
      </c>
      <c r="R182" s="162">
        <f ca="1"/>
        <v>7.9844163971953819E-3</v>
      </c>
      <c r="S182" s="162">
        <f ca="1"/>
        <v>0</v>
      </c>
      <c r="T182" s="162">
        <f ca="1"/>
        <v>1.824501747623497E-2</v>
      </c>
      <c r="U182" s="162">
        <f ca="1"/>
        <v>3.4780272054783623E-2</v>
      </c>
      <c r="V182" s="138">
        <f ca="1"/>
        <v>6.5715003364379521E-2</v>
      </c>
      <c r="W182" s="137">
        <f ca="1"/>
        <v>0</v>
      </c>
      <c r="X182" s="162">
        <f ca="1"/>
        <v>0</v>
      </c>
      <c r="Y182" s="162">
        <f ca="1"/>
        <v>1.1183056502572786E-3</v>
      </c>
      <c r="Z182" s="162">
        <f ca="1"/>
        <v>0</v>
      </c>
      <c r="AA182" s="162">
        <f ca="1"/>
        <v>8.522535045012769E-3</v>
      </c>
      <c r="AB182" s="162">
        <f ca="1"/>
        <v>0</v>
      </c>
      <c r="AC182" s="162">
        <f ca="1"/>
        <v>1.9108180191095836E-2</v>
      </c>
      <c r="AD182" s="162">
        <f ca="1"/>
        <v>3.5955494508656538E-2</v>
      </c>
      <c r="AE182" s="138">
        <f ca="1"/>
        <v>6.7322813155366479E-2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1.5830474071583112E-3</v>
      </c>
      <c r="Q183" s="162">
        <f ca="1"/>
        <v>0</v>
      </c>
      <c r="R183" s="162">
        <f ca="1"/>
        <v>1.3778129790447902E-2</v>
      </c>
      <c r="S183" s="162">
        <f ca="1"/>
        <v>0</v>
      </c>
      <c r="T183" s="162">
        <f ca="1"/>
        <v>2.8855656307923194E-2</v>
      </c>
      <c r="U183" s="162">
        <f ca="1"/>
        <v>5.2894096803528079E-2</v>
      </c>
      <c r="V183" s="138">
        <f ca="1"/>
        <v>9.113297335133308E-2</v>
      </c>
      <c r="W183" s="137">
        <f ca="1"/>
        <v>0</v>
      </c>
      <c r="X183" s="162">
        <f ca="1"/>
        <v>0</v>
      </c>
      <c r="Y183" s="162">
        <f ca="1"/>
        <v>1.7895139079644462E-3</v>
      </c>
      <c r="Z183" s="162">
        <f ca="1"/>
        <v>0</v>
      </c>
      <c r="AA183" s="162">
        <f ca="1"/>
        <v>1.4312722368278408E-2</v>
      </c>
      <c r="AB183" s="162">
        <f ca="1"/>
        <v>0</v>
      </c>
      <c r="AC183" s="162">
        <f ca="1"/>
        <v>2.9709246178944992E-2</v>
      </c>
      <c r="AD183" s="162">
        <f ca="1"/>
        <v>5.4046908545419048E-2</v>
      </c>
      <c r="AE183" s="138">
        <f ca="1"/>
        <v>9.2691545809053921E-2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3.4975642052333944E-3</v>
      </c>
      <c r="Q184" s="162">
        <f ca="1"/>
        <v>0</v>
      </c>
      <c r="R184" s="162">
        <f ca="1"/>
        <v>2.370837993238728E-2</v>
      </c>
      <c r="S184" s="162">
        <f ca="1"/>
        <v>0</v>
      </c>
      <c r="T184" s="162">
        <f ca="1"/>
        <v>6.5914851491281512E-2</v>
      </c>
      <c r="U184" s="162">
        <f ca="1"/>
        <v>0.11797103170045142</v>
      </c>
      <c r="V184" s="138">
        <f ca="1"/>
        <v>0.22019362526517905</v>
      </c>
      <c r="W184" s="137">
        <f ca="1"/>
        <v>0</v>
      </c>
      <c r="X184" s="162">
        <f ca="1"/>
        <v>0</v>
      </c>
      <c r="Y184" s="162">
        <f ca="1"/>
        <v>3.7035876916767796E-3</v>
      </c>
      <c r="Z184" s="162">
        <f ca="1"/>
        <v>0</v>
      </c>
      <c r="AA184" s="162">
        <f ca="1"/>
        <v>2.4235784904149238E-2</v>
      </c>
      <c r="AB184" s="162">
        <f ca="1"/>
        <v>0</v>
      </c>
      <c r="AC184" s="162">
        <f ca="1"/>
        <v>6.6725970441129934E-2</v>
      </c>
      <c r="AD184" s="162">
        <f ca="1"/>
        <v>0.1190673986811831</v>
      </c>
      <c r="AE184" s="138">
        <f ca="1"/>
        <v>0.22159892361256306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6.8440668307967467E-4</v>
      </c>
      <c r="P185" s="162">
        <f ca="1"/>
        <v>1.4516510711370945E-3</v>
      </c>
      <c r="Q185" s="162">
        <f ca="1"/>
        <v>4.2372975267659374E-3</v>
      </c>
      <c r="R185" s="162">
        <f ca="1"/>
        <v>8.492894118387162E-3</v>
      </c>
      <c r="S185" s="162">
        <f ca="1"/>
        <v>0</v>
      </c>
      <c r="T185" s="162">
        <f ca="1"/>
        <v>2.1410672131853992E-2</v>
      </c>
      <c r="U185" s="162">
        <f ca="1"/>
        <v>3.2982191851268161E-2</v>
      </c>
      <c r="V185" s="138">
        <f ca="1"/>
        <v>5.4353102291043176E-2</v>
      </c>
      <c r="W185" s="137">
        <f ca="1"/>
        <v>0</v>
      </c>
      <c r="X185" s="162">
        <f ca="1"/>
        <v>8.0657148808704893E-4</v>
      </c>
      <c r="Y185" s="162">
        <f ca="1"/>
        <v>1.6581730922811122E-3</v>
      </c>
      <c r="Z185" s="162">
        <f ca="1"/>
        <v>4.6104273910548832E-3</v>
      </c>
      <c r="AA185" s="162">
        <f ca="1"/>
        <v>9.0311025919213028E-3</v>
      </c>
      <c r="AB185" s="162">
        <f ca="1"/>
        <v>0</v>
      </c>
      <c r="AC185" s="162">
        <f ca="1"/>
        <v>2.2271178675109748E-2</v>
      </c>
      <c r="AD185" s="162">
        <f ca="1"/>
        <v>3.4158822357971297E-2</v>
      </c>
      <c r="AE185" s="138">
        <f ca="1"/>
        <v>5.5979911374538505E-2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7.2910637731220529E-3</v>
      </c>
      <c r="Q186" s="162">
        <f ca="1"/>
        <v>0</v>
      </c>
      <c r="R186" s="162">
        <f ca="1"/>
        <v>3.47672197893929E-2</v>
      </c>
      <c r="S186" s="162">
        <f ca="1"/>
        <v>0</v>
      </c>
      <c r="T186" s="162">
        <f ca="1"/>
        <v>9.3466870530477086E-2</v>
      </c>
      <c r="U186" s="162">
        <f ca="1"/>
        <v>0.1472226829139861</v>
      </c>
      <c r="V186" s="138">
        <f ca="1"/>
        <v>0.236805668162966</v>
      </c>
      <c r="W186" s="137">
        <f ca="1"/>
        <v>0</v>
      </c>
      <c r="X186" s="162">
        <f ca="1"/>
        <v>0</v>
      </c>
      <c r="Y186" s="162">
        <f ca="1"/>
        <v>7.4960883090856578E-3</v>
      </c>
      <c r="Z186" s="162">
        <f ca="1"/>
        <v>0</v>
      </c>
      <c r="AA186" s="162">
        <f ca="1"/>
        <v>3.5285297189329268E-2</v>
      </c>
      <c r="AB186" s="162">
        <f ca="1"/>
        <v>0</v>
      </c>
      <c r="AC186" s="162">
        <f ca="1"/>
        <v>9.4276337507309127E-2</v>
      </c>
      <c r="AD186" s="162">
        <f ca="1"/>
        <v>0.14828092843531604</v>
      </c>
      <c r="AE186" s="138">
        <f ca="1"/>
        <v>0.23816447674517849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2.1858525746755175E-3</v>
      </c>
      <c r="Q187" s="162">
        <f ca="1"/>
        <v>0</v>
      </c>
      <c r="R187" s="162">
        <f ca="1"/>
        <v>1.0688388065756338E-2</v>
      </c>
      <c r="S187" s="162">
        <f ca="1"/>
        <v>0</v>
      </c>
      <c r="T187" s="162">
        <f ca="1"/>
        <v>2.3275334625238786E-2</v>
      </c>
      <c r="U187" s="162">
        <f ca="1"/>
        <v>3.398423432749953E-2</v>
      </c>
      <c r="V187" s="138">
        <f ca="1"/>
        <v>5.5629873180691236E-2</v>
      </c>
      <c r="W187" s="137">
        <f ca="1"/>
        <v>0</v>
      </c>
      <c r="X187" s="162">
        <f ca="1"/>
        <v>0</v>
      </c>
      <c r="Y187" s="162">
        <f ca="1"/>
        <v>2.3921836745304237E-3</v>
      </c>
      <c r="Z187" s="162">
        <f ca="1"/>
        <v>0</v>
      </c>
      <c r="AA187" s="162">
        <f ca="1"/>
        <v>1.1224789880395103E-2</v>
      </c>
      <c r="AB187" s="162">
        <f ca="1"/>
        <v>0</v>
      </c>
      <c r="AC187" s="162">
        <f ca="1"/>
        <v>2.4133727529095039E-2</v>
      </c>
      <c r="AD187" s="162">
        <f ca="1"/>
        <v>3.5158522502749978E-2</v>
      </c>
      <c r="AE187" s="138">
        <f ca="1"/>
        <v>5.7252783107695215E-2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2.4912462428006155E-3</v>
      </c>
      <c r="Q188" s="162">
        <f ca="1"/>
        <v>0</v>
      </c>
      <c r="R188" s="162">
        <f ca="1"/>
        <v>1.6630139433787439E-2</v>
      </c>
      <c r="S188" s="162">
        <f ca="1"/>
        <v>0</v>
      </c>
      <c r="T188" s="162">
        <f ca="1"/>
        <v>4.3269945846790114E-2</v>
      </c>
      <c r="U188" s="162">
        <f ca="1"/>
        <v>7.1979116907502028E-2</v>
      </c>
      <c r="V188" s="138">
        <f ca="1"/>
        <v>0.11839582261410764</v>
      </c>
      <c r="W188" s="137">
        <f ca="1"/>
        <v>0</v>
      </c>
      <c r="X188" s="162">
        <f ca="1"/>
        <v>0</v>
      </c>
      <c r="Y188" s="162">
        <f ca="1"/>
        <v>2.6975073354512658E-3</v>
      </c>
      <c r="Z188" s="162">
        <f ca="1"/>
        <v>0</v>
      </c>
      <c r="AA188" s="162">
        <f ca="1"/>
        <v>1.7162790548547191E-2</v>
      </c>
      <c r="AB188" s="162">
        <f ca="1"/>
        <v>0</v>
      </c>
      <c r="AC188" s="162">
        <f ca="1"/>
        <v>4.4108970966895589E-2</v>
      </c>
      <c r="AD188" s="162">
        <f ca="1"/>
        <v>7.3109185033987001E-2</v>
      </c>
      <c r="AE188" s="138">
        <f ca="1"/>
        <v>0.11993664123928904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5.4639885889823381E-3</v>
      </c>
      <c r="Q189" s="162">
        <f ca="1"/>
        <v>0</v>
      </c>
      <c r="R189" s="162">
        <f ca="1"/>
        <v>2.6394705357384751E-2</v>
      </c>
      <c r="S189" s="162">
        <f ca="1"/>
        <v>0</v>
      </c>
      <c r="T189" s="162">
        <f ca="1"/>
        <v>6.4499127228086484E-2</v>
      </c>
      <c r="U189" s="162">
        <f ca="1"/>
        <v>0.10200163801242013</v>
      </c>
      <c r="V189" s="138">
        <f ca="1"/>
        <v>0.16012838356442527</v>
      </c>
      <c r="W189" s="137">
        <f ca="1"/>
        <v>0</v>
      </c>
      <c r="X189" s="162">
        <f ca="1"/>
        <v>0</v>
      </c>
      <c r="Y189" s="162">
        <f ca="1"/>
        <v>5.6695155197087344E-3</v>
      </c>
      <c r="Z189" s="162">
        <f ca="1"/>
        <v>0</v>
      </c>
      <c r="AA189" s="162">
        <f ca="1"/>
        <v>2.692007499370519E-2</v>
      </c>
      <c r="AB189" s="162">
        <f ca="1"/>
        <v>0</v>
      </c>
      <c r="AC189" s="162">
        <f ca="1"/>
        <v>6.5313183344311798E-2</v>
      </c>
      <c r="AD189" s="162">
        <f ca="1"/>
        <v>0.10309161622107077</v>
      </c>
      <c r="AE189" s="138">
        <f ca="1"/>
        <v>0.16160379354366805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2.9965930875380797E-3</v>
      </c>
      <c r="Q190" s="162">
        <f ca="1"/>
        <v>0</v>
      </c>
      <c r="R190" s="162">
        <f ca="1"/>
        <v>2.4052988135164877E-2</v>
      </c>
      <c r="S190" s="162">
        <f ca="1"/>
        <v>0</v>
      </c>
      <c r="T190" s="162">
        <f ca="1"/>
        <v>6.0604657208199186E-2</v>
      </c>
      <c r="U190" s="162">
        <f ca="1"/>
        <v>9.9678712587267571E-2</v>
      </c>
      <c r="V190" s="138">
        <f ca="1"/>
        <v>0.17024312658051799</v>
      </c>
      <c r="W190" s="137">
        <f ca="1"/>
        <v>0</v>
      </c>
      <c r="X190" s="162">
        <f ca="1"/>
        <v>0</v>
      </c>
      <c r="Y190" s="162">
        <f ca="1"/>
        <v>3.2027362052207131E-3</v>
      </c>
      <c r="Z190" s="162">
        <f ca="1"/>
        <v>0</v>
      </c>
      <c r="AA190" s="162">
        <f ca="1"/>
        <v>2.4580071736696851E-2</v>
      </c>
      <c r="AB190" s="162">
        <f ca="1"/>
        <v>0</v>
      </c>
      <c r="AC190" s="162">
        <f ca="1"/>
        <v>6.142396637203229E-2</v>
      </c>
      <c r="AD190" s="162">
        <f ca="1"/>
        <v>0.10077183159545899</v>
      </c>
      <c r="AE190" s="138">
        <f ca="1"/>
        <v>0.17171218063244864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3.4872586695913199E-3</v>
      </c>
      <c r="Q191" s="162">
        <f ca="1"/>
        <v>0</v>
      </c>
      <c r="R191" s="162">
        <f ca="1"/>
        <v>1.4452956870445566E-2</v>
      </c>
      <c r="S191" s="162">
        <f ca="1"/>
        <v>0</v>
      </c>
      <c r="T191" s="162">
        <f ca="1"/>
        <v>2.9056712102779159E-2</v>
      </c>
      <c r="U191" s="162">
        <f ca="1"/>
        <v>4.0336214120054614E-2</v>
      </c>
      <c r="V191" s="138">
        <f ca="1"/>
        <v>5.9231943548874177E-2</v>
      </c>
      <c r="W191" s="137">
        <f ca="1"/>
        <v>0</v>
      </c>
      <c r="X191" s="162">
        <f ca="1"/>
        <v>0</v>
      </c>
      <c r="Y191" s="162">
        <f ca="1"/>
        <v>3.6932846442538914E-3</v>
      </c>
      <c r="Z191" s="162">
        <f ca="1"/>
        <v>0</v>
      </c>
      <c r="AA191" s="162">
        <f ca="1"/>
        <v>1.4986952693394562E-2</v>
      </c>
      <c r="AB191" s="162">
        <f ca="1"/>
        <v>0</v>
      </c>
      <c r="AC191" s="162">
        <f ca="1"/>
        <v>2.9909500635692976E-2</v>
      </c>
      <c r="AD191" s="162">
        <f ca="1"/>
        <v>4.150199483932937E-2</v>
      </c>
      <c r="AE191" s="138">
        <f ca="1"/>
        <v>6.0846077066436965E-2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1.0666603294349208E-3</v>
      </c>
      <c r="Q192" s="162">
        <f ca="1"/>
        <v>0</v>
      </c>
      <c r="R192" s="162">
        <f ca="1"/>
        <v>1.0477687088953802E-2</v>
      </c>
      <c r="S192" s="162">
        <f ca="1"/>
        <v>0</v>
      </c>
      <c r="T192" s="162">
        <f ca="1"/>
        <v>2.4746715085734561E-2</v>
      </c>
      <c r="U192" s="162">
        <f ca="1"/>
        <v>4.4584270301022522E-2</v>
      </c>
      <c r="V192" s="138">
        <f ca="1"/>
        <v>8.2682416805028858E-2</v>
      </c>
      <c r="W192" s="137">
        <f ca="1"/>
        <v>0</v>
      </c>
      <c r="X192" s="162">
        <f ca="1"/>
        <v>0</v>
      </c>
      <c r="Y192" s="162">
        <f ca="1"/>
        <v>1.2732399501600433E-3</v>
      </c>
      <c r="Z192" s="162">
        <f ca="1"/>
        <v>0</v>
      </c>
      <c r="AA192" s="162">
        <f ca="1"/>
        <v>1.1014364772826024E-2</v>
      </c>
      <c r="AB192" s="162">
        <f ca="1"/>
        <v>0</v>
      </c>
      <c r="AC192" s="162">
        <f ca="1"/>
        <v>2.5604231193074201E-2</v>
      </c>
      <c r="AD192" s="162">
        <f ca="1"/>
        <v>4.5747890827661397E-2</v>
      </c>
      <c r="AE192" s="138">
        <f ca="1"/>
        <v>8.4256623260423935E-2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9.9021255525988394E-4</v>
      </c>
      <c r="Q193" s="162">
        <f ca="1"/>
        <v>0</v>
      </c>
      <c r="R193" s="162">
        <f ca="1"/>
        <v>7.4401769464680356E-3</v>
      </c>
      <c r="S193" s="162">
        <f ca="1"/>
        <v>0</v>
      </c>
      <c r="T193" s="162">
        <f ca="1"/>
        <v>1.8747446659936329E-2</v>
      </c>
      <c r="U193" s="162">
        <f ca="1"/>
        <v>3.6758349992793149E-2</v>
      </c>
      <c r="V193" s="138">
        <f ca="1"/>
        <v>7.2245940817396881E-2</v>
      </c>
      <c r="W193" s="137">
        <f ca="1"/>
        <v>0</v>
      </c>
      <c r="X193" s="162">
        <f ca="1"/>
        <v>0</v>
      </c>
      <c r="Y193" s="162">
        <f ca="1"/>
        <v>1.1968087020697293E-3</v>
      </c>
      <c r="Z193" s="162">
        <f ca="1"/>
        <v>0</v>
      </c>
      <c r="AA193" s="162">
        <f ca="1"/>
        <v>7.9785772711896685E-3</v>
      </c>
      <c r="AB193" s="162">
        <f ca="1"/>
        <v>0</v>
      </c>
      <c r="AC193" s="162">
        <f ca="1"/>
        <v>1.9610270216143366E-2</v>
      </c>
      <c r="AD193" s="162">
        <f ca="1"/>
        <v>3.7931616249562428E-2</v>
      </c>
      <c r="AE193" s="138">
        <f ca="1"/>
        <v>7.3841206458112429E-2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9.9021255525988394E-4</v>
      </c>
      <c r="Q194" s="162">
        <f ca="1"/>
        <v>0</v>
      </c>
      <c r="R194" s="162">
        <f ca="1"/>
        <v>7.8951167745501261E-3</v>
      </c>
      <c r="S194" s="162">
        <f ca="1"/>
        <v>0</v>
      </c>
      <c r="T194" s="162">
        <f ca="1"/>
        <v>1.8698845720379942E-2</v>
      </c>
      <c r="U194" s="162">
        <f ca="1"/>
        <v>3.4948547753884562E-2</v>
      </c>
      <c r="V194" s="138">
        <f ca="1"/>
        <v>6.4373599723459907E-2</v>
      </c>
      <c r="W194" s="137">
        <f ca="1"/>
        <v>0</v>
      </c>
      <c r="X194" s="162">
        <f ca="1"/>
        <v>0</v>
      </c>
      <c r="Y194" s="162">
        <f ca="1"/>
        <v>1.1968087020697293E-3</v>
      </c>
      <c r="Z194" s="162">
        <f ca="1"/>
        <v>0</v>
      </c>
      <c r="AA194" s="162">
        <f ca="1"/>
        <v>8.4332708098865394E-3</v>
      </c>
      <c r="AB194" s="162">
        <f ca="1"/>
        <v>0</v>
      </c>
      <c r="AC194" s="162">
        <f ca="1"/>
        <v>1.9561643151802643E-2</v>
      </c>
      <c r="AD194" s="162">
        <f ca="1"/>
        <v>3.6123594149061855E-2</v>
      </c>
      <c r="AE194" s="138">
        <f ca="1"/>
        <v>6.5984020467799498E-2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1.766817341678828E-3</v>
      </c>
      <c r="Q195" s="162">
        <f ca="1"/>
        <v>0</v>
      </c>
      <c r="R195" s="162">
        <f ca="1"/>
        <v>1.0101356680381368E-2</v>
      </c>
      <c r="S195" s="162">
        <f ca="1"/>
        <v>0</v>
      </c>
      <c r="T195" s="162">
        <f ca="1"/>
        <v>2.6083386270205344E-2</v>
      </c>
      <c r="U195" s="162">
        <f ca="1"/>
        <v>3.9073259708860664E-2</v>
      </c>
      <c r="V195" s="138">
        <f ca="1"/>
        <v>6.7028898579608254E-2</v>
      </c>
      <c r="W195" s="137">
        <f ca="1"/>
        <v>0</v>
      </c>
      <c r="X195" s="162">
        <f ca="1"/>
        <v>0</v>
      </c>
      <c r="Y195" s="162">
        <f ca="1"/>
        <v>1.9732429513215077E-3</v>
      </c>
      <c r="Z195" s="162">
        <f ca="1"/>
        <v>0</v>
      </c>
      <c r="AA195" s="162">
        <f ca="1"/>
        <v>1.0638155520929504E-2</v>
      </c>
      <c r="AB195" s="162">
        <f ca="1"/>
        <v>0</v>
      </c>
      <c r="AC195" s="162">
        <f ca="1"/>
        <v>2.6939539524506895E-2</v>
      </c>
      <c r="AD195" s="162">
        <f ca="1"/>
        <v>4.0242704410076491E-2</v>
      </c>
      <c r="AE195" s="138">
        <f ca="1"/>
        <v>6.8632148157297124E-2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8.5796487445011227E-4</v>
      </c>
      <c r="Q196" s="162">
        <f ca="1"/>
        <v>0</v>
      </c>
      <c r="R196" s="162">
        <f ca="1"/>
        <v>8.7872173736003312E-3</v>
      </c>
      <c r="S196" s="162">
        <f ca="1"/>
        <v>0</v>
      </c>
      <c r="T196" s="162">
        <f ca="1"/>
        <v>1.8615046278432801E-2</v>
      </c>
      <c r="U196" s="162">
        <f ca="1"/>
        <v>3.4645349594808472E-2</v>
      </c>
      <c r="V196" s="138">
        <f ca="1"/>
        <v>6.3612578247126073E-2</v>
      </c>
      <c r="W196" s="137">
        <f ca="1"/>
        <v>0</v>
      </c>
      <c r="X196" s="162">
        <f ca="1"/>
        <v>0</v>
      </c>
      <c r="Y196" s="162">
        <f ca="1"/>
        <v>1.064589477302369E-3</v>
      </c>
      <c r="Z196" s="162">
        <f ca="1"/>
        <v>0</v>
      </c>
      <c r="AA196" s="162">
        <f ca="1"/>
        <v>9.3248988087357709E-3</v>
      </c>
      <c r="AB196" s="162">
        <f ca="1"/>
        <v>0</v>
      </c>
      <c r="AC196" s="162">
        <f ca="1"/>
        <v>1.9477811884206275E-2</v>
      </c>
      <c r="AD196" s="162">
        <f ca="1"/>
        <v>3.582042733079005E-2</v>
      </c>
      <c r="AE196" s="138">
        <f ca="1"/>
        <v>6.522406930921798E-2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4.5461158877118102E-3</v>
      </c>
      <c r="Q197" s="162">
        <f ca="1"/>
        <v>0</v>
      </c>
      <c r="R197" s="162">
        <f ca="1"/>
        <v>2.0813673549501699E-2</v>
      </c>
      <c r="S197" s="162">
        <f ca="1"/>
        <v>0</v>
      </c>
      <c r="T197" s="162">
        <f ca="1"/>
        <v>4.6604987669208731E-2</v>
      </c>
      <c r="U197" s="162">
        <f ca="1"/>
        <v>7.4145394389289465E-2</v>
      </c>
      <c r="V197" s="138">
        <f ca="1"/>
        <v>0.12456517070184547</v>
      </c>
      <c r="W197" s="137">
        <f ca="1"/>
        <v>0</v>
      </c>
      <c r="X197" s="162">
        <f ca="1"/>
        <v>0</v>
      </c>
      <c r="Y197" s="162">
        <f ca="1"/>
        <v>4.7518800726565891E-3</v>
      </c>
      <c r="Z197" s="162">
        <f ca="1"/>
        <v>0</v>
      </c>
      <c r="AA197" s="162">
        <f ca="1"/>
        <v>2.1343337130855455E-2</v>
      </c>
      <c r="AB197" s="162">
        <f ca="1"/>
        <v>0</v>
      </c>
      <c r="AC197" s="162">
        <f ca="1"/>
        <v>4.7440410504441588E-2</v>
      </c>
      <c r="AD197" s="162">
        <f ca="1"/>
        <v>7.5271266128520753E-2</v>
      </c>
      <c r="AE197" s="138">
        <f ca="1"/>
        <v>0.12609517757279998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1.0129408776774484E-3</v>
      </c>
      <c r="Q198" s="162">
        <f ca="1"/>
        <v>0</v>
      </c>
      <c r="R198" s="162">
        <f ca="1"/>
        <v>8.5089847087594928E-3</v>
      </c>
      <c r="S198" s="162">
        <f ca="1"/>
        <v>0</v>
      </c>
      <c r="T198" s="162">
        <f ca="1"/>
        <v>1.9082237515588463E-2</v>
      </c>
      <c r="U198" s="162">
        <f ca="1"/>
        <v>3.5277550327148299E-2</v>
      </c>
      <c r="V198" s="138">
        <f ca="1"/>
        <v>6.6409446733783351E-2</v>
      </c>
      <c r="W198" s="137">
        <f ca="1"/>
        <v>0</v>
      </c>
      <c r="X198" s="162">
        <f ca="1"/>
        <v>0</v>
      </c>
      <c r="Y198" s="162">
        <f ca="1"/>
        <v>1.219532117132327E-3</v>
      </c>
      <c r="Z198" s="162">
        <f ca="1"/>
        <v>0</v>
      </c>
      <c r="AA198" s="162">
        <f ca="1"/>
        <v>9.046797079372948E-3</v>
      </c>
      <c r="AB198" s="162">
        <f ca="1"/>
        <v>0</v>
      </c>
      <c r="AC198" s="162">
        <f ca="1"/>
        <v>1.9944636460034193E-2</v>
      </c>
      <c r="AD198" s="162">
        <f ca="1"/>
        <v>3.6452005621005923E-2</v>
      </c>
      <c r="AE198" s="138">
        <f ca="1"/>
        <v>6.8015549435806344E-2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1.6842282603036773E-3</v>
      </c>
      <c r="Q199" s="162">
        <f ca="1"/>
        <v>0</v>
      </c>
      <c r="R199" s="162">
        <f ca="1"/>
        <v>8.6119343159908324E-3</v>
      </c>
      <c r="S199" s="162">
        <f ca="1"/>
        <v>0</v>
      </c>
      <c r="T199" s="162">
        <f ca="1"/>
        <v>1.7650527843120933E-2</v>
      </c>
      <c r="U199" s="162">
        <f ca="1"/>
        <v>3.2472588138917735E-2</v>
      </c>
      <c r="V199" s="138">
        <f ca="1"/>
        <v>5.9446979100423958E-2</v>
      </c>
      <c r="W199" s="137">
        <f ca="1"/>
        <v>0</v>
      </c>
      <c r="X199" s="162">
        <f ca="1"/>
        <v>0</v>
      </c>
      <c r="Y199" s="162">
        <f ca="1"/>
        <v>1.8906722887135352E-3</v>
      </c>
      <c r="Z199" s="162">
        <f ca="1"/>
        <v>0</v>
      </c>
      <c r="AA199" s="162">
        <f ca="1"/>
        <v>9.1495780629333723E-3</v>
      </c>
      <c r="AB199" s="162">
        <f ca="1"/>
        <v>0</v>
      </c>
      <c r="AC199" s="162">
        <f ca="1"/>
        <v>1.8513806840711244E-2</v>
      </c>
      <c r="AD199" s="162">
        <f ca="1"/>
        <v>3.3649767612077608E-2</v>
      </c>
      <c r="AE199" s="138">
        <f ca="1"/>
        <v>6.1065665342977749E-2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1.0170732448662179E-3</v>
      </c>
      <c r="Q200" s="162">
        <f ca="1"/>
        <v>0</v>
      </c>
      <c r="R200" s="162">
        <f ca="1"/>
        <v>9.3734909438101255E-3</v>
      </c>
      <c r="S200" s="162">
        <f ca="1"/>
        <v>0</v>
      </c>
      <c r="T200" s="162">
        <f ca="1"/>
        <v>2.2161848977245269E-2</v>
      </c>
      <c r="U200" s="162">
        <f ca="1"/>
        <v>3.812238989365313E-2</v>
      </c>
      <c r="V200" s="138">
        <f ca="1"/>
        <v>6.7259717710333344E-2</v>
      </c>
      <c r="W200" s="137">
        <f ca="1"/>
        <v>0</v>
      </c>
      <c r="X200" s="162">
        <f ca="1"/>
        <v>0</v>
      </c>
      <c r="Y200" s="162">
        <f ca="1"/>
        <v>1.2236635915247041E-3</v>
      </c>
      <c r="Z200" s="162">
        <f ca="1"/>
        <v>0</v>
      </c>
      <c r="AA200" s="162">
        <f ca="1"/>
        <v>9.910815938023676E-3</v>
      </c>
      <c r="AB200" s="162">
        <f ca="1"/>
        <v>0</v>
      </c>
      <c r="AC200" s="162">
        <f ca="1"/>
        <v>2.3021657013560848E-2</v>
      </c>
      <c r="AD200" s="162">
        <f ca="1"/>
        <v>3.9293467264785997E-2</v>
      </c>
      <c r="AE200" s="138">
        <f ca="1"/>
        <v>6.8864099704728732E-2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5.4742738945559033E-3</v>
      </c>
      <c r="Q201" s="162">
        <f ca="1"/>
        <v>0</v>
      </c>
      <c r="R201" s="162">
        <f ca="1"/>
        <v>3.744608534412297E-2</v>
      </c>
      <c r="S201" s="162">
        <f ca="1"/>
        <v>0</v>
      </c>
      <c r="T201" s="162">
        <f ca="1"/>
        <v>9.3309857011418806E-2</v>
      </c>
      <c r="U201" s="162">
        <f ca="1"/>
        <v>0.14628141490580482</v>
      </c>
      <c r="V201" s="138">
        <f ca="1"/>
        <v>0.24835780394114482</v>
      </c>
      <c r="W201" s="137">
        <f ca="1"/>
        <v>0</v>
      </c>
      <c r="X201" s="162">
        <f ca="1"/>
        <v>0</v>
      </c>
      <c r="Y201" s="162">
        <f ca="1"/>
        <v>5.6797981107954421E-3</v>
      </c>
      <c r="Z201" s="162">
        <f ca="1"/>
        <v>0</v>
      </c>
      <c r="AA201" s="162">
        <f ca="1"/>
        <v>3.7960868382952984E-2</v>
      </c>
      <c r="AB201" s="162">
        <f ca="1"/>
        <v>0</v>
      </c>
      <c r="AC201" s="162">
        <f ca="1"/>
        <v>9.4119355271331084E-2</v>
      </c>
      <c r="AD201" s="162">
        <f ca="1"/>
        <v>0.14734033431442006</v>
      </c>
      <c r="AE201" s="138">
        <f ca="1"/>
        <v>0.2497051169324056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3.4872586695913199E-3</v>
      </c>
      <c r="Q202" s="162">
        <f ca="1"/>
        <v>0</v>
      </c>
      <c r="R202" s="162">
        <f ca="1"/>
        <v>1.7110710398540285E-2</v>
      </c>
      <c r="S202" s="162">
        <f ca="1"/>
        <v>0</v>
      </c>
      <c r="T202" s="162">
        <f ca="1"/>
        <v>3.639608963822194E-2</v>
      </c>
      <c r="U202" s="162">
        <f ca="1"/>
        <v>5.4765465835158289E-2</v>
      </c>
      <c r="V202" s="138">
        <f ca="1"/>
        <v>8.1696592819959335E-2</v>
      </c>
      <c r="W202" s="137">
        <f ca="1"/>
        <v>0</v>
      </c>
      <c r="X202" s="162">
        <f ca="1"/>
        <v>0</v>
      </c>
      <c r="Y202" s="162">
        <f ca="1"/>
        <v>3.6932846442538914E-3</v>
      </c>
      <c r="Z202" s="162">
        <f ca="1"/>
        <v>0</v>
      </c>
      <c r="AA202" s="162">
        <f ca="1"/>
        <v>1.7642989215090998E-2</v>
      </c>
      <c r="AB202" s="162">
        <f ca="1"/>
        <v>0</v>
      </c>
      <c r="AC202" s="162">
        <f ca="1"/>
        <v>3.7242106533610264E-2</v>
      </c>
      <c r="AD202" s="162">
        <f ca="1"/>
        <v>5.5915121623056452E-2</v>
      </c>
      <c r="AE202" s="138">
        <f ca="1"/>
        <v>8.3271681807159381E-2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2.9986552080647488E-3</v>
      </c>
      <c r="Q203" s="162">
        <f ca="1"/>
        <v>0</v>
      </c>
      <c r="R203" s="162">
        <f ca="1"/>
        <v>1.0358635754937562E-2</v>
      </c>
      <c r="S203" s="162">
        <f ca="1"/>
        <v>0</v>
      </c>
      <c r="T203" s="162">
        <f ca="1"/>
        <v>3.4513699892390171E-2</v>
      </c>
      <c r="U203" s="162">
        <f ca="1"/>
        <v>6.638475279217193E-2</v>
      </c>
      <c r="V203" s="138">
        <f ca="1"/>
        <v>0.11509522065195976</v>
      </c>
      <c r="W203" s="137">
        <f ca="1"/>
        <v>0</v>
      </c>
      <c r="X203" s="162">
        <f ca="1"/>
        <v>0</v>
      </c>
      <c r="Y203" s="162">
        <f ca="1"/>
        <v>3.2047978387720333E-3</v>
      </c>
      <c r="Z203" s="162">
        <f ca="1"/>
        <v>0</v>
      </c>
      <c r="AA203" s="162">
        <f ca="1"/>
        <v>1.0895099734963942E-2</v>
      </c>
      <c r="AB203" s="162">
        <f ca="1"/>
        <v>0</v>
      </c>
      <c r="AC203" s="162">
        <f ca="1"/>
        <v>3.5361231404717475E-2</v>
      </c>
      <c r="AD203" s="162">
        <f ca="1"/>
        <v>6.7521929063367181E-2</v>
      </c>
      <c r="AE203" s="138">
        <f ca="1"/>
        <v>0.1166472622172342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9.3336513170775515E-2</v>
      </c>
      <c r="Q204" s="162">
        <f ca="1"/>
        <v>0</v>
      </c>
      <c r="R204" s="162">
        <f ca="1"/>
        <v>0.19644448977935025</v>
      </c>
      <c r="S204" s="162">
        <f ca="1"/>
        <v>0</v>
      </c>
      <c r="T204" s="162">
        <f ca="1"/>
        <v>0.24987571195377312</v>
      </c>
      <c r="U204" s="162">
        <f ca="1"/>
        <v>0.29603811189755691</v>
      </c>
      <c r="V204" s="138">
        <f ca="1"/>
        <v>0.34797667045022063</v>
      </c>
      <c r="W204" s="137">
        <f ca="1"/>
        <v>0</v>
      </c>
      <c r="X204" s="162">
        <f ca="1"/>
        <v>0</v>
      </c>
      <c r="Y204" s="162">
        <f ca="1"/>
        <v>9.3523999611135555E-2</v>
      </c>
      <c r="Z204" s="162">
        <f ca="1"/>
        <v>0</v>
      </c>
      <c r="AA204" s="162">
        <f ca="1"/>
        <v>0.19687672828902569</v>
      </c>
      <c r="AB204" s="162">
        <f ca="1"/>
        <v>0</v>
      </c>
      <c r="AC204" s="162">
        <f ca="1"/>
        <v>0.25050055513965863</v>
      </c>
      <c r="AD204" s="162">
        <f ca="1"/>
        <v>0.29685892186809426</v>
      </c>
      <c r="AE204" s="138">
        <f ca="1"/>
        <v>0.34903195708553092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5.8115736065678103E-3</v>
      </c>
      <c r="Q205" s="162">
        <f ca="1"/>
        <v>0</v>
      </c>
      <c r="R205" s="162">
        <f ca="1"/>
        <v>2.9284304561544294E-2</v>
      </c>
      <c r="S205" s="162">
        <f ca="1"/>
        <v>0</v>
      </c>
      <c r="T205" s="162">
        <f ca="1"/>
        <v>7.8358357287171221E-2</v>
      </c>
      <c r="U205" s="162">
        <f ca="1"/>
        <v>0.12787631102575925</v>
      </c>
      <c r="V205" s="138">
        <f ca="1"/>
        <v>0.21515524069462999</v>
      </c>
      <c r="W205" s="137">
        <f ca="1"/>
        <v>0</v>
      </c>
      <c r="X205" s="162">
        <f ca="1"/>
        <v>0</v>
      </c>
      <c r="Y205" s="162">
        <f ca="1"/>
        <v>6.0170081048660506E-3</v>
      </c>
      <c r="Z205" s="162">
        <f ca="1"/>
        <v>0</v>
      </c>
      <c r="AA205" s="162">
        <f ca="1"/>
        <v>2.9807237053170121E-2</v>
      </c>
      <c r="AB205" s="162">
        <f ca="1"/>
        <v>0</v>
      </c>
      <c r="AC205" s="162">
        <f ca="1"/>
        <v>7.9178732755983749E-2</v>
      </c>
      <c r="AD205" s="162">
        <f ca="1"/>
        <v>0.12895601365029941</v>
      </c>
      <c r="AE205" s="138">
        <f ca="1"/>
        <v>0.21655193367007419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1.3689349472113421E-2</v>
      </c>
      <c r="Q206" s="162">
        <f ca="1"/>
        <v>0</v>
      </c>
      <c r="R206" s="162">
        <f ca="1"/>
        <v>6.4063628823114005E-2</v>
      </c>
      <c r="S206" s="162">
        <f ca="1"/>
        <v>0</v>
      </c>
      <c r="T206" s="162">
        <f ca="1"/>
        <v>0.15084221192009806</v>
      </c>
      <c r="U206" s="162">
        <f ca="1"/>
        <v>0.22552604981072666</v>
      </c>
      <c r="V206" s="138">
        <f ca="1"/>
        <v>0.34256992930792274</v>
      </c>
      <c r="W206" s="137">
        <f ca="1"/>
        <v>0</v>
      </c>
      <c r="X206" s="162">
        <f ca="1"/>
        <v>0</v>
      </c>
      <c r="Y206" s="162">
        <f ca="1"/>
        <v>1.389225800019489E-2</v>
      </c>
      <c r="Z206" s="162">
        <f ca="1"/>
        <v>0</v>
      </c>
      <c r="AA206" s="162">
        <f ca="1"/>
        <v>6.4574317997026287E-2</v>
      </c>
      <c r="AB206" s="162">
        <f ca="1"/>
        <v>0</v>
      </c>
      <c r="AC206" s="162">
        <f ca="1"/>
        <v>0.15160526161439358</v>
      </c>
      <c r="AD206" s="162">
        <f ca="1"/>
        <v>0.22649469603032368</v>
      </c>
      <c r="AE206" s="138">
        <f ca="1"/>
        <v>0.34375561220698625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9.7368254420282518E-4</v>
      </c>
      <c r="Q207" s="162">
        <f ca="1"/>
        <v>0</v>
      </c>
      <c r="R207" s="162">
        <f ca="1"/>
        <v>1.0385311772417416E-2</v>
      </c>
      <c r="S207" s="162">
        <f ca="1"/>
        <v>0</v>
      </c>
      <c r="T207" s="162">
        <f ca="1"/>
        <v>2.2956344227400449E-2</v>
      </c>
      <c r="U207" s="162">
        <f ca="1"/>
        <v>4.3134016210244042E-2</v>
      </c>
      <c r="V207" s="138">
        <f ca="1"/>
        <v>7.8985620055649908E-2</v>
      </c>
      <c r="W207" s="137">
        <f ca="1"/>
        <v>0</v>
      </c>
      <c r="X207" s="162">
        <f ca="1"/>
        <v>0</v>
      </c>
      <c r="Y207" s="162">
        <f ca="1"/>
        <v>1.1802822570311511E-3</v>
      </c>
      <c r="Z207" s="162">
        <f ca="1"/>
        <v>0</v>
      </c>
      <c r="AA207" s="162">
        <f ca="1"/>
        <v>1.0922056019975646E-2</v>
      </c>
      <c r="AB207" s="162">
        <f ca="1"/>
        <v>0</v>
      </c>
      <c r="AC207" s="162">
        <f ca="1"/>
        <v>2.3815403114870182E-2</v>
      </c>
      <c r="AD207" s="162">
        <f ca="1"/>
        <v>4.4299229101203097E-2</v>
      </c>
      <c r="AE207" s="138">
        <f ca="1"/>
        <v>8.0567853459527994E-2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2.3179260666278401E-3</v>
      </c>
      <c r="Q208" s="162">
        <f ca="1"/>
        <v>0</v>
      </c>
      <c r="R208" s="162">
        <f ca="1"/>
        <v>1.0578341405662495E-2</v>
      </c>
      <c r="S208" s="162">
        <f ca="1"/>
        <v>0</v>
      </c>
      <c r="T208" s="162">
        <f ca="1"/>
        <v>2.6889547504950095E-2</v>
      </c>
      <c r="U208" s="162">
        <f ca="1"/>
        <v>4.9735870939078719E-2</v>
      </c>
      <c r="V208" s="138">
        <f ca="1"/>
        <v>9.1440515981273673E-2</v>
      </c>
      <c r="W208" s="137">
        <f ca="1"/>
        <v>0</v>
      </c>
      <c r="X208" s="162">
        <f ca="1"/>
        <v>0</v>
      </c>
      <c r="Y208" s="162">
        <f ca="1"/>
        <v>2.5242270083224438E-3</v>
      </c>
      <c r="Z208" s="162">
        <f ca="1"/>
        <v>0</v>
      </c>
      <c r="AA208" s="162">
        <f ca="1"/>
        <v>1.1114786965590762E-2</v>
      </c>
      <c r="AB208" s="162">
        <f ca="1"/>
        <v>0</v>
      </c>
      <c r="AC208" s="162">
        <f ca="1"/>
        <v>2.7744791628800169E-2</v>
      </c>
      <c r="AD208" s="162">
        <f ca="1"/>
        <v>5.0893225409427978E-2</v>
      </c>
      <c r="AE208" s="138">
        <f ca="1"/>
        <v>9.3025961231194998E-2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7.7877467022956504E-2</v>
      </c>
      <c r="Q209" s="162">
        <f ca="1"/>
        <v>0</v>
      </c>
      <c r="R209" s="162">
        <f ca="1"/>
        <v>0.19233881884627602</v>
      </c>
      <c r="S209" s="162">
        <f ca="1"/>
        <v>0</v>
      </c>
      <c r="T209" s="162">
        <f ca="1"/>
        <v>0.25491464134785824</v>
      </c>
      <c r="U209" s="162">
        <f ca="1"/>
        <v>0.30972675351368006</v>
      </c>
      <c r="V209" s="138">
        <f ca="1"/>
        <v>0.38288604792899883</v>
      </c>
      <c r="W209" s="137">
        <f ca="1"/>
        <v>0</v>
      </c>
      <c r="X209" s="162">
        <f ca="1"/>
        <v>0</v>
      </c>
      <c r="Y209" s="162">
        <f ca="1"/>
        <v>7.8068152906272226E-2</v>
      </c>
      <c r="Z209" s="162">
        <f ca="1"/>
        <v>0</v>
      </c>
      <c r="AA209" s="162">
        <f ca="1"/>
        <v>0.19277684199685774</v>
      </c>
      <c r="AB209" s="162">
        <f ca="1"/>
        <v>0</v>
      </c>
      <c r="AC209" s="162">
        <f ca="1"/>
        <v>0.25555731253777003</v>
      </c>
      <c r="AD209" s="162">
        <f ca="1"/>
        <v>0.31053160271460856</v>
      </c>
      <c r="AE209" s="138">
        <f ca="1"/>
        <v>0.38391371455568446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8.8032330096318168E-3</v>
      </c>
      <c r="Q210" s="162">
        <f ca="1"/>
        <v>0</v>
      </c>
      <c r="R210" s="162">
        <f ca="1"/>
        <v>4.0913564590933649E-2</v>
      </c>
      <c r="S210" s="162">
        <f ca="1"/>
        <v>0</v>
      </c>
      <c r="T210" s="162">
        <f ca="1"/>
        <v>0.10417174784228289</v>
      </c>
      <c r="U210" s="162">
        <f ca="1"/>
        <v>0.16665983112682625</v>
      </c>
      <c r="V210" s="138">
        <f ca="1"/>
        <v>0.27606034407555102</v>
      </c>
      <c r="W210" s="137">
        <f ca="1"/>
        <v>0</v>
      </c>
      <c r="X210" s="162">
        <f ca="1"/>
        <v>0</v>
      </c>
      <c r="Y210" s="162">
        <f ca="1"/>
        <v>9.0078096024653886E-3</v>
      </c>
      <c r="Z210" s="162">
        <f ca="1"/>
        <v>0</v>
      </c>
      <c r="AA210" s="162">
        <f ca="1"/>
        <v>4.1425634000619715E-2</v>
      </c>
      <c r="AB210" s="162">
        <f ca="1"/>
        <v>0</v>
      </c>
      <c r="AC210" s="162">
        <f ca="1"/>
        <v>0.10497281763943</v>
      </c>
      <c r="AD210" s="162">
        <f ca="1"/>
        <v>0.1676980221882739</v>
      </c>
      <c r="AE210" s="138">
        <f ca="1"/>
        <v>0.27736481893128295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7.4696880734810289E-3</v>
      </c>
      <c r="Q211" s="162">
        <f ca="1"/>
        <v>0</v>
      </c>
      <c r="R211" s="162">
        <f ca="1"/>
        <v>4.2338948184471703E-2</v>
      </c>
      <c r="S211" s="162">
        <f ca="1"/>
        <v>0</v>
      </c>
      <c r="T211" s="162">
        <f ca="1"/>
        <v>0.10542612437656051</v>
      </c>
      <c r="U211" s="162">
        <f ca="1"/>
        <v>0.16099724527238368</v>
      </c>
      <c r="V211" s="138">
        <f ca="1"/>
        <v>0.2566477386385102</v>
      </c>
      <c r="W211" s="137">
        <f ca="1"/>
        <v>0</v>
      </c>
      <c r="X211" s="162">
        <f ca="1"/>
        <v>0</v>
      </c>
      <c r="Y211" s="162">
        <f ca="1"/>
        <v>7.6746612526537028E-3</v>
      </c>
      <c r="Z211" s="162">
        <f ca="1"/>
        <v>0</v>
      </c>
      <c r="AA211" s="162">
        <f ca="1"/>
        <v>4.2848890275818063E-2</v>
      </c>
      <c r="AB211" s="162">
        <f ca="1"/>
        <v>0</v>
      </c>
      <c r="AC211" s="162">
        <f ca="1"/>
        <v>0.10622659499148768</v>
      </c>
      <c r="AD211" s="162">
        <f ca="1"/>
        <v>0.1620392802951921</v>
      </c>
      <c r="AE211" s="138">
        <f ca="1"/>
        <v>0.25797413606154185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1.3971785462998376E-3</v>
      </c>
      <c r="Q212" s="162">
        <f ca="1"/>
        <v>0</v>
      </c>
      <c r="R212" s="162">
        <f ca="1"/>
        <v>6.3376564992512208E-3</v>
      </c>
      <c r="S212" s="162">
        <f ca="1"/>
        <v>0</v>
      </c>
      <c r="T212" s="162">
        <f ca="1"/>
        <v>1.7466177001945637E-2</v>
      </c>
      <c r="U212" s="162">
        <f ca="1"/>
        <v>3.1073068128930958E-2</v>
      </c>
      <c r="V212" s="138">
        <f ca="1"/>
        <v>6.5605045540665818E-2</v>
      </c>
      <c r="W212" s="137">
        <f ca="1"/>
        <v>0</v>
      </c>
      <c r="X212" s="162">
        <f ca="1"/>
        <v>0</v>
      </c>
      <c r="Y212" s="162">
        <f ca="1"/>
        <v>1.6036860646726492E-3</v>
      </c>
      <c r="Z212" s="162">
        <f ca="1"/>
        <v>0</v>
      </c>
      <c r="AA212" s="162">
        <f ca="1"/>
        <v>6.8765573726061735E-3</v>
      </c>
      <c r="AB212" s="162">
        <f ca="1"/>
        <v>0</v>
      </c>
      <c r="AC212" s="162">
        <f ca="1"/>
        <v>1.8330052208573089E-2</v>
      </c>
      <c r="AD212" s="162">
        <f ca="1"/>
        <v>3.225262279299923E-2</v>
      </c>
      <c r="AE212" s="138">
        <f ca="1"/>
        <v>6.721160522502212E-2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1.0687264050001088E-3</v>
      </c>
      <c r="Q213" s="162">
        <f ca="1"/>
        <v>0</v>
      </c>
      <c r="R213" s="162">
        <f ca="1"/>
        <v>5.9408729937749927E-3</v>
      </c>
      <c r="S213" s="162">
        <f ca="1"/>
        <v>0</v>
      </c>
      <c r="T213" s="162">
        <f ca="1"/>
        <v>1.7085188822868358E-2</v>
      </c>
      <c r="U213" s="162">
        <f ca="1"/>
        <v>2.7461862333300724E-2</v>
      </c>
      <c r="V213" s="138">
        <f ca="1"/>
        <v>4.9748068132751233E-2</v>
      </c>
      <c r="W213" s="137">
        <f ca="1"/>
        <v>0</v>
      </c>
      <c r="X213" s="162">
        <f ca="1"/>
        <v>0</v>
      </c>
      <c r="Y213" s="162">
        <f ca="1"/>
        <v>1.275305578303465E-3</v>
      </c>
      <c r="Z213" s="162">
        <f ca="1"/>
        <v>0</v>
      </c>
      <c r="AA213" s="162">
        <f ca="1"/>
        <v>6.4800440876617849E-3</v>
      </c>
      <c r="AB213" s="162">
        <f ca="1"/>
        <v>0</v>
      </c>
      <c r="AC213" s="162">
        <f ca="1"/>
        <v>1.7949521932813184E-2</v>
      </c>
      <c r="AD213" s="162">
        <f ca="1"/>
        <v>2.8645213195631181E-2</v>
      </c>
      <c r="AE213" s="138">
        <f ca="1"/>
        <v>5.1384062537669806E-2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1.1823540381431519E-3</v>
      </c>
      <c r="Q214" s="162">
        <f ca="1"/>
        <v>0</v>
      </c>
      <c r="R214" s="162">
        <f ca="1"/>
        <v>1.2759843533494797E-2</v>
      </c>
      <c r="S214" s="162">
        <f ca="1"/>
        <v>0</v>
      </c>
      <c r="T214" s="162">
        <f ca="1"/>
        <v>3.7104853367648016E-2</v>
      </c>
      <c r="U214" s="162">
        <f ca="1"/>
        <v>7.2651930218945227E-2</v>
      </c>
      <c r="V214" s="138">
        <f ca="1"/>
        <v>0.12274724350971422</v>
      </c>
      <c r="W214" s="137">
        <f ca="1"/>
        <v>0</v>
      </c>
      <c r="X214" s="162">
        <f ca="1"/>
        <v>0</v>
      </c>
      <c r="Y214" s="162">
        <f ca="1"/>
        <v>1.3889085413202329E-3</v>
      </c>
      <c r="Z214" s="162">
        <f ca="1"/>
        <v>0</v>
      </c>
      <c r="AA214" s="162">
        <f ca="1"/>
        <v>1.3295117938501133E-2</v>
      </c>
      <c r="AB214" s="162">
        <f ca="1"/>
        <v>0</v>
      </c>
      <c r="AC214" s="162">
        <f ca="1"/>
        <v>3.7950468607702348E-2</v>
      </c>
      <c r="AD214" s="162">
        <f ca="1"/>
        <v>7.3780498681503492E-2</v>
      </c>
      <c r="AE214" s="138">
        <f ca="1"/>
        <v>0.12428794698125245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2.8047974157202615E-3</v>
      </c>
      <c r="Q215" s="162">
        <f ca="1"/>
        <v>0</v>
      </c>
      <c r="R215" s="162">
        <f ca="1"/>
        <v>1.3917351175785408E-2</v>
      </c>
      <c r="S215" s="162">
        <f ca="1"/>
        <v>0</v>
      </c>
      <c r="T215" s="162">
        <f ca="1"/>
        <v>4.1315775210037264E-2</v>
      </c>
      <c r="U215" s="162">
        <f ca="1"/>
        <v>7.1680035652875507E-2</v>
      </c>
      <c r="V215" s="138">
        <f ca="1"/>
        <v>0.14325004382661333</v>
      </c>
      <c r="W215" s="137">
        <f ca="1"/>
        <v>0</v>
      </c>
      <c r="X215" s="162">
        <f ca="1"/>
        <v>0</v>
      </c>
      <c r="Y215" s="162">
        <f ca="1"/>
        <v>3.0109856247447775E-3</v>
      </c>
      <c r="Z215" s="162">
        <f ca="1"/>
        <v>0</v>
      </c>
      <c r="AA215" s="162">
        <f ca="1"/>
        <v>1.4451746749946204E-2</v>
      </c>
      <c r="AB215" s="162">
        <f ca="1"/>
        <v>0</v>
      </c>
      <c r="AC215" s="162">
        <f ca="1"/>
        <v>4.2156394197103708E-2</v>
      </c>
      <c r="AD215" s="162">
        <f ca="1"/>
        <v>7.2810821162335837E-2</v>
      </c>
      <c r="AE215" s="138">
        <f ca="1"/>
        <v>0.14476705784953336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6.0119714576971406E-2</v>
      </c>
      <c r="Q216" s="162">
        <f ca="1"/>
        <v>0</v>
      </c>
      <c r="R216" s="162">
        <f ca="1"/>
        <v>0.13960296040690423</v>
      </c>
      <c r="S216" s="162">
        <f ca="1"/>
        <v>0</v>
      </c>
      <c r="T216" s="162">
        <f ca="1"/>
        <v>0.19410220037927306</v>
      </c>
      <c r="U216" s="162">
        <f ca="1"/>
        <v>0.21724704487268931</v>
      </c>
      <c r="V216" s="138">
        <f ca="1"/>
        <v>0.24623698602901256</v>
      </c>
      <c r="W216" s="137">
        <f ca="1"/>
        <v>0</v>
      </c>
      <c r="X216" s="162">
        <f ca="1"/>
        <v>0</v>
      </c>
      <c r="Y216" s="162">
        <f ca="1"/>
        <v>6.031407572363745E-2</v>
      </c>
      <c r="Z216" s="162">
        <f ca="1"/>
        <v>0</v>
      </c>
      <c r="AA216" s="162">
        <f ca="1"/>
        <v>0.14006831861473346</v>
      </c>
      <c r="AB216" s="162">
        <f ca="1"/>
        <v>0</v>
      </c>
      <c r="AC216" s="162">
        <f ca="1"/>
        <v>0.19480191461243879</v>
      </c>
      <c r="AD216" s="162">
        <f ca="1"/>
        <v>0.21815972415390661</v>
      </c>
      <c r="AE216" s="138">
        <f ca="1"/>
        <v>0.24744794151299376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2.4314128868346829E-3</v>
      </c>
      <c r="Q217" s="162">
        <f ca="1"/>
        <v>0</v>
      </c>
      <c r="R217" s="162">
        <f ca="1"/>
        <v>1.080734324860988E-2</v>
      </c>
      <c r="S217" s="162">
        <f ca="1"/>
        <v>0</v>
      </c>
      <c r="T217" s="162">
        <f ca="1"/>
        <v>2.188204696405549E-2</v>
      </c>
      <c r="U217" s="162">
        <f ca="1"/>
        <v>4.0125983063769355E-2</v>
      </c>
      <c r="V217" s="138">
        <f ca="1"/>
        <v>7.1743200869028079E-2</v>
      </c>
      <c r="W217" s="137">
        <f ca="1"/>
        <v>0</v>
      </c>
      <c r="X217" s="162">
        <f ca="1"/>
        <v>0</v>
      </c>
      <c r="Y217" s="162">
        <f ca="1"/>
        <v>2.6376877712299684E-3</v>
      </c>
      <c r="Z217" s="162">
        <f ca="1"/>
        <v>0</v>
      </c>
      <c r="AA217" s="162">
        <f ca="1"/>
        <v>1.1343641414515937E-2</v>
      </c>
      <c r="AB217" s="162">
        <f ca="1"/>
        <v>0</v>
      </c>
      <c r="AC217" s="162">
        <f ca="1"/>
        <v>2.274147890914302E-2</v>
      </c>
      <c r="AD217" s="162">
        <f ca="1"/>
        <v>4.1293908582792582E-2</v>
      </c>
      <c r="AE217" s="138">
        <f ca="1"/>
        <v>7.3338707262833869E-2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1.2567215512103713E-3</v>
      </c>
      <c r="Q218" s="162">
        <f ca="1"/>
        <v>0</v>
      </c>
      <c r="R218" s="162">
        <f ca="1"/>
        <v>9.2882336744967153E-3</v>
      </c>
      <c r="S218" s="162">
        <f ca="1"/>
        <v>0</v>
      </c>
      <c r="T218" s="162">
        <f ca="1"/>
        <v>2.2600159460977931E-2</v>
      </c>
      <c r="U218" s="162">
        <f ca="1"/>
        <v>4.2398967604198035E-2</v>
      </c>
      <c r="V218" s="138">
        <f ca="1"/>
        <v>7.5691414609583618E-2</v>
      </c>
      <c r="W218" s="137">
        <f ca="1"/>
        <v>0</v>
      </c>
      <c r="X218" s="162">
        <f ca="1"/>
        <v>0</v>
      </c>
      <c r="Y218" s="162">
        <f ca="1"/>
        <v>1.4632598402971597E-3</v>
      </c>
      <c r="Z218" s="162">
        <f ca="1"/>
        <v>0</v>
      </c>
      <c r="AA218" s="162">
        <f ca="1"/>
        <v>9.8255709573523697E-3</v>
      </c>
      <c r="AB218" s="162">
        <f ca="1"/>
        <v>0</v>
      </c>
      <c r="AC218" s="162">
        <f ca="1"/>
        <v>2.3459537948925302E-2</v>
      </c>
      <c r="AD218" s="162">
        <f ca="1"/>
        <v>4.3565318271375997E-2</v>
      </c>
      <c r="AE218" s="138">
        <f ca="1"/>
        <v>7.7280793760699851E-2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5.8814874355365143E-3</v>
      </c>
      <c r="Q219" s="162">
        <f ca="1"/>
        <v>0</v>
      </c>
      <c r="R219" s="162">
        <f ca="1"/>
        <v>2.1925568289419495E-2</v>
      </c>
      <c r="S219" s="162">
        <f ca="1"/>
        <v>0</v>
      </c>
      <c r="T219" s="162">
        <f ca="1"/>
        <v>6.1467098413379384E-2</v>
      </c>
      <c r="U219" s="162">
        <f ca="1"/>
        <v>0.10179614659310998</v>
      </c>
      <c r="V219" s="138">
        <f ca="1"/>
        <v>0.17136360168223141</v>
      </c>
      <c r="W219" s="137">
        <f ca="1"/>
        <v>0</v>
      </c>
      <c r="X219" s="162">
        <f ca="1"/>
        <v>0</v>
      </c>
      <c r="Y219" s="162">
        <f ca="1"/>
        <v>6.0869031668123741E-3</v>
      </c>
      <c r="Z219" s="162">
        <f ca="1"/>
        <v>0</v>
      </c>
      <c r="AA219" s="162">
        <f ca="1"/>
        <v>2.2454425742894135E-2</v>
      </c>
      <c r="AB219" s="162">
        <f ca="1"/>
        <v>0</v>
      </c>
      <c r="AC219" s="162">
        <f ca="1"/>
        <v>6.2283200749802536E-2</v>
      </c>
      <c r="AD219" s="162">
        <f ca="1"/>
        <v>0.10288618084449286</v>
      </c>
      <c r="AE219" s="138">
        <f ca="1"/>
        <v>0.17283056210214187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2.4190331279427824E-3</v>
      </c>
      <c r="Q220" s="162">
        <f ca="1"/>
        <v>0</v>
      </c>
      <c r="R220" s="162">
        <f ca="1"/>
        <v>1.1798528335192238E-2</v>
      </c>
      <c r="S220" s="162">
        <f ca="1"/>
        <v>0</v>
      </c>
      <c r="T220" s="162">
        <f ca="1"/>
        <v>2.9896322530700514E-2</v>
      </c>
      <c r="U220" s="162">
        <f ca="1"/>
        <v>4.3165118448791895E-2</v>
      </c>
      <c r="V220" s="138">
        <f ca="1"/>
        <v>7.0418991160959066E-2</v>
      </c>
      <c r="W220" s="137">
        <f ca="1"/>
        <v>0</v>
      </c>
      <c r="X220" s="162">
        <f ca="1"/>
        <v>0</v>
      </c>
      <c r="Y220" s="162">
        <f ca="1"/>
        <v>2.6253108612469545E-3</v>
      </c>
      <c r="Z220" s="162">
        <f ca="1"/>
        <v>0</v>
      </c>
      <c r="AA220" s="162">
        <f ca="1"/>
        <v>1.2334252140297153E-2</v>
      </c>
      <c r="AB220" s="162">
        <f ca="1"/>
        <v>0</v>
      </c>
      <c r="AC220" s="162">
        <f ca="1"/>
        <v>3.0748751330035295E-2</v>
      </c>
      <c r="AD220" s="162">
        <f ca="1"/>
        <v>4.43294042890503E-2</v>
      </c>
      <c r="AE220" s="138">
        <f ca="1"/>
        <v>7.2015264810756929E-2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1.7503000671037494E-3</v>
      </c>
      <c r="Q221" s="162">
        <f ca="1"/>
        <v>0</v>
      </c>
      <c r="R221" s="162">
        <f ca="1"/>
        <v>1.3129101510033214E-2</v>
      </c>
      <c r="S221" s="162">
        <f ca="1"/>
        <v>0</v>
      </c>
      <c r="T221" s="162">
        <f ca="1"/>
        <v>3.4316561253150857E-2</v>
      </c>
      <c r="U221" s="162">
        <f ca="1"/>
        <v>6.3732150267060472E-2</v>
      </c>
      <c r="V221" s="138">
        <f ca="1"/>
        <v>0.12764540561288651</v>
      </c>
      <c r="W221" s="137">
        <f ca="1"/>
        <v>0</v>
      </c>
      <c r="X221" s="162">
        <f ca="1"/>
        <v>0</v>
      </c>
      <c r="Y221" s="162">
        <f ca="1"/>
        <v>1.9567293658051543E-3</v>
      </c>
      <c r="Z221" s="162">
        <f ca="1"/>
        <v>0</v>
      </c>
      <c r="AA221" s="162">
        <f ca="1"/>
        <v>1.366409074861008E-2</v>
      </c>
      <c r="AB221" s="162">
        <f ca="1"/>
        <v>0</v>
      </c>
      <c r="AC221" s="162">
        <f ca="1"/>
        <v>3.516494441272644E-2</v>
      </c>
      <c r="AD221" s="162">
        <f ca="1"/>
        <v>6.4872287916906579E-2</v>
      </c>
      <c r="AE221" s="138">
        <f ca="1"/>
        <v>0.12918464024182708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1.99803075207583E-3</v>
      </c>
      <c r="Q222" s="162">
        <f ca="1"/>
        <v>0</v>
      </c>
      <c r="R222" s="162">
        <f ca="1"/>
        <v>1.1870714922750492E-2</v>
      </c>
      <c r="S222" s="162">
        <f ca="1"/>
        <v>0</v>
      </c>
      <c r="T222" s="162">
        <f ca="1"/>
        <v>2.4970422943849324E-2</v>
      </c>
      <c r="U222" s="162">
        <f ca="1"/>
        <v>4.5553320597064961E-2</v>
      </c>
      <c r="V222" s="138">
        <f ca="1"/>
        <v>8.2061553812474042E-2</v>
      </c>
      <c r="W222" s="137">
        <f ca="1"/>
        <v>0</v>
      </c>
      <c r="X222" s="162">
        <f ca="1"/>
        <v>0</v>
      </c>
      <c r="Y222" s="162">
        <f ca="1"/>
        <v>2.2044044332414359E-3</v>
      </c>
      <c r="Z222" s="162">
        <f ca="1"/>
        <v>0</v>
      </c>
      <c r="AA222" s="162">
        <f ca="1"/>
        <v>1.2406448180744767E-2</v>
      </c>
      <c r="AB222" s="162">
        <f ca="1"/>
        <v>0</v>
      </c>
      <c r="AC222" s="162">
        <f ca="1"/>
        <v>2.5827348081645551E-2</v>
      </c>
      <c r="AD222" s="162">
        <f ca="1"/>
        <v>4.6715023877560991E-2</v>
      </c>
      <c r="AE222" s="138">
        <f ca="1"/>
        <v>8.3637019765826603E-2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1.0521976818428369E-3</v>
      </c>
      <c r="Q223" s="162">
        <f ca="1"/>
        <v>0</v>
      </c>
      <c r="R223" s="162">
        <f ca="1"/>
        <v>1.0024600328418898E-2</v>
      </c>
      <c r="S223" s="162">
        <f ca="1"/>
        <v>0</v>
      </c>
      <c r="T223" s="162">
        <f ca="1"/>
        <v>2.4797446681153801E-2</v>
      </c>
      <c r="U223" s="162">
        <f ca="1"/>
        <v>4.3276833963504679E-2</v>
      </c>
      <c r="V223" s="138">
        <f ca="1"/>
        <v>7.9936455093912673E-2</v>
      </c>
      <c r="W223" s="137">
        <f ca="1"/>
        <v>0</v>
      </c>
      <c r="X223" s="162">
        <f ca="1"/>
        <v>0</v>
      </c>
      <c r="Y223" s="162">
        <f ca="1"/>
        <v>1.2587804333489272E-3</v>
      </c>
      <c r="Z223" s="162">
        <f ca="1"/>
        <v>0</v>
      </c>
      <c r="AA223" s="162">
        <f ca="1"/>
        <v>1.0561545221600022E-2</v>
      </c>
      <c r="AB223" s="162">
        <f ca="1"/>
        <v>0</v>
      </c>
      <c r="AC223" s="162">
        <f ca="1"/>
        <v>2.5654954626869619E-2</v>
      </c>
      <c r="AD223" s="162">
        <f ca="1"/>
        <v>4.4442108452434015E-2</v>
      </c>
      <c r="AE223" s="138">
        <f ca="1"/>
        <v>8.1516041543940099E-2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7.7323458312350546E-4</v>
      </c>
      <c r="Q224" s="162">
        <f ca="1"/>
        <v>0</v>
      </c>
      <c r="R224" s="162">
        <f ca="1"/>
        <v>9.3315997525412753E-3</v>
      </c>
      <c r="S224" s="162">
        <f ca="1"/>
        <v>0</v>
      </c>
      <c r="T224" s="162">
        <f ca="1"/>
        <v>2.3997971638975213E-2</v>
      </c>
      <c r="U224" s="162">
        <f ca="1"/>
        <v>4.8404932379905063E-2</v>
      </c>
      <c r="V224" s="138">
        <f ca="1"/>
        <v>9.1693697378671057E-2</v>
      </c>
      <c r="W224" s="137">
        <f ca="1"/>
        <v>0</v>
      </c>
      <c r="X224" s="162">
        <f ca="1"/>
        <v>0</v>
      </c>
      <c r="Y224" s="162">
        <f ca="1"/>
        <v>9.7987732966098307E-4</v>
      </c>
      <c r="Z224" s="162">
        <f ca="1"/>
        <v>0</v>
      </c>
      <c r="AA224" s="162">
        <f ca="1"/>
        <v>9.8689844963293361E-3</v>
      </c>
      <c r="AB224" s="162">
        <f ca="1"/>
        <v>0</v>
      </c>
      <c r="AC224" s="162">
        <f ca="1"/>
        <v>2.4856303972806471E-2</v>
      </c>
      <c r="AD224" s="162">
        <f ca="1"/>
        <v>4.9564430553261318E-2</v>
      </c>
      <c r="AE224" s="138">
        <f ca="1"/>
        <v>9.3281544760575041E-2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1.2856407685449822E-3</v>
      </c>
      <c r="Q225" s="162">
        <f ca="1"/>
        <v>0</v>
      </c>
      <c r="R225" s="162">
        <f ca="1"/>
        <v>1.2911965692314009E-2</v>
      </c>
      <c r="S225" s="162">
        <f ca="1"/>
        <v>0</v>
      </c>
      <c r="T225" s="162">
        <f ca="1"/>
        <v>2.8978494881228389E-2</v>
      </c>
      <c r="U225" s="162">
        <f ca="1"/>
        <v>5.2789067432611358E-2</v>
      </c>
      <c r="V225" s="138">
        <f ca="1"/>
        <v>9.147614467700349E-2</v>
      </c>
      <c r="W225" s="137">
        <f ca="1"/>
        <v>0</v>
      </c>
      <c r="X225" s="162">
        <f ca="1"/>
        <v>0</v>
      </c>
      <c r="Y225" s="162">
        <f ca="1"/>
        <v>1.492172737886821E-3</v>
      </c>
      <c r="Z225" s="162">
        <f ca="1"/>
        <v>0</v>
      </c>
      <c r="AA225" s="162">
        <f ca="1"/>
        <v>1.3447134753754919E-2</v>
      </c>
      <c r="AB225" s="162">
        <f ca="1"/>
        <v>0</v>
      </c>
      <c r="AC225" s="162">
        <f ca="1"/>
        <v>2.9832101810524092E-2</v>
      </c>
      <c r="AD225" s="162">
        <f ca="1"/>
        <v>5.3942451432270389E-2</v>
      </c>
      <c r="AE225" s="138">
        <f ca="1"/>
        <v>9.3034208521584727E-2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1.4963128727307762E-3</v>
      </c>
      <c r="Q226" s="162">
        <f ca="1"/>
        <v>0</v>
      </c>
      <c r="R226" s="162">
        <f ca="1"/>
        <v>8.7374422145711783E-3</v>
      </c>
      <c r="S226" s="162">
        <f ca="1"/>
        <v>0</v>
      </c>
      <c r="T226" s="162">
        <f ca="1"/>
        <v>2.3088849825715907E-2</v>
      </c>
      <c r="U226" s="162">
        <f ca="1"/>
        <v>3.7061964660554669E-2</v>
      </c>
      <c r="V226" s="138">
        <f ca="1"/>
        <v>7.2245199132586091E-2</v>
      </c>
      <c r="W226" s="137">
        <f ca="1"/>
        <v>0</v>
      </c>
      <c r="X226" s="162">
        <f ca="1"/>
        <v>0</v>
      </c>
      <c r="Y226" s="162">
        <f ca="1"/>
        <v>1.7027985565299941E-3</v>
      </c>
      <c r="Z226" s="162">
        <f ca="1"/>
        <v>0</v>
      </c>
      <c r="AA226" s="162">
        <f ca="1"/>
        <v>9.2750487324514408E-3</v>
      </c>
      <c r="AB226" s="162">
        <f ca="1"/>
        <v>0</v>
      </c>
      <c r="AC226" s="162">
        <f ca="1"/>
        <v>2.3947788727797792E-2</v>
      </c>
      <c r="AD226" s="162">
        <f ca="1"/>
        <v>3.8234202359392899E-2</v>
      </c>
      <c r="AE226" s="138">
        <f ca="1"/>
        <v>7.3838282035192493E-2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9.3028997513699974E-4</v>
      </c>
      <c r="Q227" s="162">
        <f ca="1"/>
        <v>0</v>
      </c>
      <c r="R227" s="162">
        <f ca="1"/>
        <v>6.3735210311424151E-3</v>
      </c>
      <c r="S227" s="162">
        <f ca="1"/>
        <v>0</v>
      </c>
      <c r="T227" s="162">
        <f ca="1"/>
        <v>1.8415221038476148E-2</v>
      </c>
      <c r="U227" s="162">
        <f ca="1"/>
        <v>3.3641604366024147E-2</v>
      </c>
      <c r="V227" s="138">
        <f ca="1"/>
        <v>6.5122150387463718E-2</v>
      </c>
      <c r="W227" s="137">
        <f ca="1"/>
        <v>0</v>
      </c>
      <c r="X227" s="162">
        <f ca="1"/>
        <v>0</v>
      </c>
      <c r="Y227" s="162">
        <f ca="1"/>
        <v>1.1368990364908349E-3</v>
      </c>
      <c r="Z227" s="162">
        <f ca="1"/>
        <v>0</v>
      </c>
      <c r="AA227" s="162">
        <f ca="1"/>
        <v>6.9124968159780531E-3</v>
      </c>
      <c r="AB227" s="162">
        <f ca="1"/>
        <v>0</v>
      </c>
      <c r="AC227" s="162">
        <f ca="1"/>
        <v>1.9278471028225219E-2</v>
      </c>
      <c r="AD227" s="162">
        <f ca="1"/>
        <v>3.4818620811428391E-2</v>
      </c>
      <c r="AE227" s="138">
        <f ca="1"/>
        <v>6.6731088725053955E-2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1.0976510181679444E-3</v>
      </c>
      <c r="Q228" s="162">
        <f ca="1"/>
        <v>0</v>
      </c>
      <c r="R228" s="162">
        <f ca="1"/>
        <v>9.0401674082384309E-3</v>
      </c>
      <c r="S228" s="162">
        <f ca="1"/>
        <v>0</v>
      </c>
      <c r="T228" s="162">
        <f ca="1"/>
        <v>2.4000885179941922E-2</v>
      </c>
      <c r="U228" s="162">
        <f ca="1"/>
        <v>4.775584099007224E-2</v>
      </c>
      <c r="V228" s="138">
        <f ca="1"/>
        <v>8.6999367952935835E-2</v>
      </c>
      <c r="W228" s="137">
        <f ca="1"/>
        <v>0</v>
      </c>
      <c r="X228" s="162">
        <f ca="1"/>
        <v>0</v>
      </c>
      <c r="Y228" s="162">
        <f ca="1"/>
        <v>1.3042239234773989E-3</v>
      </c>
      <c r="Z228" s="162">
        <f ca="1"/>
        <v>0</v>
      </c>
      <c r="AA228" s="162">
        <f ca="1"/>
        <v>9.577669170677261E-3</v>
      </c>
      <c r="AB228" s="162">
        <f ca="1"/>
        <v>0</v>
      </c>
      <c r="AC228" s="162">
        <f ca="1"/>
        <v>2.4859135321759096E-2</v>
      </c>
      <c r="AD228" s="162">
        <f ca="1"/>
        <v>4.8916150396973834E-2</v>
      </c>
      <c r="AE228" s="138">
        <f ca="1"/>
        <v>8.8567121916987457E-2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3.1883522264249953E-3</v>
      </c>
      <c r="Q229" s="162">
        <f ca="1"/>
        <v>0</v>
      </c>
      <c r="R229" s="162">
        <f ca="1"/>
        <v>1.2080080235514101E-2</v>
      </c>
      <c r="S229" s="162">
        <f ca="1"/>
        <v>0</v>
      </c>
      <c r="T229" s="162">
        <f ca="1"/>
        <v>2.6646350643837136E-2</v>
      </c>
      <c r="U229" s="162">
        <f ca="1"/>
        <v>4.946116883759144E-2</v>
      </c>
      <c r="V229" s="138">
        <f ca="1"/>
        <v>9.335075936783177E-2</v>
      </c>
      <c r="W229" s="137">
        <f ca="1"/>
        <v>0</v>
      </c>
      <c r="X229" s="162">
        <f ca="1"/>
        <v>0</v>
      </c>
      <c r="Y229" s="162">
        <f ca="1"/>
        <v>3.3944498707009219E-3</v>
      </c>
      <c r="Z229" s="162">
        <f ca="1"/>
        <v>0</v>
      </c>
      <c r="AA229" s="162">
        <f ca="1"/>
        <v>1.2615537752962869E-2</v>
      </c>
      <c r="AB229" s="162">
        <f ca="1"/>
        <v>0</v>
      </c>
      <c r="AC229" s="162">
        <f ca="1"/>
        <v>2.7501468707748944E-2</v>
      </c>
      <c r="AD229" s="162">
        <f ca="1"/>
        <v>5.0617974116175635E-2</v>
      </c>
      <c r="AE229" s="138">
        <f ca="1"/>
        <v>9.4933532053612657E-2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2.0413773585027384E-3</v>
      </c>
      <c r="Q230" s="162">
        <f ca="1"/>
        <v>0</v>
      </c>
      <c r="R230" s="162">
        <f ca="1"/>
        <v>1.1192334996168785E-2</v>
      </c>
      <c r="S230" s="162">
        <f ca="1"/>
        <v>0</v>
      </c>
      <c r="T230" s="162">
        <f ca="1"/>
        <v>2.7295896687766774E-2</v>
      </c>
      <c r="U230" s="162">
        <f ca="1"/>
        <v>4.934003834881906E-2</v>
      </c>
      <c r="V230" s="138">
        <f ca="1"/>
        <v>8.8015682084956026E-2</v>
      </c>
      <c r="W230" s="137">
        <f ca="1"/>
        <v>0</v>
      </c>
      <c r="X230" s="162">
        <f ca="1"/>
        <v>0</v>
      </c>
      <c r="Y230" s="162">
        <f ca="1"/>
        <v>2.2477412442741818E-3</v>
      </c>
      <c r="Z230" s="162">
        <f ca="1"/>
        <v>0</v>
      </c>
      <c r="AA230" s="162">
        <f ca="1"/>
        <v>1.1728464517863024E-2</v>
      </c>
      <c r="AB230" s="162">
        <f ca="1"/>
        <v>0</v>
      </c>
      <c r="AC230" s="162">
        <f ca="1"/>
        <v>2.8150837990925437E-2</v>
      </c>
      <c r="AD230" s="162">
        <f ca="1"/>
        <v>5.0497777532069299E-2</v>
      </c>
      <c r="AE230" s="138">
        <f ca="1"/>
        <v>8.957992460453601E-2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7.517502457356795E-2</v>
      </c>
      <c r="Q231" s="162">
        <f ca="1"/>
        <v>0</v>
      </c>
      <c r="R231" s="162">
        <f ca="1"/>
        <v>0.18222841708084725</v>
      </c>
      <c r="S231" s="162">
        <f ca="1"/>
        <v>0</v>
      </c>
      <c r="T231" s="162">
        <f ca="1"/>
        <v>0.24143649800375555</v>
      </c>
      <c r="U231" s="162">
        <f ca="1"/>
        <v>0.28825428313470947</v>
      </c>
      <c r="V231" s="138">
        <f ca="1"/>
        <v>0.36469398477050008</v>
      </c>
      <c r="W231" s="137">
        <f ca="1"/>
        <v>0</v>
      </c>
      <c r="X231" s="162">
        <f ca="1"/>
        <v>0</v>
      </c>
      <c r="Y231" s="162">
        <f ca="1"/>
        <v>7.5366269765044236E-2</v>
      </c>
      <c r="Z231" s="162">
        <f ca="1"/>
        <v>0</v>
      </c>
      <c r="AA231" s="162">
        <f ca="1"/>
        <v>0.18267148410008438</v>
      </c>
      <c r="AB231" s="162">
        <f ca="1"/>
        <v>0</v>
      </c>
      <c r="AC231" s="162">
        <f ca="1"/>
        <v>0.24209089366432801</v>
      </c>
      <c r="AD231" s="162">
        <f ca="1"/>
        <v>0.28908416894356048</v>
      </c>
      <c r="AE231" s="138">
        <f ca="1"/>
        <v>0.36575194624976481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2.2684005368764915E-3</v>
      </c>
      <c r="Q232" s="162">
        <f ca="1"/>
        <v>0</v>
      </c>
      <c r="R232" s="162">
        <f ca="1"/>
        <v>1.2015124687043244E-2</v>
      </c>
      <c r="S232" s="162">
        <f ca="1"/>
        <v>0</v>
      </c>
      <c r="T232" s="162">
        <f ca="1"/>
        <v>3.9789509536083734E-2</v>
      </c>
      <c r="U232" s="162">
        <f ca="1"/>
        <v>7.0423227433675795E-2</v>
      </c>
      <c r="V232" s="138">
        <f ca="1"/>
        <v>0.12171859366184523</v>
      </c>
      <c r="W232" s="137">
        <f ca="1"/>
        <v>0</v>
      </c>
      <c r="X232" s="162">
        <f ca="1"/>
        <v>0</v>
      </c>
      <c r="Y232" s="162">
        <f ca="1"/>
        <v>2.4747128083733028E-3</v>
      </c>
      <c r="Z232" s="162">
        <f ca="1"/>
        <v>0</v>
      </c>
      <c r="AA232" s="162">
        <f ca="1"/>
        <v>1.2550738806870299E-2</v>
      </c>
      <c r="AB232" s="162">
        <f ca="1"/>
        <v>0</v>
      </c>
      <c r="AC232" s="162">
        <f ca="1"/>
        <v>4.0631668193315096E-2</v>
      </c>
      <c r="AD232" s="162">
        <f ca="1"/>
        <v>7.1556172393109185E-2</v>
      </c>
      <c r="AE232" s="138">
        <f ca="1"/>
        <v>0.1232598807308497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0.2336298966267113</v>
      </c>
      <c r="Q233" s="162">
        <f ca="1"/>
        <v>0</v>
      </c>
      <c r="R233" s="162">
        <f ca="1"/>
        <v>0.3698122011842897</v>
      </c>
      <c r="S233" s="162">
        <f ca="1"/>
        <v>0</v>
      </c>
      <c r="T233" s="162">
        <f ca="1"/>
        <v>0.39296626687196656</v>
      </c>
      <c r="U233" s="162">
        <f ca="1"/>
        <v>0.46367291611126371</v>
      </c>
      <c r="V233" s="138">
        <f ca="1"/>
        <v>0.54166172096083209</v>
      </c>
      <c r="W233" s="137">
        <f ca="1"/>
        <v>0</v>
      </c>
      <c r="X233" s="162">
        <f ca="1"/>
        <v>0</v>
      </c>
      <c r="Y233" s="162">
        <f ca="1"/>
        <v>0.23378827731622731</v>
      </c>
      <c r="Z233" s="162">
        <f ca="1"/>
        <v>0</v>
      </c>
      <c r="AA233" s="162">
        <f ca="1"/>
        <v>0.37012721632337464</v>
      </c>
      <c r="AB233" s="162">
        <f ca="1"/>
        <v>0</v>
      </c>
      <c r="AC233" s="162">
        <f ca="1"/>
        <v>0.3934401114171977</v>
      </c>
      <c r="AD233" s="162">
        <f ca="1"/>
        <v>0.46424783721060237</v>
      </c>
      <c r="AE233" s="138">
        <f ca="1"/>
        <v>0.54234081140869839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1.1720247827609054E-3</v>
      </c>
      <c r="Q234" s="162">
        <f ca="1"/>
        <v>0</v>
      </c>
      <c r="R234" s="162">
        <f ca="1"/>
        <v>6.8933950286801382E-3</v>
      </c>
      <c r="S234" s="162">
        <f ca="1"/>
        <v>0</v>
      </c>
      <c r="T234" s="162">
        <f ca="1"/>
        <v>1.833875450283895E-2</v>
      </c>
      <c r="U234" s="162">
        <f ca="1"/>
        <v>3.4875240609172686E-2</v>
      </c>
      <c r="V234" s="138">
        <f ca="1"/>
        <v>6.6784030450430243E-2</v>
      </c>
      <c r="W234" s="137">
        <f ca="1"/>
        <v>0</v>
      </c>
      <c r="X234" s="162">
        <f ca="1"/>
        <v>0</v>
      </c>
      <c r="Y234" s="162">
        <f ca="1"/>
        <v>1.3785815337176155E-3</v>
      </c>
      <c r="Z234" s="162">
        <f ca="1"/>
        <v>0</v>
      </c>
      <c r="AA234" s="162">
        <f ca="1"/>
        <v>7.4320521225893499E-3</v>
      </c>
      <c r="AB234" s="162">
        <f ca="1"/>
        <v>0</v>
      </c>
      <c r="AC234" s="162">
        <f ca="1"/>
        <v>1.9201924562881723E-2</v>
      </c>
      <c r="AD234" s="162">
        <f ca="1"/>
        <v>3.6050689052271712E-2</v>
      </c>
      <c r="AE234" s="138">
        <f ca="1"/>
        <v>6.8390016242986573E-2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1.5706572165409272E-3</v>
      </c>
      <c r="Q235" s="162">
        <f ca="1"/>
        <v>0</v>
      </c>
      <c r="R235" s="162">
        <f ca="1"/>
        <v>1.1406706589994098E-2</v>
      </c>
      <c r="S235" s="162">
        <f ca="1"/>
        <v>0</v>
      </c>
      <c r="T235" s="162">
        <f ca="1"/>
        <v>2.4150981571660513E-2</v>
      </c>
      <c r="U235" s="162">
        <f ca="1"/>
        <v>4.5426806652706264E-2</v>
      </c>
      <c r="V235" s="138">
        <f ca="1"/>
        <v>8.4042235454858449E-2</v>
      </c>
      <c r="W235" s="137">
        <f ca="1"/>
        <v>0</v>
      </c>
      <c r="X235" s="162">
        <f ca="1"/>
        <v>0</v>
      </c>
      <c r="Y235" s="162">
        <f ca="1"/>
        <v>1.7771264622834515E-3</v>
      </c>
      <c r="Z235" s="162">
        <f ca="1"/>
        <v>0</v>
      </c>
      <c r="AA235" s="162">
        <f ca="1"/>
        <v>1.1942769274455034E-2</v>
      </c>
      <c r="AB235" s="162">
        <f ca="1"/>
        <v>0</v>
      </c>
      <c r="AC235" s="162">
        <f ca="1"/>
        <v>2.5008764796332184E-2</v>
      </c>
      <c r="AD235" s="162">
        <f ca="1"/>
        <v>4.6588890150287998E-2</v>
      </c>
      <c r="AE235" s="138">
        <f ca="1"/>
        <v>8.5613703595964652E-2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2.3922097948408938E-3</v>
      </c>
      <c r="Q236" s="162">
        <f ca="1"/>
        <v>0</v>
      </c>
      <c r="R236" s="162">
        <f ca="1"/>
        <v>1.8154017261254873E-2</v>
      </c>
      <c r="S236" s="162">
        <f ca="1"/>
        <v>0</v>
      </c>
      <c r="T236" s="162">
        <f ca="1"/>
        <v>4.1311686444901463E-2</v>
      </c>
      <c r="U236" s="162">
        <f ca="1"/>
        <v>7.574819547439815E-2</v>
      </c>
      <c r="V236" s="138">
        <f ca="1"/>
        <v>0.13154518825915085</v>
      </c>
      <c r="W236" s="137">
        <f ca="1"/>
        <v>0</v>
      </c>
      <c r="X236" s="162">
        <f ca="1"/>
        <v>0</v>
      </c>
      <c r="Y236" s="162">
        <f ca="1"/>
        <v>2.598493695540216E-3</v>
      </c>
      <c r="Z236" s="162">
        <f ca="1"/>
        <v>0</v>
      </c>
      <c r="AA236" s="162">
        <f ca="1"/>
        <v>1.8685610194530855E-2</v>
      </c>
      <c r="AB236" s="162">
        <f ca="1"/>
        <v>0</v>
      </c>
      <c r="AC236" s="162">
        <f ca="1"/>
        <v>4.215314728993369E-2</v>
      </c>
      <c r="AD236" s="162">
        <f ca="1"/>
        <v>7.6871468215087058E-2</v>
      </c>
      <c r="AE236" s="138">
        <f ca="1"/>
        <v>0.13307147660757812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2.1941076753894118E-3</v>
      </c>
      <c r="Q237" s="162">
        <f ca="1"/>
        <v>0</v>
      </c>
      <c r="R237" s="162">
        <f ca="1"/>
        <v>1.0820560709668081E-2</v>
      </c>
      <c r="S237" s="162">
        <f ca="1"/>
        <v>0</v>
      </c>
      <c r="T237" s="162">
        <f ca="1"/>
        <v>2.7772089820507162E-2</v>
      </c>
      <c r="U237" s="162">
        <f ca="1"/>
        <v>4.696793412226663E-2</v>
      </c>
      <c r="V237" s="138">
        <f ca="1"/>
        <v>9.7754113931629694E-2</v>
      </c>
      <c r="W237" s="137">
        <f ca="1"/>
        <v>0</v>
      </c>
      <c r="X237" s="162">
        <f ca="1"/>
        <v>0</v>
      </c>
      <c r="Y237" s="162">
        <f ca="1"/>
        <v>2.4004368954374522E-3</v>
      </c>
      <c r="Z237" s="162">
        <f ca="1"/>
        <v>0</v>
      </c>
      <c r="AA237" s="162">
        <f ca="1"/>
        <v>1.1356885305715547E-2</v>
      </c>
      <c r="AB237" s="162">
        <f ca="1"/>
        <v>0</v>
      </c>
      <c r="AC237" s="162">
        <f ca="1"/>
        <v>2.8626564257759002E-2</v>
      </c>
      <c r="AD237" s="162">
        <f ca="1"/>
        <v>4.8128575589008293E-2</v>
      </c>
      <c r="AE237" s="138">
        <f ca="1"/>
        <v>9.9333605179385831E-2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2.1321927707718125E-3</v>
      </c>
      <c r="Q238" s="162">
        <f ca="1"/>
        <v>0</v>
      </c>
      <c r="R238" s="162">
        <f ca="1"/>
        <v>9.9286576055345188E-3</v>
      </c>
      <c r="S238" s="162">
        <f ca="1"/>
        <v>0</v>
      </c>
      <c r="T238" s="162">
        <f ca="1"/>
        <v>2.3812402995843418E-2</v>
      </c>
      <c r="U238" s="162">
        <f ca="1"/>
        <v>4.3868143651833225E-2</v>
      </c>
      <c r="V238" s="138">
        <f ca="1"/>
        <v>7.9321555454861525E-2</v>
      </c>
      <c r="W238" s="137">
        <f ca="1"/>
        <v>0</v>
      </c>
      <c r="X238" s="162">
        <f ca="1"/>
        <v>0</v>
      </c>
      <c r="Y238" s="162">
        <f ca="1"/>
        <v>2.3385360725107773E-3</v>
      </c>
      <c r="Z238" s="162">
        <f ca="1"/>
        <v>0</v>
      </c>
      <c r="AA238" s="162">
        <f ca="1"/>
        <v>1.0465498917474503E-2</v>
      </c>
      <c r="AB238" s="162">
        <f ca="1"/>
        <v>0</v>
      </c>
      <c r="AC238" s="162">
        <f ca="1"/>
        <v>2.4670434819277443E-2</v>
      </c>
      <c r="AD238" s="162">
        <f ca="1"/>
        <v>4.5032383931103648E-2</v>
      </c>
      <c r="AE238" s="138">
        <f ca="1"/>
        <v>8.0903047990832255E-2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1.2443273468882854E-3</v>
      </c>
      <c r="Q239" s="162">
        <f ca="1"/>
        <v>0</v>
      </c>
      <c r="R239" s="162">
        <f ca="1"/>
        <v>1.1166877290787691E-2</v>
      </c>
      <c r="S239" s="162">
        <f ca="1"/>
        <v>0</v>
      </c>
      <c r="T239" s="162">
        <f ca="1"/>
        <v>2.2397759880339208E-2</v>
      </c>
      <c r="U239" s="162">
        <f ca="1"/>
        <v>4.3729623108794802E-2</v>
      </c>
      <c r="V239" s="138">
        <f ca="1"/>
        <v>7.9789078048898454E-2</v>
      </c>
      <c r="W239" s="137">
        <f ca="1"/>
        <v>0</v>
      </c>
      <c r="X239" s="162">
        <f ca="1"/>
        <v>0</v>
      </c>
      <c r="Y239" s="162">
        <f ca="1"/>
        <v>1.4508683419441892E-3</v>
      </c>
      <c r="Z239" s="162">
        <f ca="1"/>
        <v>0</v>
      </c>
      <c r="AA239" s="162">
        <f ca="1"/>
        <v>1.1703123152687844E-2</v>
      </c>
      <c r="AB239" s="162">
        <f ca="1"/>
        <v>0</v>
      </c>
      <c r="AC239" s="162">
        <f ca="1"/>
        <v>2.3257096909439334E-2</v>
      </c>
      <c r="AD239" s="162">
        <f ca="1"/>
        <v>4.4893720531691161E-2</v>
      </c>
      <c r="AE239" s="138">
        <f ca="1"/>
        <v>8.1369806614379869E-2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1.9443609404669049E-3</v>
      </c>
      <c r="Q240" s="162">
        <f ca="1"/>
        <v>0</v>
      </c>
      <c r="R240" s="162">
        <f ca="1"/>
        <v>1.1188950083239946E-2</v>
      </c>
      <c r="S240" s="162">
        <f ca="1"/>
        <v>0</v>
      </c>
      <c r="T240" s="162">
        <f ca="1"/>
        <v>2.8202853581002829E-2</v>
      </c>
      <c r="U240" s="162">
        <f ca="1"/>
        <v>5.0527571016142137E-2</v>
      </c>
      <c r="V240" s="138">
        <f ca="1"/>
        <v>8.9608693879078882E-2</v>
      </c>
      <c r="W240" s="137">
        <f ca="1"/>
        <v>0</v>
      </c>
      <c r="X240" s="162">
        <f ca="1"/>
        <v>0</v>
      </c>
      <c r="Y240" s="162">
        <f ca="1"/>
        <v>2.1507467233973232E-3</v>
      </c>
      <c r="Z240" s="162">
        <f ca="1"/>
        <v>0</v>
      </c>
      <c r="AA240" s="162">
        <f ca="1"/>
        <v>1.1725094405876435E-2</v>
      </c>
      <c r="AB240" s="162">
        <f ca="1"/>
        <v>0</v>
      </c>
      <c r="AC240" s="162">
        <f ca="1"/>
        <v>2.905700284369106E-2</v>
      </c>
      <c r="AD240" s="162">
        <f ca="1"/>
        <v>5.1684039783676305E-2</v>
      </c>
      <c r="AE240" s="138">
        <f ca="1"/>
        <v>9.1169909033253727E-2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2.0805941092321145E-3</v>
      </c>
      <c r="Q241" s="162">
        <f ca="1"/>
        <v>0</v>
      </c>
      <c r="R241" s="162">
        <f ca="1"/>
        <v>1.3434226798202942E-2</v>
      </c>
      <c r="S241" s="162">
        <f ca="1"/>
        <v>0</v>
      </c>
      <c r="T241" s="162">
        <f ca="1"/>
        <v>2.4792144458808729E-2</v>
      </c>
      <c r="U241" s="162">
        <f ca="1"/>
        <v>4.1911709612456605E-2</v>
      </c>
      <c r="V241" s="138">
        <f ca="1"/>
        <v>6.6047719813196237E-2</v>
      </c>
      <c r="W241" s="137">
        <f ca="1"/>
        <v>0</v>
      </c>
      <c r="X241" s="162">
        <f ca="1"/>
        <v>0</v>
      </c>
      <c r="Y241" s="162">
        <f ca="1"/>
        <v>2.2869491165278255E-3</v>
      </c>
      <c r="Z241" s="162">
        <f ca="1"/>
        <v>0</v>
      </c>
      <c r="AA241" s="162">
        <f ca="1"/>
        <v>1.3968993601704116E-2</v>
      </c>
      <c r="AB241" s="162">
        <f ca="1"/>
        <v>0</v>
      </c>
      <c r="AC241" s="162">
        <f ca="1"/>
        <v>2.5649022934706944E-2</v>
      </c>
      <c r="AD241" s="162">
        <f ca="1"/>
        <v>4.3076882946124995E-2</v>
      </c>
      <c r="AE241" s="138">
        <f ca="1"/>
        <v>6.7653071404183751E-2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4.2907736998873958E-3</v>
      </c>
      <c r="Q242" s="162">
        <f ca="1"/>
        <v>0</v>
      </c>
      <c r="R242" s="162">
        <f ca="1"/>
        <v>1.9125275300114319E-2</v>
      </c>
      <c r="S242" s="162">
        <f ca="1"/>
        <v>0</v>
      </c>
      <c r="T242" s="162">
        <f ca="1"/>
        <v>4.5939629276322558E-2</v>
      </c>
      <c r="U242" s="162">
        <f ca="1"/>
        <v>7.4937068798856865E-2</v>
      </c>
      <c r="V242" s="138">
        <f ca="1"/>
        <v>0.1204200669653368</v>
      </c>
      <c r="W242" s="137">
        <f ca="1"/>
        <v>0</v>
      </c>
      <c r="X242" s="162">
        <f ca="1"/>
        <v>0</v>
      </c>
      <c r="Y242" s="162">
        <f ca="1"/>
        <v>4.4966021620855834E-3</v>
      </c>
      <c r="Z242" s="162">
        <f ca="1"/>
        <v>0</v>
      </c>
      <c r="AA242" s="162">
        <f ca="1"/>
        <v>1.965614414493444E-2</v>
      </c>
      <c r="AB242" s="162">
        <f ca="1"/>
        <v>0</v>
      </c>
      <c r="AC242" s="162">
        <f ca="1"/>
        <v>4.6775546196519024E-2</v>
      </c>
      <c r="AD242" s="162">
        <f ca="1"/>
        <v>7.6062380828716303E-2</v>
      </c>
      <c r="AE242" s="138">
        <f ca="1"/>
        <v>0.12195513646179501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1.4281590711407999E-3</v>
      </c>
      <c r="Q243" s="162">
        <f ca="1"/>
        <v>0</v>
      </c>
      <c r="R243" s="162">
        <f ca="1"/>
        <v>1.5950090507434234E-2</v>
      </c>
      <c r="S243" s="162">
        <f ca="1"/>
        <v>0</v>
      </c>
      <c r="T243" s="162">
        <f ca="1"/>
        <v>3.7621978426390368E-2</v>
      </c>
      <c r="U243" s="162">
        <f ca="1"/>
        <v>6.6027739596710822E-2</v>
      </c>
      <c r="V243" s="138">
        <f ca="1"/>
        <v>0.11548474163183731</v>
      </c>
      <c r="W243" s="137">
        <f ca="1"/>
        <v>0</v>
      </c>
      <c r="X243" s="162">
        <f ca="1"/>
        <v>0</v>
      </c>
      <c r="Y243" s="162">
        <f ca="1"/>
        <v>1.6346597763609028E-3</v>
      </c>
      <c r="Z243" s="162">
        <f ca="1"/>
        <v>0</v>
      </c>
      <c r="AA243" s="162">
        <f ca="1"/>
        <v>1.6483251082272776E-2</v>
      </c>
      <c r="AB243" s="162">
        <f ca="1"/>
        <v>0</v>
      </c>
      <c r="AC243" s="162">
        <f ca="1"/>
        <v>3.8467340013820794E-2</v>
      </c>
      <c r="AD243" s="162">
        <f ca="1"/>
        <v>6.7164767103939704E-2</v>
      </c>
      <c r="AE243" s="138">
        <f ca="1"/>
        <v>0.11703343667299915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5.1656689546806245E-3</v>
      </c>
      <c r="Q244" s="162">
        <f ca="1"/>
        <v>0</v>
      </c>
      <c r="R244" s="162">
        <f ca="1"/>
        <v>3.3881551205429683E-2</v>
      </c>
      <c r="S244" s="162">
        <f ca="1"/>
        <v>0</v>
      </c>
      <c r="T244" s="162">
        <f ca="1"/>
        <v>7.3279596662767177E-2</v>
      </c>
      <c r="U244" s="162">
        <f ca="1"/>
        <v>0.12015898698666638</v>
      </c>
      <c r="V244" s="138">
        <f ca="1"/>
        <v>0.20613913199412837</v>
      </c>
      <c r="W244" s="137">
        <f ca="1"/>
        <v>0</v>
      </c>
      <c r="X244" s="162">
        <f ca="1"/>
        <v>0</v>
      </c>
      <c r="Y244" s="162">
        <f ca="1"/>
        <v>5.37127407321214E-3</v>
      </c>
      <c r="Z244" s="162">
        <f ca="1"/>
        <v>0</v>
      </c>
      <c r="AA244" s="162">
        <f ca="1"/>
        <v>3.4399996051032056E-2</v>
      </c>
      <c r="AB244" s="162">
        <f ca="1"/>
        <v>0</v>
      </c>
      <c r="AC244" s="162">
        <f ca="1"/>
        <v>7.4084805639836215E-2</v>
      </c>
      <c r="AD244" s="162">
        <f ca="1"/>
        <v>0.12124742153273338</v>
      </c>
      <c r="AE244" s="138">
        <f ca="1"/>
        <v>0.20755144679387882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6.4570635386905773E-3</v>
      </c>
      <c r="Q245" s="162">
        <f ca="1"/>
        <v>0</v>
      </c>
      <c r="R245" s="162">
        <f ca="1"/>
        <v>3.8491079198043843E-2</v>
      </c>
      <c r="S245" s="162">
        <f ca="1"/>
        <v>0</v>
      </c>
      <c r="T245" s="162">
        <f ca="1"/>
        <v>0.10147224413933087</v>
      </c>
      <c r="U245" s="162">
        <f ca="1"/>
        <v>0.15900185481181905</v>
      </c>
      <c r="V245" s="138">
        <f ca="1"/>
        <v>0.25268906578690875</v>
      </c>
      <c r="W245" s="137">
        <f ca="1"/>
        <v>0</v>
      </c>
      <c r="X245" s="162">
        <f ca="1"/>
        <v>0</v>
      </c>
      <c r="Y245" s="162">
        <f ca="1"/>
        <v>6.6623225095179262E-3</v>
      </c>
      <c r="Z245" s="162">
        <f ca="1"/>
        <v>0</v>
      </c>
      <c r="AA245" s="162">
        <f ca="1"/>
        <v>3.900503671510569E-2</v>
      </c>
      <c r="AB245" s="162">
        <f ca="1"/>
        <v>0</v>
      </c>
      <c r="AC245" s="162">
        <f ca="1"/>
        <v>0.10227633517469059</v>
      </c>
      <c r="AD245" s="162">
        <f ca="1"/>
        <v>0.16004803569588633</v>
      </c>
      <c r="AE245" s="138">
        <f ca="1"/>
        <v>0.25402311124797028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1.3207558450848422E-3</v>
      </c>
      <c r="Q246" s="162">
        <f ca="1"/>
        <v>0</v>
      </c>
      <c r="R246" s="162">
        <f ca="1"/>
        <v>7.9526771643269045E-3</v>
      </c>
      <c r="S246" s="162">
        <f ca="1"/>
        <v>0</v>
      </c>
      <c r="T246" s="162">
        <f ca="1"/>
        <v>2.3189487789141872E-2</v>
      </c>
      <c r="U246" s="162">
        <f ca="1"/>
        <v>4.2050917334412796E-2</v>
      </c>
      <c r="V246" s="138">
        <f ca="1"/>
        <v>7.8469363514948265E-2</v>
      </c>
      <c r="W246" s="137">
        <f ca="1"/>
        <v>0</v>
      </c>
      <c r="X246" s="162">
        <f ca="1"/>
        <v>0</v>
      </c>
      <c r="Y246" s="162">
        <f ca="1"/>
        <v>1.5272801297621097E-3</v>
      </c>
      <c r="Z246" s="162">
        <f ca="1"/>
        <v>0</v>
      </c>
      <c r="AA246" s="162">
        <f ca="1"/>
        <v>8.4907423048793396E-3</v>
      </c>
      <c r="AB246" s="162">
        <f ca="1"/>
        <v>0</v>
      </c>
      <c r="AC246" s="162">
        <f ca="1"/>
        <v>2.4048447746450985E-2</v>
      </c>
      <c r="AD246" s="162">
        <f ca="1"/>
        <v>4.3218185726149438E-2</v>
      </c>
      <c r="AE246" s="138">
        <f ca="1"/>
        <v>8.0052684314549927E-2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1.2608529188135043E-3</v>
      </c>
      <c r="Q247" s="162">
        <f ca="1"/>
        <v>0</v>
      </c>
      <c r="R247" s="162">
        <f ca="1"/>
        <v>1.2764632465787851E-2</v>
      </c>
      <c r="S247" s="162">
        <f ca="1"/>
        <v>0</v>
      </c>
      <c r="T247" s="162">
        <f ca="1"/>
        <v>2.4030501283286321E-2</v>
      </c>
      <c r="U247" s="162">
        <f ca="1"/>
        <v>4.4652778084566691E-2</v>
      </c>
      <c r="V247" s="138">
        <f ca="1"/>
        <v>8.6905039535245421E-2</v>
      </c>
      <c r="W247" s="137">
        <f ca="1"/>
        <v>0</v>
      </c>
      <c r="X247" s="162">
        <f ca="1"/>
        <v>0</v>
      </c>
      <c r="Y247" s="162">
        <f ca="1"/>
        <v>1.4673903055525406E-3</v>
      </c>
      <c r="Z247" s="162">
        <f ca="1"/>
        <v>0</v>
      </c>
      <c r="AA247" s="162">
        <f ca="1"/>
        <v>1.3299896525816979E-2</v>
      </c>
      <c r="AB247" s="162">
        <f ca="1"/>
        <v>0</v>
      </c>
      <c r="AC247" s="162">
        <f ca="1"/>
        <v>2.4888326400499761E-2</v>
      </c>
      <c r="AD247" s="162">
        <f ca="1"/>
        <v>4.5815350498692675E-2</v>
      </c>
      <c r="AE247" s="138">
        <f ca="1"/>
        <v>8.8497693827307655E-2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4.8988126378188501E-2</v>
      </c>
      <c r="Q248" s="162">
        <f ca="1"/>
        <v>0</v>
      </c>
      <c r="R248" s="162">
        <f ca="1"/>
        <v>0.12265225429277327</v>
      </c>
      <c r="S248" s="162">
        <f ca="1"/>
        <v>0</v>
      </c>
      <c r="T248" s="162">
        <f ca="1"/>
        <v>0.17213554681833032</v>
      </c>
      <c r="U248" s="162">
        <f ca="1"/>
        <v>0.21994012119962258</v>
      </c>
      <c r="V248" s="138">
        <f ca="1"/>
        <v>0.28277420743797099</v>
      </c>
      <c r="W248" s="137">
        <f ca="1"/>
        <v>0</v>
      </c>
      <c r="X248" s="162">
        <f ca="1"/>
        <v>0</v>
      </c>
      <c r="Y248" s="162">
        <f ca="1"/>
        <v>4.918479146687682E-2</v>
      </c>
      <c r="Z248" s="162">
        <f ca="1"/>
        <v>0</v>
      </c>
      <c r="AA248" s="162">
        <f ca="1"/>
        <v>0.12312789208478259</v>
      </c>
      <c r="AB248" s="162">
        <f ca="1"/>
        <v>0</v>
      </c>
      <c r="AC248" s="162">
        <f ca="1"/>
        <v>0.17285663839010945</v>
      </c>
      <c r="AD248" s="162">
        <f ca="1"/>
        <v>0.22087582320225385</v>
      </c>
      <c r="AE248" s="138">
        <f ca="1"/>
        <v>0.28396858816513515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3.2337092612390039E-3</v>
      </c>
      <c r="Q249" s="162">
        <f ca="1"/>
        <v>0</v>
      </c>
      <c r="R249" s="162">
        <f ca="1"/>
        <v>1.28003411579376E-2</v>
      </c>
      <c r="S249" s="162">
        <f ca="1"/>
        <v>0</v>
      </c>
      <c r="T249" s="162">
        <f ca="1"/>
        <v>2.4300324810578644E-2</v>
      </c>
      <c r="U249" s="162">
        <f ca="1"/>
        <v>4.4117665224259639E-2</v>
      </c>
      <c r="V249" s="138">
        <f ca="1"/>
        <v>7.5350454708387304E-2</v>
      </c>
      <c r="W249" s="137">
        <f ca="1"/>
        <v>0</v>
      </c>
      <c r="X249" s="162">
        <f ca="1"/>
        <v>0</v>
      </c>
      <c r="Y249" s="162">
        <f ca="1"/>
        <v>3.439796092058911E-3</v>
      </c>
      <c r="Z249" s="162">
        <f ca="1"/>
        <v>0</v>
      </c>
      <c r="AA249" s="162">
        <f ca="1"/>
        <v>1.3335369094140792E-2</v>
      </c>
      <c r="AB249" s="162">
        <f ca="1"/>
        <v>0</v>
      </c>
      <c r="AC249" s="162">
        <f ca="1"/>
        <v>2.5157320906703973E-2</v>
      </c>
      <c r="AD249" s="162">
        <f ca="1"/>
        <v>4.5280229814550599E-2</v>
      </c>
      <c r="AE249" s="138">
        <f ca="1"/>
        <v>7.6938913500513739E-2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1.4426163234220191E-3</v>
      </c>
      <c r="Q250" s="162">
        <f ca="1"/>
        <v>0</v>
      </c>
      <c r="R250" s="162">
        <f ca="1"/>
        <v>8.9467145757717859E-3</v>
      </c>
      <c r="S250" s="162">
        <f ca="1"/>
        <v>0</v>
      </c>
      <c r="T250" s="162">
        <f ca="1"/>
        <v>2.3980431294731486E-2</v>
      </c>
      <c r="U250" s="162">
        <f ca="1"/>
        <v>4.6009506664827171E-2</v>
      </c>
      <c r="V250" s="138">
        <f ca="1"/>
        <v>8.8031396165240472E-2</v>
      </c>
      <c r="W250" s="137">
        <f ca="1"/>
        <v>0</v>
      </c>
      <c r="X250" s="162">
        <f ca="1"/>
        <v>0</v>
      </c>
      <c r="Y250" s="162">
        <f ca="1"/>
        <v>1.6491138460213994E-3</v>
      </c>
      <c r="Z250" s="162">
        <f ca="1"/>
        <v>0</v>
      </c>
      <c r="AA250" s="162">
        <f ca="1"/>
        <v>9.4842140142959996E-3</v>
      </c>
      <c r="AB250" s="162">
        <f ca="1"/>
        <v>0</v>
      </c>
      <c r="AC250" s="162">
        <f ca="1"/>
        <v>2.4838600332289462E-2</v>
      </c>
      <c r="AD250" s="162">
        <f ca="1"/>
        <v>4.7171852549127147E-2</v>
      </c>
      <c r="AE250" s="138">
        <f ca="1"/>
        <v>8.9623846299622834E-2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3.9797452767488251E-3</v>
      </c>
      <c r="Q251" s="162">
        <f ca="1"/>
        <v>0</v>
      </c>
      <c r="R251" s="162">
        <f ca="1"/>
        <v>2.5608402917917883E-2</v>
      </c>
      <c r="S251" s="162">
        <f ca="1"/>
        <v>0</v>
      </c>
      <c r="T251" s="162">
        <f ca="1"/>
        <v>5.943276720670021E-2</v>
      </c>
      <c r="U251" s="162">
        <f ca="1"/>
        <v>0.1026778028159413</v>
      </c>
      <c r="V251" s="138">
        <f ca="1"/>
        <v>0.16934457619494558</v>
      </c>
      <c r="W251" s="137">
        <f ca="1"/>
        <v>0</v>
      </c>
      <c r="X251" s="162">
        <f ca="1"/>
        <v>0</v>
      </c>
      <c r="Y251" s="162">
        <f ca="1"/>
        <v>4.18565104206714E-3</v>
      </c>
      <c r="Z251" s="162">
        <f ca="1"/>
        <v>0</v>
      </c>
      <c r="AA251" s="162">
        <f ca="1"/>
        <v>2.6134283887418008E-2</v>
      </c>
      <c r="AB251" s="162">
        <f ca="1"/>
        <v>0</v>
      </c>
      <c r="AC251" s="162">
        <f ca="1"/>
        <v>6.0254021909843636E-2</v>
      </c>
      <c r="AD251" s="162">
        <f ca="1"/>
        <v>0.10378590305712776</v>
      </c>
      <c r="AE251" s="138">
        <f ca="1"/>
        <v>0.17080936296071392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1.2443273468882854E-3</v>
      </c>
      <c r="Q252" s="162">
        <f ca="1"/>
        <v>0</v>
      </c>
      <c r="R252" s="162">
        <f ca="1"/>
        <v>1.5832578301915201E-2</v>
      </c>
      <c r="S252" s="162">
        <f ca="1"/>
        <v>0</v>
      </c>
      <c r="T252" s="162">
        <f ca="1"/>
        <v>3.4058356729815831E-2</v>
      </c>
      <c r="U252" s="162">
        <f ca="1"/>
        <v>5.7135255784767858E-2</v>
      </c>
      <c r="V252" s="138">
        <f ca="1"/>
        <v>9.9406904101252413E-2</v>
      </c>
      <c r="W252" s="137">
        <f ca="1"/>
        <v>0</v>
      </c>
      <c r="X252" s="162">
        <f ca="1"/>
        <v>0</v>
      </c>
      <c r="Y252" s="162">
        <f ca="1"/>
        <v>1.4508683419441892E-3</v>
      </c>
      <c r="Z252" s="162">
        <f ca="1"/>
        <v>0</v>
      </c>
      <c r="AA252" s="162">
        <f ca="1"/>
        <v>1.6365826871179046E-2</v>
      </c>
      <c r="AB252" s="162">
        <f ca="1"/>
        <v>0</v>
      </c>
      <c r="AC252" s="162">
        <f ca="1"/>
        <v>3.49072799639224E-2</v>
      </c>
      <c r="AD252" s="162">
        <f ca="1"/>
        <v>5.8283054192797557E-2</v>
      </c>
      <c r="AE252" s="138">
        <f ca="1"/>
        <v>0.1009768356371864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7.7323458312350546E-4</v>
      </c>
      <c r="Q253" s="162">
        <f ca="1"/>
        <v>0</v>
      </c>
      <c r="R253" s="162">
        <f ca="1"/>
        <v>6.9241310680936419E-3</v>
      </c>
      <c r="S253" s="162">
        <f ca="1"/>
        <v>0</v>
      </c>
      <c r="T253" s="162">
        <f ca="1"/>
        <v>1.7457904179312256E-2</v>
      </c>
      <c r="U253" s="162">
        <f ca="1"/>
        <v>3.8318075332205326E-2</v>
      </c>
      <c r="V253" s="138">
        <f ca="1"/>
        <v>6.2493639865116579E-2</v>
      </c>
      <c r="W253" s="137">
        <f ca="1"/>
        <v>0</v>
      </c>
      <c r="X253" s="162">
        <f ca="1"/>
        <v>0</v>
      </c>
      <c r="Y253" s="162">
        <f ca="1"/>
        <v>9.7987732966098307E-4</v>
      </c>
      <c r="Z253" s="162">
        <f ca="1"/>
        <v>0</v>
      </c>
      <c r="AA253" s="162">
        <f ca="1"/>
        <v>7.4628470043268669E-3</v>
      </c>
      <c r="AB253" s="162">
        <f ca="1"/>
        <v>0</v>
      </c>
      <c r="AC253" s="162">
        <f ca="1"/>
        <v>1.8321886039894597E-2</v>
      </c>
      <c r="AD253" s="162">
        <f ca="1"/>
        <v>3.9489784288774143E-2</v>
      </c>
      <c r="AE253" s="138">
        <f ca="1"/>
        <v>6.4110081368209282E-2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2.243636858633602E-3</v>
      </c>
      <c r="Q254" s="162">
        <f ca="1"/>
        <v>0</v>
      </c>
      <c r="R254" s="162">
        <f ca="1"/>
        <v>7.0770391593687476E-3</v>
      </c>
      <c r="S254" s="162">
        <f ca="1"/>
        <v>0</v>
      </c>
      <c r="T254" s="162">
        <f ca="1"/>
        <v>1.9579001541607632E-2</v>
      </c>
      <c r="U254" s="162">
        <f ca="1"/>
        <v>3.6580214610138495E-2</v>
      </c>
      <c r="V254" s="138">
        <f ca="1"/>
        <v>6.0340419335931039E-2</v>
      </c>
      <c r="W254" s="137">
        <f ca="1"/>
        <v>0</v>
      </c>
      <c r="X254" s="162">
        <f ca="1"/>
        <v>0</v>
      </c>
      <c r="Y254" s="162">
        <f ca="1"/>
        <v>2.4499547857915749E-3</v>
      </c>
      <c r="Z254" s="162">
        <f ca="1"/>
        <v>0</v>
      </c>
      <c r="AA254" s="162">
        <f ca="1"/>
        <v>7.6153889949939213E-3</v>
      </c>
      <c r="AB254" s="162">
        <f ca="1"/>
        <v>0</v>
      </c>
      <c r="AC254" s="162">
        <f ca="1"/>
        <v>2.0440823005427822E-2</v>
      </c>
      <c r="AD254" s="162">
        <f ca="1"/>
        <v>3.7753431839532059E-2</v>
      </c>
      <c r="AE254" s="138">
        <f ca="1"/>
        <v>6.195870839098605E-2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1.4364203835536271E-3</v>
      </c>
      <c r="Q255" s="162">
        <f ca="1"/>
        <v>0</v>
      </c>
      <c r="R255" s="162">
        <f ca="1"/>
        <v>8.4760179396695667E-3</v>
      </c>
      <c r="S255" s="162">
        <f ca="1"/>
        <v>0</v>
      </c>
      <c r="T255" s="162">
        <f ca="1"/>
        <v>2.0861111449422154E-2</v>
      </c>
      <c r="U255" s="162">
        <f ca="1"/>
        <v>4.0291583866827851E-2</v>
      </c>
      <c r="V255" s="138">
        <f ca="1"/>
        <v>8.1859598552056378E-2</v>
      </c>
      <c r="W255" s="137">
        <f ca="1"/>
        <v>0</v>
      </c>
      <c r="X255" s="162">
        <f ca="1"/>
        <v>0</v>
      </c>
      <c r="Y255" s="162">
        <f ca="1"/>
        <v>1.6429192703910633E-3</v>
      </c>
      <c r="Z255" s="162">
        <f ca="1"/>
        <v>0</v>
      </c>
      <c r="AA255" s="162">
        <f ca="1"/>
        <v>9.0137782017315482E-3</v>
      </c>
      <c r="AB255" s="162">
        <f ca="1"/>
        <v>0</v>
      </c>
      <c r="AC255" s="162">
        <f ca="1"/>
        <v>2.1721961424591596E-2</v>
      </c>
      <c r="AD255" s="162">
        <f ca="1"/>
        <v>4.1460468069752565E-2</v>
      </c>
      <c r="AE255" s="138">
        <f ca="1"/>
        <v>8.346201831064437E-2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4.22898000279881E-2</v>
      </c>
      <c r="Q256" s="162">
        <f ca="1"/>
        <v>0</v>
      </c>
      <c r="R256" s="162">
        <f ca="1"/>
        <v>9.7676746052803853E-2</v>
      </c>
      <c r="S256" s="162">
        <f ca="1"/>
        <v>0</v>
      </c>
      <c r="T256" s="162">
        <f ca="1"/>
        <v>0.1274185001798307</v>
      </c>
      <c r="U256" s="162">
        <f ca="1"/>
        <v>0.1654020699728499</v>
      </c>
      <c r="V256" s="138">
        <f ca="1"/>
        <v>0.21115427731500602</v>
      </c>
      <c r="W256" s="137">
        <f ca="1"/>
        <v>0</v>
      </c>
      <c r="X256" s="162">
        <f ca="1"/>
        <v>0</v>
      </c>
      <c r="Y256" s="162">
        <f ca="1"/>
        <v>4.2473305774102355E-2</v>
      </c>
      <c r="Z256" s="162">
        <f ca="1"/>
        <v>0</v>
      </c>
      <c r="AA256" s="162">
        <f ca="1"/>
        <v>9.8166748569024187E-2</v>
      </c>
      <c r="AB256" s="162">
        <f ca="1"/>
        <v>0</v>
      </c>
      <c r="AC256" s="162">
        <f ca="1"/>
        <v>0.12816506029503238</v>
      </c>
      <c r="AD256" s="162">
        <f ca="1"/>
        <v>0.16637519978846305</v>
      </c>
      <c r="AE256" s="138">
        <f ca="1"/>
        <v>0.21249477812941764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2.7717966268674399E-3</v>
      </c>
      <c r="Q257" s="162">
        <f ca="1"/>
        <v>0</v>
      </c>
      <c r="R257" s="162">
        <f ca="1"/>
        <v>1.3848218373400889E-2</v>
      </c>
      <c r="S257" s="162">
        <f ca="1"/>
        <v>0</v>
      </c>
      <c r="T257" s="162">
        <f ca="1"/>
        <v>2.9636655447548899E-2</v>
      </c>
      <c r="U257" s="162">
        <f ca="1"/>
        <v>4.17690701614849E-2</v>
      </c>
      <c r="V257" s="138">
        <f ca="1"/>
        <v>6.0186108778074954E-2</v>
      </c>
      <c r="W257" s="137">
        <f ca="1"/>
        <v>0</v>
      </c>
      <c r="X257" s="162">
        <f ca="1"/>
        <v>0</v>
      </c>
      <c r="Y257" s="162">
        <f ca="1"/>
        <v>2.9779925552461117E-3</v>
      </c>
      <c r="Z257" s="162">
        <f ca="1"/>
        <v>0</v>
      </c>
      <c r="AA257" s="162">
        <f ca="1"/>
        <v>1.4382660192470254E-2</v>
      </c>
      <c r="AB257" s="162">
        <f ca="1"/>
        <v>0</v>
      </c>
      <c r="AC257" s="162">
        <f ca="1"/>
        <v>3.0489181639253071E-2</v>
      </c>
      <c r="AD257" s="162">
        <f ca="1"/>
        <v>4.2933864671592437E-2</v>
      </c>
      <c r="AE257" s="138">
        <f ca="1"/>
        <v>6.1799205951879266E-2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5.8691500542994435E-3</v>
      </c>
      <c r="Q258" s="162">
        <f ca="1"/>
        <v>0</v>
      </c>
      <c r="R258" s="162">
        <f ca="1"/>
        <v>2.3780136680550013E-2</v>
      </c>
      <c r="S258" s="162">
        <f ca="1"/>
        <v>0</v>
      </c>
      <c r="T258" s="162">
        <f ca="1"/>
        <v>6.3012112271232601E-2</v>
      </c>
      <c r="U258" s="162">
        <f ca="1"/>
        <v>0.10413387416138731</v>
      </c>
      <c r="V258" s="138">
        <f ca="1"/>
        <v>0.17493016642925452</v>
      </c>
      <c r="W258" s="137">
        <f ca="1"/>
        <v>0</v>
      </c>
      <c r="X258" s="162">
        <f ca="1"/>
        <v>0</v>
      </c>
      <c r="Y258" s="162">
        <f ca="1"/>
        <v>6.0745691016147463E-3</v>
      </c>
      <c r="Z258" s="162">
        <f ca="1"/>
        <v>0</v>
      </c>
      <c r="AA258" s="162">
        <f ca="1"/>
        <v>2.4307613824278707E-2</v>
      </c>
      <c r="AB258" s="162">
        <f ca="1"/>
        <v>0</v>
      </c>
      <c r="AC258" s="162">
        <f ca="1"/>
        <v>6.3826885403075795E-2</v>
      </c>
      <c r="AD258" s="162">
        <f ca="1"/>
        <v>0.10522015757219083</v>
      </c>
      <c r="AE258" s="138">
        <f ca="1"/>
        <v>0.17639145183777238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2.4355394393336116E-3</v>
      </c>
      <c r="Q259" s="162">
        <f ca="1"/>
        <v>0</v>
      </c>
      <c r="R259" s="162">
        <f ca="1"/>
        <v>1.3980227612859664E-2</v>
      </c>
      <c r="S259" s="162">
        <f ca="1"/>
        <v>0</v>
      </c>
      <c r="T259" s="162">
        <f ca="1"/>
        <v>4.1343359306036387E-2</v>
      </c>
      <c r="U259" s="162">
        <f ca="1"/>
        <v>7.0232352729006631E-2</v>
      </c>
      <c r="V259" s="138">
        <f ca="1"/>
        <v>0.115354269497982</v>
      </c>
      <c r="W259" s="137">
        <f ca="1"/>
        <v>0</v>
      </c>
      <c r="X259" s="162">
        <f ca="1"/>
        <v>0</v>
      </c>
      <c r="Y259" s="162">
        <f ca="1"/>
        <v>2.6418133736858529E-3</v>
      </c>
      <c r="Z259" s="162">
        <f ca="1"/>
        <v>0</v>
      </c>
      <c r="AA259" s="162">
        <f ca="1"/>
        <v>1.4514618496438758E-2</v>
      </c>
      <c r="AB259" s="162">
        <f ca="1"/>
        <v>0</v>
      </c>
      <c r="AC259" s="162">
        <f ca="1"/>
        <v>4.2184073883062001E-2</v>
      </c>
      <c r="AD259" s="162">
        <f ca="1"/>
        <v>7.1365262714658373E-2</v>
      </c>
      <c r="AE259" s="138">
        <f ca="1"/>
        <v>0.1169006897268946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1.1926831876429844E-3</v>
      </c>
      <c r="Q260" s="162">
        <f ca="1"/>
        <v>0</v>
      </c>
      <c r="R260" s="162">
        <f ca="1"/>
        <v>6.3089503926748725E-3</v>
      </c>
      <c r="S260" s="162">
        <f ca="1"/>
        <v>0</v>
      </c>
      <c r="T260" s="162">
        <f ca="1"/>
        <v>1.7938455704552991E-2</v>
      </c>
      <c r="U260" s="162">
        <f ca="1"/>
        <v>3.2613467227015525E-2</v>
      </c>
      <c r="V260" s="138">
        <f ca="1"/>
        <v>6.1003400778739891E-2</v>
      </c>
      <c r="W260" s="137">
        <f ca="1"/>
        <v>0</v>
      </c>
      <c r="X260" s="162">
        <f ca="1"/>
        <v>0</v>
      </c>
      <c r="Y260" s="162">
        <f ca="1"/>
        <v>1.3992354419667397E-3</v>
      </c>
      <c r="Z260" s="162">
        <f ca="1"/>
        <v>0</v>
      </c>
      <c r="AA260" s="162">
        <f ca="1"/>
        <v>6.8479074359973913E-3</v>
      </c>
      <c r="AB260" s="162">
        <f ca="1"/>
        <v>0</v>
      </c>
      <c r="AC260" s="162">
        <f ca="1"/>
        <v>1.8802019708722195E-2</v>
      </c>
      <c r="AD260" s="162">
        <f ca="1"/>
        <v>3.379150622180449E-2</v>
      </c>
      <c r="AE260" s="138">
        <f ca="1"/>
        <v>6.2620137896335581E-2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5.2603178719482502E-3</v>
      </c>
      <c r="Q261" s="162">
        <f ca="1"/>
        <v>0</v>
      </c>
      <c r="R261" s="162">
        <f ca="1"/>
        <v>2.0934956348076961E-2</v>
      </c>
      <c r="S261" s="162">
        <f ca="1"/>
        <v>0</v>
      </c>
      <c r="T261" s="162">
        <f ca="1"/>
        <v>4.3849062483255707E-2</v>
      </c>
      <c r="U261" s="162">
        <f ca="1"/>
        <v>6.7533335031497832E-2</v>
      </c>
      <c r="V261" s="138">
        <f ca="1"/>
        <v>0.10876798137140542</v>
      </c>
      <c r="W261" s="137">
        <f ca="1"/>
        <v>0</v>
      </c>
      <c r="X261" s="162">
        <f ca="1"/>
        <v>0</v>
      </c>
      <c r="Y261" s="162">
        <f ca="1"/>
        <v>5.4658982970872128E-3</v>
      </c>
      <c r="Z261" s="162">
        <f ca="1"/>
        <v>0</v>
      </c>
      <c r="AA261" s="162">
        <f ca="1"/>
        <v>2.1464529714758318E-2</v>
      </c>
      <c r="AB261" s="162">
        <f ca="1"/>
        <v>0</v>
      </c>
      <c r="AC261" s="162">
        <f ca="1"/>
        <v>4.4687291946212682E-2</v>
      </c>
      <c r="AD261" s="162">
        <f ca="1"/>
        <v>6.8666833032268837E-2</v>
      </c>
      <c r="AE261" s="138">
        <f ca="1"/>
        <v>0.11031731473215178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5.0719346532439147E-2</v>
      </c>
      <c r="Q262" s="162">
        <f ca="1"/>
        <v>0</v>
      </c>
      <c r="R262" s="162">
        <f ca="1"/>
        <v>0.12680374621644197</v>
      </c>
      <c r="S262" s="162">
        <f ca="1"/>
        <v>0</v>
      </c>
      <c r="T262" s="162">
        <f ca="1"/>
        <v>0.17774449215753707</v>
      </c>
      <c r="U262" s="162">
        <f ca="1"/>
        <v>0.22684585426124515</v>
      </c>
      <c r="V262" s="138">
        <f ca="1"/>
        <v>0.29122719631125593</v>
      </c>
      <c r="W262" s="137">
        <f ca="1"/>
        <v>0</v>
      </c>
      <c r="X262" s="162">
        <f ca="1"/>
        <v>0</v>
      </c>
      <c r="Y262" s="162">
        <f ca="1"/>
        <v>5.0915653300330099E-2</v>
      </c>
      <c r="Z262" s="162">
        <f ca="1"/>
        <v>0</v>
      </c>
      <c r="AA262" s="162">
        <f ca="1"/>
        <v>0.12727712963939786</v>
      </c>
      <c r="AB262" s="162">
        <f ca="1"/>
        <v>0</v>
      </c>
      <c r="AC262" s="162">
        <f ca="1"/>
        <v>0.17846047366115392</v>
      </c>
      <c r="AD262" s="162">
        <f ca="1"/>
        <v>0.22777284514933971</v>
      </c>
      <c r="AE262" s="138">
        <f ca="1"/>
        <v>0.29240750045739061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9.1209708065768114E-3</v>
      </c>
      <c r="Q263" s="162">
        <f ca="1"/>
        <v>0</v>
      </c>
      <c r="R263" s="162">
        <f ca="1"/>
        <v>4.2372259846457205E-2</v>
      </c>
      <c r="S263" s="162">
        <f ca="1"/>
        <v>0</v>
      </c>
      <c r="T263" s="162">
        <f ca="1"/>
        <v>0.10779770741128192</v>
      </c>
      <c r="U263" s="162">
        <f ca="1"/>
        <v>0.17229640754857922</v>
      </c>
      <c r="V263" s="138">
        <f ca="1"/>
        <v>0.28491545162314047</v>
      </c>
      <c r="W263" s="137">
        <f ca="1"/>
        <v>0</v>
      </c>
      <c r="X263" s="162">
        <f ca="1"/>
        <v>0</v>
      </c>
      <c r="Y263" s="162">
        <f ca="1"/>
        <v>9.325449397716179E-3</v>
      </c>
      <c r="Z263" s="162">
        <f ca="1"/>
        <v>0</v>
      </c>
      <c r="AA263" s="162">
        <f ca="1"/>
        <v>4.2882798836162972E-2</v>
      </c>
      <c r="AB263" s="162">
        <f ca="1"/>
        <v>0</v>
      </c>
      <c r="AC263" s="162">
        <f ca="1"/>
        <v>0.10859618108121927</v>
      </c>
      <c r="AD263" s="162">
        <f ca="1"/>
        <v>0.17332876004382103</v>
      </c>
      <c r="AE263" s="138">
        <f ca="1"/>
        <v>0.28620677078632206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2.6860166091684512E-3</v>
      </c>
      <c r="P264" s="162">
        <f ca="1"/>
        <v>6.0064628846131507E-3</v>
      </c>
      <c r="Q264" s="162">
        <f ca="1"/>
        <v>1.8080894444582274E-2</v>
      </c>
      <c r="R264" s="162">
        <f ca="1"/>
        <v>3.7721499020854199E-2</v>
      </c>
      <c r="S264" s="162">
        <f ca="1"/>
        <v>6.9609258366765014E-2</v>
      </c>
      <c r="T264" s="162">
        <f ca="1"/>
        <v>0.10591350084382967</v>
      </c>
      <c r="U264" s="162">
        <f ca="1"/>
        <v>0.18021721952851533</v>
      </c>
      <c r="V264" s="138">
        <f ca="1"/>
        <v>0.28076653987188771</v>
      </c>
      <c r="W264" s="137">
        <f ca="1"/>
        <v>0</v>
      </c>
      <c r="X264" s="162">
        <f ca="1"/>
        <v>2.8079152929370021E-3</v>
      </c>
      <c r="Y264" s="162">
        <f ca="1"/>
        <v>6.2120926661562992E-3</v>
      </c>
      <c r="Z264" s="162">
        <f ca="1"/>
        <v>1.8448941570113564E-2</v>
      </c>
      <c r="AA264" s="162">
        <f ca="1"/>
        <v>3.824478174864554E-2</v>
      </c>
      <c r="AB264" s="162">
        <f ca="1"/>
        <v>7.0274247641493814E-2</v>
      </c>
      <c r="AC264" s="162">
        <f ca="1"/>
        <v>0.10670853151339721</v>
      </c>
      <c r="AD264" s="162">
        <f ca="1"/>
        <v>0.18124822685531194</v>
      </c>
      <c r="AE264" s="138">
        <f ca="1"/>
        <v>0.28206299734311213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6.5801432288754569E-3</v>
      </c>
      <c r="P265" s="162">
        <f ca="1"/>
        <v>1.1106368059215055E-2</v>
      </c>
      <c r="Q265" s="162">
        <f ca="1"/>
        <v>3.0250826765529037E-2</v>
      </c>
      <c r="R265" s="162">
        <f ca="1"/>
        <v>5.276491086845625E-2</v>
      </c>
      <c r="S265" s="162">
        <f ca="1"/>
        <v>0</v>
      </c>
      <c r="T265" s="162">
        <f ca="1"/>
        <v>0.1074679739611244</v>
      </c>
      <c r="U265" s="162">
        <f ca="1"/>
        <v>0.17289538474540345</v>
      </c>
      <c r="V265" s="138">
        <f ca="1"/>
        <v>0.25350931325869208</v>
      </c>
      <c r="W265" s="137">
        <f ca="1"/>
        <v>0</v>
      </c>
      <c r="X265" s="162">
        <f ca="1"/>
        <v>6.7014474539797142E-3</v>
      </c>
      <c r="Y265" s="162">
        <f ca="1"/>
        <v>1.1310832911681667E-2</v>
      </c>
      <c r="Z265" s="162">
        <f ca="1"/>
        <v>3.0613435151097379E-2</v>
      </c>
      <c r="AA265" s="162">
        <f ca="1"/>
        <v>5.3279088577662281E-2</v>
      </c>
      <c r="AB265" s="162">
        <f ca="1"/>
        <v>0</v>
      </c>
      <c r="AC265" s="162">
        <f ca="1"/>
        <v>0.10826199508549106</v>
      </c>
      <c r="AD265" s="162">
        <f ca="1"/>
        <v>0.17392277319894944</v>
      </c>
      <c r="AE265" s="138">
        <f ca="1"/>
        <v>0.25482777722273586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7.7406436092903874E-3</v>
      </c>
      <c r="Q266" s="162">
        <f ca="1"/>
        <v>0</v>
      </c>
      <c r="R266" s="162">
        <f ca="1"/>
        <v>4.3850384903465267E-2</v>
      </c>
      <c r="S266" s="162">
        <f ca="1"/>
        <v>0</v>
      </c>
      <c r="T266" s="162">
        <f ca="1"/>
        <v>0.10909172250149723</v>
      </c>
      <c r="U266" s="162">
        <f ca="1"/>
        <v>0.16643695051215168</v>
      </c>
      <c r="V266" s="138">
        <f ca="1"/>
        <v>0.26491460118141952</v>
      </c>
      <c r="W266" s="137">
        <f ca="1"/>
        <v>0</v>
      </c>
      <c r="X266" s="162">
        <f ca="1"/>
        <v>0</v>
      </c>
      <c r="Y266" s="162">
        <f ca="1"/>
        <v>7.9455381002633274E-3</v>
      </c>
      <c r="Z266" s="162">
        <f ca="1"/>
        <v>0</v>
      </c>
      <c r="AA266" s="162">
        <f ca="1"/>
        <v>4.4358629912304437E-2</v>
      </c>
      <c r="AB266" s="162">
        <f ca="1"/>
        <v>0</v>
      </c>
      <c r="AC266" s="162">
        <f ca="1"/>
        <v>0.10988959260957143</v>
      </c>
      <c r="AD266" s="162">
        <f ca="1"/>
        <v>0.16747329308444081</v>
      </c>
      <c r="AE266" s="138">
        <f ca="1"/>
        <v>0.26622851224273258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5.6614480750790674E-3</v>
      </c>
      <c r="Q267" s="162">
        <f ca="1"/>
        <v>0</v>
      </c>
      <c r="R267" s="162">
        <f ca="1"/>
        <v>2.7340530635961202E-2</v>
      </c>
      <c r="S267" s="162">
        <f ca="1"/>
        <v>0</v>
      </c>
      <c r="T267" s="162">
        <f ca="1"/>
        <v>6.6778869328777746E-2</v>
      </c>
      <c r="U267" s="162">
        <f ca="1"/>
        <v>0.10554485834140359</v>
      </c>
      <c r="V267" s="138">
        <f ca="1"/>
        <v>0.16554247368686736</v>
      </c>
      <c r="W267" s="137">
        <f ca="1"/>
        <v>0</v>
      </c>
      <c r="X267" s="162">
        <f ca="1"/>
        <v>0</v>
      </c>
      <c r="Y267" s="162">
        <f ca="1"/>
        <v>5.8669226730652113E-3</v>
      </c>
      <c r="Z267" s="162">
        <f ca="1"/>
        <v>0</v>
      </c>
      <c r="AA267" s="162">
        <f ca="1"/>
        <v>2.786512831673249E-2</v>
      </c>
      <c r="AB267" s="162">
        <f ca="1"/>
        <v>0</v>
      </c>
      <c r="AC267" s="162">
        <f ca="1"/>
        <v>6.7589998420820696E-2</v>
      </c>
      <c r="AD267" s="162">
        <f ca="1"/>
        <v>0.10662994879595444</v>
      </c>
      <c r="AE267" s="138">
        <f ca="1"/>
        <v>0.16701003233801648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2.6500968688819571E-3</v>
      </c>
      <c r="Q268" s="162">
        <f ca="1"/>
        <v>0</v>
      </c>
      <c r="R268" s="162">
        <f ca="1"/>
        <v>2.3033825494109039E-2</v>
      </c>
      <c r="S268" s="162">
        <f ca="1"/>
        <v>0</v>
      </c>
      <c r="T268" s="162">
        <f ca="1"/>
        <v>5.2446052722098346E-2</v>
      </c>
      <c r="U268" s="162">
        <f ca="1"/>
        <v>9.4951674783640083E-2</v>
      </c>
      <c r="V268" s="138">
        <f ca="1"/>
        <v>0.16799781083358734</v>
      </c>
      <c r="W268" s="137">
        <f ca="1"/>
        <v>0</v>
      </c>
      <c r="X268" s="162">
        <f ca="1"/>
        <v>0</v>
      </c>
      <c r="Y268" s="162">
        <f ca="1"/>
        <v>2.8563211658015897E-3</v>
      </c>
      <c r="Z268" s="162">
        <f ca="1"/>
        <v>0</v>
      </c>
      <c r="AA268" s="162">
        <f ca="1"/>
        <v>2.3561714590222937E-2</v>
      </c>
      <c r="AB268" s="162">
        <f ca="1"/>
        <v>0</v>
      </c>
      <c r="AC268" s="162">
        <f ca="1"/>
        <v>5.3275780952619534E-2</v>
      </c>
      <c r="AD268" s="162">
        <f ca="1"/>
        <v>9.6047905428532254E-2</v>
      </c>
      <c r="AE268" s="138">
        <f ca="1"/>
        <v>0.16947438893470002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8.5542205552979755E-4</v>
      </c>
      <c r="P269" s="162">
        <f ca="1"/>
        <v>2.9165742819321494E-3</v>
      </c>
      <c r="Q269" s="162">
        <f ca="1"/>
        <v>9.4726643686200429E-3</v>
      </c>
      <c r="R269" s="162">
        <f ca="1"/>
        <v>1.9832401677321698E-2</v>
      </c>
      <c r="S269" s="162">
        <f ca="1"/>
        <v>0</v>
      </c>
      <c r="T269" s="162">
        <f ca="1"/>
        <v>5.0077586969139554E-2</v>
      </c>
      <c r="U269" s="162">
        <f ca="1"/>
        <v>8.6177609511814079E-2</v>
      </c>
      <c r="V269" s="138">
        <f ca="1"/>
        <v>0.14824411434108975</v>
      </c>
      <c r="W269" s="137">
        <f ca="1"/>
        <v>0</v>
      </c>
      <c r="X269" s="162">
        <f ca="1"/>
        <v>9.7756332082132857E-4</v>
      </c>
      <c r="Y269" s="162">
        <f ca="1"/>
        <v>3.122857042286098E-3</v>
      </c>
      <c r="Z269" s="162">
        <f ca="1"/>
        <v>9.8440620589428374E-3</v>
      </c>
      <c r="AA269" s="162">
        <f ca="1"/>
        <v>2.0365297549734707E-2</v>
      </c>
      <c r="AB269" s="162">
        <f ca="1"/>
        <v>0</v>
      </c>
      <c r="AC269" s="162">
        <f ca="1"/>
        <v>5.0910719330417686E-2</v>
      </c>
      <c r="AD269" s="162">
        <f ca="1"/>
        <v>8.7290294453785222E-2</v>
      </c>
      <c r="AE269" s="138">
        <f ca="1"/>
        <v>0.14974543502982407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5.928779327563749E-3</v>
      </c>
      <c r="Q270" s="162">
        <f ca="1"/>
        <v>0</v>
      </c>
      <c r="R270" s="162">
        <f ca="1"/>
        <v>6.1215277610599528E-2</v>
      </c>
      <c r="S270" s="162">
        <f ca="1"/>
        <v>0</v>
      </c>
      <c r="T270" s="162">
        <f ca="1"/>
        <v>9.7978021930552384E-2</v>
      </c>
      <c r="U270" s="162">
        <f ca="1"/>
        <v>0.12530132812030215</v>
      </c>
      <c r="V270" s="138">
        <f ca="1"/>
        <v>0.16635341358745193</v>
      </c>
      <c r="W270" s="137">
        <f ca="1"/>
        <v>0</v>
      </c>
      <c r="X270" s="162">
        <f ca="1"/>
        <v>0</v>
      </c>
      <c r="Y270" s="162">
        <f ca="1"/>
        <v>6.1341823308145305E-3</v>
      </c>
      <c r="Z270" s="162">
        <f ca="1"/>
        <v>0</v>
      </c>
      <c r="AA270" s="162">
        <f ca="1"/>
        <v>6.1729237593641018E-2</v>
      </c>
      <c r="AB270" s="162">
        <f ca="1"/>
        <v>0</v>
      </c>
      <c r="AC270" s="162">
        <f ca="1"/>
        <v>9.8758698849652382E-2</v>
      </c>
      <c r="AD270" s="162">
        <f ca="1"/>
        <v>0.12635696333907498</v>
      </c>
      <c r="AE270" s="138">
        <f ca="1"/>
        <v>0.16778585316225958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4.0518465180341412E-3</v>
      </c>
      <c r="Q271" s="162">
        <f ca="1"/>
        <v>0</v>
      </c>
      <c r="R271" s="162">
        <f ca="1"/>
        <v>2.3556857510724782E-2</v>
      </c>
      <c r="S271" s="162">
        <f ca="1"/>
        <v>0</v>
      </c>
      <c r="T271" s="162">
        <f ca="1"/>
        <v>6.3747554747639379E-2</v>
      </c>
      <c r="U271" s="162">
        <f ca="1"/>
        <v>9.7562999341656687E-2</v>
      </c>
      <c r="V271" s="138">
        <f ca="1"/>
        <v>0.15665007017709931</v>
      </c>
      <c r="W271" s="137">
        <f ca="1"/>
        <v>0</v>
      </c>
      <c r="X271" s="162">
        <f ca="1"/>
        <v>0</v>
      </c>
      <c r="Y271" s="162">
        <f ca="1"/>
        <v>4.2577344595535749E-3</v>
      </c>
      <c r="Z271" s="162">
        <f ca="1"/>
        <v>0</v>
      </c>
      <c r="AA271" s="162">
        <f ca="1"/>
        <v>2.4084420727229605E-2</v>
      </c>
      <c r="AB271" s="162">
        <f ca="1"/>
        <v>0</v>
      </c>
      <c r="AC271" s="162">
        <f ca="1"/>
        <v>6.4561711475531025E-2</v>
      </c>
      <c r="AD271" s="162">
        <f ca="1"/>
        <v>9.8661326930857496E-2</v>
      </c>
      <c r="AE271" s="138">
        <f ca="1"/>
        <v>0.15813226456033247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4.1280622127981559E-3</v>
      </c>
      <c r="Q272" s="162">
        <f ca="1"/>
        <v>0</v>
      </c>
      <c r="R272" s="162">
        <f ca="1"/>
        <v>1.9061782797393789E-2</v>
      </c>
      <c r="S272" s="162">
        <f ca="1"/>
        <v>0</v>
      </c>
      <c r="T272" s="162">
        <f ca="1"/>
        <v>4.4453403167094896E-2</v>
      </c>
      <c r="U272" s="162">
        <f ca="1"/>
        <v>8.4419391548410383E-2</v>
      </c>
      <c r="V272" s="138">
        <f ca="1"/>
        <v>0.15226555572899436</v>
      </c>
      <c r="W272" s="137">
        <f ca="1"/>
        <v>0</v>
      </c>
      <c r="X272" s="162">
        <f ca="1"/>
        <v>0</v>
      </c>
      <c r="Y272" s="162">
        <f ca="1"/>
        <v>4.3339312504252492E-3</v>
      </c>
      <c r="Z272" s="162">
        <f ca="1"/>
        <v>0</v>
      </c>
      <c r="AA272" s="162">
        <f ca="1"/>
        <v>1.959270019977688E-2</v>
      </c>
      <c r="AB272" s="162">
        <f ca="1"/>
        <v>0</v>
      </c>
      <c r="AC272" s="162">
        <f ca="1"/>
        <v>4.5291039514294362E-2</v>
      </c>
      <c r="AD272" s="162">
        <f ca="1"/>
        <v>8.552957585266252E-2</v>
      </c>
      <c r="AE272" s="138">
        <f ca="1"/>
        <v>0.15376568780649535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4.500817970557458E-3</v>
      </c>
      <c r="Q273" s="162">
        <f ca="1"/>
        <v>0</v>
      </c>
      <c r="R273" s="162">
        <f ca="1"/>
        <v>2.1685380740576243E-2</v>
      </c>
      <c r="S273" s="162">
        <f ca="1"/>
        <v>0</v>
      </c>
      <c r="T273" s="162">
        <f ca="1"/>
        <v>4.8733813518512581E-2</v>
      </c>
      <c r="U273" s="162">
        <f ca="1"/>
        <v>7.3721100655993466E-2</v>
      </c>
      <c r="V273" s="138">
        <f ca="1"/>
        <v>0.12021915249794457</v>
      </c>
      <c r="W273" s="137">
        <f ca="1"/>
        <v>0</v>
      </c>
      <c r="X273" s="162">
        <f ca="1"/>
        <v>0</v>
      </c>
      <c r="Y273" s="162">
        <f ca="1"/>
        <v>4.706593612326393E-3</v>
      </c>
      <c r="Z273" s="162">
        <f ca="1"/>
        <v>0</v>
      </c>
      <c r="AA273" s="162">
        <f ca="1"/>
        <v>2.2214402136553013E-2</v>
      </c>
      <c r="AB273" s="162">
        <f ca="1"/>
        <v>0</v>
      </c>
      <c r="AC273" s="162">
        <f ca="1"/>
        <v>4.9567002952992212E-2</v>
      </c>
      <c r="AD273" s="162">
        <f ca="1"/>
        <v>7.4847827432596215E-2</v>
      </c>
      <c r="AE273" s="138">
        <f ca="1"/>
        <v>0.12175261380328439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1.2218083715535011E-3</v>
      </c>
      <c r="P274" s="162">
        <f ca="1"/>
        <v>3.3254851217070502E-3</v>
      </c>
      <c r="Q274" s="162">
        <f ca="1"/>
        <v>9.0634591549407784E-3</v>
      </c>
      <c r="R274" s="162">
        <f ca="1"/>
        <v>1.7002135659343165E-2</v>
      </c>
      <c r="S274" s="162">
        <f ca="1"/>
        <v>0</v>
      </c>
      <c r="T274" s="162">
        <f ca="1"/>
        <v>4.6612669242699578E-2</v>
      </c>
      <c r="U274" s="162">
        <f ca="1"/>
        <v>7.7621360012489427E-2</v>
      </c>
      <c r="V274" s="138">
        <f ca="1"/>
        <v>0.12368926045914519</v>
      </c>
      <c r="W274" s="137">
        <f ca="1"/>
        <v>0</v>
      </c>
      <c r="X274" s="162">
        <f ca="1"/>
        <v>1.3439027343919996E-3</v>
      </c>
      <c r="Y274" s="162">
        <f ca="1"/>
        <v>3.5316698874642283E-3</v>
      </c>
      <c r="Z274" s="162">
        <f ca="1"/>
        <v>9.4349148066096289E-3</v>
      </c>
      <c r="AA274" s="162">
        <f ca="1"/>
        <v>1.7536179093294302E-2</v>
      </c>
      <c r="AB274" s="162">
        <f ca="1"/>
        <v>0</v>
      </c>
      <c r="AC274" s="162">
        <f ca="1"/>
        <v>4.7449002595405965E-2</v>
      </c>
      <c r="AD274" s="162">
        <f ca="1"/>
        <v>7.874588894563872E-2</v>
      </c>
      <c r="AE274" s="138">
        <f ca="1"/>
        <v>0.12522113120654155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7.7262765902966768E-3</v>
      </c>
      <c r="Q275" s="162">
        <f ca="1"/>
        <v>0</v>
      </c>
      <c r="R275" s="162">
        <f ca="1"/>
        <v>4.0586521860531466E-2</v>
      </c>
      <c r="S275" s="162">
        <f ca="1"/>
        <v>0</v>
      </c>
      <c r="T275" s="162">
        <f ca="1"/>
        <v>0.13180468499846276</v>
      </c>
      <c r="U275" s="162">
        <f ca="1"/>
        <v>0.2026564489523357</v>
      </c>
      <c r="V275" s="138">
        <f ca="1"/>
        <v>0.2998425829044441</v>
      </c>
      <c r="W275" s="137">
        <f ca="1"/>
        <v>0</v>
      </c>
      <c r="X275" s="162">
        <f ca="1"/>
        <v>0</v>
      </c>
      <c r="Y275" s="162">
        <f ca="1"/>
        <v>7.8798777847397528E-3</v>
      </c>
      <c r="Z275" s="162">
        <f ca="1"/>
        <v>0</v>
      </c>
      <c r="AA275" s="162">
        <f ca="1"/>
        <v>4.0967999721729487E-2</v>
      </c>
      <c r="AB275" s="162">
        <f ca="1"/>
        <v>0</v>
      </c>
      <c r="AC275" s="162">
        <f ca="1"/>
        <v>0.13239411317917071</v>
      </c>
      <c r="AD275" s="162">
        <f ca="1"/>
        <v>0.20340913993663901</v>
      </c>
      <c r="AE275" s="138">
        <f ca="1"/>
        <v>0.3007852714974637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2.2664055559760143E-2</v>
      </c>
      <c r="P276" s="162">
        <f ca="1"/>
        <v>3.8037245860424007E-2</v>
      </c>
      <c r="Q276" s="162">
        <f ca="1"/>
        <v>6.2339106531092092E-2</v>
      </c>
      <c r="R276" s="162">
        <f ca="1"/>
        <v>8.5075142327156628E-2</v>
      </c>
      <c r="S276" s="162">
        <f ca="1"/>
        <v>0</v>
      </c>
      <c r="T276" s="162">
        <f ca="1"/>
        <v>0.12159658369317328</v>
      </c>
      <c r="U276" s="162">
        <f ca="1"/>
        <v>0.16472732577328397</v>
      </c>
      <c r="V276" s="138">
        <f ca="1"/>
        <v>0.22558220373760118</v>
      </c>
      <c r="W276" s="137">
        <f ca="1"/>
        <v>0</v>
      </c>
      <c r="X276" s="162">
        <f ca="1"/>
        <v>2.2781187577515238E-2</v>
      </c>
      <c r="Y276" s="162">
        <f ca="1"/>
        <v>3.8235544097670493E-2</v>
      </c>
      <c r="Z276" s="162">
        <f ca="1"/>
        <v>6.2686254399808794E-2</v>
      </c>
      <c r="AA276" s="162">
        <f ca="1"/>
        <v>8.5567174171982119E-2</v>
      </c>
      <c r="AB276" s="162">
        <f ca="1"/>
        <v>0</v>
      </c>
      <c r="AC276" s="162">
        <f ca="1"/>
        <v>0.12232828162359155</v>
      </c>
      <c r="AD276" s="162">
        <f ca="1"/>
        <v>0.16574199982553117</v>
      </c>
      <c r="AE276" s="138">
        <f ca="1"/>
        <v>0.22691300981934648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1.0459170703230769E-2</v>
      </c>
      <c r="P277" s="162">
        <f ca="1"/>
        <v>1.7629615774359508E-2</v>
      </c>
      <c r="Q277" s="162">
        <f ca="1"/>
        <v>3.1706663461943285E-2</v>
      </c>
      <c r="R277" s="162">
        <f ca="1"/>
        <v>4.7131122015882765E-2</v>
      </c>
      <c r="S277" s="162">
        <f ca="1"/>
        <v>0</v>
      </c>
      <c r="T277" s="162">
        <f ca="1"/>
        <v>8.0716853103636188E-2</v>
      </c>
      <c r="U277" s="162">
        <f ca="1"/>
        <v>0.10957598921197231</v>
      </c>
      <c r="V277" s="138">
        <f ca="1"/>
        <v>0.1512182299283501</v>
      </c>
      <c r="W277" s="137">
        <f ca="1"/>
        <v>0</v>
      </c>
      <c r="X277" s="162">
        <f ca="1"/>
        <v>1.0579752607092208E-2</v>
      </c>
      <c r="Y277" s="162">
        <f ca="1"/>
        <v>1.7832661090168012E-2</v>
      </c>
      <c r="Z277" s="162">
        <f ca="1"/>
        <v>3.2068428969703522E-2</v>
      </c>
      <c r="AA277" s="162">
        <f ca="1"/>
        <v>4.7647111577876489E-2</v>
      </c>
      <c r="AB277" s="162">
        <f ca="1"/>
        <v>0</v>
      </c>
      <c r="AC277" s="162">
        <f ca="1"/>
        <v>8.1514663915040697E-2</v>
      </c>
      <c r="AD277" s="162">
        <f ca="1"/>
        <v>0.11065106315765827</v>
      </c>
      <c r="AE277" s="138">
        <f ca="1"/>
        <v>0.152680660373961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5.4516460834601599E-3</v>
      </c>
      <c r="Q278" s="162">
        <f ca="1"/>
        <v>0</v>
      </c>
      <c r="R278" s="162">
        <f ca="1"/>
        <v>2.1687492177450252E-2</v>
      </c>
      <c r="S278" s="162">
        <f ca="1"/>
        <v>0</v>
      </c>
      <c r="T278" s="162">
        <f ca="1"/>
        <v>4.5407593615426234E-2</v>
      </c>
      <c r="U278" s="162">
        <f ca="1"/>
        <v>6.9917043835365011E-2</v>
      </c>
      <c r="V278" s="138">
        <f ca="1"/>
        <v>0.11252508001029438</v>
      </c>
      <c r="W278" s="137">
        <f ca="1"/>
        <v>0</v>
      </c>
      <c r="X278" s="162">
        <f ca="1"/>
        <v>0</v>
      </c>
      <c r="Y278" s="162">
        <f ca="1"/>
        <v>5.6571762699165751E-3</v>
      </c>
      <c r="Z278" s="162">
        <f ca="1"/>
        <v>0</v>
      </c>
      <c r="AA278" s="162">
        <f ca="1"/>
        <v>2.2216521806846745E-2</v>
      </c>
      <c r="AB278" s="162">
        <f ca="1"/>
        <v>0</v>
      </c>
      <c r="AC278" s="162">
        <f ca="1"/>
        <v>4.6244202799995304E-2</v>
      </c>
      <c r="AD278" s="162">
        <f ca="1"/>
        <v>7.1047518879074456E-2</v>
      </c>
      <c r="AE278" s="138">
        <f ca="1"/>
        <v>0.11406873671506101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1.4659915911424681E-3</v>
      </c>
      <c r="P279" s="162">
        <f ca="1"/>
        <v>3.5280379713817922E-3</v>
      </c>
      <c r="Q279" s="162">
        <f ca="1"/>
        <v>1.0579428286480952E-2</v>
      </c>
      <c r="R279" s="162">
        <f ca="1"/>
        <v>1.9168577927210606E-2</v>
      </c>
      <c r="S279" s="162">
        <f ca="1"/>
        <v>0</v>
      </c>
      <c r="T279" s="162">
        <f ca="1"/>
        <v>3.9885957499769531E-2</v>
      </c>
      <c r="U279" s="162">
        <f ca="1"/>
        <v>6.355376093132703E-2</v>
      </c>
      <c r="V279" s="138">
        <f ca="1"/>
        <v>0.10710548148327659</v>
      </c>
      <c r="W279" s="137">
        <f ca="1"/>
        <v>0</v>
      </c>
      <c r="X279" s="162">
        <f ca="1"/>
        <v>1.5880542518309504E-3</v>
      </c>
      <c r="Y279" s="162">
        <f ca="1"/>
        <v>3.7341681496788626E-3</v>
      </c>
      <c r="Z279" s="162">
        <f ca="1"/>
        <v>1.0950356877212686E-2</v>
      </c>
      <c r="AA279" s="162">
        <f ca="1"/>
        <v>1.9701509402028861E-2</v>
      </c>
      <c r="AB279" s="162">
        <f ca="1"/>
        <v>0</v>
      </c>
      <c r="AC279" s="162">
        <f ca="1"/>
        <v>4.0729461682706081E-2</v>
      </c>
      <c r="AD279" s="162">
        <f ca="1"/>
        <v>6.4693815743390171E-2</v>
      </c>
      <c r="AE279" s="138">
        <f ca="1"/>
        <v>0.1086610917820009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1.343907411974099E-3</v>
      </c>
      <c r="P280" s="162">
        <f ca="1"/>
        <v>3.1120174454799532E-3</v>
      </c>
      <c r="Q280" s="162">
        <f ca="1"/>
        <v>7.1518451464990251E-3</v>
      </c>
      <c r="R280" s="162">
        <f ca="1"/>
        <v>1.4273650273113003E-2</v>
      </c>
      <c r="S280" s="162">
        <f ca="1"/>
        <v>0</v>
      </c>
      <c r="T280" s="162">
        <f ca="1"/>
        <v>3.3995938201674347E-2</v>
      </c>
      <c r="U280" s="162">
        <f ca="1"/>
        <v>5.8221066557740841E-2</v>
      </c>
      <c r="V280" s="138">
        <f ca="1"/>
        <v>9.9708116533981817E-2</v>
      </c>
      <c r="W280" s="137">
        <f ca="1"/>
        <v>0</v>
      </c>
      <c r="X280" s="162">
        <f ca="1"/>
        <v>1.46598596771641E-3</v>
      </c>
      <c r="Y280" s="162">
        <f ca="1"/>
        <v>3.3182228756319931E-3</v>
      </c>
      <c r="Z280" s="162">
        <f ca="1"/>
        <v>7.5238938807874467E-3</v>
      </c>
      <c r="AA280" s="162">
        <f ca="1"/>
        <v>1.4809036947355136E-2</v>
      </c>
      <c r="AB280" s="162">
        <f ca="1"/>
        <v>0</v>
      </c>
      <c r="AC280" s="162">
        <f ca="1"/>
        <v>3.4845292575080622E-2</v>
      </c>
      <c r="AD280" s="162">
        <f ca="1"/>
        <v>5.9368911974148064E-2</v>
      </c>
      <c r="AE280" s="138">
        <f ca="1"/>
        <v>0.10127792374583822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1.343907411974099E-3</v>
      </c>
      <c r="P281" s="162">
        <f ca="1"/>
        <v>3.3218568499966405E-3</v>
      </c>
      <c r="Q281" s="162">
        <f ca="1"/>
        <v>7.5276271398995176E-3</v>
      </c>
      <c r="R281" s="162">
        <f ca="1"/>
        <v>1.5378222666851848E-2</v>
      </c>
      <c r="S281" s="162">
        <f ca="1"/>
        <v>0</v>
      </c>
      <c r="T281" s="162">
        <f ca="1"/>
        <v>3.4809381400196959E-2</v>
      </c>
      <c r="U281" s="162">
        <f ca="1"/>
        <v>5.6677540075330879E-2</v>
      </c>
      <c r="V281" s="138">
        <f ca="1"/>
        <v>9.7745754010532648E-2</v>
      </c>
      <c r="W281" s="137">
        <f ca="1"/>
        <v>0</v>
      </c>
      <c r="X281" s="162">
        <f ca="1"/>
        <v>1.46598596771641E-3</v>
      </c>
      <c r="Y281" s="162">
        <f ca="1"/>
        <v>3.5280303506294297E-3</v>
      </c>
      <c r="Z281" s="162">
        <f ca="1"/>
        <v>7.8995426254627743E-3</v>
      </c>
      <c r="AA281" s="162">
        <f ca="1"/>
        <v>1.5913087971175743E-2</v>
      </c>
      <c r="AB281" s="162">
        <f ca="1"/>
        <v>0</v>
      </c>
      <c r="AC281" s="162">
        <f ca="1"/>
        <v>3.5657960662383803E-2</v>
      </c>
      <c r="AD281" s="162">
        <f ca="1"/>
        <v>5.7826859475552994E-2</v>
      </c>
      <c r="AE281" s="138">
        <f ca="1"/>
        <v>9.9317420853589966E-2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1.9299108871592141E-3</v>
      </c>
      <c r="Q282" s="162">
        <f ca="1"/>
        <v>0</v>
      </c>
      <c r="R282" s="162">
        <f ca="1"/>
        <v>1.242365307799087E-2</v>
      </c>
      <c r="S282" s="162">
        <f ca="1"/>
        <v>0</v>
      </c>
      <c r="T282" s="162">
        <f ca="1"/>
        <v>3.193493073490361E-2</v>
      </c>
      <c r="U282" s="162">
        <f ca="1"/>
        <v>5.5923364821012012E-2</v>
      </c>
      <c r="V282" s="138">
        <f ca="1"/>
        <v>9.4468959802083363E-2</v>
      </c>
      <c r="W282" s="137">
        <f ca="1"/>
        <v>0</v>
      </c>
      <c r="X282" s="162">
        <f ca="1"/>
        <v>0</v>
      </c>
      <c r="Y282" s="162">
        <f ca="1"/>
        <v>2.1362999233969227E-3</v>
      </c>
      <c r="Z282" s="162">
        <f ca="1"/>
        <v>0</v>
      </c>
      <c r="AA282" s="162">
        <f ca="1"/>
        <v>1.2959059991481392E-2</v>
      </c>
      <c r="AB282" s="162">
        <f ca="1"/>
        <v>0</v>
      </c>
      <c r="AC282" s="162">
        <f ca="1"/>
        <v>3.2785575821071444E-2</v>
      </c>
      <c r="AD282" s="162">
        <f ca="1"/>
        <v>5.7073363779387654E-2</v>
      </c>
      <c r="AE282" s="138">
        <f ca="1"/>
        <v>9.6021578701944277E-2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9.7756569606266552E-4</v>
      </c>
      <c r="P283" s="162">
        <f ca="1"/>
        <v>2.0732126658604688E-3</v>
      </c>
      <c r="Q283" s="162">
        <f ca="1"/>
        <v>7.1998592894253477E-3</v>
      </c>
      <c r="R283" s="162">
        <f ca="1"/>
        <v>1.3191186304058355E-2</v>
      </c>
      <c r="S283" s="162">
        <f ca="1"/>
        <v>0</v>
      </c>
      <c r="T283" s="162">
        <f ca="1"/>
        <v>3.413251732847955E-2</v>
      </c>
      <c r="U283" s="162">
        <f ca="1"/>
        <v>5.5699517721388703E-2</v>
      </c>
      <c r="V283" s="138">
        <f ca="1"/>
        <v>9.4431114177188413E-2</v>
      </c>
      <c r="W283" s="137">
        <f ca="1"/>
        <v>0</v>
      </c>
      <c r="X283" s="162">
        <f ca="1"/>
        <v>1.0996914127785473E-3</v>
      </c>
      <c r="Y283" s="162">
        <f ca="1"/>
        <v>2.2796106631310931E-3</v>
      </c>
      <c r="Z283" s="162">
        <f ca="1"/>
        <v>7.5720296362988826E-3</v>
      </c>
      <c r="AA283" s="162">
        <f ca="1"/>
        <v>1.3727178741975932E-2</v>
      </c>
      <c r="AB283" s="162">
        <f ca="1"/>
        <v>0</v>
      </c>
      <c r="AC283" s="162">
        <f ca="1"/>
        <v>3.4981824894018465E-2</v>
      </c>
      <c r="AD283" s="162">
        <f ca="1"/>
        <v>5.6850839609340342E-2</v>
      </c>
      <c r="AE283" s="138">
        <f ca="1"/>
        <v>9.5985445488899201E-2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6.0652356015000741E-4</v>
      </c>
      <c r="O284" s="162">
        <f ca="1"/>
        <v>9.1650776328700001E-4</v>
      </c>
      <c r="P284" s="162">
        <f ca="1"/>
        <v>2.0224985613536139E-3</v>
      </c>
      <c r="Q284" s="162">
        <f ca="1"/>
        <v>4.5177809467100705E-3</v>
      </c>
      <c r="R284" s="162">
        <f ca="1"/>
        <v>9.5013793825770021E-3</v>
      </c>
      <c r="S284" s="162">
        <f ca="1"/>
        <v>1.5225805686971738E-2</v>
      </c>
      <c r="T284" s="162">
        <f ca="1"/>
        <v>2.230456163632788E-2</v>
      </c>
      <c r="U284" s="162">
        <f ca="1"/>
        <v>4.163212624762358E-2</v>
      </c>
      <c r="V284" s="138">
        <f ca="1"/>
        <v>7.2599590584893958E-2</v>
      </c>
      <c r="W284" s="137">
        <f ca="1"/>
        <v>6.6715502590375397E-4</v>
      </c>
      <c r="X284" s="162">
        <f ca="1"/>
        <v>1.0081121971008411E-3</v>
      </c>
      <c r="Y284" s="162">
        <f ca="1"/>
        <v>2.1773123309546394E-3</v>
      </c>
      <c r="Z284" s="162">
        <f ca="1"/>
        <v>4.7975099574117941E-3</v>
      </c>
      <c r="AA284" s="162">
        <f ca="1"/>
        <v>9.9046427703367579E-3</v>
      </c>
      <c r="AB284" s="162">
        <f ca="1"/>
        <v>1.5751467221801096E-2</v>
      </c>
      <c r="AC284" s="162">
        <f ca="1"/>
        <v>2.2950298940895286E-2</v>
      </c>
      <c r="AD284" s="162">
        <f ca="1"/>
        <v>4.2506663951009438E-2</v>
      </c>
      <c r="AE284" s="138">
        <f ca="1"/>
        <v>7.3792718255269341E-2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1.7957219205374519E-3</v>
      </c>
      <c r="Q285" s="162">
        <f ca="1"/>
        <v>0</v>
      </c>
      <c r="R285" s="162">
        <f ca="1"/>
        <v>1.2467537320934752E-2</v>
      </c>
      <c r="S285" s="162">
        <f ca="1"/>
        <v>0</v>
      </c>
      <c r="T285" s="162">
        <f ca="1"/>
        <v>2.9140470475738645E-2</v>
      </c>
      <c r="U285" s="162">
        <f ca="1"/>
        <v>5.2948483416327963E-2</v>
      </c>
      <c r="V285" s="138">
        <f ca="1"/>
        <v>9.3560986513367972E-2</v>
      </c>
      <c r="W285" s="137">
        <f ca="1"/>
        <v>0</v>
      </c>
      <c r="X285" s="162">
        <f ca="1"/>
        <v>0</v>
      </c>
      <c r="Y285" s="162">
        <f ca="1"/>
        <v>2.0021410678524587E-3</v>
      </c>
      <c r="Z285" s="162">
        <f ca="1"/>
        <v>0</v>
      </c>
      <c r="AA285" s="162">
        <f ca="1"/>
        <v>1.3002931963527864E-2</v>
      </c>
      <c r="AB285" s="162">
        <f ca="1"/>
        <v>0</v>
      </c>
      <c r="AC285" s="162">
        <f ca="1"/>
        <v>2.9993784224256914E-2</v>
      </c>
      <c r="AD285" s="162">
        <f ca="1"/>
        <v>5.4101702290485609E-2</v>
      </c>
      <c r="AE285" s="138">
        <f ca="1"/>
        <v>9.5141591039072493E-2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7.3326354287817086E-4</v>
      </c>
      <c r="P286" s="162">
        <f ca="1"/>
        <v>1.660283915222327E-3</v>
      </c>
      <c r="Q286" s="162">
        <f ca="1"/>
        <v>4.9199002870565778E-3</v>
      </c>
      <c r="R286" s="162">
        <f ca="1"/>
        <v>1.0491041593618466E-2</v>
      </c>
      <c r="S286" s="162">
        <f ca="1"/>
        <v>0</v>
      </c>
      <c r="T286" s="162">
        <f ca="1"/>
        <v>2.7979689011091824E-2</v>
      </c>
      <c r="U286" s="162">
        <f ca="1"/>
        <v>5.0084160628890984E-2</v>
      </c>
      <c r="V286" s="138">
        <f ca="1"/>
        <v>8.8646253637557293E-2</v>
      </c>
      <c r="W286" s="137">
        <f ca="1"/>
        <v>0</v>
      </c>
      <c r="X286" s="162">
        <f ca="1"/>
        <v>8.5542027225893325E-4</v>
      </c>
      <c r="Y286" s="162">
        <f ca="1"/>
        <v>1.8667679814481364E-3</v>
      </c>
      <c r="Z286" s="162">
        <f ca="1"/>
        <v>5.2928224338870677E-3</v>
      </c>
      <c r="AA286" s="162">
        <f ca="1"/>
        <v>1.1028465529284937E-2</v>
      </c>
      <c r="AB286" s="162">
        <f ca="1"/>
        <v>0</v>
      </c>
      <c r="AC286" s="162">
        <f ca="1"/>
        <v>2.8835007529255718E-2</v>
      </c>
      <c r="AD286" s="162">
        <f ca="1"/>
        <v>5.124275511242149E-2</v>
      </c>
      <c r="AE286" s="138">
        <f ca="1"/>
        <v>9.0213035738673453E-2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6.110901553602055E-4</v>
      </c>
      <c r="P287" s="162">
        <f ca="1"/>
        <v>1.4537554516381723E-3</v>
      </c>
      <c r="Q287" s="162">
        <f ca="1"/>
        <v>4.930742238746233E-3</v>
      </c>
      <c r="R287" s="162">
        <f ca="1"/>
        <v>9.3682995145348835E-3</v>
      </c>
      <c r="S287" s="162">
        <f ca="1"/>
        <v>0</v>
      </c>
      <c r="T287" s="162">
        <f ca="1"/>
        <v>2.6213178249269942E-2</v>
      </c>
      <c r="U287" s="162">
        <f ca="1"/>
        <v>4.9042372152462987E-2</v>
      </c>
      <c r="V287" s="138">
        <f ca="1"/>
        <v>8.7178557345503949E-2</v>
      </c>
      <c r="W287" s="137">
        <f ca="1"/>
        <v>0</v>
      </c>
      <c r="X287" s="162">
        <f ca="1"/>
        <v>7.3326226528613869E-4</v>
      </c>
      <c r="Y287" s="162">
        <f ca="1"/>
        <v>1.6602825265449317E-3</v>
      </c>
      <c r="Z287" s="162">
        <f ca="1"/>
        <v>5.303695624654603E-3</v>
      </c>
      <c r="AA287" s="162">
        <f ca="1"/>
        <v>9.9061978198106138E-3</v>
      </c>
      <c r="AB287" s="162">
        <f ca="1"/>
        <v>0</v>
      </c>
      <c r="AC287" s="162">
        <f ca="1"/>
        <v>2.7070070415539882E-2</v>
      </c>
      <c r="AD287" s="162">
        <f ca="1"/>
        <v>5.0202401417983045E-2</v>
      </c>
      <c r="AE287" s="138">
        <f ca="1"/>
        <v>8.8748907017922374E-2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8.5542205552979755E-4</v>
      </c>
      <c r="P288" s="162">
        <f ca="1"/>
        <v>1.6567555318549587E-3</v>
      </c>
      <c r="Q288" s="162">
        <f ca="1"/>
        <v>4.9163140677299655E-3</v>
      </c>
      <c r="R288" s="162">
        <f ca="1"/>
        <v>1.1054089561469249E-2</v>
      </c>
      <c r="S288" s="162">
        <f ca="1"/>
        <v>0</v>
      </c>
      <c r="T288" s="162">
        <f ca="1"/>
        <v>2.9793829529492499E-2</v>
      </c>
      <c r="U288" s="162">
        <f ca="1"/>
        <v>4.9839724033135524E-2</v>
      </c>
      <c r="V288" s="138">
        <f ca="1"/>
        <v>8.6445861528642087E-2</v>
      </c>
      <c r="W288" s="137">
        <f ca="1"/>
        <v>0</v>
      </c>
      <c r="X288" s="162">
        <f ca="1"/>
        <v>9.7756332082132857E-4</v>
      </c>
      <c r="Y288" s="162">
        <f ca="1"/>
        <v>1.8632277156690469E-3</v>
      </c>
      <c r="Z288" s="162">
        <f ca="1"/>
        <v>5.2892245738439536E-3</v>
      </c>
      <c r="AA288" s="162">
        <f ca="1"/>
        <v>1.1591278882449041E-2</v>
      </c>
      <c r="AB288" s="162">
        <f ca="1"/>
        <v>0</v>
      </c>
      <c r="AC288" s="162">
        <f ca="1"/>
        <v>3.0647523156981937E-2</v>
      </c>
      <c r="AD288" s="162">
        <f ca="1"/>
        <v>5.0998519243318552E-2</v>
      </c>
      <c r="AE288" s="138">
        <f ca="1"/>
        <v>8.8016394980913626E-2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1.1369045224173258E-3</v>
      </c>
      <c r="Q289" s="162">
        <f ca="1"/>
        <v>0</v>
      </c>
      <c r="R289" s="162">
        <f ca="1"/>
        <v>9.3641127065846597E-3</v>
      </c>
      <c r="S289" s="162">
        <f ca="1"/>
        <v>0</v>
      </c>
      <c r="T289" s="162">
        <f ca="1"/>
        <v>2.4861975941197545E-2</v>
      </c>
      <c r="U289" s="162">
        <f ca="1"/>
        <v>4.9453976943817146E-2</v>
      </c>
      <c r="V289" s="138">
        <f ca="1"/>
        <v>9.0032932748197125E-2</v>
      </c>
      <c r="W289" s="137">
        <f ca="1"/>
        <v>0</v>
      </c>
      <c r="X289" s="162">
        <f ca="1"/>
        <v>0</v>
      </c>
      <c r="Y289" s="162">
        <f ca="1"/>
        <v>1.3434689083426932E-3</v>
      </c>
      <c r="Z289" s="162">
        <f ca="1"/>
        <v>0</v>
      </c>
      <c r="AA289" s="162">
        <f ca="1"/>
        <v>9.9014251651866614E-3</v>
      </c>
      <c r="AB289" s="162">
        <f ca="1"/>
        <v>0</v>
      </c>
      <c r="AC289" s="162">
        <f ca="1"/>
        <v>2.5719440412287464E-2</v>
      </c>
      <c r="AD289" s="162">
        <f ca="1"/>
        <v>5.0612189534784635E-2</v>
      </c>
      <c r="AE289" s="138">
        <f ca="1"/>
        <v>9.1621643846374168E-2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8.5542205552979755E-4</v>
      </c>
      <c r="P290" s="162">
        <f ca="1"/>
        <v>1.8667696501976083E-3</v>
      </c>
      <c r="Q290" s="162">
        <f ca="1"/>
        <v>4.909060144927313E-3</v>
      </c>
      <c r="R290" s="162">
        <f ca="1"/>
        <v>9.9132274796721598E-3</v>
      </c>
      <c r="S290" s="162">
        <f ca="1"/>
        <v>0</v>
      </c>
      <c r="T290" s="162">
        <f ca="1"/>
        <v>2.6148616460915708E-2</v>
      </c>
      <c r="U290" s="162">
        <f ca="1"/>
        <v>4.4963465724892404E-2</v>
      </c>
      <c r="V290" s="138">
        <f ca="1"/>
        <v>7.7880716498944458E-2</v>
      </c>
      <c r="W290" s="137">
        <f ca="1"/>
        <v>0</v>
      </c>
      <c r="X290" s="162">
        <f ca="1"/>
        <v>9.7756332082132857E-4</v>
      </c>
      <c r="Y290" s="162">
        <f ca="1"/>
        <v>2.0732106907078718E-3</v>
      </c>
      <c r="Z290" s="162">
        <f ca="1"/>
        <v>5.2819507088143203E-3</v>
      </c>
      <c r="AA290" s="162">
        <f ca="1"/>
        <v>1.0450837626347242E-2</v>
      </c>
      <c r="AB290" s="162">
        <f ca="1"/>
        <v>0</v>
      </c>
      <c r="AC290" s="162">
        <f ca="1"/>
        <v>2.7005490418607336E-2</v>
      </c>
      <c r="AD290" s="162">
        <f ca="1"/>
        <v>4.612781720285708E-2</v>
      </c>
      <c r="AE290" s="138">
        <f ca="1"/>
        <v>7.9467873988558702E-2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7.3326354287817086E-4</v>
      </c>
      <c r="P291" s="162">
        <f ca="1"/>
        <v>1.4502393929984869E-3</v>
      </c>
      <c r="Q291" s="162">
        <f ca="1"/>
        <v>4.5432215113582197E-3</v>
      </c>
      <c r="R291" s="162">
        <f ca="1"/>
        <v>9.9495616266147557E-3</v>
      </c>
      <c r="S291" s="162">
        <f ca="1"/>
        <v>0</v>
      </c>
      <c r="T291" s="162">
        <f ca="1"/>
        <v>2.5254631607717015E-2</v>
      </c>
      <c r="U291" s="162">
        <f ca="1"/>
        <v>4.3760284071697853E-2</v>
      </c>
      <c r="V291" s="138">
        <f ca="1"/>
        <v>7.8205230613987431E-2</v>
      </c>
      <c r="W291" s="137">
        <f ca="1"/>
        <v>0</v>
      </c>
      <c r="X291" s="162">
        <f ca="1"/>
        <v>8.5542027225893325E-4</v>
      </c>
      <c r="Y291" s="162">
        <f ca="1"/>
        <v>1.6567545382761839E-3</v>
      </c>
      <c r="Z291" s="162">
        <f ca="1"/>
        <v>4.9162758557477204E-3</v>
      </c>
      <c r="AA291" s="162">
        <f ca="1"/>
        <v>1.0487273632856731E-2</v>
      </c>
      <c r="AB291" s="162">
        <f ca="1"/>
        <v>0</v>
      </c>
      <c r="AC291" s="162">
        <f ca="1"/>
        <v>2.6112407709357188E-2</v>
      </c>
      <c r="AD291" s="162">
        <f ca="1"/>
        <v>4.492605878696232E-2</v>
      </c>
      <c r="AE291" s="138">
        <f ca="1"/>
        <v>7.9791527428714759E-2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6.2606441300234517E-2</v>
      </c>
      <c r="Q292" s="162">
        <f ca="1"/>
        <v>0</v>
      </c>
      <c r="R292" s="162">
        <f ca="1"/>
        <v>0.11370246714819265</v>
      </c>
      <c r="S292" s="162">
        <f ca="1"/>
        <v>0</v>
      </c>
      <c r="T292" s="162">
        <f ca="1"/>
        <v>0.14792207421531967</v>
      </c>
      <c r="U292" s="162">
        <f ca="1"/>
        <v>0.180618864169241</v>
      </c>
      <c r="V292" s="138">
        <f ca="1"/>
        <v>0.23220690075883321</v>
      </c>
      <c r="W292" s="137">
        <f ca="1"/>
        <v>0</v>
      </c>
      <c r="X292" s="162">
        <f ca="1"/>
        <v>0</v>
      </c>
      <c r="Y292" s="162">
        <f ca="1"/>
        <v>6.2800287769424479E-2</v>
      </c>
      <c r="Z292" s="162">
        <f ca="1"/>
        <v>0</v>
      </c>
      <c r="AA292" s="162">
        <f ca="1"/>
        <v>0.11417828130737473</v>
      </c>
      <c r="AB292" s="162">
        <f ca="1"/>
        <v>0</v>
      </c>
      <c r="AC292" s="162">
        <f ca="1"/>
        <v>0.14863184337527269</v>
      </c>
      <c r="AD292" s="162">
        <f ca="1"/>
        <v>0.18157425141013139</v>
      </c>
      <c r="AE292" s="138">
        <f ca="1"/>
        <v>0.23348549013715958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5.5472421506483904E-3</v>
      </c>
      <c r="P293" s="162">
        <f ca="1"/>
        <v>1.17255157666043E-2</v>
      </c>
      <c r="Q293" s="162">
        <f ca="1"/>
        <v>2.9696158205308576E-2</v>
      </c>
      <c r="R293" s="162">
        <f ca="1"/>
        <v>5.2922352863451594E-2</v>
      </c>
      <c r="S293" s="162">
        <f ca="1"/>
        <v>0</v>
      </c>
      <c r="T293" s="162">
        <f ca="1"/>
        <v>0.10750559148710881</v>
      </c>
      <c r="U293" s="162">
        <f ca="1"/>
        <v>0.15046184787642791</v>
      </c>
      <c r="V293" s="138">
        <f ca="1"/>
        <v>0.21331625389901365</v>
      </c>
      <c r="W293" s="137">
        <f ca="1"/>
        <v>0</v>
      </c>
      <c r="X293" s="162">
        <f ca="1"/>
        <v>5.6687156014003648E-3</v>
      </c>
      <c r="Y293" s="162">
        <f ca="1"/>
        <v>1.1929958289332632E-2</v>
      </c>
      <c r="Z293" s="162">
        <f ca="1"/>
        <v>3.0059158377902739E-2</v>
      </c>
      <c r="AA293" s="162">
        <f ca="1"/>
        <v>5.3436422744482903E-2</v>
      </c>
      <c r="AB293" s="162">
        <f ca="1"/>
        <v>0</v>
      </c>
      <c r="AC293" s="162">
        <f ca="1"/>
        <v>0.10829968111560762</v>
      </c>
      <c r="AD293" s="162">
        <f ca="1"/>
        <v>0.15150579374258677</v>
      </c>
      <c r="AE293" s="138">
        <f ca="1"/>
        <v>0.21468549761855782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1.237071564448855E-3</v>
      </c>
      <c r="P294" s="162">
        <f ca="1"/>
        <v>3.6187924763837476E-3</v>
      </c>
      <c r="Q294" s="162">
        <f ca="1"/>
        <v>1.0918202748668726E-2</v>
      </c>
      <c r="R294" s="162">
        <f ca="1"/>
        <v>2.2002750224967005E-2</v>
      </c>
      <c r="S294" s="162">
        <f ca="1"/>
        <v>0</v>
      </c>
      <c r="T294" s="162">
        <f ca="1"/>
        <v>4.7937645663780337E-2</v>
      </c>
      <c r="U294" s="162">
        <f ca="1"/>
        <v>7.2945711527717116E-2</v>
      </c>
      <c r="V294" s="138">
        <f ca="1"/>
        <v>0.10705028863598365</v>
      </c>
      <c r="W294" s="137">
        <f ca="1"/>
        <v>0</v>
      </c>
      <c r="X294" s="162">
        <f ca="1"/>
        <v>1.3286412800069813E-3</v>
      </c>
      <c r="Y294" s="162">
        <f ca="1"/>
        <v>3.7733975588721824E-3</v>
      </c>
      <c r="Z294" s="162">
        <f ca="1"/>
        <v>1.1196290774743156E-2</v>
      </c>
      <c r="AA294" s="162">
        <f ca="1"/>
        <v>2.2401421517515563E-2</v>
      </c>
      <c r="AB294" s="162">
        <f ca="1"/>
        <v>0</v>
      </c>
      <c r="AC294" s="162">
        <f ca="1"/>
        <v>4.8562982360138673E-2</v>
      </c>
      <c r="AD294" s="162">
        <f ca="1"/>
        <v>7.3791264111905841E-2</v>
      </c>
      <c r="AE294" s="138">
        <f ca="1"/>
        <v>0.10821213082672443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6.9661308860879956E-4</v>
      </c>
      <c r="P295" s="162">
        <f ca="1"/>
        <v>2.5853444292577299E-3</v>
      </c>
      <c r="Q295" s="162">
        <f ca="1"/>
        <v>7.3821729608661846E-3</v>
      </c>
      <c r="R295" s="162">
        <f ca="1"/>
        <v>1.4699745018161736E-2</v>
      </c>
      <c r="S295" s="162">
        <f ca="1"/>
        <v>0</v>
      </c>
      <c r="T295" s="162">
        <f ca="1"/>
        <v>3.5849872894548218E-2</v>
      </c>
      <c r="U295" s="162">
        <f ca="1"/>
        <v>6.0809567656489483E-2</v>
      </c>
      <c r="V295" s="138">
        <f ca="1"/>
        <v>0.11051126410781043</v>
      </c>
      <c r="W295" s="137">
        <f ca="1"/>
        <v>0</v>
      </c>
      <c r="X295" s="162">
        <f ca="1"/>
        <v>8.1877444087397055E-4</v>
      </c>
      <c r="Y295" s="162">
        <f ca="1"/>
        <v>2.7916931500093778E-3</v>
      </c>
      <c r="Z295" s="162">
        <f ca="1"/>
        <v>7.754270973458155E-3</v>
      </c>
      <c r="AA295" s="162">
        <f ca="1"/>
        <v>1.523507234913124E-2</v>
      </c>
      <c r="AB295" s="162">
        <f ca="1"/>
        <v>0</v>
      </c>
      <c r="AC295" s="162">
        <f ca="1"/>
        <v>3.6697604954802898E-2</v>
      </c>
      <c r="AD295" s="162">
        <f ca="1"/>
        <v>6.1954524492383478E-2</v>
      </c>
      <c r="AE295" s="138">
        <f ca="1"/>
        <v>0.11206811587466714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1.3310835758798545E-3</v>
      </c>
      <c r="Q296" s="162">
        <f ca="1"/>
        <v>0</v>
      </c>
      <c r="R296" s="162">
        <f ca="1"/>
        <v>1.3378296642905574E-2</v>
      </c>
      <c r="S296" s="162">
        <f ca="1"/>
        <v>0</v>
      </c>
      <c r="T296" s="162">
        <f ca="1"/>
        <v>3.0015623269221359E-2</v>
      </c>
      <c r="U296" s="162">
        <f ca="1"/>
        <v>5.4667872527030759E-2</v>
      </c>
      <c r="V296" s="138">
        <f ca="1"/>
        <v>9.4654061099683773E-2</v>
      </c>
      <c r="W296" s="137">
        <f ca="1"/>
        <v>0</v>
      </c>
      <c r="X296" s="162">
        <f ca="1"/>
        <v>0</v>
      </c>
      <c r="Y296" s="162">
        <f ca="1"/>
        <v>1.5376055981117798E-3</v>
      </c>
      <c r="Z296" s="162">
        <f ca="1"/>
        <v>0</v>
      </c>
      <c r="AA296" s="162">
        <f ca="1"/>
        <v>1.3913165902068703E-2</v>
      </c>
      <c r="AB296" s="162">
        <f ca="1"/>
        <v>0</v>
      </c>
      <c r="AC296" s="162">
        <f ca="1"/>
        <v>3.0868267141670014E-2</v>
      </c>
      <c r="AD296" s="162">
        <f ca="1"/>
        <v>5.5818907999186318E-2</v>
      </c>
      <c r="AE296" s="138">
        <f ca="1"/>
        <v>9.6232363542719024E-2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1.289772017536106E-3</v>
      </c>
      <c r="Q297" s="162">
        <f ca="1"/>
        <v>0</v>
      </c>
      <c r="R297" s="162">
        <f ca="1"/>
        <v>1.1567334634961401E-2</v>
      </c>
      <c r="S297" s="162">
        <f ca="1"/>
        <v>0</v>
      </c>
      <c r="T297" s="162">
        <f ca="1"/>
        <v>2.3203016264899068E-2</v>
      </c>
      <c r="U297" s="162">
        <f ca="1"/>
        <v>4.5291122455892507E-2</v>
      </c>
      <c r="V297" s="138">
        <f ca="1"/>
        <v>8.2599834894464874E-2</v>
      </c>
      <c r="W297" s="137">
        <f ca="1"/>
        <v>0</v>
      </c>
      <c r="X297" s="162">
        <f ca="1"/>
        <v>0</v>
      </c>
      <c r="Y297" s="162">
        <f ca="1"/>
        <v>1.4963030834101998E-3</v>
      </c>
      <c r="Z297" s="162">
        <f ca="1"/>
        <v>0</v>
      </c>
      <c r="AA297" s="162">
        <f ca="1"/>
        <v>1.2103334002084187E-2</v>
      </c>
      <c r="AB297" s="162">
        <f ca="1"/>
        <v>0</v>
      </c>
      <c r="AC297" s="162">
        <f ca="1"/>
        <v>2.4061643242609176E-2</v>
      </c>
      <c r="AD297" s="162">
        <f ca="1"/>
        <v>4.6453295519598314E-2</v>
      </c>
      <c r="AE297" s="138">
        <f ca="1"/>
        <v>8.4174949462607396E-2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2.4788672194541173E-3</v>
      </c>
      <c r="Q298" s="162">
        <f ca="1"/>
        <v>0</v>
      </c>
      <c r="R298" s="162">
        <f ca="1"/>
        <v>1.0919789798360835E-2</v>
      </c>
      <c r="S298" s="162">
        <f ca="1"/>
        <v>0</v>
      </c>
      <c r="T298" s="162">
        <f ca="1"/>
        <v>2.6912410800337239E-2</v>
      </c>
      <c r="U298" s="162">
        <f ca="1"/>
        <v>5.022952474937814E-2</v>
      </c>
      <c r="V298" s="138">
        <f ca="1"/>
        <v>9.9212409408052538E-2</v>
      </c>
      <c r="W298" s="137">
        <f ca="1"/>
        <v>0</v>
      </c>
      <c r="X298" s="162">
        <f ca="1"/>
        <v>0</v>
      </c>
      <c r="Y298" s="162">
        <f ca="1"/>
        <v>2.685131168549848E-3</v>
      </c>
      <c r="Z298" s="162">
        <f ca="1"/>
        <v>0</v>
      </c>
      <c r="AA298" s="162">
        <f ca="1"/>
        <v>1.1456016692040993E-2</v>
      </c>
      <c r="AB298" s="162">
        <f ca="1"/>
        <v>0</v>
      </c>
      <c r="AC298" s="162">
        <f ca="1"/>
        <v>2.7767572474019175E-2</v>
      </c>
      <c r="AD298" s="162">
        <f ca="1"/>
        <v>5.138609971228536E-2</v>
      </c>
      <c r="AE298" s="138">
        <f ca="1"/>
        <v>0.1007894116173963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2.4788672194541173E-3</v>
      </c>
      <c r="Q299" s="162">
        <f ca="1"/>
        <v>0</v>
      </c>
      <c r="R299" s="162">
        <f ca="1"/>
        <v>1.0919789798360835E-2</v>
      </c>
      <c r="S299" s="162">
        <f ca="1"/>
        <v>0</v>
      </c>
      <c r="T299" s="162">
        <f ca="1"/>
        <v>2.6912410800337239E-2</v>
      </c>
      <c r="U299" s="162">
        <f ca="1"/>
        <v>5.022952474937814E-2</v>
      </c>
      <c r="V299" s="138">
        <f ca="1"/>
        <v>9.9212409408052538E-2</v>
      </c>
      <c r="W299" s="137">
        <f ca="1"/>
        <v>0</v>
      </c>
      <c r="X299" s="162">
        <f ca="1"/>
        <v>0</v>
      </c>
      <c r="Y299" s="162">
        <f ca="1"/>
        <v>2.685131168549848E-3</v>
      </c>
      <c r="Z299" s="162">
        <f ca="1"/>
        <v>0</v>
      </c>
      <c r="AA299" s="162">
        <f ca="1"/>
        <v>1.1456016692040993E-2</v>
      </c>
      <c r="AB299" s="162">
        <f ca="1"/>
        <v>0</v>
      </c>
      <c r="AC299" s="162">
        <f ca="1"/>
        <v>2.7767572474019175E-2</v>
      </c>
      <c r="AD299" s="162">
        <f ca="1"/>
        <v>5.138609971228536E-2</v>
      </c>
      <c r="AE299" s="138">
        <f ca="1"/>
        <v>0.1007894116173963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1.0088084935325758E-3</v>
      </c>
      <c r="Q300" s="162">
        <f ca="1"/>
        <v>0</v>
      </c>
      <c r="R300" s="162">
        <f ca="1"/>
        <v>1.0759158348665143E-2</v>
      </c>
      <c r="S300" s="162">
        <f ca="1"/>
        <v>0</v>
      </c>
      <c r="T300" s="162">
        <f ca="1"/>
        <v>2.3784259574867184E-2</v>
      </c>
      <c r="U300" s="162">
        <f ca="1"/>
        <v>4.4670667859801116E-2</v>
      </c>
      <c r="V300" s="138">
        <f ca="1"/>
        <v>8.1764102115137405E-2</v>
      </c>
      <c r="W300" s="137">
        <f ca="1"/>
        <v>0</v>
      </c>
      <c r="X300" s="162">
        <f ca="1"/>
        <v>0</v>
      </c>
      <c r="Y300" s="162">
        <f ca="1"/>
        <v>1.2154006255881145E-3</v>
      </c>
      <c r="Z300" s="162">
        <f ca="1"/>
        <v>0</v>
      </c>
      <c r="AA300" s="162">
        <f ca="1"/>
        <v>1.1295676648127362E-2</v>
      </c>
      <c r="AB300" s="162">
        <f ca="1"/>
        <v>0</v>
      </c>
      <c r="AC300" s="162">
        <f ca="1"/>
        <v>2.464258383323692E-2</v>
      </c>
      <c r="AD300" s="162">
        <f ca="1"/>
        <v>4.5834021534767566E-2</v>
      </c>
      <c r="AE300" s="138">
        <f ca="1"/>
        <v>8.3340789564042561E-2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1.4921824705277364E-3</v>
      </c>
      <c r="Q301" s="162">
        <f ca="1"/>
        <v>0</v>
      </c>
      <c r="R301" s="162">
        <f ca="1"/>
        <v>9.8072325442297714E-3</v>
      </c>
      <c r="S301" s="162">
        <f ca="1"/>
        <v>0</v>
      </c>
      <c r="T301" s="162">
        <f ca="1"/>
        <v>2.2907561807968047E-2</v>
      </c>
      <c r="U301" s="162">
        <f ca="1"/>
        <v>4.3784172396057919E-2</v>
      </c>
      <c r="V301" s="138">
        <f ca="1"/>
        <v>7.7883598894390893E-2</v>
      </c>
      <c r="W301" s="137">
        <f ca="1"/>
        <v>0</v>
      </c>
      <c r="X301" s="162">
        <f ca="1"/>
        <v>0</v>
      </c>
      <c r="Y301" s="162">
        <f ca="1"/>
        <v>1.6986690660274473E-3</v>
      </c>
      <c r="Z301" s="162">
        <f ca="1"/>
        <v>0</v>
      </c>
      <c r="AA301" s="162">
        <f ca="1"/>
        <v>1.0344239745531003E-2</v>
      </c>
      <c r="AB301" s="162">
        <f ca="1"/>
        <v>0</v>
      </c>
      <c r="AC301" s="162">
        <f ca="1"/>
        <v>2.3766561336425962E-2</v>
      </c>
      <c r="AD301" s="162">
        <f ca="1"/>
        <v>4.4948682076357271E-2</v>
      </c>
      <c r="AE301" s="138">
        <f ca="1"/>
        <v>7.9468813433594576E-2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7.3326354287817086E-4</v>
      </c>
      <c r="P302" s="162">
        <f ca="1"/>
        <v>1.2401771315383447E-3</v>
      </c>
      <c r="Q302" s="162">
        <f ca="1"/>
        <v>4.5504505888797064E-3</v>
      </c>
      <c r="R302" s="162">
        <f ca="1"/>
        <v>9.9569290399618149E-3</v>
      </c>
      <c r="S302" s="162">
        <f ca="1"/>
        <v>0</v>
      </c>
      <c r="T302" s="162">
        <f ca="1"/>
        <v>2.6193705572339687E-2</v>
      </c>
      <c r="U302" s="162">
        <f ca="1"/>
        <v>4.3670477189940549E-2</v>
      </c>
      <c r="V302" s="138">
        <f ca="1"/>
        <v>8.0078093559716068E-2</v>
      </c>
      <c r="W302" s="137">
        <f ca="1"/>
        <v>0</v>
      </c>
      <c r="X302" s="162">
        <f ca="1"/>
        <v>8.5542027225893325E-4</v>
      </c>
      <c r="Y302" s="162">
        <f ca="1"/>
        <v>1.4467231902479671E-3</v>
      </c>
      <c r="Z302" s="162">
        <f ca="1"/>
        <v>4.9235248350171235E-3</v>
      </c>
      <c r="AA302" s="162">
        <f ca="1"/>
        <v>1.049466491441664E-2</v>
      </c>
      <c r="AB302" s="162">
        <f ca="1"/>
        <v>0</v>
      </c>
      <c r="AC302" s="162">
        <f ca="1"/>
        <v>2.7050704802304093E-2</v>
      </c>
      <c r="AD302" s="162">
        <f ca="1"/>
        <v>4.48363658410178E-2</v>
      </c>
      <c r="AE302" s="138">
        <f ca="1"/>
        <v>8.1660073193048799E-2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1.3476077249920948E-3</v>
      </c>
      <c r="Q303" s="162">
        <f ca="1"/>
        <v>0</v>
      </c>
      <c r="R303" s="162">
        <f ca="1"/>
        <v>1.0261714861636628E-2</v>
      </c>
      <c r="S303" s="162">
        <f ca="1"/>
        <v>0</v>
      </c>
      <c r="T303" s="162">
        <f ca="1"/>
        <v>2.4276836665406254E-2</v>
      </c>
      <c r="U303" s="162">
        <f ca="1"/>
        <v>4.2423753502619177E-2</v>
      </c>
      <c r="V303" s="138">
        <f ca="1"/>
        <v>7.1515696669734674E-2</v>
      </c>
      <c r="W303" s="137">
        <f ca="1"/>
        <v>0</v>
      </c>
      <c r="X303" s="162">
        <f ca="1"/>
        <v>0</v>
      </c>
      <c r="Y303" s="162">
        <f ca="1"/>
        <v>1.5541261251679206E-3</v>
      </c>
      <c r="Z303" s="162">
        <f ca="1"/>
        <v>0</v>
      </c>
      <c r="AA303" s="162">
        <f ca="1"/>
        <v>1.0798481187018205E-2</v>
      </c>
      <c r="AB303" s="162">
        <f ca="1"/>
        <v>0</v>
      </c>
      <c r="AC303" s="162">
        <f ca="1"/>
        <v>2.5134685088725739E-2</v>
      </c>
      <c r="AD303" s="162">
        <f ca="1"/>
        <v>4.3589768753917735E-2</v>
      </c>
      <c r="AE303" s="138">
        <f ca="1"/>
        <v>7.3112602173064922E-2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6.110901553602055E-4</v>
      </c>
      <c r="P304" s="162">
        <f ca="1"/>
        <v>1.0335878456338987E-3</v>
      </c>
      <c r="Q304" s="162">
        <f ca="1"/>
        <v>3.7930663829350841E-3</v>
      </c>
      <c r="R304" s="162">
        <f ca="1"/>
        <v>8.3020372688199506E-3</v>
      </c>
      <c r="S304" s="162">
        <f ca="1"/>
        <v>0</v>
      </c>
      <c r="T304" s="162">
        <f ca="1"/>
        <v>2.3570625826968672E-2</v>
      </c>
      <c r="U304" s="162">
        <f ca="1"/>
        <v>4.14568861314214E-2</v>
      </c>
      <c r="V304" s="138">
        <f ca="1"/>
        <v>7.1091053239704549E-2</v>
      </c>
      <c r="W304" s="137">
        <f ca="1"/>
        <v>0</v>
      </c>
      <c r="X304" s="162">
        <f ca="1"/>
        <v>7.3326226528613869E-4</v>
      </c>
      <c r="Y304" s="162">
        <f ca="1"/>
        <v>1.240176786656666E-3</v>
      </c>
      <c r="Z304" s="162">
        <f ca="1"/>
        <v>4.1663962118132503E-3</v>
      </c>
      <c r="AA304" s="162">
        <f ca="1"/>
        <v>8.8405549407906125E-3</v>
      </c>
      <c r="AB304" s="162">
        <f ca="1"/>
        <v>0</v>
      </c>
      <c r="AC304" s="162">
        <f ca="1"/>
        <v>2.4430051417773102E-2</v>
      </c>
      <c r="AD304" s="162">
        <f ca="1"/>
        <v>4.2625822544439029E-2</v>
      </c>
      <c r="AE304" s="138">
        <f ca="1"/>
        <v>7.269167827935008E-2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4.8890189028605313E-4</v>
      </c>
      <c r="P305" s="162">
        <f ca="1"/>
        <v>1.2471842504704345E-3</v>
      </c>
      <c r="Q305" s="162">
        <f ca="1"/>
        <v>4.1735521878391024E-3</v>
      </c>
      <c r="R305" s="162">
        <f ca="1"/>
        <v>7.713182832153942E-3</v>
      </c>
      <c r="S305" s="162">
        <f ca="1"/>
        <v>0</v>
      </c>
      <c r="T305" s="162">
        <f ca="1"/>
        <v>2.1723473691090622E-2</v>
      </c>
      <c r="U305" s="162">
        <f ca="1"/>
        <v>4.032814462372003E-2</v>
      </c>
      <c r="V305" s="138">
        <f ca="1"/>
        <v>7.3462194379098622E-2</v>
      </c>
      <c r="W305" s="137">
        <f ca="1"/>
        <v>0</v>
      </c>
      <c r="X305" s="162">
        <f ca="1"/>
        <v>6.1108929803876944E-4</v>
      </c>
      <c r="Y305" s="162">
        <f ca="1"/>
        <v>1.4537543170896061E-3</v>
      </c>
      <c r="Z305" s="162">
        <f ca="1"/>
        <v>4.5467618532127885E-3</v>
      </c>
      <c r="AA305" s="162">
        <f ca="1"/>
        <v>8.2518558580824131E-3</v>
      </c>
      <c r="AB305" s="162">
        <f ca="1"/>
        <v>0</v>
      </c>
      <c r="AC305" s="162">
        <f ca="1"/>
        <v>2.2584370007608268E-2</v>
      </c>
      <c r="AD305" s="162">
        <f ca="1"/>
        <v>4.1498387390368929E-2</v>
      </c>
      <c r="AE305" s="138">
        <f ca="1"/>
        <v>7.5058424981489846E-2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8.0010105647876362E-4</v>
      </c>
      <c r="Q306" s="162">
        <f ca="1"/>
        <v>0</v>
      </c>
      <c r="R306" s="162">
        <f ca="1"/>
        <v>7.1718396936182316E-3</v>
      </c>
      <c r="S306" s="162">
        <f ca="1"/>
        <v>0</v>
      </c>
      <c r="T306" s="162">
        <f ca="1"/>
        <v>1.8087525375231395E-2</v>
      </c>
      <c r="U306" s="162">
        <f ca="1"/>
        <v>3.9684392772842636E-2</v>
      </c>
      <c r="V306" s="138">
        <f ca="1"/>
        <v>6.4709303137919671E-2</v>
      </c>
      <c r="W306" s="137">
        <f ca="1"/>
        <v>0</v>
      </c>
      <c r="X306" s="162">
        <f ca="1"/>
        <v>0</v>
      </c>
      <c r="Y306" s="162">
        <f ca="1"/>
        <v>1.0067380574682039E-3</v>
      </c>
      <c r="Z306" s="162">
        <f ca="1"/>
        <v>0</v>
      </c>
      <c r="AA306" s="162">
        <f ca="1"/>
        <v>7.710418395822316E-3</v>
      </c>
      <c r="AB306" s="162">
        <f ca="1"/>
        <v>0</v>
      </c>
      <c r="AC306" s="162">
        <f ca="1"/>
        <v>1.8950967691601206E-2</v>
      </c>
      <c r="AD306" s="162">
        <f ca="1"/>
        <v>4.0854461844083256E-2</v>
      </c>
      <c r="AE306" s="138">
        <f ca="1"/>
        <v>6.6321867230752396E-2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4.8890189028605313E-4</v>
      </c>
      <c r="P307" s="162">
        <f ca="1"/>
        <v>1.8773938384613054E-3</v>
      </c>
      <c r="Q307" s="162">
        <f ca="1"/>
        <v>5.3036602017239032E-3</v>
      </c>
      <c r="R307" s="162">
        <f ca="1"/>
        <v>9.3393544684726715E-3</v>
      </c>
      <c r="S307" s="162">
        <f ca="1"/>
        <v>0</v>
      </c>
      <c r="T307" s="162">
        <f ca="1"/>
        <v>2.2455513474964661E-2</v>
      </c>
      <c r="U307" s="162">
        <f ca="1"/>
        <v>3.6001085316993309E-2</v>
      </c>
      <c r="V307" s="138">
        <f ca="1"/>
        <v>5.9897745167701411E-2</v>
      </c>
      <c r="W307" s="137">
        <f ca="1"/>
        <v>0</v>
      </c>
      <c r="X307" s="162">
        <f ca="1"/>
        <v>6.1108929803876944E-4</v>
      </c>
      <c r="Y307" s="162">
        <f ca="1"/>
        <v>2.0838700494308915E-3</v>
      </c>
      <c r="Z307" s="162">
        <f ca="1"/>
        <v>5.6764732514769101E-3</v>
      </c>
      <c r="AA307" s="162">
        <f ca="1"/>
        <v>9.8771698227257954E-3</v>
      </c>
      <c r="AB307" s="162">
        <f ca="1"/>
        <v>0</v>
      </c>
      <c r="AC307" s="162">
        <f ca="1"/>
        <v>2.3315457318638044E-2</v>
      </c>
      <c r="AD307" s="162">
        <f ca="1"/>
        <v>3.7174954153020079E-2</v>
      </c>
      <c r="AE307" s="138">
        <f ca="1"/>
        <v>6.1516491158503439E-2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6.110901553602055E-4</v>
      </c>
      <c r="P308" s="162">
        <f ca="1"/>
        <v>1.4537554516381723E-3</v>
      </c>
      <c r="Q308" s="162">
        <f ca="1"/>
        <v>4.1627859393597033E-3</v>
      </c>
      <c r="R308" s="162">
        <f ca="1"/>
        <v>8.8369353641674087E-3</v>
      </c>
      <c r="S308" s="162">
        <f ca="1"/>
        <v>0</v>
      </c>
      <c r="T308" s="162">
        <f ca="1"/>
        <v>2.0696569662021158E-2</v>
      </c>
      <c r="U308" s="162">
        <f ca="1"/>
        <v>3.6300515124861543E-2</v>
      </c>
      <c r="V308" s="138">
        <f ca="1"/>
        <v>6.6128950162710032E-2</v>
      </c>
      <c r="W308" s="137">
        <f ca="1"/>
        <v>0</v>
      </c>
      <c r="X308" s="162">
        <f ca="1"/>
        <v>7.3326226528613869E-4</v>
      </c>
      <c r="Y308" s="162">
        <f ca="1"/>
        <v>1.6602825265449317E-3</v>
      </c>
      <c r="Z308" s="162">
        <f ca="1"/>
        <v>4.5359633972557045E-3</v>
      </c>
      <c r="AA308" s="162">
        <f ca="1"/>
        <v>9.3751420219748693E-3</v>
      </c>
      <c r="AB308" s="162">
        <f ca="1"/>
        <v>0</v>
      </c>
      <c r="AC308" s="162">
        <f ca="1"/>
        <v>2.1558192185277436E-2</v>
      </c>
      <c r="AD308" s="162">
        <f ca="1"/>
        <v>3.7474629169330309E-2</v>
      </c>
      <c r="AE308" s="138">
        <f ca="1"/>
        <v>6.7737618869500027E-2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4.8890189028605313E-4</v>
      </c>
      <c r="P309" s="162">
        <f ca="1"/>
        <v>1.0370789035837324E-3</v>
      </c>
      <c r="Q309" s="162">
        <f ca="1"/>
        <v>3.4124141413860443E-3</v>
      </c>
      <c r="R309" s="162">
        <f ca="1"/>
        <v>7.7558786193138163E-3</v>
      </c>
      <c r="S309" s="162">
        <f ca="1"/>
        <v>0</v>
      </c>
      <c r="T309" s="162">
        <f ca="1"/>
        <v>1.8965051318759474E-2</v>
      </c>
      <c r="U309" s="162">
        <f ca="1"/>
        <v>3.5285742640883022E-2</v>
      </c>
      <c r="V309" s="138">
        <f ca="1"/>
        <v>6.0710931773973464E-2</v>
      </c>
      <c r="W309" s="137">
        <f ca="1"/>
        <v>0</v>
      </c>
      <c r="X309" s="162">
        <f ca="1"/>
        <v>6.1108929803876944E-4</v>
      </c>
      <c r="Y309" s="162">
        <f ca="1"/>
        <v>1.243679922386054E-3</v>
      </c>
      <c r="Z309" s="162">
        <f ca="1"/>
        <v>3.7858661246032987E-3</v>
      </c>
      <c r="AA309" s="162">
        <f ca="1"/>
        <v>8.2946704685762374E-3</v>
      </c>
      <c r="AB309" s="162">
        <f ca="1"/>
        <v>0</v>
      </c>
      <c r="AC309" s="162">
        <f ca="1"/>
        <v>1.982830970229188E-2</v>
      </c>
      <c r="AD309" s="162">
        <f ca="1"/>
        <v>3.6461516381914194E-2</v>
      </c>
      <c r="AE309" s="138">
        <f ca="1"/>
        <v>6.2330376913512953E-2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6.110901553602055E-4</v>
      </c>
      <c r="P310" s="162">
        <f ca="1"/>
        <v>1.2436805199068646E-3</v>
      </c>
      <c r="Q310" s="162">
        <f ca="1"/>
        <v>4.5540256936738022E-3</v>
      </c>
      <c r="R310" s="162">
        <f ca="1"/>
        <v>8.8264143414539253E-3</v>
      </c>
      <c r="S310" s="162">
        <f ca="1"/>
        <v>0</v>
      </c>
      <c r="T310" s="162">
        <f ca="1"/>
        <v>2.0685856947469272E-2</v>
      </c>
      <c r="U310" s="162">
        <f ca="1"/>
        <v>3.3601341700960519E-2</v>
      </c>
      <c r="V310" s="138">
        <f ca="1"/>
        <v>5.8572595194095078E-2</v>
      </c>
      <c r="W310" s="137">
        <f ca="1"/>
        <v>0</v>
      </c>
      <c r="X310" s="162">
        <f ca="1"/>
        <v>7.3326226528613869E-4</v>
      </c>
      <c r="Y310" s="162">
        <f ca="1"/>
        <v>1.4502386101516995E-3</v>
      </c>
      <c r="Z310" s="162">
        <f ca="1"/>
        <v>4.9271115877400629E-3</v>
      </c>
      <c r="AA310" s="162">
        <f ca="1"/>
        <v>9.3645992587537696E-3</v>
      </c>
      <c r="AB310" s="162">
        <f ca="1"/>
        <v>0</v>
      </c>
      <c r="AC310" s="162">
        <f ca="1"/>
        <v>2.1547447323699176E-2</v>
      </c>
      <c r="AD310" s="162">
        <f ca="1"/>
        <v>3.4778086991954504E-2</v>
      </c>
      <c r="AE310" s="138">
        <f ca="1"/>
        <v>6.019406878788125E-2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3.6669874493666654E-4</v>
      </c>
      <c r="P311" s="162">
        <f ca="1"/>
        <v>1.0405703024687352E-3</v>
      </c>
      <c r="Q311" s="162">
        <f ca="1"/>
        <v>3.4159528810456807E-3</v>
      </c>
      <c r="R311" s="162">
        <f ca="1"/>
        <v>7.1918211410167965E-3</v>
      </c>
      <c r="S311" s="162">
        <f ca="1"/>
        <v>0</v>
      </c>
      <c r="T311" s="162">
        <f ca="1"/>
        <v>1.9009499296591681E-2</v>
      </c>
      <c r="U311" s="162">
        <f ca="1"/>
        <v>3.3985174352013203E-2</v>
      </c>
      <c r="V311" s="138">
        <f ca="1"/>
        <v>6.093979318515963E-2</v>
      </c>
      <c r="W311" s="137">
        <f ca="1"/>
        <v>0</v>
      </c>
      <c r="X311" s="162">
        <f ca="1"/>
        <v>4.8890136868151579E-4</v>
      </c>
      <c r="Y311" s="162">
        <f ca="1"/>
        <v>1.2471833441808355E-3</v>
      </c>
      <c r="Z311" s="162">
        <f ca="1"/>
        <v>3.7894165381913147E-3</v>
      </c>
      <c r="AA311" s="162">
        <f ca="1"/>
        <v>7.7308395856462431E-3</v>
      </c>
      <c r="AB311" s="162">
        <f ca="1"/>
        <v>0</v>
      </c>
      <c r="AC311" s="162">
        <f ca="1"/>
        <v>1.9872779223809256E-2</v>
      </c>
      <c r="AD311" s="162">
        <f ca="1"/>
        <v>3.5162437255171097E-2</v>
      </c>
      <c r="AE311" s="138">
        <f ca="1"/>
        <v>6.2558590996359409E-2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1.1620127723007578E-2</v>
      </c>
      <c r="P312" s="162">
        <f ca="1"/>
        <v>1.9578383413667133E-2</v>
      </c>
      <c r="Q312" s="162">
        <f ca="1"/>
        <v>3.4092871105294686E-2</v>
      </c>
      <c r="R312" s="162">
        <f ca="1"/>
        <v>4.7947976745398413E-2</v>
      </c>
      <c r="S312" s="162">
        <f ca="1"/>
        <v>0</v>
      </c>
      <c r="T312" s="162">
        <f ca="1"/>
        <v>7.2233045341090985E-2</v>
      </c>
      <c r="U312" s="162">
        <f ca="1"/>
        <v>9.8621563801036816E-2</v>
      </c>
      <c r="V312" s="138">
        <f ca="1"/>
        <v>0.13684459929981618</v>
      </c>
      <c r="W312" s="137">
        <f ca="1"/>
        <v>0</v>
      </c>
      <c r="X312" s="162">
        <f ca="1"/>
        <v>1.1740466477237144E-2</v>
      </c>
      <c r="Y312" s="162">
        <f ca="1"/>
        <v>1.9780998774155956E-2</v>
      </c>
      <c r="Z312" s="162">
        <f ca="1"/>
        <v>3.4453526672792667E-2</v>
      </c>
      <c r="AA312" s="162">
        <f ca="1"/>
        <v>4.8462978055612727E-2</v>
      </c>
      <c r="AB312" s="162">
        <f ca="1"/>
        <v>0</v>
      </c>
      <c r="AC312" s="162">
        <f ca="1"/>
        <v>7.303959094954382E-2</v>
      </c>
      <c r="AD312" s="162">
        <f ca="1"/>
        <v>9.9706311159352357E-2</v>
      </c>
      <c r="AE312" s="138">
        <f ca="1"/>
        <v>0.13832714106680133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2.0609392354319356E-3</v>
      </c>
      <c r="P313" s="162">
        <f ca="1"/>
        <v>4.6635894337907491E-3</v>
      </c>
      <c r="Q313" s="162">
        <f ca="1"/>
        <v>1.2716837682992366E-2</v>
      </c>
      <c r="R313" s="162">
        <f ca="1"/>
        <v>2.2897406816066779E-2</v>
      </c>
      <c r="S313" s="162">
        <f ca="1"/>
        <v>0</v>
      </c>
      <c r="T313" s="162">
        <f ca="1"/>
        <v>4.9753703757571044E-2</v>
      </c>
      <c r="U313" s="162">
        <f ca="1"/>
        <v>7.4433882628428982E-2</v>
      </c>
      <c r="V313" s="138">
        <f ca="1"/>
        <v>0.11274958151778935</v>
      </c>
      <c r="W313" s="137">
        <f ca="1"/>
        <v>0</v>
      </c>
      <c r="X313" s="162">
        <f ca="1"/>
        <v>2.152425663554336E-3</v>
      </c>
      <c r="Y313" s="162">
        <f ca="1"/>
        <v>4.8180141046644254E-3</v>
      </c>
      <c r="Z313" s="162">
        <f ca="1"/>
        <v>1.299434714142067E-2</v>
      </c>
      <c r="AA313" s="162">
        <f ca="1"/>
        <v>2.3295523777467686E-2</v>
      </c>
      <c r="AB313" s="162">
        <f ca="1"/>
        <v>0</v>
      </c>
      <c r="AC313" s="162">
        <f ca="1"/>
        <v>5.0377158271713851E-2</v>
      </c>
      <c r="AD313" s="162">
        <f ca="1"/>
        <v>7.527771136070871E-2</v>
      </c>
      <c r="AE313" s="138">
        <f ca="1"/>
        <v>0.1139054132263696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4.1280622127981559E-3</v>
      </c>
      <c r="Q314" s="162">
        <f ca="1"/>
        <v>0</v>
      </c>
      <c r="R314" s="162">
        <f ca="1"/>
        <v>1.9061782797393789E-2</v>
      </c>
      <c r="S314" s="162">
        <f ca="1"/>
        <v>0</v>
      </c>
      <c r="T314" s="162">
        <f ca="1"/>
        <v>3.9818665710508738E-2</v>
      </c>
      <c r="U314" s="162">
        <f ca="1"/>
        <v>6.7633427490825015E-2</v>
      </c>
      <c r="V314" s="138">
        <f ca="1"/>
        <v>0.1128587776286083</v>
      </c>
      <c r="W314" s="137">
        <f ca="1"/>
        <v>0</v>
      </c>
      <c r="X314" s="162">
        <f ca="1"/>
        <v>0</v>
      </c>
      <c r="Y314" s="162">
        <f ca="1"/>
        <v>4.3339312504252492E-3</v>
      </c>
      <c r="Z314" s="162">
        <f ca="1"/>
        <v>0</v>
      </c>
      <c r="AA314" s="162">
        <f ca="1"/>
        <v>1.959270019977688E-2</v>
      </c>
      <c r="AB314" s="162">
        <f ca="1"/>
        <v>0</v>
      </c>
      <c r="AC314" s="162">
        <f ca="1"/>
        <v>4.0661217612204537E-2</v>
      </c>
      <c r="AD314" s="162">
        <f ca="1"/>
        <v>6.8766859229296151E-2</v>
      </c>
      <c r="AE314" s="138">
        <f ca="1"/>
        <v>0.11440660016363979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7.2778417207686186E-4</v>
      </c>
      <c r="O315" s="162">
        <f ca="1"/>
        <v>1.0997083401976804E-3</v>
      </c>
      <c r="P315" s="162">
        <f ca="1"/>
        <v>2.4895533197449859E-3</v>
      </c>
      <c r="Q315" s="162">
        <f ca="1"/>
        <v>5.6472189580678567E-3</v>
      </c>
      <c r="R315" s="162">
        <f ca="1"/>
        <v>1.1550249477184305E-2</v>
      </c>
      <c r="S315" s="162">
        <f ca="1"/>
        <v>1.8455957151665481E-2</v>
      </c>
      <c r="T315" s="162">
        <f ca="1"/>
        <v>2.6975637835516486E-2</v>
      </c>
      <c r="U315" s="162">
        <f ca="1"/>
        <v>5.0974055584871558E-2</v>
      </c>
      <c r="V315" s="138">
        <f ca="1"/>
        <v>8.8187689682728942E-2</v>
      </c>
      <c r="W315" s="137">
        <f ca="1"/>
        <v>7.8840799211088441E-4</v>
      </c>
      <c r="X315" s="162">
        <f ca="1"/>
        <v>1.1912959214973595E-3</v>
      </c>
      <c r="Y315" s="162">
        <f ca="1"/>
        <v>2.6443005889624782E-3</v>
      </c>
      <c r="Z315" s="162">
        <f ca="1"/>
        <v>5.9266465519802747E-3</v>
      </c>
      <c r="AA315" s="162">
        <f ca="1"/>
        <v>1.1952729262330708E-2</v>
      </c>
      <c r="AB315" s="162">
        <f ca="1"/>
        <v>1.8980043437030192E-2</v>
      </c>
      <c r="AC315" s="162">
        <f ca="1"/>
        <v>2.7618607299473075E-2</v>
      </c>
      <c r="AD315" s="162">
        <f ca="1"/>
        <v>5.1839439433160495E-2</v>
      </c>
      <c r="AE315" s="138">
        <f ca="1"/>
        <v>8.9379253670684111E-2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1.2645447263478493E-3</v>
      </c>
      <c r="P316" s="162">
        <f ca="1"/>
        <v>3.3032312205334424E-3</v>
      </c>
      <c r="Q316" s="162">
        <f ca="1"/>
        <v>8.8331531154490772E-3</v>
      </c>
      <c r="R316" s="162">
        <f ca="1"/>
        <v>1.6109183407841177E-2</v>
      </c>
      <c r="S316" s="162">
        <f ca="1"/>
        <v>0</v>
      </c>
      <c r="T316" s="162">
        <f ca="1"/>
        <v>3.3993183443637998E-2</v>
      </c>
      <c r="U316" s="162">
        <f ca="1"/>
        <v>5.350645005496435E-2</v>
      </c>
      <c r="V316" s="138">
        <f ca="1"/>
        <v>8.406920891858638E-2</v>
      </c>
      <c r="W316" s="137">
        <f ca="1"/>
        <v>0</v>
      </c>
      <c r="X316" s="162">
        <f ca="1"/>
        <v>1.3561117314725424E-3</v>
      </c>
      <c r="Y316" s="162">
        <f ca="1"/>
        <v>3.4578713879201972E-3</v>
      </c>
      <c r="Z316" s="162">
        <f ca="1"/>
        <v>9.1117810363960938E-3</v>
      </c>
      <c r="AA316" s="162">
        <f ca="1"/>
        <v>1.6509985442572983E-2</v>
      </c>
      <c r="AB316" s="162">
        <f ca="1"/>
        <v>0</v>
      </c>
      <c r="AC316" s="162">
        <f ca="1"/>
        <v>3.4629449026523429E-2</v>
      </c>
      <c r="AD316" s="162">
        <f ca="1"/>
        <v>5.437010157437816E-2</v>
      </c>
      <c r="AE316" s="138">
        <f ca="1"/>
        <v>8.5246258151025045E-2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1.3835864001873199E-3</v>
      </c>
      <c r="P317" s="162">
        <f ca="1"/>
        <v>3.3154320716547447E-3</v>
      </c>
      <c r="Q317" s="162">
        <f ca="1"/>
        <v>8.3406765054927501E-3</v>
      </c>
      <c r="R317" s="162">
        <f ca="1"/>
        <v>1.5154087925954296E-2</v>
      </c>
      <c r="S317" s="162">
        <f ca="1"/>
        <v>0</v>
      </c>
      <c r="T317" s="162">
        <f ca="1"/>
        <v>3.3392511379258472E-2</v>
      </c>
      <c r="U317" s="162">
        <f ca="1"/>
        <v>5.2477987065601583E-2</v>
      </c>
      <c r="V317" s="138">
        <f ca="1"/>
        <v>8.1480840958878642E-2</v>
      </c>
      <c r="W317" s="137">
        <f ca="1"/>
        <v>0</v>
      </c>
      <c r="X317" s="162">
        <f ca="1"/>
        <v>1.4751416085189151E-3</v>
      </c>
      <c r="Y317" s="162">
        <f ca="1"/>
        <v>3.4700623847451206E-3</v>
      </c>
      <c r="Z317" s="162">
        <f ca="1"/>
        <v>8.6194139143874748E-3</v>
      </c>
      <c r="AA317" s="162">
        <f ca="1"/>
        <v>1.5555218181750541E-2</v>
      </c>
      <c r="AB317" s="162">
        <f ca="1"/>
        <v>0</v>
      </c>
      <c r="AC317" s="162">
        <f ca="1"/>
        <v>3.4029180483321153E-2</v>
      </c>
      <c r="AD317" s="162">
        <f ca="1"/>
        <v>5.3342781792096394E-2</v>
      </c>
      <c r="AE317" s="138">
        <f ca="1"/>
        <v>8.2662093339889275E-2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2.5469499646808558E-3</v>
      </c>
      <c r="Q318" s="162">
        <f ca="1"/>
        <v>0</v>
      </c>
      <c r="R318" s="162">
        <f ca="1"/>
        <v>1.3766900453962339E-2</v>
      </c>
      <c r="S318" s="162">
        <f ca="1"/>
        <v>0</v>
      </c>
      <c r="T318" s="162">
        <f ca="1"/>
        <v>3.2661043737811535E-2</v>
      </c>
      <c r="U318" s="162">
        <f ca="1"/>
        <v>4.6435959284584216E-2</v>
      </c>
      <c r="V318" s="138">
        <f ca="1"/>
        <v>6.8479039723436941E-2</v>
      </c>
      <c r="W318" s="137">
        <f ca="1"/>
        <v>0</v>
      </c>
      <c r="X318" s="162">
        <f ca="1"/>
        <v>0</v>
      </c>
      <c r="Y318" s="162">
        <f ca="1"/>
        <v>2.7531981841792952E-3</v>
      </c>
      <c r="Z318" s="162">
        <f ca="1"/>
        <v>0</v>
      </c>
      <c r="AA318" s="162">
        <f ca="1"/>
        <v>1.430141475553548E-2</v>
      </c>
      <c r="AB318" s="162">
        <f ca="1"/>
        <v>0</v>
      </c>
      <c r="AC318" s="162">
        <f ca="1"/>
        <v>3.3510839238006351E-2</v>
      </c>
      <c r="AD318" s="162">
        <f ca="1"/>
        <v>4.7596032124190057E-2</v>
      </c>
      <c r="AE318" s="138">
        <f ca="1"/>
        <v>7.0078246733464078E-2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1.4660145156775162E-3</v>
      </c>
      <c r="P319" s="162">
        <f ca="1"/>
        <v>2.9510352699833042E-3</v>
      </c>
      <c r="Q319" s="162">
        <f ca="1"/>
        <v>7.0576335317005245E-3</v>
      </c>
      <c r="R319" s="162">
        <f ca="1"/>
        <v>1.2301268402050702E-2</v>
      </c>
      <c r="S319" s="162">
        <f ca="1"/>
        <v>0</v>
      </c>
      <c r="T319" s="162">
        <f ca="1"/>
        <v>2.4655324724866423E-2</v>
      </c>
      <c r="U319" s="162">
        <f ca="1"/>
        <v>3.5734082789432131E-2</v>
      </c>
      <c r="V319" s="138">
        <f ca="1"/>
        <v>5.1366489629487755E-2</v>
      </c>
      <c r="W319" s="137">
        <f ca="1"/>
        <v>0</v>
      </c>
      <c r="X319" s="162">
        <f ca="1"/>
        <v>1.5575629500231836E-3</v>
      </c>
      <c r="Y319" s="162">
        <f ca="1"/>
        <v>3.1057032206954771E-3</v>
      </c>
      <c r="Z319" s="162">
        <f ca="1"/>
        <v>7.3366766712598119E-3</v>
      </c>
      <c r="AA319" s="162">
        <f ca="1"/>
        <v>1.270332649854411E-2</v>
      </c>
      <c r="AB319" s="162">
        <f ca="1"/>
        <v>0</v>
      </c>
      <c r="AC319" s="162">
        <f ca="1"/>
        <v>2.5297740189799356E-2</v>
      </c>
      <c r="AD319" s="162">
        <f ca="1"/>
        <v>3.6612734719486451E-2</v>
      </c>
      <c r="AE319" s="138">
        <f ca="1"/>
        <v>5.2587473084699132E-2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1.7419124146604958E-2</v>
      </c>
      <c r="U320" s="162">
        <f ca="1"/>
        <v>4.5969399116788434E-2</v>
      </c>
      <c r="V320" s="138">
        <f ca="1"/>
        <v>8.9129933125518868E-2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1.8275240676745463E-2</v>
      </c>
      <c r="AD320" s="162">
        <f ca="1"/>
        <v>4.7130476475574667E-2</v>
      </c>
      <c r="AE320" s="138">
        <f ca="1"/>
        <v>9.0723809733454841E-2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1.4537838419134141E-3</v>
      </c>
      <c r="P321" s="162">
        <f ca="1"/>
        <v>2.9618735399699059E-3</v>
      </c>
      <c r="Q321" s="162">
        <f ca="1"/>
        <v>7.1920641468687929E-3</v>
      </c>
      <c r="R321" s="162">
        <f ca="1"/>
        <v>1.2690047162676521E-2</v>
      </c>
      <c r="S321" s="162">
        <f ca="1"/>
        <v>0</v>
      </c>
      <c r="T321" s="162">
        <f ca="1"/>
        <v>2.7618990255089848E-2</v>
      </c>
      <c r="U321" s="162">
        <f ca="1"/>
        <v>4.3172023823414452E-2</v>
      </c>
      <c r="V321" s="138">
        <f ca="1"/>
        <v>6.7637062312365881E-2</v>
      </c>
      <c r="W321" s="137">
        <f ca="1"/>
        <v>0</v>
      </c>
      <c r="X321" s="162">
        <f ca="1"/>
        <v>1.575848096086796E-3</v>
      </c>
      <c r="Y321" s="162">
        <f ca="1"/>
        <v>3.168090864520523E-3</v>
      </c>
      <c r="Z321" s="162">
        <f ca="1"/>
        <v>7.5641035923451616E-3</v>
      </c>
      <c r="AA321" s="162">
        <f ca="1"/>
        <v>1.322606889568001E-2</v>
      </c>
      <c r="AB321" s="162">
        <f ca="1"/>
        <v>0</v>
      </c>
      <c r="AC321" s="162">
        <f ca="1"/>
        <v>2.8473972677097614E-2</v>
      </c>
      <c r="AD321" s="162">
        <f ca="1"/>
        <v>4.4336765321871918E-2</v>
      </c>
      <c r="AE321" s="138">
        <f ca="1"/>
        <v>6.9240667294995006E-2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6.110901553602055E-4</v>
      </c>
      <c r="P322" s="162">
        <f ca="1"/>
        <v>1.6638126430698064E-3</v>
      </c>
      <c r="Q322" s="162">
        <f ca="1"/>
        <v>4.5395668971538461E-3</v>
      </c>
      <c r="R322" s="162">
        <f ca="1"/>
        <v>8.8117831727324569E-3</v>
      </c>
      <c r="S322" s="162">
        <f ca="1"/>
        <v>0</v>
      </c>
      <c r="T322" s="162">
        <f ca="1"/>
        <v>2.3469840772248562E-2</v>
      </c>
      <c r="U322" s="162">
        <f ca="1"/>
        <v>4.0013550061553271E-2</v>
      </c>
      <c r="V322" s="138">
        <f ca="1"/>
        <v>6.3285545860678472E-2</v>
      </c>
      <c r="W322" s="137">
        <f ca="1"/>
        <v>0</v>
      </c>
      <c r="X322" s="162">
        <f ca="1"/>
        <v>7.3326226528613869E-4</v>
      </c>
      <c r="Y322" s="162">
        <f ca="1"/>
        <v>1.8703085362642424E-3</v>
      </c>
      <c r="Z322" s="162">
        <f ca="1"/>
        <v>4.9126126485451449E-3</v>
      </c>
      <c r="AA322" s="162">
        <f ca="1"/>
        <v>9.349920322513694E-3</v>
      </c>
      <c r="AB322" s="162">
        <f ca="1"/>
        <v>0</v>
      </c>
      <c r="AC322" s="162">
        <f ca="1"/>
        <v>2.4329122129839953E-2</v>
      </c>
      <c r="AD322" s="162">
        <f ca="1"/>
        <v>4.118362439093548E-2</v>
      </c>
      <c r="AE322" s="138">
        <f ca="1"/>
        <v>6.4899413678256912E-2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1.240195911526687E-3</v>
      </c>
      <c r="Q323" s="162">
        <f ca="1"/>
        <v>0</v>
      </c>
      <c r="R323" s="162">
        <f ca="1"/>
        <v>6.5828692305469616E-3</v>
      </c>
      <c r="S323" s="162">
        <f ca="1"/>
        <v>0</v>
      </c>
      <c r="T323" s="162">
        <f ca="1"/>
        <v>1.9052272797518199E-2</v>
      </c>
      <c r="U323" s="162">
        <f ca="1"/>
        <v>3.8234195704468177E-2</v>
      </c>
      <c r="V323" s="138">
        <f ca="1"/>
        <v>7.4953956499966723E-2</v>
      </c>
      <c r="W323" s="137">
        <f ca="1"/>
        <v>0</v>
      </c>
      <c r="X323" s="162">
        <f ca="1"/>
        <v>0</v>
      </c>
      <c r="Y323" s="162">
        <f ca="1"/>
        <v>1.4467378082975157E-3</v>
      </c>
      <c r="Z323" s="162">
        <f ca="1"/>
        <v>0</v>
      </c>
      <c r="AA323" s="162">
        <f ca="1"/>
        <v>7.1216751807046119E-3</v>
      </c>
      <c r="AB323" s="162">
        <f ca="1"/>
        <v>0</v>
      </c>
      <c r="AC323" s="162">
        <f ca="1"/>
        <v>1.9914885055027698E-2</v>
      </c>
      <c r="AD323" s="162">
        <f ca="1"/>
        <v>3.9406081636126911E-2</v>
      </c>
      <c r="AE323" s="138">
        <f ca="1"/>
        <v>7.6544452107712657E-2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3.6669874493666654E-4</v>
      </c>
      <c r="P324" s="162">
        <f ca="1"/>
        <v>1.0405703024687352E-3</v>
      </c>
      <c r="Q324" s="162">
        <f ca="1"/>
        <v>3.8001685676630759E-3</v>
      </c>
      <c r="R324" s="162">
        <f ca="1"/>
        <v>8.3092530529125241E-3</v>
      </c>
      <c r="S324" s="162">
        <f ca="1"/>
        <v>0</v>
      </c>
      <c r="T324" s="162">
        <f ca="1"/>
        <v>2.0778081283150729E-2</v>
      </c>
      <c r="U324" s="162">
        <f ca="1"/>
        <v>3.6382949772516548E-2</v>
      </c>
      <c r="V324" s="138">
        <f ca="1"/>
        <v>6.0279807286112819E-2</v>
      </c>
      <c r="W324" s="137">
        <f ca="1"/>
        <v>0</v>
      </c>
      <c r="X324" s="162">
        <f ca="1"/>
        <v>4.8890136868151579E-4</v>
      </c>
      <c r="Y324" s="162">
        <f ca="1"/>
        <v>1.2471833441808355E-3</v>
      </c>
      <c r="Z324" s="162">
        <f ca="1"/>
        <v>4.1735217271932079E-3</v>
      </c>
      <c r="AA324" s="162">
        <f ca="1"/>
        <v>8.8477927530673517E-3</v>
      </c>
      <c r="AB324" s="162">
        <f ca="1"/>
        <v>0</v>
      </c>
      <c r="AC324" s="162">
        <f ca="1"/>
        <v>2.1639822843459666E-2</v>
      </c>
      <c r="AD324" s="162">
        <f ca="1"/>
        <v>3.7557280798749426E-2</v>
      </c>
      <c r="AE324" s="138">
        <f ca="1"/>
        <v>6.1899375970418835E-2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1.0253379284260733E-3</v>
      </c>
      <c r="Q325" s="162">
        <f ca="1"/>
        <v>0</v>
      </c>
      <c r="R325" s="162">
        <f ca="1"/>
        <v>7.0989557498841727E-3</v>
      </c>
      <c r="S325" s="162">
        <f ca="1"/>
        <v>0</v>
      </c>
      <c r="T325" s="162">
        <f ca="1"/>
        <v>1.9485774943276746E-2</v>
      </c>
      <c r="U325" s="162">
        <f ca="1"/>
        <v>3.3693027022853705E-2</v>
      </c>
      <c r="V325" s="138">
        <f ca="1"/>
        <v>5.7305796137369858E-2</v>
      </c>
      <c r="W325" s="137">
        <f ca="1"/>
        <v>0</v>
      </c>
      <c r="X325" s="162">
        <f ca="1"/>
        <v>0</v>
      </c>
      <c r="Y325" s="162">
        <f ca="1"/>
        <v>1.2319264890539028E-3</v>
      </c>
      <c r="Z325" s="162">
        <f ca="1"/>
        <v>0</v>
      </c>
      <c r="AA325" s="162">
        <f ca="1"/>
        <v>7.6375319623575022E-3</v>
      </c>
      <c r="AB325" s="162">
        <f ca="1"/>
        <v>0</v>
      </c>
      <c r="AC325" s="162">
        <f ca="1"/>
        <v>2.0348035789119256E-2</v>
      </c>
      <c r="AD325" s="162">
        <f ca="1"/>
        <v>3.4869640007360148E-2</v>
      </c>
      <c r="AE325" s="138">
        <f ca="1"/>
        <v>5.8928972900974541E-2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6.2158084087433618E-3</v>
      </c>
      <c r="P326" s="162">
        <f ca="1"/>
        <v>1.0492703163112349E-2</v>
      </c>
      <c r="Q326" s="162">
        <f ca="1"/>
        <v>1.8924817601501331E-2</v>
      </c>
      <c r="R326" s="162">
        <f ca="1"/>
        <v>2.9915616295496994E-2</v>
      </c>
      <c r="S326" s="162">
        <f ca="1"/>
        <v>0</v>
      </c>
      <c r="T326" s="162">
        <f ca="1"/>
        <v>5.1850339077146979E-2</v>
      </c>
      <c r="U326" s="162">
        <f ca="1"/>
        <v>7.3534638462073865E-2</v>
      </c>
      <c r="V326" s="138">
        <f ca="1"/>
        <v>0.10385422516053022</v>
      </c>
      <c r="W326" s="137">
        <f ca="1"/>
        <v>0</v>
      </c>
      <c r="X326" s="162">
        <f ca="1"/>
        <v>6.3371754687950865E-3</v>
      </c>
      <c r="Y326" s="162">
        <f ca="1"/>
        <v>1.0697301698295414E-2</v>
      </c>
      <c r="Z326" s="162">
        <f ca="1"/>
        <v>1.9291985001431367E-2</v>
      </c>
      <c r="AA326" s="162">
        <f ca="1"/>
        <v>3.044160153781883E-2</v>
      </c>
      <c r="AB326" s="162">
        <f ca="1"/>
        <v>0</v>
      </c>
      <c r="AC326" s="162">
        <f ca="1"/>
        <v>5.267953309614215E-2</v>
      </c>
      <c r="AD326" s="162">
        <f ca="1"/>
        <v>7.4657033206704693E-2</v>
      </c>
      <c r="AE326" s="138">
        <f ca="1"/>
        <v>0.10538200256793206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2.5304454794543574E-3</v>
      </c>
      <c r="Q327" s="162">
        <f ca="1"/>
        <v>0</v>
      </c>
      <c r="R327" s="162">
        <f ca="1"/>
        <v>1.3403641710879155E-2</v>
      </c>
      <c r="S327" s="162">
        <f ca="1"/>
        <v>0</v>
      </c>
      <c r="T327" s="162">
        <f ca="1"/>
        <v>4.4337487215834859E-2</v>
      </c>
      <c r="U327" s="162">
        <f ca="1"/>
        <v>6.9782870164981525E-2</v>
      </c>
      <c r="V327" s="138">
        <f ca="1"/>
        <v>0.11033790912503916</v>
      </c>
      <c r="W327" s="137">
        <f ca="1"/>
        <v>0</v>
      </c>
      <c r="X327" s="162">
        <f ca="1"/>
        <v>0</v>
      </c>
      <c r="Y327" s="162">
        <f ca="1"/>
        <v>2.7366975165222795E-3</v>
      </c>
      <c r="Z327" s="162">
        <f ca="1"/>
        <v>0</v>
      </c>
      <c r="AA327" s="162">
        <f ca="1"/>
        <v>1.3938383257075193E-2</v>
      </c>
      <c r="AB327" s="162">
        <f ca="1"/>
        <v>0</v>
      </c>
      <c r="AC327" s="162">
        <f ca="1"/>
        <v>4.5174471388002679E-2</v>
      </c>
      <c r="AD327" s="162">
        <f ca="1"/>
        <v>7.0917504173424906E-2</v>
      </c>
      <c r="AE327" s="138">
        <f ca="1"/>
        <v>0.11188871664646871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8.6152959075558311E-4</v>
      </c>
      <c r="P328" s="162">
        <f ca="1"/>
        <v>1.5673180200971304E-3</v>
      </c>
      <c r="Q328" s="162">
        <f ca="1"/>
        <v>5.7156176506965028E-3</v>
      </c>
      <c r="R328" s="162">
        <f ca="1"/>
        <v>1.2478034376332992E-2</v>
      </c>
      <c r="S328" s="162">
        <f ca="1"/>
        <v>0</v>
      </c>
      <c r="T328" s="162">
        <f ca="1"/>
        <v>3.2435186255862947E-2</v>
      </c>
      <c r="U328" s="162">
        <f ca="1"/>
        <v>5.106386794447082E-2</v>
      </c>
      <c r="V328" s="138">
        <f ca="1"/>
        <v>8.0878716844048681E-2</v>
      </c>
      <c r="W328" s="137">
        <f ca="1"/>
        <v>0</v>
      </c>
      <c r="X328" s="162">
        <f ca="1"/>
        <v>9.5313590864132269E-4</v>
      </c>
      <c r="Y328" s="162">
        <f ca="1"/>
        <v>1.7221854214066745E-3</v>
      </c>
      <c r="Z328" s="162">
        <f ca="1"/>
        <v>5.9951263280605405E-3</v>
      </c>
      <c r="AA328" s="162">
        <f ca="1"/>
        <v>1.2880420152908134E-2</v>
      </c>
      <c r="AB328" s="162">
        <f ca="1"/>
        <v>0</v>
      </c>
      <c r="AC328" s="162">
        <f ca="1"/>
        <v>3.307283647601722E-2</v>
      </c>
      <c r="AD328" s="162">
        <f ca="1"/>
        <v>5.1931050593145844E-2</v>
      </c>
      <c r="AE328" s="138">
        <f ca="1"/>
        <v>8.2061722897156963E-2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1.1638061204846117E-3</v>
      </c>
      <c r="P329" s="162">
        <f ca="1"/>
        <v>2.7867882151068057E-3</v>
      </c>
      <c r="Q329" s="162">
        <f ca="1"/>
        <v>7.3318037796772373E-3</v>
      </c>
      <c r="R329" s="162">
        <f ca="1"/>
        <v>1.349142361508382E-2</v>
      </c>
      <c r="S329" s="162">
        <f ca="1"/>
        <v>0</v>
      </c>
      <c r="T329" s="162">
        <f ca="1"/>
        <v>3.0819732563659219E-2</v>
      </c>
      <c r="U329" s="162">
        <f ca="1"/>
        <v>4.9188237482286512E-2</v>
      </c>
      <c r="V329" s="138">
        <f ca="1"/>
        <v>7.6654845588240872E-2</v>
      </c>
      <c r="W329" s="137">
        <f ca="1"/>
        <v>0</v>
      </c>
      <c r="X329" s="162">
        <f ca="1"/>
        <v>1.2553830422412648E-3</v>
      </c>
      <c r="Y329" s="162">
        <f ca="1"/>
        <v>2.9414953448879677E-3</v>
      </c>
      <c r="Z329" s="162">
        <f ca="1"/>
        <v>7.6108312200110495E-3</v>
      </c>
      <c r="AA329" s="162">
        <f ca="1"/>
        <v>1.3893222292654439E-2</v>
      </c>
      <c r="AB329" s="162">
        <f ca="1"/>
        <v>0</v>
      </c>
      <c r="AC329" s="162">
        <f ca="1"/>
        <v>3.1458370593381968E-2</v>
      </c>
      <c r="AD329" s="162">
        <f ca="1"/>
        <v>5.00563184256132E-2</v>
      </c>
      <c r="AE329" s="138">
        <f ca="1"/>
        <v>7.7843552380650327E-2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8.6152959075558311E-4</v>
      </c>
      <c r="P330" s="162">
        <f ca="1"/>
        <v>2.5910030166006459E-3</v>
      </c>
      <c r="Q330" s="162">
        <f ca="1"/>
        <v>7.2906032954563882E-3</v>
      </c>
      <c r="R330" s="162">
        <f ca="1"/>
        <v>1.4147064733820769E-2</v>
      </c>
      <c r="S330" s="162">
        <f ca="1"/>
        <v>0</v>
      </c>
      <c r="T330" s="162">
        <f ca="1"/>
        <v>3.2183231000784462E-2</v>
      </c>
      <c r="U330" s="162">
        <f ca="1"/>
        <v>5.1510675397618111E-2</v>
      </c>
      <c r="V330" s="138">
        <f ca="1"/>
        <v>8.0528090330736157E-2</v>
      </c>
      <c r="W330" s="137">
        <f ca="1"/>
        <v>0</v>
      </c>
      <c r="X330" s="162">
        <f ca="1"/>
        <v>9.5313590864132269E-4</v>
      </c>
      <c r="Y330" s="162">
        <f ca="1"/>
        <v>2.7457544918872978E-3</v>
      </c>
      <c r="Z330" s="162">
        <f ca="1"/>
        <v>7.5696767067171544E-3</v>
      </c>
      <c r="AA330" s="162">
        <f ca="1"/>
        <v>1.4548705127236383E-2</v>
      </c>
      <c r="AB330" s="162">
        <f ca="1"/>
        <v>0</v>
      </c>
      <c r="AC330" s="162">
        <f ca="1"/>
        <v>3.2820966407927754E-2</v>
      </c>
      <c r="AD330" s="162">
        <f ca="1"/>
        <v>5.2376711232909989E-2</v>
      </c>
      <c r="AE330" s="138">
        <f ca="1"/>
        <v>8.1711252926271682E-2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1.017259177506058E-3</v>
      </c>
      <c r="P331" s="162">
        <f ca="1"/>
        <v>2.6966423929754013E-3</v>
      </c>
      <c r="Q331" s="162">
        <f ca="1"/>
        <v>7.3395378067768746E-3</v>
      </c>
      <c r="R331" s="162">
        <f ca="1"/>
        <v>1.3796227395158067E-2</v>
      </c>
      <c r="S331" s="162">
        <f ca="1"/>
        <v>0</v>
      </c>
      <c r="T331" s="162">
        <f ca="1"/>
        <v>3.2197096490318322E-2</v>
      </c>
      <c r="U331" s="162">
        <f ca="1"/>
        <v>5.1624427180968047E-2</v>
      </c>
      <c r="V331" s="138">
        <f ca="1"/>
        <v>8.0527716720116826E-2</v>
      </c>
      <c r="W331" s="137">
        <f ca="1"/>
        <v>0</v>
      </c>
      <c r="X331" s="162">
        <f ca="1"/>
        <v>1.1088504177682035E-3</v>
      </c>
      <c r="Y331" s="162">
        <f ca="1"/>
        <v>2.8513704753666547E-3</v>
      </c>
      <c r="Z331" s="162">
        <f ca="1"/>
        <v>7.6185806845279203E-3</v>
      </c>
      <c r="AA331" s="162">
        <f ca="1"/>
        <v>1.4197951353665084E-2</v>
      </c>
      <c r="AB331" s="162">
        <f ca="1"/>
        <v>0</v>
      </c>
      <c r="AC331" s="162">
        <f ca="1"/>
        <v>3.283475103149236E-2</v>
      </c>
      <c r="AD331" s="162">
        <f ca="1"/>
        <v>5.2490409302922481E-2</v>
      </c>
      <c r="AE331" s="138">
        <f ca="1"/>
        <v>8.1710989488078645E-2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9.7145886718108532E-4</v>
      </c>
      <c r="P332" s="162">
        <f ca="1"/>
        <v>2.3830848841306373E-3</v>
      </c>
      <c r="Q332" s="162">
        <f ca="1"/>
        <v>7.0070016479050201E-3</v>
      </c>
      <c r="R332" s="162">
        <f ca="1"/>
        <v>1.3570907776992325E-2</v>
      </c>
      <c r="S332" s="162">
        <f ca="1"/>
        <v>0</v>
      </c>
      <c r="T332" s="162">
        <f ca="1"/>
        <v>3.1550541102284502E-2</v>
      </c>
      <c r="U332" s="162">
        <f ca="1"/>
        <v>5.0149126786505072E-2</v>
      </c>
      <c r="V332" s="138">
        <f ca="1"/>
        <v>7.7943401813413415E-2</v>
      </c>
      <c r="W332" s="137">
        <f ca="1"/>
        <v>0</v>
      </c>
      <c r="X332" s="162">
        <f ca="1"/>
        <v>1.0630545564599414E-3</v>
      </c>
      <c r="Y332" s="162">
        <f ca="1"/>
        <v>2.5378522115866442E-3</v>
      </c>
      <c r="Z332" s="162">
        <f ca="1"/>
        <v>7.2861462642135333E-3</v>
      </c>
      <c r="AA332" s="162">
        <f ca="1"/>
        <v>1.3972762577580511E-2</v>
      </c>
      <c r="AB332" s="162">
        <f ca="1"/>
        <v>0</v>
      </c>
      <c r="AC332" s="162">
        <f ca="1"/>
        <v>3.2188742367557199E-2</v>
      </c>
      <c r="AD332" s="162">
        <f ca="1"/>
        <v>5.101650838602978E-2</v>
      </c>
      <c r="AE332" s="138">
        <f ca="1"/>
        <v>7.9130417003260956E-2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1.4049513590542739E-3</v>
      </c>
      <c r="P333" s="162">
        <f ca="1"/>
        <v>3.7606346569099003E-3</v>
      </c>
      <c r="Q333" s="162">
        <f ca="1"/>
        <v>1.0572906905478963E-2</v>
      </c>
      <c r="R333" s="162">
        <f ca="1"/>
        <v>1.9161942737698778E-2</v>
      </c>
      <c r="S333" s="162">
        <f ca="1"/>
        <v>0</v>
      </c>
      <c r="T333" s="162">
        <f ca="1"/>
        <v>4.0801769235802254E-2</v>
      </c>
      <c r="U333" s="162">
        <f ca="1"/>
        <v>6.3445064591845846E-2</v>
      </c>
      <c r="V333" s="138">
        <f ca="1"/>
        <v>9.7369117302348096E-2</v>
      </c>
      <c r="W333" s="137">
        <f ca="1"/>
        <v>0</v>
      </c>
      <c r="X333" s="162">
        <f ca="1"/>
        <v>1.5270219783213301E-3</v>
      </c>
      <c r="Y333" s="162">
        <f ca="1"/>
        <v>3.9667349829565213E-3</v>
      </c>
      <c r="Z333" s="162">
        <f ca="1"/>
        <v>1.0943827029371023E-2</v>
      </c>
      <c r="AA333" s="162">
        <f ca="1"/>
        <v>1.9694853413245617E-2</v>
      </c>
      <c r="AB333" s="162">
        <f ca="1"/>
        <v>0</v>
      </c>
      <c r="AC333" s="162">
        <f ca="1"/>
        <v>4.1644356445993402E-2</v>
      </c>
      <c r="AD333" s="162">
        <f ca="1"/>
        <v>6.4585340058571195E-2</v>
      </c>
      <c r="AE333" s="138">
        <f ca="1"/>
        <v>9.8917123647003669E-2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1.4934818370857528E-3</v>
      </c>
      <c r="P334" s="162">
        <f ca="1"/>
        <v>2.8557950881081817E-3</v>
      </c>
      <c r="Q334" s="162">
        <f ca="1"/>
        <v>6.3126465972545009E-3</v>
      </c>
      <c r="R334" s="162">
        <f ca="1"/>
        <v>1.1490827922911895E-2</v>
      </c>
      <c r="S334" s="162">
        <f ca="1"/>
        <v>0</v>
      </c>
      <c r="T334" s="162">
        <f ca="1"/>
        <v>3.107640801807976E-2</v>
      </c>
      <c r="U334" s="162">
        <f ca="1"/>
        <v>4.5681240499676368E-2</v>
      </c>
      <c r="V334" s="138">
        <f ca="1"/>
        <v>7.1791494737878603E-2</v>
      </c>
      <c r="W334" s="137">
        <f ca="1"/>
        <v>0</v>
      </c>
      <c r="X334" s="162">
        <f ca="1"/>
        <v>1.5850275240504308E-3</v>
      </c>
      <c r="Y334" s="162">
        <f ca="1"/>
        <v>3.0104718985081158E-3</v>
      </c>
      <c r="Z334" s="162">
        <f ca="1"/>
        <v>6.5918657807501058E-3</v>
      </c>
      <c r="AA334" s="162">
        <f ca="1"/>
        <v>1.189320321236631E-2</v>
      </c>
      <c r="AB334" s="162">
        <f ca="1"/>
        <v>0</v>
      </c>
      <c r="AC334" s="162">
        <f ca="1"/>
        <v>3.1714047779948573E-2</v>
      </c>
      <c r="AD334" s="162">
        <f ca="1"/>
        <v>4.6552295632477869E-2</v>
      </c>
      <c r="AE334" s="138">
        <f ca="1"/>
        <v>7.2985079272254283E-2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3.6129789961156789E-3</v>
      </c>
      <c r="Q335" s="162">
        <f ca="1"/>
        <v>0</v>
      </c>
      <c r="R335" s="162">
        <f ca="1"/>
        <v>1.7728330804589576E-2</v>
      </c>
      <c r="S335" s="162">
        <f ca="1"/>
        <v>0</v>
      </c>
      <c r="T335" s="162">
        <f ca="1"/>
        <v>3.7698818527191036E-2</v>
      </c>
      <c r="U335" s="162">
        <f ca="1"/>
        <v>5.670780212248705E-2</v>
      </c>
      <c r="V335" s="138">
        <f ca="1"/>
        <v>8.4543284155829124E-2</v>
      </c>
      <c r="W335" s="137">
        <f ca="1"/>
        <v>0</v>
      </c>
      <c r="X335" s="162">
        <f ca="1"/>
        <v>0</v>
      </c>
      <c r="Y335" s="162">
        <f ca="1"/>
        <v>3.8189745371565165E-3</v>
      </c>
      <c r="Z335" s="162">
        <f ca="1"/>
        <v>0</v>
      </c>
      <c r="AA335" s="162">
        <f ca="1"/>
        <v>1.8260185856756039E-2</v>
      </c>
      <c r="AB335" s="162">
        <f ca="1"/>
        <v>0</v>
      </c>
      <c r="AC335" s="162">
        <f ca="1"/>
        <v>3.8543552078836751E-2</v>
      </c>
      <c r="AD335" s="162">
        <f ca="1"/>
        <v>5.7855092167189204E-2</v>
      </c>
      <c r="AE335" s="138">
        <f ca="1"/>
        <v>8.6113017100412748E-2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1.5701409553107171E-3</v>
      </c>
      <c r="Q336" s="162">
        <f ca="1"/>
        <v>0</v>
      </c>
      <c r="R336" s="162">
        <f ca="1"/>
        <v>8.333939283989733E-3</v>
      </c>
      <c r="S336" s="162">
        <f ca="1"/>
        <v>0</v>
      </c>
      <c r="T336" s="162">
        <f ca="1"/>
        <v>2.4945159538112383E-2</v>
      </c>
      <c r="U336" s="162">
        <f ca="1"/>
        <v>3.9181706281813944E-2</v>
      </c>
      <c r="V336" s="138">
        <f ca="1"/>
        <v>6.2432525336378664E-2</v>
      </c>
      <c r="W336" s="137">
        <f ca="1"/>
        <v>0</v>
      </c>
      <c r="X336" s="162">
        <f ca="1"/>
        <v>0</v>
      </c>
      <c r="Y336" s="162">
        <f ca="1"/>
        <v>1.7249942768537974E-3</v>
      </c>
      <c r="Z336" s="162">
        <f ca="1"/>
        <v>0</v>
      </c>
      <c r="AA336" s="162">
        <f ca="1"/>
        <v>8.7372391258782045E-3</v>
      </c>
      <c r="AB336" s="162">
        <f ca="1"/>
        <v>0</v>
      </c>
      <c r="AC336" s="162">
        <f ca="1"/>
        <v>2.5587591358252504E-2</v>
      </c>
      <c r="AD336" s="162">
        <f ca="1"/>
        <v>4.0059030013927632E-2</v>
      </c>
      <c r="AE336" s="138">
        <f ca="1"/>
        <v>6.3640634460389811E-2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4.5835249909487175E-4</v>
      </c>
      <c r="P337" s="162">
        <f ca="1"/>
        <v>1.5631897403345363E-3</v>
      </c>
      <c r="Q337" s="162">
        <f ca="1"/>
        <v>4.547649705737733E-3</v>
      </c>
      <c r="R337" s="162">
        <f ca="1"/>
        <v>9.1035260383435235E-3</v>
      </c>
      <c r="S337" s="162">
        <f ca="1"/>
        <v>0</v>
      </c>
      <c r="T337" s="162">
        <f ca="1"/>
        <v>2.229171589882184E-2</v>
      </c>
      <c r="U337" s="162">
        <f ca="1"/>
        <v>3.643048564103768E-2</v>
      </c>
      <c r="V337" s="138">
        <f ca="1"/>
        <v>5.9451241638580177E-2</v>
      </c>
      <c r="W337" s="137">
        <f ca="1"/>
        <v>0</v>
      </c>
      <c r="X337" s="162">
        <f ca="1"/>
        <v>5.4999720470150226E-4</v>
      </c>
      <c r="Y337" s="162">
        <f ca="1"/>
        <v>1.7180879440134023E-3</v>
      </c>
      <c r="Z337" s="162">
        <f ca="1"/>
        <v>4.8274577371720806E-3</v>
      </c>
      <c r="AA337" s="162">
        <f ca="1"/>
        <v>9.5070753682731102E-3</v>
      </c>
      <c r="AB337" s="162">
        <f ca="1"/>
        <v>0</v>
      </c>
      <c r="AC337" s="162">
        <f ca="1"/>
        <v>2.2936645153608159E-2</v>
      </c>
      <c r="AD337" s="162">
        <f ca="1"/>
        <v>3.7310523000474771E-2</v>
      </c>
      <c r="AE337" s="138">
        <f ca="1"/>
        <v>6.0664742250785886E-2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2.8192349207343259E-3</v>
      </c>
      <c r="Q338" s="162">
        <f ca="1"/>
        <v>0</v>
      </c>
      <c r="R338" s="162">
        <f ca="1"/>
        <v>2.0249111718171009E-2</v>
      </c>
      <c r="S338" s="162">
        <f ca="1"/>
        <v>0</v>
      </c>
      <c r="T338" s="162">
        <f ca="1"/>
        <v>3.7949064155965107E-2</v>
      </c>
      <c r="U338" s="162">
        <f ca="1"/>
        <v>5.2401029411095035E-2</v>
      </c>
      <c r="V338" s="138">
        <f ca="1"/>
        <v>7.395249181430763E-2</v>
      </c>
      <c r="W338" s="137">
        <f ca="1"/>
        <v>0</v>
      </c>
      <c r="X338" s="162">
        <f ca="1"/>
        <v>0</v>
      </c>
      <c r="Y338" s="162">
        <f ca="1"/>
        <v>3.025419748966196E-3</v>
      </c>
      <c r="Z338" s="162">
        <f ca="1"/>
        <v>0</v>
      </c>
      <c r="AA338" s="162">
        <f ca="1"/>
        <v>2.0779175974220632E-2</v>
      </c>
      <c r="AB338" s="162">
        <f ca="1"/>
        <v>0</v>
      </c>
      <c r="AC338" s="162">
        <f ca="1"/>
        <v>3.8793920997716724E-2</v>
      </c>
      <c r="AD338" s="162">
        <f ca="1"/>
        <v>5.3552333526529217E-2</v>
      </c>
      <c r="AE338" s="138">
        <f ca="1"/>
        <v>7.553927576865771E-2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1.5949211968613319E-3</v>
      </c>
      <c r="Q339" s="162">
        <f ca="1"/>
        <v>0</v>
      </c>
      <c r="R339" s="162">
        <f ca="1"/>
        <v>1.0384841806188816E-2</v>
      </c>
      <c r="S339" s="162">
        <f ca="1"/>
        <v>0</v>
      </c>
      <c r="T339" s="162">
        <f ca="1"/>
        <v>2.389010396177782E-2</v>
      </c>
      <c r="U339" s="162">
        <f ca="1"/>
        <v>3.2569921007456926E-2</v>
      </c>
      <c r="V339" s="138">
        <f ca="1"/>
        <v>5.1562491095326735E-2</v>
      </c>
      <c r="W339" s="137">
        <f ca="1"/>
        <v>0</v>
      </c>
      <c r="X339" s="162">
        <f ca="1"/>
        <v>0</v>
      </c>
      <c r="Y339" s="162">
        <f ca="1"/>
        <v>1.7497703095112893E-3</v>
      </c>
      <c r="Z339" s="162">
        <f ca="1"/>
        <v>0</v>
      </c>
      <c r="AA339" s="162">
        <f ca="1"/>
        <v>1.0787212062006724E-2</v>
      </c>
      <c r="AB339" s="162">
        <f ca="1"/>
        <v>0</v>
      </c>
      <c r="AC339" s="162">
        <f ca="1"/>
        <v>2.4533346386220067E-2</v>
      </c>
      <c r="AD339" s="162">
        <f ca="1"/>
        <v>3.3451804303692323E-2</v>
      </c>
      <c r="AE339" s="138">
        <f ca="1"/>
        <v>5.2783607235476482E-2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1.027920628112966E-3</v>
      </c>
      <c r="Q340" s="162">
        <f ca="1"/>
        <v>0</v>
      </c>
      <c r="R340" s="162">
        <f ca="1"/>
        <v>6.3243793715451746E-3</v>
      </c>
      <c r="S340" s="162">
        <f ca="1"/>
        <v>0</v>
      </c>
      <c r="T340" s="162">
        <f ca="1"/>
        <v>1.8040473535883006E-2</v>
      </c>
      <c r="U340" s="162">
        <f ca="1"/>
        <v>3.2670561237673534E-2</v>
      </c>
      <c r="V340" s="138">
        <f ca="1"/>
        <v>5.7944883793825341E-2</v>
      </c>
      <c r="W340" s="137">
        <f ca="1"/>
        <v>0</v>
      </c>
      <c r="X340" s="162">
        <f ca="1"/>
        <v>0</v>
      </c>
      <c r="Y340" s="162">
        <f ca="1"/>
        <v>1.1828645337689236E-3</v>
      </c>
      <c r="Z340" s="162">
        <f ca="1"/>
        <v>0</v>
      </c>
      <c r="AA340" s="162">
        <f ca="1"/>
        <v>6.7285899159816864E-3</v>
      </c>
      <c r="AB340" s="162">
        <f ca="1"/>
        <v>0</v>
      </c>
      <c r="AC340" s="162">
        <f ca="1"/>
        <v>1.8687894975239927E-2</v>
      </c>
      <c r="AD340" s="162">
        <f ca="1"/>
        <v>3.3553743576857364E-2</v>
      </c>
      <c r="AE340" s="138">
        <f ca="1"/>
        <v>5.9159723309920587E-2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6.110901553602055E-4</v>
      </c>
      <c r="P341" s="162">
        <f ca="1"/>
        <v>1.4537554516381723E-3</v>
      </c>
      <c r="Q341" s="162">
        <f ca="1"/>
        <v>4.1627859393597033E-3</v>
      </c>
      <c r="R341" s="162">
        <f ca="1"/>
        <v>8.8369353641674087E-3</v>
      </c>
      <c r="S341" s="162">
        <f ca="1"/>
        <v>0</v>
      </c>
      <c r="T341" s="162">
        <f ca="1"/>
        <v>2.3495729734904436E-2</v>
      </c>
      <c r="U341" s="162">
        <f ca="1"/>
        <v>4.1381020737416674E-2</v>
      </c>
      <c r="V341" s="138">
        <f ca="1"/>
        <v>7.2984068496669496E-2</v>
      </c>
      <c r="W341" s="137">
        <f ca="1"/>
        <v>0</v>
      </c>
      <c r="X341" s="162">
        <f ca="1"/>
        <v>7.3326226528613869E-4</v>
      </c>
      <c r="Y341" s="162">
        <f ca="1"/>
        <v>1.6602825265449317E-3</v>
      </c>
      <c r="Z341" s="162">
        <f ca="1"/>
        <v>4.5359633972557045E-3</v>
      </c>
      <c r="AA341" s="162">
        <f ca="1"/>
        <v>9.3751420219748693E-3</v>
      </c>
      <c r="AB341" s="162">
        <f ca="1"/>
        <v>0</v>
      </c>
      <c r="AC341" s="162">
        <f ca="1"/>
        <v>2.435508514997542E-2</v>
      </c>
      <c r="AD341" s="162">
        <f ca="1"/>
        <v>4.254975505559444E-2</v>
      </c>
      <c r="AE341" s="138">
        <f ca="1"/>
        <v>7.4580721313768805E-2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9.7756569606266552E-4</v>
      </c>
      <c r="P342" s="162">
        <f ca="1"/>
        <v>2.640080153414992E-3</v>
      </c>
      <c r="Q342" s="162">
        <f ca="1"/>
        <v>7.0648474571218811E-3</v>
      </c>
      <c r="R342" s="162">
        <f ca="1"/>
        <v>1.2610585014465547E-2</v>
      </c>
      <c r="S342" s="162">
        <f ca="1"/>
        <v>0</v>
      </c>
      <c r="T342" s="162">
        <f ca="1"/>
        <v>2.4872079235757849E-2</v>
      </c>
      <c r="U342" s="162">
        <f ca="1"/>
        <v>3.9357246610227881E-2</v>
      </c>
      <c r="V342" s="138">
        <f ca="1"/>
        <v>6.4603246101687328E-2</v>
      </c>
      <c r="W342" s="137">
        <f ca="1"/>
        <v>0</v>
      </c>
      <c r="X342" s="162">
        <f ca="1"/>
        <v>1.0996914127785473E-3</v>
      </c>
      <c r="Y342" s="162">
        <f ca="1"/>
        <v>2.8463930365916212E-3</v>
      </c>
      <c r="Z342" s="162">
        <f ca="1"/>
        <v>7.4370069173141928E-3</v>
      </c>
      <c r="AA342" s="162">
        <f ca="1"/>
        <v>1.3146748458826574E-2</v>
      </c>
      <c r="AB342" s="162">
        <f ca="1"/>
        <v>0</v>
      </c>
      <c r="AC342" s="162">
        <f ca="1"/>
        <v>2.5729437057414262E-2</v>
      </c>
      <c r="AD342" s="162">
        <f ca="1"/>
        <v>4.0526160279936496E-2</v>
      </c>
      <c r="AE342" s="138">
        <f ca="1"/>
        <v>6.6212278863662322E-2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2.6072921862462239E-3</v>
      </c>
      <c r="Q343" s="162">
        <f ca="1"/>
        <v>0</v>
      </c>
      <c r="R343" s="162">
        <f ca="1"/>
        <v>1.3112940284008889E-2</v>
      </c>
      <c r="S343" s="162">
        <f ca="1"/>
        <v>0</v>
      </c>
      <c r="T343" s="162">
        <f ca="1"/>
        <v>3.4011059700534751E-2</v>
      </c>
      <c r="U343" s="162">
        <f ca="1"/>
        <v>6.4954325606048302E-2</v>
      </c>
      <c r="V343" s="138">
        <f ca="1"/>
        <v>8.8793694986307958E-2</v>
      </c>
      <c r="W343" s="137">
        <f ca="1"/>
        <v>0</v>
      </c>
      <c r="X343" s="162">
        <f ca="1"/>
        <v>0</v>
      </c>
      <c r="Y343" s="162">
        <f ca="1"/>
        <v>2.7619640544614965E-3</v>
      </c>
      <c r="Z343" s="162">
        <f ca="1"/>
        <v>0</v>
      </c>
      <c r="AA343" s="162">
        <f ca="1"/>
        <v>1.3513929496572819E-2</v>
      </c>
      <c r="AB343" s="162">
        <f ca="1"/>
        <v>0</v>
      </c>
      <c r="AC343" s="162">
        <f ca="1"/>
        <v>3.4646441999300781E-2</v>
      </c>
      <c r="AD343" s="162">
        <f ca="1"/>
        <v>6.5805641095768586E-2</v>
      </c>
      <c r="AE343" s="138">
        <f ca="1"/>
        <v>8.9969224090619471E-2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4.445222284265915E-3</v>
      </c>
      <c r="Q344" s="162">
        <f ca="1"/>
        <v>0</v>
      </c>
      <c r="R344" s="162">
        <f ca="1"/>
        <v>1.8826399358660484E-2</v>
      </c>
      <c r="S344" s="162">
        <f ca="1"/>
        <v>0</v>
      </c>
      <c r="T344" s="162">
        <f ca="1"/>
        <v>3.9468014660176465E-2</v>
      </c>
      <c r="U344" s="162">
        <f ca="1"/>
        <v>5.7874931409279351E-2</v>
      </c>
      <c r="V344" s="138">
        <f ca="1"/>
        <v>9.2489449252072808E-2</v>
      </c>
      <c r="W344" s="137">
        <f ca="1"/>
        <v>0</v>
      </c>
      <c r="X344" s="162">
        <f ca="1"/>
        <v>0</v>
      </c>
      <c r="Y344" s="162">
        <f ca="1"/>
        <v>4.5995446899963488E-3</v>
      </c>
      <c r="Z344" s="162">
        <f ca="1"/>
        <v>0</v>
      </c>
      <c r="AA344" s="162">
        <f ca="1"/>
        <v>1.9224297023198833E-2</v>
      </c>
      <c r="AB344" s="162">
        <f ca="1"/>
        <v>0</v>
      </c>
      <c r="AC344" s="162">
        <f ca="1"/>
        <v>4.0099194370748048E-2</v>
      </c>
      <c r="AD344" s="162">
        <f ca="1"/>
        <v>5.8733438419599771E-2</v>
      </c>
      <c r="AE344" s="138">
        <f ca="1"/>
        <v>9.3669348922795992E-2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1.0538979203273957E-3</v>
      </c>
      <c r="P345" s="162">
        <f ca="1"/>
        <v>2.5853577837654518E-3</v>
      </c>
      <c r="Q345" s="162">
        <f ca="1"/>
        <v>8.0034584822048505E-3</v>
      </c>
      <c r="R345" s="162">
        <f ca="1"/>
        <v>1.6056890907713894E-2</v>
      </c>
      <c r="S345" s="162">
        <f ca="1"/>
        <v>0</v>
      </c>
      <c r="T345" s="162">
        <f ca="1"/>
        <v>3.6856344861140311E-2</v>
      </c>
      <c r="U345" s="162">
        <f ca="1"/>
        <v>5.717954144867754E-2</v>
      </c>
      <c r="V345" s="138">
        <f ca="1"/>
        <v>8.5057799449246407E-2</v>
      </c>
      <c r="W345" s="137">
        <f ca="1"/>
        <v>0</v>
      </c>
      <c r="X345" s="162">
        <f ca="1"/>
        <v>1.1454855926279484E-3</v>
      </c>
      <c r="Y345" s="162">
        <f ca="1"/>
        <v>2.7400959855735652E-3</v>
      </c>
      <c r="Z345" s="162">
        <f ca="1"/>
        <v>8.2823450304708723E-3</v>
      </c>
      <c r="AA345" s="162">
        <f ca="1"/>
        <v>1.6457853038089332E-2</v>
      </c>
      <c r="AB345" s="162">
        <f ca="1"/>
        <v>0</v>
      </c>
      <c r="AC345" s="162">
        <f ca="1"/>
        <v>3.7490561243865739E-2</v>
      </c>
      <c r="AD345" s="162">
        <f ca="1"/>
        <v>5.8040398180903896E-2</v>
      </c>
      <c r="AE345" s="138">
        <f ca="1"/>
        <v>8.6234722984771972E-2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1.3652732160628345E-3</v>
      </c>
      <c r="P346" s="162">
        <f ca="1"/>
        <v>3.3946607704359311E-3</v>
      </c>
      <c r="Q346" s="162">
        <f ca="1"/>
        <v>8.7692678714954564E-3</v>
      </c>
      <c r="R346" s="162">
        <f ca="1"/>
        <v>1.6359602676128793E-2</v>
      </c>
      <c r="S346" s="162">
        <f ca="1"/>
        <v>0</v>
      </c>
      <c r="T346" s="162">
        <f ca="1"/>
        <v>3.5358436957544037E-2</v>
      </c>
      <c r="U346" s="162">
        <f ca="1"/>
        <v>5.4131308194746985E-2</v>
      </c>
      <c r="V346" s="138">
        <f ca="1"/>
        <v>8.0860879338307878E-2</v>
      </c>
      <c r="W346" s="137">
        <f ca="1"/>
        <v>0</v>
      </c>
      <c r="X346" s="162">
        <f ca="1"/>
        <v>1.4568302447544035E-3</v>
      </c>
      <c r="Y346" s="162">
        <f ca="1"/>
        <v>3.5492831637696787E-3</v>
      </c>
      <c r="Z346" s="162">
        <f ca="1"/>
        <v>9.0478984057696943E-3</v>
      </c>
      <c r="AA346" s="162">
        <f ca="1"/>
        <v>1.6760310997384287E-2</v>
      </c>
      <c r="AB346" s="162">
        <f ca="1"/>
        <v>0</v>
      </c>
      <c r="AC346" s="162">
        <f ca="1"/>
        <v>3.5993675792380553E-2</v>
      </c>
      <c r="AD346" s="162">
        <f ca="1"/>
        <v>5.499448476151525E-2</v>
      </c>
      <c r="AE346" s="138">
        <f ca="1"/>
        <v>8.2043075209622618E-2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1.2737022797936204E-3</v>
      </c>
      <c r="P347" s="162">
        <f ca="1"/>
        <v>3.2557448349318507E-3</v>
      </c>
      <c r="Q347" s="162">
        <f ca="1"/>
        <v>8.6335070339332853E-3</v>
      </c>
      <c r="R347" s="162">
        <f ca="1"/>
        <v>1.6035678349092142E-2</v>
      </c>
      <c r="S347" s="162">
        <f ca="1"/>
        <v>0</v>
      </c>
      <c r="T347" s="162">
        <f ca="1"/>
        <v>3.5399694204171106E-2</v>
      </c>
      <c r="U347" s="162">
        <f ca="1"/>
        <v>5.5169149844183196E-2</v>
      </c>
      <c r="V347" s="138">
        <f ca="1"/>
        <v>8.5144512346743806E-2</v>
      </c>
      <c r="W347" s="137">
        <f ca="1"/>
        <v>0</v>
      </c>
      <c r="X347" s="162">
        <f ca="1"/>
        <v>1.3652683804161736E-3</v>
      </c>
      <c r="Y347" s="162">
        <f ca="1"/>
        <v>3.4103898840385227E-3</v>
      </c>
      <c r="Z347" s="162">
        <f ca="1"/>
        <v>8.9121856126936905E-3</v>
      </c>
      <c r="AA347" s="162">
        <f ca="1"/>
        <v>1.6436521581373986E-2</v>
      </c>
      <c r="AB347" s="162">
        <f ca="1"/>
        <v>0</v>
      </c>
      <c r="AC347" s="162">
        <f ca="1"/>
        <v>3.6034897932577414E-2</v>
      </c>
      <c r="AD347" s="162">
        <f ca="1"/>
        <v>5.6031498954845715E-2</v>
      </c>
      <c r="AE347" s="138">
        <f ca="1"/>
        <v>8.6320384962838226E-2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5.1574381930349356E-3</v>
      </c>
      <c r="Q348" s="162">
        <f ca="1"/>
        <v>0</v>
      </c>
      <c r="R348" s="162">
        <f ca="1"/>
        <v>2.0075616715143352E-2</v>
      </c>
      <c r="S348" s="162">
        <f ca="1"/>
        <v>0</v>
      </c>
      <c r="T348" s="162">
        <f ca="1"/>
        <v>4.4236777430004759E-2</v>
      </c>
      <c r="U348" s="162">
        <f ca="1"/>
        <v>7.0845118888758107E-2</v>
      </c>
      <c r="V348" s="138">
        <f ca="1"/>
        <v>0.12120480593212668</v>
      </c>
      <c r="W348" s="137">
        <f ca="1"/>
        <v>0</v>
      </c>
      <c r="X348" s="162">
        <f ca="1"/>
        <v>0</v>
      </c>
      <c r="Y348" s="162">
        <f ca="1"/>
        <v>5.3630454539580485E-3</v>
      </c>
      <c r="Z348" s="162">
        <f ca="1"/>
        <v>0</v>
      </c>
      <c r="AA348" s="162">
        <f ca="1"/>
        <v>2.0605800157311727E-2</v>
      </c>
      <c r="AB348" s="162">
        <f ca="1"/>
        <v>0</v>
      </c>
      <c r="AC348" s="162">
        <f ca="1"/>
        <v>4.5074498120504125E-2</v>
      </c>
      <c r="AD348" s="162">
        <f ca="1"/>
        <v>7.1974798225485692E-2</v>
      </c>
      <c r="AE348" s="138">
        <f ca="1"/>
        <v>0.12274040179380041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1.118012500505805E-3</v>
      </c>
      <c r="P349" s="162">
        <f ca="1"/>
        <v>2.8353637073251781E-3</v>
      </c>
      <c r="Q349" s="162">
        <f ca="1"/>
        <v>7.5614629125504429E-3</v>
      </c>
      <c r="R349" s="162">
        <f ca="1"/>
        <v>1.4158756165334796E-2</v>
      </c>
      <c r="S349" s="162">
        <f ca="1"/>
        <v>0</v>
      </c>
      <c r="T349" s="162">
        <f ca="1"/>
        <v>3.2148532977138156E-2</v>
      </c>
      <c r="U349" s="162">
        <f ca="1"/>
        <v>5.0776403203995235E-2</v>
      </c>
      <c r="V349" s="138">
        <f ca="1"/>
        <v>7.9126456426264813E-2</v>
      </c>
      <c r="W349" s="137">
        <f ca="1"/>
        <v>0</v>
      </c>
      <c r="X349" s="162">
        <f ca="1"/>
        <v>1.2095939101730568E-3</v>
      </c>
      <c r="Y349" s="162">
        <f ca="1"/>
        <v>2.9900685528705395E-3</v>
      </c>
      <c r="Z349" s="162">
        <f ca="1"/>
        <v>7.8404365312146895E-3</v>
      </c>
      <c r="AA349" s="162">
        <f ca="1"/>
        <v>1.4560327529219541E-2</v>
      </c>
      <c r="AB349" s="162">
        <f ca="1"/>
        <v>0</v>
      </c>
      <c r="AC349" s="162">
        <f ca="1"/>
        <v>3.2786212133783299E-2</v>
      </c>
      <c r="AD349" s="162">
        <f ca="1"/>
        <v>5.1643010369104458E-2</v>
      </c>
      <c r="AE349" s="138">
        <f ca="1"/>
        <v>8.0311428635790882E-2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1.301174438462338E-3</v>
      </c>
      <c r="P350" s="162">
        <f ca="1"/>
        <v>2.751260618653939E-3</v>
      </c>
      <c r="Q350" s="162">
        <f ca="1"/>
        <v>7.5300036745723498E-3</v>
      </c>
      <c r="R350" s="162">
        <f ca="1"/>
        <v>1.4072553988394021E-2</v>
      </c>
      <c r="S350" s="162">
        <f ca="1"/>
        <v>0</v>
      </c>
      <c r="T350" s="162">
        <f ca="1"/>
        <v>3.0762089369499979E-2</v>
      </c>
      <c r="U350" s="162">
        <f ca="1"/>
        <v>4.833038014749047E-2</v>
      </c>
      <c r="V350" s="138">
        <f ca="1"/>
        <v>7.5241224311556776E-2</v>
      </c>
      <c r="W350" s="137">
        <f ca="1"/>
        <v>0</v>
      </c>
      <c r="X350" s="162">
        <f ca="1"/>
        <v>1.3927378227116538E-3</v>
      </c>
      <c r="Y350" s="162">
        <f ca="1"/>
        <v>2.9059618358044936E-3</v>
      </c>
      <c r="Z350" s="162">
        <f ca="1"/>
        <v>7.8089751558488851E-3</v>
      </c>
      <c r="AA350" s="162">
        <f ca="1"/>
        <v>1.4474148198158621E-2</v>
      </c>
      <c r="AB350" s="162">
        <f ca="1"/>
        <v>0</v>
      </c>
      <c r="AC350" s="162">
        <f ca="1"/>
        <v>3.140078778425115E-2</v>
      </c>
      <c r="AD350" s="162">
        <f ca="1"/>
        <v>4.9199046034412608E-2</v>
      </c>
      <c r="AE350" s="138">
        <f ca="1"/>
        <v>7.6431588455569632E-2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2.2591766993805829E-3</v>
      </c>
      <c r="P351" s="162">
        <f ca="1"/>
        <v>4.2802182802312849E-3</v>
      </c>
      <c r="Q351" s="162">
        <f ca="1"/>
        <v>1.0564942888594997E-2</v>
      </c>
      <c r="R351" s="162">
        <f ca="1"/>
        <v>1.7759601924437374E-2</v>
      </c>
      <c r="S351" s="162">
        <f ca="1"/>
        <v>0</v>
      </c>
      <c r="T351" s="162">
        <f ca="1"/>
        <v>3.6240426578608931E-2</v>
      </c>
      <c r="U351" s="162">
        <f ca="1"/>
        <v>5.6056322009243598E-2</v>
      </c>
      <c r="V351" s="138">
        <f ca="1"/>
        <v>8.5492019529318841E-2</v>
      </c>
      <c r="W351" s="137">
        <f ca="1"/>
        <v>0</v>
      </c>
      <c r="X351" s="162">
        <f ca="1"/>
        <v>2.381133839366445E-3</v>
      </c>
      <c r="Y351" s="162">
        <f ca="1"/>
        <v>4.4861568170809774E-3</v>
      </c>
      <c r="Z351" s="162">
        <f ca="1"/>
        <v>1.0935734626201454E-2</v>
      </c>
      <c r="AA351" s="162">
        <f ca="1"/>
        <v>1.8292932433511822E-2</v>
      </c>
      <c r="AB351" s="162">
        <f ca="1"/>
        <v>0</v>
      </c>
      <c r="AC351" s="162">
        <f ca="1"/>
        <v>3.7087057486205888E-2</v>
      </c>
      <c r="AD351" s="162">
        <f ca="1"/>
        <v>5.7204925645476745E-2</v>
      </c>
      <c r="AE351" s="138">
        <f ca="1"/>
        <v>8.706185600055194E-2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1.7223469324276763E-3</v>
      </c>
      <c r="P352" s="162">
        <f ca="1"/>
        <v>4.5480656949214993E-3</v>
      </c>
      <c r="Q352" s="162">
        <f ca="1"/>
        <v>1.2101123529183466E-2</v>
      </c>
      <c r="R352" s="162">
        <f ca="1"/>
        <v>2.0341169908757339E-2</v>
      </c>
      <c r="S352" s="162">
        <f ca="1"/>
        <v>0</v>
      </c>
      <c r="T352" s="162">
        <f ca="1"/>
        <v>3.9690021500596195E-2</v>
      </c>
      <c r="U352" s="162">
        <f ca="1"/>
        <v>5.931939562229871E-2</v>
      </c>
      <c r="V352" s="138">
        <f ca="1"/>
        <v>8.9779596123344074E-2</v>
      </c>
      <c r="W352" s="137">
        <f ca="1"/>
        <v>0</v>
      </c>
      <c r="X352" s="162">
        <f ca="1"/>
        <v>1.8443778462811089E-3</v>
      </c>
      <c r="Y352" s="162">
        <f ca="1"/>
        <v>4.7540159459075193E-3</v>
      </c>
      <c r="Z352" s="162">
        <f ca="1"/>
        <v>1.2471433815402166E-2</v>
      </c>
      <c r="AA352" s="162">
        <f ca="1"/>
        <v>2.0873171740358187E-2</v>
      </c>
      <c r="AB352" s="162">
        <f ca="1"/>
        <v>0</v>
      </c>
      <c r="AC352" s="162">
        <f ca="1"/>
        <v>4.0532620056581981E-2</v>
      </c>
      <c r="AD352" s="162">
        <f ca="1"/>
        <v>6.0462561843076856E-2</v>
      </c>
      <c r="AE352" s="138">
        <f ca="1"/>
        <v>9.133809928877612E-2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1.2462293686761328E-3</v>
      </c>
      <c r="P353" s="162">
        <f ca="1"/>
        <v>3.1988518481023132E-3</v>
      </c>
      <c r="Q353" s="162">
        <f ca="1"/>
        <v>7.7266039384508156E-3</v>
      </c>
      <c r="R353" s="162">
        <f ca="1"/>
        <v>1.5150424837538923E-2</v>
      </c>
      <c r="S353" s="162">
        <f ca="1"/>
        <v>0</v>
      </c>
      <c r="T353" s="162">
        <f ca="1"/>
        <v>3.852696888968965E-2</v>
      </c>
      <c r="U353" s="162">
        <f ca="1"/>
        <v>6.1598823399597102E-2</v>
      </c>
      <c r="V353" s="138">
        <f ca="1"/>
        <v>9.2734610431175479E-2</v>
      </c>
      <c r="W353" s="137">
        <f ca="1"/>
        <v>0</v>
      </c>
      <c r="X353" s="162">
        <f ca="1"/>
        <v>1.3683205770816942E-3</v>
      </c>
      <c r="Y353" s="162">
        <f ca="1"/>
        <v>3.4050535960310491E-3</v>
      </c>
      <c r="Z353" s="162">
        <f ca="1"/>
        <v>8.0984813279822987E-3</v>
      </c>
      <c r="AA353" s="162">
        <f ca="1"/>
        <v>1.568538883959758E-2</v>
      </c>
      <c r="AB353" s="162">
        <f ca="1"/>
        <v>0</v>
      </c>
      <c r="AC353" s="162">
        <f ca="1"/>
        <v>3.9371900634804335E-2</v>
      </c>
      <c r="AD353" s="162">
        <f ca="1"/>
        <v>6.274284856304424E-2</v>
      </c>
      <c r="AE353" s="138">
        <f ca="1"/>
        <v>9.429382946123821E-2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2.0151865617886733E-3</v>
      </c>
      <c r="P354" s="162">
        <f ca="1"/>
        <v>5.2519192564008943E-3</v>
      </c>
      <c r="Q354" s="162">
        <f ca="1"/>
        <v>1.2142554868935451E-2</v>
      </c>
      <c r="R354" s="162">
        <f ca="1"/>
        <v>1.9230579148240334E-2</v>
      </c>
      <c r="S354" s="162">
        <f ca="1"/>
        <v>0</v>
      </c>
      <c r="T354" s="162">
        <f ca="1"/>
        <v>3.6933879383171275E-2</v>
      </c>
      <c r="U354" s="162">
        <f ca="1"/>
        <v>5.5726483389325954E-2</v>
      </c>
      <c r="V354" s="138">
        <f ca="1"/>
        <v>8.5165994773313103E-2</v>
      </c>
      <c r="W354" s="137">
        <f ca="1"/>
        <v>0</v>
      </c>
      <c r="X354" s="162">
        <f ca="1"/>
        <v>2.1371765835573875E-3</v>
      </c>
      <c r="Y354" s="162">
        <f ca="1"/>
        <v>5.457729714855919E-3</v>
      </c>
      <c r="Z354" s="162">
        <f ca="1"/>
        <v>1.251279050146592E-2</v>
      </c>
      <c r="AA354" s="162">
        <f ca="1"/>
        <v>1.9763032937370695E-2</v>
      </c>
      <c r="AB354" s="162">
        <f ca="1"/>
        <v>0</v>
      </c>
      <c r="AC354" s="162">
        <f ca="1"/>
        <v>3.7779568429513688E-2</v>
      </c>
      <c r="AD354" s="162">
        <f ca="1"/>
        <v>5.6874640312117641E-2</v>
      </c>
      <c r="AE354" s="138">
        <f ca="1"/>
        <v>8.6735161923536364E-2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1.2950695793290112E-3</v>
      </c>
      <c r="P355" s="162">
        <f ca="1"/>
        <v>3.5121529902281123E-3</v>
      </c>
      <c r="Q355" s="162">
        <f ca="1"/>
        <v>7.5607188571368278E-3</v>
      </c>
      <c r="R355" s="162">
        <f ca="1"/>
        <v>1.3901262975000384E-2</v>
      </c>
      <c r="S355" s="162">
        <f ca="1"/>
        <v>0</v>
      </c>
      <c r="T355" s="162">
        <f ca="1"/>
        <v>3.2133489071447641E-2</v>
      </c>
      <c r="U355" s="162">
        <f ca="1"/>
        <v>5.1094233426117519E-2</v>
      </c>
      <c r="V355" s="138">
        <f ca="1"/>
        <v>7.9552973284058415E-2</v>
      </c>
      <c r="W355" s="137">
        <f ca="1"/>
        <v>0</v>
      </c>
      <c r="X355" s="162">
        <f ca="1"/>
        <v>1.4171544684062898E-3</v>
      </c>
      <c r="Y355" s="162">
        <f ca="1"/>
        <v>3.7183020758652097E-3</v>
      </c>
      <c r="Z355" s="162">
        <f ca="1"/>
        <v>7.9326112141702154E-3</v>
      </c>
      <c r="AA355" s="162">
        <f ca="1"/>
        <v>1.4436704396229794E-2</v>
      </c>
      <c r="AB355" s="162">
        <f ca="1"/>
        <v>0</v>
      </c>
      <c r="AC355" s="162">
        <f ca="1"/>
        <v>3.2984415905279674E-2</v>
      </c>
      <c r="AD355" s="162">
        <f ca="1"/>
        <v>5.2250076081805763E-2</v>
      </c>
      <c r="AE355" s="138">
        <f ca="1"/>
        <v>8.1135505420240728E-2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9.9893930429884037E-4</v>
      </c>
      <c r="P356" s="162">
        <f ca="1"/>
        <v>2.4295187291031306E-3</v>
      </c>
      <c r="Q356" s="162">
        <f ca="1"/>
        <v>6.1992385014008056E-3</v>
      </c>
      <c r="R356" s="162">
        <f ca="1"/>
        <v>1.1229420859375949E-2</v>
      </c>
      <c r="S356" s="162">
        <f ca="1"/>
        <v>0</v>
      </c>
      <c r="T356" s="162">
        <f ca="1"/>
        <v>2.3396608378530193E-2</v>
      </c>
      <c r="U356" s="162">
        <f ca="1"/>
        <v>3.6998887079375375E-2</v>
      </c>
      <c r="V356" s="138">
        <f ca="1"/>
        <v>6.0358818823841975E-2</v>
      </c>
      <c r="W356" s="137">
        <f ca="1"/>
        <v>0</v>
      </c>
      <c r="X356" s="162">
        <f ca="1"/>
        <v>1.0905323255991917E-3</v>
      </c>
      <c r="Y356" s="162">
        <f ca="1"/>
        <v>2.5842787496676012E-3</v>
      </c>
      <c r="Z356" s="162">
        <f ca="1"/>
        <v>6.478566696588195E-3</v>
      </c>
      <c r="AA356" s="162">
        <f ca="1"/>
        <v>1.1632054864516461E-2</v>
      </c>
      <c r="AB356" s="162">
        <f ca="1"/>
        <v>0</v>
      </c>
      <c r="AC356" s="162">
        <f ca="1"/>
        <v>2.4040480976899925E-2</v>
      </c>
      <c r="AD356" s="162">
        <f ca="1"/>
        <v>3.787762783785309E-2</v>
      </c>
      <c r="AE356" s="138">
        <f ca="1"/>
        <v>6.1570005594386301E-2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2.1249894713503137E-3</v>
      </c>
      <c r="P357" s="162">
        <f ca="1"/>
        <v>4.32620476430845E-3</v>
      </c>
      <c r="Q357" s="162">
        <f ca="1"/>
        <v>1.0452822776079063E-2</v>
      </c>
      <c r="R357" s="162">
        <f ca="1"/>
        <v>1.8162709242413144E-2</v>
      </c>
      <c r="S357" s="162">
        <f ca="1"/>
        <v>0</v>
      </c>
      <c r="T357" s="162">
        <f ca="1"/>
        <v>3.5294311620570618E-2</v>
      </c>
      <c r="U357" s="162">
        <f ca="1"/>
        <v>5.4143451554355848E-2</v>
      </c>
      <c r="V357" s="138">
        <f ca="1"/>
        <v>8.5853734048162544E-2</v>
      </c>
      <c r="W357" s="137">
        <f ca="1"/>
        <v>0</v>
      </c>
      <c r="X357" s="162">
        <f ca="1"/>
        <v>2.2469647426345274E-3</v>
      </c>
      <c r="Y357" s="162">
        <f ca="1"/>
        <v>4.5321491646738155E-3</v>
      </c>
      <c r="Z357" s="162">
        <f ca="1"/>
        <v>1.0823660915797895E-2</v>
      </c>
      <c r="AA357" s="162">
        <f ca="1"/>
        <v>1.8695895070484414E-2</v>
      </c>
      <c r="AB357" s="162">
        <f ca="1"/>
        <v>0</v>
      </c>
      <c r="AC357" s="162">
        <f ca="1"/>
        <v>3.6141847201589639E-2</v>
      </c>
      <c r="AD357" s="162">
        <f ca="1"/>
        <v>5.5294039572448384E-2</v>
      </c>
      <c r="AE357" s="138">
        <f ca="1"/>
        <v>8.7422158247345227E-2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1.301174438462338E-3</v>
      </c>
      <c r="P358" s="162">
        <f ca="1"/>
        <v>2.8614468856011932E-3</v>
      </c>
      <c r="Q358" s="162">
        <f ca="1"/>
        <v>7.2099225399224753E-3</v>
      </c>
      <c r="R358" s="162">
        <f ca="1"/>
        <v>1.3786874085633505E-2</v>
      </c>
      <c r="S358" s="162">
        <f ca="1"/>
        <v>0</v>
      </c>
      <c r="T358" s="162">
        <f ca="1"/>
        <v>3.2187487040220675E-2</v>
      </c>
      <c r="U358" s="162">
        <f ca="1"/>
        <v>5.0815429114433153E-2</v>
      </c>
      <c r="V358" s="138">
        <f ca="1"/>
        <v>7.7698730167284236E-2</v>
      </c>
      <c r="W358" s="137">
        <f ca="1"/>
        <v>0</v>
      </c>
      <c r="X358" s="162">
        <f ca="1"/>
        <v>1.3927378227116538E-3</v>
      </c>
      <c r="Y358" s="162">
        <f ca="1"/>
        <v>3.0161354969863163E-3</v>
      </c>
      <c r="Z358" s="162">
        <f ca="1"/>
        <v>7.4889630622576586E-3</v>
      </c>
      <c r="AA358" s="162">
        <f ca="1"/>
        <v>1.4188571225431934E-2</v>
      </c>
      <c r="AB358" s="162">
        <f ca="1"/>
        <v>0</v>
      </c>
      <c r="AC358" s="162">
        <f ca="1"/>
        <v>3.2825124162246477E-2</v>
      </c>
      <c r="AD358" s="162">
        <f ca="1"/>
        <v>5.1682120653006591E-2</v>
      </c>
      <c r="AE358" s="138">
        <f ca="1"/>
        <v>7.8886118488479706E-2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2.2312547911826908E-3</v>
      </c>
      <c r="Q359" s="162">
        <f ca="1"/>
        <v>0</v>
      </c>
      <c r="R359" s="162">
        <f ca="1"/>
        <v>9.3795453331589895E-3</v>
      </c>
      <c r="S359" s="162">
        <f ca="1"/>
        <v>0</v>
      </c>
      <c r="T359" s="162">
        <f ca="1"/>
        <v>2.4294386653358924E-2</v>
      </c>
      <c r="U359" s="162">
        <f ca="1"/>
        <v>4.3113940107550097E-2</v>
      </c>
      <c r="V359" s="138">
        <f ca="1"/>
        <v>7.3834843089422342E-2</v>
      </c>
      <c r="W359" s="137">
        <f ca="1"/>
        <v>0</v>
      </c>
      <c r="X359" s="162">
        <f ca="1"/>
        <v>0</v>
      </c>
      <c r="Y359" s="162">
        <f ca="1"/>
        <v>2.3859937157112432E-3</v>
      </c>
      <c r="Z359" s="162">
        <f ca="1"/>
        <v>0</v>
      </c>
      <c r="AA359" s="162">
        <f ca="1"/>
        <v>9.7823210237983904E-3</v>
      </c>
      <c r="AB359" s="162">
        <f ca="1"/>
        <v>0</v>
      </c>
      <c r="AC359" s="162">
        <f ca="1"/>
        <v>2.493718560098912E-2</v>
      </c>
      <c r="AD359" s="162">
        <f ca="1"/>
        <v>4.3987251412184181E-2</v>
      </c>
      <c r="AE359" s="138">
        <f ca="1"/>
        <v>7.5026055792327795E-2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7.4306272719988464E-2</v>
      </c>
      <c r="Q360" s="162">
        <f ca="1"/>
        <v>0</v>
      </c>
      <c r="R360" s="162">
        <f ca="1"/>
        <v>0.15682379878427211</v>
      </c>
      <c r="S360" s="162">
        <f ca="1"/>
        <v>0</v>
      </c>
      <c r="T360" s="162">
        <f ca="1"/>
        <v>0.21214406906420047</v>
      </c>
      <c r="U360" s="162">
        <f ca="1"/>
        <v>0.23963864462890505</v>
      </c>
      <c r="V360" s="138">
        <f ca="1"/>
        <v>0.27307686315436097</v>
      </c>
      <c r="W360" s="137">
        <f ca="1"/>
        <v>0</v>
      </c>
      <c r="X360" s="162">
        <f ca="1"/>
        <v>0</v>
      </c>
      <c r="Y360" s="162">
        <f ca="1"/>
        <v>7.4497697712310185E-2</v>
      </c>
      <c r="Z360" s="162">
        <f ca="1"/>
        <v>0</v>
      </c>
      <c r="AA360" s="162">
        <f ca="1"/>
        <v>0.15727798849468388</v>
      </c>
      <c r="AB360" s="162">
        <f ca="1"/>
        <v>0</v>
      </c>
      <c r="AC360" s="162">
        <f ca="1"/>
        <v>0.21282387566857075</v>
      </c>
      <c r="AD360" s="162">
        <f ca="1"/>
        <v>0.24052521560988371</v>
      </c>
      <c r="AE360" s="138">
        <f ca="1"/>
        <v>0.27425681276614389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3.6129789961156789E-3</v>
      </c>
      <c r="Q361" s="162">
        <f ca="1"/>
        <v>0</v>
      </c>
      <c r="R361" s="162">
        <f ca="1"/>
        <v>1.4972444221255543E-2</v>
      </c>
      <c r="S361" s="162">
        <f ca="1"/>
        <v>0</v>
      </c>
      <c r="T361" s="162">
        <f ca="1"/>
        <v>3.0097677778090137E-2</v>
      </c>
      <c r="U361" s="162">
        <f ca="1"/>
        <v>4.1775200514897914E-2</v>
      </c>
      <c r="V361" s="138">
        <f ca="1"/>
        <v>6.1318928598137923E-2</v>
      </c>
      <c r="W361" s="137">
        <f ca="1"/>
        <v>0</v>
      </c>
      <c r="X361" s="162">
        <f ca="1"/>
        <v>0</v>
      </c>
      <c r="Y361" s="162">
        <f ca="1"/>
        <v>3.8189745371565165E-3</v>
      </c>
      <c r="Z361" s="162">
        <f ca="1"/>
        <v>0</v>
      </c>
      <c r="AA361" s="162">
        <f ca="1"/>
        <v>1.5506103719741482E-2</v>
      </c>
      <c r="AB361" s="162">
        <f ca="1"/>
        <v>0</v>
      </c>
      <c r="AC361" s="162">
        <f ca="1"/>
        <v>3.0949489711416311E-2</v>
      </c>
      <c r="AD361" s="162">
        <f ca="1"/>
        <v>4.2939260474857077E-2</v>
      </c>
      <c r="AE361" s="138">
        <f ca="1"/>
        <v>6.2929264913363481E-2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470">
        <v>351</v>
      </c>
      <c r="B362" s="463" t="s">
        <v>510</v>
      </c>
      <c r="C362" s="469">
        <v>0.4</v>
      </c>
      <c r="D362" s="471" t="s">
        <v>66</v>
      </c>
      <c r="K362" s="467">
        <v>8.7500000000000008E-3</v>
      </c>
    </row>
    <row r="363" spans="1:50">
      <c r="A363" s="470">
        <v>352</v>
      </c>
      <c r="B363" s="464" t="s">
        <v>511</v>
      </c>
      <c r="C363" s="469">
        <v>0.4</v>
      </c>
      <c r="D363" s="472" t="s">
        <v>66</v>
      </c>
      <c r="K363" s="467">
        <v>1.6250000000000001E-2</v>
      </c>
    </row>
    <row r="364" spans="1:50">
      <c r="A364" s="470">
        <v>353</v>
      </c>
      <c r="B364" s="465" t="s">
        <v>512</v>
      </c>
      <c r="C364" s="469">
        <v>0.4</v>
      </c>
      <c r="D364" s="472" t="s">
        <v>66</v>
      </c>
      <c r="K364" s="467">
        <v>1.6250000000000001E-2</v>
      </c>
    </row>
    <row r="365" spans="1:50">
      <c r="A365" s="470">
        <v>354</v>
      </c>
      <c r="B365" s="465" t="s">
        <v>513</v>
      </c>
      <c r="C365" s="469">
        <v>0.4</v>
      </c>
      <c r="D365" s="472" t="s">
        <v>66</v>
      </c>
      <c r="K365" s="467">
        <v>1.7500000000000002E-2</v>
      </c>
    </row>
    <row r="366" spans="1:50">
      <c r="A366" s="470">
        <v>355</v>
      </c>
      <c r="B366" s="465" t="s">
        <v>514</v>
      </c>
      <c r="C366" s="469">
        <v>0.4</v>
      </c>
      <c r="D366" s="472" t="s">
        <v>66</v>
      </c>
      <c r="K366" s="467">
        <v>1.2500000000000001E-2</v>
      </c>
    </row>
    <row r="367" spans="1:50">
      <c r="A367" s="470">
        <v>356</v>
      </c>
      <c r="B367" s="465" t="s">
        <v>515</v>
      </c>
      <c r="C367" s="469">
        <v>0.4</v>
      </c>
      <c r="D367" s="472" t="s">
        <v>67</v>
      </c>
      <c r="K367" s="467">
        <v>3.4000000000000002E-2</v>
      </c>
    </row>
    <row r="368" spans="1:50">
      <c r="A368" s="470">
        <v>357</v>
      </c>
      <c r="B368" s="465" t="s">
        <v>516</v>
      </c>
      <c r="C368" s="469">
        <v>0.4</v>
      </c>
      <c r="D368" s="472" t="s">
        <v>66</v>
      </c>
      <c r="K368" s="467">
        <v>1.375E-2</v>
      </c>
    </row>
    <row r="369" spans="1:11">
      <c r="A369" s="470">
        <v>358</v>
      </c>
      <c r="B369" s="465" t="s">
        <v>517</v>
      </c>
      <c r="C369" s="469">
        <v>0.4</v>
      </c>
      <c r="D369" s="472" t="s">
        <v>67</v>
      </c>
      <c r="K369" s="467">
        <v>3.85E-2</v>
      </c>
    </row>
    <row r="370" spans="1:11">
      <c r="A370" s="470">
        <v>359</v>
      </c>
      <c r="B370" s="465" t="s">
        <v>518</v>
      </c>
      <c r="C370" s="469">
        <v>0.4</v>
      </c>
      <c r="D370" s="472" t="s">
        <v>66</v>
      </c>
      <c r="K370" s="467">
        <v>1.6250000000000001E-2</v>
      </c>
    </row>
    <row r="371" spans="1:11">
      <c r="A371" s="470">
        <v>360</v>
      </c>
      <c r="B371" s="465" t="s">
        <v>519</v>
      </c>
      <c r="C371" s="469">
        <v>0.4</v>
      </c>
      <c r="D371" s="472" t="s">
        <v>66</v>
      </c>
      <c r="K371" s="467">
        <v>3.7499999999999999E-3</v>
      </c>
    </row>
    <row r="372" spans="1:11">
      <c r="A372" s="470">
        <v>361</v>
      </c>
      <c r="B372" s="465" t="s">
        <v>520</v>
      </c>
      <c r="C372" s="469">
        <v>0.4</v>
      </c>
      <c r="D372" s="472" t="s">
        <v>66</v>
      </c>
      <c r="K372" s="467">
        <v>0.01</v>
      </c>
    </row>
    <row r="373" spans="1:11">
      <c r="A373" s="470">
        <v>362</v>
      </c>
      <c r="B373" s="465" t="s">
        <v>521</v>
      </c>
      <c r="C373" s="469">
        <v>0.4</v>
      </c>
      <c r="D373" s="472" t="s">
        <v>66</v>
      </c>
      <c r="K373" s="467">
        <v>3.3750000000000002E-2</v>
      </c>
    </row>
    <row r="374" spans="1:11">
      <c r="A374" s="470">
        <v>363</v>
      </c>
      <c r="B374" s="465" t="s">
        <v>522</v>
      </c>
      <c r="C374" s="469">
        <v>0.4</v>
      </c>
      <c r="D374" s="472" t="s">
        <v>66</v>
      </c>
      <c r="K374" s="467">
        <v>1.2500000000000001E-2</v>
      </c>
    </row>
    <row r="375" spans="1:11">
      <c r="A375" s="470">
        <v>364</v>
      </c>
      <c r="B375" s="465" t="s">
        <v>523</v>
      </c>
      <c r="C375" s="469">
        <v>0.4</v>
      </c>
      <c r="D375" s="472" t="s">
        <v>66</v>
      </c>
      <c r="K375" s="467">
        <v>0.01</v>
      </c>
    </row>
    <row r="376" spans="1:11">
      <c r="A376" s="470">
        <v>365</v>
      </c>
      <c r="B376" s="465" t="s">
        <v>524</v>
      </c>
      <c r="C376" s="469">
        <v>0.4</v>
      </c>
      <c r="D376" s="472" t="s">
        <v>66</v>
      </c>
      <c r="K376" s="467">
        <v>8.7500000000000008E-3</v>
      </c>
    </row>
    <row r="377" spans="1:11">
      <c r="A377" s="470">
        <v>366</v>
      </c>
      <c r="B377" s="465" t="s">
        <v>525</v>
      </c>
      <c r="C377" s="469">
        <v>0.4</v>
      </c>
      <c r="D377" s="472" t="s">
        <v>66</v>
      </c>
      <c r="K377" s="467">
        <v>5.0000000000000001E-3</v>
      </c>
    </row>
    <row r="378" spans="1:11">
      <c r="A378" s="470">
        <v>367</v>
      </c>
      <c r="B378" s="465" t="s">
        <v>526</v>
      </c>
      <c r="C378" s="469">
        <v>0.4</v>
      </c>
      <c r="D378" s="472" t="s">
        <v>66</v>
      </c>
      <c r="K378" s="467">
        <v>3.4000000000000002E-2</v>
      </c>
    </row>
    <row r="379" spans="1:11">
      <c r="A379" s="470">
        <v>368</v>
      </c>
      <c r="B379" s="465" t="s">
        <v>527</v>
      </c>
      <c r="C379" s="469">
        <v>0.4</v>
      </c>
      <c r="D379" s="472" t="s">
        <v>66</v>
      </c>
      <c r="K379" s="467">
        <v>2.5000000000000001E-2</v>
      </c>
    </row>
    <row r="380" spans="1:11">
      <c r="A380" s="470">
        <v>369</v>
      </c>
      <c r="B380" s="465" t="s">
        <v>528</v>
      </c>
      <c r="C380" s="469">
        <v>0.4</v>
      </c>
      <c r="D380" s="472" t="s">
        <v>66</v>
      </c>
      <c r="K380" s="467">
        <v>1.375E-2</v>
      </c>
    </row>
    <row r="381" spans="1:11">
      <c r="A381" s="470">
        <v>370</v>
      </c>
      <c r="B381" s="465" t="s">
        <v>529</v>
      </c>
      <c r="C381" s="469">
        <v>0.4</v>
      </c>
      <c r="D381" s="472" t="s">
        <v>66</v>
      </c>
      <c r="K381" s="467">
        <v>0.01</v>
      </c>
    </row>
    <row r="382" spans="1:11">
      <c r="A382" s="470">
        <v>371</v>
      </c>
      <c r="B382" s="465" t="s">
        <v>530</v>
      </c>
      <c r="C382" s="469">
        <v>0.4</v>
      </c>
      <c r="D382" s="472" t="s">
        <v>66</v>
      </c>
      <c r="K382" s="467">
        <v>1.375E-2</v>
      </c>
    </row>
    <row r="383" spans="1:11">
      <c r="A383" s="470">
        <v>372</v>
      </c>
      <c r="B383" s="465" t="s">
        <v>531</v>
      </c>
      <c r="C383" s="469">
        <v>0.4</v>
      </c>
      <c r="D383" s="472" t="s">
        <v>66</v>
      </c>
      <c r="K383" s="467">
        <v>1.125E-2</v>
      </c>
    </row>
    <row r="384" spans="1:11">
      <c r="A384" s="470">
        <v>373</v>
      </c>
      <c r="B384" s="465" t="s">
        <v>532</v>
      </c>
      <c r="C384" s="469">
        <v>0.4</v>
      </c>
      <c r="D384" s="472" t="s">
        <v>66</v>
      </c>
      <c r="K384" s="467">
        <v>7.4999999999999997E-3</v>
      </c>
    </row>
    <row r="385" spans="1:11">
      <c r="A385" s="470">
        <v>374</v>
      </c>
      <c r="B385" s="465" t="s">
        <v>533</v>
      </c>
      <c r="C385" s="469">
        <v>0.4</v>
      </c>
      <c r="D385" s="472" t="s">
        <v>66</v>
      </c>
      <c r="K385" s="467">
        <v>0.04</v>
      </c>
    </row>
    <row r="386" spans="1:11">
      <c r="A386" s="470">
        <v>375</v>
      </c>
      <c r="B386" s="465" t="s">
        <v>534</v>
      </c>
      <c r="C386" s="469">
        <v>0.4</v>
      </c>
      <c r="D386" s="472" t="s">
        <v>66</v>
      </c>
      <c r="K386" s="467">
        <v>7.4999999999999997E-3</v>
      </c>
    </row>
    <row r="387" spans="1:11">
      <c r="A387" s="470">
        <v>376</v>
      </c>
      <c r="B387" s="465" t="s">
        <v>535</v>
      </c>
      <c r="C387" s="469">
        <v>0.4</v>
      </c>
      <c r="D387" s="472" t="s">
        <v>66</v>
      </c>
      <c r="K387" s="467">
        <v>3.7499999999999999E-2</v>
      </c>
    </row>
    <row r="388" spans="1:11">
      <c r="A388" s="470">
        <v>377</v>
      </c>
      <c r="B388" s="465" t="s">
        <v>536</v>
      </c>
      <c r="C388" s="469">
        <v>0.4</v>
      </c>
      <c r="D388" s="472" t="s">
        <v>66</v>
      </c>
      <c r="K388" s="467">
        <v>3.7499999999999999E-2</v>
      </c>
    </row>
    <row r="389" spans="1:11">
      <c r="A389" s="470">
        <v>378</v>
      </c>
      <c r="B389" s="465" t="s">
        <v>537</v>
      </c>
      <c r="C389" s="469">
        <v>0.4</v>
      </c>
      <c r="D389" s="472" t="s">
        <v>66</v>
      </c>
      <c r="K389" s="467">
        <v>2.375E-2</v>
      </c>
    </row>
    <row r="390" spans="1:11">
      <c r="A390" s="470">
        <v>379</v>
      </c>
      <c r="B390" s="465" t="s">
        <v>538</v>
      </c>
      <c r="C390" s="469">
        <v>0.4</v>
      </c>
      <c r="D390" s="472" t="s">
        <v>66</v>
      </c>
      <c r="K390" s="467">
        <v>2.375E-2</v>
      </c>
    </row>
    <row r="391" spans="1:11">
      <c r="A391" s="470">
        <v>380</v>
      </c>
      <c r="B391" s="465" t="s">
        <v>539</v>
      </c>
      <c r="C391" s="469">
        <v>0.4</v>
      </c>
      <c r="D391" s="472" t="s">
        <v>66</v>
      </c>
      <c r="K391" s="467">
        <v>6.2500000000000003E-3</v>
      </c>
    </row>
    <row r="392" spans="1:11">
      <c r="A392" s="470">
        <v>381</v>
      </c>
      <c r="B392" s="465" t="s">
        <v>540</v>
      </c>
      <c r="C392" s="469">
        <v>0.4</v>
      </c>
      <c r="D392" s="472" t="s">
        <v>66</v>
      </c>
      <c r="K392" s="467">
        <v>2.75E-2</v>
      </c>
    </row>
    <row r="393" spans="1:11">
      <c r="A393" s="470">
        <v>382</v>
      </c>
      <c r="B393" s="465" t="s">
        <v>541</v>
      </c>
      <c r="C393" s="469">
        <v>0.4</v>
      </c>
      <c r="D393" s="473"/>
      <c r="K393" s="467"/>
    </row>
    <row r="394" spans="1:11">
      <c r="A394" s="470">
        <v>383</v>
      </c>
      <c r="B394" s="465" t="s">
        <v>542</v>
      </c>
      <c r="C394" s="469">
        <v>0.4</v>
      </c>
      <c r="D394" s="472" t="s">
        <v>66</v>
      </c>
      <c r="K394" s="467">
        <v>3.875E-2</v>
      </c>
    </row>
    <row r="395" spans="1:11">
      <c r="A395" s="470">
        <v>384</v>
      </c>
      <c r="B395" s="465" t="s">
        <v>543</v>
      </c>
      <c r="C395" s="469">
        <v>0.4</v>
      </c>
      <c r="D395" s="472" t="s">
        <v>66</v>
      </c>
      <c r="K395" s="467">
        <v>3.875E-2</v>
      </c>
    </row>
    <row r="396" spans="1:11">
      <c r="A396" s="470">
        <v>385</v>
      </c>
      <c r="B396" s="465" t="s">
        <v>544</v>
      </c>
      <c r="C396" s="469">
        <v>0.4</v>
      </c>
      <c r="D396" s="472" t="s">
        <v>66</v>
      </c>
      <c r="K396" s="467">
        <v>0.03</v>
      </c>
    </row>
    <row r="397" spans="1:11">
      <c r="A397" s="470">
        <v>386</v>
      </c>
      <c r="B397" s="465" t="s">
        <v>545</v>
      </c>
      <c r="C397" s="469">
        <v>0.4</v>
      </c>
      <c r="D397" s="472" t="s">
        <v>66</v>
      </c>
      <c r="K397" s="467">
        <v>1.7500000000000002E-2</v>
      </c>
    </row>
    <row r="398" spans="1:11">
      <c r="A398" s="470">
        <v>387</v>
      </c>
      <c r="B398" s="465" t="s">
        <v>546</v>
      </c>
      <c r="C398" s="469">
        <v>0.4</v>
      </c>
      <c r="D398" s="472" t="s">
        <v>66</v>
      </c>
      <c r="K398" s="467">
        <v>2.5000000000000001E-2</v>
      </c>
    </row>
    <row r="399" spans="1:11">
      <c r="A399" s="470">
        <v>388</v>
      </c>
      <c r="B399" s="465" t="s">
        <v>547</v>
      </c>
      <c r="C399" s="469">
        <v>0.4</v>
      </c>
      <c r="D399" s="472" t="s">
        <v>66</v>
      </c>
      <c r="K399" s="467">
        <v>1.15E-2</v>
      </c>
    </row>
    <row r="400" spans="1:11">
      <c r="A400" s="470">
        <v>389</v>
      </c>
      <c r="B400" s="465" t="s">
        <v>548</v>
      </c>
      <c r="C400" s="469">
        <v>0.4</v>
      </c>
      <c r="D400" s="472" t="s">
        <v>66</v>
      </c>
      <c r="K400" s="467">
        <v>2.75E-2</v>
      </c>
    </row>
    <row r="401" spans="1:12">
      <c r="A401" s="470">
        <v>390</v>
      </c>
      <c r="B401" s="465" t="s">
        <v>549</v>
      </c>
      <c r="C401" s="469">
        <v>0.4</v>
      </c>
      <c r="D401" s="472" t="s">
        <v>66</v>
      </c>
      <c r="K401" s="467">
        <v>1.2500000000000001E-2</v>
      </c>
    </row>
    <row r="402" spans="1:12">
      <c r="A402" s="470">
        <v>391</v>
      </c>
      <c r="B402" s="465" t="s">
        <v>550</v>
      </c>
      <c r="C402" s="469">
        <v>0.4</v>
      </c>
      <c r="D402" s="472" t="s">
        <v>66</v>
      </c>
      <c r="K402" s="467">
        <v>0.02</v>
      </c>
    </row>
    <row r="403" spans="1:12">
      <c r="A403" s="470">
        <v>392</v>
      </c>
      <c r="B403" s="465" t="s">
        <v>551</v>
      </c>
      <c r="C403" s="469">
        <v>0.4</v>
      </c>
      <c r="D403" s="472" t="s">
        <v>67</v>
      </c>
      <c r="K403" s="467">
        <v>1.375E-2</v>
      </c>
    </row>
    <row r="404" spans="1:12">
      <c r="A404" s="470">
        <v>393</v>
      </c>
      <c r="B404" s="465" t="s">
        <v>552</v>
      </c>
      <c r="C404" s="469">
        <v>0.4</v>
      </c>
      <c r="D404" s="472" t="s">
        <v>607</v>
      </c>
      <c r="K404" s="467">
        <v>1.2500000000000001E-2</v>
      </c>
      <c r="L404" t="s">
        <v>608</v>
      </c>
    </row>
    <row r="405" spans="1:12">
      <c r="A405" s="470">
        <v>394</v>
      </c>
      <c r="B405" s="465" t="s">
        <v>553</v>
      </c>
      <c r="C405" s="469">
        <v>0.4</v>
      </c>
      <c r="D405" s="472" t="s">
        <v>66</v>
      </c>
      <c r="K405" s="467">
        <v>1.2500000000000001E-2</v>
      </c>
    </row>
    <row r="406" spans="1:12">
      <c r="A406" s="470">
        <v>395</v>
      </c>
      <c r="B406" s="465" t="s">
        <v>554</v>
      </c>
      <c r="C406" s="469">
        <v>0.4</v>
      </c>
      <c r="D406" s="472" t="s">
        <v>67</v>
      </c>
      <c r="K406" s="467">
        <v>6.8750000000000006E-2</v>
      </c>
    </row>
    <row r="407" spans="1:12">
      <c r="A407" s="470">
        <v>396</v>
      </c>
      <c r="B407" s="465" t="s">
        <v>555</v>
      </c>
      <c r="C407" s="469">
        <v>0.4</v>
      </c>
      <c r="D407" s="472" t="s">
        <v>66</v>
      </c>
      <c r="K407" s="467">
        <v>5.0000000000000001E-3</v>
      </c>
    </row>
    <row r="408" spans="1:12">
      <c r="A408" s="470">
        <v>397</v>
      </c>
      <c r="B408" s="465" t="s">
        <v>556</v>
      </c>
      <c r="C408" s="469">
        <v>0.4</v>
      </c>
      <c r="D408" s="472" t="s">
        <v>66</v>
      </c>
      <c r="K408" s="467">
        <v>2.375E-2</v>
      </c>
    </row>
    <row r="409" spans="1:12">
      <c r="A409" s="470">
        <v>398</v>
      </c>
      <c r="B409" s="465" t="s">
        <v>557</v>
      </c>
      <c r="C409" s="469">
        <v>0.4</v>
      </c>
      <c r="D409" s="473"/>
      <c r="K409" s="467"/>
    </row>
    <row r="410" spans="1:12">
      <c r="A410" s="470">
        <v>399</v>
      </c>
      <c r="B410" s="465" t="s">
        <v>558</v>
      </c>
      <c r="C410" s="469">
        <v>0.4</v>
      </c>
      <c r="D410" s="472" t="s">
        <v>66</v>
      </c>
      <c r="K410" s="467">
        <v>8.7500000000000008E-3</v>
      </c>
    </row>
    <row r="411" spans="1:12">
      <c r="A411" s="470">
        <v>400</v>
      </c>
      <c r="B411" s="465" t="s">
        <v>559</v>
      </c>
      <c r="C411" s="469">
        <v>0.4</v>
      </c>
      <c r="D411" s="472" t="s">
        <v>607</v>
      </c>
      <c r="K411" s="467">
        <v>3.6249999999999998E-2</v>
      </c>
      <c r="L411" t="s">
        <v>608</v>
      </c>
    </row>
    <row r="412" spans="1:12">
      <c r="A412" s="470">
        <v>401</v>
      </c>
      <c r="B412" s="465" t="s">
        <v>560</v>
      </c>
      <c r="C412" s="469">
        <v>0.4</v>
      </c>
      <c r="D412" s="472" t="s">
        <v>66</v>
      </c>
      <c r="K412" s="467">
        <v>1.125E-2</v>
      </c>
    </row>
    <row r="413" spans="1:12">
      <c r="A413" s="470">
        <v>402</v>
      </c>
      <c r="B413" s="465" t="s">
        <v>561</v>
      </c>
      <c r="C413" s="469">
        <v>0.4</v>
      </c>
      <c r="D413" s="472" t="s">
        <v>66</v>
      </c>
      <c r="K413" s="467">
        <v>5.1249999999999997E-2</v>
      </c>
    </row>
    <row r="414" spans="1:12">
      <c r="A414" s="470">
        <v>403</v>
      </c>
      <c r="B414" s="465" t="s">
        <v>562</v>
      </c>
      <c r="C414" s="469">
        <v>0.4</v>
      </c>
      <c r="D414" s="472" t="s">
        <v>67</v>
      </c>
      <c r="K414" s="467">
        <v>0.15</v>
      </c>
    </row>
    <row r="415" spans="1:12">
      <c r="A415" s="470">
        <v>404</v>
      </c>
      <c r="B415" s="465" t="s">
        <v>563</v>
      </c>
      <c r="C415" s="469">
        <v>0.4</v>
      </c>
      <c r="D415" s="472" t="s">
        <v>66</v>
      </c>
      <c r="K415" s="467">
        <v>1.4999999999999999E-2</v>
      </c>
    </row>
    <row r="416" spans="1:12">
      <c r="A416" s="470">
        <v>405</v>
      </c>
      <c r="B416" s="465" t="s">
        <v>564</v>
      </c>
      <c r="C416" s="469">
        <v>0.4</v>
      </c>
      <c r="D416" s="472" t="s">
        <v>66</v>
      </c>
      <c r="K416" s="467">
        <v>3.2500000000000001E-2</v>
      </c>
    </row>
    <row r="417" spans="1:11">
      <c r="A417" s="470">
        <v>406</v>
      </c>
      <c r="B417" s="465" t="s">
        <v>565</v>
      </c>
      <c r="C417" s="469">
        <v>0.4</v>
      </c>
      <c r="D417" s="472" t="s">
        <v>66</v>
      </c>
      <c r="K417" s="467">
        <v>5.7099999999999998E-3</v>
      </c>
    </row>
    <row r="418" spans="1:11">
      <c r="A418" s="470">
        <v>407</v>
      </c>
      <c r="B418" s="465" t="s">
        <v>566</v>
      </c>
      <c r="C418" s="469">
        <v>0.4</v>
      </c>
      <c r="D418" s="472" t="s">
        <v>66</v>
      </c>
      <c r="K418" s="467">
        <v>0.01</v>
      </c>
    </row>
    <row r="419" spans="1:11">
      <c r="A419" s="470">
        <v>408</v>
      </c>
      <c r="B419" s="465" t="s">
        <v>567</v>
      </c>
      <c r="C419" s="469">
        <v>0.4</v>
      </c>
      <c r="D419" s="472" t="s">
        <v>66</v>
      </c>
      <c r="K419" s="467">
        <v>3.3750000000000002E-2</v>
      </c>
    </row>
    <row r="420" spans="1:11">
      <c r="A420" s="470">
        <v>409</v>
      </c>
      <c r="B420" s="465" t="s">
        <v>568</v>
      </c>
      <c r="C420" s="469">
        <v>0.4</v>
      </c>
      <c r="D420" s="472" t="s">
        <v>66</v>
      </c>
      <c r="K420" s="467">
        <v>2.5000000000000001E-2</v>
      </c>
    </row>
    <row r="421" spans="1:11">
      <c r="A421" s="470">
        <v>410</v>
      </c>
      <c r="B421" s="465" t="s">
        <v>569</v>
      </c>
      <c r="C421" s="469">
        <v>0.4</v>
      </c>
      <c r="D421" s="472" t="s">
        <v>66</v>
      </c>
      <c r="K421" s="467">
        <v>1.7500000000000002E-2</v>
      </c>
    </row>
    <row r="422" spans="1:11">
      <c r="A422" s="470">
        <v>411</v>
      </c>
      <c r="B422" s="465" t="s">
        <v>570</v>
      </c>
      <c r="C422" s="469">
        <v>0.4</v>
      </c>
      <c r="D422" s="472" t="s">
        <v>66</v>
      </c>
      <c r="K422" s="467">
        <v>2.972E-2</v>
      </c>
    </row>
    <row r="423" spans="1:11">
      <c r="A423" s="470">
        <v>412</v>
      </c>
      <c r="B423" s="465" t="s">
        <v>571</v>
      </c>
      <c r="C423" s="469">
        <v>0.4</v>
      </c>
      <c r="D423" s="472" t="s">
        <v>66</v>
      </c>
      <c r="K423" s="467">
        <v>4.3749999999999997E-2</v>
      </c>
    </row>
    <row r="424" spans="1:11">
      <c r="A424" s="470">
        <v>413</v>
      </c>
      <c r="B424" s="465" t="s">
        <v>572</v>
      </c>
      <c r="C424" s="469">
        <v>0.4</v>
      </c>
      <c r="D424" s="472" t="s">
        <v>66</v>
      </c>
      <c r="K424" s="467">
        <v>5.6250000000000001E-2</v>
      </c>
    </row>
    <row r="425" spans="1:11">
      <c r="A425" s="470">
        <v>414</v>
      </c>
      <c r="B425" s="465" t="s">
        <v>573</v>
      </c>
      <c r="C425" s="469">
        <v>0.4</v>
      </c>
      <c r="D425" s="472" t="s">
        <v>66</v>
      </c>
      <c r="K425" s="467">
        <v>1.4999999999999999E-2</v>
      </c>
    </row>
    <row r="426" spans="1:11">
      <c r="A426" s="470">
        <v>415</v>
      </c>
      <c r="B426" s="465" t="s">
        <v>574</v>
      </c>
      <c r="C426" s="469">
        <v>0.4</v>
      </c>
      <c r="D426" s="472" t="s">
        <v>66</v>
      </c>
      <c r="K426" s="467">
        <v>1.2500000000000001E-2</v>
      </c>
    </row>
    <row r="427" spans="1:11">
      <c r="A427" s="470">
        <v>416</v>
      </c>
      <c r="B427" s="465" t="s">
        <v>575</v>
      </c>
      <c r="C427" s="469">
        <v>0.4</v>
      </c>
      <c r="D427" s="472" t="s">
        <v>66</v>
      </c>
      <c r="K427" s="467">
        <v>1.6250000000000001E-2</v>
      </c>
    </row>
    <row r="428" spans="1:11">
      <c r="A428" s="470">
        <v>417</v>
      </c>
      <c r="B428" s="465" t="s">
        <v>576</v>
      </c>
      <c r="C428" s="469">
        <v>0.4</v>
      </c>
      <c r="D428" s="472" t="s">
        <v>66</v>
      </c>
      <c r="K428" s="467">
        <v>1.125E-2</v>
      </c>
    </row>
    <row r="429" spans="1:11">
      <c r="A429" s="470">
        <v>418</v>
      </c>
      <c r="B429" s="465" t="s">
        <v>577</v>
      </c>
      <c r="C429" s="469">
        <v>0.4</v>
      </c>
      <c r="D429" s="472" t="s">
        <v>66</v>
      </c>
      <c r="K429" s="467">
        <v>5.5300000000000002E-3</v>
      </c>
    </row>
    <row r="430" spans="1:11">
      <c r="A430" s="470">
        <v>419</v>
      </c>
      <c r="B430" s="465" t="s">
        <v>578</v>
      </c>
      <c r="C430" s="469">
        <v>0.4</v>
      </c>
      <c r="D430" s="472" t="s">
        <v>66</v>
      </c>
      <c r="K430" s="467">
        <v>8.7500000000000008E-3</v>
      </c>
    </row>
    <row r="431" spans="1:11">
      <c r="A431" s="470">
        <v>420</v>
      </c>
      <c r="B431" s="465" t="s">
        <v>579</v>
      </c>
      <c r="C431" s="469">
        <v>0.4</v>
      </c>
      <c r="D431" s="472" t="s">
        <v>66</v>
      </c>
      <c r="K431" s="467">
        <v>2.2499999999999999E-2</v>
      </c>
    </row>
    <row r="432" spans="1:11">
      <c r="A432" s="470">
        <v>421</v>
      </c>
      <c r="B432" s="465" t="s">
        <v>580</v>
      </c>
      <c r="C432" s="469">
        <v>0.4</v>
      </c>
      <c r="D432" s="472" t="s">
        <v>66</v>
      </c>
      <c r="K432" s="467">
        <v>1.7500000000000002E-2</v>
      </c>
    </row>
    <row r="433" spans="1:11">
      <c r="A433" s="470">
        <v>422</v>
      </c>
      <c r="B433" s="465" t="s">
        <v>581</v>
      </c>
      <c r="C433" s="469">
        <v>0.4</v>
      </c>
      <c r="D433" s="472" t="s">
        <v>66</v>
      </c>
      <c r="K433" s="467">
        <v>1.25E-3</v>
      </c>
    </row>
    <row r="434" spans="1:11">
      <c r="A434" s="470">
        <v>423</v>
      </c>
      <c r="B434" s="465" t="s">
        <v>582</v>
      </c>
      <c r="C434" s="469">
        <v>0.4</v>
      </c>
      <c r="D434" s="472" t="s">
        <v>66</v>
      </c>
      <c r="K434" s="467">
        <v>5.6250000000000001E-2</v>
      </c>
    </row>
    <row r="435" spans="1:11">
      <c r="A435" s="470">
        <v>424</v>
      </c>
      <c r="B435" s="465" t="s">
        <v>583</v>
      </c>
      <c r="C435" s="469">
        <v>0.4</v>
      </c>
      <c r="D435" s="472" t="s">
        <v>66</v>
      </c>
      <c r="K435" s="467">
        <v>7.4999999999999997E-3</v>
      </c>
    </row>
    <row r="436" spans="1:11">
      <c r="A436" s="470">
        <v>425</v>
      </c>
      <c r="B436" s="465" t="s">
        <v>584</v>
      </c>
      <c r="C436" s="469">
        <v>0.4</v>
      </c>
      <c r="D436" s="472" t="s">
        <v>66</v>
      </c>
      <c r="K436" s="467">
        <v>1.8749999999999999E-2</v>
      </c>
    </row>
    <row r="437" spans="1:11">
      <c r="A437" s="470">
        <v>426</v>
      </c>
      <c r="B437" s="465" t="s">
        <v>585</v>
      </c>
      <c r="C437" s="469">
        <v>0.4</v>
      </c>
      <c r="D437" s="472" t="s">
        <v>67</v>
      </c>
      <c r="K437" s="467">
        <v>3.8830000000000003E-2</v>
      </c>
    </row>
    <row r="438" spans="1:11">
      <c r="A438" s="470">
        <v>427</v>
      </c>
      <c r="B438" s="465" t="s">
        <v>586</v>
      </c>
      <c r="C438" s="469">
        <v>0.4</v>
      </c>
      <c r="D438" s="472" t="s">
        <v>66</v>
      </c>
      <c r="K438" s="467">
        <v>1.6250000000000001E-2</v>
      </c>
    </row>
    <row r="439" spans="1:11">
      <c r="A439" s="470">
        <v>428</v>
      </c>
      <c r="B439" s="465" t="s">
        <v>587</v>
      </c>
      <c r="C439" s="469">
        <v>0.4</v>
      </c>
      <c r="D439" s="473"/>
      <c r="K439" s="467"/>
    </row>
    <row r="440" spans="1:11">
      <c r="A440" s="470">
        <v>429</v>
      </c>
      <c r="B440" s="465" t="s">
        <v>588</v>
      </c>
      <c r="C440" s="469">
        <v>0.4</v>
      </c>
      <c r="D440" s="472" t="s">
        <v>66</v>
      </c>
      <c r="K440" s="467">
        <v>1.125E-2</v>
      </c>
    </row>
    <row r="441" spans="1:11">
      <c r="A441" s="470">
        <v>430</v>
      </c>
      <c r="B441" s="465" t="s">
        <v>589</v>
      </c>
      <c r="C441" s="469">
        <v>0.4</v>
      </c>
      <c r="D441" s="472" t="s">
        <v>66</v>
      </c>
      <c r="K441" s="467">
        <v>5.7500000000000002E-2</v>
      </c>
    </row>
    <row r="442" spans="1:11">
      <c r="A442" s="470">
        <v>431</v>
      </c>
      <c r="B442" s="465" t="s">
        <v>590</v>
      </c>
      <c r="C442" s="469">
        <v>0.4</v>
      </c>
      <c r="D442" s="472" t="s">
        <v>66</v>
      </c>
      <c r="K442" s="467">
        <v>5.0000000000000001E-3</v>
      </c>
    </row>
    <row r="443" spans="1:11">
      <c r="A443" s="470">
        <v>432</v>
      </c>
      <c r="B443" s="465" t="s">
        <v>591</v>
      </c>
      <c r="C443" s="469">
        <v>0.4</v>
      </c>
      <c r="D443" s="472" t="s">
        <v>66</v>
      </c>
      <c r="K443" s="467">
        <v>1.375E-2</v>
      </c>
    </row>
    <row r="444" spans="1:11">
      <c r="A444" s="470">
        <v>433</v>
      </c>
      <c r="B444" s="465" t="s">
        <v>592</v>
      </c>
      <c r="C444" s="469">
        <v>0.4</v>
      </c>
      <c r="D444" s="472" t="s">
        <v>66</v>
      </c>
      <c r="K444" s="467">
        <v>0.01</v>
      </c>
    </row>
    <row r="445" spans="1:11">
      <c r="A445" s="470">
        <v>434</v>
      </c>
      <c r="B445" s="465" t="s">
        <v>593</v>
      </c>
      <c r="C445" s="469">
        <v>0.4</v>
      </c>
      <c r="D445" s="472" t="s">
        <v>66</v>
      </c>
      <c r="K445" s="467">
        <v>1.375E-2</v>
      </c>
    </row>
    <row r="446" spans="1:11">
      <c r="A446" s="470">
        <v>435</v>
      </c>
      <c r="B446" s="465" t="s">
        <v>594</v>
      </c>
      <c r="C446" s="469">
        <v>0.4</v>
      </c>
      <c r="D446" s="472" t="s">
        <v>66</v>
      </c>
      <c r="K446" s="467">
        <v>8.7500000000000008E-3</v>
      </c>
    </row>
    <row r="447" spans="1:11">
      <c r="A447" s="470">
        <v>436</v>
      </c>
      <c r="B447" s="465" t="s">
        <v>595</v>
      </c>
      <c r="C447" s="469">
        <v>0.4</v>
      </c>
      <c r="D447" s="473"/>
      <c r="K447" s="467"/>
    </row>
    <row r="448" spans="1:11">
      <c r="A448" s="470">
        <v>437</v>
      </c>
      <c r="B448" s="465" t="s">
        <v>596</v>
      </c>
      <c r="C448" s="469">
        <v>0.4</v>
      </c>
      <c r="D448" s="472" t="s">
        <v>66</v>
      </c>
      <c r="K448" s="467">
        <v>1.4999999999999999E-2</v>
      </c>
    </row>
    <row r="449" spans="1:11">
      <c r="A449" s="470">
        <v>438</v>
      </c>
      <c r="B449" s="465" t="s">
        <v>597</v>
      </c>
      <c r="C449" s="469">
        <v>0.4</v>
      </c>
      <c r="D449" s="472" t="s">
        <v>66</v>
      </c>
      <c r="K449" s="467">
        <v>0.03</v>
      </c>
    </row>
    <row r="450" spans="1:11">
      <c r="A450" s="470">
        <v>439</v>
      </c>
      <c r="B450" s="465" t="s">
        <v>598</v>
      </c>
      <c r="C450" s="469">
        <v>0.4</v>
      </c>
      <c r="D450" s="472" t="s">
        <v>66</v>
      </c>
      <c r="K450" s="467">
        <v>1.8749999999999999E-2</v>
      </c>
    </row>
    <row r="451" spans="1:11">
      <c r="A451" s="470">
        <v>440</v>
      </c>
      <c r="B451" s="465" t="s">
        <v>599</v>
      </c>
      <c r="C451" s="469">
        <v>0.4</v>
      </c>
      <c r="D451" s="472" t="s">
        <v>66</v>
      </c>
      <c r="K451" s="467">
        <v>1.8749999999999999E-2</v>
      </c>
    </row>
    <row r="452" spans="1:11">
      <c r="A452" s="470">
        <v>441</v>
      </c>
      <c r="B452" s="465" t="s">
        <v>600</v>
      </c>
      <c r="C452" s="469">
        <v>0.4</v>
      </c>
      <c r="D452" s="472" t="s">
        <v>66</v>
      </c>
      <c r="K452" s="467">
        <v>2.2499999999999999E-2</v>
      </c>
    </row>
    <row r="453" spans="1:11">
      <c r="A453" s="470">
        <v>442</v>
      </c>
      <c r="B453" s="465" t="s">
        <v>601</v>
      </c>
      <c r="C453" s="469">
        <v>0.4</v>
      </c>
      <c r="D453" s="472" t="s">
        <v>66</v>
      </c>
      <c r="K453" s="467">
        <v>6.2500000000000003E-3</v>
      </c>
    </row>
    <row r="454" spans="1:11">
      <c r="A454" s="470">
        <v>443</v>
      </c>
      <c r="B454" s="465" t="s">
        <v>602</v>
      </c>
      <c r="C454" s="469">
        <v>0.4</v>
      </c>
      <c r="D454" s="472" t="s">
        <v>66</v>
      </c>
      <c r="K454" s="467">
        <v>1.6250000000000001E-2</v>
      </c>
    </row>
    <row r="455" spans="1:11">
      <c r="A455" s="470">
        <v>444</v>
      </c>
      <c r="B455" s="465" t="s">
        <v>603</v>
      </c>
      <c r="C455" s="469">
        <v>0.4</v>
      </c>
      <c r="D455" s="472" t="s">
        <v>66</v>
      </c>
      <c r="K455" s="467">
        <v>1.495E-2</v>
      </c>
    </row>
    <row r="456" spans="1:11">
      <c r="A456" s="470">
        <v>445</v>
      </c>
      <c r="B456" s="465" t="s">
        <v>604</v>
      </c>
      <c r="C456" s="469">
        <v>0.4</v>
      </c>
      <c r="D456" s="472" t="s">
        <v>66</v>
      </c>
      <c r="K456" s="467">
        <v>7.4999999999999997E-3</v>
      </c>
    </row>
    <row r="457" spans="1:11">
      <c r="B457" s="465"/>
      <c r="C457" s="469"/>
      <c r="K457" s="467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6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56" t="s">
        <v>456</v>
      </c>
      <c r="D3" s="557"/>
      <c r="E3" s="558"/>
    </row>
    <row r="4" spans="2:11">
      <c r="C4" s="559"/>
      <c r="D4" s="560"/>
      <c r="E4" s="561"/>
    </row>
    <row r="5" spans="2:11" ht="15.75" thickBot="1">
      <c r="C5" s="562"/>
      <c r="D5" s="563"/>
      <c r="E5" s="564"/>
      <c r="G5" s="477"/>
    </row>
    <row r="6" spans="2:11" ht="15.75" thickBot="1"/>
    <row r="7" spans="2:11" ht="16.5" thickBot="1">
      <c r="B7" s="554" t="s">
        <v>454</v>
      </c>
      <c r="C7" s="555"/>
      <c r="D7" s="79"/>
      <c r="E7" s="554" t="s">
        <v>455</v>
      </c>
      <c r="F7" s="555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19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8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7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395"/>
      <c r="H12" s="490"/>
      <c r="I12" s="79"/>
      <c r="J12" s="79"/>
      <c r="K12" s="79"/>
    </row>
    <row r="13" spans="2:11" ht="15.75" thickBot="1">
      <c r="B13" s="208" t="s">
        <v>496</v>
      </c>
      <c r="C13" s="446">
        <v>1</v>
      </c>
      <c r="D13" s="79"/>
      <c r="E13" s="79"/>
      <c r="F13" s="79"/>
      <c r="G13" s="221"/>
      <c r="H13" s="79"/>
      <c r="I13" s="79"/>
      <c r="J13" s="79"/>
      <c r="K13" s="79"/>
    </row>
    <row r="14" spans="2:11" ht="15.75" thickBot="1">
      <c r="B14" s="201"/>
      <c r="C14" s="79"/>
      <c r="F14" s="175" t="s">
        <v>75</v>
      </c>
    </row>
    <row r="15" spans="2:11">
      <c r="B15" s="206" t="s">
        <v>82</v>
      </c>
      <c r="C15" s="63" t="s">
        <v>66</v>
      </c>
      <c r="E15" s="223" t="s">
        <v>435</v>
      </c>
      <c r="F15" s="482" cm="1">
        <f t="array" aca="1" ref="F15:K22" ca="1">IF(NOT($F$9),"",GetCDS(C9,C10,C11,C12,C13,C19,C20,C21,C15,C16,C17,C23,C24,C26,C28:C30,C32))</f>
        <v>-4.5115400089975097E-2</v>
      </c>
      <c r="G15" s="260">
        <f ca="1"/>
        <v>-4.5115400089975097E-2</v>
      </c>
      <c r="H15" s="256">
        <f ca="1"/>
        <v>0</v>
      </c>
      <c r="I15" s="458">
        <f ca="1"/>
        <v>0</v>
      </c>
      <c r="J15" s="260">
        <f ca="1"/>
        <v>0</v>
      </c>
      <c r="K15" s="256">
        <f ca="1"/>
        <v>0</v>
      </c>
    </row>
    <row r="16" spans="2:11">
      <c r="B16" s="207" t="s">
        <v>437</v>
      </c>
      <c r="C16" s="69">
        <v>0</v>
      </c>
      <c r="E16" s="224" t="s">
        <v>436</v>
      </c>
      <c r="F16" s="457">
        <f ca="1"/>
        <v>0</v>
      </c>
      <c r="G16" s="261">
        <f ca="1"/>
        <v>0</v>
      </c>
      <c r="H16" s="257">
        <f ca="1"/>
        <v>0</v>
      </c>
      <c r="I16" s="459">
        <f ca="1"/>
        <v>0</v>
      </c>
      <c r="J16" s="261">
        <f ca="1"/>
        <v>0</v>
      </c>
      <c r="K16" s="257">
        <f ca="1"/>
        <v>0</v>
      </c>
    </row>
    <row r="17" spans="2:11" ht="15.75" thickBot="1">
      <c r="B17" s="208" t="s">
        <v>439</v>
      </c>
      <c r="C17" s="195">
        <v>0</v>
      </c>
      <c r="E17" s="224" t="s">
        <v>438</v>
      </c>
      <c r="F17" s="457">
        <f ca="1"/>
        <v>4.5115400089975097E-2</v>
      </c>
      <c r="G17" s="261">
        <f ca="1"/>
        <v>4.5115400089975097E-2</v>
      </c>
      <c r="H17" s="257">
        <f ca="1"/>
        <v>0</v>
      </c>
      <c r="I17" s="459">
        <f ca="1"/>
        <v>0</v>
      </c>
      <c r="J17" s="261">
        <f ca="1"/>
        <v>0</v>
      </c>
      <c r="K17" s="257">
        <f ca="1"/>
        <v>0</v>
      </c>
    </row>
    <row r="18" spans="2:11" ht="15.75" thickBot="1">
      <c r="B18" s="201"/>
      <c r="C18" s="79"/>
      <c r="E18" s="224" t="s">
        <v>440</v>
      </c>
      <c r="F18" s="476">
        <f ca="1"/>
        <v>0</v>
      </c>
      <c r="G18" s="261">
        <f ca="1"/>
        <v>0</v>
      </c>
      <c r="H18" s="257">
        <f ca="1"/>
        <v>0</v>
      </c>
      <c r="I18" s="459">
        <f ca="1"/>
        <v>0</v>
      </c>
      <c r="J18" s="261">
        <f ca="1"/>
        <v>0</v>
      </c>
      <c r="K18" s="257">
        <f ca="1"/>
        <v>0</v>
      </c>
    </row>
    <row r="19" spans="2:11">
      <c r="B19" s="206" t="s">
        <v>442</v>
      </c>
      <c r="C19" s="63" t="s">
        <v>83</v>
      </c>
      <c r="E19" s="224" t="s">
        <v>441</v>
      </c>
      <c r="F19" s="457">
        <f ca="1"/>
        <v>4.5115400089975104</v>
      </c>
      <c r="G19" s="262">
        <f ca="1"/>
        <v>4.5115400089975104</v>
      </c>
      <c r="H19" s="257">
        <f ca="1"/>
        <v>0</v>
      </c>
      <c r="I19" s="460">
        <f ca="1"/>
        <v>0</v>
      </c>
      <c r="J19" s="262">
        <f ca="1"/>
        <v>0</v>
      </c>
      <c r="K19" s="257">
        <f ca="1"/>
        <v>0</v>
      </c>
    </row>
    <row r="20" spans="2:11" ht="15.75" thickBot="1">
      <c r="B20" s="207" t="s">
        <v>444</v>
      </c>
      <c r="C20" s="69" t="s">
        <v>445</v>
      </c>
      <c r="E20" s="224" t="s">
        <v>443</v>
      </c>
      <c r="F20" s="267" t="str">
        <f ca="1"/>
        <v>00:00:00.0199602</v>
      </c>
      <c r="G20" s="263" t="str">
        <f ca="1"/>
        <v>00:00:00.0199602</v>
      </c>
      <c r="H20" s="257">
        <f ca="1"/>
        <v>0</v>
      </c>
      <c r="I20" s="461">
        <f ca="1"/>
        <v>0</v>
      </c>
      <c r="J20" s="263">
        <f ca="1"/>
        <v>0</v>
      </c>
      <c r="K20" s="257">
        <f ca="1"/>
        <v>0</v>
      </c>
    </row>
    <row r="21" spans="2:11" ht="15.75" thickBot="1">
      <c r="B21" s="208" t="s">
        <v>446</v>
      </c>
      <c r="C21" s="478"/>
      <c r="E21" s="225"/>
      <c r="F21" s="258" t="str">
        <f ca="1"/>
        <v>dPV</v>
      </c>
      <c r="G21" s="258" t="str">
        <f ca="1"/>
        <v>dHedge</v>
      </c>
      <c r="H21" s="259" t="str">
        <f ca="1"/>
        <v>delta not. (Hedge Crncy)</v>
      </c>
      <c r="I21" s="258" t="str">
        <f ca="1"/>
        <v>delta not. (Product CCY)</v>
      </c>
      <c r="J21" s="258" t="str">
        <f ca="1"/>
        <v>dPV(dBeta)</v>
      </c>
      <c r="K21" s="259" t="str">
        <f ca="1"/>
        <v>Name</v>
      </c>
    </row>
    <row r="22" spans="2:11" ht="15.75" thickBot="1">
      <c r="B22" s="201"/>
      <c r="C22" s="79"/>
      <c r="E22" s="226"/>
      <c r="F22" s="474">
        <f ca="1"/>
        <v>0</v>
      </c>
      <c r="G22" s="264">
        <f ca="1"/>
        <v>0</v>
      </c>
      <c r="H22" s="265" t="str">
        <f ca="1"/>
        <v>NaN</v>
      </c>
      <c r="I22" s="264" t="str">
        <f ca="1"/>
        <v>NaN</v>
      </c>
      <c r="J22" s="264">
        <f ca="1"/>
        <v>0</v>
      </c>
      <c r="K22" s="265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2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6"/>
      <c r="K2" s="175"/>
    </row>
    <row r="3" spans="2:11">
      <c r="J3" s="266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65">
        <v>1</v>
      </c>
      <c r="J6" s="566"/>
      <c r="K6" s="567"/>
    </row>
    <row r="7" spans="2:11" ht="15.75" thickBot="1">
      <c r="D7" s="169"/>
      <c r="H7" s="181" t="s">
        <v>425</v>
      </c>
      <c r="I7" s="568" t="str" cm="1">
        <f t="array" aca="1" ref="I7" ca="1">GetGetCDSName(I6)</f>
        <v>CDS Name - Issuer 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J7" s="569"/>
      <c r="K7" s="570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0.31506849315068491</v>
      </c>
      <c r="D10" s="176">
        <f ca="1">IF(NOT($C$6),"",IF(GetConvertDate(CDSRollDate,B10)&lt;Parameter_Date,0,GetGetDefaultprob($I$6,B10)))</f>
        <v>7.0272291349315896E-4</v>
      </c>
      <c r="E10" s="214">
        <f ca="1">IF(NOT($C$6),"",IF(C11=0,0,-LN(1-D11)/$C11))</f>
        <v>2.2311654584812051E-3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0.4</v>
      </c>
      <c r="D11" s="168">
        <f ca="1">IF(NOT($C$6),"",IF(GetConvertDate(CDSRollDate,B11)&lt;Parameter_Date,0,GetGetDefaultprob($I$6,B11)))</f>
        <v>8.9206805389607791E-4</v>
      </c>
      <c r="E11" s="177">
        <f ca="1">IF(NOT($C$6),"",IF(C11=0,0,-LN((1-D11)/(1-D10))/($C11-$C10)))</f>
        <v>2.2311654584814063E-3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0.48219178082191783</v>
      </c>
      <c r="D12" s="168">
        <f ca="1">IF(NOT($C$6),"",IF(GetConvertDate(CDSRollDate,B12)&lt;Parameter_Date,0,GetGetDefaultprob($I$6,B12)))</f>
        <v>1.075271126988242E-3</v>
      </c>
      <c r="E12" s="177">
        <f ca="1">IF(NOT($C$6),"",IF(C12=0,0,-LN((1-D12)/(1-D11))/($C12-$C11)))</f>
        <v>2.2311654584801751E-3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0.56712328767123288</v>
      </c>
      <c r="D13" s="168">
        <f ca="1">IF(NOT($C$6),"",IF(GetConvertDate(CDSRollDate,B13)&lt;Parameter_Date,0,GetGetDefaultprob($I$6,B13)))</f>
        <v>1.2645456775922659E-3</v>
      </c>
      <c r="E13" s="177">
        <f t="shared" ref="E13:E75" ca="1" si="2">IF(NOT($C$6),"",IF(C13=0,0,-LN((1-D13)/(1-D12))/($C13-$C12)))</f>
        <v>2.2311654584814076E-3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0.65205479452054793</v>
      </c>
      <c r="D14" s="168">
        <f ca="1">IF(NOT($C$6),"",IF(GetConvertDate(CDSRollDate,B14)&lt;Parameter_Date,0,GetGetDefaultprob($I$6,B14)))</f>
        <v>1.4537843647779436E-3</v>
      </c>
      <c r="E14" s="177">
        <f t="shared" ca="1" si="2"/>
        <v>2.2311654584814076E-3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0.72876712328767124</v>
      </c>
      <c r="D15" s="168">
        <f ca="1">IF(NOT($C$6),"",IF(GetConvertDate(CDSRollDate,B15)&lt;Parameter_Date,0,GetGetDefaultprob($I$6,B15)))</f>
        <v>1.6246788109022248E-3</v>
      </c>
      <c r="E15" s="177">
        <f t="shared" ca="1" si="2"/>
        <v>2.2311654584814492E-3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0.81369863013698629</v>
      </c>
      <c r="D16" s="168">
        <f ca="1">IF(NOT($C$6),"",IF(GetConvertDate(CDSRollDate,B16)&lt;Parameter_Date,0,GetGetDefaultprob($I$6,B16)))</f>
        <v>2.0510237910273954E-3</v>
      </c>
      <c r="E16" s="177">
        <f t="shared" ca="1" si="2"/>
        <v>5.0291111491636686E-3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0.89589041095890409</v>
      </c>
      <c r="D17" s="168">
        <f ca="1">IF(NOT($C$6),"",IF(GetConvertDate(CDSRollDate,B17)&lt;Parameter_Date,0,GetGetDefaultprob($I$6,B17)))</f>
        <v>2.4634423555509599E-3</v>
      </c>
      <c r="E17" s="177">
        <f t="shared" ca="1" si="2"/>
        <v>5.0291111491625609E-3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0.98082191780821915</v>
      </c>
      <c r="D18" s="168">
        <f ca="1">IF(NOT($C$6),"",IF(GetConvertDate(CDSRollDate,B18)&lt;Parameter_Date,0,GetGetDefaultprob($I$6,B18)))</f>
        <v>2.8894291511143422E-3</v>
      </c>
      <c r="E18" s="177">
        <f t="shared" ca="1" si="2"/>
        <v>5.0291111491623606E-3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1.0630136986301371</v>
      </c>
      <c r="D19" s="168">
        <f ca="1">IF(NOT($C$6),"",IF(GetConvertDate(CDSRollDate,B19)&lt;Parameter_Date,0,GetGetDefaultprob($I$6,B19)))</f>
        <v>3.3015012310547709E-3</v>
      </c>
      <c r="E19" s="177">
        <f t="shared" ca="1" si="2"/>
        <v>5.0291111491639054E-3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1.1479452054794521</v>
      </c>
      <c r="D20" s="168">
        <f ca="1">IF(NOT($C$6),"",IF(GetConvertDate(CDSRollDate,B20)&lt;Parameter_Date,0,GetGetDefaultprob($I$6,B20)))</f>
        <v>3.7271301429776527E-3</v>
      </c>
      <c r="E20" s="177">
        <f t="shared" ca="1" si="2"/>
        <v>5.0291111491636686E-3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1.2328767123287672</v>
      </c>
      <c r="D21" s="168">
        <f ca="1">IF(NOT($C$6),"",IF(GetConvertDate(CDSRollDate,B21)&lt;Parameter_Date,0,GetGetDefaultprob($I$6,B21)))</f>
        <v>4.1525772948488582E-3</v>
      </c>
      <c r="E21" s="177">
        <f t="shared" ca="1" si="2"/>
        <v>5.0291111491636686E-3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1.3150684931506849</v>
      </c>
      <c r="D22" s="168">
        <f ca="1">IF(NOT($C$6),"",IF(GetConvertDate(CDSRollDate,B22)&lt;Parameter_Date,0,GetGetDefaultprob($I$6,B22)))</f>
        <v>4.6168428363074776E-3</v>
      </c>
      <c r="E22" s="177">
        <f t="shared" ca="1" si="2"/>
        <v>5.673440582127539E-3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1.4</v>
      </c>
      <c r="D23" s="168">
        <f ca="1">IF(NOT($C$6),"",IF(GetConvertDate(CDSRollDate,B23)&lt;Parameter_Date,0,GetGetDefaultprob($I$6,B23)))</f>
        <v>5.0963565134012345E-3</v>
      </c>
      <c r="E23" s="177">
        <f t="shared" ca="1" si="2"/>
        <v>5.6734405821266942E-3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1.4821917808219178</v>
      </c>
      <c r="D24" s="168">
        <f ca="1">IF(NOT($C$6),"",IF(GetConvertDate(CDSRollDate,B24)&lt;Parameter_Date,0,GetGetDefaultprob($I$6,B24)))</f>
        <v>5.5601820635921007E-3</v>
      </c>
      <c r="E24" s="177">
        <f t="shared" ca="1" si="2"/>
        <v>5.673440582126172E-3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1.5671232876712329</v>
      </c>
      <c r="D25" s="168">
        <f ca="1">IF(NOT($C$6),"",IF(GetConvertDate(CDSRollDate,B25)&lt;Parameter_Date,0,GetGetDefaultprob($I$6,B25)))</f>
        <v>6.0392412985361688E-3</v>
      </c>
      <c r="E25" s="177">
        <f t="shared" ca="1" si="2"/>
        <v>5.6734405821266942E-3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1.6520547945205479</v>
      </c>
      <c r="D26" s="168">
        <f ca="1">IF(NOT($C$6),"",IF(GetConvertDate(CDSRollDate,B26)&lt;Parameter_Date,0,GetGetDefaultprob($I$6,B26)))</f>
        <v>6.5180697525456521E-3</v>
      </c>
      <c r="E26" s="177">
        <f t="shared" ca="1" si="2"/>
        <v>5.6734405821266942E-3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1.7287671232876711</v>
      </c>
      <c r="D27" s="168">
        <f ca="1">IF(NOT($C$6),"",IF(GetConvertDate(CDSRollDate,B27)&lt;Parameter_Date,0,GetGetDefaultprob($I$6,B27)))</f>
        <v>6.9503617004107454E-3</v>
      </c>
      <c r="E27" s="177">
        <f t="shared" ca="1" si="2"/>
        <v>5.6734405821279145E-3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1.8136986301369864</v>
      </c>
      <c r="D28" s="168">
        <f ca="1">IF(NOT($C$6),"",IF(GetConvertDate(CDSRollDate,B28)&lt;Parameter_Date,0,GetGetDefaultprob($I$6,B28)))</f>
        <v>7.4287512332962269E-3</v>
      </c>
      <c r="E28" s="177">
        <f t="shared" ca="1" si="2"/>
        <v>5.6734405821266794E-3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1.8958904109589041</v>
      </c>
      <c r="D29" s="168">
        <f ca="1">IF(NOT($C$6),"",IF(GetConvertDate(CDSRollDate,B29)&lt;Parameter_Date,0,GetGetDefaultprob($I$6,B29)))</f>
        <v>7.8914894176187467E-3</v>
      </c>
      <c r="E29" s="177">
        <f t="shared" ca="1" si="2"/>
        <v>5.6734405821261876E-3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1.9808219178082191</v>
      </c>
      <c r="D30" s="168">
        <f ca="1">IF(NOT($C$6),"",IF(GetConvertDate(CDSRollDate,B30)&lt;Parameter_Date,0,GetGetDefaultprob($I$6,B30)))</f>
        <v>8.3694255737225554E-3</v>
      </c>
      <c r="E30" s="177">
        <f t="shared" ca="1" si="2"/>
        <v>5.6734405821266942E-3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2.0630136986301371</v>
      </c>
      <c r="D31" s="168">
        <f ca="1">IF(NOT($C$6),"",IF(GetConvertDate(CDSRollDate,B31)&lt;Parameter_Date,0,GetGetDefaultprob($I$6,B31)))</f>
        <v>8.8317252142761093E-3</v>
      </c>
      <c r="E31" s="177">
        <f t="shared" ca="1" si="2"/>
        <v>5.673440582126172E-3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2.1479452054794521</v>
      </c>
      <c r="D32" s="168">
        <f ca="1">IF(NOT($C$6),"",IF(GetConvertDate(CDSRollDate,B32)&lt;Parameter_Date,0,GetGetDefaultprob($I$6,B32)))</f>
        <v>9.3092084232702099E-3</v>
      </c>
      <c r="E32" s="177">
        <f t="shared" ca="1" si="2"/>
        <v>5.6734405821280013E-3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2.2328767123287672</v>
      </c>
      <c r="D33" s="168">
        <f ca="1">IF(NOT($C$6),"",IF(GetConvertDate(CDSRollDate,B33)&lt;Parameter_Date,0,GetGetDefaultprob($I$6,B33)))</f>
        <v>9.7864616105609592E-3</v>
      </c>
      <c r="E33" s="177">
        <f t="shared" ca="1" si="2"/>
        <v>5.6734405821280013E-3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2.3150684931506849</v>
      </c>
      <c r="D34" s="168">
        <f ca="1">IF(NOT($C$6),"",IF(GetConvertDate(CDSRollDate,B34)&lt;Parameter_Date,0,GetGetDefaultprob($I$6,B34)))</f>
        <v>1.0402867028102447E-2</v>
      </c>
      <c r="E34" s="177">
        <f t="shared" ca="1" si="2"/>
        <v>7.5760774477749131E-3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2.4</v>
      </c>
      <c r="D35" s="168">
        <f ca="1">IF(NOT($C$6),"",IF(GetConvertDate(CDSRollDate,B35)&lt;Parameter_Date,0,GetGetDefaultprob($I$6,B35)))</f>
        <v>1.1039416186161E-2</v>
      </c>
      <c r="E35" s="177">
        <f t="shared" ca="1" si="2"/>
        <v>7.5760774477768196E-3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2.4821917808219176</v>
      </c>
      <c r="D36" s="168">
        <f ca="1">IF(NOT($C$6),"",IF(GetConvertDate(CDSRollDate,B36)&lt;Parameter_Date,0,GetGetDefaultprob($I$6,B36)))</f>
        <v>1.1655041642655406E-2</v>
      </c>
      <c r="E36" s="177">
        <f t="shared" ca="1" si="2"/>
        <v>7.5760774477762654E-3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2.5671232876712327</v>
      </c>
      <c r="D37" s="168">
        <f ca="1">IF(NOT($C$6),"",IF(GetConvertDate(CDSRollDate,B37)&lt;Parameter_Date,0,GetGetDefaultprob($I$6,B37)))</f>
        <v>1.229078535103123E-2</v>
      </c>
      <c r="E37" s="177">
        <f t="shared" ca="1" si="2"/>
        <v>7.5760774477742045E-3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2.6520547945205482</v>
      </c>
      <c r="D38" s="168">
        <f ca="1">IF(NOT($C$6),"",IF(GetConvertDate(CDSRollDate,B38)&lt;Parameter_Date,0,GetGetDefaultprob($I$6,B38)))</f>
        <v>1.2926120123175622E-2</v>
      </c>
      <c r="E38" s="177">
        <f t="shared" ca="1" si="2"/>
        <v>7.5760774477754735E-3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2.7287671232876711</v>
      </c>
      <c r="D39" s="168">
        <f ca="1">IF(NOT($C$6),"",IF(GetConvertDate(CDSRollDate,B39)&lt;Parameter_Date,0,GetGetDefaultprob($I$6,B39)))</f>
        <v>1.3499619614500413E-2</v>
      </c>
      <c r="E39" s="177">
        <f t="shared" ca="1" si="2"/>
        <v>7.5760774477751135E-3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2.8136986301369862</v>
      </c>
      <c r="D40" s="168">
        <f ca="1">IF(NOT($C$6),"",IF(GetConvertDate(CDSRollDate,B40)&lt;Parameter_Date,0,GetGetDefaultprob($I$6,B40)))</f>
        <v>1.4134176815240096E-2</v>
      </c>
      <c r="E40" s="177">
        <f t="shared" ca="1" si="2"/>
        <v>7.5760774477742045E-3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2.8958904109589043</v>
      </c>
      <c r="D41" s="168">
        <f ca="1">IF(NOT($C$6),"",IF(GetConvertDate(CDSRollDate,B41)&lt;Parameter_Date,0,GetGetDefaultprob($I$6,B41)))</f>
        <v>1.4747875791087828E-2</v>
      </c>
      <c r="E41" s="177">
        <f t="shared" ca="1" si="2"/>
        <v>7.5760774477748724E-3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2.9808219178082194</v>
      </c>
      <c r="D42" s="168">
        <f ca="1">IF(NOT($C$6),"",IF(GetConvertDate(CDSRollDate,B42)&lt;Parameter_Date,0,GetGetDefaultprob($I$6,B42)))</f>
        <v>1.5381630062643814E-2</v>
      </c>
      <c r="E42" s="177">
        <f t="shared" ca="1" si="2"/>
        <v>7.5760774477755125E-3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3.0630136986301371</v>
      </c>
      <c r="D43" s="168">
        <f ca="1">IF(NOT($C$6),"",IF(GetConvertDate(CDSRollDate,B43)&lt;Parameter_Date,0,GetGetDefaultprob($I$6,B43)))</f>
        <v>1.5994552502007209E-2</v>
      </c>
      <c r="E43" s="177">
        <f t="shared" ca="1" si="2"/>
        <v>7.5760774477749131E-3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3.1479452054794521</v>
      </c>
      <c r="D44" s="168">
        <f ca="1">IF(NOT($C$6),"",IF(GetConvertDate(CDSRollDate,B44)&lt;Parameter_Date,0,GetGetDefaultprob($I$6,B44)))</f>
        <v>1.6627504860356024E-2</v>
      </c>
      <c r="E44" s="177">
        <f t="shared" ca="1" si="2"/>
        <v>7.5760774477755125E-3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3.2328767123287672</v>
      </c>
      <c r="D45" s="168">
        <f ca="1">IF(NOT($C$6),"",IF(GetConvertDate(CDSRollDate,B45)&lt;Parameter_Date,0,GetGetDefaultprob($I$6,B45)))</f>
        <v>1.7260050077983258E-2</v>
      </c>
      <c r="E45" s="177">
        <f t="shared" ca="1" si="2"/>
        <v>7.5760774477755125E-3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3.3150684931506849</v>
      </c>
      <c r="D46" s="168">
        <f ca="1">IF(NOT($C$6),"",IF(GetConvertDate(CDSRollDate,B46)&lt;Parameter_Date,0,GetGetDefaultprob($I$6,B46)))</f>
        <v>1.8012216561996475E-2</v>
      </c>
      <c r="E46" s="177">
        <f t="shared" ca="1" si="2"/>
        <v>9.3156514060705534E-3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3.4</v>
      </c>
      <c r="D47" s="168">
        <f ca="1">IF(NOT($C$6),"",IF(GetConvertDate(CDSRollDate,B47)&lt;Parameter_Date,0,GetGetDefaultprob($I$6,B47)))</f>
        <v>1.8788850472042595E-2</v>
      </c>
      <c r="E47" s="177">
        <f t="shared" ca="1" si="2"/>
        <v>9.3156514060668844E-3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3.4821917808219176</v>
      </c>
      <c r="D48" s="168">
        <f ca="1">IF(NOT($C$6),"",IF(GetConvertDate(CDSRollDate,B48)&lt;Parameter_Date,0,GetGetDefaultprob($I$6,B48)))</f>
        <v>1.9539846847506315E-2</v>
      </c>
      <c r="E48" s="177">
        <f t="shared" ca="1" si="2"/>
        <v>9.3156514060678507E-3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3.5671232876712327</v>
      </c>
      <c r="D49" s="168">
        <f ca="1">IF(NOT($C$6),"",IF(GetConvertDate(CDSRollDate,B49)&lt;Parameter_Date,0,GetGetDefaultprob($I$6,B49)))</f>
        <v>2.0315272586227118E-2</v>
      </c>
      <c r="E49" s="177">
        <f t="shared" ca="1" si="2"/>
        <v>9.3156514060668844E-3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3.6520547945205482</v>
      </c>
      <c r="D50" s="168">
        <f ca="1">IF(NOT($C$6),"",IF(GetConvertDate(CDSRollDate,B50)&lt;Parameter_Date,0,GetGetDefaultprob($I$6,B50)))</f>
        <v>2.1090085056704178E-2</v>
      </c>
      <c r="E50" s="177">
        <f t="shared" ca="1" si="2"/>
        <v>9.3156514060681456E-3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3.7315068493150685</v>
      </c>
      <c r="D51" s="168">
        <f ca="1">IF(NOT($C$6),"",IF(GetConvertDate(CDSRollDate,B51)&lt;Parameter_Date,0,GetGetDefaultprob($I$6,B51)))</f>
        <v>2.1814354859499008E-2</v>
      </c>
      <c r="E51" s="177">
        <f t="shared" ca="1" si="2"/>
        <v>9.3156514060675748E-3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3.8164383561643835</v>
      </c>
      <c r="D52" s="168">
        <f ca="1">IF(NOT($C$6),"",IF(GetConvertDate(CDSRollDate,B52)&lt;Parameter_Date,0,GetGetDefaultprob($I$6,B52)))</f>
        <v>2.2587981736685636E-2</v>
      </c>
      <c r="E52" s="177">
        <f t="shared" ca="1" si="2"/>
        <v>9.3156514060681941E-3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3.8986301369863012</v>
      </c>
      <c r="D53" s="168">
        <f ca="1">IF(NOT($C$6),"",IF(GetConvertDate(CDSRollDate,B53)&lt;Parameter_Date,0,GetGetDefaultprob($I$6,B53)))</f>
        <v>2.3336070344732507E-2</v>
      </c>
      <c r="E53" s="177">
        <f t="shared" ca="1" si="2"/>
        <v>9.3156514060678507E-3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3.9835616438356163</v>
      </c>
      <c r="D54" s="168">
        <f ca="1">IF(NOT($C$6),"",IF(GetConvertDate(CDSRollDate,B54)&lt;Parameter_Date,0,GetGetDefaultprob($I$6,B54)))</f>
        <v>2.4108493728487446E-2</v>
      </c>
      <c r="E54" s="177">
        <f t="shared" ca="1" si="2"/>
        <v>9.3156514060668844E-3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4.065753424657534</v>
      </c>
      <c r="D55" s="168">
        <f ca="1">IF(NOT($C$6),"",IF(GetConvertDate(CDSRollDate,B55)&lt;Parameter_Date,0,GetGetDefaultprob($I$6,B55)))</f>
        <v>2.4855418571736898E-2</v>
      </c>
      <c r="E55" s="177">
        <f t="shared" ca="1" si="2"/>
        <v>9.3156514060678507E-3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4.1506849315068495</v>
      </c>
      <c r="D56" s="168">
        <f ca="1">IF(NOT($C$6),"",IF(GetConvertDate(CDSRollDate,B56)&lt;Parameter_Date,0,GetGetDefaultprob($I$6,B56)))</f>
        <v>2.5626640334276085E-2</v>
      </c>
      <c r="E56" s="177">
        <f t="shared" ca="1" si="2"/>
        <v>9.3156514060681456E-3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4.2356164383561641</v>
      </c>
      <c r="D57" s="168">
        <f ca="1">IF(NOT($C$6),"",IF(GetConvertDate(CDSRollDate,B57)&lt;Parameter_Date,0,GetGetDefaultprob($I$6,B57)))</f>
        <v>2.6397252153409489E-2</v>
      </c>
      <c r="E57" s="177">
        <f t="shared" ca="1" si="2"/>
        <v>9.315651406066933E-3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4.3178082191780822</v>
      </c>
      <c r="D58" s="168">
        <f ca="1">IF(NOT($C$6),"",IF(GetConvertDate(CDSRollDate,B58)&lt;Parameter_Date,0,GetGetDefaultprob($I$6,B58)))</f>
        <v>2.7142425233766532E-2</v>
      </c>
      <c r="E58" s="177">
        <f t="shared" ca="1" si="2"/>
        <v>9.3156514060691534E-3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4.4027397260273968</v>
      </c>
      <c r="D59" s="168">
        <f ca="1">IF(NOT($C$6),"",IF(GetConvertDate(CDSRollDate,B59)&lt;Parameter_Date,0,GetGetDefaultprob($I$6,B59)))</f>
        <v>2.7911838249846443E-2</v>
      </c>
      <c r="E59" s="177">
        <f t="shared" ca="1" si="2"/>
        <v>9.315651406066933E-3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4.484931506849315</v>
      </c>
      <c r="D60" s="168">
        <f ca="1">IF(NOT($C$6),"",IF(GetConvertDate(CDSRollDate,B60)&lt;Parameter_Date,0,GetGetDefaultprob($I$6,B60)))</f>
        <v>2.8655852100949564E-2</v>
      </c>
      <c r="E60" s="177">
        <f t="shared" ca="1" si="2"/>
        <v>9.3156514060678004E-3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4.5698630136986305</v>
      </c>
      <c r="D61" s="168">
        <f ca="1">IF(NOT($C$6),"",IF(GetConvertDate(CDSRollDate,B61)&lt;Parameter_Date,0,GetGetDefaultprob($I$6,B61)))</f>
        <v>2.9424068178895202E-2</v>
      </c>
      <c r="E61" s="177">
        <f t="shared" ca="1" si="2"/>
        <v>9.3156514060668359E-3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4.6547945205479451</v>
      </c>
      <c r="D62" s="168">
        <f ca="1">IF(NOT($C$6),"",IF(GetConvertDate(CDSRollDate,B62)&lt;Parameter_Date,0,GetGetDefaultprob($I$6,B62)))</f>
        <v>3.0191676690569214E-2</v>
      </c>
      <c r="E62" s="177">
        <f t="shared" ca="1" si="2"/>
        <v>9.315651406066933E-3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4.7315068493150685</v>
      </c>
      <c r="D63" s="168">
        <f ca="1">IF(NOT($C$6),"",IF(GetConvertDate(CDSRollDate,B63)&lt;Parameter_Date,0,GetGetDefaultprob($I$6,B63)))</f>
        <v>3.0884478691088901E-2</v>
      </c>
      <c r="E63" s="177">
        <f t="shared" ca="1" si="2"/>
        <v>9.315651406068234E-3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4.816438356164384</v>
      </c>
      <c r="D64" s="168">
        <f ca="1">IF(NOT($C$6),"",IF(GetConvertDate(CDSRollDate,B64)&lt;Parameter_Date,0,GetGetDefaultprob($I$6,B64)))</f>
        <v>3.1650932194171699E-2</v>
      </c>
      <c r="E64" s="177">
        <f t="shared" ca="1" si="2"/>
        <v>9.3156514060681456E-3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4.8986301369863012</v>
      </c>
      <c r="D65" s="168">
        <f ca="1">IF(NOT($C$6),"",IF(GetConvertDate(CDSRollDate,B65)&lt;Parameter_Date,0,GetGetDefaultprob($I$6,B65)))</f>
        <v>3.239208422903761E-2</v>
      </c>
      <c r="E65" s="177">
        <f t="shared" ca="1" si="2"/>
        <v>9.3156514060665496E-3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4.9835616438356167</v>
      </c>
      <c r="D66" s="168">
        <f ca="1">IF(NOT($C$6),"",IF(GetConvertDate(CDSRollDate,B66)&lt;Parameter_Date,0,GetGetDefaultprob($I$6,B66)))</f>
        <v>3.3157345397955451E-2</v>
      </c>
      <c r="E66" s="177">
        <f t="shared" ca="1" si="2"/>
        <v>9.3156514060668359E-3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5.065753424657534</v>
      </c>
      <c r="D67" s="168">
        <f ca="1">IF(NOT($C$6),"",IF(GetConvertDate(CDSRollDate,B67)&lt;Parameter_Date,0,GetGetDefaultprob($I$6,B67)))</f>
        <v>3.3897344458911127E-2</v>
      </c>
      <c r="E67" s="177">
        <f t="shared" ca="1" si="2"/>
        <v>9.3156514060692541E-3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5.1506849315068495</v>
      </c>
      <c r="D68" s="168">
        <f ca="1">IF(NOT($C$6),"",IF(GetConvertDate(CDSRollDate,B68)&lt;Parameter_Date,0,GetGetDefaultprob($I$6,B68)))</f>
        <v>3.4661415148519947E-2</v>
      </c>
      <c r="E68" s="177">
        <f t="shared" ca="1" si="2"/>
        <v>9.3156514060681456E-3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5.2356164383561641</v>
      </c>
      <c r="D69" s="168">
        <f ca="1">IF(NOT($C$6),"",IF(GetConvertDate(CDSRollDate,B69)&lt;Parameter_Date,0,GetGetDefaultprob($I$6,B69)))</f>
        <v>3.5424881550359277E-2</v>
      </c>
      <c r="E69" s="177">
        <f t="shared" ca="1" si="2"/>
        <v>9.315651406066933E-3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5.3178082191780822</v>
      </c>
      <c r="D70" s="168">
        <f ca="1">IF(NOT($C$6),"",IF(GetConvertDate(CDSRollDate,B70)&lt;Parameter_Date,0,GetGetDefaultprob($I$6,B70)))</f>
        <v>3.6179041314871929E-2</v>
      </c>
      <c r="E70" s="177">
        <f t="shared" ca="1" si="2"/>
        <v>9.5163136295708505E-3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5.4027397260273968</v>
      </c>
      <c r="D71" s="168">
        <f ca="1">IF(NOT($C$6),"",IF(GetConvertDate(CDSRollDate,B71)&lt;Parameter_Date,0,GetGetDefaultprob($I$6,B71)))</f>
        <v>3.6957720288693929E-2</v>
      </c>
      <c r="E71" s="177">
        <f t="shared" ca="1" si="2"/>
        <v>9.5163136295706025E-3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5.484931506849315</v>
      </c>
      <c r="D72" s="168">
        <f ca="1">IF(NOT($C$6),"",IF(GetConvertDate(CDSRollDate,B72)&lt;Parameter_Date,0,GetGetDefaultprob($I$6,B72)))</f>
        <v>3.7710681592578843E-2</v>
      </c>
      <c r="E72" s="177">
        <f t="shared" ca="1" si="2"/>
        <v>9.5163136295708505E-3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5.5698630136986305</v>
      </c>
      <c r="D73" s="168">
        <f ca="1">IF(NOT($C$6),"",IF(GetConvertDate(CDSRollDate,B73)&lt;Parameter_Date,0,GetGetDefaultprob($I$6,B73)))</f>
        <v>3.848812314147354E-2</v>
      </c>
      <c r="E73" s="177">
        <f t="shared" ca="1" si="2"/>
        <v>9.5163136295705036E-3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5.6547945205479451</v>
      </c>
      <c r="D74" s="168">
        <f ca="1">IF(NOT($C$6),"",IF(GetConvertDate(CDSRollDate,B74)&lt;Parameter_Date,0,GetGetDefaultprob($I$6,B74)))</f>
        <v>3.9264936588870869E-2</v>
      </c>
      <c r="E74" s="177">
        <f t="shared" ca="1" si="2"/>
        <v>9.5163136295719122E-3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5.7315068493150685</v>
      </c>
      <c r="D75" s="168">
        <f ca="1">IF(NOT($C$6),"",IF(GetConvertDate(CDSRollDate,B75)&lt;Parameter_Date,0,GetGetDefaultprob($I$6,B75)))</f>
        <v>3.996603509682406E-2</v>
      </c>
      <c r="E75" s="177">
        <f t="shared" ca="1" si="2"/>
        <v>9.5163136295689874E-3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5.816438356164384</v>
      </c>
      <c r="D76" s="168">
        <f ca="1">IF(NOT($C$6),"",IF(GetConvertDate(CDSRollDate,B76)&lt;Parameter_Date,0,GetGetDefaultprob($I$6,B76)))</f>
        <v>4.0741654526852855E-2</v>
      </c>
      <c r="E76" s="177">
        <f t="shared" ref="E76:E129" ca="1" si="6">IF(NOT($C$6),"",IF(C76=0,0,-LN((1-D76)/(1-D75))/($C76-$C75)))</f>
        <v>9.5163136295718116E-3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5.8986301369863012</v>
      </c>
      <c r="D77" s="168">
        <f ca="1">IF(NOT($C$6),"",IF(GetConvertDate(CDSRollDate,B77)&lt;Parameter_Date,0,GetGetDefaultprob($I$6,B77)))</f>
        <v>4.1491657335438248E-2</v>
      </c>
      <c r="E77" s="177">
        <f t="shared" ca="1" si="6"/>
        <v>9.5163136295709546E-3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5.9835616438356167</v>
      </c>
      <c r="D78" s="168">
        <f ca="1">IF(NOT($C$6),"",IF(GetConvertDate(CDSRollDate,B78)&lt;Parameter_Date,0,GetGetDefaultprob($I$6,B78)))</f>
        <v>4.2266044202563413E-2</v>
      </c>
      <c r="E78" s="177">
        <f t="shared" ca="1" si="6"/>
        <v>9.5163136295691956E-3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6.065753424657534</v>
      </c>
      <c r="D79" s="168">
        <f ca="1">IF(NOT($C$6),"",IF(GetConvertDate(CDSRollDate,B79)&lt;Parameter_Date,0,GetGetDefaultprob($I$6,B79)))</f>
        <v>4.3014855156479515E-2</v>
      </c>
      <c r="E79" s="177">
        <f t="shared" ca="1" si="6"/>
        <v>9.5163136295709546E-3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6.1506849315068495</v>
      </c>
      <c r="D80" s="168">
        <f ca="1">IF(NOT($C$6),"",IF(GetConvertDate(CDSRollDate,B80)&lt;Parameter_Date,0,GetGetDefaultprob($I$6,B80)))</f>
        <v>4.3788011419408468E-2</v>
      </c>
      <c r="E80" s="177">
        <f t="shared" ca="1" si="6"/>
        <v>9.5163136295691956E-3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6.2356164383561641</v>
      </c>
      <c r="D81" s="168">
        <f ca="1">IF(NOT($C$6),"",IF(GetConvertDate(CDSRollDate,B81)&lt;Parameter_Date,0,GetGetDefaultprob($I$6,B81)))</f>
        <v>4.4560543042958312E-2</v>
      </c>
      <c r="E81" s="177">
        <f t="shared" ca="1" si="6"/>
        <v>9.5163136295719122E-3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6.3178082191780822</v>
      </c>
      <c r="D82" s="168">
        <f ca="1">IF(NOT($C$6),"",IF(GetConvertDate(CDSRollDate,B82)&lt;Parameter_Date,0,GetGetDefaultprob($I$6,B82)))</f>
        <v>4.5307560026998761E-2</v>
      </c>
      <c r="E82" s="177">
        <f t="shared" ca="1" si="6"/>
        <v>9.5163136295694992E-3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6.4027397260273968</v>
      </c>
      <c r="D83" s="168">
        <f ca="1">IF(NOT($C$6),"",IF(GetConvertDate(CDSRollDate,B83)&lt;Parameter_Date,0,GetGetDefaultprob($I$6,B83)))</f>
        <v>4.6078863994582164E-2</v>
      </c>
      <c r="E83" s="177">
        <f t="shared" ca="1" si="6"/>
        <v>9.5163136295719122E-3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6.484931506849315</v>
      </c>
      <c r="D84" s="168">
        <f ca="1">IF(NOT($C$6),"",IF(GetConvertDate(CDSRollDate,B84)&lt;Parameter_Date,0,GetGetDefaultprob($I$6,B84)))</f>
        <v>4.6824693868827483E-2</v>
      </c>
      <c r="E84" s="177">
        <f t="shared" ca="1" si="6"/>
        <v>9.5163136295708505E-3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6.5698630136986305</v>
      </c>
      <c r="D85" s="168">
        <f ca="1">IF(NOT($C$6),"",IF(GetConvertDate(CDSRollDate,B85)&lt;Parameter_Date,0,GetGetDefaultprob($I$6,B85)))</f>
        <v>4.7594772131353769E-2</v>
      </c>
      <c r="E85" s="177">
        <f t="shared" ca="1" si="6"/>
        <v>9.5163136295705036E-3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6.6547945205479451</v>
      </c>
      <c r="D86" s="168">
        <f ca="1">IF(NOT($C$6),"",IF(GetConvertDate(CDSRollDate,B86)&lt;Parameter_Date,0,GetGetDefaultprob($I$6,B86)))</f>
        <v>4.8364228241242868E-2</v>
      </c>
      <c r="E86" s="177">
        <f t="shared" ca="1" si="6"/>
        <v>9.5163136295706025E-3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6.7315068493150685</v>
      </c>
      <c r="D87" s="168">
        <f ca="1">IF(NOT($C$6),"",IF(GetConvertDate(CDSRollDate,B87)&lt;Parameter_Date,0,GetGetDefaultprob($I$6,B87)))</f>
        <v>4.9058686521266659E-2</v>
      </c>
      <c r="E87" s="177">
        <f t="shared" ca="1" si="6"/>
        <v>9.5163136295704342E-3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6.816438356164384</v>
      </c>
      <c r="D88" s="168">
        <f ca="1">IF(NOT($C$6),"",IF(GetConvertDate(CDSRollDate,B88)&lt;Parameter_Date,0,GetGetDefaultprob($I$6,B88)))</f>
        <v>4.9826959922537051E-2</v>
      </c>
      <c r="E88" s="177">
        <f t="shared" ca="1" si="6"/>
        <v>9.5163136295718116E-3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6.8986301369863012</v>
      </c>
      <c r="D89" s="168">
        <f ca="1">IF(NOT($C$6),"",IF(GetConvertDate(CDSRollDate,B89)&lt;Parameter_Date,0,GetGetDefaultprob($I$6,B89)))</f>
        <v>5.0569859321914823E-2</v>
      </c>
      <c r="E89" s="177">
        <f t="shared" ca="1" si="6"/>
        <v>9.5163136295696015E-3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6.9835616438356167</v>
      </c>
      <c r="D90" s="168">
        <f ca="1">IF(NOT($C$6),"",IF(GetConvertDate(CDSRollDate,B90)&lt;Parameter_Date,0,GetGetDefaultprob($I$6,B90)))</f>
        <v>5.1336911834102938E-2</v>
      </c>
      <c r="E90" s="177">
        <f t="shared" ca="1" si="6"/>
        <v>9.5163136295718116E-3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7.065753424657534</v>
      </c>
      <c r="D91" s="168">
        <f ca="1">IF(NOT($C$6),"",IF(GetConvertDate(CDSRollDate,B91)&lt;Parameter_Date,0,GetGetDefaultprob($I$6,B91)))</f>
        <v>5.2078630667077741E-2</v>
      </c>
      <c r="E91" s="177">
        <f t="shared" ca="1" si="6"/>
        <v>9.5163136295696015E-3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7.1506849315068495</v>
      </c>
      <c r="D92" s="168">
        <f ca="1">IF(NOT($C$6),"",IF(GetConvertDate(CDSRollDate,B92)&lt;Parameter_Date,0,GetGetDefaultprob($I$6,B92)))</f>
        <v>5.2844464230339394E-2</v>
      </c>
      <c r="E92" s="177">
        <f t="shared" ca="1" si="6"/>
        <v>9.5163136295705036E-3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7.2356164383561641</v>
      </c>
      <c r="D93" s="168">
        <f ca="1">IF(NOT($C$6),"",IF(GetConvertDate(CDSRollDate,B93)&lt;Parameter_Date,0,GetGetDefaultprob($I$6,B93)))</f>
        <v>5.3609679070291794E-2</v>
      </c>
      <c r="E93" s="177">
        <f t="shared" ca="1" si="6"/>
        <v>9.5163136295706025E-3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7.3178082191780822</v>
      </c>
      <c r="D94" s="168">
        <f ca="1">IF(NOT($C$6),"",IF(GetConvertDate(CDSRollDate,B94)&lt;Parameter_Date,0,GetGetDefaultprob($I$6,B94)))</f>
        <v>5.4403504831628036E-2</v>
      </c>
      <c r="E94" s="177">
        <f t="shared" ca="1" si="6"/>
        <v>1.0209599680253182E-2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7.4027397260273968</v>
      </c>
      <c r="D95" s="168">
        <f ca="1">IF(NOT($C$6),"",IF(GetConvertDate(CDSRollDate,B95)&lt;Parameter_Date,0,GetGetDefaultprob($I$6,B95)))</f>
        <v>5.5223091939847424E-2</v>
      </c>
      <c r="E95" s="177">
        <f t="shared" ca="1" si="6"/>
        <v>1.0209599680255161E-2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7.484931506849315</v>
      </c>
      <c r="D96" s="168">
        <f ca="1">IF(NOT($C$6),"",IF(GetConvertDate(CDSRollDate,B96)&lt;Parameter_Date,0,GetGetDefaultprob($I$6,B96)))</f>
        <v>5.6015564381447391E-2</v>
      </c>
      <c r="E96" s="177">
        <f t="shared" ca="1" si="6"/>
        <v>1.0209599680253182E-2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7.5698630136986305</v>
      </c>
      <c r="D97" s="168">
        <f ca="1">IF(NOT($C$6),"",IF(GetConvertDate(CDSRollDate,B97)&lt;Parameter_Date,0,GetGetDefaultprob($I$6,B97)))</f>
        <v>5.6833754251805257E-2</v>
      </c>
      <c r="E97" s="177">
        <f t="shared" ca="1" si="6"/>
        <v>1.0209599680255055E-2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7.6547945205479451</v>
      </c>
      <c r="D98" s="168">
        <f ca="1">IF(NOT($C$6),"",IF(GetConvertDate(CDSRollDate,B98)&lt;Parameter_Date,0,GetGetDefaultprob($I$6,B98)))</f>
        <v>5.7651234963580933E-2</v>
      </c>
      <c r="E98" s="177">
        <f t="shared" ca="1" si="6"/>
        <v>1.0209599680253853E-2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7.7342465753424658</v>
      </c>
      <c r="D99" s="168">
        <f ca="1">IF(NOT($C$6),"",IF(GetConvertDate(CDSRollDate,B99)&lt;Parameter_Date,0,GetGetDefaultprob($I$6,B99)))</f>
        <v>5.8415333522559565E-2</v>
      </c>
      <c r="E99" s="177">
        <f t="shared" ca="1" si="6"/>
        <v>1.0209599680253758E-2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7.8191780821917805</v>
      </c>
      <c r="D100" s="168">
        <f ca="1">IF(NOT($C$6),"",IF(GetConvertDate(CDSRollDate,B100)&lt;Parameter_Date,0,GetGetDefaultprob($I$6,B100)))</f>
        <v>5.9231443414976548E-2</v>
      </c>
      <c r="E100" s="177">
        <f t="shared" ca="1" si="6"/>
        <v>1.0209599680252545E-2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7.9013698630136986</v>
      </c>
      <c r="D101" s="168">
        <f ca="1">IF(NOT($C$6),"",IF(GetConvertDate(CDSRollDate,B101)&lt;Parameter_Date,0,GetGetDefaultprob($I$6,B101)))</f>
        <v>6.002055367863468E-2</v>
      </c>
      <c r="E101" s="177">
        <f t="shared" ca="1" si="6"/>
        <v>1.0209599680253182E-2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7.9863013698630141</v>
      </c>
      <c r="D102" s="168">
        <f ca="1">IF(NOT($C$6),"",IF(GetConvertDate(CDSRollDate,B102)&lt;Parameter_Date,0,GetGetDefaultprob($I$6,B102)))</f>
        <v>6.0835272261172357E-2</v>
      </c>
      <c r="E102" s="177">
        <f t="shared" ca="1" si="6"/>
        <v>1.0209599680255055E-2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8.0684931506849313</v>
      </c>
      <c r="D103" s="168">
        <f ca="1">IF(NOT($C$6),"",IF(GetConvertDate(CDSRollDate,B103)&lt;Parameter_Date,0,GetGetDefaultprob($I$6,B103)))</f>
        <v>6.1623037244107892E-2</v>
      </c>
      <c r="E103" s="177">
        <f t="shared" ca="1" si="6"/>
        <v>1.0209599680254644E-2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8.1534246575342468</v>
      </c>
      <c r="D104" s="168">
        <f ca="1">IF(NOT($C$6),"",IF(GetConvertDate(CDSRollDate,B104)&lt;Parameter_Date,0,GetGetDefaultprob($I$6,B104)))</f>
        <v>6.2436366888680706E-2</v>
      </c>
      <c r="E104" s="177">
        <f t="shared" ca="1" si="6"/>
        <v>1.0209599680252437E-2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8.2383561643835623</v>
      </c>
      <c r="D105" s="168">
        <f ca="1">IF(NOT($C$6),"",IF(GetConvertDate(CDSRollDate,B105)&lt;Parameter_Date,0,GetGetDefaultprob($I$6,B105)))</f>
        <v>6.3248991587227632E-2</v>
      </c>
      <c r="E105" s="177">
        <f t="shared" ca="1" si="6"/>
        <v>1.0209599680253747E-2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8.3205479452054796</v>
      </c>
      <c r="D106" s="168">
        <f ca="1">IF(NOT($C$6),"",IF(GetConvertDate(CDSRollDate,B106)&lt;Parameter_Date,0,GetGetDefaultprob($I$6,B106)))</f>
        <v>6.4034731958817037E-2</v>
      </c>
      <c r="E106" s="177">
        <f t="shared" ca="1" si="6"/>
        <v>1.0209599680254644E-2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8.4054794520547951</v>
      </c>
      <c r="D107" s="168">
        <f ca="1">IF(NOT($C$6),"",IF(GetConvertDate(CDSRollDate,B107)&lt;Parameter_Date,0,GetGetDefaultprob($I$6,B107)))</f>
        <v>6.4845971289067328E-2</v>
      </c>
      <c r="E107" s="177">
        <f t="shared" ca="1" si="6"/>
        <v>1.0209599680252437E-2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8.4876712328767123</v>
      </c>
      <c r="D108" s="168">
        <f ca="1">IF(NOT($C$6),"",IF(GetConvertDate(CDSRollDate,B108)&lt;Parameter_Date,0,GetGetDefaultprob($I$6,B108)))</f>
        <v>6.5630372124949821E-2</v>
      </c>
      <c r="E108" s="177">
        <f t="shared" ca="1" si="6"/>
        <v>1.0209599680255995E-2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8.5726027397260278</v>
      </c>
      <c r="D109" s="168">
        <f ca="1">IF(NOT($C$6),"",IF(GetConvertDate(CDSRollDate,B109)&lt;Parameter_Date,0,GetGetDefaultprob($I$6,B109)))</f>
        <v>6.6440228448689242E-2</v>
      </c>
      <c r="E109" s="177">
        <f t="shared" ca="1" si="6"/>
        <v>1.0209599680252437E-2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8.6575342465753433</v>
      </c>
      <c r="D110" s="168">
        <f ca="1">IF(NOT($C$6),"",IF(GetConvertDate(CDSRollDate,B110)&lt;Parameter_Date,0,GetGetDefaultprob($I$6,B110)))</f>
        <v>6.7249382836871874E-2</v>
      </c>
      <c r="E110" s="177">
        <f t="shared" ca="1" si="6"/>
        <v>1.0209599680253747E-2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8.7342465753424658</v>
      </c>
      <c r="D111" s="168">
        <f ca="1">IF(NOT($C$6),"",IF(GetConvertDate(CDSRollDate,B111)&lt;Parameter_Date,0,GetGetDefaultprob($I$6,B111)))</f>
        <v>6.7979629139168551E-2</v>
      </c>
      <c r="E111" s="177">
        <f t="shared" ca="1" si="6"/>
        <v>1.0209599680252757E-2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8.8191780821917813</v>
      </c>
      <c r="D112" s="168">
        <f ca="1">IF(NOT($C$6),"",IF(GetConvertDate(CDSRollDate,B112)&lt;Parameter_Date,0,GetGetDefaultprob($I$6,B112)))</f>
        <v>6.8787449265891087E-2</v>
      </c>
      <c r="E112" s="177">
        <f t="shared" ca="1" si="6"/>
        <v>1.0209599680253747E-2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8.9013698630136986</v>
      </c>
      <c r="D113" s="168">
        <f ca="1">IF(NOT($C$6),"",IF(GetConvertDate(CDSRollDate,B113)&lt;Parameter_Date,0,GetGetDefaultprob($I$6,B113)))</f>
        <v>6.9568544016866851E-2</v>
      </c>
      <c r="E113" s="177">
        <f t="shared" ca="1" si="6"/>
        <v>1.0209599680254644E-2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8.9863013698630141</v>
      </c>
      <c r="D114" s="168">
        <f ca="1">IF(NOT($C$6),"",IF(GetConvertDate(CDSRollDate,B114)&lt;Parameter_Date,0,GetGetDefaultprob($I$6,B114)))</f>
        <v>7.0374986966160624E-2</v>
      </c>
      <c r="E114" s="177">
        <f t="shared" ca="1" si="6"/>
        <v>1.0209599680253747E-2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9.0684931506849313</v>
      </c>
      <c r="D115" s="168">
        <f ca="1">IF(NOT($C$6),"",IF(GetConvertDate(CDSRollDate,B115)&lt;Parameter_Date,0,GetGetDefaultprob($I$6,B115)))</f>
        <v>7.1154750101316E-2</v>
      </c>
      <c r="E115" s="177">
        <f t="shared" ca="1" si="6"/>
        <v>1.0209599680253293E-2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9.1534246575342468</v>
      </c>
      <c r="D116" s="168">
        <f ca="1">IF(NOT($C$6),"",IF(GetConvertDate(CDSRollDate,B116)&lt;Parameter_Date,0,GetGetDefaultprob($I$6,B116)))</f>
        <v>7.1959818221002947E-2</v>
      </c>
      <c r="E116" s="177">
        <f t="shared" ca="1" si="6"/>
        <v>1.0209599680255055E-2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9.2383561643835623</v>
      </c>
      <c r="D117" s="168">
        <f ca="1">IF(NOT($C$6),"",IF(GetConvertDate(CDSRollDate,B117)&lt;Parameter_Date,0,GetGetDefaultprob($I$6,B117)))</f>
        <v>7.2764188555264786E-2</v>
      </c>
      <c r="E117" s="177">
        <f t="shared" ca="1" si="6"/>
        <v>1.0209599680252437E-2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9.3205479452054796</v>
      </c>
      <c r="D118" s="168">
        <f ca="1">IF(NOT($C$6),"",IF(GetConvertDate(CDSRollDate,B118)&lt;Parameter_Date,0,GetGetDefaultprob($I$6,B118)))</f>
        <v>7.3541947644384931E-2</v>
      </c>
      <c r="E118" s="177">
        <f t="shared" ca="1" si="6"/>
        <v>1.0209599680253293E-2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9.4054794520547951</v>
      </c>
      <c r="D119" s="168">
        <f ca="1">IF(NOT($C$6),"",IF(GetConvertDate(CDSRollDate,B119)&lt;Parameter_Date,0,GetGetDefaultprob($I$6,B119)))</f>
        <v>7.4344946682448732E-2</v>
      </c>
      <c r="E119" s="177">
        <f t="shared" ca="1" si="6"/>
        <v>1.0209599680255055E-2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9.4876712328767123</v>
      </c>
      <c r="D120" s="168">
        <f ca="1">IF(NOT($C$6),"",IF(GetConvertDate(CDSRollDate,B120)&lt;Parameter_Date,0,GetGetDefaultprob($I$6,B120)))</f>
        <v>7.5121379842408298E-2</v>
      </c>
      <c r="E120" s="177">
        <f t="shared" ca="1" si="6"/>
        <v>1.0209599680253293E-2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9.5726027397260278</v>
      </c>
      <c r="D121" s="168">
        <f ca="1">IF(NOT($C$6),"",IF(GetConvertDate(CDSRollDate,B121)&lt;Parameter_Date,0,GetGetDefaultprob($I$6,B121)))</f>
        <v>7.5923009922069018E-2</v>
      </c>
      <c r="E121" s="177">
        <f t="shared" ca="1" si="6"/>
        <v>1.0209599680252437E-2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9.6575342465753433</v>
      </c>
      <c r="D122" s="168">
        <f ca="1">IF(NOT($C$6),"",IF(GetConvertDate(CDSRollDate,B122)&lt;Parameter_Date,0,GetGetDefaultprob($I$6,B122)))</f>
        <v>7.6723945196194632E-2</v>
      </c>
      <c r="E122" s="177">
        <f t="shared" ca="1" si="6"/>
        <v>1.0209599680253747E-2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9.7342465753424658</v>
      </c>
      <c r="D123" s="168">
        <f ca="1">IF(NOT($C$6),"",IF(GetConvertDate(CDSRollDate,B123)&lt;Parameter_Date,0,GetGetDefaultprob($I$6,B123)))</f>
        <v>7.7446773905834321E-2</v>
      </c>
      <c r="E123" s="177">
        <f t="shared" ca="1" si="6"/>
        <v>1.0209599680254205E-2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9.8191780821917813</v>
      </c>
      <c r="D124" s="168">
        <f ca="1">IF(NOT($C$6),"",IF(GetConvertDate(CDSRollDate,B124)&lt;Parameter_Date,0,GetGetDefaultprob($I$6,B124)))</f>
        <v>7.8246388471472361E-2</v>
      </c>
      <c r="E124" s="177">
        <f t="shared" ca="1" si="6"/>
        <v>1.0209599680253747E-2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9.9013698630136986</v>
      </c>
      <c r="D125" s="168">
        <f ca="1">IF(NOT($C$6),"",IF(GetConvertDate(CDSRollDate,B125)&lt;Parameter_Date,0,GetGetDefaultprob($I$6,B125)))</f>
        <v>7.9019549128607203E-2</v>
      </c>
      <c r="E125" s="177">
        <f t="shared" ca="1" si="6"/>
        <v>1.0209599680253293E-2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9.9863013698630141</v>
      </c>
      <c r="D126" s="168">
        <f ca="1">IF(NOT($C$6),"",IF(GetConvertDate(CDSRollDate,B126)&lt;Parameter_Date,0,GetGetDefaultprob($I$6,B126)))</f>
        <v>7.9817800505714631E-2</v>
      </c>
      <c r="E126" s="177">
        <f t="shared" ca="1" si="6"/>
        <v>1.0209599680252437E-2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10.068493150684931</v>
      </c>
      <c r="D127" s="168">
        <f ca="1">IF(NOT($C$6),"",IF(GetConvertDate(CDSRollDate,B127)&lt;Parameter_Date,0,GetGetDefaultprob($I$6,B127)))</f>
        <v>8.0589643073128214E-2</v>
      </c>
      <c r="E127" s="177">
        <f t="shared" ca="1" si="6"/>
        <v>1.0209599680254644E-2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10.153424657534247</v>
      </c>
      <c r="D128" s="168">
        <f ca="1">IF(NOT($C$6),"",IF(GetConvertDate(CDSRollDate,B128)&lt;Parameter_Date,0,GetGetDefaultprob($I$6,B128)))</f>
        <v>8.13865335856786E-2</v>
      </c>
      <c r="E128" s="177">
        <f t="shared" ca="1" si="6"/>
        <v>1.0209599680253747E-2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10.238356164383562</v>
      </c>
      <c r="D129" s="178">
        <f ca="1">IF(NOT($C$6),"",IF(GetConvertDate(CDSRollDate,B129)&lt;Parameter_Date,0,GetGetDefaultprob($I$6,B129)))</f>
        <v>8.2182733400670283E-2</v>
      </c>
      <c r="E129" s="217">
        <f t="shared" ca="1" si="6"/>
        <v>1.0209599680253747E-2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X338"/>
  <sheetViews>
    <sheetView showGridLines="0" tabSelected="1" topLeftCell="AH1" zoomScale="130" zoomScaleNormal="130" workbookViewId="0">
      <selection activeCell="I8" sqref="I8"/>
    </sheetView>
  </sheetViews>
  <sheetFormatPr defaultColWidth="11.42578125" defaultRowHeight="11.25"/>
  <cols>
    <col min="1" max="1" width="3.140625" style="227" customWidth="1"/>
    <col min="2" max="2" width="17.140625" style="227" customWidth="1"/>
    <col min="3" max="3" width="20" style="228" customWidth="1"/>
    <col min="4" max="4" width="11.7109375" style="228" bestFit="1" customWidth="1"/>
    <col min="5" max="5" width="11" style="228" bestFit="1" customWidth="1"/>
    <col min="6" max="6" width="7.42578125" style="228" customWidth="1"/>
    <col min="7" max="7" width="9.7109375" style="228" customWidth="1"/>
    <col min="8" max="8" width="11.28515625" style="228" customWidth="1"/>
    <col min="9" max="10" width="13.140625" style="227" customWidth="1"/>
    <col min="11" max="11" width="18.5703125" style="227" customWidth="1"/>
    <col min="12" max="12" width="18.42578125" style="227" customWidth="1"/>
    <col min="13" max="13" width="13.140625" style="227" customWidth="1"/>
    <col min="14" max="14" width="27.5703125" style="227" customWidth="1"/>
    <col min="15" max="16" width="13.140625" style="227" hidden="1" customWidth="1"/>
    <col min="17" max="18" width="19.28515625" style="227" hidden="1" customWidth="1"/>
    <col min="19" max="29" width="13.140625" style="227" customWidth="1"/>
    <col min="30" max="30" width="11.42578125" style="227"/>
    <col min="31" max="31" width="13.140625" style="227" customWidth="1"/>
    <col min="32" max="32" width="13.5703125" style="227" customWidth="1"/>
    <col min="33" max="33" width="12.7109375" style="227" customWidth="1"/>
    <col min="34" max="34" width="13.5703125" style="227" customWidth="1"/>
    <col min="35" max="35" width="12.42578125" style="227" customWidth="1"/>
    <col min="36" max="36" width="13" style="227" customWidth="1"/>
    <col min="37" max="37" width="11.42578125" style="227" customWidth="1"/>
    <col min="38" max="39" width="11.42578125" style="227"/>
    <col min="40" max="40" width="18.28515625" style="227" customWidth="1"/>
    <col min="41" max="16384" width="11.42578125" style="227"/>
  </cols>
  <sheetData>
    <row r="1" spans="1:50">
      <c r="S1" s="228"/>
    </row>
    <row r="2" spans="1:50" ht="15">
      <c r="S2" s="228"/>
      <c r="AI2"/>
      <c r="AJ2" s="491"/>
      <c r="AK2"/>
      <c r="AL2"/>
      <c r="AM2"/>
    </row>
    <row r="3" spans="1:50" ht="15">
      <c r="S3" s="228"/>
      <c r="AI3"/>
      <c r="AJ3" s="491"/>
      <c r="AK3"/>
      <c r="AL3"/>
      <c r="AM3"/>
    </row>
    <row r="4" spans="1:50" ht="15.75" thickBot="1">
      <c r="N4" s="481"/>
      <c r="S4" s="228"/>
      <c r="AI4"/>
      <c r="AJ4"/>
      <c r="AK4"/>
      <c r="AL4"/>
      <c r="AM4"/>
    </row>
    <row r="5" spans="1:50" ht="15.75" thickBot="1">
      <c r="H5" s="269" t="s">
        <v>423</v>
      </c>
      <c r="I5" s="140" t="b">
        <v>1</v>
      </c>
      <c r="K5" s="269" t="s">
        <v>508</v>
      </c>
      <c r="L5" s="140" t="b">
        <v>0</v>
      </c>
      <c r="S5" s="228"/>
      <c r="AI5"/>
      <c r="AJ5"/>
      <c r="AK5"/>
      <c r="AL5"/>
      <c r="AM5"/>
    </row>
    <row r="6" spans="1:50" ht="15.75" thickBot="1">
      <c r="B6" s="270" t="s">
        <v>432</v>
      </c>
      <c r="C6" s="229" t="s">
        <v>57</v>
      </c>
      <c r="F6" s="404"/>
      <c r="K6" s="269" t="s">
        <v>509</v>
      </c>
      <c r="L6" s="140" t="b">
        <v>0</v>
      </c>
      <c r="S6" s="228"/>
      <c r="AI6"/>
      <c r="AJ6"/>
      <c r="AK6"/>
      <c r="AL6"/>
      <c r="AM6"/>
    </row>
    <row r="7" spans="1:50" customFormat="1" ht="15.75" thickBot="1">
      <c r="A7" s="227"/>
      <c r="B7" s="270" t="s">
        <v>457</v>
      </c>
      <c r="C7" s="230" cm="1">
        <f t="array" aca="1" ref="C7" ca="1">GetConvertDate([0]!CDSRollDate,C6)</f>
        <v>47381</v>
      </c>
      <c r="D7" s="515"/>
      <c r="E7" s="514"/>
      <c r="F7" s="228"/>
      <c r="G7" s="228"/>
      <c r="I7" s="397"/>
      <c r="J7" s="396"/>
      <c r="K7" s="396"/>
      <c r="L7" s="396"/>
      <c r="M7" s="396"/>
      <c r="N7" s="396"/>
      <c r="O7" s="396"/>
      <c r="P7" s="396"/>
      <c r="Q7" s="396"/>
      <c r="R7" s="396"/>
      <c r="S7" s="444"/>
      <c r="T7" s="79"/>
      <c r="U7" s="79"/>
      <c r="V7" s="79"/>
      <c r="W7" s="434"/>
      <c r="X7" s="79"/>
      <c r="Y7" s="79"/>
      <c r="Z7" s="79"/>
      <c r="AA7" s="79"/>
      <c r="AB7" s="79"/>
      <c r="AC7" s="79"/>
      <c r="AD7" s="79"/>
    </row>
    <row r="8" spans="1:50" customFormat="1" ht="15.75" thickBot="1">
      <c r="A8" s="227"/>
      <c r="B8" s="271" t="s">
        <v>82</v>
      </c>
      <c r="C8" s="231" t="s">
        <v>66</v>
      </c>
      <c r="D8" s="228"/>
      <c r="E8" s="228"/>
      <c r="F8" s="228"/>
      <c r="G8" s="228"/>
      <c r="H8" s="312" t="s">
        <v>435</v>
      </c>
      <c r="I8" s="398" cm="1">
        <f t="array" aca="1" ref="I8:N114" ca="1">IF(NOT($I$5),"",GETCDO(C6,C19:C20,C21:C22,G39:G338,C8,C17,C39:C338,D39:D338,C12,C13,C14,C15,C9,C10,E39:E338,F39:F338,C24,C25,C27,L5,L6,C29:C31,C36,C33,,C34))</f>
        <v>0.181106877220572</v>
      </c>
      <c r="J8" s="399">
        <f ca="1"/>
        <v>6.0368959073523999E-2</v>
      </c>
      <c r="K8" s="408" t="str">
        <f ca="1"/>
        <v/>
      </c>
      <c r="L8" s="408">
        <f ca="1"/>
        <v>0</v>
      </c>
      <c r="M8" s="409">
        <f ca="1"/>
        <v>0</v>
      </c>
      <c r="N8" s="449">
        <f ca="1"/>
        <v>0</v>
      </c>
      <c r="O8" s="409"/>
      <c r="P8" s="409"/>
      <c r="Q8" s="409"/>
      <c r="R8" s="449"/>
      <c r="S8" s="444"/>
      <c r="T8" s="227"/>
      <c r="U8" s="79"/>
      <c r="V8" s="79"/>
      <c r="W8" s="79"/>
      <c r="X8" s="79"/>
      <c r="Y8" s="79"/>
      <c r="Z8" s="79"/>
      <c r="AA8" s="79"/>
      <c r="AB8" s="79"/>
      <c r="AC8" s="79"/>
      <c r="AD8" s="79"/>
      <c r="AF8" t="s">
        <v>616</v>
      </c>
    </row>
    <row r="9" spans="1:50" customFormat="1" ht="15.75" thickBot="1">
      <c r="A9" s="227"/>
      <c r="B9" s="271" t="s">
        <v>437</v>
      </c>
      <c r="C9" s="232">
        <v>-0.05</v>
      </c>
      <c r="D9" s="228"/>
      <c r="E9" s="228"/>
      <c r="F9" s="228"/>
      <c r="G9" s="228"/>
      <c r="H9" s="386" t="s">
        <v>436</v>
      </c>
      <c r="I9" s="400">
        <f ca="1"/>
        <v>0.77976787372157597</v>
      </c>
      <c r="J9" s="401">
        <f ca="1"/>
        <v>0.25992262457385901</v>
      </c>
      <c r="K9" s="410" t="str">
        <f ca="1"/>
        <v/>
      </c>
      <c r="L9" s="410">
        <f ca="1"/>
        <v>0</v>
      </c>
      <c r="M9" s="332">
        <f ca="1"/>
        <v>0</v>
      </c>
      <c r="N9" s="450">
        <f ca="1"/>
        <v>0</v>
      </c>
      <c r="O9" s="332"/>
      <c r="P9" s="332"/>
      <c r="Q9" s="332"/>
      <c r="R9" s="450"/>
      <c r="S9" s="444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485" t="s">
        <v>619</v>
      </c>
      <c r="AF9" s="140" t="b">
        <v>1</v>
      </c>
      <c r="AN9" s="485" t="s">
        <v>624</v>
      </c>
      <c r="AO9" s="480" t="s">
        <v>83</v>
      </c>
      <c r="AP9" s="480" t="s">
        <v>84</v>
      </c>
      <c r="AQ9" s="480" t="s">
        <v>53</v>
      </c>
      <c r="AR9" s="480" t="s">
        <v>54</v>
      </c>
      <c r="AS9" s="480" t="s">
        <v>55</v>
      </c>
      <c r="AT9" s="480" t="s">
        <v>57</v>
      </c>
      <c r="AU9" s="480" t="s">
        <v>62</v>
      </c>
      <c r="AV9" s="480" t="s">
        <v>63</v>
      </c>
      <c r="AW9" s="480" t="s">
        <v>64</v>
      </c>
      <c r="AX9" s="480" t="s">
        <v>623</v>
      </c>
    </row>
    <row r="10" spans="1:50" customFormat="1" ht="15.75" thickBot="1">
      <c r="A10" s="227"/>
      <c r="B10" s="272" t="s">
        <v>439</v>
      </c>
      <c r="C10" s="233">
        <v>0.1</v>
      </c>
      <c r="D10" s="228"/>
      <c r="E10" s="227"/>
      <c r="F10" s="228"/>
      <c r="G10" s="228"/>
      <c r="H10" s="386" t="s">
        <v>438</v>
      </c>
      <c r="I10" s="402">
        <f ca="1"/>
        <v>0.59866099650100402</v>
      </c>
      <c r="J10" s="401">
        <f ca="1"/>
        <v>0.19955366550033499</v>
      </c>
      <c r="K10" s="410" t="str">
        <f ca="1"/>
        <v/>
      </c>
      <c r="L10" s="410">
        <f ca="1"/>
        <v>0</v>
      </c>
      <c r="M10" s="332">
        <f ca="1"/>
        <v>0</v>
      </c>
      <c r="N10" s="450">
        <f ca="1"/>
        <v>0</v>
      </c>
      <c r="O10" s="332"/>
      <c r="P10" s="332"/>
      <c r="Q10" s="332"/>
      <c r="R10" s="450"/>
      <c r="S10" s="444"/>
      <c r="T10" s="79"/>
      <c r="U10" s="79"/>
      <c r="V10" s="79"/>
      <c r="W10" s="79"/>
      <c r="X10" s="79"/>
      <c r="Y10" s="485" t="s">
        <v>434</v>
      </c>
      <c r="Z10" s="432">
        <f ca="1">C29</f>
        <v>0</v>
      </c>
      <c r="AA10" s="79"/>
      <c r="AB10" s="485" t="s">
        <v>504</v>
      </c>
      <c r="AC10" s="432">
        <v>0.95</v>
      </c>
      <c r="AD10" s="79"/>
      <c r="AE10" s="485" t="s">
        <v>612</v>
      </c>
      <c r="AF10" s="484"/>
      <c r="AG10" s="504"/>
      <c r="AH10" s="227"/>
      <c r="AI10" s="485" t="s">
        <v>613</v>
      </c>
      <c r="AJ10" s="489"/>
      <c r="AN10" s="485" t="s">
        <v>621</v>
      </c>
      <c r="AO10" s="516" cm="1">
        <f t="array" aca="1" ref="AO10:AX11" ca="1">GetSBMDelta(C6,C19:C20,C21:C22,G39:G338,C8,C17,C39:C338,D39:D338,C12,C13,C14,C15,C9,C10,E39:E338,F39:F338,C24,C25,FALSE,FALSE,L6,C29:C31,C36,C33,,C34)</f>
        <v>-6.1779750699930691E-3</v>
      </c>
      <c r="AP10" s="517">
        <f ca="1"/>
        <v>1.8444369261003124E-2</v>
      </c>
      <c r="AQ10" s="517">
        <f ca="1"/>
        <v>2.1184890590039696E-2</v>
      </c>
      <c r="AR10" s="517">
        <f ca="1"/>
        <v>-1.9998673399992256E-2</v>
      </c>
      <c r="AS10" s="517">
        <f ca="1"/>
        <v>-0.16056741575995459</v>
      </c>
      <c r="AT10" s="517">
        <f ca="1"/>
        <v>-0.74454012165992012</v>
      </c>
      <c r="AU10" s="517">
        <f ca="1"/>
        <v>-2.6078391506501042</v>
      </c>
      <c r="AV10" s="517">
        <f ca="1"/>
        <v>-3.8315853741999195</v>
      </c>
      <c r="AW10" s="517">
        <f ca="1"/>
        <v>-4.5179046789001198</v>
      </c>
      <c r="AX10" s="518">
        <f ca="1"/>
        <v>-5.1212998575000945</v>
      </c>
    </row>
    <row r="11" spans="1:50" customFormat="1" ht="15.75" thickBot="1">
      <c r="A11" s="227"/>
      <c r="B11" s="227"/>
      <c r="C11" s="227"/>
      <c r="D11" s="228"/>
      <c r="E11" s="228"/>
      <c r="F11" s="228"/>
      <c r="H11" s="386" t="s">
        <v>440</v>
      </c>
      <c r="I11" s="403">
        <f ca="1"/>
        <v>6.5125996037748296E-2</v>
      </c>
      <c r="J11" s="403">
        <f ca="1"/>
        <v>6.5125996037748296E-2</v>
      </c>
      <c r="K11" s="410" t="str">
        <f ca="1"/>
        <v/>
      </c>
      <c r="L11" s="410">
        <f ca="1"/>
        <v>0</v>
      </c>
      <c r="M11" s="332">
        <f ca="1"/>
        <v>0</v>
      </c>
      <c r="N11" s="450">
        <f ca="1"/>
        <v>0</v>
      </c>
      <c r="O11" s="332"/>
      <c r="P11" s="332"/>
      <c r="Q11" s="332"/>
      <c r="R11" s="450"/>
      <c r="S11" s="444"/>
      <c r="T11" s="79"/>
      <c r="U11" s="79"/>
      <c r="V11" s="79"/>
      <c r="W11" s="79"/>
      <c r="X11" s="79"/>
      <c r="Y11" s="485" t="s">
        <v>505</v>
      </c>
      <c r="Z11" s="433" t="e">
        <f ca="1">SUM(Z15:Z314)</f>
        <v>#VALUE!</v>
      </c>
      <c r="AA11" s="79"/>
      <c r="AB11" s="485" t="s">
        <v>505</v>
      </c>
      <c r="AC11" s="433" t="e">
        <f ca="1">SUM(AC15:AC314)</f>
        <v>#VALUE!</v>
      </c>
      <c r="AD11" s="79"/>
      <c r="AE11" s="486" t="s">
        <v>615</v>
      </c>
      <c r="AF11" s="497" t="e">
        <f ca="1">MAX(MAX(AF12,0)+0.5*MIN(AF12,0),0)</f>
        <v>#DIV/0!</v>
      </c>
      <c r="AG11" s="504"/>
      <c r="AH11" s="227"/>
      <c r="AI11" s="486" t="s">
        <v>615</v>
      </c>
      <c r="AJ11" s="502" t="e">
        <f ca="1">MAX(MAX(AJ12,0)+0.5*MIN(AJ12,0),0)</f>
        <v>#DIV/0!</v>
      </c>
      <c r="AN11" s="487" t="s">
        <v>622</v>
      </c>
      <c r="AO11" s="522">
        <f ca="1"/>
        <v>0</v>
      </c>
      <c r="AP11" s="519">
        <f ca="1"/>
        <v>-1.4268284575872601</v>
      </c>
      <c r="AQ11" s="519">
        <f ca="1"/>
        <v>-2.8598475444892411</v>
      </c>
      <c r="AR11" s="520">
        <f ca="1"/>
        <v>-5.54318341339299</v>
      </c>
      <c r="AS11" s="519">
        <f ca="1"/>
        <v>-7.95804901163085</v>
      </c>
      <c r="AT11" s="519">
        <f ca="1"/>
        <v>-11.97321993002007</v>
      </c>
      <c r="AU11" s="519">
        <f ca="1"/>
        <v>-18.297611585026353</v>
      </c>
      <c r="AV11" s="520">
        <f ca="1"/>
        <v>-21.447648419437769</v>
      </c>
      <c r="AW11" s="520">
        <f ca="1"/>
        <v>-23.09321729549124</v>
      </c>
      <c r="AX11" s="521">
        <f ca="1"/>
        <v>-24.483978276952229</v>
      </c>
    </row>
    <row r="12" spans="1:50" customFormat="1" ht="15.75" thickBot="1">
      <c r="A12" s="227"/>
      <c r="B12" s="270" t="s">
        <v>434</v>
      </c>
      <c r="C12" s="234">
        <v>0.05</v>
      </c>
      <c r="D12" s="228"/>
      <c r="E12" s="228"/>
      <c r="F12" s="228"/>
      <c r="G12" s="228"/>
      <c r="H12" s="386" t="s">
        <v>497</v>
      </c>
      <c r="I12" s="404">
        <f ca="1"/>
        <v>3.9910733100066902</v>
      </c>
      <c r="J12" s="404">
        <f ca="1"/>
        <v>3.9910733100066902</v>
      </c>
      <c r="K12" s="410" t="str">
        <f ca="1"/>
        <v/>
      </c>
      <c r="L12" s="410">
        <f ca="1"/>
        <v>0</v>
      </c>
      <c r="M12" s="332">
        <f ca="1"/>
        <v>0</v>
      </c>
      <c r="N12" s="450">
        <f ca="1"/>
        <v>0</v>
      </c>
      <c r="O12" s="332"/>
      <c r="P12" s="332"/>
      <c r="Q12" s="332"/>
      <c r="R12" s="450"/>
      <c r="S12" s="445"/>
      <c r="T12" s="283" t="s">
        <v>423</v>
      </c>
      <c r="U12" s="438" t="b">
        <v>1</v>
      </c>
      <c r="V12" s="79"/>
      <c r="W12" s="79"/>
      <c r="X12" s="79"/>
      <c r="Y12" s="485" t="s">
        <v>498</v>
      </c>
      <c r="Z12" s="417" t="e">
        <f ca="1">$J$8+Z11</f>
        <v>#VALUE!</v>
      </c>
      <c r="AA12" s="79"/>
      <c r="AB12" s="485" t="s">
        <v>498</v>
      </c>
      <c r="AC12" s="417" t="e">
        <f ca="1">$J$8+AC11</f>
        <v>#VALUE!</v>
      </c>
      <c r="AD12" s="79"/>
      <c r="AE12" s="486" t="s">
        <v>614</v>
      </c>
      <c r="AF12" s="497" t="e">
        <f ca="1">15%*SUM(AG15:AG114)-AF13*15%*ABS(SUM(AH15:AH114))</f>
        <v>#DIV/0!</v>
      </c>
      <c r="AG12" s="504"/>
      <c r="AH12" s="227"/>
      <c r="AI12" s="486" t="s">
        <v>614</v>
      </c>
      <c r="AJ12" s="503" t="e">
        <f ca="1">15%*SUM(AK15:AK114)-AJ13*15%*ABS(SUM(AL15:AL114))</f>
        <v>#DIV/0!</v>
      </c>
    </row>
    <row r="13" spans="1:50" customFormat="1" ht="15.75" thickBot="1">
      <c r="A13" s="227"/>
      <c r="B13" s="271" t="s">
        <v>458</v>
      </c>
      <c r="C13" s="231" t="s">
        <v>459</v>
      </c>
      <c r="D13" s="228"/>
      <c r="E13" s="228" t="s">
        <v>75</v>
      </c>
      <c r="F13" s="228"/>
      <c r="G13" s="228"/>
      <c r="H13" s="386" t="s">
        <v>443</v>
      </c>
      <c r="I13" s="405" t="str">
        <f ca="1"/>
        <v>00:00:00.5069489</v>
      </c>
      <c r="J13" s="405" t="str">
        <f ca="1"/>
        <v>00:00:00.5069489</v>
      </c>
      <c r="K13" s="411" t="str">
        <f ca="1"/>
        <v>Leverage=</v>
      </c>
      <c r="L13" s="412">
        <f ca="1"/>
        <v>11.7485078179332</v>
      </c>
      <c r="M13" s="332">
        <f ca="1"/>
        <v>0</v>
      </c>
      <c r="N13" s="450">
        <f ca="1"/>
        <v>0</v>
      </c>
      <c r="O13" s="332"/>
      <c r="P13" s="456"/>
      <c r="Q13" s="455"/>
      <c r="R13" s="450"/>
      <c r="S13" s="445"/>
      <c r="T13" s="287" t="s">
        <v>499</v>
      </c>
      <c r="U13" s="418" t="str">
        <f ca="1">L13</f>
        <v>NaN</v>
      </c>
      <c r="V13" s="419"/>
      <c r="W13" s="79"/>
      <c r="X13" s="79"/>
      <c r="Y13" s="485" t="s">
        <v>500</v>
      </c>
      <c r="Z13" s="420" t="e">
        <f ca="1">Z12*(C20-C21)</f>
        <v>#VALUE!</v>
      </c>
      <c r="AA13" s="79"/>
      <c r="AB13" s="485" t="s">
        <v>500</v>
      </c>
      <c r="AC13" s="421" t="e">
        <f ca="1">AC12*(C20-C21)</f>
        <v>#VALUE!</v>
      </c>
      <c r="AD13" s="79"/>
      <c r="AE13" s="486" t="s">
        <v>611</v>
      </c>
      <c r="AF13" s="500" t="e">
        <f ca="1">SUM(AG15:AG114)/(SUM(AG15:AG114)-SUM(AH15:AH114))</f>
        <v>#DIV/0!</v>
      </c>
      <c r="AG13" s="510"/>
      <c r="AH13" s="511"/>
      <c r="AI13" s="486" t="s">
        <v>611</v>
      </c>
      <c r="AJ13" s="509" t="e">
        <f ca="1">SUM(AK15:AK114)/(SUM(AK15:AK114)-SUM(AL15:AL114))</f>
        <v>#DIV/0!</v>
      </c>
      <c r="AN13" s="485" t="s">
        <v>456</v>
      </c>
      <c r="AO13" s="307" t="s">
        <v>84</v>
      </c>
      <c r="AP13" s="307" t="s">
        <v>53</v>
      </c>
      <c r="AQ13" s="307" t="s">
        <v>55</v>
      </c>
      <c r="AR13" s="307" t="s">
        <v>57</v>
      </c>
      <c r="AS13" s="523" t="s">
        <v>62</v>
      </c>
    </row>
    <row r="14" spans="1:50" customFormat="1" ht="15.75" thickBot="1">
      <c r="A14" s="227"/>
      <c r="B14" s="271" t="s">
        <v>461</v>
      </c>
      <c r="C14" s="231" t="s">
        <v>445</v>
      </c>
      <c r="D14" s="228"/>
      <c r="E14" s="228"/>
      <c r="F14" s="228"/>
      <c r="G14" s="228"/>
      <c r="H14" s="386" t="s">
        <v>460</v>
      </c>
      <c r="I14" s="406" t="str">
        <f ca="1"/>
        <v>dPV</v>
      </c>
      <c r="J14" s="407" t="str">
        <f ca="1"/>
        <v>dHedge</v>
      </c>
      <c r="K14" s="407" t="str">
        <f ca="1"/>
        <v>delta not. (Hedge Crncy)</v>
      </c>
      <c r="L14" s="406" t="str">
        <f ca="1"/>
        <v>delta not. (Product CCY)</v>
      </c>
      <c r="M14" s="406" t="str">
        <f ca="1"/>
        <v>dPV(dBeta)</v>
      </c>
      <c r="N14" s="451" t="str">
        <f ca="1"/>
        <v>Name</v>
      </c>
      <c r="O14" s="406"/>
      <c r="P14" s="406"/>
      <c r="Q14" s="406"/>
      <c r="R14" s="451"/>
      <c r="S14" s="151"/>
      <c r="T14" s="480" t="s">
        <v>501</v>
      </c>
      <c r="U14" s="406" t="s">
        <v>436</v>
      </c>
      <c r="V14" s="406" t="s">
        <v>438</v>
      </c>
      <c r="W14" s="406" t="s">
        <v>440</v>
      </c>
      <c r="X14" s="406" t="s">
        <v>441</v>
      </c>
      <c r="Y14" s="406" t="s">
        <v>506</v>
      </c>
      <c r="Z14" s="406" t="s">
        <v>502</v>
      </c>
      <c r="AA14" s="406" t="s">
        <v>503</v>
      </c>
      <c r="AB14" s="406" t="s">
        <v>507</v>
      </c>
      <c r="AC14" s="406" t="s">
        <v>502</v>
      </c>
      <c r="AD14" s="79"/>
      <c r="AE14" s="487" t="s">
        <v>609</v>
      </c>
      <c r="AF14" s="483" t="s">
        <v>610</v>
      </c>
      <c r="AG14" s="483" t="s">
        <v>617</v>
      </c>
      <c r="AH14" s="488" t="s">
        <v>618</v>
      </c>
      <c r="AI14" s="483" t="s">
        <v>609</v>
      </c>
      <c r="AJ14" s="488" t="s">
        <v>610</v>
      </c>
      <c r="AK14" s="506" t="s">
        <v>617</v>
      </c>
      <c r="AL14" s="507" t="s">
        <v>618</v>
      </c>
      <c r="AN14" s="531" t="str">
        <f ca="1">IF(OR(C39="",C39=0),"",C39)</f>
        <v>ABNAMRO_MMR.EUR.SU</v>
      </c>
      <c r="AO14" s="524" cm="1">
        <f t="array" aca="1" ref="AO14" ca="1">IF(AN14&lt;&gt;"",TRANSPOSE(INDEX(GetCDS($C39,AO$13,$G39/10000,F39,D39,$C$13,$C$14,$C$15,$C$8,,,TRUE,TRUE,FALSE,$C$29:$C$31,$C$33),{5})),"")</f>
        <v>0.47808745780603801</v>
      </c>
      <c r="AP14" s="524" cm="1">
        <f t="array" aca="1" ref="AP14" ca="1">IF(AO14&lt;&gt;"",TRANSPOSE(INDEX(GetCDS($C39,AP$13,$G39/10000,G39,E39,$C$13,$C$14,$C$15,$C$8,,,TRUE,TRUE,FALSE,$C$29:$C$31,$C$33),{5})),"")</f>
        <v>0.96357173750565805</v>
      </c>
      <c r="AQ14" s="524" cm="1">
        <f t="array" aca="1" ref="AQ14" ca="1">IF(AP14&lt;&gt;"",TRANSPOSE(INDEX(GetCDS($C39,AQ$13,$G39/10000,H39,F39,$C$13,$C$14,$C$15,$C$8,,,TRUE,TRUE,FALSE,$C$29:$C$31,$C$33),{5})),"")</f>
        <v>2.7965061882648601</v>
      </c>
      <c r="AR14" s="524" cm="1">
        <f t="array" aca="1" ref="AR14" ca="1">IF(AQ14&lt;&gt;"",TRANSPOSE(INDEX(GetCDS($C39,AR$13,$G39/10000,I39,G39,$C$13,$C$14,$C$15,$C$8,,,TRUE,TRUE,FALSE,$C$29:$C$31,$C$33),{5})),"")</f>
        <v>4.4538685969902199</v>
      </c>
      <c r="AS14" s="525" cm="1">
        <f t="array" aca="1" ref="AS14" ca="1">IF(AR14&lt;&gt;"",TRANSPOSE(INDEX(GetCDS($C39,AS$13,$G39/10000,J39,H39,$C$13,$C$14,$C$15,$C$8,,,TRUE,TRUE,FALSE,$C$29:$C$31,$C$33),{5})),"")</f>
        <v>7.8804358796210501</v>
      </c>
    </row>
    <row r="15" spans="1:50" customFormat="1" ht="15.75" thickBot="1">
      <c r="A15" s="227"/>
      <c r="B15" s="272" t="s">
        <v>462</v>
      </c>
      <c r="C15" s="235"/>
      <c r="D15" s="228"/>
      <c r="E15" s="228"/>
      <c r="F15" s="228"/>
      <c r="G15" s="228"/>
      <c r="H15" s="386">
        <v>1</v>
      </c>
      <c r="I15" s="413">
        <f ca="1"/>
        <v>1.79219623696469E-4</v>
      </c>
      <c r="J15" s="413">
        <f ca="1"/>
        <v>4.73729500220981E-4</v>
      </c>
      <c r="K15" s="413">
        <f ca="1"/>
        <v>0.37831636749003</v>
      </c>
      <c r="L15" s="413">
        <f ca="1"/>
        <v>0.37831636749003</v>
      </c>
      <c r="M15" s="413">
        <f ca="1"/>
        <v>-2.2192120298787299E-4</v>
      </c>
      <c r="N15" s="452" t="str">
        <f ca="1"/>
        <v>ABNAMRO_MMR.EUR.SU</v>
      </c>
      <c r="O15" s="413"/>
      <c r="P15" s="413"/>
      <c r="Q15" s="413"/>
      <c r="R15" s="452"/>
      <c r="S15" s="442"/>
      <c r="T15" s="422" cm="1">
        <f t="array" aca="1" ref="T15:X15" ca="1">IF(AND($U$12,B39&lt;=$C$17,C39&lt;&gt;""),TRANSPOSE(INDEX(GetCDS(C39,$C$6,G39/10000,F39,D39,$C$13,$C$14,$C$15,$C$8,,,TRUE,TRUE,FALSE,$C$29:$C$31,$C$33),{1;2;3;4;5})),"")</f>
        <v>-4.5115400089975097E-2</v>
      </c>
      <c r="U15" s="423">
        <f ca="1"/>
        <v>0</v>
      </c>
      <c r="V15" s="423">
        <f ca="1"/>
        <v>4.5115400089975097E-2</v>
      </c>
      <c r="W15" s="424">
        <f ca="1"/>
        <v>0</v>
      </c>
      <c r="X15" s="425">
        <f ca="1"/>
        <v>4.5115400089975104</v>
      </c>
      <c r="Y15" s="426" t="e">
        <f ca="1">IF($U$12,IF(T15="","",$U$13*D39/$C$18),"")</f>
        <v>#VALUE!</v>
      </c>
      <c r="Z15" s="427" t="e">
        <f ca="1">IF($U$12,IF(Y15="","",Y15*($Z$10-W15)*X15),"")</f>
        <v>#VALUE!</v>
      </c>
      <c r="AA15" s="426" t="e">
        <f ca="1">IF($U$12,IF(OR(T15="",L15=""),"",L15/($C$20-$C$19)),"")</f>
        <v>#VALUE!</v>
      </c>
      <c r="AB15" s="428">
        <f ca="1">IF($U$12,IF(W15="","",W15*$AC$10),"")</f>
        <v>0</v>
      </c>
      <c r="AC15" s="427" t="e">
        <f ca="1">IF($U$12,IF(AA15="","",AA15*(AB15-W15)*X15),"")</f>
        <v>#VALUE!</v>
      </c>
      <c r="AD15" s="135"/>
      <c r="AE15" s="492">
        <f ca="1">O15</f>
        <v>-4.6465410749109998E-3</v>
      </c>
      <c r="AF15" s="493">
        <f ca="1">ABS(MIN(-0.75*(Q15+T15)+T15,0))</f>
        <v>1.9901958270255281E-3</v>
      </c>
      <c r="AG15" s="493">
        <f ca="1">IF($AF$9,MAX(O15-AF15,0),AE15)</f>
        <v>0</v>
      </c>
      <c r="AH15" s="495">
        <f ca="1">IF($AF$9,0,AF15)</f>
        <v>0</v>
      </c>
      <c r="AI15" s="494">
        <f ca="1">O15</f>
        <v>-4.6465410749109998E-3</v>
      </c>
      <c r="AJ15" s="508">
        <f ca="1">ABS(MIN(-0.75*(K15+T15)+T15,0))</f>
        <v>0.29021875813964004</v>
      </c>
      <c r="AK15" s="508">
        <f ca="1">IF($AF$9,MAX(AI15-AJ15,0),AI15)</f>
        <v>0</v>
      </c>
      <c r="AL15" s="495">
        <f ca="1">IF($AF$9,0,AJ15)</f>
        <v>0</v>
      </c>
      <c r="AN15" s="532" t="str">
        <f t="shared" ref="AN15:AN78" ca="1" si="0">IF(OR(C40="",C40=0),"",C40)</f>
        <v>Accor_MMR.EUR.SU</v>
      </c>
      <c r="AO15" s="524" cm="1">
        <f t="array" aca="1" ref="AO15" ca="1">IF(AN15&lt;&gt;"",TRANSPOSE(INDEX(GetCDS($C40,AO$13,$G40/10000,F40,D40,$C$13,$C$14,$C$15,$C$8,,,TRUE,TRUE,FALSE,$C$29:$C$31,$C$33),{5})),"")</f>
        <v>0.47818956615522601</v>
      </c>
      <c r="AP15" s="524" cm="1">
        <f t="array" aca="1" ref="AP15" ca="1">IF(AO15&lt;&gt;"",TRANSPOSE(INDEX(GetCDS($C40,AP$13,$G40/10000,G40,E40,$C$13,$C$14,$C$15,$C$8,,,TRUE,TRUE,FALSE,$C$29:$C$31,$C$33),{5})),"")</f>
        <v>0.96403726865316297</v>
      </c>
      <c r="AQ15" s="524" cm="1">
        <f t="array" aca="1" ref="AQ15" ca="1">IF(AP15&lt;&gt;"",TRANSPOSE(INDEX(GetCDS($C40,AQ$13,$G40/10000,H40,F40,$C$13,$C$14,$C$15,$C$8,,,TRUE,TRUE,FALSE,$C$29:$C$31,$C$33),{5})),"")</f>
        <v>2.8026997188442402</v>
      </c>
      <c r="AR15" s="524" cm="1">
        <f t="array" aca="1" ref="AR15" ca="1">IF(AQ15&lt;&gt;"",TRANSPOSE(INDEX(GetCDS($C40,AR$13,$G40/10000,I40,G40,$C$13,$C$14,$C$15,$C$8,,,TRUE,TRUE,FALSE,$C$29:$C$31,$C$33),{5})),"")</f>
        <v>4.4668444230717803</v>
      </c>
      <c r="AS15" s="525" cm="1">
        <f t="array" aca="1" ref="AS15" ca="1">IF(AR15&lt;&gt;"",TRANSPOSE(INDEX(GetCDS($C40,AS$13,$G40/10000,J40,H40,$C$13,$C$14,$C$15,$C$8,,,TRUE,TRUE,FALSE,$C$29:$C$31,$C$33),{5})),"")</f>
        <v>7.8874768347818902</v>
      </c>
    </row>
    <row r="16" spans="1:50" customFormat="1" ht="15.75" thickBot="1">
      <c r="A16" s="227"/>
      <c r="B16" s="227"/>
      <c r="C16" s="228"/>
      <c r="D16" s="228"/>
      <c r="E16" s="228"/>
      <c r="F16" s="228"/>
      <c r="G16" s="228"/>
      <c r="H16" s="386">
        <v>2</v>
      </c>
      <c r="I16" s="413">
        <f ca="1"/>
        <v>1.7000341978159499E-4</v>
      </c>
      <c r="J16" s="413">
        <f ca="1"/>
        <v>4.7569669245036799E-4</v>
      </c>
      <c r="K16" s="413">
        <f ca="1"/>
        <v>0.35737776293101398</v>
      </c>
      <c r="L16" s="413">
        <f ca="1"/>
        <v>0.35737776293101398</v>
      </c>
      <c r="M16" s="413">
        <f ca="1"/>
        <v>-1.96850229194534E-4</v>
      </c>
      <c r="N16" s="452" t="str">
        <f ca="1"/>
        <v>ACCOR_MMR.EUR.SU</v>
      </c>
      <c r="O16" s="413"/>
      <c r="P16" s="413"/>
      <c r="Q16" s="413"/>
      <c r="R16" s="452"/>
      <c r="S16" s="443"/>
      <c r="T16" s="422" cm="1">
        <f t="array" aca="1" ref="T16:X16" ca="1">IF(AND($U$12,B40&lt;=$C$17,C40&lt;&gt;""),TRANSPOSE(INDEX(GetCDS(C40,$C$6,G40/10000,F40,D40,$C$13,$C$14,$C$15,$C$8,,,TRUE,TRUE,FALSE,$C$29:$C$31,$C$33),{1;2;3;4;5})),"")</f>
        <v>-2.78675821800441E-2</v>
      </c>
      <c r="U16" s="423">
        <f ca="1"/>
        <v>1.6800862050673701E-2</v>
      </c>
      <c r="V16" s="423">
        <f ca="1"/>
        <v>4.4668444230717801E-2</v>
      </c>
      <c r="W16" s="424">
        <f ca="1"/>
        <v>3.76123734327868E-3</v>
      </c>
      <c r="X16" s="425">
        <f ca="1"/>
        <v>4.4668444230717803</v>
      </c>
      <c r="Y16" s="426" t="e">
        <f ca="1">IF($U$12,IF(T16="","",$U$13*D40/$C$18),"")</f>
        <v>#VALUE!</v>
      </c>
      <c r="Z16" s="427" t="e">
        <f t="shared" ref="Z16:Z79" ca="1" si="1">IF($U$12,IF(Y16="","",Y16*($Z$10-W16)*X16),"")</f>
        <v>#VALUE!</v>
      </c>
      <c r="AA16" s="426">
        <f t="shared" ref="AA16:AA79" ca="1" si="2">IF($U$12,IF(OR(T16="",L16=""),"",L16/($C$20-$C$19)),"")</f>
        <v>0.12012121685268366</v>
      </c>
      <c r="AB16" s="428">
        <f t="shared" ref="AB16:AB79" ca="1" si="3">IF($U$12,IF(W16="","",W16*$AC$10),"")</f>
        <v>3.5731754761147458E-3</v>
      </c>
      <c r="AC16" s="427">
        <f t="shared" ref="AC16:AC79" ca="1" si="4">IF($U$12,IF(AA16="","",AA16*(AB16-W16)*X16),"")</f>
        <v>-1.0090699968505E-4</v>
      </c>
      <c r="AD16" s="79"/>
      <c r="AE16" s="496">
        <f t="shared" ref="AE16:AE79" ca="1" si="5">O16</f>
        <v>-3.8375404434929901E-3</v>
      </c>
      <c r="AF16" s="493">
        <f t="shared" ref="AF16:AF79" ca="1" si="6">ABS(MIN(-0.75*(Q16+T16)+T16,0))</f>
        <v>3.2668373364487698E-3</v>
      </c>
      <c r="AG16" s="493">
        <f t="shared" ref="AG16:AG79" ca="1" si="7">IF($AF$9,MAX(O16-AF16,0),AE16)</f>
        <v>0</v>
      </c>
      <c r="AH16" s="498">
        <f ca="1">IF($AF$9,0,AF16)</f>
        <v>0</v>
      </c>
      <c r="AI16" s="497">
        <f ca="1">O16</f>
        <v>-3.8375404434929901E-3</v>
      </c>
      <c r="AJ16" s="493">
        <f ca="1">ABS(MIN(-0.75*(K16+T16)+T16,0))</f>
        <v>0.27500021774327149</v>
      </c>
      <c r="AK16" s="493">
        <f ca="1">IF($AF$9,MAX(AI16-AJ16,0),AI16)</f>
        <v>0</v>
      </c>
      <c r="AL16" s="498">
        <f ca="1">IF($AF$9,0,AJ16)</f>
        <v>0</v>
      </c>
      <c r="AN16" s="532" t="str">
        <f t="shared" ca="1" si="0"/>
        <v>Adecco_MMR.EUR.SU</v>
      </c>
      <c r="AO16" s="524" cm="1">
        <f t="array" aca="1" ref="AO16" ca="1">IF(AN16&lt;&gt;"",TRANSPOSE(INDEX(GetCDS($C41,AO$13,$G41/10000,F41,D41,$C$13,$C$14,$C$15,$C$8,,,TRUE,TRUE,FALSE,$C$29:$C$31,$C$33),{5})),"")</f>
        <v>0.47822810520300102</v>
      </c>
      <c r="AP16" s="524" cm="1">
        <f t="array" aca="1" ref="AP16" ca="1">IF(AO16&lt;&gt;"",TRANSPOSE(INDEX(GetCDS($C41,AP$13,$G41/10000,G41,E41,$C$13,$C$14,$C$15,$C$8,,,TRUE,TRUE,FALSE,$C$29:$C$31,$C$33),{5})),"")</f>
        <v>0.96418213066801395</v>
      </c>
      <c r="AQ16" s="524" cm="1">
        <f t="array" aca="1" ref="AQ16" ca="1">IF(AP16&lt;&gt;"",TRANSPOSE(INDEX(GetCDS($C41,AQ$13,$G41/10000,H41,F41,$C$13,$C$14,$C$15,$C$8,,,TRUE,TRUE,FALSE,$C$29:$C$31,$C$33),{5})),"")</f>
        <v>2.80173465376645</v>
      </c>
      <c r="AR16" s="524" cm="1">
        <f t="array" aca="1" ref="AR16" ca="1">IF(AQ16&lt;&gt;"",TRANSPOSE(INDEX(GetCDS($C41,AR$13,$G41/10000,I41,G41,$C$13,$C$14,$C$15,$C$8,,,TRUE,TRUE,FALSE,$C$29:$C$31,$C$33),{5})),"")</f>
        <v>4.4612949755430797</v>
      </c>
      <c r="AS16" s="525" cm="1">
        <f t="array" aca="1" ref="AS16" ca="1">IF(AR16&lt;&gt;"",TRANSPOSE(INDEX(GetCDS($C41,AS$13,$G41/10000,J41,H41,$C$13,$C$14,$C$15,$C$8,,,TRUE,TRUE,FALSE,$C$29:$C$31,$C$33),{5})),"")</f>
        <v>7.8473738073750603</v>
      </c>
    </row>
    <row r="17" spans="1:45" customFormat="1" ht="15">
      <c r="A17" s="227"/>
      <c r="B17" s="270" t="s">
        <v>463</v>
      </c>
      <c r="C17" s="236">
        <f ca="1">COUNTA(C39:C338)</f>
        <v>100</v>
      </c>
      <c r="D17" s="228"/>
      <c r="E17" s="227"/>
      <c r="F17" s="228"/>
      <c r="G17" s="228"/>
      <c r="H17" s="386">
        <v>3</v>
      </c>
      <c r="I17" s="413">
        <f ca="1"/>
        <v>1.77646813044952E-4</v>
      </c>
      <c r="J17" s="413">
        <f ca="1"/>
        <v>4.7402211574003197E-4</v>
      </c>
      <c r="K17" s="413">
        <f ca="1"/>
        <v>0.374764820345173</v>
      </c>
      <c r="L17" s="413">
        <f ca="1"/>
        <v>0.374764820345173</v>
      </c>
      <c r="M17" s="413">
        <f ca="1"/>
        <v>-2.1947978859613299E-4</v>
      </c>
      <c r="N17" s="452" t="str">
        <f ca="1"/>
        <v>ADECCO_MMR.EUR.SU</v>
      </c>
      <c r="O17" s="413"/>
      <c r="P17" s="413"/>
      <c r="Q17" s="413"/>
      <c r="R17" s="452"/>
      <c r="S17" s="443"/>
      <c r="T17" s="422" cm="1">
        <f t="array" aca="1" ref="T17:X17" ca="1">IF(AND($U$12,B41&lt;=$C$17,C41&lt;&gt;""),TRANSPOSE(INDEX(GetCDS(C41,$C$6,G41/10000,F41,D41,$C$13,$C$14,$C$15,$C$8,,,TRUE,TRUE,FALSE,$C$29:$C$31,$C$33),{1;2;3;4;5})),"")</f>
        <v>-2.5970248678448202E-2</v>
      </c>
      <c r="U17" s="423">
        <f ca="1"/>
        <v>1.8642701076982598E-2</v>
      </c>
      <c r="V17" s="423">
        <f ca="1"/>
        <v>4.46129497554308E-2</v>
      </c>
      <c r="W17" s="424">
        <f ca="1"/>
        <v>4.1787645020520498E-3</v>
      </c>
      <c r="X17" s="425">
        <f ca="1"/>
        <v>4.4612949755430797</v>
      </c>
      <c r="Y17" s="426" t="e">
        <f ca="1">IF($U$12,IF(T17="","",$U$13*D41/$C$18),"")</f>
        <v>#VALUE!</v>
      </c>
      <c r="Z17" s="427" t="e">
        <f t="shared" ca="1" si="1"/>
        <v>#VALUE!</v>
      </c>
      <c r="AA17" s="426">
        <f t="shared" ca="1" si="2"/>
        <v>0.12593709955250401</v>
      </c>
      <c r="AB17" s="428">
        <f t="shared" ca="1" si="3"/>
        <v>3.969826276949447E-3</v>
      </c>
      <c r="AC17" s="427">
        <f t="shared" ca="1" si="4"/>
        <v>-1.1739038507297673E-4</v>
      </c>
      <c r="AD17" s="79"/>
      <c r="AE17" s="496">
        <f t="shared" ca="1" si="5"/>
        <v>-4.489547946922E-3</v>
      </c>
      <c r="AF17" s="493">
        <f t="shared" ca="1" si="6"/>
        <v>2.1532708553817677E-3</v>
      </c>
      <c r="AG17" s="493">
        <f t="shared" ca="1" si="7"/>
        <v>0</v>
      </c>
      <c r="AH17" s="498">
        <f t="shared" ref="AH17:AH80" ca="1" si="8">IF($AF$9,0,AF17)</f>
        <v>0</v>
      </c>
      <c r="AI17" s="497">
        <f ca="1">O17</f>
        <v>-4.489547946922E-3</v>
      </c>
      <c r="AJ17" s="493">
        <f t="shared" ref="AJ17:AJ80" ca="1" si="9">ABS(MIN(-0.75*(K17+T17)+T17,0))</f>
        <v>0.28756617742849178</v>
      </c>
      <c r="AK17" s="493">
        <f t="shared" ref="AK17:AK80" ca="1" si="10">IF($AF$9,MAX(AI17-AJ17,0),AI17)</f>
        <v>0</v>
      </c>
      <c r="AL17" s="498">
        <f t="shared" ref="AL17:AL80" ca="1" si="11">IF($AF$9,0,AJ17)</f>
        <v>0</v>
      </c>
      <c r="AN17" s="532" t="str">
        <f t="shared" ca="1" si="0"/>
        <v>Aegon_MMR.EUR.SU</v>
      </c>
      <c r="AO17" s="524" cm="1">
        <f t="array" aca="1" ref="AO17" ca="1">IF(AN17&lt;&gt;"",TRANSPOSE(INDEX(GetCDS($C42,AO$13,$G42/10000,F42,D42,$C$13,$C$14,$C$15,$C$8,,,TRUE,TRUE,FALSE,$C$29:$C$31,$C$33),{5})),"")</f>
        <v>0.47810094214003901</v>
      </c>
      <c r="AP17" s="524" cm="1">
        <f t="array" aca="1" ref="AP17" ca="1">IF(AO17&lt;&gt;"",TRANSPOSE(INDEX(GetCDS($C42,AP$13,$G42/10000,G42,E42,$C$13,$C$14,$C$15,$C$8,,,TRUE,TRUE,FALSE,$C$29:$C$31,$C$33),{5})),"")</f>
        <v>0.96364752309106105</v>
      </c>
      <c r="AQ17" s="524" cm="1">
        <f t="array" aca="1" ref="AQ17" ca="1">IF(AP17&lt;&gt;"",TRANSPOSE(INDEX(GetCDS($C42,AQ$13,$G42/10000,H42,F42,$C$13,$C$14,$C$15,$C$8,,,TRUE,TRUE,FALSE,$C$29:$C$31,$C$33),{5})),"")</f>
        <v>2.7979006567693099</v>
      </c>
      <c r="AR17" s="524" cm="1">
        <f t="array" aca="1" ref="AR17" ca="1">IF(AQ17&lt;&gt;"",TRANSPOSE(INDEX(GetCDS($C42,AR$13,$G42/10000,I42,G42,$C$13,$C$14,$C$15,$C$8,,,TRUE,TRUE,FALSE,$C$29:$C$31,$C$33),{5})),"")</f>
        <v>4.4577573939675199</v>
      </c>
      <c r="AS17" s="525" cm="1">
        <f t="array" aca="1" ref="AS17" ca="1">IF(AR17&lt;&gt;"",TRANSPOSE(INDEX(GetCDS($C42,AS$13,$G42/10000,J42,H42,$C$13,$C$14,$C$15,$C$8,,,TRUE,TRUE,FALSE,$C$29:$C$31,$C$33),{5})),"")</f>
        <v>7.8914581280198801</v>
      </c>
    </row>
    <row r="18" spans="1:45" customFormat="1" ht="15">
      <c r="A18" s="227"/>
      <c r="B18" s="271" t="s">
        <v>464</v>
      </c>
      <c r="C18" s="237">
        <f ca="1">SUM(OFFSET(D38,1,0,C17))</f>
        <v>100</v>
      </c>
      <c r="D18" s="228"/>
      <c r="E18" s="228"/>
      <c r="F18" s="228"/>
      <c r="G18" s="238"/>
      <c r="H18" s="386">
        <v>4</v>
      </c>
      <c r="I18" s="413">
        <f ca="1"/>
        <v>1.7531587670798201E-4</v>
      </c>
      <c r="J18" s="413">
        <f ca="1"/>
        <v>4.7461776934860998E-4</v>
      </c>
      <c r="K18" s="413">
        <f ca="1"/>
        <v>0.36938329752928301</v>
      </c>
      <c r="L18" s="413">
        <f ca="1"/>
        <v>0.36938329752928301</v>
      </c>
      <c r="M18" s="413">
        <f ca="1"/>
        <v>-2.1039961880768801E-4</v>
      </c>
      <c r="N18" s="452" t="str">
        <f ca="1"/>
        <v>AEGON_MMR.EUR.SU</v>
      </c>
      <c r="O18" s="413"/>
      <c r="P18" s="413"/>
      <c r="Q18" s="413"/>
      <c r="R18" s="452"/>
      <c r="S18" s="443"/>
      <c r="T18" s="422" cm="1">
        <f t="array" aca="1" ref="T18:X18" ca="1">IF(AND($U$12,B42&lt;=$C$17,C42&lt;&gt;""),TRANSPOSE(INDEX(GetCDS(C42,$C$6,G42/10000,F42,D42,$C$13,$C$14,$C$15,$C$8,,,TRUE,TRUE,FALSE,$C$29:$C$31,$C$33),{1;2;3;4;5})),"")</f>
        <v>-2.6879384128543401E-2</v>
      </c>
      <c r="U18" s="423">
        <f ca="1"/>
        <v>1.76981898111318E-2</v>
      </c>
      <c r="V18" s="423">
        <f ca="1"/>
        <v>4.4577573939675201E-2</v>
      </c>
      <c r="W18" s="424">
        <f ca="1"/>
        <v>3.9702003153159401E-3</v>
      </c>
      <c r="X18" s="425">
        <f ca="1"/>
        <v>4.4577573939675199</v>
      </c>
      <c r="Y18" s="426" t="e">
        <f t="shared" ref="Y18:Y79" ca="1" si="12">IF($U$12,IF(T18="","",$U$13*D42/$C$18),"")</f>
        <v>#VALUE!</v>
      </c>
      <c r="Z18" s="427" t="e">
        <f t="shared" ca="1" si="1"/>
        <v>#VALUE!</v>
      </c>
      <c r="AA18" s="426">
        <f t="shared" ca="1" si="2"/>
        <v>0.12412914498198101</v>
      </c>
      <c r="AB18" s="428">
        <f t="shared" ca="1" si="3"/>
        <v>3.7716902995501428E-3</v>
      </c>
      <c r="AC18" s="427">
        <f t="shared" ca="1" si="4"/>
        <v>-1.0984305844923017E-4</v>
      </c>
      <c r="AD18" s="79"/>
      <c r="AE18" s="496">
        <f t="shared" ca="1" si="5"/>
        <v>-4.2886644862699897E-3</v>
      </c>
      <c r="AF18" s="493">
        <f t="shared" ca="1" si="6"/>
        <v>2.5795657899067882E-3</v>
      </c>
      <c r="AG18" s="493">
        <f t="shared" ca="1" si="7"/>
        <v>0</v>
      </c>
      <c r="AH18" s="498">
        <f t="shared" ca="1" si="8"/>
        <v>0</v>
      </c>
      <c r="AI18" s="497">
        <f t="shared" ref="AI18:AI81" ca="1" si="13">O18</f>
        <v>-4.2886644862699897E-3</v>
      </c>
      <c r="AJ18" s="493">
        <f t="shared" ca="1" si="9"/>
        <v>0.28375731917909808</v>
      </c>
      <c r="AK18" s="493">
        <f t="shared" ca="1" si="10"/>
        <v>0</v>
      </c>
      <c r="AL18" s="498">
        <f t="shared" ca="1" si="11"/>
        <v>0</v>
      </c>
      <c r="AN18" s="532" t="str">
        <f t="shared" ca="1" si="0"/>
        <v>AkzoNobel_MMR.EUR.SU</v>
      </c>
      <c r="AO18" s="524" cm="1">
        <f t="array" aca="1" ref="AO18" ca="1">IF(AN18&lt;&gt;"",TRANSPOSE(INDEX(GetCDS($C43,AO$13,$G43/10000,F43,D43,$C$13,$C$14,$C$15,$C$8,,,TRUE,TRUE,FALSE,$C$29:$C$31,$C$33),{5})),"")</f>
        <v>0.47824737628841801</v>
      </c>
      <c r="AP18" s="524" cm="1">
        <f t="array" aca="1" ref="AP18" ca="1">IF(AO18&lt;&gt;"",TRANSPOSE(INDEX(GetCDS($C43,AP$13,$G43/10000,G43,E43,$C$13,$C$14,$C$15,$C$8,,,TRUE,TRUE,FALSE,$C$29:$C$31,$C$33),{5})),"")</f>
        <v>0.96429968448551195</v>
      </c>
      <c r="AQ18" s="524" cm="1">
        <f t="array" aca="1" ref="AQ18" ca="1">IF(AP18&lt;&gt;"",TRANSPOSE(INDEX(GetCDS($C43,AQ$13,$G43/10000,H43,F43,$C$13,$C$14,$C$15,$C$8,,,TRUE,TRUE,FALSE,$C$29:$C$31,$C$33),{5})),"")</f>
        <v>2.8064246814398199</v>
      </c>
      <c r="AR18" s="524" cm="1">
        <f t="array" aca="1" ref="AR18" ca="1">IF(AQ18&lt;&gt;"",TRANSPOSE(INDEX(GetCDS($C43,AR$13,$G43/10000,I43,G43,$C$13,$C$14,$C$15,$C$8,,,TRUE,TRUE,FALSE,$C$29:$C$31,$C$33),{5})),"")</f>
        <v>4.4814065985729998</v>
      </c>
      <c r="AS18" s="525" cm="1">
        <f t="array" aca="1" ref="AS18" ca="1">IF(AR18&lt;&gt;"",TRANSPOSE(INDEX(GetCDS($C43,AS$13,$G43/10000,J43,H43,$C$13,$C$14,$C$15,$C$8,,,TRUE,TRUE,FALSE,$C$29:$C$31,$C$33),{5})),"")</f>
        <v>7.9554949395674104</v>
      </c>
    </row>
    <row r="19" spans="1:45" customFormat="1" ht="15">
      <c r="A19" s="227"/>
      <c r="B19" s="271" t="s">
        <v>465</v>
      </c>
      <c r="C19" s="239">
        <v>0</v>
      </c>
      <c r="D19" s="240"/>
      <c r="E19" s="228"/>
      <c r="F19" s="228"/>
      <c r="G19" s="241"/>
      <c r="H19" s="386">
        <v>5</v>
      </c>
      <c r="I19" s="413">
        <f ca="1"/>
        <v>1.4475111669922701E-4</v>
      </c>
      <c r="J19" s="413">
        <f ca="1"/>
        <v>4.8036895853135201E-4</v>
      </c>
      <c r="K19" s="413">
        <f ca="1"/>
        <v>0.30133320259031598</v>
      </c>
      <c r="L19" s="413">
        <f ca="1"/>
        <v>0.30133320259031598</v>
      </c>
      <c r="M19" s="413">
        <f ca="1"/>
        <v>-1.3292365103258999E-4</v>
      </c>
      <c r="N19" s="452" t="str">
        <f ca="1"/>
        <v>AKZONOBEL_MMR.EUR.SU</v>
      </c>
      <c r="O19" s="413"/>
      <c r="P19" s="413"/>
      <c r="Q19" s="413"/>
      <c r="R19" s="452"/>
      <c r="S19" s="443"/>
      <c r="T19" s="462" cm="1">
        <f t="array" aca="1" ref="T19:X19" ca="1">IF(AND($U$12,B43&lt;=$C$17,C43&lt;&gt;""),TRANSPOSE(INDEX(GetCDS(C43,$C$6,G43/10000,F43,D43,$C$13,$C$14,$C$15,$C$8,,,TRUE,TRUE,FALSE,$C$29:$C$31,$C$33),{1;2;3;4;5})),"")</f>
        <v>-3.3105910289324102E-2</v>
      </c>
      <c r="U19" s="423">
        <f ca="1"/>
        <v>1.17081556964059E-2</v>
      </c>
      <c r="V19" s="423">
        <f ca="1"/>
        <v>4.4814065985729998E-2</v>
      </c>
      <c r="W19" s="424">
        <f ca="1"/>
        <v>2.6126073229182302E-3</v>
      </c>
      <c r="X19" s="425">
        <f ca="1"/>
        <v>4.4814065985729998</v>
      </c>
      <c r="Y19" s="426" t="e">
        <f t="shared" ca="1" si="12"/>
        <v>#VALUE!</v>
      </c>
      <c r="Z19" s="427" t="e">
        <f t="shared" ca="1" si="1"/>
        <v>#VALUE!</v>
      </c>
      <c r="AA19" s="426">
        <f t="shared" ca="1" si="2"/>
        <v>0.101367615553299</v>
      </c>
      <c r="AB19" s="428">
        <f t="shared" ca="1" si="3"/>
        <v>2.4819769567723184E-3</v>
      </c>
      <c r="AC19" s="427">
        <f t="shared" ca="1" si="4"/>
        <v>-5.9341391273572183E-5</v>
      </c>
      <c r="AD19" s="79"/>
      <c r="AE19" s="496">
        <f t="shared" ca="1" si="5"/>
        <v>-2.2080682665110199E-3</v>
      </c>
      <c r="AF19" s="493">
        <f t="shared" ca="1" si="6"/>
        <v>6.161755696114532E-3</v>
      </c>
      <c r="AG19" s="493">
        <f t="shared" ca="1" si="7"/>
        <v>0</v>
      </c>
      <c r="AH19" s="498">
        <f t="shared" ca="1" si="8"/>
        <v>0</v>
      </c>
      <c r="AI19" s="497">
        <f t="shared" ca="1" si="13"/>
        <v>-2.2080682665110199E-3</v>
      </c>
      <c r="AJ19" s="493">
        <f t="shared" ca="1" si="9"/>
        <v>0.23427637951506805</v>
      </c>
      <c r="AK19" s="493">
        <f t="shared" ca="1" si="10"/>
        <v>0</v>
      </c>
      <c r="AL19" s="498">
        <f t="shared" ca="1" si="11"/>
        <v>0</v>
      </c>
      <c r="AN19" s="532" t="str">
        <f t="shared" ca="1" si="0"/>
        <v>Allianz_MMR.EUR.SU</v>
      </c>
      <c r="AO19" s="524" cm="1">
        <f t="array" aca="1" ref="AO19" ca="1">IF(AN19&lt;&gt;"",TRANSPOSE(INDEX(GetCDS($C44,AO$13,$G44/10000,F44,D44,$C$13,$C$14,$C$15,$C$8,,,TRUE,TRUE,FALSE,$C$29:$C$31,$C$33),{5})),"")</f>
        <v>0.47810672129627702</v>
      </c>
      <c r="AP19" s="524" cm="1">
        <f t="array" aca="1" ref="AP19" ca="1">IF(AO19&lt;&gt;"",TRANSPOSE(INDEX(GetCDS($C44,AP$13,$G44/10000,G44,E44,$C$13,$C$14,$C$15,$C$8,,,TRUE,TRUE,FALSE,$C$29:$C$31,$C$33),{5})),"")</f>
        <v>0.96369049339651203</v>
      </c>
      <c r="AQ19" s="524" cm="1">
        <f t="array" aca="1" ref="AQ19" ca="1">IF(AP19&lt;&gt;"",TRANSPOSE(INDEX(GetCDS($C44,AQ$13,$G44/10000,H44,F44,$C$13,$C$14,$C$15,$C$8,,,TRUE,TRUE,FALSE,$C$29:$C$31,$C$33),{5})),"")</f>
        <v>2.7993643163340098</v>
      </c>
      <c r="AR19" s="524" cm="1">
        <f t="array" aca="1" ref="AR19" ca="1">IF(AQ19&lt;&gt;"",TRANSPOSE(INDEX(GetCDS($C44,AR$13,$G44/10000,I44,G44,$C$13,$C$14,$C$15,$C$8,,,TRUE,TRUE,FALSE,$C$29:$C$31,$C$33),{5})),"")</f>
        <v>4.4648878401538399</v>
      </c>
      <c r="AS19" s="525" cm="1">
        <f t="array" aca="1" ref="AS19" ca="1">IF(AR19&lt;&gt;"",TRANSPOSE(INDEX(GetCDS($C44,AS$13,$G44/10000,J44,H44,$C$13,$C$14,$C$15,$C$8,,,TRUE,TRUE,FALSE,$C$29:$C$31,$C$33),{5})),"")</f>
        <v>7.9240787312080698</v>
      </c>
    </row>
    <row r="20" spans="1:45" customFormat="1" ht="15">
      <c r="A20" s="227"/>
      <c r="B20" s="271" t="s">
        <v>466</v>
      </c>
      <c r="C20" s="239">
        <v>3</v>
      </c>
      <c r="D20" s="240"/>
      <c r="E20" s="228"/>
      <c r="F20" s="228"/>
      <c r="G20" s="241"/>
      <c r="H20" s="386">
        <v>6</v>
      </c>
      <c r="I20" s="413">
        <f ca="1"/>
        <v>1.6339796612061501E-4</v>
      </c>
      <c r="J20" s="413">
        <f ca="1"/>
        <v>4.7709727786175802E-4</v>
      </c>
      <c r="K20" s="413">
        <f ca="1"/>
        <v>0.34248354308984502</v>
      </c>
      <c r="L20" s="413">
        <f ca="1"/>
        <v>0.34248354308984502</v>
      </c>
      <c r="M20" s="413">
        <f ca="1"/>
        <v>-1.76632365331275E-4</v>
      </c>
      <c r="N20" s="452" t="str">
        <f ca="1"/>
        <v>ALLIANZ_MMR.EUR.SU</v>
      </c>
      <c r="O20" s="413"/>
      <c r="P20" s="413"/>
      <c r="Q20" s="413"/>
      <c r="R20" s="452"/>
      <c r="S20" s="443"/>
      <c r="T20" s="422" cm="1">
        <f t="array" aca="1" ref="T20:X20" ca="1">IF(AND($U$12,B44&lt;=$C$17,C44&lt;&gt;""),TRANSPOSE(INDEX(GetCDS(C44,$C$6,G44/10000,F44,D44,$C$13,$C$14,$C$15,$C$8,,,TRUE,TRUE,FALSE,$C$29:$C$31,$C$33),{1;2;3;4;5})),"")</f>
        <v>-2.9719220670335601E-2</v>
      </c>
      <c r="U20" s="423">
        <f ca="1"/>
        <v>1.49296577312028E-2</v>
      </c>
      <c r="V20" s="423">
        <f ca="1"/>
        <v>4.4648878401538403E-2</v>
      </c>
      <c r="W20" s="424">
        <f ca="1"/>
        <v>3.3437923338043799E-3</v>
      </c>
      <c r="X20" s="425">
        <f ca="1"/>
        <v>4.4648878401538399</v>
      </c>
      <c r="Y20" s="426" t="e">
        <f t="shared" ca="1" si="12"/>
        <v>#VALUE!</v>
      </c>
      <c r="Z20" s="427" t="e">
        <f t="shared" ca="1" si="1"/>
        <v>#VALUE!</v>
      </c>
      <c r="AA20" s="426">
        <f t="shared" ca="1" si="2"/>
        <v>0.11513003721076599</v>
      </c>
      <c r="AB20" s="428">
        <f t="shared" ca="1" si="3"/>
        <v>3.1766027171141607E-3</v>
      </c>
      <c r="AC20" s="427">
        <f t="shared" ca="1" si="4"/>
        <v>-8.5942602506869047E-5</v>
      </c>
      <c r="AD20" s="79"/>
      <c r="AE20" s="496">
        <f t="shared" ca="1" si="5"/>
        <v>-3.3553295882950101E-3</v>
      </c>
      <c r="AF20" s="493">
        <f t="shared" ca="1" si="6"/>
        <v>4.2023649243412252E-3</v>
      </c>
      <c r="AG20" s="493">
        <f t="shared" ca="1" si="7"/>
        <v>0</v>
      </c>
      <c r="AH20" s="498">
        <f t="shared" ca="1" si="8"/>
        <v>0</v>
      </c>
      <c r="AI20" s="497">
        <f t="shared" ca="1" si="13"/>
        <v>-3.3553295882950101E-3</v>
      </c>
      <c r="AJ20" s="493">
        <f t="shared" ca="1" si="9"/>
        <v>0.26429246248496768</v>
      </c>
      <c r="AK20" s="493">
        <f t="shared" ca="1" si="10"/>
        <v>0</v>
      </c>
      <c r="AL20" s="498">
        <f t="shared" ca="1" si="11"/>
        <v>0</v>
      </c>
      <c r="AN20" s="532" t="str">
        <f t="shared" ca="1" si="0"/>
        <v>Altadis_MMR.EUR.SU</v>
      </c>
      <c r="AO20" s="524" cm="1">
        <f t="array" aca="1" ref="AO20" ca="1">IF(AN20&lt;&gt;"",TRANSPOSE(INDEX(GetCDS($C45,AO$13,$G45/10000,F45,D45,$C$13,$C$14,$C$15,$C$8,,,TRUE,TRUE,FALSE,$C$29:$C$31,$C$33),{5})),"")</f>
        <v>0.47824737628841801</v>
      </c>
      <c r="AP20" s="524" cm="1">
        <f t="array" aca="1" ref="AP20" ca="1">IF(AO20&lt;&gt;"",TRANSPOSE(INDEX(GetCDS($C45,AP$13,$G45/10000,G45,E45,$C$13,$C$14,$C$15,$C$8,,,TRUE,TRUE,FALSE,$C$29:$C$31,$C$33),{5})),"")</f>
        <v>0.96419655963943796</v>
      </c>
      <c r="AQ20" s="524" cm="1">
        <f t="array" aca="1" ref="AQ20" ca="1">IF(AP20&lt;&gt;"",TRANSPOSE(INDEX(GetCDS($C45,AQ$13,$G45/10000,H45,F45,$C$13,$C$14,$C$15,$C$8,,,TRUE,TRUE,FALSE,$C$29:$C$31,$C$33),{5})),"")</f>
        <v>2.7980900583372601</v>
      </c>
      <c r="AR20" s="524" cm="1">
        <f t="array" aca="1" ref="AR20" ca="1">IF(AQ20&lt;&gt;"",TRANSPOSE(INDEX(GetCDS($C45,AR$13,$G45/10000,I45,G45,$C$13,$C$14,$C$15,$C$8,,,TRUE,TRUE,FALSE,$C$29:$C$31,$C$33),{5})),"")</f>
        <v>4.4433015395142803</v>
      </c>
      <c r="AS20" s="525" cm="1">
        <f t="array" aca="1" ref="AS20" ca="1">IF(AR20&lt;&gt;"",TRANSPOSE(INDEX(GetCDS($C45,AS$13,$G45/10000,J45,H45,$C$13,$C$14,$C$15,$C$8,,,TRUE,TRUE,FALSE,$C$29:$C$31,$C$33),{5})),"")</f>
        <v>7.7411603707432404</v>
      </c>
    </row>
    <row r="21" spans="1:45" customFormat="1" ht="15">
      <c r="A21" s="227"/>
      <c r="B21" s="271" t="s">
        <v>467</v>
      </c>
      <c r="C21" s="242">
        <v>0.4</v>
      </c>
      <c r="D21" s="228"/>
      <c r="E21" s="228"/>
      <c r="F21" s="228"/>
      <c r="G21" s="243"/>
      <c r="H21" s="386">
        <v>7</v>
      </c>
      <c r="I21" s="413">
        <f ca="1"/>
        <v>2.03773108178318E-4</v>
      </c>
      <c r="J21" s="413">
        <f ca="1"/>
        <v>4.6583137048393898E-4</v>
      </c>
      <c r="K21" s="413">
        <f ca="1"/>
        <v>0.43743964251833001</v>
      </c>
      <c r="L21" s="413">
        <f ca="1"/>
        <v>0.43743964251833001</v>
      </c>
      <c r="M21" s="413">
        <f ca="1"/>
        <v>-3.0844080973171402E-4</v>
      </c>
      <c r="N21" s="452" t="str">
        <f ca="1"/>
        <v>ALTADIS_MMR.EUR.SU</v>
      </c>
      <c r="O21" s="413"/>
      <c r="P21" s="413"/>
      <c r="Q21" s="413"/>
      <c r="R21" s="452"/>
      <c r="S21" s="443"/>
      <c r="T21" s="422" cm="1">
        <f t="array" aca="1" ref="T21:X21" ca="1">IF(AND($U$12,B45&lt;=$C$17,C45&lt;&gt;""),TRANSPOSE(INDEX(GetCDS(C45,$C$6,G45/10000,F45,D45,$C$13,$C$14,$C$15,$C$8,,,TRUE,TRUE,FALSE,$C$29:$C$31,$C$33),{1;2;3;4;5})),"")</f>
        <v>-1.7984631131629802E-2</v>
      </c>
      <c r="U21" s="423">
        <f ca="1"/>
        <v>2.6448384263513001E-2</v>
      </c>
      <c r="V21" s="423">
        <f ca="1"/>
        <v>4.44330153951428E-2</v>
      </c>
      <c r="W21" s="424">
        <f ca="1"/>
        <v>5.9524171448431997E-3</v>
      </c>
      <c r="X21" s="425">
        <f ca="1"/>
        <v>4.4433015395142803</v>
      </c>
      <c r="Y21" s="426" t="e">
        <f t="shared" ca="1" si="12"/>
        <v>#VALUE!</v>
      </c>
      <c r="Z21" s="427" t="e">
        <f t="shared" ca="1" si="1"/>
        <v>#VALUE!</v>
      </c>
      <c r="AA21" s="426">
        <f t="shared" ca="1" si="2"/>
        <v>0.14688452105396335</v>
      </c>
      <c r="AB21" s="428">
        <f t="shared" ca="1" si="3"/>
        <v>5.6547962876010395E-3</v>
      </c>
      <c r="AC21" s="427">
        <f t="shared" ca="1" si="4"/>
        <v>-1.9424291275986448E-4</v>
      </c>
      <c r="AD21" s="79"/>
      <c r="AE21" s="496">
        <f t="shared" ca="1" si="5"/>
        <v>-7.5202008864869996E-3</v>
      </c>
      <c r="AF21" s="493">
        <f t="shared" ca="1" si="6"/>
        <v>0</v>
      </c>
      <c r="AG21" s="493">
        <f t="shared" ca="1" si="7"/>
        <v>0</v>
      </c>
      <c r="AH21" s="498">
        <f t="shared" ca="1" si="8"/>
        <v>0</v>
      </c>
      <c r="AI21" s="497">
        <f t="shared" ca="1" si="13"/>
        <v>-7.5202008864869996E-3</v>
      </c>
      <c r="AJ21" s="493">
        <f t="shared" ca="1" si="9"/>
        <v>0.33257588967165497</v>
      </c>
      <c r="AK21" s="493">
        <f t="shared" ca="1" si="10"/>
        <v>0</v>
      </c>
      <c r="AL21" s="498">
        <f t="shared" ca="1" si="11"/>
        <v>0</v>
      </c>
      <c r="AN21" s="532" t="str">
        <f t="shared" ca="1" si="0"/>
        <v>ArcelorFinanceSca_MMR.EUR.SU</v>
      </c>
      <c r="AO21" s="524" cm="1">
        <f t="array" aca="1" ref="AO21" ca="1">IF(AN21&lt;&gt;"",TRANSPOSE(INDEX(GetCDS($C46,AO$13,$G46/10000,F46,D46,$C$13,$C$14,$C$15,$C$8,,,TRUE,TRUE,FALSE,$C$29:$C$31,$C$33),{5})),"")</f>
        <v>0.47809323674394799</v>
      </c>
      <c r="AP21" s="524" cm="1">
        <f t="array" aca="1" ref="AP21" ca="1">IF(AO21&lt;&gt;"",TRANSPOSE(INDEX(GetCDS($C46,AP$13,$G46/10000,G46,E46,$C$13,$C$14,$C$15,$C$8,,,TRUE,TRUE,FALSE,$C$29:$C$31,$C$33),{5})),"")</f>
        <v>0.96366880210711803</v>
      </c>
      <c r="AQ21" s="524" cm="1">
        <f t="array" aca="1" ref="AQ21" ca="1">IF(AP21&lt;&gt;"",TRANSPOSE(INDEX(GetCDS($C46,AQ$13,$G46/10000,H46,F46,$C$13,$C$14,$C$15,$C$8,,,TRUE,TRUE,FALSE,$C$29:$C$31,$C$33),{5})),"")</f>
        <v>2.7971714826974101</v>
      </c>
      <c r="AR21" s="524" cm="1">
        <f t="array" aca="1" ref="AR21" ca="1">IF(AQ21&lt;&gt;"",TRANSPOSE(INDEX(GetCDS($C46,AR$13,$G46/10000,I46,G46,$C$13,$C$14,$C$15,$C$8,,,TRUE,TRUE,FALSE,$C$29:$C$31,$C$33),{5})),"")</f>
        <v>4.4465496056064797</v>
      </c>
      <c r="AS21" s="525" cm="1">
        <f t="array" aca="1" ref="AS21" ca="1">IF(AR21&lt;&gt;"",TRANSPOSE(INDEX(GetCDS($C46,AS$13,$G46/10000,J46,H46,$C$13,$C$14,$C$15,$C$8,,,TRUE,TRUE,FALSE,$C$29:$C$31,$C$33),{5})),"")</f>
        <v>7.7659346031733101</v>
      </c>
    </row>
    <row r="22" spans="1:45" customFormat="1" ht="15.75" thickBot="1">
      <c r="A22" s="227"/>
      <c r="B22" s="272" t="s">
        <v>468</v>
      </c>
      <c r="C22" s="244">
        <v>0.5</v>
      </c>
      <c r="D22" s="228"/>
      <c r="E22" s="228"/>
      <c r="F22" s="228"/>
      <c r="G22" s="243"/>
      <c r="H22" s="386">
        <v>8</v>
      </c>
      <c r="I22" s="413">
        <f ca="1"/>
        <v>1.9740736140774301E-4</v>
      </c>
      <c r="J22" s="413">
        <f ca="1"/>
        <v>4.68224146391072E-4</v>
      </c>
      <c r="K22" s="413">
        <f ca="1"/>
        <v>0.421608673814237</v>
      </c>
      <c r="L22" s="413">
        <f ca="1"/>
        <v>0.421608673814237</v>
      </c>
      <c r="M22" s="413">
        <f ca="1"/>
        <v>-2.83801368156999E-4</v>
      </c>
      <c r="N22" s="452" t="str">
        <f ca="1"/>
        <v>ARCELORFINANCESCA_MMR.EUR.SU</v>
      </c>
      <c r="O22" s="413"/>
      <c r="P22" s="413"/>
      <c r="Q22" s="413"/>
      <c r="R22" s="452"/>
      <c r="S22" s="443"/>
      <c r="T22" s="422" cm="1">
        <f t="array" aca="1" ref="T22:X22" ca="1">IF(AND($U$12,B46&lt;=$C$17,C46&lt;&gt;""),TRANSPOSE(INDEX(GetCDS(C46,$C$6,G46/10000,F46,D46,$C$13,$C$14,$C$15,$C$8,,,TRUE,TRUE,FALSE,$C$29:$C$31,$C$33),{1;2;3;4;5})),"")</f>
        <v>-2.0316229850772801E-2</v>
      </c>
      <c r="U22" s="423">
        <f ca="1"/>
        <v>2.4149266205292001E-2</v>
      </c>
      <c r="V22" s="423">
        <f ca="1"/>
        <v>4.4465496056064799E-2</v>
      </c>
      <c r="W22" s="424">
        <f ca="1"/>
        <v>5.4310124359892801E-3</v>
      </c>
      <c r="X22" s="425">
        <f ca="1"/>
        <v>4.4465496056064797</v>
      </c>
      <c r="Y22" s="426" t="e">
        <f t="shared" ca="1" si="12"/>
        <v>#VALUE!</v>
      </c>
      <c r="Z22" s="427" t="e">
        <f t="shared" ca="1" si="1"/>
        <v>#VALUE!</v>
      </c>
      <c r="AA22" s="426">
        <f t="shared" ca="1" si="2"/>
        <v>0.14159190565597465</v>
      </c>
      <c r="AB22" s="428">
        <f t="shared" ca="1" si="3"/>
        <v>5.159461814189816E-3</v>
      </c>
      <c r="AC22" s="427">
        <f t="shared" ca="1" si="4"/>
        <v>-1.7096703111003629E-4</v>
      </c>
      <c r="AD22" s="79"/>
      <c r="AE22" s="496">
        <f t="shared" ca="1" si="5"/>
        <v>-6.6286804764910104E-3</v>
      </c>
      <c r="AF22" s="493">
        <f t="shared" ca="1" si="6"/>
        <v>0</v>
      </c>
      <c r="AG22" s="493">
        <f t="shared" ca="1" si="7"/>
        <v>0</v>
      </c>
      <c r="AH22" s="498">
        <f t="shared" ca="1" si="8"/>
        <v>0</v>
      </c>
      <c r="AI22" s="497">
        <f t="shared" ca="1" si="13"/>
        <v>-6.6286804764910104E-3</v>
      </c>
      <c r="AJ22" s="493">
        <f t="shared" ca="1" si="9"/>
        <v>0.32128556282337095</v>
      </c>
      <c r="AK22" s="493">
        <f t="shared" ca="1" si="10"/>
        <v>0</v>
      </c>
      <c r="AL22" s="498">
        <f t="shared" ca="1" si="11"/>
        <v>0</v>
      </c>
      <c r="AN22" s="532" t="str">
        <f t="shared" ca="1" si="0"/>
        <v>Auchan_MMR.EUR.SU</v>
      </c>
      <c r="AO22" s="524" cm="1">
        <f t="array" aca="1" ref="AO22" ca="1">IF(AN22&lt;&gt;"",TRANSPOSE(INDEX(GetCDS($C47,AO$13,$G47/10000,F47,D47,$C$13,$C$14,$C$15,$C$8,,,TRUE,TRUE,FALSE,$C$29:$C$31,$C$33),{5})),"")</f>
        <v>0.47828592158333599</v>
      </c>
      <c r="AP22" s="524" cm="1">
        <f t="array" aca="1" ref="AP22" ca="1">IF(AO22&lt;&gt;"",TRANSPOSE(INDEX(GetCDS($C47,AP$13,$G47/10000,G47,E47,$C$13,$C$14,$C$15,$C$8,,,TRUE,TRUE,FALSE,$C$29:$C$31,$C$33),{5})),"")</f>
        <v>0.964431709525987</v>
      </c>
      <c r="AQ22" s="524" cm="1">
        <f t="array" aca="1" ref="AQ22" ca="1">IF(AP22&lt;&gt;"",TRANSPOSE(INDEX(GetCDS($C47,AQ$13,$G47/10000,H47,F47,$C$13,$C$14,$C$15,$C$8,,,TRUE,TRUE,FALSE,$C$29:$C$31,$C$33),{5})),"")</f>
        <v>2.8064162267199801</v>
      </c>
      <c r="AR22" s="524" cm="1">
        <f t="array" aca="1" ref="AR22" ca="1">IF(AQ22&lt;&gt;"",TRANSPOSE(INDEX(GetCDS($C47,AR$13,$G47/10000,I47,G47,$C$13,$C$14,$C$15,$C$8,,,TRUE,TRUE,FALSE,$C$29:$C$31,$C$33),{5})),"")</f>
        <v>4.4820247535138797</v>
      </c>
      <c r="AS22" s="525" cm="1">
        <f t="array" aca="1" ref="AS22" ca="1">IF(AR22&lt;&gt;"",TRANSPOSE(INDEX(GetCDS($C47,AS$13,$G47/10000,J47,H47,$C$13,$C$14,$C$15,$C$8,,,TRUE,TRUE,FALSE,$C$29:$C$31,$C$33),{5})),"")</f>
        <v>7.9698992547220104</v>
      </c>
    </row>
    <row r="23" spans="1:45" customFormat="1" ht="15.75" thickBot="1">
      <c r="A23" s="227"/>
      <c r="B23" s="227"/>
      <c r="C23" s="228"/>
      <c r="D23" s="228"/>
      <c r="E23" s="228"/>
      <c r="F23" s="228"/>
      <c r="G23" s="228"/>
      <c r="H23" s="386">
        <v>9</v>
      </c>
      <c r="I23" s="413">
        <f ca="1"/>
        <v>1.39967427541654E-4</v>
      </c>
      <c r="J23" s="413">
        <f ca="1"/>
        <v>4.8112911935974101E-4</v>
      </c>
      <c r="K23" s="413">
        <f ca="1"/>
        <v>0.29091447993818098</v>
      </c>
      <c r="L23" s="413">
        <f ca="1"/>
        <v>0.29091447993818098</v>
      </c>
      <c r="M23" s="413">
        <f ca="1"/>
        <v>-1.21988396026507E-4</v>
      </c>
      <c r="N23" s="452" t="str">
        <f ca="1"/>
        <v>AUCHAN_MMR.EUR.SU</v>
      </c>
      <c r="O23" s="413"/>
      <c r="P23" s="413"/>
      <c r="Q23" s="413"/>
      <c r="R23" s="452"/>
      <c r="S23" s="443"/>
      <c r="T23" s="422" cm="1">
        <f t="array" aca="1" ref="T23:X23" ca="1">IF(AND($U$12,B47&lt;=$C$17,C47&lt;&gt;""),TRANSPOSE(INDEX(GetCDS(C47,$C$6,G47/10000,F47,D47,$C$13,$C$14,$C$15,$C$8,,,TRUE,TRUE,FALSE,$C$29:$C$31,$C$33),{1;2;3;4;5})),"")</f>
        <v>-3.4046703455494397E-2</v>
      </c>
      <c r="U23" s="423">
        <f ca="1"/>
        <v>1.07735440796444E-2</v>
      </c>
      <c r="V23" s="423">
        <f ca="1"/>
        <v>4.4820247535138802E-2</v>
      </c>
      <c r="W23" s="424">
        <f ca="1"/>
        <v>2.40372257453465E-3</v>
      </c>
      <c r="X23" s="425">
        <f ca="1"/>
        <v>4.4820247535138797</v>
      </c>
      <c r="Y23" s="426" t="e">
        <f t="shared" ca="1" si="12"/>
        <v>#VALUE!</v>
      </c>
      <c r="Z23" s="427" t="e">
        <f t="shared" ca="1" si="1"/>
        <v>#VALUE!</v>
      </c>
      <c r="AA23" s="426">
        <f t="shared" ca="1" si="2"/>
        <v>9.7878112407859E-2</v>
      </c>
      <c r="AB23" s="428">
        <f t="shared" ca="1" si="3"/>
        <v>2.2835364458079176E-3</v>
      </c>
      <c r="AC23" s="427">
        <f t="shared" ca="1" si="4"/>
        <v>-5.2724707922922931E-5</v>
      </c>
      <c r="AD23" s="79"/>
      <c r="AE23" s="496">
        <f t="shared" ca="1" si="5"/>
        <v>-1.9696839335150199E-3</v>
      </c>
      <c r="AF23" s="493">
        <f t="shared" ca="1" si="6"/>
        <v>6.6275241371644769E-3</v>
      </c>
      <c r="AG23" s="493">
        <f t="shared" ca="1" si="7"/>
        <v>0</v>
      </c>
      <c r="AH23" s="498">
        <f t="shared" ca="1" si="8"/>
        <v>0</v>
      </c>
      <c r="AI23" s="497">
        <f t="shared" ca="1" si="13"/>
        <v>-1.9696839335150199E-3</v>
      </c>
      <c r="AJ23" s="493">
        <f t="shared" ca="1" si="9"/>
        <v>0.22669753581750937</v>
      </c>
      <c r="AK23" s="493">
        <f t="shared" ca="1" si="10"/>
        <v>0</v>
      </c>
      <c r="AL23" s="498">
        <f t="shared" ca="1" si="11"/>
        <v>0</v>
      </c>
      <c r="AN23" s="532" t="str">
        <f t="shared" ca="1" si="0"/>
        <v>Aviva_MMR.EUR.SU</v>
      </c>
      <c r="AO23" s="524" cm="1">
        <f t="array" aca="1" ref="AO23" ca="1">IF(AN23&lt;&gt;"",TRANSPOSE(INDEX(GetCDS($C48,AO$13,$G48/10000,F48,D48,$C$13,$C$14,$C$15,$C$8,,,TRUE,TRUE,FALSE,$C$29:$C$31,$C$33),{5})),"")</f>
        <v>0.47811442698349998</v>
      </c>
      <c r="AP23" s="524" cm="1">
        <f t="array" aca="1" ref="AP23" ca="1">IF(AO23&lt;&gt;"",TRANSPOSE(INDEX(GetCDS($C48,AP$13,$G48/10000,G48,E48,$C$13,$C$14,$C$15,$C$8,,,TRUE,TRUE,FALSE,$C$29:$C$31,$C$33),{5})),"")</f>
        <v>0.96373748314226504</v>
      </c>
      <c r="AQ23" s="524" cm="1">
        <f t="array" aca="1" ref="AQ23" ca="1">IF(AP23&lt;&gt;"",TRANSPOSE(INDEX(GetCDS($C48,AQ$13,$G48/10000,H48,F48,$C$13,$C$14,$C$15,$C$8,,,TRUE,TRUE,FALSE,$C$29:$C$31,$C$33),{5})),"")</f>
        <v>2.8009058635862498</v>
      </c>
      <c r="AR23" s="524" cm="1">
        <f t="array" aca="1" ref="AR23" ca="1">IF(AQ23&lt;&gt;"",TRANSPOSE(INDEX(GetCDS($C48,AR$13,$G48/10000,I48,G48,$C$13,$C$14,$C$15,$C$8,,,TRUE,TRUE,FALSE,$C$29:$C$31,$C$33),{5})),"")</f>
        <v>4.4680513805453197</v>
      </c>
      <c r="AS23" s="525" cm="1">
        <f t="array" aca="1" ref="AS23" ca="1">IF(AR23&lt;&gt;"",TRANSPOSE(INDEX(GetCDS($C48,AS$13,$G48/10000,J48,H48,$C$13,$C$14,$C$15,$C$8,,,TRUE,TRUE,FALSE,$C$29:$C$31,$C$33),{5})),"")</f>
        <v>7.9333888010204499</v>
      </c>
    </row>
    <row r="24" spans="1:45" customFormat="1" ht="15">
      <c r="A24" s="245"/>
      <c r="B24" s="273" t="s">
        <v>447</v>
      </c>
      <c r="C24" s="63" t="b">
        <v>1</v>
      </c>
      <c r="D24" s="228"/>
      <c r="E24" s="228"/>
      <c r="F24" s="228"/>
      <c r="G24" s="228"/>
      <c r="H24" s="386">
        <v>10</v>
      </c>
      <c r="I24" s="413">
        <f ca="1"/>
        <v>1.60851498381098E-4</v>
      </c>
      <c r="J24" s="413">
        <f ca="1"/>
        <v>4.7760638147489502E-4</v>
      </c>
      <c r="K24" s="413">
        <f ca="1"/>
        <v>0.33678674452458701</v>
      </c>
      <c r="L24" s="413">
        <f ca="1"/>
        <v>0.33678674452458701</v>
      </c>
      <c r="M24" s="413">
        <f ca="1"/>
        <v>-1.7020206238946799E-4</v>
      </c>
      <c r="N24" s="452" t="str">
        <f ca="1"/>
        <v>AVIVA_MMR.EUR.SU</v>
      </c>
      <c r="O24" s="413"/>
      <c r="P24" s="413"/>
      <c r="Q24" s="413"/>
      <c r="R24" s="452"/>
      <c r="S24" s="443"/>
      <c r="T24" s="422" cm="1">
        <f t="array" aca="1" ref="T24:X24" ca="1">IF(AND($U$12,B48&lt;=$C$17,C48&lt;&gt;""),TRANSPOSE(INDEX(GetCDS(C48,$C$6,G48/10000,F48,D48,$C$13,$C$14,$C$15,$C$8,,,TRUE,TRUE,FALSE,$C$29:$C$31,$C$33),{1;2;3;4;5})),"")</f>
        <v>-3.0207042227883601E-2</v>
      </c>
      <c r="U24" s="423">
        <f ca="1"/>
        <v>1.44734715775696E-2</v>
      </c>
      <c r="V24" s="423">
        <f ca="1"/>
        <v>4.4680513805453202E-2</v>
      </c>
      <c r="W24" s="424">
        <f ca="1"/>
        <v>3.2393252326035501E-3</v>
      </c>
      <c r="X24" s="425">
        <f ca="1"/>
        <v>4.4680513805453197</v>
      </c>
      <c r="Y24" s="426" t="e">
        <f t="shared" ca="1" si="12"/>
        <v>#VALUE!</v>
      </c>
      <c r="Z24" s="427" t="e">
        <f t="shared" ca="1" si="1"/>
        <v>#VALUE!</v>
      </c>
      <c r="AA24" s="426">
        <f t="shared" ca="1" si="2"/>
        <v>0.113225837358875</v>
      </c>
      <c r="AB24" s="428">
        <f t="shared" ca="1" si="3"/>
        <v>3.0773589709733725E-3</v>
      </c>
      <c r="AC24" s="427">
        <f t="shared" ca="1" si="4"/>
        <v>-8.1938546943009682E-5</v>
      </c>
      <c r="AD24" s="79"/>
      <c r="AE24" s="496">
        <f t="shared" ca="1" si="5"/>
        <v>-3.1682786697939899E-3</v>
      </c>
      <c r="AF24" s="493">
        <f t="shared" ca="1" si="6"/>
        <v>4.5061471829103174E-3</v>
      </c>
      <c r="AG24" s="493">
        <f t="shared" ca="1" si="7"/>
        <v>0</v>
      </c>
      <c r="AH24" s="498">
        <f t="shared" ca="1" si="8"/>
        <v>0</v>
      </c>
      <c r="AI24" s="497">
        <f t="shared" ca="1" si="13"/>
        <v>-3.1682786697939899E-3</v>
      </c>
      <c r="AJ24" s="493">
        <f t="shared" ca="1" si="9"/>
        <v>0.26014181895041116</v>
      </c>
      <c r="AK24" s="493">
        <f t="shared" ca="1" si="10"/>
        <v>0</v>
      </c>
      <c r="AL24" s="498">
        <f t="shared" ca="1" si="11"/>
        <v>0</v>
      </c>
      <c r="AN24" s="532" t="str">
        <f t="shared" ca="1" si="0"/>
        <v>AXA_MMR.EUR.SU</v>
      </c>
      <c r="AO24" s="524" cm="1">
        <f t="array" aca="1" ref="AO24" ca="1">IF(AN24&lt;&gt;"",TRANSPOSE(INDEX(GetCDS($C49,AO$13,$G49/10000,F49,D49,$C$13,$C$14,$C$15,$C$8,,,TRUE,TRUE,FALSE,$C$29:$C$31,$C$33),{5})),"")</f>
        <v>0.47810286851505501</v>
      </c>
      <c r="AP24" s="524" cm="1">
        <f t="array" aca="1" ref="AP24" ca="1">IF(AO24&lt;&gt;"",TRANSPOSE(INDEX(GetCDS($C49,AP$13,$G49/10000,G49,E49,$C$13,$C$14,$C$15,$C$8,,,TRUE,TRUE,FALSE,$C$29:$C$31,$C$33),{5})),"")</f>
        <v>0.96367215159484199</v>
      </c>
      <c r="AQ24" s="524" cm="1">
        <f t="array" aca="1" ref="AQ24" ca="1">IF(AP24&lt;&gt;"",TRANSPOSE(INDEX(GetCDS($C49,AQ$13,$G49/10000,H49,F49,$C$13,$C$14,$C$15,$C$8,,,TRUE,TRUE,FALSE,$C$29:$C$31,$C$33),{5})),"")</f>
        <v>2.7989566908041899</v>
      </c>
      <c r="AR24" s="524" cm="1">
        <f t="array" aca="1" ref="AR24" ca="1">IF(AQ24&lt;&gt;"",TRANSPOSE(INDEX(GetCDS($C49,AR$13,$G49/10000,I49,G49,$C$13,$C$14,$C$15,$C$8,,,TRUE,TRUE,FALSE,$C$29:$C$31,$C$33),{5})),"")</f>
        <v>4.4626406649471697</v>
      </c>
      <c r="AS24" s="525" cm="1">
        <f t="array" aca="1" ref="AS24" ca="1">IF(AR24&lt;&gt;"",TRANSPOSE(INDEX(GetCDS($C49,AS$13,$G49/10000,J49,H49,$C$13,$C$14,$C$15,$C$8,,,TRUE,TRUE,FALSE,$C$29:$C$31,$C$33),{5})),"")</f>
        <v>7.9125057669221297</v>
      </c>
    </row>
    <row r="25" spans="1:45" customFormat="1" ht="15.75" thickBot="1">
      <c r="A25" s="245"/>
      <c r="B25" s="436" t="s">
        <v>448</v>
      </c>
      <c r="C25" s="437" t="b">
        <v>1</v>
      </c>
      <c r="D25" s="228"/>
      <c r="E25" s="228"/>
      <c r="F25" s="228"/>
      <c r="G25" s="228"/>
      <c r="H25" s="386">
        <v>11</v>
      </c>
      <c r="I25" s="413">
        <f ca="1"/>
        <v>1.6751333025066801E-4</v>
      </c>
      <c r="J25" s="413">
        <f ca="1"/>
        <v>4.7628709463825501E-4</v>
      </c>
      <c r="K25" s="413">
        <f ca="1"/>
        <v>0.35170663269366198</v>
      </c>
      <c r="L25" s="413">
        <f ca="1"/>
        <v>0.35170663269366198</v>
      </c>
      <c r="M25" s="413">
        <f ca="1"/>
        <v>-1.8793609347451701E-4</v>
      </c>
      <c r="N25" s="452" t="str">
        <f ca="1"/>
        <v>AXA_MMR.EUR.SU</v>
      </c>
      <c r="O25" s="413"/>
      <c r="P25" s="413"/>
      <c r="Q25" s="413"/>
      <c r="R25" s="452"/>
      <c r="S25" s="443"/>
      <c r="T25" s="422" cm="1">
        <f t="array" aca="1" ref="T25:X25" ca="1">IF(AND($U$12,B49&lt;=$C$17,C49&lt;&gt;""),TRANSPOSE(INDEX(GetCDS(C49,$C$6,G49/10000,F49,D49,$C$13,$C$14,$C$15,$C$8,,,TRUE,TRUE,FALSE,$C$29:$C$31,$C$33),{1;2;3;4;5})),"")</f>
        <v>-2.8772381704558501E-2</v>
      </c>
      <c r="U25" s="423">
        <f ca="1"/>
        <v>1.5854024944913201E-2</v>
      </c>
      <c r="V25" s="423">
        <f ca="1"/>
        <v>4.4626406649471699E-2</v>
      </c>
      <c r="W25" s="424">
        <f ca="1"/>
        <v>3.5526106929115401E-3</v>
      </c>
      <c r="X25" s="425">
        <f ca="1"/>
        <v>4.4626406649471697</v>
      </c>
      <c r="Y25" s="426" t="e">
        <f t="shared" ca="1" si="12"/>
        <v>#VALUE!</v>
      </c>
      <c r="Z25" s="427" t="e">
        <f t="shared" ca="1" si="1"/>
        <v>#VALUE!</v>
      </c>
      <c r="AA25" s="426">
        <f t="shared" ca="1" si="2"/>
        <v>0.118216209581535</v>
      </c>
      <c r="AB25" s="428">
        <f t="shared" ca="1" si="3"/>
        <v>3.3749801582659629E-3</v>
      </c>
      <c r="AC25" s="427">
        <f t="shared" ca="1" si="4"/>
        <v>-9.3710136779937117E-5</v>
      </c>
      <c r="AD25" s="79"/>
      <c r="AE25" s="496">
        <f t="shared" ca="1" si="5"/>
        <v>-3.6556102831599999E-3</v>
      </c>
      <c r="AF25" s="493">
        <f t="shared" ca="1" si="6"/>
        <v>3.6725446506113354E-3</v>
      </c>
      <c r="AG25" s="493">
        <f t="shared" ca="1" si="7"/>
        <v>0</v>
      </c>
      <c r="AH25" s="498">
        <f t="shared" ca="1" si="8"/>
        <v>0</v>
      </c>
      <c r="AI25" s="497">
        <f t="shared" ca="1" si="13"/>
        <v>-3.6556102831599999E-3</v>
      </c>
      <c r="AJ25" s="493">
        <f t="shared" ca="1" si="9"/>
        <v>0.27097306994638609</v>
      </c>
      <c r="AK25" s="493">
        <f t="shared" ca="1" si="10"/>
        <v>0</v>
      </c>
      <c r="AL25" s="498">
        <f t="shared" ca="1" si="11"/>
        <v>0</v>
      </c>
      <c r="AN25" s="532" t="str">
        <f t="shared" ca="1" si="0"/>
        <v>BancoEspiritoSanto_MMR.EUR.SU</v>
      </c>
      <c r="AO25" s="524" cm="1">
        <f t="array" aca="1" ref="AO25" ca="1">IF(AN25&lt;&gt;"",TRANSPOSE(INDEX(GetCDS($C50,AO$13,$G50/10000,F50,D50,$C$13,$C$14,$C$15,$C$8,,,TRUE,TRUE,FALSE,$C$29:$C$31,$C$33),{5})),"")</f>
        <v>0.47814139819909901</v>
      </c>
      <c r="AP25" s="524" cm="1">
        <f t="array" aca="1" ref="AP25" ca="1">IF(AO25&lt;&gt;"",TRANSPOSE(INDEX(GetCDS($C50,AP$13,$G50/10000,G50,E50,$C$13,$C$14,$C$15,$C$8,,,TRUE,TRUE,FALSE,$C$29:$C$31,$C$33),{5})),"")</f>
        <v>0.96374993245575702</v>
      </c>
      <c r="AQ25" s="524" cm="1">
        <f t="array" aca="1" ref="AQ25" ca="1">IF(AP25&lt;&gt;"",TRANSPOSE(INDEX(GetCDS($C50,AQ$13,$G50/10000,H50,F50,$C$13,$C$14,$C$15,$C$8,,,TRUE,TRUE,FALSE,$C$29:$C$31,$C$33),{5})),"")</f>
        <v>2.79416530153342</v>
      </c>
      <c r="AR25" s="524" cm="1">
        <f t="array" aca="1" ref="AR25" ca="1">IF(AQ25&lt;&gt;"",TRANSPOSE(INDEX(GetCDS($C50,AR$13,$G50/10000,I50,G50,$C$13,$C$14,$C$15,$C$8,,,TRUE,TRUE,FALSE,$C$29:$C$31,$C$33),{5})),"")</f>
        <v>4.4457330857324102</v>
      </c>
      <c r="AS25" s="525" cm="1">
        <f t="array" aca="1" ref="AS25" ca="1">IF(AR25&lt;&gt;"",TRANSPOSE(INDEX(GetCDS($C50,AS$13,$G50/10000,J50,H50,$C$13,$C$14,$C$15,$C$8,,,TRUE,TRUE,FALSE,$C$29:$C$31,$C$33),{5})),"")</f>
        <v>7.8434058931389199</v>
      </c>
    </row>
    <row r="26" spans="1:45" customFormat="1" ht="15.75" thickBot="1">
      <c r="A26" s="227"/>
      <c r="B26" s="227"/>
      <c r="C26" s="228"/>
      <c r="D26" s="228"/>
      <c r="E26" s="228"/>
      <c r="F26" s="228"/>
      <c r="G26" s="228"/>
      <c r="H26" s="386">
        <v>12</v>
      </c>
      <c r="I26" s="413">
        <f ca="1"/>
        <v>1.88052490335732E-4</v>
      </c>
      <c r="J26" s="413">
        <f ca="1"/>
        <v>4.71572065740584E-4</v>
      </c>
      <c r="K26" s="413">
        <f ca="1"/>
        <v>0.398777841177686</v>
      </c>
      <c r="L26" s="413">
        <f ca="1"/>
        <v>0.398777841177686</v>
      </c>
      <c r="M26" s="413">
        <f ca="1"/>
        <v>-2.4974861303723702E-4</v>
      </c>
      <c r="N26" s="452" t="str">
        <f ca="1"/>
        <v>BANCOESPIRITOSANTO_MMR.EUR.SU</v>
      </c>
      <c r="O26" s="413"/>
      <c r="P26" s="413"/>
      <c r="Q26" s="413"/>
      <c r="R26" s="452"/>
      <c r="S26" s="443"/>
      <c r="T26" s="422" cm="1">
        <f t="array" aca="1" ref="T26:X26" ca="1">IF(AND($U$12,B50&lt;=$C$17,C50&lt;&gt;""),TRANSPOSE(INDEX(GetCDS(C50,$C$6,G50/10000,F50,D50,$C$13,$C$14,$C$15,$C$8,,,TRUE,TRUE,FALSE,$C$29:$C$31,$C$33),{1;2;3;4;5})),"")</f>
        <v>-2.3558357117600001E-2</v>
      </c>
      <c r="U26" s="423">
        <f ca="1"/>
        <v>2.0898973739724099E-2</v>
      </c>
      <c r="V26" s="423">
        <f ca="1"/>
        <v>4.4457330857324097E-2</v>
      </c>
      <c r="W26" s="424">
        <f ca="1"/>
        <v>4.7009060905601101E-3</v>
      </c>
      <c r="X26" s="425">
        <f ca="1"/>
        <v>4.4457330857324102</v>
      </c>
      <c r="Y26" s="426" t="e">
        <f t="shared" ca="1" si="12"/>
        <v>#VALUE!</v>
      </c>
      <c r="Z26" s="427" t="e">
        <f t="shared" ca="1" si="1"/>
        <v>#VALUE!</v>
      </c>
      <c r="AA26" s="426">
        <f t="shared" ca="1" si="2"/>
        <v>0.13395544665296566</v>
      </c>
      <c r="AB26" s="428">
        <f t="shared" ca="1" si="3"/>
        <v>4.4658607860321043E-3</v>
      </c>
      <c r="AC26" s="427">
        <f t="shared" ca="1" si="4"/>
        <v>-1.3997656809466714E-4</v>
      </c>
      <c r="AD26" s="79"/>
      <c r="AE26" s="496">
        <f t="shared" ca="1" si="5"/>
        <v>-5.534027982523E-3</v>
      </c>
      <c r="AF26" s="493">
        <f t="shared" ca="1" si="6"/>
        <v>5.2409752470195664E-4</v>
      </c>
      <c r="AG26" s="493">
        <f t="shared" ca="1" si="7"/>
        <v>0</v>
      </c>
      <c r="AH26" s="498">
        <f t="shared" ca="1" si="8"/>
        <v>0</v>
      </c>
      <c r="AI26" s="497">
        <f t="shared" ca="1" si="13"/>
        <v>-5.534027982523E-3</v>
      </c>
      <c r="AJ26" s="493">
        <f t="shared" ca="1" si="9"/>
        <v>0.3049729701626645</v>
      </c>
      <c r="AK26" s="493">
        <f t="shared" ca="1" si="10"/>
        <v>0</v>
      </c>
      <c r="AL26" s="498">
        <f t="shared" ca="1" si="11"/>
        <v>0</v>
      </c>
      <c r="AN26" s="532" t="str">
        <f t="shared" ca="1" si="0"/>
        <v>Barclays_MMR.EUR.SU</v>
      </c>
      <c r="AO26" s="524" cm="1">
        <f t="array" aca="1" ref="AO26" ca="1">IF(AN26&lt;&gt;"",TRANSPOSE(INDEX(GetCDS($C51,AO$13,$G51/10000,F51,D51,$C$13,$C$14,$C$15,$C$8,,,TRUE,TRUE,FALSE,$C$29:$C$31,$C$33),{5})),"")</f>
        <v>0.47804700786011201</v>
      </c>
      <c r="AP26" s="524" cm="1">
        <f t="array" aca="1" ref="AP26" ca="1">IF(AO26&lt;&gt;"",TRANSPOSE(INDEX(GetCDS($C51,AP$13,$G51/10000,G51,E51,$C$13,$C$14,$C$15,$C$8,,,TRUE,TRUE,FALSE,$C$29:$C$31,$C$33),{5})),"")</f>
        <v>0.96338692131195203</v>
      </c>
      <c r="AQ26" s="524" cm="1">
        <f t="array" aca="1" ref="AQ26" ca="1">IF(AP26&lt;&gt;"",TRANSPOSE(INDEX(GetCDS($C51,AQ$13,$G51/10000,H51,F51,$C$13,$C$14,$C$15,$C$8,,,TRUE,TRUE,FALSE,$C$29:$C$31,$C$33),{5})),"")</f>
        <v>2.7939436624169001</v>
      </c>
      <c r="AR26" s="524" cm="1">
        <f t="array" aca="1" ref="AR26" ca="1">IF(AQ26&lt;&gt;"",TRANSPOSE(INDEX(GetCDS($C51,AR$13,$G51/10000,I51,G51,$C$13,$C$14,$C$15,$C$8,,,TRUE,TRUE,FALSE,$C$29:$C$31,$C$33),{5})),"")</f>
        <v>4.4502532030704796</v>
      </c>
      <c r="AS26" s="525" cm="1">
        <f t="array" aca="1" ref="AS26" ca="1">IF(AR26&lt;&gt;"",TRANSPOSE(INDEX(GetCDS($C51,AS$13,$G51/10000,J51,H51,$C$13,$C$14,$C$15,$C$8,,,TRUE,TRUE,FALSE,$C$29:$C$31,$C$33),{5})),"")</f>
        <v>7.8742661947069701</v>
      </c>
    </row>
    <row r="27" spans="1:45" customFormat="1" ht="15.75" thickBot="1">
      <c r="A27" s="227"/>
      <c r="B27" s="441" t="s">
        <v>449</v>
      </c>
      <c r="C27" s="185" t="b">
        <v>1</v>
      </c>
      <c r="D27" s="228"/>
      <c r="E27" s="228"/>
      <c r="F27" s="228"/>
      <c r="G27" s="228"/>
      <c r="H27" s="386">
        <v>13</v>
      </c>
      <c r="I27" s="413">
        <f ca="1"/>
        <v>1.7970554271724601E-4</v>
      </c>
      <c r="J27" s="413">
        <f ca="1"/>
        <v>4.7355894315338998E-4</v>
      </c>
      <c r="K27" s="413">
        <f ca="1"/>
        <v>0.379478722375301</v>
      </c>
      <c r="L27" s="413">
        <f ca="1"/>
        <v>0.379478722375301</v>
      </c>
      <c r="M27" s="413">
        <f ca="1"/>
        <v>-2.2294411817873599E-4</v>
      </c>
      <c r="N27" s="452" t="str">
        <f ca="1"/>
        <v>BARCLAYS_MMR.EUR.SU</v>
      </c>
      <c r="O27" s="413"/>
      <c r="P27" s="413"/>
      <c r="Q27" s="413"/>
      <c r="R27" s="452"/>
      <c r="S27" s="443"/>
      <c r="T27" s="422" cm="1">
        <f t="array" aca="1" ref="T27:X27" ca="1">IF(AND($U$12,B51&lt;=$C$17,C51&lt;&gt;""),TRANSPOSE(INDEX(GetCDS(C51,$C$6,G51/10000,F51,D51,$C$13,$C$14,$C$15,$C$8,,,TRUE,TRUE,FALSE,$C$29:$C$31,$C$33),{1;2;3;4;5})),"")</f>
        <v>-2.59043245103244E-2</v>
      </c>
      <c r="U27" s="423">
        <f ca="1"/>
        <v>1.8598207520380401E-2</v>
      </c>
      <c r="V27" s="423">
        <f ca="1"/>
        <v>4.4502532030704797E-2</v>
      </c>
      <c r="W27" s="424">
        <f ca="1"/>
        <v>4.1791346855384404E-3</v>
      </c>
      <c r="X27" s="425">
        <f ca="1"/>
        <v>4.4502532030704796</v>
      </c>
      <c r="Y27" s="426" t="e">
        <f t="shared" ca="1" si="12"/>
        <v>#VALUE!</v>
      </c>
      <c r="Z27" s="427" t="e">
        <f t="shared" ca="1" si="1"/>
        <v>#VALUE!</v>
      </c>
      <c r="AA27" s="426">
        <f t="shared" ca="1" si="2"/>
        <v>0.12750021239461165</v>
      </c>
      <c r="AB27" s="428">
        <f t="shared" ca="1" si="3"/>
        <v>3.9701779512615184E-3</v>
      </c>
      <c r="AC27" s="427">
        <f t="shared" ca="1" si="4"/>
        <v>-1.1856377045037812E-4</v>
      </c>
      <c r="AD27" s="79"/>
      <c r="AE27" s="496">
        <f t="shared" ca="1" si="5"/>
        <v>-4.7264953322810098E-3</v>
      </c>
      <c r="AF27" s="493">
        <f t="shared" ca="1" si="6"/>
        <v>1.9073844632753051E-3</v>
      </c>
      <c r="AG27" s="493">
        <f t="shared" ca="1" si="7"/>
        <v>0</v>
      </c>
      <c r="AH27" s="498">
        <f t="shared" ca="1" si="8"/>
        <v>0</v>
      </c>
      <c r="AI27" s="497">
        <f t="shared" ca="1" si="13"/>
        <v>-4.7264953322810098E-3</v>
      </c>
      <c r="AJ27" s="493">
        <f t="shared" ca="1" si="9"/>
        <v>0.29108512290905686</v>
      </c>
      <c r="AK27" s="493">
        <f t="shared" ca="1" si="10"/>
        <v>0</v>
      </c>
      <c r="AL27" s="498">
        <f t="shared" ca="1" si="11"/>
        <v>0</v>
      </c>
      <c r="AN27" s="532" t="str">
        <f t="shared" ca="1" si="0"/>
        <v>BASF_MMR.EUR.SU</v>
      </c>
      <c r="AO27" s="524" cm="1">
        <f t="array" aca="1" ref="AO27" ca="1">IF(AN27&lt;&gt;"",TRANSPOSE(INDEX(GetCDS($C52,AO$13,$G52/10000,F52,D52,$C$13,$C$14,$C$15,$C$8,,,TRUE,TRUE,FALSE,$C$29:$C$31,$C$33),{5})),"")</f>
        <v>0.47824737628841801</v>
      </c>
      <c r="AP27" s="524" cm="1">
        <f t="array" aca="1" ref="AP27" ca="1">IF(AO27&lt;&gt;"",TRANSPOSE(INDEX(GetCDS($C52,AP$13,$G52/10000,G52,E52,$C$13,$C$14,$C$15,$C$8,,,TRUE,TRUE,FALSE,$C$29:$C$31,$C$33),{5})),"")</f>
        <v>0.96429968448551195</v>
      </c>
      <c r="AQ27" s="524" cm="1">
        <f t="array" aca="1" ref="AQ27" ca="1">IF(AP27&lt;&gt;"",TRANSPOSE(INDEX(GetCDS($C52,AQ$13,$G52/10000,H52,F52,$C$13,$C$14,$C$15,$C$8,,,TRUE,TRUE,FALSE,$C$29:$C$31,$C$33),{5})),"")</f>
        <v>2.8078604216661698</v>
      </c>
      <c r="AR27" s="524" cm="1">
        <f t="array" aca="1" ref="AR27" ca="1">IF(AQ27&lt;&gt;"",TRANSPOSE(INDEX(GetCDS($C52,AR$13,$G52/10000,I52,G52,$C$13,$C$14,$C$15,$C$8,,,TRUE,TRUE,FALSE,$C$29:$C$31,$C$33),{5})),"")</f>
        <v>4.4880515060273298</v>
      </c>
      <c r="AS27" s="525" cm="1">
        <f t="array" aca="1" ref="AS27" ca="1">IF(AR27&lt;&gt;"",TRANSPOSE(INDEX(GetCDS($C52,AS$13,$G52/10000,J52,H52,$C$13,$C$14,$C$15,$C$8,,,TRUE,TRUE,FALSE,$C$29:$C$31,$C$33),{5})),"")</f>
        <v>7.9969996994768699</v>
      </c>
    </row>
    <row r="28" spans="1:45" customFormat="1" ht="15.75" thickBot="1">
      <c r="A28" s="227"/>
      <c r="B28" s="271" t="s">
        <v>450</v>
      </c>
      <c r="C28" s="246"/>
      <c r="D28" s="228"/>
      <c r="E28" s="228"/>
      <c r="F28" s="228"/>
      <c r="G28" s="228"/>
      <c r="H28" s="386">
        <v>14</v>
      </c>
      <c r="I28" s="413">
        <f ca="1"/>
        <v>1.2816284977079599E-4</v>
      </c>
      <c r="J28" s="413">
        <f ca="1"/>
        <v>4.827407223603E-4</v>
      </c>
      <c r="K28" s="413">
        <f ca="1"/>
        <v>0.26549003188328502</v>
      </c>
      <c r="L28" s="413">
        <f ca="1"/>
        <v>0.26549003188328502</v>
      </c>
      <c r="M28" s="413">
        <f ca="1"/>
        <v>-9.7905743025705706E-5</v>
      </c>
      <c r="N28" s="452" t="str">
        <f ca="1"/>
        <v>BASF_MMR.EUR.SU</v>
      </c>
      <c r="O28" s="413"/>
      <c r="P28" s="413"/>
      <c r="Q28" s="413"/>
      <c r="R28" s="452"/>
      <c r="S28" s="443"/>
      <c r="T28" s="422" cm="1">
        <f t="array" aca="1" ref="T28:X28" ca="1">IF(AND($U$12,B52&lt;=$C$17,C52&lt;&gt;""),TRANSPOSE(INDEX(GetCDS(C52,$C$6,G52/10000,F52,D52,$C$13,$C$14,$C$15,$C$8,,,TRUE,TRUE,FALSE,$C$29:$C$31,$C$33),{1;2;3;4;5})),"")</f>
        <v>-3.5967875799251502E-2</v>
      </c>
      <c r="U28" s="423">
        <f ca="1"/>
        <v>8.9126392610217892E-3</v>
      </c>
      <c r="V28" s="423">
        <f ca="1"/>
        <v>4.4880515060273303E-2</v>
      </c>
      <c r="W28" s="424">
        <f ca="1"/>
        <v>1.9858593977926399E-3</v>
      </c>
      <c r="X28" s="425">
        <f ca="1"/>
        <v>4.4880515060273298</v>
      </c>
      <c r="Y28" s="426" t="e">
        <f t="shared" ca="1" si="12"/>
        <v>#VALUE!</v>
      </c>
      <c r="Z28" s="427" t="e">
        <f t="shared" ca="1" si="1"/>
        <v>#VALUE!</v>
      </c>
      <c r="AA28" s="426">
        <f t="shared" ca="1" si="2"/>
        <v>8.9360109258244003E-2</v>
      </c>
      <c r="AB28" s="428">
        <f t="shared" ca="1" si="3"/>
        <v>1.8865664279030078E-3</v>
      </c>
      <c r="AC28" s="427">
        <f t="shared" ca="1" si="4"/>
        <v>-3.9821720907211128E-5</v>
      </c>
      <c r="AD28" s="79"/>
      <c r="AE28" s="496">
        <f t="shared" ca="1" si="5"/>
        <v>-1.46927718505199E-3</v>
      </c>
      <c r="AF28" s="493">
        <f t="shared" ca="1" si="6"/>
        <v>7.589929600980188E-3</v>
      </c>
      <c r="AG28" s="493">
        <f t="shared" ca="1" si="7"/>
        <v>0</v>
      </c>
      <c r="AH28" s="498">
        <f t="shared" ca="1" si="8"/>
        <v>0</v>
      </c>
      <c r="AI28" s="497">
        <f t="shared" ca="1" si="13"/>
        <v>-1.46927718505199E-3</v>
      </c>
      <c r="AJ28" s="493">
        <f t="shared" ca="1" si="9"/>
        <v>0.20810949286227665</v>
      </c>
      <c r="AK28" s="493">
        <f t="shared" ca="1" si="10"/>
        <v>0</v>
      </c>
      <c r="AL28" s="498">
        <f t="shared" ca="1" si="11"/>
        <v>0</v>
      </c>
      <c r="AN28" s="532" t="str">
        <f t="shared" ca="1" si="0"/>
        <v>BAT_MMR.EUR.SU</v>
      </c>
      <c r="AO28" s="524" cm="1">
        <f t="array" aca="1" ref="AO28" ca="1">IF(AN28&lt;&gt;"",TRANSPOSE(INDEX(GetCDS($C53,AO$13,$G53/10000,F53,D53,$C$13,$C$14,$C$15,$C$8,,,TRUE,TRUE,FALSE,$C$29:$C$31,$C$33),{5})),"")</f>
        <v>0.47828592158333599</v>
      </c>
      <c r="AP28" s="524" cm="1">
        <f t="array" aca="1" ref="AP28" ca="1">IF(AO28&lt;&gt;"",TRANSPOSE(INDEX(GetCDS($C53,AP$13,$G53/10000,G53,E53,$C$13,$C$14,$C$15,$C$8,,,TRUE,TRUE,FALSE,$C$29:$C$31,$C$33),{5})),"")</f>
        <v>0.96439303175578395</v>
      </c>
      <c r="AQ28" s="524" cm="1">
        <f t="array" aca="1" ref="AQ28" ca="1">IF(AP28&lt;&gt;"",TRANSPOSE(INDEX(GetCDS($C53,AQ$13,$G53/10000,H53,F53,$C$13,$C$14,$C$15,$C$8,,,TRUE,TRUE,FALSE,$C$29:$C$31,$C$33),{5})),"")</f>
        <v>2.8040792678349802</v>
      </c>
      <c r="AR28" s="524" cm="1">
        <f t="array" aca="1" ref="AR28" ca="1">IF(AQ28&lt;&gt;"",TRANSPOSE(INDEX(GetCDS($C53,AR$13,$G53/10000,I53,G53,$C$13,$C$14,$C$15,$C$8,,,TRUE,TRUE,FALSE,$C$29:$C$31,$C$33),{5})),"")</f>
        <v>4.47160137754934</v>
      </c>
      <c r="AS28" s="525" cm="1">
        <f t="array" aca="1" ref="AS28" ca="1">IF(AR28&lt;&gt;"",TRANSPOSE(INDEX(GetCDS($C53,AS$13,$G53/10000,J53,H53,$C$13,$C$14,$C$15,$C$8,,,TRUE,TRUE,FALSE,$C$29:$C$31,$C$33),{5})),"")</f>
        <v>7.89962904126455</v>
      </c>
    </row>
    <row r="29" spans="1:45" customFormat="1" ht="15.75" thickBot="1">
      <c r="A29" s="227"/>
      <c r="B29" s="271" t="s">
        <v>469</v>
      </c>
      <c r="C29" s="247"/>
      <c r="D29" s="228"/>
      <c r="E29" s="228"/>
      <c r="F29" s="228"/>
      <c r="G29" s="228"/>
      <c r="H29" s="386">
        <v>15</v>
      </c>
      <c r="I29" s="413">
        <f ca="1"/>
        <v>1.63405179657139E-4</v>
      </c>
      <c r="J29" s="413">
        <f ca="1"/>
        <v>4.7700322611901402E-4</v>
      </c>
      <c r="K29" s="413">
        <f ca="1"/>
        <v>0.34256619391578003</v>
      </c>
      <c r="L29" s="413">
        <f ca="1"/>
        <v>0.34256619391578003</v>
      </c>
      <c r="M29" s="413">
        <f ca="1"/>
        <v>-1.79393289509866E-4</v>
      </c>
      <c r="N29" s="452" t="str">
        <f ca="1"/>
        <v>BAT_MMR.EUR.SU</v>
      </c>
      <c r="O29" s="413"/>
      <c r="P29" s="413"/>
      <c r="Q29" s="413"/>
      <c r="R29" s="452"/>
      <c r="S29" s="443"/>
      <c r="T29" s="422" cm="1">
        <f t="array" aca="1" ref="T29:X29" ca="1">IF(AND($U$12,B53&lt;=$C$17,C53&lt;&gt;""),TRANSPOSE(INDEX(GetCDS(C53,$C$6,G53/10000,F53,D53,$C$13,$C$14,$C$15,$C$8,,,TRUE,TRUE,FALSE,$C$29:$C$31,$C$33),{1;2;3;4;5})),"")</f>
        <v>-2.92978518284422E-2</v>
      </c>
      <c r="U29" s="423">
        <f ca="1"/>
        <v>1.5418161947051199E-2</v>
      </c>
      <c r="V29" s="423">
        <f ca="1"/>
        <v>4.4716013775493398E-2</v>
      </c>
      <c r="W29" s="424">
        <f ca="1"/>
        <v>3.44801797952328E-3</v>
      </c>
      <c r="X29" s="425">
        <f ca="1"/>
        <v>4.47160137754934</v>
      </c>
      <c r="Y29" s="426" t="e">
        <f t="shared" ca="1" si="12"/>
        <v>#VALUE!</v>
      </c>
      <c r="Z29" s="427" t="e">
        <f t="shared" ca="1" si="1"/>
        <v>#VALUE!</v>
      </c>
      <c r="AA29" s="426">
        <f t="shared" ca="1" si="2"/>
        <v>0.11516913432228566</v>
      </c>
      <c r="AB29" s="428">
        <f t="shared" ca="1" si="3"/>
        <v>3.2756170805471161E-3</v>
      </c>
      <c r="AC29" s="427">
        <f t="shared" ca="1" si="4"/>
        <v>-8.8784818214134598E-5</v>
      </c>
      <c r="AD29" s="79"/>
      <c r="AE29" s="496">
        <f t="shared" ca="1" si="5"/>
        <v>-3.3495532549920001E-3</v>
      </c>
      <c r="AF29" s="493">
        <f t="shared" ca="1" si="6"/>
        <v>4.1008367975493738E-3</v>
      </c>
      <c r="AG29" s="493">
        <f t="shared" ca="1" si="7"/>
        <v>0</v>
      </c>
      <c r="AH29" s="498">
        <f t="shared" ca="1" si="8"/>
        <v>0</v>
      </c>
      <c r="AI29" s="497">
        <f t="shared" ca="1" si="13"/>
        <v>-3.3495532549920001E-3</v>
      </c>
      <c r="AJ29" s="493">
        <f t="shared" ca="1" si="9"/>
        <v>0.26424910839394555</v>
      </c>
      <c r="AK29" s="493">
        <f t="shared" ca="1" si="10"/>
        <v>0</v>
      </c>
      <c r="AL29" s="498">
        <f t="shared" ca="1" si="11"/>
        <v>0</v>
      </c>
      <c r="AN29" s="532" t="str">
        <f t="shared" ca="1" si="0"/>
        <v>Bayer_MMR.EUR.SU</v>
      </c>
      <c r="AO29" s="524" cm="1">
        <f t="array" aca="1" ref="AO29" ca="1">IF(AN29&lt;&gt;"",TRANSPOSE(INDEX(GetCDS($C54,AO$13,$G54/10000,F54,D54,$C$13,$C$14,$C$15,$C$8,,,TRUE,TRUE,FALSE,$C$29:$C$31,$C$33),{5})),"")</f>
        <v>0.47822810520300102</v>
      </c>
      <c r="AP29" s="524" cm="1">
        <f t="array" aca="1" ref="AP29" ca="1">IF(AO29&lt;&gt;"",TRANSPOSE(INDEX(GetCDS($C54,AP$13,$G54/10000,G54,E54,$C$13,$C$14,$C$15,$C$8,,,TRUE,TRUE,FALSE,$C$29:$C$31,$C$33),{5})),"")</f>
        <v>0.96423368043318802</v>
      </c>
      <c r="AQ29" s="524" cm="1">
        <f t="array" aca="1" ref="AQ29" ca="1">IF(AP29&lt;&gt;"",TRANSPOSE(INDEX(GetCDS($C54,AQ$13,$G54/10000,H54,F54,$C$13,$C$14,$C$15,$C$8,,,TRUE,TRUE,FALSE,$C$29:$C$31,$C$33),{5})),"")</f>
        <v>2.80635766430213</v>
      </c>
      <c r="AR29" s="524" cm="1">
        <f t="array" aca="1" ref="AR29" ca="1">IF(AQ29&lt;&gt;"",TRANSPOSE(INDEX(GetCDS($C54,AR$13,$G54/10000,I54,G54,$C$13,$C$14,$C$15,$C$8,,,TRUE,TRUE,FALSE,$C$29:$C$31,$C$33),{5})),"")</f>
        <v>4.4813457703942596</v>
      </c>
      <c r="AS29" s="525" cm="1">
        <f t="array" aca="1" ref="AS29" ca="1">IF(AR29&lt;&gt;"",TRANSPOSE(INDEX(GetCDS($C54,AS$13,$G54/10000,J54,H54,$C$13,$C$14,$C$15,$C$8,,,TRUE,TRUE,FALSE,$C$29:$C$31,$C$33),{5})),"")</f>
        <v>7.9464378601604704</v>
      </c>
    </row>
    <row r="30" spans="1:45" customFormat="1" ht="15">
      <c r="A30" s="227"/>
      <c r="B30" s="271" t="s">
        <v>447</v>
      </c>
      <c r="C30" s="63" t="b">
        <v>1</v>
      </c>
      <c r="D30" s="228"/>
      <c r="E30" s="228"/>
      <c r="F30" s="228"/>
      <c r="G30" s="228"/>
      <c r="H30" s="386">
        <v>16</v>
      </c>
      <c r="I30" s="413">
        <f ca="1"/>
        <v>1.4479991110920599E-4</v>
      </c>
      <c r="J30" s="413">
        <f ca="1"/>
        <v>4.80362598948385E-4</v>
      </c>
      <c r="K30" s="413">
        <f ca="1"/>
        <v>0.30143877026688498</v>
      </c>
      <c r="L30" s="413">
        <f ca="1"/>
        <v>0.30143877026688498</v>
      </c>
      <c r="M30" s="413">
        <f ca="1"/>
        <v>-1.3294341697080999E-4</v>
      </c>
      <c r="N30" s="452" t="str">
        <f ca="1"/>
        <v>BAYER_MMR.EUR.SU</v>
      </c>
      <c r="O30" s="413"/>
      <c r="P30" s="413"/>
      <c r="Q30" s="413"/>
      <c r="R30" s="452"/>
      <c r="S30" s="443"/>
      <c r="T30" s="422" cm="1">
        <f t="array" aca="1" ref="T30:X30" ca="1">IF(AND($U$12,B54&lt;=$C$17,C54&lt;&gt;""),TRANSPOSE(INDEX(GetCDS(C54,$C$6,G54/10000,F54,D54,$C$13,$C$14,$C$15,$C$8,,,TRUE,TRUE,FALSE,$C$29:$C$31,$C$33),{1;2;3;4;5})),"")</f>
        <v>-3.3105452600326601E-2</v>
      </c>
      <c r="U30" s="423">
        <f ca="1"/>
        <v>1.1708005103616E-2</v>
      </c>
      <c r="V30" s="423">
        <f ca="1"/>
        <v>4.48134577039426E-2</v>
      </c>
      <c r="W30" s="424">
        <f ca="1"/>
        <v>2.6126091811447E-3</v>
      </c>
      <c r="X30" s="425">
        <f ca="1"/>
        <v>4.4813457703942596</v>
      </c>
      <c r="Y30" s="426" t="e">
        <f t="shared" ca="1" si="12"/>
        <v>#VALUE!</v>
      </c>
      <c r="Z30" s="427" t="e">
        <f t="shared" ca="1" si="1"/>
        <v>#VALUE!</v>
      </c>
      <c r="AA30" s="426">
        <f t="shared" ca="1" si="2"/>
        <v>0.10140247829966033</v>
      </c>
      <c r="AB30" s="428">
        <f t="shared" ca="1" si="3"/>
        <v>2.481978722087465E-3</v>
      </c>
      <c r="AC30" s="427">
        <f t="shared" ca="1" si="4"/>
        <v>-5.936103667258675E-5</v>
      </c>
      <c r="AD30" s="79"/>
      <c r="AE30" s="496">
        <f t="shared" ca="1" si="5"/>
        <v>-2.210371797912E-3</v>
      </c>
      <c r="AF30" s="493">
        <f t="shared" ca="1" si="6"/>
        <v>6.1594338873249069E-3</v>
      </c>
      <c r="AG30" s="493">
        <f t="shared" ca="1" si="7"/>
        <v>0</v>
      </c>
      <c r="AH30" s="498">
        <f t="shared" ca="1" si="8"/>
        <v>0</v>
      </c>
      <c r="AI30" s="497">
        <f t="shared" ca="1" si="13"/>
        <v>-2.210371797912E-3</v>
      </c>
      <c r="AJ30" s="493">
        <f t="shared" ca="1" si="9"/>
        <v>0.2343554408502454</v>
      </c>
      <c r="AK30" s="493">
        <f t="shared" ca="1" si="10"/>
        <v>0</v>
      </c>
      <c r="AL30" s="498">
        <f t="shared" ca="1" si="11"/>
        <v>0</v>
      </c>
      <c r="AN30" s="532" t="str">
        <f t="shared" ca="1" si="0"/>
        <v>BBVA_MMR.EUR.SU</v>
      </c>
      <c r="AO30" s="524" cm="1">
        <f t="array" aca="1" ref="AO30" ca="1">IF(AN30&lt;&gt;"",TRANSPOSE(INDEX(GetCDS($C55,AO$13,$G55/10000,F55,D55,$C$13,$C$14,$C$15,$C$8,,,TRUE,TRUE,FALSE,$C$29:$C$31,$C$33),{5})),"")</f>
        <v>0.478125985826303</v>
      </c>
      <c r="AP30" s="524" cm="1">
        <f t="array" aca="1" ref="AP30" ca="1">IF(AO30&lt;&gt;"",TRANSPOSE(INDEX(GetCDS($C55,AP$13,$G55/10000,G55,E55,$C$13,$C$14,$C$15,$C$8,,,TRUE,TRUE,FALSE,$C$29:$C$31,$C$33),{5})),"")</f>
        <v>0.96372552261467004</v>
      </c>
      <c r="AQ30" s="524" cm="1">
        <f t="array" aca="1" ref="AQ30" ca="1">IF(AP30&lt;&gt;"",TRANSPOSE(INDEX(GetCDS($C55,AQ$13,$G55/10000,H55,F55,$C$13,$C$14,$C$15,$C$8,,,TRUE,TRUE,FALSE,$C$29:$C$31,$C$33),{5})),"")</f>
        <v>2.7971473827851798</v>
      </c>
      <c r="AR30" s="524" cm="1">
        <f t="array" aca="1" ref="AR30" ca="1">IF(AQ30&lt;&gt;"",TRANSPOSE(INDEX(GetCDS($C55,AR$13,$G55/10000,I55,G55,$C$13,$C$14,$C$15,$C$8,,,TRUE,TRUE,FALSE,$C$29:$C$31,$C$33),{5})),"")</f>
        <v>4.4600795527505204</v>
      </c>
      <c r="AS30" s="525" cm="1">
        <f t="array" aca="1" ref="AS30" ca="1">IF(AR30&lt;&gt;"",TRANSPOSE(INDEX(GetCDS($C55,AS$13,$G55/10000,J55,H55,$C$13,$C$14,$C$15,$C$8,,,TRUE,TRUE,FALSE,$C$29:$C$31,$C$33),{5})),"")</f>
        <v>7.9190751183583004</v>
      </c>
    </row>
    <row r="31" spans="1:45" customFormat="1" ht="15.75" thickBot="1">
      <c r="A31" s="227"/>
      <c r="B31" s="272" t="s">
        <v>448</v>
      </c>
      <c r="C31" s="437" t="b">
        <v>1</v>
      </c>
      <c r="D31" s="228"/>
      <c r="E31" s="228"/>
      <c r="F31" s="228"/>
      <c r="G31" s="228"/>
      <c r="H31" s="386">
        <v>17</v>
      </c>
      <c r="I31" s="413">
        <f ca="1"/>
        <v>1.66086057660553E-4</v>
      </c>
      <c r="J31" s="413">
        <f ca="1"/>
        <v>4.7654409360913701E-4</v>
      </c>
      <c r="K31" s="413">
        <f ca="1"/>
        <v>0.34852190990909099</v>
      </c>
      <c r="L31" s="413">
        <f ca="1"/>
        <v>0.34852190990909099</v>
      </c>
      <c r="M31" s="413">
        <f ca="1"/>
        <v>-1.83567520619077E-4</v>
      </c>
      <c r="N31" s="452" t="str">
        <f ca="1"/>
        <v>BBVA_MMR.EUR.SU</v>
      </c>
      <c r="O31" s="413"/>
      <c r="P31" s="413"/>
      <c r="Q31" s="413"/>
      <c r="R31" s="452"/>
      <c r="S31" s="443"/>
      <c r="T31" s="422" cm="1">
        <f t="array" aca="1" ref="T31:X31" ca="1">IF(AND($U$12,B55&lt;=$C$17,C55&lt;&gt;""),TRANSPOSE(INDEX(GetCDS(C55,$C$6,G55/10000,F55,D55,$C$13,$C$14,$C$15,$C$8,,,TRUE,TRUE,FALSE,$C$29:$C$31,$C$33),{1;2;3;4;5})),"")</f>
        <v>-2.9221146077258401E-2</v>
      </c>
      <c r="U31" s="423">
        <f ca="1"/>
        <v>1.53796494502468E-2</v>
      </c>
      <c r="V31" s="423">
        <f ca="1"/>
        <v>4.4600795527505198E-2</v>
      </c>
      <c r="W31" s="424">
        <f ca="1"/>
        <v>3.4482903877268798E-3</v>
      </c>
      <c r="X31" s="425">
        <f ca="1"/>
        <v>4.4600795527505204</v>
      </c>
      <c r="Y31" s="426" t="e">
        <f t="shared" ca="1" si="12"/>
        <v>#VALUE!</v>
      </c>
      <c r="Z31" s="427" t="e">
        <f t="shared" ca="1" si="1"/>
        <v>#VALUE!</v>
      </c>
      <c r="AA31" s="426">
        <f t="shared" ca="1" si="2"/>
        <v>0.11714741918528167</v>
      </c>
      <c r="AB31" s="428">
        <f t="shared" ca="1" si="3"/>
        <v>3.2758758683405355E-3</v>
      </c>
      <c r="AC31" s="427">
        <f t="shared" ca="1" si="4"/>
        <v>-9.0084312053537727E-5</v>
      </c>
      <c r="AD31" s="79"/>
      <c r="AE31" s="496">
        <f t="shared" ca="1" si="5"/>
        <v>-3.57386416557101E-3</v>
      </c>
      <c r="AF31" s="493">
        <f t="shared" ca="1" si="6"/>
        <v>3.8654438794274819E-3</v>
      </c>
      <c r="AG31" s="493">
        <f t="shared" ca="1" si="7"/>
        <v>0</v>
      </c>
      <c r="AH31" s="498">
        <f t="shared" ca="1" si="8"/>
        <v>0</v>
      </c>
      <c r="AI31" s="497">
        <f t="shared" ca="1" si="13"/>
        <v>-3.57386416557101E-3</v>
      </c>
      <c r="AJ31" s="493">
        <f t="shared" ca="1" si="9"/>
        <v>0.26869671895113284</v>
      </c>
      <c r="AK31" s="493">
        <f t="shared" ca="1" si="10"/>
        <v>0</v>
      </c>
      <c r="AL31" s="498">
        <f t="shared" ca="1" si="11"/>
        <v>0</v>
      </c>
      <c r="AN31" s="532" t="str">
        <f t="shared" ca="1" si="0"/>
        <v>BertelsmannAG_MMR.EUR.SU</v>
      </c>
      <c r="AO31" s="524" cm="1">
        <f t="array" aca="1" ref="AO31" ca="1">IF(AN31&lt;&gt;"",TRANSPOSE(INDEX(GetCDS($C56,AO$13,$G56/10000,F56,D56,$C$13,$C$14,$C$15,$C$8,,,TRUE,TRUE,FALSE,$C$29:$C$31,$C$33),{5})),"")</f>
        <v>0.47820883515867502</v>
      </c>
      <c r="AP31" s="524" cm="1">
        <f t="array" aca="1" ref="AP31" ca="1">IF(AO31&lt;&gt;"",TRANSPOSE(INDEX(GetCDS($C56,AP$13,$G56/10000,G56,E56,$C$13,$C$14,$C$15,$C$8,,,TRUE,TRUE,FALSE,$C$29:$C$31,$C$33),{5})),"")</f>
        <v>0.96414191213137601</v>
      </c>
      <c r="AQ31" s="524" cm="1">
        <f t="array" aca="1" ref="AQ31" ca="1">IF(AP31&lt;&gt;"",TRANSPOSE(INDEX(GetCDS($C56,AQ$13,$G56/10000,H56,F56,$C$13,$C$14,$C$15,$C$8,,,TRUE,TRUE,FALSE,$C$29:$C$31,$C$33),{5})),"")</f>
        <v>2.8044307984108099</v>
      </c>
      <c r="AR31" s="524" cm="1">
        <f t="array" aca="1" ref="AR31" ca="1">IF(AQ31&lt;&gt;"",TRANSPOSE(INDEX(GetCDS($C56,AR$13,$G56/10000,I56,G56,$C$13,$C$14,$C$15,$C$8,,,TRUE,TRUE,FALSE,$C$29:$C$31,$C$33),{5})),"")</f>
        <v>4.4736956337945601</v>
      </c>
      <c r="AS31" s="525" cm="1">
        <f t="array" aca="1" ref="AS31" ca="1">IF(AR31&lt;&gt;"",TRANSPOSE(INDEX(GetCDS($C56,AS$13,$G56/10000,J56,H56,$C$13,$C$14,$C$15,$C$8,,,TRUE,TRUE,FALSE,$C$29:$C$31,$C$33),{5})),"")</f>
        <v>7.9055659497934903</v>
      </c>
    </row>
    <row r="32" spans="1:45" customFormat="1" ht="15.75" thickBot="1">
      <c r="A32" s="227"/>
      <c r="B32" s="227"/>
      <c r="C32" s="228"/>
      <c r="D32" s="228"/>
      <c r="E32" s="228"/>
      <c r="F32" s="228"/>
      <c r="G32" s="228"/>
      <c r="H32" s="386">
        <v>18</v>
      </c>
      <c r="I32" s="413">
        <f ca="1"/>
        <v>1.59290738018258E-4</v>
      </c>
      <c r="J32" s="413">
        <f ca="1"/>
        <v>4.7784700603897303E-4</v>
      </c>
      <c r="K32" s="413">
        <f ca="1"/>
        <v>0.33335091777317999</v>
      </c>
      <c r="L32" s="413">
        <f ca="1"/>
        <v>0.33335091777317999</v>
      </c>
      <c r="M32" s="413">
        <f ca="1"/>
        <v>-1.6801985793128999E-4</v>
      </c>
      <c r="N32" s="452" t="str">
        <f ca="1"/>
        <v>BERTELSMANNAG_MMR.EUR.SU</v>
      </c>
      <c r="O32" s="413"/>
      <c r="P32" s="413"/>
      <c r="Q32" s="413"/>
      <c r="R32" s="452"/>
      <c r="S32" s="443"/>
      <c r="T32" s="422" cm="1">
        <f t="array" aca="1" ref="T32:X32" ca="1">IF(AND($U$12,B56&lt;=$C$17,C56&lt;&gt;""),TRANSPOSE(INDEX(GetCDS(C56,$C$6,G56/10000,F56,D56,$C$13,$C$14,$C$15,$C$8,,,TRUE,TRUE,FALSE,$C$29:$C$31,$C$33),{1;2;3;4;5})),"")</f>
        <v>-3.0245758311358201E-2</v>
      </c>
      <c r="U32" s="423">
        <f ca="1"/>
        <v>1.4491198026587399E-2</v>
      </c>
      <c r="V32" s="423">
        <f ca="1"/>
        <v>4.4736956337945603E-2</v>
      </c>
      <c r="W32" s="424">
        <f ca="1"/>
        <v>3.2392006995558701E-3</v>
      </c>
      <c r="X32" s="425">
        <f ca="1"/>
        <v>4.4736956337945601</v>
      </c>
      <c r="Y32" s="426" t="e">
        <f t="shared" ca="1" si="12"/>
        <v>#VALUE!</v>
      </c>
      <c r="Z32" s="427" t="e">
        <f t="shared" ca="1" si="1"/>
        <v>#VALUE!</v>
      </c>
      <c r="AA32" s="426">
        <f t="shared" ca="1" si="2"/>
        <v>0.11208387497607834</v>
      </c>
      <c r="AB32" s="428">
        <f t="shared" ca="1" si="3"/>
        <v>3.0772406645780763E-3</v>
      </c>
      <c r="AC32" s="427">
        <f t="shared" ca="1" si="4"/>
        <v>-8.1211481393280767E-5</v>
      </c>
      <c r="AD32" s="79"/>
      <c r="AE32" s="496">
        <f t="shared" ca="1" si="5"/>
        <v>-3.0593820058079902E-3</v>
      </c>
      <c r="AF32" s="493">
        <f t="shared" ca="1" si="6"/>
        <v>4.6206526784375833E-3</v>
      </c>
      <c r="AG32" s="493">
        <f t="shared" ca="1" si="7"/>
        <v>0</v>
      </c>
      <c r="AH32" s="498">
        <f t="shared" ca="1" si="8"/>
        <v>0</v>
      </c>
      <c r="AI32" s="497">
        <f t="shared" ca="1" si="13"/>
        <v>-3.0593820058079902E-3</v>
      </c>
      <c r="AJ32" s="493">
        <f t="shared" ca="1" si="9"/>
        <v>0.25757462790772456</v>
      </c>
      <c r="AK32" s="493">
        <f t="shared" ca="1" si="10"/>
        <v>0</v>
      </c>
      <c r="AL32" s="498">
        <f t="shared" ca="1" si="11"/>
        <v>0</v>
      </c>
      <c r="AN32" s="532" t="str">
        <f t="shared" ca="1" si="0"/>
        <v>BMW_MMR.EUR.SU</v>
      </c>
      <c r="AO32" s="524" cm="1">
        <f t="array" aca="1" ref="AO32" ca="1">IF(AN32&lt;&gt;"",TRANSPOSE(INDEX(GetCDS($C57,AO$13,$G57/10000,F57,D57,$C$13,$C$14,$C$15,$C$8,,,TRUE,TRUE,FALSE,$C$29:$C$31,$C$33),{5})),"")</f>
        <v>0.47824737628841801</v>
      </c>
      <c r="AP32" s="524" cm="1">
        <f t="array" aca="1" ref="AP32" ca="1">IF(AO32&lt;&gt;"",TRANSPOSE(INDEX(GetCDS($C57,AP$13,$G57/10000,G57,E57,$C$13,$C$14,$C$15,$C$8,,,TRUE,TRUE,FALSE,$C$29:$C$31,$C$33),{5})),"")</f>
        <v>0.96427390728403195</v>
      </c>
      <c r="AQ32" s="524" cm="1">
        <f t="array" aca="1" ref="AQ32" ca="1">IF(AP32&lt;&gt;"",TRANSPOSE(INDEX(GetCDS($C57,AQ$13,$G57/10000,H57,F57,$C$13,$C$14,$C$15,$C$8,,,TRUE,TRUE,FALSE,$C$29:$C$31,$C$33),{5})),"")</f>
        <v>2.8056634867844901</v>
      </c>
      <c r="AR32" s="524" cm="1">
        <f t="array" aca="1" ref="AR32" ca="1">IF(AQ32&lt;&gt;"",TRANSPOSE(INDEX(GetCDS($C57,AR$13,$G57/10000,I57,G57,$C$13,$C$14,$C$15,$C$8,,,TRUE,TRUE,FALSE,$C$29:$C$31,$C$33),{5})),"")</f>
        <v>4.4795345053437101</v>
      </c>
      <c r="AS32" s="525" cm="1">
        <f t="array" aca="1" ref="AS32" ca="1">IF(AR32&lt;&gt;"",TRANSPOSE(INDEX(GetCDS($C57,AS$13,$G57/10000,J57,H57,$C$13,$C$14,$C$15,$C$8,,,TRUE,TRUE,FALSE,$C$29:$C$31,$C$33),{5})),"")</f>
        <v>7.9583149598398402</v>
      </c>
    </row>
    <row r="33" spans="1:45" customFormat="1" ht="15">
      <c r="A33" s="227"/>
      <c r="B33" s="270" t="s">
        <v>451</v>
      </c>
      <c r="C33" s="248" t="s">
        <v>452</v>
      </c>
      <c r="D33" s="249"/>
      <c r="E33" s="249"/>
      <c r="F33" s="249"/>
      <c r="G33" s="228"/>
      <c r="H33" s="386">
        <v>19</v>
      </c>
      <c r="I33" s="413">
        <f ca="1"/>
        <v>1.47604955949143E-4</v>
      </c>
      <c r="J33" s="413">
        <f ca="1"/>
        <v>4.7991857785091601E-4</v>
      </c>
      <c r="K33" s="413">
        <f ca="1"/>
        <v>0.30756249655956402</v>
      </c>
      <c r="L33" s="413">
        <f ca="1"/>
        <v>0.30756249655956402</v>
      </c>
      <c r="M33" s="413">
        <f ca="1"/>
        <v>-1.39090202546566E-4</v>
      </c>
      <c r="N33" s="452" t="str">
        <f ca="1"/>
        <v>BMW_MMR.EUR.SU</v>
      </c>
      <c r="O33" s="413"/>
      <c r="P33" s="413"/>
      <c r="Q33" s="413"/>
      <c r="R33" s="452"/>
      <c r="S33" s="443"/>
      <c r="T33" s="422" cm="1">
        <f t="array" aca="1" ref="T33:X33" ca="1">IF(AND($U$12,B57&lt;=$C$17,C57&lt;&gt;""),TRANSPOSE(INDEX(GetCDS(C57,$C$6,G57/10000,F57,D57,$C$13,$C$14,$C$15,$C$8,,,TRUE,TRUE,FALSE,$C$29:$C$31,$C$33),{1;2;3;4;5})),"")</f>
        <v>-3.2624165194418402E-2</v>
      </c>
      <c r="U33" s="423">
        <f ca="1"/>
        <v>1.2171179859018701E-2</v>
      </c>
      <c r="V33" s="423">
        <f ca="1"/>
        <v>4.4795345053437102E-2</v>
      </c>
      <c r="W33" s="424">
        <f ca="1"/>
        <v>2.7170635351730201E-3</v>
      </c>
      <c r="X33" s="425">
        <f ca="1"/>
        <v>4.4795345053437101</v>
      </c>
      <c r="Y33" s="426" t="e">
        <f t="shared" ca="1" si="12"/>
        <v>#VALUE!</v>
      </c>
      <c r="Z33" s="427" t="e">
        <f t="shared" ca="1" si="1"/>
        <v>#VALUE!</v>
      </c>
      <c r="AA33" s="426">
        <f t="shared" ca="1" si="2"/>
        <v>0.10345191315579799</v>
      </c>
      <c r="AB33" s="428">
        <f t="shared" ca="1" si="3"/>
        <v>2.5812103584143689E-3</v>
      </c>
      <c r="AC33" s="427">
        <f t="shared" ca="1" si="4"/>
        <v>-6.2956592088940104E-5</v>
      </c>
      <c r="AD33" s="79"/>
      <c r="AE33" s="496">
        <f t="shared" ca="1" si="5"/>
        <v>-2.3547764839459999E-3</v>
      </c>
      <c r="AF33" s="493">
        <f t="shared" ca="1" si="6"/>
        <v>5.8994251072034889E-3</v>
      </c>
      <c r="AG33" s="493">
        <f t="shared" ca="1" si="7"/>
        <v>0</v>
      </c>
      <c r="AH33" s="498">
        <f t="shared" ca="1" si="8"/>
        <v>0</v>
      </c>
      <c r="AI33" s="497">
        <f t="shared" ca="1" si="13"/>
        <v>-2.3547764839459999E-3</v>
      </c>
      <c r="AJ33" s="493">
        <f t="shared" ca="1" si="9"/>
        <v>0.23882791371827761</v>
      </c>
      <c r="AK33" s="493">
        <f t="shared" ca="1" si="10"/>
        <v>0</v>
      </c>
      <c r="AL33" s="498">
        <f t="shared" ca="1" si="11"/>
        <v>0</v>
      </c>
      <c r="AN33" s="532" t="str">
        <f t="shared" ca="1" si="0"/>
        <v>BNPParibas_MMR.EUR.SU</v>
      </c>
      <c r="AO33" s="524" cm="1">
        <f t="array" aca="1" ref="AO33" ca="1">IF(AN33&lt;&gt;"",TRANSPOSE(INDEX(GetCDS($C58,AO$13,$G58/10000,F58,D58,$C$13,$C$14,$C$15,$C$8,,,TRUE,TRUE,FALSE,$C$29:$C$31,$C$33),{5})),"")</f>
        <v>0.47822039706035302</v>
      </c>
      <c r="AP33" s="524" cm="1">
        <f t="array" aca="1" ref="AP33" ca="1">IF(AO33&lt;&gt;"",TRANSPOSE(INDEX(GetCDS($C58,AP$13,$G58/10000,G58,E58,$C$13,$C$14,$C$15,$C$8,,,TRUE,TRUE,FALSE,$C$29:$C$31,$C$33),{5})),"")</f>
        <v>0.96413253398506304</v>
      </c>
      <c r="AQ33" s="524" cm="1">
        <f t="array" aca="1" ref="AQ33" ca="1">IF(AP33&lt;&gt;"",TRANSPOSE(INDEX(GetCDS($C58,AQ$13,$G58/10000,H58,F58,$C$13,$C$14,$C$15,$C$8,,,TRUE,TRUE,FALSE,$C$29:$C$31,$C$33),{5})),"")</f>
        <v>2.8027629889256498</v>
      </c>
      <c r="AR33" s="524" cm="1">
        <f t="array" aca="1" ref="AR33" ca="1">IF(AQ33&lt;&gt;"",TRANSPOSE(INDEX(GetCDS($C58,AR$13,$G58/10000,I58,G58,$C$13,$C$14,$C$15,$C$8,,,TRUE,TRUE,FALSE,$C$29:$C$31,$C$33),{5})),"")</f>
        <v>4.4715545678037998</v>
      </c>
      <c r="AS33" s="525" cm="1">
        <f t="array" aca="1" ref="AS33" ca="1">IF(AR33&lt;&gt;"",TRANSPOSE(INDEX(GetCDS($C58,AS$13,$G58/10000,J58,H58,$C$13,$C$14,$C$15,$C$8,,,TRUE,TRUE,FALSE,$C$29:$C$31,$C$33),{5})),"")</f>
        <v>7.9365788403916504</v>
      </c>
    </row>
    <row r="34" spans="1:45" customFormat="1" ht="15">
      <c r="A34" s="227"/>
      <c r="B34" s="271" t="s">
        <v>470</v>
      </c>
      <c r="C34" s="250">
        <v>0.01</v>
      </c>
      <c r="D34" s="249"/>
      <c r="E34" s="249"/>
      <c r="F34" s="249"/>
      <c r="G34" s="228"/>
      <c r="H34" s="386">
        <v>20</v>
      </c>
      <c r="I34" s="413">
        <f ca="1"/>
        <v>1.58049855727316E-4</v>
      </c>
      <c r="J34" s="413">
        <f ca="1"/>
        <v>4.7814327648590502E-4</v>
      </c>
      <c r="K34" s="413">
        <f ca="1"/>
        <v>0.33054915440596999</v>
      </c>
      <c r="L34" s="413">
        <f ca="1"/>
        <v>0.33054915440596999</v>
      </c>
      <c r="M34" s="413">
        <f ca="1"/>
        <v>-1.6363958995444501E-4</v>
      </c>
      <c r="N34" s="452" t="str">
        <f ca="1"/>
        <v>BNPPARIBAS_MMR.EUR.SU</v>
      </c>
      <c r="O34" s="413"/>
      <c r="P34" s="413"/>
      <c r="Q34" s="413"/>
      <c r="R34" s="452"/>
      <c r="S34" s="443"/>
      <c r="T34" s="422" cm="1">
        <f t="array" aca="1" ref="T34:X34" ca="1">IF(AND($U$12,B58&lt;=$C$17,C58&lt;&gt;""),TRANSPOSE(INDEX(GetCDS(C58,$C$6,G58/10000,F58,D58,$C$13,$C$14,$C$15,$C$8,,,TRUE,TRUE,FALSE,$C$29:$C$31,$C$33),{1;2;3;4;5})),"")</f>
        <v>-3.0697905567815001E-2</v>
      </c>
      <c r="U34" s="423">
        <f ca="1"/>
        <v>1.4017640110223E-2</v>
      </c>
      <c r="V34" s="423">
        <f ca="1"/>
        <v>4.4715545678038003E-2</v>
      </c>
      <c r="W34" s="424">
        <f ca="1"/>
        <v>3.13484715386304E-3</v>
      </c>
      <c r="X34" s="425">
        <f ca="1"/>
        <v>4.4715545678037998</v>
      </c>
      <c r="Y34" s="426" t="e">
        <f t="shared" ca="1" si="12"/>
        <v>#VALUE!</v>
      </c>
      <c r="Z34" s="427" t="e">
        <f t="shared" ca="1" si="1"/>
        <v>#VALUE!</v>
      </c>
      <c r="AA34" s="426">
        <f t="shared" ca="1" si="2"/>
        <v>0.111142288569597</v>
      </c>
      <c r="AB34" s="428">
        <f t="shared" ca="1" si="3"/>
        <v>2.9781047961698879E-3</v>
      </c>
      <c r="AC34" s="427">
        <f t="shared" ca="1" si="4"/>
        <v>-7.7897630109758238E-5</v>
      </c>
      <c r="AD34" s="79"/>
      <c r="AE34" s="496">
        <f t="shared" ca="1" si="5"/>
        <v>-2.9716069164010001E-3</v>
      </c>
      <c r="AF34" s="493">
        <f t="shared" ca="1" si="6"/>
        <v>4.8197163478880811E-3</v>
      </c>
      <c r="AG34" s="493">
        <f t="shared" ca="1" si="7"/>
        <v>0</v>
      </c>
      <c r="AH34" s="498">
        <f t="shared" ca="1" si="8"/>
        <v>0</v>
      </c>
      <c r="AI34" s="497">
        <f t="shared" ca="1" si="13"/>
        <v>-2.9716069164010001E-3</v>
      </c>
      <c r="AJ34" s="493">
        <f t="shared" ca="1" si="9"/>
        <v>0.25558634219643123</v>
      </c>
      <c r="AK34" s="493">
        <f t="shared" ca="1" si="10"/>
        <v>0</v>
      </c>
      <c r="AL34" s="498">
        <f t="shared" ca="1" si="11"/>
        <v>0</v>
      </c>
      <c r="AN34" s="532" t="str">
        <f t="shared" ca="1" si="0"/>
        <v>BritishTelecom_MMR.EUR.SU</v>
      </c>
      <c r="AO34" s="524" cm="1">
        <f t="array" aca="1" ref="AO34" ca="1">IF(AN34&lt;&gt;"",TRANSPOSE(INDEX(GetCDS($C59,AO$13,$G59/10000,F59,D59,$C$13,$C$14,$C$15,$C$8,,,TRUE,TRUE,FALSE,$C$29:$C$31,$C$33),{5})),"")</f>
        <v>0.47813176538809798</v>
      </c>
      <c r="AP34" s="524" cm="1">
        <f t="array" aca="1" ref="AP34" ca="1">IF(AO34&lt;&gt;"",TRANSPOSE(INDEX(GetCDS($C59,AP$13,$G59/10000,G59,E59,$C$13,$C$14,$C$15,$C$8,,,TRUE,TRUE,FALSE,$C$29:$C$31,$C$33),{5})),"")</f>
        <v>0.96377494169739797</v>
      </c>
      <c r="AQ34" s="524" cm="1">
        <f t="array" aca="1" ref="AQ34" ca="1">IF(AP34&lt;&gt;"",TRANSPOSE(INDEX(GetCDS($C59,AQ$13,$G59/10000,H59,F59,$C$13,$C$14,$C$15,$C$8,,,TRUE,TRUE,FALSE,$C$29:$C$31,$C$33),{5})),"")</f>
        <v>2.7991229865586802</v>
      </c>
      <c r="AR34" s="524" cm="1">
        <f t="array" aca="1" ref="AR34" ca="1">IF(AQ34&lt;&gt;"",TRANSPOSE(INDEX(GetCDS($C59,AR$13,$G59/10000,I59,G59,$C$13,$C$14,$C$15,$C$8,,,TRUE,TRUE,FALSE,$C$29:$C$31,$C$33),{5})),"")</f>
        <v>4.45779228643688</v>
      </c>
      <c r="AS34" s="525" cm="1">
        <f t="array" aca="1" ref="AS34" ca="1">IF(AR34&lt;&gt;"",TRANSPOSE(INDEX(GetCDS($C59,AS$13,$G59/10000,J59,H59,$C$13,$C$14,$C$15,$C$8,,,TRUE,TRUE,FALSE,$C$29:$C$31,$C$33),{5})),"")</f>
        <v>7.8647947963175602</v>
      </c>
    </row>
    <row r="35" spans="1:45" customFormat="1" ht="15">
      <c r="A35" s="227"/>
      <c r="B35" s="271" t="s">
        <v>471</v>
      </c>
      <c r="C35" s="250">
        <v>1</v>
      </c>
      <c r="D35" s="228"/>
      <c r="E35" s="228"/>
      <c r="F35" s="228"/>
      <c r="G35" s="228"/>
      <c r="H35" s="386">
        <v>21</v>
      </c>
      <c r="I35" s="413">
        <f ca="1"/>
        <v>1.7691969151021399E-4</v>
      </c>
      <c r="J35" s="413">
        <f ca="1"/>
        <v>4.7434318472392199E-4</v>
      </c>
      <c r="K35" s="413">
        <f ca="1"/>
        <v>0.37297825120684502</v>
      </c>
      <c r="L35" s="413">
        <f ca="1"/>
        <v>0.37297825120684502</v>
      </c>
      <c r="M35" s="413">
        <f ca="1"/>
        <v>-2.1556267085158799E-4</v>
      </c>
      <c r="N35" s="452" t="str">
        <f ca="1"/>
        <v>BRITISHTELECOM_MMR.EUR.SU</v>
      </c>
      <c r="O35" s="413"/>
      <c r="P35" s="413"/>
      <c r="Q35" s="413"/>
      <c r="R35" s="452"/>
      <c r="S35" s="443"/>
      <c r="T35" s="422" cm="1">
        <f t="array" aca="1" ref="T35:X35" ca="1">IF(AND($U$12,B59&lt;=$C$17,C59&lt;&gt;""),TRANSPOSE(INDEX(GetCDS(C59,$C$6,G59/10000,F59,D59,$C$13,$C$14,$C$15,$C$8,,,TRUE,TRUE,FALSE,$C$29:$C$31,$C$33),{1;2;3;4;5})),"")</f>
        <v>-2.6414571048226101E-2</v>
      </c>
      <c r="U35" s="423">
        <f ca="1"/>
        <v>1.81633518161427E-2</v>
      </c>
      <c r="V35" s="423">
        <f ca="1"/>
        <v>4.4577922864368798E-2</v>
      </c>
      <c r="W35" s="424">
        <f ca="1"/>
        <v>4.0745173056640303E-3</v>
      </c>
      <c r="X35" s="425">
        <f ca="1"/>
        <v>4.45779228643688</v>
      </c>
      <c r="Y35" s="426" t="e">
        <f t="shared" ca="1" si="12"/>
        <v>#VALUE!</v>
      </c>
      <c r="Z35" s="427" t="e">
        <f t="shared" ca="1" si="1"/>
        <v>#VALUE!</v>
      </c>
      <c r="AA35" s="426">
        <f t="shared" ca="1" si="2"/>
        <v>0.12533362064258066</v>
      </c>
      <c r="AB35" s="428">
        <f t="shared" ca="1" si="3"/>
        <v>3.8707914403808288E-3</v>
      </c>
      <c r="AC35" s="427">
        <f t="shared" ca="1" si="4"/>
        <v>-1.1382393230610784E-4</v>
      </c>
      <c r="AD35" s="79"/>
      <c r="AE35" s="496">
        <f t="shared" ca="1" si="5"/>
        <v>-4.4185433827980099E-3</v>
      </c>
      <c r="AF35" s="493">
        <f t="shared" ca="1" si="6"/>
        <v>2.3354236164209001E-3</v>
      </c>
      <c r="AG35" s="493">
        <f t="shared" ca="1" si="7"/>
        <v>0</v>
      </c>
      <c r="AH35" s="498">
        <f t="shared" ca="1" si="8"/>
        <v>0</v>
      </c>
      <c r="AI35" s="497">
        <f t="shared" ca="1" si="13"/>
        <v>-4.4185433827980099E-3</v>
      </c>
      <c r="AJ35" s="493">
        <f t="shared" ca="1" si="9"/>
        <v>0.28633733116719029</v>
      </c>
      <c r="AK35" s="493">
        <f t="shared" ca="1" si="10"/>
        <v>0</v>
      </c>
      <c r="AL35" s="498">
        <f t="shared" ca="1" si="11"/>
        <v>0</v>
      </c>
      <c r="AN35" s="532" t="str">
        <f t="shared" ca="1" si="0"/>
        <v>BSCH_MMR.EUR.SU</v>
      </c>
      <c r="AO35" s="524" cm="1">
        <f t="array" aca="1" ref="AO35" ca="1">IF(AN35&lt;&gt;"",TRANSPOSE(INDEX(GetCDS($C60,AO$13,$G60/10000,F60,D60,$C$13,$C$14,$C$15,$C$8,,,TRUE,TRUE,FALSE,$C$29:$C$31,$C$33),{5})),"")</f>
        <v>0.47819341987265901</v>
      </c>
      <c r="AP35" s="524" cm="1">
        <f t="array" aca="1" ref="AP35" ca="1">IF(AO35&lt;&gt;"",TRANSPOSE(INDEX(GetCDS($C60,AP$13,$G60/10000,G60,E60,$C$13,$C$14,$C$15,$C$8,,,TRUE,TRUE,FALSE,$C$29:$C$31,$C$33),{5})),"")</f>
        <v>0.96401566987023102</v>
      </c>
      <c r="AQ35" s="524" cm="1">
        <f t="array" aca="1" ref="AQ35" ca="1">IF(AP35&lt;&gt;"",TRANSPOSE(INDEX(GetCDS($C60,AQ$13,$G60/10000,H60,F60,$C$13,$C$14,$C$15,$C$8,,,TRUE,TRUE,FALSE,$C$29:$C$31,$C$33),{5})),"")</f>
        <v>2.7994173888099301</v>
      </c>
      <c r="AR35" s="524" cm="1">
        <f t="array" aca="1" ref="AR35" ca="1">IF(AQ35&lt;&gt;"",TRANSPOSE(INDEX(GetCDS($C60,AR$13,$G60/10000,I60,G60,$C$13,$C$14,$C$15,$C$8,,,TRUE,TRUE,FALSE,$C$29:$C$31,$C$33),{5})),"")</f>
        <v>4.4633086631488101</v>
      </c>
      <c r="AS35" s="525" cm="1">
        <f t="array" aca="1" ref="AS35" ca="1">IF(AR35&lt;&gt;"",TRANSPOSE(INDEX(GetCDS($C60,AS$13,$G60/10000,J60,H60,$C$13,$C$14,$C$15,$C$8,,,TRUE,TRUE,FALSE,$C$29:$C$31,$C$33),{5})),"")</f>
        <v>7.9221770753794702</v>
      </c>
    </row>
    <row r="36" spans="1:45" customFormat="1" ht="15.75" thickBot="1">
      <c r="A36" s="227"/>
      <c r="B36" s="272" t="s">
        <v>472</v>
      </c>
      <c r="C36" s="251"/>
      <c r="D36" s="228"/>
      <c r="E36" s="228"/>
      <c r="F36" s="228"/>
      <c r="G36" s="228"/>
      <c r="H36" s="386">
        <v>22</v>
      </c>
      <c r="I36" s="413">
        <f ca="1"/>
        <v>1.65499318696627E-4</v>
      </c>
      <c r="J36" s="413">
        <f ca="1"/>
        <v>4.7673682288622E-4</v>
      </c>
      <c r="K36" s="413">
        <f ca="1"/>
        <v>0.34715027401213699</v>
      </c>
      <c r="L36" s="413">
        <f ca="1"/>
        <v>0.34715027401213699</v>
      </c>
      <c r="M36" s="413">
        <f ca="1"/>
        <v>-1.8254072378121001E-4</v>
      </c>
      <c r="N36" s="452" t="str">
        <f ca="1"/>
        <v>BSCH_MMR.EUR.SU</v>
      </c>
      <c r="O36" s="413"/>
      <c r="P36" s="413"/>
      <c r="Q36" s="413"/>
      <c r="R36" s="452"/>
      <c r="S36" s="443"/>
      <c r="T36" s="422" cm="1">
        <f t="array" aca="1" ref="T36:X36" ca="1">IF(AND($U$12,B60&lt;=$C$17,C60&lt;&gt;""),TRANSPOSE(INDEX(GetCDS(C60,$C$6,G60/10000,F60,D60,$C$13,$C$14,$C$15,$C$8,,,TRUE,TRUE,FALSE,$C$29:$C$31,$C$33),{1;2;3;4;5})),"")</f>
        <v>-2.9242719784843999E-2</v>
      </c>
      <c r="U36" s="423">
        <f ca="1"/>
        <v>1.5390366846644099E-2</v>
      </c>
      <c r="V36" s="423">
        <f ca="1"/>
        <v>4.46330866314881E-2</v>
      </c>
      <c r="W36" s="424">
        <f ca="1"/>
        <v>3.4481968441291699E-3</v>
      </c>
      <c r="X36" s="425">
        <f ca="1"/>
        <v>4.4633086631488101</v>
      </c>
      <c r="Y36" s="426" t="e">
        <f t="shared" ca="1" si="12"/>
        <v>#VALUE!</v>
      </c>
      <c r="Z36" s="427" t="e">
        <f t="shared" ca="1" si="1"/>
        <v>#VALUE!</v>
      </c>
      <c r="AA36" s="426">
        <f t="shared" ca="1" si="2"/>
        <v>0.11669298605365834</v>
      </c>
      <c r="AB36" s="428">
        <f t="shared" ca="1" si="3"/>
        <v>3.2757870019227112E-3</v>
      </c>
      <c r="AC36" s="427">
        <f t="shared" ca="1" si="4"/>
        <v>-8.9797393189806486E-5</v>
      </c>
      <c r="AD36" s="79"/>
      <c r="AE36" s="496">
        <f t="shared" ca="1" si="5"/>
        <v>-3.50105638888001E-3</v>
      </c>
      <c r="AF36" s="493">
        <f t="shared" ca="1" si="6"/>
        <v>3.941008051958312E-3</v>
      </c>
      <c r="AG36" s="493">
        <f t="shared" ca="1" si="7"/>
        <v>0</v>
      </c>
      <c r="AH36" s="498">
        <f t="shared" ca="1" si="8"/>
        <v>0</v>
      </c>
      <c r="AI36" s="497">
        <f t="shared" ca="1" si="13"/>
        <v>-3.50105638888001E-3</v>
      </c>
      <c r="AJ36" s="493">
        <f t="shared" ca="1" si="9"/>
        <v>0.26767338545531377</v>
      </c>
      <c r="AK36" s="493">
        <f t="shared" ca="1" si="10"/>
        <v>0</v>
      </c>
      <c r="AL36" s="498">
        <f t="shared" ca="1" si="11"/>
        <v>0</v>
      </c>
      <c r="AN36" s="532" t="str">
        <f t="shared" ca="1" si="0"/>
        <v>CadburySchweppes_MMR.EUR.SU</v>
      </c>
      <c r="AO36" s="524" cm="1">
        <f t="array" aca="1" ref="AO36" ca="1">IF(AN36&lt;&gt;"",TRANSPOSE(INDEX(GetCDS($C61,AO$13,$G61/10000,F61,D61,$C$13,$C$14,$C$15,$C$8,,,TRUE,TRUE,FALSE,$C$29:$C$31,$C$33),{5})),"")</f>
        <v>0.47824737628841801</v>
      </c>
      <c r="AP36" s="524" cm="1">
        <f t="array" aca="1" ref="AP36" ca="1">IF(AO36&lt;&gt;"",TRANSPOSE(INDEX(GetCDS($C61,AP$13,$G61/10000,G61,E61,$C$13,$C$14,$C$15,$C$8,,,TRUE,TRUE,FALSE,$C$29:$C$31,$C$33),{5})),"")</f>
        <v>0.96426101768155803</v>
      </c>
      <c r="AQ36" s="524" cm="1">
        <f t="array" aca="1" ref="AQ36" ca="1">IF(AP36&lt;&gt;"",TRANSPOSE(INDEX(GetCDS($C61,AQ$13,$G61/10000,H61,F61,$C$13,$C$14,$C$15,$C$8,,,TRUE,TRUE,FALSE,$C$29:$C$31,$C$33),{5})),"")</f>
        <v>2.8030403670982502</v>
      </c>
      <c r="AR36" s="524" cm="1">
        <f t="array" aca="1" ref="AR36" ca="1">IF(AQ36&lt;&gt;"",TRANSPOSE(INDEX(GetCDS($C61,AR$13,$G61/10000,I61,G61,$C$13,$C$14,$C$15,$C$8,,,TRUE,TRUE,FALSE,$C$29:$C$31,$C$33),{5})),"")</f>
        <v>4.4665859102468497</v>
      </c>
      <c r="AS36" s="525" cm="1">
        <f t="array" aca="1" ref="AS36" ca="1">IF(AR36&lt;&gt;"",TRANSPOSE(INDEX(GetCDS($C61,AS$13,$G61/10000,J61,H61,$C$13,$C$14,$C$15,$C$8,,,TRUE,TRUE,FALSE,$C$29:$C$31,$C$33),{5})),"")</f>
        <v>7.8722586385297504</v>
      </c>
    </row>
    <row r="37" spans="1:45" customFormat="1" ht="15.75" thickBot="1">
      <c r="A37" s="227"/>
      <c r="B37" s="227"/>
      <c r="C37" s="228"/>
      <c r="D37" s="228"/>
      <c r="E37" s="228"/>
      <c r="F37" s="228"/>
      <c r="G37" s="228"/>
      <c r="H37" s="386">
        <v>23</v>
      </c>
      <c r="I37" s="413">
        <f ca="1"/>
        <v>1.69914090004775E-4</v>
      </c>
      <c r="J37" s="413">
        <f ca="1"/>
        <v>4.75769226979417E-4</v>
      </c>
      <c r="K37" s="413">
        <f ca="1"/>
        <v>0.357135519427207</v>
      </c>
      <c r="L37" s="413">
        <f ca="1"/>
        <v>0.357135519427207</v>
      </c>
      <c r="M37" s="413">
        <f ca="1"/>
        <v>-1.9695968199193699E-4</v>
      </c>
      <c r="N37" s="452" t="str">
        <f ca="1"/>
        <v>CADBURYSCHWEPPES_MMR.EUR.SU</v>
      </c>
      <c r="O37" s="413"/>
      <c r="P37" s="413"/>
      <c r="Q37" s="413"/>
      <c r="R37" s="452"/>
      <c r="S37" s="443"/>
      <c r="T37" s="422" cm="1">
        <f t="array" aca="1" ref="T37:X37" ca="1">IF(AND($U$12,B61&lt;=$C$17,C61&lt;&gt;""),TRANSPOSE(INDEX(GetCDS(C61,$C$6,G61/10000,F61,D61,$C$13,$C$14,$C$15,$C$8,,,TRUE,TRUE,FALSE,$C$29:$C$31,$C$33),{1;2;3;4;5})),"")</f>
        <v>-2.7866040523412301E-2</v>
      </c>
      <c r="U37" s="423">
        <f ca="1"/>
        <v>1.67998185790562E-2</v>
      </c>
      <c r="V37" s="423">
        <f ca="1"/>
        <v>4.4665859102468501E-2</v>
      </c>
      <c r="W37" s="424">
        <f ca="1"/>
        <v>3.7612214153354899E-3</v>
      </c>
      <c r="X37" s="425">
        <f ca="1"/>
        <v>4.4665859102468497</v>
      </c>
      <c r="Y37" s="426" t="e">
        <f t="shared" ca="1" si="12"/>
        <v>#VALUE!</v>
      </c>
      <c r="Z37" s="427" t="e">
        <f t="shared" ca="1" si="1"/>
        <v>#VALUE!</v>
      </c>
      <c r="AA37" s="426">
        <f t="shared" ca="1" si="2"/>
        <v>0.120041850999045</v>
      </c>
      <c r="AB37" s="428">
        <f t="shared" ca="1" si="3"/>
        <v>3.5731603445687153E-3</v>
      </c>
      <c r="AC37" s="427">
        <f t="shared" ca="1" si="4"/>
        <v>-1.0083406593390275E-4</v>
      </c>
      <c r="AD37" s="79"/>
      <c r="AE37" s="496">
        <f t="shared" ca="1" si="5"/>
        <v>-3.8333737591519901E-3</v>
      </c>
      <c r="AF37" s="493">
        <f t="shared" ca="1" si="6"/>
        <v>3.2704620074134189E-3</v>
      </c>
      <c r="AG37" s="493">
        <f t="shared" ca="1" si="7"/>
        <v>0</v>
      </c>
      <c r="AH37" s="498">
        <f t="shared" ca="1" si="8"/>
        <v>0</v>
      </c>
      <c r="AI37" s="497">
        <f t="shared" ca="1" si="13"/>
        <v>-3.8333737591519901E-3</v>
      </c>
      <c r="AJ37" s="493">
        <f t="shared" ca="1" si="9"/>
        <v>0.27481814970125834</v>
      </c>
      <c r="AK37" s="493">
        <f t="shared" ca="1" si="10"/>
        <v>0</v>
      </c>
      <c r="AL37" s="498">
        <f t="shared" ca="1" si="11"/>
        <v>0</v>
      </c>
      <c r="AN37" s="532" t="str">
        <f t="shared" ca="1" si="0"/>
        <v>Capitalia_MMR.EUR.SU</v>
      </c>
      <c r="AO37" s="524" cm="1">
        <f t="array" aca="1" ref="AO37" ca="1">IF(AN37&lt;&gt;"",TRANSPOSE(INDEX(GetCDS($C62,AO$13,$G62/10000,F62,D62,$C$13,$C$14,$C$15,$C$8,,,TRUE,TRUE,FALSE,$C$29:$C$31,$C$33),{5})),"")</f>
        <v>0.47812213283710298</v>
      </c>
      <c r="AP37" s="524" cm="1">
        <f t="array" aca="1" ref="AP37" ca="1">IF(AO37&lt;&gt;"",TRANSPOSE(INDEX(GetCDS($C62,AP$13,$G62/10000,G62,E62,$C$13,$C$14,$C$15,$C$8,,,TRUE,TRUE,FALSE,$C$29:$C$31,$C$33),{5})),"")</f>
        <v>0.963714909796479</v>
      </c>
      <c r="AQ37" s="524" cm="1">
        <f t="array" aca="1" ref="AQ37" ca="1">IF(AP37&lt;&gt;"",TRANSPOSE(INDEX(GetCDS($C62,AQ$13,$G62/10000,H62,F62,$C$13,$C$14,$C$15,$C$8,,,TRUE,TRUE,FALSE,$C$29:$C$31,$C$33),{5})),"")</f>
        <v>2.7957418331250801</v>
      </c>
      <c r="AR37" s="524" cm="1">
        <f t="array" aca="1" ref="AR37" ca="1">IF(AQ37&lt;&gt;"",TRANSPOSE(INDEX(GetCDS($C62,AR$13,$G62/10000,I62,G62,$C$13,$C$14,$C$15,$C$8,,,TRUE,TRUE,FALSE,$C$29:$C$31,$C$33),{5})),"")</f>
        <v>4.44767117841121</v>
      </c>
      <c r="AS37" s="525" cm="1">
        <f t="array" aca="1" ref="AS37" ca="1">IF(AR37&lt;&gt;"",TRANSPOSE(INDEX(GetCDS($C62,AS$13,$G62/10000,J62,H62,$C$13,$C$14,$C$15,$C$8,,,TRUE,TRUE,FALSE,$C$29:$C$31,$C$33),{5})),"")</f>
        <v>7.8383607978064598</v>
      </c>
    </row>
    <row r="38" spans="1:45" customFormat="1" ht="15.75" thickBot="1">
      <c r="A38" s="227"/>
      <c r="B38" s="274" t="s">
        <v>460</v>
      </c>
      <c r="C38" s="252" t="s">
        <v>80</v>
      </c>
      <c r="D38" s="252" t="s">
        <v>473</v>
      </c>
      <c r="E38" s="252" t="s">
        <v>474</v>
      </c>
      <c r="F38" s="252" t="s">
        <v>85</v>
      </c>
      <c r="G38" s="252" t="s">
        <v>434</v>
      </c>
      <c r="H38" s="386">
        <v>24</v>
      </c>
      <c r="I38" s="413">
        <f ca="1"/>
        <v>1.8924625509131299E-4</v>
      </c>
      <c r="J38" s="413">
        <f ca="1"/>
        <v>4.7117573124713202E-4</v>
      </c>
      <c r="K38" s="413">
        <f ca="1"/>
        <v>0.40164686451572201</v>
      </c>
      <c r="L38" s="413">
        <f ca="1"/>
        <v>0.40164686451572201</v>
      </c>
      <c r="M38" s="413">
        <f ca="1"/>
        <v>-2.5417429589591402E-4</v>
      </c>
      <c r="N38" s="452" t="str">
        <f ca="1"/>
        <v>CAPITALIA_MMR.EUR.SU</v>
      </c>
      <c r="O38" s="413"/>
      <c r="P38" s="413"/>
      <c r="Q38" s="413"/>
      <c r="R38" s="452"/>
      <c r="S38" s="443"/>
      <c r="T38" s="422" cm="1">
        <f t="array" aca="1" ref="T38:X38" ca="1">IF(AND($U$12,B62&lt;=$C$17,C62&lt;&gt;""),TRANSPOSE(INDEX(GetCDS(C62,$C$6,G62/10000,F62,D62,$C$13,$C$14,$C$15,$C$8,,,TRUE,TRUE,FALSE,$C$29:$C$31,$C$33),{1;2;3;4;5})),"")</f>
        <v>-2.3104949882543101E-2</v>
      </c>
      <c r="U38" s="423">
        <f ca="1"/>
        <v>2.1371761901569E-2</v>
      </c>
      <c r="V38" s="423">
        <f ca="1"/>
        <v>4.4476711784112097E-2</v>
      </c>
      <c r="W38" s="424">
        <f ca="1"/>
        <v>4.80515781052038E-3</v>
      </c>
      <c r="X38" s="425">
        <f ca="1"/>
        <v>4.44767117841121</v>
      </c>
      <c r="Y38" s="426" t="e">
        <f t="shared" ca="1" si="12"/>
        <v>#VALUE!</v>
      </c>
      <c r="Z38" s="427" t="e">
        <f t="shared" ca="1" si="1"/>
        <v>#VALUE!</v>
      </c>
      <c r="AA38" s="426">
        <f t="shared" ca="1" si="2"/>
        <v>0.13491679638454901</v>
      </c>
      <c r="AB38" s="428">
        <f t="shared" ca="1" si="3"/>
        <v>4.5648999199943609E-3</v>
      </c>
      <c r="AC38" s="427">
        <f t="shared" ca="1" si="4"/>
        <v>-1.4417048244265242E-4</v>
      </c>
      <c r="AD38" s="79"/>
      <c r="AE38" s="496">
        <f t="shared" ca="1" si="5"/>
        <v>-5.6481853865120203E-3</v>
      </c>
      <c r="AF38" s="493">
        <f t="shared" ca="1" si="6"/>
        <v>2.9685328026472085E-4</v>
      </c>
      <c r="AG38" s="493">
        <f t="shared" ca="1" si="7"/>
        <v>0</v>
      </c>
      <c r="AH38" s="498">
        <f t="shared" ca="1" si="8"/>
        <v>0</v>
      </c>
      <c r="AI38" s="497">
        <f t="shared" ca="1" si="13"/>
        <v>-5.6481853865120203E-3</v>
      </c>
      <c r="AJ38" s="493">
        <f t="shared" ca="1" si="9"/>
        <v>0.30701138585742727</v>
      </c>
      <c r="AK38" s="493">
        <f t="shared" ca="1" si="10"/>
        <v>0</v>
      </c>
      <c r="AL38" s="498">
        <f t="shared" ca="1" si="11"/>
        <v>0</v>
      </c>
      <c r="AN38" s="532" t="str">
        <f t="shared" ca="1" si="0"/>
        <v>Carrefour_MMR.EUR.SU</v>
      </c>
      <c r="AO38" s="524" cm="1">
        <f t="array" aca="1" ref="AO38" ca="1">IF(AN38&lt;&gt;"",TRANSPOSE(INDEX(GetCDS($C63,AO$13,$G63/10000,F63,D63,$C$13,$C$14,$C$15,$C$8,,,TRUE,TRUE,FALSE,$C$29:$C$31,$C$33),{5})),"")</f>
        <v>0.47824737628841801</v>
      </c>
      <c r="AP38" s="524" cm="1">
        <f t="array" aca="1" ref="AP38" ca="1">IF(AO38&lt;&gt;"",TRANSPOSE(INDEX(GetCDS($C63,AP$13,$G63/10000,G63,E63,$C$13,$C$14,$C$15,$C$8,,,TRUE,TRUE,FALSE,$C$29:$C$31,$C$33),{5})),"")</f>
        <v>0.96428679621857905</v>
      </c>
      <c r="AQ38" s="524" cm="1">
        <f t="array" aca="1" ref="AQ38" ca="1">IF(AP38&lt;&gt;"",TRANSPOSE(INDEX(GetCDS($C63,AQ$13,$G63/10000,H63,F63,$C$13,$C$14,$C$15,$C$8,,,TRUE,TRUE,FALSE,$C$29:$C$31,$C$33),{5})),"")</f>
        <v>2.8061407529342199</v>
      </c>
      <c r="AR38" s="524" cm="1">
        <f t="array" aca="1" ref="AR38" ca="1">IF(AQ38&lt;&gt;"",TRANSPOSE(INDEX(GetCDS($C63,AR$13,$G63/10000,I63,G63,$C$13,$C$14,$C$15,$C$8,,,TRUE,TRUE,FALSE,$C$29:$C$31,$C$33),{5})),"")</f>
        <v>4.4817741657104397</v>
      </c>
      <c r="AS38" s="525" cm="1">
        <f t="array" aca="1" ref="AS38" ca="1">IF(AR38&lt;&gt;"",TRANSPOSE(INDEX(GetCDS($C63,AS$13,$G63/10000,J63,H63,$C$13,$C$14,$C$15,$C$8,,,TRUE,TRUE,FALSE,$C$29:$C$31,$C$33),{5})),"")</f>
        <v>7.9674535145768397</v>
      </c>
    </row>
    <row r="39" spans="1:45" customFormat="1" ht="15">
      <c r="A39" s="227"/>
      <c r="B39" s="275">
        <v>1</v>
      </c>
      <c r="C39" s="479" t="s">
        <v>86</v>
      </c>
      <c r="D39" s="253">
        <v>1</v>
      </c>
      <c r="E39" s="247"/>
      <c r="F39" s="232">
        <v>0.4</v>
      </c>
      <c r="G39" s="435">
        <v>100</v>
      </c>
      <c r="H39" s="386">
        <v>25</v>
      </c>
      <c r="I39" s="413">
        <f ca="1"/>
        <v>1.4020733880140099E-4</v>
      </c>
      <c r="J39" s="413">
        <f ca="1"/>
        <v>4.8110298367913702E-4</v>
      </c>
      <c r="K39" s="413">
        <f ca="1"/>
        <v>0.29142895296386201</v>
      </c>
      <c r="L39" s="413">
        <f ca="1"/>
        <v>0.29142895296386201</v>
      </c>
      <c r="M39" s="413">
        <f ca="1"/>
        <v>-1.2210368488865201E-4</v>
      </c>
      <c r="N39" s="452" t="str">
        <f ca="1"/>
        <v>CARREFOUR_MMR.EUR.SU</v>
      </c>
      <c r="O39" s="413"/>
      <c r="P39" s="413"/>
      <c r="Q39" s="413"/>
      <c r="R39" s="452"/>
      <c r="S39" s="443"/>
      <c r="T39" s="422" cm="1">
        <f t="array" aca="1" ref="T39:X39" ca="1">IF(AND($U$12,B63&lt;=$C$17,C63&lt;&gt;""),TRANSPOSE(INDEX(GetCDS(C63,$C$6,G63/10000,F63,D63,$C$13,$C$14,$C$15,$C$8,,,TRUE,TRUE,FALSE,$C$29:$C$31,$C$33),{1;2;3;4;5})),"")</f>
        <v>-3.4044767761499298E-2</v>
      </c>
      <c r="U39" s="423">
        <f ca="1"/>
        <v>1.07729738956051E-2</v>
      </c>
      <c r="V39" s="423">
        <f ca="1"/>
        <v>4.48177416571044E-2</v>
      </c>
      <c r="W39" s="424">
        <f ca="1"/>
        <v>2.40372975015741E-3</v>
      </c>
      <c r="X39" s="425">
        <f ca="1"/>
        <v>4.4817741657104397</v>
      </c>
      <c r="Y39" s="426" t="e">
        <f t="shared" ca="1" si="12"/>
        <v>#VALUE!</v>
      </c>
      <c r="Z39" s="427" t="e">
        <f t="shared" ca="1" si="1"/>
        <v>#VALUE!</v>
      </c>
      <c r="AA39" s="426">
        <f t="shared" ca="1" si="2"/>
        <v>9.8048547629966676E-2</v>
      </c>
      <c r="AB39" s="428">
        <f t="shared" ca="1" si="3"/>
        <v>2.2835432626495396E-3</v>
      </c>
      <c r="AC39" s="427">
        <f t="shared" ca="1" si="4"/>
        <v>-5.2813722205981132E-5</v>
      </c>
      <c r="AD39" s="79"/>
      <c r="AE39" s="496">
        <f t="shared" ca="1" si="5"/>
        <v>-1.9775819235980101E-3</v>
      </c>
      <c r="AF39" s="493">
        <f t="shared" ca="1" si="6"/>
        <v>6.6194805181647026E-3</v>
      </c>
      <c r="AG39" s="493">
        <f t="shared" ca="1" si="7"/>
        <v>0</v>
      </c>
      <c r="AH39" s="498">
        <f t="shared" ca="1" si="8"/>
        <v>0</v>
      </c>
      <c r="AI39" s="497">
        <f t="shared" ca="1" si="13"/>
        <v>-1.9775819235980101E-3</v>
      </c>
      <c r="AJ39" s="493">
        <f t="shared" ca="1" si="9"/>
        <v>0.22708290666327136</v>
      </c>
      <c r="AK39" s="493">
        <f t="shared" ca="1" si="10"/>
        <v>0</v>
      </c>
      <c r="AL39" s="498">
        <f t="shared" ca="1" si="11"/>
        <v>0</v>
      </c>
      <c r="AN39" s="532" t="str">
        <f t="shared" ca="1" si="0"/>
        <v>CasinoGuichard_MMR.EUR.SU</v>
      </c>
      <c r="AO39" s="524" cm="1">
        <f t="array" aca="1" ref="AO39" ca="1">IF(AN39&lt;&gt;"",TRANSPOSE(INDEX(GetCDS($C64,AO$13,$G64/10000,F64,D64,$C$13,$C$14,$C$15,$C$8,,,TRUE,TRUE,FALSE,$C$29:$C$31,$C$33),{5})),"")</f>
        <v>0.47817029819245299</v>
      </c>
      <c r="AP39" s="524" cm="1">
        <f t="array" aca="1" ref="AP39" ca="1">IF(AO39&lt;&gt;"",TRANSPOSE(INDEX(GetCDS($C64,AP$13,$G64/10000,G64,E64,$C$13,$C$14,$C$15,$C$8,,,TRUE,TRUE,FALSE,$C$29:$C$31,$C$33),{5})),"")</f>
        <v>0.96382952658215004</v>
      </c>
      <c r="AQ39" s="524" cm="1">
        <f t="array" aca="1" ref="AQ39" ca="1">IF(AP39&lt;&gt;"",TRANSPOSE(INDEX(GetCDS($C64,AQ$13,$G64/10000,H64,F64,$C$13,$C$14,$C$15,$C$8,,,TRUE,TRUE,FALSE,$C$29:$C$31,$C$33),{5})),"")</f>
        <v>2.7922707717315398</v>
      </c>
      <c r="AR39" s="524" cm="1">
        <f t="array" aca="1" ref="AR39" ca="1">IF(AQ39&lt;&gt;"",TRANSPOSE(INDEX(GetCDS($C64,AR$13,$G64/10000,I64,G64,$C$13,$C$14,$C$15,$C$8,,,TRUE,TRUE,FALSE,$C$29:$C$31,$C$33),{5})),"")</f>
        <v>4.4258269916898403</v>
      </c>
      <c r="AS39" s="525" cm="1">
        <f t="array" aca="1" ref="AS39" ca="1">IF(AR39&lt;&gt;"",TRANSPOSE(INDEX(GetCDS($C64,AS$13,$G64/10000,J64,H64,$C$13,$C$14,$C$15,$C$8,,,TRUE,TRUE,FALSE,$C$29:$C$31,$C$33),{5})),"")</f>
        <v>7.6634749869179597</v>
      </c>
    </row>
    <row r="40" spans="1:45" customFormat="1" ht="15">
      <c r="A40" s="227"/>
      <c r="B40" s="276">
        <v>2</v>
      </c>
      <c r="C40" s="254" t="s">
        <v>88</v>
      </c>
      <c r="D40" s="255">
        <v>1</v>
      </c>
      <c r="E40" s="247"/>
      <c r="F40" s="232">
        <v>0.4</v>
      </c>
      <c r="G40" s="435">
        <v>100</v>
      </c>
      <c r="H40" s="386">
        <v>26</v>
      </c>
      <c r="I40" s="413">
        <f ca="1"/>
        <v>2.18098877794381E-4</v>
      </c>
      <c r="J40" s="413">
        <f ca="1"/>
        <v>4.6026419251818E-4</v>
      </c>
      <c r="K40" s="413">
        <f ca="1"/>
        <v>0.47385584483799797</v>
      </c>
      <c r="L40" s="413">
        <f ca="1"/>
        <v>0.47385584483799797</v>
      </c>
      <c r="M40" s="413">
        <f ca="1"/>
        <v>-3.62835622117208E-4</v>
      </c>
      <c r="N40" s="452" t="str">
        <f ca="1"/>
        <v>CASINOGUICHARD_MMR.EUR.SU</v>
      </c>
      <c r="O40" s="413"/>
      <c r="P40" s="413"/>
      <c r="Q40" s="413"/>
      <c r="R40" s="452"/>
      <c r="S40" s="443"/>
      <c r="T40" s="422" cm="1">
        <f t="array" aca="1" ref="T40:X40" ca="1">IF(AND($U$12,B64&lt;=$C$17,C64&lt;&gt;""),TRANSPOSE(INDEX(GetCDS(C64,$C$6,G64/10000,F64,D64,$C$13,$C$14,$C$15,$C$8,,,TRUE,TRUE,FALSE,$C$29:$C$31,$C$33),{1;2;3;4;5})),"")</f>
        <v>-1.28366575390918E-2</v>
      </c>
      <c r="U40" s="423">
        <f ca="1"/>
        <v>3.14216123778066E-2</v>
      </c>
      <c r="V40" s="423">
        <f ca="1"/>
        <v>4.42582699168984E-2</v>
      </c>
      <c r="W40" s="424">
        <f ca="1"/>
        <v>7.0996025006864099E-3</v>
      </c>
      <c r="X40" s="425">
        <f ca="1"/>
        <v>4.4258269916898403</v>
      </c>
      <c r="Y40" s="426" t="e">
        <f t="shared" ca="1" si="12"/>
        <v>#VALUE!</v>
      </c>
      <c r="Z40" s="427" t="e">
        <f t="shared" ca="1" si="1"/>
        <v>#VALUE!</v>
      </c>
      <c r="AA40" s="426">
        <f t="shared" ca="1" si="2"/>
        <v>0.15904039444412268</v>
      </c>
      <c r="AB40" s="428">
        <f t="shared" ca="1" si="3"/>
        <v>6.7446223756520889E-3</v>
      </c>
      <c r="AC40" s="427">
        <f t="shared" ca="1" si="4"/>
        <v>-2.4986528133183483E-4</v>
      </c>
      <c r="AD40" s="79"/>
      <c r="AE40" s="496">
        <f t="shared" ca="1" si="5"/>
        <v>-9.8254736107960001E-3</v>
      </c>
      <c r="AF40" s="493">
        <f t="shared" ca="1" si="6"/>
        <v>0</v>
      </c>
      <c r="AG40" s="493">
        <f t="shared" ca="1" si="7"/>
        <v>0</v>
      </c>
      <c r="AH40" s="498">
        <f t="shared" ca="1" si="8"/>
        <v>0</v>
      </c>
      <c r="AI40" s="497">
        <f t="shared" ca="1" si="13"/>
        <v>-9.8254736107960001E-3</v>
      </c>
      <c r="AJ40" s="493">
        <f t="shared" ca="1" si="9"/>
        <v>0.35860104801327142</v>
      </c>
      <c r="AK40" s="493">
        <f t="shared" ca="1" si="10"/>
        <v>0</v>
      </c>
      <c r="AL40" s="498">
        <f t="shared" ca="1" si="11"/>
        <v>0</v>
      </c>
      <c r="AN40" s="532" t="str">
        <f t="shared" ca="1" si="0"/>
        <v>Centrica_MMR.EUR.SU</v>
      </c>
      <c r="AO40" s="524" cm="1">
        <f t="array" aca="1" ref="AO40" ca="1">IF(AN40&lt;&gt;"",TRANSPOSE(INDEX(GetCDS($C65,AO$13,$G65/10000,F65,D65,$C$13,$C$14,$C$15,$C$8,,,TRUE,TRUE,FALSE,$C$29:$C$31,$C$33),{5})),"")</f>
        <v>0.47824737628841801</v>
      </c>
      <c r="AP40" s="524" cm="1">
        <f t="array" aca="1" ref="AP40" ca="1">IF(AO40&lt;&gt;"",TRANSPOSE(INDEX(GetCDS($C65,AP$13,$G65/10000,G65,E65,$C$13,$C$14,$C$15,$C$8,,,TRUE,TRUE,FALSE,$C$29:$C$31,$C$33),{5})),"")</f>
        <v>0.96429968448551195</v>
      </c>
      <c r="AQ40" s="524" cm="1">
        <f t="array" aca="1" ref="AQ40" ca="1">IF(AP40&lt;&gt;"",TRANSPOSE(INDEX(GetCDS($C65,AQ$13,$G65/10000,H65,F65,$C$13,$C$14,$C$15,$C$8,,,TRUE,TRUE,FALSE,$C$29:$C$31,$C$33),{5})),"")</f>
        <v>2.80594627312836</v>
      </c>
      <c r="AR40" s="524" cm="1">
        <f t="array" aca="1" ref="AR40" ca="1">IF(AQ40&lt;&gt;"",TRANSPOSE(INDEX(GetCDS($C65,AR$13,$G65/10000,I65,G65,$C$13,$C$14,$C$15,$C$8,,,TRUE,TRUE,FALSE,$C$29:$C$31,$C$33),{5})),"")</f>
        <v>4.4815865197385802</v>
      </c>
      <c r="AS40" s="525" cm="1">
        <f t="array" aca="1" ref="AS40" ca="1">IF(AR40&lt;&gt;"",TRANSPOSE(INDEX(GetCDS($C65,AS$13,$G65/10000,J65,H65,$C$13,$C$14,$C$15,$C$8,,,TRUE,TRUE,FALSE,$C$29:$C$31,$C$33),{5})),"")</f>
        <v>7.9785904450326104</v>
      </c>
    </row>
    <row r="41" spans="1:45" customFormat="1" ht="12.75" customHeight="1">
      <c r="A41" s="227"/>
      <c r="B41" s="276">
        <v>3</v>
      </c>
      <c r="C41" s="254" t="s">
        <v>89</v>
      </c>
      <c r="D41" s="255">
        <v>1</v>
      </c>
      <c r="E41" s="247"/>
      <c r="F41" s="232">
        <v>0.4</v>
      </c>
      <c r="G41" s="435">
        <v>100</v>
      </c>
      <c r="H41" s="386">
        <v>27</v>
      </c>
      <c r="I41" s="413">
        <f ca="1"/>
        <v>1.4025884836279601E-4</v>
      </c>
      <c r="J41" s="413">
        <f ca="1"/>
        <v>4.8108367046541701E-4</v>
      </c>
      <c r="K41" s="413">
        <f ca="1"/>
        <v>0.29154772230598602</v>
      </c>
      <c r="L41" s="413">
        <f ca="1"/>
        <v>0.29154772230598602</v>
      </c>
      <c r="M41" s="413">
        <f ca="1"/>
        <v>-1.2219783408351501E-4</v>
      </c>
      <c r="N41" s="452" t="str">
        <f ca="1"/>
        <v>CENTRICA_MMR.EUR.SU</v>
      </c>
      <c r="O41" s="413"/>
      <c r="P41" s="413"/>
      <c r="Q41" s="413"/>
      <c r="R41" s="452"/>
      <c r="S41" s="443"/>
      <c r="T41" s="422" cm="1">
        <f t="array" aca="1" ref="T41:X41" ca="1">IF(AND($U$12,B65&lt;=$C$17,C65&lt;&gt;""),TRANSPOSE(INDEX(GetCDS(C65,$C$6,G65/10000,F65,D65,$C$13,$C$14,$C$15,$C$8,,,TRUE,TRUE,FALSE,$C$29:$C$31,$C$33),{1;2;3;4;5})),"")</f>
        <v>-3.4043317906159803E-2</v>
      </c>
      <c r="U41" s="423">
        <f ca="1"/>
        <v>1.0772547291226E-2</v>
      </c>
      <c r="V41" s="423">
        <f ca="1"/>
        <v>4.4815865197385799E-2</v>
      </c>
      <c r="W41" s="424">
        <f ca="1"/>
        <v>2.4037352048832902E-3</v>
      </c>
      <c r="X41" s="425">
        <f ca="1"/>
        <v>4.4815865197385802</v>
      </c>
      <c r="Y41" s="426" t="e">
        <f t="shared" ca="1" si="12"/>
        <v>#VALUE!</v>
      </c>
      <c r="Z41" s="427" t="e">
        <f t="shared" ca="1" si="1"/>
        <v>#VALUE!</v>
      </c>
      <c r="AA41" s="426">
        <f t="shared" ca="1" si="2"/>
        <v>9.8088302490668008E-2</v>
      </c>
      <c r="AB41" s="428">
        <f t="shared" ca="1" si="3"/>
        <v>2.2835484446391257E-3</v>
      </c>
      <c r="AC41" s="427">
        <f t="shared" ca="1" si="4"/>
        <v>-5.2833043864840139E-5</v>
      </c>
      <c r="AD41" s="79"/>
      <c r="AE41" s="496">
        <f t="shared" ca="1" si="5"/>
        <v>-1.980415225871E-3</v>
      </c>
      <c r="AF41" s="493">
        <f t="shared" ca="1" si="6"/>
        <v>6.6164042764504036E-3</v>
      </c>
      <c r="AG41" s="493">
        <f t="shared" ca="1" si="7"/>
        <v>0</v>
      </c>
      <c r="AH41" s="498">
        <f t="shared" ca="1" si="8"/>
        <v>0</v>
      </c>
      <c r="AI41" s="497">
        <f t="shared" ca="1" si="13"/>
        <v>-1.980415225871E-3</v>
      </c>
      <c r="AJ41" s="493">
        <f t="shared" ca="1" si="9"/>
        <v>0.22717162120602949</v>
      </c>
      <c r="AK41" s="493">
        <f t="shared" ca="1" si="10"/>
        <v>0</v>
      </c>
      <c r="AL41" s="498">
        <f t="shared" ca="1" si="11"/>
        <v>0</v>
      </c>
      <c r="AN41" s="532" t="str">
        <f t="shared" ca="1" si="0"/>
        <v>Cibasc_MMR.EUR.SU</v>
      </c>
      <c r="AO41" s="524" cm="1">
        <f t="array" aca="1" ref="AO41" ca="1">IF(AN41&lt;&gt;"",TRANSPOSE(INDEX(GetCDS($C66,AO$13,$G66/10000,F66,D66,$C$13,$C$14,$C$15,$C$8,,,TRUE,TRUE,FALSE,$C$29:$C$31,$C$33),{5})),"")</f>
        <v>0.47815103127014702</v>
      </c>
      <c r="AP41" s="524" cm="1">
        <f t="array" aca="1" ref="AP41" ca="1">IF(AO41&lt;&gt;"",TRANSPOSE(INDEX(GetCDS($C66,AP$13,$G66/10000,G66,E66,$C$13,$C$14,$C$15,$C$8,,,TRUE,TRUE,FALSE,$C$29:$C$31,$C$33),{5})),"")</f>
        <v>0.96387955270233505</v>
      </c>
      <c r="AQ41" s="524" cm="1">
        <f t="array" aca="1" ref="AQ41" ca="1">IF(AP41&lt;&gt;"",TRANSPOSE(INDEX(GetCDS($C66,AQ$13,$G66/10000,H66,F66,$C$13,$C$14,$C$15,$C$8,,,TRUE,TRUE,FALSE,$C$29:$C$31,$C$33),{5})),"")</f>
        <v>2.7983740641996402</v>
      </c>
      <c r="AR41" s="524" cm="1">
        <f t="array" aca="1" ref="AR41" ca="1">IF(AQ41&lt;&gt;"",TRANSPOSE(INDEX(GetCDS($C66,AR$13,$G66/10000,I66,G66,$C$13,$C$14,$C$15,$C$8,,,TRUE,TRUE,FALSE,$C$29:$C$31,$C$33),{5})),"")</f>
        <v>4.4476987788950604</v>
      </c>
      <c r="AS41" s="525" cm="1">
        <f t="array" aca="1" ref="AS41" ca="1">IF(AR41&lt;&gt;"",TRANSPOSE(INDEX(GetCDS($C66,AS$13,$G66/10000,J66,H66,$C$13,$C$14,$C$15,$C$8,,,TRUE,TRUE,FALSE,$C$29:$C$31,$C$33),{5})),"")</f>
        <v>7.7746814587347099</v>
      </c>
    </row>
    <row r="42" spans="1:45" customFormat="1" ht="15">
      <c r="A42" s="227"/>
      <c r="B42" s="276">
        <v>4</v>
      </c>
      <c r="C42" s="254" t="s">
        <v>90</v>
      </c>
      <c r="D42" s="255">
        <v>1</v>
      </c>
      <c r="E42" s="247"/>
      <c r="F42" s="232">
        <v>0.4</v>
      </c>
      <c r="G42" s="435">
        <v>100</v>
      </c>
      <c r="H42" s="386">
        <v>28</v>
      </c>
      <c r="I42" s="413">
        <f ca="1"/>
        <v>1.95910618037787E-4</v>
      </c>
      <c r="J42" s="413">
        <f ca="1"/>
        <v>4.6894274439771401E-4</v>
      </c>
      <c r="K42" s="413">
        <f ca="1"/>
        <v>0.417770869425445</v>
      </c>
      <c r="L42" s="413">
        <f ca="1"/>
        <v>0.417770869425445</v>
      </c>
      <c r="M42" s="413">
        <f ca="1"/>
        <v>-2.78645349379247E-4</v>
      </c>
      <c r="N42" s="452" t="str">
        <f ca="1"/>
        <v>CIBASC_MMR.EUR.SU</v>
      </c>
      <c r="O42" s="413"/>
      <c r="P42" s="413"/>
      <c r="Q42" s="413"/>
      <c r="R42" s="452"/>
      <c r="S42" s="443"/>
      <c r="T42" s="422" cm="1">
        <f t="array" aca="1" ref="T42:X42" ca="1">IF(AND($U$12,B66&lt;=$C$17,C66&lt;&gt;""),TRANSPOSE(INDEX(GetCDS(C66,$C$6,G66/10000,F66,D66,$C$13,$C$14,$C$15,$C$8,,,TRUE,TRUE,FALSE,$C$29:$C$31,$C$33),{1;2;3;4;5})),"")</f>
        <v>-2.0785764166959299E-2</v>
      </c>
      <c r="U42" s="423">
        <f ca="1"/>
        <v>2.36912236219913E-2</v>
      </c>
      <c r="V42" s="423">
        <f ca="1"/>
        <v>4.4476987788950602E-2</v>
      </c>
      <c r="W42" s="424">
        <f ca="1"/>
        <v>5.3266250255996203E-3</v>
      </c>
      <c r="X42" s="425">
        <f ca="1"/>
        <v>4.4476987788950604</v>
      </c>
      <c r="Y42" s="426" t="e">
        <f t="shared" ca="1" si="12"/>
        <v>#VALUE!</v>
      </c>
      <c r="Z42" s="427" t="e">
        <f t="shared" ca="1" si="1"/>
        <v>#VALUE!</v>
      </c>
      <c r="AA42" s="426">
        <f t="shared" ca="1" si="2"/>
        <v>0.14031090371532032</v>
      </c>
      <c r="AB42" s="428">
        <f t="shared" ca="1" si="3"/>
        <v>5.0602937743196392E-3</v>
      </c>
      <c r="AC42" s="427">
        <f t="shared" ca="1" si="4"/>
        <v>-1.6620684982616722E-4</v>
      </c>
      <c r="AD42" s="79"/>
      <c r="AE42" s="496">
        <f t="shared" ca="1" si="5"/>
        <v>-6.4330383782750002E-3</v>
      </c>
      <c r="AF42" s="493">
        <f t="shared" ca="1" si="6"/>
        <v>0</v>
      </c>
      <c r="AG42" s="493">
        <f t="shared" ca="1" si="7"/>
        <v>0</v>
      </c>
      <c r="AH42" s="498">
        <f t="shared" ca="1" si="8"/>
        <v>0</v>
      </c>
      <c r="AI42" s="497">
        <f t="shared" ca="1" si="13"/>
        <v>-6.4330383782750002E-3</v>
      </c>
      <c r="AJ42" s="493">
        <f t="shared" ca="1" si="9"/>
        <v>0.3185245931108236</v>
      </c>
      <c r="AK42" s="493">
        <f t="shared" ca="1" si="10"/>
        <v>0</v>
      </c>
      <c r="AL42" s="498">
        <f t="shared" ca="1" si="11"/>
        <v>0</v>
      </c>
      <c r="AN42" s="532" t="str">
        <f t="shared" ca="1" si="0"/>
        <v>Commerzbank_MMR.EUR.SU</v>
      </c>
      <c r="AO42" s="524" cm="1">
        <f t="array" aca="1" ref="AO42" ca="1">IF(AN42&lt;&gt;"",TRANSPOSE(INDEX(GetCDS($C67,AO$13,$G67/10000,F67,D67,$C$13,$C$14,$C$15,$C$8,,,TRUE,TRUE,FALSE,$C$29:$C$31,$C$33),{5})),"")</f>
        <v>0.47797575005658099</v>
      </c>
      <c r="AP42" s="524" cm="1">
        <f t="array" aca="1" ref="AP42" ca="1">IF(AO42&lt;&gt;"",TRANSPOSE(INDEX(GetCDS($C67,AP$13,$G67/10000,G67,E67,$C$13,$C$14,$C$15,$C$8,,,TRUE,TRUE,FALSE,$C$29:$C$31,$C$33),{5})),"")</f>
        <v>0.96316624232433901</v>
      </c>
      <c r="AQ42" s="524" cm="1">
        <f t="array" aca="1" ref="AQ42" ca="1">IF(AP42&lt;&gt;"",TRANSPOSE(INDEX(GetCDS($C67,AQ$13,$G67/10000,H67,F67,$C$13,$C$14,$C$15,$C$8,,,TRUE,TRUE,FALSE,$C$29:$C$31,$C$33),{5})),"")</f>
        <v>2.7943766178096499</v>
      </c>
      <c r="AR42" s="524" cm="1">
        <f t="array" aca="1" ref="AR42" ca="1">IF(AQ42&lt;&gt;"",TRANSPOSE(INDEX(GetCDS($C67,AR$13,$G67/10000,I67,G67,$C$13,$C$14,$C$15,$C$8,,,TRUE,TRUE,FALSE,$C$29:$C$31,$C$33),{5})),"")</f>
        <v>4.4483188597635701</v>
      </c>
      <c r="AS42" s="525" cm="1">
        <f t="array" aca="1" ref="AS42" ca="1">IF(AR42&lt;&gt;"",TRANSPOSE(INDEX(GetCDS($C67,AS$13,$G67/10000,J67,H67,$C$13,$C$14,$C$15,$C$8,,,TRUE,TRUE,FALSE,$C$29:$C$31,$C$33),{5})),"")</f>
        <v>7.8610632700846104</v>
      </c>
    </row>
    <row r="43" spans="1:45" customFormat="1" ht="15">
      <c r="A43" s="227"/>
      <c r="B43" s="276">
        <v>5</v>
      </c>
      <c r="C43" s="254" t="s">
        <v>93</v>
      </c>
      <c r="D43" s="255">
        <v>1</v>
      </c>
      <c r="E43" s="247"/>
      <c r="F43" s="232">
        <v>0.4</v>
      </c>
      <c r="G43" s="435">
        <v>100</v>
      </c>
      <c r="H43" s="386">
        <v>29</v>
      </c>
      <c r="I43" s="413">
        <f ca="1"/>
        <v>1.8471068001542099E-4</v>
      </c>
      <c r="J43" s="413">
        <f ca="1"/>
        <v>4.7237070003801899E-4</v>
      </c>
      <c r="K43" s="413">
        <f ca="1"/>
        <v>0.39102907949319099</v>
      </c>
      <c r="L43" s="413">
        <f ca="1"/>
        <v>0.39102907949319099</v>
      </c>
      <c r="M43" s="413">
        <f ca="1"/>
        <v>-2.3877907662843699E-4</v>
      </c>
      <c r="N43" s="452" t="str">
        <f ca="1"/>
        <v>COMMERZBANK_MMR.EUR.SU</v>
      </c>
      <c r="O43" s="413"/>
      <c r="P43" s="413"/>
      <c r="Q43" s="413"/>
      <c r="R43" s="452"/>
      <c r="S43" s="443"/>
      <c r="T43" s="422" cm="1">
        <f t="array" aca="1" ref="T43:X43" ca="1">IF(AND($U$12,B67&lt;=$C$17,C67&lt;&gt;""),TRANSPOSE(INDEX(GetCDS(C67,$C$6,G67/10000,F67,D67,$C$13,$C$14,$C$15,$C$8,,,TRUE,TRUE,FALSE,$C$29:$C$31,$C$33),{1;2;3;4;5})),"")</f>
        <v>-2.4500472720079099E-2</v>
      </c>
      <c r="U43" s="423">
        <f ca="1"/>
        <v>1.9982715877556598E-2</v>
      </c>
      <c r="V43" s="423">
        <f ca="1"/>
        <v>4.4483188597635698E-2</v>
      </c>
      <c r="W43" s="424">
        <f ca="1"/>
        <v>4.4921950308703098E-3</v>
      </c>
      <c r="X43" s="425">
        <f ca="1"/>
        <v>4.4483188597635701</v>
      </c>
      <c r="Y43" s="426" t="e">
        <f t="shared" ca="1" si="12"/>
        <v>#VALUE!</v>
      </c>
      <c r="Z43" s="427" t="e">
        <f t="shared" ca="1" si="1"/>
        <v>#VALUE!</v>
      </c>
      <c r="AA43" s="426">
        <f t="shared" ca="1" si="2"/>
        <v>0.13136365050805868</v>
      </c>
      <c r="AB43" s="428">
        <f t="shared" ca="1" si="3"/>
        <v>4.2675852793267943E-3</v>
      </c>
      <c r="AC43" s="427">
        <f t="shared" ca="1" si="4"/>
        <v>-1.31250125237059E-4</v>
      </c>
      <c r="AD43" s="79"/>
      <c r="AE43" s="496">
        <f t="shared" ca="1" si="5"/>
        <v>-5.1979678101660197E-3</v>
      </c>
      <c r="AF43" s="493">
        <f t="shared" ca="1" si="6"/>
        <v>1.0915823786368552E-3</v>
      </c>
      <c r="AG43" s="493">
        <f t="shared" ca="1" si="7"/>
        <v>0</v>
      </c>
      <c r="AH43" s="498">
        <f t="shared" ca="1" si="8"/>
        <v>0</v>
      </c>
      <c r="AI43" s="497">
        <f t="shared" ca="1" si="13"/>
        <v>-5.1979678101660197E-3</v>
      </c>
      <c r="AJ43" s="493">
        <f t="shared" ca="1" si="9"/>
        <v>0.299396927799913</v>
      </c>
      <c r="AK43" s="493">
        <f t="shared" ca="1" si="10"/>
        <v>0</v>
      </c>
      <c r="AL43" s="498">
        <f t="shared" ca="1" si="11"/>
        <v>0</v>
      </c>
      <c r="AN43" s="532" t="str">
        <f t="shared" ca="1" si="0"/>
        <v>Compass_MMR.EUR.SU</v>
      </c>
      <c r="AO43" s="524" cm="1">
        <f t="array" aca="1" ref="AO43" ca="1">IF(AN43&lt;&gt;"",TRANSPOSE(INDEX(GetCDS($C68,AO$13,$G68/10000,F68,D68,$C$13,$C$14,$C$15,$C$8,,,TRUE,TRUE,FALSE,$C$29:$C$31,$C$33),{5})),"")</f>
        <v>0.478266648415127</v>
      </c>
      <c r="AP43" s="524" cm="1">
        <f t="array" aca="1" ref="AP43" ca="1">IF(AO43&lt;&gt;"",TRANSPOSE(INDEX(GetCDS($C68,AP$13,$G68/10000,G68,E68,$C$13,$C$14,$C$15,$C$8,,,TRUE,TRUE,FALSE,$C$29:$C$31,$C$33),{5})),"")</f>
        <v>0.964352804088487</v>
      </c>
      <c r="AQ43" s="524" cm="1">
        <f t="array" aca="1" ref="AQ43" ca="1">IF(AP43&lt;&gt;"",TRANSPOSE(INDEX(GetCDS($C68,AQ$13,$G68/10000,H68,F68,$C$13,$C$14,$C$15,$C$8,,,TRUE,TRUE,FALSE,$C$29:$C$31,$C$33),{5})),"")</f>
        <v>2.80544442365998</v>
      </c>
      <c r="AR43" s="524" cm="1">
        <f t="array" aca="1" ref="AR43" ca="1">IF(AQ43&lt;&gt;"",TRANSPOSE(INDEX(GetCDS($C68,AR$13,$G68/10000,I68,G68,$C$13,$C$14,$C$15,$C$8,,,TRUE,TRUE,FALSE,$C$29:$C$31,$C$33),{5})),"")</f>
        <v>4.4764307516262196</v>
      </c>
      <c r="AS43" s="525" cm="1">
        <f t="array" aca="1" ref="AS43" ca="1">IF(AR43&lt;&gt;"",TRANSPOSE(INDEX(GetCDS($C68,AS$13,$G68/10000,J68,H68,$C$13,$C$14,$C$15,$C$8,,,TRUE,TRUE,FALSE,$C$29:$C$31,$C$33),{5})),"")</f>
        <v>7.9318440791795899</v>
      </c>
    </row>
    <row r="44" spans="1:45" customFormat="1" ht="15">
      <c r="A44" s="227"/>
      <c r="B44" s="276">
        <v>6</v>
      </c>
      <c r="C44" s="254" t="s">
        <v>94</v>
      </c>
      <c r="D44" s="255">
        <v>1</v>
      </c>
      <c r="E44" s="247"/>
      <c r="F44" s="232">
        <v>0.4</v>
      </c>
      <c r="G44" s="435">
        <v>100</v>
      </c>
      <c r="H44" s="386">
        <v>30</v>
      </c>
      <c r="I44" s="413">
        <f ca="1"/>
        <v>1.5247732231276099E-4</v>
      </c>
      <c r="J44" s="413">
        <f ca="1"/>
        <v>4.7915532658406799E-4</v>
      </c>
      <c r="K44" s="413">
        <f ca="1"/>
        <v>0.31822107332038302</v>
      </c>
      <c r="L44" s="413">
        <f ca="1"/>
        <v>0.31822107332038302</v>
      </c>
      <c r="M44" s="413">
        <f ca="1"/>
        <v>-1.5100879040967901E-4</v>
      </c>
      <c r="N44" s="452" t="str">
        <f ca="1"/>
        <v>COMPASS_MMR.EUR.SU</v>
      </c>
      <c r="O44" s="413"/>
      <c r="P44" s="413"/>
      <c r="Q44" s="413"/>
      <c r="R44" s="452"/>
      <c r="S44" s="443"/>
      <c r="T44" s="422" cm="1">
        <f t="array" aca="1" ref="T44:X44" ca="1">IF(AND($U$12,B68&lt;=$C$17,C68&lt;&gt;""),TRANSPOSE(INDEX(GetCDS(C68,$C$6,G68/10000,F68,D68,$C$13,$C$14,$C$15,$C$8,,,TRUE,TRUE,FALSE,$C$29:$C$31,$C$33),{1;2;3;4;5})),"")</f>
        <v>-3.1666622507528601E-2</v>
      </c>
      <c r="U44" s="423">
        <f ca="1"/>
        <v>1.30976850087336E-2</v>
      </c>
      <c r="V44" s="423">
        <f ca="1"/>
        <v>4.4764307516262203E-2</v>
      </c>
      <c r="W44" s="424">
        <f ca="1"/>
        <v>2.925921506543E-3</v>
      </c>
      <c r="X44" s="425">
        <f ca="1"/>
        <v>4.4764307516262196</v>
      </c>
      <c r="Y44" s="426" t="e">
        <f t="shared" ca="1" si="12"/>
        <v>#VALUE!</v>
      </c>
      <c r="Z44" s="427" t="e">
        <f t="shared" ca="1" si="1"/>
        <v>#VALUE!</v>
      </c>
      <c r="AA44" s="426">
        <f t="shared" ca="1" si="2"/>
        <v>0.10702136434729832</v>
      </c>
      <c r="AB44" s="428">
        <f t="shared" ca="1" si="3"/>
        <v>2.7796254312158499E-3</v>
      </c>
      <c r="AC44" s="427">
        <f t="shared" ca="1" si="4"/>
        <v>-7.008660597129134E-5</v>
      </c>
      <c r="AD44" s="79"/>
      <c r="AE44" s="496">
        <f t="shared" ca="1" si="5"/>
        <v>-2.6332655262049898E-3</v>
      </c>
      <c r="AF44" s="493">
        <f t="shared" ca="1" si="6"/>
        <v>5.3900680922650893E-3</v>
      </c>
      <c r="AG44" s="493">
        <f t="shared" ca="1" si="7"/>
        <v>0</v>
      </c>
      <c r="AH44" s="498">
        <f t="shared" ca="1" si="8"/>
        <v>0</v>
      </c>
      <c r="AI44" s="497">
        <f t="shared" ca="1" si="13"/>
        <v>-2.6332655262049898E-3</v>
      </c>
      <c r="AJ44" s="493">
        <f t="shared" ca="1" si="9"/>
        <v>0.24658246061716943</v>
      </c>
      <c r="AK44" s="493">
        <f t="shared" ca="1" si="10"/>
        <v>0</v>
      </c>
      <c r="AL44" s="498">
        <f t="shared" ca="1" si="11"/>
        <v>0</v>
      </c>
      <c r="AN44" s="532" t="str">
        <f t="shared" ca="1" si="0"/>
        <v>Continental_MMR.EUR.SU</v>
      </c>
      <c r="AO44" s="524" cm="1">
        <f t="array" aca="1" ref="AO44" ca="1">IF(AN44&lt;&gt;"",TRANSPOSE(INDEX(GetCDS($C69,AO$13,$G69/10000,F69,D69,$C$13,$C$14,$C$15,$C$8,,,TRUE,TRUE,FALSE,$C$29:$C$31,$C$33),{5})),"")</f>
        <v>0.47817029819245299</v>
      </c>
      <c r="AP44" s="524" cm="1">
        <f t="array" aca="1" ref="AP44" ca="1">IF(AO44&lt;&gt;"",TRANSPOSE(INDEX(GetCDS($C69,AP$13,$G69/10000,G69,E69,$C$13,$C$14,$C$15,$C$8,,,TRUE,TRUE,FALSE,$C$29:$C$31,$C$33),{5})),"")</f>
        <v>0.96388108653509197</v>
      </c>
      <c r="AQ44" s="524" cm="1">
        <f t="array" aca="1" ref="AQ44" ca="1">IF(AP44&lt;&gt;"",TRANSPOSE(INDEX(GetCDS($C69,AQ$13,$G69/10000,H69,F69,$C$13,$C$14,$C$15,$C$8,,,TRUE,TRUE,FALSE,$C$29:$C$31,$C$33),{5})),"")</f>
        <v>2.7927318535651602</v>
      </c>
      <c r="AR44" s="524" cm="1">
        <f t="array" aca="1" ref="AR44" ca="1">IF(AQ44&lt;&gt;"",TRANSPOSE(INDEX(GetCDS($C69,AR$13,$G69/10000,I69,G69,$C$13,$C$14,$C$15,$C$8,,,TRUE,TRUE,FALSE,$C$29:$C$31,$C$33),{5})),"")</f>
        <v>4.4337928033038096</v>
      </c>
      <c r="AS44" s="525" cm="1">
        <f t="array" aca="1" ref="AS44" ca="1">IF(AR44&lt;&gt;"",TRANSPOSE(INDEX(GetCDS($C69,AS$13,$G69/10000,J69,H69,$C$13,$C$14,$C$15,$C$8,,,TRUE,TRUE,FALSE,$C$29:$C$31,$C$33),{5})),"")</f>
        <v>7.7280850634259401</v>
      </c>
    </row>
    <row r="45" spans="1:45" customFormat="1" ht="15">
      <c r="A45" s="227"/>
      <c r="B45" s="276">
        <v>7</v>
      </c>
      <c r="C45" s="254" t="s">
        <v>95</v>
      </c>
      <c r="D45" s="255">
        <v>1</v>
      </c>
      <c r="E45" s="247"/>
      <c r="F45" s="232">
        <v>0.4</v>
      </c>
      <c r="G45" s="435">
        <v>100</v>
      </c>
      <c r="H45" s="386">
        <v>31</v>
      </c>
      <c r="I45" s="413">
        <f ca="1"/>
        <v>2.0765829886000201E-4</v>
      </c>
      <c r="J45" s="413">
        <f ca="1"/>
        <v>4.6492625718594799E-4</v>
      </c>
      <c r="K45" s="413">
        <f ca="1"/>
        <v>0.44664781919802099</v>
      </c>
      <c r="L45" s="413">
        <f ca="1"/>
        <v>0.44664781919802099</v>
      </c>
      <c r="M45" s="413">
        <f ca="1"/>
        <v>-3.2046207613070101E-4</v>
      </c>
      <c r="N45" s="452" t="str">
        <f ca="1"/>
        <v>CONTINENTAL_MMR.EUR.SU</v>
      </c>
      <c r="O45" s="413"/>
      <c r="P45" s="413"/>
      <c r="Q45" s="413"/>
      <c r="R45" s="452"/>
      <c r="S45" s="443"/>
      <c r="T45" s="422" cm="1">
        <f t="array" aca="1" ref="T45:X45" ca="1">IF(AND($U$12,B69&lt;=$C$17,C69&lt;&gt;""),TRANSPOSE(INDEX(GetCDS(C69,$C$6,G69/10000,F69,D69,$C$13,$C$14,$C$15,$C$8,,,TRUE,TRUE,FALSE,$C$29:$C$31,$C$33),{1;2;3;4;5})),"")</f>
        <v>-1.7019962024173E-2</v>
      </c>
      <c r="U45" s="423">
        <f ca="1"/>
        <v>2.7317966008865099E-2</v>
      </c>
      <c r="V45" s="423">
        <f ca="1"/>
        <v>4.4337928033038099E-2</v>
      </c>
      <c r="W45" s="424">
        <f ca="1"/>
        <v>6.16130866298247E-3</v>
      </c>
      <c r="X45" s="425">
        <f ca="1"/>
        <v>4.4337928033038096</v>
      </c>
      <c r="Y45" s="426" t="e">
        <f t="shared" ca="1" si="12"/>
        <v>#VALUE!</v>
      </c>
      <c r="Z45" s="427" t="e">
        <f t="shared" ca="1" si="1"/>
        <v>#VALUE!</v>
      </c>
      <c r="AA45" s="426">
        <f t="shared" ca="1" si="2"/>
        <v>0.14995399364771167</v>
      </c>
      <c r="AB45" s="428">
        <f t="shared" ca="1" si="3"/>
        <v>5.8532432298333461E-3</v>
      </c>
      <c r="AC45" s="427">
        <f t="shared" ca="1" si="4"/>
        <v>-2.0482190506808826E-4</v>
      </c>
      <c r="AD45" s="79"/>
      <c r="AE45" s="496">
        <f t="shared" ca="1" si="5"/>
        <v>-8.0487474244350099E-3</v>
      </c>
      <c r="AF45" s="493">
        <f t="shared" ca="1" si="6"/>
        <v>0</v>
      </c>
      <c r="AG45" s="493">
        <f t="shared" ca="1" si="7"/>
        <v>0</v>
      </c>
      <c r="AH45" s="498">
        <f t="shared" ca="1" si="8"/>
        <v>0</v>
      </c>
      <c r="AI45" s="497">
        <f t="shared" ca="1" si="13"/>
        <v>-8.0487474244350099E-3</v>
      </c>
      <c r="AJ45" s="493">
        <f t="shared" ca="1" si="9"/>
        <v>0.33924085490455902</v>
      </c>
      <c r="AK45" s="493">
        <f t="shared" ca="1" si="10"/>
        <v>0</v>
      </c>
      <c r="AL45" s="498">
        <f t="shared" ca="1" si="11"/>
        <v>0</v>
      </c>
      <c r="AN45" s="532" t="str">
        <f t="shared" ca="1" si="0"/>
        <v>CreditAgricole_MMR.EUR.SU</v>
      </c>
      <c r="AO45" s="524" cm="1">
        <f t="array" aca="1" ref="AO45" ca="1">IF(AN45&lt;&gt;"",TRANSPOSE(INDEX(GetCDS($C70,AO$13,$G70/10000,F70,D70,$C$13,$C$14,$C$15,$C$8,,,TRUE,TRUE,FALSE,$C$29:$C$31,$C$33),{5})),"")</f>
        <v>0.47828013952350201</v>
      </c>
      <c r="AP45" s="524" cm="1">
        <f t="array" aca="1" ref="AP45" ca="1">IF(AO45&lt;&gt;"",TRANSPOSE(INDEX(GetCDS($C70,AP$13,$G70/10000,G70,E70,$C$13,$C$14,$C$15,$C$8,,,TRUE,TRUE,FALSE,$C$29:$C$31,$C$33),{5})),"")</f>
        <v>0.96437193889733697</v>
      </c>
      <c r="AQ45" s="524" cm="1">
        <f t="array" aca="1" ref="AQ45" ca="1">IF(AP45&lt;&gt;"",TRANSPOSE(INDEX(GetCDS($C70,AQ$13,$G70/10000,H70,F70,$C$13,$C$14,$C$15,$C$8,,,TRUE,TRUE,FALSE,$C$29:$C$31,$C$33),{5})),"")</f>
        <v>2.8033190425892198</v>
      </c>
      <c r="AR45" s="524" cm="1">
        <f t="array" aca="1" ref="AR45" ca="1">IF(AQ45&lt;&gt;"",TRANSPOSE(INDEX(GetCDS($C70,AR$13,$G70/10000,I70,G70,$C$13,$C$14,$C$15,$C$8,,,TRUE,TRUE,FALSE,$C$29:$C$31,$C$33),{5})),"")</f>
        <v>4.4716637080574904</v>
      </c>
      <c r="AS45" s="525" cm="1">
        <f t="array" aca="1" ref="AS45" ca="1">IF(AR45&lt;&gt;"",TRANSPOSE(INDEX(GetCDS($C70,AS$13,$G70/10000,J70,H70,$C$13,$C$14,$C$15,$C$8,,,TRUE,TRUE,FALSE,$C$29:$C$31,$C$33),{5})),"")</f>
        <v>7.9400236963793596</v>
      </c>
    </row>
    <row r="46" spans="1:45" customFormat="1" ht="15">
      <c r="A46" s="227"/>
      <c r="B46" s="276">
        <v>8</v>
      </c>
      <c r="C46" s="254" t="s">
        <v>96</v>
      </c>
      <c r="D46" s="255">
        <v>1</v>
      </c>
      <c r="E46" s="247"/>
      <c r="F46" s="232">
        <v>0.4</v>
      </c>
      <c r="G46" s="435">
        <v>100</v>
      </c>
      <c r="H46" s="386">
        <v>32</v>
      </c>
      <c r="I46" s="413">
        <f ca="1"/>
        <v>1.5781296189125701E-4</v>
      </c>
      <c r="J46" s="413">
        <f ca="1"/>
        <v>4.7820723172581602E-4</v>
      </c>
      <c r="K46" s="413">
        <f ca="1"/>
        <v>0.33000956786396002</v>
      </c>
      <c r="L46" s="413">
        <f ca="1"/>
        <v>0.33000956786396002</v>
      </c>
      <c r="M46" s="413">
        <f ca="1"/>
        <v>-1.6360326540591999E-4</v>
      </c>
      <c r="N46" s="452" t="str">
        <f ca="1"/>
        <v>CREDITAGRICOLE_MMR.EUR.SU</v>
      </c>
      <c r="O46" s="413"/>
      <c r="P46" s="413"/>
      <c r="Q46" s="413"/>
      <c r="R46" s="452"/>
      <c r="S46" s="443"/>
      <c r="T46" s="422" cm="1">
        <f t="array" aca="1" ref="T46:X46" ca="1">IF(AND($U$12,B70&lt;=$C$17,C70&lt;&gt;""),TRANSPOSE(INDEX(GetCDS(C70,$C$6,G70/10000,F70,D70,$C$13,$C$14,$C$15,$C$8,,,TRUE,TRUE,FALSE,$C$29:$C$31,$C$33),{1;2;3;4;5})),"")</f>
        <v>-3.0698740415088601E-2</v>
      </c>
      <c r="U46" s="423">
        <f ca="1"/>
        <v>1.40178966654863E-2</v>
      </c>
      <c r="V46" s="423">
        <f ca="1"/>
        <v>4.4716637080574898E-2</v>
      </c>
      <c r="W46" s="424">
        <f ca="1"/>
        <v>3.1348280149572599E-3</v>
      </c>
      <c r="X46" s="425">
        <f ca="1"/>
        <v>4.4716637080574904</v>
      </c>
      <c r="Y46" s="426" t="e">
        <f t="shared" ca="1" si="12"/>
        <v>#VALUE!</v>
      </c>
      <c r="Z46" s="427" t="e">
        <f t="shared" ca="1" si="1"/>
        <v>#VALUE!</v>
      </c>
      <c r="AA46" s="426">
        <f t="shared" ca="1" si="2"/>
        <v>0.11096427251807633</v>
      </c>
      <c r="AB46" s="428">
        <f t="shared" ca="1" si="3"/>
        <v>2.9780866142093969E-3</v>
      </c>
      <c r="AC46" s="427">
        <f t="shared" ca="1" si="4"/>
        <v>-7.7774285285962677E-5</v>
      </c>
      <c r="AD46" s="79"/>
      <c r="AE46" s="496">
        <f t="shared" ca="1" si="5"/>
        <v>-2.96019558909E-3</v>
      </c>
      <c r="AF46" s="493">
        <f t="shared" ca="1" si="6"/>
        <v>4.8308907220403798E-3</v>
      </c>
      <c r="AG46" s="493">
        <f t="shared" ca="1" si="7"/>
        <v>0</v>
      </c>
      <c r="AH46" s="498">
        <f t="shared" ca="1" si="8"/>
        <v>0</v>
      </c>
      <c r="AI46" s="497">
        <f t="shared" ca="1" si="13"/>
        <v>-2.96019558909E-3</v>
      </c>
      <c r="AJ46" s="493">
        <f t="shared" ca="1" si="9"/>
        <v>0.25518186100174217</v>
      </c>
      <c r="AK46" s="493">
        <f t="shared" ca="1" si="10"/>
        <v>0</v>
      </c>
      <c r="AL46" s="498">
        <f t="shared" ca="1" si="11"/>
        <v>0</v>
      </c>
      <c r="AN46" s="532" t="str">
        <f t="shared" ca="1" si="0"/>
        <v>CreditSuisseGroup_MMR.EUR.SU</v>
      </c>
      <c r="AO46" s="524" cm="1">
        <f t="array" aca="1" ref="AO46" ca="1">IF(AN46&lt;&gt;"",TRANSPOSE(INDEX(GetCDS($C71,AO$13,$G71/10000,F71,D71,$C$13,$C$14,$C$15,$C$8,,,TRUE,TRUE,FALSE,$C$29:$C$31,$C$33),{5})),"")</f>
        <v>0.47818378565713698</v>
      </c>
      <c r="AP46" s="524" cm="1">
        <f t="array" aca="1" ref="AP46" ca="1">IF(AO46&lt;&gt;"",TRANSPOSE(INDEX(GetCDS($C71,AP$13,$G71/10000,G71,E71,$C$13,$C$14,$C$15,$C$8,,,TRUE,TRUE,FALSE,$C$29:$C$31,$C$33),{5})),"")</f>
        <v>0.96393241749715997</v>
      </c>
      <c r="AQ46" s="524" cm="1">
        <f t="array" aca="1" ref="AQ46" ca="1">IF(AP46&lt;&gt;"",TRANSPOSE(INDEX(GetCDS($C71,AQ$13,$G71/10000,H71,F71,$C$13,$C$14,$C$15,$C$8,,,TRUE,TRUE,FALSE,$C$29:$C$31,$C$33),{5})),"")</f>
        <v>2.7959108243037698</v>
      </c>
      <c r="AR46" s="524" cm="1">
        <f t="array" aca="1" ref="AR46" ca="1">IF(AQ46&lt;&gt;"",TRANSPOSE(INDEX(GetCDS($C71,AR$13,$G71/10000,I71,G71,$C$13,$C$14,$C$15,$C$8,,,TRUE,TRUE,FALSE,$C$29:$C$31,$C$33),{5})),"")</f>
        <v>4.4465766710701002</v>
      </c>
      <c r="AS46" s="525" cm="1">
        <f t="array" aca="1" ref="AS46" ca="1">IF(AR46&lt;&gt;"",TRANSPOSE(INDEX(GetCDS($C71,AS$13,$G71/10000,J71,H71,$C$13,$C$14,$C$15,$C$8,,,TRUE,TRUE,FALSE,$C$29:$C$31,$C$33),{5})),"")</f>
        <v>7.8337999828135203</v>
      </c>
    </row>
    <row r="47" spans="1:45" customFormat="1" ht="15">
      <c r="A47" s="227"/>
      <c r="B47" s="276">
        <v>9</v>
      </c>
      <c r="C47" s="254" t="s">
        <v>97</v>
      </c>
      <c r="D47" s="255">
        <v>1</v>
      </c>
      <c r="E47" s="247"/>
      <c r="F47" s="232">
        <v>0.4</v>
      </c>
      <c r="G47" s="435">
        <v>100</v>
      </c>
      <c r="H47" s="386">
        <v>33</v>
      </c>
      <c r="I47" s="413">
        <f ca="1"/>
        <v>1.9217565842100101E-4</v>
      </c>
      <c r="J47" s="413">
        <f ca="1"/>
        <v>4.70267600752545E-4</v>
      </c>
      <c r="K47" s="413">
        <f ca="1"/>
        <v>0.408651708332601</v>
      </c>
      <c r="L47" s="413">
        <f ca="1"/>
        <v>0.408651708332601</v>
      </c>
      <c r="M47" s="413">
        <f ca="1"/>
        <v>-2.6442162272037899E-4</v>
      </c>
      <c r="N47" s="452" t="str">
        <f ca="1"/>
        <v>CREDITSUISSEGROUP_MMR.EUR.SU</v>
      </c>
      <c r="O47" s="413"/>
      <c r="P47" s="413"/>
      <c r="Q47" s="413"/>
      <c r="R47" s="452"/>
      <c r="S47" s="443"/>
      <c r="T47" s="422" cm="1">
        <f t="array" aca="1" ref="T47:X47" ca="1">IF(AND($U$12,B71&lt;=$C$17,C71&lt;&gt;""),TRANSPOSE(INDEX(GetCDS(C71,$C$6,G71/10000,F71,D71,$C$13,$C$14,$C$15,$C$8,,,TRUE,TRUE,FALSE,$C$29:$C$31,$C$33),{1;2;3;4;5})),"")</f>
        <v>-2.2171466937295201E-2</v>
      </c>
      <c r="U47" s="423">
        <f ca="1"/>
        <v>2.2294299773405801E-2</v>
      </c>
      <c r="V47" s="423">
        <f ca="1"/>
        <v>4.4465766710701002E-2</v>
      </c>
      <c r="W47" s="424">
        <f ca="1"/>
        <v>5.0138120677092699E-3</v>
      </c>
      <c r="X47" s="425">
        <f ca="1"/>
        <v>4.4465766710701002</v>
      </c>
      <c r="Y47" s="426" t="e">
        <f t="shared" ca="1" si="12"/>
        <v>#VALUE!</v>
      </c>
      <c r="Z47" s="427" t="e">
        <f t="shared" ca="1" si="1"/>
        <v>#VALUE!</v>
      </c>
      <c r="AA47" s="426">
        <f t="shared" ca="1" si="2"/>
        <v>0.13725955788335134</v>
      </c>
      <c r="AB47" s="428">
        <f t="shared" ca="1" si="3"/>
        <v>4.7631214643238063E-3</v>
      </c>
      <c r="AC47" s="427">
        <f t="shared" ca="1" si="4"/>
        <v>-1.5300528651082893E-4</v>
      </c>
      <c r="AD47" s="79"/>
      <c r="AE47" s="496">
        <f t="shared" ca="1" si="5"/>
        <v>-5.9774157824830096E-3</v>
      </c>
      <c r="AF47" s="493">
        <f t="shared" ca="1" si="6"/>
        <v>0</v>
      </c>
      <c r="AG47" s="493">
        <f t="shared" ca="1" si="7"/>
        <v>0</v>
      </c>
      <c r="AH47" s="498">
        <f t="shared" ca="1" si="8"/>
        <v>0</v>
      </c>
      <c r="AI47" s="497">
        <f t="shared" ca="1" si="13"/>
        <v>-5.9774157824830096E-3</v>
      </c>
      <c r="AJ47" s="493">
        <f t="shared" ca="1" si="9"/>
        <v>0.31203164798377458</v>
      </c>
      <c r="AK47" s="493">
        <f t="shared" ca="1" si="10"/>
        <v>0</v>
      </c>
      <c r="AL47" s="498">
        <f t="shared" ca="1" si="11"/>
        <v>0</v>
      </c>
      <c r="AN47" s="532" t="str">
        <f t="shared" ca="1" si="0"/>
        <v>DaimlerChrysler_MMR.EUR.SU</v>
      </c>
      <c r="AO47" s="524" cm="1">
        <f t="array" aca="1" ref="AO47" ca="1">IF(AN47&lt;&gt;"",TRANSPOSE(INDEX(GetCDS($C72,AO$13,$G72/10000,F72,D72,$C$13,$C$14,$C$15,$C$8,,,TRUE,TRUE,FALSE,$C$29:$C$31,$C$33),{5})),"")</f>
        <v>0.478112500546098</v>
      </c>
      <c r="AP47" s="524" cm="1">
        <f t="array" aca="1" ref="AP47" ca="1">IF(AO47&lt;&gt;"",TRANSPOSE(INDEX(GetCDS($C72,AP$13,$G72/10000,G72,E72,$C$13,$C$14,$C$15,$C$8,,,TRUE,TRUE,FALSE,$C$29:$C$31,$C$33),{5})),"")</f>
        <v>0.96373475206735504</v>
      </c>
      <c r="AQ47" s="524" cm="1">
        <f t="array" aca="1" ref="AQ47" ca="1">IF(AP47&lt;&gt;"",TRANSPOSE(INDEX(GetCDS($C72,AQ$13,$G72/10000,H72,F72,$C$13,$C$14,$C$15,$C$8,,,TRUE,TRUE,FALSE,$C$29:$C$31,$C$33),{5})),"")</f>
        <v>2.8013385820493499</v>
      </c>
      <c r="AR47" s="524" cm="1">
        <f t="array" aca="1" ref="AR47" ca="1">IF(AQ47&lt;&gt;"",TRANSPOSE(INDEX(GetCDS($C72,AR$13,$G72/10000,I72,G72,$C$13,$C$14,$C$15,$C$8,,,TRUE,TRUE,FALSE,$C$29:$C$31,$C$33),{5})),"")</f>
        <v>4.4709545229106604</v>
      </c>
      <c r="AS47" s="525" cm="1">
        <f t="array" aca="1" ref="AS47" ca="1">IF(AR47&lt;&gt;"",TRANSPOSE(INDEX(GetCDS($C72,AS$13,$G72/10000,J72,H72,$C$13,$C$14,$C$15,$C$8,,,TRUE,TRUE,FALSE,$C$29:$C$31,$C$33),{5})),"")</f>
        <v>7.9400744439294204</v>
      </c>
    </row>
    <row r="48" spans="1:45" customFormat="1" ht="15">
      <c r="A48" s="227"/>
      <c r="B48" s="276">
        <v>10</v>
      </c>
      <c r="C48" s="254" t="s">
        <v>98</v>
      </c>
      <c r="D48" s="255">
        <v>1</v>
      </c>
      <c r="E48" s="247"/>
      <c r="F48" s="232">
        <v>0.4</v>
      </c>
      <c r="G48" s="435">
        <v>100</v>
      </c>
      <c r="H48" s="386">
        <v>34</v>
      </c>
      <c r="I48" s="413">
        <f ca="1"/>
        <v>1.5213997938552399E-4</v>
      </c>
      <c r="J48" s="413">
        <f ca="1"/>
        <v>4.79162296659418E-4</v>
      </c>
      <c r="K48" s="413">
        <f ca="1"/>
        <v>0.31751241791393098</v>
      </c>
      <c r="L48" s="413">
        <f ca="1"/>
        <v>0.31751241791393098</v>
      </c>
      <c r="M48" s="413">
        <f ca="1"/>
        <v>-1.47870208801315E-4</v>
      </c>
      <c r="N48" s="452" t="str">
        <f ca="1"/>
        <v>DAIMLERCHRYSLER_MMR.EUR.SU</v>
      </c>
      <c r="O48" s="413"/>
      <c r="P48" s="413"/>
      <c r="Q48" s="413"/>
      <c r="R48" s="452"/>
      <c r="S48" s="443"/>
      <c r="T48" s="422" cm="1">
        <f t="array" aca="1" ref="T48:X48" ca="1">IF(AND($U$12,B72&lt;=$C$17,C72&lt;&gt;""),TRANSPOSE(INDEX(GetCDS(C72,$C$6,G72/10000,F72,D72,$C$13,$C$14,$C$15,$C$8,,,TRUE,TRUE,FALSE,$C$29:$C$31,$C$33),{1;2;3;4;5})),"")</f>
        <v>-3.2094156123228697E-2</v>
      </c>
      <c r="U48" s="423">
        <f ca="1"/>
        <v>1.26153891058779E-2</v>
      </c>
      <c r="V48" s="423">
        <f ca="1"/>
        <v>4.4709545229106598E-2</v>
      </c>
      <c r="W48" s="424">
        <f ca="1"/>
        <v>2.82163216852966E-3</v>
      </c>
      <c r="X48" s="425">
        <f ca="1"/>
        <v>4.4709545229106604</v>
      </c>
      <c r="Y48" s="426" t="e">
        <f t="shared" ca="1" si="12"/>
        <v>#VALUE!</v>
      </c>
      <c r="Z48" s="427" t="e">
        <f t="shared" ca="1" si="1"/>
        <v>#VALUE!</v>
      </c>
      <c r="AA48" s="426">
        <f t="shared" ca="1" si="2"/>
        <v>0.10677286311666467</v>
      </c>
      <c r="AB48" s="428">
        <f t="shared" ca="1" si="3"/>
        <v>2.6805505601031768E-3</v>
      </c>
      <c r="AC48" s="427">
        <f t="shared" ca="1" si="4"/>
        <v>-6.7349060708268255E-5</v>
      </c>
      <c r="AD48" s="79"/>
      <c r="AE48" s="496">
        <f t="shared" ca="1" si="5"/>
        <v>-2.6275697568970101E-3</v>
      </c>
      <c r="AF48" s="493">
        <f t="shared" ca="1" si="6"/>
        <v>5.5037946979237459E-3</v>
      </c>
      <c r="AG48" s="493">
        <f t="shared" ca="1" si="7"/>
        <v>0</v>
      </c>
      <c r="AH48" s="498">
        <f t="shared" ca="1" si="8"/>
        <v>0</v>
      </c>
      <c r="AI48" s="497">
        <f t="shared" ca="1" si="13"/>
        <v>-2.6275697568970101E-3</v>
      </c>
      <c r="AJ48" s="493">
        <f t="shared" ca="1" si="9"/>
        <v>0.24615785246625541</v>
      </c>
      <c r="AK48" s="493">
        <f t="shared" ca="1" si="10"/>
        <v>0</v>
      </c>
      <c r="AL48" s="498">
        <f t="shared" ca="1" si="11"/>
        <v>0</v>
      </c>
      <c r="AN48" s="532" t="str">
        <f t="shared" ca="1" si="0"/>
        <v>Danone_MMR.EUR.SU</v>
      </c>
      <c r="AO48" s="524" cm="1">
        <f t="array" aca="1" ref="AO48" ca="1">IF(AN48&lt;&gt;"",TRANSPOSE(INDEX(GetCDS($C73,AO$13,$G73/10000,F73,D73,$C$13,$C$14,$C$15,$C$8,,,TRUE,TRUE,FALSE,$C$29:$C$31,$C$33),{5})),"")</f>
        <v>0.478266648415127</v>
      </c>
      <c r="AP48" s="524" cm="1">
        <f t="array" aca="1" ref="AP48" ca="1">IF(AO48&lt;&gt;"",TRANSPOSE(INDEX(GetCDS($C73,AP$13,$G73/10000,G73,E73,$C$13,$C$14,$C$15,$C$8,,,TRUE,TRUE,FALSE,$C$29:$C$31,$C$33),{5})),"")</f>
        <v>0.96432702189613195</v>
      </c>
      <c r="AQ48" s="524" cm="1">
        <f t="array" aca="1" ref="AQ48" ca="1">IF(AP48&lt;&gt;"",TRANSPOSE(INDEX(GetCDS($C73,AQ$13,$G73/10000,H73,F73,$C$13,$C$14,$C$15,$C$8,,,TRUE,TRUE,FALSE,$C$29:$C$31,$C$33),{5})),"")</f>
        <v>2.80463273944541</v>
      </c>
      <c r="AR48" s="524" cm="1">
        <f t="array" aca="1" ref="AR48" ca="1">IF(AQ48&lt;&gt;"",TRANSPOSE(INDEX(GetCDS($C73,AR$13,$G73/10000,I73,G73,$C$13,$C$14,$C$15,$C$8,,,TRUE,TRUE,FALSE,$C$29:$C$31,$C$33),{5})),"")</f>
        <v>4.4768378387954302</v>
      </c>
      <c r="AS48" s="525" cm="1">
        <f t="array" aca="1" ref="AS48" ca="1">IF(AR48&lt;&gt;"",TRANSPOSE(INDEX(GetCDS($C73,AS$13,$G73/10000,J73,H73,$C$13,$C$14,$C$15,$C$8,,,TRUE,TRUE,FALSE,$C$29:$C$31,$C$33),{5})),"")</f>
        <v>7.9424783313016096</v>
      </c>
    </row>
    <row r="49" spans="1:45" customFormat="1" ht="15">
      <c r="A49" s="227"/>
      <c r="B49" s="276">
        <v>11</v>
      </c>
      <c r="C49" s="254" t="s">
        <v>99</v>
      </c>
      <c r="D49" s="255">
        <v>1</v>
      </c>
      <c r="E49" s="247"/>
      <c r="F49" s="232">
        <v>0.4</v>
      </c>
      <c r="G49" s="435">
        <v>100</v>
      </c>
      <c r="H49" s="386">
        <v>35</v>
      </c>
      <c r="I49" s="413">
        <f ca="1"/>
        <v>1.5051077927545899E-4</v>
      </c>
      <c r="J49" s="413">
        <f ca="1"/>
        <v>4.79454593646634E-4</v>
      </c>
      <c r="K49" s="413">
        <f ca="1"/>
        <v>0.313920820177579</v>
      </c>
      <c r="L49" s="413">
        <f ca="1"/>
        <v>0.313920820177579</v>
      </c>
      <c r="M49" s="413">
        <f ca="1"/>
        <v>-1.45583245382075E-4</v>
      </c>
      <c r="N49" s="452" t="str">
        <f ca="1"/>
        <v>DANONE_MMR.EUR.SU</v>
      </c>
      <c r="O49" s="413"/>
      <c r="P49" s="413"/>
      <c r="Q49" s="413"/>
      <c r="R49" s="452"/>
      <c r="S49" s="443"/>
      <c r="T49" s="422" cm="1">
        <f t="array" aca="1" ref="T49:X49" ca="1">IF(AND($U$12,B73&lt;=$C$17,C73&lt;&gt;""),TRANSPOSE(INDEX(GetCDS(C73,$C$6,G73/10000,F73,D73,$C$13,$C$14,$C$15,$C$8,,,TRUE,TRUE,FALSE,$C$29:$C$31,$C$33),{1;2;3;4;5})),"")</f>
        <v>-3.2136873272327698E-2</v>
      </c>
      <c r="U49" s="423">
        <f ca="1"/>
        <v>1.26315051156266E-2</v>
      </c>
      <c r="V49" s="423">
        <f ca="1"/>
        <v>4.4768378387954298E-2</v>
      </c>
      <c r="W49" s="424">
        <f ca="1"/>
        <v>2.82152393507854E-3</v>
      </c>
      <c r="X49" s="425">
        <f ca="1"/>
        <v>4.4768378387954302</v>
      </c>
      <c r="Y49" s="426" t="e">
        <f t="shared" ca="1" si="12"/>
        <v>#VALUE!</v>
      </c>
      <c r="Z49" s="427" t="e">
        <f t="shared" ca="1" si="1"/>
        <v>#VALUE!</v>
      </c>
      <c r="AA49" s="426">
        <f t="shared" ca="1" si="2"/>
        <v>0.10557944589763267</v>
      </c>
      <c r="AB49" s="428">
        <f t="shared" ca="1" si="3"/>
        <v>2.6804477383246131E-3</v>
      </c>
      <c r="AC49" s="427">
        <f t="shared" ca="1" si="4"/>
        <v>-6.6681365548048341E-5</v>
      </c>
      <c r="AD49" s="79"/>
      <c r="AE49" s="496">
        <f t="shared" ca="1" si="5"/>
        <v>-2.5140072974869899E-3</v>
      </c>
      <c r="AF49" s="493">
        <f t="shared" ca="1" si="6"/>
        <v>5.6235079455781885E-3</v>
      </c>
      <c r="AG49" s="493">
        <f t="shared" ca="1" si="7"/>
        <v>0</v>
      </c>
      <c r="AH49" s="498">
        <f t="shared" ca="1" si="8"/>
        <v>0</v>
      </c>
      <c r="AI49" s="497">
        <f t="shared" ca="1" si="13"/>
        <v>-2.5140072974869899E-3</v>
      </c>
      <c r="AJ49" s="493">
        <f t="shared" ca="1" si="9"/>
        <v>0.24347483345126619</v>
      </c>
      <c r="AK49" s="493">
        <f t="shared" ca="1" si="10"/>
        <v>0</v>
      </c>
      <c r="AL49" s="498">
        <f t="shared" ca="1" si="11"/>
        <v>0</v>
      </c>
      <c r="AN49" s="532" t="str">
        <f t="shared" ca="1" si="0"/>
        <v>DeutscheBank_MMR.EUR.SU</v>
      </c>
      <c r="AO49" s="524" cm="1">
        <f t="array" aca="1" ref="AO49" ca="1">IF(AN49&lt;&gt;"",TRANSPOSE(INDEX(GetCDS($C74,AO$13,$G74/10000,F74,D74,$C$13,$C$14,$C$15,$C$8,,,TRUE,TRUE,FALSE,$C$29:$C$31,$C$33),{5})),"")</f>
        <v>0.477987304410108</v>
      </c>
      <c r="AP49" s="524" cm="1">
        <f t="array" aca="1" ref="AP49" ca="1">IF(AO49&lt;&gt;"",TRANSPOSE(INDEX(GetCDS($C74,AP$13,$G74/10000,G74,E74,$C$13,$C$14,$C$15,$C$8,,,TRUE,TRUE,FALSE,$C$29:$C$31,$C$33),{5})),"")</f>
        <v>0.96321994327807303</v>
      </c>
      <c r="AQ49" s="524" cm="1">
        <f t="array" aca="1" ref="AQ49" ca="1">IF(AP49&lt;&gt;"",TRANSPOSE(INDEX(GetCDS($C74,AQ$13,$G74/10000,H74,F74,$C$13,$C$14,$C$15,$C$8,,,TRUE,TRUE,FALSE,$C$29:$C$31,$C$33),{5})),"")</f>
        <v>2.7952174416961602</v>
      </c>
      <c r="AR49" s="524" cm="1">
        <f t="array" aca="1" ref="AR49" ca="1">IF(AQ49&lt;&gt;"",TRANSPOSE(INDEX(GetCDS($C74,AR$13,$G74/10000,I74,G74,$C$13,$C$14,$C$15,$C$8,,,TRUE,TRUE,FALSE,$C$29:$C$31,$C$33),{5})),"")</f>
        <v>4.4515207910230803</v>
      </c>
      <c r="AS49" s="525" cm="1">
        <f t="array" aca="1" ref="AS49" ca="1">IF(AR49&lt;&gt;"",TRANSPOSE(INDEX(GetCDS($C74,AS$13,$G74/10000,J74,H74,$C$13,$C$14,$C$15,$C$8,,,TRUE,TRUE,FALSE,$C$29:$C$31,$C$33),{5})),"")</f>
        <v>7.8700695747543996</v>
      </c>
    </row>
    <row r="50" spans="1:45" customFormat="1" ht="15">
      <c r="A50" s="227"/>
      <c r="B50" s="276">
        <v>12</v>
      </c>
      <c r="C50" s="254" t="s">
        <v>100</v>
      </c>
      <c r="D50" s="255">
        <v>1</v>
      </c>
      <c r="E50" s="247"/>
      <c r="F50" s="232">
        <v>0.4</v>
      </c>
      <c r="G50" s="435">
        <v>100</v>
      </c>
      <c r="H50" s="386">
        <v>36</v>
      </c>
      <c r="I50" s="413">
        <f ca="1"/>
        <v>1.81148504152895E-4</v>
      </c>
      <c r="J50" s="413">
        <f ca="1"/>
        <v>4.7321991217481998E-4</v>
      </c>
      <c r="K50" s="413">
        <f ca="1"/>
        <v>0.38279983469075601</v>
      </c>
      <c r="L50" s="413">
        <f ca="1"/>
        <v>0.38279983469075601</v>
      </c>
      <c r="M50" s="413">
        <f ca="1"/>
        <v>-2.2766590672727E-4</v>
      </c>
      <c r="N50" s="452" t="str">
        <f ca="1"/>
        <v>DEUTSCHEBANK_MMR.EUR.SU</v>
      </c>
      <c r="O50" s="413"/>
      <c r="P50" s="413"/>
      <c r="Q50" s="413"/>
      <c r="R50" s="452"/>
      <c r="S50" s="443"/>
      <c r="T50" s="422" cm="1">
        <f t="array" aca="1" ref="T50:X50" ca="1">IF(AND($U$12,B74&lt;=$C$17,C74&lt;&gt;""),TRANSPOSE(INDEX(GetCDS(C74,$C$6,G74/10000,F74,D74,$C$13,$C$14,$C$15,$C$8,,,TRUE,TRUE,FALSE,$C$29:$C$31,$C$33),{1;2;3;4;5})),"")</f>
        <v>-2.54474058889845E-2</v>
      </c>
      <c r="U50" s="423">
        <f ca="1"/>
        <v>1.9067802021246302E-2</v>
      </c>
      <c r="V50" s="423">
        <f ca="1"/>
        <v>4.4515207910230802E-2</v>
      </c>
      <c r="W50" s="424">
        <f ca="1"/>
        <v>4.2834354631563999E-3</v>
      </c>
      <c r="X50" s="425">
        <f ca="1"/>
        <v>4.4515207910230803</v>
      </c>
      <c r="Y50" s="426" t="e">
        <f t="shared" ca="1" si="12"/>
        <v>#VALUE!</v>
      </c>
      <c r="Z50" s="427" t="e">
        <f t="shared" ca="1" si="1"/>
        <v>#VALUE!</v>
      </c>
      <c r="AA50" s="426">
        <f t="shared" ca="1" si="2"/>
        <v>0.12861270999665766</v>
      </c>
      <c r="AB50" s="428">
        <f t="shared" ca="1" si="3"/>
        <v>4.06926368999858E-3</v>
      </c>
      <c r="AC50" s="427">
        <f t="shared" ca="1" si="4"/>
        <v>-1.2261808458161153E-4</v>
      </c>
      <c r="AD50" s="79"/>
      <c r="AE50" s="496">
        <f t="shared" ca="1" si="5"/>
        <v>-4.8441617658900003E-3</v>
      </c>
      <c r="AF50" s="493">
        <f t="shared" ca="1" si="6"/>
        <v>1.6766577417281457E-3</v>
      </c>
      <c r="AG50" s="493">
        <f t="shared" ca="1" si="7"/>
        <v>0</v>
      </c>
      <c r="AH50" s="498">
        <f t="shared" ca="1" si="8"/>
        <v>0</v>
      </c>
      <c r="AI50" s="497">
        <f t="shared" ca="1" si="13"/>
        <v>-4.8441617658900003E-3</v>
      </c>
      <c r="AJ50" s="493">
        <f t="shared" ca="1" si="9"/>
        <v>0.29346172749031313</v>
      </c>
      <c r="AK50" s="493">
        <f t="shared" ca="1" si="10"/>
        <v>0</v>
      </c>
      <c r="AL50" s="498">
        <f t="shared" ca="1" si="11"/>
        <v>0</v>
      </c>
      <c r="AN50" s="532" t="str">
        <f t="shared" ca="1" si="0"/>
        <v>DeutschePostAG_MMR.EUR.SU</v>
      </c>
      <c r="AO50" s="524" cm="1">
        <f t="array" aca="1" ref="AO50" ca="1">IF(AN50&lt;&gt;"",TRANSPOSE(INDEX(GetCDS($C75,AO$13,$G75/10000,F75,D75,$C$13,$C$14,$C$15,$C$8,,,TRUE,TRUE,FALSE,$C$29:$C$31,$C$33),{5})),"")</f>
        <v>0.47824737628841801</v>
      </c>
      <c r="AP50" s="524" cm="1">
        <f t="array" aca="1" ref="AP50" ca="1">IF(AO50&lt;&gt;"",TRANSPOSE(INDEX(GetCDS($C75,AP$13,$G75/10000,G75,E75,$C$13,$C$14,$C$15,$C$8,,,TRUE,TRUE,FALSE,$C$29:$C$31,$C$33),{5})),"")</f>
        <v>0.96428679621857905</v>
      </c>
      <c r="AQ50" s="524" cm="1">
        <f t="array" aca="1" ref="AQ50" ca="1">IF(AP50&lt;&gt;"",TRANSPOSE(INDEX(GetCDS($C75,AQ$13,$G75/10000,H75,F75,$C$13,$C$14,$C$15,$C$8,,,TRUE,TRUE,FALSE,$C$29:$C$31,$C$33),{5})),"")</f>
        <v>2.80628324521469</v>
      </c>
      <c r="AR50" s="524" cm="1">
        <f t="array" aca="1" ref="AR50" ca="1">IF(AQ50&lt;&gt;"",TRANSPOSE(INDEX(GetCDS($C75,AR$13,$G75/10000,I75,G75,$C$13,$C$14,$C$15,$C$8,,,TRUE,TRUE,FALSE,$C$29:$C$31,$C$33),{5})),"")</f>
        <v>4.4818760661348804</v>
      </c>
      <c r="AS50" s="525" cm="1">
        <f t="array" aca="1" ref="AS50" ca="1">IF(AR50&lt;&gt;"",TRANSPOSE(INDEX(GetCDS($C75,AS$13,$G75/10000,J75,H75,$C$13,$C$14,$C$15,$C$8,,,TRUE,TRUE,FALSE,$C$29:$C$31,$C$33),{5})),"")</f>
        <v>7.9571894820845399</v>
      </c>
    </row>
    <row r="51" spans="1:45" customFormat="1" ht="15">
      <c r="A51" s="227"/>
      <c r="B51" s="276">
        <v>13</v>
      </c>
      <c r="C51" s="254" t="s">
        <v>101</v>
      </c>
      <c r="D51" s="255">
        <v>1</v>
      </c>
      <c r="E51" s="247"/>
      <c r="F51" s="232">
        <v>0.4</v>
      </c>
      <c r="G51" s="435">
        <v>100</v>
      </c>
      <c r="H51" s="386">
        <v>37</v>
      </c>
      <c r="I51" s="413">
        <f ca="1"/>
        <v>1.4246311369468001E-4</v>
      </c>
      <c r="J51" s="413">
        <f ca="1"/>
        <v>4.8073999265841E-4</v>
      </c>
      <c r="K51" s="413">
        <f ca="1"/>
        <v>0.29634129856116898</v>
      </c>
      <c r="L51" s="413">
        <f ca="1"/>
        <v>0.29634129856116898</v>
      </c>
      <c r="M51" s="413">
        <f ca="1"/>
        <v>-1.2739794367035999E-4</v>
      </c>
      <c r="N51" s="452" t="str">
        <f ca="1"/>
        <v>DEUTSCHEPOSTAG_MMR.EUR.SU</v>
      </c>
      <c r="O51" s="413"/>
      <c r="P51" s="413"/>
      <c r="Q51" s="413"/>
      <c r="R51" s="452"/>
      <c r="S51" s="443"/>
      <c r="T51" s="422" cm="1">
        <f t="array" aca="1" ref="T51:X51" ca="1">IF(AND($U$12,B75&lt;=$C$17,C75&lt;&gt;""),TRANSPOSE(INDEX(GetCDS(C75,$C$6,G75/10000,F75,D75,$C$13,$C$14,$C$15,$C$8,,,TRUE,TRUE,FALSE,$C$29:$C$31,$C$33),{1;2;3;4;5})),"")</f>
        <v>-3.3577447515891402E-2</v>
      </c>
      <c r="U51" s="423">
        <f ca="1"/>
        <v>1.1241313145457401E-2</v>
      </c>
      <c r="V51" s="423">
        <f ca="1"/>
        <v>4.4818760661348801E-2</v>
      </c>
      <c r="W51" s="424">
        <f ca="1"/>
        <v>2.5081713504746198E-3</v>
      </c>
      <c r="X51" s="425">
        <f ca="1"/>
        <v>4.4818760661348804</v>
      </c>
      <c r="Y51" s="426" t="e">
        <f t="shared" ca="1" si="12"/>
        <v>#VALUE!</v>
      </c>
      <c r="Z51" s="427" t="e">
        <f t="shared" ca="1" si="1"/>
        <v>#VALUE!</v>
      </c>
      <c r="AA51" s="426">
        <f t="shared" ca="1" si="2"/>
        <v>9.9694764878580325E-2</v>
      </c>
      <c r="AB51" s="428">
        <f t="shared" ca="1" si="3"/>
        <v>2.3827627829508887E-3</v>
      </c>
      <c r="AC51" s="427">
        <f t="shared" ca="1" si="4"/>
        <v>-5.6035003548143565E-5</v>
      </c>
      <c r="AD51" s="79"/>
      <c r="AE51" s="496">
        <f t="shared" ca="1" si="5"/>
        <v>-2.0888443432369999E-3</v>
      </c>
      <c r="AF51" s="493">
        <f t="shared" ca="1" si="6"/>
        <v>6.3950275918589032E-3</v>
      </c>
      <c r="AG51" s="493">
        <f t="shared" ca="1" si="7"/>
        <v>0</v>
      </c>
      <c r="AH51" s="498">
        <f t="shared" ca="1" si="8"/>
        <v>0</v>
      </c>
      <c r="AI51" s="497">
        <f t="shared" ca="1" si="13"/>
        <v>-2.0888443432369999E-3</v>
      </c>
      <c r="AJ51" s="493">
        <f t="shared" ca="1" si="9"/>
        <v>0.23065033579984956</v>
      </c>
      <c r="AK51" s="493">
        <f t="shared" ca="1" si="10"/>
        <v>0</v>
      </c>
      <c r="AL51" s="498">
        <f t="shared" ca="1" si="11"/>
        <v>0</v>
      </c>
      <c r="AN51" s="532" t="str">
        <f t="shared" ca="1" si="0"/>
        <v>DeutscheTelekom_MMR.EUR.SU</v>
      </c>
      <c r="AO51" s="524" cm="1">
        <f t="array" aca="1" ref="AO51" ca="1">IF(AN51&lt;&gt;"",TRANSPOSE(INDEX(GetCDS($C76,AO$13,$G76/10000,F76,D76,$C$13,$C$14,$C$15,$C$8,,,TRUE,TRUE,FALSE,$C$29:$C$31,$C$33),{5})),"")</f>
        <v>0.47813176538809798</v>
      </c>
      <c r="AP51" s="524" cm="1">
        <f t="array" aca="1" ref="AP51" ca="1">IF(AO51&lt;&gt;"",TRANSPOSE(INDEX(GetCDS($C76,AP$13,$G76/10000,G76,E76,$C$13,$C$14,$C$15,$C$8,,,TRUE,TRUE,FALSE,$C$29:$C$31,$C$33),{5})),"")</f>
        <v>0.96377494169739797</v>
      </c>
      <c r="AQ51" s="524" cm="1">
        <f t="array" aca="1" ref="AQ51" ca="1">IF(AP51&lt;&gt;"",TRANSPOSE(INDEX(GetCDS($C76,AQ$13,$G76/10000,H76,F76,$C$13,$C$14,$C$15,$C$8,,,TRUE,TRUE,FALSE,$C$29:$C$31,$C$33),{5})),"")</f>
        <v>2.7997422098822899</v>
      </c>
      <c r="AR51" s="524" cm="1">
        <f t="array" aca="1" ref="AR51" ca="1">IF(AQ51&lt;&gt;"",TRANSPOSE(INDEX(GetCDS($C76,AR$13,$G76/10000,I76,G76,$C$13,$C$14,$C$15,$C$8,,,TRUE,TRUE,FALSE,$C$29:$C$31,$C$33),{5})),"")</f>
        <v>4.4594968826052197</v>
      </c>
      <c r="AS51" s="525" cm="1">
        <f t="array" aca="1" ref="AS51" ca="1">IF(AR51&lt;&gt;"",TRANSPOSE(INDEX(GetCDS($C76,AS$13,$G76/10000,J76,H76,$C$13,$C$14,$C$15,$C$8,,,TRUE,TRUE,FALSE,$C$29:$C$31,$C$33),{5})),"")</f>
        <v>7.86780224171022</v>
      </c>
    </row>
    <row r="52" spans="1:45" customFormat="1" ht="15">
      <c r="A52" s="227"/>
      <c r="B52" s="276">
        <v>14</v>
      </c>
      <c r="C52" s="254" t="s">
        <v>102</v>
      </c>
      <c r="D52" s="255">
        <v>1</v>
      </c>
      <c r="E52" s="247"/>
      <c r="F52" s="232">
        <v>0.4</v>
      </c>
      <c r="G52" s="435">
        <v>100</v>
      </c>
      <c r="H52" s="386">
        <v>38</v>
      </c>
      <c r="I52" s="413">
        <f ca="1"/>
        <v>1.7661515354761001E-4</v>
      </c>
      <c r="J52" s="413">
        <f ca="1"/>
        <v>4.7432342537440803E-4</v>
      </c>
      <c r="K52" s="413">
        <f ca="1"/>
        <v>0.37235174165855001</v>
      </c>
      <c r="L52" s="413">
        <f ca="1"/>
        <v>0.37235174165855001</v>
      </c>
      <c r="M52" s="413">
        <f ca="1"/>
        <v>-2.1496761363695201E-4</v>
      </c>
      <c r="N52" s="452" t="str">
        <f ca="1"/>
        <v>DEUTSCHETELEKOM_MMR.EUR.SU</v>
      </c>
      <c r="O52" s="413"/>
      <c r="P52" s="413"/>
      <c r="Q52" s="413"/>
      <c r="R52" s="452"/>
      <c r="S52" s="443"/>
      <c r="T52" s="422" cm="1">
        <f t="array" aca="1" ref="T52:X52" ca="1">IF(AND($U$12,B76&lt;=$C$17,C76&lt;&gt;""),TRANSPOSE(INDEX(GetCDS(C76,$C$6,G76/10000,F76,D76,$C$13,$C$14,$C$15,$C$8,,,TRUE,TRUE,FALSE,$C$29:$C$31,$C$33),{1;2;3;4;5})),"")</f>
        <v>-2.6424798890208701E-2</v>
      </c>
      <c r="U52" s="423">
        <f ca="1"/>
        <v>1.81701699358435E-2</v>
      </c>
      <c r="V52" s="423">
        <f ca="1"/>
        <v>4.4594968826052198E-2</v>
      </c>
      <c r="W52" s="424">
        <f ca="1"/>
        <v>4.07448876278361E-3</v>
      </c>
      <c r="X52" s="425">
        <f ca="1"/>
        <v>4.4594968826052197</v>
      </c>
      <c r="Y52" s="426" t="e">
        <f t="shared" ca="1" si="12"/>
        <v>#VALUE!</v>
      </c>
      <c r="Z52" s="427" t="e">
        <f t="shared" ca="1" si="1"/>
        <v>#VALUE!</v>
      </c>
      <c r="AA52" s="426">
        <f t="shared" ca="1" si="2"/>
        <v>0.12512508641213368</v>
      </c>
      <c r="AB52" s="428">
        <f t="shared" ca="1" si="3"/>
        <v>3.8707643246444295E-3</v>
      </c>
      <c r="AC52" s="427">
        <f t="shared" ca="1" si="4"/>
        <v>-1.1367720416727861E-4</v>
      </c>
      <c r="AD52" s="79"/>
      <c r="AE52" s="496">
        <f t="shared" ca="1" si="5"/>
        <v>-4.3911905520900001E-3</v>
      </c>
      <c r="AF52" s="493">
        <f t="shared" ca="1" si="6"/>
        <v>2.3644587081294681E-3</v>
      </c>
      <c r="AG52" s="493">
        <f t="shared" ca="1" si="7"/>
        <v>0</v>
      </c>
      <c r="AH52" s="498">
        <f t="shared" ca="1" si="8"/>
        <v>0</v>
      </c>
      <c r="AI52" s="497">
        <f t="shared" ca="1" si="13"/>
        <v>-4.3911905520900001E-3</v>
      </c>
      <c r="AJ52" s="493">
        <f t="shared" ca="1" si="9"/>
        <v>0.28587000596646467</v>
      </c>
      <c r="AK52" s="493">
        <f t="shared" ca="1" si="10"/>
        <v>0</v>
      </c>
      <c r="AL52" s="498">
        <f t="shared" ca="1" si="11"/>
        <v>0</v>
      </c>
      <c r="AN52" s="532" t="str">
        <f t="shared" ca="1" si="0"/>
        <v>Diageo_MMR.EUR.SU</v>
      </c>
      <c r="AO52" s="524" cm="1">
        <f t="array" aca="1" ref="AO52" ca="1">IF(AN52&lt;&gt;"",TRANSPOSE(INDEX(GetCDS($C77,AO$13,$G77/10000,F77,D77,$C$13,$C$14,$C$15,$C$8,,,TRUE,TRUE,FALSE,$C$29:$C$31,$C$33),{5})),"")</f>
        <v>0.47820883515867502</v>
      </c>
      <c r="AP52" s="524" cm="1">
        <f t="array" aca="1" ref="AP52" ca="1">IF(AO52&lt;&gt;"",TRANSPOSE(INDEX(GetCDS($C77,AP$13,$G77/10000,G77,E77,$C$13,$C$14,$C$15,$C$8,,,TRUE,TRUE,FALSE,$C$29:$C$31,$C$33),{5})),"")</f>
        <v>0.964129026183566</v>
      </c>
      <c r="AQ52" s="524" cm="1">
        <f t="array" aca="1" ref="AQ52" ca="1">IF(AP52&lt;&gt;"",TRANSPOSE(INDEX(GetCDS($C77,AQ$13,$G77/10000,H77,F77,$C$13,$C$14,$C$15,$C$8,,,TRUE,TRUE,FALSE,$C$29:$C$31,$C$33),{5})),"")</f>
        <v>2.8047675733780402</v>
      </c>
      <c r="AR52" s="524" cm="1">
        <f t="array" aca="1" ref="AR52" ca="1">IF(AQ52&lt;&gt;"",TRANSPOSE(INDEX(GetCDS($C77,AR$13,$G77/10000,I77,G77,$C$13,$C$14,$C$15,$C$8,,,TRUE,TRUE,FALSE,$C$29:$C$31,$C$33),{5})),"")</f>
        <v>4.4757764107566196</v>
      </c>
      <c r="AS52" s="525" cm="1">
        <f t="array" aca="1" ref="AS52" ca="1">IF(AR52&lt;&gt;"",TRANSPOSE(INDEX(GetCDS($C77,AS$13,$G77/10000,J77,H77,$C$13,$C$14,$C$15,$C$8,,,TRUE,TRUE,FALSE,$C$29:$C$31,$C$33),{5})),"")</f>
        <v>7.93057104330037</v>
      </c>
    </row>
    <row r="53" spans="1:45" customFormat="1" ht="15">
      <c r="A53" s="227"/>
      <c r="B53" s="276">
        <v>15</v>
      </c>
      <c r="C53" s="254" t="s">
        <v>103</v>
      </c>
      <c r="D53" s="255">
        <v>1</v>
      </c>
      <c r="E53" s="247"/>
      <c r="F53" s="232">
        <v>0.4</v>
      </c>
      <c r="G53" s="435">
        <v>100</v>
      </c>
      <c r="H53" s="386">
        <v>39</v>
      </c>
      <c r="I53" s="413">
        <f ca="1"/>
        <v>1.54899342492509E-4</v>
      </c>
      <c r="J53" s="413">
        <f ca="1"/>
        <v>4.7867452289937501E-4</v>
      </c>
      <c r="K53" s="413">
        <f ca="1"/>
        <v>0.32360055754434103</v>
      </c>
      <c r="L53" s="413">
        <f ca="1"/>
        <v>0.32360055754434103</v>
      </c>
      <c r="M53" s="413">
        <f ca="1"/>
        <v>-1.5659772459501999E-4</v>
      </c>
      <c r="N53" s="452" t="str">
        <f ca="1"/>
        <v>DIAGEO_MMR.EUR.SU</v>
      </c>
      <c r="O53" s="413"/>
      <c r="P53" s="413"/>
      <c r="Q53" s="413"/>
      <c r="R53" s="452"/>
      <c r="S53" s="443"/>
      <c r="T53" s="422" cm="1">
        <f t="array" aca="1" ref="T53:X53" ca="1">IF(AND($U$12,B77&lt;=$C$17,C77&lt;&gt;""),TRANSPOSE(INDEX(GetCDS(C77,$C$6,G77/10000,F77,D77,$C$13,$C$14,$C$15,$C$8,,,TRUE,TRUE,FALSE,$C$29:$C$31,$C$33),{1;2;3;4;5})),"")</f>
        <v>-3.1194528617891001E-2</v>
      </c>
      <c r="U53" s="423">
        <f ca="1"/>
        <v>1.35632354896752E-2</v>
      </c>
      <c r="V53" s="423">
        <f ca="1"/>
        <v>4.4757764107566197E-2</v>
      </c>
      <c r="W53" s="424">
        <f ca="1"/>
        <v>3.03036484509787E-3</v>
      </c>
      <c r="X53" s="425">
        <f ca="1"/>
        <v>4.4757764107566196</v>
      </c>
      <c r="Y53" s="426" t="e">
        <f t="shared" ca="1" si="12"/>
        <v>#VALUE!</v>
      </c>
      <c r="Z53" s="427" t="e">
        <f t="shared" ca="1" si="1"/>
        <v>#VALUE!</v>
      </c>
      <c r="AA53" s="426">
        <f t="shared" ca="1" si="2"/>
        <v>0.10881995245140168</v>
      </c>
      <c r="AB53" s="428">
        <f t="shared" ca="1" si="3"/>
        <v>2.8788466028429765E-3</v>
      </c>
      <c r="AC53" s="427">
        <f t="shared" ca="1" si="4"/>
        <v>-7.3797532053680842E-5</v>
      </c>
      <c r="AD53" s="79"/>
      <c r="AE53" s="496">
        <f t="shared" ca="1" si="5"/>
        <v>-2.7763771385259902E-3</v>
      </c>
      <c r="AF53" s="493">
        <f t="shared" ca="1" si="6"/>
        <v>5.1331208412041807E-3</v>
      </c>
      <c r="AG53" s="493">
        <f t="shared" ca="1" si="7"/>
        <v>0</v>
      </c>
      <c r="AH53" s="498">
        <f t="shared" ca="1" si="8"/>
        <v>0</v>
      </c>
      <c r="AI53" s="497">
        <f t="shared" ca="1" si="13"/>
        <v>-2.7763771385259902E-3</v>
      </c>
      <c r="AJ53" s="493">
        <f t="shared" ca="1" si="9"/>
        <v>0.25049905031272851</v>
      </c>
      <c r="AK53" s="493">
        <f t="shared" ca="1" si="10"/>
        <v>0</v>
      </c>
      <c r="AL53" s="498">
        <f t="shared" ca="1" si="11"/>
        <v>0</v>
      </c>
      <c r="AN53" s="532" t="str">
        <f t="shared" ca="1" si="0"/>
        <v>DixonsGroupPlc_MMR.EUR.SU</v>
      </c>
      <c r="AO53" s="524" cm="1">
        <f t="array" aca="1" ref="AO53" ca="1">IF(AN53&lt;&gt;"",TRANSPOSE(INDEX(GetCDS($C78,AO$13,$G78/10000,F78,D78,$C$13,$C$14,$C$15,$C$8,,,TRUE,TRUE,FALSE,$C$29:$C$31,$C$33),{5})),"")</f>
        <v>0.478112500546098</v>
      </c>
      <c r="AP53" s="524" cm="1">
        <f t="array" aca="1" ref="AP53" ca="1">IF(AO53&lt;&gt;"",TRANSPOSE(INDEX(GetCDS($C78,AP$13,$G78/10000,G78,E78,$C$13,$C$14,$C$15,$C$8,,,TRUE,TRUE,FALSE,$C$29:$C$31,$C$33),{5})),"")</f>
        <v>0.963605913727824</v>
      </c>
      <c r="AQ53" s="524" cm="1">
        <f t="array" aca="1" ref="AQ53" ca="1">IF(AP53&lt;&gt;"",TRANSPOSE(INDEX(GetCDS($C78,AQ$13,$G78/10000,H78,F78,$C$13,$C$14,$C$15,$C$8,,,TRUE,TRUE,FALSE,$C$29:$C$31,$C$33),{5})),"")</f>
        <v>2.7888470983684601</v>
      </c>
      <c r="AR53" s="524" cm="1">
        <f t="array" aca="1" ref="AR53" ca="1">IF(AQ53&lt;&gt;"",TRANSPOSE(INDEX(GetCDS($C78,AR$13,$G78/10000,I78,G78,$C$13,$C$14,$C$15,$C$8,,,TRUE,TRUE,FALSE,$C$29:$C$31,$C$33),{5})),"")</f>
        <v>4.4105851878149203</v>
      </c>
      <c r="AS53" s="525" cm="1">
        <f t="array" aca="1" ref="AS53" ca="1">IF(AR53&lt;&gt;"",TRANSPOSE(INDEX(GetCDS($C78,AS$13,$G78/10000,J78,H78,$C$13,$C$14,$C$15,$C$8,,,TRUE,TRUE,FALSE,$C$29:$C$31,$C$33),{5})),"")</f>
        <v>7.6000151015595003</v>
      </c>
    </row>
    <row r="54" spans="1:45" customFormat="1" ht="15">
      <c r="A54" s="227"/>
      <c r="B54" s="276">
        <v>16</v>
      </c>
      <c r="C54" s="254" t="s">
        <v>104</v>
      </c>
      <c r="D54" s="255">
        <v>1</v>
      </c>
      <c r="E54" s="247"/>
      <c r="F54" s="232">
        <v>0.4</v>
      </c>
      <c r="G54" s="435">
        <v>100</v>
      </c>
      <c r="H54" s="386">
        <v>40</v>
      </c>
      <c r="I54" s="413">
        <f ca="1"/>
        <v>2.3045420461380599E-4</v>
      </c>
      <c r="J54" s="413">
        <f ca="1"/>
        <v>4.5385834605287501E-4</v>
      </c>
      <c r="K54" s="413">
        <f ca="1"/>
        <v>0.50776681010281099</v>
      </c>
      <c r="L54" s="413">
        <f ca="1"/>
        <v>0.50776681010281099</v>
      </c>
      <c r="M54" s="413">
        <f ca="1"/>
        <v>-4.1651137520513101E-4</v>
      </c>
      <c r="N54" s="452" t="str">
        <f ca="1"/>
        <v>DIXONSGROUPPLC_MMR.EUR.SU</v>
      </c>
      <c r="O54" s="413"/>
      <c r="P54" s="413"/>
      <c r="Q54" s="413"/>
      <c r="R54" s="452"/>
      <c r="S54" s="443"/>
      <c r="T54" s="422" cm="1">
        <f t="array" aca="1" ref="T54:X54" ca="1">IF(AND($U$12,B78&lt;=$C$17,C78&lt;&gt;""),TRANSPOSE(INDEX(GetCDS(C78,$C$6,G78/10000,F78,D78,$C$13,$C$14,$C$15,$C$8,,,TRUE,TRUE,FALSE,$C$29:$C$31,$C$33),{1;2;3;4;5})),"")</f>
        <v>-7.2762391098013003E-3</v>
      </c>
      <c r="U54" s="423">
        <f ca="1"/>
        <v>3.6829612768347897E-2</v>
      </c>
      <c r="V54" s="423">
        <f ca="1"/>
        <v>4.4105851878149201E-2</v>
      </c>
      <c r="W54" s="424">
        <f ca="1"/>
        <v>8.3502780696984805E-3</v>
      </c>
      <c r="X54" s="425">
        <f ca="1"/>
        <v>4.4105851878149203</v>
      </c>
      <c r="Y54" s="426" t="e">
        <f t="shared" ca="1" si="12"/>
        <v>#VALUE!</v>
      </c>
      <c r="Z54" s="427" t="e">
        <f t="shared" ca="1" si="1"/>
        <v>#VALUE!</v>
      </c>
      <c r="AA54" s="426">
        <f t="shared" ca="1" si="2"/>
        <v>0.17035689127956399</v>
      </c>
      <c r="AB54" s="428">
        <f t="shared" ca="1" si="3"/>
        <v>7.9327641662135569E-3</v>
      </c>
      <c r="AC54" s="427">
        <f t="shared" ca="1" si="4"/>
        <v>-3.1370891691229376E-4</v>
      </c>
      <c r="AD54" s="79"/>
      <c r="AE54" s="496">
        <f t="shared" ca="1" si="5"/>
        <v>-1.2440879141187E-2</v>
      </c>
      <c r="AF54" s="493">
        <f t="shared" ca="1" si="6"/>
        <v>0</v>
      </c>
      <c r="AG54" s="493">
        <f t="shared" ca="1" si="7"/>
        <v>0</v>
      </c>
      <c r="AH54" s="498">
        <f t="shared" ca="1" si="8"/>
        <v>0</v>
      </c>
      <c r="AI54" s="497">
        <f t="shared" ca="1" si="13"/>
        <v>-1.2440879141187E-2</v>
      </c>
      <c r="AJ54" s="493">
        <f t="shared" ca="1" si="9"/>
        <v>0.38264416735455853</v>
      </c>
      <c r="AK54" s="493">
        <f t="shared" ca="1" si="10"/>
        <v>0</v>
      </c>
      <c r="AL54" s="498">
        <f t="shared" ca="1" si="11"/>
        <v>0</v>
      </c>
      <c r="AN54" s="532" t="str">
        <f t="shared" ca="1" si="0"/>
        <v>DSM_MMR.EUR.SU</v>
      </c>
      <c r="AO54" s="524" cm="1">
        <f t="array" aca="1" ref="AO54" ca="1">IF(AN54&lt;&gt;"",TRANSPOSE(INDEX(GetCDS($C79,AO$13,$G79/10000,F79,D79,$C$13,$C$14,$C$15,$C$8,,,TRUE,TRUE,FALSE,$C$29:$C$31,$C$33),{5})),"")</f>
        <v>0.47822810520300102</v>
      </c>
      <c r="AP54" s="524" cm="1">
        <f t="array" aca="1" ref="AP54" ca="1">IF(AO54&lt;&gt;"",TRANSPOSE(INDEX(GetCDS($C79,AP$13,$G79/10000,G79,E79,$C$13,$C$14,$C$15,$C$8,,,TRUE,TRUE,FALSE,$C$29:$C$31,$C$33),{5})),"")</f>
        <v>0.96422079399330896</v>
      </c>
      <c r="AQ54" s="524" cm="1">
        <f t="array" aca="1" ref="AQ54" ca="1">IF(AP54&lt;&gt;"",TRANSPOSE(INDEX(GetCDS($C79,AQ$13,$G79/10000,H79,F79,$C$13,$C$14,$C$15,$C$8,,,TRUE,TRUE,FALSE,$C$29:$C$31,$C$33),{5})),"")</f>
        <v>2.8054529471157301</v>
      </c>
      <c r="AR54" s="524" cm="1">
        <f t="array" aca="1" ref="AR54" ca="1">IF(AQ54&lt;&gt;"",TRANSPOSE(INDEX(GetCDS($C79,AR$13,$G79/10000,I79,G79,$C$13,$C$14,$C$15,$C$8,,,TRUE,TRUE,FALSE,$C$29:$C$31,$C$33),{5})),"")</f>
        <v>4.4770082806064497</v>
      </c>
      <c r="AS54" s="525" cm="1">
        <f t="array" aca="1" ref="AS54" ca="1">IF(AR54&lt;&gt;"",TRANSPOSE(INDEX(GetCDS($C79,AS$13,$G79/10000,J79,H79,$C$13,$C$14,$C$15,$C$8,,,TRUE,TRUE,FALSE,$C$29:$C$31,$C$33),{5})),"")</f>
        <v>7.93454113836858</v>
      </c>
    </row>
    <row r="55" spans="1:45" customFormat="1" ht="15">
      <c r="A55" s="227"/>
      <c r="B55" s="276">
        <v>17</v>
      </c>
      <c r="C55" s="254" t="s">
        <v>105</v>
      </c>
      <c r="D55" s="255">
        <v>1</v>
      </c>
      <c r="E55" s="247"/>
      <c r="F55" s="232">
        <v>0.4</v>
      </c>
      <c r="G55" s="435">
        <v>100</v>
      </c>
      <c r="H55" s="386">
        <v>41</v>
      </c>
      <c r="I55" s="413">
        <f ca="1"/>
        <v>1.5241318087084801E-4</v>
      </c>
      <c r="J55" s="413">
        <f ca="1"/>
        <v>4.7914069039407402E-4</v>
      </c>
      <c r="K55" s="413">
        <f ca="1"/>
        <v>0.318096926281703</v>
      </c>
      <c r="L55" s="413">
        <f ca="1"/>
        <v>0.318096926281703</v>
      </c>
      <c r="M55" s="413">
        <f ca="1"/>
        <v>-1.5076427464535399E-4</v>
      </c>
      <c r="N55" s="452" t="str">
        <f ca="1"/>
        <v>DSM_MMR.EUR.SU</v>
      </c>
      <c r="O55" s="413"/>
      <c r="P55" s="413"/>
      <c r="Q55" s="413"/>
      <c r="R55" s="452"/>
      <c r="S55" s="443"/>
      <c r="T55" s="422" cm="1">
        <f t="array" aca="1" ref="T55:X55" ca="1">IF(AND($U$12,B79&lt;=$C$17,C79&lt;&gt;""),TRANSPOSE(INDEX(GetCDS(C79,$C$6,G79/10000,F79,D79,$C$13,$C$14,$C$15,$C$8,,,TRUE,TRUE,FALSE,$C$29:$C$31,$C$33),{1;2;3;4;5})),"")</f>
        <v>-3.16707057097802E-2</v>
      </c>
      <c r="U55" s="423">
        <f ca="1"/>
        <v>1.3099377096284301E-2</v>
      </c>
      <c r="V55" s="423">
        <f ca="1"/>
        <v>4.4770082806064503E-2</v>
      </c>
      <c r="W55" s="424">
        <f ca="1"/>
        <v>2.92592201650113E-3</v>
      </c>
      <c r="X55" s="425">
        <f ca="1"/>
        <v>4.4770082806064497</v>
      </c>
      <c r="Y55" s="426" t="e">
        <f t="shared" ca="1" si="12"/>
        <v>#VALUE!</v>
      </c>
      <c r="Z55" s="427" t="e">
        <f t="shared" ca="1" si="1"/>
        <v>#VALUE!</v>
      </c>
      <c r="AA55" s="426">
        <f t="shared" ca="1" si="2"/>
        <v>0.10697914276740567</v>
      </c>
      <c r="AB55" s="428">
        <f t="shared" ca="1" si="3"/>
        <v>2.7796259156760731E-3</v>
      </c>
      <c r="AC55" s="427">
        <f t="shared" ca="1" si="4"/>
        <v>-7.0068006627374153E-5</v>
      </c>
      <c r="AD55" s="79"/>
      <c r="AE55" s="496">
        <f t="shared" ca="1" si="5"/>
        <v>-2.6286859729970102E-3</v>
      </c>
      <c r="AF55" s="493">
        <f t="shared" ca="1" si="6"/>
        <v>5.395496095821177E-3</v>
      </c>
      <c r="AG55" s="493">
        <f t="shared" ca="1" si="7"/>
        <v>0</v>
      </c>
      <c r="AH55" s="498">
        <f t="shared" ca="1" si="8"/>
        <v>0</v>
      </c>
      <c r="AI55" s="497">
        <f t="shared" ca="1" si="13"/>
        <v>-2.6286859729970102E-3</v>
      </c>
      <c r="AJ55" s="493">
        <f t="shared" ca="1" si="9"/>
        <v>0.2464903711387223</v>
      </c>
      <c r="AK55" s="493">
        <f t="shared" ca="1" si="10"/>
        <v>0</v>
      </c>
      <c r="AL55" s="498">
        <f t="shared" ca="1" si="11"/>
        <v>0</v>
      </c>
      <c r="AN55" s="532" t="str">
        <f t="shared" ca="1" si="0"/>
        <v>EADS_MMR.EUR.SU</v>
      </c>
      <c r="AO55" s="524" cm="1">
        <f t="array" aca="1" ref="AO55" ca="1">IF(AN55&lt;&gt;"",TRANSPOSE(INDEX(GetCDS($C80,AO$13,$G80/10000,F80,D80,$C$13,$C$14,$C$15,$C$8,,,TRUE,TRUE,FALSE,$C$29:$C$31,$C$33),{5})),"")</f>
        <v>0.47820883515867502</v>
      </c>
      <c r="AP55" s="524" cm="1">
        <f t="array" aca="1" ref="AP55" ca="1">IF(AO55&lt;&gt;"",TRANSPOSE(INDEX(GetCDS($C80,AP$13,$G80/10000,G80,E80,$C$13,$C$14,$C$15,$C$8,,,TRUE,TRUE,FALSE,$C$29:$C$31,$C$33),{5})),"")</f>
        <v>0.96414191213137601</v>
      </c>
      <c r="AQ55" s="524" cm="1">
        <f t="array" aca="1" ref="AQ55" ca="1">IF(AP55&lt;&gt;"",TRANSPOSE(INDEX(GetCDS($C80,AQ$13,$G80/10000,H80,F80,$C$13,$C$14,$C$15,$C$8,,,TRUE,TRUE,FALSE,$C$29:$C$31,$C$33),{5})),"")</f>
        <v>2.80572284765223</v>
      </c>
      <c r="AR55" s="524" cm="1">
        <f t="array" aca="1" ref="AR55" ca="1">IF(AQ55&lt;&gt;"",TRANSPOSE(INDEX(GetCDS($C80,AR$13,$G80/10000,I80,G80,$C$13,$C$14,$C$15,$C$8,,,TRUE,TRUE,FALSE,$C$29:$C$31,$C$33),{5})),"")</f>
        <v>4.4778338968912204</v>
      </c>
      <c r="AS55" s="525" cm="1">
        <f t="array" aca="1" ref="AS55" ca="1">IF(AR55&lt;&gt;"",TRANSPOSE(INDEX(GetCDS($C80,AS$13,$G80/10000,J80,H80,$C$13,$C$14,$C$15,$C$8,,,TRUE,TRUE,FALSE,$C$29:$C$31,$C$33),{5})),"")</f>
        <v>7.9312703340994304</v>
      </c>
    </row>
    <row r="56" spans="1:45" customFormat="1" ht="15">
      <c r="A56" s="227"/>
      <c r="B56" s="276">
        <v>18</v>
      </c>
      <c r="C56" s="254" t="s">
        <v>106</v>
      </c>
      <c r="D56" s="255">
        <v>1</v>
      </c>
      <c r="E56" s="247"/>
      <c r="F56" s="232">
        <v>0.4</v>
      </c>
      <c r="G56" s="435">
        <v>100</v>
      </c>
      <c r="H56" s="386">
        <v>42</v>
      </c>
      <c r="I56" s="413">
        <f ca="1"/>
        <v>1.52207586277254E-4</v>
      </c>
      <c r="J56" s="413">
        <f ca="1"/>
        <v>4.7914851820172203E-4</v>
      </c>
      <c r="K56" s="413">
        <f ca="1"/>
        <v>0.31766264633041102</v>
      </c>
      <c r="L56" s="413">
        <f ca="1"/>
        <v>0.31766264633041102</v>
      </c>
      <c r="M56" s="413">
        <f ca="1"/>
        <v>-1.5039614657943499E-4</v>
      </c>
      <c r="N56" s="452" t="str">
        <f ca="1"/>
        <v>EADS_MMR.EUR.SU</v>
      </c>
      <c r="O56" s="413"/>
      <c r="P56" s="413"/>
      <c r="Q56" s="413"/>
      <c r="R56" s="452"/>
      <c r="S56" s="443"/>
      <c r="T56" s="422" cm="1">
        <f t="array" aca="1" ref="T56:X56" ca="1">IF(AND($U$12,B80&lt;=$C$17,C80&lt;&gt;""),TRANSPOSE(INDEX(GetCDS(C80,$C$6,G80/10000,F80,D80,$C$13,$C$14,$C$15,$C$8,,,TRUE,TRUE,FALSE,$C$29:$C$31,$C$33),{1;2;3;4;5})),"")</f>
        <v>-3.16765799690511E-2</v>
      </c>
      <c r="U56" s="423">
        <f ca="1"/>
        <v>1.31017589998611E-2</v>
      </c>
      <c r="V56" s="423">
        <f ca="1"/>
        <v>4.4778338968912201E-2</v>
      </c>
      <c r="W56" s="424">
        <f ca="1"/>
        <v>2.9259144714941601E-3</v>
      </c>
      <c r="X56" s="425">
        <f ca="1"/>
        <v>4.4778338968912204</v>
      </c>
      <c r="Y56" s="426" t="e">
        <f t="shared" ca="1" si="12"/>
        <v>#VALUE!</v>
      </c>
      <c r="Z56" s="427" t="e">
        <f t="shared" ca="1" si="1"/>
        <v>#VALUE!</v>
      </c>
      <c r="AA56" s="426">
        <f t="shared" ca="1" si="2"/>
        <v>0.10683371770804467</v>
      </c>
      <c r="AB56" s="428">
        <f t="shared" ca="1" si="3"/>
        <v>2.7796187479194518E-3</v>
      </c>
      <c r="AC56" s="427">
        <f t="shared" ca="1" si="4"/>
        <v>-6.9985481123499901E-5</v>
      </c>
      <c r="AD56" s="79"/>
      <c r="AE56" s="496">
        <f t="shared" ca="1" si="5"/>
        <v>-2.6195386175260102E-3</v>
      </c>
      <c r="AF56" s="493">
        <f t="shared" ca="1" si="6"/>
        <v>5.405760283688936E-3</v>
      </c>
      <c r="AG56" s="493">
        <f t="shared" ca="1" si="7"/>
        <v>0</v>
      </c>
      <c r="AH56" s="498">
        <f t="shared" ca="1" si="8"/>
        <v>0</v>
      </c>
      <c r="AI56" s="497">
        <f t="shared" ca="1" si="13"/>
        <v>-2.6195386175260102E-3</v>
      </c>
      <c r="AJ56" s="493">
        <f t="shared" ca="1" si="9"/>
        <v>0.24616612974007104</v>
      </c>
      <c r="AK56" s="493">
        <f t="shared" ca="1" si="10"/>
        <v>0</v>
      </c>
      <c r="AL56" s="498">
        <f t="shared" ca="1" si="11"/>
        <v>0</v>
      </c>
      <c r="AN56" s="532" t="str">
        <f t="shared" ca="1" si="0"/>
        <v>EDF_MMR.EUR.SU</v>
      </c>
      <c r="AO56" s="524" cm="1">
        <f t="array" aca="1" ref="AO56" ca="1">IF(AN56&lt;&gt;"",TRANSPOSE(INDEX(GetCDS($C81,AO$13,$G81/10000,F81,D81,$C$13,$C$14,$C$15,$C$8,,,TRUE,TRUE,FALSE,$C$29:$C$31,$C$33),{5})),"")</f>
        <v>0.478266648415127</v>
      </c>
      <c r="AP56" s="524" cm="1">
        <f t="array" aca="1" ref="AP56" ca="1">IF(AO56&lt;&gt;"",TRANSPOSE(INDEX(GetCDS($C81,AP$13,$G81/10000,G81,E81,$C$13,$C$14,$C$15,$C$8,,,TRUE,TRUE,FALSE,$C$29:$C$31,$C$33),{5})),"")</f>
        <v>0.96436569418276996</v>
      </c>
      <c r="AQ56" s="524" cm="1">
        <f t="array" aca="1" ref="AQ56" ca="1">IF(AP56&lt;&gt;"",TRANSPOSE(INDEX(GetCDS($C81,AQ$13,$G81/10000,H81,F81,$C$13,$C$14,$C$15,$C$8,,,TRUE,TRUE,FALSE,$C$29:$C$31,$C$33),{5})),"")</f>
        <v>2.8069702121803499</v>
      </c>
      <c r="AR56" s="524" cm="1">
        <f t="array" aca="1" ref="AR56" ca="1">IF(AQ56&lt;&gt;"",TRANSPOSE(INDEX(GetCDS($C81,AR$13,$G81/10000,I81,G81,$C$13,$C$14,$C$15,$C$8,,,TRUE,TRUE,FALSE,$C$29:$C$31,$C$33),{5})),"")</f>
        <v>4.4848784416932697</v>
      </c>
      <c r="AS56" s="525" cm="1">
        <f t="array" aca="1" ref="AS56" ca="1">IF(AR56&lt;&gt;"",TRANSPOSE(INDEX(GetCDS($C81,AS$13,$G81/10000,J81,H81,$C$13,$C$14,$C$15,$C$8,,,TRUE,TRUE,FALSE,$C$29:$C$31,$C$33),{5})),"")</f>
        <v>7.99631989759067</v>
      </c>
    </row>
    <row r="57" spans="1:45" customFormat="1" ht="15">
      <c r="A57" s="227"/>
      <c r="B57" s="276">
        <v>19</v>
      </c>
      <c r="C57" s="254" t="s">
        <v>107</v>
      </c>
      <c r="D57" s="255">
        <v>1</v>
      </c>
      <c r="E57" s="247"/>
      <c r="F57" s="232">
        <v>0.4</v>
      </c>
      <c r="G57" s="435">
        <v>100</v>
      </c>
      <c r="H57" s="386">
        <v>43</v>
      </c>
      <c r="I57" s="413">
        <f ca="1"/>
        <v>1.3436571320479801E-4</v>
      </c>
      <c r="J57" s="413">
        <f ca="1"/>
        <v>4.81920125673275E-4</v>
      </c>
      <c r="K57" s="413">
        <f ca="1"/>
        <v>0.278813243205147</v>
      </c>
      <c r="L57" s="413">
        <f ca="1"/>
        <v>0.278813243205147</v>
      </c>
      <c r="M57" s="413">
        <f ca="1"/>
        <v>-1.1004451419462901E-4</v>
      </c>
      <c r="N57" s="452" t="str">
        <f ca="1"/>
        <v>EDF_MMR.EUR.SU</v>
      </c>
      <c r="O57" s="413"/>
      <c r="P57" s="413"/>
      <c r="Q57" s="413"/>
      <c r="R57" s="452"/>
      <c r="S57" s="443"/>
      <c r="T57" s="422" cm="1">
        <f t="array" aca="1" ref="T57:X57" ca="1">IF(AND($U$12,B81&lt;=$C$17,C81&lt;&gt;""),TRANSPOSE(INDEX(GetCDS(C81,$C$6,G81/10000,F81,D81,$C$13,$C$14,$C$15,$C$8,,,TRUE,TRUE,FALSE,$C$29:$C$31,$C$33),{1;2;3;4;5})),"")</f>
        <v>-3.5005354156775102E-2</v>
      </c>
      <c r="U57" s="423">
        <f ca="1"/>
        <v>9.8434302601575693E-3</v>
      </c>
      <c r="V57" s="423">
        <f ca="1"/>
        <v>4.4848784416932699E-2</v>
      </c>
      <c r="W57" s="424">
        <f ca="1"/>
        <v>2.1948042490179901E-3</v>
      </c>
      <c r="X57" s="425">
        <f ca="1"/>
        <v>4.4848784416932697</v>
      </c>
      <c r="Y57" s="426" t="e">
        <f t="shared" ca="1" si="12"/>
        <v>#VALUE!</v>
      </c>
      <c r="Z57" s="427" t="e">
        <f t="shared" ca="1" si="1"/>
        <v>#VALUE!</v>
      </c>
      <c r="AA57" s="426">
        <f t="shared" ca="1" si="2"/>
        <v>9.3823961855566004E-2</v>
      </c>
      <c r="AB57" s="428">
        <f t="shared" ca="1" si="3"/>
        <v>2.0850640365670907E-3</v>
      </c>
      <c r="AC57" s="427">
        <f t="shared" ca="1" si="4"/>
        <v>-4.6177481262847365E-5</v>
      </c>
      <c r="AD57" s="79"/>
      <c r="AE57" s="496">
        <f t="shared" ca="1" si="5"/>
        <v>-1.716425367386E-3</v>
      </c>
      <c r="AF57" s="493">
        <f t="shared" ca="1" si="6"/>
        <v>7.11145287634719E-3</v>
      </c>
      <c r="AG57" s="493">
        <f t="shared" ca="1" si="7"/>
        <v>0</v>
      </c>
      <c r="AH57" s="498">
        <f t="shared" ca="1" si="8"/>
        <v>0</v>
      </c>
      <c r="AI57" s="497">
        <f t="shared" ca="1" si="13"/>
        <v>-1.716425367386E-3</v>
      </c>
      <c r="AJ57" s="493">
        <f t="shared" ca="1" si="9"/>
        <v>0.21786127094305402</v>
      </c>
      <c r="AK57" s="493">
        <f t="shared" ca="1" si="10"/>
        <v>0</v>
      </c>
      <c r="AL57" s="498">
        <f t="shared" ca="1" si="11"/>
        <v>0</v>
      </c>
      <c r="AN57" s="532" t="str">
        <f t="shared" ca="1" si="0"/>
        <v>Edison_MMR.EUR.SU</v>
      </c>
      <c r="AO57" s="524" cm="1">
        <f t="array" aca="1" ref="AO57" ca="1">IF(AN57&lt;&gt;"",TRANSPOSE(INDEX(GetCDS($C82,AO$13,$G82/10000,F82,D82,$C$13,$C$14,$C$15,$C$8,,,TRUE,TRUE,FALSE,$C$29:$C$31,$C$33),{5})),"")</f>
        <v>0.47822810520300102</v>
      </c>
      <c r="AP57" s="524" cm="1">
        <f t="array" aca="1" ref="AP57" ca="1">IF(AO57&lt;&gt;"",TRANSPOSE(INDEX(GetCDS($C82,AP$13,$G82/10000,G82,E82,$C$13,$C$14,$C$15,$C$8,,,TRUE,TRUE,FALSE,$C$29:$C$31,$C$33),{5})),"")</f>
        <v>0.96416924155666195</v>
      </c>
      <c r="AQ57" s="524" cm="1">
        <f t="array" aca="1" ref="AQ57" ca="1">IF(AP57&lt;&gt;"",TRANSPOSE(INDEX(GetCDS($C82,AQ$13,$G82/10000,H82,F82,$C$13,$C$14,$C$15,$C$8,,,TRUE,TRUE,FALSE,$C$29:$C$31,$C$33),{5})),"")</f>
        <v>2.8018782178460202</v>
      </c>
      <c r="AR57" s="524" cm="1">
        <f t="array" aca="1" ref="AR57" ca="1">IF(AQ57&lt;&gt;"",TRANSPOSE(INDEX(GetCDS($C82,AR$13,$G82/10000,I82,G82,$C$13,$C$14,$C$15,$C$8,,,TRUE,TRUE,FALSE,$C$29:$C$31,$C$33),{5})),"")</f>
        <v>4.4661346845447198</v>
      </c>
      <c r="AS57" s="525" cm="1">
        <f t="array" aca="1" ref="AS57" ca="1">IF(AR57&lt;&gt;"",TRANSPOSE(INDEX(GetCDS($C82,AS$13,$G82/10000,J82,H82,$C$13,$C$14,$C$15,$C$8,,,TRUE,TRUE,FALSE,$C$29:$C$31,$C$33),{5})),"")</f>
        <v>7.8956910467637602</v>
      </c>
    </row>
    <row r="58" spans="1:45" customFormat="1" ht="15">
      <c r="A58" s="227"/>
      <c r="B58" s="276">
        <v>20</v>
      </c>
      <c r="C58" s="254" t="s">
        <v>108</v>
      </c>
      <c r="D58" s="255">
        <v>1</v>
      </c>
      <c r="E58" s="247"/>
      <c r="F58" s="232">
        <v>0.4</v>
      </c>
      <c r="G58" s="435">
        <v>100</v>
      </c>
      <c r="H58" s="386">
        <v>44</v>
      </c>
      <c r="I58" s="413">
        <f ca="1"/>
        <v>1.6666012598527401E-4</v>
      </c>
      <c r="J58" s="413">
        <f ca="1"/>
        <v>4.7653140738611799E-4</v>
      </c>
      <c r="K58" s="413">
        <f ca="1"/>
        <v>0.34973586924614802</v>
      </c>
      <c r="L58" s="413">
        <f ca="1"/>
        <v>0.34973586924614802</v>
      </c>
      <c r="M58" s="413">
        <f ca="1"/>
        <v>-1.86751598963819E-4</v>
      </c>
      <c r="N58" s="452" t="str">
        <f ca="1"/>
        <v>EDISON_MMR.EUR.SU</v>
      </c>
      <c r="O58" s="413"/>
      <c r="P58" s="413"/>
      <c r="Q58" s="413"/>
      <c r="R58" s="452"/>
      <c r="S58" s="443"/>
      <c r="T58" s="422" cm="1">
        <f t="array" aca="1" ref="T58:X58" ca="1">IF(AND($U$12,B82&lt;=$C$17,C82&lt;&gt;""),TRANSPOSE(INDEX(GetCDS(C82,$C$6,G82/10000,F82,D82,$C$13,$C$14,$C$15,$C$8,,,TRUE,TRUE,FALSE,$C$29:$C$31,$C$33),{1;2;3;4;5})),"")</f>
        <v>-2.8795433234529901E-2</v>
      </c>
      <c r="U58" s="423">
        <f ca="1"/>
        <v>1.5865913610917302E-2</v>
      </c>
      <c r="V58" s="423">
        <f ca="1"/>
        <v>4.4661346845447203E-2</v>
      </c>
      <c r="W58" s="424">
        <f ca="1"/>
        <v>3.55249331504087E-3</v>
      </c>
      <c r="X58" s="425">
        <f ca="1"/>
        <v>4.4661346845447198</v>
      </c>
      <c r="Y58" s="426" t="e">
        <f t="shared" ca="1" si="12"/>
        <v>#VALUE!</v>
      </c>
      <c r="Z58" s="427" t="e">
        <f t="shared" ca="1" si="1"/>
        <v>#VALUE!</v>
      </c>
      <c r="AA58" s="426">
        <f t="shared" ca="1" si="2"/>
        <v>0.11756306786469334</v>
      </c>
      <c r="AB58" s="428">
        <f t="shared" ca="1" si="3"/>
        <v>3.3748686492888263E-3</v>
      </c>
      <c r="AC58" s="427">
        <f t="shared" ca="1" si="4"/>
        <v>-9.3262273928781611E-5</v>
      </c>
      <c r="AD58" s="79"/>
      <c r="AE58" s="496">
        <f t="shared" ca="1" si="5"/>
        <v>-3.5734801818509999E-3</v>
      </c>
      <c r="AF58" s="493">
        <f t="shared" ca="1" si="6"/>
        <v>3.7575051342088779E-3</v>
      </c>
      <c r="AG58" s="493">
        <f t="shared" ca="1" si="7"/>
        <v>0</v>
      </c>
      <c r="AH58" s="498">
        <f t="shared" ca="1" si="8"/>
        <v>0</v>
      </c>
      <c r="AI58" s="497">
        <f t="shared" ca="1" si="13"/>
        <v>-3.5734801818509999E-3</v>
      </c>
      <c r="AJ58" s="493">
        <f t="shared" ca="1" si="9"/>
        <v>0.26950076024324349</v>
      </c>
      <c r="AK58" s="493">
        <f t="shared" ca="1" si="10"/>
        <v>0</v>
      </c>
      <c r="AL58" s="498">
        <f t="shared" ca="1" si="11"/>
        <v>0</v>
      </c>
      <c r="AN58" s="532" t="str">
        <f t="shared" ca="1" si="0"/>
        <v>ElectricitedePortugal_MMR.EUR.SU</v>
      </c>
      <c r="AO58" s="524" cm="1">
        <f t="array" aca="1" ref="AO58" ca="1">IF(AN58&lt;&gt;"",TRANSPOSE(INDEX(GetCDS($C83,AO$13,$G83/10000,F83,D83,$C$13,$C$14,$C$15,$C$8,,,TRUE,TRUE,FALSE,$C$29:$C$31,$C$33),{5})),"")</f>
        <v>0.47822810520300102</v>
      </c>
      <c r="AP58" s="524" cm="1">
        <f t="array" aca="1" ref="AP58" ca="1">IF(AO58&lt;&gt;"",TRANSPOSE(INDEX(GetCDS($C83,AP$13,$G83/10000,G83,E83,$C$13,$C$14,$C$15,$C$8,,,TRUE,TRUE,FALSE,$C$29:$C$31,$C$33),{5})),"")</f>
        <v>0.964130570209488</v>
      </c>
      <c r="AQ58" s="524" cm="1">
        <f t="array" aca="1" ref="AQ58" ca="1">IF(AP58&lt;&gt;"",TRANSPOSE(INDEX(GetCDS($C83,AQ$13,$G83/10000,H83,F83,$C$13,$C$14,$C$15,$C$8,,,TRUE,TRUE,FALSE,$C$29:$C$31,$C$33),{5})),"")</f>
        <v>2.8001652522548501</v>
      </c>
      <c r="AR58" s="524" cm="1">
        <f t="array" aca="1" ref="AR58" ca="1">IF(AQ58&lt;&gt;"",TRANSPOSE(INDEX(GetCDS($C83,AR$13,$G83/10000,I83,G83,$C$13,$C$14,$C$15,$C$8,,,TRUE,TRUE,FALSE,$C$29:$C$31,$C$33),{5})),"")</f>
        <v>4.4622219857390499</v>
      </c>
      <c r="AS58" s="525" cm="1">
        <f t="array" aca="1" ref="AS58" ca="1">IF(AR58&lt;&gt;"",TRANSPOSE(INDEX(GetCDS($C83,AS$13,$G83/10000,J83,H83,$C$13,$C$14,$C$15,$C$8,,,TRUE,TRUE,FALSE,$C$29:$C$31,$C$33),{5})),"")</f>
        <v>7.8833100391397899</v>
      </c>
    </row>
    <row r="59" spans="1:45" customFormat="1" ht="15">
      <c r="A59" s="227"/>
      <c r="B59" s="276">
        <v>21</v>
      </c>
      <c r="C59" s="254" t="s">
        <v>109</v>
      </c>
      <c r="D59" s="255">
        <v>1</v>
      </c>
      <c r="E59" s="247"/>
      <c r="F59" s="232">
        <v>0.4</v>
      </c>
      <c r="G59" s="435">
        <v>100</v>
      </c>
      <c r="H59" s="386">
        <v>45</v>
      </c>
      <c r="I59" s="413">
        <f ca="1"/>
        <v>1.7102525640164601E-4</v>
      </c>
      <c r="J59" s="413">
        <f ca="1"/>
        <v>4.7560025768029102E-4</v>
      </c>
      <c r="K59" s="413">
        <f ca="1"/>
        <v>0.35959874629969801</v>
      </c>
      <c r="L59" s="413">
        <f ca="1"/>
        <v>0.35959874629969801</v>
      </c>
      <c r="M59" s="413">
        <f ca="1"/>
        <v>-1.9860223108767399E-4</v>
      </c>
      <c r="N59" s="452" t="str">
        <f ca="1"/>
        <v>ELECTRICITEDEPORTUGAL_MMR.EUR.SU</v>
      </c>
      <c r="O59" s="413"/>
      <c r="P59" s="413"/>
      <c r="Q59" s="413"/>
      <c r="R59" s="452"/>
      <c r="S59" s="443"/>
      <c r="T59" s="422" cm="1">
        <f t="array" aca="1" ref="T59:X59" ca="1">IF(AND($U$12,B83&lt;=$C$17,C83&lt;&gt;""),TRANSPOSE(INDEX(GetCDS(C83,$C$6,G83/10000,F83,D83,$C$13,$C$14,$C$15,$C$8,,,TRUE,TRUE,FALSE,$C$29:$C$31,$C$33),{1;2;3;4;5})),"")</f>
        <v>-2.78382788619706E-2</v>
      </c>
      <c r="U59" s="423">
        <f ca="1"/>
        <v>1.67839409954199E-2</v>
      </c>
      <c r="V59" s="423">
        <f ca="1"/>
        <v>4.4622219857390497E-2</v>
      </c>
      <c r="W59" s="424">
        <f ca="1"/>
        <v>3.7613415578741302E-3</v>
      </c>
      <c r="X59" s="425">
        <f ca="1"/>
        <v>4.4622219857390499</v>
      </c>
      <c r="Y59" s="426" t="e">
        <f t="shared" ca="1" si="12"/>
        <v>#VALUE!</v>
      </c>
      <c r="Z59" s="427" t="e">
        <f t="shared" ca="1" si="1"/>
        <v>#VALUE!</v>
      </c>
      <c r="AA59" s="426">
        <f t="shared" ca="1" si="2"/>
        <v>0.12086038420447033</v>
      </c>
      <c r="AB59" s="428">
        <f t="shared" ca="1" si="3"/>
        <v>3.5732744799804234E-3</v>
      </c>
      <c r="AC59" s="427">
        <f t="shared" ca="1" si="4"/>
        <v>-1.0142567785858068E-4</v>
      </c>
      <c r="AD59" s="79"/>
      <c r="AE59" s="496">
        <f t="shared" ca="1" si="5"/>
        <v>-3.9169339816790003E-3</v>
      </c>
      <c r="AF59" s="493">
        <f t="shared" ca="1" si="6"/>
        <v>3.1828200155970647E-3</v>
      </c>
      <c r="AG59" s="493">
        <f t="shared" ca="1" si="7"/>
        <v>0</v>
      </c>
      <c r="AH59" s="498">
        <f t="shared" ca="1" si="8"/>
        <v>0</v>
      </c>
      <c r="AI59" s="497">
        <f t="shared" ca="1" si="13"/>
        <v>-3.9169339816790003E-3</v>
      </c>
      <c r="AJ59" s="493">
        <f t="shared" ca="1" si="9"/>
        <v>0.27665862944026615</v>
      </c>
      <c r="AK59" s="493">
        <f t="shared" ca="1" si="10"/>
        <v>0</v>
      </c>
      <c r="AL59" s="498">
        <f t="shared" ca="1" si="11"/>
        <v>0</v>
      </c>
      <c r="AN59" s="532" t="str">
        <f t="shared" ca="1" si="0"/>
        <v>Electrolux_MMR.EUR.SU</v>
      </c>
      <c r="AO59" s="524" cm="1">
        <f t="array" aca="1" ref="AO59" ca="1">IF(AN59&lt;&gt;"",TRANSPOSE(INDEX(GetCDS($C84,AO$13,$G84/10000,F84,D84,$C$13,$C$14,$C$15,$C$8,,,TRUE,TRUE,FALSE,$C$29:$C$31,$C$33),{5})),"")</f>
        <v>0.47824737628841801</v>
      </c>
      <c r="AP59" s="524" cm="1">
        <f t="array" aca="1" ref="AP59" ca="1">IF(AO59&lt;&gt;"",TRANSPOSE(INDEX(GetCDS($C84,AP$13,$G84/10000,G84,E84,$C$13,$C$14,$C$15,$C$8,,,TRUE,TRUE,FALSE,$C$29:$C$31,$C$33),{5})),"")</f>
        <v>0.96427390728403195</v>
      </c>
      <c r="AQ59" s="524" cm="1">
        <f t="array" aca="1" ref="AQ59" ca="1">IF(AP59&lt;&gt;"",TRANSPOSE(INDEX(GetCDS($C84,AQ$13,$G84/10000,H84,F84,$C$13,$C$14,$C$15,$C$8,,,TRUE,TRUE,FALSE,$C$29:$C$31,$C$33),{5})),"")</f>
        <v>2.8041373865782502</v>
      </c>
      <c r="AR59" s="524" cm="1">
        <f t="array" aca="1" ref="AR59" ca="1">IF(AQ59&lt;&gt;"",TRANSPOSE(INDEX(GetCDS($C84,AR$13,$G84/10000,I84,G84,$C$13,$C$14,$C$15,$C$8,,,TRUE,TRUE,FALSE,$C$29:$C$31,$C$33),{5})),"")</f>
        <v>4.4693351453236501</v>
      </c>
      <c r="AS59" s="525" cm="1">
        <f t="array" aca="1" ref="AS59" ca="1">IF(AR59&lt;&gt;"",TRANSPOSE(INDEX(GetCDS($C84,AS$13,$G84/10000,J84,H84,$C$13,$C$14,$C$15,$C$8,,,TRUE,TRUE,FALSE,$C$29:$C$31,$C$33),{5})),"")</f>
        <v>7.8901825751846202</v>
      </c>
    </row>
    <row r="60" spans="1:45" customFormat="1" ht="15">
      <c r="A60" s="227"/>
      <c r="B60" s="276">
        <v>22</v>
      </c>
      <c r="C60" s="254" t="s">
        <v>110</v>
      </c>
      <c r="D60" s="255">
        <v>1</v>
      </c>
      <c r="E60" s="247"/>
      <c r="F60" s="232">
        <v>0.4</v>
      </c>
      <c r="G60" s="435">
        <v>100</v>
      </c>
      <c r="H60" s="386">
        <v>46</v>
      </c>
      <c r="I60" s="413">
        <f ca="1"/>
        <v>1.6747928378351199E-4</v>
      </c>
      <c r="J60" s="413">
        <f ca="1"/>
        <v>4.7622583404265698E-4</v>
      </c>
      <c r="K60" s="413">
        <f ca="1"/>
        <v>0.35168038315306999</v>
      </c>
      <c r="L60" s="413">
        <f ca="1"/>
        <v>0.35168038315306999</v>
      </c>
      <c r="M60" s="413">
        <f ca="1"/>
        <v>-1.90680757723527E-4</v>
      </c>
      <c r="N60" s="452" t="str">
        <f ca="1"/>
        <v>ELECTROLUX_MMR.EUR.SU</v>
      </c>
      <c r="O60" s="413"/>
      <c r="P60" s="413"/>
      <c r="Q60" s="413"/>
      <c r="R60" s="452"/>
      <c r="S60" s="443"/>
      <c r="T60" s="422" cm="1">
        <f t="array" aca="1" ref="T60:X60" ca="1">IF(AND($U$12,B84&lt;=$C$17,C84&lt;&gt;""),TRANSPOSE(INDEX(GetCDS(C84,$C$6,G84/10000,F84,D84,$C$13,$C$14,$C$15,$C$8,,,TRUE,TRUE,FALSE,$C$29:$C$31,$C$33),{1;2;3;4;5})),"")</f>
        <v>-2.8349909311676202E-2</v>
      </c>
      <c r="U60" s="423">
        <f ca="1"/>
        <v>1.6343442141560301E-2</v>
      </c>
      <c r="V60" s="423">
        <f ca="1"/>
        <v>4.4693351453236503E-2</v>
      </c>
      <c r="W60" s="424">
        <f ca="1"/>
        <v>3.6567949393235301E-3</v>
      </c>
      <c r="X60" s="425">
        <f ca="1"/>
        <v>4.4693351453236501</v>
      </c>
      <c r="Y60" s="426" t="e">
        <f t="shared" ca="1" si="12"/>
        <v>#VALUE!</v>
      </c>
      <c r="Z60" s="427" t="e">
        <f t="shared" ca="1" si="1"/>
        <v>#VALUE!</v>
      </c>
      <c r="AA60" s="426">
        <f t="shared" ca="1" si="2"/>
        <v>0.11821851897738467</v>
      </c>
      <c r="AB60" s="428">
        <f t="shared" ca="1" si="3"/>
        <v>3.4739551923573535E-3</v>
      </c>
      <c r="AC60" s="427">
        <f t="shared" ca="1" si="4"/>
        <v>-9.6604876248391878E-5</v>
      </c>
      <c r="AD60" s="79"/>
      <c r="AE60" s="496">
        <f t="shared" ca="1" si="5"/>
        <v>-3.6512093625410101E-3</v>
      </c>
      <c r="AF60" s="493">
        <f t="shared" ca="1" si="6"/>
        <v>3.5692562950067029E-3</v>
      </c>
      <c r="AG60" s="493">
        <f t="shared" ca="1" si="7"/>
        <v>0</v>
      </c>
      <c r="AH60" s="498">
        <f t="shared" ca="1" si="8"/>
        <v>0</v>
      </c>
      <c r="AI60" s="497">
        <f t="shared" ca="1" si="13"/>
        <v>-3.6512093625410101E-3</v>
      </c>
      <c r="AJ60" s="493">
        <f t="shared" ca="1" si="9"/>
        <v>0.27084776469272154</v>
      </c>
      <c r="AK60" s="493">
        <f t="shared" ca="1" si="10"/>
        <v>0</v>
      </c>
      <c r="AL60" s="498">
        <f t="shared" ca="1" si="11"/>
        <v>0</v>
      </c>
      <c r="AN60" s="532" t="str">
        <f t="shared" ca="1" si="0"/>
        <v>Endesa_MMR.EUR.SU</v>
      </c>
      <c r="AO60" s="524" cm="1">
        <f t="array" aca="1" ref="AO60" ca="1">IF(AN60&lt;&gt;"",TRANSPOSE(INDEX(GetCDS($C85,AO$13,$G85/10000,F85,D85,$C$13,$C$14,$C$15,$C$8,,,TRUE,TRUE,FALSE,$C$29:$C$31,$C$33),{5})),"")</f>
        <v>0.478112500546098</v>
      </c>
      <c r="AP60" s="524" cm="1">
        <f t="array" aca="1" ref="AP60" ca="1">IF(AO60&lt;&gt;"",TRANSPOSE(INDEX(GetCDS($C85,AP$13,$G85/10000,G85,E85,$C$13,$C$14,$C$15,$C$8,,,TRUE,TRUE,FALSE,$C$29:$C$31,$C$33),{5})),"")</f>
        <v>0.96369610759683499</v>
      </c>
      <c r="AQ60" s="524" cm="1">
        <f t="array" aca="1" ref="AQ60" ca="1">IF(AP60&lt;&gt;"",TRANSPOSE(INDEX(GetCDS($C85,AQ$13,$G85/10000,H85,F85,$C$13,$C$14,$C$15,$C$8,,,TRUE,TRUE,FALSE,$C$29:$C$31,$C$33),{5})),"")</f>
        <v>2.7958631984936999</v>
      </c>
      <c r="AR60" s="524" cm="1">
        <f t="array" aca="1" ref="AR60" ca="1">IF(AQ60&lt;&gt;"",TRANSPOSE(INDEX(GetCDS($C85,AR$13,$G85/10000,I85,G85,$C$13,$C$14,$C$15,$C$8,,,TRUE,TRUE,FALSE,$C$29:$C$31,$C$33),{5})),"")</f>
        <v>4.44837470401038</v>
      </c>
      <c r="AS60" s="525" cm="1">
        <f t="array" aca="1" ref="AS60" ca="1">IF(AR60&lt;&gt;"",TRANSPOSE(INDEX(GetCDS($C85,AS$13,$G85/10000,J85,H85,$C$13,$C$14,$C$15,$C$8,,,TRUE,TRUE,FALSE,$C$29:$C$31,$C$33),{5})),"")</f>
        <v>7.8313635165704101</v>
      </c>
    </row>
    <row r="61" spans="1:45" customFormat="1" ht="15">
      <c r="A61" s="227"/>
      <c r="B61" s="276">
        <v>23</v>
      </c>
      <c r="C61" s="254" t="s">
        <v>111</v>
      </c>
      <c r="D61" s="255">
        <v>1</v>
      </c>
      <c r="E61" s="247"/>
      <c r="F61" s="232">
        <v>0.4</v>
      </c>
      <c r="G61" s="435">
        <v>100</v>
      </c>
      <c r="H61" s="386">
        <v>47</v>
      </c>
      <c r="I61" s="413">
        <f ca="1"/>
        <v>1.8769263618219101E-4</v>
      </c>
      <c r="J61" s="413">
        <f ca="1"/>
        <v>4.71638993708724E-4</v>
      </c>
      <c r="K61" s="413">
        <f ca="1"/>
        <v>0.39795826614392799</v>
      </c>
      <c r="L61" s="413">
        <f ca="1"/>
        <v>0.39795826614392799</v>
      </c>
      <c r="M61" s="413">
        <f ca="1"/>
        <v>-2.4898083975421998E-4</v>
      </c>
      <c r="N61" s="452" t="str">
        <f ca="1"/>
        <v>ENDESA_MMR.EUR.SU</v>
      </c>
      <c r="O61" s="413"/>
      <c r="P61" s="413"/>
      <c r="Q61" s="413"/>
      <c r="R61" s="452"/>
      <c r="S61" s="443"/>
      <c r="T61" s="422" cm="1">
        <f t="array" aca="1" ref="T61:X61" ca="1">IF(AND($U$12,B85&lt;=$C$17,C85&lt;&gt;""),TRANSPOSE(INDEX(GetCDS(C85,$C$6,G85/10000,F85,D85,$C$13,$C$14,$C$15,$C$8,,,TRUE,TRUE,FALSE,$C$29:$C$31,$C$33),{1;2;3;4;5})),"")</f>
        <v>-2.35727707835676E-2</v>
      </c>
      <c r="U61" s="423">
        <f ca="1"/>
        <v>2.09109762565362E-2</v>
      </c>
      <c r="V61" s="423">
        <f ca="1"/>
        <v>4.4483747040103799E-2</v>
      </c>
      <c r="W61" s="424">
        <f ca="1"/>
        <v>4.7008126895614604E-3</v>
      </c>
      <c r="X61" s="425">
        <f ca="1"/>
        <v>4.44837470401038</v>
      </c>
      <c r="Y61" s="426" t="e">
        <f t="shared" ca="1" si="12"/>
        <v>#VALUE!</v>
      </c>
      <c r="Z61" s="427" t="e">
        <f t="shared" ca="1" si="1"/>
        <v>#VALUE!</v>
      </c>
      <c r="AA61" s="426">
        <f t="shared" ca="1" si="2"/>
        <v>0.13368363080874765</v>
      </c>
      <c r="AB61" s="428">
        <f t="shared" ca="1" si="3"/>
        <v>4.4657720550833873E-3</v>
      </c>
      <c r="AC61" s="427">
        <f t="shared" ca="1" si="4"/>
        <v>-1.397727614864637E-4</v>
      </c>
      <c r="AD61" s="79"/>
      <c r="AE61" s="496">
        <f t="shared" ca="1" si="5"/>
        <v>-5.4802770417579898E-3</v>
      </c>
      <c r="AF61" s="493">
        <f t="shared" ca="1" si="6"/>
        <v>5.7991392425781746E-4</v>
      </c>
      <c r="AG61" s="493">
        <f t="shared" ca="1" si="7"/>
        <v>0</v>
      </c>
      <c r="AH61" s="498">
        <f t="shared" ca="1" si="8"/>
        <v>0</v>
      </c>
      <c r="AI61" s="497">
        <f t="shared" ca="1" si="13"/>
        <v>-5.4802770417579898E-3</v>
      </c>
      <c r="AJ61" s="493">
        <f t="shared" ca="1" si="9"/>
        <v>0.30436189230383787</v>
      </c>
      <c r="AK61" s="493">
        <f t="shared" ca="1" si="10"/>
        <v>0</v>
      </c>
      <c r="AL61" s="498">
        <f t="shared" ca="1" si="11"/>
        <v>0</v>
      </c>
      <c r="AN61" s="532" t="str">
        <f t="shared" ca="1" si="0"/>
        <v>ENEL_MMR.EUR.SU</v>
      </c>
      <c r="AO61" s="524" cm="1">
        <f t="array" aca="1" ref="AO61" ca="1">IF(AN61&lt;&gt;"",TRANSPOSE(INDEX(GetCDS($C86,AO$13,$G86/10000,F86,D86,$C$13,$C$14,$C$15,$C$8,,,TRUE,TRUE,FALSE,$C$29:$C$31,$C$33),{5})),"")</f>
        <v>0.47818956615522601</v>
      </c>
      <c r="AP61" s="524" cm="1">
        <f t="array" aca="1" ref="AP61" ca="1">IF(AO61&lt;&gt;"",TRANSPOSE(INDEX(GetCDS($C86,AP$13,$G86/10000,G86,E86,$C$13,$C$14,$C$15,$C$8,,,TRUE,TRUE,FALSE,$C$29:$C$31,$C$33),{5})),"")</f>
        <v>0.96401149573533196</v>
      </c>
      <c r="AQ61" s="524" cm="1">
        <f t="array" aca="1" ref="AQ61" ca="1">IF(AP61&lt;&gt;"",TRANSPOSE(INDEX(GetCDS($C86,AQ$13,$G86/10000,H86,F86,$C$13,$C$14,$C$15,$C$8,,,TRUE,TRUE,FALSE,$C$29:$C$31,$C$33),{5})),"")</f>
        <v>2.79921842326153</v>
      </c>
      <c r="AR61" s="524" cm="1">
        <f t="array" aca="1" ref="AR61" ca="1">IF(AQ61&lt;&gt;"",TRANSPOSE(INDEX(GetCDS($C86,AR$13,$G86/10000,I86,G86,$C$13,$C$14,$C$15,$C$8,,,TRUE,TRUE,FALSE,$C$29:$C$31,$C$33),{5})),"")</f>
        <v>4.459018760178</v>
      </c>
      <c r="AS61" s="525" cm="1">
        <f t="array" aca="1" ref="AS61" ca="1">IF(AR61&lt;&gt;"",TRANSPOSE(INDEX(GetCDS($C86,AS$13,$G86/10000,J86,H86,$C$13,$C$14,$C$15,$C$8,,,TRUE,TRUE,FALSE,$C$29:$C$31,$C$33),{5})),"")</f>
        <v>7.8720670881831296</v>
      </c>
    </row>
    <row r="62" spans="1:45" customFormat="1" ht="15">
      <c r="A62" s="227"/>
      <c r="B62" s="276">
        <v>24</v>
      </c>
      <c r="C62" s="254" t="s">
        <v>112</v>
      </c>
      <c r="D62" s="255">
        <v>1</v>
      </c>
      <c r="E62" s="247"/>
      <c r="F62" s="232">
        <v>0.4</v>
      </c>
      <c r="G62" s="435">
        <v>100</v>
      </c>
      <c r="H62" s="386">
        <v>48</v>
      </c>
      <c r="I62" s="413">
        <f ca="1"/>
        <v>1.7501628245080201E-4</v>
      </c>
      <c r="J62" s="413">
        <f ca="1"/>
        <v>4.7473793808311399E-4</v>
      </c>
      <c r="K62" s="413">
        <f ca="1"/>
        <v>0.36865872392141003</v>
      </c>
      <c r="L62" s="413">
        <f ca="1"/>
        <v>0.36865872392141003</v>
      </c>
      <c r="M62" s="413">
        <f ca="1"/>
        <v>-2.10059837772758E-4</v>
      </c>
      <c r="N62" s="452" t="str">
        <f ca="1"/>
        <v>ENEL_MMR.EUR.SU</v>
      </c>
      <c r="O62" s="413"/>
      <c r="P62" s="413"/>
      <c r="Q62" s="413"/>
      <c r="R62" s="452"/>
      <c r="S62" s="443"/>
      <c r="T62" s="422" cm="1">
        <f t="array" aca="1" ref="T62:X62" ca="1">IF(AND($U$12,B86&lt;=$C$17,C86&lt;&gt;""),TRANSPOSE(INDEX(GetCDS(C86,$C$6,G86/10000,F86,D86,$C$13,$C$14,$C$15,$C$8,,,TRUE,TRUE,FALSE,$C$29:$C$31,$C$33),{1;2;3;4;5})),"")</f>
        <v>-2.6887249305996699E-2</v>
      </c>
      <c r="U62" s="423">
        <f ca="1"/>
        <v>1.7702938295783299E-2</v>
      </c>
      <c r="V62" s="423">
        <f ca="1"/>
        <v>4.4590187601779997E-2</v>
      </c>
      <c r="W62" s="424">
        <f ca="1"/>
        <v>3.9701421429042399E-3</v>
      </c>
      <c r="X62" s="425">
        <f ca="1"/>
        <v>4.459018760178</v>
      </c>
      <c r="Y62" s="426" t="e">
        <f t="shared" ca="1" si="12"/>
        <v>#VALUE!</v>
      </c>
      <c r="Z62" s="427" t="e">
        <f t="shared" ca="1" si="1"/>
        <v>#VALUE!</v>
      </c>
      <c r="AA62" s="426">
        <f t="shared" ca="1" si="2"/>
        <v>0.12388986088743199</v>
      </c>
      <c r="AB62" s="428">
        <f t="shared" ca="1" si="3"/>
        <v>3.7716350357590279E-3</v>
      </c>
      <c r="AC62" s="427">
        <f t="shared" ca="1" si="4"/>
        <v>-1.0966072813816927E-4</v>
      </c>
      <c r="AD62" s="79"/>
      <c r="AE62" s="496">
        <f t="shared" ca="1" si="5"/>
        <v>-4.2515832440610003E-3</v>
      </c>
      <c r="AF62" s="493">
        <f t="shared" ca="1" si="6"/>
        <v>2.6173718997908671E-3</v>
      </c>
      <c r="AG62" s="493">
        <f t="shared" ca="1" si="7"/>
        <v>0</v>
      </c>
      <c r="AH62" s="498">
        <f t="shared" ca="1" si="8"/>
        <v>0</v>
      </c>
      <c r="AI62" s="497">
        <f t="shared" ca="1" si="13"/>
        <v>-4.2515832440610003E-3</v>
      </c>
      <c r="AJ62" s="493">
        <f t="shared" ca="1" si="9"/>
        <v>0.28321585526755672</v>
      </c>
      <c r="AK62" s="493">
        <f t="shared" ca="1" si="10"/>
        <v>0</v>
      </c>
      <c r="AL62" s="498">
        <f t="shared" ca="1" si="11"/>
        <v>0</v>
      </c>
      <c r="AN62" s="532" t="str">
        <f t="shared" ca="1" si="0"/>
        <v>EnergieBadenWuerttemberg_MMR.EUR.SU</v>
      </c>
      <c r="AO62" s="524" cm="1">
        <f t="array" aca="1" ref="AO62" ca="1">IF(AN62&lt;&gt;"",TRANSPOSE(INDEX(GetCDS($C87,AO$13,$G87/10000,F87,D87,$C$13,$C$14,$C$15,$C$8,,,TRUE,TRUE,FALSE,$C$29:$C$31,$C$33),{5})),"")</f>
        <v>0.47822810520300102</v>
      </c>
      <c r="AP62" s="524" cm="1">
        <f t="array" aca="1" ref="AP62" ca="1">IF(AO62&lt;&gt;"",TRANSPOSE(INDEX(GetCDS($C87,AP$13,$G87/10000,G87,E87,$C$13,$C$14,$C$15,$C$8,,,TRUE,TRUE,FALSE,$C$29:$C$31,$C$33),{5})),"")</f>
        <v>0.964195019111033</v>
      </c>
      <c r="AQ62" s="524" cm="1">
        <f t="array" aca="1" ref="AQ62" ca="1">IF(AP62&lt;&gt;"",TRANSPOSE(INDEX(GetCDS($C87,AQ$13,$G87/10000,H87,F87,$C$13,$C$14,$C$15,$C$8,,,TRUE,TRUE,FALSE,$C$29:$C$31,$C$33),{5})),"")</f>
        <v>2.8049769426827398</v>
      </c>
      <c r="AR62" s="524" cm="1">
        <f t="array" aca="1" ref="AR62" ca="1">IF(AQ62&lt;&gt;"",TRANSPOSE(INDEX(GetCDS($C87,AR$13,$G87/10000,I87,G87,$C$13,$C$14,$C$15,$C$8,,,TRUE,TRUE,FALSE,$C$29:$C$31,$C$33),{5})),"")</f>
        <v>4.4807203645068601</v>
      </c>
      <c r="AS62" s="525" cm="1">
        <f t="array" aca="1" ref="AS62" ca="1">IF(AR62&lt;&gt;"",TRANSPOSE(INDEX(GetCDS($C87,AS$13,$G87/10000,J87,H87,$C$13,$C$14,$C$15,$C$8,,,TRUE,TRUE,FALSE,$C$29:$C$31,$C$33),{5})),"")</f>
        <v>7.9826278901379197</v>
      </c>
    </row>
    <row r="63" spans="1:45" customFormat="1" ht="15">
      <c r="A63" s="227"/>
      <c r="B63" s="276">
        <v>25</v>
      </c>
      <c r="C63" s="254" t="s">
        <v>113</v>
      </c>
      <c r="D63" s="255">
        <v>1</v>
      </c>
      <c r="E63" s="247"/>
      <c r="F63" s="232">
        <v>0.4</v>
      </c>
      <c r="G63" s="435">
        <v>100</v>
      </c>
      <c r="H63" s="386">
        <v>49</v>
      </c>
      <c r="I63" s="413">
        <f ca="1"/>
        <v>1.38340733255426E-4</v>
      </c>
      <c r="J63" s="413">
        <f ca="1"/>
        <v>4.8134703498463398E-4</v>
      </c>
      <c r="K63" s="413">
        <f ca="1"/>
        <v>0.28740331445033701</v>
      </c>
      <c r="L63" s="413">
        <f ca="1"/>
        <v>0.28740331445033701</v>
      </c>
      <c r="M63" s="413">
        <f ca="1"/>
        <v>-1.1725970095770601E-4</v>
      </c>
      <c r="N63" s="452" t="str">
        <f ca="1"/>
        <v>ENERGIEBADENWUERTTEMBERG_MMR.EUR.SU</v>
      </c>
      <c r="O63" s="413"/>
      <c r="P63" s="413"/>
      <c r="Q63" s="413"/>
      <c r="R63" s="452"/>
      <c r="S63" s="443"/>
      <c r="T63" s="422" cm="1">
        <f t="array" aca="1" ref="T63:X63" ca="1">IF(AND($U$12,B87&lt;=$C$17,C87&lt;&gt;""),TRANSPOSE(INDEX(GetCDS(C87,$C$6,G87/10000,F87,D87,$C$13,$C$14,$C$15,$C$8,,,TRUE,TRUE,FALSE,$C$29:$C$31,$C$33),{1;2;3;4;5})),"")</f>
        <v>-3.4504634437190297E-2</v>
      </c>
      <c r="U63" s="423">
        <f ca="1"/>
        <v>1.0302569207878301E-2</v>
      </c>
      <c r="V63" s="423">
        <f ca="1"/>
        <v>4.48072036450686E-2</v>
      </c>
      <c r="W63" s="424">
        <f ca="1"/>
        <v>2.2993109075692499E-3</v>
      </c>
      <c r="X63" s="425">
        <f ca="1"/>
        <v>4.4807203645068601</v>
      </c>
      <c r="Y63" s="426" t="e">
        <f t="shared" ca="1" si="12"/>
        <v>#VALUE!</v>
      </c>
      <c r="Z63" s="427" t="e">
        <f t="shared" ca="1" si="1"/>
        <v>#VALUE!</v>
      </c>
      <c r="AA63" s="426">
        <f t="shared" ca="1" si="2"/>
        <v>9.6696200561509335E-2</v>
      </c>
      <c r="AB63" s="428">
        <f t="shared" ca="1" si="3"/>
        <v>2.1843453621907872E-3</v>
      </c>
      <c r="AC63" s="427">
        <f t="shared" ca="1" si="4"/>
        <v>-4.9810964921191572E-5</v>
      </c>
      <c r="AD63" s="79"/>
      <c r="AE63" s="496">
        <f t="shared" ca="1" si="5"/>
        <v>-1.8919397491530001E-3</v>
      </c>
      <c r="AF63" s="493">
        <f t="shared" ca="1" si="6"/>
        <v>6.8174314844632877E-3</v>
      </c>
      <c r="AG63" s="493">
        <f t="shared" ca="1" si="7"/>
        <v>0</v>
      </c>
      <c r="AH63" s="498">
        <f t="shared" ca="1" si="8"/>
        <v>0</v>
      </c>
      <c r="AI63" s="497">
        <f t="shared" ca="1" si="13"/>
        <v>-1.8919397491530001E-3</v>
      </c>
      <c r="AJ63" s="493">
        <f t="shared" ca="1" si="9"/>
        <v>0.2241786444470503</v>
      </c>
      <c r="AK63" s="493">
        <f t="shared" ca="1" si="10"/>
        <v>0</v>
      </c>
      <c r="AL63" s="498">
        <f t="shared" ca="1" si="11"/>
        <v>0</v>
      </c>
      <c r="AN63" s="532" t="str">
        <f t="shared" ca="1" si="0"/>
        <v>Eon_MMR.EUR.SU</v>
      </c>
      <c r="AO63" s="524" cm="1">
        <f t="array" aca="1" ref="AO63" ca="1">IF(AN63&lt;&gt;"",TRANSPOSE(INDEX(GetCDS($C88,AO$13,$G88/10000,F88,D88,$C$13,$C$14,$C$15,$C$8,,,TRUE,TRUE,FALSE,$C$29:$C$31,$C$33),{5})),"")</f>
        <v>0.47818956615522601</v>
      </c>
      <c r="AP63" s="524" cm="1">
        <f t="array" aca="1" ref="AP63" ca="1">IF(AO63&lt;&gt;"",TRANSPOSE(INDEX(GetCDS($C88,AP$13,$G88/10000,G88,E88,$C$13,$C$14,$C$15,$C$8,,,TRUE,TRUE,FALSE,$C$29:$C$31,$C$33),{5})),"")</f>
        <v>0.96403726865316297</v>
      </c>
      <c r="AQ63" s="524" cm="1">
        <f t="array" aca="1" ref="AQ63" ca="1">IF(AP63&lt;&gt;"",TRANSPOSE(INDEX(GetCDS($C88,AQ$13,$G88/10000,H88,F88,$C$13,$C$14,$C$15,$C$8,,,TRUE,TRUE,FALSE,$C$29:$C$31,$C$33),{5})),"")</f>
        <v>2.8034113050938201</v>
      </c>
      <c r="AR63" s="524" cm="1">
        <f t="array" aca="1" ref="AR63" ca="1">IF(AQ63&lt;&gt;"",TRANSPOSE(INDEX(GetCDS($C88,AR$13,$G88/10000,I88,G88,$C$13,$C$14,$C$15,$C$8,,,TRUE,TRUE,FALSE,$C$29:$C$31,$C$33),{5})),"")</f>
        <v>4.4774980281024597</v>
      </c>
      <c r="AS63" s="525" cm="1">
        <f t="array" aca="1" ref="AS63" ca="1">IF(AR63&lt;&gt;"",TRANSPOSE(INDEX(GetCDS($C88,AS$13,$G88/10000,J88,H88,$C$13,$C$14,$C$15,$C$8,,,TRUE,TRUE,FALSE,$C$29:$C$31,$C$33),{5})),"")</f>
        <v>7.9689374557403401</v>
      </c>
    </row>
    <row r="64" spans="1:45" customFormat="1" ht="15">
      <c r="A64" s="227"/>
      <c r="B64" s="276">
        <v>26</v>
      </c>
      <c r="C64" s="254" t="s">
        <v>114</v>
      </c>
      <c r="D64" s="255">
        <v>1</v>
      </c>
      <c r="E64" s="247"/>
      <c r="F64" s="232">
        <v>0.4</v>
      </c>
      <c r="G64" s="435">
        <v>100</v>
      </c>
      <c r="H64" s="386">
        <v>50</v>
      </c>
      <c r="I64" s="413">
        <f ca="1"/>
        <v>1.44008989146727E-4</v>
      </c>
      <c r="J64" s="413">
        <f ca="1"/>
        <v>4.80468879948781E-4</v>
      </c>
      <c r="K64" s="413">
        <f ca="1"/>
        <v>0.29972594512693201</v>
      </c>
      <c r="L64" s="413">
        <f ca="1"/>
        <v>0.29972594512693201</v>
      </c>
      <c r="M64" s="413">
        <f ca="1"/>
        <v>-1.2930843107801201E-4</v>
      </c>
      <c r="N64" s="452" t="str">
        <f ca="1"/>
        <v>EON_MMR.EUR.SU</v>
      </c>
      <c r="O64" s="413"/>
      <c r="P64" s="413"/>
      <c r="Q64" s="413"/>
      <c r="R64" s="452"/>
      <c r="S64" s="443"/>
      <c r="T64" s="422" cm="1">
        <f t="array" aca="1" ref="T64:X64" ca="1">IF(AND($U$12,B88&lt;=$C$17,C88&lt;&gt;""),TRANSPOSE(INDEX(GetCDS(C88,$C$6,G88/10000,F88,D88,$C$13,$C$14,$C$15,$C$8,,,TRUE,TRUE,FALSE,$C$29:$C$31,$C$33),{1;2;3;4;5})),"")</f>
        <v>-3.3544287974164901E-2</v>
      </c>
      <c r="U64" s="423">
        <f ca="1"/>
        <v>1.12306923068597E-2</v>
      </c>
      <c r="V64" s="423">
        <f ca="1"/>
        <v>4.4774980281024598E-2</v>
      </c>
      <c r="W64" s="424">
        <f ca="1"/>
        <v>2.5082517594361099E-3</v>
      </c>
      <c r="X64" s="425">
        <f ca="1"/>
        <v>4.4774980281024597</v>
      </c>
      <c r="Y64" s="426" t="e">
        <f t="shared" ca="1" si="12"/>
        <v>#VALUE!</v>
      </c>
      <c r="Z64" s="427" t="e">
        <f t="shared" ca="1" si="1"/>
        <v>#VALUE!</v>
      </c>
      <c r="AA64" s="426">
        <f t="shared" ca="1" si="2"/>
        <v>0.10082084018105165</v>
      </c>
      <c r="AB64" s="428">
        <f t="shared" ca="1" si="3"/>
        <v>2.3828391714643044E-3</v>
      </c>
      <c r="AC64" s="427">
        <f t="shared" ca="1" si="4"/>
        <v>-5.661439170962342E-5</v>
      </c>
      <c r="AD64" s="79"/>
      <c r="AE64" s="496">
        <f t="shared" ca="1" si="5"/>
        <v>-2.1704198644650098E-3</v>
      </c>
      <c r="AF64" s="493">
        <f t="shared" ca="1" si="6"/>
        <v>6.3085699003826712E-3</v>
      </c>
      <c r="AG64" s="493">
        <f t="shared" ca="1" si="7"/>
        <v>0</v>
      </c>
      <c r="AH64" s="498">
        <f t="shared" ca="1" si="8"/>
        <v>0</v>
      </c>
      <c r="AI64" s="497">
        <f t="shared" ca="1" si="13"/>
        <v>-2.1704198644650098E-3</v>
      </c>
      <c r="AJ64" s="493">
        <f t="shared" ca="1" si="9"/>
        <v>0.23318053083874021</v>
      </c>
      <c r="AK64" s="493">
        <f t="shared" ca="1" si="10"/>
        <v>0</v>
      </c>
      <c r="AL64" s="498">
        <f t="shared" ca="1" si="11"/>
        <v>0</v>
      </c>
      <c r="AN64" s="532" t="str">
        <f t="shared" ca="1" si="0"/>
        <v>FortumOyj_MMR.EUR.SU</v>
      </c>
      <c r="AO64" s="524" cm="1">
        <f t="array" aca="1" ref="AO64" ca="1">IF(AN64&lt;&gt;"",TRANSPOSE(INDEX(GetCDS($C89,AO$13,$G89/10000,F89,D89,$C$13,$C$14,$C$15,$C$8,,,TRUE,TRUE,FALSE,$C$29:$C$31,$C$33),{5})),"")</f>
        <v>0.47824737628841801</v>
      </c>
      <c r="AP64" s="524" cm="1">
        <f t="array" aca="1" ref="AP64" ca="1">IF(AO64&lt;&gt;"",TRANSPOSE(INDEX(GetCDS($C89,AP$13,$G89/10000,G89,E89,$C$13,$C$14,$C$15,$C$8,,,TRUE,TRUE,FALSE,$C$29:$C$31,$C$33),{5})),"")</f>
        <v>0.96429968448551195</v>
      </c>
      <c r="AQ64" s="524" cm="1">
        <f t="array" aca="1" ref="AQ64" ca="1">IF(AP64&lt;&gt;"",TRANSPOSE(INDEX(GetCDS($C89,AQ$13,$G89/10000,H89,F89,$C$13,$C$14,$C$15,$C$8,,,TRUE,TRUE,FALSE,$C$29:$C$31,$C$33),{5})),"")</f>
        <v>2.8058038021559</v>
      </c>
      <c r="AR64" s="524" cm="1">
        <f t="array" aca="1" ref="AR64" ca="1">IF(AQ64&lt;&gt;"",TRANSPOSE(INDEX(GetCDS($C89,AR$13,$G89/10000,I89,G89,$C$13,$C$14,$C$15,$C$8,,,TRUE,TRUE,FALSE,$C$29:$C$31,$C$33),{5})),"")</f>
        <v>4.4784947567510596</v>
      </c>
      <c r="AS64" s="525" cm="1">
        <f t="array" aca="1" ref="AS64" ca="1">IF(AR64&lt;&gt;"",TRANSPOSE(INDEX(GetCDS($C89,AS$13,$G89/10000,J89,H89,$C$13,$C$14,$C$15,$C$8,,,TRUE,TRUE,FALSE,$C$29:$C$31,$C$33),{5})),"")</f>
        <v>7.94771783580505</v>
      </c>
    </row>
    <row r="65" spans="1:45" customFormat="1" ht="15">
      <c r="A65" s="227"/>
      <c r="B65" s="276">
        <v>27</v>
      </c>
      <c r="C65" s="254" t="s">
        <v>115</v>
      </c>
      <c r="D65" s="255">
        <v>1</v>
      </c>
      <c r="E65" s="247"/>
      <c r="F65" s="232">
        <v>0.4</v>
      </c>
      <c r="G65" s="435">
        <v>100</v>
      </c>
      <c r="H65" s="386">
        <v>51</v>
      </c>
      <c r="I65" s="413">
        <f ca="1"/>
        <v>1.4987865965314601E-4</v>
      </c>
      <c r="J65" s="413">
        <f ca="1"/>
        <v>4.7955325210416E-4</v>
      </c>
      <c r="K65" s="413">
        <f ca="1"/>
        <v>0.31253809456095999</v>
      </c>
      <c r="L65" s="413">
        <f ca="1"/>
        <v>0.31253809456095999</v>
      </c>
      <c r="M65" s="413">
        <f ca="1"/>
        <v>-1.4483056921414899E-4</v>
      </c>
      <c r="N65" s="452" t="str">
        <f ca="1"/>
        <v>FORTUMOYJ_MMR.EUR.SU</v>
      </c>
      <c r="O65" s="413"/>
      <c r="P65" s="413"/>
      <c r="Q65" s="413"/>
      <c r="R65" s="452"/>
      <c r="S65" s="443"/>
      <c r="T65" s="422" cm="1">
        <f t="array" aca="1" ref="T65:X65" ca="1">IF(AND($U$12,B89&lt;=$C$17,C89&lt;&gt;""),TRANSPOSE(INDEX(GetCDS(C89,$C$6,G89/10000,F89,D89,$C$13,$C$14,$C$15,$C$8,,,TRUE,TRUE,FALSE,$C$29:$C$31,$C$33),{1;2;3;4;5})),"")</f>
        <v>-3.2148929626109699E-2</v>
      </c>
      <c r="U65" s="423">
        <f ca="1"/>
        <v>1.2636017941400899E-2</v>
      </c>
      <c r="V65" s="423">
        <f ca="1"/>
        <v>4.47849475675106E-2</v>
      </c>
      <c r="W65" s="424">
        <f ca="1"/>
        <v>2.8214877157895198E-3</v>
      </c>
      <c r="X65" s="425">
        <f ca="1"/>
        <v>4.4784947567510596</v>
      </c>
      <c r="Y65" s="426" t="e">
        <f t="shared" ca="1" si="12"/>
        <v>#VALUE!</v>
      </c>
      <c r="Z65" s="427" t="e">
        <f t="shared" ca="1" si="1"/>
        <v>#VALUE!</v>
      </c>
      <c r="AA65" s="426">
        <f t="shared" ca="1" si="2"/>
        <v>0.105119074430649</v>
      </c>
      <c r="AB65" s="428">
        <f t="shared" ca="1" si="3"/>
        <v>2.6804133300000438E-3</v>
      </c>
      <c r="AC65" s="427">
        <f t="shared" ca="1" si="4"/>
        <v>-6.6414325524456814E-5</v>
      </c>
      <c r="AD65" s="79"/>
      <c r="AE65" s="496">
        <f t="shared" ca="1" si="5"/>
        <v>-2.4842261839320102E-3</v>
      </c>
      <c r="AF65" s="493">
        <f t="shared" ca="1" si="6"/>
        <v>5.6551162041314704E-3</v>
      </c>
      <c r="AG65" s="493">
        <f t="shared" ca="1" si="7"/>
        <v>0</v>
      </c>
      <c r="AH65" s="498">
        <f t="shared" ca="1" si="8"/>
        <v>0</v>
      </c>
      <c r="AI65" s="497">
        <f t="shared" ca="1" si="13"/>
        <v>-2.4842261839320102E-3</v>
      </c>
      <c r="AJ65" s="493">
        <f t="shared" ca="1" si="9"/>
        <v>0.24244080332724743</v>
      </c>
      <c r="AK65" s="493">
        <f t="shared" ca="1" si="10"/>
        <v>0</v>
      </c>
      <c r="AL65" s="498">
        <f t="shared" ca="1" si="11"/>
        <v>0</v>
      </c>
      <c r="AN65" s="532" t="str">
        <f t="shared" ca="1" si="0"/>
        <v>FranceTelecom_MMR.EUR.SU</v>
      </c>
      <c r="AO65" s="524" cm="1">
        <f t="array" aca="1" ref="AO65" ca="1">IF(AN65&lt;&gt;"",TRANSPOSE(INDEX(GetCDS($C90,AO$13,$G90/10000,F90,D90,$C$13,$C$14,$C$15,$C$8,,,TRUE,TRUE,FALSE,$C$29:$C$31,$C$33),{5})),"")</f>
        <v>0.47815103127014702</v>
      </c>
      <c r="AP65" s="524" cm="1">
        <f t="array" aca="1" ref="AP65" ca="1">IF(AO65&lt;&gt;"",TRANSPOSE(INDEX(GetCDS($C90,AP$13,$G90/10000,G90,E90,$C$13,$C$14,$C$15,$C$8,,,TRUE,TRUE,FALSE,$C$29:$C$31,$C$33),{5})),"")</f>
        <v>0.963892435840916</v>
      </c>
      <c r="AQ65" s="524" cm="1">
        <f t="array" aca="1" ref="AQ65" ca="1">IF(AP65&lt;&gt;"",TRANSPOSE(INDEX(GetCDS($C90,AQ$13,$G90/10000,H90,F90,$C$13,$C$14,$C$15,$C$8,,,TRUE,TRUE,FALSE,$C$29:$C$31,$C$33),{5})),"")</f>
        <v>2.8029024984457802</v>
      </c>
      <c r="AR65" s="524" cm="1">
        <f t="array" aca="1" ref="AR65" ca="1">IF(AQ65&lt;&gt;"",TRANSPOSE(INDEX(GetCDS($C90,AR$13,$G90/10000,I90,G90,$C$13,$C$14,$C$15,$C$8,,,TRUE,TRUE,FALSE,$C$29:$C$31,$C$33),{5})),"")</f>
        <v>4.4711872868661198</v>
      </c>
      <c r="AS65" s="525" cm="1">
        <f t="array" aca="1" ref="AS65" ca="1">IF(AR65&lt;&gt;"",TRANSPOSE(INDEX(GetCDS($C90,AS$13,$G90/10000,J90,H90,$C$13,$C$14,$C$15,$C$8,,,TRUE,TRUE,FALSE,$C$29:$C$31,$C$33),{5})),"")</f>
        <v>7.9228145902385902</v>
      </c>
    </row>
    <row r="66" spans="1:45" customFormat="1" ht="15">
      <c r="A66" s="227"/>
      <c r="B66" s="276">
        <v>28</v>
      </c>
      <c r="C66" s="254" t="s">
        <v>116</v>
      </c>
      <c r="D66" s="255">
        <v>1</v>
      </c>
      <c r="E66" s="247"/>
      <c r="F66" s="232">
        <v>0.4</v>
      </c>
      <c r="G66" s="435">
        <v>100</v>
      </c>
      <c r="H66" s="386">
        <v>52</v>
      </c>
      <c r="I66" s="413">
        <f ca="1"/>
        <v>1.5812869727400701E-4</v>
      </c>
      <c r="J66" s="413">
        <f ca="1"/>
        <v>4.7817219211793502E-4</v>
      </c>
      <c r="K66" s="413">
        <f ca="1"/>
        <v>0.330694046790171</v>
      </c>
      <c r="L66" s="413">
        <f ca="1"/>
        <v>0.330694046790171</v>
      </c>
      <c r="M66" s="413">
        <f ca="1"/>
        <v>-1.6372011880953999E-4</v>
      </c>
      <c r="N66" s="452" t="str">
        <f ca="1"/>
        <v>FRANCETELECOM_MMR.EUR.SU</v>
      </c>
      <c r="O66" s="413"/>
      <c r="P66" s="413"/>
      <c r="Q66" s="413"/>
      <c r="R66" s="452"/>
      <c r="S66" s="443"/>
      <c r="T66" s="422" cm="1">
        <f t="array" aca="1" ref="T66:X66" ca="1">IF(AND($U$12,B90&lt;=$C$17,C90&lt;&gt;""),TRANSPOSE(INDEX(GetCDS(C90,$C$6,G90/10000,F90,D90,$C$13,$C$14,$C$15,$C$8,,,TRUE,TRUE,FALSE,$C$29:$C$31,$C$33),{1;2;3;4;5})),"")</f>
        <v>-3.06954099080088E-2</v>
      </c>
      <c r="U66" s="423">
        <f ca="1"/>
        <v>1.40164629606524E-2</v>
      </c>
      <c r="V66" s="423">
        <f ca="1"/>
        <v>4.4711872868661198E-2</v>
      </c>
      <c r="W66" s="424">
        <f ca="1"/>
        <v>3.1348413880637502E-3</v>
      </c>
      <c r="X66" s="425">
        <f ca="1"/>
        <v>4.4711872868661198</v>
      </c>
      <c r="Y66" s="426" t="e">
        <f t="shared" ca="1" si="12"/>
        <v>#VALUE!</v>
      </c>
      <c r="Z66" s="427" t="e">
        <f t="shared" ca="1" si="1"/>
        <v>#VALUE!</v>
      </c>
      <c r="AA66" s="426">
        <f t="shared" ca="1" si="2"/>
        <v>0.11119001937550099</v>
      </c>
      <c r="AB66" s="428">
        <f t="shared" ca="1" si="3"/>
        <v>2.9780993186605625E-3</v>
      </c>
      <c r="AC66" s="427">
        <f t="shared" ca="1" si="4"/>
        <v>-7.7924539408546592E-5</v>
      </c>
      <c r="AD66" s="79"/>
      <c r="AE66" s="496">
        <f t="shared" ca="1" si="5"/>
        <v>-2.9788229248790001E-3</v>
      </c>
      <c r="AF66" s="493">
        <f t="shared" ca="1" si="6"/>
        <v>4.8121510178857664E-3</v>
      </c>
      <c r="AG66" s="493">
        <f t="shared" ca="1" si="7"/>
        <v>0</v>
      </c>
      <c r="AH66" s="498">
        <f t="shared" ca="1" si="8"/>
        <v>0</v>
      </c>
      <c r="AI66" s="497">
        <f t="shared" ca="1" si="13"/>
        <v>-2.9788229248790001E-3</v>
      </c>
      <c r="AJ66" s="493">
        <f t="shared" ca="1" si="9"/>
        <v>0.25569438756963048</v>
      </c>
      <c r="AK66" s="493">
        <f t="shared" ca="1" si="10"/>
        <v>0</v>
      </c>
      <c r="AL66" s="498">
        <f t="shared" ca="1" si="11"/>
        <v>0</v>
      </c>
      <c r="AN66" s="532" t="str">
        <f t="shared" ca="1" si="0"/>
        <v>GallaherGroupPlc_MMR.EUR.SU</v>
      </c>
      <c r="AO66" s="524" cm="1">
        <f t="array" aca="1" ref="AO66" ca="1">IF(AN66&lt;&gt;"",TRANSPOSE(INDEX(GetCDS($C91,AO$13,$G91/10000,F91,D91,$C$13,$C$14,$C$15,$C$8,,,TRUE,TRUE,FALSE,$C$29:$C$31,$C$33),{5})),"")</f>
        <v>0.47828592158333599</v>
      </c>
      <c r="AP66" s="524" cm="1">
        <f t="array" aca="1" ref="AP66" ca="1">IF(AO66&lt;&gt;"",TRANSPOSE(INDEX(GetCDS($C91,AP$13,$G91/10000,G91,E91,$C$13,$C$14,$C$15,$C$8,,,TRUE,TRUE,FALSE,$C$29:$C$31,$C$33),{5})),"")</f>
        <v>0.96444460078018301</v>
      </c>
      <c r="AQ66" s="524" cm="1">
        <f t="array" aca="1" ref="AQ66" ca="1">IF(AP66&lt;&gt;"",TRANSPOSE(INDEX(GetCDS($C91,AQ$13,$G91/10000,H91,F91,$C$13,$C$14,$C$15,$C$8,,,TRUE,TRUE,FALSE,$C$29:$C$31,$C$33),{5})),"")</f>
        <v>2.8070362155179698</v>
      </c>
      <c r="AR66" s="524" cm="1">
        <f t="array" aca="1" ref="AR66" ca="1">IF(AQ66&lt;&gt;"",TRANSPOSE(INDEX(GetCDS($C91,AR$13,$G91/10000,I91,G91,$C$13,$C$14,$C$15,$C$8,,,TRUE,TRUE,FALSE,$C$29:$C$31,$C$33),{5})),"")</f>
        <v>4.4831707646904402</v>
      </c>
      <c r="AS66" s="525" cm="1">
        <f t="array" aca="1" ref="AS66" ca="1">IF(AR66&lt;&gt;"",TRANSPOSE(INDEX(GetCDS($C91,AS$13,$G91/10000,J91,H91,$C$13,$C$14,$C$15,$C$8,,,TRUE,TRUE,FALSE,$C$29:$C$31,$C$33),{5})),"")</f>
        <v>7.9736414174966397</v>
      </c>
    </row>
    <row r="67" spans="1:45" customFormat="1" ht="15">
      <c r="A67" s="227"/>
      <c r="B67" s="276">
        <v>29</v>
      </c>
      <c r="C67" s="254" t="s">
        <v>117</v>
      </c>
      <c r="D67" s="255">
        <v>1</v>
      </c>
      <c r="E67" s="247"/>
      <c r="F67" s="232">
        <v>0.4</v>
      </c>
      <c r="G67" s="435">
        <v>100</v>
      </c>
      <c r="H67" s="386">
        <v>53</v>
      </c>
      <c r="I67" s="413">
        <f ca="1"/>
        <v>1.3948798371248299E-4</v>
      </c>
      <c r="J67" s="413">
        <f ca="1"/>
        <v>4.81188903975531E-4</v>
      </c>
      <c r="K67" s="413">
        <f ca="1"/>
        <v>0.28988196228144097</v>
      </c>
      <c r="L67" s="413">
        <f ca="1"/>
        <v>0.28988196228144097</v>
      </c>
      <c r="M67" s="413">
        <f ca="1"/>
        <v>-1.21451959037366E-4</v>
      </c>
      <c r="N67" s="452" t="str">
        <f ca="1"/>
        <v>GALLAHERGROUPPLC_MMR.EUR.SU</v>
      </c>
      <c r="O67" s="413"/>
      <c r="P67" s="413"/>
      <c r="Q67" s="413"/>
      <c r="R67" s="452"/>
      <c r="S67" s="443"/>
      <c r="T67" s="422" cm="1">
        <f t="array" aca="1" ref="T67:X67" ca="1">IF(AND($U$12,B91&lt;=$C$17,C91&lt;&gt;""),TRANSPOSE(INDEX(GetCDS(C91,$C$6,G91/10000,F91,D91,$C$13,$C$14,$C$15,$C$8,,,TRUE,TRUE,FALSE,$C$29:$C$31,$C$33),{1;2;3;4;5})),"")</f>
        <v>-3.4055482486278502E-2</v>
      </c>
      <c r="U67" s="423">
        <f ca="1"/>
        <v>1.07762251606259E-2</v>
      </c>
      <c r="V67" s="423">
        <f ca="1"/>
        <v>4.4831707646904403E-2</v>
      </c>
      <c r="W67" s="424">
        <f ca="1"/>
        <v>2.403706154916E-3</v>
      </c>
      <c r="X67" s="425">
        <f ca="1"/>
        <v>4.4831707646904402</v>
      </c>
      <c r="Y67" s="426" t="e">
        <f t="shared" ca="1" si="12"/>
        <v>#VALUE!</v>
      </c>
      <c r="Z67" s="427" t="e">
        <f t="shared" ca="1" si="1"/>
        <v>#VALUE!</v>
      </c>
      <c r="AA67" s="426">
        <f t="shared" ca="1" si="2"/>
        <v>9.7534003019418336E-2</v>
      </c>
      <c r="AB67" s="428">
        <f t="shared" ca="1" si="3"/>
        <v>2.2835208471701997E-3</v>
      </c>
      <c r="AC67" s="427">
        <f t="shared" ca="1" si="4"/>
        <v>-5.2552418867720952E-5</v>
      </c>
      <c r="AD67" s="79"/>
      <c r="AE67" s="496">
        <f t="shared" ca="1" si="5"/>
        <v>-1.95157118401001E-3</v>
      </c>
      <c r="AF67" s="493">
        <f t="shared" ca="1" si="6"/>
        <v>6.6470660130920345E-3</v>
      </c>
      <c r="AG67" s="493">
        <f t="shared" ca="1" si="7"/>
        <v>0</v>
      </c>
      <c r="AH67" s="498">
        <f t="shared" ca="1" si="8"/>
        <v>0</v>
      </c>
      <c r="AI67" s="497">
        <f t="shared" ca="1" si="13"/>
        <v>-1.95157118401001E-3</v>
      </c>
      <c r="AJ67" s="493">
        <f t="shared" ca="1" si="9"/>
        <v>0.22592534233265038</v>
      </c>
      <c r="AK67" s="493">
        <f t="shared" ca="1" si="10"/>
        <v>0</v>
      </c>
      <c r="AL67" s="498">
        <f t="shared" ca="1" si="11"/>
        <v>0</v>
      </c>
      <c r="AN67" s="532" t="str">
        <f t="shared" ca="1" si="0"/>
        <v>GasNaturalSdgSa_MMR.EUR.SU</v>
      </c>
      <c r="AO67" s="524" cm="1">
        <f t="array" aca="1" ref="AO67" ca="1">IF(AN67&lt;&gt;"",TRANSPOSE(INDEX(GetCDS($C92,AO$13,$G92/10000,F92,D92,$C$13,$C$14,$C$15,$C$8,,,TRUE,TRUE,FALSE,$C$29:$C$31,$C$33),{5})),"")</f>
        <v>0.47828592158333599</v>
      </c>
      <c r="AP67" s="524" cm="1">
        <f t="array" aca="1" ref="AP67" ca="1">IF(AO67&lt;&gt;"",TRANSPOSE(INDEX(GetCDS($C92,AP$13,$G92/10000,G92,E92,$C$13,$C$14,$C$15,$C$8,,,TRUE,TRUE,FALSE,$C$29:$C$31,$C$33),{5})),"")</f>
        <v>0.96444460078018301</v>
      </c>
      <c r="AQ67" s="524" cm="1">
        <f t="array" aca="1" ref="AQ67" ca="1">IF(AP67&lt;&gt;"",TRANSPOSE(INDEX(GetCDS($C92,AQ$13,$G92/10000,H92,F92,$C$13,$C$14,$C$15,$C$8,,,TRUE,TRUE,FALSE,$C$29:$C$31,$C$33),{5})),"")</f>
        <v>2.8073212777928398</v>
      </c>
      <c r="AR67" s="524" cm="1">
        <f t="array" aca="1" ref="AR67" ca="1">IF(AQ67&lt;&gt;"",TRANSPOSE(INDEX(GetCDS($C92,AR$13,$G92/10000,I92,G92,$C$13,$C$14,$C$15,$C$8,,,TRUE,TRUE,FALSE,$C$29:$C$31,$C$33),{5})),"")</f>
        <v>4.4863680730470099</v>
      </c>
      <c r="AS67" s="525" cm="1">
        <f t="array" aca="1" ref="AS67" ca="1">IF(AR67&lt;&gt;"",TRANSPOSE(INDEX(GetCDS($C92,AS$13,$G92/10000,J92,H92,$C$13,$C$14,$C$15,$C$8,,,TRUE,TRUE,FALSE,$C$29:$C$31,$C$33),{5})),"")</f>
        <v>7.9982816699670503</v>
      </c>
    </row>
    <row r="68" spans="1:45" customFormat="1" ht="15">
      <c r="A68" s="227"/>
      <c r="B68" s="276">
        <v>30</v>
      </c>
      <c r="C68" s="254" t="s">
        <v>118</v>
      </c>
      <c r="D68" s="255">
        <v>1</v>
      </c>
      <c r="E68" s="247"/>
      <c r="F68" s="232">
        <v>0.4</v>
      </c>
      <c r="G68" s="435">
        <v>100</v>
      </c>
      <c r="H68" s="386">
        <v>54</v>
      </c>
      <c r="I68" s="413">
        <f ca="1"/>
        <v>1.3127444048464099E-4</v>
      </c>
      <c r="J68" s="413">
        <f ca="1"/>
        <v>4.8232101871961502E-4</v>
      </c>
      <c r="K68" s="413">
        <f ca="1"/>
        <v>0.27217234039090099</v>
      </c>
      <c r="L68" s="413">
        <f ca="1"/>
        <v>0.27217234039090099</v>
      </c>
      <c r="M68" s="413">
        <f ca="1"/>
        <v>-1.04038322116073E-4</v>
      </c>
      <c r="N68" s="452" t="str">
        <f ca="1"/>
        <v>GASNATURALSDGSA_MMR.EUR.SU</v>
      </c>
      <c r="O68" s="413"/>
      <c r="P68" s="413"/>
      <c r="Q68" s="413"/>
      <c r="R68" s="452"/>
      <c r="S68" s="443"/>
      <c r="T68" s="422" cm="1">
        <f t="array" aca="1" ref="T68:X68" ca="1">IF(AND($U$12,B92&lt;=$C$17,C92&lt;&gt;""),TRANSPOSE(INDEX(GetCDS(C92,$C$6,G92/10000,F92,D92,$C$13,$C$14,$C$15,$C$8,,,TRUE,TRUE,FALSE,$C$29:$C$31,$C$33),{1;2;3;4;5})),"")</f>
        <v>-3.5485661790686698E-2</v>
      </c>
      <c r="U68" s="423">
        <f ca="1"/>
        <v>9.3780189397833797E-3</v>
      </c>
      <c r="V68" s="423">
        <f ca="1"/>
        <v>4.4863680730470097E-2</v>
      </c>
      <c r="W68" s="424">
        <f ca="1"/>
        <v>2.09033650094922E-3</v>
      </c>
      <c r="X68" s="425">
        <f ca="1"/>
        <v>4.4863680730470099</v>
      </c>
      <c r="Y68" s="426" t="e">
        <f t="shared" ca="1" si="12"/>
        <v>#VALUE!</v>
      </c>
      <c r="Z68" s="427" t="e">
        <f t="shared" ca="1" si="1"/>
        <v>#VALUE!</v>
      </c>
      <c r="AA68" s="426">
        <f t="shared" ca="1" si="2"/>
        <v>9.1600140536542321E-2</v>
      </c>
      <c r="AB68" s="428">
        <f t="shared" ca="1" si="3"/>
        <v>1.9858196759017588E-3</v>
      </c>
      <c r="AC68" s="427">
        <f t="shared" ca="1" si="4"/>
        <v>-4.295139264192573E-5</v>
      </c>
      <c r="AD68" s="79"/>
      <c r="AE68" s="496">
        <f t="shared" ca="1" si="5"/>
        <v>-1.59051846170499E-3</v>
      </c>
      <c r="AF68" s="493">
        <f t="shared" ca="1" si="6"/>
        <v>7.352751385033926E-3</v>
      </c>
      <c r="AG68" s="493">
        <f t="shared" ca="1" si="7"/>
        <v>0</v>
      </c>
      <c r="AH68" s="498">
        <f t="shared" ca="1" si="8"/>
        <v>0</v>
      </c>
      <c r="AI68" s="497">
        <f t="shared" ca="1" si="13"/>
        <v>-1.59051846170499E-3</v>
      </c>
      <c r="AJ68" s="493">
        <f t="shared" ca="1" si="9"/>
        <v>0.21300067074084744</v>
      </c>
      <c r="AK68" s="493">
        <f t="shared" ca="1" si="10"/>
        <v>0</v>
      </c>
      <c r="AL68" s="498">
        <f t="shared" ca="1" si="11"/>
        <v>0</v>
      </c>
      <c r="AN68" s="532" t="str">
        <f t="shared" ca="1" si="0"/>
        <v>GazdeFrance_MMR.EUR.SU</v>
      </c>
      <c r="AO68" s="524" cm="1">
        <f t="array" aca="1" ref="AO68" ca="1">IF(AN68&lt;&gt;"",TRANSPOSE(INDEX(GetCDS($C93,AO$13,$G93/10000,F93,D93,$C$13,$C$14,$C$15,$C$8,,,TRUE,TRUE,FALSE,$C$29:$C$31,$C$33),{5})),"")</f>
        <v>0.47830519579325298</v>
      </c>
      <c r="AP68" s="524" cm="1">
        <f t="array" aca="1" ref="AP68" ca="1">IF(AO68&lt;&gt;"",TRANSPOSE(INDEX(GetCDS($C93,AP$13,$G93/10000,G93,E93,$C$13,$C$14,$C$15,$C$8,,,TRUE,TRUE,FALSE,$C$29:$C$31,$C$33),{5})),"")</f>
        <v>0.96451062359810302</v>
      </c>
      <c r="AQ68" s="524" cm="1">
        <f t="array" aca="1" ref="AQ68" ca="1">IF(AP68&lt;&gt;"",TRANSPOSE(INDEX(GetCDS($C93,AQ$13,$G93/10000,H93,F93,$C$13,$C$14,$C$15,$C$8,,,TRUE,TRUE,FALSE,$C$29:$C$31,$C$33),{5})),"")</f>
        <v>2.8069097321416701</v>
      </c>
      <c r="AR68" s="524" cm="1">
        <f t="array" aca="1" ref="AR68" ca="1">IF(AQ68&lt;&gt;"",TRANSPOSE(INDEX(GetCDS($C93,AR$13,$G93/10000,I93,G93,$C$13,$C$14,$C$15,$C$8,,,TRUE,TRUE,FALSE,$C$29:$C$31,$C$33),{5})),"")</f>
        <v>4.48481237260836</v>
      </c>
      <c r="AS68" s="525" cm="1">
        <f t="array" aca="1" ref="AS68" ca="1">IF(AR68&lt;&gt;"",TRANSPOSE(INDEX(GetCDS($C93,AS$13,$G93/10000,J93,H93,$C$13,$C$14,$C$15,$C$8,,,TRUE,TRUE,FALSE,$C$29:$C$31,$C$33),{5})),"")</f>
        <v>7.9923064632097303</v>
      </c>
    </row>
    <row r="69" spans="1:45" customFormat="1" ht="15">
      <c r="A69" s="227"/>
      <c r="B69" s="276">
        <v>31</v>
      </c>
      <c r="C69" s="254" t="s">
        <v>119</v>
      </c>
      <c r="D69" s="255">
        <v>1</v>
      </c>
      <c r="E69" s="247"/>
      <c r="F69" s="232">
        <v>0.4</v>
      </c>
      <c r="G69" s="435">
        <v>100</v>
      </c>
      <c r="H69" s="386">
        <v>55</v>
      </c>
      <c r="I69" s="413">
        <f ca="1"/>
        <v>1.34213431451946E-4</v>
      </c>
      <c r="J69" s="413">
        <f ca="1"/>
        <v>4.81913532537457E-4</v>
      </c>
      <c r="K69" s="413">
        <f ca="1"/>
        <v>0.27850106375984401</v>
      </c>
      <c r="L69" s="413">
        <f ca="1"/>
        <v>0.27850106375984401</v>
      </c>
      <c r="M69" s="413">
        <f ca="1"/>
        <v>-1.10080821884084E-4</v>
      </c>
      <c r="N69" s="452" t="str">
        <f ca="1"/>
        <v>GAZDEFRANCE_MMR.EUR.SU</v>
      </c>
      <c r="O69" s="413"/>
      <c r="P69" s="413"/>
      <c r="Q69" s="413"/>
      <c r="R69" s="452"/>
      <c r="S69" s="443"/>
      <c r="T69" s="422" cm="1">
        <f t="array" aca="1" ref="T69:X69" ca="1">IF(AND($U$12,B93&lt;=$C$17,C93&lt;&gt;""),TRANSPOSE(INDEX(GetCDS(C93,$C$6,G93/10000,F93,D93,$C$13,$C$14,$C$15,$C$8,,,TRUE,TRUE,FALSE,$C$29:$C$31,$C$33),{1;2;3;4;5})),"")</f>
        <v>-3.5004830144157298E-2</v>
      </c>
      <c r="U69" s="423">
        <f ca="1"/>
        <v>9.8432935819263104E-3</v>
      </c>
      <c r="V69" s="423">
        <f ca="1"/>
        <v>4.48481237260836E-2</v>
      </c>
      <c r="W69" s="424">
        <f ca="1"/>
        <v>2.1948061065041801E-3</v>
      </c>
      <c r="X69" s="425">
        <f ca="1"/>
        <v>4.48481237260836</v>
      </c>
      <c r="Y69" s="426" t="e">
        <f t="shared" ca="1" si="12"/>
        <v>#VALUE!</v>
      </c>
      <c r="Z69" s="427" t="e">
        <f t="shared" ca="1" si="1"/>
        <v>#VALUE!</v>
      </c>
      <c r="AA69" s="426">
        <f t="shared" ca="1" si="2"/>
        <v>9.3721017397704665E-2</v>
      </c>
      <c r="AB69" s="428">
        <f t="shared" ca="1" si="3"/>
        <v>2.0850658011789709E-3</v>
      </c>
      <c r="AC69" s="427">
        <f t="shared" ca="1" si="4"/>
        <v>-4.6126174452121699E-5</v>
      </c>
      <c r="AD69" s="79"/>
      <c r="AE69" s="496">
        <f t="shared" ca="1" si="5"/>
        <v>-1.71489914487399E-3</v>
      </c>
      <c r="AF69" s="493">
        <f t="shared" ca="1" si="6"/>
        <v>7.1127789439256947E-3</v>
      </c>
      <c r="AG69" s="493">
        <f t="shared" ca="1" si="7"/>
        <v>0</v>
      </c>
      <c r="AH69" s="498">
        <f t="shared" ca="1" si="8"/>
        <v>0</v>
      </c>
      <c r="AI69" s="497">
        <f t="shared" ca="1" si="13"/>
        <v>-1.71489914487399E-3</v>
      </c>
      <c r="AJ69" s="493">
        <f t="shared" ca="1" si="9"/>
        <v>0.21762700535592233</v>
      </c>
      <c r="AK69" s="493">
        <f t="shared" ca="1" si="10"/>
        <v>0</v>
      </c>
      <c r="AL69" s="498">
        <f t="shared" ca="1" si="11"/>
        <v>0</v>
      </c>
      <c r="AN69" s="532" t="str">
        <f t="shared" ca="1" si="0"/>
        <v>Generali_MMR.EUR.SU</v>
      </c>
      <c r="AO69" s="524" cm="1">
        <f t="array" aca="1" ref="AO69" ca="1">IF(AN69&lt;&gt;"",TRANSPOSE(INDEX(GetCDS($C94,AO$13,$G94/10000,F94,D94,$C$13,$C$14,$C$15,$C$8,,,TRUE,TRUE,FALSE,$C$29:$C$31,$C$33),{5})),"")</f>
        <v>0.47817800525269799</v>
      </c>
      <c r="AP69" s="524" cm="1">
        <f t="array" aca="1" ref="AP69" ca="1">IF(AO69&lt;&gt;"",TRANSPOSE(INDEX(GetCDS($C94,AP$13,$G94/10000,G94,E94,$C$13,$C$14,$C$15,$C$8,,,TRUE,TRUE,FALSE,$C$29:$C$31,$C$33),{5})),"")</f>
        <v>0.96397191045708197</v>
      </c>
      <c r="AQ69" s="524" cm="1">
        <f t="array" aca="1" ref="AQ69" ca="1">IF(AP69&lt;&gt;"",TRANSPOSE(INDEX(GetCDS($C94,AQ$13,$G94/10000,H94,F94,$C$13,$C$14,$C$15,$C$8,,,TRUE,TRUE,FALSE,$C$29:$C$31,$C$33),{5})),"")</f>
        <v>2.8009470290516201</v>
      </c>
      <c r="AR69" s="524" cm="1">
        <f t="array" aca="1" ref="AR69" ca="1">IF(AQ69&lt;&gt;"",TRANSPOSE(INDEX(GetCDS($C94,AR$13,$G94/10000,I94,G94,$C$13,$C$14,$C$15,$C$8,,,TRUE,TRUE,FALSE,$C$29:$C$31,$C$33),{5})),"")</f>
        <v>4.4675695128249</v>
      </c>
      <c r="AS69" s="525" cm="1">
        <f t="array" aca="1" ref="AS69" ca="1">IF(AR69&lt;&gt;"",TRANSPOSE(INDEX(GetCDS($C94,AS$13,$G94/10000,J94,H94,$C$13,$C$14,$C$15,$C$8,,,TRUE,TRUE,FALSE,$C$29:$C$31,$C$33),{5})),"")</f>
        <v>7.9306484319853103</v>
      </c>
    </row>
    <row r="70" spans="1:45" customFormat="1" ht="15">
      <c r="A70" s="227"/>
      <c r="B70" s="276">
        <v>32</v>
      </c>
      <c r="C70" s="254" t="s">
        <v>120</v>
      </c>
      <c r="D70" s="255">
        <v>1</v>
      </c>
      <c r="E70" s="247"/>
      <c r="F70" s="232">
        <v>0.4</v>
      </c>
      <c r="G70" s="435">
        <v>100</v>
      </c>
      <c r="H70" s="386">
        <v>56</v>
      </c>
      <c r="I70" s="413">
        <f ca="1"/>
        <v>1.6091753759308599E-4</v>
      </c>
      <c r="J70" s="413">
        <f ca="1"/>
        <v>4.7762292190782501E-4</v>
      </c>
      <c r="K70" s="413">
        <f ca="1"/>
        <v>0.33691334777299697</v>
      </c>
      <c r="L70" s="413">
        <f ca="1"/>
        <v>0.33691334777299697</v>
      </c>
      <c r="M70" s="413">
        <f ca="1"/>
        <v>-1.7044417148550701E-4</v>
      </c>
      <c r="N70" s="452" t="str">
        <f ca="1"/>
        <v>GENERALI_MMR.EUR.SU</v>
      </c>
      <c r="O70" s="413"/>
      <c r="P70" s="413"/>
      <c r="Q70" s="413"/>
      <c r="R70" s="452"/>
      <c r="S70" s="443"/>
      <c r="T70" s="422" cm="1">
        <f t="array" aca="1" ref="T70:X70" ca="1">IF(AND($U$12,B94&lt;=$C$17,C94&lt;&gt;""),TRANSPOSE(INDEX(GetCDS(C94,$C$6,G94/10000,F94,D94,$C$13,$C$14,$C$15,$C$8,,,TRUE,TRUE,FALSE,$C$29:$C$31,$C$33),{1;2;3;4;5})),"")</f>
        <v>-3.0203784850428499E-2</v>
      </c>
      <c r="U70" s="423">
        <f ca="1"/>
        <v>1.44719102778205E-2</v>
      </c>
      <c r="V70" s="423">
        <f ca="1"/>
        <v>4.4675695128249003E-2</v>
      </c>
      <c r="W70" s="424">
        <f ca="1"/>
        <v>3.2393251490047299E-3</v>
      </c>
      <c r="X70" s="425">
        <f ca="1"/>
        <v>4.4675695128249</v>
      </c>
      <c r="Y70" s="426" t="e">
        <f t="shared" ca="1" si="12"/>
        <v>#VALUE!</v>
      </c>
      <c r="Z70" s="427" t="e">
        <f t="shared" ca="1" si="1"/>
        <v>#VALUE!</v>
      </c>
      <c r="AA70" s="426">
        <f t="shared" ca="1" si="2"/>
        <v>0.11326891111287767</v>
      </c>
      <c r="AB70" s="428">
        <f t="shared" ca="1" si="3"/>
        <v>3.0773588915544931E-3</v>
      </c>
      <c r="AC70" s="427">
        <f t="shared" ca="1" si="4"/>
        <v>-8.1960875944599767E-5</v>
      </c>
      <c r="AD70" s="79"/>
      <c r="AE70" s="496">
        <f t="shared" ca="1" si="5"/>
        <v>-3.16911481608301E-3</v>
      </c>
      <c r="AF70" s="493">
        <f t="shared" ca="1" si="6"/>
        <v>4.5045163461871415E-3</v>
      </c>
      <c r="AG70" s="493">
        <f t="shared" ca="1" si="7"/>
        <v>0</v>
      </c>
      <c r="AH70" s="498">
        <f t="shared" ca="1" si="8"/>
        <v>0</v>
      </c>
      <c r="AI70" s="497">
        <f t="shared" ca="1" si="13"/>
        <v>-3.16911481608301E-3</v>
      </c>
      <c r="AJ70" s="493">
        <f t="shared" ca="1" si="9"/>
        <v>0.26023595704235486</v>
      </c>
      <c r="AK70" s="493">
        <f t="shared" ca="1" si="10"/>
        <v>0</v>
      </c>
      <c r="AL70" s="498">
        <f t="shared" ca="1" si="11"/>
        <v>0</v>
      </c>
      <c r="AN70" s="532" t="str">
        <f t="shared" ca="1" si="0"/>
        <v>GKN Holdings  Plc_MMR.EUR.SU</v>
      </c>
      <c r="AO70" s="524" cm="1">
        <f t="array" aca="1" ref="AO70" ca="1">IF(AN70&lt;&gt;"",TRANSPOSE(INDEX(GetCDS($C95,AO$13,$G95/10000,F95,D95,$C$13,$C$14,$C$15,$C$8,,,TRUE,TRUE,FALSE,$C$29:$C$31,$C$33),{5})),"")</f>
        <v>0.47815103127014702</v>
      </c>
      <c r="AP70" s="524" cm="1">
        <f t="array" aca="1" ref="AP70" ca="1">IF(AO70&lt;&gt;"",TRANSPOSE(INDEX(GetCDS($C95,AP$13,$G95/10000,G95,E95,$C$13,$C$14,$C$15,$C$8,,,TRUE,TRUE,FALSE,$C$29:$C$31,$C$33),{5})),"")</f>
        <v>0.96381512697694705</v>
      </c>
      <c r="AQ70" s="524" cm="1">
        <f t="array" aca="1" ref="AQ70" ca="1">IF(AP70&lt;&gt;"",TRANSPOSE(INDEX(GetCDS($C95,AQ$13,$G95/10000,H95,F95,$C$13,$C$14,$C$15,$C$8,,,TRUE,TRUE,FALSE,$C$29:$C$31,$C$33),{5})),"")</f>
        <v>2.7965747079795298</v>
      </c>
      <c r="AR70" s="524" cm="1">
        <f t="array" aca="1" ref="AR70" ca="1">IF(AQ70&lt;&gt;"",TRANSPOSE(INDEX(GetCDS($C95,AR$13,$G95/10000,I95,G95,$C$13,$C$14,$C$15,$C$8,,,TRUE,TRUE,FALSE,$C$29:$C$31,$C$33),{5})),"")</f>
        <v>4.4419858153565004</v>
      </c>
      <c r="AS70" s="525" cm="1">
        <f t="array" aca="1" ref="AS70" ca="1">IF(AR70&lt;&gt;"",TRANSPOSE(INDEX(GetCDS($C95,AS$13,$G95/10000,J95,H95,$C$13,$C$14,$C$15,$C$8,,,TRUE,TRUE,FALSE,$C$29:$C$31,$C$33),{5})),"")</f>
        <v>7.74709017889408</v>
      </c>
    </row>
    <row r="71" spans="1:45" customFormat="1" ht="15">
      <c r="A71" s="227"/>
      <c r="B71" s="276">
        <v>33</v>
      </c>
      <c r="C71" s="254" t="s">
        <v>121</v>
      </c>
      <c r="D71" s="255">
        <v>1</v>
      </c>
      <c r="E71" s="247"/>
      <c r="F71" s="232">
        <v>0.4</v>
      </c>
      <c r="G71" s="435">
        <v>100</v>
      </c>
      <c r="H71" s="386">
        <v>57</v>
      </c>
      <c r="I71" s="413">
        <f ca="1"/>
        <v>2.0185823888056999E-4</v>
      </c>
      <c r="J71" s="413">
        <f ca="1"/>
        <v>4.6699457647662298E-4</v>
      </c>
      <c r="K71" s="413">
        <f ca="1"/>
        <v>0.43224964281929901</v>
      </c>
      <c r="L71" s="413">
        <f ca="1"/>
        <v>0.43224964281929901</v>
      </c>
      <c r="M71" s="413">
        <f ca="1"/>
        <v>-2.9946723545395401E-4</v>
      </c>
      <c r="N71" s="452" t="str">
        <f ca="1"/>
        <v>GKN HOLDINGS  PLC_MMR.EUR.SU</v>
      </c>
      <c r="O71" s="413"/>
      <c r="P71" s="413"/>
      <c r="Q71" s="413"/>
      <c r="R71" s="452"/>
      <c r="S71" s="443"/>
      <c r="T71" s="422" cm="1">
        <f t="array" aca="1" ref="T71:X71" ca="1">IF(AND($U$12,B95&lt;=$C$17,C95&lt;&gt;""),TRANSPOSE(INDEX(GetCDS(C95,$C$6,G95/10000,F95,D95,$C$13,$C$14,$C$15,$C$8,,,TRUE,TRUE,FALSE,$C$29:$C$31,$C$33),{1;2;3;4;5})),"")</f>
        <v>-1.8905406691639301E-2</v>
      </c>
      <c r="U71" s="423">
        <f ca="1"/>
        <v>2.55144514619257E-2</v>
      </c>
      <c r="V71" s="423">
        <f ca="1"/>
        <v>4.4419858153565001E-2</v>
      </c>
      <c r="W71" s="424">
        <f ca="1"/>
        <v>5.7439290719297296E-3</v>
      </c>
      <c r="X71" s="425">
        <f ca="1"/>
        <v>4.4419858153565004</v>
      </c>
      <c r="Y71" s="426" t="e">
        <f t="shared" ca="1" si="12"/>
        <v>#VALUE!</v>
      </c>
      <c r="Z71" s="427" t="e">
        <f t="shared" ca="1" si="1"/>
        <v>#VALUE!</v>
      </c>
      <c r="AA71" s="426">
        <f t="shared" ca="1" si="2"/>
        <v>0.14514691831925833</v>
      </c>
      <c r="AB71" s="428">
        <f t="shared" ca="1" si="3"/>
        <v>5.4567326183332428E-3</v>
      </c>
      <c r="AC71" s="427">
        <f t="shared" ca="1" si="4"/>
        <v>-1.8516720011524062E-4</v>
      </c>
      <c r="AD71" s="79"/>
      <c r="AE71" s="496">
        <f t="shared" ca="1" si="5"/>
        <v>-7.205794262478E-3</v>
      </c>
      <c r="AF71" s="493">
        <f t="shared" ca="1" si="6"/>
        <v>0</v>
      </c>
      <c r="AG71" s="493">
        <f t="shared" ca="1" si="7"/>
        <v>0</v>
      </c>
      <c r="AH71" s="498">
        <f t="shared" ca="1" si="8"/>
        <v>0</v>
      </c>
      <c r="AI71" s="497">
        <f t="shared" ca="1" si="13"/>
        <v>-7.205794262478E-3</v>
      </c>
      <c r="AJ71" s="493">
        <f t="shared" ca="1" si="9"/>
        <v>0.32891358378738411</v>
      </c>
      <c r="AK71" s="493">
        <f t="shared" ca="1" si="10"/>
        <v>0</v>
      </c>
      <c r="AL71" s="498">
        <f t="shared" ca="1" si="11"/>
        <v>0</v>
      </c>
      <c r="AN71" s="532" t="str">
        <f t="shared" ca="1" si="0"/>
        <v>GlencoreIntAG_MMR.EUR.SU</v>
      </c>
      <c r="AO71" s="524" cm="1">
        <f t="array" aca="1" ref="AO71" ca="1">IF(AN71&lt;&gt;"",TRANSPOSE(INDEX(GetCDS($C96,AO$13,$G96/10000,F96,D96,$C$13,$C$14,$C$15,$C$8,,,TRUE,TRUE,FALSE,$C$29:$C$31,$C$33),{5})),"")</f>
        <v>0.478016191929656</v>
      </c>
      <c r="AP71" s="524" cm="1">
        <f t="array" aca="1" ref="AP71" ca="1">IF(AO71&lt;&gt;"",TRANSPOSE(INDEX(GetCDS($C96,AP$13,$G96/10000,G96,E96,$C$13,$C$14,$C$15,$C$8,,,TRUE,TRUE,FALSE,$C$29:$C$31,$C$33),{5})),"")</f>
        <v>0.96331494273469298</v>
      </c>
      <c r="AQ71" s="524" cm="1">
        <f t="array" aca="1" ref="AQ71" ca="1">IF(AP71&lt;&gt;"",TRANSPOSE(INDEX(GetCDS($C96,AQ$13,$G96/10000,H96,F96,$C$13,$C$14,$C$15,$C$8,,,TRUE,TRUE,FALSE,$C$29:$C$31,$C$33),{5})),"")</f>
        <v>2.79335608445902</v>
      </c>
      <c r="AR71" s="524" cm="1">
        <f t="array" aca="1" ref="AR71" ca="1">IF(AQ71&lt;&gt;"",TRANSPOSE(INDEX(GetCDS($C96,AR$13,$G96/10000,I96,G96,$C$13,$C$14,$C$15,$C$8,,,TRUE,TRUE,FALSE,$C$29:$C$31,$C$33),{5})),"")</f>
        <v>4.4321432744904303</v>
      </c>
      <c r="AS71" s="525" cm="1">
        <f t="array" aca="1" ref="AS71" ca="1">IF(AR71&lt;&gt;"",TRANSPOSE(INDEX(GetCDS($C96,AS$13,$G96/10000,J96,H96,$C$13,$C$14,$C$15,$C$8,,,TRUE,TRUE,FALSE,$C$29:$C$31,$C$33),{5})),"")</f>
        <v>7.7081274403581501</v>
      </c>
    </row>
    <row r="72" spans="1:45" customFormat="1" ht="15">
      <c r="A72" s="227"/>
      <c r="B72" s="276">
        <v>34</v>
      </c>
      <c r="C72" s="254" t="s">
        <v>122</v>
      </c>
      <c r="D72" s="255">
        <v>1</v>
      </c>
      <c r="E72" s="247"/>
      <c r="F72" s="232">
        <v>0.4</v>
      </c>
      <c r="G72" s="435">
        <v>100</v>
      </c>
      <c r="H72" s="386">
        <v>58</v>
      </c>
      <c r="I72" s="413">
        <f ca="1"/>
        <v>2.09129760566262E-4</v>
      </c>
      <c r="J72" s="413">
        <f ca="1"/>
        <v>4.6477512851103299E-4</v>
      </c>
      <c r="K72" s="413">
        <f ca="1"/>
        <v>0.44995901832405699</v>
      </c>
      <c r="L72" s="413">
        <f ca="1"/>
        <v>0.44995901832405699</v>
      </c>
      <c r="M72" s="413">
        <f ca="1"/>
        <v>-3.2540162140557398E-4</v>
      </c>
      <c r="N72" s="452" t="str">
        <f ca="1"/>
        <v>GLENCOREINTAG_MMR.EUR.SU</v>
      </c>
      <c r="O72" s="413"/>
      <c r="P72" s="413"/>
      <c r="Q72" s="413"/>
      <c r="R72" s="452"/>
      <c r="S72" s="443"/>
      <c r="T72" s="422" cm="1">
        <f t="array" aca="1" ref="T72:X72" ca="1">IF(AND($U$12,B96&lt;=$C$17,C96&lt;&gt;""),TRANSPOSE(INDEX(GetCDS(C96,$C$6,G96/10000,F96,D96,$C$13,$C$14,$C$15,$C$8,,,TRUE,TRUE,FALSE,$C$29:$C$31,$C$33),{1;2;3;4;5})),"")</f>
        <v>-1.65517503058643E-2</v>
      </c>
      <c r="U72" s="423">
        <f ca="1"/>
        <v>2.7769682439039999E-2</v>
      </c>
      <c r="V72" s="423">
        <f ca="1"/>
        <v>4.4321432744904299E-2</v>
      </c>
      <c r="W72" s="424">
        <f ca="1"/>
        <v>6.2655200247859104E-3</v>
      </c>
      <c r="X72" s="425">
        <f ca="1"/>
        <v>4.4321432744904303</v>
      </c>
      <c r="Y72" s="426" t="e">
        <f t="shared" ca="1" si="12"/>
        <v>#VALUE!</v>
      </c>
      <c r="Z72" s="427" t="e">
        <f t="shared" ca="1" si="1"/>
        <v>#VALUE!</v>
      </c>
      <c r="AA72" s="426">
        <f t="shared" ca="1" si="2"/>
        <v>0.15105898281837168</v>
      </c>
      <c r="AB72" s="428">
        <f t="shared" ca="1" si="3"/>
        <v>5.9522440235466149E-3</v>
      </c>
      <c r="AC72" s="427">
        <f t="shared" ca="1" si="4"/>
        <v>-2.0974299912152893E-4</v>
      </c>
      <c r="AD72" s="79"/>
      <c r="AE72" s="496">
        <f t="shared" ca="1" si="5"/>
        <v>-8.2540998037149999E-3</v>
      </c>
      <c r="AF72" s="493">
        <f t="shared" ca="1" si="6"/>
        <v>0</v>
      </c>
      <c r="AG72" s="493">
        <f t="shared" ca="1" si="7"/>
        <v>0</v>
      </c>
      <c r="AH72" s="498">
        <f t="shared" ca="1" si="8"/>
        <v>0</v>
      </c>
      <c r="AI72" s="497">
        <f t="shared" ca="1" si="13"/>
        <v>-8.2540998037149999E-3</v>
      </c>
      <c r="AJ72" s="493">
        <f t="shared" ca="1" si="9"/>
        <v>0.34160720131950884</v>
      </c>
      <c r="AK72" s="493">
        <f t="shared" ca="1" si="10"/>
        <v>0</v>
      </c>
      <c r="AL72" s="498">
        <f t="shared" ca="1" si="11"/>
        <v>0</v>
      </c>
      <c r="AN72" s="532" t="str">
        <f t="shared" ca="1" si="0"/>
        <v>GreatUniversalStores_MMR.EUR.SU</v>
      </c>
      <c r="AO72" s="524" cm="1">
        <f t="array" aca="1" ref="AO72" ca="1">IF(AN72&lt;&gt;"",TRANSPOSE(INDEX(GetCDS($C97,AO$13,$G97/10000,F97,D97,$C$13,$C$14,$C$15,$C$8,,,TRUE,TRUE,FALSE,$C$29:$C$31,$C$33),{5})),"")</f>
        <v>0.478266648415127</v>
      </c>
      <c r="AP72" s="524" cm="1">
        <f t="array" aca="1" ref="AP72" ca="1">IF(AO72&lt;&gt;"",TRANSPOSE(INDEX(GetCDS($C97,AP$13,$G97/10000,G97,E97,$C$13,$C$14,$C$15,$C$8,,,TRUE,TRUE,FALSE,$C$29:$C$31,$C$33),{5})),"")</f>
        <v>0.96432702189613195</v>
      </c>
      <c r="AQ72" s="524" cm="1">
        <f t="array" aca="1" ref="AQ72" ca="1">IF(AP72&lt;&gt;"",TRANSPOSE(INDEX(GetCDS($C97,AQ$13,$G97/10000,H97,F97,$C$13,$C$14,$C$15,$C$8,,,TRUE,TRUE,FALSE,$C$29:$C$31,$C$33),{5})),"")</f>
        <v>2.80372753819305</v>
      </c>
      <c r="AR72" s="524" cm="1">
        <f t="array" aca="1" ref="AR72" ca="1">IF(AQ72&lt;&gt;"",TRANSPOSE(INDEX(GetCDS($C97,AR$13,$G97/10000,I97,G97,$C$13,$C$14,$C$15,$C$8,,,TRUE,TRUE,FALSE,$C$29:$C$31,$C$33),{5})),"")</f>
        <v>4.4689520153423503</v>
      </c>
      <c r="AS72" s="525" cm="1">
        <f t="array" aca="1" ref="AS72" ca="1">IF(AR72&lt;&gt;"",TRANSPOSE(INDEX(GetCDS($C97,AS$13,$G97/10000,J97,H97,$C$13,$C$14,$C$15,$C$8,,,TRUE,TRUE,FALSE,$C$29:$C$31,$C$33),{5})),"")</f>
        <v>7.8804346642744498</v>
      </c>
    </row>
    <row r="73" spans="1:45" customFormat="1" ht="15">
      <c r="A73" s="227"/>
      <c r="B73" s="276">
        <v>35</v>
      </c>
      <c r="C73" s="254" t="s">
        <v>123</v>
      </c>
      <c r="D73" s="255">
        <v>1</v>
      </c>
      <c r="E73" s="247"/>
      <c r="F73" s="232">
        <v>0.4</v>
      </c>
      <c r="G73" s="435">
        <v>100</v>
      </c>
      <c r="H73" s="386">
        <v>59</v>
      </c>
      <c r="I73" s="413">
        <f ca="1"/>
        <v>1.67608716969925E-4</v>
      </c>
      <c r="J73" s="413">
        <f ca="1"/>
        <v>4.7618675275282901E-4</v>
      </c>
      <c r="K73" s="413">
        <f ca="1"/>
        <v>0.35198105785383799</v>
      </c>
      <c r="L73" s="413">
        <f ca="1"/>
        <v>0.35198105785383799</v>
      </c>
      <c r="M73" s="413">
        <f ca="1"/>
        <v>-1.9085802414560101E-4</v>
      </c>
      <c r="N73" s="452" t="str">
        <f ca="1"/>
        <v>GREATUNIVERSALSTORES_MMR.EUR.SU</v>
      </c>
      <c r="O73" s="413"/>
      <c r="P73" s="413"/>
      <c r="Q73" s="413"/>
      <c r="R73" s="452"/>
      <c r="S73" s="443"/>
      <c r="T73" s="422" cm="1">
        <f t="array" aca="1" ref="T73:X73" ca="1">IF(AND($U$12,B97&lt;=$C$17,C97&lt;&gt;""),TRANSPOSE(INDEX(GetCDS(C97,$C$6,G97/10000,F97,D97,$C$13,$C$14,$C$15,$C$8,,,TRUE,TRUE,FALSE,$C$29:$C$31,$C$33),{1;2;3;4;5})),"")</f>
        <v>-2.8347402392755801E-2</v>
      </c>
      <c r="U73" s="423">
        <f ca="1"/>
        <v>1.6342117760667699E-2</v>
      </c>
      <c r="V73" s="423">
        <f ca="1"/>
        <v>4.46895201534235E-2</v>
      </c>
      <c r="W73" s="424">
        <f ca="1"/>
        <v>3.6568120902984902E-3</v>
      </c>
      <c r="X73" s="425">
        <f ca="1"/>
        <v>4.4689520153423503</v>
      </c>
      <c r="Y73" s="426" t="e">
        <f t="shared" ca="1" si="12"/>
        <v>#VALUE!</v>
      </c>
      <c r="Z73" s="427" t="e">
        <f t="shared" ca="1" si="1"/>
        <v>#VALUE!</v>
      </c>
      <c r="AA73" s="426">
        <f t="shared" ca="1" si="2"/>
        <v>0.118318689049994</v>
      </c>
      <c r="AB73" s="428">
        <f t="shared" ca="1" si="3"/>
        <v>3.4739714857835655E-3</v>
      </c>
      <c r="AC73" s="427">
        <f t="shared" ca="1" si="4"/>
        <v>-9.6678897487141474E-5</v>
      </c>
      <c r="AD73" s="79"/>
      <c r="AE73" s="496">
        <f t="shared" ca="1" si="5"/>
        <v>-3.6586614651689898E-3</v>
      </c>
      <c r="AF73" s="493">
        <f t="shared" ca="1" si="6"/>
        <v>3.5614375365646787E-3</v>
      </c>
      <c r="AG73" s="493">
        <f t="shared" ca="1" si="7"/>
        <v>0</v>
      </c>
      <c r="AH73" s="498">
        <f t="shared" ca="1" si="8"/>
        <v>0</v>
      </c>
      <c r="AI73" s="497">
        <f t="shared" ca="1" si="13"/>
        <v>-3.6586614651689898E-3</v>
      </c>
      <c r="AJ73" s="493">
        <f t="shared" ca="1" si="9"/>
        <v>0.27107264398856745</v>
      </c>
      <c r="AK73" s="493">
        <f t="shared" ca="1" si="10"/>
        <v>0</v>
      </c>
      <c r="AL73" s="498">
        <f t="shared" ca="1" si="11"/>
        <v>0</v>
      </c>
      <c r="AN73" s="532" t="str">
        <f t="shared" ca="1" si="0"/>
        <v>HannoverRueck_MMR.EUR.SU</v>
      </c>
      <c r="AO73" s="524" cm="1">
        <f t="array" aca="1" ref="AO73" ca="1">IF(AN73&lt;&gt;"",TRANSPOSE(INDEX(GetCDS($C98,AO$13,$G98/10000,F98,D98,$C$13,$C$14,$C$15,$C$8,,,TRUE,TRUE,FALSE,$C$29:$C$31,$C$33),{5})),"")</f>
        <v>0.47812213283710298</v>
      </c>
      <c r="AP73" s="524" cm="1">
        <f t="array" aca="1" ref="AP73" ca="1">IF(AO73&lt;&gt;"",TRANSPOSE(INDEX(GetCDS($C98,AP$13,$G98/10000,G98,E98,$C$13,$C$14,$C$15,$C$8,,,TRUE,TRUE,FALSE,$C$29:$C$31,$C$33),{5})),"")</f>
        <v>0.96376257654698805</v>
      </c>
      <c r="AQ73" s="524" cm="1">
        <f t="array" aca="1" ref="AQ73" ca="1">IF(AP73&lt;&gt;"",TRANSPOSE(INDEX(GetCDS($C98,AQ$13,$G98/10000,H98,F98,$C$13,$C$14,$C$15,$C$8,,,TRUE,TRUE,FALSE,$C$29:$C$31,$C$33),{5})),"")</f>
        <v>2.8005265052120101</v>
      </c>
      <c r="AR73" s="524" cm="1">
        <f t="array" aca="1" ref="AR73" ca="1">IF(AQ73&lt;&gt;"",TRANSPOSE(INDEX(GetCDS($C98,AR$13,$G98/10000,I98,G98,$C$13,$C$14,$C$15,$C$8,,,TRUE,TRUE,FALSE,$C$29:$C$31,$C$33),{5})),"")</f>
        <v>4.4680648658657303</v>
      </c>
      <c r="AS73" s="525" cm="1">
        <f t="array" aca="1" ref="AS73" ca="1">IF(AR73&lt;&gt;"",TRANSPOSE(INDEX(GetCDS($C98,AS$13,$G98/10000,J98,H98,$C$13,$C$14,$C$15,$C$8,,,TRUE,TRUE,FALSE,$C$29:$C$31,$C$33),{5})),"")</f>
        <v>7.9359568770385698</v>
      </c>
    </row>
    <row r="74" spans="1:45" customFormat="1" ht="15">
      <c r="A74" s="227"/>
      <c r="B74" s="276">
        <v>36</v>
      </c>
      <c r="C74" s="254" t="s">
        <v>124</v>
      </c>
      <c r="D74" s="255">
        <v>1</v>
      </c>
      <c r="E74" s="247"/>
      <c r="F74" s="232">
        <v>0.4</v>
      </c>
      <c r="G74" s="435">
        <v>100</v>
      </c>
      <c r="H74" s="386">
        <v>60</v>
      </c>
      <c r="I74" s="413">
        <f ca="1"/>
        <v>1.5890443321935399E-4</v>
      </c>
      <c r="J74" s="413">
        <f ca="1"/>
        <v>4.7796414283661297E-4</v>
      </c>
      <c r="K74" s="413">
        <f ca="1"/>
        <v>0.33246099231689402</v>
      </c>
      <c r="L74" s="413">
        <f ca="1"/>
        <v>0.33246099231689402</v>
      </c>
      <c r="M74" s="413">
        <f ca="1"/>
        <v>-1.6492048145706401E-4</v>
      </c>
      <c r="N74" s="452" t="str">
        <f ca="1"/>
        <v>HANNOVERRUECK_MMR.EUR.SU</v>
      </c>
      <c r="O74" s="413"/>
      <c r="P74" s="413"/>
      <c r="Q74" s="413"/>
      <c r="R74" s="452"/>
      <c r="S74" s="443"/>
      <c r="T74" s="422" cm="1">
        <f t="array" aca="1" ref="T74:X74" ca="1">IF(AND($U$12,B98&lt;=$C$17,C98&lt;&gt;""),TRANSPOSE(INDEX(GetCDS(C98,$C$6,G98/10000,F98,D98,$C$13,$C$14,$C$15,$C$8,,,TRUE,TRUE,FALSE,$C$29:$C$31,$C$33),{1;2;3;4;5})),"")</f>
        <v>-3.06735908441296E-2</v>
      </c>
      <c r="U74" s="423">
        <f ca="1"/>
        <v>1.40070578145277E-2</v>
      </c>
      <c r="V74" s="423">
        <f ca="1"/>
        <v>4.4680648658657299E-2</v>
      </c>
      <c r="W74" s="424">
        <f ca="1"/>
        <v>3.1349271407262098E-3</v>
      </c>
      <c r="X74" s="425">
        <f ca="1"/>
        <v>4.4680648658657303</v>
      </c>
      <c r="Y74" s="426" t="e">
        <f t="shared" ca="1" si="12"/>
        <v>#VALUE!</v>
      </c>
      <c r="Z74" s="427" t="e">
        <f t="shared" ca="1" si="1"/>
        <v>#VALUE!</v>
      </c>
      <c r="AA74" s="426">
        <f t="shared" ca="1" si="2"/>
        <v>0.111777075866186</v>
      </c>
      <c r="AB74" s="428">
        <f t="shared" ca="1" si="3"/>
        <v>2.978180783689899E-3</v>
      </c>
      <c r="AC74" s="427">
        <f t="shared" ca="1" si="4"/>
        <v>-7.8283398199825919E-5</v>
      </c>
      <c r="AD74" s="79"/>
      <c r="AE74" s="496">
        <f t="shared" ca="1" si="5"/>
        <v>-3.0428842999080099E-3</v>
      </c>
      <c r="AF74" s="493">
        <f t="shared" ca="1" si="6"/>
        <v>4.7450719424953353E-3</v>
      </c>
      <c r="AG74" s="493">
        <f t="shared" ca="1" si="7"/>
        <v>0</v>
      </c>
      <c r="AH74" s="498">
        <f t="shared" ca="1" si="8"/>
        <v>0</v>
      </c>
      <c r="AI74" s="497">
        <f t="shared" ca="1" si="13"/>
        <v>-3.0428842999080099E-3</v>
      </c>
      <c r="AJ74" s="493">
        <f t="shared" ca="1" si="9"/>
        <v>0.25701414194870287</v>
      </c>
      <c r="AK74" s="493">
        <f t="shared" ca="1" si="10"/>
        <v>0</v>
      </c>
      <c r="AL74" s="498">
        <f t="shared" ca="1" si="11"/>
        <v>0</v>
      </c>
      <c r="AN74" s="532" t="str">
        <f t="shared" ca="1" si="0"/>
        <v>Hellenic Telcom_MMR.EUR.SU</v>
      </c>
      <c r="AO74" s="524" cm="1">
        <f t="array" aca="1" ref="AO74" ca="1">IF(AN74&lt;&gt;"",TRANSPOSE(INDEX(GetCDS($C99,AO$13,$G99/10000,F99,D99,$C$13,$C$14,$C$15,$C$8,,,TRUE,TRUE,FALSE,$C$29:$C$31,$C$33),{5})),"")</f>
        <v>0.47820883515867502</v>
      </c>
      <c r="AP74" s="524" cm="1">
        <f t="array" aca="1" ref="AP74" ca="1">IF(AO74&lt;&gt;"",TRANSPOSE(INDEX(GetCDS($C99,AP$13,$G99/10000,G99,E99,$C$13,$C$14,$C$15,$C$8,,,TRUE,TRUE,FALSE,$C$29:$C$31,$C$33),{5})),"")</f>
        <v>0.964090364332025</v>
      </c>
      <c r="AQ74" s="524" cm="1">
        <f t="array" aca="1" ref="AQ74" ca="1">IF(AP74&lt;&gt;"",TRANSPOSE(INDEX(GetCDS($C99,AQ$13,$G99/10000,H99,F99,$C$13,$C$14,$C$15,$C$8,,,TRUE,TRUE,FALSE,$C$29:$C$31,$C$33),{5})),"")</f>
        <v>2.79866475676278</v>
      </c>
      <c r="AR74" s="524" cm="1">
        <f t="array" aca="1" ref="AR74" ca="1">IF(AQ74&lt;&gt;"",TRANSPOSE(INDEX(GetCDS($C99,AR$13,$G99/10000,I99,G99,$C$13,$C$14,$C$15,$C$8,,,TRUE,TRUE,FALSE,$C$29:$C$31,$C$33),{5})),"")</f>
        <v>4.4514569109954003</v>
      </c>
      <c r="AS74" s="525" cm="1">
        <f t="array" aca="1" ref="AS74" ca="1">IF(AR74&lt;&gt;"",TRANSPOSE(INDEX(GetCDS($C99,AS$13,$G99/10000,J99,H99,$C$13,$C$14,$C$15,$C$8,,,TRUE,TRUE,FALSE,$C$29:$C$31,$C$33),{5})),"")</f>
        <v>7.80851022737225</v>
      </c>
    </row>
    <row r="75" spans="1:45" customFormat="1" ht="15">
      <c r="A75" s="227"/>
      <c r="B75" s="276">
        <v>37</v>
      </c>
      <c r="C75" s="254" t="s">
        <v>125</v>
      </c>
      <c r="D75" s="255">
        <v>1</v>
      </c>
      <c r="E75" s="247"/>
      <c r="F75" s="232">
        <v>0.4</v>
      </c>
      <c r="G75" s="435">
        <v>100</v>
      </c>
      <c r="H75" s="386">
        <v>61</v>
      </c>
      <c r="I75" s="413">
        <f ca="1"/>
        <v>1.8990634712612301E-4</v>
      </c>
      <c r="J75" s="413">
        <f ca="1"/>
        <v>4.7078501053373202E-4</v>
      </c>
      <c r="K75" s="413">
        <f ca="1"/>
        <v>0.40338231438342698</v>
      </c>
      <c r="L75" s="413">
        <f ca="1"/>
        <v>0.40338231438342698</v>
      </c>
      <c r="M75" s="413">
        <f ca="1"/>
        <v>-2.5798007908313099E-4</v>
      </c>
      <c r="N75" s="452" t="str">
        <f ca="1"/>
        <v>HELLENIC TELCOM_MMR.EUR.SU</v>
      </c>
      <c r="O75" s="413"/>
      <c r="P75" s="413"/>
      <c r="Q75" s="413"/>
      <c r="R75" s="452"/>
      <c r="S75" s="443"/>
      <c r="T75" s="422" cm="1">
        <f t="array" aca="1" ref="T75:X75" ca="1">IF(AND($U$12,B99&lt;=$C$17,C99&lt;&gt;""),TRANSPOSE(INDEX(GetCDS(C99,$C$6,G99/10000,F99,D99,$C$13,$C$14,$C$15,$C$8,,,TRUE,TRUE,FALSE,$C$29:$C$31,$C$33),{1;2;3;4;5})),"")</f>
        <v>-2.2660873518621599E-2</v>
      </c>
      <c r="U75" s="423">
        <f ca="1"/>
        <v>2.1853695591332399E-2</v>
      </c>
      <c r="V75" s="423">
        <f ca="1"/>
        <v>4.4514569109954001E-2</v>
      </c>
      <c r="W75" s="424">
        <f ca="1"/>
        <v>4.9093355340253404E-3</v>
      </c>
      <c r="X75" s="425">
        <f ca="1"/>
        <v>4.4514569109954003</v>
      </c>
      <c r="Y75" s="426" t="e">
        <f t="shared" ca="1" si="12"/>
        <v>#VALUE!</v>
      </c>
      <c r="Z75" s="427" t="e">
        <f t="shared" ca="1" si="1"/>
        <v>#VALUE!</v>
      </c>
      <c r="AA75" s="426">
        <f t="shared" ca="1" si="2"/>
        <v>0.13550233898107833</v>
      </c>
      <c r="AB75" s="428">
        <f t="shared" ca="1" si="3"/>
        <v>4.6638687573240731E-3</v>
      </c>
      <c r="AC75" s="427">
        <f t="shared" ca="1" si="4"/>
        <v>-1.4806134340030115E-4</v>
      </c>
      <c r="AD75" s="79"/>
      <c r="AE75" s="496">
        <f t="shared" ca="1" si="5"/>
        <v>-5.72347485498501E-3</v>
      </c>
      <c r="AF75" s="493">
        <f t="shared" ca="1" si="6"/>
        <v>1.0960363538778037E-4</v>
      </c>
      <c r="AG75" s="493">
        <f t="shared" ca="1" si="7"/>
        <v>0</v>
      </c>
      <c r="AH75" s="498">
        <f t="shared" ca="1" si="8"/>
        <v>0</v>
      </c>
      <c r="AI75" s="497">
        <f t="shared" ca="1" si="13"/>
        <v>-5.72347485498501E-3</v>
      </c>
      <c r="AJ75" s="493">
        <f t="shared" ca="1" si="9"/>
        <v>0.30820195416722562</v>
      </c>
      <c r="AK75" s="493">
        <f t="shared" ca="1" si="10"/>
        <v>0</v>
      </c>
      <c r="AL75" s="498">
        <f t="shared" ca="1" si="11"/>
        <v>0</v>
      </c>
      <c r="AN75" s="532" t="str">
        <f t="shared" ca="1" si="0"/>
        <v>HenkelKG_MMR.EUR.SU</v>
      </c>
      <c r="AO75" s="524" cm="1">
        <f t="array" aca="1" ref="AO75" ca="1">IF(AN75&lt;&gt;"",TRANSPOSE(INDEX(GetCDS($C100,AO$13,$G100/10000,F100,D100,$C$13,$C$14,$C$15,$C$8,,,TRUE,TRUE,FALSE,$C$29:$C$31,$C$33),{5})),"")</f>
        <v>0.478266648415127</v>
      </c>
      <c r="AP75" s="524" cm="1">
        <f t="array" aca="1" ref="AP75" ca="1">IF(AO75&lt;&gt;"",TRANSPOSE(INDEX(GetCDS($C100,AP$13,$G100/10000,G100,E100,$C$13,$C$14,$C$15,$C$8,,,TRUE,TRUE,FALSE,$C$29:$C$31,$C$33),{5})),"")</f>
        <v>0.96436569418276996</v>
      </c>
      <c r="AQ75" s="524" cm="1">
        <f t="array" aca="1" ref="AQ75" ca="1">IF(AP75&lt;&gt;"",TRANSPOSE(INDEX(GetCDS($C100,AQ$13,$G100/10000,H100,F100,$C$13,$C$14,$C$15,$C$8,,,TRUE,TRUE,FALSE,$C$29:$C$31,$C$33),{5})),"")</f>
        <v>2.8066341889848099</v>
      </c>
      <c r="AR75" s="524" cm="1">
        <f t="array" aca="1" ref="AR75" ca="1">IF(AQ75&lt;&gt;"",TRANSPOSE(INDEX(GetCDS($C100,AR$13,$G100/10000,I100,G100,$C$13,$C$14,$C$15,$C$8,,,TRUE,TRUE,FALSE,$C$29:$C$31,$C$33),{5})),"")</f>
        <v>4.4827658549643301</v>
      </c>
      <c r="AS75" s="525" cm="1">
        <f t="array" aca="1" ref="AS75" ca="1">IF(AR75&lt;&gt;"",TRANSPOSE(INDEX(GetCDS($C100,AS$13,$G100/10000,J100,H100,$C$13,$C$14,$C$15,$C$8,,,TRUE,TRUE,FALSE,$C$29:$C$31,$C$33),{5})),"")</f>
        <v>7.9539560968403498</v>
      </c>
    </row>
    <row r="76" spans="1:45" customFormat="1" ht="15">
      <c r="A76" s="227"/>
      <c r="B76" s="276">
        <v>38</v>
      </c>
      <c r="C76" s="254" t="s">
        <v>126</v>
      </c>
      <c r="D76" s="255">
        <v>1</v>
      </c>
      <c r="E76" s="247"/>
      <c r="F76" s="232">
        <v>0.4</v>
      </c>
      <c r="G76" s="435">
        <v>100</v>
      </c>
      <c r="H76" s="386">
        <v>62</v>
      </c>
      <c r="I76" s="413">
        <f ca="1"/>
        <v>1.4209584006421501E-4</v>
      </c>
      <c r="J76" s="413">
        <f ca="1"/>
        <v>4.8076552249894599E-4</v>
      </c>
      <c r="K76" s="413">
        <f ca="1"/>
        <v>0.29556162706015698</v>
      </c>
      <c r="L76" s="413">
        <f ca="1"/>
        <v>0.29556162706015698</v>
      </c>
      <c r="M76" s="413">
        <f ca="1"/>
        <v>-1.2700673294898599E-4</v>
      </c>
      <c r="N76" s="452" t="str">
        <f ca="1"/>
        <v>HENKELKG_MMR.EUR.SU</v>
      </c>
      <c r="O76" s="413"/>
      <c r="P76" s="413"/>
      <c r="Q76" s="413"/>
      <c r="R76" s="452"/>
      <c r="S76" s="443"/>
      <c r="T76" s="422" cm="1">
        <f t="array" aca="1" ref="T76:X76" ca="1">IF(AND($U$12,B100&lt;=$C$17,C100&lt;&gt;""),TRANSPOSE(INDEX(GetCDS(C100,$C$6,G100/10000,F100,D100,$C$13,$C$14,$C$15,$C$8,,,TRUE,TRUE,FALSE,$C$29:$C$31,$C$33),{1;2;3;4;5})),"")</f>
        <v>-3.3584150209019198E-2</v>
      </c>
      <c r="U76" s="423">
        <f ca="1"/>
        <v>1.1243508340624099E-2</v>
      </c>
      <c r="V76" s="423">
        <f ca="1"/>
        <v>4.4827658549643302E-2</v>
      </c>
      <c r="W76" s="424">
        <f ca="1"/>
        <v>2.50816319754304E-3</v>
      </c>
      <c r="X76" s="425">
        <f ca="1"/>
        <v>4.4827658549643301</v>
      </c>
      <c r="Y76" s="426" t="e">
        <f t="shared" ca="1" si="12"/>
        <v>#VALUE!</v>
      </c>
      <c r="Z76" s="427" t="e">
        <f t="shared" ca="1" si="1"/>
        <v>#VALUE!</v>
      </c>
      <c r="AA76" s="426">
        <f t="shared" ca="1" si="2"/>
        <v>9.9435189036687674E-2</v>
      </c>
      <c r="AB76" s="428">
        <f t="shared" ca="1" si="3"/>
        <v>2.3827550376658881E-3</v>
      </c>
      <c r="AC76" s="427">
        <f t="shared" ca="1" si="4"/>
        <v>-5.5900018864276532E-5</v>
      </c>
      <c r="AD76" s="79"/>
      <c r="AE76" s="496">
        <f t="shared" ca="1" si="5"/>
        <v>-2.0747245762129901E-3</v>
      </c>
      <c r="AF76" s="493">
        <f t="shared" ca="1" si="6"/>
        <v>6.4102349658386876E-3</v>
      </c>
      <c r="AG76" s="493">
        <f t="shared" ca="1" si="7"/>
        <v>0</v>
      </c>
      <c r="AH76" s="498">
        <f t="shared" ca="1" si="8"/>
        <v>0</v>
      </c>
      <c r="AI76" s="497">
        <f t="shared" ca="1" si="13"/>
        <v>-2.0747245762129901E-3</v>
      </c>
      <c r="AJ76" s="493">
        <f t="shared" ca="1" si="9"/>
        <v>0.23006725784737256</v>
      </c>
      <c r="AK76" s="493">
        <f t="shared" ca="1" si="10"/>
        <v>0</v>
      </c>
      <c r="AL76" s="498">
        <f t="shared" ca="1" si="11"/>
        <v>0</v>
      </c>
      <c r="AN76" s="532" t="str">
        <f t="shared" ca="1" si="0"/>
        <v>Iberdrola_MMR.EUR.SU</v>
      </c>
      <c r="AO76" s="524" cm="1">
        <f t="array" aca="1" ref="AO76" ca="1">IF(AN76&lt;&gt;"",TRANSPOSE(INDEX(GetCDS($C101,AO$13,$G101/10000,F101,D101,$C$13,$C$14,$C$15,$C$8,,,TRUE,TRUE,FALSE,$C$29:$C$31,$C$33),{5})),"")</f>
        <v>0.47822810520300102</v>
      </c>
      <c r="AP76" s="524" cm="1">
        <f t="array" aca="1" ref="AP76" ca="1">IF(AO76&lt;&gt;"",TRANSPOSE(INDEX(GetCDS($C101,AP$13,$G101/10000,G101,E101,$C$13,$C$14,$C$15,$C$8,,,TRUE,TRUE,FALSE,$C$29:$C$31,$C$33),{5})),"")</f>
        <v>0.96416924155666195</v>
      </c>
      <c r="AQ76" s="524" cm="1">
        <f t="array" aca="1" ref="AQ76" ca="1">IF(AP76&lt;&gt;"",TRANSPOSE(INDEX(GetCDS($C101,AQ$13,$G101/10000,H101,F101,$C$13,$C$14,$C$15,$C$8,,,TRUE,TRUE,FALSE,$C$29:$C$31,$C$33),{5})),"")</f>
        <v>2.80106555131024</v>
      </c>
      <c r="AR76" s="524" cm="1">
        <f t="array" aca="1" ref="AR76" ca="1">IF(AQ76&lt;&gt;"",TRANSPOSE(INDEX(GetCDS($C101,AR$13,$G101/10000,I101,G101,$C$13,$C$14,$C$15,$C$8,,,TRUE,TRUE,FALSE,$C$29:$C$31,$C$33),{5})),"")</f>
        <v>4.4648082335378501</v>
      </c>
      <c r="AS76" s="525" cm="1">
        <f t="array" aca="1" ref="AS76" ca="1">IF(AR76&lt;&gt;"",TRANSPOSE(INDEX(GetCDS($C101,AS$13,$G101/10000,J101,H101,$C$13,$C$14,$C$15,$C$8,,,TRUE,TRUE,FALSE,$C$29:$C$31,$C$33),{5})),"")</f>
        <v>7.8985530859812103</v>
      </c>
    </row>
    <row r="77" spans="1:45" customFormat="1" ht="15">
      <c r="A77" s="227"/>
      <c r="B77" s="276">
        <v>39</v>
      </c>
      <c r="C77" s="254" t="s">
        <v>127</v>
      </c>
      <c r="D77" s="255">
        <v>1</v>
      </c>
      <c r="E77" s="247"/>
      <c r="F77" s="232">
        <v>0.4</v>
      </c>
      <c r="G77" s="435">
        <v>100</v>
      </c>
      <c r="H77" s="386">
        <v>63</v>
      </c>
      <c r="I77" s="413">
        <f ca="1"/>
        <v>1.6694623182720301E-4</v>
      </c>
      <c r="J77" s="413">
        <f ca="1"/>
        <v>4.7647786646078702E-4</v>
      </c>
      <c r="K77" s="413">
        <f ca="1"/>
        <v>0.35037562828942498</v>
      </c>
      <c r="L77" s="413">
        <f ca="1"/>
        <v>0.35037562828942498</v>
      </c>
      <c r="M77" s="413">
        <f ca="1"/>
        <v>-1.8725448810921199E-4</v>
      </c>
      <c r="N77" s="452" t="str">
        <f ca="1"/>
        <v>IBERDROLA_MMR.EUR.SU</v>
      </c>
      <c r="O77" s="413"/>
      <c r="P77" s="413"/>
      <c r="Q77" s="413"/>
      <c r="R77" s="452"/>
      <c r="S77" s="443"/>
      <c r="T77" s="422" cm="1">
        <f t="array" aca="1" ref="T77:X77" ca="1">IF(AND($U$12,B101&lt;=$C$17,C101&lt;&gt;""),TRANSPOSE(INDEX(GetCDS(C101,$C$6,G101/10000,F101,D101,$C$13,$C$14,$C$15,$C$8,,,TRUE,TRUE,FALSE,$C$29:$C$31,$C$33),{1;2;3;4;5})),"")</f>
        <v>-2.8786731944636601E-2</v>
      </c>
      <c r="U77" s="423">
        <f ca="1"/>
        <v>1.58613503907419E-2</v>
      </c>
      <c r="V77" s="423">
        <f ca="1"/>
        <v>4.4648082335378501E-2</v>
      </c>
      <c r="W77" s="424">
        <f ca="1"/>
        <v>3.5525266844828401E-3</v>
      </c>
      <c r="X77" s="425">
        <f ca="1"/>
        <v>4.4648082335378501</v>
      </c>
      <c r="Y77" s="426" t="e">
        <f t="shared" ca="1" si="12"/>
        <v>#VALUE!</v>
      </c>
      <c r="Z77" s="427" t="e">
        <f t="shared" ca="1" si="1"/>
        <v>#VALUE!</v>
      </c>
      <c r="AA77" s="426">
        <f t="shared" ca="1" si="2"/>
        <v>0.11777589028321067</v>
      </c>
      <c r="AB77" s="428">
        <f t="shared" ca="1" si="3"/>
        <v>3.374900350258698E-3</v>
      </c>
      <c r="AC77" s="427">
        <f t="shared" ca="1" si="4"/>
        <v>-9.3404233168178981E-5</v>
      </c>
      <c r="AD77" s="79"/>
      <c r="AE77" s="496">
        <f t="shared" ca="1" si="5"/>
        <v>-3.59730509679201E-3</v>
      </c>
      <c r="AF77" s="493">
        <f t="shared" ca="1" si="6"/>
        <v>3.7323471007016107E-3</v>
      </c>
      <c r="AG77" s="493">
        <f t="shared" ca="1" si="7"/>
        <v>0</v>
      </c>
      <c r="AH77" s="498">
        <f t="shared" ca="1" si="8"/>
        <v>0</v>
      </c>
      <c r="AI77" s="497">
        <f t="shared" ca="1" si="13"/>
        <v>-3.59730509679201E-3</v>
      </c>
      <c r="AJ77" s="493">
        <f t="shared" ca="1" si="9"/>
        <v>0.26997840420322788</v>
      </c>
      <c r="AK77" s="493">
        <f t="shared" ca="1" si="10"/>
        <v>0</v>
      </c>
      <c r="AL77" s="498">
        <f t="shared" ca="1" si="11"/>
        <v>0</v>
      </c>
      <c r="AN77" s="532" t="str">
        <f t="shared" ca="1" si="0"/>
        <v>ICI_MMR.EUR.SU</v>
      </c>
      <c r="AO77" s="524" cm="1">
        <f t="array" aca="1" ref="AO77" ca="1">IF(AN77&lt;&gt;"",TRANSPOSE(INDEX(GetCDS($C102,AO$13,$G102/10000,F102,D102,$C$13,$C$14,$C$15,$C$8,,,TRUE,TRUE,FALSE,$C$29:$C$31,$C$33),{5})),"")</f>
        <v>0.47830519579325298</v>
      </c>
      <c r="AP77" s="524" cm="1">
        <f t="array" aca="1" ref="AP77" ca="1">IF(AO77&lt;&gt;"",TRANSPOSE(INDEX(GetCDS($C102,AP$13,$G102/10000,G102,E102,$C$13,$C$14,$C$15,$C$8,,,TRUE,TRUE,FALSE,$C$29:$C$31,$C$33),{5})),"")</f>
        <v>0.964536407759364</v>
      </c>
      <c r="AQ77" s="524" cm="1">
        <f t="array" aca="1" ref="AQ77" ca="1">IF(AP77&lt;&gt;"",TRANSPOSE(INDEX(GetCDS($C102,AQ$13,$G102/10000,H102,F102,$C$13,$C$14,$C$15,$C$8,,,TRUE,TRUE,FALSE,$C$29:$C$31,$C$33),{5})),"")</f>
        <v>2.8095870040111199</v>
      </c>
      <c r="AR77" s="524" cm="1">
        <f t="array" aca="1" ref="AR77" ca="1">IF(AQ77&lt;&gt;"",TRANSPOSE(INDEX(GetCDS($C102,AR$13,$G102/10000,I102,G102,$C$13,$C$14,$C$15,$C$8,,,TRUE,TRUE,FALSE,$C$29:$C$31,$C$33),{5})),"")</f>
        <v>4.4949609135000497</v>
      </c>
      <c r="AS77" s="525" cm="1">
        <f t="array" aca="1" ref="AS77" ca="1">IF(AR77&lt;&gt;"",TRANSPOSE(INDEX(GetCDS($C102,AS$13,$G102/10000,J102,H102,$C$13,$C$14,$C$15,$C$8,,,TRUE,TRUE,FALSE,$C$29:$C$31,$C$33),{5})),"")</f>
        <v>8.0310087502477501</v>
      </c>
    </row>
    <row r="78" spans="1:45" customFormat="1" ht="15">
      <c r="A78" s="227"/>
      <c r="B78" s="276">
        <v>40</v>
      </c>
      <c r="C78" s="254" t="s">
        <v>128</v>
      </c>
      <c r="D78" s="255">
        <v>1</v>
      </c>
      <c r="E78" s="247"/>
      <c r="F78" s="232">
        <v>0.4</v>
      </c>
      <c r="G78" s="435">
        <v>100</v>
      </c>
      <c r="H78" s="386">
        <v>64</v>
      </c>
      <c r="I78" s="413">
        <f ca="1"/>
        <v>1.0742625780491E-4</v>
      </c>
      <c r="J78" s="413">
        <f ca="1"/>
        <v>4.85018040687207E-4</v>
      </c>
      <c r="K78" s="413">
        <f ca="1"/>
        <v>0.221489199974296</v>
      </c>
      <c r="L78" s="413">
        <f ca="1"/>
        <v>0.221489199974296</v>
      </c>
      <c r="M78" s="413">
        <f ca="1"/>
        <v>-6.3044406960144404E-5</v>
      </c>
      <c r="N78" s="452" t="str">
        <f ca="1"/>
        <v>ICI_MMR.EUR.SU</v>
      </c>
      <c r="O78" s="413"/>
      <c r="P78" s="413"/>
      <c r="Q78" s="413"/>
      <c r="R78" s="452"/>
      <c r="S78" s="443"/>
      <c r="T78" s="422" cm="1">
        <f t="array" aca="1" ref="T78:X78" ca="1">IF(AND($U$12,B102&lt;=$C$17,C102&lt;&gt;""),TRANSPOSE(INDEX(GetCDS(C102,$C$6,G102/10000,F102,D102,$C$13,$C$14,$C$15,$C$8,,,TRUE,TRUE,FALSE,$C$29:$C$31,$C$33),{1;2;3;4;5})),"")</f>
        <v>-3.8841255472151302E-2</v>
      </c>
      <c r="U78" s="423">
        <f ca="1"/>
        <v>6.1083536628492299E-3</v>
      </c>
      <c r="V78" s="423">
        <f ca="1"/>
        <v>4.4949609135000498E-2</v>
      </c>
      <c r="W78" s="424">
        <f ca="1"/>
        <v>1.3589336549075599E-3</v>
      </c>
      <c r="X78" s="425">
        <f ca="1"/>
        <v>4.4949609135000497</v>
      </c>
      <c r="Y78" s="426" t="e">
        <f t="shared" ca="1" si="12"/>
        <v>#VALUE!</v>
      </c>
      <c r="Z78" s="427" t="e">
        <f t="shared" ca="1" si="1"/>
        <v>#VALUE!</v>
      </c>
      <c r="AA78" s="426">
        <f t="shared" ca="1" si="2"/>
        <v>7.4610880648841332E-2</v>
      </c>
      <c r="AB78" s="428">
        <f t="shared" ca="1" si="3"/>
        <v>1.290986972162182E-3</v>
      </c>
      <c r="AC78" s="427">
        <f t="shared" ca="1" si="4"/>
        <v>-2.2787482304987886E-5</v>
      </c>
      <c r="AD78" s="79"/>
      <c r="AE78" s="496">
        <f t="shared" ca="1" si="5"/>
        <v>-8.2796516329999804E-4</v>
      </c>
      <c r="AF78" s="493">
        <f t="shared" ca="1" si="6"/>
        <v>8.9231163575535163E-3</v>
      </c>
      <c r="AG78" s="493">
        <f t="shared" ca="1" si="7"/>
        <v>0</v>
      </c>
      <c r="AH78" s="498">
        <f t="shared" ca="1" si="8"/>
        <v>0</v>
      </c>
      <c r="AI78" s="497">
        <f t="shared" ca="1" si="13"/>
        <v>-8.2796516329999804E-4</v>
      </c>
      <c r="AJ78" s="493">
        <f t="shared" ca="1" si="9"/>
        <v>0.17582721384875982</v>
      </c>
      <c r="AK78" s="493">
        <f t="shared" ca="1" si="10"/>
        <v>0</v>
      </c>
      <c r="AL78" s="498">
        <f t="shared" ca="1" si="11"/>
        <v>0</v>
      </c>
      <c r="AN78" s="532" t="str">
        <f t="shared" ca="1" si="0"/>
        <v>Intesa_MMR.EUR.SU</v>
      </c>
      <c r="AO78" s="524" cm="1">
        <f t="array" aca="1" ref="AO78" ca="1">IF(AN78&lt;&gt;"",TRANSPOSE(INDEX(GetCDS($C103,AO$13,$G103/10000,F103,D103,$C$13,$C$14,$C$15,$C$8,,,TRUE,TRUE,FALSE,$C$29:$C$31,$C$33),{5})),"")</f>
        <v>0.478166444724761</v>
      </c>
      <c r="AP78" s="524" cm="1">
        <f t="array" aca="1" ref="AP78" ca="1">IF(AO78&lt;&gt;"",TRANSPOSE(INDEX(GetCDS($C103,AP$13,$G103/10000,G103,E103,$C$13,$C$14,$C$15,$C$8,,,TRUE,TRUE,FALSE,$C$29:$C$31,$C$33),{5})),"")</f>
        <v>0.96392073049704396</v>
      </c>
      <c r="AQ78" s="524" cm="1">
        <f t="array" aca="1" ref="AQ78" ca="1">IF(AP78&lt;&gt;"",TRANSPOSE(INDEX(GetCDS($C103,AQ$13,$G103/10000,H103,F103,$C$13,$C$14,$C$15,$C$8,,,TRUE,TRUE,FALSE,$C$29:$C$31,$C$33),{5})),"")</f>
        <v>2.8003312193212002</v>
      </c>
      <c r="AR78" s="524" cm="1">
        <f t="array" aca="1" ref="AR78" ca="1">IF(AQ78&lt;&gt;"",TRANSPOSE(INDEX(GetCDS($C103,AR$13,$G103/10000,I103,G103,$C$13,$C$14,$C$15,$C$8,,,TRUE,TRUE,FALSE,$C$29:$C$31,$C$33),{5})),"")</f>
        <v>4.4671408618838004</v>
      </c>
      <c r="AS78" s="525" cm="1">
        <f t="array" aca="1" ref="AS78" ca="1">IF(AR78&lt;&gt;"",TRANSPOSE(INDEX(GetCDS($C103,AS$13,$G103/10000,J103,H103,$C$13,$C$14,$C$15,$C$8,,,TRUE,TRUE,FALSE,$C$29:$C$31,$C$33),{5})),"")</f>
        <v>7.9403844477875003</v>
      </c>
    </row>
    <row r="79" spans="1:45" customFormat="1" ht="15">
      <c r="A79" s="227"/>
      <c r="B79" s="276">
        <v>41</v>
      </c>
      <c r="C79" s="254" t="s">
        <v>129</v>
      </c>
      <c r="D79" s="255">
        <v>1</v>
      </c>
      <c r="E79" s="247"/>
      <c r="F79" s="232">
        <v>0.4</v>
      </c>
      <c r="G79" s="435">
        <v>100</v>
      </c>
      <c r="H79" s="386">
        <v>65</v>
      </c>
      <c r="I79" s="413">
        <f ca="1"/>
        <v>1.59062125104992E-4</v>
      </c>
      <c r="J79" s="413">
        <f ca="1"/>
        <v>4.7795546420647601E-4</v>
      </c>
      <c r="K79" s="413">
        <f ca="1"/>
        <v>0.33279695916663399</v>
      </c>
      <c r="L79" s="413">
        <f ca="1"/>
        <v>0.33279695916663399</v>
      </c>
      <c r="M79" s="413">
        <f ca="1"/>
        <v>-1.6530625635704499E-4</v>
      </c>
      <c r="N79" s="452" t="str">
        <f ca="1"/>
        <v>INTESA_MMR.EUR.SU</v>
      </c>
      <c r="O79" s="413"/>
      <c r="P79" s="413"/>
      <c r="Q79" s="413"/>
      <c r="R79" s="452"/>
      <c r="S79" s="443"/>
      <c r="T79" s="422" cm="1">
        <f t="array" aca="1" ref="T79:X79" ca="1">IF(AND($U$12,B103&lt;=$C$17,C103&lt;&gt;""),TRANSPOSE(INDEX(GetCDS(C103,$C$6,G103/10000,F103,D103,$C$13,$C$14,$C$15,$C$8,,,TRUE,TRUE,FALSE,$C$29:$C$31,$C$33),{1;2;3;4;5})),"")</f>
        <v>-3.0667204291055801E-2</v>
      </c>
      <c r="U79" s="423">
        <f ca="1"/>
        <v>1.40042043277822E-2</v>
      </c>
      <c r="V79" s="423">
        <f ca="1"/>
        <v>4.4671408618837997E-2</v>
      </c>
      <c r="W79" s="424">
        <f ca="1"/>
        <v>3.1349368109866598E-3</v>
      </c>
      <c r="X79" s="425">
        <f ca="1"/>
        <v>4.4671408618838004</v>
      </c>
      <c r="Y79" s="426" t="e">
        <f t="shared" ca="1" si="12"/>
        <v>#VALUE!</v>
      </c>
      <c r="Z79" s="427" t="e">
        <f t="shared" ca="1" si="1"/>
        <v>#VALUE!</v>
      </c>
      <c r="AA79" s="426">
        <f t="shared" ca="1" si="2"/>
        <v>0.11188950301148599</v>
      </c>
      <c r="AB79" s="428">
        <f t="shared" ca="1" si="3"/>
        <v>2.9781899704373269E-3</v>
      </c>
      <c r="AC79" s="427">
        <f t="shared" ca="1" si="4"/>
        <v>-7.8346173115342575E-5</v>
      </c>
      <c r="AD79" s="79"/>
      <c r="AE79" s="496">
        <f t="shared" ca="1" si="5"/>
        <v>-3.0535249878630199E-3</v>
      </c>
      <c r="AF79" s="493">
        <f t="shared" ca="1" si="6"/>
        <v>4.7332287024771692E-3</v>
      </c>
      <c r="AG79" s="493">
        <f t="shared" ca="1" si="7"/>
        <v>0</v>
      </c>
      <c r="AH79" s="498">
        <f t="shared" ca="1" si="8"/>
        <v>0</v>
      </c>
      <c r="AI79" s="497">
        <f t="shared" ca="1" si="13"/>
        <v>-3.0535249878630199E-3</v>
      </c>
      <c r="AJ79" s="493">
        <f t="shared" ca="1" si="9"/>
        <v>0.25726452044773945</v>
      </c>
      <c r="AK79" s="493">
        <f t="shared" ca="1" si="10"/>
        <v>0</v>
      </c>
      <c r="AL79" s="498">
        <f t="shared" ca="1" si="11"/>
        <v>0</v>
      </c>
      <c r="AN79" s="532" t="str">
        <f t="shared" ref="AN79:AN142" ca="1" si="14">IF(OR(C104="",C104=0),"",C104)</f>
        <v>Kingfisher_MMR.EUR.SU</v>
      </c>
      <c r="AO79" s="524" cm="1">
        <f t="array" aca="1" ref="AO79" ca="1">IF(AN79&lt;&gt;"",TRANSPOSE(INDEX(GetCDS($C104,AO$13,$G104/10000,F104,D104,$C$13,$C$14,$C$15,$C$8,,,TRUE,TRUE,FALSE,$C$29:$C$31,$C$33),{5})),"")</f>
        <v>0.47788140349094299</v>
      </c>
      <c r="AP79" s="524" cm="1">
        <f t="array" aca="1" ref="AP79" ca="1">IF(AO79&lt;&gt;"",TRANSPOSE(INDEX(GetCDS($C104,AP$13,$G104/10000,G104,E104,$C$13,$C$14,$C$15,$C$8,,,TRUE,TRUE,FALSE,$C$29:$C$31,$C$33),{5})),"")</f>
        <v>0.96271216146518102</v>
      </c>
      <c r="AQ79" s="524" cm="1">
        <f t="array" aca="1" ref="AQ79" ca="1">IF(AP79&lt;&gt;"",TRANSPOSE(INDEX(GetCDS($C104,AQ$13,$G104/10000,H104,F104,$C$13,$C$14,$C$15,$C$8,,,TRUE,TRUE,FALSE,$C$29:$C$31,$C$33),{5})),"")</f>
        <v>2.7814342880443199</v>
      </c>
      <c r="AR79" s="524" cm="1">
        <f t="array" aca="1" ref="AR79" ca="1">IF(AQ79&lt;&gt;"",TRANSPOSE(INDEX(GetCDS($C104,AR$13,$G104/10000,I104,G104,$C$13,$C$14,$C$15,$C$8,,,TRUE,TRUE,FALSE,$C$29:$C$31,$C$33),{5})),"")</f>
        <v>4.3831239826641699</v>
      </c>
      <c r="AS79" s="525" cm="1">
        <f t="array" aca="1" ref="AS79" ca="1">IF(AR79&lt;&gt;"",TRANSPOSE(INDEX(GetCDS($C104,AS$13,$G104/10000,J104,H104,$C$13,$C$14,$C$15,$C$8,,,TRUE,TRUE,FALSE,$C$29:$C$31,$C$33),{5})),"")</f>
        <v>7.4590993201031202</v>
      </c>
    </row>
    <row r="80" spans="1:45" customFormat="1" ht="15">
      <c r="A80" s="227"/>
      <c r="B80" s="276">
        <v>42</v>
      </c>
      <c r="C80" s="254" t="s">
        <v>130</v>
      </c>
      <c r="D80" s="255">
        <v>1</v>
      </c>
      <c r="E80" s="247"/>
      <c r="F80" s="232">
        <v>0.4</v>
      </c>
      <c r="G80" s="435">
        <v>100</v>
      </c>
      <c r="H80" s="386">
        <v>66</v>
      </c>
      <c r="I80" s="413">
        <f ca="1"/>
        <v>2.5569110031706802E-4</v>
      </c>
      <c r="J80" s="413">
        <f ca="1"/>
        <v>4.5475149677132003E-4</v>
      </c>
      <c r="K80" s="413">
        <f ca="1"/>
        <v>0.56226554971768905</v>
      </c>
      <c r="L80" s="413">
        <f ca="1"/>
        <v>0.56226554971768905</v>
      </c>
      <c r="M80" s="413">
        <f ca="1"/>
        <v>-5.0623307689723405E-4</v>
      </c>
      <c r="N80" s="452" t="str">
        <f ca="1"/>
        <v>KINGFISHER_MMR.EUR.SU</v>
      </c>
      <c r="O80" s="413"/>
      <c r="P80" s="413"/>
      <c r="Q80" s="413"/>
      <c r="R80" s="452"/>
      <c r="S80" s="443"/>
      <c r="T80" s="422" cm="1">
        <f t="array" aca="1" ref="T80:X80" ca="1">IF(AND($U$12,B104&lt;=$C$17,C104&lt;&gt;""),TRANSPOSE(INDEX(GetCDS(C104,$C$6,G104/10000,F104,D104,$C$13,$C$14,$C$15,$C$8,,,TRUE,TRUE,FALSE,$C$29:$C$31,$C$33),{1;2;3;4;5})),"")</f>
        <v>3.2534036200663002E-3</v>
      </c>
      <c r="U80" s="423">
        <f ca="1"/>
        <v>4.7084643446707999E-2</v>
      </c>
      <c r="V80" s="423">
        <f ca="1"/>
        <v>4.3831239826641701E-2</v>
      </c>
      <c r="W80" s="424">
        <f ca="1"/>
        <v>1.07422568088272E-2</v>
      </c>
      <c r="X80" s="425">
        <f ca="1"/>
        <v>4.3831239826641699</v>
      </c>
      <c r="Y80" s="426" t="e">
        <f t="shared" ref="Y80:Y143" ca="1" si="15">IF($U$12,IF(T80="","",$U$13*D104/$C$18),"")</f>
        <v>#VALUE!</v>
      </c>
      <c r="Z80" s="427" t="e">
        <f t="shared" ref="Z80:Z143" ca="1" si="16">IF($U$12,IF(Y80="","",Y80*($Z$10-W80)*X80),"")</f>
        <v>#VALUE!</v>
      </c>
      <c r="AA80" s="426">
        <f t="shared" ref="AA80:AA143" ca="1" si="17">IF($U$12,IF(OR(T80="",L80=""),"",L80/($C$20-$C$19)),"")</f>
        <v>0.18852764611238901</v>
      </c>
      <c r="AB80" s="428">
        <f t="shared" ref="AB80:AB143" ca="1" si="18">IF($U$12,IF(W80="","",W80*$AC$10),"")</f>
        <v>1.020514396838584E-2</v>
      </c>
      <c r="AC80" s="427">
        <f t="shared" ref="AC80:AC143" ca="1" si="19">IF($U$12,IF(AA80="","",AA80*(AB80-W80)*X80),"")</f>
        <v>-4.4383784985244876E-4</v>
      </c>
      <c r="AD80" s="79"/>
      <c r="AE80" s="496">
        <f t="shared" ref="AE80:AE114" ca="1" si="20">O80</f>
        <v>-1.7875086717351E-2</v>
      </c>
      <c r="AF80" s="493">
        <f t="shared" ref="AF80:AF114" ca="1" si="21">ABS(MIN(-0.75*(Q80+T80)+T80,0))</f>
        <v>0</v>
      </c>
      <c r="AG80" s="493">
        <f t="shared" ref="AG80:AG114" ca="1" si="22">IF($AF$9,MAX(O80-AF80,0),AE80)</f>
        <v>0</v>
      </c>
      <c r="AH80" s="498">
        <f t="shared" ca="1" si="8"/>
        <v>0</v>
      </c>
      <c r="AI80" s="497">
        <f t="shared" ca="1" si="13"/>
        <v>-1.7875086717351E-2</v>
      </c>
      <c r="AJ80" s="493">
        <f t="shared" ca="1" si="9"/>
        <v>0.42088581138325021</v>
      </c>
      <c r="AK80" s="493">
        <f t="shared" ca="1" si="10"/>
        <v>0</v>
      </c>
      <c r="AL80" s="498">
        <f t="shared" ca="1" si="11"/>
        <v>0</v>
      </c>
      <c r="AN80" s="532" t="str">
        <f t="shared" ca="1" si="14"/>
        <v>Kpn_MMR.EUR.SU</v>
      </c>
      <c r="AO80" s="524" cm="1">
        <f t="array" aca="1" ref="AO80" ca="1">IF(AN80&lt;&gt;"",TRANSPOSE(INDEX(GetCDS($C105,AO$13,$G105/10000,F105,D105,$C$13,$C$14,$C$15,$C$8,,,TRUE,TRUE,FALSE,$C$29:$C$31,$C$33),{5})),"")</f>
        <v>0.47822810520300102</v>
      </c>
      <c r="AP80" s="524" cm="1">
        <f t="array" aca="1" ref="AP80" ca="1">IF(AO80&lt;&gt;"",TRANSPOSE(INDEX(GetCDS($C105,AP$13,$G105/10000,G105,E105,$C$13,$C$14,$C$15,$C$8,,,TRUE,TRUE,FALSE,$C$29:$C$31,$C$33),{5})),"")</f>
        <v>0.96416924155666195</v>
      </c>
      <c r="AQ80" s="524" cm="1">
        <f t="array" aca="1" ref="AQ80" ca="1">IF(AP80&lt;&gt;"",TRANSPOSE(INDEX(GetCDS($C105,AQ$13,$G105/10000,H105,F105,$C$13,$C$14,$C$15,$C$8,,,TRUE,TRUE,FALSE,$C$29:$C$31,$C$33),{5})),"")</f>
        <v>2.8004459769719001</v>
      </c>
      <c r="AR80" s="524" cm="1">
        <f t="array" aca="1" ref="AR80" ca="1">IF(AQ80&lt;&gt;"",TRANSPOSE(INDEX(GetCDS($C105,AR$13,$G105/10000,I105,G105,$C$13,$C$14,$C$15,$C$8,,,TRUE,TRUE,FALSE,$C$29:$C$31,$C$33),{5})),"")</f>
        <v>4.4595285292907096</v>
      </c>
      <c r="AS80" s="525" cm="1">
        <f t="array" aca="1" ref="AS80" ca="1">IF(AR80&lt;&gt;"",TRANSPOSE(INDEX(GetCDS($C105,AS$13,$G105/10000,J105,H105,$C$13,$C$14,$C$15,$C$8,,,TRUE,TRUE,FALSE,$C$29:$C$31,$C$33),{5})),"")</f>
        <v>7.85428807664531</v>
      </c>
    </row>
    <row r="81" spans="1:45" customFormat="1" ht="15">
      <c r="A81" s="227"/>
      <c r="B81" s="276">
        <v>43</v>
      </c>
      <c r="C81" s="254" t="s">
        <v>131</v>
      </c>
      <c r="D81" s="255">
        <v>1</v>
      </c>
      <c r="E81" s="247"/>
      <c r="F81" s="232">
        <v>0.4</v>
      </c>
      <c r="G81" s="435">
        <v>100</v>
      </c>
      <c r="H81" s="386">
        <v>67</v>
      </c>
      <c r="I81" s="413">
        <f ca="1"/>
        <v>1.78066016252454E-4</v>
      </c>
      <c r="J81" s="413">
        <f ca="1"/>
        <v>4.7394908576898597E-4</v>
      </c>
      <c r="K81" s="413">
        <f ca="1"/>
        <v>0.375707057148429</v>
      </c>
      <c r="L81" s="413">
        <f ca="1"/>
        <v>0.375707057148429</v>
      </c>
      <c r="M81" s="413">
        <f ca="1"/>
        <v>-2.20139266442665E-4</v>
      </c>
      <c r="N81" s="452" t="str">
        <f ca="1"/>
        <v>KPN_MMR.EUR.SU</v>
      </c>
      <c r="O81" s="413"/>
      <c r="P81" s="413"/>
      <c r="Q81" s="413"/>
      <c r="R81" s="452"/>
      <c r="S81" s="443"/>
      <c r="T81" s="422" cm="1">
        <f t="array" aca="1" ref="T81:X81" ca="1">IF(AND($U$12,B105&lt;=$C$17,C105&lt;&gt;""),TRANSPOSE(INDEX(GetCDS(C105,$C$6,G105/10000,F105,D105,$C$13,$C$14,$C$15,$C$8,,,TRUE,TRUE,FALSE,$C$29:$C$31,$C$33),{1;2;3;4;5})),"")</f>
        <v>-2.5959699777456002E-2</v>
      </c>
      <c r="U81" s="423">
        <f ca="1"/>
        <v>1.8635585515451102E-2</v>
      </c>
      <c r="V81" s="423">
        <f ca="1"/>
        <v>4.45952852929071E-2</v>
      </c>
      <c r="W81" s="424">
        <f ca="1"/>
        <v>4.1788241499186203E-3</v>
      </c>
      <c r="X81" s="425">
        <f ca="1"/>
        <v>4.4595285292907096</v>
      </c>
      <c r="Y81" s="426" t="e">
        <f t="shared" ca="1" si="15"/>
        <v>#VALUE!</v>
      </c>
      <c r="Z81" s="427" t="e">
        <f t="shared" ca="1" si="16"/>
        <v>#VALUE!</v>
      </c>
      <c r="AA81" s="426">
        <f t="shared" ca="1" si="17"/>
        <v>0.126250317299471</v>
      </c>
      <c r="AB81" s="428">
        <f t="shared" ca="1" si="18"/>
        <v>3.9698829424226895E-3</v>
      </c>
      <c r="AC81" s="427">
        <f t="shared" ca="1" si="19"/>
        <v>-1.1763742921935617E-4</v>
      </c>
      <c r="AD81" s="79"/>
      <c r="AE81" s="496">
        <f t="shared" ca="1" si="20"/>
        <v>-4.5229214454889904E-3</v>
      </c>
      <c r="AF81" s="493">
        <f t="shared" ca="1" si="21"/>
        <v>2.1183176494366726E-3</v>
      </c>
      <c r="AG81" s="493">
        <f t="shared" ca="1" si="22"/>
        <v>0</v>
      </c>
      <c r="AH81" s="498">
        <f t="shared" ref="AH81:AH114" ca="1" si="23">IF($AF$9,0,AF81)</f>
        <v>0</v>
      </c>
      <c r="AI81" s="497">
        <f t="shared" ca="1" si="13"/>
        <v>-4.5229214454889904E-3</v>
      </c>
      <c r="AJ81" s="493">
        <f t="shared" ref="AJ81:AJ114" ca="1" si="24">ABS(MIN(-0.75*(K81+T81)+T81,0))</f>
        <v>0.28827021780568574</v>
      </c>
      <c r="AK81" s="493">
        <f t="shared" ref="AK81:AK114" ca="1" si="25">IF($AF$9,MAX(AI81-AJ81,0),AI81)</f>
        <v>0</v>
      </c>
      <c r="AL81" s="498">
        <f t="shared" ref="AL81:AL114" ca="1" si="26">IF($AF$9,0,AJ81)</f>
        <v>0</v>
      </c>
      <c r="AN81" s="532" t="str">
        <f t="shared" ca="1" si="14"/>
        <v>Lafarge_MMR.EUR.SU</v>
      </c>
      <c r="AO81" s="524" cm="1">
        <f t="array" aca="1" ref="AO81" ca="1">IF(AN81&lt;&gt;"",TRANSPOSE(INDEX(GetCDS($C106,AO$13,$G106/10000,F106,D106,$C$13,$C$14,$C$15,$C$8,,,TRUE,TRUE,FALSE,$C$29:$C$31,$C$33),{5})),"")</f>
        <v>0.47815103127014702</v>
      </c>
      <c r="AP81" s="524" cm="1">
        <f t="array" aca="1" ref="AP81" ca="1">IF(AO81&lt;&gt;"",TRANSPOSE(INDEX(GetCDS($C106,AP$13,$G106/10000,G106,E106,$C$13,$C$14,$C$15,$C$8,,,TRUE,TRUE,FALSE,$C$29:$C$31,$C$33),{5})),"")</f>
        <v>0.96386666889533601</v>
      </c>
      <c r="AQ81" s="524" cm="1">
        <f t="array" aca="1" ref="AQ81" ca="1">IF(AP81&lt;&gt;"",TRANSPOSE(INDEX(GetCDS($C106,AQ$13,$G106/10000,H106,F106,$C$13,$C$14,$C$15,$C$8,,,TRUE,TRUE,FALSE,$C$29:$C$31,$C$33),{5})),"")</f>
        <v>2.7987101070432399</v>
      </c>
      <c r="AR81" s="524" cm="1">
        <f t="array" aca="1" ref="AR81" ca="1">IF(AQ81&lt;&gt;"",TRANSPOSE(INDEX(GetCDS($C106,AR$13,$G106/10000,I106,G106,$C$13,$C$14,$C$15,$C$8,,,TRUE,TRUE,FALSE,$C$29:$C$31,$C$33),{5})),"")</f>
        <v>4.4485767908983203</v>
      </c>
      <c r="AS81" s="525" cm="1">
        <f t="array" aca="1" ref="AS81" ca="1">IF(AR81&lt;&gt;"",TRANSPOSE(INDEX(GetCDS($C106,AS$13,$G106/10000,J106,H106,$C$13,$C$14,$C$15,$C$8,,,TRUE,TRUE,FALSE,$C$29:$C$31,$C$33),{5})),"")</f>
        <v>7.7797224778127303</v>
      </c>
    </row>
    <row r="82" spans="1:45" customFormat="1" ht="15">
      <c r="A82" s="227"/>
      <c r="B82" s="276">
        <v>44</v>
      </c>
      <c r="C82" s="254" t="s">
        <v>132</v>
      </c>
      <c r="D82" s="255">
        <v>1</v>
      </c>
      <c r="E82" s="247"/>
      <c r="F82" s="232">
        <v>0.4</v>
      </c>
      <c r="G82" s="435">
        <v>100</v>
      </c>
      <c r="H82" s="386">
        <v>68</v>
      </c>
      <c r="I82" s="413">
        <f ca="1"/>
        <v>1.9576274442183501E-4</v>
      </c>
      <c r="J82" s="413">
        <f ca="1"/>
        <v>4.6888477408152997E-4</v>
      </c>
      <c r="K82" s="413">
        <f ca="1"/>
        <v>0.41750714726299798</v>
      </c>
      <c r="L82" s="413">
        <f ca="1"/>
        <v>0.41750714726299798</v>
      </c>
      <c r="M82" s="413">
        <f ca="1"/>
        <v>-2.7835668445379502E-4</v>
      </c>
      <c r="N82" s="452" t="str">
        <f ca="1"/>
        <v>LAFARGE_MMR.EUR.SU</v>
      </c>
      <c r="O82" s="413"/>
      <c r="P82" s="413"/>
      <c r="Q82" s="413"/>
      <c r="R82" s="452"/>
      <c r="S82" s="443"/>
      <c r="T82" s="422" cm="1">
        <f t="array" aca="1" ref="T82:X82" ca="1">IF(AND($U$12,B106&lt;=$C$17,C106&lt;&gt;""),TRANSPOSE(INDEX(GetCDS(C106,$C$6,G106/10000,F106,D106,$C$13,$C$14,$C$15,$C$8,,,TRUE,TRUE,FALSE,$C$29:$C$31,$C$33),{1;2;3;4;5})),"")</f>
        <v>-2.0789939182599401E-2</v>
      </c>
      <c r="U82" s="423">
        <f ca="1"/>
        <v>2.3695828726383799E-2</v>
      </c>
      <c r="V82" s="423">
        <f ca="1"/>
        <v>4.4485767908983197E-2</v>
      </c>
      <c r="W82" s="424">
        <f ca="1"/>
        <v>5.3266088999216303E-3</v>
      </c>
      <c r="X82" s="425">
        <f ca="1"/>
        <v>4.4485767908983203</v>
      </c>
      <c r="Y82" s="426" t="e">
        <f t="shared" ca="1" si="15"/>
        <v>#VALUE!</v>
      </c>
      <c r="Z82" s="427" t="e">
        <f t="shared" ca="1" si="16"/>
        <v>#VALUE!</v>
      </c>
      <c r="AA82" s="426">
        <f t="shared" ca="1" si="17"/>
        <v>0.14022304837810032</v>
      </c>
      <c r="AB82" s="428">
        <f t="shared" ca="1" si="18"/>
        <v>5.0602784549255483E-3</v>
      </c>
      <c r="AC82" s="427">
        <f t="shared" ca="1" si="19"/>
        <v>-1.6613506689294505E-4</v>
      </c>
      <c r="AD82" s="79"/>
      <c r="AE82" s="496">
        <f t="shared" ca="1" si="20"/>
        <v>-6.4199342330359998E-3</v>
      </c>
      <c r="AF82" s="493">
        <f t="shared" ca="1" si="21"/>
        <v>0</v>
      </c>
      <c r="AG82" s="493">
        <f t="shared" ca="1" si="22"/>
        <v>0</v>
      </c>
      <c r="AH82" s="498">
        <f t="shared" ca="1" si="23"/>
        <v>0</v>
      </c>
      <c r="AI82" s="497">
        <f t="shared" ref="AI82:AI114" ca="1" si="27">O82</f>
        <v>-6.4199342330359998E-3</v>
      </c>
      <c r="AJ82" s="493">
        <f t="shared" ca="1" si="24"/>
        <v>0.31832784524289837</v>
      </c>
      <c r="AK82" s="493">
        <f t="shared" ca="1" si="25"/>
        <v>0</v>
      </c>
      <c r="AL82" s="498">
        <f t="shared" ca="1" si="26"/>
        <v>0</v>
      </c>
      <c r="AN82" s="532" t="str">
        <f t="shared" ca="1" si="14"/>
        <v>Linde_MMR.EUR.SU</v>
      </c>
      <c r="AO82" s="524" cm="1">
        <f t="array" aca="1" ref="AO82" ca="1">IF(AN82&lt;&gt;"",TRANSPOSE(INDEX(GetCDS($C107,AO$13,$G107/10000,F107,D107,$C$13,$C$14,$C$15,$C$8,,,TRUE,TRUE,FALSE,$C$29:$C$31,$C$33),{5})),"")</f>
        <v>0.47824737628841801</v>
      </c>
      <c r="AP82" s="524" cm="1">
        <f t="array" aca="1" ref="AP82" ca="1">IF(AO82&lt;&gt;"",TRANSPOSE(INDEX(GetCDS($C107,AP$13,$G107/10000,G107,E107,$C$13,$C$14,$C$15,$C$8,,,TRUE,TRUE,FALSE,$C$29:$C$31,$C$33),{5})),"")</f>
        <v>0.96431257208513999</v>
      </c>
      <c r="AQ82" s="524" cm="1">
        <f t="array" aca="1" ref="AQ82" ca="1">IF(AP82&lt;&gt;"",TRANSPOSE(INDEX(GetCDS($C107,AQ$13,$G107/10000,H107,F107,$C$13,$C$14,$C$15,$C$8,,,TRUE,TRUE,FALSE,$C$29:$C$31,$C$33),{5})),"")</f>
        <v>2.8064744202495602</v>
      </c>
      <c r="AR82" s="524" cm="1">
        <f t="array" aca="1" ref="AR82" ca="1">IF(AQ82&lt;&gt;"",TRANSPOSE(INDEX(GetCDS($C107,AR$13,$G107/10000,I107,G107,$C$13,$C$14,$C$15,$C$8,,,TRUE,TRUE,FALSE,$C$29:$C$31,$C$33),{5})),"")</f>
        <v>4.4785566994169104</v>
      </c>
      <c r="AS82" s="525" cm="1">
        <f t="array" aca="1" ref="AS82" ca="1">IF(AR82&lt;&gt;"",TRANSPOSE(INDEX(GetCDS($C107,AS$13,$G107/10000,J107,H107,$C$13,$C$14,$C$15,$C$8,,,TRUE,TRUE,FALSE,$C$29:$C$31,$C$33),{5})),"")</f>
        <v>7.9348346564172996</v>
      </c>
    </row>
    <row r="83" spans="1:45" customFormat="1" ht="15">
      <c r="A83" s="227"/>
      <c r="B83" s="276">
        <v>45</v>
      </c>
      <c r="C83" s="254" t="s">
        <v>133</v>
      </c>
      <c r="D83" s="255">
        <v>1</v>
      </c>
      <c r="E83" s="247"/>
      <c r="F83" s="232">
        <v>0.4</v>
      </c>
      <c r="G83" s="435">
        <v>100</v>
      </c>
      <c r="H83" s="386">
        <v>69</v>
      </c>
      <c r="I83" s="413">
        <f ca="1"/>
        <v>1.4963207354032901E-4</v>
      </c>
      <c r="J83" s="413">
        <f ca="1"/>
        <v>4.7963162429057199E-4</v>
      </c>
      <c r="K83" s="413">
        <f ca="1"/>
        <v>0.311972909963248</v>
      </c>
      <c r="L83" s="413">
        <f ca="1"/>
        <v>0.311972909963248</v>
      </c>
      <c r="M83" s="413">
        <f ca="1"/>
        <v>-1.44732661960822E-4</v>
      </c>
      <c r="N83" s="452" t="str">
        <f ca="1"/>
        <v>LINDE_MMR.EUR.SU</v>
      </c>
      <c r="O83" s="413"/>
      <c r="P83" s="413"/>
      <c r="Q83" s="413"/>
      <c r="R83" s="452"/>
      <c r="S83" s="443"/>
      <c r="T83" s="422" cm="1">
        <f t="array" aca="1" ref="T83:X83" ca="1">IF(AND($U$12,B107&lt;=$C$17,C107&lt;&gt;""),TRANSPOSE(INDEX(GetCDS(C107,$C$6,G107/10000,F107,D107,$C$13,$C$14,$C$15,$C$8,,,TRUE,TRUE,FALSE,$C$29:$C$31,$C$33),{1;2;3;4;5})),"")</f>
        <v>-3.2149475891539499E-2</v>
      </c>
      <c r="U83" s="423">
        <f ca="1"/>
        <v>1.26360911026296E-2</v>
      </c>
      <c r="V83" s="423">
        <f ca="1"/>
        <v>4.47855669941691E-2</v>
      </c>
      <c r="W83" s="424">
        <f ca="1"/>
        <v>2.8214650278458602E-3</v>
      </c>
      <c r="X83" s="425">
        <f ca="1"/>
        <v>4.4785566994169104</v>
      </c>
      <c r="Y83" s="426" t="e">
        <f t="shared" ca="1" si="15"/>
        <v>#VALUE!</v>
      </c>
      <c r="Z83" s="427" t="e">
        <f t="shared" ca="1" si="16"/>
        <v>#VALUE!</v>
      </c>
      <c r="AA83" s="426">
        <f t="shared" ca="1" si="17"/>
        <v>0.10493126960424033</v>
      </c>
      <c r="AB83" s="428">
        <f t="shared" ca="1" si="18"/>
        <v>2.6803917764535671E-3</v>
      </c>
      <c r="AC83" s="427">
        <f t="shared" ca="1" si="19"/>
        <v>-6.6296054111688468E-5</v>
      </c>
      <c r="AD83" s="79"/>
      <c r="AE83" s="496">
        <f t="shared" ca="1" si="20"/>
        <v>-2.4779314363469998E-3</v>
      </c>
      <c r="AF83" s="493">
        <f t="shared" ca="1" si="21"/>
        <v>5.6612904424455587E-3</v>
      </c>
      <c r="AG83" s="493">
        <f t="shared" ca="1" si="22"/>
        <v>0</v>
      </c>
      <c r="AH83" s="498">
        <f t="shared" ca="1" si="23"/>
        <v>0</v>
      </c>
      <c r="AI83" s="497">
        <f t="shared" ca="1" si="27"/>
        <v>-2.4779314363469998E-3</v>
      </c>
      <c r="AJ83" s="493">
        <f t="shared" ca="1" si="24"/>
        <v>0.24201705144532087</v>
      </c>
      <c r="AK83" s="493">
        <f t="shared" ca="1" si="25"/>
        <v>0</v>
      </c>
      <c r="AL83" s="498">
        <f t="shared" ca="1" si="26"/>
        <v>0</v>
      </c>
      <c r="AN83" s="532" t="str">
        <f t="shared" ca="1" si="14"/>
        <v>Lufthansa_MMR.EUR.SU</v>
      </c>
      <c r="AO83" s="524" cm="1">
        <f t="array" aca="1" ref="AO83" ca="1">IF(AN83&lt;&gt;"",TRANSPOSE(INDEX(GetCDS($C108,AO$13,$G108/10000,F108,D108,$C$13,$C$14,$C$15,$C$8,,,TRUE,TRUE,FALSE,$C$29:$C$31,$C$33),{5})),"")</f>
        <v>0.47815103127014702</v>
      </c>
      <c r="AP83" s="524" cm="1">
        <f t="array" aca="1" ref="AP83" ca="1">IF(AO83&lt;&gt;"",TRANSPOSE(INDEX(GetCDS($C108,AP$13,$G108/10000,G108,E108,$C$13,$C$14,$C$15,$C$8,,,TRUE,TRUE,FALSE,$C$29:$C$31,$C$33),{5})),"")</f>
        <v>0.96391820011406704</v>
      </c>
      <c r="AQ83" s="524" cm="1">
        <f t="array" aca="1" ref="AQ83" ca="1">IF(AP83&lt;&gt;"",TRANSPOSE(INDEX(GetCDS($C108,AQ$13,$G108/10000,H108,F108,$C$13,$C$14,$C$15,$C$8,,,TRUE,TRUE,FALSE,$C$29:$C$31,$C$33),{5})),"")</f>
        <v>2.8011825502929901</v>
      </c>
      <c r="AR83" s="524" cm="1">
        <f t="array" aca="1" ref="AR83" ca="1">IF(AQ83&lt;&gt;"",TRANSPOSE(INDEX(GetCDS($C108,AR$13,$G108/10000,I108,G108,$C$13,$C$14,$C$15,$C$8,,,TRUE,TRUE,FALSE,$C$29:$C$31,$C$33),{5})),"")</f>
        <v>4.4578763039932099</v>
      </c>
      <c r="AS83" s="525" cm="1">
        <f t="array" aca="1" ref="AS83" ca="1">IF(AR83&lt;&gt;"",TRANSPOSE(INDEX(GetCDS($C108,AS$13,$G108/10000,J108,H108,$C$13,$C$14,$C$15,$C$8,,,TRUE,TRUE,FALSE,$C$29:$C$31,$C$33),{5})),"")</f>
        <v>7.8241930527381802</v>
      </c>
    </row>
    <row r="84" spans="1:45" customFormat="1" ht="15">
      <c r="A84" s="227"/>
      <c r="B84" s="276">
        <v>46</v>
      </c>
      <c r="C84" s="254" t="s">
        <v>134</v>
      </c>
      <c r="D84" s="255">
        <v>1</v>
      </c>
      <c r="E84" s="247"/>
      <c r="F84" s="232">
        <v>0.4</v>
      </c>
      <c r="G84" s="435">
        <v>100</v>
      </c>
      <c r="H84" s="386">
        <v>70</v>
      </c>
      <c r="I84" s="413">
        <f ca="1"/>
        <v>1.8294236037232899E-4</v>
      </c>
      <c r="J84" s="413">
        <f ca="1"/>
        <v>4.7271386997005101E-4</v>
      </c>
      <c r="K84" s="413">
        <f ca="1"/>
        <v>0.387004426978035</v>
      </c>
      <c r="L84" s="413">
        <f ca="1"/>
        <v>0.387004426978035</v>
      </c>
      <c r="M84" s="413">
        <f ca="1"/>
        <v>-2.3582515801483499E-4</v>
      </c>
      <c r="N84" s="452" t="str">
        <f ca="1"/>
        <v>LUFTHANSA_MMR.EUR.SU</v>
      </c>
      <c r="O84" s="413"/>
      <c r="P84" s="413"/>
      <c r="Q84" s="413"/>
      <c r="R84" s="452"/>
      <c r="S84" s="443"/>
      <c r="T84" s="422" cm="1">
        <f t="array" aca="1" ref="T84:X84" ca="1">IF(AND($U$12,B108&lt;=$C$17,C108&lt;&gt;""),TRANSPOSE(INDEX(GetCDS(C108,$C$6,G108/10000,F108,D108,$C$13,$C$14,$C$15,$C$8,,,TRUE,TRUE,FALSE,$C$29:$C$31,$C$33),{1;2;3;4;5})),"")</f>
        <v>-2.4554641685449199E-2</v>
      </c>
      <c r="U84" s="423">
        <f ca="1"/>
        <v>2.00241213544829E-2</v>
      </c>
      <c r="V84" s="423">
        <f ca="1"/>
        <v>4.45787630399321E-2</v>
      </c>
      <c r="W84" s="424">
        <f ca="1"/>
        <v>4.4918521710766201E-3</v>
      </c>
      <c r="X84" s="425">
        <f ca="1"/>
        <v>4.4578763039932099</v>
      </c>
      <c r="Y84" s="426" t="e">
        <f t="shared" ca="1" si="15"/>
        <v>#VALUE!</v>
      </c>
      <c r="Z84" s="427" t="e">
        <f t="shared" ca="1" si="16"/>
        <v>#VALUE!</v>
      </c>
      <c r="AA84" s="426">
        <f t="shared" ca="1" si="17"/>
        <v>0.13002890905168199</v>
      </c>
      <c r="AB84" s="428">
        <f t="shared" ca="1" si="18"/>
        <v>4.2672595625227886E-3</v>
      </c>
      <c r="AC84" s="427">
        <f t="shared" ca="1" si="19"/>
        <v>-1.301857327220954E-4</v>
      </c>
      <c r="AD84" s="79"/>
      <c r="AE84" s="496">
        <f t="shared" ca="1" si="20"/>
        <v>-4.9943267610710104E-3</v>
      </c>
      <c r="AF84" s="493">
        <f t="shared" ca="1" si="21"/>
        <v>1.3026619401545342E-3</v>
      </c>
      <c r="AG84" s="493">
        <f t="shared" ca="1" si="22"/>
        <v>0</v>
      </c>
      <c r="AH84" s="498">
        <f t="shared" ca="1" si="23"/>
        <v>0</v>
      </c>
      <c r="AI84" s="497">
        <f t="shared" ca="1" si="27"/>
        <v>-4.9943267610710104E-3</v>
      </c>
      <c r="AJ84" s="493">
        <f t="shared" ca="1" si="24"/>
        <v>0.29639198065488853</v>
      </c>
      <c r="AK84" s="493">
        <f t="shared" ca="1" si="25"/>
        <v>0</v>
      </c>
      <c r="AL84" s="498">
        <f t="shared" ca="1" si="26"/>
        <v>0</v>
      </c>
      <c r="AN84" s="532" t="str">
        <f t="shared" ca="1" si="14"/>
        <v>LVMH_MMR.EUR.SU</v>
      </c>
      <c r="AO84" s="524" cm="1">
        <f t="array" aca="1" ref="AO84" ca="1">IF(AN84&lt;&gt;"",TRANSPOSE(INDEX(GetCDS($C109,AO$13,$G109/10000,F109,D109,$C$13,$C$14,$C$15,$C$8,,,TRUE,TRUE,FALSE,$C$29:$C$31,$C$33),{5})),"")</f>
        <v>0.478266648415127</v>
      </c>
      <c r="AP84" s="524" cm="1">
        <f t="array" aca="1" ref="AP84" ca="1">IF(AO84&lt;&gt;"",TRANSPOSE(INDEX(GetCDS($C109,AP$13,$G109/10000,G109,E109,$C$13,$C$14,$C$15,$C$8,,,TRUE,TRUE,FALSE,$C$29:$C$31,$C$33),{5})),"")</f>
        <v>0.96432702189613195</v>
      </c>
      <c r="AQ84" s="524" cm="1">
        <f t="array" aca="1" ref="AQ84" ca="1">IF(AP84&lt;&gt;"",TRANSPOSE(INDEX(GetCDS($C109,AQ$13,$G109/10000,H109,F109,$C$13,$C$14,$C$15,$C$8,,,TRUE,TRUE,FALSE,$C$29:$C$31,$C$33),{5})),"")</f>
        <v>2.8049684367562699</v>
      </c>
      <c r="AR84" s="524" cm="1">
        <f t="array" aca="1" ref="AR84" ca="1">IF(AQ84&lt;&gt;"",TRANSPOSE(INDEX(GetCDS($C109,AR$13,$G109/10000,I109,G109,$C$13,$C$14,$C$15,$C$8,,,TRUE,TRUE,FALSE,$C$29:$C$31,$C$33),{5})),"")</f>
        <v>4.4765562350205599</v>
      </c>
      <c r="AS84" s="525" cm="1">
        <f t="array" aca="1" ref="AS84" ca="1">IF(AR84&lt;&gt;"",TRANSPOSE(INDEX(GetCDS($C109,AS$13,$G109/10000,J109,H109,$C$13,$C$14,$C$15,$C$8,,,TRUE,TRUE,FALSE,$C$29:$C$31,$C$33),{5})),"")</f>
        <v>7.9358730684141996</v>
      </c>
    </row>
    <row r="85" spans="1:45" customFormat="1" ht="15">
      <c r="A85" s="227"/>
      <c r="B85" s="276">
        <v>47</v>
      </c>
      <c r="C85" s="254" t="s">
        <v>135</v>
      </c>
      <c r="D85" s="255">
        <v>1</v>
      </c>
      <c r="E85" s="247"/>
      <c r="F85" s="232">
        <v>0.4</v>
      </c>
      <c r="G85" s="435">
        <v>100</v>
      </c>
      <c r="H85" s="386">
        <v>71</v>
      </c>
      <c r="I85" s="413">
        <f ca="1"/>
        <v>1.5260199431967901E-4</v>
      </c>
      <c r="J85" s="413">
        <f ca="1"/>
        <v>4.7909426116458199E-4</v>
      </c>
      <c r="K85" s="413">
        <f ca="1"/>
        <v>0.31852185820121098</v>
      </c>
      <c r="L85" s="413">
        <f ca="1"/>
        <v>0.31852185820121098</v>
      </c>
      <c r="M85" s="413">
        <f ca="1"/>
        <v>-1.50994936746773E-4</v>
      </c>
      <c r="N85" s="452" t="str">
        <f ca="1"/>
        <v>LVMH_MMR.EUR.SU</v>
      </c>
      <c r="O85" s="413"/>
      <c r="P85" s="413"/>
      <c r="Q85" s="413"/>
      <c r="R85" s="452"/>
      <c r="S85" s="443"/>
      <c r="T85" s="422" cm="1">
        <f t="array" aca="1" ref="T85:X85" ca="1">IF(AND($U$12,B109&lt;=$C$17,C109&lt;&gt;""),TRANSPOSE(INDEX(GetCDS(C109,$C$6,G109/10000,F109,D109,$C$13,$C$14,$C$15,$C$8,,,TRUE,TRUE,FALSE,$C$29:$C$31,$C$33),{1;2;3;4;5})),"")</f>
        <v>-3.1667435362855899E-2</v>
      </c>
      <c r="U85" s="423">
        <f ca="1"/>
        <v>1.30981269873497E-2</v>
      </c>
      <c r="V85" s="423">
        <f ca="1"/>
        <v>4.4765562350205602E-2</v>
      </c>
      <c r="W85" s="424">
        <f ca="1"/>
        <v>2.92593822118925E-3</v>
      </c>
      <c r="X85" s="425">
        <f ca="1"/>
        <v>4.4765562350205599</v>
      </c>
      <c r="Y85" s="426" t="e">
        <f t="shared" ca="1" si="15"/>
        <v>#VALUE!</v>
      </c>
      <c r="Z85" s="427" t="e">
        <f t="shared" ca="1" si="16"/>
        <v>#VALUE!</v>
      </c>
      <c r="AA85" s="426">
        <f t="shared" ca="1" si="17"/>
        <v>0.10712080329990799</v>
      </c>
      <c r="AB85" s="428">
        <f t="shared" ca="1" si="18"/>
        <v>2.7796413101297875E-3</v>
      </c>
      <c r="AC85" s="427">
        <f t="shared" ca="1" si="19"/>
        <v>-7.0154094230455164E-5</v>
      </c>
      <c r="AD85" s="79"/>
      <c r="AE85" s="496">
        <f t="shared" ca="1" si="20"/>
        <v>-2.6373549789769899E-3</v>
      </c>
      <c r="AF85" s="493">
        <f t="shared" ca="1" si="21"/>
        <v>5.3863501553744961E-3</v>
      </c>
      <c r="AG85" s="493">
        <f t="shared" ca="1" si="22"/>
        <v>0</v>
      </c>
      <c r="AH85" s="498">
        <f t="shared" ca="1" si="23"/>
        <v>0</v>
      </c>
      <c r="AI85" s="497">
        <f t="shared" ca="1" si="27"/>
        <v>-2.6373549789769899E-3</v>
      </c>
      <c r="AJ85" s="493">
        <f t="shared" ca="1" si="24"/>
        <v>0.24680825249162222</v>
      </c>
      <c r="AK85" s="493">
        <f t="shared" ca="1" si="25"/>
        <v>0</v>
      </c>
      <c r="AL85" s="498">
        <f t="shared" ca="1" si="26"/>
        <v>0</v>
      </c>
      <c r="AN85" s="532" t="str">
        <f t="shared" ca="1" si="14"/>
        <v>MarksandSpencerPLC_MMR.EUR.SU</v>
      </c>
      <c r="AO85" s="524" cm="1">
        <f t="array" aca="1" ref="AO85" ca="1">IF(AN85&lt;&gt;"",TRANSPOSE(INDEX(GetCDS($C110,AO$13,$G110/10000,F110,D110,$C$13,$C$14,$C$15,$C$8,,,TRUE,TRUE,FALSE,$C$29:$C$31,$C$33),{5})),"")</f>
        <v>0.47822810520300102</v>
      </c>
      <c r="AP85" s="524" cm="1">
        <f t="array" aca="1" ref="AP85" ca="1">IF(AO85&lt;&gt;"",TRANSPOSE(INDEX(GetCDS($C110,AP$13,$G110/10000,G110,E110,$C$13,$C$14,$C$15,$C$8,,,TRUE,TRUE,FALSE,$C$29:$C$31,$C$33),{5})),"")</f>
        <v>0.96414346132770901</v>
      </c>
      <c r="AQ85" s="524" cm="1">
        <f t="array" aca="1" ref="AQ85" ca="1">IF(AP85&lt;&gt;"",TRANSPOSE(INDEX(GetCDS($C110,AQ$13,$G110/10000,H110,F110,$C$13,$C$14,$C$15,$C$8,,,TRUE,TRUE,FALSE,$C$29:$C$31,$C$33),{5})),"")</f>
        <v>2.80126086014217</v>
      </c>
      <c r="AR85" s="524" cm="1">
        <f t="array" aca="1" ref="AR85" ca="1">IF(AQ85&lt;&gt;"",TRANSPOSE(INDEX(GetCDS($C110,AR$13,$G110/10000,I110,G110,$C$13,$C$14,$C$15,$C$8,,,TRUE,TRUE,FALSE,$C$29:$C$31,$C$33),{5})),"")</f>
        <v>4.4619871184474702</v>
      </c>
      <c r="AS85" s="525" cm="1">
        <f t="array" aca="1" ref="AS85" ca="1">IF(AR85&lt;&gt;"",TRANSPOSE(INDEX(GetCDS($C110,AS$13,$G110/10000,J110,H110,$C$13,$C$14,$C$15,$C$8,,,TRUE,TRUE,FALSE,$C$29:$C$31,$C$33),{5})),"")</f>
        <v>7.8479204124453501</v>
      </c>
    </row>
    <row r="86" spans="1:45" customFormat="1" ht="15">
      <c r="A86" s="227"/>
      <c r="B86" s="276">
        <v>48</v>
      </c>
      <c r="C86" s="254" t="s">
        <v>136</v>
      </c>
      <c r="D86" s="255">
        <v>1</v>
      </c>
      <c r="E86" s="247"/>
      <c r="F86" s="232">
        <v>0.4</v>
      </c>
      <c r="G86" s="435">
        <v>100</v>
      </c>
      <c r="H86" s="386">
        <v>72</v>
      </c>
      <c r="I86" s="413">
        <f ca="1"/>
        <v>1.77611972542912E-4</v>
      </c>
      <c r="J86" s="413">
        <f ca="1"/>
        <v>4.7386958802334001E-4</v>
      </c>
      <c r="K86" s="413">
        <f ca="1"/>
        <v>0.37481192512013201</v>
      </c>
      <c r="L86" s="413">
        <f ca="1"/>
        <v>0.37481192512013201</v>
      </c>
      <c r="M86" s="413">
        <f ca="1"/>
        <v>-2.19249116461451E-4</v>
      </c>
      <c r="N86" s="452" t="str">
        <f ca="1"/>
        <v>MARKSANDSPENCERPLC_MMR.EUR.SU</v>
      </c>
      <c r="O86" s="413"/>
      <c r="P86" s="413"/>
      <c r="Q86" s="413"/>
      <c r="R86" s="452"/>
      <c r="S86" s="443"/>
      <c r="T86" s="422" cm="1">
        <f t="array" aca="1" ref="T86:X86" ca="1">IF(AND($U$12,B110&lt;=$C$17,C110&lt;&gt;""),TRANSPOSE(INDEX(GetCDS(C110,$C$6,G110/10000,F110,D110,$C$13,$C$14,$C$15,$C$8,,,TRUE,TRUE,FALSE,$C$29:$C$31,$C$33),{1;2;3;4;5})),"")</f>
        <v>-2.5974153313502901E-2</v>
      </c>
      <c r="U86" s="423">
        <f ca="1"/>
        <v>1.8645717870971801E-2</v>
      </c>
      <c r="V86" s="423">
        <f ca="1"/>
        <v>4.4619871184474698E-2</v>
      </c>
      <c r="W86" s="424">
        <f ca="1"/>
        <v>4.1787924025785796E-3</v>
      </c>
      <c r="X86" s="425">
        <f ca="1"/>
        <v>4.4619871184474702</v>
      </c>
      <c r="Y86" s="426" t="e">
        <f t="shared" ca="1" si="15"/>
        <v>#VALUE!</v>
      </c>
      <c r="Z86" s="427" t="e">
        <f t="shared" ca="1" si="16"/>
        <v>#VALUE!</v>
      </c>
      <c r="AA86" s="426">
        <f t="shared" ca="1" si="17"/>
        <v>0.12595188345092168</v>
      </c>
      <c r="AB86" s="428">
        <f t="shared" ca="1" si="18"/>
        <v>3.9698527824496505E-3</v>
      </c>
      <c r="AC86" s="427">
        <f t="shared" ca="1" si="19"/>
        <v>-1.1742316420717031E-4</v>
      </c>
      <c r="AD86" s="79"/>
      <c r="AE86" s="496">
        <f t="shared" ca="1" si="20"/>
        <v>-4.4872551636669896E-3</v>
      </c>
      <c r="AF86" s="493">
        <f t="shared" ca="1" si="21"/>
        <v>2.1564848860936535E-3</v>
      </c>
      <c r="AG86" s="493">
        <f t="shared" ca="1" si="22"/>
        <v>0</v>
      </c>
      <c r="AH86" s="498">
        <f t="shared" ca="1" si="23"/>
        <v>0</v>
      </c>
      <c r="AI86" s="497">
        <f t="shared" ca="1" si="27"/>
        <v>-4.4872551636669896E-3</v>
      </c>
      <c r="AJ86" s="493">
        <f t="shared" ca="1" si="24"/>
        <v>0.28760248216847473</v>
      </c>
      <c r="AK86" s="493">
        <f t="shared" ca="1" si="25"/>
        <v>0</v>
      </c>
      <c r="AL86" s="498">
        <f t="shared" ca="1" si="26"/>
        <v>0</v>
      </c>
      <c r="AN86" s="532" t="str">
        <f t="shared" ca="1" si="14"/>
        <v>Metro_MMR.EUR.SU</v>
      </c>
      <c r="AO86" s="524" cm="1">
        <f t="array" aca="1" ref="AO86" ca="1">IF(AN86&lt;&gt;"",TRANSPOSE(INDEX(GetCDS($C111,AO$13,$G111/10000,F111,D111,$C$13,$C$14,$C$15,$C$8,,,TRUE,TRUE,FALSE,$C$29:$C$31,$C$33),{5})),"")</f>
        <v>0.47828592158333599</v>
      </c>
      <c r="AP86" s="524" cm="1">
        <f t="array" aca="1" ref="AP86" ca="1">IF(AO86&lt;&gt;"",TRANSPOSE(INDEX(GetCDS($C111,AP$13,$G111/10000,G111,E111,$C$13,$C$14,$C$15,$C$8,,,TRUE,TRUE,FALSE,$C$29:$C$31,$C$33),{5})),"")</f>
        <v>0.96439303175578395</v>
      </c>
      <c r="AQ86" s="524" cm="1">
        <f t="array" aca="1" ref="AQ86" ca="1">IF(AP86&lt;&gt;"",TRANSPOSE(INDEX(GetCDS($C111,AQ$13,$G111/10000,H111,F111,$C$13,$C$14,$C$15,$C$8,,,TRUE,TRUE,FALSE,$C$29:$C$31,$C$33),{5})),"")</f>
        <v>2.8037944690671601</v>
      </c>
      <c r="AR86" s="524" cm="1">
        <f t="array" aca="1" ref="AR86" ca="1">IF(AQ86&lt;&gt;"",TRANSPOSE(INDEX(GetCDS($C111,AR$13,$G111/10000,I111,G111,$C$13,$C$14,$C$15,$C$8,,,TRUE,TRUE,FALSE,$C$29:$C$31,$C$33),{5})),"")</f>
        <v>4.47140005670144</v>
      </c>
      <c r="AS86" s="525" cm="1">
        <f t="array" aca="1" ref="AS86" ca="1">IF(AR86&lt;&gt;"",TRANSPOSE(INDEX(GetCDS($C111,AS$13,$G111/10000,J111,H111,$C$13,$C$14,$C$15,$C$8,,,TRUE,TRUE,FALSE,$C$29:$C$31,$C$33),{5})),"")</f>
        <v>7.9048728685456604</v>
      </c>
    </row>
    <row r="87" spans="1:45" customFormat="1" ht="15">
      <c r="A87" s="227"/>
      <c r="B87" s="276">
        <v>49</v>
      </c>
      <c r="C87" s="254" t="s">
        <v>137</v>
      </c>
      <c r="D87" s="255">
        <v>1</v>
      </c>
      <c r="E87" s="247"/>
      <c r="F87" s="232">
        <v>0.4</v>
      </c>
      <c r="G87" s="435">
        <v>100</v>
      </c>
      <c r="H87" s="386">
        <v>73</v>
      </c>
      <c r="I87" s="413">
        <f ca="1"/>
        <v>1.59731538613773E-4</v>
      </c>
      <c r="J87" s="413">
        <f ca="1"/>
        <v>4.7785966137601002E-4</v>
      </c>
      <c r="K87" s="413">
        <f ca="1"/>
        <v>0.33426453732006101</v>
      </c>
      <c r="L87" s="413">
        <f ca="1"/>
        <v>0.33426453732006101</v>
      </c>
      <c r="M87" s="413">
        <f ca="1"/>
        <v>-1.68963852776049E-4</v>
      </c>
      <c r="N87" s="452" t="str">
        <f ca="1"/>
        <v>METRO_MMR.EUR.SU</v>
      </c>
      <c r="O87" s="413"/>
      <c r="P87" s="413"/>
      <c r="Q87" s="413"/>
      <c r="R87" s="452"/>
      <c r="S87" s="443"/>
      <c r="T87" s="422" cm="1">
        <f t="array" aca="1" ref="T87:X87" ca="1">IF(AND($U$12,B111&lt;=$C$17,C111&lt;&gt;""),TRANSPOSE(INDEX(GetCDS(C111,$C$6,G111/10000,F111,D111,$C$13,$C$14,$C$15,$C$8,,,TRUE,TRUE,FALSE,$C$29:$C$31,$C$33),{1;2;3;4;5})),"")</f>
        <v>-3.0230149627083699E-2</v>
      </c>
      <c r="U87" s="423">
        <f ca="1"/>
        <v>1.44838509399307E-2</v>
      </c>
      <c r="V87" s="423">
        <f ca="1"/>
        <v>4.4714000567014398E-2</v>
      </c>
      <c r="W87" s="424">
        <f ca="1"/>
        <v>3.2392205475381798E-3</v>
      </c>
      <c r="X87" s="425">
        <f ca="1"/>
        <v>4.47140005670144</v>
      </c>
      <c r="Y87" s="426" t="e">
        <f t="shared" ca="1" si="15"/>
        <v>#VALUE!</v>
      </c>
      <c r="Z87" s="427" t="e">
        <f t="shared" ca="1" si="16"/>
        <v>#VALUE!</v>
      </c>
      <c r="AA87" s="426">
        <f t="shared" ca="1" si="17"/>
        <v>0.11238964871035367</v>
      </c>
      <c r="AB87" s="428">
        <f t="shared" ca="1" si="18"/>
        <v>3.0772595201612706E-3</v>
      </c>
      <c r="AC87" s="427">
        <f t="shared" ca="1" si="19"/>
        <v>-8.1391745955596928E-5</v>
      </c>
      <c r="AD87" s="79"/>
      <c r="AE87" s="496">
        <f t="shared" ca="1" si="20"/>
        <v>-3.08833376432602E-3</v>
      </c>
      <c r="AF87" s="493">
        <f t="shared" ca="1" si="21"/>
        <v>4.5888616585297339E-3</v>
      </c>
      <c r="AG87" s="493">
        <f t="shared" ca="1" si="22"/>
        <v>0</v>
      </c>
      <c r="AH87" s="498">
        <f t="shared" ca="1" si="23"/>
        <v>0</v>
      </c>
      <c r="AI87" s="497">
        <f t="shared" ca="1" si="27"/>
        <v>-3.08833376432602E-3</v>
      </c>
      <c r="AJ87" s="493">
        <f t="shared" ca="1" si="24"/>
        <v>0.25825594039681665</v>
      </c>
      <c r="AK87" s="493">
        <f t="shared" ca="1" si="25"/>
        <v>0</v>
      </c>
      <c r="AL87" s="498">
        <f t="shared" ca="1" si="26"/>
        <v>0</v>
      </c>
      <c r="AN87" s="532" t="str">
        <f t="shared" ca="1" si="14"/>
        <v>Michelin_MMR.EUR.SU</v>
      </c>
      <c r="AO87" s="524" cm="1">
        <f t="array" aca="1" ref="AO87" ca="1">IF(AN87&lt;&gt;"",TRANSPOSE(INDEX(GetCDS($C112,AO$13,$G112/10000,F112,D112,$C$13,$C$14,$C$15,$C$8,,,TRUE,TRUE,FALSE,$C$29:$C$31,$C$33),{5})),"")</f>
        <v>0.47815103127014702</v>
      </c>
      <c r="AP87" s="524" cm="1">
        <f t="array" aca="1" ref="AP87" ca="1">IF(AO87&lt;&gt;"",TRANSPOSE(INDEX(GetCDS($C112,AP$13,$G112/10000,G112,E112,$C$13,$C$14,$C$15,$C$8,,,TRUE,TRUE,FALSE,$C$29:$C$31,$C$33),{5})),"")</f>
        <v>0.96390531831139004</v>
      </c>
      <c r="AQ87" s="524" cm="1">
        <f t="array" aca="1" ref="AQ87" ca="1">IF(AP87&lt;&gt;"",TRANSPOSE(INDEX(GetCDS($C112,AQ$13,$G112/10000,H112,F112,$C$13,$C$14,$C$15,$C$8,,,TRUE,TRUE,FALSE,$C$29:$C$31,$C$33),{5})),"")</f>
        <v>2.80127566141867</v>
      </c>
      <c r="AR87" s="524" cm="1">
        <f t="array" aca="1" ref="AR87" ca="1">IF(AQ87&lt;&gt;"",TRANSPOSE(INDEX(GetCDS($C112,AR$13,$G112/10000,I112,G112,$C$13,$C$14,$C$15,$C$8,,,TRUE,TRUE,FALSE,$C$29:$C$31,$C$33),{5})),"")</f>
        <v>4.46200158132251</v>
      </c>
      <c r="AS87" s="525" cm="1">
        <f t="array" aca="1" ref="AS87" ca="1">IF(AR87&lt;&gt;"",TRANSPOSE(INDEX(GetCDS($C112,AS$13,$G112/10000,J112,H112,$C$13,$C$14,$C$15,$C$8,,,TRUE,TRUE,FALSE,$C$29:$C$31,$C$33),{5})),"")</f>
        <v>7.86013157070653</v>
      </c>
    </row>
    <row r="88" spans="1:45" customFormat="1" ht="15">
      <c r="A88" s="227"/>
      <c r="B88" s="276">
        <v>50</v>
      </c>
      <c r="C88" s="254" t="s">
        <v>138</v>
      </c>
      <c r="D88" s="255">
        <v>1</v>
      </c>
      <c r="E88" s="247"/>
      <c r="F88" s="232">
        <v>0.4</v>
      </c>
      <c r="G88" s="435">
        <v>100</v>
      </c>
      <c r="H88" s="386">
        <v>74</v>
      </c>
      <c r="I88" s="413">
        <f ca="1"/>
        <v>1.7762976600574899E-4</v>
      </c>
      <c r="J88" s="413">
        <f ca="1"/>
        <v>4.73870862844419E-4</v>
      </c>
      <c r="K88" s="413">
        <f ca="1"/>
        <v>0.37484846597134702</v>
      </c>
      <c r="L88" s="413">
        <f ca="1"/>
        <v>0.37484846597134702</v>
      </c>
      <c r="M88" s="413">
        <f ca="1"/>
        <v>-2.1920865880515901E-4</v>
      </c>
      <c r="N88" s="452" t="str">
        <f ca="1"/>
        <v>MICHELIN_MMR.EUR.SU</v>
      </c>
      <c r="O88" s="413"/>
      <c r="P88" s="413"/>
      <c r="Q88" s="413"/>
      <c r="R88" s="452"/>
      <c r="S88" s="443"/>
      <c r="T88" s="422" cm="1">
        <f t="array" aca="1" ref="T88:X88" ca="1">IF(AND($U$12,B112&lt;=$C$17,C112&lt;&gt;""),TRANSPOSE(INDEX(GetCDS(C112,$C$6,G112/10000,F112,D112,$C$13,$C$14,$C$15,$C$8,,,TRUE,TRUE,FALSE,$C$29:$C$31,$C$33),{1;2;3;4;5})),"")</f>
        <v>-2.59742427783946E-2</v>
      </c>
      <c r="U88" s="423">
        <f ca="1"/>
        <v>1.86457730348305E-2</v>
      </c>
      <c r="V88" s="423">
        <f ca="1"/>
        <v>4.4620015813225097E-2</v>
      </c>
      <c r="W88" s="424">
        <f ca="1"/>
        <v>4.1787912207113097E-3</v>
      </c>
      <c r="X88" s="425">
        <f ca="1"/>
        <v>4.46200158132251</v>
      </c>
      <c r="Y88" s="426" t="e">
        <f t="shared" ca="1" si="15"/>
        <v>#VALUE!</v>
      </c>
      <c r="Z88" s="427" t="e">
        <f t="shared" ca="1" si="16"/>
        <v>#VALUE!</v>
      </c>
      <c r="AA88" s="426">
        <f t="shared" ca="1" si="17"/>
        <v>0.12596357796433</v>
      </c>
      <c r="AB88" s="428">
        <f t="shared" ca="1" si="18"/>
        <v>3.9698516596757437E-3</v>
      </c>
      <c r="AC88" s="427">
        <f t="shared" ca="1" si="19"/>
        <v>-1.1743441426890393E-4</v>
      </c>
      <c r="AD88" s="79"/>
      <c r="AE88" s="496">
        <f t="shared" ca="1" si="20"/>
        <v>-4.489145132098E-3</v>
      </c>
      <c r="AF88" s="493">
        <f t="shared" ca="1" si="21"/>
        <v>2.1546810469722302E-3</v>
      </c>
      <c r="AG88" s="493">
        <f t="shared" ca="1" si="22"/>
        <v>0</v>
      </c>
      <c r="AH88" s="498">
        <f t="shared" ca="1" si="23"/>
        <v>0</v>
      </c>
      <c r="AI88" s="497">
        <f t="shared" ca="1" si="27"/>
        <v>-4.489145132098E-3</v>
      </c>
      <c r="AJ88" s="493">
        <f t="shared" ca="1" si="24"/>
        <v>0.2876299101731089</v>
      </c>
      <c r="AK88" s="493">
        <f t="shared" ca="1" si="25"/>
        <v>0</v>
      </c>
      <c r="AL88" s="498">
        <f t="shared" ca="1" si="26"/>
        <v>0</v>
      </c>
      <c r="AN88" s="532" t="str">
        <f t="shared" ca="1" si="14"/>
        <v>MonteDeiPaschi_MMR.EUR.SU</v>
      </c>
      <c r="AO88" s="524" cm="1">
        <f t="array" aca="1" ref="AO88" ca="1">IF(AN88&lt;&gt;"",TRANSPOSE(INDEX(GetCDS($C113,AO$13,$G113/10000,F113,D113,$C$13,$C$14,$C$15,$C$8,,,TRUE,TRUE,FALSE,$C$29:$C$31,$C$33),{5})),"")</f>
        <v>0.47800463664139398</v>
      </c>
      <c r="AP88" s="524" cm="1">
        <f t="array" aca="1" ref="AP88" ca="1">IF(AO88&lt;&gt;"",TRANSPOSE(INDEX(GetCDS($C113,AP$13,$G113/10000,G113,E113,$C$13,$C$14,$C$15,$C$8,,,TRUE,TRUE,FALSE,$C$29:$C$31,$C$33),{5})),"")</f>
        <v>0.963276684139733</v>
      </c>
      <c r="AQ88" s="524" cm="1">
        <f t="array" aca="1" ref="AQ88" ca="1">IF(AP88&lt;&gt;"",TRANSPOSE(INDEX(GetCDS($C113,AQ$13,$G113/10000,H113,F113,$C$13,$C$14,$C$15,$C$8,,,TRUE,TRUE,FALSE,$C$29:$C$31,$C$33),{5})),"")</f>
        <v>2.7957437129397098</v>
      </c>
      <c r="AR88" s="524" cm="1">
        <f t="array" aca="1" ref="AR88" ca="1">IF(AQ88&lt;&gt;"",TRANSPOSE(INDEX(GetCDS($C113,AR$13,$G113/10000,I113,G113,$C$13,$C$14,$C$15,$C$8,,,TRUE,TRUE,FALSE,$C$29:$C$31,$C$33),{5})),"")</f>
        <v>4.45528671271365</v>
      </c>
      <c r="AS88" s="525" cm="1">
        <f t="array" aca="1" ref="AS88" ca="1">IF(AR88&lt;&gt;"",TRANSPOSE(INDEX(GetCDS($C113,AS$13,$G113/10000,J113,H113,$C$13,$C$14,$C$15,$C$8,,,TRUE,TRUE,FALSE,$C$29:$C$31,$C$33),{5})),"")</f>
        <v>7.89830694102002</v>
      </c>
    </row>
    <row r="89" spans="1:45" customFormat="1" ht="15">
      <c r="A89" s="227"/>
      <c r="B89" s="276">
        <v>51</v>
      </c>
      <c r="C89" s="254" t="s">
        <v>139</v>
      </c>
      <c r="D89" s="255">
        <v>1</v>
      </c>
      <c r="E89" s="247"/>
      <c r="F89" s="232">
        <v>0.4</v>
      </c>
      <c r="G89" s="435">
        <v>100</v>
      </c>
      <c r="H89" s="386">
        <v>75</v>
      </c>
      <c r="I89" s="413">
        <f ca="1"/>
        <v>1.73991257366168E-4</v>
      </c>
      <c r="J89" s="413">
        <f ca="1"/>
        <v>4.7487816561300202E-4</v>
      </c>
      <c r="K89" s="413">
        <f ca="1"/>
        <v>0.36639136091163399</v>
      </c>
      <c r="L89" s="413">
        <f ca="1"/>
        <v>0.36639136091163399</v>
      </c>
      <c r="M89" s="413">
        <f ca="1"/>
        <v>-2.0590907685984501E-4</v>
      </c>
      <c r="N89" s="452" t="str">
        <f ca="1"/>
        <v>MONTEDEIPASCHI_MMR.EUR.SU</v>
      </c>
      <c r="O89" s="413"/>
      <c r="P89" s="413"/>
      <c r="Q89" s="413"/>
      <c r="R89" s="452"/>
      <c r="S89" s="443"/>
      <c r="T89" s="422" cm="1">
        <f t="array" aca="1" ref="T89:X89" ca="1">IF(AND($U$12,B113&lt;=$C$17,C113&lt;&gt;""),TRANSPOSE(INDEX(GetCDS(C113,$C$6,G113/10000,F113,D113,$C$13,$C$14,$C$15,$C$8,,,TRUE,TRUE,FALSE,$C$29:$C$31,$C$33),{1;2;3;4;5})),"")</f>
        <v>-2.7329086973181201E-2</v>
      </c>
      <c r="U89" s="423">
        <f ca="1"/>
        <v>1.7223780153955301E-2</v>
      </c>
      <c r="V89" s="423">
        <f ca="1"/>
        <v>4.4552867127136499E-2</v>
      </c>
      <c r="W89" s="424">
        <f ca="1"/>
        <v>3.8659195837622202E-3</v>
      </c>
      <c r="X89" s="425">
        <f ca="1"/>
        <v>4.45528671271365</v>
      </c>
      <c r="Y89" s="426" t="e">
        <f t="shared" ca="1" si="15"/>
        <v>#VALUE!</v>
      </c>
      <c r="Z89" s="427" t="e">
        <f t="shared" ca="1" si="16"/>
        <v>#VALUE!</v>
      </c>
      <c r="AA89" s="426">
        <f t="shared" ca="1" si="17"/>
        <v>0.123124375896912</v>
      </c>
      <c r="AB89" s="428">
        <f t="shared" ca="1" si="18"/>
        <v>3.672623604574109E-3</v>
      </c>
      <c r="AC89" s="427">
        <f t="shared" ca="1" si="19"/>
        <v>-1.0603335910206841E-4</v>
      </c>
      <c r="AD89" s="79"/>
      <c r="AE89" s="496">
        <f t="shared" ca="1" si="20"/>
        <v>-4.2085585487160199E-3</v>
      </c>
      <c r="AF89" s="493">
        <f t="shared" ca="1" si="21"/>
        <v>2.7716763475566647E-3</v>
      </c>
      <c r="AG89" s="493">
        <f t="shared" ca="1" si="22"/>
        <v>0</v>
      </c>
      <c r="AH89" s="498">
        <f t="shared" ca="1" si="23"/>
        <v>0</v>
      </c>
      <c r="AI89" s="497">
        <f t="shared" ca="1" si="27"/>
        <v>-4.2085585487160199E-3</v>
      </c>
      <c r="AJ89" s="493">
        <f t="shared" ca="1" si="24"/>
        <v>0.28162579242702079</v>
      </c>
      <c r="AK89" s="493">
        <f t="shared" ca="1" si="25"/>
        <v>0</v>
      </c>
      <c r="AL89" s="498">
        <f t="shared" ca="1" si="26"/>
        <v>0</v>
      </c>
      <c r="AN89" s="532" t="str">
        <f t="shared" ca="1" si="14"/>
        <v>MunichRe_MMR.EUR.SU</v>
      </c>
      <c r="AO89" s="524" cm="1">
        <f t="array" aca="1" ref="AO89" ca="1">IF(AN89&lt;&gt;"",TRANSPOSE(INDEX(GetCDS($C114,AO$13,$G114/10000,F114,D114,$C$13,$C$14,$C$15,$C$8,,,TRUE,TRUE,FALSE,$C$29:$C$31,$C$33),{5})),"")</f>
        <v>0.47812020635810398</v>
      </c>
      <c r="AP89" s="524" cm="1">
        <f t="array" aca="1" ref="AP89" ca="1">IF(AO89&lt;&gt;"",TRANSPOSE(INDEX(GetCDS($C114,AP$13,$G114/10000,G114,E114,$C$13,$C$14,$C$15,$C$8,,,TRUE,TRUE,FALSE,$C$29:$C$31,$C$33),{5})),"")</f>
        <v>0.96374696388514203</v>
      </c>
      <c r="AQ89" s="524" cm="1">
        <f t="array" aca="1" ref="AQ89" ca="1">IF(AP89&lt;&gt;"",TRANSPOSE(INDEX(GetCDS($C114,AQ$13,$G114/10000,H114,F114,$C$13,$C$14,$C$15,$C$8,,,TRUE,TRUE,FALSE,$C$29:$C$31,$C$33),{5})),"")</f>
        <v>2.8003257066521399</v>
      </c>
      <c r="AR89" s="524" cm="1">
        <f t="array" aca="1" ref="AR89" ca="1">IF(AQ89&lt;&gt;"",TRANSPOSE(INDEX(GetCDS($C114,AR$13,$G114/10000,I114,G114,$C$13,$C$14,$C$15,$C$8,,,TRUE,TRUE,FALSE,$C$29:$C$31,$C$33),{5})),"")</f>
        <v>4.4683625173197701</v>
      </c>
      <c r="AS89" s="525" cm="1">
        <f t="array" aca="1" ref="AS89" ca="1">IF(AR89&lt;&gt;"",TRANSPOSE(INDEX(GetCDS($C114,AS$13,$G114/10000,J114,H114,$C$13,$C$14,$C$15,$C$8,,,TRUE,TRUE,FALSE,$C$29:$C$31,$C$33),{5})),"")</f>
        <v>7.94346727186569</v>
      </c>
    </row>
    <row r="90" spans="1:45" customFormat="1" ht="15">
      <c r="A90" s="227"/>
      <c r="B90" s="276">
        <v>52</v>
      </c>
      <c r="C90" s="254" t="s">
        <v>140</v>
      </c>
      <c r="D90" s="255">
        <v>1</v>
      </c>
      <c r="E90" s="247"/>
      <c r="F90" s="232">
        <v>0.4</v>
      </c>
      <c r="G90" s="435">
        <v>100</v>
      </c>
      <c r="H90" s="386">
        <v>76</v>
      </c>
      <c r="I90" s="413">
        <f ca="1"/>
        <v>1.56845861710741E-4</v>
      </c>
      <c r="J90" s="413">
        <f ca="1"/>
        <v>4.7832620020033998E-4</v>
      </c>
      <c r="K90" s="413">
        <f ca="1"/>
        <v>0.32790564607384698</v>
      </c>
      <c r="L90" s="413">
        <f ca="1"/>
        <v>0.32790564607384698</v>
      </c>
      <c r="M90" s="413">
        <f ca="1"/>
        <v>-1.5949952202269901E-4</v>
      </c>
      <c r="N90" s="452" t="str">
        <f ca="1"/>
        <v>MUNICHRE_MMR.EUR.SU</v>
      </c>
      <c r="O90" s="413"/>
      <c r="P90" s="413"/>
      <c r="Q90" s="413"/>
      <c r="R90" s="452"/>
      <c r="S90" s="443"/>
      <c r="T90" s="422" cm="1">
        <f t="array" aca="1" ref="T90:X90" ca="1">IF(AND($U$12,B114&lt;=$C$17,C114&lt;&gt;""),TRANSPOSE(INDEX(GetCDS(C114,$C$6,G114/10000,F114,D114,$C$13,$C$14,$C$15,$C$8,,,TRUE,TRUE,FALSE,$C$29:$C$31,$C$33),{1;2;3;4;5})),"")</f>
        <v>-3.1142176784788599E-2</v>
      </c>
      <c r="U90" s="423">
        <f ca="1"/>
        <v>1.3541448388409099E-2</v>
      </c>
      <c r="V90" s="423">
        <f ca="1"/>
        <v>4.4683625173197697E-2</v>
      </c>
      <c r="W90" s="424">
        <f ca="1"/>
        <v>3.0305169591592499E-3</v>
      </c>
      <c r="X90" s="425">
        <f ca="1"/>
        <v>4.4683625173197701</v>
      </c>
      <c r="Y90" s="426" t="e">
        <f t="shared" ca="1" si="15"/>
        <v>#VALUE!</v>
      </c>
      <c r="Z90" s="427" t="e">
        <f t="shared" ca="1" si="16"/>
        <v>#VALUE!</v>
      </c>
      <c r="AA90" s="426">
        <f t="shared" ca="1" si="17"/>
        <v>0.11025141743230567</v>
      </c>
      <c r="AB90" s="428">
        <f t="shared" ca="1" si="18"/>
        <v>2.8789911112012873E-3</v>
      </c>
      <c r="AC90" s="427">
        <f t="shared" ca="1" si="19"/>
        <v>-7.4648193945425645E-5</v>
      </c>
      <c r="AD90" s="79"/>
      <c r="AE90" s="496">
        <f t="shared" ca="1" si="20"/>
        <v>-2.9158384452969998E-3</v>
      </c>
      <c r="AF90" s="493">
        <f t="shared" ca="1" si="21"/>
        <v>4.985952906716374E-3</v>
      </c>
      <c r="AG90" s="493">
        <f t="shared" ca="1" si="22"/>
        <v>0</v>
      </c>
      <c r="AH90" s="498">
        <f t="shared" ca="1" si="23"/>
        <v>0</v>
      </c>
      <c r="AI90" s="497">
        <f t="shared" ca="1" si="27"/>
        <v>-2.9158384452969998E-3</v>
      </c>
      <c r="AJ90" s="493">
        <f t="shared" ca="1" si="24"/>
        <v>0.25371477875158238</v>
      </c>
      <c r="AK90" s="493">
        <f t="shared" ca="1" si="25"/>
        <v>0</v>
      </c>
      <c r="AL90" s="498">
        <f t="shared" ca="1" si="26"/>
        <v>0</v>
      </c>
      <c r="AN90" s="532" t="str">
        <f t="shared" ca="1" si="14"/>
        <v>NationalGridTranscoPlc_MMR.EUR.SU</v>
      </c>
      <c r="AO90" s="524" cm="1">
        <f t="array" aca="1" ref="AO90" ca="1">IF(AN90&lt;&gt;"",TRANSPOSE(INDEX(GetCDS($C115,AO$13,$G115/10000,F115,D115,$C$13,$C$14,$C$15,$C$8,,,TRUE,TRUE,FALSE,$C$29:$C$31,$C$33),{5})),"")</f>
        <v>0.47820883515867502</v>
      </c>
      <c r="AP90" s="524" cm="1">
        <f t="array" aca="1" ref="AP90" ca="1">IF(AO90&lt;&gt;"",TRANSPOSE(INDEX(GetCDS($C115,AP$13,$G115/10000,G115,E115,$C$13,$C$14,$C$15,$C$8,,,TRUE,TRUE,FALSE,$C$29:$C$31,$C$33),{5})),"")</f>
        <v>0.96411613956794495</v>
      </c>
      <c r="AQ90" s="524" cm="1">
        <f t="array" aca="1" ref="AQ90" ca="1">IF(AP90&lt;&gt;"",TRANSPOSE(INDEX(GetCDS($C115,AQ$13,$G115/10000,H115,F115,$C$13,$C$14,$C$15,$C$8,,,TRUE,TRUE,FALSE,$C$29:$C$31,$C$33),{5})),"")</f>
        <v>2.80319247641506</v>
      </c>
      <c r="AR90" s="524" cm="1">
        <f t="array" aca="1" ref="AR90" ca="1">IF(AQ90&lt;&gt;"",TRANSPOSE(INDEX(GetCDS($C115,AR$13,$G115/10000,I115,G115,$C$13,$C$14,$C$15,$C$8,,,TRUE,TRUE,FALSE,$C$29:$C$31,$C$33),{5})),"")</f>
        <v>4.4702176326281604</v>
      </c>
      <c r="AS90" s="525" cm="1">
        <f t="array" aca="1" ref="AS90" ca="1">IF(AR90&lt;&gt;"",TRANSPOSE(INDEX(GetCDS($C115,AS$13,$G115/10000,J115,H115,$C$13,$C$14,$C$15,$C$8,,,TRUE,TRUE,FALSE,$C$29:$C$31,$C$33),{5})),"")</f>
        <v>7.9074762540764798</v>
      </c>
    </row>
    <row r="91" spans="1:45" customFormat="1" ht="15">
      <c r="A91" s="227"/>
      <c r="B91" s="276">
        <v>53</v>
      </c>
      <c r="C91" s="254" t="s">
        <v>141</v>
      </c>
      <c r="D91" s="255">
        <v>1</v>
      </c>
      <c r="E91" s="247"/>
      <c r="F91" s="232">
        <v>0.4</v>
      </c>
      <c r="G91" s="435">
        <v>100</v>
      </c>
      <c r="H91" s="386">
        <v>77</v>
      </c>
      <c r="I91" s="413">
        <f ca="1"/>
        <v>1.6395238874127301E-4</v>
      </c>
      <c r="J91" s="413">
        <f ca="1"/>
        <v>4.7695388163302799E-4</v>
      </c>
      <c r="K91" s="413">
        <f ca="1"/>
        <v>0.343748934760571</v>
      </c>
      <c r="L91" s="413">
        <f ca="1"/>
        <v>0.343748934760571</v>
      </c>
      <c r="M91" s="413">
        <f ca="1"/>
        <v>-1.7993967697766899E-4</v>
      </c>
      <c r="N91" s="452" t="str">
        <f ca="1"/>
        <v>NATIONALGRIDTRANSCOPLC_MMR.EUR.SU</v>
      </c>
      <c r="O91" s="413"/>
      <c r="P91" s="413"/>
      <c r="Q91" s="413"/>
      <c r="R91" s="452"/>
      <c r="S91" s="443"/>
      <c r="T91" s="422" cm="1">
        <f t="array" aca="1" ref="T91:X91" ca="1">IF(AND($U$12,B115&lt;=$C$17,C115&lt;&gt;""),TRANSPOSE(INDEX(GetCDS(C115,$C$6,G115/10000,F115,D115,$C$13,$C$14,$C$15,$C$8,,,TRUE,TRUE,FALSE,$C$29:$C$31,$C$33),{1;2;3;4;5})),"")</f>
        <v>-2.92886447413764E-2</v>
      </c>
      <c r="U91" s="423">
        <f ca="1"/>
        <v>1.54135315849052E-2</v>
      </c>
      <c r="V91" s="423">
        <f ca="1"/>
        <v>4.4702176326281602E-2</v>
      </c>
      <c r="W91" s="424">
        <f ca="1"/>
        <v>3.4480494802762401E-3</v>
      </c>
      <c r="X91" s="425">
        <f ca="1"/>
        <v>4.4702176326281604</v>
      </c>
      <c r="Y91" s="426" t="e">
        <f t="shared" ca="1" si="15"/>
        <v>#VALUE!</v>
      </c>
      <c r="Z91" s="427" t="e">
        <f t="shared" ca="1" si="16"/>
        <v>#VALUE!</v>
      </c>
      <c r="AA91" s="426">
        <f t="shared" ca="1" si="17"/>
        <v>0.11556172866989334</v>
      </c>
      <c r="AB91" s="428">
        <f t="shared" ca="1" si="18"/>
        <v>3.2756470062624281E-3</v>
      </c>
      <c r="AC91" s="427">
        <f t="shared" ca="1" si="19"/>
        <v>-8.9060717742982376E-5</v>
      </c>
      <c r="AD91" s="79"/>
      <c r="AE91" s="496">
        <f t="shared" ca="1" si="20"/>
        <v>-3.3774530317459998E-3</v>
      </c>
      <c r="AF91" s="493">
        <f t="shared" ca="1" si="21"/>
        <v>4.0716457429560461E-3</v>
      </c>
      <c r="AG91" s="493">
        <f t="shared" ca="1" si="22"/>
        <v>0</v>
      </c>
      <c r="AH91" s="498">
        <f t="shared" ca="1" si="23"/>
        <v>0</v>
      </c>
      <c r="AI91" s="497">
        <f t="shared" ca="1" si="27"/>
        <v>-3.3774530317459998E-3</v>
      </c>
      <c r="AJ91" s="493">
        <f t="shared" ca="1" si="24"/>
        <v>0.26513386225577235</v>
      </c>
      <c r="AK91" s="493">
        <f t="shared" ca="1" si="25"/>
        <v>0</v>
      </c>
      <c r="AL91" s="498">
        <f t="shared" ca="1" si="26"/>
        <v>0</v>
      </c>
      <c r="AN91" s="532" t="str">
        <f t="shared" ca="1" si="14"/>
        <v>NextPlc_MMR.EUR.SU</v>
      </c>
      <c r="AO91" s="524" cm="1">
        <f t="array" aca="1" ref="AO91" ca="1">IF(AN91&lt;&gt;"",TRANSPOSE(INDEX(GetCDS($C116,AO$13,$G116/10000,F116,D116,$C$13,$C$14,$C$15,$C$8,,,TRUE,TRUE,FALSE,$C$29:$C$31,$C$33),{5})),"")</f>
        <v>0.478016191929656</v>
      </c>
      <c r="AP91" s="524" cm="1">
        <f t="array" aca="1" ref="AP91" ca="1">IF(AO91&lt;&gt;"",TRANSPOSE(INDEX(GetCDS($C116,AP$13,$G116/10000,G116,E116,$C$13,$C$14,$C$15,$C$8,,,TRUE,TRUE,FALSE,$C$29:$C$31,$C$33),{5})),"")</f>
        <v>0.96335356783034998</v>
      </c>
      <c r="AQ91" s="524" cm="1">
        <f t="array" aca="1" ref="AQ91" ca="1">IF(AP91&lt;&gt;"",TRANSPOSE(INDEX(GetCDS($C116,AQ$13,$G116/10000,H116,F116,$C$13,$C$14,$C$15,$C$8,,,TRUE,TRUE,FALSE,$C$29:$C$31,$C$33),{5})),"")</f>
        <v>2.79515577409104</v>
      </c>
      <c r="AR91" s="524" cm="1">
        <f t="array" aca="1" ref="AR91" ca="1">IF(AQ91&lt;&gt;"",TRANSPOSE(INDEX(GetCDS($C116,AR$13,$G116/10000,I116,G116,$C$13,$C$14,$C$15,$C$8,,,TRUE,TRUE,FALSE,$C$29:$C$31,$C$33),{5})),"")</f>
        <v>4.43659440006404</v>
      </c>
      <c r="AS91" s="525" cm="1">
        <f t="array" aca="1" ref="AS91" ca="1">IF(AR91&lt;&gt;"",TRANSPOSE(INDEX(GetCDS($C116,AS$13,$G116/10000,J116,H116,$C$13,$C$14,$C$15,$C$8,,,TRUE,TRUE,FALSE,$C$29:$C$31,$C$33),{5})),"")</f>
        <v>7.7262118254371899</v>
      </c>
    </row>
    <row r="92" spans="1:45" customFormat="1" ht="15">
      <c r="A92" s="227"/>
      <c r="B92" s="276">
        <v>54</v>
      </c>
      <c r="C92" s="254" t="s">
        <v>142</v>
      </c>
      <c r="D92" s="255">
        <v>1</v>
      </c>
      <c r="E92" s="247"/>
      <c r="F92" s="232">
        <v>0.4</v>
      </c>
      <c r="G92" s="435">
        <v>100</v>
      </c>
      <c r="H92" s="386">
        <v>78</v>
      </c>
      <c r="I92" s="413">
        <f ca="1"/>
        <v>2.08402577286137E-4</v>
      </c>
      <c r="J92" s="413">
        <f ca="1"/>
        <v>4.64369489175121E-4</v>
      </c>
      <c r="K92" s="413">
        <f ca="1"/>
        <v>0.44878611137077801</v>
      </c>
      <c r="L92" s="413">
        <f ca="1"/>
        <v>0.44878611137077801</v>
      </c>
      <c r="M92" s="413">
        <f ca="1"/>
        <v>-3.2417089101806102E-4</v>
      </c>
      <c r="N92" s="452" t="str">
        <f ca="1"/>
        <v>NEXTPLC_MMR.EUR.SU</v>
      </c>
      <c r="O92" s="413"/>
      <c r="P92" s="413"/>
      <c r="Q92" s="413"/>
      <c r="R92" s="452"/>
      <c r="S92" s="443"/>
      <c r="T92" s="422" cm="1">
        <f t="array" aca="1" ref="T92:X92" ca="1">IF(AND($U$12,B116&lt;=$C$17,C116&lt;&gt;""),TRANSPOSE(INDEX(GetCDS(C116,$C$6,G116/10000,F116,D116,$C$13,$C$14,$C$15,$C$8,,,TRUE,TRUE,FALSE,$C$29:$C$31,$C$33),{1;2;3;4;5})),"")</f>
        <v>-1.6568831847251799E-2</v>
      </c>
      <c r="U92" s="423">
        <f ca="1"/>
        <v>2.7797112153388599E-2</v>
      </c>
      <c r="V92" s="423">
        <f ca="1"/>
        <v>4.4365944000640402E-2</v>
      </c>
      <c r="W92" s="424">
        <f ca="1"/>
        <v>6.2654165891268699E-3</v>
      </c>
      <c r="X92" s="425">
        <f ca="1"/>
        <v>4.43659440006404</v>
      </c>
      <c r="Y92" s="426" t="e">
        <f t="shared" ca="1" si="15"/>
        <v>#VALUE!</v>
      </c>
      <c r="Z92" s="427" t="e">
        <f t="shared" ca="1" si="16"/>
        <v>#VALUE!</v>
      </c>
      <c r="AA92" s="426">
        <f t="shared" ca="1" si="17"/>
        <v>0.15066961254078501</v>
      </c>
      <c r="AB92" s="428">
        <f t="shared" ca="1" si="18"/>
        <v>5.952145759670526E-3</v>
      </c>
      <c r="AC92" s="427">
        <f t="shared" ca="1" si="19"/>
        <v>-2.0940900589519069E-4</v>
      </c>
      <c r="AD92" s="79"/>
      <c r="AE92" s="496">
        <f t="shared" ca="1" si="20"/>
        <v>-8.1779842043600004E-3</v>
      </c>
      <c r="AF92" s="493">
        <f t="shared" ca="1" si="21"/>
        <v>0</v>
      </c>
      <c r="AG92" s="493">
        <f t="shared" ca="1" si="22"/>
        <v>0</v>
      </c>
      <c r="AH92" s="498">
        <f t="shared" ca="1" si="23"/>
        <v>0</v>
      </c>
      <c r="AI92" s="497">
        <f t="shared" ca="1" si="27"/>
        <v>-8.1779842043600004E-3</v>
      </c>
      <c r="AJ92" s="493">
        <f t="shared" ca="1" si="24"/>
        <v>0.34073179148989646</v>
      </c>
      <c r="AK92" s="493">
        <f t="shared" ca="1" si="25"/>
        <v>0</v>
      </c>
      <c r="AL92" s="498">
        <f t="shared" ca="1" si="26"/>
        <v>0</v>
      </c>
      <c r="AN92" s="532" t="str">
        <f t="shared" ca="1" si="14"/>
        <v>Pearson_MMR.EUR.SU</v>
      </c>
      <c r="AO92" s="524" cm="1">
        <f t="array" aca="1" ref="AO92" ca="1">IF(AN92&lt;&gt;"",TRANSPOSE(INDEX(GetCDS($C117,AO$13,$G117/10000,F117,D117,$C$13,$C$14,$C$15,$C$8,,,TRUE,TRUE,FALSE,$C$29:$C$31,$C$33),{5})),"")</f>
        <v>0.478266648415127</v>
      </c>
      <c r="AP92" s="524" cm="1">
        <f t="array" aca="1" ref="AP92" ca="1">IF(AO92&lt;&gt;"",TRANSPOSE(INDEX(GetCDS($C117,AP$13,$G117/10000,G117,E117,$C$13,$C$14,$C$15,$C$8,,,TRUE,TRUE,FALSE,$C$29:$C$31,$C$33),{5})),"")</f>
        <v>0.964352804088487</v>
      </c>
      <c r="AQ92" s="524" cm="1">
        <f t="array" aca="1" ref="AQ92" ca="1">IF(AP92&lt;&gt;"",TRANSPOSE(INDEX(GetCDS($C117,AQ$13,$G117/10000,H117,F117,$C$13,$C$14,$C$15,$C$8,,,TRUE,TRUE,FALSE,$C$29:$C$31,$C$33),{5})),"")</f>
        <v>2.80401004923386</v>
      </c>
      <c r="AR92" s="524" cm="1">
        <f t="array" aca="1" ref="AR92" ca="1">IF(AQ92&lt;&gt;"",TRANSPOSE(INDEX(GetCDS($C117,AR$13,$G117/10000,I117,G117,$C$13,$C$14,$C$15,$C$8,,,TRUE,TRUE,FALSE,$C$29:$C$31,$C$33),{5})),"")</f>
        <v>4.46980577455487</v>
      </c>
      <c r="AS92" s="525" cm="1">
        <f t="array" aca="1" ref="AS92" ca="1">IF(AR92&lt;&gt;"",TRANSPOSE(INDEX(GetCDS($C117,AS$13,$G117/10000,J117,H117,$C$13,$C$14,$C$15,$C$8,,,TRUE,TRUE,FALSE,$C$29:$C$31,$C$33),{5})),"")</f>
        <v>7.8901944364212602</v>
      </c>
    </row>
    <row r="93" spans="1:45" customFormat="1" ht="15">
      <c r="A93" s="227"/>
      <c r="B93" s="276">
        <v>55</v>
      </c>
      <c r="C93" s="254" t="s">
        <v>143</v>
      </c>
      <c r="D93" s="255">
        <v>1</v>
      </c>
      <c r="E93" s="247"/>
      <c r="F93" s="232">
        <v>0.4</v>
      </c>
      <c r="G93" s="435">
        <v>100</v>
      </c>
      <c r="H93" s="386">
        <v>79</v>
      </c>
      <c r="I93" s="413">
        <f ca="1"/>
        <v>1.6556642806126999E-4</v>
      </c>
      <c r="J93" s="413">
        <f ca="1"/>
        <v>4.7664204255863299E-4</v>
      </c>
      <c r="K93" s="413">
        <f ca="1"/>
        <v>0.34736010103620502</v>
      </c>
      <c r="L93" s="413">
        <f ca="1"/>
        <v>0.34736010103620502</v>
      </c>
      <c r="M93" s="413">
        <f ca="1"/>
        <v>-1.85303710943452E-4</v>
      </c>
      <c r="N93" s="452" t="str">
        <f ca="1"/>
        <v>PEARSON_MMR.EUR.SU</v>
      </c>
      <c r="O93" s="413"/>
      <c r="P93" s="413"/>
      <c r="Q93" s="413"/>
      <c r="R93" s="452"/>
      <c r="S93" s="443"/>
      <c r="T93" s="422" cm="1">
        <f t="array" aca="1" ref="T93:X93" ca="1">IF(AND($U$12,B117&lt;=$C$17,C117&lt;&gt;""),TRANSPOSE(INDEX(GetCDS(C117,$C$6,G117/10000,F117,D117,$C$13,$C$14,$C$15,$C$8,,,TRUE,TRUE,FALSE,$C$29:$C$31,$C$33),{1;2;3;4;5})),"")</f>
        <v>-2.8819470634645201E-2</v>
      </c>
      <c r="U93" s="423">
        <f ca="1"/>
        <v>1.5878587110903501E-2</v>
      </c>
      <c r="V93" s="423">
        <f ca="1"/>
        <v>4.4698057745548699E-2</v>
      </c>
      <c r="W93" s="424">
        <f ca="1"/>
        <v>3.5524109797555499E-3</v>
      </c>
      <c r="X93" s="425">
        <f ca="1"/>
        <v>4.46980577455487</v>
      </c>
      <c r="Y93" s="426" t="e">
        <f t="shared" ca="1" si="15"/>
        <v>#VALUE!</v>
      </c>
      <c r="Z93" s="427" t="e">
        <f t="shared" ca="1" si="16"/>
        <v>#VALUE!</v>
      </c>
      <c r="AA93" s="426">
        <f t="shared" ca="1" si="17"/>
        <v>0.11677327054687768</v>
      </c>
      <c r="AB93" s="428">
        <f t="shared" ca="1" si="18"/>
        <v>3.3747904307677721E-3</v>
      </c>
      <c r="AC93" s="427">
        <f t="shared" ca="1" si="19"/>
        <v>-9.270972743018504E-5</v>
      </c>
      <c r="AD93" s="79"/>
      <c r="AE93" s="496">
        <f t="shared" ca="1" si="20"/>
        <v>-3.5066227983049899E-3</v>
      </c>
      <c r="AF93" s="493">
        <f t="shared" ca="1" si="21"/>
        <v>3.8280040877163753E-3</v>
      </c>
      <c r="AG93" s="493">
        <f t="shared" ca="1" si="22"/>
        <v>0</v>
      </c>
      <c r="AH93" s="498">
        <f t="shared" ca="1" si="23"/>
        <v>0</v>
      </c>
      <c r="AI93" s="497">
        <f t="shared" ca="1" si="27"/>
        <v>-3.5066227983049899E-3</v>
      </c>
      <c r="AJ93" s="493">
        <f t="shared" ca="1" si="24"/>
        <v>0.26772494343581504</v>
      </c>
      <c r="AK93" s="493">
        <f t="shared" ca="1" si="25"/>
        <v>0</v>
      </c>
      <c r="AL93" s="498">
        <f t="shared" ca="1" si="26"/>
        <v>0</v>
      </c>
      <c r="AN93" s="532" t="str">
        <f t="shared" ca="1" si="14"/>
        <v>Peugeot_MMR.EUR.SU</v>
      </c>
      <c r="AO93" s="524" cm="1">
        <f t="array" aca="1" ref="AO93" ca="1">IF(AN93&lt;&gt;"",TRANSPOSE(INDEX(GetCDS($C118,AO$13,$G118/10000,F118,D118,$C$13,$C$14,$C$15,$C$8,,,TRUE,TRUE,FALSE,$C$29:$C$31,$C$33),{5})),"")</f>
        <v>0.47813176538809798</v>
      </c>
      <c r="AP93" s="524" cm="1">
        <f t="array" aca="1" ref="AP93" ca="1">IF(AO93&lt;&gt;"",TRANSPOSE(INDEX(GetCDS($C118,AP$13,$G118/10000,G118,E118,$C$13,$C$14,$C$15,$C$8,,,TRUE,TRUE,FALSE,$C$29:$C$31,$C$33),{5})),"")</f>
        <v>0.96383935159858802</v>
      </c>
      <c r="AQ93" s="524" cm="1">
        <f t="array" aca="1" ref="AQ93" ca="1">IF(AP93&lt;&gt;"",TRANSPOSE(INDEX(GetCDS($C118,AQ$13,$G118/10000,H118,F118,$C$13,$C$14,$C$15,$C$8,,,TRUE,TRUE,FALSE,$C$29:$C$31,$C$33),{5})),"")</f>
        <v>2.80249912768722</v>
      </c>
      <c r="AR93" s="524" cm="1">
        <f t="array" aca="1" ref="AR93" ca="1">IF(AQ93&lt;&gt;"",TRANSPOSE(INDEX(GetCDS($C118,AR$13,$G118/10000,I118,G118,$C$13,$C$14,$C$15,$C$8,,,TRUE,TRUE,FALSE,$C$29:$C$31,$C$33),{5})),"")</f>
        <v>4.4660662750111202</v>
      </c>
      <c r="AS93" s="525" cm="1">
        <f t="array" aca="1" ref="AS93" ca="1">IF(AR93&lt;&gt;"",TRANSPOSE(INDEX(GetCDS($C118,AS$13,$G118/10000,J118,H118,$C$13,$C$14,$C$15,$C$8,,,TRUE,TRUE,FALSE,$C$29:$C$31,$C$33),{5})),"")</f>
        <v>7.8844551702834504</v>
      </c>
    </row>
    <row r="94" spans="1:45" customFormat="1" ht="15">
      <c r="A94" s="227"/>
      <c r="B94" s="276">
        <v>56</v>
      </c>
      <c r="C94" s="254" t="s">
        <v>144</v>
      </c>
      <c r="D94" s="255">
        <v>1</v>
      </c>
      <c r="E94" s="247"/>
      <c r="F94" s="232">
        <v>0.4</v>
      </c>
      <c r="G94" s="435">
        <v>100</v>
      </c>
      <c r="H94" s="386">
        <v>80</v>
      </c>
      <c r="I94" s="413">
        <f ca="1"/>
        <v>1.7187595814478499E-4</v>
      </c>
      <c r="J94" s="413">
        <f ca="1"/>
        <v>4.7523775352475799E-4</v>
      </c>
      <c r="K94" s="413">
        <f ca="1"/>
        <v>0.36166309782842399</v>
      </c>
      <c r="L94" s="413">
        <f ca="1"/>
        <v>0.36166309782842399</v>
      </c>
      <c r="M94" s="413">
        <f ca="1"/>
        <v>-2.0227385268438799E-4</v>
      </c>
      <c r="N94" s="452" t="str">
        <f ca="1"/>
        <v>PEUGEOT_MMR.EUR.SU</v>
      </c>
      <c r="O94" s="413"/>
      <c r="P94" s="413"/>
      <c r="Q94" s="413"/>
      <c r="R94" s="452"/>
      <c r="S94" s="443"/>
      <c r="T94" s="422" cm="1">
        <f t="array" aca="1" ref="T94:X94" ca="1">IF(AND($U$12,B118&lt;=$C$17,C118&lt;&gt;""),TRANSPOSE(INDEX(GetCDS(C118,$C$6,G118/10000,F118,D118,$C$13,$C$14,$C$15,$C$8,,,TRUE,TRUE,FALSE,$C$29:$C$31,$C$33),{1;2;3;4;5})),"")</f>
        <v>-2.7396518558913899E-2</v>
      </c>
      <c r="U94" s="423">
        <f ca="1"/>
        <v>1.72641441911973E-2</v>
      </c>
      <c r="V94" s="423">
        <f ca="1"/>
        <v>4.4660662750111199E-2</v>
      </c>
      <c r="W94" s="424">
        <f ca="1"/>
        <v>3.86562651069353E-3</v>
      </c>
      <c r="X94" s="425">
        <f ca="1"/>
        <v>4.4660662750111202</v>
      </c>
      <c r="Y94" s="426" t="e">
        <f t="shared" ca="1" si="15"/>
        <v>#VALUE!</v>
      </c>
      <c r="Z94" s="427" t="e">
        <f t="shared" ca="1" si="16"/>
        <v>#VALUE!</v>
      </c>
      <c r="AA94" s="426">
        <f t="shared" ca="1" si="17"/>
        <v>0.12155421208357799</v>
      </c>
      <c r="AB94" s="428">
        <f t="shared" ca="1" si="18"/>
        <v>3.6723451851588536E-3</v>
      </c>
      <c r="AC94" s="427">
        <f t="shared" ca="1" si="19"/>
        <v>-1.0492647222291328E-4</v>
      </c>
      <c r="AD94" s="79"/>
      <c r="AE94" s="496">
        <f t="shared" ca="1" si="20"/>
        <v>-3.99383588376101E-3</v>
      </c>
      <c r="AF94" s="493">
        <f t="shared" ca="1" si="21"/>
        <v>2.9960420051537914E-3</v>
      </c>
      <c r="AG94" s="493">
        <f t="shared" ca="1" si="22"/>
        <v>0</v>
      </c>
      <c r="AH94" s="498">
        <f t="shared" ca="1" si="23"/>
        <v>0</v>
      </c>
      <c r="AI94" s="497">
        <f t="shared" ca="1" si="27"/>
        <v>-3.99383588376101E-3</v>
      </c>
      <c r="AJ94" s="493">
        <f t="shared" ca="1" si="24"/>
        <v>0.27809645301104646</v>
      </c>
      <c r="AK94" s="493">
        <f t="shared" ca="1" si="25"/>
        <v>0</v>
      </c>
      <c r="AL94" s="498">
        <f t="shared" ca="1" si="26"/>
        <v>0</v>
      </c>
      <c r="AN94" s="532" t="str">
        <f t="shared" ca="1" si="14"/>
        <v>PhilipsElec_MMR.EUR.SU</v>
      </c>
      <c r="AO94" s="524" cm="1">
        <f t="array" aca="1" ref="AO94" ca="1">IF(AN94&lt;&gt;"",TRANSPOSE(INDEX(GetCDS($C119,AO$13,$G119/10000,F119,D119,$C$13,$C$14,$C$15,$C$8,,,TRUE,TRUE,FALSE,$C$29:$C$31,$C$33),{5})),"")</f>
        <v>0.47822810520300102</v>
      </c>
      <c r="AP94" s="524" cm="1">
        <f t="array" aca="1" ref="AP94" ca="1">IF(AO94&lt;&gt;"",TRANSPOSE(INDEX(GetCDS($C119,AP$13,$G119/10000,G119,E119,$C$13,$C$14,$C$15,$C$8,,,TRUE,TRUE,FALSE,$C$29:$C$31,$C$33),{5})),"")</f>
        <v>0.96422079399330896</v>
      </c>
      <c r="AQ94" s="524" cm="1">
        <f t="array" aca="1" ref="AQ94" ca="1">IF(AP94&lt;&gt;"",TRANSPOSE(INDEX(GetCDS($C119,AQ$13,$G119/10000,H119,F119,$C$13,$C$14,$C$15,$C$8,,,TRUE,TRUE,FALSE,$C$29:$C$31,$C$33),{5})),"")</f>
        <v>2.8055954253676498</v>
      </c>
      <c r="AR94" s="524" cm="1">
        <f t="array" aca="1" ref="AR94" ca="1">IF(AQ94&lt;&gt;"",TRANSPOSE(INDEX(GetCDS($C119,AR$13,$G119/10000,I119,G119,$C$13,$C$14,$C$15,$C$8,,,TRUE,TRUE,FALSE,$C$29:$C$31,$C$33),{5})),"")</f>
        <v>4.4783052088386501</v>
      </c>
      <c r="AS94" s="525" cm="1">
        <f t="array" aca="1" ref="AS94" ca="1">IF(AR94&lt;&gt;"",TRANSPOSE(INDEX(GetCDS($C119,AS$13,$G119/10000,J119,H119,$C$13,$C$14,$C$15,$C$8,,,TRUE,TRUE,FALSE,$C$29:$C$31,$C$33),{5})),"")</f>
        <v>7.9329536275407699</v>
      </c>
    </row>
    <row r="95" spans="1:45" customFormat="1" ht="15">
      <c r="A95" s="227"/>
      <c r="B95" s="276">
        <v>57</v>
      </c>
      <c r="C95" s="254" t="s">
        <v>145</v>
      </c>
      <c r="D95" s="255">
        <v>1</v>
      </c>
      <c r="E95" s="247"/>
      <c r="F95" s="232">
        <v>0.4</v>
      </c>
      <c r="G95" s="435">
        <v>100</v>
      </c>
      <c r="H95" s="386">
        <v>81</v>
      </c>
      <c r="I95" s="413">
        <f ca="1"/>
        <v>1.5002209603547399E-4</v>
      </c>
      <c r="J95" s="413">
        <f ca="1"/>
        <v>4.7953359492656301E-4</v>
      </c>
      <c r="K95" s="413">
        <f ca="1"/>
        <v>0.31285002265263301</v>
      </c>
      <c r="L95" s="413">
        <f ca="1"/>
        <v>0.31285002265263301</v>
      </c>
      <c r="M95" s="413">
        <f ca="1"/>
        <v>-1.4491427447640401E-4</v>
      </c>
      <c r="N95" s="452" t="str">
        <f ca="1"/>
        <v>PHILIPSELEC_MMR.EUR.SU</v>
      </c>
      <c r="O95" s="413"/>
      <c r="P95" s="413"/>
      <c r="Q95" s="413"/>
      <c r="R95" s="452"/>
      <c r="S95" s="443"/>
      <c r="T95" s="422" cm="1">
        <f t="array" aca="1" ref="T95:X95" ca="1">IF(AND($U$12,B119&lt;=$C$17,C119&lt;&gt;""),TRANSPOSE(INDEX(GetCDS(C119,$C$6,G119/10000,F119,D119,$C$13,$C$14,$C$15,$C$8,,,TRUE,TRUE,FALSE,$C$29:$C$31,$C$33),{1;2;3;4;5})),"")</f>
        <v>-3.2147540212553602E-2</v>
      </c>
      <c r="U95" s="423">
        <f ca="1"/>
        <v>1.26355118758329E-2</v>
      </c>
      <c r="V95" s="423">
        <f ca="1"/>
        <v>4.4783052088386503E-2</v>
      </c>
      <c r="W95" s="424">
        <f ca="1"/>
        <v>2.8214941337394101E-3</v>
      </c>
      <c r="X95" s="425">
        <f ca="1"/>
        <v>4.4783052088386501</v>
      </c>
      <c r="Y95" s="426" t="e">
        <f t="shared" ca="1" si="15"/>
        <v>#VALUE!</v>
      </c>
      <c r="Z95" s="427" t="e">
        <f t="shared" ca="1" si="16"/>
        <v>#VALUE!</v>
      </c>
      <c r="AA95" s="426">
        <f t="shared" ca="1" si="17"/>
        <v>0.10522246295632033</v>
      </c>
      <c r="AB95" s="428">
        <f t="shared" ca="1" si="18"/>
        <v>2.6804194270524393E-3</v>
      </c>
      <c r="AC95" s="427">
        <f t="shared" ca="1" si="19"/>
        <v>-6.6476984014448759E-5</v>
      </c>
      <c r="AD95" s="79"/>
      <c r="AE95" s="496">
        <f t="shared" ca="1" si="20"/>
        <v>-2.4898755429390001E-3</v>
      </c>
      <c r="AF95" s="493">
        <f t="shared" ca="1" si="21"/>
        <v>5.6493474579977637E-3</v>
      </c>
      <c r="AG95" s="493">
        <f t="shared" ca="1" si="22"/>
        <v>0</v>
      </c>
      <c r="AH95" s="498">
        <f t="shared" ca="1" si="23"/>
        <v>0</v>
      </c>
      <c r="AI95" s="497">
        <f t="shared" ca="1" si="27"/>
        <v>-2.4898755429390001E-3</v>
      </c>
      <c r="AJ95" s="493">
        <f t="shared" ca="1" si="24"/>
        <v>0.24267440204261315</v>
      </c>
      <c r="AK95" s="493">
        <f t="shared" ca="1" si="25"/>
        <v>0</v>
      </c>
      <c r="AL95" s="498">
        <f t="shared" ca="1" si="26"/>
        <v>0</v>
      </c>
      <c r="AN95" s="532" t="str">
        <f t="shared" ca="1" si="14"/>
        <v>PinaultPrintemps_MMR.EUR.SU</v>
      </c>
      <c r="AO95" s="524" cm="1">
        <f t="array" aca="1" ref="AO95" ca="1">IF(AN95&lt;&gt;"",TRANSPOSE(INDEX(GetCDS($C120,AO$13,$G120/10000,F120,D120,$C$13,$C$14,$C$15,$C$8,,,TRUE,TRUE,FALSE,$C$29:$C$31,$C$33),{5})),"")</f>
        <v>0.47817029819245299</v>
      </c>
      <c r="AP95" s="524" cm="1">
        <f t="array" aca="1" ref="AP95" ca="1">IF(AO95&lt;&gt;"",TRANSPOSE(INDEX(GetCDS($C120,AP$13,$G120/10000,G120,E120,$C$13,$C$14,$C$15,$C$8,,,TRUE,TRUE,FALSE,$C$29:$C$31,$C$33),{5})),"")</f>
        <v>0.96380374257833301</v>
      </c>
      <c r="AQ95" s="524" cm="1">
        <f t="array" aca="1" ref="AQ95" ca="1">IF(AP95&lt;&gt;"",TRANSPOSE(INDEX(GetCDS($C120,AQ$13,$G120/10000,H120,F120,$C$13,$C$14,$C$15,$C$8,,,TRUE,TRUE,FALSE,$C$29:$C$31,$C$33),{5})),"")</f>
        <v>2.79132272416286</v>
      </c>
      <c r="AR95" s="524" cm="1">
        <f t="array" aca="1" ref="AR95" ca="1">IF(AQ95&lt;&gt;"",TRANSPOSE(INDEX(GetCDS($C120,AR$13,$G120/10000,I120,G120,$C$13,$C$14,$C$15,$C$8,,,TRUE,TRUE,FALSE,$C$29:$C$31,$C$33),{5})),"")</f>
        <v>4.4249526130947396</v>
      </c>
      <c r="AS95" s="525" cm="1">
        <f t="array" aca="1" ref="AS95" ca="1">IF(AR95&lt;&gt;"",TRANSPOSE(INDEX(GetCDS($C120,AS$13,$G120/10000,J120,H120,$C$13,$C$14,$C$15,$C$8,,,TRUE,TRUE,FALSE,$C$29:$C$31,$C$33),{5})),"")</f>
        <v>7.6703531820319402</v>
      </c>
    </row>
    <row r="96" spans="1:45" customFormat="1" ht="15">
      <c r="A96" s="227"/>
      <c r="B96" s="276">
        <v>58</v>
      </c>
      <c r="C96" s="254" t="s">
        <v>146</v>
      </c>
      <c r="D96" s="255">
        <v>1</v>
      </c>
      <c r="E96" s="247"/>
      <c r="F96" s="232">
        <v>0.4</v>
      </c>
      <c r="G96" s="435">
        <v>100</v>
      </c>
      <c r="H96" s="386">
        <v>82</v>
      </c>
      <c r="I96" s="413">
        <f ca="1"/>
        <v>2.18196670070992E-4</v>
      </c>
      <c r="J96" s="413">
        <f ca="1"/>
        <v>4.6017795560562201E-4</v>
      </c>
      <c r="K96" s="413">
        <f ca="1"/>
        <v>0.47415715466820202</v>
      </c>
      <c r="L96" s="413">
        <f ca="1"/>
        <v>0.47415715466820202</v>
      </c>
      <c r="M96" s="413">
        <f ca="1"/>
        <v>-3.6304812277547797E-4</v>
      </c>
      <c r="N96" s="452" t="str">
        <f ca="1"/>
        <v>PINAULTPRINTEMPS_MMR.EUR.SU</v>
      </c>
      <c r="O96" s="413"/>
      <c r="P96" s="413"/>
      <c r="Q96" s="413"/>
      <c r="R96" s="452"/>
      <c r="S96" s="443"/>
      <c r="T96" s="422" cm="1">
        <f t="array" aca="1" ref="T96:X96" ca="1">IF(AND($U$12,B120&lt;=$C$17,C120&lt;&gt;""),TRANSPOSE(INDEX(GetCDS(C120,$C$6,G120/10000,F120,D120,$C$13,$C$14,$C$15,$C$8,,,TRUE,TRUE,FALSE,$C$29:$C$31,$C$33),{1;2;3;4;5})),"")</f>
        <v>-1.2833780536313601E-2</v>
      </c>
      <c r="U96" s="423">
        <f ca="1"/>
        <v>3.1415745594633802E-2</v>
      </c>
      <c r="V96" s="423">
        <f ca="1"/>
        <v>4.4249526130947403E-2</v>
      </c>
      <c r="W96" s="424">
        <f ca="1"/>
        <v>7.0996795540059204E-3</v>
      </c>
      <c r="X96" s="425">
        <f ca="1"/>
        <v>4.4249526130947396</v>
      </c>
      <c r="Y96" s="426" t="e">
        <f t="shared" ca="1" si="15"/>
        <v>#VALUE!</v>
      </c>
      <c r="Z96" s="427" t="e">
        <f t="shared" ca="1" si="16"/>
        <v>#VALUE!</v>
      </c>
      <c r="AA96" s="426">
        <f t="shared" ca="1" si="17"/>
        <v>0.15914007766330132</v>
      </c>
      <c r="AB96" s="428">
        <f t="shared" ca="1" si="18"/>
        <v>6.7446955763056241E-3</v>
      </c>
      <c r="AC96" s="427">
        <f t="shared" ca="1" si="19"/>
        <v>-2.4997520968902709E-4</v>
      </c>
      <c r="AD96" s="79"/>
      <c r="AE96" s="496">
        <f t="shared" ca="1" si="20"/>
        <v>-9.8460809487050105E-3</v>
      </c>
      <c r="AF96" s="493">
        <f t="shared" ca="1" si="21"/>
        <v>0</v>
      </c>
      <c r="AG96" s="493">
        <f t="shared" ca="1" si="22"/>
        <v>0</v>
      </c>
      <c r="AH96" s="498">
        <f t="shared" ca="1" si="23"/>
        <v>0</v>
      </c>
      <c r="AI96" s="497">
        <f t="shared" ca="1" si="27"/>
        <v>-9.8460809487050105E-3</v>
      </c>
      <c r="AJ96" s="493">
        <f t="shared" ca="1" si="24"/>
        <v>0.35882631113522995</v>
      </c>
      <c r="AK96" s="493">
        <f t="shared" ca="1" si="25"/>
        <v>0</v>
      </c>
      <c r="AL96" s="498">
        <f t="shared" ca="1" si="26"/>
        <v>0</v>
      </c>
      <c r="AN96" s="532" t="str">
        <f t="shared" ca="1" si="14"/>
        <v>PortugalTelecom_MMR.EUR.SU</v>
      </c>
      <c r="AO96" s="524" cm="1">
        <f t="array" aca="1" ref="AO96" ca="1">IF(AN96&lt;&gt;"",TRANSPOSE(INDEX(GetCDS($C121,AO$13,$G121/10000,F121,D121,$C$13,$C$14,$C$15,$C$8,,,TRUE,TRUE,FALSE,$C$29:$C$31,$C$33),{5})),"")</f>
        <v>0.47820883515867502</v>
      </c>
      <c r="AP96" s="524" cm="1">
        <f t="array" aca="1" ref="AP96" ca="1">IF(AO96&lt;&gt;"",TRANSPOSE(INDEX(GetCDS($C121,AP$13,$G121/10000,G121,E121,$C$13,$C$14,$C$15,$C$8,,,TRUE,TRUE,FALSE,$C$29:$C$31,$C$33),{5})),"")</f>
        <v>0.96411613956794495</v>
      </c>
      <c r="AQ96" s="524" cm="1">
        <f t="array" aca="1" ref="AQ96" ca="1">IF(AP96&lt;&gt;"",TRANSPOSE(INDEX(GetCDS($C121,AQ$13,$G121/10000,H121,F121,$C$13,$C$14,$C$15,$C$8,,,TRUE,TRUE,FALSE,$C$29:$C$31,$C$33),{5})),"")</f>
        <v>2.8004283202745501</v>
      </c>
      <c r="AR96" s="524" cm="1">
        <f t="array" aca="1" ref="AR96" ca="1">IF(AQ96&lt;&gt;"",TRANSPOSE(INDEX(GetCDS($C121,AR$13,$G121/10000,I121,G121,$C$13,$C$14,$C$15,$C$8,,,TRUE,TRUE,FALSE,$C$29:$C$31,$C$33),{5})),"")</f>
        <v>4.4530649718319903</v>
      </c>
      <c r="AS96" s="525" cm="1">
        <f t="array" aca="1" ref="AS96" ca="1">IF(AR96&lt;&gt;"",TRANSPOSE(INDEX(GetCDS($C121,AS$13,$G121/10000,J121,H121,$C$13,$C$14,$C$15,$C$8,,,TRUE,TRUE,FALSE,$C$29:$C$31,$C$33),{5})),"")</f>
        <v>7.7991204793399502</v>
      </c>
    </row>
    <row r="97" spans="1:45" customFormat="1" ht="15">
      <c r="A97" s="227"/>
      <c r="B97" s="276">
        <v>59</v>
      </c>
      <c r="C97" s="254" t="s">
        <v>147</v>
      </c>
      <c r="D97" s="255">
        <v>1</v>
      </c>
      <c r="E97" s="247"/>
      <c r="F97" s="232">
        <v>0.4</v>
      </c>
      <c r="G97" s="435">
        <v>100</v>
      </c>
      <c r="H97" s="386">
        <v>83</v>
      </c>
      <c r="I97" s="413">
        <f ca="1"/>
        <v>1.9087287638823699E-4</v>
      </c>
      <c r="J97" s="413">
        <f ca="1"/>
        <v>4.70384499584846E-4</v>
      </c>
      <c r="K97" s="413">
        <f ca="1"/>
        <v>0.40578054029564797</v>
      </c>
      <c r="L97" s="413">
        <f ca="1"/>
        <v>0.40578054029564797</v>
      </c>
      <c r="M97" s="413">
        <f ca="1"/>
        <v>-2.62309801259919E-4</v>
      </c>
      <c r="N97" s="452" t="str">
        <f ca="1"/>
        <v>PORTUGALTELECOM_MMR.EUR.SU</v>
      </c>
      <c r="O97" s="413"/>
      <c r="P97" s="413"/>
      <c r="Q97" s="413"/>
      <c r="R97" s="452"/>
      <c r="S97" s="443"/>
      <c r="T97" s="422" cm="1">
        <f t="array" aca="1" ref="T97:X97" ca="1">IF(AND($U$12,B121&lt;=$C$17,C121&lt;&gt;""),TRANSPOSE(INDEX(GetCDS(C121,$C$6,G121/10000,F121,D121,$C$13,$C$14,$C$15,$C$8,,,TRUE,TRUE,FALSE,$C$29:$C$31,$C$33),{1;2;3;4;5})),"")</f>
        <v>-2.2204912762835399E-2</v>
      </c>
      <c r="U97" s="423">
        <f ca="1"/>
        <v>2.2325736955484499E-2</v>
      </c>
      <c r="V97" s="423">
        <f ca="1"/>
        <v>4.4530649718319902E-2</v>
      </c>
      <c r="W97" s="424">
        <f ca="1"/>
        <v>5.0135664080148603E-3</v>
      </c>
      <c r="X97" s="425">
        <f ca="1"/>
        <v>4.4530649718319903</v>
      </c>
      <c r="Y97" s="426" t="e">
        <f t="shared" ca="1" si="15"/>
        <v>#VALUE!</v>
      </c>
      <c r="Z97" s="427" t="e">
        <f t="shared" ca="1" si="16"/>
        <v>#VALUE!</v>
      </c>
      <c r="AA97" s="426">
        <f t="shared" ca="1" si="17"/>
        <v>0.13630655449545667</v>
      </c>
      <c r="AB97" s="428">
        <f t="shared" ca="1" si="18"/>
        <v>4.7628880876141172E-3</v>
      </c>
      <c r="AC97" s="427">
        <f t="shared" ca="1" si="19"/>
        <v>-1.5215721404869905E-4</v>
      </c>
      <c r="AD97" s="79"/>
      <c r="AE97" s="496">
        <f t="shared" ca="1" si="20"/>
        <v>-5.8495302504910102E-3</v>
      </c>
      <c r="AF97" s="493">
        <f t="shared" ca="1" si="21"/>
        <v>0</v>
      </c>
      <c r="AG97" s="493">
        <f t="shared" ca="1" si="22"/>
        <v>0</v>
      </c>
      <c r="AH97" s="498">
        <f t="shared" ca="1" si="23"/>
        <v>0</v>
      </c>
      <c r="AI97" s="497">
        <f t="shared" ca="1" si="27"/>
        <v>-5.8495302504910102E-3</v>
      </c>
      <c r="AJ97" s="493">
        <f t="shared" ca="1" si="24"/>
        <v>0.30988663341244482</v>
      </c>
      <c r="AK97" s="493">
        <f t="shared" ca="1" si="25"/>
        <v>0</v>
      </c>
      <c r="AL97" s="498">
        <f t="shared" ca="1" si="26"/>
        <v>0</v>
      </c>
      <c r="AN97" s="532" t="str">
        <f t="shared" ca="1" si="14"/>
        <v>ReedElsevier_MMR.EUR.SU</v>
      </c>
      <c r="AO97" s="524" cm="1">
        <f t="array" aca="1" ref="AO97" ca="1">IF(AN97&lt;&gt;"",TRANSPOSE(INDEX(GetCDS($C122,AO$13,$G122/10000,F122,D122,$C$13,$C$14,$C$15,$C$8,,,TRUE,TRUE,FALSE,$C$29:$C$31,$C$33),{5})),"")</f>
        <v>0.47824737628841801</v>
      </c>
      <c r="AP97" s="524" cm="1">
        <f t="array" aca="1" ref="AP97" ca="1">IF(AO97&lt;&gt;"",TRANSPOSE(INDEX(GetCDS($C122,AP$13,$G122/10000,G122,E122,$C$13,$C$14,$C$15,$C$8,,,TRUE,TRUE,FALSE,$C$29:$C$31,$C$33),{5})),"")</f>
        <v>0.96429968448551195</v>
      </c>
      <c r="AQ97" s="524" cm="1">
        <f t="array" aca="1" ref="AQ97" ca="1">IF(AP97&lt;&gt;"",TRANSPOSE(INDEX(GetCDS($C122,AQ$13,$G122/10000,H122,F122,$C$13,$C$14,$C$15,$C$8,,,TRUE,TRUE,FALSE,$C$29:$C$31,$C$33),{5})),"")</f>
        <v>2.8048472987681201</v>
      </c>
      <c r="AR97" s="524" cm="1">
        <f t="array" aca="1" ref="AR97" ca="1">IF(AQ97&lt;&gt;"",TRANSPOSE(INDEX(GetCDS($C122,AR$13,$G122/10000,I122,G122,$C$13,$C$14,$C$15,$C$8,,,TRUE,TRUE,FALSE,$C$29:$C$31,$C$33),{5})),"")</f>
        <v>4.4746717093450901</v>
      </c>
      <c r="AS97" s="525" cm="1">
        <f t="array" aca="1" ref="AS97" ca="1">IF(AR97&lt;&gt;"",TRANSPOSE(INDEX(GetCDS($C122,AS$13,$G122/10000,J122,H122,$C$13,$C$14,$C$15,$C$8,,,TRUE,TRUE,FALSE,$C$29:$C$31,$C$33),{5})),"")</f>
        <v>7.91437150809797</v>
      </c>
    </row>
    <row r="98" spans="1:45" customFormat="1" ht="15">
      <c r="A98" s="227"/>
      <c r="B98" s="276">
        <v>60</v>
      </c>
      <c r="C98" s="254" t="s">
        <v>148</v>
      </c>
      <c r="D98" s="255">
        <v>1</v>
      </c>
      <c r="E98" s="247"/>
      <c r="F98" s="232">
        <v>0.4</v>
      </c>
      <c r="G98" s="435">
        <v>100</v>
      </c>
      <c r="H98" s="386">
        <v>84</v>
      </c>
      <c r="I98" s="413">
        <f ca="1"/>
        <v>1.56973065490251E-4</v>
      </c>
      <c r="J98" s="413">
        <f ca="1"/>
        <v>4.7829783801792299E-4</v>
      </c>
      <c r="K98" s="413">
        <f ca="1"/>
        <v>0.32819104125736998</v>
      </c>
      <c r="L98" s="413">
        <f ca="1"/>
        <v>0.32819104125736998</v>
      </c>
      <c r="M98" s="413">
        <f ca="1"/>
        <v>-1.62346416173231E-4</v>
      </c>
      <c r="N98" s="452" t="str">
        <f ca="1"/>
        <v>REEDELSEVIER_MMR.EUR.SU</v>
      </c>
      <c r="O98" s="413"/>
      <c r="P98" s="413"/>
      <c r="Q98" s="413"/>
      <c r="R98" s="452"/>
      <c r="S98" s="443"/>
      <c r="T98" s="422" cm="1">
        <f t="array" aca="1" ref="T98:X98" ca="1">IF(AND($U$12,B122&lt;=$C$17,C122&lt;&gt;""),TRANSPOSE(INDEX(GetCDS(C122,$C$6,G122/10000,F122,D122,$C$13,$C$14,$C$15,$C$8,,,TRUE,TRUE,FALSE,$C$29:$C$31,$C$33),{1;2;3;4;5})),"")</f>
        <v>-3.0719623402486799E-2</v>
      </c>
      <c r="U98" s="423">
        <f ca="1"/>
        <v>1.4027093690964099E-2</v>
      </c>
      <c r="V98" s="423">
        <f ca="1"/>
        <v>4.4746717093450898E-2</v>
      </c>
      <c r="W98" s="424">
        <f ca="1"/>
        <v>3.13477604662468E-3</v>
      </c>
      <c r="X98" s="425">
        <f ca="1"/>
        <v>4.4746717093450901</v>
      </c>
      <c r="Y98" s="426" t="e">
        <f t="shared" ca="1" si="15"/>
        <v>#VALUE!</v>
      </c>
      <c r="Z98" s="427" t="e">
        <f t="shared" ca="1" si="16"/>
        <v>#VALUE!</v>
      </c>
      <c r="AA98" s="426">
        <f t="shared" ca="1" si="17"/>
        <v>0.11035843484514067</v>
      </c>
      <c r="AB98" s="428">
        <f t="shared" ca="1" si="18"/>
        <v>2.9780372442934459E-3</v>
      </c>
      <c r="AC98" s="427">
        <f t="shared" ca="1" si="19"/>
        <v>-7.7400405258047292E-5</v>
      </c>
      <c r="AD98" s="79"/>
      <c r="AE98" s="496">
        <f t="shared" ca="1" si="20"/>
        <v>-2.9113347134810102E-3</v>
      </c>
      <c r="AF98" s="493">
        <f t="shared" ca="1" si="21"/>
        <v>4.8831258419487385E-3</v>
      </c>
      <c r="AG98" s="493">
        <f t="shared" ca="1" si="22"/>
        <v>0</v>
      </c>
      <c r="AH98" s="498">
        <f t="shared" ca="1" si="23"/>
        <v>0</v>
      </c>
      <c r="AI98" s="497">
        <f t="shared" ca="1" si="27"/>
        <v>-2.9113347134810102E-3</v>
      </c>
      <c r="AJ98" s="493">
        <f t="shared" ca="1" si="24"/>
        <v>0.25382318679364918</v>
      </c>
      <c r="AK98" s="493">
        <f t="shared" ca="1" si="25"/>
        <v>0</v>
      </c>
      <c r="AL98" s="498">
        <f t="shared" ca="1" si="26"/>
        <v>0</v>
      </c>
      <c r="AN98" s="532" t="str">
        <f t="shared" ca="1" si="14"/>
        <v>Renault_MMR.EUR.SU</v>
      </c>
      <c r="AO98" s="524" cm="1">
        <f t="array" aca="1" ref="AO98" ca="1">IF(AN98&lt;&gt;"",TRANSPOSE(INDEX(GetCDS($C123,AO$13,$G123/10000,F123,D123,$C$13,$C$14,$C$15,$C$8,,,TRUE,TRUE,FALSE,$C$29:$C$31,$C$33),{5})),"")</f>
        <v>0.47817029819245299</v>
      </c>
      <c r="AP98" s="524" cm="1">
        <f t="array" aca="1" ref="AP98" ca="1">IF(AO98&lt;&gt;"",TRANSPOSE(INDEX(GetCDS($C123,AP$13,$G123/10000,G123,E123,$C$13,$C$14,$C$15,$C$8,,,TRUE,TRUE,FALSE,$C$29:$C$31,$C$33),{5})),"")</f>
        <v>0.96399705725368801</v>
      </c>
      <c r="AQ98" s="524" cm="1">
        <f t="array" aca="1" ref="AQ98" ca="1">IF(AP98&lt;&gt;"",TRANSPOSE(INDEX(GetCDS($C123,AQ$13,$G123/10000,H123,F123,$C$13,$C$14,$C$15,$C$8,,,TRUE,TRUE,FALSE,$C$29:$C$31,$C$33),{5})),"")</f>
        <v>2.80224441980344</v>
      </c>
      <c r="AR98" s="524" cm="1">
        <f t="array" aca="1" ref="AR98" ca="1">IF(AQ98&lt;&gt;"",TRANSPOSE(INDEX(GetCDS($C123,AR$13,$G123/10000,I123,G123,$C$13,$C$14,$C$15,$C$8,,,TRUE,TRUE,FALSE,$C$29:$C$31,$C$33),{5})),"")</f>
        <v>4.4658137089394696</v>
      </c>
      <c r="AS98" s="525" cm="1">
        <f t="array" aca="1" ref="AS98" ca="1">IF(AR98&lt;&gt;"",TRANSPOSE(INDEX(GetCDS($C123,AS$13,$G123/10000,J123,H123,$C$13,$C$14,$C$15,$C$8,,,TRUE,TRUE,FALSE,$C$29:$C$31,$C$33),{5})),"")</f>
        <v>7.8859124585749996</v>
      </c>
    </row>
    <row r="99" spans="1:45" customFormat="1" ht="15">
      <c r="A99" s="227"/>
      <c r="B99" s="276">
        <v>61</v>
      </c>
      <c r="C99" s="254" t="s">
        <v>149</v>
      </c>
      <c r="D99" s="255">
        <v>1</v>
      </c>
      <c r="E99" s="247"/>
      <c r="F99" s="232">
        <v>0.4</v>
      </c>
      <c r="G99" s="435">
        <v>100</v>
      </c>
      <c r="H99" s="386">
        <v>85</v>
      </c>
      <c r="I99" s="413">
        <f ca="1"/>
        <v>1.71912880914093E-4</v>
      </c>
      <c r="J99" s="413">
        <f ca="1"/>
        <v>4.7521228601312999E-4</v>
      </c>
      <c r="K99" s="413">
        <f ca="1"/>
        <v>0.36176017744908001</v>
      </c>
      <c r="L99" s="413">
        <f ca="1"/>
        <v>0.36176017744908001</v>
      </c>
      <c r="M99" s="413">
        <f ca="1"/>
        <v>-2.0242010610043199E-4</v>
      </c>
      <c r="N99" s="452" t="str">
        <f ca="1"/>
        <v>RENAULT_MMR.EUR.SU</v>
      </c>
      <c r="O99" s="413"/>
      <c r="P99" s="413"/>
      <c r="Q99" s="413"/>
      <c r="R99" s="452"/>
      <c r="S99" s="443"/>
      <c r="T99" s="422" cm="1">
        <f t="array" aca="1" ref="T99:X99" ca="1">IF(AND($U$12,B123&lt;=$C$17,C123&lt;&gt;""),TRANSPOSE(INDEX(GetCDS(C123,$C$6,G123/10000,F123,D123,$C$13,$C$14,$C$15,$C$8,,,TRUE,TRUE,FALSE,$C$29:$C$31,$C$33),{1;2;3;4;5})),"")</f>
        <v>-2.73949153041728E-2</v>
      </c>
      <c r="U99" s="423">
        <f ca="1"/>
        <v>1.72632217852219E-2</v>
      </c>
      <c r="V99" s="423">
        <f ca="1"/>
        <v>4.4658137089394701E-2</v>
      </c>
      <c r="W99" s="424">
        <f ca="1"/>
        <v>3.86563858466938E-3</v>
      </c>
      <c r="X99" s="425">
        <f ca="1"/>
        <v>4.4658137089394696</v>
      </c>
      <c r="Y99" s="426" t="e">
        <f t="shared" ca="1" si="15"/>
        <v>#VALUE!</v>
      </c>
      <c r="Z99" s="427" t="e">
        <f t="shared" ca="1" si="16"/>
        <v>#VALUE!</v>
      </c>
      <c r="AA99" s="426">
        <f t="shared" ca="1" si="17"/>
        <v>0.12158714343655568</v>
      </c>
      <c r="AB99" s="428">
        <f t="shared" ca="1" si="18"/>
        <v>3.6723566554359107E-3</v>
      </c>
      <c r="AC99" s="427">
        <f t="shared" ca="1" si="19"/>
        <v>-1.0494929116884244E-4</v>
      </c>
      <c r="AD99" s="79"/>
      <c r="AE99" s="496">
        <f t="shared" ca="1" si="20"/>
        <v>-3.9950011024369996E-3</v>
      </c>
      <c r="AF99" s="493">
        <f t="shared" ca="1" si="21"/>
        <v>2.9945090879897295E-3</v>
      </c>
      <c r="AG99" s="493">
        <f t="shared" ca="1" si="22"/>
        <v>0</v>
      </c>
      <c r="AH99" s="498">
        <f t="shared" ca="1" si="23"/>
        <v>0</v>
      </c>
      <c r="AI99" s="497">
        <f t="shared" ca="1" si="27"/>
        <v>-3.9950011024369996E-3</v>
      </c>
      <c r="AJ99" s="493">
        <f t="shared" ca="1" si="24"/>
        <v>0.27816886191285323</v>
      </c>
      <c r="AK99" s="493">
        <f t="shared" ca="1" si="25"/>
        <v>0</v>
      </c>
      <c r="AL99" s="498">
        <f t="shared" ca="1" si="26"/>
        <v>0</v>
      </c>
      <c r="AN99" s="532" t="str">
        <f t="shared" ca="1" si="14"/>
        <v>Repsol_MMR.EUR.SU</v>
      </c>
      <c r="AO99" s="524" cm="1">
        <f t="array" aca="1" ref="AO99" ca="1">IF(AN99&lt;&gt;"",TRANSPOSE(INDEX(GetCDS($C124,AO$13,$G124/10000,F124,D124,$C$13,$C$14,$C$15,$C$8,,,TRUE,TRUE,FALSE,$C$29:$C$31,$C$33),{5})),"")</f>
        <v>0.47820883515867502</v>
      </c>
      <c r="AP99" s="524" cm="1">
        <f t="array" aca="1" ref="AP99" ca="1">IF(AO99&lt;&gt;"",TRANSPOSE(INDEX(GetCDS($C124,AP$13,$G124/10000,G124,E124,$C$13,$C$14,$C$15,$C$8,,,TRUE,TRUE,FALSE,$C$29:$C$31,$C$33),{5})),"")</f>
        <v>0.96402591453376696</v>
      </c>
      <c r="AQ99" s="524" cm="1">
        <f t="array" aca="1" ref="AQ99" ca="1">IF(AP99&lt;&gt;"",TRANSPOSE(INDEX(GetCDS($C124,AQ$13,$G124/10000,H124,F124,$C$13,$C$14,$C$15,$C$8,,,TRUE,TRUE,FALSE,$C$29:$C$31,$C$33),{5})),"")</f>
        <v>2.7965307999383899</v>
      </c>
      <c r="AR99" s="524" cm="1">
        <f t="array" aca="1" ref="AR99" ca="1">IF(AQ99&lt;&gt;"",TRANSPOSE(INDEX(GetCDS($C124,AR$13,$G124/10000,I124,G124,$C$13,$C$14,$C$15,$C$8,,,TRUE,TRUE,FALSE,$C$29:$C$31,$C$33),{5})),"")</f>
        <v>4.4472071489658402</v>
      </c>
      <c r="AS99" s="525" cm="1">
        <f t="array" aca="1" ref="AS99" ca="1">IF(AR99&lt;&gt;"",TRANSPOSE(INDEX(GetCDS($C124,AS$13,$G124/10000,J124,H124,$C$13,$C$14,$C$15,$C$8,,,TRUE,TRUE,FALSE,$C$29:$C$31,$C$33),{5})),"")</f>
        <v>7.8072631652420501</v>
      </c>
    </row>
    <row r="100" spans="1:45" customFormat="1" ht="15">
      <c r="A100" s="227"/>
      <c r="B100" s="276">
        <v>62</v>
      </c>
      <c r="C100" s="254" t="s">
        <v>150</v>
      </c>
      <c r="D100" s="255">
        <v>1</v>
      </c>
      <c r="E100" s="247"/>
      <c r="F100" s="232">
        <v>0.4</v>
      </c>
      <c r="G100" s="435">
        <v>100</v>
      </c>
      <c r="H100" s="386">
        <v>86</v>
      </c>
      <c r="I100" s="413">
        <f ca="1"/>
        <v>1.92054508728945E-4</v>
      </c>
      <c r="J100" s="413">
        <f ca="1"/>
        <v>4.70318947253074E-4</v>
      </c>
      <c r="K100" s="413">
        <f ca="1"/>
        <v>0.40834950377961798</v>
      </c>
      <c r="L100" s="413">
        <f ca="1"/>
        <v>0.40834950377961798</v>
      </c>
      <c r="M100" s="413">
        <f ca="1"/>
        <v>-2.6424112995220299E-4</v>
      </c>
      <c r="N100" s="452" t="str">
        <f ca="1"/>
        <v>REPSOL_MMR.EUR.SU</v>
      </c>
      <c r="O100" s="413"/>
      <c r="P100" s="413"/>
      <c r="Q100" s="413"/>
      <c r="R100" s="452"/>
      <c r="S100" s="443"/>
      <c r="T100" s="422" cm="1">
        <f t="array" aca="1" ref="T100:X100" ca="1">IF(AND($U$12,B124&lt;=$C$17,C124&lt;&gt;""),TRANSPOSE(INDEX(GetCDS(C124,$C$6,G124/10000,F124,D124,$C$13,$C$14,$C$15,$C$8,,,TRUE,TRUE,FALSE,$C$29:$C$31,$C$33),{1;2;3;4;5})),"")</f>
        <v>-2.21747667494765E-2</v>
      </c>
      <c r="U100" s="423">
        <f ca="1"/>
        <v>2.2297304740181899E-2</v>
      </c>
      <c r="V100" s="423">
        <f ca="1"/>
        <v>4.4472071489658399E-2</v>
      </c>
      <c r="W100" s="424">
        <f ca="1"/>
        <v>5.0137769600786296E-3</v>
      </c>
      <c r="X100" s="425">
        <f ca="1"/>
        <v>4.4472071489658402</v>
      </c>
      <c r="Y100" s="426" t="e">
        <f t="shared" ca="1" si="15"/>
        <v>#VALUE!</v>
      </c>
      <c r="Z100" s="427" t="e">
        <f t="shared" ca="1" si="16"/>
        <v>#VALUE!</v>
      </c>
      <c r="AA100" s="426">
        <f t="shared" ca="1" si="17"/>
        <v>0.137159550016619</v>
      </c>
      <c r="AB100" s="428">
        <f t="shared" ca="1" si="18"/>
        <v>4.763088112074698E-3</v>
      </c>
      <c r="AC100" s="427">
        <f t="shared" ca="1" si="19"/>
        <v>-1.5291441423733883E-4</v>
      </c>
      <c r="AD100" s="79"/>
      <c r="AE100" s="496">
        <f t="shared" ca="1" si="20"/>
        <v>-5.9620342964570002E-3</v>
      </c>
      <c r="AF100" s="493">
        <f t="shared" ca="1" si="21"/>
        <v>0</v>
      </c>
      <c r="AG100" s="493">
        <f t="shared" ca="1" si="22"/>
        <v>0</v>
      </c>
      <c r="AH100" s="498">
        <f t="shared" ca="1" si="23"/>
        <v>0</v>
      </c>
      <c r="AI100" s="497">
        <f t="shared" ca="1" si="27"/>
        <v>-5.9620342964570002E-3</v>
      </c>
      <c r="AJ100" s="493">
        <f t="shared" ca="1" si="24"/>
        <v>0.31180581952208264</v>
      </c>
      <c r="AK100" s="493">
        <f t="shared" ca="1" si="25"/>
        <v>0</v>
      </c>
      <c r="AL100" s="498">
        <f t="shared" ca="1" si="26"/>
        <v>0</v>
      </c>
      <c r="AN100" s="532" t="str">
        <f t="shared" ca="1" si="14"/>
        <v>Reuters_MMR.EUR.SU</v>
      </c>
      <c r="AO100" s="524" cm="1">
        <f t="array" aca="1" ref="AO100" ca="1">IF(AN100&lt;&gt;"",TRANSPOSE(INDEX(GetCDS($C125,AO$13,$G125/10000,F125,D125,$C$13,$C$14,$C$15,$C$8,,,TRUE,TRUE,FALSE,$C$29:$C$31,$C$33),{5})),"")</f>
        <v>0.47828592158333599</v>
      </c>
      <c r="AP100" s="524" cm="1">
        <f t="array" aca="1" ref="AP100" ca="1">IF(AO100&lt;&gt;"",TRANSPOSE(INDEX(GetCDS($C125,AP$13,$G125/10000,G125,E125,$C$13,$C$14,$C$15,$C$8,,,TRUE,TRUE,FALSE,$C$29:$C$31,$C$33),{5})),"")</f>
        <v>0.96444460078018301</v>
      </c>
      <c r="AQ100" s="524" cm="1">
        <f t="array" aca="1" ref="AQ100" ca="1">IF(AP100&lt;&gt;"",TRANSPOSE(INDEX(GetCDS($C125,AQ$13,$G125/10000,H125,F125,$C$13,$C$14,$C$15,$C$8,,,TRUE,TRUE,FALSE,$C$29:$C$31,$C$33),{5})),"")</f>
        <v>2.8076574056566299</v>
      </c>
      <c r="AR100" s="524" cm="1">
        <f t="array" aca="1" ref="AR100" ca="1">IF(AQ100&lt;&gt;"",TRANSPOSE(INDEX(GetCDS($C125,AR$13,$G125/10000,I125,G125,$C$13,$C$14,$C$15,$C$8,,,TRUE,TRUE,FALSE,$C$29:$C$31,$C$33),{5})),"")</f>
        <v>4.4860863334766696</v>
      </c>
      <c r="AS100" s="525" cm="1">
        <f t="array" aca="1" ref="AS100" ca="1">IF(AR100&lt;&gt;"",TRANSPOSE(INDEX(GetCDS($C125,AS$13,$G125/10000,J125,H125,$C$13,$C$14,$C$15,$C$8,,,TRUE,TRUE,FALSE,$C$29:$C$31,$C$33),{5})),"")</f>
        <v>7.9820135795102702</v>
      </c>
    </row>
    <row r="101" spans="1:45" customFormat="1" ht="15">
      <c r="A101" s="227"/>
      <c r="B101" s="276">
        <v>63</v>
      </c>
      <c r="C101" s="254" t="s">
        <v>151</v>
      </c>
      <c r="D101" s="255">
        <v>1</v>
      </c>
      <c r="E101" s="247"/>
      <c r="F101" s="232">
        <v>0.4</v>
      </c>
      <c r="G101" s="435">
        <v>100</v>
      </c>
      <c r="H101" s="386">
        <v>87</v>
      </c>
      <c r="I101" s="413">
        <f ca="1"/>
        <v>1.3376174220451899E-4</v>
      </c>
      <c r="J101" s="413">
        <f ca="1"/>
        <v>4.8199018943786E-4</v>
      </c>
      <c r="K101" s="413">
        <f ca="1"/>
        <v>0.27751963657294298</v>
      </c>
      <c r="L101" s="413">
        <f ca="1"/>
        <v>0.27751963657294298</v>
      </c>
      <c r="M101" s="413">
        <f ca="1"/>
        <v>-1.09465487632487E-4</v>
      </c>
      <c r="N101" s="452" t="str">
        <f ca="1"/>
        <v>REUTERS_MMR.EUR.SU</v>
      </c>
      <c r="O101" s="413"/>
      <c r="P101" s="413"/>
      <c r="Q101" s="413"/>
      <c r="R101" s="452"/>
      <c r="S101" s="443"/>
      <c r="T101" s="422" cm="1">
        <f t="array" aca="1" ref="T101:X101" ca="1">IF(AND($U$12,B125&lt;=$C$17,C125&lt;&gt;""),TRANSPOSE(INDEX(GetCDS(C125,$C$6,G125/10000,F125,D125,$C$13,$C$14,$C$15,$C$8,,,TRUE,TRUE,FALSE,$C$29:$C$31,$C$33),{1;2;3;4;5})),"")</f>
        <v>-3.5014854736325297E-2</v>
      </c>
      <c r="U101" s="423">
        <f ca="1"/>
        <v>9.84600859844139E-3</v>
      </c>
      <c r="V101" s="423">
        <f ca="1"/>
        <v>4.4860863334766701E-2</v>
      </c>
      <c r="W101" s="424">
        <f ca="1"/>
        <v>2.1947880327151102E-3</v>
      </c>
      <c r="X101" s="425">
        <f ca="1"/>
        <v>4.4860863334766696</v>
      </c>
      <c r="Y101" s="426" t="e">
        <f t="shared" ca="1" si="15"/>
        <v>#VALUE!</v>
      </c>
      <c r="Z101" s="427" t="e">
        <f t="shared" ca="1" si="16"/>
        <v>#VALUE!</v>
      </c>
      <c r="AA101" s="426">
        <f t="shared" ca="1" si="17"/>
        <v>9.3393093524569329E-2</v>
      </c>
      <c r="AB101" s="428">
        <f t="shared" ca="1" si="18"/>
        <v>2.0850486310793545E-3</v>
      </c>
      <c r="AC101" s="427">
        <f t="shared" ca="1" si="19"/>
        <v>-4.5977460093897643E-5</v>
      </c>
      <c r="AD101" s="79"/>
      <c r="AE101" s="496">
        <f t="shared" ca="1" si="20"/>
        <v>-1.6965452495289999E-3</v>
      </c>
      <c r="AF101" s="493">
        <f t="shared" ca="1" si="21"/>
        <v>7.1328412515792271E-3</v>
      </c>
      <c r="AG101" s="493">
        <f t="shared" ca="1" si="22"/>
        <v>0</v>
      </c>
      <c r="AH101" s="498">
        <f t="shared" ca="1" si="23"/>
        <v>0</v>
      </c>
      <c r="AI101" s="497">
        <f t="shared" ca="1" si="27"/>
        <v>-1.6965452495289999E-3</v>
      </c>
      <c r="AJ101" s="493">
        <f t="shared" ca="1" si="24"/>
        <v>0.21689344111378855</v>
      </c>
      <c r="AK101" s="493">
        <f t="shared" ca="1" si="25"/>
        <v>0</v>
      </c>
      <c r="AL101" s="498">
        <f t="shared" ca="1" si="26"/>
        <v>0</v>
      </c>
      <c r="AN101" s="532" t="str">
        <f t="shared" ca="1" si="14"/>
        <v>RoyalBankScotland_MMR.EUR.SU</v>
      </c>
      <c r="AO101" s="524" cm="1">
        <f t="array" aca="1" ref="AO101" ca="1">IF(AN101&lt;&gt;"",TRANSPOSE(INDEX(GetCDS($C126,AO$13,$G126/10000,F126,D126,$C$13,$C$14,$C$15,$C$8,,,TRUE,TRUE,FALSE,$C$29:$C$31,$C$33),{5})),"")</f>
        <v>0.47802582162221102</v>
      </c>
      <c r="AP101" s="524" cm="1">
        <f t="array" aca="1" ref="AP101" ca="1">IF(AO101&lt;&gt;"",TRANSPOSE(INDEX(GetCDS($C126,AP$13,$G126/10000,G126,E126,$C$13,$C$14,$C$15,$C$8,,,TRUE,TRUE,FALSE,$C$29:$C$31,$C$33),{5})),"")</f>
        <v>0.96329252227936601</v>
      </c>
      <c r="AQ101" s="524" cm="1">
        <f t="array" aca="1" ref="AQ101" ca="1">IF(AP101&lt;&gt;"",TRANSPOSE(INDEX(GetCDS($C126,AQ$13,$G126/10000,H126,F126,$C$13,$C$14,$C$15,$C$8,,,TRUE,TRUE,FALSE,$C$29:$C$31,$C$33),{5})),"")</f>
        <v>2.7929039345437001</v>
      </c>
      <c r="AR101" s="524" cm="1">
        <f t="array" aca="1" ref="AR101" ca="1">IF(AQ101&lt;&gt;"",TRANSPOSE(INDEX(GetCDS($C126,AR$13,$G126/10000,I126,G126,$C$13,$C$14,$C$15,$C$8,,,TRUE,TRUE,FALSE,$C$29:$C$31,$C$33),{5})),"")</f>
        <v>4.4472059270125799</v>
      </c>
      <c r="AS101" s="525" cm="1">
        <f t="array" aca="1" ref="AS101" ca="1">IF(AR101&lt;&gt;"",TRANSPOSE(INDEX(GetCDS($C126,AS$13,$G126/10000,J126,H126,$C$13,$C$14,$C$15,$C$8,,,TRUE,TRUE,FALSE,$C$29:$C$31,$C$33),{5})),"")</f>
        <v>7.86593903209193</v>
      </c>
    </row>
    <row r="102" spans="1:45" customFormat="1" ht="15">
      <c r="A102" s="227"/>
      <c r="B102" s="276">
        <v>64</v>
      </c>
      <c r="C102" s="254" t="s">
        <v>152</v>
      </c>
      <c r="D102" s="255">
        <v>1</v>
      </c>
      <c r="E102" s="247"/>
      <c r="F102" s="232">
        <v>0.4</v>
      </c>
      <c r="G102" s="435">
        <v>100</v>
      </c>
      <c r="H102" s="386">
        <v>88</v>
      </c>
      <c r="I102" s="413">
        <f ca="1"/>
        <v>1.83283939844392E-4</v>
      </c>
      <c r="J102" s="413">
        <f ca="1"/>
        <v>4.72680199186515E-4</v>
      </c>
      <c r="K102" s="413">
        <f ca="1"/>
        <v>0.38775463867499499</v>
      </c>
      <c r="L102" s="413">
        <f ca="1"/>
        <v>0.38775463867499499</v>
      </c>
      <c r="M102" s="413">
        <f ca="1"/>
        <v>-2.3401139996954699E-4</v>
      </c>
      <c r="N102" s="452" t="str">
        <f ca="1"/>
        <v>ROYALBANKSCOTLAND_MMR.EUR.SU</v>
      </c>
      <c r="O102" s="413"/>
      <c r="P102" s="413"/>
      <c r="Q102" s="413"/>
      <c r="R102" s="452"/>
      <c r="S102" s="443"/>
      <c r="T102" s="422" cm="1">
        <f t="array" aca="1" ref="T102:X102" ca="1">IF(AND($U$12,B126&lt;=$C$17,C126&lt;&gt;""),TRANSPOSE(INDEX(GetCDS(C126,$C$6,G126/10000,F126,D126,$C$13,$C$14,$C$15,$C$8,,,TRUE,TRUE,FALSE,$C$29:$C$31,$C$33),{1;2;3;4;5})),"")</f>
        <v>-2.4958093584380201E-2</v>
      </c>
      <c r="U102" s="423">
        <f ca="1"/>
        <v>1.95139656857456E-2</v>
      </c>
      <c r="V102" s="423">
        <f ca="1"/>
        <v>4.4472059270125798E-2</v>
      </c>
      <c r="W102" s="424">
        <f ca="1"/>
        <v>4.38791591979509E-3</v>
      </c>
      <c r="X102" s="425">
        <f ca="1"/>
        <v>4.4472059270125799</v>
      </c>
      <c r="Y102" s="426" t="e">
        <f t="shared" ca="1" si="15"/>
        <v>#VALUE!</v>
      </c>
      <c r="Z102" s="427" t="e">
        <f t="shared" ca="1" si="16"/>
        <v>#VALUE!</v>
      </c>
      <c r="AA102" s="426">
        <f t="shared" ca="1" si="17"/>
        <v>0.13026678657841634</v>
      </c>
      <c r="AB102" s="428">
        <f t="shared" ca="1" si="18"/>
        <v>4.1685201238053351E-3</v>
      </c>
      <c r="AC102" s="427">
        <f t="shared" ca="1" si="19"/>
        <v>-1.2710108016417815E-4</v>
      </c>
      <c r="AD102" s="79"/>
      <c r="AE102" s="496">
        <f t="shared" ca="1" si="20"/>
        <v>-5.0779220589030104E-3</v>
      </c>
      <c r="AF102" s="493">
        <f t="shared" ca="1" si="21"/>
        <v>1.3251395401084158E-3</v>
      </c>
      <c r="AG102" s="493">
        <f t="shared" ca="1" si="22"/>
        <v>0</v>
      </c>
      <c r="AH102" s="498">
        <f t="shared" ca="1" si="23"/>
        <v>0</v>
      </c>
      <c r="AI102" s="497">
        <f t="shared" ca="1" si="27"/>
        <v>-5.0779220589030104E-3</v>
      </c>
      <c r="AJ102" s="493">
        <f t="shared" ca="1" si="24"/>
        <v>0.2970555024023413</v>
      </c>
      <c r="AK102" s="493">
        <f t="shared" ca="1" si="25"/>
        <v>0</v>
      </c>
      <c r="AL102" s="498">
        <f t="shared" ca="1" si="26"/>
        <v>0</v>
      </c>
      <c r="AN102" s="532" t="str">
        <f t="shared" ca="1" si="14"/>
        <v>Rwe_MMR.EUR.SU</v>
      </c>
      <c r="AO102" s="524" cm="1">
        <f t="array" aca="1" ref="AO102" ca="1">IF(AN102&lt;&gt;"",TRANSPOSE(INDEX(GetCDS($C127,AO$13,$G127/10000,F127,D127,$C$13,$C$14,$C$15,$C$8,,,TRUE,TRUE,FALSE,$C$29:$C$31,$C$33),{5})),"")</f>
        <v>0.478266648415127</v>
      </c>
      <c r="AP102" s="524" cm="1">
        <f t="array" aca="1" ref="AP102" ca="1">IF(AO102&lt;&gt;"",TRANSPOSE(INDEX(GetCDS($C127,AP$13,$G127/10000,G127,E127,$C$13,$C$14,$C$15,$C$8,,,TRUE,TRUE,FALSE,$C$29:$C$31,$C$33),{5})),"")</f>
        <v>0.964352804088487</v>
      </c>
      <c r="AQ102" s="524" cm="1">
        <f t="array" aca="1" ref="AQ102" ca="1">IF(AP102&lt;&gt;"",TRANSPOSE(INDEX(GetCDS($C127,AQ$13,$G127/10000,H127,F127,$C$13,$C$14,$C$15,$C$8,,,TRUE,TRUE,FALSE,$C$29:$C$31,$C$33),{5})),"")</f>
        <v>2.80615676133954</v>
      </c>
      <c r="AR102" s="524" cm="1">
        <f t="array" aca="1" ref="AR102" ca="1">IF(AQ102&lt;&gt;"",TRANSPOSE(INDEX(GetCDS($C127,AR$13,$G127/10000,I127,G127,$C$13,$C$14,$C$15,$C$8,,,TRUE,TRUE,FALSE,$C$29:$C$31,$C$33),{5})),"")</f>
        <v>4.48411568821993</v>
      </c>
      <c r="AS102" s="525" cm="1">
        <f t="array" aca="1" ref="AS102" ca="1">IF(AR102&lt;&gt;"",TRANSPOSE(INDEX(GetCDS($C127,AS$13,$G127/10000,J127,H127,$C$13,$C$14,$C$15,$C$8,,,TRUE,TRUE,FALSE,$C$29:$C$31,$C$33),{5})),"")</f>
        <v>7.9917565169458804</v>
      </c>
    </row>
    <row r="103" spans="1:45" customFormat="1" ht="15">
      <c r="A103" s="227"/>
      <c r="B103" s="276">
        <v>65</v>
      </c>
      <c r="C103" s="254" t="s">
        <v>153</v>
      </c>
      <c r="D103" s="255">
        <v>1</v>
      </c>
      <c r="E103" s="247"/>
      <c r="F103" s="232">
        <v>0.4</v>
      </c>
      <c r="G103" s="435">
        <v>100</v>
      </c>
      <c r="H103" s="386">
        <v>89</v>
      </c>
      <c r="I103" s="413">
        <f ca="1"/>
        <v>1.34774534044557E-4</v>
      </c>
      <c r="J103" s="413">
        <f ca="1"/>
        <v>4.8184110086271699E-4</v>
      </c>
      <c r="K103" s="413">
        <f ca="1"/>
        <v>0.27970742596106601</v>
      </c>
      <c r="L103" s="413">
        <f ca="1"/>
        <v>0.27970742596106601</v>
      </c>
      <c r="M103" s="413">
        <f ca="1"/>
        <v>-1.10437402943475E-4</v>
      </c>
      <c r="N103" s="452" t="str">
        <f ca="1"/>
        <v>RWE_MMR.EUR.SU</v>
      </c>
      <c r="O103" s="413"/>
      <c r="P103" s="413"/>
      <c r="Q103" s="413"/>
      <c r="R103" s="452"/>
      <c r="S103" s="443"/>
      <c r="T103" s="422" cm="1">
        <f t="array" aca="1" ref="T103:X103" ca="1">IF(AND($U$12,B127&lt;=$C$17,C127&lt;&gt;""),TRANSPOSE(INDEX(GetCDS(C127,$C$6,G127/10000,F127,D127,$C$13,$C$14,$C$15,$C$8,,,TRUE,TRUE,FALSE,$C$29:$C$31,$C$33),{1;2;3;4;5})),"")</f>
        <v>-3.4999309937322497E-2</v>
      </c>
      <c r="U103" s="423">
        <f ca="1"/>
        <v>9.8418469448767597E-3</v>
      </c>
      <c r="V103" s="423">
        <f ca="1"/>
        <v>4.48411568821993E-2</v>
      </c>
      <c r="W103" s="424">
        <f ca="1"/>
        <v>2.19482449365255E-3</v>
      </c>
      <c r="X103" s="425">
        <f ca="1"/>
        <v>4.48411568821993</v>
      </c>
      <c r="Y103" s="426" t="e">
        <f t="shared" ca="1" si="15"/>
        <v>#VALUE!</v>
      </c>
      <c r="Z103" s="427" t="e">
        <f t="shared" ca="1" si="16"/>
        <v>#VALUE!</v>
      </c>
      <c r="AA103" s="426">
        <f t="shared" ca="1" si="17"/>
        <v>9.4121540462952333E-2</v>
      </c>
      <c r="AB103" s="428">
        <f t="shared" ca="1" si="18"/>
        <v>2.0850832689699225E-3</v>
      </c>
      <c r="AC103" s="427">
        <f t="shared" ca="1" si="19"/>
        <v>-4.631648977262012E-5</v>
      </c>
      <c r="AD103" s="79"/>
      <c r="AE103" s="496">
        <f t="shared" ca="1" si="20"/>
        <v>-1.732466753608E-3</v>
      </c>
      <c r="AF103" s="493">
        <f t="shared" ca="1" si="21"/>
        <v>7.0946030162865117E-3</v>
      </c>
      <c r="AG103" s="493">
        <f t="shared" ca="1" si="22"/>
        <v>0</v>
      </c>
      <c r="AH103" s="498">
        <f t="shared" ca="1" si="23"/>
        <v>0</v>
      </c>
      <c r="AI103" s="497">
        <f t="shared" ca="1" si="27"/>
        <v>-1.732466753608E-3</v>
      </c>
      <c r="AJ103" s="493">
        <f t="shared" ca="1" si="24"/>
        <v>0.21853039695513013</v>
      </c>
      <c r="AK103" s="493">
        <f t="shared" ca="1" si="25"/>
        <v>0</v>
      </c>
      <c r="AL103" s="498">
        <f t="shared" ca="1" si="26"/>
        <v>0</v>
      </c>
      <c r="AN103" s="532" t="str">
        <f t="shared" ca="1" si="14"/>
        <v>SafewayPlc_MMR.EUR.SU</v>
      </c>
      <c r="AO103" s="524" cm="1">
        <f t="array" aca="1" ref="AO103" ca="1">IF(AN103&lt;&gt;"",TRANSPOSE(INDEX(GetCDS($C128,AO$13,$G128/10000,F128,D128,$C$13,$C$14,$C$15,$C$8,,,TRUE,TRUE,FALSE,$C$29:$C$31,$C$33),{5})),"")</f>
        <v>0.47822810520300102</v>
      </c>
      <c r="AP103" s="524" cm="1">
        <f t="array" aca="1" ref="AP103" ca="1">IF(AO103&lt;&gt;"",TRANSPOSE(INDEX(GetCDS($C128,AP$13,$G128/10000,G128,E128,$C$13,$C$14,$C$15,$C$8,,,TRUE,TRUE,FALSE,$C$29:$C$31,$C$33),{5})),"")</f>
        <v>0.96411767842168705</v>
      </c>
      <c r="AQ103" s="524" cm="1">
        <f t="array" aca="1" ref="AQ103" ca="1">IF(AP103&lt;&gt;"",TRANSPOSE(INDEX(GetCDS($C128,AQ$13,$G128/10000,H128,F128,$C$13,$C$14,$C$15,$C$8,,,TRUE,TRUE,FALSE,$C$29:$C$31,$C$33),{5})),"")</f>
        <v>2.7983593021422899</v>
      </c>
      <c r="AR103" s="524" cm="1">
        <f t="array" aca="1" ref="AR103" ca="1">IF(AQ103&lt;&gt;"",TRANSPOSE(INDEX(GetCDS($C128,AR$13,$G128/10000,I128,G128,$C$13,$C$14,$C$15,$C$8,,,TRUE,TRUE,FALSE,$C$29:$C$31,$C$33),{5})),"")</f>
        <v>4.4464956973613603</v>
      </c>
      <c r="AS103" s="525" cm="1">
        <f t="array" aca="1" ref="AS103" ca="1">IF(AR103&lt;&gt;"",TRANSPOSE(INDEX(GetCDS($C128,AS$13,$G128/10000,J128,H128,$C$13,$C$14,$C$15,$C$8,,,TRUE,TRUE,FALSE,$C$29:$C$31,$C$33),{5})),"")</f>
        <v>7.7601892685524403</v>
      </c>
    </row>
    <row r="104" spans="1:45" customFormat="1" ht="15">
      <c r="A104" s="227"/>
      <c r="B104" s="276">
        <v>66</v>
      </c>
      <c r="C104" s="254" t="s">
        <v>154</v>
      </c>
      <c r="D104" s="255">
        <v>1</v>
      </c>
      <c r="E104" s="247"/>
      <c r="F104" s="232">
        <v>0.4</v>
      </c>
      <c r="G104" s="435">
        <v>100</v>
      </c>
      <c r="H104" s="386">
        <v>90</v>
      </c>
      <c r="I104" s="413">
        <f ca="1"/>
        <v>1.9857200767172699E-4</v>
      </c>
      <c r="J104" s="413">
        <f ca="1"/>
        <v>4.6791011453224202E-4</v>
      </c>
      <c r="K104" s="413">
        <f ca="1"/>
        <v>0.42438066950152298</v>
      </c>
      <c r="L104" s="413">
        <f ca="1"/>
        <v>0.42438066950152298</v>
      </c>
      <c r="M104" s="413">
        <f ca="1"/>
        <v>-2.8862813687613502E-4</v>
      </c>
      <c r="N104" s="452" t="str">
        <f ca="1"/>
        <v>SAFEWAYPLC_MMR.EUR.SU</v>
      </c>
      <c r="O104" s="413"/>
      <c r="P104" s="413"/>
      <c r="Q104" s="413"/>
      <c r="R104" s="452"/>
      <c r="S104" s="443"/>
      <c r="T104" s="422" cm="1">
        <f t="array" aca="1" ref="T104:X104" ca="1">IF(AND($U$12,B128&lt;=$C$17,C128&lt;&gt;""),TRANSPOSE(INDEX(GetCDS(C128,$C$6,G128/10000,F128,D128,$C$13,$C$14,$C$15,$C$8,,,TRUE,TRUE,FALSE,$C$29:$C$31,$C$33),{1;2;3;4;5})),"")</f>
        <v>-1.9852544373317401E-2</v>
      </c>
      <c r="U104" s="423">
        <f ca="1"/>
        <v>2.4612412600296198E-2</v>
      </c>
      <c r="V104" s="423">
        <f ca="1"/>
        <v>4.4464956973613599E-2</v>
      </c>
      <c r="W104" s="424">
        <f ca="1"/>
        <v>5.5352381460532403E-3</v>
      </c>
      <c r="X104" s="425">
        <f ca="1"/>
        <v>4.4464956973613603</v>
      </c>
      <c r="Y104" s="426" t="e">
        <f t="shared" ca="1" si="15"/>
        <v>#VALUE!</v>
      </c>
      <c r="Z104" s="427" t="e">
        <f t="shared" ca="1" si="16"/>
        <v>#VALUE!</v>
      </c>
      <c r="AA104" s="426">
        <f t="shared" ca="1" si="17"/>
        <v>0.14252060456594701</v>
      </c>
      <c r="AB104" s="428">
        <f t="shared" ca="1" si="18"/>
        <v>5.2584762387505781E-3</v>
      </c>
      <c r="AC104" s="427">
        <f t="shared" ca="1" si="19"/>
        <v>-1.7538879618103748E-4</v>
      </c>
      <c r="AD104" s="79"/>
      <c r="AE104" s="496">
        <f t="shared" ca="1" si="20"/>
        <v>-6.7843290582719996E-3</v>
      </c>
      <c r="AF104" s="493">
        <f t="shared" ca="1" si="21"/>
        <v>0</v>
      </c>
      <c r="AG104" s="493">
        <f t="shared" ca="1" si="22"/>
        <v>0</v>
      </c>
      <c r="AH104" s="498">
        <f t="shared" ca="1" si="23"/>
        <v>0</v>
      </c>
      <c r="AI104" s="497">
        <f t="shared" ca="1" si="27"/>
        <v>-6.7843290582719996E-3</v>
      </c>
      <c r="AJ104" s="493">
        <f t="shared" ca="1" si="24"/>
        <v>0.32324863821947158</v>
      </c>
      <c r="AK104" s="493">
        <f t="shared" ca="1" si="25"/>
        <v>0</v>
      </c>
      <c r="AL104" s="498">
        <f t="shared" ca="1" si="26"/>
        <v>0</v>
      </c>
      <c r="AN104" s="532" t="str">
        <f t="shared" ca="1" si="14"/>
        <v>SanofiAventis_MMR.EUR.SU</v>
      </c>
      <c r="AO104" s="524" cm="1">
        <f t="array" aca="1" ref="AO104" ca="1">IF(AN104&lt;&gt;"",TRANSPOSE(INDEX(GetCDS($C129,AO$13,$G129/10000,F129,D129,$C$13,$C$14,$C$15,$C$8,,,TRUE,TRUE,FALSE,$C$29:$C$31,$C$33),{5})),"")</f>
        <v>0.478266648415127</v>
      </c>
      <c r="AP104" s="524" cm="1">
        <f t="array" aca="1" ref="AP104" ca="1">IF(AO104&lt;&gt;"",TRANSPOSE(INDEX(GetCDS($C129,AP$13,$G129/10000,G129,E129,$C$13,$C$14,$C$15,$C$8,,,TRUE,TRUE,FALSE,$C$29:$C$31,$C$33),{5})),"")</f>
        <v>0.96437858360953599</v>
      </c>
      <c r="AQ104" s="524" cm="1">
        <f t="array" aca="1" ref="AQ104" ca="1">IF(AP104&lt;&gt;"",TRANSPOSE(INDEX(GetCDS($C129,AQ$13,$G129/10000,H129,F129,$C$13,$C$14,$C$15,$C$8,,,TRUE,TRUE,FALSE,$C$29:$C$31,$C$33),{5})),"")</f>
        <v>2.80773288661049</v>
      </c>
      <c r="AR104" s="524" cm="1">
        <f t="array" aca="1" ref="AR104" ca="1">IF(AQ104&lt;&gt;"",TRANSPOSE(INDEX(GetCDS($C129,AR$13,$G129/10000,I129,G129,$C$13,$C$14,$C$15,$C$8,,,TRUE,TRUE,FALSE,$C$29:$C$31,$C$33),{5})),"")</f>
        <v>4.4873254172732304</v>
      </c>
      <c r="AS104" s="525" cm="1">
        <f t="array" aca="1" ref="AS104" ca="1">IF(AR104&lt;&gt;"",TRANSPOSE(INDEX(GetCDS($C129,AS$13,$G129/10000,J129,H129,$C$13,$C$14,$C$15,$C$8,,,TRUE,TRUE,FALSE,$C$29:$C$31,$C$33),{5})),"")</f>
        <v>7.9899871445744299</v>
      </c>
    </row>
    <row r="105" spans="1:45" customFormat="1" ht="15">
      <c r="A105" s="227"/>
      <c r="B105" s="276">
        <v>67</v>
      </c>
      <c r="C105" s="254" t="s">
        <v>155</v>
      </c>
      <c r="D105" s="255">
        <v>1</v>
      </c>
      <c r="E105" s="247"/>
      <c r="F105" s="232">
        <v>0.4</v>
      </c>
      <c r="G105" s="435">
        <v>100</v>
      </c>
      <c r="H105" s="386">
        <v>91</v>
      </c>
      <c r="I105" s="413">
        <f ca="1"/>
        <v>1.3093881359345E-4</v>
      </c>
      <c r="J105" s="413">
        <f ca="1"/>
        <v>4.8236676681226703E-4</v>
      </c>
      <c r="K105" s="413">
        <f ca="1"/>
        <v>0.27145073542019199</v>
      </c>
      <c r="L105" s="413">
        <f ca="1"/>
        <v>0.27145073542019199</v>
      </c>
      <c r="M105" s="413">
        <f ca="1"/>
        <v>-1.03579476280546E-4</v>
      </c>
      <c r="N105" s="452" t="str">
        <f ca="1"/>
        <v>SANOFIAVENTIS_MMR.EUR.SU</v>
      </c>
      <c r="O105" s="413"/>
      <c r="P105" s="413"/>
      <c r="Q105" s="413"/>
      <c r="R105" s="452"/>
      <c r="S105" s="443"/>
      <c r="T105" s="422" cm="1">
        <f t="array" aca="1" ref="T105:X105" ca="1">IF(AND($U$12,B129&lt;=$C$17,C129&lt;&gt;""),TRANSPOSE(INDEX(GetCDS(C129,$C$6,G129/10000,F129,D129,$C$13,$C$14,$C$15,$C$8,,,TRUE,TRUE,FALSE,$C$29:$C$31,$C$33),{1;2;3;4;5})),"")</f>
        <v>-3.5493274537010303E-2</v>
      </c>
      <c r="U105" s="423">
        <f ca="1"/>
        <v>9.3799796357219595E-3</v>
      </c>
      <c r="V105" s="423">
        <f ca="1"/>
        <v>4.4873254172732302E-2</v>
      </c>
      <c r="W105" s="424">
        <f ca="1"/>
        <v>2.09032748095675E-3</v>
      </c>
      <c r="X105" s="425">
        <f ca="1"/>
        <v>4.4873254172732304</v>
      </c>
      <c r="Y105" s="426" t="e">
        <f t="shared" ca="1" si="15"/>
        <v>#VALUE!</v>
      </c>
      <c r="Z105" s="427" t="e">
        <f t="shared" ca="1" si="16"/>
        <v>#VALUE!</v>
      </c>
      <c r="AA105" s="426">
        <f t="shared" ca="1" si="17"/>
        <v>9.1358758582209668E-2</v>
      </c>
      <c r="AB105" s="428">
        <f t="shared" ca="1" si="18"/>
        <v>1.9858111069089124E-3</v>
      </c>
      <c r="AC105" s="427">
        <f t="shared" ca="1" si="19"/>
        <v>-4.2847164752298289E-5</v>
      </c>
      <c r="AD105" s="79"/>
      <c r="AE105" s="496">
        <f t="shared" ca="1" si="20"/>
        <v>-1.5785945039329999E-3</v>
      </c>
      <c r="AF105" s="493">
        <f t="shared" ca="1" si="21"/>
        <v>7.366054452203917E-3</v>
      </c>
      <c r="AG105" s="493">
        <f t="shared" ca="1" si="22"/>
        <v>0</v>
      </c>
      <c r="AH105" s="498">
        <f t="shared" ca="1" si="23"/>
        <v>0</v>
      </c>
      <c r="AI105" s="497">
        <f t="shared" ca="1" si="27"/>
        <v>-1.5785945039329999E-3</v>
      </c>
      <c r="AJ105" s="493">
        <f t="shared" ca="1" si="24"/>
        <v>0.21246137019939659</v>
      </c>
      <c r="AK105" s="493">
        <f t="shared" ca="1" si="25"/>
        <v>0</v>
      </c>
      <c r="AL105" s="498">
        <f t="shared" ca="1" si="26"/>
        <v>0</v>
      </c>
      <c r="AN105" s="532" t="str">
        <f t="shared" ca="1" si="14"/>
        <v>Siemens_MMR.EUR.SU</v>
      </c>
      <c r="AO105" s="524" cm="1">
        <f t="array" aca="1" ref="AO105" ca="1">IF(AN105&lt;&gt;"",TRANSPOSE(INDEX(GetCDS($C130,AO$13,$G130/10000,F130,D130,$C$13,$C$14,$C$15,$C$8,,,TRUE,TRUE,FALSE,$C$29:$C$31,$C$33),{5})),"")</f>
        <v>0.47824737628841801</v>
      </c>
      <c r="AP105" s="524" cm="1">
        <f t="array" aca="1" ref="AP105" ca="1">IF(AO105&lt;&gt;"",TRANSPOSE(INDEX(GetCDS($C130,AP$13,$G130/10000,G130,E130,$C$13,$C$14,$C$15,$C$8,,,TRUE,TRUE,FALSE,$C$29:$C$31,$C$33),{5})),"")</f>
        <v>0.96431257208513999</v>
      </c>
      <c r="AQ105" s="524" cm="1">
        <f t="array" aca="1" ref="AQ105" ca="1">IF(AP105&lt;&gt;"",TRANSPOSE(INDEX(GetCDS($C130,AQ$13,$G130/10000,H130,F130,$C$13,$C$14,$C$15,$C$8,,,TRUE,TRUE,FALSE,$C$29:$C$31,$C$33),{5})),"")</f>
        <v>2.8075232780366202</v>
      </c>
      <c r="AR105" s="524" cm="1">
        <f t="array" aca="1" ref="AR105" ca="1">IF(AQ105&lt;&gt;"",TRANSPOSE(INDEX(GetCDS($C130,AR$13,$G130/10000,I130,G130,$C$13,$C$14,$C$15,$C$8,,,TRUE,TRUE,FALSE,$C$29:$C$31,$C$33),{5})),"")</f>
        <v>4.4865632941978202</v>
      </c>
      <c r="AS105" s="525" cm="1">
        <f t="array" aca="1" ref="AS105" ca="1">IF(AR105&lt;&gt;"",TRANSPOSE(INDEX(GetCDS($C130,AS$13,$G130/10000,J130,H130,$C$13,$C$14,$C$15,$C$8,,,TRUE,TRUE,FALSE,$C$29:$C$31,$C$33),{5})),"")</f>
        <v>7.9978717506718198</v>
      </c>
    </row>
    <row r="106" spans="1:45" customFormat="1" ht="15">
      <c r="A106" s="227"/>
      <c r="B106" s="276">
        <v>68</v>
      </c>
      <c r="C106" s="254" t="s">
        <v>156</v>
      </c>
      <c r="D106" s="255">
        <v>1</v>
      </c>
      <c r="E106" s="247"/>
      <c r="F106" s="232">
        <v>0.4</v>
      </c>
      <c r="G106" s="435">
        <v>100</v>
      </c>
      <c r="H106" s="386">
        <v>92</v>
      </c>
      <c r="I106" s="413">
        <f ca="1"/>
        <v>1.31236768809128E-4</v>
      </c>
      <c r="J106" s="413">
        <f ca="1"/>
        <v>4.8234105974298498E-4</v>
      </c>
      <c r="K106" s="413">
        <f ca="1"/>
        <v>0.27208293003099798</v>
      </c>
      <c r="L106" s="413">
        <f ca="1"/>
        <v>0.27208293003099798</v>
      </c>
      <c r="M106" s="413">
        <f ca="1"/>
        <v>-1.0391789338462E-4</v>
      </c>
      <c r="N106" s="452" t="str">
        <f ca="1"/>
        <v>SIEMENS_MMR.EUR.SU</v>
      </c>
      <c r="O106" s="413"/>
      <c r="P106" s="413"/>
      <c r="Q106" s="413"/>
      <c r="R106" s="452"/>
      <c r="S106" s="443"/>
      <c r="T106" s="422" cm="1">
        <f t="array" aca="1" ref="T106:X106" ca="1">IF(AND($U$12,B130&lt;=$C$17,C130&lt;&gt;""),TRANSPOSE(INDEX(GetCDS(C130,$C$6,G130/10000,F130,D130,$C$13,$C$14,$C$15,$C$8,,,TRUE,TRUE,FALSE,$C$29:$C$31,$C$33),{1;2;3;4;5})),"")</f>
        <v>-3.5487228510864201E-2</v>
      </c>
      <c r="U106" s="423">
        <f ca="1"/>
        <v>9.3784044311139604E-3</v>
      </c>
      <c r="V106" s="423">
        <f ca="1"/>
        <v>4.4865632941978199E-2</v>
      </c>
      <c r="W106" s="424">
        <f ca="1"/>
        <v>2.0903314666801702E-3</v>
      </c>
      <c r="X106" s="425">
        <f ca="1"/>
        <v>4.4865632941978202</v>
      </c>
      <c r="Y106" s="426" t="e">
        <f t="shared" ca="1" si="15"/>
        <v>#VALUE!</v>
      </c>
      <c r="Z106" s="427" t="e">
        <f t="shared" ca="1" si="16"/>
        <v>#VALUE!</v>
      </c>
      <c r="AA106" s="426">
        <f t="shared" ca="1" si="17"/>
        <v>9.1569564070371992E-2</v>
      </c>
      <c r="AB106" s="428">
        <f t="shared" ca="1" si="18"/>
        <v>1.9858148933461616E-3</v>
      </c>
      <c r="AC106" s="427">
        <f t="shared" ca="1" si="19"/>
        <v>-4.2938820271637474E-5</v>
      </c>
      <c r="AD106" s="79"/>
      <c r="AE106" s="496">
        <f t="shared" ca="1" si="20"/>
        <v>-1.58904318521E-3</v>
      </c>
      <c r="AF106" s="493">
        <f t="shared" ca="1" si="21"/>
        <v>7.3545547197209626E-3</v>
      </c>
      <c r="AG106" s="493">
        <f t="shared" ca="1" si="22"/>
        <v>0</v>
      </c>
      <c r="AH106" s="498">
        <f t="shared" ca="1" si="23"/>
        <v>0</v>
      </c>
      <c r="AI106" s="497">
        <f t="shared" ca="1" si="27"/>
        <v>-1.58904318521E-3</v>
      </c>
      <c r="AJ106" s="493">
        <f t="shared" ca="1" si="24"/>
        <v>0.21293400465096454</v>
      </c>
      <c r="AK106" s="493">
        <f t="shared" ca="1" si="25"/>
        <v>0</v>
      </c>
      <c r="AL106" s="498">
        <f t="shared" ca="1" si="26"/>
        <v>0</v>
      </c>
      <c r="AN106" s="532" t="str">
        <f t="shared" ca="1" si="14"/>
        <v>SodexhoAlliance_MMR.EUR.SU</v>
      </c>
      <c r="AO106" s="524" cm="1">
        <f t="array" aca="1" ref="AO106" ca="1">IF(AN106&lt;&gt;"",TRANSPOSE(INDEX(GetCDS($C131,AO$13,$G131/10000,F131,D131,$C$13,$C$14,$C$15,$C$8,,,TRUE,TRUE,FALSE,$C$29:$C$31,$C$33),{5})),"")</f>
        <v>0.47828592158333599</v>
      </c>
      <c r="AP106" s="524" cm="1">
        <f t="array" aca="1" ref="AP106" ca="1">IF(AO106&lt;&gt;"",TRANSPOSE(INDEX(GetCDS($C131,AP$13,$G131/10000,G131,E131,$C$13,$C$14,$C$15,$C$8,,,TRUE,TRUE,FALSE,$C$29:$C$31,$C$33),{5})),"")</f>
        <v>0.96436724323286405</v>
      </c>
      <c r="AQ106" s="524" cm="1">
        <f t="array" aca="1" ref="AQ106" ca="1">IF(AP106&lt;&gt;"",TRANSPOSE(INDEX(GetCDS($C131,AQ$13,$G131/10000,H131,F131,$C$13,$C$14,$C$15,$C$8,,,TRUE,TRUE,FALSE,$C$29:$C$31,$C$33),{5})),"")</f>
        <v>2.80379671525893</v>
      </c>
      <c r="AR106" s="524" cm="1">
        <f t="array" aca="1" ref="AR106" ca="1">IF(AQ106&lt;&gt;"",TRANSPOSE(INDEX(GetCDS($C131,AR$13,$G131/10000,I131,G131,$C$13,$C$14,$C$15,$C$8,,,TRUE,TRUE,FALSE,$C$29:$C$31,$C$33),{5})),"")</f>
        <v>4.4737332974287698</v>
      </c>
      <c r="AS106" s="525" cm="1">
        <f t="array" aca="1" ref="AS106" ca="1">IF(AR106&lt;&gt;"",TRANSPOSE(INDEX(GetCDS($C131,AS$13,$G131/10000,J131,H131,$C$13,$C$14,$C$15,$C$8,,,TRUE,TRUE,FALSE,$C$29:$C$31,$C$33),{5})),"")</f>
        <v>7.9272692917033902</v>
      </c>
    </row>
    <row r="107" spans="1:45" customFormat="1" ht="15">
      <c r="A107" s="227"/>
      <c r="B107" s="276">
        <v>69</v>
      </c>
      <c r="C107" s="254" t="s">
        <v>157</v>
      </c>
      <c r="D107" s="255">
        <v>1</v>
      </c>
      <c r="E107" s="247"/>
      <c r="F107" s="232">
        <v>0.4</v>
      </c>
      <c r="G107" s="435">
        <v>100</v>
      </c>
      <c r="H107" s="386">
        <v>93</v>
      </c>
      <c r="I107" s="413">
        <f ca="1"/>
        <v>1.5538089502160701E-4</v>
      </c>
      <c r="J107" s="413">
        <f ca="1"/>
        <v>4.78619333301581E-4</v>
      </c>
      <c r="K107" s="413">
        <f ca="1"/>
        <v>0.32464400037869001</v>
      </c>
      <c r="L107" s="413">
        <f ca="1"/>
        <v>0.32464400037869001</v>
      </c>
      <c r="M107" s="413">
        <f ca="1"/>
        <v>-1.5747906219310001E-4</v>
      </c>
      <c r="N107" s="452" t="str">
        <f ca="1"/>
        <v>SODEXHOALLIANCE_MMR.EUR.SU</v>
      </c>
      <c r="O107" s="413"/>
      <c r="P107" s="413"/>
      <c r="Q107" s="413"/>
      <c r="R107" s="452"/>
      <c r="S107" s="443"/>
      <c r="T107" s="422" cm="1">
        <f t="array" aca="1" ref="T107:X107" ca="1">IF(AND($U$12,B131&lt;=$C$17,C131&lt;&gt;""),TRANSPOSE(INDEX(GetCDS(C131,$C$6,G131/10000,F131,D131,$C$13,$C$14,$C$15,$C$8,,,TRUE,TRUE,FALSE,$C$29:$C$31,$C$33),{1;2;3;4;5})),"")</f>
        <v>-3.1180148687546899E-2</v>
      </c>
      <c r="U107" s="423">
        <f ca="1"/>
        <v>1.3557184286740799E-2</v>
      </c>
      <c r="V107" s="423">
        <f ca="1"/>
        <v>4.4737332974287697E-2</v>
      </c>
      <c r="W107" s="424">
        <f ca="1"/>
        <v>3.0303961781835901E-3</v>
      </c>
      <c r="X107" s="425">
        <f ca="1"/>
        <v>4.4737332974287698</v>
      </c>
      <c r="Y107" s="426" t="e">
        <f t="shared" ca="1" si="15"/>
        <v>#VALUE!</v>
      </c>
      <c r="Z107" s="427" t="e">
        <f t="shared" ca="1" si="16"/>
        <v>#VALUE!</v>
      </c>
      <c r="AA107" s="426">
        <f t="shared" ca="1" si="17"/>
        <v>0.10916855279965366</v>
      </c>
      <c r="AB107" s="428">
        <f t="shared" ca="1" si="18"/>
        <v>2.8788763692744104E-3</v>
      </c>
      <c r="AC107" s="427">
        <f t="shared" ca="1" si="19"/>
        <v>-7.4000909431085109E-5</v>
      </c>
      <c r="AD107" s="79"/>
      <c r="AE107" s="496">
        <f t="shared" ca="1" si="20"/>
        <v>-2.8057833979680002E-3</v>
      </c>
      <c r="AF107" s="493">
        <f t="shared" ca="1" si="21"/>
        <v>5.1012442586752457E-3</v>
      </c>
      <c r="AG107" s="493">
        <f t="shared" ca="1" si="22"/>
        <v>0</v>
      </c>
      <c r="AH107" s="498">
        <f t="shared" ca="1" si="23"/>
        <v>0</v>
      </c>
      <c r="AI107" s="497">
        <f t="shared" ca="1" si="27"/>
        <v>-2.8057833979680002E-3</v>
      </c>
      <c r="AJ107" s="493">
        <f t="shared" ca="1" si="24"/>
        <v>0.25127803745590421</v>
      </c>
      <c r="AK107" s="493">
        <f t="shared" ca="1" si="25"/>
        <v>0</v>
      </c>
      <c r="AL107" s="498">
        <f t="shared" ca="1" si="26"/>
        <v>0</v>
      </c>
      <c r="AN107" s="532" t="str">
        <f t="shared" ca="1" si="14"/>
        <v>Solvay_MMR.EUR.SU</v>
      </c>
      <c r="AO107" s="524" cm="1">
        <f t="array" aca="1" ref="AO107" ca="1">IF(AN107&lt;&gt;"",TRANSPOSE(INDEX(GetCDS($C132,AO$13,$G132/10000,F132,D132,$C$13,$C$14,$C$15,$C$8,,,TRUE,TRUE,FALSE,$C$29:$C$31,$C$33),{5})),"")</f>
        <v>0.47828592158333599</v>
      </c>
      <c r="AP107" s="524" cm="1">
        <f t="array" aca="1" ref="AP107" ca="1">IF(AO107&lt;&gt;"",TRANSPOSE(INDEX(GetCDS($C132,AP$13,$G132/10000,G132,E132,$C$13,$C$14,$C$15,$C$8,,,TRUE,TRUE,FALSE,$C$29:$C$31,$C$33),{5})),"")</f>
        <v>0.96444460078018301</v>
      </c>
      <c r="AQ107" s="524" cm="1">
        <f t="array" aca="1" ref="AQ107" ca="1">IF(AP107&lt;&gt;"",TRANSPOSE(INDEX(GetCDS($C132,AQ$13,$G132/10000,H132,F132,$C$13,$C$14,$C$15,$C$8,,,TRUE,TRUE,FALSE,$C$29:$C$31,$C$33),{5})),"")</f>
        <v>2.8076574056566299</v>
      </c>
      <c r="AR107" s="524" cm="1">
        <f t="array" aca="1" ref="AR107" ca="1">IF(AQ107&lt;&gt;"",TRANSPOSE(INDEX(GetCDS($C132,AR$13,$G132/10000,I132,G132,$C$13,$C$14,$C$15,$C$8,,,TRUE,TRUE,FALSE,$C$29:$C$31,$C$33),{5})),"")</f>
        <v>4.4860863334766696</v>
      </c>
      <c r="AS107" s="525" cm="1">
        <f t="array" aca="1" ref="AS107" ca="1">IF(AR107&lt;&gt;"",TRANSPOSE(INDEX(GetCDS($C132,AS$13,$G132/10000,J132,H132,$C$13,$C$14,$C$15,$C$8,,,TRUE,TRUE,FALSE,$C$29:$C$31,$C$33),{5})),"")</f>
        <v>7.9820135795102702</v>
      </c>
    </row>
    <row r="108" spans="1:45" customFormat="1" ht="15">
      <c r="A108" s="227"/>
      <c r="B108" s="276">
        <v>70</v>
      </c>
      <c r="C108" s="254" t="s">
        <v>158</v>
      </c>
      <c r="D108" s="255">
        <v>1</v>
      </c>
      <c r="E108" s="247"/>
      <c r="F108" s="232">
        <v>0.4</v>
      </c>
      <c r="G108" s="435">
        <v>100</v>
      </c>
      <c r="H108" s="386">
        <v>94</v>
      </c>
      <c r="I108" s="413">
        <f ca="1"/>
        <v>1.3376174220451899E-4</v>
      </c>
      <c r="J108" s="413">
        <f ca="1"/>
        <v>4.8199018943786E-4</v>
      </c>
      <c r="K108" s="413">
        <f ca="1"/>
        <v>0.27751963657294298</v>
      </c>
      <c r="L108" s="413">
        <f ca="1"/>
        <v>0.27751963657294298</v>
      </c>
      <c r="M108" s="413">
        <f ca="1"/>
        <v>-1.09465487632487E-4</v>
      </c>
      <c r="N108" s="452" t="str">
        <f ca="1"/>
        <v>SOLVAY_MMR.EUR.SU</v>
      </c>
      <c r="O108" s="413"/>
      <c r="P108" s="413"/>
      <c r="Q108" s="413"/>
      <c r="R108" s="452"/>
      <c r="S108" s="443"/>
      <c r="T108" s="422" cm="1">
        <f t="array" aca="1" ref="T108:X108" ca="1">IF(AND($U$12,B132&lt;=$C$17,C132&lt;&gt;""),TRANSPOSE(INDEX(GetCDS(C132,$C$6,G132/10000,F132,D132,$C$13,$C$14,$C$15,$C$8,,,TRUE,TRUE,FALSE,$C$29:$C$31,$C$33),{1;2;3;4;5})),"")</f>
        <v>-3.5014854736325297E-2</v>
      </c>
      <c r="U108" s="423">
        <f ca="1"/>
        <v>9.84600859844139E-3</v>
      </c>
      <c r="V108" s="423">
        <f ca="1"/>
        <v>4.4860863334766701E-2</v>
      </c>
      <c r="W108" s="424">
        <f ca="1"/>
        <v>2.1947880327151102E-3</v>
      </c>
      <c r="X108" s="425">
        <f ca="1"/>
        <v>4.4860863334766696</v>
      </c>
      <c r="Y108" s="426" t="e">
        <f t="shared" ca="1" si="15"/>
        <v>#VALUE!</v>
      </c>
      <c r="Z108" s="427" t="e">
        <f t="shared" ca="1" si="16"/>
        <v>#VALUE!</v>
      </c>
      <c r="AA108" s="426">
        <f t="shared" ca="1" si="17"/>
        <v>9.3393093524569329E-2</v>
      </c>
      <c r="AB108" s="428">
        <f t="shared" ca="1" si="18"/>
        <v>2.0850486310793545E-3</v>
      </c>
      <c r="AC108" s="427">
        <f t="shared" ca="1" si="19"/>
        <v>-4.5977460093897643E-5</v>
      </c>
      <c r="AD108" s="79"/>
      <c r="AE108" s="496">
        <f t="shared" ca="1" si="20"/>
        <v>-1.6965452495289999E-3</v>
      </c>
      <c r="AF108" s="493">
        <f t="shared" ca="1" si="21"/>
        <v>7.1328412515792271E-3</v>
      </c>
      <c r="AG108" s="493">
        <f t="shared" ca="1" si="22"/>
        <v>0</v>
      </c>
      <c r="AH108" s="498">
        <f t="shared" ca="1" si="23"/>
        <v>0</v>
      </c>
      <c r="AI108" s="497">
        <f t="shared" ca="1" si="27"/>
        <v>-1.6965452495289999E-3</v>
      </c>
      <c r="AJ108" s="493">
        <f t="shared" ca="1" si="24"/>
        <v>0.21689344111378855</v>
      </c>
      <c r="AK108" s="493">
        <f t="shared" ca="1" si="25"/>
        <v>0</v>
      </c>
      <c r="AL108" s="498">
        <f t="shared" ca="1" si="26"/>
        <v>0</v>
      </c>
      <c r="AN108" s="532" t="str">
        <f t="shared" ca="1" si="14"/>
        <v>StGobain_MMR.EUR.SU</v>
      </c>
      <c r="AO108" s="524" cm="1">
        <f t="array" aca="1" ref="AO108" ca="1">IF(AN108&lt;&gt;"",TRANSPOSE(INDEX(GetCDS($C133,AO$13,$G133/10000,F133,D133,$C$13,$C$14,$C$15,$C$8,,,TRUE,TRUE,FALSE,$C$29:$C$31,$C$33),{5})),"")</f>
        <v>0.47817029819245299</v>
      </c>
      <c r="AP108" s="524" cm="1">
        <f t="array" aca="1" ref="AP108" ca="1">IF(AO108&lt;&gt;"",TRANSPOSE(INDEX(GetCDS($C133,AP$13,$G133/10000,G133,E133,$C$13,$C$14,$C$15,$C$8,,,TRUE,TRUE,FALSE,$C$29:$C$31,$C$33),{5})),"")</f>
        <v>0.96399705725368801</v>
      </c>
      <c r="AQ108" s="524" cm="1">
        <f t="array" aca="1" ref="AQ108" ca="1">IF(AP108&lt;&gt;"",TRANSPOSE(INDEX(GetCDS($C133,AQ$13,$G133/10000,H133,F133,$C$13,$C$14,$C$15,$C$8,,,TRUE,TRUE,FALSE,$C$29:$C$31,$C$33),{5})),"")</f>
        <v>2.8018175027715602</v>
      </c>
      <c r="AR108" s="524" cm="1">
        <f t="array" aca="1" ref="AR108" ca="1">IF(AQ108&lt;&gt;"",TRANSPOSE(INDEX(GetCDS($C133,AR$13,$G133/10000,I133,G133,$C$13,$C$14,$C$15,$C$8,,,TRUE,TRUE,FALSE,$C$29:$C$31,$C$33),{5})),"")</f>
        <v>4.4601489720781302</v>
      </c>
      <c r="AS108" s="525" cm="1">
        <f t="array" aca="1" ref="AS108" ca="1">IF(AR108&lt;&gt;"",TRANSPOSE(INDEX(GetCDS($C133,AS$13,$G133/10000,J133,H133,$C$13,$C$14,$C$15,$C$8,,,TRUE,TRUE,FALSE,$C$29:$C$31,$C$33),{5})),"")</f>
        <v>7.8342871442101396</v>
      </c>
    </row>
    <row r="109" spans="1:45" customFormat="1" ht="15">
      <c r="A109" s="227"/>
      <c r="B109" s="276">
        <v>71</v>
      </c>
      <c r="C109" s="254" t="s">
        <v>159</v>
      </c>
      <c r="D109" s="255">
        <v>1</v>
      </c>
      <c r="E109" s="247"/>
      <c r="F109" s="232">
        <v>0.4</v>
      </c>
      <c r="G109" s="435">
        <v>100</v>
      </c>
      <c r="H109" s="386">
        <v>95</v>
      </c>
      <c r="I109" s="413">
        <f ca="1"/>
        <v>1.8245528120199901E-4</v>
      </c>
      <c r="J109" s="413">
        <f ca="1"/>
        <v>4.7257707193469801E-4</v>
      </c>
      <c r="K109" s="413">
        <f ca="1"/>
        <v>0.38608576682537699</v>
      </c>
      <c r="L109" s="413">
        <f ca="1"/>
        <v>0.38608576682537699</v>
      </c>
      <c r="M109" s="413">
        <f ca="1"/>
        <v>-2.35034747875607E-4</v>
      </c>
      <c r="N109" s="452" t="str">
        <f ca="1"/>
        <v>STGOBAIN_MMR.EUR.SU</v>
      </c>
      <c r="O109" s="413"/>
      <c r="P109" s="413"/>
      <c r="Q109" s="413"/>
      <c r="R109" s="452"/>
      <c r="S109" s="443"/>
      <c r="T109" s="422" cm="1">
        <f t="array" aca="1" ref="T109:X109" ca="1">IF(AND($U$12,B133&lt;=$C$17,C133&lt;&gt;""),TRANSPOSE(INDEX(GetCDS(C133,$C$6,G133/10000,F133,D133,$C$13,$C$14,$C$15,$C$8,,,TRUE,TRUE,FALSE,$C$29:$C$31,$C$33),{1;2;3;4;5})),"")</f>
        <v>-2.4567253361508602E-2</v>
      </c>
      <c r="U109" s="423">
        <f ca="1"/>
        <v>2.0034236359272699E-2</v>
      </c>
      <c r="V109" s="423">
        <f ca="1"/>
        <v>4.4601489720781297E-2</v>
      </c>
      <c r="W109" s="424">
        <f ca="1"/>
        <v>4.4918312111754599E-3</v>
      </c>
      <c r="X109" s="425">
        <f ca="1"/>
        <v>4.4601489720781302</v>
      </c>
      <c r="Y109" s="426" t="e">
        <f t="shared" ca="1" si="15"/>
        <v>#VALUE!</v>
      </c>
      <c r="Z109" s="427" t="e">
        <f t="shared" ca="1" si="16"/>
        <v>#VALUE!</v>
      </c>
      <c r="AA109" s="426">
        <f t="shared" ca="1" si="17"/>
        <v>0.12972319611304267</v>
      </c>
      <c r="AB109" s="428">
        <f t="shared" ca="1" si="18"/>
        <v>4.2672396506166863E-3</v>
      </c>
      <c r="AC109" s="427">
        <f t="shared" ca="1" si="19"/>
        <v>-1.2994525861044937E-4</v>
      </c>
      <c r="AD109" s="79"/>
      <c r="AE109" s="496">
        <f t="shared" ca="1" si="20"/>
        <v>-4.9595752028590004E-3</v>
      </c>
      <c r="AF109" s="493">
        <f t="shared" ca="1" si="21"/>
        <v>1.3395429293813661E-3</v>
      </c>
      <c r="AG109" s="493">
        <f t="shared" ca="1" si="22"/>
        <v>0</v>
      </c>
      <c r="AH109" s="498">
        <f t="shared" ca="1" si="23"/>
        <v>0</v>
      </c>
      <c r="AI109" s="497">
        <f t="shared" ca="1" si="27"/>
        <v>-4.9595752028590004E-3</v>
      </c>
      <c r="AJ109" s="493">
        <f t="shared" ca="1" si="24"/>
        <v>0.29570613845940991</v>
      </c>
      <c r="AK109" s="493">
        <f t="shared" ca="1" si="25"/>
        <v>0</v>
      </c>
      <c r="AL109" s="498">
        <f t="shared" ca="1" si="26"/>
        <v>0</v>
      </c>
      <c r="AN109" s="532" t="str">
        <f t="shared" ca="1" si="14"/>
        <v>StMicro_MMR.EUR.SU</v>
      </c>
      <c r="AO109" s="524" cm="1">
        <f t="array" aca="1" ref="AO109" ca="1">IF(AN109&lt;&gt;"",TRANSPOSE(INDEX(GetCDS($C134,AO$13,$G134/10000,F134,D134,$C$13,$C$14,$C$15,$C$8,,,TRUE,TRUE,FALSE,$C$29:$C$31,$C$33),{5})),"")</f>
        <v>0.47828592158333599</v>
      </c>
      <c r="AP109" s="524" cm="1">
        <f t="array" aca="1" ref="AP109" ca="1">IF(AO109&lt;&gt;"",TRANSPOSE(INDEX(GetCDS($C134,AP$13,$G134/10000,G134,E134,$C$13,$C$14,$C$15,$C$8,,,TRUE,TRUE,FALSE,$C$29:$C$31,$C$33),{5})),"")</f>
        <v>0.96444460078018301</v>
      </c>
      <c r="AQ109" s="524" cm="1">
        <f t="array" aca="1" ref="AQ109" ca="1">IF(AP109&lt;&gt;"",TRANSPOSE(INDEX(GetCDS($C134,AQ$13,$G134/10000,H134,F134,$C$13,$C$14,$C$15,$C$8,,,TRUE,TRUE,FALSE,$C$29:$C$31,$C$33),{5})),"")</f>
        <v>2.8062217117607702</v>
      </c>
      <c r="AR109" s="524" cm="1">
        <f t="array" aca="1" ref="AR109" ca="1">IF(AQ109&lt;&gt;"",TRANSPOSE(INDEX(GetCDS($C134,AR$13,$G134/10000,I134,G134,$C$13,$C$14,$C$15,$C$8,,,TRUE,TRUE,FALSE,$C$29:$C$31,$C$33),{5})),"")</f>
        <v>4.4800426314469899</v>
      </c>
      <c r="AS109" s="525" cm="1">
        <f t="array" aca="1" ref="AS109" ca="1">IF(AR109&lt;&gt;"",TRANSPOSE(INDEX(GetCDS($C134,AS$13,$G134/10000,J134,H134,$C$13,$C$14,$C$15,$C$8,,,TRUE,TRUE,FALSE,$C$29:$C$31,$C$33),{5})),"")</f>
        <v>7.9407060813515402</v>
      </c>
    </row>
    <row r="110" spans="1:45" customFormat="1" ht="15">
      <c r="A110" s="227"/>
      <c r="B110" s="276">
        <v>72</v>
      </c>
      <c r="C110" s="254" t="s">
        <v>160</v>
      </c>
      <c r="D110" s="255">
        <v>1</v>
      </c>
      <c r="E110" s="247"/>
      <c r="F110" s="232">
        <v>0.4</v>
      </c>
      <c r="G110" s="435">
        <v>100</v>
      </c>
      <c r="H110" s="386">
        <v>96</v>
      </c>
      <c r="I110" s="413">
        <f ca="1"/>
        <v>1.4716605051372499E-4</v>
      </c>
      <c r="J110" s="413">
        <f ca="1"/>
        <v>4.79971275029179E-4</v>
      </c>
      <c r="K110" s="413">
        <f ca="1"/>
        <v>0.30661428750038899</v>
      </c>
      <c r="L110" s="413">
        <f ca="1"/>
        <v>0.30661428750038899</v>
      </c>
      <c r="M110" s="413">
        <f ca="1"/>
        <v>-1.38846128734405E-4</v>
      </c>
      <c r="N110" s="452" t="str">
        <f ca="1"/>
        <v>STMICRO_MMR.EUR.SU</v>
      </c>
      <c r="O110" s="413"/>
      <c r="P110" s="413"/>
      <c r="Q110" s="413"/>
      <c r="R110" s="452"/>
      <c r="S110" s="443"/>
      <c r="T110" s="422" cm="1">
        <f t="array" aca="1" ref="T110:X110" ca="1">IF(AND($U$12,B134&lt;=$C$17,C134&lt;&gt;""),TRANSPOSE(INDEX(GetCDS(C134,$C$6,G134/10000,F134,D134,$C$13,$C$14,$C$15,$C$8,,,TRUE,TRUE,FALSE,$C$29:$C$31,$C$33),{1;2;3;4;5})),"")</f>
        <v>-3.2627940234699303E-2</v>
      </c>
      <c r="U110" s="423">
        <f ca="1"/>
        <v>1.21724860797706E-2</v>
      </c>
      <c r="V110" s="423">
        <f ca="1"/>
        <v>4.4800426314469899E-2</v>
      </c>
      <c r="W110" s="424">
        <f ca="1"/>
        <v>2.7170469303858099E-3</v>
      </c>
      <c r="X110" s="425">
        <f ca="1"/>
        <v>4.4800426314469899</v>
      </c>
      <c r="Y110" s="426" t="e">
        <f t="shared" ca="1" si="15"/>
        <v>#VALUE!</v>
      </c>
      <c r="Z110" s="427" t="e">
        <f t="shared" ca="1" si="16"/>
        <v>#VALUE!</v>
      </c>
      <c r="AA110" s="426">
        <f t="shared" ca="1" si="17"/>
        <v>0.10313742567642799</v>
      </c>
      <c r="AB110" s="428">
        <f t="shared" ca="1" si="18"/>
        <v>2.5811945838665191E-3</v>
      </c>
      <c r="AC110" s="427">
        <f t="shared" ca="1" si="19"/>
        <v>-6.2771943917484918E-5</v>
      </c>
      <c r="AD110" s="79"/>
      <c r="AE110" s="496">
        <f t="shared" ca="1" si="20"/>
        <v>-2.3402544671410098E-3</v>
      </c>
      <c r="AF110" s="493">
        <f t="shared" ca="1" si="21"/>
        <v>5.914296342719453E-3</v>
      </c>
      <c r="AG110" s="493">
        <f t="shared" ca="1" si="22"/>
        <v>0</v>
      </c>
      <c r="AH110" s="498">
        <f t="shared" ca="1" si="23"/>
        <v>0</v>
      </c>
      <c r="AI110" s="497">
        <f t="shared" ca="1" si="27"/>
        <v>-2.3402544671410098E-3</v>
      </c>
      <c r="AJ110" s="493">
        <f t="shared" ca="1" si="24"/>
        <v>0.23811770068396659</v>
      </c>
      <c r="AK110" s="493">
        <f t="shared" ca="1" si="25"/>
        <v>0</v>
      </c>
      <c r="AL110" s="498">
        <f t="shared" ca="1" si="26"/>
        <v>0</v>
      </c>
      <c r="AN110" s="532" t="str">
        <f t="shared" ca="1" si="14"/>
        <v>SuedzuckerAg_MMR.EUR.SU</v>
      </c>
      <c r="AO110" s="524" cm="1">
        <f t="array" aca="1" ref="AO110" ca="1">IF(AN110&lt;&gt;"",TRANSPOSE(INDEX(GetCDS($C135,AO$13,$G135/10000,F135,D135,$C$13,$C$14,$C$15,$C$8,,,TRUE,TRUE,FALSE,$C$29:$C$31,$C$33),{5})),"")</f>
        <v>0.47820883515867502</v>
      </c>
      <c r="AP110" s="524" cm="1">
        <f t="array" aca="1" ref="AP110" ca="1">IF(AO110&lt;&gt;"",TRANSPOSE(INDEX(GetCDS($C135,AP$13,$G135/10000,G135,E135,$C$13,$C$14,$C$15,$C$8,,,TRUE,TRUE,FALSE,$C$29:$C$31,$C$33),{5})),"")</f>
        <v>0.96410325228420202</v>
      </c>
      <c r="AQ110" s="524" cm="1">
        <f t="array" aca="1" ref="AQ110" ca="1">IF(AP110&lt;&gt;"",TRANSPOSE(INDEX(GetCDS($C135,AQ$13,$G135/10000,H135,F135,$C$13,$C$14,$C$15,$C$8,,,TRUE,TRUE,FALSE,$C$29:$C$31,$C$33),{5})),"")</f>
        <v>2.80057194368006</v>
      </c>
      <c r="AR110" s="524" cm="1">
        <f t="array" aca="1" ref="AR110" ca="1">IF(AQ110&lt;&gt;"",TRANSPOSE(INDEX(GetCDS($C135,AR$13,$G135/10000,I135,G135,$C$13,$C$14,$C$15,$C$8,,,TRUE,TRUE,FALSE,$C$29:$C$31,$C$33),{5})),"")</f>
        <v>4.4537284900155001</v>
      </c>
      <c r="AS110" s="525" cm="1">
        <f t="array" aca="1" ref="AS110" ca="1">IF(AR110&lt;&gt;"",TRANSPOSE(INDEX(GetCDS($C135,AS$13,$G135/10000,J135,H135,$C$13,$C$14,$C$15,$C$8,,,TRUE,TRUE,FALSE,$C$29:$C$31,$C$33),{5})),"")</f>
        <v>7.7983635337987103</v>
      </c>
    </row>
    <row r="111" spans="1:45" customFormat="1" ht="15">
      <c r="A111" s="227"/>
      <c r="B111" s="276">
        <v>73</v>
      </c>
      <c r="C111" s="254" t="s">
        <v>161</v>
      </c>
      <c r="D111" s="255">
        <v>1</v>
      </c>
      <c r="E111" s="247"/>
      <c r="F111" s="232">
        <v>0.4</v>
      </c>
      <c r="G111" s="435">
        <v>100</v>
      </c>
      <c r="H111" s="386">
        <v>97</v>
      </c>
      <c r="I111" s="413">
        <f ca="1"/>
        <v>1.92091665583316E-4</v>
      </c>
      <c r="J111" s="413">
        <f ca="1"/>
        <v>4.6971679446070199E-4</v>
      </c>
      <c r="K111" s="413">
        <f ca="1"/>
        <v>0.40895209166166402</v>
      </c>
      <c r="L111" s="413">
        <f ca="1"/>
        <v>0.40895209166166402</v>
      </c>
      <c r="M111" s="413">
        <f ca="1"/>
        <v>-2.6697438255480799E-4</v>
      </c>
      <c r="N111" s="452" t="str">
        <f ca="1"/>
        <v>SUEDZUCKERAG_MMR.EUR.SU</v>
      </c>
      <c r="O111" s="413"/>
      <c r="P111" s="413"/>
      <c r="Q111" s="413"/>
      <c r="R111" s="452"/>
      <c r="S111" s="443"/>
      <c r="T111" s="422" cm="1">
        <f t="array" aca="1" ref="T111:X111" ca="1">IF(AND($U$12,B135&lt;=$C$17,C135&lt;&gt;""),TRANSPOSE(INDEX(GetCDS(C135,$C$6,G135/10000,F135,D135,$C$13,$C$14,$C$15,$C$8,,,TRUE,TRUE,FALSE,$C$29:$C$31,$C$33),{1;2;3;4;5})),"")</f>
        <v>-2.17435871930572E-2</v>
      </c>
      <c r="U111" s="423">
        <f ca="1"/>
        <v>2.2793697707097799E-2</v>
      </c>
      <c r="V111" s="423">
        <f ca="1"/>
        <v>4.4537284900155003E-2</v>
      </c>
      <c r="W111" s="424">
        <f ca="1"/>
        <v>5.1178911687583496E-3</v>
      </c>
      <c r="X111" s="425">
        <f ca="1"/>
        <v>4.4537284900155001</v>
      </c>
      <c r="Y111" s="426" t="e">
        <f t="shared" ca="1" si="15"/>
        <v>#VALUE!</v>
      </c>
      <c r="Z111" s="427" t="e">
        <f t="shared" ca="1" si="16"/>
        <v>#VALUE!</v>
      </c>
      <c r="AA111" s="426">
        <f t="shared" ca="1" si="17"/>
        <v>0.13736694399666433</v>
      </c>
      <c r="AB111" s="428">
        <f t="shared" ca="1" si="18"/>
        <v>4.8619966103204317E-3</v>
      </c>
      <c r="AC111" s="427">
        <f t="shared" ca="1" si="19"/>
        <v>-1.5655502982039014E-4</v>
      </c>
      <c r="AD111" s="79"/>
      <c r="AE111" s="496">
        <f t="shared" ca="1" si="20"/>
        <v>-6.0044650487010003E-3</v>
      </c>
      <c r="AF111" s="493">
        <f t="shared" ca="1" si="21"/>
        <v>0</v>
      </c>
      <c r="AG111" s="493">
        <f t="shared" ca="1" si="22"/>
        <v>0</v>
      </c>
      <c r="AH111" s="498">
        <f t="shared" ca="1" si="23"/>
        <v>0</v>
      </c>
      <c r="AI111" s="497">
        <f t="shared" ca="1" si="27"/>
        <v>-6.0044650487010003E-3</v>
      </c>
      <c r="AJ111" s="493">
        <f t="shared" ca="1" si="24"/>
        <v>0.3121499655445123</v>
      </c>
      <c r="AK111" s="493">
        <f t="shared" ca="1" si="25"/>
        <v>0</v>
      </c>
      <c r="AL111" s="498">
        <f t="shared" ca="1" si="26"/>
        <v>0</v>
      </c>
      <c r="AN111" s="532" t="str">
        <f t="shared" ca="1" si="14"/>
        <v>SuezLyonnaise_MMR.EUR.SU</v>
      </c>
      <c r="AO111" s="524" cm="1">
        <f t="array" aca="1" ref="AO111" ca="1">IF(AN111&lt;&gt;"",TRANSPOSE(INDEX(GetCDS($C136,AO$13,$G136/10000,F136,D136,$C$13,$C$14,$C$15,$C$8,,,TRUE,TRUE,FALSE,$C$29:$C$31,$C$33),{5})),"")</f>
        <v>0.478266648415127</v>
      </c>
      <c r="AP111" s="524" cm="1">
        <f t="array" aca="1" ref="AP111" ca="1">IF(AO111&lt;&gt;"",TRANSPOSE(INDEX(GetCDS($C136,AP$13,$G136/10000,G136,E136,$C$13,$C$14,$C$15,$C$8,,,TRUE,TRUE,FALSE,$C$29:$C$31,$C$33),{5})),"")</f>
        <v>0.96432702189613195</v>
      </c>
      <c r="AQ111" s="524" cm="1">
        <f t="array" aca="1" ref="AQ111" ca="1">IF(AP111&lt;&gt;"",TRANSPOSE(INDEX(GetCDS($C136,AQ$13,$G136/10000,H136,F136,$C$13,$C$14,$C$15,$C$8,,,TRUE,TRUE,FALSE,$C$29:$C$31,$C$33),{5})),"")</f>
        <v>2.8047751210484302</v>
      </c>
      <c r="AR111" s="524" cm="1">
        <f t="array" aca="1" ref="AR111" ca="1">IF(AQ111&lt;&gt;"",TRANSPOSE(INDEX(GetCDS($C136,AR$13,$G136/10000,I136,G136,$C$13,$C$14,$C$15,$C$8,,,TRUE,TRUE,FALSE,$C$29:$C$31,$C$33),{5})),"")</f>
        <v>4.4787324059629299</v>
      </c>
      <c r="AS111" s="525" cm="1">
        <f t="array" aca="1" ref="AS111" ca="1">IF(AR111&lt;&gt;"",TRANSPOSE(INDEX(GetCDS($C136,AS$13,$G136/10000,J136,H136,$C$13,$C$14,$C$15,$C$8,,,TRUE,TRUE,FALSE,$C$29:$C$31,$C$33),{5})),"")</f>
        <v>7.9685831116293802</v>
      </c>
    </row>
    <row r="112" spans="1:45" customFormat="1" ht="15">
      <c r="A112" s="227"/>
      <c r="B112" s="276">
        <v>74</v>
      </c>
      <c r="C112" s="254" t="s">
        <v>162</v>
      </c>
      <c r="D112" s="255">
        <v>1</v>
      </c>
      <c r="E112" s="247"/>
      <c r="F112" s="232">
        <v>0.4</v>
      </c>
      <c r="G112" s="435">
        <v>100</v>
      </c>
      <c r="H112" s="386">
        <v>98</v>
      </c>
      <c r="I112" s="413">
        <f ca="1"/>
        <v>1.4573681739895599E-4</v>
      </c>
      <c r="J112" s="413">
        <f ca="1"/>
        <v>4.8022664961725202E-4</v>
      </c>
      <c r="K112" s="413">
        <f ca="1"/>
        <v>0.30347507268726198</v>
      </c>
      <c r="L112" s="413">
        <f ca="1"/>
        <v>0.30347507268726198</v>
      </c>
      <c r="M112" s="413">
        <f ca="1"/>
        <v>-1.3414217793079601E-4</v>
      </c>
      <c r="N112" s="452" t="str">
        <f ca="1"/>
        <v>SUEZLYONNAISE_MMR.EUR.SU</v>
      </c>
      <c r="O112" s="413"/>
      <c r="P112" s="413"/>
      <c r="Q112" s="413"/>
      <c r="R112" s="452"/>
      <c r="S112" s="443"/>
      <c r="T112" s="422" cm="1">
        <f t="array" aca="1" ref="T112:X112" ca="1">IF(AND($U$12,B136&lt;=$C$17,C136&lt;&gt;""),TRANSPOSE(INDEX(GetCDS(C136,$C$6,G136/10000,F136,D136,$C$13,$C$14,$C$15,$C$8,,,TRUE,TRUE,FALSE,$C$29:$C$31,$C$33),{1;2;3;4;5})),"")</f>
        <v>-3.3085946241106501E-2</v>
      </c>
      <c r="U112" s="423">
        <f ca="1"/>
        <v>1.1701377818522801E-2</v>
      </c>
      <c r="V112" s="423">
        <f ca="1"/>
        <v>4.4787324059629298E-2</v>
      </c>
      <c r="W112" s="424">
        <f ca="1"/>
        <v>2.6126539292554598E-3</v>
      </c>
      <c r="X112" s="425">
        <f ca="1"/>
        <v>4.4787324059629299</v>
      </c>
      <c r="Y112" s="426" t="e">
        <f t="shared" ca="1" si="15"/>
        <v>#VALUE!</v>
      </c>
      <c r="Z112" s="427" t="e">
        <f t="shared" ca="1" si="16"/>
        <v>#VALUE!</v>
      </c>
      <c r="AA112" s="426">
        <f t="shared" ca="1" si="17"/>
        <v>0.10208121754170733</v>
      </c>
      <c r="AB112" s="428">
        <f t="shared" ca="1" si="18"/>
        <v>2.4820212327926867E-3</v>
      </c>
      <c r="AC112" s="427">
        <f t="shared" ca="1" si="19"/>
        <v>-5.9724544731516865E-5</v>
      </c>
      <c r="AD112" s="79"/>
      <c r="AE112" s="496">
        <f t="shared" ca="1" si="20"/>
        <v>-2.2528453966610099E-3</v>
      </c>
      <c r="AF112" s="493">
        <f t="shared" ca="1" si="21"/>
        <v>6.1138255070982694E-3</v>
      </c>
      <c r="AG112" s="493">
        <f t="shared" ca="1" si="22"/>
        <v>0</v>
      </c>
      <c r="AH112" s="498">
        <f t="shared" ca="1" si="23"/>
        <v>0</v>
      </c>
      <c r="AI112" s="497">
        <f t="shared" ca="1" si="27"/>
        <v>-2.2528453966610099E-3</v>
      </c>
      <c r="AJ112" s="493">
        <f t="shared" ca="1" si="24"/>
        <v>0.2358777910757231</v>
      </c>
      <c r="AK112" s="493">
        <f t="shared" ca="1" si="25"/>
        <v>0</v>
      </c>
      <c r="AL112" s="498">
        <f t="shared" ca="1" si="26"/>
        <v>0</v>
      </c>
      <c r="AN112" s="532" t="str">
        <f t="shared" ca="1" si="14"/>
        <v>SvenskaCellulosaAB_MMR.EUR.SU</v>
      </c>
      <c r="AO112" s="524" cm="1">
        <f t="array" aca="1" ref="AO112" ca="1">IF(AN112&lt;&gt;"",TRANSPOSE(INDEX(GetCDS($C137,AO$13,$G137/10000,F137,D137,$C$13,$C$14,$C$15,$C$8,,,TRUE,TRUE,FALSE,$C$29:$C$31,$C$33),{5})),"")</f>
        <v>0.47818956615522601</v>
      </c>
      <c r="AP112" s="524" cm="1">
        <f t="array" aca="1" ref="AP112" ca="1">IF(AO112&lt;&gt;"",TRANSPOSE(INDEX(GetCDS($C137,AP$13,$G137/10000,G137,E137,$C$13,$C$14,$C$15,$C$8,,,TRUE,TRUE,FALSE,$C$29:$C$31,$C$33),{5})),"")</f>
        <v>0.964075923019031</v>
      </c>
      <c r="AQ112" s="524" cm="1">
        <f t="array" aca="1" ref="AQ112" ca="1">IF(AP112&lt;&gt;"",TRANSPOSE(INDEX(GetCDS($C137,AQ$13,$G137/10000,H137,F137,$C$13,$C$14,$C$15,$C$8,,,TRUE,TRUE,FALSE,$C$29:$C$31,$C$33),{5})),"")</f>
        <v>2.8027878003192699</v>
      </c>
      <c r="AR112" s="524" cm="1">
        <f t="array" aca="1" ref="AR112" ca="1">IF(AQ112&lt;&gt;"",TRANSPOSE(INDEX(GetCDS($C137,AR$13,$G137/10000,I137,G137,$C$13,$C$14,$C$15,$C$8,,,TRUE,TRUE,FALSE,$C$29:$C$31,$C$33),{5})),"")</f>
        <v>4.4633334408520096</v>
      </c>
      <c r="AS112" s="525" cm="1">
        <f t="array" aca="1" ref="AS112" ca="1">IF(AR112&lt;&gt;"",TRANSPOSE(INDEX(GetCDS($C137,AS$13,$G137/10000,J137,H137,$C$13,$C$14,$C$15,$C$8,,,TRUE,TRUE,FALSE,$C$29:$C$31,$C$33),{5})),"")</f>
        <v>7.8380543280754198</v>
      </c>
    </row>
    <row r="113" spans="1:45" customFormat="1" ht="15">
      <c r="A113" s="227"/>
      <c r="B113" s="276">
        <v>75</v>
      </c>
      <c r="C113" s="254" t="s">
        <v>163</v>
      </c>
      <c r="D113" s="255">
        <v>1</v>
      </c>
      <c r="E113" s="247"/>
      <c r="F113" s="232">
        <v>0.4</v>
      </c>
      <c r="G113" s="435">
        <v>100</v>
      </c>
      <c r="H113" s="386">
        <v>99</v>
      </c>
      <c r="I113" s="413">
        <f ca="1"/>
        <v>1.8021643231989101E-4</v>
      </c>
      <c r="J113" s="413">
        <f ca="1"/>
        <v>4.7293495231993601E-4</v>
      </c>
      <c r="K113" s="413">
        <f ca="1"/>
        <v>0.38105966039485301</v>
      </c>
      <c r="L113" s="413">
        <f ca="1"/>
        <v>0.38105966039485301</v>
      </c>
      <c r="M113" s="413">
        <f ca="1"/>
        <v>-2.2883326198095501E-4</v>
      </c>
      <c r="N113" s="452" t="str">
        <f ca="1"/>
        <v>SVENSKACELLULOSAAB_MMR.EUR.SU</v>
      </c>
      <c r="O113" s="413"/>
      <c r="P113" s="413"/>
      <c r="Q113" s="413"/>
      <c r="R113" s="452"/>
      <c r="S113" s="443"/>
      <c r="T113" s="422" cm="1">
        <f t="array" aca="1" ref="T113:X113" ca="1">IF(AND($U$12,B137&lt;=$C$17,C137&lt;&gt;""),TRANSPOSE(INDEX(GetCDS(C137,$C$6,G137/10000,F137,D137,$C$13,$C$14,$C$15,$C$8,,,TRUE,TRUE,FALSE,$C$29:$C$31,$C$33),{1;2;3;4;5})),"")</f>
        <v>-2.5050694609931E-2</v>
      </c>
      <c r="U113" s="423">
        <f ca="1"/>
        <v>1.95826397985891E-2</v>
      </c>
      <c r="V113" s="423">
        <f ca="1"/>
        <v>4.4633334408520103E-2</v>
      </c>
      <c r="W113" s="424">
        <f ca="1"/>
        <v>4.38744719795144E-3</v>
      </c>
      <c r="X113" s="425">
        <f ca="1"/>
        <v>4.4633334408520096</v>
      </c>
      <c r="Y113" s="426" t="e">
        <f t="shared" ca="1" si="15"/>
        <v>#VALUE!</v>
      </c>
      <c r="Z113" s="427" t="e">
        <f t="shared" ca="1" si="16"/>
        <v>#VALUE!</v>
      </c>
      <c r="AA113" s="426">
        <f t="shared" ca="1" si="17"/>
        <v>0.12804422888940767</v>
      </c>
      <c r="AB113" s="428">
        <f t="shared" ca="1" si="18"/>
        <v>4.1680748380538675E-3</v>
      </c>
      <c r="AC113" s="427">
        <f t="shared" ca="1" si="19"/>
        <v>-1.2537220063146866E-4</v>
      </c>
      <c r="AD113" s="79"/>
      <c r="AE113" s="496">
        <f t="shared" ca="1" si="20"/>
        <v>-4.7590937190850101E-3</v>
      </c>
      <c r="AF113" s="493">
        <f t="shared" ca="1" si="21"/>
        <v>1.6574003276067124E-3</v>
      </c>
      <c r="AG113" s="493">
        <f t="shared" ca="1" si="22"/>
        <v>0</v>
      </c>
      <c r="AH113" s="498">
        <f t="shared" ca="1" si="23"/>
        <v>0</v>
      </c>
      <c r="AI113" s="497">
        <f t="shared" ca="1" si="27"/>
        <v>-4.7590937190850101E-3</v>
      </c>
      <c r="AJ113" s="493">
        <f t="shared" ca="1" si="24"/>
        <v>0.29205741894862253</v>
      </c>
      <c r="AK113" s="493">
        <f t="shared" ca="1" si="25"/>
        <v>0</v>
      </c>
      <c r="AL113" s="498">
        <f t="shared" ca="1" si="26"/>
        <v>0</v>
      </c>
      <c r="AN113" s="532" t="str">
        <f t="shared" ca="1" si="14"/>
        <v>SWISSRE_MMR.EUR.SU</v>
      </c>
      <c r="AO113" s="524" cm="1">
        <f t="array" aca="1" ref="AO113" ca="1">IF(AN113&lt;&gt;"",TRANSPOSE(INDEX(GetCDS($C138,AO$13,$G138/10000,F138,D138,$C$13,$C$14,$C$15,$C$8,,,TRUE,TRUE,FALSE,$C$29:$C$31,$C$33),{5})),"")</f>
        <v>0.47803545157449501</v>
      </c>
      <c r="AP113" s="524" cm="1">
        <f t="array" aca="1" ref="AP113" ca="1">IF(AO113&lt;&gt;"",TRANSPOSE(INDEX(GetCDS($C138,AP$13,$G138/10000,G138,E138,$C$13,$C$14,$C$15,$C$8,,,TRUE,TRUE,FALSE,$C$29:$C$31,$C$33),{5})),"")</f>
        <v>0.96340661176612696</v>
      </c>
      <c r="AQ113" s="524" cm="1">
        <f t="array" aca="1" ref="AQ113" ca="1">IF(AP113&lt;&gt;"",TRANSPOSE(INDEX(GetCDS($C138,AQ$13,$G138/10000,H138,F138,$C$13,$C$14,$C$15,$C$8,,,TRUE,TRUE,FALSE,$C$29:$C$31,$C$33),{5})),"")</f>
        <v>2.7977892547280199</v>
      </c>
      <c r="AR113" s="524" cm="1">
        <f t="array" aca="1" ref="AR113" ca="1">IF(AQ113&lt;&gt;"",TRANSPOSE(INDEX(GetCDS($C138,AR$13,$G138/10000,I138,G138,$C$13,$C$14,$C$15,$C$8,,,TRUE,TRUE,FALSE,$C$29:$C$31,$C$33),{5})),"")</f>
        <v>4.4618216747807304</v>
      </c>
      <c r="AS113" s="525" cm="1">
        <f t="array" aca="1" ref="AS113" ca="1">IF(AR113&lt;&gt;"",TRANSPOSE(INDEX(GetCDS($C138,AS$13,$G138/10000,J138,H138,$C$13,$C$14,$C$15,$C$8,,,TRUE,TRUE,FALSE,$C$29:$C$31,$C$33),{5})),"")</f>
        <v>7.9204548389827503</v>
      </c>
    </row>
    <row r="114" spans="1:45" customFormat="1" ht="15.75" thickBot="1">
      <c r="A114" s="227"/>
      <c r="B114" s="276">
        <v>76</v>
      </c>
      <c r="C114" s="254" t="s">
        <v>164</v>
      </c>
      <c r="D114" s="255">
        <v>1</v>
      </c>
      <c r="E114" s="247"/>
      <c r="F114" s="232">
        <v>0.4</v>
      </c>
      <c r="G114" s="435">
        <v>100</v>
      </c>
      <c r="H114" s="386">
        <v>100</v>
      </c>
      <c r="I114" s="413">
        <f ca="1"/>
        <v>1.6581276151719199E-4</v>
      </c>
      <c r="J114" s="413">
        <f ca="1"/>
        <v>4.7658336993078499E-4</v>
      </c>
      <c r="K114" s="413">
        <f ca="1"/>
        <v>0.34791973866245701</v>
      </c>
      <c r="L114" s="413">
        <f ca="1"/>
        <v>0.34791973866245701</v>
      </c>
      <c r="M114" s="413">
        <f ca="1"/>
        <v>-1.8287859551902101E-4</v>
      </c>
      <c r="N114" s="452" t="str">
        <f ca="1"/>
        <v>SWISSRE_MMR.EUR.SU</v>
      </c>
      <c r="O114" s="413"/>
      <c r="P114" s="413"/>
      <c r="Q114" s="413"/>
      <c r="R114" s="452"/>
      <c r="S114" s="443"/>
      <c r="T114" s="422" cm="1">
        <f t="array" aca="1" ref="T114:X114" ca="1">IF(AND($U$12,B138&lt;=$C$17,C138&lt;&gt;""),TRANSPOSE(INDEX(GetCDS(C138,$C$6,G138/10000,F138,D138,$C$13,$C$14,$C$15,$C$8,,,TRUE,TRUE,FALSE,$C$29:$C$31,$C$33),{1;2;3;4;5})),"")</f>
        <v>-2.92327008669356E-2</v>
      </c>
      <c r="U114" s="423">
        <f ca="1"/>
        <v>1.5385515880871699E-2</v>
      </c>
      <c r="V114" s="423">
        <f ca="1"/>
        <v>4.4618216747807297E-2</v>
      </c>
      <c r="W114" s="424">
        <f ca="1"/>
        <v>3.44825880600165E-3</v>
      </c>
      <c r="X114" s="425">
        <f ca="1"/>
        <v>4.4618216747807304</v>
      </c>
      <c r="Y114" s="426" t="e">
        <f t="shared" ca="1" si="15"/>
        <v>#VALUE!</v>
      </c>
      <c r="Z114" s="427" t="e">
        <f t="shared" ca="1" si="16"/>
        <v>#VALUE!</v>
      </c>
      <c r="AA114" s="426">
        <f t="shared" ca="1" si="17"/>
        <v>0.11694643593936033</v>
      </c>
      <c r="AB114" s="428">
        <f t="shared" ca="1" si="18"/>
        <v>3.2758458657015672E-3</v>
      </c>
      <c r="AC114" s="427">
        <f t="shared" ca="1" si="19"/>
        <v>-8.9964062367818749E-5</v>
      </c>
      <c r="AD114" s="79"/>
      <c r="AE114" s="499">
        <f t="shared" ca="1" si="20"/>
        <v>-3.5497826480959901E-3</v>
      </c>
      <c r="AF114" s="505">
        <f t="shared" ca="1" si="21"/>
        <v>3.8915616902353289E-3</v>
      </c>
      <c r="AG114" s="505">
        <f t="shared" ca="1" si="22"/>
        <v>0</v>
      </c>
      <c r="AH114" s="501">
        <f t="shared" ca="1" si="23"/>
        <v>0</v>
      </c>
      <c r="AI114" s="505">
        <f t="shared" ca="1" si="27"/>
        <v>-3.5497826480959901E-3</v>
      </c>
      <c r="AJ114" s="505">
        <f t="shared" ca="1" si="24"/>
        <v>0.26824797921357668</v>
      </c>
      <c r="AK114" s="505">
        <f t="shared" ca="1" si="25"/>
        <v>0</v>
      </c>
      <c r="AL114" s="501">
        <f t="shared" ca="1" si="26"/>
        <v>0</v>
      </c>
      <c r="AN114" s="532" t="str">
        <f t="shared" ca="1" si="14"/>
        <v/>
      </c>
      <c r="AO114" s="524" t="str" cm="1">
        <f t="array" aca="1" ref="AO114" ca="1">IF(AN114&lt;&gt;"",TRANSPOSE(INDEX(GetCDS($C139,AO$13,$G139/10000,F139,D139,$C$13,$C$14,$C$15,$C$8,,,TRUE,TRUE,FALSE,$C$29:$C$31,$C$33),{5})),"")</f>
        <v/>
      </c>
      <c r="AP114" s="524" t="str" cm="1">
        <f t="array" aca="1" ref="AP114" ca="1">IF(AO114&lt;&gt;"",TRANSPOSE(INDEX(GetCDS($C139,AP$13,$G139/10000,G139,E139,$C$13,$C$14,$C$15,$C$8,,,TRUE,TRUE,FALSE,$C$29:$C$31,$C$33),{5})),"")</f>
        <v/>
      </c>
      <c r="AQ114" s="524" t="str" cm="1">
        <f t="array" aca="1" ref="AQ114" ca="1">IF(AP114&lt;&gt;"",TRANSPOSE(INDEX(GetCDS($C139,AQ$13,$G139/10000,H139,F139,$C$13,$C$14,$C$15,$C$8,,,TRUE,TRUE,FALSE,$C$29:$C$31,$C$33),{5})),"")</f>
        <v/>
      </c>
      <c r="AR114" s="524" t="str" cm="1">
        <f t="array" aca="1" ref="AR114" ca="1">IF(AQ114&lt;&gt;"",TRANSPOSE(INDEX(GetCDS($C139,AR$13,$G139/10000,I139,G139,$C$13,$C$14,$C$15,$C$8,,,TRUE,TRUE,FALSE,$C$29:$C$31,$C$33),{5})),"")</f>
        <v/>
      </c>
      <c r="AS114" s="525" t="str" cm="1">
        <f t="array" aca="1" ref="AS114" ca="1">IF(AR114&lt;&gt;"",TRANSPOSE(INDEX(GetCDS($C139,AS$13,$G139/10000,J139,H139,$C$13,$C$14,$C$15,$C$8,,,TRUE,TRUE,FALSE,$C$29:$C$31,$C$33),{5})),"")</f>
        <v/>
      </c>
    </row>
    <row r="115" spans="1:45" customFormat="1" ht="15.75" thickBot="1">
      <c r="A115" s="227"/>
      <c r="B115" s="276">
        <v>77</v>
      </c>
      <c r="C115" s="254" t="s">
        <v>165</v>
      </c>
      <c r="D115" s="255">
        <v>1</v>
      </c>
      <c r="E115" s="247"/>
      <c r="F115" s="232">
        <v>0.4</v>
      </c>
      <c r="G115" s="435">
        <v>100</v>
      </c>
      <c r="H115" s="386">
        <v>101</v>
      </c>
      <c r="I115" s="404"/>
      <c r="J115" s="404"/>
      <c r="K115" s="413"/>
      <c r="L115" s="413"/>
      <c r="M115" s="413"/>
      <c r="N115" s="452"/>
      <c r="O115" s="413"/>
      <c r="P115" s="413"/>
      <c r="Q115" s="413"/>
      <c r="R115" s="452"/>
      <c r="S115" s="443"/>
      <c r="T115" s="42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3"/>
      <c r="V115" s="423"/>
      <c r="W115" s="424"/>
      <c r="X115" s="425"/>
      <c r="Y115" s="426" t="str">
        <f t="shared" ca="1" si="15"/>
        <v/>
      </c>
      <c r="Z115" s="427" t="str">
        <f t="shared" ca="1" si="16"/>
        <v/>
      </c>
      <c r="AA115" s="426" t="str">
        <f t="shared" ca="1" si="17"/>
        <v/>
      </c>
      <c r="AB115" s="428" t="str">
        <f t="shared" ca="1" si="18"/>
        <v/>
      </c>
      <c r="AC115" s="427" t="str">
        <f t="shared" ca="1" si="19"/>
        <v/>
      </c>
      <c r="AD115" s="79"/>
      <c r="AH115" s="493"/>
      <c r="AN115" s="532" t="str">
        <f t="shared" ca="1" si="14"/>
        <v/>
      </c>
      <c r="AO115" s="524" t="str" cm="1">
        <f t="array" aca="1" ref="AO115" ca="1">IF(AN115&lt;&gt;"",TRANSPOSE(INDEX(GetCDS($C140,AO$13,$G140/10000,F140,D140,$C$13,$C$14,$C$15,$C$8,,,TRUE,TRUE,FALSE,$C$29:$C$31,$C$33),{5})),"")</f>
        <v/>
      </c>
      <c r="AP115" s="524" t="str" cm="1">
        <f t="array" aca="1" ref="AP115" ca="1">IF(AO115&lt;&gt;"",TRANSPOSE(INDEX(GetCDS($C140,AP$13,$G140/10000,G140,E140,$C$13,$C$14,$C$15,$C$8,,,TRUE,TRUE,FALSE,$C$29:$C$31,$C$33),{5})),"")</f>
        <v/>
      </c>
      <c r="AQ115" s="524" t="str" cm="1">
        <f t="array" aca="1" ref="AQ115" ca="1">IF(AP115&lt;&gt;"",TRANSPOSE(INDEX(GetCDS($C140,AQ$13,$G140/10000,H140,F140,$C$13,$C$14,$C$15,$C$8,,,TRUE,TRUE,FALSE,$C$29:$C$31,$C$33),{5})),"")</f>
        <v/>
      </c>
      <c r="AR115" s="524" t="str" cm="1">
        <f t="array" aca="1" ref="AR115" ca="1">IF(AQ115&lt;&gt;"",TRANSPOSE(INDEX(GetCDS($C140,AR$13,$G140/10000,I140,G140,$C$13,$C$14,$C$15,$C$8,,,TRUE,TRUE,FALSE,$C$29:$C$31,$C$33),{5})),"")</f>
        <v/>
      </c>
      <c r="AS115" s="525" t="str" cm="1">
        <f t="array" aca="1" ref="AS115" ca="1">IF(AR115&lt;&gt;"",TRANSPOSE(INDEX(GetCDS($C140,AS$13,$G140/10000,J140,H140,$C$13,$C$14,$C$15,$C$8,,,TRUE,TRUE,FALSE,$C$29:$C$31,$C$33),{5})),"")</f>
        <v/>
      </c>
    </row>
    <row r="116" spans="1:45" customFormat="1" ht="15.75" thickBot="1">
      <c r="A116" s="227"/>
      <c r="B116" s="276">
        <v>78</v>
      </c>
      <c r="C116" s="254" t="s">
        <v>166</v>
      </c>
      <c r="D116" s="255">
        <v>1</v>
      </c>
      <c r="E116" s="247"/>
      <c r="F116" s="232">
        <v>0.4</v>
      </c>
      <c r="G116" s="435">
        <v>100</v>
      </c>
      <c r="H116" s="386">
        <v>102</v>
      </c>
      <c r="I116" s="404"/>
      <c r="J116" s="404"/>
      <c r="K116" s="413"/>
      <c r="L116" s="413"/>
      <c r="M116" s="413"/>
      <c r="N116" s="452"/>
      <c r="O116" s="413"/>
      <c r="P116" s="413"/>
      <c r="Q116" s="413"/>
      <c r="R116" s="452"/>
      <c r="S116" s="443"/>
      <c r="T116" s="42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3"/>
      <c r="V116" s="423"/>
      <c r="W116" s="424"/>
      <c r="X116" s="425"/>
      <c r="Y116" s="426" t="str">
        <f t="shared" ca="1" si="15"/>
        <v/>
      </c>
      <c r="Z116" s="427" t="str">
        <f t="shared" ca="1" si="16"/>
        <v/>
      </c>
      <c r="AA116" s="426" t="str">
        <f t="shared" ca="1" si="17"/>
        <v/>
      </c>
      <c r="AB116" s="428" t="str">
        <f t="shared" ca="1" si="18"/>
        <v/>
      </c>
      <c r="AC116" s="427" t="str">
        <f t="shared" ca="1" si="19"/>
        <v/>
      </c>
      <c r="AD116" s="79"/>
      <c r="AE116" s="485" t="s">
        <v>619</v>
      </c>
      <c r="AF116" s="140" t="b">
        <v>1</v>
      </c>
      <c r="AG116" t="s">
        <v>620</v>
      </c>
      <c r="AN116" s="532" t="str">
        <f t="shared" ca="1" si="14"/>
        <v/>
      </c>
      <c r="AO116" s="524" t="str" cm="1">
        <f t="array" aca="1" ref="AO116" ca="1">IF(AN116&lt;&gt;"",TRANSPOSE(INDEX(GetCDS($C141,AO$13,$G141/10000,F141,D141,$C$13,$C$14,$C$15,$C$8,,,TRUE,TRUE,FALSE,$C$29:$C$31,$C$33),{5})),"")</f>
        <v/>
      </c>
      <c r="AP116" s="524" t="str" cm="1">
        <f t="array" aca="1" ref="AP116" ca="1">IF(AO116&lt;&gt;"",TRANSPOSE(INDEX(GetCDS($C141,AP$13,$G141/10000,G141,E141,$C$13,$C$14,$C$15,$C$8,,,TRUE,TRUE,FALSE,$C$29:$C$31,$C$33),{5})),"")</f>
        <v/>
      </c>
      <c r="AQ116" s="524" t="str" cm="1">
        <f t="array" aca="1" ref="AQ116" ca="1">IF(AP116&lt;&gt;"",TRANSPOSE(INDEX(GetCDS($C141,AQ$13,$G141/10000,H141,F141,$C$13,$C$14,$C$15,$C$8,,,TRUE,TRUE,FALSE,$C$29:$C$31,$C$33),{5})),"")</f>
        <v/>
      </c>
      <c r="AR116" s="524" t="str" cm="1">
        <f t="array" aca="1" ref="AR116" ca="1">IF(AQ116&lt;&gt;"",TRANSPOSE(INDEX(GetCDS($C141,AR$13,$G141/10000,I141,G141,$C$13,$C$14,$C$15,$C$8,,,TRUE,TRUE,FALSE,$C$29:$C$31,$C$33),{5})),"")</f>
        <v/>
      </c>
      <c r="AS116" s="525" t="str" cm="1">
        <f t="array" aca="1" ref="AS116" ca="1">IF(AR116&lt;&gt;"",TRANSPOSE(INDEX(GetCDS($C141,AS$13,$G141/10000,J141,H141,$C$13,$C$14,$C$15,$C$8,,,TRUE,TRUE,FALSE,$C$29:$C$31,$C$33),{5})),"")</f>
        <v/>
      </c>
    </row>
    <row r="117" spans="1:45" customFormat="1" ht="15">
      <c r="A117" s="227"/>
      <c r="B117" s="276">
        <v>79</v>
      </c>
      <c r="C117" s="254" t="s">
        <v>167</v>
      </c>
      <c r="D117" s="255">
        <v>1</v>
      </c>
      <c r="E117" s="247"/>
      <c r="F117" s="232">
        <v>0.4</v>
      </c>
      <c r="G117" s="435">
        <v>100</v>
      </c>
      <c r="H117" s="386">
        <v>103</v>
      </c>
      <c r="I117" s="404"/>
      <c r="J117" s="404"/>
      <c r="K117" s="413"/>
      <c r="L117" s="413"/>
      <c r="M117" s="413"/>
      <c r="N117" s="452"/>
      <c r="O117" s="413"/>
      <c r="P117" s="413"/>
      <c r="Q117" s="413"/>
      <c r="R117" s="452"/>
      <c r="S117" s="443"/>
      <c r="T117" s="42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3"/>
      <c r="V117" s="423"/>
      <c r="W117" s="424"/>
      <c r="X117" s="425"/>
      <c r="Y117" s="426" t="str">
        <f t="shared" ca="1" si="15"/>
        <v/>
      </c>
      <c r="Z117" s="427" t="str">
        <f t="shared" ca="1" si="16"/>
        <v/>
      </c>
      <c r="AA117" s="426" t="str">
        <f t="shared" ca="1" si="17"/>
        <v/>
      </c>
      <c r="AB117" s="428" t="str">
        <f t="shared" ca="1" si="18"/>
        <v/>
      </c>
      <c r="AC117" s="427" t="str">
        <f t="shared" ca="1" si="19"/>
        <v/>
      </c>
      <c r="AD117" s="79"/>
      <c r="AE117" s="485" t="s">
        <v>612</v>
      </c>
      <c r="AF117" s="484"/>
      <c r="AG117" s="504"/>
      <c r="AH117" s="227"/>
      <c r="AI117" s="485" t="s">
        <v>613</v>
      </c>
      <c r="AJ117" s="489"/>
      <c r="AN117" s="532" t="str">
        <f t="shared" ca="1" si="14"/>
        <v/>
      </c>
      <c r="AO117" s="524" t="str" cm="1">
        <f t="array" aca="1" ref="AO117" ca="1">IF(AN117&lt;&gt;"",TRANSPOSE(INDEX(GetCDS($C142,AO$13,$G142/10000,F142,D142,$C$13,$C$14,$C$15,$C$8,,,TRUE,TRUE,FALSE,$C$29:$C$31,$C$33),{5})),"")</f>
        <v/>
      </c>
      <c r="AP117" s="524" t="str" cm="1">
        <f t="array" aca="1" ref="AP117" ca="1">IF(AO117&lt;&gt;"",TRANSPOSE(INDEX(GetCDS($C142,AP$13,$G142/10000,G142,E142,$C$13,$C$14,$C$15,$C$8,,,TRUE,TRUE,FALSE,$C$29:$C$31,$C$33),{5})),"")</f>
        <v/>
      </c>
      <c r="AQ117" s="524" t="str" cm="1">
        <f t="array" aca="1" ref="AQ117" ca="1">IF(AP117&lt;&gt;"",TRANSPOSE(INDEX(GetCDS($C142,AQ$13,$G142/10000,H142,F142,$C$13,$C$14,$C$15,$C$8,,,TRUE,TRUE,FALSE,$C$29:$C$31,$C$33),{5})),"")</f>
        <v/>
      </c>
      <c r="AR117" s="524" t="str" cm="1">
        <f t="array" aca="1" ref="AR117" ca="1">IF(AQ117&lt;&gt;"",TRANSPOSE(INDEX(GetCDS($C142,AR$13,$G142/10000,I142,G142,$C$13,$C$14,$C$15,$C$8,,,TRUE,TRUE,FALSE,$C$29:$C$31,$C$33),{5})),"")</f>
        <v/>
      </c>
      <c r="AS117" s="525" t="str" cm="1">
        <f t="array" aca="1" ref="AS117" ca="1">IF(AR117&lt;&gt;"",TRANSPOSE(INDEX(GetCDS($C142,AS$13,$G142/10000,J142,H142,$C$13,$C$14,$C$15,$C$8,,,TRUE,TRUE,FALSE,$C$29:$C$31,$C$33),{5})),"")</f>
        <v/>
      </c>
    </row>
    <row r="118" spans="1:45" customFormat="1" ht="15">
      <c r="A118" s="227"/>
      <c r="B118" s="276">
        <v>80</v>
      </c>
      <c r="C118" s="254" t="s">
        <v>168</v>
      </c>
      <c r="D118" s="255">
        <v>1</v>
      </c>
      <c r="E118" s="247"/>
      <c r="F118" s="232">
        <v>0.4</v>
      </c>
      <c r="G118" s="435">
        <v>100</v>
      </c>
      <c r="H118" s="386">
        <v>104</v>
      </c>
      <c r="I118" s="404"/>
      <c r="J118" s="404"/>
      <c r="K118" s="413"/>
      <c r="L118" s="413"/>
      <c r="M118" s="413"/>
      <c r="N118" s="452"/>
      <c r="O118" s="413"/>
      <c r="P118" s="413"/>
      <c r="Q118" s="413"/>
      <c r="R118" s="452"/>
      <c r="S118" s="443"/>
      <c r="T118" s="42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3"/>
      <c r="V118" s="423"/>
      <c r="W118" s="424"/>
      <c r="X118" s="425"/>
      <c r="Y118" s="426" t="str">
        <f t="shared" ca="1" si="15"/>
        <v/>
      </c>
      <c r="Z118" s="427" t="str">
        <f t="shared" ca="1" si="16"/>
        <v/>
      </c>
      <c r="AA118" s="426" t="str">
        <f t="shared" ca="1" si="17"/>
        <v/>
      </c>
      <c r="AB118" s="428" t="str">
        <f t="shared" ca="1" si="18"/>
        <v/>
      </c>
      <c r="AC118" s="427" t="str">
        <f t="shared" ca="1" si="19"/>
        <v/>
      </c>
      <c r="AD118" s="79"/>
      <c r="AE118" s="486" t="s">
        <v>615</v>
      </c>
      <c r="AF118" s="497">
        <f ca="1">IF(AF120="Hedged",0,MAX(MAX(AF119,0)+0.5*MIN(AF119,0),0))</f>
        <v>0</v>
      </c>
      <c r="AG118" s="504"/>
      <c r="AH118" s="227"/>
      <c r="AI118" s="486" t="s">
        <v>615</v>
      </c>
      <c r="AJ118" s="502">
        <f ca="1">IF(AJ120="Hedged",0,MAX(MAX(AJ119,0)+0.5*MIN(AJ119,0),0))</f>
        <v>0</v>
      </c>
      <c r="AN118" s="532" t="str">
        <f t="shared" ca="1" si="14"/>
        <v/>
      </c>
      <c r="AO118" s="524" t="str" cm="1">
        <f t="array" aca="1" ref="AO118" ca="1">IF(AN118&lt;&gt;"",TRANSPOSE(INDEX(GetCDS($C143,AO$13,$G143/10000,F143,D143,$C$13,$C$14,$C$15,$C$8,,,TRUE,TRUE,FALSE,$C$29:$C$31,$C$33),{5})),"")</f>
        <v/>
      </c>
      <c r="AP118" s="524" t="str" cm="1">
        <f t="array" aca="1" ref="AP118" ca="1">IF(AO118&lt;&gt;"",TRANSPOSE(INDEX(GetCDS($C143,AP$13,$G143/10000,G143,E143,$C$13,$C$14,$C$15,$C$8,,,TRUE,TRUE,FALSE,$C$29:$C$31,$C$33),{5})),"")</f>
        <v/>
      </c>
      <c r="AQ118" s="524" t="str" cm="1">
        <f t="array" aca="1" ref="AQ118" ca="1">IF(AP118&lt;&gt;"",TRANSPOSE(INDEX(GetCDS($C143,AQ$13,$G143/10000,H143,F143,$C$13,$C$14,$C$15,$C$8,,,TRUE,TRUE,FALSE,$C$29:$C$31,$C$33),{5})),"")</f>
        <v/>
      </c>
      <c r="AR118" s="524" t="str" cm="1">
        <f t="array" aca="1" ref="AR118" ca="1">IF(AQ118&lt;&gt;"",TRANSPOSE(INDEX(GetCDS($C143,AR$13,$G143/10000,I143,G143,$C$13,$C$14,$C$15,$C$8,,,TRUE,TRUE,FALSE,$C$29:$C$31,$C$33),{5})),"")</f>
        <v/>
      </c>
      <c r="AS118" s="525" t="str" cm="1">
        <f t="array" aca="1" ref="AS118" ca="1">IF(AR118&lt;&gt;"",TRANSPOSE(INDEX(GetCDS($C143,AS$13,$G143/10000,J143,H143,$C$13,$C$14,$C$15,$C$8,,,TRUE,TRUE,FALSE,$C$29:$C$31,$C$33),{5})),"")</f>
        <v/>
      </c>
    </row>
    <row r="119" spans="1:45" customFormat="1" ht="15">
      <c r="A119" s="227"/>
      <c r="B119" s="276">
        <v>81</v>
      </c>
      <c r="C119" s="254" t="s">
        <v>169</v>
      </c>
      <c r="D119" s="255">
        <v>1</v>
      </c>
      <c r="E119" s="247"/>
      <c r="F119" s="232">
        <v>0.4</v>
      </c>
      <c r="G119" s="435">
        <v>100</v>
      </c>
      <c r="H119" s="386">
        <v>105</v>
      </c>
      <c r="I119" s="404"/>
      <c r="J119" s="404"/>
      <c r="K119" s="413"/>
      <c r="L119" s="413"/>
      <c r="M119" s="413"/>
      <c r="N119" s="452"/>
      <c r="O119" s="413"/>
      <c r="P119" s="413"/>
      <c r="Q119" s="413"/>
      <c r="R119" s="452"/>
      <c r="S119" s="443"/>
      <c r="T119" s="42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3"/>
      <c r="V119" s="423"/>
      <c r="W119" s="424"/>
      <c r="X119" s="425"/>
      <c r="Y119" s="426" t="str">
        <f t="shared" ca="1" si="15"/>
        <v/>
      </c>
      <c r="Z119" s="427" t="str">
        <f t="shared" ca="1" si="16"/>
        <v/>
      </c>
      <c r="AA119" s="426" t="str">
        <f t="shared" ca="1" si="17"/>
        <v/>
      </c>
      <c r="AB119" s="428" t="str">
        <f t="shared" ca="1" si="18"/>
        <v/>
      </c>
      <c r="AC119" s="427" t="str">
        <f t="shared" ca="1" si="19"/>
        <v/>
      </c>
      <c r="AD119" s="79"/>
      <c r="AE119" s="486" t="s">
        <v>614</v>
      </c>
      <c r="AF119" s="497">
        <f ca="1">IF(AF120="Hedged",0,15%*SUM(AG122:AG221)-AF120*15%*ABS(SUM(AH122:AH221)))</f>
        <v>0</v>
      </c>
      <c r="AG119" s="504"/>
      <c r="AH119" s="227"/>
      <c r="AI119" s="486" t="s">
        <v>614</v>
      </c>
      <c r="AJ119" s="503">
        <f ca="1">IF(AJ120="Hedged",0,15%*SUM(AK122:AK221)-AJ120*15%*ABS(SUM(AL122:AL221)))</f>
        <v>0</v>
      </c>
      <c r="AN119" s="532" t="str">
        <f t="shared" ca="1" si="14"/>
        <v/>
      </c>
      <c r="AO119" s="524" t="str" cm="1">
        <f t="array" aca="1" ref="AO119" ca="1">IF(AN119&lt;&gt;"",TRANSPOSE(INDEX(GetCDS($C144,AO$13,$G144/10000,F144,D144,$C$13,$C$14,$C$15,$C$8,,,TRUE,TRUE,FALSE,$C$29:$C$31,$C$33),{5})),"")</f>
        <v/>
      </c>
      <c r="AP119" s="524" t="str" cm="1">
        <f t="array" aca="1" ref="AP119" ca="1">IF(AO119&lt;&gt;"",TRANSPOSE(INDEX(GetCDS($C144,AP$13,$G144/10000,G144,E144,$C$13,$C$14,$C$15,$C$8,,,TRUE,TRUE,FALSE,$C$29:$C$31,$C$33),{5})),"")</f>
        <v/>
      </c>
      <c r="AQ119" s="524" t="str" cm="1">
        <f t="array" aca="1" ref="AQ119" ca="1">IF(AP119&lt;&gt;"",TRANSPOSE(INDEX(GetCDS($C144,AQ$13,$G144/10000,H144,F144,$C$13,$C$14,$C$15,$C$8,,,TRUE,TRUE,FALSE,$C$29:$C$31,$C$33),{5})),"")</f>
        <v/>
      </c>
      <c r="AR119" s="524" t="str" cm="1">
        <f t="array" aca="1" ref="AR119" ca="1">IF(AQ119&lt;&gt;"",TRANSPOSE(INDEX(GetCDS($C144,AR$13,$G144/10000,I144,G144,$C$13,$C$14,$C$15,$C$8,,,TRUE,TRUE,FALSE,$C$29:$C$31,$C$33),{5})),"")</f>
        <v/>
      </c>
      <c r="AS119" s="525" t="str" cm="1">
        <f t="array" aca="1" ref="AS119" ca="1">IF(AR119&lt;&gt;"",TRANSPOSE(INDEX(GetCDS($C144,AS$13,$G144/10000,J144,H144,$C$13,$C$14,$C$15,$C$8,,,TRUE,TRUE,FALSE,$C$29:$C$31,$C$33),{5})),"")</f>
        <v/>
      </c>
    </row>
    <row r="120" spans="1:45" customFormat="1" ht="15.75" thickBot="1">
      <c r="A120" s="227"/>
      <c r="B120" s="276">
        <v>82</v>
      </c>
      <c r="C120" s="254" t="s">
        <v>170</v>
      </c>
      <c r="D120" s="255">
        <v>1</v>
      </c>
      <c r="E120" s="247"/>
      <c r="F120" s="232">
        <v>0.4</v>
      </c>
      <c r="G120" s="435">
        <v>100</v>
      </c>
      <c r="H120" s="386">
        <v>106</v>
      </c>
      <c r="I120" s="404"/>
      <c r="J120" s="404"/>
      <c r="K120" s="413"/>
      <c r="L120" s="413"/>
      <c r="M120" s="413"/>
      <c r="N120" s="452"/>
      <c r="O120" s="413"/>
      <c r="P120" s="413"/>
      <c r="Q120" s="413"/>
      <c r="R120" s="452"/>
      <c r="S120" s="443"/>
      <c r="T120" s="42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3"/>
      <c r="V120" s="423"/>
      <c r="W120" s="424"/>
      <c r="X120" s="425"/>
      <c r="Y120" s="426" t="str">
        <f t="shared" ca="1" si="15"/>
        <v/>
      </c>
      <c r="Z120" s="427" t="str">
        <f t="shared" ca="1" si="16"/>
        <v/>
      </c>
      <c r="AA120" s="426" t="str">
        <f t="shared" ca="1" si="17"/>
        <v/>
      </c>
      <c r="AB120" s="428" t="str">
        <f t="shared" ca="1" si="18"/>
        <v/>
      </c>
      <c r="AC120" s="427" t="str">
        <f t="shared" ca="1" si="19"/>
        <v/>
      </c>
      <c r="AD120" s="79"/>
      <c r="AE120" s="486" t="s">
        <v>611</v>
      </c>
      <c r="AF120" s="513" t="str">
        <f ca="1">IF((SUM(AG122:AG221)-SUM(AH122:AH221))=0, "Hedged",SUM(AG122:AG221)/(SUM(AG122:AG221)+ABS(SUM(AH122:AH221))))</f>
        <v>Hedged</v>
      </c>
      <c r="AG120" s="510"/>
      <c r="AH120" s="511"/>
      <c r="AI120" s="486" t="s">
        <v>611</v>
      </c>
      <c r="AJ120" s="509" t="str">
        <f ca="1">IF((SUM(AK122:AK221)-SUM(AL122:AL221))=0,"Hedged",SUM(AK122:AK221)/(SUM(AK122:AK221)+ABS(SUM(AL122:AL221))))</f>
        <v>Hedged</v>
      </c>
      <c r="AN120" s="532" t="str">
        <f t="shared" ca="1" si="14"/>
        <v/>
      </c>
      <c r="AO120" s="524" t="str" cm="1">
        <f t="array" aca="1" ref="AO120" ca="1">IF(AN120&lt;&gt;"",TRANSPOSE(INDEX(GetCDS($C145,AO$13,$G145/10000,F145,D145,$C$13,$C$14,$C$15,$C$8,,,TRUE,TRUE,FALSE,$C$29:$C$31,$C$33),{5})),"")</f>
        <v/>
      </c>
      <c r="AP120" s="524" t="str" cm="1">
        <f t="array" aca="1" ref="AP120" ca="1">IF(AO120&lt;&gt;"",TRANSPOSE(INDEX(GetCDS($C145,AP$13,$G145/10000,G145,E145,$C$13,$C$14,$C$15,$C$8,,,TRUE,TRUE,FALSE,$C$29:$C$31,$C$33),{5})),"")</f>
        <v/>
      </c>
      <c r="AQ120" s="524" t="str" cm="1">
        <f t="array" aca="1" ref="AQ120" ca="1">IF(AP120&lt;&gt;"",TRANSPOSE(INDEX(GetCDS($C145,AQ$13,$G145/10000,H145,F145,$C$13,$C$14,$C$15,$C$8,,,TRUE,TRUE,FALSE,$C$29:$C$31,$C$33),{5})),"")</f>
        <v/>
      </c>
      <c r="AR120" s="524" t="str" cm="1">
        <f t="array" aca="1" ref="AR120" ca="1">IF(AQ120&lt;&gt;"",TRANSPOSE(INDEX(GetCDS($C145,AR$13,$G145/10000,I145,G145,$C$13,$C$14,$C$15,$C$8,,,TRUE,TRUE,FALSE,$C$29:$C$31,$C$33),{5})),"")</f>
        <v/>
      </c>
      <c r="AS120" s="525" t="str" cm="1">
        <f t="array" aca="1" ref="AS120" ca="1">IF(AR120&lt;&gt;"",TRANSPOSE(INDEX(GetCDS($C145,AS$13,$G145/10000,J145,H145,$C$13,$C$14,$C$15,$C$8,,,TRUE,TRUE,FALSE,$C$29:$C$31,$C$33),{5})),"")</f>
        <v/>
      </c>
    </row>
    <row r="121" spans="1:45" customFormat="1" ht="15.75" thickBot="1">
      <c r="A121" s="227"/>
      <c r="B121" s="276">
        <v>83</v>
      </c>
      <c r="C121" s="254" t="s">
        <v>171</v>
      </c>
      <c r="D121" s="255">
        <v>1</v>
      </c>
      <c r="E121" s="247"/>
      <c r="F121" s="232">
        <v>0.4</v>
      </c>
      <c r="G121" s="435">
        <v>100</v>
      </c>
      <c r="H121" s="386">
        <v>107</v>
      </c>
      <c r="I121" s="404"/>
      <c r="J121" s="404"/>
      <c r="K121" s="413"/>
      <c r="L121" s="413"/>
      <c r="M121" s="413"/>
      <c r="N121" s="452"/>
      <c r="O121" s="413"/>
      <c r="P121" s="413"/>
      <c r="Q121" s="413"/>
      <c r="R121" s="452"/>
      <c r="S121" s="443"/>
      <c r="T121" s="42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3"/>
      <c r="V121" s="423"/>
      <c r="W121" s="424"/>
      <c r="X121" s="425"/>
      <c r="Y121" s="426" t="str">
        <f t="shared" ca="1" si="15"/>
        <v/>
      </c>
      <c r="Z121" s="427" t="str">
        <f t="shared" ca="1" si="16"/>
        <v/>
      </c>
      <c r="AA121" s="426" t="str">
        <f t="shared" ca="1" si="17"/>
        <v/>
      </c>
      <c r="AB121" s="428" t="str">
        <f t="shared" ca="1" si="18"/>
        <v/>
      </c>
      <c r="AC121" s="427" t="str">
        <f t="shared" ca="1" si="19"/>
        <v/>
      </c>
      <c r="AD121" s="79"/>
      <c r="AE121" s="487" t="s">
        <v>609</v>
      </c>
      <c r="AF121" s="483" t="s">
        <v>610</v>
      </c>
      <c r="AG121" s="483" t="s">
        <v>617</v>
      </c>
      <c r="AH121" s="488" t="s">
        <v>618</v>
      </c>
      <c r="AI121" s="483" t="s">
        <v>609</v>
      </c>
      <c r="AJ121" s="488" t="s">
        <v>610</v>
      </c>
      <c r="AK121" s="506" t="s">
        <v>617</v>
      </c>
      <c r="AL121" s="507" t="s">
        <v>618</v>
      </c>
      <c r="AN121" s="532" t="str">
        <f t="shared" ca="1" si="14"/>
        <v/>
      </c>
      <c r="AO121" s="524" t="str" cm="1">
        <f t="array" aca="1" ref="AO121" ca="1">IF(AN121&lt;&gt;"",TRANSPOSE(INDEX(GetCDS($C146,AO$13,$G146/10000,F146,D146,$C$13,$C$14,$C$15,$C$8,,,TRUE,TRUE,FALSE,$C$29:$C$31,$C$33),{5})),"")</f>
        <v/>
      </c>
      <c r="AP121" s="524" t="str" cm="1">
        <f t="array" aca="1" ref="AP121" ca="1">IF(AO121&lt;&gt;"",TRANSPOSE(INDEX(GetCDS($C146,AP$13,$G146/10000,G146,E146,$C$13,$C$14,$C$15,$C$8,,,TRUE,TRUE,FALSE,$C$29:$C$31,$C$33),{5})),"")</f>
        <v/>
      </c>
      <c r="AQ121" s="524" t="str" cm="1">
        <f t="array" aca="1" ref="AQ121" ca="1">IF(AP121&lt;&gt;"",TRANSPOSE(INDEX(GetCDS($C146,AQ$13,$G146/10000,H146,F146,$C$13,$C$14,$C$15,$C$8,,,TRUE,TRUE,FALSE,$C$29:$C$31,$C$33),{5})),"")</f>
        <v/>
      </c>
      <c r="AR121" s="524" t="str" cm="1">
        <f t="array" aca="1" ref="AR121" ca="1">IF(AQ121&lt;&gt;"",TRANSPOSE(INDEX(GetCDS($C146,AR$13,$G146/10000,I146,G146,$C$13,$C$14,$C$15,$C$8,,,TRUE,TRUE,FALSE,$C$29:$C$31,$C$33),{5})),"")</f>
        <v/>
      </c>
      <c r="AS121" s="525" t="str" cm="1">
        <f t="array" aca="1" ref="AS121" ca="1">IF(AR121&lt;&gt;"",TRANSPOSE(INDEX(GetCDS($C146,AS$13,$G146/10000,J146,H146,$C$13,$C$14,$C$15,$C$8,,,TRUE,TRUE,FALSE,$C$29:$C$31,$C$33),{5})),"")</f>
        <v/>
      </c>
    </row>
    <row r="122" spans="1:45" customFormat="1" ht="15">
      <c r="A122" s="227"/>
      <c r="B122" s="276">
        <v>84</v>
      </c>
      <c r="C122" s="254" t="s">
        <v>172</v>
      </c>
      <c r="D122" s="255">
        <v>1</v>
      </c>
      <c r="E122" s="247"/>
      <c r="F122" s="232">
        <v>0.4</v>
      </c>
      <c r="G122" s="435">
        <v>100</v>
      </c>
      <c r="H122" s="386">
        <v>108</v>
      </c>
      <c r="I122" s="404"/>
      <c r="J122" s="404"/>
      <c r="K122" s="413"/>
      <c r="L122" s="413"/>
      <c r="M122" s="413"/>
      <c r="N122" s="452"/>
      <c r="O122" s="413"/>
      <c r="P122" s="413"/>
      <c r="Q122" s="413"/>
      <c r="R122" s="452"/>
      <c r="S122" s="443"/>
      <c r="T122" s="42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3"/>
      <c r="V122" s="423"/>
      <c r="W122" s="424"/>
      <c r="X122" s="425"/>
      <c r="Y122" s="426" t="str">
        <f t="shared" ca="1" si="15"/>
        <v/>
      </c>
      <c r="Z122" s="427" t="str">
        <f t="shared" ca="1" si="16"/>
        <v/>
      </c>
      <c r="AA122" s="426" t="str">
        <f t="shared" ca="1" si="17"/>
        <v/>
      </c>
      <c r="AB122" s="428" t="str">
        <f t="shared" ca="1" si="18"/>
        <v/>
      </c>
      <c r="AC122" s="427" t="str">
        <f t="shared" ca="1" si="19"/>
        <v/>
      </c>
      <c r="AD122" s="79"/>
      <c r="AE122" s="492">
        <f ca="1">O15</f>
        <v>-4.6465410749109998E-3</v>
      </c>
      <c r="AF122" s="493">
        <f ca="1">ABS(Q15-T15)</f>
        <v>1.9937547828347502E-2</v>
      </c>
      <c r="AG122" s="493">
        <f ca="1">IF($AF$116,MAX(O122-ABS(AF122),0),AE122)</f>
        <v>0</v>
      </c>
      <c r="AH122" s="495">
        <f ca="1">IF($AF$116,0,AF122)</f>
        <v>0</v>
      </c>
      <c r="AI122" s="494">
        <f ca="1">O15</f>
        <v>-4.6465410749109998E-3</v>
      </c>
      <c r="AJ122" s="508">
        <f ca="1">ABS(K15-T15)</f>
        <v>0.40424229757850022</v>
      </c>
      <c r="AK122" s="508">
        <f ca="1">IF($AF$116,MAX(AI122-ABS(AJ122),0),AI122)</f>
        <v>0</v>
      </c>
      <c r="AL122" s="495">
        <f ca="1">IF($AF$116,0,AJ122)</f>
        <v>0</v>
      </c>
      <c r="AN122" s="532" t="str">
        <f t="shared" ca="1" si="14"/>
        <v/>
      </c>
      <c r="AO122" s="524" t="str" cm="1">
        <f t="array" aca="1" ref="AO122" ca="1">IF(AN122&lt;&gt;"",TRANSPOSE(INDEX(GetCDS($C147,AO$13,$G147/10000,F147,D147,$C$13,$C$14,$C$15,$C$8,,,TRUE,TRUE,FALSE,$C$29:$C$31,$C$33),{5})),"")</f>
        <v/>
      </c>
      <c r="AP122" s="524" t="str" cm="1">
        <f t="array" aca="1" ref="AP122" ca="1">IF(AO122&lt;&gt;"",TRANSPOSE(INDEX(GetCDS($C147,AP$13,$G147/10000,G147,E147,$C$13,$C$14,$C$15,$C$8,,,TRUE,TRUE,FALSE,$C$29:$C$31,$C$33),{5})),"")</f>
        <v/>
      </c>
      <c r="AQ122" s="524" t="str" cm="1">
        <f t="array" aca="1" ref="AQ122" ca="1">IF(AP122&lt;&gt;"",TRANSPOSE(INDEX(GetCDS($C147,AQ$13,$G147/10000,H147,F147,$C$13,$C$14,$C$15,$C$8,,,TRUE,TRUE,FALSE,$C$29:$C$31,$C$33),{5})),"")</f>
        <v/>
      </c>
      <c r="AR122" s="524" t="str" cm="1">
        <f t="array" aca="1" ref="AR122" ca="1">IF(AQ122&lt;&gt;"",TRANSPOSE(INDEX(GetCDS($C147,AR$13,$G147/10000,I147,G147,$C$13,$C$14,$C$15,$C$8,,,TRUE,TRUE,FALSE,$C$29:$C$31,$C$33),{5})),"")</f>
        <v/>
      </c>
      <c r="AS122" s="525" t="str" cm="1">
        <f t="array" aca="1" ref="AS122" ca="1">IF(AR122&lt;&gt;"",TRANSPOSE(INDEX(GetCDS($C147,AS$13,$G147/10000,J147,H147,$C$13,$C$14,$C$15,$C$8,,,TRUE,TRUE,FALSE,$C$29:$C$31,$C$33),{5})),"")</f>
        <v/>
      </c>
    </row>
    <row r="123" spans="1:45" customFormat="1" ht="15">
      <c r="A123" s="227"/>
      <c r="B123" s="276">
        <v>85</v>
      </c>
      <c r="C123" s="254" t="s">
        <v>173</v>
      </c>
      <c r="D123" s="255">
        <v>1</v>
      </c>
      <c r="E123" s="247"/>
      <c r="F123" s="232">
        <v>0.4</v>
      </c>
      <c r="G123" s="435">
        <v>100</v>
      </c>
      <c r="H123" s="386">
        <v>109</v>
      </c>
      <c r="I123" s="404"/>
      <c r="J123" s="404"/>
      <c r="K123" s="413"/>
      <c r="L123" s="413"/>
      <c r="M123" s="413"/>
      <c r="N123" s="452"/>
      <c r="O123" s="413"/>
      <c r="P123" s="413"/>
      <c r="Q123" s="413"/>
      <c r="R123" s="452"/>
      <c r="S123" s="443"/>
      <c r="T123" s="42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3"/>
      <c r="V123" s="423"/>
      <c r="W123" s="424"/>
      <c r="X123" s="425"/>
      <c r="Y123" s="426" t="str">
        <f t="shared" ca="1" si="15"/>
        <v/>
      </c>
      <c r="Z123" s="427" t="str">
        <f t="shared" ca="1" si="16"/>
        <v/>
      </c>
      <c r="AA123" s="426" t="str">
        <f t="shared" ca="1" si="17"/>
        <v/>
      </c>
      <c r="AB123" s="428" t="str">
        <f t="shared" ca="1" si="18"/>
        <v/>
      </c>
      <c r="AC123" s="427" t="str">
        <f t="shared" ca="1" si="19"/>
        <v/>
      </c>
      <c r="AD123" s="79"/>
      <c r="AE123" s="496">
        <f ca="1">O16</f>
        <v>-3.8375404434929901E-3</v>
      </c>
      <c r="AF123" s="493">
        <f ca="1">ABS(Q16-T16)</f>
        <v>2.2934171235294429E-2</v>
      </c>
      <c r="AG123" s="493">
        <f t="shared" ref="AG123:AG186" ca="1" si="28">IF($AF$116,MAX(O123-ABS(AF123),0),AE123)</f>
        <v>0</v>
      </c>
      <c r="AH123" s="498">
        <f ca="1">IF($AF$116,0,AF123)</f>
        <v>0</v>
      </c>
      <c r="AI123" s="497">
        <f ca="1">O16</f>
        <v>-3.8375404434929901E-3</v>
      </c>
      <c r="AJ123" s="493">
        <f ca="1">ABS(K16-T16)</f>
        <v>0.38524534511105807</v>
      </c>
      <c r="AK123" s="493">
        <f ca="1">IF($AF$116,MAX(AI123-ABS(AJ123),0),AI123)</f>
        <v>0</v>
      </c>
      <c r="AL123" s="498">
        <f ca="1">IF($AF$116,0,AJ123)</f>
        <v>0</v>
      </c>
      <c r="AN123" s="532" t="str">
        <f t="shared" ca="1" si="14"/>
        <v/>
      </c>
      <c r="AO123" s="524" t="str" cm="1">
        <f t="array" aca="1" ref="AO123" ca="1">IF(AN123&lt;&gt;"",TRANSPOSE(INDEX(GetCDS($C148,AO$13,$G148/10000,F148,D148,$C$13,$C$14,$C$15,$C$8,,,TRUE,TRUE,FALSE,$C$29:$C$31,$C$33),{5})),"")</f>
        <v/>
      </c>
      <c r="AP123" s="524" t="str" cm="1">
        <f t="array" aca="1" ref="AP123" ca="1">IF(AO123&lt;&gt;"",TRANSPOSE(INDEX(GetCDS($C148,AP$13,$G148/10000,G148,E148,$C$13,$C$14,$C$15,$C$8,,,TRUE,TRUE,FALSE,$C$29:$C$31,$C$33),{5})),"")</f>
        <v/>
      </c>
      <c r="AQ123" s="524" t="str" cm="1">
        <f t="array" aca="1" ref="AQ123" ca="1">IF(AP123&lt;&gt;"",TRANSPOSE(INDEX(GetCDS($C148,AQ$13,$G148/10000,H148,F148,$C$13,$C$14,$C$15,$C$8,,,TRUE,TRUE,FALSE,$C$29:$C$31,$C$33),{5})),"")</f>
        <v/>
      </c>
      <c r="AR123" s="524" t="str" cm="1">
        <f t="array" aca="1" ref="AR123" ca="1">IF(AQ123&lt;&gt;"",TRANSPOSE(INDEX(GetCDS($C148,AR$13,$G148/10000,I148,G148,$C$13,$C$14,$C$15,$C$8,,,TRUE,TRUE,FALSE,$C$29:$C$31,$C$33),{5})),"")</f>
        <v/>
      </c>
      <c r="AS123" s="525" t="str" cm="1">
        <f t="array" aca="1" ref="AS123" ca="1">IF(AR123&lt;&gt;"",TRANSPOSE(INDEX(GetCDS($C148,AS$13,$G148/10000,J148,H148,$C$13,$C$14,$C$15,$C$8,,,TRUE,TRUE,FALSE,$C$29:$C$31,$C$33),{5})),"")</f>
        <v/>
      </c>
    </row>
    <row r="124" spans="1:45" customFormat="1" ht="15">
      <c r="A124" s="227"/>
      <c r="B124" s="276">
        <v>86</v>
      </c>
      <c r="C124" s="254" t="s">
        <v>174</v>
      </c>
      <c r="D124" s="255">
        <v>1</v>
      </c>
      <c r="E124" s="247"/>
      <c r="F124" s="232">
        <v>0.4</v>
      </c>
      <c r="G124" s="435">
        <v>100</v>
      </c>
      <c r="H124" s="386">
        <v>110</v>
      </c>
      <c r="I124" s="404"/>
      <c r="J124" s="404"/>
      <c r="K124" s="413"/>
      <c r="L124" s="413"/>
      <c r="M124" s="413"/>
      <c r="N124" s="452"/>
      <c r="O124" s="413"/>
      <c r="P124" s="413"/>
      <c r="Q124" s="413"/>
      <c r="R124" s="452"/>
      <c r="S124" s="443"/>
      <c r="T124" s="42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3"/>
      <c r="V124" s="423"/>
      <c r="W124" s="424"/>
      <c r="X124" s="425"/>
      <c r="Y124" s="426" t="str">
        <f t="shared" ca="1" si="15"/>
        <v/>
      </c>
      <c r="Z124" s="427" t="str">
        <f t="shared" ca="1" si="16"/>
        <v/>
      </c>
      <c r="AA124" s="426" t="str">
        <f t="shared" ca="1" si="17"/>
        <v/>
      </c>
      <c r="AB124" s="428" t="str">
        <f t="shared" ca="1" si="18"/>
        <v/>
      </c>
      <c r="AC124" s="427" t="str">
        <f t="shared" ca="1" si="19"/>
        <v/>
      </c>
      <c r="AD124" s="79"/>
      <c r="AE124" s="496">
        <f t="shared" ref="AE124:AE187" ca="1" si="29">O17</f>
        <v>-4.489547946922E-3</v>
      </c>
      <c r="AF124" s="493">
        <f t="shared" ref="AF124:AF187" ca="1" si="30">ABS(Q17-T17)</f>
        <v>2.0184526926141162E-2</v>
      </c>
      <c r="AG124" s="493">
        <f t="shared" ca="1" si="28"/>
        <v>0</v>
      </c>
      <c r="AH124" s="498">
        <f t="shared" ref="AH124:AH187" ca="1" si="31">IF($AF$116,0,AF124)</f>
        <v>0</v>
      </c>
      <c r="AI124" s="497">
        <f t="shared" ref="AI124:AI187" ca="1" si="32">O17</f>
        <v>-4.489547946922E-3</v>
      </c>
      <c r="AJ124" s="493">
        <f t="shared" ref="AJ124:AJ187" ca="1" si="33">ABS(K17-T17)</f>
        <v>0.40073506902362122</v>
      </c>
      <c r="AK124" s="493">
        <f t="shared" ref="AK124:AK187" ca="1" si="34">IF($AF$116,MAX(AI124-ABS(AJ124),0),AI124)</f>
        <v>0</v>
      </c>
      <c r="AL124" s="498">
        <f t="shared" ref="AL124:AL187" ca="1" si="35">IF($AF$116,0,AJ124)</f>
        <v>0</v>
      </c>
      <c r="AN124" s="532" t="str">
        <f t="shared" ca="1" si="14"/>
        <v/>
      </c>
      <c r="AO124" s="524" t="str" cm="1">
        <f t="array" aca="1" ref="AO124" ca="1">IF(AN124&lt;&gt;"",TRANSPOSE(INDEX(GetCDS($C149,AO$13,$G149/10000,F149,D149,$C$13,$C$14,$C$15,$C$8,,,TRUE,TRUE,FALSE,$C$29:$C$31,$C$33),{5})),"")</f>
        <v/>
      </c>
      <c r="AP124" s="524" t="str" cm="1">
        <f t="array" aca="1" ref="AP124" ca="1">IF(AO124&lt;&gt;"",TRANSPOSE(INDEX(GetCDS($C149,AP$13,$G149/10000,G149,E149,$C$13,$C$14,$C$15,$C$8,,,TRUE,TRUE,FALSE,$C$29:$C$31,$C$33),{5})),"")</f>
        <v/>
      </c>
      <c r="AQ124" s="524" t="str" cm="1">
        <f t="array" aca="1" ref="AQ124" ca="1">IF(AP124&lt;&gt;"",TRANSPOSE(INDEX(GetCDS($C149,AQ$13,$G149/10000,H149,F149,$C$13,$C$14,$C$15,$C$8,,,TRUE,TRUE,FALSE,$C$29:$C$31,$C$33),{5})),"")</f>
        <v/>
      </c>
      <c r="AR124" s="524" t="str" cm="1">
        <f t="array" aca="1" ref="AR124" ca="1">IF(AQ124&lt;&gt;"",TRANSPOSE(INDEX(GetCDS($C149,AR$13,$G149/10000,I149,G149,$C$13,$C$14,$C$15,$C$8,,,TRUE,TRUE,FALSE,$C$29:$C$31,$C$33),{5})),"")</f>
        <v/>
      </c>
      <c r="AS124" s="525" t="str" cm="1">
        <f t="array" aca="1" ref="AS124" ca="1">IF(AR124&lt;&gt;"",TRANSPOSE(INDEX(GetCDS($C149,AS$13,$G149/10000,J149,H149,$C$13,$C$14,$C$15,$C$8,,,TRUE,TRUE,FALSE,$C$29:$C$31,$C$33),{5})),"")</f>
        <v/>
      </c>
    </row>
    <row r="125" spans="1:45" customFormat="1" ht="15">
      <c r="A125" s="227"/>
      <c r="B125" s="276">
        <v>87</v>
      </c>
      <c r="C125" s="254" t="s">
        <v>175</v>
      </c>
      <c r="D125" s="255">
        <v>1</v>
      </c>
      <c r="E125" s="247"/>
      <c r="F125" s="232">
        <v>0.4</v>
      </c>
      <c r="G125" s="435">
        <v>100</v>
      </c>
      <c r="H125" s="386">
        <v>111</v>
      </c>
      <c r="I125" s="404"/>
      <c r="J125" s="404"/>
      <c r="K125" s="413"/>
      <c r="L125" s="413"/>
      <c r="M125" s="413"/>
      <c r="N125" s="452"/>
      <c r="O125" s="413"/>
      <c r="P125" s="413"/>
      <c r="Q125" s="413"/>
      <c r="R125" s="452"/>
      <c r="S125" s="443"/>
      <c r="T125" s="42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3"/>
      <c r="V125" s="423"/>
      <c r="W125" s="424"/>
      <c r="X125" s="425"/>
      <c r="Y125" s="426" t="str">
        <f t="shared" ca="1" si="15"/>
        <v/>
      </c>
      <c r="Z125" s="427" t="str">
        <f t="shared" ca="1" si="16"/>
        <v/>
      </c>
      <c r="AA125" s="426" t="str">
        <f t="shared" ca="1" si="17"/>
        <v/>
      </c>
      <c r="AB125" s="428" t="str">
        <f t="shared" ca="1" si="18"/>
        <v/>
      </c>
      <c r="AC125" s="427" t="str">
        <f t="shared" ca="1" si="19"/>
        <v/>
      </c>
      <c r="AD125" s="79"/>
      <c r="AE125" s="496">
        <f t="shared" ca="1" si="29"/>
        <v>-4.2886644862699897E-3</v>
      </c>
      <c r="AF125" s="493">
        <f t="shared" ca="1" si="30"/>
        <v>2.1359010472237983E-2</v>
      </c>
      <c r="AG125" s="493">
        <f t="shared" ca="1" si="28"/>
        <v>0</v>
      </c>
      <c r="AH125" s="498">
        <f t="shared" ca="1" si="31"/>
        <v>0</v>
      </c>
      <c r="AI125" s="497">
        <f t="shared" ca="1" si="32"/>
        <v>-4.2886644862699897E-3</v>
      </c>
      <c r="AJ125" s="493">
        <f t="shared" ca="1" si="33"/>
        <v>0.39626268165782641</v>
      </c>
      <c r="AK125" s="493">
        <f t="shared" ca="1" si="34"/>
        <v>0</v>
      </c>
      <c r="AL125" s="498">
        <f t="shared" ca="1" si="35"/>
        <v>0</v>
      </c>
      <c r="AN125" s="532" t="str">
        <f t="shared" ca="1" si="14"/>
        <v/>
      </c>
      <c r="AO125" s="524" t="str" cm="1">
        <f t="array" aca="1" ref="AO125" ca="1">IF(AN125&lt;&gt;"",TRANSPOSE(INDEX(GetCDS($C150,AO$13,$G150/10000,F150,D150,$C$13,$C$14,$C$15,$C$8,,,TRUE,TRUE,FALSE,$C$29:$C$31,$C$33),{5})),"")</f>
        <v/>
      </c>
      <c r="AP125" s="524" t="str" cm="1">
        <f t="array" aca="1" ref="AP125" ca="1">IF(AO125&lt;&gt;"",TRANSPOSE(INDEX(GetCDS($C150,AP$13,$G150/10000,G150,E150,$C$13,$C$14,$C$15,$C$8,,,TRUE,TRUE,FALSE,$C$29:$C$31,$C$33),{5})),"")</f>
        <v/>
      </c>
      <c r="AQ125" s="524" t="str" cm="1">
        <f t="array" aca="1" ref="AQ125" ca="1">IF(AP125&lt;&gt;"",TRANSPOSE(INDEX(GetCDS($C150,AQ$13,$G150/10000,H150,F150,$C$13,$C$14,$C$15,$C$8,,,TRUE,TRUE,FALSE,$C$29:$C$31,$C$33),{5})),"")</f>
        <v/>
      </c>
      <c r="AR125" s="524" t="str" cm="1">
        <f t="array" aca="1" ref="AR125" ca="1">IF(AQ125&lt;&gt;"",TRANSPOSE(INDEX(GetCDS($C150,AR$13,$G150/10000,I150,G150,$C$13,$C$14,$C$15,$C$8,,,TRUE,TRUE,FALSE,$C$29:$C$31,$C$33),{5})),"")</f>
        <v/>
      </c>
      <c r="AS125" s="525" t="str" cm="1">
        <f t="array" aca="1" ref="AS125" ca="1">IF(AR125&lt;&gt;"",TRANSPOSE(INDEX(GetCDS($C150,AS$13,$G150/10000,J150,H150,$C$13,$C$14,$C$15,$C$8,,,TRUE,TRUE,FALSE,$C$29:$C$31,$C$33),{5})),"")</f>
        <v/>
      </c>
    </row>
    <row r="126" spans="1:45" customFormat="1" ht="15">
      <c r="A126" s="227"/>
      <c r="B126" s="276">
        <v>88</v>
      </c>
      <c r="C126" s="254" t="s">
        <v>176</v>
      </c>
      <c r="D126" s="255">
        <v>1</v>
      </c>
      <c r="E126" s="247"/>
      <c r="F126" s="232">
        <v>0.4</v>
      </c>
      <c r="G126" s="435">
        <v>100</v>
      </c>
      <c r="H126" s="386">
        <v>112</v>
      </c>
      <c r="I126" s="404"/>
      <c r="J126" s="404"/>
      <c r="K126" s="413"/>
      <c r="L126" s="413"/>
      <c r="M126" s="413"/>
      <c r="N126" s="452"/>
      <c r="O126" s="413"/>
      <c r="P126" s="413"/>
      <c r="Q126" s="413"/>
      <c r="R126" s="452"/>
      <c r="S126" s="443"/>
      <c r="T126" s="42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3"/>
      <c r="V126" s="423"/>
      <c r="W126" s="424"/>
      <c r="X126" s="425"/>
      <c r="Y126" s="426" t="str">
        <f t="shared" ca="1" si="15"/>
        <v/>
      </c>
      <c r="Z126" s="427" t="str">
        <f t="shared" ca="1" si="16"/>
        <v/>
      </c>
      <c r="AA126" s="426" t="str">
        <f t="shared" ca="1" si="17"/>
        <v/>
      </c>
      <c r="AB126" s="428" t="str">
        <f t="shared" ca="1" si="18"/>
        <v/>
      </c>
      <c r="AC126" s="427" t="str">
        <f t="shared" ca="1" si="19"/>
        <v/>
      </c>
      <c r="AD126" s="79"/>
      <c r="AE126" s="496">
        <f t="shared" ca="1" si="29"/>
        <v>-2.2080682665110199E-3</v>
      </c>
      <c r="AF126" s="493">
        <f t="shared" ca="1" si="30"/>
        <v>3.028628112103544E-2</v>
      </c>
      <c r="AG126" s="493">
        <f t="shared" ca="1" si="28"/>
        <v>0</v>
      </c>
      <c r="AH126" s="498">
        <f t="shared" ca="1" si="31"/>
        <v>0</v>
      </c>
      <c r="AI126" s="497">
        <f t="shared" ca="1" si="32"/>
        <v>-2.2080682665110199E-3</v>
      </c>
      <c r="AJ126" s="493">
        <f t="shared" ca="1" si="33"/>
        <v>0.33443911287964007</v>
      </c>
      <c r="AK126" s="493">
        <f t="shared" ca="1" si="34"/>
        <v>0</v>
      </c>
      <c r="AL126" s="498">
        <f t="shared" ca="1" si="35"/>
        <v>0</v>
      </c>
      <c r="AN126" s="532" t="str">
        <f t="shared" ca="1" si="14"/>
        <v/>
      </c>
      <c r="AO126" s="524" t="str" cm="1">
        <f t="array" aca="1" ref="AO126" ca="1">IF(AN126&lt;&gt;"",TRANSPOSE(INDEX(GetCDS($C151,AO$13,$G151/10000,F151,D151,$C$13,$C$14,$C$15,$C$8,,,TRUE,TRUE,FALSE,$C$29:$C$31,$C$33),{5})),"")</f>
        <v/>
      </c>
      <c r="AP126" s="524" t="str" cm="1">
        <f t="array" aca="1" ref="AP126" ca="1">IF(AO126&lt;&gt;"",TRANSPOSE(INDEX(GetCDS($C151,AP$13,$G151/10000,G151,E151,$C$13,$C$14,$C$15,$C$8,,,TRUE,TRUE,FALSE,$C$29:$C$31,$C$33),{5})),"")</f>
        <v/>
      </c>
      <c r="AQ126" s="524" t="str" cm="1">
        <f t="array" aca="1" ref="AQ126" ca="1">IF(AP126&lt;&gt;"",TRANSPOSE(INDEX(GetCDS($C151,AQ$13,$G151/10000,H151,F151,$C$13,$C$14,$C$15,$C$8,,,TRUE,TRUE,FALSE,$C$29:$C$31,$C$33),{5})),"")</f>
        <v/>
      </c>
      <c r="AR126" s="524" t="str" cm="1">
        <f t="array" aca="1" ref="AR126" ca="1">IF(AQ126&lt;&gt;"",TRANSPOSE(INDEX(GetCDS($C151,AR$13,$G151/10000,I151,G151,$C$13,$C$14,$C$15,$C$8,,,TRUE,TRUE,FALSE,$C$29:$C$31,$C$33),{5})),"")</f>
        <v/>
      </c>
      <c r="AS126" s="525" t="str" cm="1">
        <f t="array" aca="1" ref="AS126" ca="1">IF(AR126&lt;&gt;"",TRANSPOSE(INDEX(GetCDS($C151,AS$13,$G151/10000,J151,H151,$C$13,$C$14,$C$15,$C$8,,,TRUE,TRUE,FALSE,$C$29:$C$31,$C$33),{5})),"")</f>
        <v/>
      </c>
    </row>
    <row r="127" spans="1:45" customFormat="1" ht="15">
      <c r="A127" s="227"/>
      <c r="B127" s="276">
        <v>89</v>
      </c>
      <c r="C127" s="254" t="s">
        <v>177</v>
      </c>
      <c r="D127" s="255">
        <v>1</v>
      </c>
      <c r="E127" s="247"/>
      <c r="F127" s="232">
        <v>0.4</v>
      </c>
      <c r="G127" s="435">
        <v>100</v>
      </c>
      <c r="H127" s="386">
        <v>113</v>
      </c>
      <c r="I127" s="404"/>
      <c r="J127" s="404"/>
      <c r="K127" s="413"/>
      <c r="L127" s="413"/>
      <c r="M127" s="413"/>
      <c r="N127" s="452"/>
      <c r="O127" s="413"/>
      <c r="P127" s="413"/>
      <c r="Q127" s="413"/>
      <c r="R127" s="452"/>
      <c r="S127" s="443"/>
      <c r="T127" s="42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3"/>
      <c r="V127" s="423"/>
      <c r="W127" s="424"/>
      <c r="X127" s="425"/>
      <c r="Y127" s="426" t="str">
        <f t="shared" ca="1" si="15"/>
        <v/>
      </c>
      <c r="Z127" s="427" t="str">
        <f t="shared" ca="1" si="16"/>
        <v/>
      </c>
      <c r="AA127" s="426" t="str">
        <f t="shared" ca="1" si="17"/>
        <v/>
      </c>
      <c r="AB127" s="428" t="str">
        <f t="shared" ca="1" si="18"/>
        <v/>
      </c>
      <c r="AC127" s="427" t="str">
        <f t="shared" ca="1" si="19"/>
        <v/>
      </c>
      <c r="AD127" s="79"/>
      <c r="AE127" s="496">
        <f t="shared" ca="1" si="29"/>
        <v>-3.3553295882950101E-3</v>
      </c>
      <c r="AF127" s="493">
        <f t="shared" ca="1" si="30"/>
        <v>2.5415967012678699E-2</v>
      </c>
      <c r="AG127" s="493">
        <f t="shared" ca="1" si="28"/>
        <v>0</v>
      </c>
      <c r="AH127" s="498">
        <f t="shared" ca="1" si="31"/>
        <v>0</v>
      </c>
      <c r="AI127" s="497">
        <f t="shared" ca="1" si="32"/>
        <v>-3.3553295882950101E-3</v>
      </c>
      <c r="AJ127" s="493">
        <f t="shared" ca="1" si="33"/>
        <v>0.37220276376018063</v>
      </c>
      <c r="AK127" s="493">
        <f t="shared" ca="1" si="34"/>
        <v>0</v>
      </c>
      <c r="AL127" s="498">
        <f t="shared" ca="1" si="35"/>
        <v>0</v>
      </c>
      <c r="AN127" s="532" t="str">
        <f t="shared" ca="1" si="14"/>
        <v/>
      </c>
      <c r="AO127" s="524" t="str" cm="1">
        <f t="array" aca="1" ref="AO127" ca="1">IF(AN127&lt;&gt;"",TRANSPOSE(INDEX(GetCDS($C152,AO$13,$G152/10000,F152,D152,$C$13,$C$14,$C$15,$C$8,,,TRUE,TRUE,FALSE,$C$29:$C$31,$C$33),{5})),"")</f>
        <v/>
      </c>
      <c r="AP127" s="524" t="str" cm="1">
        <f t="array" aca="1" ref="AP127" ca="1">IF(AO127&lt;&gt;"",TRANSPOSE(INDEX(GetCDS($C152,AP$13,$G152/10000,G152,E152,$C$13,$C$14,$C$15,$C$8,,,TRUE,TRUE,FALSE,$C$29:$C$31,$C$33),{5})),"")</f>
        <v/>
      </c>
      <c r="AQ127" s="524" t="str" cm="1">
        <f t="array" aca="1" ref="AQ127" ca="1">IF(AP127&lt;&gt;"",TRANSPOSE(INDEX(GetCDS($C152,AQ$13,$G152/10000,H152,F152,$C$13,$C$14,$C$15,$C$8,,,TRUE,TRUE,FALSE,$C$29:$C$31,$C$33),{5})),"")</f>
        <v/>
      </c>
      <c r="AR127" s="524" t="str" cm="1">
        <f t="array" aca="1" ref="AR127" ca="1">IF(AQ127&lt;&gt;"",TRANSPOSE(INDEX(GetCDS($C152,AR$13,$G152/10000,I152,G152,$C$13,$C$14,$C$15,$C$8,,,TRUE,TRUE,FALSE,$C$29:$C$31,$C$33),{5})),"")</f>
        <v/>
      </c>
      <c r="AS127" s="525" t="str" cm="1">
        <f t="array" aca="1" ref="AS127" ca="1">IF(AR127&lt;&gt;"",TRANSPOSE(INDEX(GetCDS($C152,AS$13,$G152/10000,J152,H152,$C$13,$C$14,$C$15,$C$8,,,TRUE,TRUE,FALSE,$C$29:$C$31,$C$33),{5})),"")</f>
        <v/>
      </c>
    </row>
    <row r="128" spans="1:45" customFormat="1" ht="15">
      <c r="A128" s="227"/>
      <c r="B128" s="276">
        <v>90</v>
      </c>
      <c r="C128" s="254" t="s">
        <v>178</v>
      </c>
      <c r="D128" s="255">
        <v>1</v>
      </c>
      <c r="E128" s="247"/>
      <c r="F128" s="232">
        <v>0.4</v>
      </c>
      <c r="G128" s="435">
        <v>100</v>
      </c>
      <c r="H128" s="386">
        <v>114</v>
      </c>
      <c r="I128" s="404"/>
      <c r="J128" s="404"/>
      <c r="K128" s="413"/>
      <c r="L128" s="413"/>
      <c r="M128" s="413"/>
      <c r="N128" s="452"/>
      <c r="O128" s="413"/>
      <c r="P128" s="413"/>
      <c r="Q128" s="413"/>
      <c r="R128" s="452"/>
      <c r="S128" s="443"/>
      <c r="T128" s="42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3"/>
      <c r="V128" s="423"/>
      <c r="W128" s="424"/>
      <c r="X128" s="425"/>
      <c r="Y128" s="426" t="str">
        <f t="shared" ca="1" si="15"/>
        <v/>
      </c>
      <c r="Z128" s="427" t="str">
        <f t="shared" ca="1" si="16"/>
        <v/>
      </c>
      <c r="AA128" s="426" t="str">
        <f t="shared" ca="1" si="17"/>
        <v/>
      </c>
      <c r="AB128" s="428" t="str">
        <f t="shared" ca="1" si="18"/>
        <v/>
      </c>
      <c r="AC128" s="427" t="str">
        <f t="shared" ca="1" si="19"/>
        <v/>
      </c>
      <c r="AD128" s="79"/>
      <c r="AE128" s="496">
        <f t="shared" ca="1" si="29"/>
        <v>-7.5202008864869996E-3</v>
      </c>
      <c r="AF128" s="493">
        <f t="shared" ca="1" si="30"/>
        <v>8.1925069384595015E-3</v>
      </c>
      <c r="AG128" s="493">
        <f t="shared" ca="1" si="28"/>
        <v>0</v>
      </c>
      <c r="AH128" s="498">
        <f t="shared" ca="1" si="31"/>
        <v>0</v>
      </c>
      <c r="AI128" s="497">
        <f t="shared" ca="1" si="32"/>
        <v>-7.5202008864869996E-3</v>
      </c>
      <c r="AJ128" s="493">
        <f t="shared" ca="1" si="33"/>
        <v>0.4554242736499598</v>
      </c>
      <c r="AK128" s="493">
        <f t="shared" ca="1" si="34"/>
        <v>0</v>
      </c>
      <c r="AL128" s="498">
        <f t="shared" ca="1" si="35"/>
        <v>0</v>
      </c>
      <c r="AN128" s="532" t="str">
        <f t="shared" ca="1" si="14"/>
        <v/>
      </c>
      <c r="AO128" s="524" t="str" cm="1">
        <f t="array" aca="1" ref="AO128" ca="1">IF(AN128&lt;&gt;"",TRANSPOSE(INDEX(GetCDS($C153,AO$13,$G153/10000,F153,D153,$C$13,$C$14,$C$15,$C$8,,,TRUE,TRUE,FALSE,$C$29:$C$31,$C$33),{5})),"")</f>
        <v/>
      </c>
      <c r="AP128" s="524" t="str" cm="1">
        <f t="array" aca="1" ref="AP128" ca="1">IF(AO128&lt;&gt;"",TRANSPOSE(INDEX(GetCDS($C153,AP$13,$G153/10000,G153,E153,$C$13,$C$14,$C$15,$C$8,,,TRUE,TRUE,FALSE,$C$29:$C$31,$C$33),{5})),"")</f>
        <v/>
      </c>
      <c r="AQ128" s="524" t="str" cm="1">
        <f t="array" aca="1" ref="AQ128" ca="1">IF(AP128&lt;&gt;"",TRANSPOSE(INDEX(GetCDS($C153,AQ$13,$G153/10000,H153,F153,$C$13,$C$14,$C$15,$C$8,,,TRUE,TRUE,FALSE,$C$29:$C$31,$C$33),{5})),"")</f>
        <v/>
      </c>
      <c r="AR128" s="524" t="str" cm="1">
        <f t="array" aca="1" ref="AR128" ca="1">IF(AQ128&lt;&gt;"",TRANSPOSE(INDEX(GetCDS($C153,AR$13,$G153/10000,I153,G153,$C$13,$C$14,$C$15,$C$8,,,TRUE,TRUE,FALSE,$C$29:$C$31,$C$33),{5})),"")</f>
        <v/>
      </c>
      <c r="AS128" s="525" t="str" cm="1">
        <f t="array" aca="1" ref="AS128" ca="1">IF(AR128&lt;&gt;"",TRANSPOSE(INDEX(GetCDS($C153,AS$13,$G153/10000,J153,H153,$C$13,$C$14,$C$15,$C$8,,,TRUE,TRUE,FALSE,$C$29:$C$31,$C$33),{5})),"")</f>
        <v/>
      </c>
    </row>
    <row r="129" spans="1:45" customFormat="1" ht="15">
      <c r="A129" s="227"/>
      <c r="B129" s="276">
        <v>91</v>
      </c>
      <c r="C129" s="254" t="s">
        <v>179</v>
      </c>
      <c r="D129" s="255">
        <v>1</v>
      </c>
      <c r="E129" s="247"/>
      <c r="F129" s="232">
        <v>0.4</v>
      </c>
      <c r="G129" s="435">
        <v>100</v>
      </c>
      <c r="H129" s="386">
        <v>115</v>
      </c>
      <c r="I129" s="404"/>
      <c r="J129" s="404"/>
      <c r="K129" s="413"/>
      <c r="L129" s="413"/>
      <c r="M129" s="413"/>
      <c r="N129" s="452"/>
      <c r="O129" s="413"/>
      <c r="P129" s="413"/>
      <c r="Q129" s="413"/>
      <c r="R129" s="452"/>
      <c r="S129" s="443"/>
      <c r="T129" s="42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3"/>
      <c r="V129" s="423"/>
      <c r="W129" s="424"/>
      <c r="X129" s="425"/>
      <c r="Y129" s="426" t="str">
        <f t="shared" ca="1" si="15"/>
        <v/>
      </c>
      <c r="Z129" s="427" t="str">
        <f t="shared" ca="1" si="16"/>
        <v/>
      </c>
      <c r="AA129" s="426" t="str">
        <f t="shared" ca="1" si="17"/>
        <v/>
      </c>
      <c r="AB129" s="428" t="str">
        <f t="shared" ca="1" si="18"/>
        <v/>
      </c>
      <c r="AC129" s="427" t="str">
        <f t="shared" ca="1" si="19"/>
        <v/>
      </c>
      <c r="AD129" s="79"/>
      <c r="AE129" s="496">
        <f t="shared" ca="1" si="29"/>
        <v>-6.6286804764910104E-3</v>
      </c>
      <c r="AF129" s="493">
        <f t="shared" ca="1" si="30"/>
        <v>1.1711087936814772E-2</v>
      </c>
      <c r="AG129" s="493">
        <f t="shared" ca="1" si="28"/>
        <v>0</v>
      </c>
      <c r="AH129" s="498">
        <f t="shared" ca="1" si="31"/>
        <v>0</v>
      </c>
      <c r="AI129" s="497">
        <f t="shared" ca="1" si="32"/>
        <v>-6.6286804764910104E-3</v>
      </c>
      <c r="AJ129" s="493">
        <f t="shared" ca="1" si="33"/>
        <v>0.44192490366500981</v>
      </c>
      <c r="AK129" s="493">
        <f t="shared" ca="1" si="34"/>
        <v>0</v>
      </c>
      <c r="AL129" s="498">
        <f t="shared" ca="1" si="35"/>
        <v>0</v>
      </c>
      <c r="AN129" s="532" t="str">
        <f t="shared" ca="1" si="14"/>
        <v/>
      </c>
      <c r="AO129" s="524" t="str" cm="1">
        <f t="array" aca="1" ref="AO129" ca="1">IF(AN129&lt;&gt;"",TRANSPOSE(INDEX(GetCDS($C154,AO$13,$G154/10000,F154,D154,$C$13,$C$14,$C$15,$C$8,,,TRUE,TRUE,FALSE,$C$29:$C$31,$C$33),{5})),"")</f>
        <v/>
      </c>
      <c r="AP129" s="524" t="str" cm="1">
        <f t="array" aca="1" ref="AP129" ca="1">IF(AO129&lt;&gt;"",TRANSPOSE(INDEX(GetCDS($C154,AP$13,$G154/10000,G154,E154,$C$13,$C$14,$C$15,$C$8,,,TRUE,TRUE,FALSE,$C$29:$C$31,$C$33),{5})),"")</f>
        <v/>
      </c>
      <c r="AQ129" s="524" t="str" cm="1">
        <f t="array" aca="1" ref="AQ129" ca="1">IF(AP129&lt;&gt;"",TRANSPOSE(INDEX(GetCDS($C154,AQ$13,$G154/10000,H154,F154,$C$13,$C$14,$C$15,$C$8,,,TRUE,TRUE,FALSE,$C$29:$C$31,$C$33),{5})),"")</f>
        <v/>
      </c>
      <c r="AR129" s="524" t="str" cm="1">
        <f t="array" aca="1" ref="AR129" ca="1">IF(AQ129&lt;&gt;"",TRANSPOSE(INDEX(GetCDS($C154,AR$13,$G154/10000,I154,G154,$C$13,$C$14,$C$15,$C$8,,,TRUE,TRUE,FALSE,$C$29:$C$31,$C$33),{5})),"")</f>
        <v/>
      </c>
      <c r="AS129" s="525" t="str" cm="1">
        <f t="array" aca="1" ref="AS129" ca="1">IF(AR129&lt;&gt;"",TRANSPOSE(INDEX(GetCDS($C154,AS$13,$G154/10000,J154,H154,$C$13,$C$14,$C$15,$C$8,,,TRUE,TRUE,FALSE,$C$29:$C$31,$C$33),{5})),"")</f>
        <v/>
      </c>
    </row>
    <row r="130" spans="1:45" customFormat="1" ht="15">
      <c r="A130" s="227"/>
      <c r="B130" s="276">
        <v>92</v>
      </c>
      <c r="C130" s="254" t="s">
        <v>180</v>
      </c>
      <c r="D130" s="255">
        <v>1</v>
      </c>
      <c r="E130" s="247"/>
      <c r="F130" s="232">
        <v>0.4</v>
      </c>
      <c r="G130" s="435">
        <v>100</v>
      </c>
      <c r="H130" s="386">
        <v>116</v>
      </c>
      <c r="I130" s="404"/>
      <c r="J130" s="404"/>
      <c r="K130" s="413"/>
      <c r="L130" s="413"/>
      <c r="M130" s="413"/>
      <c r="N130" s="452"/>
      <c r="O130" s="413"/>
      <c r="P130" s="413"/>
      <c r="Q130" s="413"/>
      <c r="R130" s="452"/>
      <c r="S130" s="443"/>
      <c r="T130" s="42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3"/>
      <c r="V130" s="423"/>
      <c r="W130" s="424"/>
      <c r="X130" s="425"/>
      <c r="Y130" s="426" t="str">
        <f t="shared" ca="1" si="15"/>
        <v/>
      </c>
      <c r="Z130" s="427" t="str">
        <f t="shared" ca="1" si="16"/>
        <v/>
      </c>
      <c r="AA130" s="426" t="str">
        <f t="shared" ca="1" si="17"/>
        <v/>
      </c>
      <c r="AB130" s="428" t="str">
        <f t="shared" ca="1" si="18"/>
        <v/>
      </c>
      <c r="AC130" s="427" t="str">
        <f t="shared" ca="1" si="19"/>
        <v/>
      </c>
      <c r="AD130" s="79"/>
      <c r="AE130" s="496">
        <f t="shared" ca="1" si="29"/>
        <v>-1.9696839335150199E-3</v>
      </c>
      <c r="AF130" s="493">
        <f t="shared" ca="1" si="30"/>
        <v>3.1534501153215565E-2</v>
      </c>
      <c r="AG130" s="493">
        <f t="shared" ca="1" si="28"/>
        <v>0</v>
      </c>
      <c r="AH130" s="498">
        <f t="shared" ca="1" si="31"/>
        <v>0</v>
      </c>
      <c r="AI130" s="497">
        <f t="shared" ca="1" si="32"/>
        <v>-1.9696839335150199E-3</v>
      </c>
      <c r="AJ130" s="493">
        <f t="shared" ca="1" si="33"/>
        <v>0.32496118339367536</v>
      </c>
      <c r="AK130" s="493">
        <f t="shared" ca="1" si="34"/>
        <v>0</v>
      </c>
      <c r="AL130" s="498">
        <f t="shared" ca="1" si="35"/>
        <v>0</v>
      </c>
      <c r="AN130" s="532" t="str">
        <f t="shared" ca="1" si="14"/>
        <v/>
      </c>
      <c r="AO130" s="524" t="str" cm="1">
        <f t="array" aca="1" ref="AO130" ca="1">IF(AN130&lt;&gt;"",TRANSPOSE(INDEX(GetCDS($C155,AO$13,$G155/10000,F155,D155,$C$13,$C$14,$C$15,$C$8,,,TRUE,TRUE,FALSE,$C$29:$C$31,$C$33),{5})),"")</f>
        <v/>
      </c>
      <c r="AP130" s="524" t="str" cm="1">
        <f t="array" aca="1" ref="AP130" ca="1">IF(AO130&lt;&gt;"",TRANSPOSE(INDEX(GetCDS($C155,AP$13,$G155/10000,G155,E155,$C$13,$C$14,$C$15,$C$8,,,TRUE,TRUE,FALSE,$C$29:$C$31,$C$33),{5})),"")</f>
        <v/>
      </c>
      <c r="AQ130" s="524" t="str" cm="1">
        <f t="array" aca="1" ref="AQ130" ca="1">IF(AP130&lt;&gt;"",TRANSPOSE(INDEX(GetCDS($C155,AQ$13,$G155/10000,H155,F155,$C$13,$C$14,$C$15,$C$8,,,TRUE,TRUE,FALSE,$C$29:$C$31,$C$33),{5})),"")</f>
        <v/>
      </c>
      <c r="AR130" s="524" t="str" cm="1">
        <f t="array" aca="1" ref="AR130" ca="1">IF(AQ130&lt;&gt;"",TRANSPOSE(INDEX(GetCDS($C155,AR$13,$G155/10000,I155,G155,$C$13,$C$14,$C$15,$C$8,,,TRUE,TRUE,FALSE,$C$29:$C$31,$C$33),{5})),"")</f>
        <v/>
      </c>
      <c r="AS130" s="525" t="str" cm="1">
        <f t="array" aca="1" ref="AS130" ca="1">IF(AR130&lt;&gt;"",TRANSPOSE(INDEX(GetCDS($C155,AS$13,$G155/10000,J155,H155,$C$13,$C$14,$C$15,$C$8,,,TRUE,TRUE,FALSE,$C$29:$C$31,$C$33),{5})),"")</f>
        <v/>
      </c>
    </row>
    <row r="131" spans="1:45" customFormat="1" ht="15">
      <c r="A131" s="227"/>
      <c r="B131" s="276">
        <v>93</v>
      </c>
      <c r="C131" s="254" t="s">
        <v>181</v>
      </c>
      <c r="D131" s="255">
        <v>1</v>
      </c>
      <c r="E131" s="247"/>
      <c r="F131" s="232">
        <v>0.4</v>
      </c>
      <c r="G131" s="435">
        <v>100</v>
      </c>
      <c r="H131" s="386">
        <v>117</v>
      </c>
      <c r="I131" s="404"/>
      <c r="J131" s="404"/>
      <c r="K131" s="413"/>
      <c r="L131" s="413"/>
      <c r="M131" s="413"/>
      <c r="N131" s="452"/>
      <c r="O131" s="413"/>
      <c r="P131" s="413"/>
      <c r="Q131" s="413"/>
      <c r="R131" s="452"/>
      <c r="S131" s="443"/>
      <c r="T131" s="42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3"/>
      <c r="V131" s="423"/>
      <c r="W131" s="424"/>
      <c r="X131" s="425"/>
      <c r="Y131" s="426" t="str">
        <f t="shared" ca="1" si="15"/>
        <v/>
      </c>
      <c r="Z131" s="427" t="str">
        <f t="shared" ca="1" si="16"/>
        <v/>
      </c>
      <c r="AA131" s="426" t="str">
        <f t="shared" ca="1" si="17"/>
        <v/>
      </c>
      <c r="AB131" s="428" t="str">
        <f t="shared" ca="1" si="18"/>
        <v/>
      </c>
      <c r="AC131" s="427" t="str">
        <f t="shared" ca="1" si="19"/>
        <v/>
      </c>
      <c r="AD131" s="79"/>
      <c r="AE131" s="496">
        <f t="shared" ca="1" si="29"/>
        <v>-3.1682786697939899E-3</v>
      </c>
      <c r="AF131" s="493">
        <f t="shared" ca="1" si="30"/>
        <v>2.614622439580282E-2</v>
      </c>
      <c r="AG131" s="493">
        <f t="shared" ca="1" si="28"/>
        <v>0</v>
      </c>
      <c r="AH131" s="498">
        <f t="shared" ca="1" si="31"/>
        <v>0</v>
      </c>
      <c r="AI131" s="497">
        <f t="shared" ca="1" si="32"/>
        <v>-3.1682786697939899E-3</v>
      </c>
      <c r="AJ131" s="493">
        <f t="shared" ca="1" si="33"/>
        <v>0.36699378675247063</v>
      </c>
      <c r="AK131" s="493">
        <f t="shared" ca="1" si="34"/>
        <v>0</v>
      </c>
      <c r="AL131" s="498">
        <f t="shared" ca="1" si="35"/>
        <v>0</v>
      </c>
      <c r="AN131" s="532" t="str">
        <f t="shared" ca="1" si="14"/>
        <v/>
      </c>
      <c r="AO131" s="524" t="str" cm="1">
        <f t="array" aca="1" ref="AO131" ca="1">IF(AN131&lt;&gt;"",TRANSPOSE(INDEX(GetCDS($C156,AO$13,$G156/10000,F156,D156,$C$13,$C$14,$C$15,$C$8,,,TRUE,TRUE,FALSE,$C$29:$C$31,$C$33),{5})),"")</f>
        <v/>
      </c>
      <c r="AP131" s="524" t="str" cm="1">
        <f t="array" aca="1" ref="AP131" ca="1">IF(AO131&lt;&gt;"",TRANSPOSE(INDEX(GetCDS($C156,AP$13,$G156/10000,G156,E156,$C$13,$C$14,$C$15,$C$8,,,TRUE,TRUE,FALSE,$C$29:$C$31,$C$33),{5})),"")</f>
        <v/>
      </c>
      <c r="AQ131" s="524" t="str" cm="1">
        <f t="array" aca="1" ref="AQ131" ca="1">IF(AP131&lt;&gt;"",TRANSPOSE(INDEX(GetCDS($C156,AQ$13,$G156/10000,H156,F156,$C$13,$C$14,$C$15,$C$8,,,TRUE,TRUE,FALSE,$C$29:$C$31,$C$33),{5})),"")</f>
        <v/>
      </c>
      <c r="AR131" s="524" t="str" cm="1">
        <f t="array" aca="1" ref="AR131" ca="1">IF(AQ131&lt;&gt;"",TRANSPOSE(INDEX(GetCDS($C156,AR$13,$G156/10000,I156,G156,$C$13,$C$14,$C$15,$C$8,,,TRUE,TRUE,FALSE,$C$29:$C$31,$C$33),{5})),"")</f>
        <v/>
      </c>
      <c r="AS131" s="525" t="str" cm="1">
        <f t="array" aca="1" ref="AS131" ca="1">IF(AR131&lt;&gt;"",TRANSPOSE(INDEX(GetCDS($C156,AS$13,$G156/10000,J156,H156,$C$13,$C$14,$C$15,$C$8,,,TRUE,TRUE,FALSE,$C$29:$C$31,$C$33),{5})),"")</f>
        <v/>
      </c>
    </row>
    <row r="132" spans="1:45" customFormat="1" ht="15">
      <c r="A132" s="227"/>
      <c r="B132" s="276">
        <v>94</v>
      </c>
      <c r="C132" s="254" t="s">
        <v>182</v>
      </c>
      <c r="D132" s="255">
        <v>1</v>
      </c>
      <c r="E132" s="247"/>
      <c r="F132" s="232">
        <v>0.4</v>
      </c>
      <c r="G132" s="435">
        <v>100</v>
      </c>
      <c r="H132" s="386">
        <v>118</v>
      </c>
      <c r="I132" s="404"/>
      <c r="J132" s="404"/>
      <c r="K132" s="413"/>
      <c r="L132" s="413"/>
      <c r="M132" s="413"/>
      <c r="N132" s="452"/>
      <c r="O132" s="413"/>
      <c r="P132" s="413"/>
      <c r="Q132" s="413"/>
      <c r="R132" s="452"/>
      <c r="S132" s="443"/>
      <c r="T132" s="42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3"/>
      <c r="V132" s="423"/>
      <c r="W132" s="424"/>
      <c r="X132" s="425"/>
      <c r="Y132" s="426" t="str">
        <f t="shared" ca="1" si="15"/>
        <v/>
      </c>
      <c r="Z132" s="427" t="str">
        <f t="shared" ca="1" si="16"/>
        <v/>
      </c>
      <c r="AA132" s="426" t="str">
        <f t="shared" ca="1" si="17"/>
        <v/>
      </c>
      <c r="AB132" s="428" t="str">
        <f t="shared" ca="1" si="18"/>
        <v/>
      </c>
      <c r="AC132" s="427" t="str">
        <f t="shared" ca="1" si="19"/>
        <v/>
      </c>
      <c r="AD132" s="79"/>
      <c r="AE132" s="496">
        <f t="shared" ca="1" si="29"/>
        <v>-3.6556102831599999E-3</v>
      </c>
      <c r="AF132" s="493">
        <f t="shared" ca="1" si="30"/>
        <v>2.4078314003854111E-2</v>
      </c>
      <c r="AG132" s="493">
        <f t="shared" ca="1" si="28"/>
        <v>0</v>
      </c>
      <c r="AH132" s="498">
        <f t="shared" ca="1" si="31"/>
        <v>0</v>
      </c>
      <c r="AI132" s="497">
        <f t="shared" ca="1" si="32"/>
        <v>-3.6556102831599999E-3</v>
      </c>
      <c r="AJ132" s="493">
        <f t="shared" ca="1" si="33"/>
        <v>0.38047901439822046</v>
      </c>
      <c r="AK132" s="493">
        <f t="shared" ca="1" si="34"/>
        <v>0</v>
      </c>
      <c r="AL132" s="498">
        <f t="shared" ca="1" si="35"/>
        <v>0</v>
      </c>
      <c r="AN132" s="532" t="str">
        <f t="shared" ca="1" si="14"/>
        <v/>
      </c>
      <c r="AO132" s="524" t="str" cm="1">
        <f t="array" aca="1" ref="AO132" ca="1">IF(AN132&lt;&gt;"",TRANSPOSE(INDEX(GetCDS($C157,AO$13,$G157/10000,F157,D157,$C$13,$C$14,$C$15,$C$8,,,TRUE,TRUE,FALSE,$C$29:$C$31,$C$33),{5})),"")</f>
        <v/>
      </c>
      <c r="AP132" s="524" t="str" cm="1">
        <f t="array" aca="1" ref="AP132" ca="1">IF(AO132&lt;&gt;"",TRANSPOSE(INDEX(GetCDS($C157,AP$13,$G157/10000,G157,E157,$C$13,$C$14,$C$15,$C$8,,,TRUE,TRUE,FALSE,$C$29:$C$31,$C$33),{5})),"")</f>
        <v/>
      </c>
      <c r="AQ132" s="524" t="str" cm="1">
        <f t="array" aca="1" ref="AQ132" ca="1">IF(AP132&lt;&gt;"",TRANSPOSE(INDEX(GetCDS($C157,AQ$13,$G157/10000,H157,F157,$C$13,$C$14,$C$15,$C$8,,,TRUE,TRUE,FALSE,$C$29:$C$31,$C$33),{5})),"")</f>
        <v/>
      </c>
      <c r="AR132" s="524" t="str" cm="1">
        <f t="array" aca="1" ref="AR132" ca="1">IF(AQ132&lt;&gt;"",TRANSPOSE(INDEX(GetCDS($C157,AR$13,$G157/10000,I157,G157,$C$13,$C$14,$C$15,$C$8,,,TRUE,TRUE,FALSE,$C$29:$C$31,$C$33),{5})),"")</f>
        <v/>
      </c>
      <c r="AS132" s="525" t="str" cm="1">
        <f t="array" aca="1" ref="AS132" ca="1">IF(AR132&lt;&gt;"",TRANSPOSE(INDEX(GetCDS($C157,AS$13,$G157/10000,J157,H157,$C$13,$C$14,$C$15,$C$8,,,TRUE,TRUE,FALSE,$C$29:$C$31,$C$33),{5})),"")</f>
        <v/>
      </c>
    </row>
    <row r="133" spans="1:45" customFormat="1" ht="15">
      <c r="A133" s="227"/>
      <c r="B133" s="276">
        <v>95</v>
      </c>
      <c r="C133" s="254" t="s">
        <v>183</v>
      </c>
      <c r="D133" s="255">
        <v>1</v>
      </c>
      <c r="E133" s="247"/>
      <c r="F133" s="232">
        <v>0.4</v>
      </c>
      <c r="G133" s="435">
        <v>100</v>
      </c>
      <c r="H133" s="386">
        <v>119</v>
      </c>
      <c r="I133" s="404"/>
      <c r="J133" s="404"/>
      <c r="K133" s="413"/>
      <c r="L133" s="413"/>
      <c r="M133" s="413"/>
      <c r="N133" s="452"/>
      <c r="O133" s="413"/>
      <c r="P133" s="413"/>
      <c r="Q133" s="413"/>
      <c r="R133" s="452"/>
      <c r="S133" s="443"/>
      <c r="T133" s="42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3"/>
      <c r="V133" s="423"/>
      <c r="W133" s="424"/>
      <c r="X133" s="425"/>
      <c r="Y133" s="426" t="str">
        <f t="shared" ca="1" si="15"/>
        <v/>
      </c>
      <c r="Z133" s="427" t="str">
        <f t="shared" ca="1" si="16"/>
        <v/>
      </c>
      <c r="AA133" s="426" t="str">
        <f t="shared" ca="1" si="17"/>
        <v/>
      </c>
      <c r="AB133" s="428" t="str">
        <f t="shared" ca="1" si="18"/>
        <v/>
      </c>
      <c r="AC133" s="427" t="str">
        <f t="shared" ca="1" si="19"/>
        <v/>
      </c>
      <c r="AD133" s="79"/>
      <c r="AE133" s="496">
        <f t="shared" ca="1" si="29"/>
        <v>-5.534027982523E-3</v>
      </c>
      <c r="AF133" s="493">
        <f t="shared" ca="1" si="30"/>
        <v>1.6404368111335943E-2</v>
      </c>
      <c r="AG133" s="493">
        <f t="shared" ca="1" si="28"/>
        <v>0</v>
      </c>
      <c r="AH133" s="498">
        <f t="shared" ca="1" si="31"/>
        <v>0</v>
      </c>
      <c r="AI133" s="497">
        <f t="shared" ca="1" si="32"/>
        <v>-5.534027982523E-3</v>
      </c>
      <c r="AJ133" s="493">
        <f t="shared" ca="1" si="33"/>
        <v>0.42233619829528601</v>
      </c>
      <c r="AK133" s="493">
        <f t="shared" ca="1" si="34"/>
        <v>0</v>
      </c>
      <c r="AL133" s="498">
        <f t="shared" ca="1" si="35"/>
        <v>0</v>
      </c>
      <c r="AN133" s="532" t="str">
        <f t="shared" ca="1" si="14"/>
        <v/>
      </c>
      <c r="AO133" s="524" t="str" cm="1">
        <f t="array" aca="1" ref="AO133" ca="1">IF(AN133&lt;&gt;"",TRANSPOSE(INDEX(GetCDS($C158,AO$13,$G158/10000,F158,D158,$C$13,$C$14,$C$15,$C$8,,,TRUE,TRUE,FALSE,$C$29:$C$31,$C$33),{5})),"")</f>
        <v/>
      </c>
      <c r="AP133" s="524" t="str" cm="1">
        <f t="array" aca="1" ref="AP133" ca="1">IF(AO133&lt;&gt;"",TRANSPOSE(INDEX(GetCDS($C158,AP$13,$G158/10000,G158,E158,$C$13,$C$14,$C$15,$C$8,,,TRUE,TRUE,FALSE,$C$29:$C$31,$C$33),{5})),"")</f>
        <v/>
      </c>
      <c r="AQ133" s="524" t="str" cm="1">
        <f t="array" aca="1" ref="AQ133" ca="1">IF(AP133&lt;&gt;"",TRANSPOSE(INDEX(GetCDS($C158,AQ$13,$G158/10000,H158,F158,$C$13,$C$14,$C$15,$C$8,,,TRUE,TRUE,FALSE,$C$29:$C$31,$C$33),{5})),"")</f>
        <v/>
      </c>
      <c r="AR133" s="524" t="str" cm="1">
        <f t="array" aca="1" ref="AR133" ca="1">IF(AQ133&lt;&gt;"",TRANSPOSE(INDEX(GetCDS($C158,AR$13,$G158/10000,I158,G158,$C$13,$C$14,$C$15,$C$8,,,TRUE,TRUE,FALSE,$C$29:$C$31,$C$33),{5})),"")</f>
        <v/>
      </c>
      <c r="AS133" s="525" t="str" cm="1">
        <f t="array" aca="1" ref="AS133" ca="1">IF(AR133&lt;&gt;"",TRANSPOSE(INDEX(GetCDS($C158,AS$13,$G158/10000,J158,H158,$C$13,$C$14,$C$15,$C$8,,,TRUE,TRUE,FALSE,$C$29:$C$31,$C$33),{5})),"")</f>
        <v/>
      </c>
    </row>
    <row r="134" spans="1:45" customFormat="1" ht="15">
      <c r="A134" s="227"/>
      <c r="B134" s="276">
        <v>96</v>
      </c>
      <c r="C134" s="254" t="s">
        <v>184</v>
      </c>
      <c r="D134" s="255">
        <v>1</v>
      </c>
      <c r="E134" s="247"/>
      <c r="F134" s="232">
        <v>0.4</v>
      </c>
      <c r="G134" s="435">
        <v>100</v>
      </c>
      <c r="H134" s="386">
        <v>120</v>
      </c>
      <c r="I134" s="404"/>
      <c r="J134" s="404"/>
      <c r="K134" s="413"/>
      <c r="L134" s="413"/>
      <c r="M134" s="413"/>
      <c r="N134" s="452"/>
      <c r="O134" s="413"/>
      <c r="P134" s="413"/>
      <c r="Q134" s="413"/>
      <c r="R134" s="452"/>
      <c r="S134" s="443"/>
      <c r="T134" s="42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3"/>
      <c r="V134" s="423"/>
      <c r="W134" s="424"/>
      <c r="X134" s="425"/>
      <c r="Y134" s="426" t="str">
        <f t="shared" ca="1" si="15"/>
        <v/>
      </c>
      <c r="Z134" s="427" t="str">
        <f t="shared" ca="1" si="16"/>
        <v/>
      </c>
      <c r="AA134" s="426" t="str">
        <f t="shared" ca="1" si="17"/>
        <v/>
      </c>
      <c r="AB134" s="428" t="str">
        <f t="shared" ca="1" si="18"/>
        <v/>
      </c>
      <c r="AC134" s="427" t="str">
        <f t="shared" ca="1" si="19"/>
        <v/>
      </c>
      <c r="AD134" s="79"/>
      <c r="AE134" s="496">
        <f t="shared" ca="1" si="29"/>
        <v>-4.7264953322810098E-3</v>
      </c>
      <c r="AF134" s="493">
        <f t="shared" ca="1" si="30"/>
        <v>1.9812728957916671E-2</v>
      </c>
      <c r="AG134" s="493">
        <f t="shared" ca="1" si="28"/>
        <v>0</v>
      </c>
      <c r="AH134" s="498">
        <f t="shared" ca="1" si="31"/>
        <v>0</v>
      </c>
      <c r="AI134" s="497">
        <f t="shared" ca="1" si="32"/>
        <v>-4.7264953322810098E-3</v>
      </c>
      <c r="AJ134" s="493">
        <f t="shared" ca="1" si="33"/>
        <v>0.40538304688562543</v>
      </c>
      <c r="AK134" s="493">
        <f t="shared" ca="1" si="34"/>
        <v>0</v>
      </c>
      <c r="AL134" s="498">
        <f t="shared" ca="1" si="35"/>
        <v>0</v>
      </c>
      <c r="AN134" s="532" t="str">
        <f t="shared" ca="1" si="14"/>
        <v/>
      </c>
      <c r="AO134" s="524" t="str" cm="1">
        <f t="array" aca="1" ref="AO134" ca="1">IF(AN134&lt;&gt;"",TRANSPOSE(INDEX(GetCDS($C159,AO$13,$G159/10000,F159,D159,$C$13,$C$14,$C$15,$C$8,,,TRUE,TRUE,FALSE,$C$29:$C$31,$C$33),{5})),"")</f>
        <v/>
      </c>
      <c r="AP134" s="524" t="str" cm="1">
        <f t="array" aca="1" ref="AP134" ca="1">IF(AO134&lt;&gt;"",TRANSPOSE(INDEX(GetCDS($C159,AP$13,$G159/10000,G159,E159,$C$13,$C$14,$C$15,$C$8,,,TRUE,TRUE,FALSE,$C$29:$C$31,$C$33),{5})),"")</f>
        <v/>
      </c>
      <c r="AQ134" s="524" t="str" cm="1">
        <f t="array" aca="1" ref="AQ134" ca="1">IF(AP134&lt;&gt;"",TRANSPOSE(INDEX(GetCDS($C159,AQ$13,$G159/10000,H159,F159,$C$13,$C$14,$C$15,$C$8,,,TRUE,TRUE,FALSE,$C$29:$C$31,$C$33),{5})),"")</f>
        <v/>
      </c>
      <c r="AR134" s="524" t="str" cm="1">
        <f t="array" aca="1" ref="AR134" ca="1">IF(AQ134&lt;&gt;"",TRANSPOSE(INDEX(GetCDS($C159,AR$13,$G159/10000,I159,G159,$C$13,$C$14,$C$15,$C$8,,,TRUE,TRUE,FALSE,$C$29:$C$31,$C$33),{5})),"")</f>
        <v/>
      </c>
      <c r="AS134" s="525" t="str" cm="1">
        <f t="array" aca="1" ref="AS134" ca="1">IF(AR134&lt;&gt;"",TRANSPOSE(INDEX(GetCDS($C159,AS$13,$G159/10000,J159,H159,$C$13,$C$14,$C$15,$C$8,,,TRUE,TRUE,FALSE,$C$29:$C$31,$C$33),{5})),"")</f>
        <v/>
      </c>
    </row>
    <row r="135" spans="1:45" customFormat="1" ht="15">
      <c r="A135" s="227"/>
      <c r="B135" s="276">
        <v>97</v>
      </c>
      <c r="C135" s="254" t="s">
        <v>185</v>
      </c>
      <c r="D135" s="255">
        <v>1</v>
      </c>
      <c r="E135" s="247"/>
      <c r="F135" s="232">
        <v>0.4</v>
      </c>
      <c r="G135" s="435">
        <v>100</v>
      </c>
      <c r="H135" s="386">
        <v>121</v>
      </c>
      <c r="I135" s="404"/>
      <c r="J135" s="404"/>
      <c r="K135" s="413"/>
      <c r="L135" s="413"/>
      <c r="M135" s="413"/>
      <c r="N135" s="452"/>
      <c r="O135" s="413"/>
      <c r="P135" s="413"/>
      <c r="Q135" s="413"/>
      <c r="R135" s="452"/>
      <c r="S135" s="443"/>
      <c r="T135" s="42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3"/>
      <c r="V135" s="423"/>
      <c r="W135" s="424"/>
      <c r="X135" s="425"/>
      <c r="Y135" s="426" t="str">
        <f t="shared" ca="1" si="15"/>
        <v/>
      </c>
      <c r="Z135" s="427" t="str">
        <f t="shared" ca="1" si="16"/>
        <v/>
      </c>
      <c r="AA135" s="426" t="str">
        <f t="shared" ca="1" si="17"/>
        <v/>
      </c>
      <c r="AB135" s="428" t="str">
        <f t="shared" ca="1" si="18"/>
        <v/>
      </c>
      <c r="AC135" s="427" t="str">
        <f t="shared" ca="1" si="19"/>
        <v/>
      </c>
      <c r="AD135" s="79"/>
      <c r="AE135" s="496">
        <f t="shared" ca="1" si="29"/>
        <v>-1.46927718505199E-3</v>
      </c>
      <c r="AF135" s="493">
        <f t="shared" ca="1" si="30"/>
        <v>3.4098490000807918E-2</v>
      </c>
      <c r="AG135" s="493">
        <f t="shared" ca="1" si="28"/>
        <v>0</v>
      </c>
      <c r="AH135" s="498">
        <f t="shared" ca="1" si="31"/>
        <v>0</v>
      </c>
      <c r="AI135" s="497">
        <f t="shared" ca="1" si="32"/>
        <v>-1.46927718505199E-3</v>
      </c>
      <c r="AJ135" s="493">
        <f t="shared" ca="1" si="33"/>
        <v>0.3014579076825365</v>
      </c>
      <c r="AK135" s="493">
        <f t="shared" ca="1" si="34"/>
        <v>0</v>
      </c>
      <c r="AL135" s="498">
        <f t="shared" ca="1" si="35"/>
        <v>0</v>
      </c>
      <c r="AN135" s="532" t="str">
        <f t="shared" ca="1" si="14"/>
        <v/>
      </c>
      <c r="AO135" s="524" t="str" cm="1">
        <f t="array" aca="1" ref="AO135" ca="1">IF(AN135&lt;&gt;"",TRANSPOSE(INDEX(GetCDS($C160,AO$13,$G160/10000,F160,D160,$C$13,$C$14,$C$15,$C$8,,,TRUE,TRUE,FALSE,$C$29:$C$31,$C$33),{5})),"")</f>
        <v/>
      </c>
      <c r="AP135" s="524" t="str" cm="1">
        <f t="array" aca="1" ref="AP135" ca="1">IF(AO135&lt;&gt;"",TRANSPOSE(INDEX(GetCDS($C160,AP$13,$G160/10000,G160,E160,$C$13,$C$14,$C$15,$C$8,,,TRUE,TRUE,FALSE,$C$29:$C$31,$C$33),{5})),"")</f>
        <v/>
      </c>
      <c r="AQ135" s="524" t="str" cm="1">
        <f t="array" aca="1" ref="AQ135" ca="1">IF(AP135&lt;&gt;"",TRANSPOSE(INDEX(GetCDS($C160,AQ$13,$G160/10000,H160,F160,$C$13,$C$14,$C$15,$C$8,,,TRUE,TRUE,FALSE,$C$29:$C$31,$C$33),{5})),"")</f>
        <v/>
      </c>
      <c r="AR135" s="524" t="str" cm="1">
        <f t="array" aca="1" ref="AR135" ca="1">IF(AQ135&lt;&gt;"",TRANSPOSE(INDEX(GetCDS($C160,AR$13,$G160/10000,I160,G160,$C$13,$C$14,$C$15,$C$8,,,TRUE,TRUE,FALSE,$C$29:$C$31,$C$33),{5})),"")</f>
        <v/>
      </c>
      <c r="AS135" s="525" t="str" cm="1">
        <f t="array" aca="1" ref="AS135" ca="1">IF(AR135&lt;&gt;"",TRANSPOSE(INDEX(GetCDS($C160,AS$13,$G160/10000,J160,H160,$C$13,$C$14,$C$15,$C$8,,,TRUE,TRUE,FALSE,$C$29:$C$31,$C$33),{5})),"")</f>
        <v/>
      </c>
    </row>
    <row r="136" spans="1:45" customFormat="1" ht="15">
      <c r="A136" s="227"/>
      <c r="B136" s="276">
        <v>98</v>
      </c>
      <c r="C136" s="254" t="s">
        <v>186</v>
      </c>
      <c r="D136" s="255">
        <v>1</v>
      </c>
      <c r="E136" s="247"/>
      <c r="F136" s="232">
        <v>0.4</v>
      </c>
      <c r="G136" s="435">
        <v>100</v>
      </c>
      <c r="H136" s="386">
        <v>122</v>
      </c>
      <c r="I136" s="404"/>
      <c r="J136" s="404"/>
      <c r="K136" s="413"/>
      <c r="L136" s="413"/>
      <c r="M136" s="413"/>
      <c r="N136" s="452"/>
      <c r="O136" s="413"/>
      <c r="P136" s="413"/>
      <c r="Q136" s="413"/>
      <c r="R136" s="452"/>
      <c r="S136" s="443"/>
      <c r="T136" s="42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3"/>
      <c r="V136" s="423"/>
      <c r="W136" s="424"/>
      <c r="X136" s="425"/>
      <c r="Y136" s="426" t="str">
        <f t="shared" ca="1" si="15"/>
        <v/>
      </c>
      <c r="Z136" s="427" t="str">
        <f t="shared" ca="1" si="16"/>
        <v/>
      </c>
      <c r="AA136" s="426" t="str">
        <f t="shared" ca="1" si="17"/>
        <v/>
      </c>
      <c r="AB136" s="428" t="str">
        <f t="shared" ca="1" si="18"/>
        <v/>
      </c>
      <c r="AC136" s="427" t="str">
        <f t="shared" ca="1" si="19"/>
        <v/>
      </c>
      <c r="AD136" s="79"/>
      <c r="AE136" s="496">
        <f t="shared" ca="1" si="29"/>
        <v>-3.3495532549920001E-3</v>
      </c>
      <c r="AF136" s="493">
        <f t="shared" ca="1" si="30"/>
        <v>2.4999683615693959E-2</v>
      </c>
      <c r="AG136" s="493">
        <f t="shared" ca="1" si="28"/>
        <v>0</v>
      </c>
      <c r="AH136" s="498">
        <f t="shared" ca="1" si="31"/>
        <v>0</v>
      </c>
      <c r="AI136" s="497">
        <f t="shared" ca="1" si="32"/>
        <v>-3.3495532549920001E-3</v>
      </c>
      <c r="AJ136" s="493">
        <f t="shared" ca="1" si="33"/>
        <v>0.37186404574422222</v>
      </c>
      <c r="AK136" s="493">
        <f t="shared" ca="1" si="34"/>
        <v>0</v>
      </c>
      <c r="AL136" s="498">
        <f t="shared" ca="1" si="35"/>
        <v>0</v>
      </c>
      <c r="AN136" s="532" t="str">
        <f t="shared" ca="1" si="14"/>
        <v/>
      </c>
      <c r="AO136" s="524" t="str" cm="1">
        <f t="array" aca="1" ref="AO136" ca="1">IF(AN136&lt;&gt;"",TRANSPOSE(INDEX(GetCDS($C161,AO$13,$G161/10000,F161,D161,$C$13,$C$14,$C$15,$C$8,,,TRUE,TRUE,FALSE,$C$29:$C$31,$C$33),{5})),"")</f>
        <v/>
      </c>
      <c r="AP136" s="524" t="str" cm="1">
        <f t="array" aca="1" ref="AP136" ca="1">IF(AO136&lt;&gt;"",TRANSPOSE(INDEX(GetCDS($C161,AP$13,$G161/10000,G161,E161,$C$13,$C$14,$C$15,$C$8,,,TRUE,TRUE,FALSE,$C$29:$C$31,$C$33),{5})),"")</f>
        <v/>
      </c>
      <c r="AQ136" s="524" t="str" cm="1">
        <f t="array" aca="1" ref="AQ136" ca="1">IF(AP136&lt;&gt;"",TRANSPOSE(INDEX(GetCDS($C161,AQ$13,$G161/10000,H161,F161,$C$13,$C$14,$C$15,$C$8,,,TRUE,TRUE,FALSE,$C$29:$C$31,$C$33),{5})),"")</f>
        <v/>
      </c>
      <c r="AR136" s="524" t="str" cm="1">
        <f t="array" aca="1" ref="AR136" ca="1">IF(AQ136&lt;&gt;"",TRANSPOSE(INDEX(GetCDS($C161,AR$13,$G161/10000,I161,G161,$C$13,$C$14,$C$15,$C$8,,,TRUE,TRUE,FALSE,$C$29:$C$31,$C$33),{5})),"")</f>
        <v/>
      </c>
      <c r="AS136" s="525" t="str" cm="1">
        <f t="array" aca="1" ref="AS136" ca="1">IF(AR136&lt;&gt;"",TRANSPOSE(INDEX(GetCDS($C161,AS$13,$G161/10000,J161,H161,$C$13,$C$14,$C$15,$C$8,,,TRUE,TRUE,FALSE,$C$29:$C$31,$C$33),{5})),"")</f>
        <v/>
      </c>
    </row>
    <row r="137" spans="1:45" customFormat="1" ht="15">
      <c r="A137" s="227"/>
      <c r="B137" s="276">
        <v>99</v>
      </c>
      <c r="C137" s="254" t="s">
        <v>187</v>
      </c>
      <c r="D137" s="255">
        <v>1</v>
      </c>
      <c r="E137" s="247"/>
      <c r="F137" s="232">
        <v>0.4</v>
      </c>
      <c r="G137" s="435">
        <v>100</v>
      </c>
      <c r="H137" s="386">
        <v>123</v>
      </c>
      <c r="I137" s="404"/>
      <c r="J137" s="404"/>
      <c r="K137" s="413"/>
      <c r="L137" s="413"/>
      <c r="M137" s="413"/>
      <c r="N137" s="452"/>
      <c r="O137" s="413"/>
      <c r="P137" s="413"/>
      <c r="Q137" s="413"/>
      <c r="R137" s="452"/>
      <c r="S137" s="443"/>
      <c r="T137" s="42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3"/>
      <c r="V137" s="423"/>
      <c r="W137" s="424"/>
      <c r="X137" s="425"/>
      <c r="Y137" s="426" t="str">
        <f t="shared" ca="1" si="15"/>
        <v/>
      </c>
      <c r="Z137" s="427" t="str">
        <f t="shared" ca="1" si="16"/>
        <v/>
      </c>
      <c r="AA137" s="426" t="str">
        <f t="shared" ca="1" si="17"/>
        <v/>
      </c>
      <c r="AB137" s="428" t="str">
        <f t="shared" ca="1" si="18"/>
        <v/>
      </c>
      <c r="AC137" s="427" t="str">
        <f t="shared" ca="1" si="19"/>
        <v/>
      </c>
      <c r="AD137" s="79"/>
      <c r="AE137" s="496">
        <f t="shared" ca="1" si="29"/>
        <v>-2.210371797912E-3</v>
      </c>
      <c r="AF137" s="493">
        <f t="shared" ca="1" si="30"/>
        <v>3.0282880249984271E-2</v>
      </c>
      <c r="AG137" s="493">
        <f t="shared" ca="1" si="28"/>
        <v>0</v>
      </c>
      <c r="AH137" s="498">
        <f t="shared" ca="1" si="31"/>
        <v>0</v>
      </c>
      <c r="AI137" s="497">
        <f t="shared" ca="1" si="32"/>
        <v>-2.210371797912E-3</v>
      </c>
      <c r="AJ137" s="493">
        <f t="shared" ca="1" si="33"/>
        <v>0.33454422286721158</v>
      </c>
      <c r="AK137" s="493">
        <f t="shared" ca="1" si="34"/>
        <v>0</v>
      </c>
      <c r="AL137" s="498">
        <f t="shared" ca="1" si="35"/>
        <v>0</v>
      </c>
      <c r="AN137" s="532" t="str">
        <f t="shared" ca="1" si="14"/>
        <v/>
      </c>
      <c r="AO137" s="524" t="str" cm="1">
        <f t="array" aca="1" ref="AO137" ca="1">IF(AN137&lt;&gt;"",TRANSPOSE(INDEX(GetCDS($C162,AO$13,$G162/10000,F162,D162,$C$13,$C$14,$C$15,$C$8,,,TRUE,TRUE,FALSE,$C$29:$C$31,$C$33),{5})),"")</f>
        <v/>
      </c>
      <c r="AP137" s="524" t="str" cm="1">
        <f t="array" aca="1" ref="AP137" ca="1">IF(AO137&lt;&gt;"",TRANSPOSE(INDEX(GetCDS($C162,AP$13,$G162/10000,G162,E162,$C$13,$C$14,$C$15,$C$8,,,TRUE,TRUE,FALSE,$C$29:$C$31,$C$33),{5})),"")</f>
        <v/>
      </c>
      <c r="AQ137" s="524" t="str" cm="1">
        <f t="array" aca="1" ref="AQ137" ca="1">IF(AP137&lt;&gt;"",TRANSPOSE(INDEX(GetCDS($C162,AQ$13,$G162/10000,H162,F162,$C$13,$C$14,$C$15,$C$8,,,TRUE,TRUE,FALSE,$C$29:$C$31,$C$33),{5})),"")</f>
        <v/>
      </c>
      <c r="AR137" s="524" t="str" cm="1">
        <f t="array" aca="1" ref="AR137" ca="1">IF(AQ137&lt;&gt;"",TRANSPOSE(INDEX(GetCDS($C162,AR$13,$G162/10000,I162,G162,$C$13,$C$14,$C$15,$C$8,,,TRUE,TRUE,FALSE,$C$29:$C$31,$C$33),{5})),"")</f>
        <v/>
      </c>
      <c r="AS137" s="525" t="str" cm="1">
        <f t="array" aca="1" ref="AS137" ca="1">IF(AR137&lt;&gt;"",TRANSPOSE(INDEX(GetCDS($C162,AS$13,$G162/10000,J162,H162,$C$13,$C$14,$C$15,$C$8,,,TRUE,TRUE,FALSE,$C$29:$C$31,$C$33),{5})),"")</f>
        <v/>
      </c>
    </row>
    <row r="138" spans="1:45" customFormat="1" ht="15">
      <c r="A138" s="227"/>
      <c r="B138" s="276">
        <v>100</v>
      </c>
      <c r="C138" s="254" t="s">
        <v>188</v>
      </c>
      <c r="D138" s="255">
        <v>1</v>
      </c>
      <c r="E138" s="247"/>
      <c r="F138" s="232">
        <v>0.4</v>
      </c>
      <c r="G138" s="435">
        <v>100</v>
      </c>
      <c r="H138" s="386">
        <v>124</v>
      </c>
      <c r="I138" s="404"/>
      <c r="J138" s="404"/>
      <c r="K138" s="413"/>
      <c r="L138" s="413"/>
      <c r="M138" s="413"/>
      <c r="N138" s="452"/>
      <c r="O138" s="413"/>
      <c r="P138" s="413"/>
      <c r="Q138" s="413"/>
      <c r="R138" s="452"/>
      <c r="S138" s="443"/>
      <c r="T138" s="42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3"/>
      <c r="V138" s="423"/>
      <c r="W138" s="424"/>
      <c r="X138" s="425"/>
      <c r="Y138" s="426" t="str">
        <f t="shared" ca="1" si="15"/>
        <v/>
      </c>
      <c r="Z138" s="427" t="str">
        <f t="shared" ca="1" si="16"/>
        <v/>
      </c>
      <c r="AA138" s="426" t="str">
        <f t="shared" ca="1" si="17"/>
        <v/>
      </c>
      <c r="AB138" s="428" t="str">
        <f t="shared" ca="1" si="18"/>
        <v/>
      </c>
      <c r="AC138" s="427" t="str">
        <f t="shared" ca="1" si="19"/>
        <v/>
      </c>
      <c r="AD138" s="79"/>
      <c r="AE138" s="496">
        <f t="shared" ca="1" si="29"/>
        <v>-3.57386416557101E-3</v>
      </c>
      <c r="AF138" s="493">
        <f t="shared" ca="1" si="30"/>
        <v>2.4634689224075582E-2</v>
      </c>
      <c r="AG138" s="493">
        <f t="shared" ca="1" si="28"/>
        <v>0</v>
      </c>
      <c r="AH138" s="498">
        <f t="shared" ca="1" si="31"/>
        <v>0</v>
      </c>
      <c r="AI138" s="497">
        <f t="shared" ca="1" si="32"/>
        <v>-3.57386416557101E-3</v>
      </c>
      <c r="AJ138" s="493">
        <f t="shared" ca="1" si="33"/>
        <v>0.37774305598634939</v>
      </c>
      <c r="AK138" s="493">
        <f t="shared" ca="1" si="34"/>
        <v>0</v>
      </c>
      <c r="AL138" s="498">
        <f t="shared" ca="1" si="35"/>
        <v>0</v>
      </c>
      <c r="AN138" s="532" t="str">
        <f t="shared" ca="1" si="14"/>
        <v/>
      </c>
      <c r="AO138" s="524" t="str" cm="1">
        <f t="array" aca="1" ref="AO138" ca="1">IF(AN138&lt;&gt;"",TRANSPOSE(INDEX(GetCDS($C163,AO$13,$G163/10000,F163,D163,$C$13,$C$14,$C$15,$C$8,,,TRUE,TRUE,FALSE,$C$29:$C$31,$C$33),{5})),"")</f>
        <v/>
      </c>
      <c r="AP138" s="524" t="str" cm="1">
        <f t="array" aca="1" ref="AP138" ca="1">IF(AO138&lt;&gt;"",TRANSPOSE(INDEX(GetCDS($C163,AP$13,$G163/10000,G163,E163,$C$13,$C$14,$C$15,$C$8,,,TRUE,TRUE,FALSE,$C$29:$C$31,$C$33),{5})),"")</f>
        <v/>
      </c>
      <c r="AQ138" s="524" t="str" cm="1">
        <f t="array" aca="1" ref="AQ138" ca="1">IF(AP138&lt;&gt;"",TRANSPOSE(INDEX(GetCDS($C163,AQ$13,$G163/10000,H163,F163,$C$13,$C$14,$C$15,$C$8,,,TRUE,TRUE,FALSE,$C$29:$C$31,$C$33),{5})),"")</f>
        <v/>
      </c>
      <c r="AR138" s="524" t="str" cm="1">
        <f t="array" aca="1" ref="AR138" ca="1">IF(AQ138&lt;&gt;"",TRANSPOSE(INDEX(GetCDS($C163,AR$13,$G163/10000,I163,G163,$C$13,$C$14,$C$15,$C$8,,,TRUE,TRUE,FALSE,$C$29:$C$31,$C$33),{5})),"")</f>
        <v/>
      </c>
      <c r="AS138" s="525" t="str" cm="1">
        <f t="array" aca="1" ref="AS138" ca="1">IF(AR138&lt;&gt;"",TRANSPOSE(INDEX(GetCDS($C163,AS$13,$G163/10000,J163,H163,$C$13,$C$14,$C$15,$C$8,,,TRUE,TRUE,FALSE,$C$29:$C$31,$C$33),{5})),"")</f>
        <v/>
      </c>
    </row>
    <row r="139" spans="1:45" customFormat="1" ht="15">
      <c r="A139" s="227"/>
      <c r="B139" s="276">
        <v>101</v>
      </c>
      <c r="C139" s="254"/>
      <c r="D139" s="255"/>
      <c r="E139" s="247"/>
      <c r="F139" s="232"/>
      <c r="G139" s="239"/>
      <c r="H139" s="386">
        <v>125</v>
      </c>
      <c r="I139" s="404"/>
      <c r="J139" s="404"/>
      <c r="K139" s="413"/>
      <c r="L139" s="413"/>
      <c r="M139" s="413"/>
      <c r="N139" s="452"/>
      <c r="O139" s="413"/>
      <c r="P139" s="413"/>
      <c r="Q139" s="413"/>
      <c r="R139" s="452"/>
      <c r="S139" s="443"/>
      <c r="T139" s="42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3"/>
      <c r="V139" s="423"/>
      <c r="W139" s="424"/>
      <c r="X139" s="425"/>
      <c r="Y139" s="426" t="str">
        <f t="shared" ca="1" si="15"/>
        <v/>
      </c>
      <c r="Z139" s="427" t="str">
        <f t="shared" ca="1" si="16"/>
        <v/>
      </c>
      <c r="AA139" s="426" t="str">
        <f t="shared" ca="1" si="17"/>
        <v/>
      </c>
      <c r="AB139" s="428" t="str">
        <f t="shared" ca="1" si="18"/>
        <v/>
      </c>
      <c r="AC139" s="427" t="str">
        <f t="shared" ca="1" si="19"/>
        <v/>
      </c>
      <c r="AD139" s="79"/>
      <c r="AE139" s="496">
        <f t="shared" ca="1" si="29"/>
        <v>-3.0593820058079902E-3</v>
      </c>
      <c r="AF139" s="493">
        <f t="shared" ca="1" si="30"/>
        <v>2.6324709112155582E-2</v>
      </c>
      <c r="AG139" s="493">
        <f t="shared" ca="1" si="28"/>
        <v>0</v>
      </c>
      <c r="AH139" s="498">
        <f t="shared" ca="1" si="31"/>
        <v>0</v>
      </c>
      <c r="AI139" s="497">
        <f t="shared" ca="1" si="32"/>
        <v>-3.0593820058079902E-3</v>
      </c>
      <c r="AJ139" s="493">
        <f t="shared" ca="1" si="33"/>
        <v>0.36359667608453816</v>
      </c>
      <c r="AK139" s="493">
        <f t="shared" ca="1" si="34"/>
        <v>0</v>
      </c>
      <c r="AL139" s="498">
        <f t="shared" ca="1" si="35"/>
        <v>0</v>
      </c>
      <c r="AN139" s="532" t="str">
        <f t="shared" ca="1" si="14"/>
        <v/>
      </c>
      <c r="AO139" s="524" t="str" cm="1">
        <f t="array" aca="1" ref="AO139" ca="1">IF(AN139&lt;&gt;"",TRANSPOSE(INDEX(GetCDS($C164,AO$13,$G164/10000,F164,D164,$C$13,$C$14,$C$15,$C$8,,,TRUE,TRUE,FALSE,$C$29:$C$31,$C$33),{5})),"")</f>
        <v/>
      </c>
      <c r="AP139" s="524" t="str" cm="1">
        <f t="array" aca="1" ref="AP139" ca="1">IF(AO139&lt;&gt;"",TRANSPOSE(INDEX(GetCDS($C164,AP$13,$G164/10000,G164,E164,$C$13,$C$14,$C$15,$C$8,,,TRUE,TRUE,FALSE,$C$29:$C$31,$C$33),{5})),"")</f>
        <v/>
      </c>
      <c r="AQ139" s="524" t="str" cm="1">
        <f t="array" aca="1" ref="AQ139" ca="1">IF(AP139&lt;&gt;"",TRANSPOSE(INDEX(GetCDS($C164,AQ$13,$G164/10000,H164,F164,$C$13,$C$14,$C$15,$C$8,,,TRUE,TRUE,FALSE,$C$29:$C$31,$C$33),{5})),"")</f>
        <v/>
      </c>
      <c r="AR139" s="524" t="str" cm="1">
        <f t="array" aca="1" ref="AR139" ca="1">IF(AQ139&lt;&gt;"",TRANSPOSE(INDEX(GetCDS($C164,AR$13,$G164/10000,I164,G164,$C$13,$C$14,$C$15,$C$8,,,TRUE,TRUE,FALSE,$C$29:$C$31,$C$33),{5})),"")</f>
        <v/>
      </c>
      <c r="AS139" s="525" t="str" cm="1">
        <f t="array" aca="1" ref="AS139" ca="1">IF(AR139&lt;&gt;"",TRANSPOSE(INDEX(GetCDS($C164,AS$13,$G164/10000,J164,H164,$C$13,$C$14,$C$15,$C$8,,,TRUE,TRUE,FALSE,$C$29:$C$31,$C$33),{5})),"")</f>
        <v/>
      </c>
    </row>
    <row r="140" spans="1:45" customFormat="1" ht="15">
      <c r="A140" s="227"/>
      <c r="B140" s="276">
        <v>102</v>
      </c>
      <c r="C140" s="254"/>
      <c r="D140" s="255"/>
      <c r="E140" s="247"/>
      <c r="F140" s="232"/>
      <c r="G140" s="239"/>
      <c r="H140" s="386">
        <v>126</v>
      </c>
      <c r="I140" s="404"/>
      <c r="J140" s="404"/>
      <c r="K140" s="413"/>
      <c r="L140" s="413"/>
      <c r="M140" s="404"/>
      <c r="N140" s="453"/>
      <c r="O140" s="404"/>
      <c r="P140" s="404"/>
      <c r="Q140" s="404"/>
      <c r="R140" s="453"/>
      <c r="S140" s="443"/>
      <c r="T140" s="42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3"/>
      <c r="V140" s="423"/>
      <c r="W140" s="424"/>
      <c r="X140" s="425"/>
      <c r="Y140" s="426" t="str">
        <f t="shared" ca="1" si="15"/>
        <v/>
      </c>
      <c r="Z140" s="427" t="str">
        <f t="shared" ca="1" si="16"/>
        <v/>
      </c>
      <c r="AA140" s="426" t="str">
        <f t="shared" ca="1" si="17"/>
        <v/>
      </c>
      <c r="AB140" s="428" t="str">
        <f t="shared" ca="1" si="18"/>
        <v/>
      </c>
      <c r="AC140" s="427" t="str">
        <f t="shared" ca="1" si="19"/>
        <v/>
      </c>
      <c r="AD140" s="79"/>
      <c r="AE140" s="496">
        <f t="shared" ca="1" si="29"/>
        <v>-2.3547764839459999E-3</v>
      </c>
      <c r="AF140" s="493">
        <f t="shared" ca="1" si="30"/>
        <v>2.9615343605883592E-2</v>
      </c>
      <c r="AG140" s="493">
        <f t="shared" ca="1" si="28"/>
        <v>0</v>
      </c>
      <c r="AH140" s="498">
        <f t="shared" ca="1" si="31"/>
        <v>0</v>
      </c>
      <c r="AI140" s="497">
        <f t="shared" ca="1" si="32"/>
        <v>-2.3547764839459999E-3</v>
      </c>
      <c r="AJ140" s="493">
        <f t="shared" ca="1" si="33"/>
        <v>0.34018666175398243</v>
      </c>
      <c r="AK140" s="493">
        <f t="shared" ca="1" si="34"/>
        <v>0</v>
      </c>
      <c r="AL140" s="498">
        <f t="shared" ca="1" si="35"/>
        <v>0</v>
      </c>
      <c r="AN140" s="532" t="str">
        <f t="shared" ca="1" si="14"/>
        <v/>
      </c>
      <c r="AO140" s="524" t="str" cm="1">
        <f t="array" aca="1" ref="AO140" ca="1">IF(AN140&lt;&gt;"",TRANSPOSE(INDEX(GetCDS($C165,AO$13,$G165/10000,F165,D165,$C$13,$C$14,$C$15,$C$8,,,TRUE,TRUE,FALSE,$C$29:$C$31,$C$33),{5})),"")</f>
        <v/>
      </c>
      <c r="AP140" s="524" t="str" cm="1">
        <f t="array" aca="1" ref="AP140" ca="1">IF(AO140&lt;&gt;"",TRANSPOSE(INDEX(GetCDS($C165,AP$13,$G165/10000,G165,E165,$C$13,$C$14,$C$15,$C$8,,,TRUE,TRUE,FALSE,$C$29:$C$31,$C$33),{5})),"")</f>
        <v/>
      </c>
      <c r="AQ140" s="524" t="str" cm="1">
        <f t="array" aca="1" ref="AQ140" ca="1">IF(AP140&lt;&gt;"",TRANSPOSE(INDEX(GetCDS($C165,AQ$13,$G165/10000,H165,F165,$C$13,$C$14,$C$15,$C$8,,,TRUE,TRUE,FALSE,$C$29:$C$31,$C$33),{5})),"")</f>
        <v/>
      </c>
      <c r="AR140" s="524" t="str" cm="1">
        <f t="array" aca="1" ref="AR140" ca="1">IF(AQ140&lt;&gt;"",TRANSPOSE(INDEX(GetCDS($C165,AR$13,$G165/10000,I165,G165,$C$13,$C$14,$C$15,$C$8,,,TRUE,TRUE,FALSE,$C$29:$C$31,$C$33),{5})),"")</f>
        <v/>
      </c>
      <c r="AS140" s="525" t="str" cm="1">
        <f t="array" aca="1" ref="AS140" ca="1">IF(AR140&lt;&gt;"",TRANSPOSE(INDEX(GetCDS($C165,AS$13,$G165/10000,J165,H165,$C$13,$C$14,$C$15,$C$8,,,TRUE,TRUE,FALSE,$C$29:$C$31,$C$33),{5})),"")</f>
        <v/>
      </c>
    </row>
    <row r="141" spans="1:45" customFormat="1" ht="15">
      <c r="A141" s="227"/>
      <c r="B141" s="276">
        <v>103</v>
      </c>
      <c r="C141" s="254"/>
      <c r="D141" s="255"/>
      <c r="E141" s="247"/>
      <c r="F141" s="232"/>
      <c r="G141" s="239"/>
      <c r="H141" s="386">
        <v>127</v>
      </c>
      <c r="I141" s="404"/>
      <c r="J141" s="404"/>
      <c r="K141" s="413"/>
      <c r="L141" s="413"/>
      <c r="M141" s="404"/>
      <c r="N141" s="453"/>
      <c r="O141" s="404"/>
      <c r="P141" s="404"/>
      <c r="Q141" s="404"/>
      <c r="R141" s="453"/>
      <c r="S141" s="443"/>
      <c r="T141" s="42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3"/>
      <c r="V141" s="423"/>
      <c r="W141" s="424"/>
      <c r="X141" s="425"/>
      <c r="Y141" s="426" t="str">
        <f t="shared" ca="1" si="15"/>
        <v/>
      </c>
      <c r="Z141" s="427" t="str">
        <f t="shared" ca="1" si="16"/>
        <v/>
      </c>
      <c r="AA141" s="426" t="str">
        <f t="shared" ca="1" si="17"/>
        <v/>
      </c>
      <c r="AB141" s="428" t="str">
        <f t="shared" ca="1" si="18"/>
        <v/>
      </c>
      <c r="AC141" s="427" t="str">
        <f t="shared" ca="1" si="19"/>
        <v/>
      </c>
      <c r="AD141" s="79"/>
      <c r="AE141" s="496">
        <f t="shared" ca="1" si="29"/>
        <v>-2.9716069164010001E-3</v>
      </c>
      <c r="AF141" s="493">
        <f t="shared" ca="1" si="30"/>
        <v>2.6891558842394112E-2</v>
      </c>
      <c r="AG141" s="493">
        <f t="shared" ca="1" si="28"/>
        <v>0</v>
      </c>
      <c r="AH141" s="498">
        <f t="shared" ca="1" si="31"/>
        <v>0</v>
      </c>
      <c r="AI141" s="497">
        <f t="shared" ca="1" si="32"/>
        <v>-2.9716069164010001E-3</v>
      </c>
      <c r="AJ141" s="493">
        <f t="shared" ca="1" si="33"/>
        <v>0.36124705997378498</v>
      </c>
      <c r="AK141" s="493">
        <f t="shared" ca="1" si="34"/>
        <v>0</v>
      </c>
      <c r="AL141" s="498">
        <f t="shared" ca="1" si="35"/>
        <v>0</v>
      </c>
      <c r="AN141" s="532" t="str">
        <f t="shared" ca="1" si="14"/>
        <v/>
      </c>
      <c r="AO141" s="524" t="str" cm="1">
        <f t="array" aca="1" ref="AO141" ca="1">IF(AN141&lt;&gt;"",TRANSPOSE(INDEX(GetCDS($C166,AO$13,$G166/10000,F166,D166,$C$13,$C$14,$C$15,$C$8,,,TRUE,TRUE,FALSE,$C$29:$C$31,$C$33),{5})),"")</f>
        <v/>
      </c>
      <c r="AP141" s="524" t="str" cm="1">
        <f t="array" aca="1" ref="AP141" ca="1">IF(AO141&lt;&gt;"",TRANSPOSE(INDEX(GetCDS($C166,AP$13,$G166/10000,G166,E166,$C$13,$C$14,$C$15,$C$8,,,TRUE,TRUE,FALSE,$C$29:$C$31,$C$33),{5})),"")</f>
        <v/>
      </c>
      <c r="AQ141" s="524" t="str" cm="1">
        <f t="array" aca="1" ref="AQ141" ca="1">IF(AP141&lt;&gt;"",TRANSPOSE(INDEX(GetCDS($C166,AQ$13,$G166/10000,H166,F166,$C$13,$C$14,$C$15,$C$8,,,TRUE,TRUE,FALSE,$C$29:$C$31,$C$33),{5})),"")</f>
        <v/>
      </c>
      <c r="AR141" s="524" t="str" cm="1">
        <f t="array" aca="1" ref="AR141" ca="1">IF(AQ141&lt;&gt;"",TRANSPOSE(INDEX(GetCDS($C166,AR$13,$G166/10000,I166,G166,$C$13,$C$14,$C$15,$C$8,,,TRUE,TRUE,FALSE,$C$29:$C$31,$C$33),{5})),"")</f>
        <v/>
      </c>
      <c r="AS141" s="525" t="str" cm="1">
        <f t="array" aca="1" ref="AS141" ca="1">IF(AR141&lt;&gt;"",TRANSPOSE(INDEX(GetCDS($C166,AS$13,$G166/10000,J166,H166,$C$13,$C$14,$C$15,$C$8,,,TRUE,TRUE,FALSE,$C$29:$C$31,$C$33),{5})),"")</f>
        <v/>
      </c>
    </row>
    <row r="142" spans="1:45" customFormat="1" ht="15">
      <c r="A142" s="227"/>
      <c r="B142" s="276">
        <v>104</v>
      </c>
      <c r="C142" s="254"/>
      <c r="D142" s="255"/>
      <c r="E142" s="247"/>
      <c r="F142" s="232"/>
      <c r="G142" s="239"/>
      <c r="H142" s="386">
        <v>128</v>
      </c>
      <c r="I142" s="404"/>
      <c r="J142" s="404"/>
      <c r="K142" s="413"/>
      <c r="L142" s="413"/>
      <c r="M142" s="404"/>
      <c r="N142" s="453"/>
      <c r="O142" s="404"/>
      <c r="P142" s="404"/>
      <c r="Q142" s="404"/>
      <c r="R142" s="453"/>
      <c r="S142" s="443"/>
      <c r="T142" s="42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3"/>
      <c r="V142" s="423"/>
      <c r="W142" s="424"/>
      <c r="X142" s="425"/>
      <c r="Y142" s="426" t="str">
        <f t="shared" ca="1" si="15"/>
        <v/>
      </c>
      <c r="Z142" s="427" t="str">
        <f t="shared" ca="1" si="16"/>
        <v/>
      </c>
      <c r="AA142" s="426" t="str">
        <f t="shared" ca="1" si="17"/>
        <v/>
      </c>
      <c r="AB142" s="428" t="str">
        <f t="shared" ca="1" si="18"/>
        <v/>
      </c>
      <c r="AC142" s="427" t="str">
        <f t="shared" ca="1" si="19"/>
        <v/>
      </c>
      <c r="AD142" s="79"/>
      <c r="AE142" s="496">
        <f t="shared" ca="1" si="29"/>
        <v>-4.4185433827980099E-3</v>
      </c>
      <c r="AF142" s="493">
        <f t="shared" ca="1" si="30"/>
        <v>2.0723612187378601E-2</v>
      </c>
      <c r="AG142" s="493">
        <f t="shared" ca="1" si="28"/>
        <v>0</v>
      </c>
      <c r="AH142" s="498">
        <f t="shared" ca="1" si="31"/>
        <v>0</v>
      </c>
      <c r="AI142" s="497">
        <f t="shared" ca="1" si="32"/>
        <v>-4.4185433827980099E-3</v>
      </c>
      <c r="AJ142" s="493">
        <f t="shared" ca="1" si="33"/>
        <v>0.39939282225507111</v>
      </c>
      <c r="AK142" s="493">
        <f t="shared" ca="1" si="34"/>
        <v>0</v>
      </c>
      <c r="AL142" s="498">
        <f t="shared" ca="1" si="35"/>
        <v>0</v>
      </c>
      <c r="AN142" s="532" t="str">
        <f t="shared" ca="1" si="14"/>
        <v/>
      </c>
      <c r="AO142" s="524" t="str" cm="1">
        <f t="array" aca="1" ref="AO142" ca="1">IF(AN142&lt;&gt;"",TRANSPOSE(INDEX(GetCDS($C167,AO$13,$G167/10000,F167,D167,$C$13,$C$14,$C$15,$C$8,,,TRUE,TRUE,FALSE,$C$29:$C$31,$C$33),{5})),"")</f>
        <v/>
      </c>
      <c r="AP142" s="524" t="str" cm="1">
        <f t="array" aca="1" ref="AP142" ca="1">IF(AO142&lt;&gt;"",TRANSPOSE(INDEX(GetCDS($C167,AP$13,$G167/10000,G167,E167,$C$13,$C$14,$C$15,$C$8,,,TRUE,TRUE,FALSE,$C$29:$C$31,$C$33),{5})),"")</f>
        <v/>
      </c>
      <c r="AQ142" s="524" t="str" cm="1">
        <f t="array" aca="1" ref="AQ142" ca="1">IF(AP142&lt;&gt;"",TRANSPOSE(INDEX(GetCDS($C167,AQ$13,$G167/10000,H167,F167,$C$13,$C$14,$C$15,$C$8,,,TRUE,TRUE,FALSE,$C$29:$C$31,$C$33),{5})),"")</f>
        <v/>
      </c>
      <c r="AR142" s="524" t="str" cm="1">
        <f t="array" aca="1" ref="AR142" ca="1">IF(AQ142&lt;&gt;"",TRANSPOSE(INDEX(GetCDS($C167,AR$13,$G167/10000,I167,G167,$C$13,$C$14,$C$15,$C$8,,,TRUE,TRUE,FALSE,$C$29:$C$31,$C$33),{5})),"")</f>
        <v/>
      </c>
      <c r="AS142" s="525" t="str" cm="1">
        <f t="array" aca="1" ref="AS142" ca="1">IF(AR142&lt;&gt;"",TRANSPOSE(INDEX(GetCDS($C167,AS$13,$G167/10000,J167,H167,$C$13,$C$14,$C$15,$C$8,,,TRUE,TRUE,FALSE,$C$29:$C$31,$C$33),{5})),"")</f>
        <v/>
      </c>
    </row>
    <row r="143" spans="1:45" customFormat="1" ht="15">
      <c r="A143" s="227"/>
      <c r="B143" s="276">
        <v>105</v>
      </c>
      <c r="C143" s="254"/>
      <c r="D143" s="255"/>
      <c r="E143" s="247"/>
      <c r="F143" s="232"/>
      <c r="G143" s="239"/>
      <c r="H143" s="386">
        <v>129</v>
      </c>
      <c r="I143" s="404"/>
      <c r="J143" s="404"/>
      <c r="K143" s="413"/>
      <c r="L143" s="413"/>
      <c r="M143" s="404"/>
      <c r="N143" s="453"/>
      <c r="O143" s="404"/>
      <c r="P143" s="404"/>
      <c r="Q143" s="404"/>
      <c r="R143" s="453"/>
      <c r="S143" s="443"/>
      <c r="T143" s="42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3"/>
      <c r="V143" s="423"/>
      <c r="W143" s="424"/>
      <c r="X143" s="425"/>
      <c r="Y143" s="426" t="str">
        <f t="shared" ca="1" si="15"/>
        <v/>
      </c>
      <c r="Z143" s="427" t="str">
        <f t="shared" ca="1" si="16"/>
        <v/>
      </c>
      <c r="AA143" s="426" t="str">
        <f t="shared" ca="1" si="17"/>
        <v/>
      </c>
      <c r="AB143" s="428" t="str">
        <f t="shared" ca="1" si="18"/>
        <v/>
      </c>
      <c r="AC143" s="427" t="str">
        <f t="shared" ca="1" si="19"/>
        <v/>
      </c>
      <c r="AD143" s="79"/>
      <c r="AE143" s="496">
        <f t="shared" ca="1" si="29"/>
        <v>-3.50105638888001E-3</v>
      </c>
      <c r="AF143" s="493">
        <f t="shared" ca="1" si="30"/>
        <v>2.4749823925840419E-2</v>
      </c>
      <c r="AG143" s="493">
        <f t="shared" ca="1" si="28"/>
        <v>0</v>
      </c>
      <c r="AH143" s="498">
        <f t="shared" ca="1" si="31"/>
        <v>0</v>
      </c>
      <c r="AI143" s="497">
        <f t="shared" ca="1" si="32"/>
        <v>-3.50105638888001E-3</v>
      </c>
      <c r="AJ143" s="493">
        <f t="shared" ca="1" si="33"/>
        <v>0.37639299379698099</v>
      </c>
      <c r="AK143" s="493">
        <f t="shared" ca="1" si="34"/>
        <v>0</v>
      </c>
      <c r="AL143" s="498">
        <f t="shared" ca="1" si="35"/>
        <v>0</v>
      </c>
      <c r="AN143" s="532" t="str">
        <f t="shared" ref="AN143:AN206" ca="1" si="36">IF(OR(C168="",C168=0),"",C168)</f>
        <v/>
      </c>
      <c r="AO143" s="524" t="str" cm="1">
        <f t="array" aca="1" ref="AO143" ca="1">IF(AN143&lt;&gt;"",TRANSPOSE(INDEX(GetCDS($C168,AO$13,$G168/10000,F168,D168,$C$13,$C$14,$C$15,$C$8,,,TRUE,TRUE,FALSE,$C$29:$C$31,$C$33),{5})),"")</f>
        <v/>
      </c>
      <c r="AP143" s="524" t="str" cm="1">
        <f t="array" aca="1" ref="AP143" ca="1">IF(AO143&lt;&gt;"",TRANSPOSE(INDEX(GetCDS($C168,AP$13,$G168/10000,G168,E168,$C$13,$C$14,$C$15,$C$8,,,TRUE,TRUE,FALSE,$C$29:$C$31,$C$33),{5})),"")</f>
        <v/>
      </c>
      <c r="AQ143" s="524" t="str" cm="1">
        <f t="array" aca="1" ref="AQ143" ca="1">IF(AP143&lt;&gt;"",TRANSPOSE(INDEX(GetCDS($C168,AQ$13,$G168/10000,H168,F168,$C$13,$C$14,$C$15,$C$8,,,TRUE,TRUE,FALSE,$C$29:$C$31,$C$33),{5})),"")</f>
        <v/>
      </c>
      <c r="AR143" s="524" t="str" cm="1">
        <f t="array" aca="1" ref="AR143" ca="1">IF(AQ143&lt;&gt;"",TRANSPOSE(INDEX(GetCDS($C168,AR$13,$G168/10000,I168,G168,$C$13,$C$14,$C$15,$C$8,,,TRUE,TRUE,FALSE,$C$29:$C$31,$C$33),{5})),"")</f>
        <v/>
      </c>
      <c r="AS143" s="525" t="str" cm="1">
        <f t="array" aca="1" ref="AS143" ca="1">IF(AR143&lt;&gt;"",TRANSPOSE(INDEX(GetCDS($C168,AS$13,$G168/10000,J168,H168,$C$13,$C$14,$C$15,$C$8,,,TRUE,TRUE,FALSE,$C$29:$C$31,$C$33),{5})),"")</f>
        <v/>
      </c>
    </row>
    <row r="144" spans="1:45" customFormat="1" ht="15">
      <c r="A144" s="227"/>
      <c r="B144" s="276">
        <v>106</v>
      </c>
      <c r="C144" s="254"/>
      <c r="D144" s="255"/>
      <c r="E144" s="247"/>
      <c r="F144" s="232"/>
      <c r="G144" s="239"/>
      <c r="H144" s="386">
        <v>130</v>
      </c>
      <c r="I144" s="404"/>
      <c r="J144" s="404"/>
      <c r="K144" s="413"/>
      <c r="L144" s="413"/>
      <c r="M144" s="404"/>
      <c r="N144" s="453"/>
      <c r="O144" s="404"/>
      <c r="P144" s="404"/>
      <c r="Q144" s="404"/>
      <c r="R144" s="453"/>
      <c r="S144" s="443"/>
      <c r="T144" s="42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3"/>
      <c r="V144" s="423"/>
      <c r="W144" s="424"/>
      <c r="X144" s="425"/>
      <c r="Y144" s="426" t="str">
        <f t="shared" ref="Y144:Y207" ca="1" si="37">IF($U$12,IF(T144="","",$U$13*D168/$C$18),"")</f>
        <v/>
      </c>
      <c r="Z144" s="427" t="str">
        <f t="shared" ref="Z144:Z207" ca="1" si="38">IF($U$12,IF(Y144="","",Y144*($Z$10-W144)*X144),"")</f>
        <v/>
      </c>
      <c r="AA144" s="426" t="str">
        <f t="shared" ref="AA144:AA207" ca="1" si="39">IF($U$12,IF(OR(T144="",L144=""),"",L144/($C$20-$C$19)),"")</f>
        <v/>
      </c>
      <c r="AB144" s="428" t="str">
        <f t="shared" ref="AB144:AB207" ca="1" si="40">IF($U$12,IF(W144="","",W144*$AC$10),"")</f>
        <v/>
      </c>
      <c r="AC144" s="427" t="str">
        <f t="shared" ref="AC144:AC207" ca="1" si="41">IF($U$12,IF(AA144="","",AA144*(AB144-W144)*X144),"")</f>
        <v/>
      </c>
      <c r="AD144" s="79"/>
      <c r="AE144" s="496">
        <f t="shared" ca="1" si="29"/>
        <v>-3.8333737591519901E-3</v>
      </c>
      <c r="AF144" s="493">
        <f t="shared" ca="1" si="30"/>
        <v>2.2937976358826093E-2</v>
      </c>
      <c r="AG144" s="493">
        <f t="shared" ca="1" si="28"/>
        <v>0</v>
      </c>
      <c r="AH144" s="498">
        <f t="shared" ca="1" si="31"/>
        <v>0</v>
      </c>
      <c r="AI144" s="497">
        <f t="shared" ca="1" si="32"/>
        <v>-3.8333737591519901E-3</v>
      </c>
      <c r="AJ144" s="493">
        <f t="shared" ca="1" si="33"/>
        <v>0.3850015599506193</v>
      </c>
      <c r="AK144" s="493">
        <f t="shared" ca="1" si="34"/>
        <v>0</v>
      </c>
      <c r="AL144" s="498">
        <f t="shared" ca="1" si="35"/>
        <v>0</v>
      </c>
      <c r="AN144" s="532" t="str">
        <f t="shared" ca="1" si="36"/>
        <v/>
      </c>
      <c r="AO144" s="524" t="str" cm="1">
        <f t="array" aca="1" ref="AO144" ca="1">IF(AN144&lt;&gt;"",TRANSPOSE(INDEX(GetCDS($C169,AO$13,$G169/10000,F169,D169,$C$13,$C$14,$C$15,$C$8,,,TRUE,TRUE,FALSE,$C$29:$C$31,$C$33),{5})),"")</f>
        <v/>
      </c>
      <c r="AP144" s="524" t="str" cm="1">
        <f t="array" aca="1" ref="AP144" ca="1">IF(AO144&lt;&gt;"",TRANSPOSE(INDEX(GetCDS($C169,AP$13,$G169/10000,G169,E169,$C$13,$C$14,$C$15,$C$8,,,TRUE,TRUE,FALSE,$C$29:$C$31,$C$33),{5})),"")</f>
        <v/>
      </c>
      <c r="AQ144" s="524" t="str" cm="1">
        <f t="array" aca="1" ref="AQ144" ca="1">IF(AP144&lt;&gt;"",TRANSPOSE(INDEX(GetCDS($C169,AQ$13,$G169/10000,H169,F169,$C$13,$C$14,$C$15,$C$8,,,TRUE,TRUE,FALSE,$C$29:$C$31,$C$33),{5})),"")</f>
        <v/>
      </c>
      <c r="AR144" s="524" t="str" cm="1">
        <f t="array" aca="1" ref="AR144" ca="1">IF(AQ144&lt;&gt;"",TRANSPOSE(INDEX(GetCDS($C169,AR$13,$G169/10000,I169,G169,$C$13,$C$14,$C$15,$C$8,,,TRUE,TRUE,FALSE,$C$29:$C$31,$C$33),{5})),"")</f>
        <v/>
      </c>
      <c r="AS144" s="525" t="str" cm="1">
        <f t="array" aca="1" ref="AS144" ca="1">IF(AR144&lt;&gt;"",TRANSPOSE(INDEX(GetCDS($C169,AS$13,$G169/10000,J169,H169,$C$13,$C$14,$C$15,$C$8,,,TRUE,TRUE,FALSE,$C$29:$C$31,$C$33),{5})),"")</f>
        <v/>
      </c>
    </row>
    <row r="145" spans="1:45" customFormat="1" ht="15">
      <c r="A145" s="227"/>
      <c r="B145" s="276">
        <v>107</v>
      </c>
      <c r="C145" s="254"/>
      <c r="D145" s="255"/>
      <c r="E145" s="247"/>
      <c r="F145" s="232"/>
      <c r="G145" s="239"/>
      <c r="H145" s="386">
        <v>131</v>
      </c>
      <c r="I145" s="404"/>
      <c r="J145" s="404"/>
      <c r="K145" s="413"/>
      <c r="L145" s="413"/>
      <c r="M145" s="404"/>
      <c r="N145" s="453"/>
      <c r="O145" s="404"/>
      <c r="P145" s="404"/>
      <c r="Q145" s="404"/>
      <c r="R145" s="453"/>
      <c r="S145" s="443"/>
      <c r="T145" s="42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3"/>
      <c r="V145" s="423"/>
      <c r="W145" s="424"/>
      <c r="X145" s="425"/>
      <c r="Y145" s="426" t="str">
        <f t="shared" ca="1" si="37"/>
        <v/>
      </c>
      <c r="Z145" s="427" t="str">
        <f t="shared" ca="1" si="38"/>
        <v/>
      </c>
      <c r="AA145" s="426" t="str">
        <f t="shared" ca="1" si="39"/>
        <v/>
      </c>
      <c r="AB145" s="428" t="str">
        <f t="shared" ca="1" si="40"/>
        <v/>
      </c>
      <c r="AC145" s="427" t="str">
        <f t="shared" ca="1" si="41"/>
        <v/>
      </c>
      <c r="AD145" s="79"/>
      <c r="AE145" s="496">
        <f t="shared" ca="1" si="29"/>
        <v>-5.6481853865120203E-3</v>
      </c>
      <c r="AF145" s="493">
        <f t="shared" ca="1" si="30"/>
        <v>1.5799104295381693E-2</v>
      </c>
      <c r="AG145" s="493">
        <f t="shared" ca="1" si="28"/>
        <v>0</v>
      </c>
      <c r="AH145" s="498">
        <f t="shared" ca="1" si="31"/>
        <v>0</v>
      </c>
      <c r="AI145" s="497">
        <f t="shared" ca="1" si="32"/>
        <v>-5.6481853865120203E-3</v>
      </c>
      <c r="AJ145" s="493">
        <f t="shared" ca="1" si="33"/>
        <v>0.42475181439826509</v>
      </c>
      <c r="AK145" s="493">
        <f t="shared" ca="1" si="34"/>
        <v>0</v>
      </c>
      <c r="AL145" s="498">
        <f t="shared" ca="1" si="35"/>
        <v>0</v>
      </c>
      <c r="AN145" s="532" t="str">
        <f t="shared" ca="1" si="36"/>
        <v/>
      </c>
      <c r="AO145" s="524" t="str" cm="1">
        <f t="array" aca="1" ref="AO145" ca="1">IF(AN145&lt;&gt;"",TRANSPOSE(INDEX(GetCDS($C170,AO$13,$G170/10000,F170,D170,$C$13,$C$14,$C$15,$C$8,,,TRUE,TRUE,FALSE,$C$29:$C$31,$C$33),{5})),"")</f>
        <v/>
      </c>
      <c r="AP145" s="524" t="str" cm="1">
        <f t="array" aca="1" ref="AP145" ca="1">IF(AO145&lt;&gt;"",TRANSPOSE(INDEX(GetCDS($C170,AP$13,$G170/10000,G170,E170,$C$13,$C$14,$C$15,$C$8,,,TRUE,TRUE,FALSE,$C$29:$C$31,$C$33),{5})),"")</f>
        <v/>
      </c>
      <c r="AQ145" s="524" t="str" cm="1">
        <f t="array" aca="1" ref="AQ145" ca="1">IF(AP145&lt;&gt;"",TRANSPOSE(INDEX(GetCDS($C170,AQ$13,$G170/10000,H170,F170,$C$13,$C$14,$C$15,$C$8,,,TRUE,TRUE,FALSE,$C$29:$C$31,$C$33),{5})),"")</f>
        <v/>
      </c>
      <c r="AR145" s="524" t="str" cm="1">
        <f t="array" aca="1" ref="AR145" ca="1">IF(AQ145&lt;&gt;"",TRANSPOSE(INDEX(GetCDS($C170,AR$13,$G170/10000,I170,G170,$C$13,$C$14,$C$15,$C$8,,,TRUE,TRUE,FALSE,$C$29:$C$31,$C$33),{5})),"")</f>
        <v/>
      </c>
      <c r="AS145" s="525" t="str" cm="1">
        <f t="array" aca="1" ref="AS145" ca="1">IF(AR145&lt;&gt;"",TRANSPOSE(INDEX(GetCDS($C170,AS$13,$G170/10000,J170,H170,$C$13,$C$14,$C$15,$C$8,,,TRUE,TRUE,FALSE,$C$29:$C$31,$C$33),{5})),"")</f>
        <v/>
      </c>
    </row>
    <row r="146" spans="1:45" customFormat="1" ht="15">
      <c r="A146" s="227"/>
      <c r="B146" s="276">
        <v>108</v>
      </c>
      <c r="C146" s="254"/>
      <c r="D146" s="255"/>
      <c r="E146" s="247"/>
      <c r="F146" s="232"/>
      <c r="G146" s="239"/>
      <c r="H146" s="386">
        <v>132</v>
      </c>
      <c r="I146" s="404"/>
      <c r="J146" s="404"/>
      <c r="K146" s="413"/>
      <c r="L146" s="413"/>
      <c r="M146" s="404"/>
      <c r="N146" s="453"/>
      <c r="O146" s="404"/>
      <c r="P146" s="404"/>
      <c r="Q146" s="404"/>
      <c r="R146" s="453"/>
      <c r="S146" s="443"/>
      <c r="T146" s="42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3"/>
      <c r="V146" s="423"/>
      <c r="W146" s="424"/>
      <c r="X146" s="425"/>
      <c r="Y146" s="426" t="str">
        <f t="shared" ca="1" si="37"/>
        <v/>
      </c>
      <c r="Z146" s="427" t="str">
        <f t="shared" ca="1" si="38"/>
        <v/>
      </c>
      <c r="AA146" s="426" t="str">
        <f t="shared" ca="1" si="39"/>
        <v/>
      </c>
      <c r="AB146" s="428" t="str">
        <f t="shared" ca="1" si="40"/>
        <v/>
      </c>
      <c r="AC146" s="427" t="str">
        <f t="shared" ca="1" si="41"/>
        <v/>
      </c>
      <c r="AD146" s="79"/>
      <c r="AE146" s="496">
        <f t="shared" ca="1" si="29"/>
        <v>-1.9775819235980101E-3</v>
      </c>
      <c r="AF146" s="493">
        <f t="shared" ca="1" si="30"/>
        <v>3.1522485865219135E-2</v>
      </c>
      <c r="AG146" s="493">
        <f t="shared" ca="1" si="28"/>
        <v>0</v>
      </c>
      <c r="AH146" s="498">
        <f t="shared" ca="1" si="31"/>
        <v>0</v>
      </c>
      <c r="AI146" s="497">
        <f t="shared" ca="1" si="32"/>
        <v>-1.9775819235980101E-3</v>
      </c>
      <c r="AJ146" s="493">
        <f t="shared" ca="1" si="33"/>
        <v>0.32547372072536129</v>
      </c>
      <c r="AK146" s="493">
        <f t="shared" ca="1" si="34"/>
        <v>0</v>
      </c>
      <c r="AL146" s="498">
        <f t="shared" ca="1" si="35"/>
        <v>0</v>
      </c>
      <c r="AN146" s="532" t="str">
        <f t="shared" ca="1" si="36"/>
        <v/>
      </c>
      <c r="AO146" s="524" t="str" cm="1">
        <f t="array" aca="1" ref="AO146" ca="1">IF(AN146&lt;&gt;"",TRANSPOSE(INDEX(GetCDS($C171,AO$13,$G171/10000,F171,D171,$C$13,$C$14,$C$15,$C$8,,,TRUE,TRUE,FALSE,$C$29:$C$31,$C$33),{5})),"")</f>
        <v/>
      </c>
      <c r="AP146" s="524" t="str" cm="1">
        <f t="array" aca="1" ref="AP146" ca="1">IF(AO146&lt;&gt;"",TRANSPOSE(INDEX(GetCDS($C171,AP$13,$G171/10000,G171,E171,$C$13,$C$14,$C$15,$C$8,,,TRUE,TRUE,FALSE,$C$29:$C$31,$C$33),{5})),"")</f>
        <v/>
      </c>
      <c r="AQ146" s="524" t="str" cm="1">
        <f t="array" aca="1" ref="AQ146" ca="1">IF(AP146&lt;&gt;"",TRANSPOSE(INDEX(GetCDS($C171,AQ$13,$G171/10000,H171,F171,$C$13,$C$14,$C$15,$C$8,,,TRUE,TRUE,FALSE,$C$29:$C$31,$C$33),{5})),"")</f>
        <v/>
      </c>
      <c r="AR146" s="524" t="str" cm="1">
        <f t="array" aca="1" ref="AR146" ca="1">IF(AQ146&lt;&gt;"",TRANSPOSE(INDEX(GetCDS($C171,AR$13,$G171/10000,I171,G171,$C$13,$C$14,$C$15,$C$8,,,TRUE,TRUE,FALSE,$C$29:$C$31,$C$33),{5})),"")</f>
        <v/>
      </c>
      <c r="AS146" s="525" t="str" cm="1">
        <f t="array" aca="1" ref="AS146" ca="1">IF(AR146&lt;&gt;"",TRANSPOSE(INDEX(GetCDS($C171,AS$13,$G171/10000,J171,H171,$C$13,$C$14,$C$15,$C$8,,,TRUE,TRUE,FALSE,$C$29:$C$31,$C$33),{5})),"")</f>
        <v/>
      </c>
    </row>
    <row r="147" spans="1:45" customFormat="1" ht="15">
      <c r="A147" s="227"/>
      <c r="B147" s="276">
        <v>109</v>
      </c>
      <c r="C147" s="254"/>
      <c r="D147" s="255"/>
      <c r="E147" s="247"/>
      <c r="F147" s="232"/>
      <c r="G147" s="239"/>
      <c r="H147" s="386">
        <v>133</v>
      </c>
      <c r="I147" s="404"/>
      <c r="J147" s="404"/>
      <c r="K147" s="413"/>
      <c r="L147" s="413"/>
      <c r="M147" s="404"/>
      <c r="N147" s="453"/>
      <c r="O147" s="404"/>
      <c r="P147" s="404"/>
      <c r="Q147" s="404"/>
      <c r="R147" s="453"/>
      <c r="S147" s="443"/>
      <c r="T147" s="42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3"/>
      <c r="V147" s="423"/>
      <c r="W147" s="424"/>
      <c r="X147" s="425"/>
      <c r="Y147" s="426" t="str">
        <f t="shared" ca="1" si="37"/>
        <v/>
      </c>
      <c r="Z147" s="427" t="str">
        <f t="shared" ca="1" si="38"/>
        <v/>
      </c>
      <c r="AA147" s="426" t="str">
        <f t="shared" ca="1" si="39"/>
        <v/>
      </c>
      <c r="AB147" s="428" t="str">
        <f t="shared" ca="1" si="40"/>
        <v/>
      </c>
      <c r="AC147" s="427" t="str">
        <f t="shared" ca="1" si="41"/>
        <v/>
      </c>
      <c r="AD147" s="79"/>
      <c r="AE147" s="496">
        <f t="shared" ca="1" si="29"/>
        <v>-9.8254736107960001E-3</v>
      </c>
      <c r="AF147" s="493">
        <f t="shared" ca="1" si="30"/>
        <v>4.3522658977000403E-5</v>
      </c>
      <c r="AG147" s="493">
        <f t="shared" ca="1" si="28"/>
        <v>0</v>
      </c>
      <c r="AH147" s="498">
        <f t="shared" ca="1" si="31"/>
        <v>0</v>
      </c>
      <c r="AI147" s="497">
        <f t="shared" ca="1" si="32"/>
        <v>-9.8254736107960001E-3</v>
      </c>
      <c r="AJ147" s="493">
        <f t="shared" ca="1" si="33"/>
        <v>0.48669250237708978</v>
      </c>
      <c r="AK147" s="493">
        <f t="shared" ca="1" si="34"/>
        <v>0</v>
      </c>
      <c r="AL147" s="498">
        <f t="shared" ca="1" si="35"/>
        <v>0</v>
      </c>
      <c r="AN147" s="532" t="str">
        <f t="shared" ca="1" si="36"/>
        <v/>
      </c>
      <c r="AO147" s="524" t="str" cm="1">
        <f t="array" aca="1" ref="AO147" ca="1">IF(AN147&lt;&gt;"",TRANSPOSE(INDEX(GetCDS($C172,AO$13,$G172/10000,F172,D172,$C$13,$C$14,$C$15,$C$8,,,TRUE,TRUE,FALSE,$C$29:$C$31,$C$33),{5})),"")</f>
        <v/>
      </c>
      <c r="AP147" s="524" t="str" cm="1">
        <f t="array" aca="1" ref="AP147" ca="1">IF(AO147&lt;&gt;"",TRANSPOSE(INDEX(GetCDS($C172,AP$13,$G172/10000,G172,E172,$C$13,$C$14,$C$15,$C$8,,,TRUE,TRUE,FALSE,$C$29:$C$31,$C$33),{5})),"")</f>
        <v/>
      </c>
      <c r="AQ147" s="524" t="str" cm="1">
        <f t="array" aca="1" ref="AQ147" ca="1">IF(AP147&lt;&gt;"",TRANSPOSE(INDEX(GetCDS($C172,AQ$13,$G172/10000,H172,F172,$C$13,$C$14,$C$15,$C$8,,,TRUE,TRUE,FALSE,$C$29:$C$31,$C$33),{5})),"")</f>
        <v/>
      </c>
      <c r="AR147" s="524" t="str" cm="1">
        <f t="array" aca="1" ref="AR147" ca="1">IF(AQ147&lt;&gt;"",TRANSPOSE(INDEX(GetCDS($C172,AR$13,$G172/10000,I172,G172,$C$13,$C$14,$C$15,$C$8,,,TRUE,TRUE,FALSE,$C$29:$C$31,$C$33),{5})),"")</f>
        <v/>
      </c>
      <c r="AS147" s="525" t="str" cm="1">
        <f t="array" aca="1" ref="AS147" ca="1">IF(AR147&lt;&gt;"",TRANSPOSE(INDEX(GetCDS($C172,AS$13,$G172/10000,J172,H172,$C$13,$C$14,$C$15,$C$8,,,TRUE,TRUE,FALSE,$C$29:$C$31,$C$33),{5})),"")</f>
        <v/>
      </c>
    </row>
    <row r="148" spans="1:45" customFormat="1" ht="15">
      <c r="A148" s="227"/>
      <c r="B148" s="276">
        <v>110</v>
      </c>
      <c r="C148" s="254"/>
      <c r="D148" s="255"/>
      <c r="E148" s="247"/>
      <c r="F148" s="232"/>
      <c r="G148" s="239"/>
      <c r="H148" s="386">
        <v>134</v>
      </c>
      <c r="I148" s="404"/>
      <c r="J148" s="404"/>
      <c r="K148" s="413"/>
      <c r="L148" s="413"/>
      <c r="M148" s="404"/>
      <c r="N148" s="453"/>
      <c r="O148" s="404"/>
      <c r="P148" s="404"/>
      <c r="Q148" s="404"/>
      <c r="R148" s="453"/>
      <c r="S148" s="443"/>
      <c r="T148" s="42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3"/>
      <c r="V148" s="423"/>
      <c r="W148" s="424"/>
      <c r="X148" s="425"/>
      <c r="Y148" s="426" t="str">
        <f t="shared" ca="1" si="37"/>
        <v/>
      </c>
      <c r="Z148" s="427" t="str">
        <f t="shared" ca="1" si="38"/>
        <v/>
      </c>
      <c r="AA148" s="426" t="str">
        <f t="shared" ca="1" si="39"/>
        <v/>
      </c>
      <c r="AB148" s="428" t="str">
        <f t="shared" ca="1" si="40"/>
        <v/>
      </c>
      <c r="AC148" s="427" t="str">
        <f t="shared" ca="1" si="41"/>
        <v/>
      </c>
      <c r="AD148" s="79"/>
      <c r="AE148" s="496">
        <f t="shared" ca="1" si="29"/>
        <v>-1.980415225871E-3</v>
      </c>
      <c r="AF148" s="493">
        <f t="shared" ca="1" si="30"/>
        <v>3.151741763937374E-2</v>
      </c>
      <c r="AG148" s="493">
        <f t="shared" ca="1" si="28"/>
        <v>0</v>
      </c>
      <c r="AH148" s="498">
        <f t="shared" ca="1" si="31"/>
        <v>0</v>
      </c>
      <c r="AI148" s="497">
        <f t="shared" ca="1" si="32"/>
        <v>-1.980415225871E-3</v>
      </c>
      <c r="AJ148" s="493">
        <f t="shared" ca="1" si="33"/>
        <v>0.3255910402121458</v>
      </c>
      <c r="AK148" s="493">
        <f t="shared" ca="1" si="34"/>
        <v>0</v>
      </c>
      <c r="AL148" s="498">
        <f t="shared" ca="1" si="35"/>
        <v>0</v>
      </c>
      <c r="AN148" s="532" t="str">
        <f t="shared" ca="1" si="36"/>
        <v/>
      </c>
      <c r="AO148" s="524" t="str" cm="1">
        <f t="array" aca="1" ref="AO148" ca="1">IF(AN148&lt;&gt;"",TRANSPOSE(INDEX(GetCDS($C173,AO$13,$G173/10000,F173,D173,$C$13,$C$14,$C$15,$C$8,,,TRUE,TRUE,FALSE,$C$29:$C$31,$C$33),{5})),"")</f>
        <v/>
      </c>
      <c r="AP148" s="524" t="str" cm="1">
        <f t="array" aca="1" ref="AP148" ca="1">IF(AO148&lt;&gt;"",TRANSPOSE(INDEX(GetCDS($C173,AP$13,$G173/10000,G173,E173,$C$13,$C$14,$C$15,$C$8,,,TRUE,TRUE,FALSE,$C$29:$C$31,$C$33),{5})),"")</f>
        <v/>
      </c>
      <c r="AQ148" s="524" t="str" cm="1">
        <f t="array" aca="1" ref="AQ148" ca="1">IF(AP148&lt;&gt;"",TRANSPOSE(INDEX(GetCDS($C173,AQ$13,$G173/10000,H173,F173,$C$13,$C$14,$C$15,$C$8,,,TRUE,TRUE,FALSE,$C$29:$C$31,$C$33),{5})),"")</f>
        <v/>
      </c>
      <c r="AR148" s="524" t="str" cm="1">
        <f t="array" aca="1" ref="AR148" ca="1">IF(AQ148&lt;&gt;"",TRANSPOSE(INDEX(GetCDS($C173,AR$13,$G173/10000,I173,G173,$C$13,$C$14,$C$15,$C$8,,,TRUE,TRUE,FALSE,$C$29:$C$31,$C$33),{5})),"")</f>
        <v/>
      </c>
      <c r="AS148" s="525" t="str" cm="1">
        <f t="array" aca="1" ref="AS148" ca="1">IF(AR148&lt;&gt;"",TRANSPOSE(INDEX(GetCDS($C173,AS$13,$G173/10000,J173,H173,$C$13,$C$14,$C$15,$C$8,,,TRUE,TRUE,FALSE,$C$29:$C$31,$C$33),{5})),"")</f>
        <v/>
      </c>
    </row>
    <row r="149" spans="1:45" customFormat="1" ht="15">
      <c r="A149" s="227"/>
      <c r="B149" s="276">
        <v>111</v>
      </c>
      <c r="C149" s="254"/>
      <c r="D149" s="255"/>
      <c r="E149" s="247"/>
      <c r="F149" s="232"/>
      <c r="G149" s="239"/>
      <c r="H149" s="386">
        <v>135</v>
      </c>
      <c r="I149" s="404"/>
      <c r="J149" s="404"/>
      <c r="K149" s="413"/>
      <c r="L149" s="413"/>
      <c r="M149" s="404"/>
      <c r="N149" s="453"/>
      <c r="O149" s="404"/>
      <c r="P149" s="404"/>
      <c r="Q149" s="404"/>
      <c r="R149" s="453"/>
      <c r="S149" s="443"/>
      <c r="T149" s="42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3"/>
      <c r="V149" s="423"/>
      <c r="W149" s="424"/>
      <c r="X149" s="425"/>
      <c r="Y149" s="426" t="str">
        <f t="shared" ca="1" si="37"/>
        <v/>
      </c>
      <c r="Z149" s="427" t="str">
        <f t="shared" ca="1" si="38"/>
        <v/>
      </c>
      <c r="AA149" s="426" t="str">
        <f t="shared" ca="1" si="39"/>
        <v/>
      </c>
      <c r="AB149" s="428" t="str">
        <f t="shared" ca="1" si="40"/>
        <v/>
      </c>
      <c r="AC149" s="427" t="str">
        <f t="shared" ca="1" si="41"/>
        <v/>
      </c>
      <c r="AD149" s="79"/>
      <c r="AE149" s="496">
        <f t="shared" ca="1" si="29"/>
        <v>-6.4330383782750002E-3</v>
      </c>
      <c r="AF149" s="493">
        <f t="shared" ca="1" si="30"/>
        <v>1.2439685817643098E-2</v>
      </c>
      <c r="AG149" s="493">
        <f t="shared" ca="1" si="28"/>
        <v>0</v>
      </c>
      <c r="AH149" s="498">
        <f t="shared" ca="1" si="31"/>
        <v>0</v>
      </c>
      <c r="AI149" s="497">
        <f t="shared" ca="1" si="32"/>
        <v>-6.4330383782750002E-3</v>
      </c>
      <c r="AJ149" s="493">
        <f t="shared" ca="1" si="33"/>
        <v>0.43855663359240432</v>
      </c>
      <c r="AK149" s="493">
        <f t="shared" ca="1" si="34"/>
        <v>0</v>
      </c>
      <c r="AL149" s="498">
        <f t="shared" ca="1" si="35"/>
        <v>0</v>
      </c>
      <c r="AN149" s="532" t="str">
        <f t="shared" ca="1" si="36"/>
        <v/>
      </c>
      <c r="AO149" s="524" t="str" cm="1">
        <f t="array" aca="1" ref="AO149" ca="1">IF(AN149&lt;&gt;"",TRANSPOSE(INDEX(GetCDS($C174,AO$13,$G174/10000,F174,D174,$C$13,$C$14,$C$15,$C$8,,,TRUE,TRUE,FALSE,$C$29:$C$31,$C$33),{5})),"")</f>
        <v/>
      </c>
      <c r="AP149" s="524" t="str" cm="1">
        <f t="array" aca="1" ref="AP149" ca="1">IF(AO149&lt;&gt;"",TRANSPOSE(INDEX(GetCDS($C174,AP$13,$G174/10000,G174,E174,$C$13,$C$14,$C$15,$C$8,,,TRUE,TRUE,FALSE,$C$29:$C$31,$C$33),{5})),"")</f>
        <v/>
      </c>
      <c r="AQ149" s="524" t="str" cm="1">
        <f t="array" aca="1" ref="AQ149" ca="1">IF(AP149&lt;&gt;"",TRANSPOSE(INDEX(GetCDS($C174,AQ$13,$G174/10000,H174,F174,$C$13,$C$14,$C$15,$C$8,,,TRUE,TRUE,FALSE,$C$29:$C$31,$C$33),{5})),"")</f>
        <v/>
      </c>
      <c r="AR149" s="524" t="str" cm="1">
        <f t="array" aca="1" ref="AR149" ca="1">IF(AQ149&lt;&gt;"",TRANSPOSE(INDEX(GetCDS($C174,AR$13,$G174/10000,I174,G174,$C$13,$C$14,$C$15,$C$8,,,TRUE,TRUE,FALSE,$C$29:$C$31,$C$33),{5})),"")</f>
        <v/>
      </c>
      <c r="AS149" s="525" t="str" cm="1">
        <f t="array" aca="1" ref="AS149" ca="1">IF(AR149&lt;&gt;"",TRANSPOSE(INDEX(GetCDS($C174,AS$13,$G174/10000,J174,H174,$C$13,$C$14,$C$15,$C$8,,,TRUE,TRUE,FALSE,$C$29:$C$31,$C$33),{5})),"")</f>
        <v/>
      </c>
    </row>
    <row r="150" spans="1:45" customFormat="1" ht="15">
      <c r="A150" s="227"/>
      <c r="B150" s="276">
        <v>112</v>
      </c>
      <c r="C150" s="254"/>
      <c r="D150" s="255"/>
      <c r="E150" s="247"/>
      <c r="F150" s="232"/>
      <c r="G150" s="239"/>
      <c r="H150" s="386">
        <v>136</v>
      </c>
      <c r="I150" s="404"/>
      <c r="J150" s="404"/>
      <c r="K150" s="413"/>
      <c r="L150" s="413"/>
      <c r="M150" s="404"/>
      <c r="N150" s="453"/>
      <c r="O150" s="404"/>
      <c r="P150" s="404"/>
      <c r="Q150" s="404"/>
      <c r="R150" s="453"/>
      <c r="S150" s="443"/>
      <c r="T150" s="42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3"/>
      <c r="V150" s="423"/>
      <c r="W150" s="424"/>
      <c r="X150" s="425"/>
      <c r="Y150" s="426" t="str">
        <f t="shared" ca="1" si="37"/>
        <v/>
      </c>
      <c r="Z150" s="427" t="str">
        <f t="shared" ca="1" si="38"/>
        <v/>
      </c>
      <c r="AA150" s="426" t="str">
        <f t="shared" ca="1" si="39"/>
        <v/>
      </c>
      <c r="AB150" s="428" t="str">
        <f t="shared" ca="1" si="40"/>
        <v/>
      </c>
      <c r="AC150" s="427" t="str">
        <f t="shared" ca="1" si="41"/>
        <v/>
      </c>
      <c r="AD150" s="79"/>
      <c r="AE150" s="496">
        <f t="shared" ca="1" si="29"/>
        <v>-5.1979678101660197E-3</v>
      </c>
      <c r="AF150" s="493">
        <f t="shared" ca="1" si="30"/>
        <v>1.7789091651568539E-2</v>
      </c>
      <c r="AG150" s="493">
        <f t="shared" ca="1" si="28"/>
        <v>0</v>
      </c>
      <c r="AH150" s="498">
        <f t="shared" ca="1" si="31"/>
        <v>0</v>
      </c>
      <c r="AI150" s="497">
        <f t="shared" ca="1" si="32"/>
        <v>-5.1979678101660197E-3</v>
      </c>
      <c r="AJ150" s="493">
        <f t="shared" ca="1" si="33"/>
        <v>0.41552955221327009</v>
      </c>
      <c r="AK150" s="493">
        <f t="shared" ca="1" si="34"/>
        <v>0</v>
      </c>
      <c r="AL150" s="498">
        <f t="shared" ca="1" si="35"/>
        <v>0</v>
      </c>
      <c r="AN150" s="532" t="str">
        <f t="shared" ca="1" si="36"/>
        <v/>
      </c>
      <c r="AO150" s="524" t="str" cm="1">
        <f t="array" aca="1" ref="AO150" ca="1">IF(AN150&lt;&gt;"",TRANSPOSE(INDEX(GetCDS($C175,AO$13,$G175/10000,F175,D175,$C$13,$C$14,$C$15,$C$8,,,TRUE,TRUE,FALSE,$C$29:$C$31,$C$33),{5})),"")</f>
        <v/>
      </c>
      <c r="AP150" s="524" t="str" cm="1">
        <f t="array" aca="1" ref="AP150" ca="1">IF(AO150&lt;&gt;"",TRANSPOSE(INDEX(GetCDS($C175,AP$13,$G175/10000,G175,E175,$C$13,$C$14,$C$15,$C$8,,,TRUE,TRUE,FALSE,$C$29:$C$31,$C$33),{5})),"")</f>
        <v/>
      </c>
      <c r="AQ150" s="524" t="str" cm="1">
        <f t="array" aca="1" ref="AQ150" ca="1">IF(AP150&lt;&gt;"",TRANSPOSE(INDEX(GetCDS($C175,AQ$13,$G175/10000,H175,F175,$C$13,$C$14,$C$15,$C$8,,,TRUE,TRUE,FALSE,$C$29:$C$31,$C$33),{5})),"")</f>
        <v/>
      </c>
      <c r="AR150" s="524" t="str" cm="1">
        <f t="array" aca="1" ref="AR150" ca="1">IF(AQ150&lt;&gt;"",TRANSPOSE(INDEX(GetCDS($C175,AR$13,$G175/10000,I175,G175,$C$13,$C$14,$C$15,$C$8,,,TRUE,TRUE,FALSE,$C$29:$C$31,$C$33),{5})),"")</f>
        <v/>
      </c>
      <c r="AS150" s="525" t="str" cm="1">
        <f t="array" aca="1" ref="AS150" ca="1">IF(AR150&lt;&gt;"",TRANSPOSE(INDEX(GetCDS($C175,AS$13,$G175/10000,J175,H175,$C$13,$C$14,$C$15,$C$8,,,TRUE,TRUE,FALSE,$C$29:$C$31,$C$33),{5})),"")</f>
        <v/>
      </c>
    </row>
    <row r="151" spans="1:45" customFormat="1" ht="15">
      <c r="A151" s="227"/>
      <c r="B151" s="276">
        <v>113</v>
      </c>
      <c r="C151" s="254"/>
      <c r="D151" s="255"/>
      <c r="E151" s="247"/>
      <c r="F151" s="232"/>
      <c r="G151" s="239"/>
      <c r="H151" s="386">
        <v>137</v>
      </c>
      <c r="I151" s="404"/>
      <c r="J151" s="404"/>
      <c r="K151" s="413"/>
      <c r="L151" s="413"/>
      <c r="M151" s="404"/>
      <c r="N151" s="453"/>
      <c r="O151" s="404"/>
      <c r="P151" s="404"/>
      <c r="Q151" s="404"/>
      <c r="R151" s="453"/>
      <c r="S151" s="443"/>
      <c r="T151" s="42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3"/>
      <c r="V151" s="423"/>
      <c r="W151" s="424"/>
      <c r="X151" s="425"/>
      <c r="Y151" s="426" t="str">
        <f t="shared" ca="1" si="37"/>
        <v/>
      </c>
      <c r="Z151" s="427" t="str">
        <f t="shared" ca="1" si="38"/>
        <v/>
      </c>
      <c r="AA151" s="426" t="str">
        <f t="shared" ca="1" si="39"/>
        <v/>
      </c>
      <c r="AB151" s="428" t="str">
        <f t="shared" ca="1" si="40"/>
        <v/>
      </c>
      <c r="AC151" s="427" t="str">
        <f t="shared" ca="1" si="41"/>
        <v/>
      </c>
      <c r="AD151" s="79"/>
      <c r="AE151" s="496">
        <f t="shared" ca="1" si="29"/>
        <v>-2.6332655262049898E-3</v>
      </c>
      <c r="AF151" s="493">
        <f t="shared" ca="1" si="30"/>
        <v>2.8297839128039192E-2</v>
      </c>
      <c r="AG151" s="493">
        <f t="shared" ca="1" si="28"/>
        <v>0</v>
      </c>
      <c r="AH151" s="498">
        <f t="shared" ca="1" si="31"/>
        <v>0</v>
      </c>
      <c r="AI151" s="497">
        <f t="shared" ca="1" si="32"/>
        <v>-2.6332655262049898E-3</v>
      </c>
      <c r="AJ151" s="493">
        <f t="shared" ca="1" si="33"/>
        <v>0.34988769582791163</v>
      </c>
      <c r="AK151" s="493">
        <f t="shared" ca="1" si="34"/>
        <v>0</v>
      </c>
      <c r="AL151" s="498">
        <f t="shared" ca="1" si="35"/>
        <v>0</v>
      </c>
      <c r="AN151" s="532" t="str">
        <f t="shared" ca="1" si="36"/>
        <v/>
      </c>
      <c r="AO151" s="524" t="str" cm="1">
        <f t="array" aca="1" ref="AO151" ca="1">IF(AN151&lt;&gt;"",TRANSPOSE(INDEX(GetCDS($C176,AO$13,$G176/10000,F176,D176,$C$13,$C$14,$C$15,$C$8,,,TRUE,TRUE,FALSE,$C$29:$C$31,$C$33),{5})),"")</f>
        <v/>
      </c>
      <c r="AP151" s="524" t="str" cm="1">
        <f t="array" aca="1" ref="AP151" ca="1">IF(AO151&lt;&gt;"",TRANSPOSE(INDEX(GetCDS($C176,AP$13,$G176/10000,G176,E176,$C$13,$C$14,$C$15,$C$8,,,TRUE,TRUE,FALSE,$C$29:$C$31,$C$33),{5})),"")</f>
        <v/>
      </c>
      <c r="AQ151" s="524" t="str" cm="1">
        <f t="array" aca="1" ref="AQ151" ca="1">IF(AP151&lt;&gt;"",TRANSPOSE(INDEX(GetCDS($C176,AQ$13,$G176/10000,H176,F176,$C$13,$C$14,$C$15,$C$8,,,TRUE,TRUE,FALSE,$C$29:$C$31,$C$33),{5})),"")</f>
        <v/>
      </c>
      <c r="AR151" s="524" t="str" cm="1">
        <f t="array" aca="1" ref="AR151" ca="1">IF(AQ151&lt;&gt;"",TRANSPOSE(INDEX(GetCDS($C176,AR$13,$G176/10000,I176,G176,$C$13,$C$14,$C$15,$C$8,,,TRUE,TRUE,FALSE,$C$29:$C$31,$C$33),{5})),"")</f>
        <v/>
      </c>
      <c r="AS151" s="525" t="str" cm="1">
        <f t="array" aca="1" ref="AS151" ca="1">IF(AR151&lt;&gt;"",TRANSPOSE(INDEX(GetCDS($C176,AS$13,$G176/10000,J176,H176,$C$13,$C$14,$C$15,$C$8,,,TRUE,TRUE,FALSE,$C$29:$C$31,$C$33),{5})),"")</f>
        <v/>
      </c>
    </row>
    <row r="152" spans="1:45" customFormat="1" ht="15">
      <c r="A152" s="227"/>
      <c r="B152" s="276">
        <v>114</v>
      </c>
      <c r="C152" s="254"/>
      <c r="D152" s="255"/>
      <c r="E152" s="247"/>
      <c r="F152" s="232"/>
      <c r="G152" s="239"/>
      <c r="H152" s="386">
        <v>138</v>
      </c>
      <c r="I152" s="404"/>
      <c r="J152" s="404"/>
      <c r="K152" s="413"/>
      <c r="L152" s="413"/>
      <c r="M152" s="404"/>
      <c r="N152" s="453"/>
      <c r="O152" s="404"/>
      <c r="P152" s="404"/>
      <c r="Q152" s="404"/>
      <c r="R152" s="453"/>
      <c r="S152" s="443"/>
      <c r="T152" s="42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3"/>
      <c r="V152" s="423"/>
      <c r="W152" s="424"/>
      <c r="X152" s="425"/>
      <c r="Y152" s="426" t="str">
        <f t="shared" ca="1" si="37"/>
        <v/>
      </c>
      <c r="Z152" s="427" t="str">
        <f t="shared" ca="1" si="38"/>
        <v/>
      </c>
      <c r="AA152" s="426" t="str">
        <f t="shared" ca="1" si="39"/>
        <v/>
      </c>
      <c r="AB152" s="428" t="str">
        <f t="shared" ca="1" si="40"/>
        <v/>
      </c>
      <c r="AC152" s="427" t="str">
        <f t="shared" ca="1" si="41"/>
        <v/>
      </c>
      <c r="AD152" s="79"/>
      <c r="AE152" s="496">
        <f t="shared" ca="1" si="29"/>
        <v>-8.0487474244350099E-3</v>
      </c>
      <c r="AF152" s="493">
        <f t="shared" ca="1" si="30"/>
        <v>6.5264314474794E-3</v>
      </c>
      <c r="AG152" s="493">
        <f t="shared" ca="1" si="28"/>
        <v>0</v>
      </c>
      <c r="AH152" s="498">
        <f t="shared" ca="1" si="31"/>
        <v>0</v>
      </c>
      <c r="AI152" s="497">
        <f t="shared" ca="1" si="32"/>
        <v>-8.0487474244350099E-3</v>
      </c>
      <c r="AJ152" s="493">
        <f t="shared" ca="1" si="33"/>
        <v>0.46366778122219399</v>
      </c>
      <c r="AK152" s="493">
        <f t="shared" ca="1" si="34"/>
        <v>0</v>
      </c>
      <c r="AL152" s="498">
        <f t="shared" ca="1" si="35"/>
        <v>0</v>
      </c>
      <c r="AN152" s="532" t="str">
        <f t="shared" ca="1" si="36"/>
        <v/>
      </c>
      <c r="AO152" s="524" t="str" cm="1">
        <f t="array" aca="1" ref="AO152" ca="1">IF(AN152&lt;&gt;"",TRANSPOSE(INDEX(GetCDS($C177,AO$13,$G177/10000,F177,D177,$C$13,$C$14,$C$15,$C$8,,,TRUE,TRUE,FALSE,$C$29:$C$31,$C$33),{5})),"")</f>
        <v/>
      </c>
      <c r="AP152" s="524" t="str" cm="1">
        <f t="array" aca="1" ref="AP152" ca="1">IF(AO152&lt;&gt;"",TRANSPOSE(INDEX(GetCDS($C177,AP$13,$G177/10000,G177,E177,$C$13,$C$14,$C$15,$C$8,,,TRUE,TRUE,FALSE,$C$29:$C$31,$C$33),{5})),"")</f>
        <v/>
      </c>
      <c r="AQ152" s="524" t="str" cm="1">
        <f t="array" aca="1" ref="AQ152" ca="1">IF(AP152&lt;&gt;"",TRANSPOSE(INDEX(GetCDS($C177,AQ$13,$G177/10000,H177,F177,$C$13,$C$14,$C$15,$C$8,,,TRUE,TRUE,FALSE,$C$29:$C$31,$C$33),{5})),"")</f>
        <v/>
      </c>
      <c r="AR152" s="524" t="str" cm="1">
        <f t="array" aca="1" ref="AR152" ca="1">IF(AQ152&lt;&gt;"",TRANSPOSE(INDEX(GetCDS($C177,AR$13,$G177/10000,I177,G177,$C$13,$C$14,$C$15,$C$8,,,TRUE,TRUE,FALSE,$C$29:$C$31,$C$33),{5})),"")</f>
        <v/>
      </c>
      <c r="AS152" s="525" t="str" cm="1">
        <f t="array" aca="1" ref="AS152" ca="1">IF(AR152&lt;&gt;"",TRANSPOSE(INDEX(GetCDS($C177,AS$13,$G177/10000,J177,H177,$C$13,$C$14,$C$15,$C$8,,,TRUE,TRUE,FALSE,$C$29:$C$31,$C$33),{5})),"")</f>
        <v/>
      </c>
    </row>
    <row r="153" spans="1:45" customFormat="1" ht="15">
      <c r="A153" s="227"/>
      <c r="B153" s="276">
        <v>115</v>
      </c>
      <c r="C153" s="254"/>
      <c r="D153" s="255"/>
      <c r="E153" s="247"/>
      <c r="F153" s="232"/>
      <c r="G153" s="239"/>
      <c r="H153" s="386">
        <v>139</v>
      </c>
      <c r="I153" s="404"/>
      <c r="J153" s="404"/>
      <c r="K153" s="413"/>
      <c r="L153" s="413"/>
      <c r="M153" s="404"/>
      <c r="N153" s="453"/>
      <c r="O153" s="404"/>
      <c r="P153" s="404"/>
      <c r="Q153" s="404"/>
      <c r="R153" s="453"/>
      <c r="S153" s="443"/>
      <c r="T153" s="42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3"/>
      <c r="V153" s="423"/>
      <c r="W153" s="424"/>
      <c r="X153" s="425"/>
      <c r="Y153" s="426" t="str">
        <f t="shared" ca="1" si="37"/>
        <v/>
      </c>
      <c r="Z153" s="427" t="str">
        <f t="shared" ca="1" si="38"/>
        <v/>
      </c>
      <c r="AA153" s="426" t="str">
        <f t="shared" ca="1" si="39"/>
        <v/>
      </c>
      <c r="AB153" s="428" t="str">
        <f t="shared" ca="1" si="40"/>
        <v/>
      </c>
      <c r="AC153" s="427" t="str">
        <f t="shared" ca="1" si="41"/>
        <v/>
      </c>
      <c r="AD153" s="79"/>
      <c r="AE153" s="496">
        <f t="shared" ca="1" si="29"/>
        <v>-2.96019558909E-3</v>
      </c>
      <c r="AF153" s="493">
        <f t="shared" ca="1" si="30"/>
        <v>2.690701457277957E-2</v>
      </c>
      <c r="AG153" s="493">
        <f t="shared" ca="1" si="28"/>
        <v>0</v>
      </c>
      <c r="AH153" s="498">
        <f t="shared" ca="1" si="31"/>
        <v>0</v>
      </c>
      <c r="AI153" s="497">
        <f t="shared" ca="1" si="32"/>
        <v>-2.96019558909E-3</v>
      </c>
      <c r="AJ153" s="493">
        <f t="shared" ca="1" si="33"/>
        <v>0.3607083082790486</v>
      </c>
      <c r="AK153" s="493">
        <f t="shared" ca="1" si="34"/>
        <v>0</v>
      </c>
      <c r="AL153" s="498">
        <f t="shared" ca="1" si="35"/>
        <v>0</v>
      </c>
      <c r="AN153" s="532" t="str">
        <f t="shared" ca="1" si="36"/>
        <v/>
      </c>
      <c r="AO153" s="524" t="str" cm="1">
        <f t="array" aca="1" ref="AO153" ca="1">IF(AN153&lt;&gt;"",TRANSPOSE(INDEX(GetCDS($C178,AO$13,$G178/10000,F178,D178,$C$13,$C$14,$C$15,$C$8,,,TRUE,TRUE,FALSE,$C$29:$C$31,$C$33),{5})),"")</f>
        <v/>
      </c>
      <c r="AP153" s="524" t="str" cm="1">
        <f t="array" aca="1" ref="AP153" ca="1">IF(AO153&lt;&gt;"",TRANSPOSE(INDEX(GetCDS($C178,AP$13,$G178/10000,G178,E178,$C$13,$C$14,$C$15,$C$8,,,TRUE,TRUE,FALSE,$C$29:$C$31,$C$33),{5})),"")</f>
        <v/>
      </c>
      <c r="AQ153" s="524" t="str" cm="1">
        <f t="array" aca="1" ref="AQ153" ca="1">IF(AP153&lt;&gt;"",TRANSPOSE(INDEX(GetCDS($C178,AQ$13,$G178/10000,H178,F178,$C$13,$C$14,$C$15,$C$8,,,TRUE,TRUE,FALSE,$C$29:$C$31,$C$33),{5})),"")</f>
        <v/>
      </c>
      <c r="AR153" s="524" t="str" cm="1">
        <f t="array" aca="1" ref="AR153" ca="1">IF(AQ153&lt;&gt;"",TRANSPOSE(INDEX(GetCDS($C178,AR$13,$G178/10000,I178,G178,$C$13,$C$14,$C$15,$C$8,,,TRUE,TRUE,FALSE,$C$29:$C$31,$C$33),{5})),"")</f>
        <v/>
      </c>
      <c r="AS153" s="525" t="str" cm="1">
        <f t="array" aca="1" ref="AS153" ca="1">IF(AR153&lt;&gt;"",TRANSPOSE(INDEX(GetCDS($C178,AS$13,$G178/10000,J178,H178,$C$13,$C$14,$C$15,$C$8,,,TRUE,TRUE,FALSE,$C$29:$C$31,$C$33),{5})),"")</f>
        <v/>
      </c>
    </row>
    <row r="154" spans="1:45" customFormat="1" ht="15">
      <c r="A154" s="227"/>
      <c r="B154" s="276">
        <v>116</v>
      </c>
      <c r="C154" s="254"/>
      <c r="D154" s="255"/>
      <c r="E154" s="247"/>
      <c r="F154" s="232"/>
      <c r="G154" s="239"/>
      <c r="H154" s="386">
        <v>140</v>
      </c>
      <c r="I154" s="404"/>
      <c r="J154" s="404"/>
      <c r="K154" s="413"/>
      <c r="L154" s="413"/>
      <c r="M154" s="404"/>
      <c r="N154" s="453"/>
      <c r="O154" s="404"/>
      <c r="P154" s="404"/>
      <c r="Q154" s="404"/>
      <c r="R154" s="453"/>
      <c r="S154" s="443"/>
      <c r="T154" s="42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3"/>
      <c r="V154" s="423"/>
      <c r="W154" s="424"/>
      <c r="X154" s="425"/>
      <c r="Y154" s="426" t="str">
        <f t="shared" ca="1" si="37"/>
        <v/>
      </c>
      <c r="Z154" s="427" t="str">
        <f t="shared" ca="1" si="38"/>
        <v/>
      </c>
      <c r="AA154" s="426" t="str">
        <f t="shared" ca="1" si="39"/>
        <v/>
      </c>
      <c r="AB154" s="428" t="str">
        <f t="shared" ca="1" si="40"/>
        <v/>
      </c>
      <c r="AC154" s="427" t="str">
        <f t="shared" ca="1" si="41"/>
        <v/>
      </c>
      <c r="AD154" s="79"/>
      <c r="AE154" s="496">
        <f t="shared" ca="1" si="29"/>
        <v>-5.9774157824830096E-3</v>
      </c>
      <c r="AF154" s="493">
        <f t="shared" ca="1" si="30"/>
        <v>1.4430419723790212E-2</v>
      </c>
      <c r="AG154" s="493">
        <f t="shared" ca="1" si="28"/>
        <v>0</v>
      </c>
      <c r="AH154" s="498">
        <f t="shared" ca="1" si="31"/>
        <v>0</v>
      </c>
      <c r="AI154" s="497">
        <f t="shared" ca="1" si="32"/>
        <v>-5.9774157824830096E-3</v>
      </c>
      <c r="AJ154" s="493">
        <f t="shared" ca="1" si="33"/>
        <v>0.43082317526989622</v>
      </c>
      <c r="AK154" s="493">
        <f t="shared" ca="1" si="34"/>
        <v>0</v>
      </c>
      <c r="AL154" s="498">
        <f t="shared" ca="1" si="35"/>
        <v>0</v>
      </c>
      <c r="AN154" s="532" t="str">
        <f t="shared" ca="1" si="36"/>
        <v/>
      </c>
      <c r="AO154" s="524" t="str" cm="1">
        <f t="array" aca="1" ref="AO154" ca="1">IF(AN154&lt;&gt;"",TRANSPOSE(INDEX(GetCDS($C179,AO$13,$G179/10000,F179,D179,$C$13,$C$14,$C$15,$C$8,,,TRUE,TRUE,FALSE,$C$29:$C$31,$C$33),{5})),"")</f>
        <v/>
      </c>
      <c r="AP154" s="524" t="str" cm="1">
        <f t="array" aca="1" ref="AP154" ca="1">IF(AO154&lt;&gt;"",TRANSPOSE(INDEX(GetCDS($C179,AP$13,$G179/10000,G179,E179,$C$13,$C$14,$C$15,$C$8,,,TRUE,TRUE,FALSE,$C$29:$C$31,$C$33),{5})),"")</f>
        <v/>
      </c>
      <c r="AQ154" s="524" t="str" cm="1">
        <f t="array" aca="1" ref="AQ154" ca="1">IF(AP154&lt;&gt;"",TRANSPOSE(INDEX(GetCDS($C179,AQ$13,$G179/10000,H179,F179,$C$13,$C$14,$C$15,$C$8,,,TRUE,TRUE,FALSE,$C$29:$C$31,$C$33),{5})),"")</f>
        <v/>
      </c>
      <c r="AR154" s="524" t="str" cm="1">
        <f t="array" aca="1" ref="AR154" ca="1">IF(AQ154&lt;&gt;"",TRANSPOSE(INDEX(GetCDS($C179,AR$13,$G179/10000,I179,G179,$C$13,$C$14,$C$15,$C$8,,,TRUE,TRUE,FALSE,$C$29:$C$31,$C$33),{5})),"")</f>
        <v/>
      </c>
      <c r="AS154" s="525" t="str" cm="1">
        <f t="array" aca="1" ref="AS154" ca="1">IF(AR154&lt;&gt;"",TRANSPOSE(INDEX(GetCDS($C179,AS$13,$G179/10000,J179,H179,$C$13,$C$14,$C$15,$C$8,,,TRUE,TRUE,FALSE,$C$29:$C$31,$C$33),{5})),"")</f>
        <v/>
      </c>
    </row>
    <row r="155" spans="1:45" customFormat="1" ht="15">
      <c r="A155" s="227"/>
      <c r="B155" s="276">
        <v>117</v>
      </c>
      <c r="C155" s="254"/>
      <c r="D155" s="255"/>
      <c r="E155" s="247"/>
      <c r="F155" s="232"/>
      <c r="G155" s="239"/>
      <c r="H155" s="386">
        <v>141</v>
      </c>
      <c r="I155" s="404"/>
      <c r="J155" s="404"/>
      <c r="K155" s="413"/>
      <c r="L155" s="413"/>
      <c r="M155" s="404"/>
      <c r="N155" s="453"/>
      <c r="O155" s="404"/>
      <c r="P155" s="404"/>
      <c r="Q155" s="404"/>
      <c r="R155" s="453"/>
      <c r="S155" s="443"/>
      <c r="T155" s="42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3"/>
      <c r="V155" s="423"/>
      <c r="W155" s="424"/>
      <c r="X155" s="425"/>
      <c r="Y155" s="426" t="str">
        <f t="shared" ca="1" si="37"/>
        <v/>
      </c>
      <c r="Z155" s="427" t="str">
        <f t="shared" ca="1" si="38"/>
        <v/>
      </c>
      <c r="AA155" s="426" t="str">
        <f t="shared" ca="1" si="39"/>
        <v/>
      </c>
      <c r="AB155" s="428" t="str">
        <f t="shared" ca="1" si="40"/>
        <v/>
      </c>
      <c r="AC155" s="427" t="str">
        <f t="shared" ca="1" si="41"/>
        <v/>
      </c>
      <c r="AD155" s="79"/>
      <c r="AE155" s="496">
        <f t="shared" ca="1" si="29"/>
        <v>-2.6275697568970101E-3</v>
      </c>
      <c r="AF155" s="493">
        <f t="shared" ca="1" si="30"/>
        <v>2.8734497012717457E-2</v>
      </c>
      <c r="AG155" s="493">
        <f t="shared" ca="1" si="28"/>
        <v>0</v>
      </c>
      <c r="AH155" s="498">
        <f t="shared" ca="1" si="31"/>
        <v>0</v>
      </c>
      <c r="AI155" s="497">
        <f t="shared" ca="1" si="32"/>
        <v>-2.6275697568970101E-3</v>
      </c>
      <c r="AJ155" s="493">
        <f t="shared" ca="1" si="33"/>
        <v>0.34960657403715967</v>
      </c>
      <c r="AK155" s="493">
        <f t="shared" ca="1" si="34"/>
        <v>0</v>
      </c>
      <c r="AL155" s="498">
        <f t="shared" ca="1" si="35"/>
        <v>0</v>
      </c>
      <c r="AN155" s="532" t="str">
        <f t="shared" ca="1" si="36"/>
        <v/>
      </c>
      <c r="AO155" s="524" t="str" cm="1">
        <f t="array" aca="1" ref="AO155" ca="1">IF(AN155&lt;&gt;"",TRANSPOSE(INDEX(GetCDS($C180,AO$13,$G180/10000,F180,D180,$C$13,$C$14,$C$15,$C$8,,,TRUE,TRUE,FALSE,$C$29:$C$31,$C$33),{5})),"")</f>
        <v/>
      </c>
      <c r="AP155" s="524" t="str" cm="1">
        <f t="array" aca="1" ref="AP155" ca="1">IF(AO155&lt;&gt;"",TRANSPOSE(INDEX(GetCDS($C180,AP$13,$G180/10000,G180,E180,$C$13,$C$14,$C$15,$C$8,,,TRUE,TRUE,FALSE,$C$29:$C$31,$C$33),{5})),"")</f>
        <v/>
      </c>
      <c r="AQ155" s="524" t="str" cm="1">
        <f t="array" aca="1" ref="AQ155" ca="1">IF(AP155&lt;&gt;"",TRANSPOSE(INDEX(GetCDS($C180,AQ$13,$G180/10000,H180,F180,$C$13,$C$14,$C$15,$C$8,,,TRUE,TRUE,FALSE,$C$29:$C$31,$C$33),{5})),"")</f>
        <v/>
      </c>
      <c r="AR155" s="524" t="str" cm="1">
        <f t="array" aca="1" ref="AR155" ca="1">IF(AQ155&lt;&gt;"",TRANSPOSE(INDEX(GetCDS($C180,AR$13,$G180/10000,I180,G180,$C$13,$C$14,$C$15,$C$8,,,TRUE,TRUE,FALSE,$C$29:$C$31,$C$33),{5})),"")</f>
        <v/>
      </c>
      <c r="AS155" s="525" t="str" cm="1">
        <f t="array" aca="1" ref="AS155" ca="1">IF(AR155&lt;&gt;"",TRANSPOSE(INDEX(GetCDS($C180,AS$13,$G180/10000,J180,H180,$C$13,$C$14,$C$15,$C$8,,,TRUE,TRUE,FALSE,$C$29:$C$31,$C$33),{5})),"")</f>
        <v/>
      </c>
    </row>
    <row r="156" spans="1:45" customFormat="1" ht="15">
      <c r="A156" s="227"/>
      <c r="B156" s="276">
        <v>118</v>
      </c>
      <c r="C156" s="254"/>
      <c r="D156" s="255"/>
      <c r="E156" s="247"/>
      <c r="F156" s="232"/>
      <c r="G156" s="239"/>
      <c r="H156" s="386">
        <v>142</v>
      </c>
      <c r="I156" s="404"/>
      <c r="J156" s="404"/>
      <c r="K156" s="413"/>
      <c r="L156" s="413"/>
      <c r="M156" s="404"/>
      <c r="N156" s="453"/>
      <c r="O156" s="404"/>
      <c r="P156" s="404"/>
      <c r="Q156" s="404"/>
      <c r="R156" s="453"/>
      <c r="S156" s="443"/>
      <c r="T156" s="42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3"/>
      <c r="V156" s="423"/>
      <c r="W156" s="424"/>
      <c r="X156" s="425"/>
      <c r="Y156" s="426" t="str">
        <f t="shared" ca="1" si="37"/>
        <v/>
      </c>
      <c r="Z156" s="427" t="str">
        <f t="shared" ca="1" si="38"/>
        <v/>
      </c>
      <c r="AA156" s="426" t="str">
        <f t="shared" ca="1" si="39"/>
        <v/>
      </c>
      <c r="AB156" s="428" t="str">
        <f t="shared" ca="1" si="40"/>
        <v/>
      </c>
      <c r="AC156" s="427" t="str">
        <f t="shared" ca="1" si="41"/>
        <v/>
      </c>
      <c r="AD156" s="79"/>
      <c r="AE156" s="496">
        <f t="shared" ca="1" si="29"/>
        <v>-2.5140072974869899E-3</v>
      </c>
      <c r="AF156" s="493">
        <f t="shared" ca="1" si="30"/>
        <v>2.892259277565605E-2</v>
      </c>
      <c r="AG156" s="493">
        <f t="shared" ca="1" si="28"/>
        <v>0</v>
      </c>
      <c r="AH156" s="498">
        <f t="shared" ca="1" si="31"/>
        <v>0</v>
      </c>
      <c r="AI156" s="497">
        <f t="shared" ca="1" si="32"/>
        <v>-2.5140072974869899E-3</v>
      </c>
      <c r="AJ156" s="493">
        <f t="shared" ca="1" si="33"/>
        <v>0.34605769344990667</v>
      </c>
      <c r="AK156" s="493">
        <f t="shared" ca="1" si="34"/>
        <v>0</v>
      </c>
      <c r="AL156" s="498">
        <f t="shared" ca="1" si="35"/>
        <v>0</v>
      </c>
      <c r="AN156" s="532" t="str">
        <f t="shared" ca="1" si="36"/>
        <v/>
      </c>
      <c r="AO156" s="524" t="str" cm="1">
        <f t="array" aca="1" ref="AO156" ca="1">IF(AN156&lt;&gt;"",TRANSPOSE(INDEX(GetCDS($C181,AO$13,$G181/10000,F181,D181,$C$13,$C$14,$C$15,$C$8,,,TRUE,TRUE,FALSE,$C$29:$C$31,$C$33),{5})),"")</f>
        <v/>
      </c>
      <c r="AP156" s="524" t="str" cm="1">
        <f t="array" aca="1" ref="AP156" ca="1">IF(AO156&lt;&gt;"",TRANSPOSE(INDEX(GetCDS($C181,AP$13,$G181/10000,G181,E181,$C$13,$C$14,$C$15,$C$8,,,TRUE,TRUE,FALSE,$C$29:$C$31,$C$33),{5})),"")</f>
        <v/>
      </c>
      <c r="AQ156" s="524" t="str" cm="1">
        <f t="array" aca="1" ref="AQ156" ca="1">IF(AP156&lt;&gt;"",TRANSPOSE(INDEX(GetCDS($C181,AQ$13,$G181/10000,H181,F181,$C$13,$C$14,$C$15,$C$8,,,TRUE,TRUE,FALSE,$C$29:$C$31,$C$33),{5})),"")</f>
        <v/>
      </c>
      <c r="AR156" s="524" t="str" cm="1">
        <f t="array" aca="1" ref="AR156" ca="1">IF(AQ156&lt;&gt;"",TRANSPOSE(INDEX(GetCDS($C181,AR$13,$G181/10000,I181,G181,$C$13,$C$14,$C$15,$C$8,,,TRUE,TRUE,FALSE,$C$29:$C$31,$C$33),{5})),"")</f>
        <v/>
      </c>
      <c r="AS156" s="525" t="str" cm="1">
        <f t="array" aca="1" ref="AS156" ca="1">IF(AR156&lt;&gt;"",TRANSPOSE(INDEX(GetCDS($C181,AS$13,$G181/10000,J181,H181,$C$13,$C$14,$C$15,$C$8,,,TRUE,TRUE,FALSE,$C$29:$C$31,$C$33),{5})),"")</f>
        <v/>
      </c>
    </row>
    <row r="157" spans="1:45" customFormat="1" ht="15">
      <c r="A157" s="227"/>
      <c r="B157" s="276">
        <v>119</v>
      </c>
      <c r="C157" s="254"/>
      <c r="D157" s="255"/>
      <c r="E157" s="247"/>
      <c r="F157" s="232"/>
      <c r="G157" s="239"/>
      <c r="H157" s="386">
        <v>143</v>
      </c>
      <c r="I157" s="404"/>
      <c r="J157" s="404"/>
      <c r="K157" s="413"/>
      <c r="L157" s="413"/>
      <c r="M157" s="404"/>
      <c r="N157" s="453"/>
      <c r="O157" s="404"/>
      <c r="P157" s="404"/>
      <c r="Q157" s="404"/>
      <c r="R157" s="453"/>
      <c r="S157" s="443"/>
      <c r="T157" s="42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3"/>
      <c r="V157" s="423"/>
      <c r="W157" s="424"/>
      <c r="X157" s="425"/>
      <c r="Y157" s="426" t="str">
        <f t="shared" ca="1" si="37"/>
        <v/>
      </c>
      <c r="Z157" s="427" t="str">
        <f t="shared" ca="1" si="38"/>
        <v/>
      </c>
      <c r="AA157" s="426" t="str">
        <f t="shared" ca="1" si="39"/>
        <v/>
      </c>
      <c r="AB157" s="428" t="str">
        <f t="shared" ca="1" si="40"/>
        <v/>
      </c>
      <c r="AC157" s="427" t="str">
        <f t="shared" ca="1" si="41"/>
        <v/>
      </c>
      <c r="AD157" s="79"/>
      <c r="AE157" s="496">
        <f t="shared" ca="1" si="29"/>
        <v>-4.8441617658900003E-3</v>
      </c>
      <c r="AF157" s="493">
        <f t="shared" ca="1" si="30"/>
        <v>1.920048091496053E-2</v>
      </c>
      <c r="AG157" s="493">
        <f t="shared" ca="1" si="28"/>
        <v>0</v>
      </c>
      <c r="AH157" s="498">
        <f t="shared" ca="1" si="31"/>
        <v>0</v>
      </c>
      <c r="AI157" s="497">
        <f t="shared" ca="1" si="32"/>
        <v>-4.8441617658900003E-3</v>
      </c>
      <c r="AJ157" s="493">
        <f t="shared" ca="1" si="33"/>
        <v>0.40824724057974049</v>
      </c>
      <c r="AK157" s="493">
        <f t="shared" ca="1" si="34"/>
        <v>0</v>
      </c>
      <c r="AL157" s="498">
        <f t="shared" ca="1" si="35"/>
        <v>0</v>
      </c>
      <c r="AN157" s="532" t="str">
        <f t="shared" ca="1" si="36"/>
        <v/>
      </c>
      <c r="AO157" s="524" t="str" cm="1">
        <f t="array" aca="1" ref="AO157" ca="1">IF(AN157&lt;&gt;"",TRANSPOSE(INDEX(GetCDS($C182,AO$13,$G182/10000,F182,D182,$C$13,$C$14,$C$15,$C$8,,,TRUE,TRUE,FALSE,$C$29:$C$31,$C$33),{5})),"")</f>
        <v/>
      </c>
      <c r="AP157" s="524" t="str" cm="1">
        <f t="array" aca="1" ref="AP157" ca="1">IF(AO157&lt;&gt;"",TRANSPOSE(INDEX(GetCDS($C182,AP$13,$G182/10000,G182,E182,$C$13,$C$14,$C$15,$C$8,,,TRUE,TRUE,FALSE,$C$29:$C$31,$C$33),{5})),"")</f>
        <v/>
      </c>
      <c r="AQ157" s="524" t="str" cm="1">
        <f t="array" aca="1" ref="AQ157" ca="1">IF(AP157&lt;&gt;"",TRANSPOSE(INDEX(GetCDS($C182,AQ$13,$G182/10000,H182,F182,$C$13,$C$14,$C$15,$C$8,,,TRUE,TRUE,FALSE,$C$29:$C$31,$C$33),{5})),"")</f>
        <v/>
      </c>
      <c r="AR157" s="524" t="str" cm="1">
        <f t="array" aca="1" ref="AR157" ca="1">IF(AQ157&lt;&gt;"",TRANSPOSE(INDEX(GetCDS($C182,AR$13,$G182/10000,I182,G182,$C$13,$C$14,$C$15,$C$8,,,TRUE,TRUE,FALSE,$C$29:$C$31,$C$33),{5})),"")</f>
        <v/>
      </c>
      <c r="AS157" s="525" t="str" cm="1">
        <f t="array" aca="1" ref="AS157" ca="1">IF(AR157&lt;&gt;"",TRANSPOSE(INDEX(GetCDS($C182,AS$13,$G182/10000,J182,H182,$C$13,$C$14,$C$15,$C$8,,,TRUE,TRUE,FALSE,$C$29:$C$31,$C$33),{5})),"")</f>
        <v/>
      </c>
    </row>
    <row r="158" spans="1:45" customFormat="1" ht="15">
      <c r="A158" s="227"/>
      <c r="B158" s="276">
        <v>120</v>
      </c>
      <c r="C158" s="254"/>
      <c r="D158" s="255"/>
      <c r="E158" s="247"/>
      <c r="F158" s="232"/>
      <c r="G158" s="239"/>
      <c r="H158" s="386">
        <v>144</v>
      </c>
      <c r="I158" s="404"/>
      <c r="J158" s="404"/>
      <c r="K158" s="413"/>
      <c r="L158" s="413"/>
      <c r="M158" s="404"/>
      <c r="N158" s="453"/>
      <c r="O158" s="404"/>
      <c r="P158" s="404"/>
      <c r="Q158" s="404"/>
      <c r="R158" s="453"/>
      <c r="S158" s="443"/>
      <c r="T158" s="42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3"/>
      <c r="V158" s="423"/>
      <c r="W158" s="424"/>
      <c r="X158" s="425"/>
      <c r="Y158" s="426" t="str">
        <f t="shared" ca="1" si="37"/>
        <v/>
      </c>
      <c r="Z158" s="427" t="str">
        <f t="shared" ca="1" si="38"/>
        <v/>
      </c>
      <c r="AA158" s="426" t="str">
        <f t="shared" ca="1" si="39"/>
        <v/>
      </c>
      <c r="AB158" s="428" t="str">
        <f t="shared" ca="1" si="40"/>
        <v/>
      </c>
      <c r="AC158" s="427" t="str">
        <f t="shared" ca="1" si="41"/>
        <v/>
      </c>
      <c r="AD158" s="79"/>
      <c r="AE158" s="496">
        <f t="shared" ca="1" si="29"/>
        <v>-2.0888443432369999E-3</v>
      </c>
      <c r="AF158" s="493">
        <f t="shared" ca="1" si="30"/>
        <v>3.0911668466406143E-2</v>
      </c>
      <c r="AG158" s="493">
        <f t="shared" ca="1" si="28"/>
        <v>0</v>
      </c>
      <c r="AH158" s="498">
        <f t="shared" ca="1" si="31"/>
        <v>0</v>
      </c>
      <c r="AI158" s="497">
        <f t="shared" ca="1" si="32"/>
        <v>-2.0888443432369999E-3</v>
      </c>
      <c r="AJ158" s="493">
        <f t="shared" ca="1" si="33"/>
        <v>0.3299187460770604</v>
      </c>
      <c r="AK158" s="493">
        <f t="shared" ca="1" si="34"/>
        <v>0</v>
      </c>
      <c r="AL158" s="498">
        <f t="shared" ca="1" si="35"/>
        <v>0</v>
      </c>
      <c r="AN158" s="532" t="str">
        <f t="shared" ca="1" si="36"/>
        <v/>
      </c>
      <c r="AO158" s="524" t="str" cm="1">
        <f t="array" aca="1" ref="AO158" ca="1">IF(AN158&lt;&gt;"",TRANSPOSE(INDEX(GetCDS($C183,AO$13,$G183/10000,F183,D183,$C$13,$C$14,$C$15,$C$8,,,TRUE,TRUE,FALSE,$C$29:$C$31,$C$33),{5})),"")</f>
        <v/>
      </c>
      <c r="AP158" s="524" t="str" cm="1">
        <f t="array" aca="1" ref="AP158" ca="1">IF(AO158&lt;&gt;"",TRANSPOSE(INDEX(GetCDS($C183,AP$13,$G183/10000,G183,E183,$C$13,$C$14,$C$15,$C$8,,,TRUE,TRUE,FALSE,$C$29:$C$31,$C$33),{5})),"")</f>
        <v/>
      </c>
      <c r="AQ158" s="524" t="str" cm="1">
        <f t="array" aca="1" ref="AQ158" ca="1">IF(AP158&lt;&gt;"",TRANSPOSE(INDEX(GetCDS($C183,AQ$13,$G183/10000,H183,F183,$C$13,$C$14,$C$15,$C$8,,,TRUE,TRUE,FALSE,$C$29:$C$31,$C$33),{5})),"")</f>
        <v/>
      </c>
      <c r="AR158" s="524" t="str" cm="1">
        <f t="array" aca="1" ref="AR158" ca="1">IF(AQ158&lt;&gt;"",TRANSPOSE(INDEX(GetCDS($C183,AR$13,$G183/10000,I183,G183,$C$13,$C$14,$C$15,$C$8,,,TRUE,TRUE,FALSE,$C$29:$C$31,$C$33),{5})),"")</f>
        <v/>
      </c>
      <c r="AS158" s="525" t="str" cm="1">
        <f t="array" aca="1" ref="AS158" ca="1">IF(AR158&lt;&gt;"",TRANSPOSE(INDEX(GetCDS($C183,AS$13,$G183/10000,J183,H183,$C$13,$C$14,$C$15,$C$8,,,TRUE,TRUE,FALSE,$C$29:$C$31,$C$33),{5})),"")</f>
        <v/>
      </c>
    </row>
    <row r="159" spans="1:45" customFormat="1" ht="15">
      <c r="A159" s="227"/>
      <c r="B159" s="276">
        <v>121</v>
      </c>
      <c r="C159" s="254"/>
      <c r="D159" s="255"/>
      <c r="E159" s="247"/>
      <c r="F159" s="232"/>
      <c r="G159" s="239"/>
      <c r="H159" s="386">
        <v>145</v>
      </c>
      <c r="I159" s="404"/>
      <c r="J159" s="404"/>
      <c r="K159" s="413"/>
      <c r="L159" s="413"/>
      <c r="M159" s="404"/>
      <c r="N159" s="453"/>
      <c r="O159" s="404"/>
      <c r="P159" s="404"/>
      <c r="Q159" s="404"/>
      <c r="R159" s="453"/>
      <c r="S159" s="443"/>
      <c r="T159" s="42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3"/>
      <c r="V159" s="423"/>
      <c r="W159" s="424"/>
      <c r="X159" s="425"/>
      <c r="Y159" s="426" t="str">
        <f t="shared" ca="1" si="37"/>
        <v/>
      </c>
      <c r="Z159" s="427" t="str">
        <f t="shared" ca="1" si="38"/>
        <v/>
      </c>
      <c r="AA159" s="426" t="str">
        <f t="shared" ca="1" si="39"/>
        <v/>
      </c>
      <c r="AB159" s="428" t="str">
        <f t="shared" ca="1" si="40"/>
        <v/>
      </c>
      <c r="AC159" s="427" t="str">
        <f t="shared" ca="1" si="41"/>
        <v/>
      </c>
      <c r="AD159" s="79"/>
      <c r="AE159" s="496">
        <f t="shared" ca="1" si="29"/>
        <v>-4.3911905520900001E-3</v>
      </c>
      <c r="AF159" s="493">
        <f t="shared" ca="1" si="30"/>
        <v>2.0769144204311762E-2</v>
      </c>
      <c r="AG159" s="493">
        <f t="shared" ca="1" si="28"/>
        <v>0</v>
      </c>
      <c r="AH159" s="498">
        <f t="shared" ca="1" si="31"/>
        <v>0</v>
      </c>
      <c r="AI159" s="497">
        <f t="shared" ca="1" si="32"/>
        <v>-4.3911905520900001E-3</v>
      </c>
      <c r="AJ159" s="493">
        <f t="shared" ca="1" si="33"/>
        <v>0.39877654054875872</v>
      </c>
      <c r="AK159" s="493">
        <f t="shared" ca="1" si="34"/>
        <v>0</v>
      </c>
      <c r="AL159" s="498">
        <f t="shared" ca="1" si="35"/>
        <v>0</v>
      </c>
      <c r="AN159" s="532" t="str">
        <f t="shared" ca="1" si="36"/>
        <v/>
      </c>
      <c r="AO159" s="524" t="str" cm="1">
        <f t="array" aca="1" ref="AO159" ca="1">IF(AN159&lt;&gt;"",TRANSPOSE(INDEX(GetCDS($C184,AO$13,$G184/10000,F184,D184,$C$13,$C$14,$C$15,$C$8,,,TRUE,TRUE,FALSE,$C$29:$C$31,$C$33),{5})),"")</f>
        <v/>
      </c>
      <c r="AP159" s="524" t="str" cm="1">
        <f t="array" aca="1" ref="AP159" ca="1">IF(AO159&lt;&gt;"",TRANSPOSE(INDEX(GetCDS($C184,AP$13,$G184/10000,G184,E184,$C$13,$C$14,$C$15,$C$8,,,TRUE,TRUE,FALSE,$C$29:$C$31,$C$33),{5})),"")</f>
        <v/>
      </c>
      <c r="AQ159" s="524" t="str" cm="1">
        <f t="array" aca="1" ref="AQ159" ca="1">IF(AP159&lt;&gt;"",TRANSPOSE(INDEX(GetCDS($C184,AQ$13,$G184/10000,H184,F184,$C$13,$C$14,$C$15,$C$8,,,TRUE,TRUE,FALSE,$C$29:$C$31,$C$33),{5})),"")</f>
        <v/>
      </c>
      <c r="AR159" s="524" t="str" cm="1">
        <f t="array" aca="1" ref="AR159" ca="1">IF(AQ159&lt;&gt;"",TRANSPOSE(INDEX(GetCDS($C184,AR$13,$G184/10000,I184,G184,$C$13,$C$14,$C$15,$C$8,,,TRUE,TRUE,FALSE,$C$29:$C$31,$C$33),{5})),"")</f>
        <v/>
      </c>
      <c r="AS159" s="525" t="str" cm="1">
        <f t="array" aca="1" ref="AS159" ca="1">IF(AR159&lt;&gt;"",TRANSPOSE(INDEX(GetCDS($C184,AS$13,$G184/10000,J184,H184,$C$13,$C$14,$C$15,$C$8,,,TRUE,TRUE,FALSE,$C$29:$C$31,$C$33),{5})),"")</f>
        <v/>
      </c>
    </row>
    <row r="160" spans="1:45" customFormat="1" ht="15">
      <c r="A160" s="227"/>
      <c r="B160" s="276">
        <v>122</v>
      </c>
      <c r="C160" s="254"/>
      <c r="D160" s="255"/>
      <c r="E160" s="247"/>
      <c r="F160" s="232"/>
      <c r="G160" s="239"/>
      <c r="H160" s="386">
        <v>146</v>
      </c>
      <c r="I160" s="404"/>
      <c r="J160" s="404"/>
      <c r="K160" s="413"/>
      <c r="L160" s="413"/>
      <c r="M160" s="404"/>
      <c r="N160" s="453"/>
      <c r="O160" s="404"/>
      <c r="P160" s="404"/>
      <c r="Q160" s="404"/>
      <c r="R160" s="453"/>
      <c r="S160" s="443"/>
      <c r="T160" s="42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3"/>
      <c r="V160" s="423"/>
      <c r="W160" s="424"/>
      <c r="X160" s="425"/>
      <c r="Y160" s="426" t="str">
        <f t="shared" ca="1" si="37"/>
        <v/>
      </c>
      <c r="Z160" s="427" t="str">
        <f t="shared" ca="1" si="38"/>
        <v/>
      </c>
      <c r="AA160" s="426" t="str">
        <f t="shared" ca="1" si="39"/>
        <v/>
      </c>
      <c r="AB160" s="428" t="str">
        <f t="shared" ca="1" si="40"/>
        <v/>
      </c>
      <c r="AC160" s="427" t="str">
        <f t="shared" ca="1" si="41"/>
        <v/>
      </c>
      <c r="AD160" s="79"/>
      <c r="AE160" s="496">
        <f t="shared" ca="1" si="29"/>
        <v>-2.7763771385259902E-3</v>
      </c>
      <c r="AF160" s="493">
        <f t="shared" ca="1" si="30"/>
        <v>2.7640513533532911E-2</v>
      </c>
      <c r="AG160" s="493">
        <f t="shared" ca="1" si="28"/>
        <v>0</v>
      </c>
      <c r="AH160" s="498">
        <f t="shared" ca="1" si="31"/>
        <v>0</v>
      </c>
      <c r="AI160" s="497">
        <f t="shared" ca="1" si="32"/>
        <v>-2.7763771385259902E-3</v>
      </c>
      <c r="AJ160" s="493">
        <f t="shared" ca="1" si="33"/>
        <v>0.35479508616223204</v>
      </c>
      <c r="AK160" s="493">
        <f t="shared" ca="1" si="34"/>
        <v>0</v>
      </c>
      <c r="AL160" s="498">
        <f t="shared" ca="1" si="35"/>
        <v>0</v>
      </c>
      <c r="AN160" s="532" t="str">
        <f t="shared" ca="1" si="36"/>
        <v/>
      </c>
      <c r="AO160" s="524" t="str" cm="1">
        <f t="array" aca="1" ref="AO160" ca="1">IF(AN160&lt;&gt;"",TRANSPOSE(INDEX(GetCDS($C185,AO$13,$G185/10000,F185,D185,$C$13,$C$14,$C$15,$C$8,,,TRUE,TRUE,FALSE,$C$29:$C$31,$C$33),{5})),"")</f>
        <v/>
      </c>
      <c r="AP160" s="524" t="str" cm="1">
        <f t="array" aca="1" ref="AP160" ca="1">IF(AO160&lt;&gt;"",TRANSPOSE(INDEX(GetCDS($C185,AP$13,$G185/10000,G185,E185,$C$13,$C$14,$C$15,$C$8,,,TRUE,TRUE,FALSE,$C$29:$C$31,$C$33),{5})),"")</f>
        <v/>
      </c>
      <c r="AQ160" s="524" t="str" cm="1">
        <f t="array" aca="1" ref="AQ160" ca="1">IF(AP160&lt;&gt;"",TRANSPOSE(INDEX(GetCDS($C185,AQ$13,$G185/10000,H185,F185,$C$13,$C$14,$C$15,$C$8,,,TRUE,TRUE,FALSE,$C$29:$C$31,$C$33),{5})),"")</f>
        <v/>
      </c>
      <c r="AR160" s="524" t="str" cm="1">
        <f t="array" aca="1" ref="AR160" ca="1">IF(AQ160&lt;&gt;"",TRANSPOSE(INDEX(GetCDS($C185,AR$13,$G185/10000,I185,G185,$C$13,$C$14,$C$15,$C$8,,,TRUE,TRUE,FALSE,$C$29:$C$31,$C$33),{5})),"")</f>
        <v/>
      </c>
      <c r="AS160" s="525" t="str" cm="1">
        <f t="array" aca="1" ref="AS160" ca="1">IF(AR160&lt;&gt;"",TRANSPOSE(INDEX(GetCDS($C185,AS$13,$G185/10000,J185,H185,$C$13,$C$14,$C$15,$C$8,,,TRUE,TRUE,FALSE,$C$29:$C$31,$C$33),{5})),"")</f>
        <v/>
      </c>
    </row>
    <row r="161" spans="1:45" customFormat="1" ht="15">
      <c r="A161" s="227"/>
      <c r="B161" s="276">
        <v>123</v>
      </c>
      <c r="C161" s="254"/>
      <c r="D161" s="255"/>
      <c r="E161" s="247"/>
      <c r="F161" s="232"/>
      <c r="G161" s="239"/>
      <c r="H161" s="386">
        <v>147</v>
      </c>
      <c r="I161" s="404"/>
      <c r="J161" s="404"/>
      <c r="K161" s="413"/>
      <c r="L161" s="413"/>
      <c r="M161" s="404"/>
      <c r="N161" s="453"/>
      <c r="O161" s="404"/>
      <c r="P161" s="404"/>
      <c r="Q161" s="404"/>
      <c r="R161" s="453"/>
      <c r="S161" s="443"/>
      <c r="T161" s="42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3"/>
      <c r="V161" s="423"/>
      <c r="W161" s="424"/>
      <c r="X161" s="425"/>
      <c r="Y161" s="426" t="str">
        <f t="shared" ca="1" si="37"/>
        <v/>
      </c>
      <c r="Z161" s="427" t="str">
        <f t="shared" ca="1" si="38"/>
        <v/>
      </c>
      <c r="AA161" s="426" t="str">
        <f t="shared" ca="1" si="39"/>
        <v/>
      </c>
      <c r="AB161" s="428" t="str">
        <f t="shared" ca="1" si="40"/>
        <v/>
      </c>
      <c r="AC161" s="427" t="str">
        <f t="shared" ca="1" si="41"/>
        <v/>
      </c>
      <c r="AD161" s="79"/>
      <c r="AE161" s="496">
        <f t="shared" ca="1" si="29"/>
        <v>-1.2440879141187E-2</v>
      </c>
      <c r="AF161" s="493">
        <f t="shared" ca="1" si="30"/>
        <v>9.1522165826836005E-3</v>
      </c>
      <c r="AG161" s="493">
        <f t="shared" ca="1" si="28"/>
        <v>0</v>
      </c>
      <c r="AH161" s="498">
        <f t="shared" ca="1" si="31"/>
        <v>0</v>
      </c>
      <c r="AI161" s="497">
        <f t="shared" ca="1" si="32"/>
        <v>-1.2440879141187E-2</v>
      </c>
      <c r="AJ161" s="493">
        <f t="shared" ca="1" si="33"/>
        <v>0.51504304921261235</v>
      </c>
      <c r="AK161" s="493">
        <f t="shared" ca="1" si="34"/>
        <v>0</v>
      </c>
      <c r="AL161" s="498">
        <f t="shared" ca="1" si="35"/>
        <v>0</v>
      </c>
      <c r="AN161" s="532" t="str">
        <f t="shared" ca="1" si="36"/>
        <v/>
      </c>
      <c r="AO161" s="524" t="str" cm="1">
        <f t="array" aca="1" ref="AO161" ca="1">IF(AN161&lt;&gt;"",TRANSPOSE(INDEX(GetCDS($C186,AO$13,$G186/10000,F186,D186,$C$13,$C$14,$C$15,$C$8,,,TRUE,TRUE,FALSE,$C$29:$C$31,$C$33),{5})),"")</f>
        <v/>
      </c>
      <c r="AP161" s="524" t="str" cm="1">
        <f t="array" aca="1" ref="AP161" ca="1">IF(AO161&lt;&gt;"",TRANSPOSE(INDEX(GetCDS($C186,AP$13,$G186/10000,G186,E186,$C$13,$C$14,$C$15,$C$8,,,TRUE,TRUE,FALSE,$C$29:$C$31,$C$33),{5})),"")</f>
        <v/>
      </c>
      <c r="AQ161" s="524" t="str" cm="1">
        <f t="array" aca="1" ref="AQ161" ca="1">IF(AP161&lt;&gt;"",TRANSPOSE(INDEX(GetCDS($C186,AQ$13,$G186/10000,H186,F186,$C$13,$C$14,$C$15,$C$8,,,TRUE,TRUE,FALSE,$C$29:$C$31,$C$33),{5})),"")</f>
        <v/>
      </c>
      <c r="AR161" s="524" t="str" cm="1">
        <f t="array" aca="1" ref="AR161" ca="1">IF(AQ161&lt;&gt;"",TRANSPOSE(INDEX(GetCDS($C186,AR$13,$G186/10000,I186,G186,$C$13,$C$14,$C$15,$C$8,,,TRUE,TRUE,FALSE,$C$29:$C$31,$C$33),{5})),"")</f>
        <v/>
      </c>
      <c r="AS161" s="525" t="str" cm="1">
        <f t="array" aca="1" ref="AS161" ca="1">IF(AR161&lt;&gt;"",TRANSPOSE(INDEX(GetCDS($C186,AS$13,$G186/10000,J186,H186,$C$13,$C$14,$C$15,$C$8,,,TRUE,TRUE,FALSE,$C$29:$C$31,$C$33),{5})),"")</f>
        <v/>
      </c>
    </row>
    <row r="162" spans="1:45" customFormat="1" ht="15">
      <c r="A162" s="227"/>
      <c r="B162" s="276">
        <v>124</v>
      </c>
      <c r="C162" s="254"/>
      <c r="D162" s="255"/>
      <c r="E162" s="247"/>
      <c r="F162" s="232"/>
      <c r="G162" s="239"/>
      <c r="H162" s="386">
        <v>148</v>
      </c>
      <c r="I162" s="404"/>
      <c r="J162" s="404"/>
      <c r="K162" s="413"/>
      <c r="L162" s="413"/>
      <c r="M162" s="404"/>
      <c r="N162" s="453"/>
      <c r="O162" s="404"/>
      <c r="P162" s="404"/>
      <c r="Q162" s="404"/>
      <c r="R162" s="453"/>
      <c r="S162" s="443"/>
      <c r="T162" s="42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3"/>
      <c r="V162" s="423"/>
      <c r="W162" s="424"/>
      <c r="X162" s="425"/>
      <c r="Y162" s="426" t="str">
        <f t="shared" ca="1" si="37"/>
        <v/>
      </c>
      <c r="Z162" s="427" t="str">
        <f t="shared" ca="1" si="38"/>
        <v/>
      </c>
      <c r="AA162" s="426" t="str">
        <f t="shared" ca="1" si="39"/>
        <v/>
      </c>
      <c r="AB162" s="428" t="str">
        <f t="shared" ca="1" si="40"/>
        <v/>
      </c>
      <c r="AC162" s="427" t="str">
        <f t="shared" ca="1" si="41"/>
        <v/>
      </c>
      <c r="AD162" s="79"/>
      <c r="AE162" s="496">
        <f t="shared" ca="1" si="29"/>
        <v>-2.6286859729970102E-3</v>
      </c>
      <c r="AF162" s="493">
        <f t="shared" ca="1" si="30"/>
        <v>2.830779860094837E-2</v>
      </c>
      <c r="AG162" s="493">
        <f t="shared" ca="1" si="28"/>
        <v>0</v>
      </c>
      <c r="AH162" s="498">
        <f t="shared" ca="1" si="31"/>
        <v>0</v>
      </c>
      <c r="AI162" s="497">
        <f t="shared" ca="1" si="32"/>
        <v>-2.6286859729970102E-3</v>
      </c>
      <c r="AJ162" s="493">
        <f t="shared" ca="1" si="33"/>
        <v>0.3497676319914832</v>
      </c>
      <c r="AK162" s="493">
        <f t="shared" ca="1" si="34"/>
        <v>0</v>
      </c>
      <c r="AL162" s="498">
        <f t="shared" ca="1" si="35"/>
        <v>0</v>
      </c>
      <c r="AN162" s="532" t="str">
        <f t="shared" ca="1" si="36"/>
        <v/>
      </c>
      <c r="AO162" s="524" t="str" cm="1">
        <f t="array" aca="1" ref="AO162" ca="1">IF(AN162&lt;&gt;"",TRANSPOSE(INDEX(GetCDS($C187,AO$13,$G187/10000,F187,D187,$C$13,$C$14,$C$15,$C$8,,,TRUE,TRUE,FALSE,$C$29:$C$31,$C$33),{5})),"")</f>
        <v/>
      </c>
      <c r="AP162" s="524" t="str" cm="1">
        <f t="array" aca="1" ref="AP162" ca="1">IF(AO162&lt;&gt;"",TRANSPOSE(INDEX(GetCDS($C187,AP$13,$G187/10000,G187,E187,$C$13,$C$14,$C$15,$C$8,,,TRUE,TRUE,FALSE,$C$29:$C$31,$C$33),{5})),"")</f>
        <v/>
      </c>
      <c r="AQ162" s="524" t="str" cm="1">
        <f t="array" aca="1" ref="AQ162" ca="1">IF(AP162&lt;&gt;"",TRANSPOSE(INDEX(GetCDS($C187,AQ$13,$G187/10000,H187,F187,$C$13,$C$14,$C$15,$C$8,,,TRUE,TRUE,FALSE,$C$29:$C$31,$C$33),{5})),"")</f>
        <v/>
      </c>
      <c r="AR162" s="524" t="str" cm="1">
        <f t="array" aca="1" ref="AR162" ca="1">IF(AQ162&lt;&gt;"",TRANSPOSE(INDEX(GetCDS($C187,AR$13,$G187/10000,I187,G187,$C$13,$C$14,$C$15,$C$8,,,TRUE,TRUE,FALSE,$C$29:$C$31,$C$33),{5})),"")</f>
        <v/>
      </c>
      <c r="AS162" s="525" t="str" cm="1">
        <f t="array" aca="1" ref="AS162" ca="1">IF(AR162&lt;&gt;"",TRANSPOSE(INDEX(GetCDS($C187,AS$13,$G187/10000,J187,H187,$C$13,$C$14,$C$15,$C$8,,,TRUE,TRUE,FALSE,$C$29:$C$31,$C$33),{5})),"")</f>
        <v/>
      </c>
    </row>
    <row r="163" spans="1:45" customFormat="1" ht="15">
      <c r="A163" s="227"/>
      <c r="B163" s="276">
        <v>125</v>
      </c>
      <c r="C163" s="254"/>
      <c r="D163" s="255"/>
      <c r="E163" s="247"/>
      <c r="F163" s="232"/>
      <c r="G163" s="239"/>
      <c r="H163" s="386">
        <v>149</v>
      </c>
      <c r="I163" s="404"/>
      <c r="J163" s="404"/>
      <c r="K163" s="413"/>
      <c r="L163" s="413"/>
      <c r="M163" s="413"/>
      <c r="N163" s="452"/>
      <c r="O163" s="413"/>
      <c r="P163" s="413"/>
      <c r="Q163" s="413"/>
      <c r="R163" s="452"/>
      <c r="S163" s="443"/>
      <c r="T163" s="42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3"/>
      <c r="V163" s="423"/>
      <c r="W163" s="424"/>
      <c r="X163" s="425"/>
      <c r="Y163" s="426" t="str">
        <f t="shared" ca="1" si="37"/>
        <v/>
      </c>
      <c r="Z163" s="427" t="str">
        <f t="shared" ca="1" si="38"/>
        <v/>
      </c>
      <c r="AA163" s="426" t="str">
        <f t="shared" ca="1" si="39"/>
        <v/>
      </c>
      <c r="AB163" s="428" t="str">
        <f t="shared" ca="1" si="40"/>
        <v/>
      </c>
      <c r="AC163" s="427" t="str">
        <f t="shared" ca="1" si="41"/>
        <v/>
      </c>
      <c r="AD163" s="79"/>
      <c r="AE163" s="496">
        <f t="shared" ca="1" si="29"/>
        <v>-2.6195386175260102E-3</v>
      </c>
      <c r="AF163" s="493">
        <f t="shared" ca="1" si="30"/>
        <v>2.832540035761932E-2</v>
      </c>
      <c r="AG163" s="493">
        <f t="shared" ca="1" si="28"/>
        <v>0</v>
      </c>
      <c r="AH163" s="498">
        <f t="shared" ca="1" si="31"/>
        <v>0</v>
      </c>
      <c r="AI163" s="497">
        <f t="shared" ca="1" si="32"/>
        <v>-2.6195386175260102E-3</v>
      </c>
      <c r="AJ163" s="493">
        <f t="shared" ca="1" si="33"/>
        <v>0.34933922629946212</v>
      </c>
      <c r="AK163" s="493">
        <f t="shared" ca="1" si="34"/>
        <v>0</v>
      </c>
      <c r="AL163" s="498">
        <f t="shared" ca="1" si="35"/>
        <v>0</v>
      </c>
      <c r="AN163" s="532" t="str">
        <f t="shared" ca="1" si="36"/>
        <v/>
      </c>
      <c r="AO163" s="524" t="str" cm="1">
        <f t="array" aca="1" ref="AO163" ca="1">IF(AN163&lt;&gt;"",TRANSPOSE(INDEX(GetCDS($C188,AO$13,$G188/10000,F188,D188,$C$13,$C$14,$C$15,$C$8,,,TRUE,TRUE,FALSE,$C$29:$C$31,$C$33),{5})),"")</f>
        <v/>
      </c>
      <c r="AP163" s="524" t="str" cm="1">
        <f t="array" aca="1" ref="AP163" ca="1">IF(AO163&lt;&gt;"",TRANSPOSE(INDEX(GetCDS($C188,AP$13,$G188/10000,G188,E188,$C$13,$C$14,$C$15,$C$8,,,TRUE,TRUE,FALSE,$C$29:$C$31,$C$33),{5})),"")</f>
        <v/>
      </c>
      <c r="AQ163" s="524" t="str" cm="1">
        <f t="array" aca="1" ref="AQ163" ca="1">IF(AP163&lt;&gt;"",TRANSPOSE(INDEX(GetCDS($C188,AQ$13,$G188/10000,H188,F188,$C$13,$C$14,$C$15,$C$8,,,TRUE,TRUE,FALSE,$C$29:$C$31,$C$33),{5})),"")</f>
        <v/>
      </c>
      <c r="AR163" s="524" t="str" cm="1">
        <f t="array" aca="1" ref="AR163" ca="1">IF(AQ163&lt;&gt;"",TRANSPOSE(INDEX(GetCDS($C188,AR$13,$G188/10000,I188,G188,$C$13,$C$14,$C$15,$C$8,,,TRUE,TRUE,FALSE,$C$29:$C$31,$C$33),{5})),"")</f>
        <v/>
      </c>
      <c r="AS163" s="525" t="str" cm="1">
        <f t="array" aca="1" ref="AS163" ca="1">IF(AR163&lt;&gt;"",TRANSPOSE(INDEX(GetCDS($C188,AS$13,$G188/10000,J188,H188,$C$13,$C$14,$C$15,$C$8,,,TRUE,TRUE,FALSE,$C$29:$C$31,$C$33),{5})),"")</f>
        <v/>
      </c>
    </row>
    <row r="164" spans="1:45" customFormat="1" ht="15">
      <c r="A164" s="227"/>
      <c r="B164" s="276">
        <v>126</v>
      </c>
      <c r="C164" s="254"/>
      <c r="D164" s="255"/>
      <c r="E164" s="247"/>
      <c r="F164" s="232"/>
      <c r="G164" s="239"/>
      <c r="H164" s="386">
        <v>150</v>
      </c>
      <c r="I164" s="404"/>
      <c r="J164" s="404"/>
      <c r="K164" s="413"/>
      <c r="L164" s="413"/>
      <c r="M164" s="413"/>
      <c r="N164" s="452"/>
      <c r="O164" s="413"/>
      <c r="P164" s="413"/>
      <c r="Q164" s="413"/>
      <c r="R164" s="452"/>
      <c r="S164" s="443"/>
      <c r="T164" s="42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3"/>
      <c r="V164" s="423"/>
      <c r="W164" s="424"/>
      <c r="X164" s="425"/>
      <c r="Y164" s="426" t="str">
        <f t="shared" ca="1" si="37"/>
        <v/>
      </c>
      <c r="Z164" s="427" t="str">
        <f t="shared" ca="1" si="38"/>
        <v/>
      </c>
      <c r="AA164" s="426" t="str">
        <f t="shared" ca="1" si="39"/>
        <v/>
      </c>
      <c r="AB164" s="428" t="str">
        <f t="shared" ca="1" si="40"/>
        <v/>
      </c>
      <c r="AC164" s="427" t="str">
        <f t="shared" ca="1" si="41"/>
        <v/>
      </c>
      <c r="AD164" s="79"/>
      <c r="AE164" s="496">
        <f t="shared" ca="1" si="29"/>
        <v>-1.716425367386E-3</v>
      </c>
      <c r="AF164" s="493">
        <f t="shared" ca="1" si="30"/>
        <v>3.2818839939646322E-2</v>
      </c>
      <c r="AG164" s="493">
        <f t="shared" ca="1" si="28"/>
        <v>0</v>
      </c>
      <c r="AH164" s="498">
        <f t="shared" ca="1" si="31"/>
        <v>0</v>
      </c>
      <c r="AI164" s="497">
        <f t="shared" ca="1" si="32"/>
        <v>-1.716425367386E-3</v>
      </c>
      <c r="AJ164" s="493">
        <f t="shared" ca="1" si="33"/>
        <v>0.31381859736192208</v>
      </c>
      <c r="AK164" s="493">
        <f t="shared" ca="1" si="34"/>
        <v>0</v>
      </c>
      <c r="AL164" s="498">
        <f t="shared" ca="1" si="35"/>
        <v>0</v>
      </c>
      <c r="AN164" s="532" t="str">
        <f t="shared" ca="1" si="36"/>
        <v/>
      </c>
      <c r="AO164" s="524" t="str" cm="1">
        <f t="array" aca="1" ref="AO164" ca="1">IF(AN164&lt;&gt;"",TRANSPOSE(INDEX(GetCDS($C189,AO$13,$G189/10000,F189,D189,$C$13,$C$14,$C$15,$C$8,,,TRUE,TRUE,FALSE,$C$29:$C$31,$C$33),{5})),"")</f>
        <v/>
      </c>
      <c r="AP164" s="524" t="str" cm="1">
        <f t="array" aca="1" ref="AP164" ca="1">IF(AO164&lt;&gt;"",TRANSPOSE(INDEX(GetCDS($C189,AP$13,$G189/10000,G189,E189,$C$13,$C$14,$C$15,$C$8,,,TRUE,TRUE,FALSE,$C$29:$C$31,$C$33),{5})),"")</f>
        <v/>
      </c>
      <c r="AQ164" s="524" t="str" cm="1">
        <f t="array" aca="1" ref="AQ164" ca="1">IF(AP164&lt;&gt;"",TRANSPOSE(INDEX(GetCDS($C189,AQ$13,$G189/10000,H189,F189,$C$13,$C$14,$C$15,$C$8,,,TRUE,TRUE,FALSE,$C$29:$C$31,$C$33),{5})),"")</f>
        <v/>
      </c>
      <c r="AR164" s="524" t="str" cm="1">
        <f t="array" aca="1" ref="AR164" ca="1">IF(AQ164&lt;&gt;"",TRANSPOSE(INDEX(GetCDS($C189,AR$13,$G189/10000,I189,G189,$C$13,$C$14,$C$15,$C$8,,,TRUE,TRUE,FALSE,$C$29:$C$31,$C$33),{5})),"")</f>
        <v/>
      </c>
      <c r="AS164" s="525" t="str" cm="1">
        <f t="array" aca="1" ref="AS164" ca="1">IF(AR164&lt;&gt;"",TRANSPOSE(INDEX(GetCDS($C189,AS$13,$G189/10000,J189,H189,$C$13,$C$14,$C$15,$C$8,,,TRUE,TRUE,FALSE,$C$29:$C$31,$C$33),{5})),"")</f>
        <v/>
      </c>
    </row>
    <row r="165" spans="1:45" customFormat="1" ht="15">
      <c r="A165" s="227"/>
      <c r="B165" s="276">
        <v>127</v>
      </c>
      <c r="C165" s="254"/>
      <c r="D165" s="255"/>
      <c r="E165" s="247"/>
      <c r="F165" s="232"/>
      <c r="G165" s="239"/>
      <c r="H165" s="386">
        <v>151</v>
      </c>
      <c r="I165" s="404"/>
      <c r="J165" s="404"/>
      <c r="K165" s="413"/>
      <c r="L165" s="413"/>
      <c r="M165" s="413"/>
      <c r="N165" s="452"/>
      <c r="O165" s="413"/>
      <c r="P165" s="413"/>
      <c r="Q165" s="413"/>
      <c r="R165" s="452"/>
      <c r="S165" s="443"/>
      <c r="T165" s="42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3"/>
      <c r="V165" s="423"/>
      <c r="W165" s="424"/>
      <c r="X165" s="425"/>
      <c r="Y165" s="426" t="str">
        <f t="shared" ca="1" si="37"/>
        <v/>
      </c>
      <c r="Z165" s="427" t="str">
        <f t="shared" ca="1" si="38"/>
        <v/>
      </c>
      <c r="AA165" s="426" t="str">
        <f t="shared" ca="1" si="39"/>
        <v/>
      </c>
      <c r="AB165" s="428" t="str">
        <f t="shared" ca="1" si="40"/>
        <v/>
      </c>
      <c r="AC165" s="427" t="str">
        <f t="shared" ca="1" si="41"/>
        <v/>
      </c>
      <c r="AD165" s="79"/>
      <c r="AE165" s="496">
        <f t="shared" ca="1" si="29"/>
        <v>-3.5734801818509999E-3</v>
      </c>
      <c r="AF165" s="493">
        <f t="shared" ca="1" si="30"/>
        <v>2.420696233529844E-2</v>
      </c>
      <c r="AG165" s="493">
        <f t="shared" ca="1" si="28"/>
        <v>0</v>
      </c>
      <c r="AH165" s="498">
        <f t="shared" ca="1" si="31"/>
        <v>0</v>
      </c>
      <c r="AI165" s="497">
        <f t="shared" ca="1" si="32"/>
        <v>-3.5734801818509999E-3</v>
      </c>
      <c r="AJ165" s="493">
        <f t="shared" ca="1" si="33"/>
        <v>0.3785313024806779</v>
      </c>
      <c r="AK165" s="493">
        <f t="shared" ca="1" si="34"/>
        <v>0</v>
      </c>
      <c r="AL165" s="498">
        <f t="shared" ca="1" si="35"/>
        <v>0</v>
      </c>
      <c r="AN165" s="532" t="str">
        <f t="shared" ca="1" si="36"/>
        <v/>
      </c>
      <c r="AO165" s="524" t="str" cm="1">
        <f t="array" aca="1" ref="AO165" ca="1">IF(AN165&lt;&gt;"",TRANSPOSE(INDEX(GetCDS($C190,AO$13,$G190/10000,F190,D190,$C$13,$C$14,$C$15,$C$8,,,TRUE,TRUE,FALSE,$C$29:$C$31,$C$33),{5})),"")</f>
        <v/>
      </c>
      <c r="AP165" s="524" t="str" cm="1">
        <f t="array" aca="1" ref="AP165" ca="1">IF(AO165&lt;&gt;"",TRANSPOSE(INDEX(GetCDS($C190,AP$13,$G190/10000,G190,E190,$C$13,$C$14,$C$15,$C$8,,,TRUE,TRUE,FALSE,$C$29:$C$31,$C$33),{5})),"")</f>
        <v/>
      </c>
      <c r="AQ165" s="524" t="str" cm="1">
        <f t="array" aca="1" ref="AQ165" ca="1">IF(AP165&lt;&gt;"",TRANSPOSE(INDEX(GetCDS($C190,AQ$13,$G190/10000,H190,F190,$C$13,$C$14,$C$15,$C$8,,,TRUE,TRUE,FALSE,$C$29:$C$31,$C$33),{5})),"")</f>
        <v/>
      </c>
      <c r="AR165" s="524" t="str" cm="1">
        <f t="array" aca="1" ref="AR165" ca="1">IF(AQ165&lt;&gt;"",TRANSPOSE(INDEX(GetCDS($C190,AR$13,$G190/10000,I190,G190,$C$13,$C$14,$C$15,$C$8,,,TRUE,TRUE,FALSE,$C$29:$C$31,$C$33),{5})),"")</f>
        <v/>
      </c>
      <c r="AS165" s="525" t="str" cm="1">
        <f t="array" aca="1" ref="AS165" ca="1">IF(AR165&lt;&gt;"",TRANSPOSE(INDEX(GetCDS($C190,AS$13,$G190/10000,J190,H190,$C$13,$C$14,$C$15,$C$8,,,TRUE,TRUE,FALSE,$C$29:$C$31,$C$33),{5})),"")</f>
        <v/>
      </c>
    </row>
    <row r="166" spans="1:45" customFormat="1" ht="15">
      <c r="A166" s="227"/>
      <c r="B166" s="276">
        <v>128</v>
      </c>
      <c r="C166" s="254"/>
      <c r="D166" s="255"/>
      <c r="E166" s="247"/>
      <c r="F166" s="232"/>
      <c r="G166" s="239"/>
      <c r="H166" s="386">
        <v>152</v>
      </c>
      <c r="I166" s="404"/>
      <c r="J166" s="404"/>
      <c r="K166" s="413"/>
      <c r="L166" s="413"/>
      <c r="M166" s="413"/>
      <c r="N166" s="452"/>
      <c r="O166" s="413"/>
      <c r="P166" s="413"/>
      <c r="Q166" s="413"/>
      <c r="R166" s="452"/>
      <c r="S166" s="443"/>
      <c r="T166" s="42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3"/>
      <c r="V166" s="423"/>
      <c r="W166" s="424"/>
      <c r="X166" s="425"/>
      <c r="Y166" s="426" t="str">
        <f t="shared" ca="1" si="37"/>
        <v/>
      </c>
      <c r="Z166" s="427" t="str">
        <f t="shared" ca="1" si="38"/>
        <v/>
      </c>
      <c r="AA166" s="426" t="str">
        <f t="shared" ca="1" si="39"/>
        <v/>
      </c>
      <c r="AB166" s="428" t="str">
        <f t="shared" ca="1" si="40"/>
        <v/>
      </c>
      <c r="AC166" s="427" t="str">
        <f t="shared" ca="1" si="41"/>
        <v/>
      </c>
      <c r="AD166" s="79"/>
      <c r="AE166" s="496">
        <f t="shared" ca="1" si="29"/>
        <v>-3.9169339816790003E-3</v>
      </c>
      <c r="AF166" s="493">
        <f t="shared" ca="1" si="30"/>
        <v>2.280261259544315E-2</v>
      </c>
      <c r="AG166" s="493">
        <f t="shared" ca="1" si="28"/>
        <v>0</v>
      </c>
      <c r="AH166" s="498">
        <f t="shared" ca="1" si="31"/>
        <v>0</v>
      </c>
      <c r="AI166" s="497">
        <f t="shared" ca="1" si="32"/>
        <v>-3.9169339816790003E-3</v>
      </c>
      <c r="AJ166" s="493">
        <f t="shared" ca="1" si="33"/>
        <v>0.38743702516166861</v>
      </c>
      <c r="AK166" s="493">
        <f t="shared" ca="1" si="34"/>
        <v>0</v>
      </c>
      <c r="AL166" s="498">
        <f t="shared" ca="1" si="35"/>
        <v>0</v>
      </c>
      <c r="AN166" s="532" t="str">
        <f t="shared" ca="1" si="36"/>
        <v/>
      </c>
      <c r="AO166" s="524" t="str" cm="1">
        <f t="array" aca="1" ref="AO166" ca="1">IF(AN166&lt;&gt;"",TRANSPOSE(INDEX(GetCDS($C191,AO$13,$G191/10000,F191,D191,$C$13,$C$14,$C$15,$C$8,,,TRUE,TRUE,FALSE,$C$29:$C$31,$C$33),{5})),"")</f>
        <v/>
      </c>
      <c r="AP166" s="524" t="str" cm="1">
        <f t="array" aca="1" ref="AP166" ca="1">IF(AO166&lt;&gt;"",TRANSPOSE(INDEX(GetCDS($C191,AP$13,$G191/10000,G191,E191,$C$13,$C$14,$C$15,$C$8,,,TRUE,TRUE,FALSE,$C$29:$C$31,$C$33),{5})),"")</f>
        <v/>
      </c>
      <c r="AQ166" s="524" t="str" cm="1">
        <f t="array" aca="1" ref="AQ166" ca="1">IF(AP166&lt;&gt;"",TRANSPOSE(INDEX(GetCDS($C191,AQ$13,$G191/10000,H191,F191,$C$13,$C$14,$C$15,$C$8,,,TRUE,TRUE,FALSE,$C$29:$C$31,$C$33),{5})),"")</f>
        <v/>
      </c>
      <c r="AR166" s="524" t="str" cm="1">
        <f t="array" aca="1" ref="AR166" ca="1">IF(AQ166&lt;&gt;"",TRANSPOSE(INDEX(GetCDS($C191,AR$13,$G191/10000,I191,G191,$C$13,$C$14,$C$15,$C$8,,,TRUE,TRUE,FALSE,$C$29:$C$31,$C$33),{5})),"")</f>
        <v/>
      </c>
      <c r="AS166" s="525" t="str" cm="1">
        <f t="array" aca="1" ref="AS166" ca="1">IF(AR166&lt;&gt;"",TRANSPOSE(INDEX(GetCDS($C191,AS$13,$G191/10000,J191,H191,$C$13,$C$14,$C$15,$C$8,,,TRUE,TRUE,FALSE,$C$29:$C$31,$C$33),{5})),"")</f>
        <v/>
      </c>
    </row>
    <row r="167" spans="1:45" customFormat="1" ht="15">
      <c r="A167" s="227"/>
      <c r="B167" s="276">
        <v>129</v>
      </c>
      <c r="C167" s="254"/>
      <c r="D167" s="255"/>
      <c r="E167" s="247"/>
      <c r="F167" s="232"/>
      <c r="G167" s="239"/>
      <c r="H167" s="386">
        <v>153</v>
      </c>
      <c r="I167" s="404"/>
      <c r="J167" s="404"/>
      <c r="K167" s="413"/>
      <c r="L167" s="413"/>
      <c r="M167" s="413"/>
      <c r="N167" s="452"/>
      <c r="O167" s="413"/>
      <c r="P167" s="413"/>
      <c r="Q167" s="413"/>
      <c r="R167" s="452"/>
      <c r="S167" s="443"/>
      <c r="T167" s="42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3"/>
      <c r="V167" s="423"/>
      <c r="W167" s="424"/>
      <c r="X167" s="425"/>
      <c r="Y167" s="426" t="str">
        <f t="shared" ca="1" si="37"/>
        <v/>
      </c>
      <c r="Z167" s="427" t="str">
        <f t="shared" ca="1" si="38"/>
        <v/>
      </c>
      <c r="AA167" s="426" t="str">
        <f t="shared" ca="1" si="39"/>
        <v/>
      </c>
      <c r="AB167" s="428" t="str">
        <f t="shared" ca="1" si="40"/>
        <v/>
      </c>
      <c r="AC167" s="427" t="str">
        <f t="shared" ca="1" si="41"/>
        <v/>
      </c>
      <c r="AD167" s="79"/>
      <c r="AE167" s="496">
        <f t="shared" ca="1" si="29"/>
        <v>-3.6512093625410101E-3</v>
      </c>
      <c r="AF167" s="493">
        <f t="shared" ca="1" si="30"/>
        <v>2.3658947934459742E-2</v>
      </c>
      <c r="AG167" s="493">
        <f t="shared" ca="1" si="28"/>
        <v>0</v>
      </c>
      <c r="AH167" s="498">
        <f t="shared" ca="1" si="31"/>
        <v>0</v>
      </c>
      <c r="AI167" s="497">
        <f t="shared" ca="1" si="32"/>
        <v>-3.6512093625410101E-3</v>
      </c>
      <c r="AJ167" s="493">
        <f t="shared" ca="1" si="33"/>
        <v>0.38003029246474618</v>
      </c>
      <c r="AK167" s="493">
        <f t="shared" ca="1" si="34"/>
        <v>0</v>
      </c>
      <c r="AL167" s="498">
        <f t="shared" ca="1" si="35"/>
        <v>0</v>
      </c>
      <c r="AN167" s="532" t="str">
        <f t="shared" ca="1" si="36"/>
        <v/>
      </c>
      <c r="AO167" s="524" t="str" cm="1">
        <f t="array" aca="1" ref="AO167" ca="1">IF(AN167&lt;&gt;"",TRANSPOSE(INDEX(GetCDS($C192,AO$13,$G192/10000,F192,D192,$C$13,$C$14,$C$15,$C$8,,,TRUE,TRUE,FALSE,$C$29:$C$31,$C$33),{5})),"")</f>
        <v/>
      </c>
      <c r="AP167" s="524" t="str" cm="1">
        <f t="array" aca="1" ref="AP167" ca="1">IF(AO167&lt;&gt;"",TRANSPOSE(INDEX(GetCDS($C192,AP$13,$G192/10000,G192,E192,$C$13,$C$14,$C$15,$C$8,,,TRUE,TRUE,FALSE,$C$29:$C$31,$C$33),{5})),"")</f>
        <v/>
      </c>
      <c r="AQ167" s="524" t="str" cm="1">
        <f t="array" aca="1" ref="AQ167" ca="1">IF(AP167&lt;&gt;"",TRANSPOSE(INDEX(GetCDS($C192,AQ$13,$G192/10000,H192,F192,$C$13,$C$14,$C$15,$C$8,,,TRUE,TRUE,FALSE,$C$29:$C$31,$C$33),{5})),"")</f>
        <v/>
      </c>
      <c r="AR167" s="524" t="str" cm="1">
        <f t="array" aca="1" ref="AR167" ca="1">IF(AQ167&lt;&gt;"",TRANSPOSE(INDEX(GetCDS($C192,AR$13,$G192/10000,I192,G192,$C$13,$C$14,$C$15,$C$8,,,TRUE,TRUE,FALSE,$C$29:$C$31,$C$33),{5})),"")</f>
        <v/>
      </c>
      <c r="AS167" s="525" t="str" cm="1">
        <f t="array" aca="1" ref="AS167" ca="1">IF(AR167&lt;&gt;"",TRANSPOSE(INDEX(GetCDS($C192,AS$13,$G192/10000,J192,H192,$C$13,$C$14,$C$15,$C$8,,,TRUE,TRUE,FALSE,$C$29:$C$31,$C$33),{5})),"")</f>
        <v/>
      </c>
    </row>
    <row r="168" spans="1:45" customFormat="1" ht="15">
      <c r="A168" s="227"/>
      <c r="B168" s="276">
        <v>130</v>
      </c>
      <c r="C168" s="254"/>
      <c r="D168" s="255"/>
      <c r="E168" s="247"/>
      <c r="F168" s="232"/>
      <c r="G168" s="239"/>
      <c r="H168" s="386">
        <v>154</v>
      </c>
      <c r="I168" s="404"/>
      <c r="J168" s="404"/>
      <c r="K168" s="413"/>
      <c r="L168" s="413"/>
      <c r="M168" s="413"/>
      <c r="N168" s="452"/>
      <c r="O168" s="413"/>
      <c r="P168" s="413"/>
      <c r="Q168" s="413"/>
      <c r="R168" s="452"/>
      <c r="S168" s="443"/>
      <c r="T168" s="42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3"/>
      <c r="V168" s="423"/>
      <c r="W168" s="424"/>
      <c r="X168" s="425"/>
      <c r="Y168" s="426" t="str">
        <f t="shared" ca="1" si="37"/>
        <v/>
      </c>
      <c r="Z168" s="427" t="str">
        <f t="shared" ca="1" si="38"/>
        <v/>
      </c>
      <c r="AA168" s="426" t="str">
        <f t="shared" ca="1" si="39"/>
        <v/>
      </c>
      <c r="AB168" s="428" t="str">
        <f t="shared" ca="1" si="40"/>
        <v/>
      </c>
      <c r="AC168" s="427" t="str">
        <f t="shared" ca="1" si="41"/>
        <v/>
      </c>
      <c r="AD168" s="79"/>
      <c r="AE168" s="496">
        <f t="shared" ca="1" si="29"/>
        <v>-5.4802770417579898E-3</v>
      </c>
      <c r="AF168" s="493">
        <f t="shared" ca="1" si="30"/>
        <v>1.6488399088055491E-2</v>
      </c>
      <c r="AG168" s="493">
        <f t="shared" ca="1" si="28"/>
        <v>0</v>
      </c>
      <c r="AH168" s="498">
        <f t="shared" ca="1" si="31"/>
        <v>0</v>
      </c>
      <c r="AI168" s="497">
        <f t="shared" ca="1" si="32"/>
        <v>-5.4802770417579898E-3</v>
      </c>
      <c r="AJ168" s="493">
        <f t="shared" ca="1" si="33"/>
        <v>0.42153103692749561</v>
      </c>
      <c r="AK168" s="493">
        <f t="shared" ca="1" si="34"/>
        <v>0</v>
      </c>
      <c r="AL168" s="498">
        <f t="shared" ca="1" si="35"/>
        <v>0</v>
      </c>
      <c r="AN168" s="532" t="str">
        <f t="shared" ca="1" si="36"/>
        <v/>
      </c>
      <c r="AO168" s="524" t="str" cm="1">
        <f t="array" aca="1" ref="AO168" ca="1">IF(AN168&lt;&gt;"",TRANSPOSE(INDEX(GetCDS($C193,AO$13,$G193/10000,F193,D193,$C$13,$C$14,$C$15,$C$8,,,TRUE,TRUE,FALSE,$C$29:$C$31,$C$33),{5})),"")</f>
        <v/>
      </c>
      <c r="AP168" s="524" t="str" cm="1">
        <f t="array" aca="1" ref="AP168" ca="1">IF(AO168&lt;&gt;"",TRANSPOSE(INDEX(GetCDS($C193,AP$13,$G193/10000,G193,E193,$C$13,$C$14,$C$15,$C$8,,,TRUE,TRUE,FALSE,$C$29:$C$31,$C$33),{5})),"")</f>
        <v/>
      </c>
      <c r="AQ168" s="524" t="str" cm="1">
        <f t="array" aca="1" ref="AQ168" ca="1">IF(AP168&lt;&gt;"",TRANSPOSE(INDEX(GetCDS($C193,AQ$13,$G193/10000,H193,F193,$C$13,$C$14,$C$15,$C$8,,,TRUE,TRUE,FALSE,$C$29:$C$31,$C$33),{5})),"")</f>
        <v/>
      </c>
      <c r="AR168" s="524" t="str" cm="1">
        <f t="array" aca="1" ref="AR168" ca="1">IF(AQ168&lt;&gt;"",TRANSPOSE(INDEX(GetCDS($C193,AR$13,$G193/10000,I193,G193,$C$13,$C$14,$C$15,$C$8,,,TRUE,TRUE,FALSE,$C$29:$C$31,$C$33),{5})),"")</f>
        <v/>
      </c>
      <c r="AS168" s="525" t="str" cm="1">
        <f t="array" aca="1" ref="AS168" ca="1">IF(AR168&lt;&gt;"",TRANSPOSE(INDEX(GetCDS($C193,AS$13,$G193/10000,J193,H193,$C$13,$C$14,$C$15,$C$8,,,TRUE,TRUE,FALSE,$C$29:$C$31,$C$33),{5})),"")</f>
        <v/>
      </c>
    </row>
    <row r="169" spans="1:45" customFormat="1" ht="15">
      <c r="A169" s="227"/>
      <c r="B169" s="276">
        <v>131</v>
      </c>
      <c r="C169" s="254"/>
      <c r="D169" s="255"/>
      <c r="E169" s="247"/>
      <c r="F169" s="232"/>
      <c r="G169" s="239"/>
      <c r="H169" s="386">
        <v>155</v>
      </c>
      <c r="I169" s="404"/>
      <c r="J169" s="404"/>
      <c r="K169" s="413"/>
      <c r="L169" s="413"/>
      <c r="M169" s="413"/>
      <c r="N169" s="452"/>
      <c r="O169" s="413"/>
      <c r="P169" s="413"/>
      <c r="Q169" s="413"/>
      <c r="R169" s="452"/>
      <c r="S169" s="443"/>
      <c r="T169" s="42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3"/>
      <c r="V169" s="423"/>
      <c r="W169" s="424"/>
      <c r="X169" s="425"/>
      <c r="Y169" s="426" t="str">
        <f t="shared" ca="1" si="37"/>
        <v/>
      </c>
      <c r="Z169" s="427" t="str">
        <f t="shared" ca="1" si="38"/>
        <v/>
      </c>
      <c r="AA169" s="426" t="str">
        <f t="shared" ca="1" si="39"/>
        <v/>
      </c>
      <c r="AB169" s="428" t="str">
        <f t="shared" ca="1" si="40"/>
        <v/>
      </c>
      <c r="AC169" s="427" t="str">
        <f t="shared" ca="1" si="41"/>
        <v/>
      </c>
      <c r="AD169" s="79"/>
      <c r="AE169" s="496">
        <f t="shared" ca="1" si="29"/>
        <v>-4.2515832440610003E-3</v>
      </c>
      <c r="AF169" s="493">
        <f t="shared" ca="1" si="30"/>
        <v>2.1414662070385618E-2</v>
      </c>
      <c r="AG169" s="493">
        <f t="shared" ca="1" si="28"/>
        <v>0</v>
      </c>
      <c r="AH169" s="498">
        <f t="shared" ca="1" si="31"/>
        <v>0</v>
      </c>
      <c r="AI169" s="497">
        <f t="shared" ca="1" si="32"/>
        <v>-4.2515832440610003E-3</v>
      </c>
      <c r="AJ169" s="493">
        <f t="shared" ca="1" si="33"/>
        <v>0.3955459732274067</v>
      </c>
      <c r="AK169" s="493">
        <f t="shared" ca="1" si="34"/>
        <v>0</v>
      </c>
      <c r="AL169" s="498">
        <f t="shared" ca="1" si="35"/>
        <v>0</v>
      </c>
      <c r="AN169" s="532" t="str">
        <f t="shared" ca="1" si="36"/>
        <v/>
      </c>
      <c r="AO169" s="524" t="str" cm="1">
        <f t="array" aca="1" ref="AO169" ca="1">IF(AN169&lt;&gt;"",TRANSPOSE(INDEX(GetCDS($C194,AO$13,$G194/10000,F194,D194,$C$13,$C$14,$C$15,$C$8,,,TRUE,TRUE,FALSE,$C$29:$C$31,$C$33),{5})),"")</f>
        <v/>
      </c>
      <c r="AP169" s="524" t="str" cm="1">
        <f t="array" aca="1" ref="AP169" ca="1">IF(AO169&lt;&gt;"",TRANSPOSE(INDEX(GetCDS($C194,AP$13,$G194/10000,G194,E194,$C$13,$C$14,$C$15,$C$8,,,TRUE,TRUE,FALSE,$C$29:$C$31,$C$33),{5})),"")</f>
        <v/>
      </c>
      <c r="AQ169" s="524" t="str" cm="1">
        <f t="array" aca="1" ref="AQ169" ca="1">IF(AP169&lt;&gt;"",TRANSPOSE(INDEX(GetCDS($C194,AQ$13,$G194/10000,H194,F194,$C$13,$C$14,$C$15,$C$8,,,TRUE,TRUE,FALSE,$C$29:$C$31,$C$33),{5})),"")</f>
        <v/>
      </c>
      <c r="AR169" s="524" t="str" cm="1">
        <f t="array" aca="1" ref="AR169" ca="1">IF(AQ169&lt;&gt;"",TRANSPOSE(INDEX(GetCDS($C194,AR$13,$G194/10000,I194,G194,$C$13,$C$14,$C$15,$C$8,,,TRUE,TRUE,FALSE,$C$29:$C$31,$C$33),{5})),"")</f>
        <v/>
      </c>
      <c r="AS169" s="525" t="str" cm="1">
        <f t="array" aca="1" ref="AS169" ca="1">IF(AR169&lt;&gt;"",TRANSPOSE(INDEX(GetCDS($C194,AS$13,$G194/10000,J194,H194,$C$13,$C$14,$C$15,$C$8,,,TRUE,TRUE,FALSE,$C$29:$C$31,$C$33),{5})),"")</f>
        <v/>
      </c>
    </row>
    <row r="170" spans="1:45" customFormat="1" ht="15">
      <c r="A170" s="227"/>
      <c r="B170" s="276">
        <v>132</v>
      </c>
      <c r="C170" s="254"/>
      <c r="D170" s="255"/>
      <c r="E170" s="247"/>
      <c r="F170" s="232"/>
      <c r="G170" s="239"/>
      <c r="H170" s="386">
        <v>156</v>
      </c>
      <c r="I170" s="404"/>
      <c r="J170" s="404"/>
      <c r="K170" s="413"/>
      <c r="L170" s="413"/>
      <c r="M170" s="413"/>
      <c r="N170" s="452"/>
      <c r="O170" s="413"/>
      <c r="P170" s="413"/>
      <c r="Q170" s="413"/>
      <c r="R170" s="452"/>
      <c r="S170" s="443"/>
      <c r="T170" s="42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3"/>
      <c r="V170" s="423"/>
      <c r="W170" s="424"/>
      <c r="X170" s="425"/>
      <c r="Y170" s="426" t="str">
        <f t="shared" ca="1" si="37"/>
        <v/>
      </c>
      <c r="Z170" s="427" t="str">
        <f t="shared" ca="1" si="38"/>
        <v/>
      </c>
      <c r="AA170" s="426" t="str">
        <f t="shared" ca="1" si="39"/>
        <v/>
      </c>
      <c r="AB170" s="428" t="str">
        <f t="shared" ca="1" si="40"/>
        <v/>
      </c>
      <c r="AC170" s="427" t="str">
        <f t="shared" ca="1" si="41"/>
        <v/>
      </c>
      <c r="AD170" s="79"/>
      <c r="AE170" s="496">
        <f t="shared" ca="1" si="29"/>
        <v>-1.8919397491530001E-3</v>
      </c>
      <c r="AF170" s="493">
        <f t="shared" ca="1" si="30"/>
        <v>3.2092998270744584E-2</v>
      </c>
      <c r="AG170" s="493">
        <f t="shared" ca="1" si="28"/>
        <v>0</v>
      </c>
      <c r="AH170" s="498">
        <f t="shared" ca="1" si="31"/>
        <v>0</v>
      </c>
      <c r="AI170" s="497">
        <f t="shared" ca="1" si="32"/>
        <v>-1.8919397491530001E-3</v>
      </c>
      <c r="AJ170" s="493">
        <f t="shared" ca="1" si="33"/>
        <v>0.32190794888752733</v>
      </c>
      <c r="AK170" s="493">
        <f t="shared" ca="1" si="34"/>
        <v>0</v>
      </c>
      <c r="AL170" s="498">
        <f t="shared" ca="1" si="35"/>
        <v>0</v>
      </c>
      <c r="AN170" s="532" t="str">
        <f t="shared" ca="1" si="36"/>
        <v/>
      </c>
      <c r="AO170" s="524" t="str" cm="1">
        <f t="array" aca="1" ref="AO170" ca="1">IF(AN170&lt;&gt;"",TRANSPOSE(INDEX(GetCDS($C195,AO$13,$G195/10000,F195,D195,$C$13,$C$14,$C$15,$C$8,,,TRUE,TRUE,FALSE,$C$29:$C$31,$C$33),{5})),"")</f>
        <v/>
      </c>
      <c r="AP170" s="524" t="str" cm="1">
        <f t="array" aca="1" ref="AP170" ca="1">IF(AO170&lt;&gt;"",TRANSPOSE(INDEX(GetCDS($C195,AP$13,$G195/10000,G195,E195,$C$13,$C$14,$C$15,$C$8,,,TRUE,TRUE,FALSE,$C$29:$C$31,$C$33),{5})),"")</f>
        <v/>
      </c>
      <c r="AQ170" s="524" t="str" cm="1">
        <f t="array" aca="1" ref="AQ170" ca="1">IF(AP170&lt;&gt;"",TRANSPOSE(INDEX(GetCDS($C195,AQ$13,$G195/10000,H195,F195,$C$13,$C$14,$C$15,$C$8,,,TRUE,TRUE,FALSE,$C$29:$C$31,$C$33),{5})),"")</f>
        <v/>
      </c>
      <c r="AR170" s="524" t="str" cm="1">
        <f t="array" aca="1" ref="AR170" ca="1">IF(AQ170&lt;&gt;"",TRANSPOSE(INDEX(GetCDS($C195,AR$13,$G195/10000,I195,G195,$C$13,$C$14,$C$15,$C$8,,,TRUE,TRUE,FALSE,$C$29:$C$31,$C$33),{5})),"")</f>
        <v/>
      </c>
      <c r="AS170" s="525" t="str" cm="1">
        <f t="array" aca="1" ref="AS170" ca="1">IF(AR170&lt;&gt;"",TRANSPOSE(INDEX(GetCDS($C195,AS$13,$G195/10000,J195,H195,$C$13,$C$14,$C$15,$C$8,,,TRUE,TRUE,FALSE,$C$29:$C$31,$C$33),{5})),"")</f>
        <v/>
      </c>
    </row>
    <row r="171" spans="1:45" customFormat="1" ht="15">
      <c r="A171" s="227"/>
      <c r="B171" s="276">
        <v>133</v>
      </c>
      <c r="C171" s="254"/>
      <c r="D171" s="255"/>
      <c r="E171" s="247"/>
      <c r="F171" s="232"/>
      <c r="G171" s="239"/>
      <c r="H171" s="386">
        <v>157</v>
      </c>
      <c r="I171" s="404"/>
      <c r="J171" s="404"/>
      <c r="K171" s="413"/>
      <c r="L171" s="413"/>
      <c r="M171" s="413"/>
      <c r="N171" s="452"/>
      <c r="O171" s="413"/>
      <c r="P171" s="413"/>
      <c r="Q171" s="413"/>
      <c r="R171" s="452"/>
      <c r="S171" s="443"/>
      <c r="T171" s="42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3"/>
      <c r="V171" s="423"/>
      <c r="W171" s="424"/>
      <c r="X171" s="425"/>
      <c r="Y171" s="426" t="str">
        <f t="shared" ca="1" si="37"/>
        <v/>
      </c>
      <c r="Z171" s="427" t="str">
        <f t="shared" ca="1" si="38"/>
        <v/>
      </c>
      <c r="AA171" s="426" t="str">
        <f t="shared" ca="1" si="39"/>
        <v/>
      </c>
      <c r="AB171" s="428" t="str">
        <f t="shared" ca="1" si="40"/>
        <v/>
      </c>
      <c r="AC171" s="427" t="str">
        <f t="shared" ca="1" si="41"/>
        <v/>
      </c>
      <c r="AD171" s="79"/>
      <c r="AE171" s="496">
        <f t="shared" ca="1" si="29"/>
        <v>-2.1704198644650098E-3</v>
      </c>
      <c r="AF171" s="493">
        <f t="shared" ca="1" si="30"/>
        <v>3.0774285183286829E-2</v>
      </c>
      <c r="AG171" s="493">
        <f t="shared" ca="1" si="28"/>
        <v>0</v>
      </c>
      <c r="AH171" s="498">
        <f t="shared" ca="1" si="31"/>
        <v>0</v>
      </c>
      <c r="AI171" s="497">
        <f t="shared" ca="1" si="32"/>
        <v>-2.1704198644650098E-3</v>
      </c>
      <c r="AJ171" s="493">
        <f t="shared" ca="1" si="33"/>
        <v>0.33327023310109694</v>
      </c>
      <c r="AK171" s="493">
        <f t="shared" ca="1" si="34"/>
        <v>0</v>
      </c>
      <c r="AL171" s="498">
        <f t="shared" ca="1" si="35"/>
        <v>0</v>
      </c>
      <c r="AN171" s="532" t="str">
        <f t="shared" ca="1" si="36"/>
        <v/>
      </c>
      <c r="AO171" s="524" t="str" cm="1">
        <f t="array" aca="1" ref="AO171" ca="1">IF(AN171&lt;&gt;"",TRANSPOSE(INDEX(GetCDS($C196,AO$13,$G196/10000,F196,D196,$C$13,$C$14,$C$15,$C$8,,,TRUE,TRUE,FALSE,$C$29:$C$31,$C$33),{5})),"")</f>
        <v/>
      </c>
      <c r="AP171" s="524" t="str" cm="1">
        <f t="array" aca="1" ref="AP171" ca="1">IF(AO171&lt;&gt;"",TRANSPOSE(INDEX(GetCDS($C196,AP$13,$G196/10000,G196,E196,$C$13,$C$14,$C$15,$C$8,,,TRUE,TRUE,FALSE,$C$29:$C$31,$C$33),{5})),"")</f>
        <v/>
      </c>
      <c r="AQ171" s="524" t="str" cm="1">
        <f t="array" aca="1" ref="AQ171" ca="1">IF(AP171&lt;&gt;"",TRANSPOSE(INDEX(GetCDS($C196,AQ$13,$G196/10000,H196,F196,$C$13,$C$14,$C$15,$C$8,,,TRUE,TRUE,FALSE,$C$29:$C$31,$C$33),{5})),"")</f>
        <v/>
      </c>
      <c r="AR171" s="524" t="str" cm="1">
        <f t="array" aca="1" ref="AR171" ca="1">IF(AQ171&lt;&gt;"",TRANSPOSE(INDEX(GetCDS($C196,AR$13,$G196/10000,I196,G196,$C$13,$C$14,$C$15,$C$8,,,TRUE,TRUE,FALSE,$C$29:$C$31,$C$33),{5})),"")</f>
        <v/>
      </c>
      <c r="AS171" s="525" t="str" cm="1">
        <f t="array" aca="1" ref="AS171" ca="1">IF(AR171&lt;&gt;"",TRANSPOSE(INDEX(GetCDS($C196,AS$13,$G196/10000,J196,H196,$C$13,$C$14,$C$15,$C$8,,,TRUE,TRUE,FALSE,$C$29:$C$31,$C$33),{5})),"")</f>
        <v/>
      </c>
    </row>
    <row r="172" spans="1:45" customFormat="1" ht="15">
      <c r="A172" s="227"/>
      <c r="B172" s="276">
        <v>134</v>
      </c>
      <c r="C172" s="254"/>
      <c r="D172" s="255"/>
      <c r="E172" s="247"/>
      <c r="F172" s="232"/>
      <c r="G172" s="239"/>
      <c r="H172" s="386">
        <v>158</v>
      </c>
      <c r="I172" s="404"/>
      <c r="J172" s="404"/>
      <c r="K172" s="413"/>
      <c r="L172" s="413"/>
      <c r="M172" s="413"/>
      <c r="N172" s="452"/>
      <c r="O172" s="413"/>
      <c r="P172" s="413"/>
      <c r="Q172" s="413"/>
      <c r="R172" s="452"/>
      <c r="S172" s="443"/>
      <c r="T172" s="42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3"/>
      <c r="V172" s="423"/>
      <c r="W172" s="424"/>
      <c r="X172" s="425"/>
      <c r="Y172" s="426" t="str">
        <f t="shared" ca="1" si="37"/>
        <v/>
      </c>
      <c r="Z172" s="427" t="str">
        <f t="shared" ca="1" si="38"/>
        <v/>
      </c>
      <c r="AA172" s="426" t="str">
        <f t="shared" ca="1" si="39"/>
        <v/>
      </c>
      <c r="AB172" s="428" t="str">
        <f t="shared" ca="1" si="40"/>
        <v/>
      </c>
      <c r="AC172" s="427" t="str">
        <f t="shared" ca="1" si="41"/>
        <v/>
      </c>
      <c r="AD172" s="79"/>
      <c r="AE172" s="496">
        <f t="shared" ca="1" si="29"/>
        <v>-2.4842261839320102E-3</v>
      </c>
      <c r="AF172" s="493">
        <f t="shared" ca="1" si="30"/>
        <v>2.8972774689581759E-2</v>
      </c>
      <c r="AG172" s="493">
        <f t="shared" ca="1" si="28"/>
        <v>0</v>
      </c>
      <c r="AH172" s="498">
        <f t="shared" ca="1" si="31"/>
        <v>0</v>
      </c>
      <c r="AI172" s="497">
        <f t="shared" ca="1" si="32"/>
        <v>-2.4842261839320102E-3</v>
      </c>
      <c r="AJ172" s="493">
        <f t="shared" ca="1" si="33"/>
        <v>0.3446870241870697</v>
      </c>
      <c r="AK172" s="493">
        <f t="shared" ca="1" si="34"/>
        <v>0</v>
      </c>
      <c r="AL172" s="498">
        <f t="shared" ca="1" si="35"/>
        <v>0</v>
      </c>
      <c r="AN172" s="532" t="str">
        <f t="shared" ca="1" si="36"/>
        <v/>
      </c>
      <c r="AO172" s="524" t="str" cm="1">
        <f t="array" aca="1" ref="AO172" ca="1">IF(AN172&lt;&gt;"",TRANSPOSE(INDEX(GetCDS($C197,AO$13,$G197/10000,F197,D197,$C$13,$C$14,$C$15,$C$8,,,TRUE,TRUE,FALSE,$C$29:$C$31,$C$33),{5})),"")</f>
        <v/>
      </c>
      <c r="AP172" s="524" t="str" cm="1">
        <f t="array" aca="1" ref="AP172" ca="1">IF(AO172&lt;&gt;"",TRANSPOSE(INDEX(GetCDS($C197,AP$13,$G197/10000,G197,E197,$C$13,$C$14,$C$15,$C$8,,,TRUE,TRUE,FALSE,$C$29:$C$31,$C$33),{5})),"")</f>
        <v/>
      </c>
      <c r="AQ172" s="524" t="str" cm="1">
        <f t="array" aca="1" ref="AQ172" ca="1">IF(AP172&lt;&gt;"",TRANSPOSE(INDEX(GetCDS($C197,AQ$13,$G197/10000,H197,F197,$C$13,$C$14,$C$15,$C$8,,,TRUE,TRUE,FALSE,$C$29:$C$31,$C$33),{5})),"")</f>
        <v/>
      </c>
      <c r="AR172" s="524" t="str" cm="1">
        <f t="array" aca="1" ref="AR172" ca="1">IF(AQ172&lt;&gt;"",TRANSPOSE(INDEX(GetCDS($C197,AR$13,$G197/10000,I197,G197,$C$13,$C$14,$C$15,$C$8,,,TRUE,TRUE,FALSE,$C$29:$C$31,$C$33),{5})),"")</f>
        <v/>
      </c>
      <c r="AS172" s="525" t="str" cm="1">
        <f t="array" aca="1" ref="AS172" ca="1">IF(AR172&lt;&gt;"",TRANSPOSE(INDEX(GetCDS($C197,AS$13,$G197/10000,J197,H197,$C$13,$C$14,$C$15,$C$8,,,TRUE,TRUE,FALSE,$C$29:$C$31,$C$33),{5})),"")</f>
        <v/>
      </c>
    </row>
    <row r="173" spans="1:45" customFormat="1" ht="15">
      <c r="A173" s="227"/>
      <c r="B173" s="276">
        <v>135</v>
      </c>
      <c r="C173" s="254"/>
      <c r="D173" s="255"/>
      <c r="E173" s="247"/>
      <c r="F173" s="232"/>
      <c r="G173" s="239"/>
      <c r="H173" s="386">
        <v>159</v>
      </c>
      <c r="I173" s="404"/>
      <c r="J173" s="404"/>
      <c r="K173" s="413"/>
      <c r="L173" s="413"/>
      <c r="M173" s="413"/>
      <c r="N173" s="452"/>
      <c r="O173" s="413"/>
      <c r="P173" s="413"/>
      <c r="Q173" s="413"/>
      <c r="R173" s="452"/>
      <c r="S173" s="443"/>
      <c r="T173" s="42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3"/>
      <c r="V173" s="423"/>
      <c r="W173" s="424"/>
      <c r="X173" s="425"/>
      <c r="Y173" s="426" t="str">
        <f t="shared" ca="1" si="37"/>
        <v/>
      </c>
      <c r="Z173" s="427" t="str">
        <f t="shared" ca="1" si="38"/>
        <v/>
      </c>
      <c r="AA173" s="426" t="str">
        <f t="shared" ca="1" si="39"/>
        <v/>
      </c>
      <c r="AB173" s="428" t="str">
        <f t="shared" ca="1" si="40"/>
        <v/>
      </c>
      <c r="AC173" s="427" t="str">
        <f t="shared" ca="1" si="41"/>
        <v/>
      </c>
      <c r="AD173" s="79"/>
      <c r="AE173" s="496">
        <f t="shared" ca="1" si="29"/>
        <v>-2.9788229248790001E-3</v>
      </c>
      <c r="AF173" s="493">
        <f t="shared" ca="1" si="30"/>
        <v>2.6879807962520222E-2</v>
      </c>
      <c r="AG173" s="493">
        <f t="shared" ca="1" si="28"/>
        <v>0</v>
      </c>
      <c r="AH173" s="498">
        <f t="shared" ca="1" si="31"/>
        <v>0</v>
      </c>
      <c r="AI173" s="497">
        <f t="shared" ca="1" si="32"/>
        <v>-2.9788229248790001E-3</v>
      </c>
      <c r="AJ173" s="493">
        <f t="shared" ca="1" si="33"/>
        <v>0.36138945669817979</v>
      </c>
      <c r="AK173" s="493">
        <f t="shared" ca="1" si="34"/>
        <v>0</v>
      </c>
      <c r="AL173" s="498">
        <f t="shared" ca="1" si="35"/>
        <v>0</v>
      </c>
      <c r="AN173" s="532" t="str">
        <f t="shared" ca="1" si="36"/>
        <v/>
      </c>
      <c r="AO173" s="524" t="str" cm="1">
        <f t="array" aca="1" ref="AO173" ca="1">IF(AN173&lt;&gt;"",TRANSPOSE(INDEX(GetCDS($C198,AO$13,$G198/10000,F198,D198,$C$13,$C$14,$C$15,$C$8,,,TRUE,TRUE,FALSE,$C$29:$C$31,$C$33),{5})),"")</f>
        <v/>
      </c>
      <c r="AP173" s="524" t="str" cm="1">
        <f t="array" aca="1" ref="AP173" ca="1">IF(AO173&lt;&gt;"",TRANSPOSE(INDEX(GetCDS($C198,AP$13,$G198/10000,G198,E198,$C$13,$C$14,$C$15,$C$8,,,TRUE,TRUE,FALSE,$C$29:$C$31,$C$33),{5})),"")</f>
        <v/>
      </c>
      <c r="AQ173" s="524" t="str" cm="1">
        <f t="array" aca="1" ref="AQ173" ca="1">IF(AP173&lt;&gt;"",TRANSPOSE(INDEX(GetCDS($C198,AQ$13,$G198/10000,H198,F198,$C$13,$C$14,$C$15,$C$8,,,TRUE,TRUE,FALSE,$C$29:$C$31,$C$33),{5})),"")</f>
        <v/>
      </c>
      <c r="AR173" s="524" t="str" cm="1">
        <f t="array" aca="1" ref="AR173" ca="1">IF(AQ173&lt;&gt;"",TRANSPOSE(INDEX(GetCDS($C198,AR$13,$G198/10000,I198,G198,$C$13,$C$14,$C$15,$C$8,,,TRUE,TRUE,FALSE,$C$29:$C$31,$C$33),{5})),"")</f>
        <v/>
      </c>
      <c r="AS173" s="525" t="str" cm="1">
        <f t="array" aca="1" ref="AS173" ca="1">IF(AR173&lt;&gt;"",TRANSPOSE(INDEX(GetCDS($C198,AS$13,$G198/10000,J198,H198,$C$13,$C$14,$C$15,$C$8,,,TRUE,TRUE,FALSE,$C$29:$C$31,$C$33),{5})),"")</f>
        <v/>
      </c>
    </row>
    <row r="174" spans="1:45" customFormat="1" ht="15">
      <c r="A174" s="227"/>
      <c r="B174" s="276">
        <v>136</v>
      </c>
      <c r="C174" s="254"/>
      <c r="D174" s="255"/>
      <c r="E174" s="247"/>
      <c r="F174" s="232"/>
      <c r="G174" s="239"/>
      <c r="H174" s="386">
        <v>160</v>
      </c>
      <c r="I174" s="404"/>
      <c r="J174" s="404"/>
      <c r="K174" s="413"/>
      <c r="L174" s="413"/>
      <c r="M174" s="413"/>
      <c r="N174" s="452"/>
      <c r="O174" s="413"/>
      <c r="P174" s="413"/>
      <c r="Q174" s="413"/>
      <c r="R174" s="452"/>
      <c r="S174" s="443"/>
      <c r="T174" s="42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3"/>
      <c r="V174" s="423"/>
      <c r="W174" s="424"/>
      <c r="X174" s="425"/>
      <c r="Y174" s="426" t="str">
        <f t="shared" ca="1" si="37"/>
        <v/>
      </c>
      <c r="Z174" s="427" t="str">
        <f t="shared" ca="1" si="38"/>
        <v/>
      </c>
      <c r="AA174" s="426" t="str">
        <f t="shared" ca="1" si="39"/>
        <v/>
      </c>
      <c r="AB174" s="428" t="str">
        <f t="shared" ca="1" si="40"/>
        <v/>
      </c>
      <c r="AC174" s="427" t="str">
        <f t="shared" ca="1" si="41"/>
        <v/>
      </c>
      <c r="AD174" s="79"/>
      <c r="AE174" s="496">
        <f t="shared" ca="1" si="29"/>
        <v>-1.95157118401001E-3</v>
      </c>
      <c r="AF174" s="493">
        <f t="shared" ca="1" si="30"/>
        <v>3.1566409674975045E-2</v>
      </c>
      <c r="AG174" s="493">
        <f t="shared" ca="1" si="28"/>
        <v>0</v>
      </c>
      <c r="AH174" s="498">
        <f t="shared" ca="1" si="31"/>
        <v>0</v>
      </c>
      <c r="AI174" s="497">
        <f t="shared" ca="1" si="32"/>
        <v>-1.95157118401001E-3</v>
      </c>
      <c r="AJ174" s="493">
        <f t="shared" ca="1" si="33"/>
        <v>0.32393744476771946</v>
      </c>
      <c r="AK174" s="493">
        <f t="shared" ca="1" si="34"/>
        <v>0</v>
      </c>
      <c r="AL174" s="498">
        <f t="shared" ca="1" si="35"/>
        <v>0</v>
      </c>
      <c r="AN174" s="532" t="str">
        <f t="shared" ca="1" si="36"/>
        <v/>
      </c>
      <c r="AO174" s="524" t="str" cm="1">
        <f t="array" aca="1" ref="AO174" ca="1">IF(AN174&lt;&gt;"",TRANSPOSE(INDEX(GetCDS($C199,AO$13,$G199/10000,F199,D199,$C$13,$C$14,$C$15,$C$8,,,TRUE,TRUE,FALSE,$C$29:$C$31,$C$33),{5})),"")</f>
        <v/>
      </c>
      <c r="AP174" s="524" t="str" cm="1">
        <f t="array" aca="1" ref="AP174" ca="1">IF(AO174&lt;&gt;"",TRANSPOSE(INDEX(GetCDS($C199,AP$13,$G199/10000,G199,E199,$C$13,$C$14,$C$15,$C$8,,,TRUE,TRUE,FALSE,$C$29:$C$31,$C$33),{5})),"")</f>
        <v/>
      </c>
      <c r="AQ174" s="524" t="str" cm="1">
        <f t="array" aca="1" ref="AQ174" ca="1">IF(AP174&lt;&gt;"",TRANSPOSE(INDEX(GetCDS($C199,AQ$13,$G199/10000,H199,F199,$C$13,$C$14,$C$15,$C$8,,,TRUE,TRUE,FALSE,$C$29:$C$31,$C$33),{5})),"")</f>
        <v/>
      </c>
      <c r="AR174" s="524" t="str" cm="1">
        <f t="array" aca="1" ref="AR174" ca="1">IF(AQ174&lt;&gt;"",TRANSPOSE(INDEX(GetCDS($C199,AR$13,$G199/10000,I199,G199,$C$13,$C$14,$C$15,$C$8,,,TRUE,TRUE,FALSE,$C$29:$C$31,$C$33),{5})),"")</f>
        <v/>
      </c>
      <c r="AS174" s="525" t="str" cm="1">
        <f t="array" aca="1" ref="AS174" ca="1">IF(AR174&lt;&gt;"",TRANSPOSE(INDEX(GetCDS($C199,AS$13,$G199/10000,J199,H199,$C$13,$C$14,$C$15,$C$8,,,TRUE,TRUE,FALSE,$C$29:$C$31,$C$33),{5})),"")</f>
        <v/>
      </c>
    </row>
    <row r="175" spans="1:45" customFormat="1" ht="15">
      <c r="A175" s="227"/>
      <c r="B175" s="276">
        <v>137</v>
      </c>
      <c r="C175" s="254"/>
      <c r="D175" s="255"/>
      <c r="E175" s="247"/>
      <c r="F175" s="232"/>
      <c r="G175" s="239"/>
      <c r="H175" s="386">
        <v>161</v>
      </c>
      <c r="I175" s="404"/>
      <c r="J175" s="404"/>
      <c r="K175" s="413"/>
      <c r="L175" s="413"/>
      <c r="M175" s="413"/>
      <c r="N175" s="452"/>
      <c r="O175" s="413"/>
      <c r="P175" s="413"/>
      <c r="Q175" s="413"/>
      <c r="R175" s="452"/>
      <c r="S175" s="443"/>
      <c r="T175" s="42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3"/>
      <c r="V175" s="423"/>
      <c r="W175" s="424"/>
      <c r="X175" s="425"/>
      <c r="Y175" s="426" t="str">
        <f t="shared" ca="1" si="37"/>
        <v/>
      </c>
      <c r="Z175" s="427" t="str">
        <f t="shared" ca="1" si="38"/>
        <v/>
      </c>
      <c r="AA175" s="426" t="str">
        <f t="shared" ca="1" si="39"/>
        <v/>
      </c>
      <c r="AB175" s="428" t="str">
        <f t="shared" ca="1" si="40"/>
        <v/>
      </c>
      <c r="AC175" s="427" t="str">
        <f t="shared" ca="1" si="41"/>
        <v/>
      </c>
      <c r="AD175" s="79"/>
      <c r="AE175" s="496">
        <f t="shared" ca="1" si="29"/>
        <v>-1.59051846170499E-3</v>
      </c>
      <c r="AF175" s="493">
        <f t="shared" ca="1" si="30"/>
        <v>3.3460776373836369E-2</v>
      </c>
      <c r="AG175" s="493">
        <f t="shared" ca="1" si="28"/>
        <v>0</v>
      </c>
      <c r="AH175" s="498">
        <f t="shared" ca="1" si="31"/>
        <v>0</v>
      </c>
      <c r="AI175" s="497">
        <f t="shared" ca="1" si="32"/>
        <v>-1.59051846170499E-3</v>
      </c>
      <c r="AJ175" s="493">
        <f t="shared" ca="1" si="33"/>
        <v>0.30765800218158768</v>
      </c>
      <c r="AK175" s="493">
        <f t="shared" ca="1" si="34"/>
        <v>0</v>
      </c>
      <c r="AL175" s="498">
        <f t="shared" ca="1" si="35"/>
        <v>0</v>
      </c>
      <c r="AN175" s="532" t="str">
        <f t="shared" ca="1" si="36"/>
        <v/>
      </c>
      <c r="AO175" s="524" t="str" cm="1">
        <f t="array" aca="1" ref="AO175" ca="1">IF(AN175&lt;&gt;"",TRANSPOSE(INDEX(GetCDS($C200,AO$13,$G200/10000,F200,D200,$C$13,$C$14,$C$15,$C$8,,,TRUE,TRUE,FALSE,$C$29:$C$31,$C$33),{5})),"")</f>
        <v/>
      </c>
      <c r="AP175" s="524" t="str" cm="1">
        <f t="array" aca="1" ref="AP175" ca="1">IF(AO175&lt;&gt;"",TRANSPOSE(INDEX(GetCDS($C200,AP$13,$G200/10000,G200,E200,$C$13,$C$14,$C$15,$C$8,,,TRUE,TRUE,FALSE,$C$29:$C$31,$C$33),{5})),"")</f>
        <v/>
      </c>
      <c r="AQ175" s="524" t="str" cm="1">
        <f t="array" aca="1" ref="AQ175" ca="1">IF(AP175&lt;&gt;"",TRANSPOSE(INDEX(GetCDS($C200,AQ$13,$G200/10000,H200,F200,$C$13,$C$14,$C$15,$C$8,,,TRUE,TRUE,FALSE,$C$29:$C$31,$C$33),{5})),"")</f>
        <v/>
      </c>
      <c r="AR175" s="524" t="str" cm="1">
        <f t="array" aca="1" ref="AR175" ca="1">IF(AQ175&lt;&gt;"",TRANSPOSE(INDEX(GetCDS($C200,AR$13,$G200/10000,I200,G200,$C$13,$C$14,$C$15,$C$8,,,TRUE,TRUE,FALSE,$C$29:$C$31,$C$33),{5})),"")</f>
        <v/>
      </c>
      <c r="AS175" s="525" t="str" cm="1">
        <f t="array" aca="1" ref="AS175" ca="1">IF(AR175&lt;&gt;"",TRANSPOSE(INDEX(GetCDS($C200,AS$13,$G200/10000,J200,H200,$C$13,$C$14,$C$15,$C$8,,,TRUE,TRUE,FALSE,$C$29:$C$31,$C$33),{5})),"")</f>
        <v/>
      </c>
    </row>
    <row r="176" spans="1:45" customFormat="1" ht="15">
      <c r="A176" s="227"/>
      <c r="B176" s="276">
        <v>138</v>
      </c>
      <c r="C176" s="254"/>
      <c r="D176" s="255"/>
      <c r="E176" s="247"/>
      <c r="F176" s="232"/>
      <c r="G176" s="239"/>
      <c r="H176" s="386">
        <v>162</v>
      </c>
      <c r="I176" s="404"/>
      <c r="J176" s="404"/>
      <c r="K176" s="413"/>
      <c r="L176" s="413"/>
      <c r="M176" s="413"/>
      <c r="N176" s="452"/>
      <c r="O176" s="413"/>
      <c r="P176" s="413"/>
      <c r="Q176" s="413"/>
      <c r="R176" s="452"/>
      <c r="S176" s="443"/>
      <c r="T176" s="42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3"/>
      <c r="V176" s="423"/>
      <c r="W176" s="424"/>
      <c r="X176" s="425"/>
      <c r="Y176" s="426" t="str">
        <f t="shared" ca="1" si="37"/>
        <v/>
      </c>
      <c r="Z176" s="427" t="str">
        <f t="shared" ca="1" si="38"/>
        <v/>
      </c>
      <c r="AA176" s="426" t="str">
        <f t="shared" ca="1" si="39"/>
        <v/>
      </c>
      <c r="AB176" s="428" t="str">
        <f t="shared" ca="1" si="40"/>
        <v/>
      </c>
      <c r="AC176" s="427" t="str">
        <f t="shared" ca="1" si="41"/>
        <v/>
      </c>
      <c r="AD176" s="79"/>
      <c r="AE176" s="496">
        <f t="shared" ca="1" si="29"/>
        <v>-1.71489914487399E-3</v>
      </c>
      <c r="AF176" s="493">
        <f t="shared" ca="1" si="30"/>
        <v>3.2820258688005789E-2</v>
      </c>
      <c r="AG176" s="493">
        <f t="shared" ca="1" si="28"/>
        <v>0</v>
      </c>
      <c r="AH176" s="498">
        <f t="shared" ca="1" si="31"/>
        <v>0</v>
      </c>
      <c r="AI176" s="497">
        <f t="shared" ca="1" si="32"/>
        <v>-1.71489914487399E-3</v>
      </c>
      <c r="AJ176" s="493">
        <f t="shared" ca="1" si="33"/>
        <v>0.3135058939040013</v>
      </c>
      <c r="AK176" s="493">
        <f t="shared" ca="1" si="34"/>
        <v>0</v>
      </c>
      <c r="AL176" s="498">
        <f t="shared" ca="1" si="35"/>
        <v>0</v>
      </c>
      <c r="AN176" s="532" t="str">
        <f t="shared" ca="1" si="36"/>
        <v/>
      </c>
      <c r="AO176" s="524" t="str" cm="1">
        <f t="array" aca="1" ref="AO176" ca="1">IF(AN176&lt;&gt;"",TRANSPOSE(INDEX(GetCDS($C201,AO$13,$G201/10000,F201,D201,$C$13,$C$14,$C$15,$C$8,,,TRUE,TRUE,FALSE,$C$29:$C$31,$C$33),{5})),"")</f>
        <v/>
      </c>
      <c r="AP176" s="524" t="str" cm="1">
        <f t="array" aca="1" ref="AP176" ca="1">IF(AO176&lt;&gt;"",TRANSPOSE(INDEX(GetCDS($C201,AP$13,$G201/10000,G201,E201,$C$13,$C$14,$C$15,$C$8,,,TRUE,TRUE,FALSE,$C$29:$C$31,$C$33),{5})),"")</f>
        <v/>
      </c>
      <c r="AQ176" s="524" t="str" cm="1">
        <f t="array" aca="1" ref="AQ176" ca="1">IF(AP176&lt;&gt;"",TRANSPOSE(INDEX(GetCDS($C201,AQ$13,$G201/10000,H201,F201,$C$13,$C$14,$C$15,$C$8,,,TRUE,TRUE,FALSE,$C$29:$C$31,$C$33),{5})),"")</f>
        <v/>
      </c>
      <c r="AR176" s="524" t="str" cm="1">
        <f t="array" aca="1" ref="AR176" ca="1">IF(AQ176&lt;&gt;"",TRANSPOSE(INDEX(GetCDS($C201,AR$13,$G201/10000,I201,G201,$C$13,$C$14,$C$15,$C$8,,,TRUE,TRUE,FALSE,$C$29:$C$31,$C$33),{5})),"")</f>
        <v/>
      </c>
      <c r="AS176" s="525" t="str" cm="1">
        <f t="array" aca="1" ref="AS176" ca="1">IF(AR176&lt;&gt;"",TRANSPOSE(INDEX(GetCDS($C201,AS$13,$G201/10000,J201,H201,$C$13,$C$14,$C$15,$C$8,,,TRUE,TRUE,FALSE,$C$29:$C$31,$C$33),{5})),"")</f>
        <v/>
      </c>
    </row>
    <row r="177" spans="1:45" customFormat="1" ht="15">
      <c r="A177" s="227"/>
      <c r="B177" s="276">
        <v>139</v>
      </c>
      <c r="C177" s="254"/>
      <c r="D177" s="255"/>
      <c r="E177" s="247"/>
      <c r="F177" s="232"/>
      <c r="G177" s="239"/>
      <c r="H177" s="386">
        <v>163</v>
      </c>
      <c r="I177" s="404"/>
      <c r="J177" s="404"/>
      <c r="K177" s="413"/>
      <c r="L177" s="413"/>
      <c r="M177" s="413"/>
      <c r="N177" s="452"/>
      <c r="O177" s="413"/>
      <c r="P177" s="413"/>
      <c r="Q177" s="413"/>
      <c r="R177" s="452"/>
      <c r="S177" s="443"/>
      <c r="T177" s="42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3"/>
      <c r="V177" s="423"/>
      <c r="W177" s="424"/>
      <c r="X177" s="425"/>
      <c r="Y177" s="426" t="str">
        <f t="shared" ca="1" si="37"/>
        <v/>
      </c>
      <c r="Z177" s="427" t="str">
        <f t="shared" ca="1" si="38"/>
        <v/>
      </c>
      <c r="AA177" s="426" t="str">
        <f t="shared" ca="1" si="39"/>
        <v/>
      </c>
      <c r="AB177" s="428" t="str">
        <f t="shared" ca="1" si="40"/>
        <v/>
      </c>
      <c r="AC177" s="427" t="str">
        <f t="shared" ca="1" si="41"/>
        <v/>
      </c>
      <c r="AD177" s="79"/>
      <c r="AE177" s="496">
        <f t="shared" ca="1" si="29"/>
        <v>-3.16911481608301E-3</v>
      </c>
      <c r="AF177" s="493">
        <f t="shared" ca="1" si="30"/>
        <v>2.6141878361868518E-2</v>
      </c>
      <c r="AG177" s="493">
        <f t="shared" ca="1" si="28"/>
        <v>0</v>
      </c>
      <c r="AH177" s="498">
        <f t="shared" ca="1" si="31"/>
        <v>0</v>
      </c>
      <c r="AI177" s="497">
        <f t="shared" ca="1" si="32"/>
        <v>-3.16911481608301E-3</v>
      </c>
      <c r="AJ177" s="493">
        <f t="shared" ca="1" si="33"/>
        <v>0.36711713262342549</v>
      </c>
      <c r="AK177" s="493">
        <f t="shared" ca="1" si="34"/>
        <v>0</v>
      </c>
      <c r="AL177" s="498">
        <f t="shared" ca="1" si="35"/>
        <v>0</v>
      </c>
      <c r="AN177" s="532" t="str">
        <f t="shared" ca="1" si="36"/>
        <v/>
      </c>
      <c r="AO177" s="524" t="str" cm="1">
        <f t="array" aca="1" ref="AO177" ca="1">IF(AN177&lt;&gt;"",TRANSPOSE(INDEX(GetCDS($C202,AO$13,$G202/10000,F202,D202,$C$13,$C$14,$C$15,$C$8,,,TRUE,TRUE,FALSE,$C$29:$C$31,$C$33),{5})),"")</f>
        <v/>
      </c>
      <c r="AP177" s="524" t="str" cm="1">
        <f t="array" aca="1" ref="AP177" ca="1">IF(AO177&lt;&gt;"",TRANSPOSE(INDEX(GetCDS($C202,AP$13,$G202/10000,G202,E202,$C$13,$C$14,$C$15,$C$8,,,TRUE,TRUE,FALSE,$C$29:$C$31,$C$33),{5})),"")</f>
        <v/>
      </c>
      <c r="AQ177" s="524" t="str" cm="1">
        <f t="array" aca="1" ref="AQ177" ca="1">IF(AP177&lt;&gt;"",TRANSPOSE(INDEX(GetCDS($C202,AQ$13,$G202/10000,H202,F202,$C$13,$C$14,$C$15,$C$8,,,TRUE,TRUE,FALSE,$C$29:$C$31,$C$33),{5})),"")</f>
        <v/>
      </c>
      <c r="AR177" s="524" t="str" cm="1">
        <f t="array" aca="1" ref="AR177" ca="1">IF(AQ177&lt;&gt;"",TRANSPOSE(INDEX(GetCDS($C202,AR$13,$G202/10000,I202,G202,$C$13,$C$14,$C$15,$C$8,,,TRUE,TRUE,FALSE,$C$29:$C$31,$C$33),{5})),"")</f>
        <v/>
      </c>
      <c r="AS177" s="525" t="str" cm="1">
        <f t="array" aca="1" ref="AS177" ca="1">IF(AR177&lt;&gt;"",TRANSPOSE(INDEX(GetCDS($C202,AS$13,$G202/10000,J202,H202,$C$13,$C$14,$C$15,$C$8,,,TRUE,TRUE,FALSE,$C$29:$C$31,$C$33),{5})),"")</f>
        <v/>
      </c>
    </row>
    <row r="178" spans="1:45" customFormat="1" ht="15">
      <c r="A178" s="227"/>
      <c r="B178" s="276">
        <v>140</v>
      </c>
      <c r="C178" s="254"/>
      <c r="D178" s="255"/>
      <c r="E178" s="247"/>
      <c r="F178" s="232"/>
      <c r="G178" s="239"/>
      <c r="H178" s="386">
        <v>164</v>
      </c>
      <c r="I178" s="404"/>
      <c r="J178" s="404"/>
      <c r="K178" s="413"/>
      <c r="L178" s="413"/>
      <c r="M178" s="413"/>
      <c r="N178" s="452"/>
      <c r="O178" s="413"/>
      <c r="P178" s="413"/>
      <c r="Q178" s="413"/>
      <c r="R178" s="452"/>
      <c r="S178" s="443"/>
      <c r="T178" s="42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3"/>
      <c r="V178" s="423"/>
      <c r="W178" s="424"/>
      <c r="X178" s="425"/>
      <c r="Y178" s="426" t="str">
        <f t="shared" ca="1" si="37"/>
        <v/>
      </c>
      <c r="Z178" s="427" t="str">
        <f t="shared" ca="1" si="38"/>
        <v/>
      </c>
      <c r="AA178" s="426" t="str">
        <f t="shared" ca="1" si="39"/>
        <v/>
      </c>
      <c r="AB178" s="428" t="str">
        <f t="shared" ca="1" si="40"/>
        <v/>
      </c>
      <c r="AC178" s="427" t="str">
        <f t="shared" ca="1" si="41"/>
        <v/>
      </c>
      <c r="AD178" s="79"/>
      <c r="AE178" s="496">
        <f t="shared" ca="1" si="29"/>
        <v>-7.205794262478E-3</v>
      </c>
      <c r="AF178" s="493">
        <f t="shared" ca="1" si="30"/>
        <v>9.5339102763880509E-3</v>
      </c>
      <c r="AG178" s="493">
        <f t="shared" ca="1" si="28"/>
        <v>0</v>
      </c>
      <c r="AH178" s="498">
        <f t="shared" ca="1" si="31"/>
        <v>0</v>
      </c>
      <c r="AI178" s="497">
        <f t="shared" ca="1" si="32"/>
        <v>-7.205794262478E-3</v>
      </c>
      <c r="AJ178" s="493">
        <f t="shared" ca="1" si="33"/>
        <v>0.45115504951093832</v>
      </c>
      <c r="AK178" s="493">
        <f t="shared" ca="1" si="34"/>
        <v>0</v>
      </c>
      <c r="AL178" s="498">
        <f t="shared" ca="1" si="35"/>
        <v>0</v>
      </c>
      <c r="AN178" s="532" t="str">
        <f t="shared" ca="1" si="36"/>
        <v/>
      </c>
      <c r="AO178" s="524" t="str" cm="1">
        <f t="array" aca="1" ref="AO178" ca="1">IF(AN178&lt;&gt;"",TRANSPOSE(INDEX(GetCDS($C203,AO$13,$G203/10000,F203,D203,$C$13,$C$14,$C$15,$C$8,,,TRUE,TRUE,FALSE,$C$29:$C$31,$C$33),{5})),"")</f>
        <v/>
      </c>
      <c r="AP178" s="524" t="str" cm="1">
        <f t="array" aca="1" ref="AP178" ca="1">IF(AO178&lt;&gt;"",TRANSPOSE(INDEX(GetCDS($C203,AP$13,$G203/10000,G203,E203,$C$13,$C$14,$C$15,$C$8,,,TRUE,TRUE,FALSE,$C$29:$C$31,$C$33),{5})),"")</f>
        <v/>
      </c>
      <c r="AQ178" s="524" t="str" cm="1">
        <f t="array" aca="1" ref="AQ178" ca="1">IF(AP178&lt;&gt;"",TRANSPOSE(INDEX(GetCDS($C203,AQ$13,$G203/10000,H203,F203,$C$13,$C$14,$C$15,$C$8,,,TRUE,TRUE,FALSE,$C$29:$C$31,$C$33),{5})),"")</f>
        <v/>
      </c>
      <c r="AR178" s="524" t="str" cm="1">
        <f t="array" aca="1" ref="AR178" ca="1">IF(AQ178&lt;&gt;"",TRANSPOSE(INDEX(GetCDS($C203,AR$13,$G203/10000,I203,G203,$C$13,$C$14,$C$15,$C$8,,,TRUE,TRUE,FALSE,$C$29:$C$31,$C$33),{5})),"")</f>
        <v/>
      </c>
      <c r="AS178" s="525" t="str" cm="1">
        <f t="array" aca="1" ref="AS178" ca="1">IF(AR178&lt;&gt;"",TRANSPOSE(INDEX(GetCDS($C203,AS$13,$G203/10000,J203,H203,$C$13,$C$14,$C$15,$C$8,,,TRUE,TRUE,FALSE,$C$29:$C$31,$C$33),{5})),"")</f>
        <v/>
      </c>
    </row>
    <row r="179" spans="1:45" customFormat="1" ht="15">
      <c r="A179" s="227"/>
      <c r="B179" s="276">
        <v>141</v>
      </c>
      <c r="C179" s="254"/>
      <c r="D179" s="255"/>
      <c r="E179" s="247"/>
      <c r="F179" s="232"/>
      <c r="G179" s="239"/>
      <c r="H179" s="386">
        <v>165</v>
      </c>
      <c r="I179" s="404"/>
      <c r="J179" s="404"/>
      <c r="K179" s="413"/>
      <c r="L179" s="413"/>
      <c r="M179" s="413"/>
      <c r="N179" s="452"/>
      <c r="O179" s="413"/>
      <c r="P179" s="413"/>
      <c r="Q179" s="413"/>
      <c r="R179" s="452"/>
      <c r="S179" s="443"/>
      <c r="T179" s="42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3"/>
      <c r="V179" s="423"/>
      <c r="W179" s="424"/>
      <c r="X179" s="425"/>
      <c r="Y179" s="426" t="str">
        <f t="shared" ca="1" si="37"/>
        <v/>
      </c>
      <c r="Z179" s="427" t="str">
        <f t="shared" ca="1" si="38"/>
        <v/>
      </c>
      <c r="AA179" s="426" t="str">
        <f t="shared" ca="1" si="39"/>
        <v/>
      </c>
      <c r="AB179" s="428" t="str">
        <f t="shared" ca="1" si="40"/>
        <v/>
      </c>
      <c r="AC179" s="427" t="str">
        <f t="shared" ca="1" si="41"/>
        <v/>
      </c>
      <c r="AD179" s="79"/>
      <c r="AE179" s="496">
        <f t="shared" ca="1" si="29"/>
        <v>-8.2540998037149999E-3</v>
      </c>
      <c r="AF179" s="493">
        <f t="shared" ca="1" si="30"/>
        <v>5.783919170625899E-3</v>
      </c>
      <c r="AG179" s="493">
        <f t="shared" ca="1" si="28"/>
        <v>0</v>
      </c>
      <c r="AH179" s="498">
        <f t="shared" ca="1" si="31"/>
        <v>0</v>
      </c>
      <c r="AI179" s="497">
        <f t="shared" ca="1" si="32"/>
        <v>-8.2540998037149999E-3</v>
      </c>
      <c r="AJ179" s="493">
        <f t="shared" ca="1" si="33"/>
        <v>0.4665107686299213</v>
      </c>
      <c r="AK179" s="493">
        <f t="shared" ca="1" si="34"/>
        <v>0</v>
      </c>
      <c r="AL179" s="498">
        <f t="shared" ca="1" si="35"/>
        <v>0</v>
      </c>
      <c r="AN179" s="532" t="str">
        <f t="shared" ca="1" si="36"/>
        <v/>
      </c>
      <c r="AO179" s="524" t="str" cm="1">
        <f t="array" aca="1" ref="AO179" ca="1">IF(AN179&lt;&gt;"",TRANSPOSE(INDEX(GetCDS($C204,AO$13,$G204/10000,F204,D204,$C$13,$C$14,$C$15,$C$8,,,TRUE,TRUE,FALSE,$C$29:$C$31,$C$33),{5})),"")</f>
        <v/>
      </c>
      <c r="AP179" s="524" t="str" cm="1">
        <f t="array" aca="1" ref="AP179" ca="1">IF(AO179&lt;&gt;"",TRANSPOSE(INDEX(GetCDS($C204,AP$13,$G204/10000,G204,E204,$C$13,$C$14,$C$15,$C$8,,,TRUE,TRUE,FALSE,$C$29:$C$31,$C$33),{5})),"")</f>
        <v/>
      </c>
      <c r="AQ179" s="524" t="str" cm="1">
        <f t="array" aca="1" ref="AQ179" ca="1">IF(AP179&lt;&gt;"",TRANSPOSE(INDEX(GetCDS($C204,AQ$13,$G204/10000,H204,F204,$C$13,$C$14,$C$15,$C$8,,,TRUE,TRUE,FALSE,$C$29:$C$31,$C$33),{5})),"")</f>
        <v/>
      </c>
      <c r="AR179" s="524" t="str" cm="1">
        <f t="array" aca="1" ref="AR179" ca="1">IF(AQ179&lt;&gt;"",TRANSPOSE(INDEX(GetCDS($C204,AR$13,$G204/10000,I204,G204,$C$13,$C$14,$C$15,$C$8,,,TRUE,TRUE,FALSE,$C$29:$C$31,$C$33),{5})),"")</f>
        <v/>
      </c>
      <c r="AS179" s="525" t="str" cm="1">
        <f t="array" aca="1" ref="AS179" ca="1">IF(AR179&lt;&gt;"",TRANSPOSE(INDEX(GetCDS($C204,AS$13,$G204/10000,J204,H204,$C$13,$C$14,$C$15,$C$8,,,TRUE,TRUE,FALSE,$C$29:$C$31,$C$33),{5})),"")</f>
        <v/>
      </c>
    </row>
    <row r="180" spans="1:45" customFormat="1" ht="15">
      <c r="A180" s="227"/>
      <c r="B180" s="276">
        <v>142</v>
      </c>
      <c r="C180" s="254"/>
      <c r="D180" s="255"/>
      <c r="E180" s="247"/>
      <c r="F180" s="232"/>
      <c r="G180" s="239"/>
      <c r="H180" s="386">
        <v>166</v>
      </c>
      <c r="I180" s="404"/>
      <c r="J180" s="404"/>
      <c r="K180" s="413"/>
      <c r="L180" s="413"/>
      <c r="M180" s="413"/>
      <c r="N180" s="452"/>
      <c r="O180" s="413"/>
      <c r="P180" s="413"/>
      <c r="Q180" s="413"/>
      <c r="R180" s="452"/>
      <c r="S180" s="443"/>
      <c r="T180" s="42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3"/>
      <c r="V180" s="423"/>
      <c r="W180" s="424"/>
      <c r="X180" s="425"/>
      <c r="Y180" s="426" t="str">
        <f t="shared" ca="1" si="37"/>
        <v/>
      </c>
      <c r="Z180" s="427" t="str">
        <f t="shared" ca="1" si="38"/>
        <v/>
      </c>
      <c r="AA180" s="426" t="str">
        <f t="shared" ca="1" si="39"/>
        <v/>
      </c>
      <c r="AB180" s="428" t="str">
        <f t="shared" ca="1" si="40"/>
        <v/>
      </c>
      <c r="AC180" s="427" t="str">
        <f t="shared" ca="1" si="41"/>
        <v/>
      </c>
      <c r="AD180" s="79"/>
      <c r="AE180" s="496">
        <f t="shared" ca="1" si="29"/>
        <v>-3.6586614651689898E-3</v>
      </c>
      <c r="AF180" s="493">
        <f t="shared" ca="1" si="30"/>
        <v>2.3646851643923439E-2</v>
      </c>
      <c r="AG180" s="493">
        <f t="shared" ca="1" si="28"/>
        <v>0</v>
      </c>
      <c r="AH180" s="498">
        <f t="shared" ca="1" si="31"/>
        <v>0</v>
      </c>
      <c r="AI180" s="497">
        <f t="shared" ca="1" si="32"/>
        <v>-3.6586614651689898E-3</v>
      </c>
      <c r="AJ180" s="493">
        <f t="shared" ca="1" si="33"/>
        <v>0.38032846024659378</v>
      </c>
      <c r="AK180" s="493">
        <f t="shared" ca="1" si="34"/>
        <v>0</v>
      </c>
      <c r="AL180" s="498">
        <f t="shared" ca="1" si="35"/>
        <v>0</v>
      </c>
      <c r="AN180" s="532" t="str">
        <f t="shared" ca="1" si="36"/>
        <v/>
      </c>
      <c r="AO180" s="524" t="str" cm="1">
        <f t="array" aca="1" ref="AO180" ca="1">IF(AN180&lt;&gt;"",TRANSPOSE(INDEX(GetCDS($C205,AO$13,$G205/10000,F205,D205,$C$13,$C$14,$C$15,$C$8,,,TRUE,TRUE,FALSE,$C$29:$C$31,$C$33),{5})),"")</f>
        <v/>
      </c>
      <c r="AP180" s="524" t="str" cm="1">
        <f t="array" aca="1" ref="AP180" ca="1">IF(AO180&lt;&gt;"",TRANSPOSE(INDEX(GetCDS($C205,AP$13,$G205/10000,G205,E205,$C$13,$C$14,$C$15,$C$8,,,TRUE,TRUE,FALSE,$C$29:$C$31,$C$33),{5})),"")</f>
        <v/>
      </c>
      <c r="AQ180" s="524" t="str" cm="1">
        <f t="array" aca="1" ref="AQ180" ca="1">IF(AP180&lt;&gt;"",TRANSPOSE(INDEX(GetCDS($C205,AQ$13,$G205/10000,H205,F205,$C$13,$C$14,$C$15,$C$8,,,TRUE,TRUE,FALSE,$C$29:$C$31,$C$33),{5})),"")</f>
        <v/>
      </c>
      <c r="AR180" s="524" t="str" cm="1">
        <f t="array" aca="1" ref="AR180" ca="1">IF(AQ180&lt;&gt;"",TRANSPOSE(INDEX(GetCDS($C205,AR$13,$G205/10000,I205,G205,$C$13,$C$14,$C$15,$C$8,,,TRUE,TRUE,FALSE,$C$29:$C$31,$C$33),{5})),"")</f>
        <v/>
      </c>
      <c r="AS180" s="525" t="str" cm="1">
        <f t="array" aca="1" ref="AS180" ca="1">IF(AR180&lt;&gt;"",TRANSPOSE(INDEX(GetCDS($C205,AS$13,$G205/10000,J205,H205,$C$13,$C$14,$C$15,$C$8,,,TRUE,TRUE,FALSE,$C$29:$C$31,$C$33),{5})),"")</f>
        <v/>
      </c>
    </row>
    <row r="181" spans="1:45" customFormat="1" ht="15">
      <c r="A181" s="227"/>
      <c r="B181" s="276">
        <v>143</v>
      </c>
      <c r="C181" s="254"/>
      <c r="D181" s="255"/>
      <c r="E181" s="247"/>
      <c r="F181" s="232"/>
      <c r="G181" s="239"/>
      <c r="H181" s="386">
        <v>167</v>
      </c>
      <c r="I181" s="404"/>
      <c r="J181" s="404"/>
      <c r="K181" s="413"/>
      <c r="L181" s="413"/>
      <c r="M181" s="413"/>
      <c r="N181" s="452"/>
      <c r="O181" s="413"/>
      <c r="P181" s="413"/>
      <c r="Q181" s="413"/>
      <c r="R181" s="452"/>
      <c r="S181" s="443"/>
      <c r="T181" s="42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3"/>
      <c r="V181" s="423"/>
      <c r="W181" s="424"/>
      <c r="X181" s="425"/>
      <c r="Y181" s="426" t="str">
        <f t="shared" ca="1" si="37"/>
        <v/>
      </c>
      <c r="Z181" s="427" t="str">
        <f t="shared" ca="1" si="38"/>
        <v/>
      </c>
      <c r="AA181" s="426" t="str">
        <f t="shared" ca="1" si="39"/>
        <v/>
      </c>
      <c r="AB181" s="428" t="str">
        <f t="shared" ca="1" si="40"/>
        <v/>
      </c>
      <c r="AC181" s="427" t="str">
        <f t="shared" ca="1" si="41"/>
        <v/>
      </c>
      <c r="AD181" s="79"/>
      <c r="AE181" s="496">
        <f t="shared" ca="1" si="29"/>
        <v>-3.0428842999080099E-3</v>
      </c>
      <c r="AF181" s="493">
        <f t="shared" ca="1" si="30"/>
        <v>2.6775823152746851E-2</v>
      </c>
      <c r="AG181" s="493">
        <f t="shared" ca="1" si="28"/>
        <v>0</v>
      </c>
      <c r="AH181" s="498">
        <f t="shared" ca="1" si="31"/>
        <v>0</v>
      </c>
      <c r="AI181" s="497">
        <f t="shared" ca="1" si="32"/>
        <v>-3.0428842999080099E-3</v>
      </c>
      <c r="AJ181" s="493">
        <f t="shared" ca="1" si="33"/>
        <v>0.36313458316102365</v>
      </c>
      <c r="AK181" s="493">
        <f t="shared" ca="1" si="34"/>
        <v>0</v>
      </c>
      <c r="AL181" s="498">
        <f t="shared" ca="1" si="35"/>
        <v>0</v>
      </c>
      <c r="AN181" s="532" t="str">
        <f t="shared" ca="1" si="36"/>
        <v/>
      </c>
      <c r="AO181" s="524" t="str" cm="1">
        <f t="array" aca="1" ref="AO181" ca="1">IF(AN181&lt;&gt;"",TRANSPOSE(INDEX(GetCDS($C206,AO$13,$G206/10000,F206,D206,$C$13,$C$14,$C$15,$C$8,,,TRUE,TRUE,FALSE,$C$29:$C$31,$C$33),{5})),"")</f>
        <v/>
      </c>
      <c r="AP181" s="524" t="str" cm="1">
        <f t="array" aca="1" ref="AP181" ca="1">IF(AO181&lt;&gt;"",TRANSPOSE(INDEX(GetCDS($C206,AP$13,$G206/10000,G206,E206,$C$13,$C$14,$C$15,$C$8,,,TRUE,TRUE,FALSE,$C$29:$C$31,$C$33),{5})),"")</f>
        <v/>
      </c>
      <c r="AQ181" s="524" t="str" cm="1">
        <f t="array" aca="1" ref="AQ181" ca="1">IF(AP181&lt;&gt;"",TRANSPOSE(INDEX(GetCDS($C206,AQ$13,$G206/10000,H206,F206,$C$13,$C$14,$C$15,$C$8,,,TRUE,TRUE,FALSE,$C$29:$C$31,$C$33),{5})),"")</f>
        <v/>
      </c>
      <c r="AR181" s="524" t="str" cm="1">
        <f t="array" aca="1" ref="AR181" ca="1">IF(AQ181&lt;&gt;"",TRANSPOSE(INDEX(GetCDS($C206,AR$13,$G206/10000,I206,G206,$C$13,$C$14,$C$15,$C$8,,,TRUE,TRUE,FALSE,$C$29:$C$31,$C$33),{5})),"")</f>
        <v/>
      </c>
      <c r="AS181" s="525" t="str" cm="1">
        <f t="array" aca="1" ref="AS181" ca="1">IF(AR181&lt;&gt;"",TRANSPOSE(INDEX(GetCDS($C206,AS$13,$G206/10000,J206,H206,$C$13,$C$14,$C$15,$C$8,,,TRUE,TRUE,FALSE,$C$29:$C$31,$C$33),{5})),"")</f>
        <v/>
      </c>
    </row>
    <row r="182" spans="1:45" customFormat="1" ht="15">
      <c r="A182" s="227"/>
      <c r="B182" s="276">
        <v>144</v>
      </c>
      <c r="C182" s="254"/>
      <c r="D182" s="255"/>
      <c r="E182" s="247"/>
      <c r="F182" s="232"/>
      <c r="G182" s="239"/>
      <c r="H182" s="386">
        <v>168</v>
      </c>
      <c r="I182" s="404"/>
      <c r="J182" s="404"/>
      <c r="K182" s="413"/>
      <c r="L182" s="413"/>
      <c r="M182" s="413"/>
      <c r="N182" s="452"/>
      <c r="O182" s="413"/>
      <c r="P182" s="413"/>
      <c r="Q182" s="413"/>
      <c r="R182" s="452"/>
      <c r="S182" s="443"/>
      <c r="T182" s="42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3"/>
      <c r="V182" s="423"/>
      <c r="W182" s="424"/>
      <c r="X182" s="425"/>
      <c r="Y182" s="426" t="str">
        <f t="shared" ca="1" si="37"/>
        <v/>
      </c>
      <c r="Z182" s="427" t="str">
        <f t="shared" ca="1" si="38"/>
        <v/>
      </c>
      <c r="AA182" s="426" t="str">
        <f t="shared" ca="1" si="39"/>
        <v/>
      </c>
      <c r="AB182" s="428" t="str">
        <f t="shared" ca="1" si="40"/>
        <v/>
      </c>
      <c r="AC182" s="427" t="str">
        <f t="shared" ca="1" si="41"/>
        <v/>
      </c>
      <c r="AD182" s="79"/>
      <c r="AE182" s="496">
        <f t="shared" ca="1" si="29"/>
        <v>-5.72347485498501E-3</v>
      </c>
      <c r="AF182" s="493">
        <f t="shared" ca="1" si="30"/>
        <v>1.5253387192931438E-2</v>
      </c>
      <c r="AG182" s="493">
        <f t="shared" ca="1" si="28"/>
        <v>0</v>
      </c>
      <c r="AH182" s="498">
        <f t="shared" ca="1" si="31"/>
        <v>0</v>
      </c>
      <c r="AI182" s="497">
        <f t="shared" ca="1" si="32"/>
        <v>-5.72347485498501E-3</v>
      </c>
      <c r="AJ182" s="493">
        <f t="shared" ca="1" si="33"/>
        <v>0.42604318790204859</v>
      </c>
      <c r="AK182" s="493">
        <f t="shared" ca="1" si="34"/>
        <v>0</v>
      </c>
      <c r="AL182" s="498">
        <f t="shared" ca="1" si="35"/>
        <v>0</v>
      </c>
      <c r="AN182" s="532" t="str">
        <f t="shared" ca="1" si="36"/>
        <v/>
      </c>
      <c r="AO182" s="524" t="str" cm="1">
        <f t="array" aca="1" ref="AO182" ca="1">IF(AN182&lt;&gt;"",TRANSPOSE(INDEX(GetCDS($C207,AO$13,$G207/10000,F207,D207,$C$13,$C$14,$C$15,$C$8,,,TRUE,TRUE,FALSE,$C$29:$C$31,$C$33),{5})),"")</f>
        <v/>
      </c>
      <c r="AP182" s="524" t="str" cm="1">
        <f t="array" aca="1" ref="AP182" ca="1">IF(AO182&lt;&gt;"",TRANSPOSE(INDEX(GetCDS($C207,AP$13,$G207/10000,G207,E207,$C$13,$C$14,$C$15,$C$8,,,TRUE,TRUE,FALSE,$C$29:$C$31,$C$33),{5})),"")</f>
        <v/>
      </c>
      <c r="AQ182" s="524" t="str" cm="1">
        <f t="array" aca="1" ref="AQ182" ca="1">IF(AP182&lt;&gt;"",TRANSPOSE(INDEX(GetCDS($C207,AQ$13,$G207/10000,H207,F207,$C$13,$C$14,$C$15,$C$8,,,TRUE,TRUE,FALSE,$C$29:$C$31,$C$33),{5})),"")</f>
        <v/>
      </c>
      <c r="AR182" s="524" t="str" cm="1">
        <f t="array" aca="1" ref="AR182" ca="1">IF(AQ182&lt;&gt;"",TRANSPOSE(INDEX(GetCDS($C207,AR$13,$G207/10000,I207,G207,$C$13,$C$14,$C$15,$C$8,,,TRUE,TRUE,FALSE,$C$29:$C$31,$C$33),{5})),"")</f>
        <v/>
      </c>
      <c r="AS182" s="525" t="str" cm="1">
        <f t="array" aca="1" ref="AS182" ca="1">IF(AR182&lt;&gt;"",TRANSPOSE(INDEX(GetCDS($C207,AS$13,$G207/10000,J207,H207,$C$13,$C$14,$C$15,$C$8,,,TRUE,TRUE,FALSE,$C$29:$C$31,$C$33),{5})),"")</f>
        <v/>
      </c>
    </row>
    <row r="183" spans="1:45" customFormat="1" ht="15">
      <c r="A183" s="227"/>
      <c r="B183" s="276">
        <v>145</v>
      </c>
      <c r="C183" s="254"/>
      <c r="D183" s="255"/>
      <c r="E183" s="247"/>
      <c r="F183" s="232"/>
      <c r="G183" s="239"/>
      <c r="H183" s="386">
        <v>169</v>
      </c>
      <c r="I183" s="404"/>
      <c r="J183" s="404"/>
      <c r="K183" s="413"/>
      <c r="L183" s="413"/>
      <c r="M183" s="413"/>
      <c r="N183" s="452"/>
      <c r="O183" s="413"/>
      <c r="P183" s="413"/>
      <c r="Q183" s="413"/>
      <c r="R183" s="452"/>
      <c r="S183" s="443"/>
      <c r="T183" s="42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3"/>
      <c r="V183" s="423"/>
      <c r="W183" s="424"/>
      <c r="X183" s="425"/>
      <c r="Y183" s="426" t="str">
        <f t="shared" ca="1" si="37"/>
        <v/>
      </c>
      <c r="Z183" s="427" t="str">
        <f t="shared" ca="1" si="38"/>
        <v/>
      </c>
      <c r="AA183" s="426" t="str">
        <f t="shared" ca="1" si="39"/>
        <v/>
      </c>
      <c r="AB183" s="428" t="str">
        <f t="shared" ca="1" si="40"/>
        <v/>
      </c>
      <c r="AC183" s="427" t="str">
        <f t="shared" ca="1" si="41"/>
        <v/>
      </c>
      <c r="AD183" s="79"/>
      <c r="AE183" s="496">
        <f t="shared" ca="1" si="29"/>
        <v>-2.0747245762129901E-3</v>
      </c>
      <c r="AF183" s="493">
        <f t="shared" ca="1" si="30"/>
        <v>3.0936413427131049E-2</v>
      </c>
      <c r="AG183" s="493">
        <f t="shared" ca="1" si="28"/>
        <v>0</v>
      </c>
      <c r="AH183" s="498">
        <f t="shared" ca="1" si="31"/>
        <v>0</v>
      </c>
      <c r="AI183" s="497">
        <f t="shared" ca="1" si="32"/>
        <v>-2.0747245762129901E-3</v>
      </c>
      <c r="AJ183" s="493">
        <f t="shared" ca="1" si="33"/>
        <v>0.32914577726917615</v>
      </c>
      <c r="AK183" s="493">
        <f t="shared" ca="1" si="34"/>
        <v>0</v>
      </c>
      <c r="AL183" s="498">
        <f t="shared" ca="1" si="35"/>
        <v>0</v>
      </c>
      <c r="AN183" s="532" t="str">
        <f t="shared" ca="1" si="36"/>
        <v/>
      </c>
      <c r="AO183" s="524" t="str" cm="1">
        <f t="array" aca="1" ref="AO183" ca="1">IF(AN183&lt;&gt;"",TRANSPOSE(INDEX(GetCDS($C208,AO$13,$G208/10000,F208,D208,$C$13,$C$14,$C$15,$C$8,,,TRUE,TRUE,FALSE,$C$29:$C$31,$C$33),{5})),"")</f>
        <v/>
      </c>
      <c r="AP183" s="524" t="str" cm="1">
        <f t="array" aca="1" ref="AP183" ca="1">IF(AO183&lt;&gt;"",TRANSPOSE(INDEX(GetCDS($C208,AP$13,$G208/10000,G208,E208,$C$13,$C$14,$C$15,$C$8,,,TRUE,TRUE,FALSE,$C$29:$C$31,$C$33),{5})),"")</f>
        <v/>
      </c>
      <c r="AQ183" s="524" t="str" cm="1">
        <f t="array" aca="1" ref="AQ183" ca="1">IF(AP183&lt;&gt;"",TRANSPOSE(INDEX(GetCDS($C208,AQ$13,$G208/10000,H208,F208,$C$13,$C$14,$C$15,$C$8,,,TRUE,TRUE,FALSE,$C$29:$C$31,$C$33),{5})),"")</f>
        <v/>
      </c>
      <c r="AR183" s="524" t="str" cm="1">
        <f t="array" aca="1" ref="AR183" ca="1">IF(AQ183&lt;&gt;"",TRANSPOSE(INDEX(GetCDS($C208,AR$13,$G208/10000,I208,G208,$C$13,$C$14,$C$15,$C$8,,,TRUE,TRUE,FALSE,$C$29:$C$31,$C$33),{5})),"")</f>
        <v/>
      </c>
      <c r="AS183" s="525" t="str" cm="1">
        <f t="array" aca="1" ref="AS183" ca="1">IF(AR183&lt;&gt;"",TRANSPOSE(INDEX(GetCDS($C208,AS$13,$G208/10000,J208,H208,$C$13,$C$14,$C$15,$C$8,,,TRUE,TRUE,FALSE,$C$29:$C$31,$C$33),{5})),"")</f>
        <v/>
      </c>
    </row>
    <row r="184" spans="1:45" customFormat="1" ht="15">
      <c r="A184" s="227"/>
      <c r="B184" s="276">
        <v>146</v>
      </c>
      <c r="C184" s="254"/>
      <c r="D184" s="255"/>
      <c r="E184" s="247"/>
      <c r="F184" s="232"/>
      <c r="G184" s="239"/>
      <c r="H184" s="386">
        <v>170</v>
      </c>
      <c r="I184" s="404"/>
      <c r="J184" s="404"/>
      <c r="K184" s="413"/>
      <c r="L184" s="413"/>
      <c r="M184" s="413"/>
      <c r="N184" s="452"/>
      <c r="O184" s="413"/>
      <c r="P184" s="413"/>
      <c r="Q184" s="413"/>
      <c r="R184" s="452"/>
      <c r="S184" s="443"/>
      <c r="T184" s="42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3"/>
      <c r="V184" s="423"/>
      <c r="W184" s="424"/>
      <c r="X184" s="425"/>
      <c r="Y184" s="426" t="str">
        <f t="shared" ca="1" si="37"/>
        <v/>
      </c>
      <c r="Z184" s="427" t="str">
        <f t="shared" ca="1" si="38"/>
        <v/>
      </c>
      <c r="AA184" s="426" t="str">
        <f t="shared" ca="1" si="39"/>
        <v/>
      </c>
      <c r="AB184" s="428" t="str">
        <f t="shared" ca="1" si="40"/>
        <v/>
      </c>
      <c r="AC184" s="427" t="str">
        <f t="shared" ca="1" si="41"/>
        <v/>
      </c>
      <c r="AD184" s="79"/>
      <c r="AE184" s="496">
        <f t="shared" ca="1" si="29"/>
        <v>-3.59730509679201E-3</v>
      </c>
      <c r="AF184" s="493">
        <f t="shared" ca="1" si="30"/>
        <v>2.4167617430693213E-2</v>
      </c>
      <c r="AG184" s="493">
        <f t="shared" ca="1" si="28"/>
        <v>0</v>
      </c>
      <c r="AH184" s="498">
        <f t="shared" ca="1" si="31"/>
        <v>0</v>
      </c>
      <c r="AI184" s="497">
        <f t="shared" ca="1" si="32"/>
        <v>-3.59730509679201E-3</v>
      </c>
      <c r="AJ184" s="493">
        <f t="shared" ca="1" si="33"/>
        <v>0.37916236023406158</v>
      </c>
      <c r="AK184" s="493">
        <f t="shared" ca="1" si="34"/>
        <v>0</v>
      </c>
      <c r="AL184" s="498">
        <f t="shared" ca="1" si="35"/>
        <v>0</v>
      </c>
      <c r="AN184" s="532" t="str">
        <f t="shared" ca="1" si="36"/>
        <v/>
      </c>
      <c r="AO184" s="524" t="str" cm="1">
        <f t="array" aca="1" ref="AO184" ca="1">IF(AN184&lt;&gt;"",TRANSPOSE(INDEX(GetCDS($C209,AO$13,$G209/10000,F209,D209,$C$13,$C$14,$C$15,$C$8,,,TRUE,TRUE,FALSE,$C$29:$C$31,$C$33),{5})),"")</f>
        <v/>
      </c>
      <c r="AP184" s="524" t="str" cm="1">
        <f t="array" aca="1" ref="AP184" ca="1">IF(AO184&lt;&gt;"",TRANSPOSE(INDEX(GetCDS($C209,AP$13,$G209/10000,G209,E209,$C$13,$C$14,$C$15,$C$8,,,TRUE,TRUE,FALSE,$C$29:$C$31,$C$33),{5})),"")</f>
        <v/>
      </c>
      <c r="AQ184" s="524" t="str" cm="1">
        <f t="array" aca="1" ref="AQ184" ca="1">IF(AP184&lt;&gt;"",TRANSPOSE(INDEX(GetCDS($C209,AQ$13,$G209/10000,H209,F209,$C$13,$C$14,$C$15,$C$8,,,TRUE,TRUE,FALSE,$C$29:$C$31,$C$33),{5})),"")</f>
        <v/>
      </c>
      <c r="AR184" s="524" t="str" cm="1">
        <f t="array" aca="1" ref="AR184" ca="1">IF(AQ184&lt;&gt;"",TRANSPOSE(INDEX(GetCDS($C209,AR$13,$G209/10000,I209,G209,$C$13,$C$14,$C$15,$C$8,,,TRUE,TRUE,FALSE,$C$29:$C$31,$C$33),{5})),"")</f>
        <v/>
      </c>
      <c r="AS184" s="525" t="str" cm="1">
        <f t="array" aca="1" ref="AS184" ca="1">IF(AR184&lt;&gt;"",TRANSPOSE(INDEX(GetCDS($C209,AS$13,$G209/10000,J209,H209,$C$13,$C$14,$C$15,$C$8,,,TRUE,TRUE,FALSE,$C$29:$C$31,$C$33),{5})),"")</f>
        <v/>
      </c>
    </row>
    <row r="185" spans="1:45" customFormat="1" ht="15">
      <c r="A185" s="227"/>
      <c r="B185" s="276">
        <v>147</v>
      </c>
      <c r="C185" s="254"/>
      <c r="D185" s="255"/>
      <c r="E185" s="247"/>
      <c r="F185" s="232"/>
      <c r="G185" s="239"/>
      <c r="H185" s="386">
        <v>171</v>
      </c>
      <c r="I185" s="404"/>
      <c r="J185" s="404"/>
      <c r="K185" s="413"/>
      <c r="L185" s="413"/>
      <c r="M185" s="413"/>
      <c r="N185" s="452"/>
      <c r="O185" s="413"/>
      <c r="P185" s="413"/>
      <c r="Q185" s="413"/>
      <c r="R185" s="452"/>
      <c r="S185" s="443"/>
      <c r="T185" s="42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3"/>
      <c r="V185" s="423"/>
      <c r="W185" s="424"/>
      <c r="X185" s="425"/>
      <c r="Y185" s="426" t="str">
        <f t="shared" ca="1" si="37"/>
        <v/>
      </c>
      <c r="Z185" s="427" t="str">
        <f t="shared" ca="1" si="38"/>
        <v/>
      </c>
      <c r="AA185" s="426" t="str">
        <f t="shared" ca="1" si="39"/>
        <v/>
      </c>
      <c r="AB185" s="428" t="str">
        <f t="shared" ca="1" si="40"/>
        <v/>
      </c>
      <c r="AC185" s="427" t="str">
        <f t="shared" ca="1" si="41"/>
        <v/>
      </c>
      <c r="AD185" s="79"/>
      <c r="AE185" s="496">
        <f t="shared" ca="1" si="29"/>
        <v>-8.2796516329999804E-4</v>
      </c>
      <c r="AF185" s="493">
        <f t="shared" ca="1" si="30"/>
        <v>3.7791658791505554E-2</v>
      </c>
      <c r="AG185" s="493">
        <f t="shared" ca="1" si="28"/>
        <v>0</v>
      </c>
      <c r="AH185" s="498">
        <f t="shared" ca="1" si="31"/>
        <v>0</v>
      </c>
      <c r="AI185" s="497">
        <f t="shared" ca="1" si="32"/>
        <v>-8.2796516329999804E-4</v>
      </c>
      <c r="AJ185" s="493">
        <f t="shared" ca="1" si="33"/>
        <v>0.26033045544644728</v>
      </c>
      <c r="AK185" s="493">
        <f t="shared" ca="1" si="34"/>
        <v>0</v>
      </c>
      <c r="AL185" s="498">
        <f t="shared" ca="1" si="35"/>
        <v>0</v>
      </c>
      <c r="AN185" s="532" t="str">
        <f t="shared" ca="1" si="36"/>
        <v/>
      </c>
      <c r="AO185" s="524" t="str" cm="1">
        <f t="array" aca="1" ref="AO185" ca="1">IF(AN185&lt;&gt;"",TRANSPOSE(INDEX(GetCDS($C210,AO$13,$G210/10000,F210,D210,$C$13,$C$14,$C$15,$C$8,,,TRUE,TRUE,FALSE,$C$29:$C$31,$C$33),{5})),"")</f>
        <v/>
      </c>
      <c r="AP185" s="524" t="str" cm="1">
        <f t="array" aca="1" ref="AP185" ca="1">IF(AO185&lt;&gt;"",TRANSPOSE(INDEX(GetCDS($C210,AP$13,$G210/10000,G210,E210,$C$13,$C$14,$C$15,$C$8,,,TRUE,TRUE,FALSE,$C$29:$C$31,$C$33),{5})),"")</f>
        <v/>
      </c>
      <c r="AQ185" s="524" t="str" cm="1">
        <f t="array" aca="1" ref="AQ185" ca="1">IF(AP185&lt;&gt;"",TRANSPOSE(INDEX(GetCDS($C210,AQ$13,$G210/10000,H210,F210,$C$13,$C$14,$C$15,$C$8,,,TRUE,TRUE,FALSE,$C$29:$C$31,$C$33),{5})),"")</f>
        <v/>
      </c>
      <c r="AR185" s="524" t="str" cm="1">
        <f t="array" aca="1" ref="AR185" ca="1">IF(AQ185&lt;&gt;"",TRANSPOSE(INDEX(GetCDS($C210,AR$13,$G210/10000,I210,G210,$C$13,$C$14,$C$15,$C$8,,,TRUE,TRUE,FALSE,$C$29:$C$31,$C$33),{5})),"")</f>
        <v/>
      </c>
      <c r="AS185" s="525" t="str" cm="1">
        <f t="array" aca="1" ref="AS185" ca="1">IF(AR185&lt;&gt;"",TRANSPOSE(INDEX(GetCDS($C210,AS$13,$G210/10000,J210,H210,$C$13,$C$14,$C$15,$C$8,,,TRUE,TRUE,FALSE,$C$29:$C$31,$C$33),{5})),"")</f>
        <v/>
      </c>
    </row>
    <row r="186" spans="1:45" customFormat="1" ht="15">
      <c r="A186" s="227"/>
      <c r="B186" s="276">
        <v>148</v>
      </c>
      <c r="C186" s="254"/>
      <c r="D186" s="255"/>
      <c r="E186" s="247"/>
      <c r="F186" s="232"/>
      <c r="G186" s="239"/>
      <c r="H186" s="386">
        <v>172</v>
      </c>
      <c r="I186" s="404"/>
      <c r="J186" s="404"/>
      <c r="K186" s="413"/>
      <c r="L186" s="413"/>
      <c r="M186" s="413"/>
      <c r="N186" s="452"/>
      <c r="O186" s="413"/>
      <c r="P186" s="413"/>
      <c r="Q186" s="413"/>
      <c r="R186" s="452"/>
      <c r="S186" s="443"/>
      <c r="T186" s="42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3"/>
      <c r="V186" s="423"/>
      <c r="W186" s="424"/>
      <c r="X186" s="425"/>
      <c r="Y186" s="426" t="str">
        <f t="shared" ca="1" si="37"/>
        <v/>
      </c>
      <c r="Z186" s="427" t="str">
        <f t="shared" ca="1" si="38"/>
        <v/>
      </c>
      <c r="AA186" s="426" t="str">
        <f t="shared" ca="1" si="39"/>
        <v/>
      </c>
      <c r="AB186" s="428" t="str">
        <f t="shared" ca="1" si="40"/>
        <v/>
      </c>
      <c r="AC186" s="427" t="str">
        <f t="shared" ca="1" si="41"/>
        <v/>
      </c>
      <c r="AD186" s="79"/>
      <c r="AE186" s="496">
        <f t="shared" ca="1" si="29"/>
        <v>-3.0535249878630199E-3</v>
      </c>
      <c r="AF186" s="493">
        <f t="shared" ca="1" si="30"/>
        <v>2.675577446400676E-2</v>
      </c>
      <c r="AG186" s="493">
        <f t="shared" ca="1" si="28"/>
        <v>0</v>
      </c>
      <c r="AH186" s="498">
        <f t="shared" ca="1" si="31"/>
        <v>0</v>
      </c>
      <c r="AI186" s="497">
        <f t="shared" ca="1" si="32"/>
        <v>-3.0535249878630199E-3</v>
      </c>
      <c r="AJ186" s="493">
        <f t="shared" ca="1" si="33"/>
        <v>0.36346416345768978</v>
      </c>
      <c r="AK186" s="493">
        <f t="shared" ca="1" si="34"/>
        <v>0</v>
      </c>
      <c r="AL186" s="498">
        <f t="shared" ca="1" si="35"/>
        <v>0</v>
      </c>
      <c r="AN186" s="532" t="str">
        <f t="shared" ca="1" si="36"/>
        <v/>
      </c>
      <c r="AO186" s="524" t="str" cm="1">
        <f t="array" aca="1" ref="AO186" ca="1">IF(AN186&lt;&gt;"",TRANSPOSE(INDEX(GetCDS($C211,AO$13,$G211/10000,F211,D211,$C$13,$C$14,$C$15,$C$8,,,TRUE,TRUE,FALSE,$C$29:$C$31,$C$33),{5})),"")</f>
        <v/>
      </c>
      <c r="AP186" s="524" t="str" cm="1">
        <f t="array" aca="1" ref="AP186" ca="1">IF(AO186&lt;&gt;"",TRANSPOSE(INDEX(GetCDS($C211,AP$13,$G211/10000,G211,E211,$C$13,$C$14,$C$15,$C$8,,,TRUE,TRUE,FALSE,$C$29:$C$31,$C$33),{5})),"")</f>
        <v/>
      </c>
      <c r="AQ186" s="524" t="str" cm="1">
        <f t="array" aca="1" ref="AQ186" ca="1">IF(AP186&lt;&gt;"",TRANSPOSE(INDEX(GetCDS($C211,AQ$13,$G211/10000,H211,F211,$C$13,$C$14,$C$15,$C$8,,,TRUE,TRUE,FALSE,$C$29:$C$31,$C$33),{5})),"")</f>
        <v/>
      </c>
      <c r="AR186" s="524" t="str" cm="1">
        <f t="array" aca="1" ref="AR186" ca="1">IF(AQ186&lt;&gt;"",TRANSPOSE(INDEX(GetCDS($C211,AR$13,$G211/10000,I211,G211,$C$13,$C$14,$C$15,$C$8,,,TRUE,TRUE,FALSE,$C$29:$C$31,$C$33),{5})),"")</f>
        <v/>
      </c>
      <c r="AS186" s="525" t="str" cm="1">
        <f t="array" aca="1" ref="AS186" ca="1">IF(AR186&lt;&gt;"",TRANSPOSE(INDEX(GetCDS($C211,AS$13,$G211/10000,J211,H211,$C$13,$C$14,$C$15,$C$8,,,TRUE,TRUE,FALSE,$C$29:$C$31,$C$33),{5})),"")</f>
        <v/>
      </c>
    </row>
    <row r="187" spans="1:45" customFormat="1" ht="15">
      <c r="A187" s="227"/>
      <c r="B187" s="276">
        <v>149</v>
      </c>
      <c r="C187" s="254"/>
      <c r="D187" s="255"/>
      <c r="E187" s="247"/>
      <c r="F187" s="232"/>
      <c r="G187" s="239"/>
      <c r="H187" s="386">
        <v>173</v>
      </c>
      <c r="I187" s="404"/>
      <c r="J187" s="404"/>
      <c r="K187" s="413"/>
      <c r="L187" s="413"/>
      <c r="M187" s="413"/>
      <c r="N187" s="452"/>
      <c r="O187" s="413"/>
      <c r="P187" s="413"/>
      <c r="Q187" s="413"/>
      <c r="R187" s="452"/>
      <c r="S187" s="443"/>
      <c r="T187" s="42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3"/>
      <c r="V187" s="423"/>
      <c r="W187" s="424"/>
      <c r="X187" s="425"/>
      <c r="Y187" s="426" t="str">
        <f t="shared" ca="1" si="37"/>
        <v/>
      </c>
      <c r="Z187" s="427" t="str">
        <f t="shared" ca="1" si="38"/>
        <v/>
      </c>
      <c r="AA187" s="426" t="str">
        <f t="shared" ca="1" si="39"/>
        <v/>
      </c>
      <c r="AB187" s="428" t="str">
        <f t="shared" ca="1" si="40"/>
        <v/>
      </c>
      <c r="AC187" s="427" t="str">
        <f t="shared" ca="1" si="41"/>
        <v/>
      </c>
      <c r="AD187" s="79"/>
      <c r="AE187" s="496">
        <f t="shared" ca="1" si="29"/>
        <v>-1.7875086717351E-2</v>
      </c>
      <c r="AF187" s="493">
        <f t="shared" ca="1" si="30"/>
        <v>2.7190689446349999E-2</v>
      </c>
      <c r="AG187" s="493">
        <f t="shared" ref="AG187:AG221" ca="1" si="42">IF($AF$116,MAX(O187-ABS(AF187),0),AE187)</f>
        <v>0</v>
      </c>
      <c r="AH187" s="498">
        <f t="shared" ca="1" si="31"/>
        <v>0</v>
      </c>
      <c r="AI187" s="497">
        <f t="shared" ca="1" si="32"/>
        <v>-1.7875086717351E-2</v>
      </c>
      <c r="AJ187" s="493">
        <f t="shared" ca="1" si="33"/>
        <v>0.55901214609762273</v>
      </c>
      <c r="AK187" s="493">
        <f t="shared" ca="1" si="34"/>
        <v>0</v>
      </c>
      <c r="AL187" s="498">
        <f t="shared" ca="1" si="35"/>
        <v>0</v>
      </c>
      <c r="AN187" s="532" t="str">
        <f t="shared" ca="1" si="36"/>
        <v/>
      </c>
      <c r="AO187" s="524" t="str" cm="1">
        <f t="array" aca="1" ref="AO187" ca="1">IF(AN187&lt;&gt;"",TRANSPOSE(INDEX(GetCDS($C212,AO$13,$G212/10000,F212,D212,$C$13,$C$14,$C$15,$C$8,,,TRUE,TRUE,FALSE,$C$29:$C$31,$C$33),{5})),"")</f>
        <v/>
      </c>
      <c r="AP187" s="524" t="str" cm="1">
        <f t="array" aca="1" ref="AP187" ca="1">IF(AO187&lt;&gt;"",TRANSPOSE(INDEX(GetCDS($C212,AP$13,$G212/10000,G212,E212,$C$13,$C$14,$C$15,$C$8,,,TRUE,TRUE,FALSE,$C$29:$C$31,$C$33),{5})),"")</f>
        <v/>
      </c>
      <c r="AQ187" s="524" t="str" cm="1">
        <f t="array" aca="1" ref="AQ187" ca="1">IF(AP187&lt;&gt;"",TRANSPOSE(INDEX(GetCDS($C212,AQ$13,$G212/10000,H212,F212,$C$13,$C$14,$C$15,$C$8,,,TRUE,TRUE,FALSE,$C$29:$C$31,$C$33),{5})),"")</f>
        <v/>
      </c>
      <c r="AR187" s="524" t="str" cm="1">
        <f t="array" aca="1" ref="AR187" ca="1">IF(AQ187&lt;&gt;"",TRANSPOSE(INDEX(GetCDS($C212,AR$13,$G212/10000,I212,G212,$C$13,$C$14,$C$15,$C$8,,,TRUE,TRUE,FALSE,$C$29:$C$31,$C$33),{5})),"")</f>
        <v/>
      </c>
      <c r="AS187" s="525" t="str" cm="1">
        <f t="array" aca="1" ref="AS187" ca="1">IF(AR187&lt;&gt;"",TRANSPOSE(INDEX(GetCDS($C212,AS$13,$G212/10000,J212,H212,$C$13,$C$14,$C$15,$C$8,,,TRUE,TRUE,FALSE,$C$29:$C$31,$C$33),{5})),"")</f>
        <v/>
      </c>
    </row>
    <row r="188" spans="1:45" customFormat="1" ht="15">
      <c r="A188" s="227"/>
      <c r="B188" s="276">
        <v>150</v>
      </c>
      <c r="C188" s="254"/>
      <c r="D188" s="255"/>
      <c r="E188" s="247"/>
      <c r="F188" s="232"/>
      <c r="G188" s="239"/>
      <c r="H188" s="386">
        <v>174</v>
      </c>
      <c r="I188" s="404"/>
      <c r="J188" s="404"/>
      <c r="K188" s="413"/>
      <c r="L188" s="413"/>
      <c r="M188" s="413"/>
      <c r="N188" s="452"/>
      <c r="O188" s="413"/>
      <c r="P188" s="413"/>
      <c r="Q188" s="413"/>
      <c r="R188" s="452"/>
      <c r="S188" s="443"/>
      <c r="T188" s="42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3"/>
      <c r="V188" s="423"/>
      <c r="W188" s="424"/>
      <c r="X188" s="425"/>
      <c r="Y188" s="426" t="str">
        <f t="shared" ca="1" si="37"/>
        <v/>
      </c>
      <c r="Z188" s="427" t="str">
        <f t="shared" ca="1" si="38"/>
        <v/>
      </c>
      <c r="AA188" s="426" t="str">
        <f t="shared" ca="1" si="39"/>
        <v/>
      </c>
      <c r="AB188" s="428" t="str">
        <f t="shared" ca="1" si="40"/>
        <v/>
      </c>
      <c r="AC188" s="427" t="str">
        <f t="shared" ca="1" si="41"/>
        <v/>
      </c>
      <c r="AD188" s="79"/>
      <c r="AE188" s="496">
        <f t="shared" ref="AE188:AE221" ca="1" si="43">O81</f>
        <v>-4.5229214454889904E-3</v>
      </c>
      <c r="AF188" s="493">
        <f t="shared" ref="AF188:AF221" ca="1" si="44">ABS(Q81-T81)</f>
        <v>2.0130890050886231E-2</v>
      </c>
      <c r="AG188" s="493">
        <f t="shared" ca="1" si="42"/>
        <v>0</v>
      </c>
      <c r="AH188" s="498">
        <f t="shared" ref="AH188:AH221" ca="1" si="45">IF($AF$116,0,AF188)</f>
        <v>0</v>
      </c>
      <c r="AI188" s="497">
        <f t="shared" ref="AI188:AI221" ca="1" si="46">O81</f>
        <v>-4.5229214454889904E-3</v>
      </c>
      <c r="AJ188" s="493">
        <f t="shared" ref="AJ188:AJ221" ca="1" si="47">ABS(K81-T81)</f>
        <v>0.40166675692588499</v>
      </c>
      <c r="AK188" s="493">
        <f t="shared" ref="AK188:AK221" ca="1" si="48">IF($AF$116,MAX(AI188-ABS(AJ188),0),AI188)</f>
        <v>0</v>
      </c>
      <c r="AL188" s="498">
        <f t="shared" ref="AL188:AL221" ca="1" si="49">IF($AF$116,0,AJ188)</f>
        <v>0</v>
      </c>
      <c r="AN188" s="532" t="str">
        <f t="shared" ca="1" si="36"/>
        <v/>
      </c>
      <c r="AO188" s="524" t="str" cm="1">
        <f t="array" aca="1" ref="AO188" ca="1">IF(AN188&lt;&gt;"",TRANSPOSE(INDEX(GetCDS($C213,AO$13,$G213/10000,F213,D213,$C$13,$C$14,$C$15,$C$8,,,TRUE,TRUE,FALSE,$C$29:$C$31,$C$33),{5})),"")</f>
        <v/>
      </c>
      <c r="AP188" s="524" t="str" cm="1">
        <f t="array" aca="1" ref="AP188" ca="1">IF(AO188&lt;&gt;"",TRANSPOSE(INDEX(GetCDS($C213,AP$13,$G213/10000,G213,E213,$C$13,$C$14,$C$15,$C$8,,,TRUE,TRUE,FALSE,$C$29:$C$31,$C$33),{5})),"")</f>
        <v/>
      </c>
      <c r="AQ188" s="524" t="str" cm="1">
        <f t="array" aca="1" ref="AQ188" ca="1">IF(AP188&lt;&gt;"",TRANSPOSE(INDEX(GetCDS($C213,AQ$13,$G213/10000,H213,F213,$C$13,$C$14,$C$15,$C$8,,,TRUE,TRUE,FALSE,$C$29:$C$31,$C$33),{5})),"")</f>
        <v/>
      </c>
      <c r="AR188" s="524" t="str" cm="1">
        <f t="array" aca="1" ref="AR188" ca="1">IF(AQ188&lt;&gt;"",TRANSPOSE(INDEX(GetCDS($C213,AR$13,$G213/10000,I213,G213,$C$13,$C$14,$C$15,$C$8,,,TRUE,TRUE,FALSE,$C$29:$C$31,$C$33),{5})),"")</f>
        <v/>
      </c>
      <c r="AS188" s="525" t="str" cm="1">
        <f t="array" aca="1" ref="AS188" ca="1">IF(AR188&lt;&gt;"",TRANSPOSE(INDEX(GetCDS($C213,AS$13,$G213/10000,J213,H213,$C$13,$C$14,$C$15,$C$8,,,TRUE,TRUE,FALSE,$C$29:$C$31,$C$33),{5})),"")</f>
        <v/>
      </c>
    </row>
    <row r="189" spans="1:45" customFormat="1" ht="15">
      <c r="A189" s="227"/>
      <c r="B189" s="276">
        <v>151</v>
      </c>
      <c r="C189" s="254"/>
      <c r="D189" s="255"/>
      <c r="E189" s="247"/>
      <c r="F189" s="232"/>
      <c r="G189" s="239"/>
      <c r="H189" s="386">
        <v>175</v>
      </c>
      <c r="I189" s="404"/>
      <c r="J189" s="404"/>
      <c r="K189" s="413"/>
      <c r="L189" s="413"/>
      <c r="M189" s="413"/>
      <c r="N189" s="452"/>
      <c r="O189" s="413"/>
      <c r="P189" s="413"/>
      <c r="Q189" s="413"/>
      <c r="R189" s="452"/>
      <c r="S189" s="443"/>
      <c r="T189" s="42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3"/>
      <c r="V189" s="423"/>
      <c r="W189" s="424"/>
      <c r="X189" s="425"/>
      <c r="Y189" s="426" t="str">
        <f t="shared" ca="1" si="37"/>
        <v/>
      </c>
      <c r="Z189" s="427" t="str">
        <f t="shared" ca="1" si="38"/>
        <v/>
      </c>
      <c r="AA189" s="426" t="str">
        <f t="shared" ca="1" si="39"/>
        <v/>
      </c>
      <c r="AB189" s="428" t="str">
        <f t="shared" ca="1" si="40"/>
        <v/>
      </c>
      <c r="AC189" s="427" t="str">
        <f t="shared" ca="1" si="41"/>
        <v/>
      </c>
      <c r="AD189" s="79"/>
      <c r="AE189" s="496">
        <f t="shared" ca="1" si="43"/>
        <v>-6.4199342330359998E-3</v>
      </c>
      <c r="AF189" s="493">
        <f t="shared" ca="1" si="44"/>
        <v>1.2460906969433571E-2</v>
      </c>
      <c r="AG189" s="493">
        <f t="shared" ca="1" si="42"/>
        <v>0</v>
      </c>
      <c r="AH189" s="498">
        <f t="shared" ca="1" si="45"/>
        <v>0</v>
      </c>
      <c r="AI189" s="497">
        <f t="shared" ca="1" si="46"/>
        <v>-6.4199342330359998E-3</v>
      </c>
      <c r="AJ189" s="493">
        <f t="shared" ca="1" si="47"/>
        <v>0.43829708644559739</v>
      </c>
      <c r="AK189" s="493">
        <f t="shared" ca="1" si="48"/>
        <v>0</v>
      </c>
      <c r="AL189" s="498">
        <f t="shared" ca="1" si="49"/>
        <v>0</v>
      </c>
      <c r="AN189" s="532" t="str">
        <f t="shared" ca="1" si="36"/>
        <v/>
      </c>
      <c r="AO189" s="524" t="str" cm="1">
        <f t="array" aca="1" ref="AO189" ca="1">IF(AN189&lt;&gt;"",TRANSPOSE(INDEX(GetCDS($C214,AO$13,$G214/10000,F214,D214,$C$13,$C$14,$C$15,$C$8,,,TRUE,TRUE,FALSE,$C$29:$C$31,$C$33),{5})),"")</f>
        <v/>
      </c>
      <c r="AP189" s="524" t="str" cm="1">
        <f t="array" aca="1" ref="AP189" ca="1">IF(AO189&lt;&gt;"",TRANSPOSE(INDEX(GetCDS($C214,AP$13,$G214/10000,G214,E214,$C$13,$C$14,$C$15,$C$8,,,TRUE,TRUE,FALSE,$C$29:$C$31,$C$33),{5})),"")</f>
        <v/>
      </c>
      <c r="AQ189" s="524" t="str" cm="1">
        <f t="array" aca="1" ref="AQ189" ca="1">IF(AP189&lt;&gt;"",TRANSPOSE(INDEX(GetCDS($C214,AQ$13,$G214/10000,H214,F214,$C$13,$C$14,$C$15,$C$8,,,TRUE,TRUE,FALSE,$C$29:$C$31,$C$33),{5})),"")</f>
        <v/>
      </c>
      <c r="AR189" s="524" t="str" cm="1">
        <f t="array" aca="1" ref="AR189" ca="1">IF(AQ189&lt;&gt;"",TRANSPOSE(INDEX(GetCDS($C214,AR$13,$G214/10000,I214,G214,$C$13,$C$14,$C$15,$C$8,,,TRUE,TRUE,FALSE,$C$29:$C$31,$C$33),{5})),"")</f>
        <v/>
      </c>
      <c r="AS189" s="525" t="str" cm="1">
        <f t="array" aca="1" ref="AS189" ca="1">IF(AR189&lt;&gt;"",TRANSPOSE(INDEX(GetCDS($C214,AS$13,$G214/10000,J214,H214,$C$13,$C$14,$C$15,$C$8,,,TRUE,TRUE,FALSE,$C$29:$C$31,$C$33),{5})),"")</f>
        <v/>
      </c>
    </row>
    <row r="190" spans="1:45" customFormat="1" ht="15">
      <c r="A190" s="227"/>
      <c r="B190" s="276">
        <v>152</v>
      </c>
      <c r="C190" s="254"/>
      <c r="D190" s="255"/>
      <c r="E190" s="247"/>
      <c r="F190" s="232"/>
      <c r="G190" s="239"/>
      <c r="H190" s="386">
        <v>176</v>
      </c>
      <c r="I190" s="404"/>
      <c r="J190" s="404"/>
      <c r="K190" s="413"/>
      <c r="L190" s="413"/>
      <c r="M190" s="413"/>
      <c r="N190" s="452"/>
      <c r="O190" s="413"/>
      <c r="P190" s="413"/>
      <c r="Q190" s="413"/>
      <c r="R190" s="452"/>
      <c r="S190" s="443"/>
      <c r="T190" s="42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3"/>
      <c r="V190" s="423"/>
      <c r="W190" s="424"/>
      <c r="X190" s="425"/>
      <c r="Y190" s="426" t="str">
        <f t="shared" ca="1" si="37"/>
        <v/>
      </c>
      <c r="Z190" s="427" t="str">
        <f t="shared" ca="1" si="38"/>
        <v/>
      </c>
      <c r="AA190" s="426" t="str">
        <f t="shared" ca="1" si="39"/>
        <v/>
      </c>
      <c r="AB190" s="428" t="str">
        <f t="shared" ca="1" si="40"/>
        <v/>
      </c>
      <c r="AC190" s="427" t="str">
        <f t="shared" ca="1" si="41"/>
        <v/>
      </c>
      <c r="AD190" s="79"/>
      <c r="AE190" s="496">
        <f t="shared" ca="1" si="43"/>
        <v>-2.4779314363469998E-3</v>
      </c>
      <c r="AF190" s="493">
        <f t="shared" ca="1" si="44"/>
        <v>2.8981371184287077E-2</v>
      </c>
      <c r="AG190" s="493">
        <f t="shared" ca="1" si="42"/>
        <v>0</v>
      </c>
      <c r="AH190" s="498">
        <f t="shared" ca="1" si="45"/>
        <v>0</v>
      </c>
      <c r="AI190" s="497">
        <f t="shared" ca="1" si="46"/>
        <v>-2.4779314363469998E-3</v>
      </c>
      <c r="AJ190" s="493">
        <f t="shared" ca="1" si="47"/>
        <v>0.34412238585478749</v>
      </c>
      <c r="AK190" s="493">
        <f t="shared" ca="1" si="48"/>
        <v>0</v>
      </c>
      <c r="AL190" s="498">
        <f t="shared" ca="1" si="49"/>
        <v>0</v>
      </c>
      <c r="AN190" s="532" t="str">
        <f t="shared" ca="1" si="36"/>
        <v/>
      </c>
      <c r="AO190" s="524" t="str" cm="1">
        <f t="array" aca="1" ref="AO190" ca="1">IF(AN190&lt;&gt;"",TRANSPOSE(INDEX(GetCDS($C215,AO$13,$G215/10000,F215,D215,$C$13,$C$14,$C$15,$C$8,,,TRUE,TRUE,FALSE,$C$29:$C$31,$C$33),{5})),"")</f>
        <v/>
      </c>
      <c r="AP190" s="524" t="str" cm="1">
        <f t="array" aca="1" ref="AP190" ca="1">IF(AO190&lt;&gt;"",TRANSPOSE(INDEX(GetCDS($C215,AP$13,$G215/10000,G215,E215,$C$13,$C$14,$C$15,$C$8,,,TRUE,TRUE,FALSE,$C$29:$C$31,$C$33),{5})),"")</f>
        <v/>
      </c>
      <c r="AQ190" s="524" t="str" cm="1">
        <f t="array" aca="1" ref="AQ190" ca="1">IF(AP190&lt;&gt;"",TRANSPOSE(INDEX(GetCDS($C215,AQ$13,$G215/10000,H215,F215,$C$13,$C$14,$C$15,$C$8,,,TRUE,TRUE,FALSE,$C$29:$C$31,$C$33),{5})),"")</f>
        <v/>
      </c>
      <c r="AR190" s="524" t="str" cm="1">
        <f t="array" aca="1" ref="AR190" ca="1">IF(AQ190&lt;&gt;"",TRANSPOSE(INDEX(GetCDS($C215,AR$13,$G215/10000,I215,G215,$C$13,$C$14,$C$15,$C$8,,,TRUE,TRUE,FALSE,$C$29:$C$31,$C$33),{5})),"")</f>
        <v/>
      </c>
      <c r="AS190" s="525" t="str" cm="1">
        <f t="array" aca="1" ref="AS190" ca="1">IF(AR190&lt;&gt;"",TRANSPOSE(INDEX(GetCDS($C215,AS$13,$G215/10000,J215,H215,$C$13,$C$14,$C$15,$C$8,,,TRUE,TRUE,FALSE,$C$29:$C$31,$C$33),{5})),"")</f>
        <v/>
      </c>
    </row>
    <row r="191" spans="1:45" customFormat="1" ht="15">
      <c r="A191" s="227"/>
      <c r="B191" s="276">
        <v>153</v>
      </c>
      <c r="C191" s="254"/>
      <c r="D191" s="255"/>
      <c r="E191" s="247"/>
      <c r="F191" s="232"/>
      <c r="G191" s="239"/>
      <c r="H191" s="386">
        <v>177</v>
      </c>
      <c r="I191" s="404"/>
      <c r="J191" s="404"/>
      <c r="K191" s="413"/>
      <c r="L191" s="413"/>
      <c r="M191" s="413"/>
      <c r="N191" s="452"/>
      <c r="O191" s="413"/>
      <c r="P191" s="413"/>
      <c r="Q191" s="413"/>
      <c r="R191" s="452"/>
      <c r="S191" s="443"/>
      <c r="T191" s="42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3"/>
      <c r="V191" s="423"/>
      <c r="W191" s="424"/>
      <c r="X191" s="425"/>
      <c r="Y191" s="426" t="str">
        <f t="shared" ca="1" si="37"/>
        <v/>
      </c>
      <c r="Z191" s="427" t="str">
        <f t="shared" ca="1" si="38"/>
        <v/>
      </c>
      <c r="AA191" s="426" t="str">
        <f t="shared" ca="1" si="39"/>
        <v/>
      </c>
      <c r="AB191" s="428" t="str">
        <f t="shared" ca="1" si="40"/>
        <v/>
      </c>
      <c r="AC191" s="427" t="str">
        <f t="shared" ca="1" si="41"/>
        <v/>
      </c>
      <c r="AD191" s="79"/>
      <c r="AE191" s="496">
        <f t="shared" ca="1" si="43"/>
        <v>-4.9943267610710104E-3</v>
      </c>
      <c r="AF191" s="493">
        <f t="shared" ca="1" si="44"/>
        <v>1.8106643710505511E-2</v>
      </c>
      <c r="AG191" s="493">
        <f t="shared" ca="1" si="42"/>
        <v>0</v>
      </c>
      <c r="AH191" s="498">
        <f t="shared" ca="1" si="45"/>
        <v>0</v>
      </c>
      <c r="AI191" s="497">
        <f t="shared" ca="1" si="46"/>
        <v>-4.9943267610710104E-3</v>
      </c>
      <c r="AJ191" s="493">
        <f t="shared" ca="1" si="47"/>
        <v>0.41155906866348418</v>
      </c>
      <c r="AK191" s="493">
        <f t="shared" ca="1" si="48"/>
        <v>0</v>
      </c>
      <c r="AL191" s="498">
        <f t="shared" ca="1" si="49"/>
        <v>0</v>
      </c>
      <c r="AN191" s="532" t="str">
        <f t="shared" ca="1" si="36"/>
        <v/>
      </c>
      <c r="AO191" s="524" t="str" cm="1">
        <f t="array" aca="1" ref="AO191" ca="1">IF(AN191&lt;&gt;"",TRANSPOSE(INDEX(GetCDS($C216,AO$13,$G216/10000,F216,D216,$C$13,$C$14,$C$15,$C$8,,,TRUE,TRUE,FALSE,$C$29:$C$31,$C$33),{5})),"")</f>
        <v/>
      </c>
      <c r="AP191" s="524" t="str" cm="1">
        <f t="array" aca="1" ref="AP191" ca="1">IF(AO191&lt;&gt;"",TRANSPOSE(INDEX(GetCDS($C216,AP$13,$G216/10000,G216,E216,$C$13,$C$14,$C$15,$C$8,,,TRUE,TRUE,FALSE,$C$29:$C$31,$C$33),{5})),"")</f>
        <v/>
      </c>
      <c r="AQ191" s="524" t="str" cm="1">
        <f t="array" aca="1" ref="AQ191" ca="1">IF(AP191&lt;&gt;"",TRANSPOSE(INDEX(GetCDS($C216,AQ$13,$G216/10000,H216,F216,$C$13,$C$14,$C$15,$C$8,,,TRUE,TRUE,FALSE,$C$29:$C$31,$C$33),{5})),"")</f>
        <v/>
      </c>
      <c r="AR191" s="524" t="str" cm="1">
        <f t="array" aca="1" ref="AR191" ca="1">IF(AQ191&lt;&gt;"",TRANSPOSE(INDEX(GetCDS($C216,AR$13,$G216/10000,I216,G216,$C$13,$C$14,$C$15,$C$8,,,TRUE,TRUE,FALSE,$C$29:$C$31,$C$33),{5})),"")</f>
        <v/>
      </c>
      <c r="AS191" s="525" t="str" cm="1">
        <f t="array" aca="1" ref="AS191" ca="1">IF(AR191&lt;&gt;"",TRANSPOSE(INDEX(GetCDS($C216,AS$13,$G216/10000,J216,H216,$C$13,$C$14,$C$15,$C$8,,,TRUE,TRUE,FALSE,$C$29:$C$31,$C$33),{5})),"")</f>
        <v/>
      </c>
    </row>
    <row r="192" spans="1:45" customFormat="1" ht="15">
      <c r="A192" s="227"/>
      <c r="B192" s="276">
        <v>154</v>
      </c>
      <c r="C192" s="254"/>
      <c r="D192" s="255"/>
      <c r="E192" s="247"/>
      <c r="F192" s="232"/>
      <c r="G192" s="239"/>
      <c r="H192" s="386">
        <v>178</v>
      </c>
      <c r="I192" s="404"/>
      <c r="J192" s="404"/>
      <c r="K192" s="413"/>
      <c r="L192" s="413"/>
      <c r="M192" s="413"/>
      <c r="N192" s="452"/>
      <c r="O192" s="413"/>
      <c r="P192" s="413"/>
      <c r="Q192" s="413"/>
      <c r="R192" s="452"/>
      <c r="S192" s="443"/>
      <c r="T192" s="42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3"/>
      <c r="V192" s="423"/>
      <c r="W192" s="424"/>
      <c r="X192" s="425"/>
      <c r="Y192" s="426" t="str">
        <f t="shared" ca="1" si="37"/>
        <v/>
      </c>
      <c r="Z192" s="427" t="str">
        <f t="shared" ca="1" si="38"/>
        <v/>
      </c>
      <c r="AA192" s="426" t="str">
        <f t="shared" ca="1" si="39"/>
        <v/>
      </c>
      <c r="AB192" s="428" t="str">
        <f t="shared" ca="1" si="40"/>
        <v/>
      </c>
      <c r="AC192" s="427" t="str">
        <f t="shared" ca="1" si="41"/>
        <v/>
      </c>
      <c r="AD192" s="79"/>
      <c r="AE192" s="496">
        <f t="shared" ca="1" si="43"/>
        <v>-2.6373549789769899E-3</v>
      </c>
      <c r="AF192" s="493">
        <f t="shared" ca="1" si="44"/>
        <v>2.8293423782403258E-2</v>
      </c>
      <c r="AG192" s="493">
        <f t="shared" ca="1" si="42"/>
        <v>0</v>
      </c>
      <c r="AH192" s="498">
        <f t="shared" ca="1" si="45"/>
        <v>0</v>
      </c>
      <c r="AI192" s="497">
        <f t="shared" ca="1" si="46"/>
        <v>-2.6373549789769899E-3</v>
      </c>
      <c r="AJ192" s="493">
        <f t="shared" ca="1" si="47"/>
        <v>0.35018929356406686</v>
      </c>
      <c r="AK192" s="493">
        <f t="shared" ca="1" si="48"/>
        <v>0</v>
      </c>
      <c r="AL192" s="498">
        <f t="shared" ca="1" si="49"/>
        <v>0</v>
      </c>
      <c r="AN192" s="532" t="str">
        <f t="shared" ca="1" si="36"/>
        <v/>
      </c>
      <c r="AO192" s="524" t="str" cm="1">
        <f t="array" aca="1" ref="AO192" ca="1">IF(AN192&lt;&gt;"",TRANSPOSE(INDEX(GetCDS($C217,AO$13,$G217/10000,F217,D217,$C$13,$C$14,$C$15,$C$8,,,TRUE,TRUE,FALSE,$C$29:$C$31,$C$33),{5})),"")</f>
        <v/>
      </c>
      <c r="AP192" s="524" t="str" cm="1">
        <f t="array" aca="1" ref="AP192" ca="1">IF(AO192&lt;&gt;"",TRANSPOSE(INDEX(GetCDS($C217,AP$13,$G217/10000,G217,E217,$C$13,$C$14,$C$15,$C$8,,,TRUE,TRUE,FALSE,$C$29:$C$31,$C$33),{5})),"")</f>
        <v/>
      </c>
      <c r="AQ192" s="524" t="str" cm="1">
        <f t="array" aca="1" ref="AQ192" ca="1">IF(AP192&lt;&gt;"",TRANSPOSE(INDEX(GetCDS($C217,AQ$13,$G217/10000,H217,F217,$C$13,$C$14,$C$15,$C$8,,,TRUE,TRUE,FALSE,$C$29:$C$31,$C$33),{5})),"")</f>
        <v/>
      </c>
      <c r="AR192" s="524" t="str" cm="1">
        <f t="array" aca="1" ref="AR192" ca="1">IF(AQ192&lt;&gt;"",TRANSPOSE(INDEX(GetCDS($C217,AR$13,$G217/10000,I217,G217,$C$13,$C$14,$C$15,$C$8,,,TRUE,TRUE,FALSE,$C$29:$C$31,$C$33),{5})),"")</f>
        <v/>
      </c>
      <c r="AS192" s="525" t="str" cm="1">
        <f t="array" aca="1" ref="AS192" ca="1">IF(AR192&lt;&gt;"",TRANSPOSE(INDEX(GetCDS($C217,AS$13,$G217/10000,J217,H217,$C$13,$C$14,$C$15,$C$8,,,TRUE,TRUE,FALSE,$C$29:$C$31,$C$33),{5})),"")</f>
        <v/>
      </c>
    </row>
    <row r="193" spans="1:45" customFormat="1" ht="15">
      <c r="A193" s="227"/>
      <c r="B193" s="276">
        <v>155</v>
      </c>
      <c r="C193" s="254"/>
      <c r="D193" s="255"/>
      <c r="E193" s="247"/>
      <c r="F193" s="232"/>
      <c r="G193" s="239"/>
      <c r="H193" s="386">
        <v>179</v>
      </c>
      <c r="I193" s="404"/>
      <c r="J193" s="404"/>
      <c r="K193" s="413"/>
      <c r="L193" s="413"/>
      <c r="M193" s="413"/>
      <c r="N193" s="452"/>
      <c r="O193" s="413"/>
      <c r="P193" s="413"/>
      <c r="Q193" s="413"/>
      <c r="R193" s="452"/>
      <c r="S193" s="443"/>
      <c r="T193" s="42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3"/>
      <c r="V193" s="423"/>
      <c r="W193" s="424"/>
      <c r="X193" s="425"/>
      <c r="Y193" s="426" t="str">
        <f t="shared" ca="1" si="37"/>
        <v/>
      </c>
      <c r="Z193" s="427" t="str">
        <f t="shared" ca="1" si="38"/>
        <v/>
      </c>
      <c r="AA193" s="426" t="str">
        <f t="shared" ca="1" si="39"/>
        <v/>
      </c>
      <c r="AB193" s="428" t="str">
        <f t="shared" ca="1" si="40"/>
        <v/>
      </c>
      <c r="AC193" s="427" t="str">
        <f t="shared" ca="1" si="41"/>
        <v/>
      </c>
      <c r="AD193" s="79"/>
      <c r="AE193" s="496">
        <f t="shared" ca="1" si="43"/>
        <v>-4.4872551636669896E-3</v>
      </c>
      <c r="AF193" s="493">
        <f t="shared" ca="1" si="44"/>
        <v>2.0191415390460141E-2</v>
      </c>
      <c r="AG193" s="493">
        <f t="shared" ca="1" si="42"/>
        <v>0</v>
      </c>
      <c r="AH193" s="498">
        <f t="shared" ca="1" si="45"/>
        <v>0</v>
      </c>
      <c r="AI193" s="497">
        <f t="shared" ca="1" si="46"/>
        <v>-4.4872551636669896E-3</v>
      </c>
      <c r="AJ193" s="493">
        <f t="shared" ca="1" si="47"/>
        <v>0.4007860784336349</v>
      </c>
      <c r="AK193" s="493">
        <f t="shared" ca="1" si="48"/>
        <v>0</v>
      </c>
      <c r="AL193" s="498">
        <f t="shared" ca="1" si="49"/>
        <v>0</v>
      </c>
      <c r="AN193" s="532" t="str">
        <f t="shared" ca="1" si="36"/>
        <v/>
      </c>
      <c r="AO193" s="524" t="str" cm="1">
        <f t="array" aca="1" ref="AO193" ca="1">IF(AN193&lt;&gt;"",TRANSPOSE(INDEX(GetCDS($C218,AO$13,$G218/10000,F218,D218,$C$13,$C$14,$C$15,$C$8,,,TRUE,TRUE,FALSE,$C$29:$C$31,$C$33),{5})),"")</f>
        <v/>
      </c>
      <c r="AP193" s="524" t="str" cm="1">
        <f t="array" aca="1" ref="AP193" ca="1">IF(AO193&lt;&gt;"",TRANSPOSE(INDEX(GetCDS($C218,AP$13,$G218/10000,G218,E218,$C$13,$C$14,$C$15,$C$8,,,TRUE,TRUE,FALSE,$C$29:$C$31,$C$33),{5})),"")</f>
        <v/>
      </c>
      <c r="AQ193" s="524" t="str" cm="1">
        <f t="array" aca="1" ref="AQ193" ca="1">IF(AP193&lt;&gt;"",TRANSPOSE(INDEX(GetCDS($C218,AQ$13,$G218/10000,H218,F218,$C$13,$C$14,$C$15,$C$8,,,TRUE,TRUE,FALSE,$C$29:$C$31,$C$33),{5})),"")</f>
        <v/>
      </c>
      <c r="AR193" s="524" t="str" cm="1">
        <f t="array" aca="1" ref="AR193" ca="1">IF(AQ193&lt;&gt;"",TRANSPOSE(INDEX(GetCDS($C218,AR$13,$G218/10000,I218,G218,$C$13,$C$14,$C$15,$C$8,,,TRUE,TRUE,FALSE,$C$29:$C$31,$C$33),{5})),"")</f>
        <v/>
      </c>
      <c r="AS193" s="525" t="str" cm="1">
        <f t="array" aca="1" ref="AS193" ca="1">IF(AR193&lt;&gt;"",TRANSPOSE(INDEX(GetCDS($C218,AS$13,$G218/10000,J218,H218,$C$13,$C$14,$C$15,$C$8,,,TRUE,TRUE,FALSE,$C$29:$C$31,$C$33),{5})),"")</f>
        <v/>
      </c>
    </row>
    <row r="194" spans="1:45" customFormat="1" ht="15">
      <c r="A194" s="227"/>
      <c r="B194" s="276">
        <v>156</v>
      </c>
      <c r="C194" s="254"/>
      <c r="D194" s="255"/>
      <c r="E194" s="247"/>
      <c r="F194" s="232"/>
      <c r="G194" s="239"/>
      <c r="H194" s="386">
        <v>180</v>
      </c>
      <c r="I194" s="404"/>
      <c r="J194" s="404"/>
      <c r="K194" s="413"/>
      <c r="L194" s="413"/>
      <c r="M194" s="413"/>
      <c r="N194" s="452"/>
      <c r="O194" s="413"/>
      <c r="P194" s="413"/>
      <c r="Q194" s="413"/>
      <c r="R194" s="452"/>
      <c r="S194" s="443"/>
      <c r="T194" s="42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3"/>
      <c r="V194" s="423"/>
      <c r="W194" s="424"/>
      <c r="X194" s="425"/>
      <c r="Y194" s="426" t="str">
        <f t="shared" ca="1" si="37"/>
        <v/>
      </c>
      <c r="Z194" s="427" t="str">
        <f t="shared" ca="1" si="38"/>
        <v/>
      </c>
      <c r="AA194" s="426" t="str">
        <f t="shared" ca="1" si="39"/>
        <v/>
      </c>
      <c r="AB194" s="428" t="str">
        <f t="shared" ca="1" si="40"/>
        <v/>
      </c>
      <c r="AC194" s="427" t="str">
        <f t="shared" ca="1" si="41"/>
        <v/>
      </c>
      <c r="AD194" s="79"/>
      <c r="AE194" s="496">
        <f t="shared" ca="1" si="43"/>
        <v>-3.08833376432602E-3</v>
      </c>
      <c r="AF194" s="493">
        <f t="shared" ca="1" si="44"/>
        <v>2.6271915296095447E-2</v>
      </c>
      <c r="AG194" s="493">
        <f t="shared" ca="1" si="42"/>
        <v>0</v>
      </c>
      <c r="AH194" s="498">
        <f t="shared" ca="1" si="45"/>
        <v>0</v>
      </c>
      <c r="AI194" s="497">
        <f t="shared" ca="1" si="46"/>
        <v>-3.08833376432602E-3</v>
      </c>
      <c r="AJ194" s="493">
        <f t="shared" ca="1" si="47"/>
        <v>0.36449468694714471</v>
      </c>
      <c r="AK194" s="493">
        <f t="shared" ca="1" si="48"/>
        <v>0</v>
      </c>
      <c r="AL194" s="498">
        <f t="shared" ca="1" si="49"/>
        <v>0</v>
      </c>
      <c r="AN194" s="532" t="str">
        <f t="shared" ca="1" si="36"/>
        <v/>
      </c>
      <c r="AO194" s="524" t="str" cm="1">
        <f t="array" aca="1" ref="AO194" ca="1">IF(AN194&lt;&gt;"",TRANSPOSE(INDEX(GetCDS($C219,AO$13,$G219/10000,F219,D219,$C$13,$C$14,$C$15,$C$8,,,TRUE,TRUE,FALSE,$C$29:$C$31,$C$33),{5})),"")</f>
        <v/>
      </c>
      <c r="AP194" s="524" t="str" cm="1">
        <f t="array" aca="1" ref="AP194" ca="1">IF(AO194&lt;&gt;"",TRANSPOSE(INDEX(GetCDS($C219,AP$13,$G219/10000,G219,E219,$C$13,$C$14,$C$15,$C$8,,,TRUE,TRUE,FALSE,$C$29:$C$31,$C$33),{5})),"")</f>
        <v/>
      </c>
      <c r="AQ194" s="524" t="str" cm="1">
        <f t="array" aca="1" ref="AQ194" ca="1">IF(AP194&lt;&gt;"",TRANSPOSE(INDEX(GetCDS($C219,AQ$13,$G219/10000,H219,F219,$C$13,$C$14,$C$15,$C$8,,,TRUE,TRUE,FALSE,$C$29:$C$31,$C$33),{5})),"")</f>
        <v/>
      </c>
      <c r="AR194" s="524" t="str" cm="1">
        <f t="array" aca="1" ref="AR194" ca="1">IF(AQ194&lt;&gt;"",TRANSPOSE(INDEX(GetCDS($C219,AR$13,$G219/10000,I219,G219,$C$13,$C$14,$C$15,$C$8,,,TRUE,TRUE,FALSE,$C$29:$C$31,$C$33),{5})),"")</f>
        <v/>
      </c>
      <c r="AS194" s="525" t="str" cm="1">
        <f t="array" aca="1" ref="AS194" ca="1">IF(AR194&lt;&gt;"",TRANSPOSE(INDEX(GetCDS($C219,AS$13,$G219/10000,J219,H219,$C$13,$C$14,$C$15,$C$8,,,TRUE,TRUE,FALSE,$C$29:$C$31,$C$33),{5})),"")</f>
        <v/>
      </c>
    </row>
    <row r="195" spans="1:45" customFormat="1" ht="15">
      <c r="A195" s="227"/>
      <c r="B195" s="276">
        <v>157</v>
      </c>
      <c r="C195" s="254"/>
      <c r="D195" s="255"/>
      <c r="E195" s="247"/>
      <c r="F195" s="232"/>
      <c r="G195" s="239"/>
      <c r="H195" s="386">
        <v>181</v>
      </c>
      <c r="I195" s="404"/>
      <c r="J195" s="404"/>
      <c r="K195" s="413"/>
      <c r="L195" s="413"/>
      <c r="M195" s="413"/>
      <c r="N195" s="452"/>
      <c r="O195" s="413"/>
      <c r="P195" s="413"/>
      <c r="Q195" s="413"/>
      <c r="R195" s="452"/>
      <c r="S195" s="443"/>
      <c r="T195" s="42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3"/>
      <c r="V195" s="423"/>
      <c r="W195" s="424"/>
      <c r="X195" s="425"/>
      <c r="Y195" s="426" t="str">
        <f t="shared" ca="1" si="37"/>
        <v/>
      </c>
      <c r="Z195" s="427" t="str">
        <f t="shared" ca="1" si="38"/>
        <v/>
      </c>
      <c r="AA195" s="426" t="str">
        <f t="shared" ca="1" si="39"/>
        <v/>
      </c>
      <c r="AB195" s="428" t="str">
        <f t="shared" ca="1" si="40"/>
        <v/>
      </c>
      <c r="AC195" s="427" t="str">
        <f t="shared" ca="1" si="41"/>
        <v/>
      </c>
      <c r="AD195" s="79"/>
      <c r="AE195" s="496">
        <f t="shared" ca="1" si="43"/>
        <v>-4.489145132098E-3</v>
      </c>
      <c r="AF195" s="493">
        <f t="shared" ca="1" si="44"/>
        <v>2.0189069914892711E-2</v>
      </c>
      <c r="AG195" s="493">
        <f t="shared" ca="1" si="42"/>
        <v>0</v>
      </c>
      <c r="AH195" s="498">
        <f t="shared" ca="1" si="45"/>
        <v>0</v>
      </c>
      <c r="AI195" s="497">
        <f t="shared" ca="1" si="46"/>
        <v>-4.489145132098E-3</v>
      </c>
      <c r="AJ195" s="493">
        <f t="shared" ca="1" si="47"/>
        <v>0.40082270874974163</v>
      </c>
      <c r="AK195" s="493">
        <f t="shared" ca="1" si="48"/>
        <v>0</v>
      </c>
      <c r="AL195" s="498">
        <f t="shared" ca="1" si="49"/>
        <v>0</v>
      </c>
      <c r="AN195" s="532" t="str">
        <f t="shared" ca="1" si="36"/>
        <v/>
      </c>
      <c r="AO195" s="524" t="str" cm="1">
        <f t="array" aca="1" ref="AO195" ca="1">IF(AN195&lt;&gt;"",TRANSPOSE(INDEX(GetCDS($C220,AO$13,$G220/10000,F220,D220,$C$13,$C$14,$C$15,$C$8,,,TRUE,TRUE,FALSE,$C$29:$C$31,$C$33),{5})),"")</f>
        <v/>
      </c>
      <c r="AP195" s="524" t="str" cm="1">
        <f t="array" aca="1" ref="AP195" ca="1">IF(AO195&lt;&gt;"",TRANSPOSE(INDEX(GetCDS($C220,AP$13,$G220/10000,G220,E220,$C$13,$C$14,$C$15,$C$8,,,TRUE,TRUE,FALSE,$C$29:$C$31,$C$33),{5})),"")</f>
        <v/>
      </c>
      <c r="AQ195" s="524" t="str" cm="1">
        <f t="array" aca="1" ref="AQ195" ca="1">IF(AP195&lt;&gt;"",TRANSPOSE(INDEX(GetCDS($C220,AQ$13,$G220/10000,H220,F220,$C$13,$C$14,$C$15,$C$8,,,TRUE,TRUE,FALSE,$C$29:$C$31,$C$33),{5})),"")</f>
        <v/>
      </c>
      <c r="AR195" s="524" t="str" cm="1">
        <f t="array" aca="1" ref="AR195" ca="1">IF(AQ195&lt;&gt;"",TRANSPOSE(INDEX(GetCDS($C220,AR$13,$G220/10000,I220,G220,$C$13,$C$14,$C$15,$C$8,,,TRUE,TRUE,FALSE,$C$29:$C$31,$C$33),{5})),"")</f>
        <v/>
      </c>
      <c r="AS195" s="525" t="str" cm="1">
        <f t="array" aca="1" ref="AS195" ca="1">IF(AR195&lt;&gt;"",TRANSPOSE(INDEX(GetCDS($C220,AS$13,$G220/10000,J220,H220,$C$13,$C$14,$C$15,$C$8,,,TRUE,TRUE,FALSE,$C$29:$C$31,$C$33),{5})),"")</f>
        <v/>
      </c>
    </row>
    <row r="196" spans="1:45" customFormat="1" ht="15">
      <c r="A196" s="227"/>
      <c r="B196" s="276">
        <v>158</v>
      </c>
      <c r="C196" s="254"/>
      <c r="D196" s="255"/>
      <c r="E196" s="247"/>
      <c r="F196" s="232"/>
      <c r="G196" s="239"/>
      <c r="H196" s="386">
        <v>182</v>
      </c>
      <c r="I196" s="404"/>
      <c r="J196" s="404"/>
      <c r="K196" s="413"/>
      <c r="L196" s="413"/>
      <c r="M196" s="413"/>
      <c r="N196" s="452"/>
      <c r="O196" s="413"/>
      <c r="P196" s="413"/>
      <c r="Q196" s="413"/>
      <c r="R196" s="452"/>
      <c r="S196" s="443"/>
      <c r="T196" s="42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3"/>
      <c r="V196" s="423"/>
      <c r="W196" s="424"/>
      <c r="X196" s="425"/>
      <c r="Y196" s="426" t="str">
        <f t="shared" ca="1" si="37"/>
        <v/>
      </c>
      <c r="Z196" s="427" t="str">
        <f t="shared" ca="1" si="38"/>
        <v/>
      </c>
      <c r="AA196" s="426" t="str">
        <f t="shared" ca="1" si="39"/>
        <v/>
      </c>
      <c r="AB196" s="428" t="str">
        <f t="shared" ca="1" si="40"/>
        <v/>
      </c>
      <c r="AC196" s="427" t="str">
        <f t="shared" ca="1" si="41"/>
        <v/>
      </c>
      <c r="AD196" s="79"/>
      <c r="AE196" s="496">
        <f t="shared" ca="1" si="43"/>
        <v>-4.2085585487160199E-3</v>
      </c>
      <c r="AF196" s="493">
        <f t="shared" ca="1" si="44"/>
        <v>2.191495977886302E-2</v>
      </c>
      <c r="AG196" s="493">
        <f t="shared" ca="1" si="42"/>
        <v>0</v>
      </c>
      <c r="AH196" s="498">
        <f t="shared" ca="1" si="45"/>
        <v>0</v>
      </c>
      <c r="AI196" s="497">
        <f t="shared" ca="1" si="46"/>
        <v>-4.2085585487160199E-3</v>
      </c>
      <c r="AJ196" s="493">
        <f t="shared" ca="1" si="47"/>
        <v>0.39372044788481519</v>
      </c>
      <c r="AK196" s="493">
        <f t="shared" ca="1" si="48"/>
        <v>0</v>
      </c>
      <c r="AL196" s="498">
        <f t="shared" ca="1" si="49"/>
        <v>0</v>
      </c>
      <c r="AN196" s="532" t="str">
        <f t="shared" ca="1" si="36"/>
        <v/>
      </c>
      <c r="AO196" s="524" t="str" cm="1">
        <f t="array" aca="1" ref="AO196" ca="1">IF(AN196&lt;&gt;"",TRANSPOSE(INDEX(GetCDS($C221,AO$13,$G221/10000,F221,D221,$C$13,$C$14,$C$15,$C$8,,,TRUE,TRUE,FALSE,$C$29:$C$31,$C$33),{5})),"")</f>
        <v/>
      </c>
      <c r="AP196" s="524" t="str" cm="1">
        <f t="array" aca="1" ref="AP196" ca="1">IF(AO196&lt;&gt;"",TRANSPOSE(INDEX(GetCDS($C221,AP$13,$G221/10000,G221,E221,$C$13,$C$14,$C$15,$C$8,,,TRUE,TRUE,FALSE,$C$29:$C$31,$C$33),{5})),"")</f>
        <v/>
      </c>
      <c r="AQ196" s="524" t="str" cm="1">
        <f t="array" aca="1" ref="AQ196" ca="1">IF(AP196&lt;&gt;"",TRANSPOSE(INDEX(GetCDS($C221,AQ$13,$G221/10000,H221,F221,$C$13,$C$14,$C$15,$C$8,,,TRUE,TRUE,FALSE,$C$29:$C$31,$C$33),{5})),"")</f>
        <v/>
      </c>
      <c r="AR196" s="524" t="str" cm="1">
        <f t="array" aca="1" ref="AR196" ca="1">IF(AQ196&lt;&gt;"",TRANSPOSE(INDEX(GetCDS($C221,AR$13,$G221/10000,I221,G221,$C$13,$C$14,$C$15,$C$8,,,TRUE,TRUE,FALSE,$C$29:$C$31,$C$33),{5})),"")</f>
        <v/>
      </c>
      <c r="AS196" s="525" t="str" cm="1">
        <f t="array" aca="1" ref="AS196" ca="1">IF(AR196&lt;&gt;"",TRANSPOSE(INDEX(GetCDS($C221,AS$13,$G221/10000,J221,H221,$C$13,$C$14,$C$15,$C$8,,,TRUE,TRUE,FALSE,$C$29:$C$31,$C$33),{5})),"")</f>
        <v/>
      </c>
    </row>
    <row r="197" spans="1:45" customFormat="1" ht="15">
      <c r="A197" s="227"/>
      <c r="B197" s="276">
        <v>159</v>
      </c>
      <c r="C197" s="254"/>
      <c r="D197" s="255"/>
      <c r="E197" s="247"/>
      <c r="F197" s="232"/>
      <c r="G197" s="239"/>
      <c r="H197" s="386">
        <v>183</v>
      </c>
      <c r="I197" s="404"/>
      <c r="J197" s="404"/>
      <c r="K197" s="413"/>
      <c r="L197" s="413"/>
      <c r="M197" s="413"/>
      <c r="N197" s="452"/>
      <c r="O197" s="413"/>
      <c r="P197" s="413"/>
      <c r="Q197" s="413"/>
      <c r="R197" s="452"/>
      <c r="S197" s="443"/>
      <c r="T197" s="42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3"/>
      <c r="V197" s="423"/>
      <c r="W197" s="424"/>
      <c r="X197" s="425"/>
      <c r="Y197" s="426" t="str">
        <f t="shared" ca="1" si="37"/>
        <v/>
      </c>
      <c r="Z197" s="427" t="str">
        <f t="shared" ca="1" si="38"/>
        <v/>
      </c>
      <c r="AA197" s="426" t="str">
        <f t="shared" ca="1" si="39"/>
        <v/>
      </c>
      <c r="AB197" s="428" t="str">
        <f t="shared" ca="1" si="40"/>
        <v/>
      </c>
      <c r="AC197" s="427" t="str">
        <f t="shared" ca="1" si="41"/>
        <v/>
      </c>
      <c r="AD197" s="79"/>
      <c r="AE197" s="496">
        <f t="shared" ca="1" si="43"/>
        <v>-2.9158384452969998E-3</v>
      </c>
      <c r="AF197" s="493">
        <f t="shared" ca="1" si="44"/>
        <v>2.7409388398814228E-2</v>
      </c>
      <c r="AG197" s="493">
        <f t="shared" ca="1" si="42"/>
        <v>0</v>
      </c>
      <c r="AH197" s="498">
        <f t="shared" ca="1" si="45"/>
        <v>0</v>
      </c>
      <c r="AI197" s="497">
        <f t="shared" ca="1" si="46"/>
        <v>-2.9158384452969998E-3</v>
      </c>
      <c r="AJ197" s="493">
        <f t="shared" ca="1" si="47"/>
        <v>0.35904782285863557</v>
      </c>
      <c r="AK197" s="493">
        <f t="shared" ca="1" si="48"/>
        <v>0</v>
      </c>
      <c r="AL197" s="498">
        <f t="shared" ca="1" si="49"/>
        <v>0</v>
      </c>
      <c r="AN197" s="532" t="str">
        <f t="shared" ca="1" si="36"/>
        <v/>
      </c>
      <c r="AO197" s="524" t="str" cm="1">
        <f t="array" aca="1" ref="AO197" ca="1">IF(AN197&lt;&gt;"",TRANSPOSE(INDEX(GetCDS($C222,AO$13,$G222/10000,F222,D222,$C$13,$C$14,$C$15,$C$8,,,TRUE,TRUE,FALSE,$C$29:$C$31,$C$33),{5})),"")</f>
        <v/>
      </c>
      <c r="AP197" s="524" t="str" cm="1">
        <f t="array" aca="1" ref="AP197" ca="1">IF(AO197&lt;&gt;"",TRANSPOSE(INDEX(GetCDS($C222,AP$13,$G222/10000,G222,E222,$C$13,$C$14,$C$15,$C$8,,,TRUE,TRUE,FALSE,$C$29:$C$31,$C$33),{5})),"")</f>
        <v/>
      </c>
      <c r="AQ197" s="524" t="str" cm="1">
        <f t="array" aca="1" ref="AQ197" ca="1">IF(AP197&lt;&gt;"",TRANSPOSE(INDEX(GetCDS($C222,AQ$13,$G222/10000,H222,F222,$C$13,$C$14,$C$15,$C$8,,,TRUE,TRUE,FALSE,$C$29:$C$31,$C$33),{5})),"")</f>
        <v/>
      </c>
      <c r="AR197" s="524" t="str" cm="1">
        <f t="array" aca="1" ref="AR197" ca="1">IF(AQ197&lt;&gt;"",TRANSPOSE(INDEX(GetCDS($C222,AR$13,$G222/10000,I222,G222,$C$13,$C$14,$C$15,$C$8,,,TRUE,TRUE,FALSE,$C$29:$C$31,$C$33),{5})),"")</f>
        <v/>
      </c>
      <c r="AS197" s="525" t="str" cm="1">
        <f t="array" aca="1" ref="AS197" ca="1">IF(AR197&lt;&gt;"",TRANSPOSE(INDEX(GetCDS($C222,AS$13,$G222/10000,J222,H222,$C$13,$C$14,$C$15,$C$8,,,TRUE,TRUE,FALSE,$C$29:$C$31,$C$33),{5})),"")</f>
        <v/>
      </c>
    </row>
    <row r="198" spans="1:45" customFormat="1" ht="15">
      <c r="A198" s="227"/>
      <c r="B198" s="276">
        <v>160</v>
      </c>
      <c r="C198" s="254"/>
      <c r="D198" s="255"/>
      <c r="E198" s="247"/>
      <c r="F198" s="232"/>
      <c r="G198" s="239"/>
      <c r="H198" s="386">
        <v>184</v>
      </c>
      <c r="I198" s="404"/>
      <c r="J198" s="404"/>
      <c r="K198" s="413"/>
      <c r="L198" s="413"/>
      <c r="M198" s="413"/>
      <c r="N198" s="452"/>
      <c r="O198" s="413"/>
      <c r="P198" s="413"/>
      <c r="Q198" s="413"/>
      <c r="R198" s="452"/>
      <c r="S198" s="443"/>
      <c r="T198" s="42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3"/>
      <c r="V198" s="423"/>
      <c r="W198" s="424"/>
      <c r="X198" s="425"/>
      <c r="Y198" s="426" t="str">
        <f t="shared" ca="1" si="37"/>
        <v/>
      </c>
      <c r="Z198" s="427" t="str">
        <f t="shared" ca="1" si="38"/>
        <v/>
      </c>
      <c r="AA198" s="426" t="str">
        <f t="shared" ca="1" si="39"/>
        <v/>
      </c>
      <c r="AB198" s="428" t="str">
        <f t="shared" ca="1" si="40"/>
        <v/>
      </c>
      <c r="AC198" s="427" t="str">
        <f t="shared" ca="1" si="41"/>
        <v/>
      </c>
      <c r="AD198" s="79"/>
      <c r="AE198" s="496">
        <f t="shared" ca="1" si="43"/>
        <v>-3.3774530317459998E-3</v>
      </c>
      <c r="AF198" s="493">
        <f t="shared" ca="1" si="44"/>
        <v>2.4954624151525662E-2</v>
      </c>
      <c r="AG198" s="493">
        <f t="shared" ca="1" si="42"/>
        <v>0</v>
      </c>
      <c r="AH198" s="498">
        <f t="shared" ca="1" si="45"/>
        <v>0</v>
      </c>
      <c r="AI198" s="497">
        <f t="shared" ca="1" si="46"/>
        <v>-3.3774530317459998E-3</v>
      </c>
      <c r="AJ198" s="493">
        <f t="shared" ca="1" si="47"/>
        <v>0.37303757950194738</v>
      </c>
      <c r="AK198" s="493">
        <f t="shared" ca="1" si="48"/>
        <v>0</v>
      </c>
      <c r="AL198" s="498">
        <f t="shared" ca="1" si="49"/>
        <v>0</v>
      </c>
      <c r="AN198" s="532" t="str">
        <f t="shared" ca="1" si="36"/>
        <v/>
      </c>
      <c r="AO198" s="524" t="str" cm="1">
        <f t="array" aca="1" ref="AO198" ca="1">IF(AN198&lt;&gt;"",TRANSPOSE(INDEX(GetCDS($C223,AO$13,$G223/10000,F223,D223,$C$13,$C$14,$C$15,$C$8,,,TRUE,TRUE,FALSE,$C$29:$C$31,$C$33),{5})),"")</f>
        <v/>
      </c>
      <c r="AP198" s="524" t="str" cm="1">
        <f t="array" aca="1" ref="AP198" ca="1">IF(AO198&lt;&gt;"",TRANSPOSE(INDEX(GetCDS($C223,AP$13,$G223/10000,G223,E223,$C$13,$C$14,$C$15,$C$8,,,TRUE,TRUE,FALSE,$C$29:$C$31,$C$33),{5})),"")</f>
        <v/>
      </c>
      <c r="AQ198" s="524" t="str" cm="1">
        <f t="array" aca="1" ref="AQ198" ca="1">IF(AP198&lt;&gt;"",TRANSPOSE(INDEX(GetCDS($C223,AQ$13,$G223/10000,H223,F223,$C$13,$C$14,$C$15,$C$8,,,TRUE,TRUE,FALSE,$C$29:$C$31,$C$33),{5})),"")</f>
        <v/>
      </c>
      <c r="AR198" s="524" t="str" cm="1">
        <f t="array" aca="1" ref="AR198" ca="1">IF(AQ198&lt;&gt;"",TRANSPOSE(INDEX(GetCDS($C223,AR$13,$G223/10000,I223,G223,$C$13,$C$14,$C$15,$C$8,,,TRUE,TRUE,FALSE,$C$29:$C$31,$C$33),{5})),"")</f>
        <v/>
      </c>
      <c r="AS198" s="525" t="str" cm="1">
        <f t="array" aca="1" ref="AS198" ca="1">IF(AR198&lt;&gt;"",TRANSPOSE(INDEX(GetCDS($C223,AS$13,$G223/10000,J223,H223,$C$13,$C$14,$C$15,$C$8,,,TRUE,TRUE,FALSE,$C$29:$C$31,$C$33),{5})),"")</f>
        <v/>
      </c>
    </row>
    <row r="199" spans="1:45" customFormat="1" ht="15">
      <c r="A199" s="227"/>
      <c r="B199" s="276">
        <v>161</v>
      </c>
      <c r="C199" s="254"/>
      <c r="D199" s="255"/>
      <c r="E199" s="247"/>
      <c r="F199" s="232"/>
      <c r="G199" s="239"/>
      <c r="H199" s="386">
        <v>185</v>
      </c>
      <c r="I199" s="404"/>
      <c r="J199" s="404"/>
      <c r="K199" s="413"/>
      <c r="L199" s="413"/>
      <c r="M199" s="413"/>
      <c r="N199" s="452"/>
      <c r="O199" s="413"/>
      <c r="P199" s="413"/>
      <c r="Q199" s="413"/>
      <c r="R199" s="452"/>
      <c r="S199" s="443"/>
      <c r="T199" s="42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3"/>
      <c r="V199" s="423"/>
      <c r="W199" s="424"/>
      <c r="X199" s="425"/>
      <c r="Y199" s="426" t="str">
        <f t="shared" ca="1" si="37"/>
        <v/>
      </c>
      <c r="Z199" s="427" t="str">
        <f t="shared" ca="1" si="38"/>
        <v/>
      </c>
      <c r="AA199" s="426" t="str">
        <f t="shared" ca="1" si="39"/>
        <v/>
      </c>
      <c r="AB199" s="428" t="str">
        <f t="shared" ca="1" si="40"/>
        <v/>
      </c>
      <c r="AC199" s="427" t="str">
        <f t="shared" ca="1" si="41"/>
        <v/>
      </c>
      <c r="AD199" s="79"/>
      <c r="AE199" s="496">
        <f t="shared" ca="1" si="43"/>
        <v>-8.1779842043600004E-3</v>
      </c>
      <c r="AF199" s="493">
        <f t="shared" ca="1" si="44"/>
        <v>5.9005345403380996E-3</v>
      </c>
      <c r="AG199" s="493">
        <f t="shared" ca="1" si="42"/>
        <v>0</v>
      </c>
      <c r="AH199" s="498">
        <f t="shared" ca="1" si="45"/>
        <v>0</v>
      </c>
      <c r="AI199" s="497">
        <f t="shared" ca="1" si="46"/>
        <v>-8.1779842043600004E-3</v>
      </c>
      <c r="AJ199" s="493">
        <f t="shared" ca="1" si="47"/>
        <v>0.46535494321802978</v>
      </c>
      <c r="AK199" s="493">
        <f t="shared" ca="1" si="48"/>
        <v>0</v>
      </c>
      <c r="AL199" s="498">
        <f t="shared" ca="1" si="49"/>
        <v>0</v>
      </c>
      <c r="AN199" s="532" t="str">
        <f t="shared" ca="1" si="36"/>
        <v/>
      </c>
      <c r="AO199" s="524" t="str" cm="1">
        <f t="array" aca="1" ref="AO199" ca="1">IF(AN199&lt;&gt;"",TRANSPOSE(INDEX(GetCDS($C224,AO$13,$G224/10000,F224,D224,$C$13,$C$14,$C$15,$C$8,,,TRUE,TRUE,FALSE,$C$29:$C$31,$C$33),{5})),"")</f>
        <v/>
      </c>
      <c r="AP199" s="524" t="str" cm="1">
        <f t="array" aca="1" ref="AP199" ca="1">IF(AO199&lt;&gt;"",TRANSPOSE(INDEX(GetCDS($C224,AP$13,$G224/10000,G224,E224,$C$13,$C$14,$C$15,$C$8,,,TRUE,TRUE,FALSE,$C$29:$C$31,$C$33),{5})),"")</f>
        <v/>
      </c>
      <c r="AQ199" s="524" t="str" cm="1">
        <f t="array" aca="1" ref="AQ199" ca="1">IF(AP199&lt;&gt;"",TRANSPOSE(INDEX(GetCDS($C224,AQ$13,$G224/10000,H224,F224,$C$13,$C$14,$C$15,$C$8,,,TRUE,TRUE,FALSE,$C$29:$C$31,$C$33),{5})),"")</f>
        <v/>
      </c>
      <c r="AR199" s="524" t="str" cm="1">
        <f t="array" aca="1" ref="AR199" ca="1">IF(AQ199&lt;&gt;"",TRANSPOSE(INDEX(GetCDS($C224,AR$13,$G224/10000,I224,G224,$C$13,$C$14,$C$15,$C$8,,,TRUE,TRUE,FALSE,$C$29:$C$31,$C$33),{5})),"")</f>
        <v/>
      </c>
      <c r="AS199" s="525" t="str" cm="1">
        <f t="array" aca="1" ref="AS199" ca="1">IF(AR199&lt;&gt;"",TRANSPOSE(INDEX(GetCDS($C224,AS$13,$G224/10000,J224,H224,$C$13,$C$14,$C$15,$C$8,,,TRUE,TRUE,FALSE,$C$29:$C$31,$C$33),{5})),"")</f>
        <v/>
      </c>
    </row>
    <row r="200" spans="1:45" customFormat="1" ht="15">
      <c r="A200" s="227"/>
      <c r="B200" s="276">
        <v>162</v>
      </c>
      <c r="C200" s="254"/>
      <c r="D200" s="255"/>
      <c r="E200" s="247"/>
      <c r="F200" s="232"/>
      <c r="G200" s="239"/>
      <c r="H200" s="386">
        <v>186</v>
      </c>
      <c r="I200" s="404"/>
      <c r="J200" s="404"/>
      <c r="K200" s="413"/>
      <c r="L200" s="413"/>
      <c r="M200" s="413"/>
      <c r="N200" s="452"/>
      <c r="O200" s="413"/>
      <c r="P200" s="413"/>
      <c r="Q200" s="413"/>
      <c r="R200" s="452"/>
      <c r="S200" s="443"/>
      <c r="T200" s="42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3"/>
      <c r="V200" s="423"/>
      <c r="W200" s="424"/>
      <c r="X200" s="425"/>
      <c r="Y200" s="426" t="str">
        <f t="shared" ca="1" si="37"/>
        <v/>
      </c>
      <c r="Z200" s="427" t="str">
        <f t="shared" ca="1" si="38"/>
        <v/>
      </c>
      <c r="AA200" s="426" t="str">
        <f t="shared" ca="1" si="39"/>
        <v/>
      </c>
      <c r="AB200" s="428" t="str">
        <f t="shared" ca="1" si="40"/>
        <v/>
      </c>
      <c r="AC200" s="427" t="str">
        <f t="shared" ca="1" si="41"/>
        <v/>
      </c>
      <c r="AD200" s="79"/>
      <c r="AE200" s="496">
        <f t="shared" ca="1" si="43"/>
        <v>-3.5066227983049899E-3</v>
      </c>
      <c r="AF200" s="493">
        <f t="shared" ca="1" si="44"/>
        <v>2.4316985873385301E-2</v>
      </c>
      <c r="AG200" s="493">
        <f t="shared" ca="1" si="42"/>
        <v>0</v>
      </c>
      <c r="AH200" s="498">
        <f t="shared" ca="1" si="45"/>
        <v>0</v>
      </c>
      <c r="AI200" s="497">
        <f t="shared" ca="1" si="46"/>
        <v>-3.5066227983049899E-3</v>
      </c>
      <c r="AJ200" s="493">
        <f t="shared" ca="1" si="47"/>
        <v>0.3761795716708502</v>
      </c>
      <c r="AK200" s="493">
        <f t="shared" ca="1" si="48"/>
        <v>0</v>
      </c>
      <c r="AL200" s="498">
        <f t="shared" ca="1" si="49"/>
        <v>0</v>
      </c>
      <c r="AN200" s="532" t="str">
        <f t="shared" ca="1" si="36"/>
        <v/>
      </c>
      <c r="AO200" s="524" t="str" cm="1">
        <f t="array" aca="1" ref="AO200" ca="1">IF(AN200&lt;&gt;"",TRANSPOSE(INDEX(GetCDS($C225,AO$13,$G225/10000,F225,D225,$C$13,$C$14,$C$15,$C$8,,,TRUE,TRUE,FALSE,$C$29:$C$31,$C$33),{5})),"")</f>
        <v/>
      </c>
      <c r="AP200" s="524" t="str" cm="1">
        <f t="array" aca="1" ref="AP200" ca="1">IF(AO200&lt;&gt;"",TRANSPOSE(INDEX(GetCDS($C225,AP$13,$G225/10000,G225,E225,$C$13,$C$14,$C$15,$C$8,,,TRUE,TRUE,FALSE,$C$29:$C$31,$C$33),{5})),"")</f>
        <v/>
      </c>
      <c r="AQ200" s="524" t="str" cm="1">
        <f t="array" aca="1" ref="AQ200" ca="1">IF(AP200&lt;&gt;"",TRANSPOSE(INDEX(GetCDS($C225,AQ$13,$G225/10000,H225,F225,$C$13,$C$14,$C$15,$C$8,,,TRUE,TRUE,FALSE,$C$29:$C$31,$C$33),{5})),"")</f>
        <v/>
      </c>
      <c r="AR200" s="524" t="str" cm="1">
        <f t="array" aca="1" ref="AR200" ca="1">IF(AQ200&lt;&gt;"",TRANSPOSE(INDEX(GetCDS($C225,AR$13,$G225/10000,I225,G225,$C$13,$C$14,$C$15,$C$8,,,TRUE,TRUE,FALSE,$C$29:$C$31,$C$33),{5})),"")</f>
        <v/>
      </c>
      <c r="AS200" s="525" t="str" cm="1">
        <f t="array" aca="1" ref="AS200" ca="1">IF(AR200&lt;&gt;"",TRANSPOSE(INDEX(GetCDS($C225,AS$13,$G225/10000,J225,H225,$C$13,$C$14,$C$15,$C$8,,,TRUE,TRUE,FALSE,$C$29:$C$31,$C$33),{5})),"")</f>
        <v/>
      </c>
    </row>
    <row r="201" spans="1:45" customFormat="1" ht="15">
      <c r="A201" s="227"/>
      <c r="B201" s="276">
        <v>163</v>
      </c>
      <c r="C201" s="254"/>
      <c r="D201" s="255"/>
      <c r="E201" s="247"/>
      <c r="F201" s="232"/>
      <c r="G201" s="239"/>
      <c r="H201" s="386">
        <v>187</v>
      </c>
      <c r="I201" s="404"/>
      <c r="J201" s="404"/>
      <c r="K201" s="413"/>
      <c r="L201" s="413"/>
      <c r="M201" s="413"/>
      <c r="N201" s="452"/>
      <c r="O201" s="413"/>
      <c r="P201" s="413"/>
      <c r="Q201" s="413"/>
      <c r="R201" s="452"/>
      <c r="S201" s="443"/>
      <c r="T201" s="42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3"/>
      <c r="V201" s="423"/>
      <c r="W201" s="424"/>
      <c r="X201" s="425"/>
      <c r="Y201" s="426" t="str">
        <f t="shared" ca="1" si="37"/>
        <v/>
      </c>
      <c r="Z201" s="427" t="str">
        <f t="shared" ca="1" si="38"/>
        <v/>
      </c>
      <c r="AA201" s="426" t="str">
        <f t="shared" ca="1" si="39"/>
        <v/>
      </c>
      <c r="AB201" s="428" t="str">
        <f t="shared" ca="1" si="40"/>
        <v/>
      </c>
      <c r="AC201" s="427" t="str">
        <f t="shared" ca="1" si="41"/>
        <v/>
      </c>
      <c r="AD201" s="79"/>
      <c r="AE201" s="496">
        <f t="shared" ca="1" si="43"/>
        <v>-3.99383588376101E-3</v>
      </c>
      <c r="AF201" s="493">
        <f t="shared" ca="1" si="44"/>
        <v>2.2259068379480988E-2</v>
      </c>
      <c r="AG201" s="493">
        <f t="shared" ca="1" si="42"/>
        <v>0</v>
      </c>
      <c r="AH201" s="498">
        <f t="shared" ca="1" si="45"/>
        <v>0</v>
      </c>
      <c r="AI201" s="497">
        <f t="shared" ca="1" si="46"/>
        <v>-3.99383588376101E-3</v>
      </c>
      <c r="AJ201" s="493">
        <f t="shared" ca="1" si="47"/>
        <v>0.38905961638733788</v>
      </c>
      <c r="AK201" s="493">
        <f t="shared" ca="1" si="48"/>
        <v>0</v>
      </c>
      <c r="AL201" s="498">
        <f t="shared" ca="1" si="49"/>
        <v>0</v>
      </c>
      <c r="AN201" s="532" t="str">
        <f t="shared" ca="1" si="36"/>
        <v/>
      </c>
      <c r="AO201" s="524" t="str" cm="1">
        <f t="array" aca="1" ref="AO201" ca="1">IF(AN201&lt;&gt;"",TRANSPOSE(INDEX(GetCDS($C226,AO$13,$G226/10000,F226,D226,$C$13,$C$14,$C$15,$C$8,,,TRUE,TRUE,FALSE,$C$29:$C$31,$C$33),{5})),"")</f>
        <v/>
      </c>
      <c r="AP201" s="524" t="str" cm="1">
        <f t="array" aca="1" ref="AP201" ca="1">IF(AO201&lt;&gt;"",TRANSPOSE(INDEX(GetCDS($C226,AP$13,$G226/10000,G226,E226,$C$13,$C$14,$C$15,$C$8,,,TRUE,TRUE,FALSE,$C$29:$C$31,$C$33),{5})),"")</f>
        <v/>
      </c>
      <c r="AQ201" s="524" t="str" cm="1">
        <f t="array" aca="1" ref="AQ201" ca="1">IF(AP201&lt;&gt;"",TRANSPOSE(INDEX(GetCDS($C226,AQ$13,$G226/10000,H226,F226,$C$13,$C$14,$C$15,$C$8,,,TRUE,TRUE,FALSE,$C$29:$C$31,$C$33),{5})),"")</f>
        <v/>
      </c>
      <c r="AR201" s="524" t="str" cm="1">
        <f t="array" aca="1" ref="AR201" ca="1">IF(AQ201&lt;&gt;"",TRANSPOSE(INDEX(GetCDS($C226,AR$13,$G226/10000,I226,G226,$C$13,$C$14,$C$15,$C$8,,,TRUE,TRUE,FALSE,$C$29:$C$31,$C$33),{5})),"")</f>
        <v/>
      </c>
      <c r="AS201" s="525" t="str" cm="1">
        <f t="array" aca="1" ref="AS201" ca="1">IF(AR201&lt;&gt;"",TRANSPOSE(INDEX(GetCDS($C226,AS$13,$G226/10000,J226,H226,$C$13,$C$14,$C$15,$C$8,,,TRUE,TRUE,FALSE,$C$29:$C$31,$C$33),{5})),"")</f>
        <v/>
      </c>
    </row>
    <row r="202" spans="1:45" customFormat="1" ht="15">
      <c r="A202" s="227"/>
      <c r="B202" s="276">
        <v>164</v>
      </c>
      <c r="C202" s="254"/>
      <c r="D202" s="255"/>
      <c r="E202" s="247"/>
      <c r="F202" s="232"/>
      <c r="G202" s="239"/>
      <c r="H202" s="386">
        <v>188</v>
      </c>
      <c r="I202" s="404"/>
      <c r="J202" s="404"/>
      <c r="K202" s="413"/>
      <c r="L202" s="413"/>
      <c r="M202" s="413"/>
      <c r="N202" s="452"/>
      <c r="O202" s="413"/>
      <c r="P202" s="413"/>
      <c r="Q202" s="413"/>
      <c r="R202" s="452"/>
      <c r="S202" s="443"/>
      <c r="T202" s="42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3"/>
      <c r="V202" s="423"/>
      <c r="W202" s="424"/>
      <c r="X202" s="425"/>
      <c r="Y202" s="426" t="str">
        <f t="shared" ca="1" si="37"/>
        <v/>
      </c>
      <c r="Z202" s="427" t="str">
        <f t="shared" ca="1" si="38"/>
        <v/>
      </c>
      <c r="AA202" s="426" t="str">
        <f t="shared" ca="1" si="39"/>
        <v/>
      </c>
      <c r="AB202" s="428" t="str">
        <f t="shared" ca="1" si="40"/>
        <v/>
      </c>
      <c r="AC202" s="427" t="str">
        <f t="shared" ca="1" si="41"/>
        <v/>
      </c>
      <c r="AD202" s="79"/>
      <c r="AE202" s="496">
        <f t="shared" ca="1" si="43"/>
        <v>-2.4898755429390001E-3</v>
      </c>
      <c r="AF202" s="493">
        <f t="shared" ca="1" si="44"/>
        <v>2.896415675236608E-2</v>
      </c>
      <c r="AG202" s="493">
        <f t="shared" ca="1" si="42"/>
        <v>0</v>
      </c>
      <c r="AH202" s="498">
        <f t="shared" ca="1" si="45"/>
        <v>0</v>
      </c>
      <c r="AI202" s="497">
        <f t="shared" ca="1" si="46"/>
        <v>-2.4898755429390001E-3</v>
      </c>
      <c r="AJ202" s="493">
        <f t="shared" ca="1" si="47"/>
        <v>0.34499756286518662</v>
      </c>
      <c r="AK202" s="493">
        <f t="shared" ca="1" si="48"/>
        <v>0</v>
      </c>
      <c r="AL202" s="498">
        <f t="shared" ca="1" si="49"/>
        <v>0</v>
      </c>
      <c r="AN202" s="532" t="str">
        <f t="shared" ca="1" si="36"/>
        <v/>
      </c>
      <c r="AO202" s="524" t="str" cm="1">
        <f t="array" aca="1" ref="AO202" ca="1">IF(AN202&lt;&gt;"",TRANSPOSE(INDEX(GetCDS($C227,AO$13,$G227/10000,F227,D227,$C$13,$C$14,$C$15,$C$8,,,TRUE,TRUE,FALSE,$C$29:$C$31,$C$33),{5})),"")</f>
        <v/>
      </c>
      <c r="AP202" s="524" t="str" cm="1">
        <f t="array" aca="1" ref="AP202" ca="1">IF(AO202&lt;&gt;"",TRANSPOSE(INDEX(GetCDS($C227,AP$13,$G227/10000,G227,E227,$C$13,$C$14,$C$15,$C$8,,,TRUE,TRUE,FALSE,$C$29:$C$31,$C$33),{5})),"")</f>
        <v/>
      </c>
      <c r="AQ202" s="524" t="str" cm="1">
        <f t="array" aca="1" ref="AQ202" ca="1">IF(AP202&lt;&gt;"",TRANSPOSE(INDEX(GetCDS($C227,AQ$13,$G227/10000,H227,F227,$C$13,$C$14,$C$15,$C$8,,,TRUE,TRUE,FALSE,$C$29:$C$31,$C$33),{5})),"")</f>
        <v/>
      </c>
      <c r="AR202" s="524" t="str" cm="1">
        <f t="array" aca="1" ref="AR202" ca="1">IF(AQ202&lt;&gt;"",TRANSPOSE(INDEX(GetCDS($C227,AR$13,$G227/10000,I227,G227,$C$13,$C$14,$C$15,$C$8,,,TRUE,TRUE,FALSE,$C$29:$C$31,$C$33),{5})),"")</f>
        <v/>
      </c>
      <c r="AS202" s="525" t="str" cm="1">
        <f t="array" aca="1" ref="AS202" ca="1">IF(AR202&lt;&gt;"",TRANSPOSE(INDEX(GetCDS($C227,AS$13,$G227/10000,J227,H227,$C$13,$C$14,$C$15,$C$8,,,TRUE,TRUE,FALSE,$C$29:$C$31,$C$33),{5})),"")</f>
        <v/>
      </c>
    </row>
    <row r="203" spans="1:45" customFormat="1" ht="15">
      <c r="A203" s="227"/>
      <c r="B203" s="276">
        <v>165</v>
      </c>
      <c r="C203" s="254"/>
      <c r="D203" s="255"/>
      <c r="E203" s="247"/>
      <c r="F203" s="232"/>
      <c r="G203" s="239"/>
      <c r="H203" s="386">
        <v>189</v>
      </c>
      <c r="I203" s="404"/>
      <c r="J203" s="404"/>
      <c r="K203" s="413"/>
      <c r="L203" s="413"/>
      <c r="M203" s="413"/>
      <c r="N203" s="452"/>
      <c r="O203" s="413"/>
      <c r="P203" s="413"/>
      <c r="Q203" s="413"/>
      <c r="R203" s="452"/>
      <c r="S203" s="443"/>
      <c r="T203" s="42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3"/>
      <c r="V203" s="423"/>
      <c r="W203" s="424"/>
      <c r="X203" s="425"/>
      <c r="Y203" s="426" t="str">
        <f t="shared" ca="1" si="37"/>
        <v/>
      </c>
      <c r="Z203" s="427" t="str">
        <f t="shared" ca="1" si="38"/>
        <v/>
      </c>
      <c r="AA203" s="426" t="str">
        <f t="shared" ca="1" si="39"/>
        <v/>
      </c>
      <c r="AB203" s="428" t="str">
        <f t="shared" ca="1" si="40"/>
        <v/>
      </c>
      <c r="AC203" s="427" t="str">
        <f t="shared" ca="1" si="41"/>
        <v/>
      </c>
      <c r="AD203" s="79"/>
      <c r="AE203" s="496">
        <f t="shared" ca="1" si="43"/>
        <v>-9.8460809487050105E-3</v>
      </c>
      <c r="AF203" s="493">
        <f t="shared" ca="1" si="44"/>
        <v>7.3462430539098997E-5</v>
      </c>
      <c r="AG203" s="493">
        <f t="shared" ca="1" si="42"/>
        <v>0</v>
      </c>
      <c r="AH203" s="498">
        <f t="shared" ca="1" si="45"/>
        <v>0</v>
      </c>
      <c r="AI203" s="497">
        <f t="shared" ca="1" si="46"/>
        <v>-9.8460809487050105E-3</v>
      </c>
      <c r="AJ203" s="493">
        <f t="shared" ca="1" si="47"/>
        <v>0.48699093520451564</v>
      </c>
      <c r="AK203" s="493">
        <f t="shared" ca="1" si="48"/>
        <v>0</v>
      </c>
      <c r="AL203" s="498">
        <f t="shared" ca="1" si="49"/>
        <v>0</v>
      </c>
      <c r="AN203" s="532" t="str">
        <f t="shared" ca="1" si="36"/>
        <v/>
      </c>
      <c r="AO203" s="524" t="str" cm="1">
        <f t="array" aca="1" ref="AO203" ca="1">IF(AN203&lt;&gt;"",TRANSPOSE(INDEX(GetCDS($C228,AO$13,$G228/10000,F228,D228,$C$13,$C$14,$C$15,$C$8,,,TRUE,TRUE,FALSE,$C$29:$C$31,$C$33),{5})),"")</f>
        <v/>
      </c>
      <c r="AP203" s="524" t="str" cm="1">
        <f t="array" aca="1" ref="AP203" ca="1">IF(AO203&lt;&gt;"",TRANSPOSE(INDEX(GetCDS($C228,AP$13,$G228/10000,G228,E228,$C$13,$C$14,$C$15,$C$8,,,TRUE,TRUE,FALSE,$C$29:$C$31,$C$33),{5})),"")</f>
        <v/>
      </c>
      <c r="AQ203" s="524" t="str" cm="1">
        <f t="array" aca="1" ref="AQ203" ca="1">IF(AP203&lt;&gt;"",TRANSPOSE(INDEX(GetCDS($C228,AQ$13,$G228/10000,H228,F228,$C$13,$C$14,$C$15,$C$8,,,TRUE,TRUE,FALSE,$C$29:$C$31,$C$33),{5})),"")</f>
        <v/>
      </c>
      <c r="AR203" s="524" t="str" cm="1">
        <f t="array" aca="1" ref="AR203" ca="1">IF(AQ203&lt;&gt;"",TRANSPOSE(INDEX(GetCDS($C228,AR$13,$G228/10000,I228,G228,$C$13,$C$14,$C$15,$C$8,,,TRUE,TRUE,FALSE,$C$29:$C$31,$C$33),{5})),"")</f>
        <v/>
      </c>
      <c r="AS203" s="525" t="str" cm="1">
        <f t="array" aca="1" ref="AS203" ca="1">IF(AR203&lt;&gt;"",TRANSPOSE(INDEX(GetCDS($C228,AS$13,$G228/10000,J228,H228,$C$13,$C$14,$C$15,$C$8,,,TRUE,TRUE,FALSE,$C$29:$C$31,$C$33),{5})),"")</f>
        <v/>
      </c>
    </row>
    <row r="204" spans="1:45" customFormat="1" ht="15">
      <c r="A204" s="227"/>
      <c r="B204" s="276">
        <v>166</v>
      </c>
      <c r="C204" s="254"/>
      <c r="D204" s="255"/>
      <c r="E204" s="247"/>
      <c r="F204" s="232"/>
      <c r="G204" s="239"/>
      <c r="H204" s="386">
        <v>190</v>
      </c>
      <c r="I204" s="404"/>
      <c r="J204" s="404"/>
      <c r="K204" s="413"/>
      <c r="L204" s="413"/>
      <c r="M204" s="413"/>
      <c r="N204" s="452"/>
      <c r="O204" s="413"/>
      <c r="P204" s="413"/>
      <c r="Q204" s="413"/>
      <c r="R204" s="452"/>
      <c r="S204" s="443"/>
      <c r="T204" s="42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3"/>
      <c r="V204" s="423"/>
      <c r="W204" s="424"/>
      <c r="X204" s="425"/>
      <c r="Y204" s="426" t="str">
        <f t="shared" ca="1" si="37"/>
        <v/>
      </c>
      <c r="Z204" s="427" t="str">
        <f t="shared" ca="1" si="38"/>
        <v/>
      </c>
      <c r="AA204" s="426" t="str">
        <f t="shared" ca="1" si="39"/>
        <v/>
      </c>
      <c r="AB204" s="428" t="str">
        <f t="shared" ca="1" si="40"/>
        <v/>
      </c>
      <c r="AC204" s="427" t="str">
        <f t="shared" ca="1" si="41"/>
        <v/>
      </c>
      <c r="AD204" s="79"/>
      <c r="AE204" s="496">
        <f t="shared" ca="1" si="43"/>
        <v>-5.8495302504910102E-3</v>
      </c>
      <c r="AF204" s="493">
        <f t="shared" ca="1" si="44"/>
        <v>1.4629811706352528E-2</v>
      </c>
      <c r="AG204" s="493">
        <f t="shared" ca="1" si="42"/>
        <v>0</v>
      </c>
      <c r="AH204" s="498">
        <f t="shared" ca="1" si="45"/>
        <v>0</v>
      </c>
      <c r="AI204" s="497">
        <f t="shared" ca="1" si="46"/>
        <v>-5.8495302504910102E-3</v>
      </c>
      <c r="AJ204" s="493">
        <f t="shared" ca="1" si="47"/>
        <v>0.42798545305848334</v>
      </c>
      <c r="AK204" s="493">
        <f t="shared" ca="1" si="48"/>
        <v>0</v>
      </c>
      <c r="AL204" s="498">
        <f t="shared" ca="1" si="49"/>
        <v>0</v>
      </c>
      <c r="AN204" s="532" t="str">
        <f t="shared" ca="1" si="36"/>
        <v/>
      </c>
      <c r="AO204" s="524" t="str" cm="1">
        <f t="array" aca="1" ref="AO204" ca="1">IF(AN204&lt;&gt;"",TRANSPOSE(INDEX(GetCDS($C229,AO$13,$G229/10000,F229,D229,$C$13,$C$14,$C$15,$C$8,,,TRUE,TRUE,FALSE,$C$29:$C$31,$C$33),{5})),"")</f>
        <v/>
      </c>
      <c r="AP204" s="524" t="str" cm="1">
        <f t="array" aca="1" ref="AP204" ca="1">IF(AO204&lt;&gt;"",TRANSPOSE(INDEX(GetCDS($C229,AP$13,$G229/10000,G229,E229,$C$13,$C$14,$C$15,$C$8,,,TRUE,TRUE,FALSE,$C$29:$C$31,$C$33),{5})),"")</f>
        <v/>
      </c>
      <c r="AQ204" s="524" t="str" cm="1">
        <f t="array" aca="1" ref="AQ204" ca="1">IF(AP204&lt;&gt;"",TRANSPOSE(INDEX(GetCDS($C229,AQ$13,$G229/10000,H229,F229,$C$13,$C$14,$C$15,$C$8,,,TRUE,TRUE,FALSE,$C$29:$C$31,$C$33),{5})),"")</f>
        <v/>
      </c>
      <c r="AR204" s="524" t="str" cm="1">
        <f t="array" aca="1" ref="AR204" ca="1">IF(AQ204&lt;&gt;"",TRANSPOSE(INDEX(GetCDS($C229,AR$13,$G229/10000,I229,G229,$C$13,$C$14,$C$15,$C$8,,,TRUE,TRUE,FALSE,$C$29:$C$31,$C$33),{5})),"")</f>
        <v/>
      </c>
      <c r="AS204" s="525" t="str" cm="1">
        <f t="array" aca="1" ref="AS204" ca="1">IF(AR204&lt;&gt;"",TRANSPOSE(INDEX(GetCDS($C229,AS$13,$G229/10000,J229,H229,$C$13,$C$14,$C$15,$C$8,,,TRUE,TRUE,FALSE,$C$29:$C$31,$C$33),{5})),"")</f>
        <v/>
      </c>
    </row>
    <row r="205" spans="1:45" customFormat="1" ht="15">
      <c r="A205" s="227"/>
      <c r="B205" s="276">
        <v>167</v>
      </c>
      <c r="C205" s="254"/>
      <c r="D205" s="255"/>
      <c r="E205" s="247"/>
      <c r="F205" s="232"/>
      <c r="G205" s="239"/>
      <c r="H205" s="386">
        <v>191</v>
      </c>
      <c r="I205" s="404"/>
      <c r="J205" s="404"/>
      <c r="K205" s="413"/>
      <c r="L205" s="413"/>
      <c r="M205" s="413"/>
      <c r="N205" s="452"/>
      <c r="O205" s="413"/>
      <c r="P205" s="413"/>
      <c r="Q205" s="413"/>
      <c r="R205" s="452"/>
      <c r="S205" s="443"/>
      <c r="T205" s="42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3"/>
      <c r="V205" s="423"/>
      <c r="W205" s="424"/>
      <c r="X205" s="425"/>
      <c r="Y205" s="426" t="str">
        <f t="shared" ca="1" si="37"/>
        <v/>
      </c>
      <c r="Z205" s="427" t="str">
        <f t="shared" ca="1" si="38"/>
        <v/>
      </c>
      <c r="AA205" s="426" t="str">
        <f t="shared" ca="1" si="39"/>
        <v/>
      </c>
      <c r="AB205" s="428" t="str">
        <f t="shared" ca="1" si="40"/>
        <v/>
      </c>
      <c r="AC205" s="427" t="str">
        <f t="shared" ca="1" si="41"/>
        <v/>
      </c>
      <c r="AD205" s="79"/>
      <c r="AE205" s="496">
        <f t="shared" ca="1" si="43"/>
        <v>-2.9113347134810102E-3</v>
      </c>
      <c r="AF205" s="493">
        <f t="shared" ca="1" si="44"/>
        <v>2.6990583390922848E-2</v>
      </c>
      <c r="AG205" s="493">
        <f t="shared" ca="1" si="42"/>
        <v>0</v>
      </c>
      <c r="AH205" s="498">
        <f t="shared" ca="1" si="45"/>
        <v>0</v>
      </c>
      <c r="AI205" s="497">
        <f t="shared" ca="1" si="46"/>
        <v>-2.9113347134810102E-3</v>
      </c>
      <c r="AJ205" s="493">
        <f t="shared" ca="1" si="47"/>
        <v>0.35891066465985677</v>
      </c>
      <c r="AK205" s="493">
        <f t="shared" ca="1" si="48"/>
        <v>0</v>
      </c>
      <c r="AL205" s="498">
        <f t="shared" ca="1" si="49"/>
        <v>0</v>
      </c>
      <c r="AN205" s="532" t="str">
        <f t="shared" ca="1" si="36"/>
        <v/>
      </c>
      <c r="AO205" s="524" t="str" cm="1">
        <f t="array" aca="1" ref="AO205" ca="1">IF(AN205&lt;&gt;"",TRANSPOSE(INDEX(GetCDS($C230,AO$13,$G230/10000,F230,D230,$C$13,$C$14,$C$15,$C$8,,,TRUE,TRUE,FALSE,$C$29:$C$31,$C$33),{5})),"")</f>
        <v/>
      </c>
      <c r="AP205" s="524" t="str" cm="1">
        <f t="array" aca="1" ref="AP205" ca="1">IF(AO205&lt;&gt;"",TRANSPOSE(INDEX(GetCDS($C230,AP$13,$G230/10000,G230,E230,$C$13,$C$14,$C$15,$C$8,,,TRUE,TRUE,FALSE,$C$29:$C$31,$C$33),{5})),"")</f>
        <v/>
      </c>
      <c r="AQ205" s="524" t="str" cm="1">
        <f t="array" aca="1" ref="AQ205" ca="1">IF(AP205&lt;&gt;"",TRANSPOSE(INDEX(GetCDS($C230,AQ$13,$G230/10000,H230,F230,$C$13,$C$14,$C$15,$C$8,,,TRUE,TRUE,FALSE,$C$29:$C$31,$C$33),{5})),"")</f>
        <v/>
      </c>
      <c r="AR205" s="524" t="str" cm="1">
        <f t="array" aca="1" ref="AR205" ca="1">IF(AQ205&lt;&gt;"",TRANSPOSE(INDEX(GetCDS($C230,AR$13,$G230/10000,I230,G230,$C$13,$C$14,$C$15,$C$8,,,TRUE,TRUE,FALSE,$C$29:$C$31,$C$33),{5})),"")</f>
        <v/>
      </c>
      <c r="AS205" s="525" t="str" cm="1">
        <f t="array" aca="1" ref="AS205" ca="1">IF(AR205&lt;&gt;"",TRANSPOSE(INDEX(GetCDS($C230,AS$13,$G230/10000,J230,H230,$C$13,$C$14,$C$15,$C$8,,,TRUE,TRUE,FALSE,$C$29:$C$31,$C$33),{5})),"")</f>
        <v/>
      </c>
    </row>
    <row r="206" spans="1:45" customFormat="1" ht="15">
      <c r="A206" s="227"/>
      <c r="B206" s="276">
        <v>168</v>
      </c>
      <c r="C206" s="254"/>
      <c r="D206" s="255"/>
      <c r="E206" s="247"/>
      <c r="F206" s="232"/>
      <c r="G206" s="239"/>
      <c r="H206" s="386">
        <v>192</v>
      </c>
      <c r="I206" s="404"/>
      <c r="J206" s="404"/>
      <c r="K206" s="413"/>
      <c r="L206" s="413"/>
      <c r="M206" s="413"/>
      <c r="N206" s="452"/>
      <c r="O206" s="413"/>
      <c r="P206" s="413"/>
      <c r="Q206" s="413"/>
      <c r="R206" s="452"/>
      <c r="S206" s="443"/>
      <c r="T206" s="42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3"/>
      <c r="V206" s="423"/>
      <c r="W206" s="424"/>
      <c r="X206" s="425"/>
      <c r="Y206" s="426" t="str">
        <f t="shared" ca="1" si="37"/>
        <v/>
      </c>
      <c r="Z206" s="427" t="str">
        <f t="shared" ca="1" si="38"/>
        <v/>
      </c>
      <c r="AA206" s="426" t="str">
        <f t="shared" ca="1" si="39"/>
        <v/>
      </c>
      <c r="AB206" s="428" t="str">
        <f t="shared" ca="1" si="40"/>
        <v/>
      </c>
      <c r="AC206" s="427" t="str">
        <f t="shared" ca="1" si="41"/>
        <v/>
      </c>
      <c r="AD206" s="79"/>
      <c r="AE206" s="496">
        <f t="shared" ca="1" si="43"/>
        <v>-3.9950011024369996E-3</v>
      </c>
      <c r="AF206" s="493">
        <f t="shared" ca="1" si="44"/>
        <v>2.2255955653434842E-2</v>
      </c>
      <c r="AG206" s="493">
        <f t="shared" ca="1" si="42"/>
        <v>0</v>
      </c>
      <c r="AH206" s="498">
        <f t="shared" ca="1" si="45"/>
        <v>0</v>
      </c>
      <c r="AI206" s="497">
        <f t="shared" ca="1" si="46"/>
        <v>-3.9950011024369996E-3</v>
      </c>
      <c r="AJ206" s="493">
        <f t="shared" ca="1" si="47"/>
        <v>0.38915509275325283</v>
      </c>
      <c r="AK206" s="493">
        <f t="shared" ca="1" si="48"/>
        <v>0</v>
      </c>
      <c r="AL206" s="498">
        <f t="shared" ca="1" si="49"/>
        <v>0</v>
      </c>
      <c r="AN206" s="532" t="str">
        <f t="shared" ca="1" si="36"/>
        <v/>
      </c>
      <c r="AO206" s="524" t="str" cm="1">
        <f t="array" aca="1" ref="AO206" ca="1">IF(AN206&lt;&gt;"",TRANSPOSE(INDEX(GetCDS($C231,AO$13,$G231/10000,F231,D231,$C$13,$C$14,$C$15,$C$8,,,TRUE,TRUE,FALSE,$C$29:$C$31,$C$33),{5})),"")</f>
        <v/>
      </c>
      <c r="AP206" s="524" t="str" cm="1">
        <f t="array" aca="1" ref="AP206" ca="1">IF(AO206&lt;&gt;"",TRANSPOSE(INDEX(GetCDS($C231,AP$13,$G231/10000,G231,E231,$C$13,$C$14,$C$15,$C$8,,,TRUE,TRUE,FALSE,$C$29:$C$31,$C$33),{5})),"")</f>
        <v/>
      </c>
      <c r="AQ206" s="524" t="str" cm="1">
        <f t="array" aca="1" ref="AQ206" ca="1">IF(AP206&lt;&gt;"",TRANSPOSE(INDEX(GetCDS($C231,AQ$13,$G231/10000,H231,F231,$C$13,$C$14,$C$15,$C$8,,,TRUE,TRUE,FALSE,$C$29:$C$31,$C$33),{5})),"")</f>
        <v/>
      </c>
      <c r="AR206" s="524" t="str" cm="1">
        <f t="array" aca="1" ref="AR206" ca="1">IF(AQ206&lt;&gt;"",TRANSPOSE(INDEX(GetCDS($C231,AR$13,$G231/10000,I231,G231,$C$13,$C$14,$C$15,$C$8,,,TRUE,TRUE,FALSE,$C$29:$C$31,$C$33),{5})),"")</f>
        <v/>
      </c>
      <c r="AS206" s="525" t="str" cm="1">
        <f t="array" aca="1" ref="AS206" ca="1">IF(AR206&lt;&gt;"",TRANSPOSE(INDEX(GetCDS($C231,AS$13,$G231/10000,J231,H231,$C$13,$C$14,$C$15,$C$8,,,TRUE,TRUE,FALSE,$C$29:$C$31,$C$33),{5})),"")</f>
        <v/>
      </c>
    </row>
    <row r="207" spans="1:45" customFormat="1" ht="15">
      <c r="A207" s="227"/>
      <c r="B207" s="276">
        <v>169</v>
      </c>
      <c r="C207" s="254"/>
      <c r="D207" s="255"/>
      <c r="E207" s="247"/>
      <c r="F207" s="232"/>
      <c r="G207" s="239"/>
      <c r="H207" s="386">
        <v>193</v>
      </c>
      <c r="I207" s="404"/>
      <c r="J207" s="404"/>
      <c r="K207" s="413"/>
      <c r="L207" s="413"/>
      <c r="M207" s="413"/>
      <c r="N207" s="452"/>
      <c r="O207" s="413"/>
      <c r="P207" s="413"/>
      <c r="Q207" s="413"/>
      <c r="R207" s="452"/>
      <c r="S207" s="443"/>
      <c r="T207" s="42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3"/>
      <c r="V207" s="423"/>
      <c r="W207" s="424"/>
      <c r="X207" s="425"/>
      <c r="Y207" s="426" t="str">
        <f t="shared" ca="1" si="37"/>
        <v/>
      </c>
      <c r="Z207" s="427" t="str">
        <f t="shared" ca="1" si="38"/>
        <v/>
      </c>
      <c r="AA207" s="426" t="str">
        <f t="shared" ca="1" si="39"/>
        <v/>
      </c>
      <c r="AB207" s="428" t="str">
        <f t="shared" ca="1" si="40"/>
        <v/>
      </c>
      <c r="AC207" s="427" t="str">
        <f t="shared" ca="1" si="41"/>
        <v/>
      </c>
      <c r="AD207" s="79"/>
      <c r="AE207" s="496">
        <f t="shared" ca="1" si="43"/>
        <v>-5.9620342964570002E-3</v>
      </c>
      <c r="AF207" s="493">
        <f t="shared" ca="1" si="44"/>
        <v>1.4453672311808451E-2</v>
      </c>
      <c r="AG207" s="493">
        <f t="shared" ca="1" si="42"/>
        <v>0</v>
      </c>
      <c r="AH207" s="498">
        <f t="shared" ca="1" si="45"/>
        <v>0</v>
      </c>
      <c r="AI207" s="497">
        <f t="shared" ca="1" si="46"/>
        <v>-5.9620342964570002E-3</v>
      </c>
      <c r="AJ207" s="493">
        <f t="shared" ca="1" si="47"/>
        <v>0.43052427052909448</v>
      </c>
      <c r="AK207" s="493">
        <f t="shared" ca="1" si="48"/>
        <v>0</v>
      </c>
      <c r="AL207" s="498">
        <f t="shared" ca="1" si="49"/>
        <v>0</v>
      </c>
      <c r="AN207" s="532" t="str">
        <f t="shared" ref="AN207:AN270" ca="1" si="50">IF(OR(C232="",C232=0),"",C232)</f>
        <v/>
      </c>
      <c r="AO207" s="524" t="str" cm="1">
        <f t="array" aca="1" ref="AO207" ca="1">IF(AN207&lt;&gt;"",TRANSPOSE(INDEX(GetCDS($C232,AO$13,$G232/10000,F232,D232,$C$13,$C$14,$C$15,$C$8,,,TRUE,TRUE,FALSE,$C$29:$C$31,$C$33),{5})),"")</f>
        <v/>
      </c>
      <c r="AP207" s="524" t="str" cm="1">
        <f t="array" aca="1" ref="AP207" ca="1">IF(AO207&lt;&gt;"",TRANSPOSE(INDEX(GetCDS($C232,AP$13,$G232/10000,G232,E232,$C$13,$C$14,$C$15,$C$8,,,TRUE,TRUE,FALSE,$C$29:$C$31,$C$33),{5})),"")</f>
        <v/>
      </c>
      <c r="AQ207" s="524" t="str" cm="1">
        <f t="array" aca="1" ref="AQ207" ca="1">IF(AP207&lt;&gt;"",TRANSPOSE(INDEX(GetCDS($C232,AQ$13,$G232/10000,H232,F232,$C$13,$C$14,$C$15,$C$8,,,TRUE,TRUE,FALSE,$C$29:$C$31,$C$33),{5})),"")</f>
        <v/>
      </c>
      <c r="AR207" s="524" t="str" cm="1">
        <f t="array" aca="1" ref="AR207" ca="1">IF(AQ207&lt;&gt;"",TRANSPOSE(INDEX(GetCDS($C232,AR$13,$G232/10000,I232,G232,$C$13,$C$14,$C$15,$C$8,,,TRUE,TRUE,FALSE,$C$29:$C$31,$C$33),{5})),"")</f>
        <v/>
      </c>
      <c r="AS207" s="525" t="str" cm="1">
        <f t="array" aca="1" ref="AS207" ca="1">IF(AR207&lt;&gt;"",TRANSPOSE(INDEX(GetCDS($C232,AS$13,$G232/10000,J232,H232,$C$13,$C$14,$C$15,$C$8,,,TRUE,TRUE,FALSE,$C$29:$C$31,$C$33),{5})),"")</f>
        <v/>
      </c>
    </row>
    <row r="208" spans="1:45" customFormat="1" ht="15">
      <c r="A208" s="227"/>
      <c r="B208" s="276">
        <v>170</v>
      </c>
      <c r="C208" s="254"/>
      <c r="D208" s="255"/>
      <c r="E208" s="247"/>
      <c r="F208" s="232"/>
      <c r="G208" s="239"/>
      <c r="H208" s="386">
        <v>194</v>
      </c>
      <c r="I208" s="404"/>
      <c r="J208" s="404"/>
      <c r="K208" s="413"/>
      <c r="L208" s="413"/>
      <c r="M208" s="413"/>
      <c r="N208" s="452"/>
      <c r="O208" s="413"/>
      <c r="P208" s="413"/>
      <c r="Q208" s="413"/>
      <c r="R208" s="452"/>
      <c r="S208" s="443"/>
      <c r="T208" s="42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3"/>
      <c r="V208" s="423"/>
      <c r="W208" s="424"/>
      <c r="X208" s="425"/>
      <c r="Y208" s="426" t="str">
        <f t="shared" ref="Y208:Y271" ca="1" si="51">IF($U$12,IF(T208="","",$U$13*D232/$C$18),"")</f>
        <v/>
      </c>
      <c r="Z208" s="427" t="str">
        <f t="shared" ref="Z208:Z271" ca="1" si="52">IF($U$12,IF(Y208="","",Y208*($Z$10-W208)*X208),"")</f>
        <v/>
      </c>
      <c r="AA208" s="426" t="str">
        <f t="shared" ref="AA208:AA271" ca="1" si="53">IF($U$12,IF(OR(T208="",L208=""),"",L208/($C$20-$C$19)),"")</f>
        <v/>
      </c>
      <c r="AB208" s="428" t="str">
        <f t="shared" ref="AB208:AB271" ca="1" si="54">IF($U$12,IF(W208="","",W208*$AC$10),"")</f>
        <v/>
      </c>
      <c r="AC208" s="427" t="str">
        <f t="shared" ref="AC208:AC271" ca="1" si="55">IF($U$12,IF(AA208="","",AA208*(AB208-W208)*X208),"")</f>
        <v/>
      </c>
      <c r="AD208" s="79"/>
      <c r="AE208" s="496">
        <f t="shared" ca="1" si="43"/>
        <v>-1.6965452495289999E-3</v>
      </c>
      <c r="AF208" s="493">
        <f t="shared" ca="1" si="44"/>
        <v>3.2853691492989168E-2</v>
      </c>
      <c r="AG208" s="493">
        <f t="shared" ca="1" si="42"/>
        <v>0</v>
      </c>
      <c r="AH208" s="498">
        <f t="shared" ca="1" si="45"/>
        <v>0</v>
      </c>
      <c r="AI208" s="497">
        <f t="shared" ca="1" si="46"/>
        <v>-1.6965452495289999E-3</v>
      </c>
      <c r="AJ208" s="493">
        <f t="shared" ca="1" si="47"/>
        <v>0.3125344913092683</v>
      </c>
      <c r="AK208" s="493">
        <f t="shared" ca="1" si="48"/>
        <v>0</v>
      </c>
      <c r="AL208" s="498">
        <f t="shared" ca="1" si="49"/>
        <v>0</v>
      </c>
      <c r="AN208" s="532" t="str">
        <f t="shared" ca="1" si="50"/>
        <v/>
      </c>
      <c r="AO208" s="524" t="str" cm="1">
        <f t="array" aca="1" ref="AO208" ca="1">IF(AN208&lt;&gt;"",TRANSPOSE(INDEX(GetCDS($C233,AO$13,$G233/10000,F233,D233,$C$13,$C$14,$C$15,$C$8,,,TRUE,TRUE,FALSE,$C$29:$C$31,$C$33),{5})),"")</f>
        <v/>
      </c>
      <c r="AP208" s="524" t="str" cm="1">
        <f t="array" aca="1" ref="AP208" ca="1">IF(AO208&lt;&gt;"",TRANSPOSE(INDEX(GetCDS($C233,AP$13,$G233/10000,G233,E233,$C$13,$C$14,$C$15,$C$8,,,TRUE,TRUE,FALSE,$C$29:$C$31,$C$33),{5})),"")</f>
        <v/>
      </c>
      <c r="AQ208" s="524" t="str" cm="1">
        <f t="array" aca="1" ref="AQ208" ca="1">IF(AP208&lt;&gt;"",TRANSPOSE(INDEX(GetCDS($C233,AQ$13,$G233/10000,H233,F233,$C$13,$C$14,$C$15,$C$8,,,TRUE,TRUE,FALSE,$C$29:$C$31,$C$33),{5})),"")</f>
        <v/>
      </c>
      <c r="AR208" s="524" t="str" cm="1">
        <f t="array" aca="1" ref="AR208" ca="1">IF(AQ208&lt;&gt;"",TRANSPOSE(INDEX(GetCDS($C233,AR$13,$G233/10000,I233,G233,$C$13,$C$14,$C$15,$C$8,,,TRUE,TRUE,FALSE,$C$29:$C$31,$C$33),{5})),"")</f>
        <v/>
      </c>
      <c r="AS208" s="525" t="str" cm="1">
        <f t="array" aca="1" ref="AS208" ca="1">IF(AR208&lt;&gt;"",TRANSPOSE(INDEX(GetCDS($C233,AS$13,$G233/10000,J233,H233,$C$13,$C$14,$C$15,$C$8,,,TRUE,TRUE,FALSE,$C$29:$C$31,$C$33),{5})),"")</f>
        <v/>
      </c>
    </row>
    <row r="209" spans="1:45" customFormat="1" ht="15">
      <c r="A209" s="227"/>
      <c r="B209" s="276">
        <v>171</v>
      </c>
      <c r="C209" s="254"/>
      <c r="D209" s="255"/>
      <c r="E209" s="247"/>
      <c r="F209" s="232"/>
      <c r="G209" s="239"/>
      <c r="H209" s="386">
        <v>195</v>
      </c>
      <c r="I209" s="404"/>
      <c r="J209" s="404"/>
      <c r="K209" s="413"/>
      <c r="L209" s="413"/>
      <c r="M209" s="413"/>
      <c r="N209" s="452"/>
      <c r="O209" s="413"/>
      <c r="P209" s="413"/>
      <c r="Q209" s="413"/>
      <c r="R209" s="452"/>
      <c r="S209" s="443"/>
      <c r="T209" s="42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3"/>
      <c r="V209" s="423"/>
      <c r="W209" s="424"/>
      <c r="X209" s="425"/>
      <c r="Y209" s="426" t="str">
        <f t="shared" ca="1" si="51"/>
        <v/>
      </c>
      <c r="Z209" s="427" t="str">
        <f t="shared" ca="1" si="52"/>
        <v/>
      </c>
      <c r="AA209" s="426" t="str">
        <f t="shared" ca="1" si="53"/>
        <v/>
      </c>
      <c r="AB209" s="428" t="str">
        <f t="shared" ca="1" si="54"/>
        <v/>
      </c>
      <c r="AC209" s="427" t="str">
        <f t="shared" ca="1" si="55"/>
        <v/>
      </c>
      <c r="AD209" s="79"/>
      <c r="AE209" s="496">
        <f t="shared" ca="1" si="43"/>
        <v>-5.0779220589030104E-3</v>
      </c>
      <c r="AF209" s="493">
        <f t="shared" ca="1" si="44"/>
        <v>1.840558177639802E-2</v>
      </c>
      <c r="AG209" s="493">
        <f t="shared" ca="1" si="42"/>
        <v>0</v>
      </c>
      <c r="AH209" s="498">
        <f t="shared" ca="1" si="45"/>
        <v>0</v>
      </c>
      <c r="AI209" s="497">
        <f t="shared" ca="1" si="46"/>
        <v>-5.0779220589030104E-3</v>
      </c>
      <c r="AJ209" s="493">
        <f t="shared" ca="1" si="47"/>
        <v>0.41271273225937521</v>
      </c>
      <c r="AK209" s="493">
        <f t="shared" ca="1" si="48"/>
        <v>0</v>
      </c>
      <c r="AL209" s="498">
        <f t="shared" ca="1" si="49"/>
        <v>0</v>
      </c>
      <c r="AN209" s="532" t="str">
        <f t="shared" ca="1" si="50"/>
        <v/>
      </c>
      <c r="AO209" s="524" t="str" cm="1">
        <f t="array" aca="1" ref="AO209" ca="1">IF(AN209&lt;&gt;"",TRANSPOSE(INDEX(GetCDS($C234,AO$13,$G234/10000,F234,D234,$C$13,$C$14,$C$15,$C$8,,,TRUE,TRUE,FALSE,$C$29:$C$31,$C$33),{5})),"")</f>
        <v/>
      </c>
      <c r="AP209" s="524" t="str" cm="1">
        <f t="array" aca="1" ref="AP209" ca="1">IF(AO209&lt;&gt;"",TRANSPOSE(INDEX(GetCDS($C234,AP$13,$G234/10000,G234,E234,$C$13,$C$14,$C$15,$C$8,,,TRUE,TRUE,FALSE,$C$29:$C$31,$C$33),{5})),"")</f>
        <v/>
      </c>
      <c r="AQ209" s="524" t="str" cm="1">
        <f t="array" aca="1" ref="AQ209" ca="1">IF(AP209&lt;&gt;"",TRANSPOSE(INDEX(GetCDS($C234,AQ$13,$G234/10000,H234,F234,$C$13,$C$14,$C$15,$C$8,,,TRUE,TRUE,FALSE,$C$29:$C$31,$C$33),{5})),"")</f>
        <v/>
      </c>
      <c r="AR209" s="524" t="str" cm="1">
        <f t="array" aca="1" ref="AR209" ca="1">IF(AQ209&lt;&gt;"",TRANSPOSE(INDEX(GetCDS($C234,AR$13,$G234/10000,I234,G234,$C$13,$C$14,$C$15,$C$8,,,TRUE,TRUE,FALSE,$C$29:$C$31,$C$33),{5})),"")</f>
        <v/>
      </c>
      <c r="AS209" s="525" t="str" cm="1">
        <f t="array" aca="1" ref="AS209" ca="1">IF(AR209&lt;&gt;"",TRANSPOSE(INDEX(GetCDS($C234,AS$13,$G234/10000,J234,H234,$C$13,$C$14,$C$15,$C$8,,,TRUE,TRUE,FALSE,$C$29:$C$31,$C$33),{5})),"")</f>
        <v/>
      </c>
    </row>
    <row r="210" spans="1:45" customFormat="1" ht="15">
      <c r="A210" s="227"/>
      <c r="B210" s="276">
        <v>172</v>
      </c>
      <c r="C210" s="254"/>
      <c r="D210" s="255"/>
      <c r="E210" s="247"/>
      <c r="F210" s="232"/>
      <c r="G210" s="239"/>
      <c r="H210" s="386">
        <v>196</v>
      </c>
      <c r="I210" s="404"/>
      <c r="J210" s="404"/>
      <c r="K210" s="413"/>
      <c r="L210" s="413"/>
      <c r="M210" s="413"/>
      <c r="N210" s="452"/>
      <c r="O210" s="413"/>
      <c r="P210" s="413"/>
      <c r="Q210" s="413"/>
      <c r="R210" s="452"/>
      <c r="S210" s="443"/>
      <c r="T210" s="42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3"/>
      <c r="V210" s="423"/>
      <c r="W210" s="424"/>
      <c r="X210" s="425"/>
      <c r="Y210" s="426" t="str">
        <f t="shared" ca="1" si="51"/>
        <v/>
      </c>
      <c r="Z210" s="427" t="str">
        <f t="shared" ca="1" si="52"/>
        <v/>
      </c>
      <c r="AA210" s="426" t="str">
        <f t="shared" ca="1" si="53"/>
        <v/>
      </c>
      <c r="AB210" s="428" t="str">
        <f t="shared" ca="1" si="54"/>
        <v/>
      </c>
      <c r="AC210" s="427" t="str">
        <f t="shared" ca="1" si="55"/>
        <v/>
      </c>
      <c r="AD210" s="79"/>
      <c r="AE210" s="496">
        <f t="shared" ca="1" si="43"/>
        <v>-1.732466753608E-3</v>
      </c>
      <c r="AF210" s="493">
        <f t="shared" ca="1" si="44"/>
        <v>3.2792343979930347E-2</v>
      </c>
      <c r="AG210" s="493">
        <f t="shared" ca="1" si="42"/>
        <v>0</v>
      </c>
      <c r="AH210" s="498">
        <f t="shared" ca="1" si="45"/>
        <v>0</v>
      </c>
      <c r="AI210" s="497">
        <f t="shared" ca="1" si="46"/>
        <v>-1.732466753608E-3</v>
      </c>
      <c r="AJ210" s="493">
        <f t="shared" ca="1" si="47"/>
        <v>0.31470673589838849</v>
      </c>
      <c r="AK210" s="493">
        <f t="shared" ca="1" si="48"/>
        <v>0</v>
      </c>
      <c r="AL210" s="498">
        <f t="shared" ca="1" si="49"/>
        <v>0</v>
      </c>
      <c r="AN210" s="532" t="str">
        <f t="shared" ca="1" si="50"/>
        <v/>
      </c>
      <c r="AO210" s="524" t="str" cm="1">
        <f t="array" aca="1" ref="AO210" ca="1">IF(AN210&lt;&gt;"",TRANSPOSE(INDEX(GetCDS($C235,AO$13,$G235/10000,F235,D235,$C$13,$C$14,$C$15,$C$8,,,TRUE,TRUE,FALSE,$C$29:$C$31,$C$33),{5})),"")</f>
        <v/>
      </c>
      <c r="AP210" s="524" t="str" cm="1">
        <f t="array" aca="1" ref="AP210" ca="1">IF(AO210&lt;&gt;"",TRANSPOSE(INDEX(GetCDS($C235,AP$13,$G235/10000,G235,E235,$C$13,$C$14,$C$15,$C$8,,,TRUE,TRUE,FALSE,$C$29:$C$31,$C$33),{5})),"")</f>
        <v/>
      </c>
      <c r="AQ210" s="524" t="str" cm="1">
        <f t="array" aca="1" ref="AQ210" ca="1">IF(AP210&lt;&gt;"",TRANSPOSE(INDEX(GetCDS($C235,AQ$13,$G235/10000,H235,F235,$C$13,$C$14,$C$15,$C$8,,,TRUE,TRUE,FALSE,$C$29:$C$31,$C$33),{5})),"")</f>
        <v/>
      </c>
      <c r="AR210" s="524" t="str" cm="1">
        <f t="array" aca="1" ref="AR210" ca="1">IF(AQ210&lt;&gt;"",TRANSPOSE(INDEX(GetCDS($C235,AR$13,$G235/10000,I235,G235,$C$13,$C$14,$C$15,$C$8,,,TRUE,TRUE,FALSE,$C$29:$C$31,$C$33),{5})),"")</f>
        <v/>
      </c>
      <c r="AS210" s="525" t="str" cm="1">
        <f t="array" aca="1" ref="AS210" ca="1">IF(AR210&lt;&gt;"",TRANSPOSE(INDEX(GetCDS($C235,AS$13,$G235/10000,J235,H235,$C$13,$C$14,$C$15,$C$8,,,TRUE,TRUE,FALSE,$C$29:$C$31,$C$33),{5})),"")</f>
        <v/>
      </c>
    </row>
    <row r="211" spans="1:45" customFormat="1" ht="15">
      <c r="A211" s="227"/>
      <c r="B211" s="276">
        <v>173</v>
      </c>
      <c r="C211" s="254"/>
      <c r="D211" s="255"/>
      <c r="E211" s="247"/>
      <c r="F211" s="232"/>
      <c r="G211" s="239"/>
      <c r="H211" s="386">
        <v>197</v>
      </c>
      <c r="I211" s="404"/>
      <c r="J211" s="404"/>
      <c r="K211" s="413"/>
      <c r="L211" s="413"/>
      <c r="M211" s="413"/>
      <c r="N211" s="452"/>
      <c r="O211" s="413"/>
      <c r="P211" s="413"/>
      <c r="Q211" s="413"/>
      <c r="R211" s="452"/>
      <c r="S211" s="443"/>
      <c r="T211" s="42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3"/>
      <c r="V211" s="423"/>
      <c r="W211" s="424"/>
      <c r="X211" s="425"/>
      <c r="Y211" s="426" t="str">
        <f t="shared" ca="1" si="51"/>
        <v/>
      </c>
      <c r="Z211" s="427" t="str">
        <f t="shared" ca="1" si="52"/>
        <v/>
      </c>
      <c r="AA211" s="426" t="str">
        <f t="shared" ca="1" si="53"/>
        <v/>
      </c>
      <c r="AB211" s="428" t="str">
        <f t="shared" ca="1" si="54"/>
        <v/>
      </c>
      <c r="AC211" s="427" t="str">
        <f t="shared" ca="1" si="55"/>
        <v/>
      </c>
      <c r="AD211" s="79"/>
      <c r="AE211" s="496">
        <f t="shared" ca="1" si="43"/>
        <v>-6.7843290582719996E-3</v>
      </c>
      <c r="AF211" s="493">
        <f t="shared" ca="1" si="44"/>
        <v>1.1040039812726971E-2</v>
      </c>
      <c r="AG211" s="493">
        <f t="shared" ca="1" si="42"/>
        <v>0</v>
      </c>
      <c r="AH211" s="498">
        <f t="shared" ca="1" si="45"/>
        <v>0</v>
      </c>
      <c r="AI211" s="497">
        <f t="shared" ca="1" si="46"/>
        <v>-6.7843290582719996E-3</v>
      </c>
      <c r="AJ211" s="493">
        <f t="shared" ca="1" si="47"/>
        <v>0.44423321387484038</v>
      </c>
      <c r="AK211" s="493">
        <f t="shared" ca="1" si="48"/>
        <v>0</v>
      </c>
      <c r="AL211" s="498">
        <f t="shared" ca="1" si="49"/>
        <v>0</v>
      </c>
      <c r="AN211" s="532" t="str">
        <f t="shared" ca="1" si="50"/>
        <v/>
      </c>
      <c r="AO211" s="524" t="str" cm="1">
        <f t="array" aca="1" ref="AO211" ca="1">IF(AN211&lt;&gt;"",TRANSPOSE(INDEX(GetCDS($C236,AO$13,$G236/10000,F236,D236,$C$13,$C$14,$C$15,$C$8,,,TRUE,TRUE,FALSE,$C$29:$C$31,$C$33),{5})),"")</f>
        <v/>
      </c>
      <c r="AP211" s="524" t="str" cm="1">
        <f t="array" aca="1" ref="AP211" ca="1">IF(AO211&lt;&gt;"",TRANSPOSE(INDEX(GetCDS($C236,AP$13,$G236/10000,G236,E236,$C$13,$C$14,$C$15,$C$8,,,TRUE,TRUE,FALSE,$C$29:$C$31,$C$33),{5})),"")</f>
        <v/>
      </c>
      <c r="AQ211" s="524" t="str" cm="1">
        <f t="array" aca="1" ref="AQ211" ca="1">IF(AP211&lt;&gt;"",TRANSPOSE(INDEX(GetCDS($C236,AQ$13,$G236/10000,H236,F236,$C$13,$C$14,$C$15,$C$8,,,TRUE,TRUE,FALSE,$C$29:$C$31,$C$33),{5})),"")</f>
        <v/>
      </c>
      <c r="AR211" s="524" t="str" cm="1">
        <f t="array" aca="1" ref="AR211" ca="1">IF(AQ211&lt;&gt;"",TRANSPOSE(INDEX(GetCDS($C236,AR$13,$G236/10000,I236,G236,$C$13,$C$14,$C$15,$C$8,,,TRUE,TRUE,FALSE,$C$29:$C$31,$C$33),{5})),"")</f>
        <v/>
      </c>
      <c r="AS211" s="525" t="str" cm="1">
        <f t="array" aca="1" ref="AS211" ca="1">IF(AR211&lt;&gt;"",TRANSPOSE(INDEX(GetCDS($C236,AS$13,$G236/10000,J236,H236,$C$13,$C$14,$C$15,$C$8,,,TRUE,TRUE,FALSE,$C$29:$C$31,$C$33),{5})),"")</f>
        <v/>
      </c>
    </row>
    <row r="212" spans="1:45" customFormat="1" ht="15">
      <c r="A212" s="227"/>
      <c r="B212" s="276">
        <v>174</v>
      </c>
      <c r="C212" s="254"/>
      <c r="D212" s="255"/>
      <c r="E212" s="247"/>
      <c r="F212" s="232"/>
      <c r="G212" s="239"/>
      <c r="H212" s="386">
        <v>198</v>
      </c>
      <c r="I212" s="404"/>
      <c r="J212" s="404"/>
      <c r="K212" s="413"/>
      <c r="L212" s="413"/>
      <c r="M212" s="413"/>
      <c r="N212" s="452"/>
      <c r="O212" s="413"/>
      <c r="P212" s="413"/>
      <c r="Q212" s="413"/>
      <c r="R212" s="452"/>
      <c r="S212" s="443"/>
      <c r="T212" s="42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3"/>
      <c r="V212" s="423"/>
      <c r="W212" s="424"/>
      <c r="X212" s="425"/>
      <c r="Y212" s="426" t="str">
        <f t="shared" ca="1" si="51"/>
        <v/>
      </c>
      <c r="Z212" s="427" t="str">
        <f t="shared" ca="1" si="52"/>
        <v/>
      </c>
      <c r="AA212" s="426" t="str">
        <f t="shared" ca="1" si="53"/>
        <v/>
      </c>
      <c r="AB212" s="428" t="str">
        <f t="shared" ca="1" si="54"/>
        <v/>
      </c>
      <c r="AC212" s="427" t="str">
        <f t="shared" ca="1" si="55"/>
        <v/>
      </c>
      <c r="AD212" s="79"/>
      <c r="AE212" s="496">
        <f t="shared" ca="1" si="43"/>
        <v>-1.5785945039329999E-3</v>
      </c>
      <c r="AF212" s="493">
        <f t="shared" ca="1" si="44"/>
        <v>3.3483588960945422E-2</v>
      </c>
      <c r="AG212" s="493">
        <f t="shared" ca="1" si="42"/>
        <v>0</v>
      </c>
      <c r="AH212" s="498">
        <f t="shared" ca="1" si="45"/>
        <v>0</v>
      </c>
      <c r="AI212" s="497">
        <f t="shared" ca="1" si="46"/>
        <v>-1.5785945039329999E-3</v>
      </c>
      <c r="AJ212" s="493">
        <f t="shared" ca="1" si="47"/>
        <v>0.30694400995720228</v>
      </c>
      <c r="AK212" s="493">
        <f t="shared" ca="1" si="48"/>
        <v>0</v>
      </c>
      <c r="AL212" s="498">
        <f t="shared" ca="1" si="49"/>
        <v>0</v>
      </c>
      <c r="AN212" s="532" t="str">
        <f t="shared" ca="1" si="50"/>
        <v/>
      </c>
      <c r="AO212" s="524" t="str" cm="1">
        <f t="array" aca="1" ref="AO212" ca="1">IF(AN212&lt;&gt;"",TRANSPOSE(INDEX(GetCDS($C237,AO$13,$G237/10000,F237,D237,$C$13,$C$14,$C$15,$C$8,,,TRUE,TRUE,FALSE,$C$29:$C$31,$C$33),{5})),"")</f>
        <v/>
      </c>
      <c r="AP212" s="524" t="str" cm="1">
        <f t="array" aca="1" ref="AP212" ca="1">IF(AO212&lt;&gt;"",TRANSPOSE(INDEX(GetCDS($C237,AP$13,$G237/10000,G237,E237,$C$13,$C$14,$C$15,$C$8,,,TRUE,TRUE,FALSE,$C$29:$C$31,$C$33),{5})),"")</f>
        <v/>
      </c>
      <c r="AQ212" s="524" t="str" cm="1">
        <f t="array" aca="1" ref="AQ212" ca="1">IF(AP212&lt;&gt;"",TRANSPOSE(INDEX(GetCDS($C237,AQ$13,$G237/10000,H237,F237,$C$13,$C$14,$C$15,$C$8,,,TRUE,TRUE,FALSE,$C$29:$C$31,$C$33),{5})),"")</f>
        <v/>
      </c>
      <c r="AR212" s="524" t="str" cm="1">
        <f t="array" aca="1" ref="AR212" ca="1">IF(AQ212&lt;&gt;"",TRANSPOSE(INDEX(GetCDS($C237,AR$13,$G237/10000,I237,G237,$C$13,$C$14,$C$15,$C$8,,,TRUE,TRUE,FALSE,$C$29:$C$31,$C$33),{5})),"")</f>
        <v/>
      </c>
      <c r="AS212" s="525" t="str" cm="1">
        <f t="array" aca="1" ref="AS212" ca="1">IF(AR212&lt;&gt;"",TRANSPOSE(INDEX(GetCDS($C237,AS$13,$G237/10000,J237,H237,$C$13,$C$14,$C$15,$C$8,,,TRUE,TRUE,FALSE,$C$29:$C$31,$C$33),{5})),"")</f>
        <v/>
      </c>
    </row>
    <row r="213" spans="1:45" customFormat="1" ht="15">
      <c r="A213" s="227"/>
      <c r="B213" s="276">
        <v>175</v>
      </c>
      <c r="C213" s="254"/>
      <c r="D213" s="255"/>
      <c r="E213" s="247"/>
      <c r="F213" s="232"/>
      <c r="G213" s="239"/>
      <c r="H213" s="386">
        <v>199</v>
      </c>
      <c r="I213" s="404"/>
      <c r="J213" s="404"/>
      <c r="K213" s="413"/>
      <c r="L213" s="413"/>
      <c r="M213" s="413"/>
      <c r="N213" s="452"/>
      <c r="O213" s="413"/>
      <c r="P213" s="413"/>
      <c r="Q213" s="413"/>
      <c r="R213" s="452"/>
      <c r="S213" s="443"/>
      <c r="T213" s="42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3"/>
      <c r="V213" s="423"/>
      <c r="W213" s="424"/>
      <c r="X213" s="425"/>
      <c r="Y213" s="426" t="str">
        <f t="shared" ca="1" si="51"/>
        <v/>
      </c>
      <c r="Z213" s="427" t="str">
        <f t="shared" ca="1" si="52"/>
        <v/>
      </c>
      <c r="AA213" s="426" t="str">
        <f t="shared" ca="1" si="53"/>
        <v/>
      </c>
      <c r="AB213" s="428" t="str">
        <f t="shared" ca="1" si="54"/>
        <v/>
      </c>
      <c r="AC213" s="427" t="str">
        <f t="shared" ca="1" si="55"/>
        <v/>
      </c>
      <c r="AD213" s="79"/>
      <c r="AE213" s="496">
        <f t="shared" ca="1" si="43"/>
        <v>-1.58904318521E-3</v>
      </c>
      <c r="AF213" s="493">
        <f t="shared" ca="1" si="44"/>
        <v>3.3464225300204084E-2</v>
      </c>
      <c r="AG213" s="493">
        <f t="shared" ca="1" si="42"/>
        <v>0</v>
      </c>
      <c r="AH213" s="498">
        <f t="shared" ca="1" si="45"/>
        <v>0</v>
      </c>
      <c r="AI213" s="497">
        <f t="shared" ca="1" si="46"/>
        <v>-1.58904318521E-3</v>
      </c>
      <c r="AJ213" s="493">
        <f t="shared" ca="1" si="47"/>
        <v>0.3075701585418622</v>
      </c>
      <c r="AK213" s="493">
        <f t="shared" ca="1" si="48"/>
        <v>0</v>
      </c>
      <c r="AL213" s="498">
        <f t="shared" ca="1" si="49"/>
        <v>0</v>
      </c>
      <c r="AN213" s="532" t="str">
        <f t="shared" ca="1" si="50"/>
        <v/>
      </c>
      <c r="AO213" s="524" t="str" cm="1">
        <f t="array" aca="1" ref="AO213" ca="1">IF(AN213&lt;&gt;"",TRANSPOSE(INDEX(GetCDS($C238,AO$13,$G238/10000,F238,D238,$C$13,$C$14,$C$15,$C$8,,,TRUE,TRUE,FALSE,$C$29:$C$31,$C$33),{5})),"")</f>
        <v/>
      </c>
      <c r="AP213" s="524" t="str" cm="1">
        <f t="array" aca="1" ref="AP213" ca="1">IF(AO213&lt;&gt;"",TRANSPOSE(INDEX(GetCDS($C238,AP$13,$G238/10000,G238,E238,$C$13,$C$14,$C$15,$C$8,,,TRUE,TRUE,FALSE,$C$29:$C$31,$C$33),{5})),"")</f>
        <v/>
      </c>
      <c r="AQ213" s="524" t="str" cm="1">
        <f t="array" aca="1" ref="AQ213" ca="1">IF(AP213&lt;&gt;"",TRANSPOSE(INDEX(GetCDS($C238,AQ$13,$G238/10000,H238,F238,$C$13,$C$14,$C$15,$C$8,,,TRUE,TRUE,FALSE,$C$29:$C$31,$C$33),{5})),"")</f>
        <v/>
      </c>
      <c r="AR213" s="524" t="str" cm="1">
        <f t="array" aca="1" ref="AR213" ca="1">IF(AQ213&lt;&gt;"",TRANSPOSE(INDEX(GetCDS($C238,AR$13,$G238/10000,I238,G238,$C$13,$C$14,$C$15,$C$8,,,TRUE,TRUE,FALSE,$C$29:$C$31,$C$33),{5})),"")</f>
        <v/>
      </c>
      <c r="AS213" s="525" t="str" cm="1">
        <f t="array" aca="1" ref="AS213" ca="1">IF(AR213&lt;&gt;"",TRANSPOSE(INDEX(GetCDS($C238,AS$13,$G238/10000,J238,H238,$C$13,$C$14,$C$15,$C$8,,,TRUE,TRUE,FALSE,$C$29:$C$31,$C$33),{5})),"")</f>
        <v/>
      </c>
    </row>
    <row r="214" spans="1:45" customFormat="1" ht="15">
      <c r="A214" s="227"/>
      <c r="B214" s="276">
        <v>176</v>
      </c>
      <c r="C214" s="254"/>
      <c r="D214" s="255"/>
      <c r="E214" s="247"/>
      <c r="F214" s="232"/>
      <c r="G214" s="239"/>
      <c r="H214" s="386">
        <v>200</v>
      </c>
      <c r="I214" s="404"/>
      <c r="J214" s="404"/>
      <c r="K214" s="413"/>
      <c r="L214" s="413"/>
      <c r="M214" s="413"/>
      <c r="N214" s="452"/>
      <c r="O214" s="413"/>
      <c r="P214" s="413"/>
      <c r="Q214" s="413"/>
      <c r="R214" s="452"/>
      <c r="S214" s="443"/>
      <c r="T214" s="42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3"/>
      <c r="V214" s="423"/>
      <c r="W214" s="424"/>
      <c r="X214" s="425"/>
      <c r="Y214" s="426" t="str">
        <f t="shared" ca="1" si="51"/>
        <v/>
      </c>
      <c r="Z214" s="427" t="str">
        <f t="shared" ca="1" si="52"/>
        <v/>
      </c>
      <c r="AA214" s="426" t="str">
        <f t="shared" ca="1" si="53"/>
        <v/>
      </c>
      <c r="AB214" s="428" t="str">
        <f t="shared" ca="1" si="54"/>
        <v/>
      </c>
      <c r="AC214" s="427" t="str">
        <f t="shared" ca="1" si="55"/>
        <v/>
      </c>
      <c r="AD214" s="79"/>
      <c r="AE214" s="496">
        <f t="shared" ca="1" si="43"/>
        <v>-2.8057833979680002E-3</v>
      </c>
      <c r="AF214" s="493">
        <f t="shared" ca="1" si="44"/>
        <v>2.7588424803264931E-2</v>
      </c>
      <c r="AG214" s="493">
        <f t="shared" ca="1" si="42"/>
        <v>0</v>
      </c>
      <c r="AH214" s="498">
        <f t="shared" ca="1" si="45"/>
        <v>0</v>
      </c>
      <c r="AI214" s="497">
        <f t="shared" ca="1" si="46"/>
        <v>-2.8057833979680002E-3</v>
      </c>
      <c r="AJ214" s="493">
        <f t="shared" ca="1" si="47"/>
        <v>0.35582414906623694</v>
      </c>
      <c r="AK214" s="493">
        <f t="shared" ca="1" si="48"/>
        <v>0</v>
      </c>
      <c r="AL214" s="498">
        <f t="shared" ca="1" si="49"/>
        <v>0</v>
      </c>
      <c r="AN214" s="532" t="str">
        <f t="shared" ca="1" si="50"/>
        <v/>
      </c>
      <c r="AO214" s="524" t="str" cm="1">
        <f t="array" aca="1" ref="AO214" ca="1">IF(AN214&lt;&gt;"",TRANSPOSE(INDEX(GetCDS($C239,AO$13,$G239/10000,F239,D239,$C$13,$C$14,$C$15,$C$8,,,TRUE,TRUE,FALSE,$C$29:$C$31,$C$33),{5})),"")</f>
        <v/>
      </c>
      <c r="AP214" s="524" t="str" cm="1">
        <f t="array" aca="1" ref="AP214" ca="1">IF(AO214&lt;&gt;"",TRANSPOSE(INDEX(GetCDS($C239,AP$13,$G239/10000,G239,E239,$C$13,$C$14,$C$15,$C$8,,,TRUE,TRUE,FALSE,$C$29:$C$31,$C$33),{5})),"")</f>
        <v/>
      </c>
      <c r="AQ214" s="524" t="str" cm="1">
        <f t="array" aca="1" ref="AQ214" ca="1">IF(AP214&lt;&gt;"",TRANSPOSE(INDEX(GetCDS($C239,AQ$13,$G239/10000,H239,F239,$C$13,$C$14,$C$15,$C$8,,,TRUE,TRUE,FALSE,$C$29:$C$31,$C$33),{5})),"")</f>
        <v/>
      </c>
      <c r="AR214" s="524" t="str" cm="1">
        <f t="array" aca="1" ref="AR214" ca="1">IF(AQ214&lt;&gt;"",TRANSPOSE(INDEX(GetCDS($C239,AR$13,$G239/10000,I239,G239,$C$13,$C$14,$C$15,$C$8,,,TRUE,TRUE,FALSE,$C$29:$C$31,$C$33),{5})),"")</f>
        <v/>
      </c>
      <c r="AS214" s="525" t="str" cm="1">
        <f t="array" aca="1" ref="AS214" ca="1">IF(AR214&lt;&gt;"",TRANSPOSE(INDEX(GetCDS($C239,AS$13,$G239/10000,J239,H239,$C$13,$C$14,$C$15,$C$8,,,TRUE,TRUE,FALSE,$C$29:$C$31,$C$33),{5})),"")</f>
        <v/>
      </c>
    </row>
    <row r="215" spans="1:45" customFormat="1" ht="15">
      <c r="A215" s="227"/>
      <c r="B215" s="276">
        <v>177</v>
      </c>
      <c r="C215" s="254"/>
      <c r="D215" s="255"/>
      <c r="E215" s="247"/>
      <c r="F215" s="232"/>
      <c r="G215" s="239"/>
      <c r="H215" s="386">
        <v>201</v>
      </c>
      <c r="I215" s="404"/>
      <c r="J215" s="404"/>
      <c r="K215" s="413"/>
      <c r="L215" s="413"/>
      <c r="M215" s="413"/>
      <c r="N215" s="452"/>
      <c r="O215" s="413"/>
      <c r="P215" s="413"/>
      <c r="Q215" s="413"/>
      <c r="R215" s="452"/>
      <c r="S215" s="443"/>
      <c r="T215" s="42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3"/>
      <c r="V215" s="423"/>
      <c r="W215" s="424"/>
      <c r="X215" s="425"/>
      <c r="Y215" s="426" t="str">
        <f t="shared" ca="1" si="51"/>
        <v/>
      </c>
      <c r="Z215" s="427" t="str">
        <f t="shared" ca="1" si="52"/>
        <v/>
      </c>
      <c r="AA215" s="426" t="str">
        <f t="shared" ca="1" si="53"/>
        <v/>
      </c>
      <c r="AB215" s="428" t="str">
        <f t="shared" ca="1" si="54"/>
        <v/>
      </c>
      <c r="AC215" s="427" t="str">
        <f t="shared" ca="1" si="55"/>
        <v/>
      </c>
      <c r="AD215" s="79"/>
      <c r="AE215" s="496">
        <f t="shared" ca="1" si="43"/>
        <v>-1.6965452495289999E-3</v>
      </c>
      <c r="AF215" s="493">
        <f t="shared" ca="1" si="44"/>
        <v>3.2853691492989168E-2</v>
      </c>
      <c r="AG215" s="493">
        <f t="shared" ca="1" si="42"/>
        <v>0</v>
      </c>
      <c r="AH215" s="498">
        <f t="shared" ca="1" si="45"/>
        <v>0</v>
      </c>
      <c r="AI215" s="497">
        <f t="shared" ca="1" si="46"/>
        <v>-1.6965452495289999E-3</v>
      </c>
      <c r="AJ215" s="493">
        <f t="shared" ca="1" si="47"/>
        <v>0.3125344913092683</v>
      </c>
      <c r="AK215" s="493">
        <f t="shared" ca="1" si="48"/>
        <v>0</v>
      </c>
      <c r="AL215" s="498">
        <f t="shared" ca="1" si="49"/>
        <v>0</v>
      </c>
      <c r="AN215" s="532" t="str">
        <f t="shared" ca="1" si="50"/>
        <v/>
      </c>
      <c r="AO215" s="524" t="str" cm="1">
        <f t="array" aca="1" ref="AO215" ca="1">IF(AN215&lt;&gt;"",TRANSPOSE(INDEX(GetCDS($C240,AO$13,$G240/10000,F240,D240,$C$13,$C$14,$C$15,$C$8,,,TRUE,TRUE,FALSE,$C$29:$C$31,$C$33),{5})),"")</f>
        <v/>
      </c>
      <c r="AP215" s="524" t="str" cm="1">
        <f t="array" aca="1" ref="AP215" ca="1">IF(AO215&lt;&gt;"",TRANSPOSE(INDEX(GetCDS($C240,AP$13,$G240/10000,G240,E240,$C$13,$C$14,$C$15,$C$8,,,TRUE,TRUE,FALSE,$C$29:$C$31,$C$33),{5})),"")</f>
        <v/>
      </c>
      <c r="AQ215" s="524" t="str" cm="1">
        <f t="array" aca="1" ref="AQ215" ca="1">IF(AP215&lt;&gt;"",TRANSPOSE(INDEX(GetCDS($C240,AQ$13,$G240/10000,H240,F240,$C$13,$C$14,$C$15,$C$8,,,TRUE,TRUE,FALSE,$C$29:$C$31,$C$33),{5})),"")</f>
        <v/>
      </c>
      <c r="AR215" s="524" t="str" cm="1">
        <f t="array" aca="1" ref="AR215" ca="1">IF(AQ215&lt;&gt;"",TRANSPOSE(INDEX(GetCDS($C240,AR$13,$G240/10000,I240,G240,$C$13,$C$14,$C$15,$C$8,,,TRUE,TRUE,FALSE,$C$29:$C$31,$C$33),{5})),"")</f>
        <v/>
      </c>
      <c r="AS215" s="525" t="str" cm="1">
        <f t="array" aca="1" ref="AS215" ca="1">IF(AR215&lt;&gt;"",TRANSPOSE(INDEX(GetCDS($C240,AS$13,$G240/10000,J240,H240,$C$13,$C$14,$C$15,$C$8,,,TRUE,TRUE,FALSE,$C$29:$C$31,$C$33),{5})),"")</f>
        <v/>
      </c>
    </row>
    <row r="216" spans="1:45" customFormat="1" ht="15">
      <c r="A216" s="227"/>
      <c r="B216" s="276">
        <v>178</v>
      </c>
      <c r="C216" s="254"/>
      <c r="D216" s="255"/>
      <c r="E216" s="247"/>
      <c r="F216" s="232"/>
      <c r="G216" s="239"/>
      <c r="H216" s="386">
        <v>202</v>
      </c>
      <c r="I216" s="404"/>
      <c r="J216" s="404"/>
      <c r="K216" s="413"/>
      <c r="L216" s="413"/>
      <c r="M216" s="413"/>
      <c r="N216" s="452"/>
      <c r="O216" s="413"/>
      <c r="P216" s="413"/>
      <c r="Q216" s="413"/>
      <c r="R216" s="452"/>
      <c r="S216" s="443"/>
      <c r="T216" s="42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3"/>
      <c r="V216" s="423"/>
      <c r="W216" s="424"/>
      <c r="X216" s="425"/>
      <c r="Y216" s="426" t="str">
        <f t="shared" ca="1" si="51"/>
        <v/>
      </c>
      <c r="Z216" s="427" t="str">
        <f t="shared" ca="1" si="52"/>
        <v/>
      </c>
      <c r="AA216" s="426" t="str">
        <f t="shared" ca="1" si="53"/>
        <v/>
      </c>
      <c r="AB216" s="428" t="str">
        <f t="shared" ca="1" si="54"/>
        <v/>
      </c>
      <c r="AC216" s="427" t="str">
        <f t="shared" ca="1" si="55"/>
        <v/>
      </c>
      <c r="AD216" s="79"/>
      <c r="AE216" s="496">
        <f t="shared" ca="1" si="43"/>
        <v>-4.9595752028590004E-3</v>
      </c>
      <c r="AF216" s="493">
        <f t="shared" ca="1" si="44"/>
        <v>1.8164226146847554E-2</v>
      </c>
      <c r="AG216" s="493">
        <f t="shared" ca="1" si="42"/>
        <v>0</v>
      </c>
      <c r="AH216" s="498">
        <f t="shared" ca="1" si="45"/>
        <v>0</v>
      </c>
      <c r="AI216" s="497">
        <f t="shared" ca="1" si="46"/>
        <v>-4.9595752028590004E-3</v>
      </c>
      <c r="AJ216" s="493">
        <f t="shared" ca="1" si="47"/>
        <v>0.4106530201868856</v>
      </c>
      <c r="AK216" s="493">
        <f t="shared" ca="1" si="48"/>
        <v>0</v>
      </c>
      <c r="AL216" s="498">
        <f t="shared" ca="1" si="49"/>
        <v>0</v>
      </c>
      <c r="AN216" s="532" t="str">
        <f t="shared" ca="1" si="50"/>
        <v/>
      </c>
      <c r="AO216" s="524" t="str" cm="1">
        <f t="array" aca="1" ref="AO216" ca="1">IF(AN216&lt;&gt;"",TRANSPOSE(INDEX(GetCDS($C241,AO$13,$G241/10000,F241,D241,$C$13,$C$14,$C$15,$C$8,,,TRUE,TRUE,FALSE,$C$29:$C$31,$C$33),{5})),"")</f>
        <v/>
      </c>
      <c r="AP216" s="524" t="str" cm="1">
        <f t="array" aca="1" ref="AP216" ca="1">IF(AO216&lt;&gt;"",TRANSPOSE(INDEX(GetCDS($C241,AP$13,$G241/10000,G241,E241,$C$13,$C$14,$C$15,$C$8,,,TRUE,TRUE,FALSE,$C$29:$C$31,$C$33),{5})),"")</f>
        <v/>
      </c>
      <c r="AQ216" s="524" t="str" cm="1">
        <f t="array" aca="1" ref="AQ216" ca="1">IF(AP216&lt;&gt;"",TRANSPOSE(INDEX(GetCDS($C241,AQ$13,$G241/10000,H241,F241,$C$13,$C$14,$C$15,$C$8,,,TRUE,TRUE,FALSE,$C$29:$C$31,$C$33),{5})),"")</f>
        <v/>
      </c>
      <c r="AR216" s="524" t="str" cm="1">
        <f t="array" aca="1" ref="AR216" ca="1">IF(AQ216&lt;&gt;"",TRANSPOSE(INDEX(GetCDS($C241,AR$13,$G241/10000,I241,G241,$C$13,$C$14,$C$15,$C$8,,,TRUE,TRUE,FALSE,$C$29:$C$31,$C$33),{5})),"")</f>
        <v/>
      </c>
      <c r="AS216" s="525" t="str" cm="1">
        <f t="array" aca="1" ref="AS216" ca="1">IF(AR216&lt;&gt;"",TRANSPOSE(INDEX(GetCDS($C241,AS$13,$G241/10000,J241,H241,$C$13,$C$14,$C$15,$C$8,,,TRUE,TRUE,FALSE,$C$29:$C$31,$C$33),{5})),"")</f>
        <v/>
      </c>
    </row>
    <row r="217" spans="1:45" customFormat="1" ht="15">
      <c r="A217" s="227"/>
      <c r="B217" s="276">
        <v>179</v>
      </c>
      <c r="C217" s="254"/>
      <c r="D217" s="255"/>
      <c r="E217" s="247"/>
      <c r="F217" s="232"/>
      <c r="G217" s="239"/>
      <c r="H217" s="386">
        <v>203</v>
      </c>
      <c r="I217" s="404"/>
      <c r="J217" s="404"/>
      <c r="K217" s="413"/>
      <c r="L217" s="413"/>
      <c r="M217" s="413"/>
      <c r="N217" s="452"/>
      <c r="O217" s="413"/>
      <c r="P217" s="413"/>
      <c r="Q217" s="413"/>
      <c r="R217" s="452"/>
      <c r="S217" s="443"/>
      <c r="T217" s="42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3"/>
      <c r="V217" s="423"/>
      <c r="W217" s="424"/>
      <c r="X217" s="425"/>
      <c r="Y217" s="426" t="str">
        <f t="shared" ca="1" si="51"/>
        <v/>
      </c>
      <c r="Z217" s="427" t="str">
        <f t="shared" ca="1" si="52"/>
        <v/>
      </c>
      <c r="AA217" s="426" t="str">
        <f t="shared" ca="1" si="53"/>
        <v/>
      </c>
      <c r="AB217" s="428" t="str">
        <f t="shared" ca="1" si="54"/>
        <v/>
      </c>
      <c r="AC217" s="427" t="str">
        <f t="shared" ca="1" si="55"/>
        <v/>
      </c>
      <c r="AD217" s="79"/>
      <c r="AE217" s="496">
        <f t="shared" ca="1" si="43"/>
        <v>-2.3402544671410098E-3</v>
      </c>
      <c r="AF217" s="493">
        <f t="shared" ca="1" si="44"/>
        <v>2.9637688613425472E-2</v>
      </c>
      <c r="AG217" s="493">
        <f t="shared" ca="1" si="42"/>
        <v>0</v>
      </c>
      <c r="AH217" s="498">
        <f t="shared" ca="1" si="45"/>
        <v>0</v>
      </c>
      <c r="AI217" s="497">
        <f t="shared" ca="1" si="46"/>
        <v>-2.3402544671410098E-3</v>
      </c>
      <c r="AJ217" s="493">
        <f t="shared" ca="1" si="47"/>
        <v>0.33924222773508828</v>
      </c>
      <c r="AK217" s="493">
        <f t="shared" ca="1" si="48"/>
        <v>0</v>
      </c>
      <c r="AL217" s="498">
        <f t="shared" ca="1" si="49"/>
        <v>0</v>
      </c>
      <c r="AN217" s="532" t="str">
        <f t="shared" ca="1" si="50"/>
        <v/>
      </c>
      <c r="AO217" s="524" t="str" cm="1">
        <f t="array" aca="1" ref="AO217" ca="1">IF(AN217&lt;&gt;"",TRANSPOSE(INDEX(GetCDS($C242,AO$13,$G242/10000,F242,D242,$C$13,$C$14,$C$15,$C$8,,,TRUE,TRUE,FALSE,$C$29:$C$31,$C$33),{5})),"")</f>
        <v/>
      </c>
      <c r="AP217" s="524" t="str" cm="1">
        <f t="array" aca="1" ref="AP217" ca="1">IF(AO217&lt;&gt;"",TRANSPOSE(INDEX(GetCDS($C242,AP$13,$G242/10000,G242,E242,$C$13,$C$14,$C$15,$C$8,,,TRUE,TRUE,FALSE,$C$29:$C$31,$C$33),{5})),"")</f>
        <v/>
      </c>
      <c r="AQ217" s="524" t="str" cm="1">
        <f t="array" aca="1" ref="AQ217" ca="1">IF(AP217&lt;&gt;"",TRANSPOSE(INDEX(GetCDS($C242,AQ$13,$G242/10000,H242,F242,$C$13,$C$14,$C$15,$C$8,,,TRUE,TRUE,FALSE,$C$29:$C$31,$C$33),{5})),"")</f>
        <v/>
      </c>
      <c r="AR217" s="524" t="str" cm="1">
        <f t="array" aca="1" ref="AR217" ca="1">IF(AQ217&lt;&gt;"",TRANSPOSE(INDEX(GetCDS($C242,AR$13,$G242/10000,I242,G242,$C$13,$C$14,$C$15,$C$8,,,TRUE,TRUE,FALSE,$C$29:$C$31,$C$33),{5})),"")</f>
        <v/>
      </c>
      <c r="AS217" s="525" t="str" cm="1">
        <f t="array" aca="1" ref="AS217" ca="1">IF(AR217&lt;&gt;"",TRANSPOSE(INDEX(GetCDS($C242,AS$13,$G242/10000,J242,H242,$C$13,$C$14,$C$15,$C$8,,,TRUE,TRUE,FALSE,$C$29:$C$31,$C$33),{5})),"")</f>
        <v/>
      </c>
    </row>
    <row r="218" spans="1:45" customFormat="1" ht="15">
      <c r="A218" s="227"/>
      <c r="B218" s="276">
        <v>180</v>
      </c>
      <c r="C218" s="254"/>
      <c r="D218" s="255"/>
      <c r="E218" s="247"/>
      <c r="F218" s="232"/>
      <c r="G218" s="239"/>
      <c r="H218" s="386">
        <v>204</v>
      </c>
      <c r="I218" s="404"/>
      <c r="J218" s="404"/>
      <c r="K218" s="413"/>
      <c r="L218" s="413"/>
      <c r="M218" s="413"/>
      <c r="N218" s="452"/>
      <c r="O218" s="413"/>
      <c r="P218" s="413"/>
      <c r="Q218" s="413"/>
      <c r="R218" s="452"/>
      <c r="S218" s="443"/>
      <c r="T218" s="42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3"/>
      <c r="V218" s="423"/>
      <c r="W218" s="424"/>
      <c r="X218" s="425"/>
      <c r="Y218" s="426" t="str">
        <f t="shared" ca="1" si="51"/>
        <v/>
      </c>
      <c r="Z218" s="427" t="str">
        <f t="shared" ca="1" si="52"/>
        <v/>
      </c>
      <c r="AA218" s="426" t="str">
        <f t="shared" ca="1" si="53"/>
        <v/>
      </c>
      <c r="AB218" s="428" t="str">
        <f t="shared" ca="1" si="54"/>
        <v/>
      </c>
      <c r="AC218" s="427" t="str">
        <f t="shared" ca="1" si="55"/>
        <v/>
      </c>
      <c r="AD218" s="79"/>
      <c r="AE218" s="496">
        <f t="shared" ca="1" si="43"/>
        <v>-6.0044650487010003E-3</v>
      </c>
      <c r="AF218" s="493">
        <f t="shared" ca="1" si="44"/>
        <v>1.396319854021448E-2</v>
      </c>
      <c r="AG218" s="493">
        <f t="shared" ca="1" si="42"/>
        <v>0</v>
      </c>
      <c r="AH218" s="498">
        <f t="shared" ca="1" si="45"/>
        <v>0</v>
      </c>
      <c r="AI218" s="497">
        <f t="shared" ca="1" si="46"/>
        <v>-6.0044650487010003E-3</v>
      </c>
      <c r="AJ218" s="493">
        <f t="shared" ca="1" si="47"/>
        <v>0.43069567885472121</v>
      </c>
      <c r="AK218" s="493">
        <f t="shared" ca="1" si="48"/>
        <v>0</v>
      </c>
      <c r="AL218" s="498">
        <f t="shared" ca="1" si="49"/>
        <v>0</v>
      </c>
      <c r="AN218" s="532" t="str">
        <f t="shared" ca="1" si="50"/>
        <v/>
      </c>
      <c r="AO218" s="524" t="str" cm="1">
        <f t="array" aca="1" ref="AO218" ca="1">IF(AN218&lt;&gt;"",TRANSPOSE(INDEX(GetCDS($C243,AO$13,$G243/10000,F243,D243,$C$13,$C$14,$C$15,$C$8,,,TRUE,TRUE,FALSE,$C$29:$C$31,$C$33),{5})),"")</f>
        <v/>
      </c>
      <c r="AP218" s="524" t="str" cm="1">
        <f t="array" aca="1" ref="AP218" ca="1">IF(AO218&lt;&gt;"",TRANSPOSE(INDEX(GetCDS($C243,AP$13,$G243/10000,G243,E243,$C$13,$C$14,$C$15,$C$8,,,TRUE,TRUE,FALSE,$C$29:$C$31,$C$33),{5})),"")</f>
        <v/>
      </c>
      <c r="AQ218" s="524" t="str" cm="1">
        <f t="array" aca="1" ref="AQ218" ca="1">IF(AP218&lt;&gt;"",TRANSPOSE(INDEX(GetCDS($C243,AQ$13,$G243/10000,H243,F243,$C$13,$C$14,$C$15,$C$8,,,TRUE,TRUE,FALSE,$C$29:$C$31,$C$33),{5})),"")</f>
        <v/>
      </c>
      <c r="AR218" s="524" t="str" cm="1">
        <f t="array" aca="1" ref="AR218" ca="1">IF(AQ218&lt;&gt;"",TRANSPOSE(INDEX(GetCDS($C243,AR$13,$G243/10000,I243,G243,$C$13,$C$14,$C$15,$C$8,,,TRUE,TRUE,FALSE,$C$29:$C$31,$C$33),{5})),"")</f>
        <v/>
      </c>
      <c r="AS218" s="525" t="str" cm="1">
        <f t="array" aca="1" ref="AS218" ca="1">IF(AR218&lt;&gt;"",TRANSPOSE(INDEX(GetCDS($C243,AS$13,$G243/10000,J243,H243,$C$13,$C$14,$C$15,$C$8,,,TRUE,TRUE,FALSE,$C$29:$C$31,$C$33),{5})),"")</f>
        <v/>
      </c>
    </row>
    <row r="219" spans="1:45" customFormat="1" ht="15">
      <c r="A219" s="227"/>
      <c r="B219" s="276">
        <v>181</v>
      </c>
      <c r="C219" s="254"/>
      <c r="D219" s="255"/>
      <c r="E219" s="247"/>
      <c r="F219" s="232"/>
      <c r="G219" s="239"/>
      <c r="H219" s="386">
        <v>205</v>
      </c>
      <c r="I219" s="404"/>
      <c r="J219" s="404"/>
      <c r="K219" s="413"/>
      <c r="L219" s="413"/>
      <c r="M219" s="413"/>
      <c r="N219" s="452"/>
      <c r="O219" s="413"/>
      <c r="P219" s="413"/>
      <c r="Q219" s="413"/>
      <c r="R219" s="452"/>
      <c r="S219" s="443"/>
      <c r="T219" s="42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3"/>
      <c r="V219" s="423"/>
      <c r="W219" s="424"/>
      <c r="X219" s="425"/>
      <c r="Y219" s="426" t="str">
        <f t="shared" ca="1" si="51"/>
        <v/>
      </c>
      <c r="Z219" s="427" t="str">
        <f t="shared" ca="1" si="52"/>
        <v/>
      </c>
      <c r="AA219" s="426" t="str">
        <f t="shared" ca="1" si="53"/>
        <v/>
      </c>
      <c r="AB219" s="428" t="str">
        <f t="shared" ca="1" si="54"/>
        <v/>
      </c>
      <c r="AC219" s="427" t="str">
        <f t="shared" ca="1" si="55"/>
        <v/>
      </c>
      <c r="AD219" s="79"/>
      <c r="AE219" s="496">
        <f t="shared" ca="1" si="43"/>
        <v>-2.2528453966610099E-3</v>
      </c>
      <c r="AF219" s="493">
        <f t="shared" ca="1" si="44"/>
        <v>3.020906483686869E-2</v>
      </c>
      <c r="AG219" s="493">
        <f t="shared" ca="1" si="42"/>
        <v>0</v>
      </c>
      <c r="AH219" s="498">
        <f t="shared" ca="1" si="45"/>
        <v>0</v>
      </c>
      <c r="AI219" s="497">
        <f t="shared" ca="1" si="46"/>
        <v>-2.2528453966610099E-3</v>
      </c>
      <c r="AJ219" s="493">
        <f t="shared" ca="1" si="47"/>
        <v>0.33656101892836848</v>
      </c>
      <c r="AK219" s="493">
        <f t="shared" ca="1" si="48"/>
        <v>0</v>
      </c>
      <c r="AL219" s="498">
        <f t="shared" ca="1" si="49"/>
        <v>0</v>
      </c>
      <c r="AN219" s="532" t="str">
        <f t="shared" ca="1" si="50"/>
        <v/>
      </c>
      <c r="AO219" s="524" t="str" cm="1">
        <f t="array" aca="1" ref="AO219" ca="1">IF(AN219&lt;&gt;"",TRANSPOSE(INDEX(GetCDS($C244,AO$13,$G244/10000,F244,D244,$C$13,$C$14,$C$15,$C$8,,,TRUE,TRUE,FALSE,$C$29:$C$31,$C$33),{5})),"")</f>
        <v/>
      </c>
      <c r="AP219" s="524" t="str" cm="1">
        <f t="array" aca="1" ref="AP219" ca="1">IF(AO219&lt;&gt;"",TRANSPOSE(INDEX(GetCDS($C244,AP$13,$G244/10000,G244,E244,$C$13,$C$14,$C$15,$C$8,,,TRUE,TRUE,FALSE,$C$29:$C$31,$C$33),{5})),"")</f>
        <v/>
      </c>
      <c r="AQ219" s="524" t="str" cm="1">
        <f t="array" aca="1" ref="AQ219" ca="1">IF(AP219&lt;&gt;"",TRANSPOSE(INDEX(GetCDS($C244,AQ$13,$G244/10000,H244,F244,$C$13,$C$14,$C$15,$C$8,,,TRUE,TRUE,FALSE,$C$29:$C$31,$C$33),{5})),"")</f>
        <v/>
      </c>
      <c r="AR219" s="524" t="str" cm="1">
        <f t="array" aca="1" ref="AR219" ca="1">IF(AQ219&lt;&gt;"",TRANSPOSE(INDEX(GetCDS($C244,AR$13,$G244/10000,I244,G244,$C$13,$C$14,$C$15,$C$8,,,TRUE,TRUE,FALSE,$C$29:$C$31,$C$33),{5})),"")</f>
        <v/>
      </c>
      <c r="AS219" s="525" t="str" cm="1">
        <f t="array" aca="1" ref="AS219" ca="1">IF(AR219&lt;&gt;"",TRANSPOSE(INDEX(GetCDS($C244,AS$13,$G244/10000,J244,H244,$C$13,$C$14,$C$15,$C$8,,,TRUE,TRUE,FALSE,$C$29:$C$31,$C$33),{5})),"")</f>
        <v/>
      </c>
    </row>
    <row r="220" spans="1:45" customFormat="1" ht="15">
      <c r="A220" s="227"/>
      <c r="B220" s="276">
        <v>182</v>
      </c>
      <c r="C220" s="254"/>
      <c r="D220" s="255"/>
      <c r="E220" s="247"/>
      <c r="F220" s="232"/>
      <c r="G220" s="239"/>
      <c r="H220" s="386">
        <v>206</v>
      </c>
      <c r="I220" s="404"/>
      <c r="J220" s="404"/>
      <c r="K220" s="413"/>
      <c r="L220" s="413"/>
      <c r="M220" s="413"/>
      <c r="N220" s="452"/>
      <c r="O220" s="413"/>
      <c r="P220" s="413"/>
      <c r="Q220" s="413"/>
      <c r="R220" s="452"/>
      <c r="S220" s="443"/>
      <c r="T220" s="42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3"/>
      <c r="V220" s="423"/>
      <c r="W220" s="424"/>
      <c r="X220" s="425"/>
      <c r="Y220" s="426" t="str">
        <f t="shared" ca="1" si="51"/>
        <v/>
      </c>
      <c r="Z220" s="427" t="str">
        <f t="shared" ca="1" si="52"/>
        <v/>
      </c>
      <c r="AA220" s="426" t="str">
        <f t="shared" ca="1" si="53"/>
        <v/>
      </c>
      <c r="AB220" s="428" t="str">
        <f t="shared" ca="1" si="54"/>
        <v/>
      </c>
      <c r="AC220" s="427" t="str">
        <f t="shared" ca="1" si="55"/>
        <v/>
      </c>
      <c r="AD220" s="79"/>
      <c r="AE220" s="496">
        <f t="shared" ca="1" si="43"/>
        <v>-4.7590937190850101E-3</v>
      </c>
      <c r="AF220" s="493">
        <f t="shared" ca="1" si="44"/>
        <v>1.8910330176762951E-2</v>
      </c>
      <c r="AG220" s="493">
        <f t="shared" ca="1" si="42"/>
        <v>0</v>
      </c>
      <c r="AH220" s="498">
        <f t="shared" ca="1" si="45"/>
        <v>0</v>
      </c>
      <c r="AI220" s="497">
        <f t="shared" ca="1" si="46"/>
        <v>-4.7590937190850101E-3</v>
      </c>
      <c r="AJ220" s="493">
        <f t="shared" ca="1" si="47"/>
        <v>0.40611035500478398</v>
      </c>
      <c r="AK220" s="493">
        <f t="shared" ca="1" si="48"/>
        <v>0</v>
      </c>
      <c r="AL220" s="498">
        <f t="shared" ca="1" si="49"/>
        <v>0</v>
      </c>
      <c r="AN220" s="532" t="str">
        <f t="shared" ca="1" si="50"/>
        <v/>
      </c>
      <c r="AO220" s="524" t="str" cm="1">
        <f t="array" aca="1" ref="AO220" ca="1">IF(AN220&lt;&gt;"",TRANSPOSE(INDEX(GetCDS($C245,AO$13,$G245/10000,F245,D245,$C$13,$C$14,$C$15,$C$8,,,TRUE,TRUE,FALSE,$C$29:$C$31,$C$33),{5})),"")</f>
        <v/>
      </c>
      <c r="AP220" s="524" t="str" cm="1">
        <f t="array" aca="1" ref="AP220" ca="1">IF(AO220&lt;&gt;"",TRANSPOSE(INDEX(GetCDS($C245,AP$13,$G245/10000,G245,E245,$C$13,$C$14,$C$15,$C$8,,,TRUE,TRUE,FALSE,$C$29:$C$31,$C$33),{5})),"")</f>
        <v/>
      </c>
      <c r="AQ220" s="524" t="str" cm="1">
        <f t="array" aca="1" ref="AQ220" ca="1">IF(AP220&lt;&gt;"",TRANSPOSE(INDEX(GetCDS($C245,AQ$13,$G245/10000,H245,F245,$C$13,$C$14,$C$15,$C$8,,,TRUE,TRUE,FALSE,$C$29:$C$31,$C$33),{5})),"")</f>
        <v/>
      </c>
      <c r="AR220" s="524" t="str" cm="1">
        <f t="array" aca="1" ref="AR220" ca="1">IF(AQ220&lt;&gt;"",TRANSPOSE(INDEX(GetCDS($C245,AR$13,$G245/10000,I245,G245,$C$13,$C$14,$C$15,$C$8,,,TRUE,TRUE,FALSE,$C$29:$C$31,$C$33),{5})),"")</f>
        <v/>
      </c>
      <c r="AS220" s="525" t="str" cm="1">
        <f t="array" aca="1" ref="AS220" ca="1">IF(AR220&lt;&gt;"",TRANSPOSE(INDEX(GetCDS($C245,AS$13,$G245/10000,J245,H245,$C$13,$C$14,$C$15,$C$8,,,TRUE,TRUE,FALSE,$C$29:$C$31,$C$33),{5})),"")</f>
        <v/>
      </c>
    </row>
    <row r="221" spans="1:45" customFormat="1" ht="15.75" thickBot="1">
      <c r="A221" s="227"/>
      <c r="B221" s="276">
        <v>183</v>
      </c>
      <c r="C221" s="254"/>
      <c r="D221" s="255"/>
      <c r="E221" s="247"/>
      <c r="F221" s="232"/>
      <c r="G221" s="239"/>
      <c r="H221" s="386">
        <v>207</v>
      </c>
      <c r="I221" s="404"/>
      <c r="J221" s="404"/>
      <c r="K221" s="413"/>
      <c r="L221" s="413"/>
      <c r="M221" s="413"/>
      <c r="N221" s="452"/>
      <c r="O221" s="413"/>
      <c r="P221" s="413"/>
      <c r="Q221" s="413"/>
      <c r="R221" s="452"/>
      <c r="S221" s="443"/>
      <c r="T221" s="42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3"/>
      <c r="V221" s="423"/>
      <c r="W221" s="424"/>
      <c r="X221" s="425"/>
      <c r="Y221" s="426" t="str">
        <f t="shared" ca="1" si="51"/>
        <v/>
      </c>
      <c r="Z221" s="427" t="str">
        <f t="shared" ca="1" si="52"/>
        <v/>
      </c>
      <c r="AA221" s="426" t="str">
        <f t="shared" ca="1" si="53"/>
        <v/>
      </c>
      <c r="AB221" s="428" t="str">
        <f t="shared" ca="1" si="54"/>
        <v/>
      </c>
      <c r="AC221" s="427" t="str">
        <f t="shared" ca="1" si="55"/>
        <v/>
      </c>
      <c r="AD221" s="79"/>
      <c r="AE221" s="512">
        <f t="shared" ca="1" si="43"/>
        <v>-3.5497826480959901E-3</v>
      </c>
      <c r="AF221" s="505">
        <f t="shared" ca="1" si="44"/>
        <v>2.46772161649375E-2</v>
      </c>
      <c r="AG221" s="505">
        <f t="shared" ca="1" si="42"/>
        <v>0</v>
      </c>
      <c r="AH221" s="501">
        <f t="shared" ca="1" si="45"/>
        <v>0</v>
      </c>
      <c r="AI221" s="505">
        <f t="shared" ca="1" si="46"/>
        <v>-3.5497826480959901E-3</v>
      </c>
      <c r="AJ221" s="505">
        <f t="shared" ca="1" si="47"/>
        <v>0.37715243952939259</v>
      </c>
      <c r="AK221" s="505">
        <f t="shared" ca="1" si="48"/>
        <v>0</v>
      </c>
      <c r="AL221" s="501">
        <f t="shared" ca="1" si="49"/>
        <v>0</v>
      </c>
      <c r="AN221" s="532" t="str">
        <f t="shared" ca="1" si="50"/>
        <v/>
      </c>
      <c r="AO221" s="524" t="str" cm="1">
        <f t="array" aca="1" ref="AO221" ca="1">IF(AN221&lt;&gt;"",TRANSPOSE(INDEX(GetCDS($C246,AO$13,$G246/10000,F246,D246,$C$13,$C$14,$C$15,$C$8,,,TRUE,TRUE,FALSE,$C$29:$C$31,$C$33),{5})),"")</f>
        <v/>
      </c>
      <c r="AP221" s="524" t="str" cm="1">
        <f t="array" aca="1" ref="AP221" ca="1">IF(AO221&lt;&gt;"",TRANSPOSE(INDEX(GetCDS($C246,AP$13,$G246/10000,G246,E246,$C$13,$C$14,$C$15,$C$8,,,TRUE,TRUE,FALSE,$C$29:$C$31,$C$33),{5})),"")</f>
        <v/>
      </c>
      <c r="AQ221" s="524" t="str" cm="1">
        <f t="array" aca="1" ref="AQ221" ca="1">IF(AP221&lt;&gt;"",TRANSPOSE(INDEX(GetCDS($C246,AQ$13,$G246/10000,H246,F246,$C$13,$C$14,$C$15,$C$8,,,TRUE,TRUE,FALSE,$C$29:$C$31,$C$33),{5})),"")</f>
        <v/>
      </c>
      <c r="AR221" s="524" t="str" cm="1">
        <f t="array" aca="1" ref="AR221" ca="1">IF(AQ221&lt;&gt;"",TRANSPOSE(INDEX(GetCDS($C246,AR$13,$G246/10000,I246,G246,$C$13,$C$14,$C$15,$C$8,,,TRUE,TRUE,FALSE,$C$29:$C$31,$C$33),{5})),"")</f>
        <v/>
      </c>
      <c r="AS221" s="525" t="str" cm="1">
        <f t="array" aca="1" ref="AS221" ca="1">IF(AR221&lt;&gt;"",TRANSPOSE(INDEX(GetCDS($C246,AS$13,$G246/10000,J246,H246,$C$13,$C$14,$C$15,$C$8,,,TRUE,TRUE,FALSE,$C$29:$C$31,$C$33),{5})),"")</f>
        <v/>
      </c>
    </row>
    <row r="222" spans="1:45" customFormat="1" ht="15">
      <c r="A222" s="227"/>
      <c r="B222" s="276">
        <v>184</v>
      </c>
      <c r="C222" s="254"/>
      <c r="D222" s="255"/>
      <c r="E222" s="247"/>
      <c r="F222" s="232"/>
      <c r="G222" s="239"/>
      <c r="H222" s="386">
        <v>208</v>
      </c>
      <c r="I222" s="404"/>
      <c r="J222" s="404"/>
      <c r="K222" s="413"/>
      <c r="L222" s="413"/>
      <c r="M222" s="413"/>
      <c r="N222" s="452"/>
      <c r="O222" s="413"/>
      <c r="P222" s="413"/>
      <c r="Q222" s="413"/>
      <c r="R222" s="452"/>
      <c r="S222" s="443"/>
      <c r="T222" s="42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3"/>
      <c r="V222" s="423"/>
      <c r="W222" s="424"/>
      <c r="X222" s="425"/>
      <c r="Y222" s="426" t="str">
        <f t="shared" ca="1" si="51"/>
        <v/>
      </c>
      <c r="Z222" s="427" t="str">
        <f t="shared" ca="1" si="52"/>
        <v/>
      </c>
      <c r="AA222" s="426" t="str">
        <f t="shared" ca="1" si="53"/>
        <v/>
      </c>
      <c r="AB222" s="428" t="str">
        <f t="shared" ca="1" si="54"/>
        <v/>
      </c>
      <c r="AC222" s="427" t="str">
        <f t="shared" ca="1" si="55"/>
        <v/>
      </c>
      <c r="AD222" s="79"/>
      <c r="AN222" s="532" t="str">
        <f t="shared" ca="1" si="50"/>
        <v/>
      </c>
      <c r="AO222" s="524" t="str" cm="1">
        <f t="array" aca="1" ref="AO222" ca="1">IF(AN222&lt;&gt;"",TRANSPOSE(INDEX(GetCDS($C247,AO$13,$G247/10000,F247,D247,$C$13,$C$14,$C$15,$C$8,,,TRUE,TRUE,FALSE,$C$29:$C$31,$C$33),{5})),"")</f>
        <v/>
      </c>
      <c r="AP222" s="524" t="str" cm="1">
        <f t="array" aca="1" ref="AP222" ca="1">IF(AO222&lt;&gt;"",TRANSPOSE(INDEX(GetCDS($C247,AP$13,$G247/10000,G247,E247,$C$13,$C$14,$C$15,$C$8,,,TRUE,TRUE,FALSE,$C$29:$C$31,$C$33),{5})),"")</f>
        <v/>
      </c>
      <c r="AQ222" s="524" t="str" cm="1">
        <f t="array" aca="1" ref="AQ222" ca="1">IF(AP222&lt;&gt;"",TRANSPOSE(INDEX(GetCDS($C247,AQ$13,$G247/10000,H247,F247,$C$13,$C$14,$C$15,$C$8,,,TRUE,TRUE,FALSE,$C$29:$C$31,$C$33),{5})),"")</f>
        <v/>
      </c>
      <c r="AR222" s="524" t="str" cm="1">
        <f t="array" aca="1" ref="AR222" ca="1">IF(AQ222&lt;&gt;"",TRANSPOSE(INDEX(GetCDS($C247,AR$13,$G247/10000,I247,G247,$C$13,$C$14,$C$15,$C$8,,,TRUE,TRUE,FALSE,$C$29:$C$31,$C$33),{5})),"")</f>
        <v/>
      </c>
      <c r="AS222" s="525" t="str" cm="1">
        <f t="array" aca="1" ref="AS222" ca="1">IF(AR222&lt;&gt;"",TRANSPOSE(INDEX(GetCDS($C247,AS$13,$G247/10000,J247,H247,$C$13,$C$14,$C$15,$C$8,,,TRUE,TRUE,FALSE,$C$29:$C$31,$C$33),{5})),"")</f>
        <v/>
      </c>
    </row>
    <row r="223" spans="1:45" customFormat="1" ht="15">
      <c r="A223" s="227"/>
      <c r="B223" s="276">
        <v>185</v>
      </c>
      <c r="C223" s="254"/>
      <c r="D223" s="255"/>
      <c r="E223" s="247"/>
      <c r="F223" s="232"/>
      <c r="G223" s="239"/>
      <c r="H223" s="386">
        <v>209</v>
      </c>
      <c r="I223" s="404"/>
      <c r="J223" s="404"/>
      <c r="K223" s="413"/>
      <c r="L223" s="413"/>
      <c r="M223" s="413"/>
      <c r="N223" s="452"/>
      <c r="O223" s="413"/>
      <c r="P223" s="413"/>
      <c r="Q223" s="413"/>
      <c r="R223" s="452"/>
      <c r="S223" s="443"/>
      <c r="T223" s="42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3"/>
      <c r="V223" s="423"/>
      <c r="W223" s="424"/>
      <c r="X223" s="425"/>
      <c r="Y223" s="426" t="str">
        <f t="shared" ca="1" si="51"/>
        <v/>
      </c>
      <c r="Z223" s="427" t="str">
        <f t="shared" ca="1" si="52"/>
        <v/>
      </c>
      <c r="AA223" s="426" t="str">
        <f t="shared" ca="1" si="53"/>
        <v/>
      </c>
      <c r="AB223" s="428" t="str">
        <f t="shared" ca="1" si="54"/>
        <v/>
      </c>
      <c r="AC223" s="427" t="str">
        <f t="shared" ca="1" si="55"/>
        <v/>
      </c>
      <c r="AD223" s="79"/>
      <c r="AN223" s="532" t="str">
        <f t="shared" ca="1" si="50"/>
        <v/>
      </c>
      <c r="AO223" s="524" t="str" cm="1">
        <f t="array" aca="1" ref="AO223" ca="1">IF(AN223&lt;&gt;"",TRANSPOSE(INDEX(GetCDS($C248,AO$13,$G248/10000,F248,D248,$C$13,$C$14,$C$15,$C$8,,,TRUE,TRUE,FALSE,$C$29:$C$31,$C$33),{5})),"")</f>
        <v/>
      </c>
      <c r="AP223" s="524" t="str" cm="1">
        <f t="array" aca="1" ref="AP223" ca="1">IF(AO223&lt;&gt;"",TRANSPOSE(INDEX(GetCDS($C248,AP$13,$G248/10000,G248,E248,$C$13,$C$14,$C$15,$C$8,,,TRUE,TRUE,FALSE,$C$29:$C$31,$C$33),{5})),"")</f>
        <v/>
      </c>
      <c r="AQ223" s="524" t="str" cm="1">
        <f t="array" aca="1" ref="AQ223" ca="1">IF(AP223&lt;&gt;"",TRANSPOSE(INDEX(GetCDS($C248,AQ$13,$G248/10000,H248,F248,$C$13,$C$14,$C$15,$C$8,,,TRUE,TRUE,FALSE,$C$29:$C$31,$C$33),{5})),"")</f>
        <v/>
      </c>
      <c r="AR223" s="524" t="str" cm="1">
        <f t="array" aca="1" ref="AR223" ca="1">IF(AQ223&lt;&gt;"",TRANSPOSE(INDEX(GetCDS($C248,AR$13,$G248/10000,I248,G248,$C$13,$C$14,$C$15,$C$8,,,TRUE,TRUE,FALSE,$C$29:$C$31,$C$33),{5})),"")</f>
        <v/>
      </c>
      <c r="AS223" s="525" t="str" cm="1">
        <f t="array" aca="1" ref="AS223" ca="1">IF(AR223&lt;&gt;"",TRANSPOSE(INDEX(GetCDS($C248,AS$13,$G248/10000,J248,H248,$C$13,$C$14,$C$15,$C$8,,,TRUE,TRUE,FALSE,$C$29:$C$31,$C$33),{5})),"")</f>
        <v/>
      </c>
    </row>
    <row r="224" spans="1:45" customFormat="1" ht="15">
      <c r="A224" s="227"/>
      <c r="B224" s="276">
        <v>186</v>
      </c>
      <c r="C224" s="254"/>
      <c r="D224" s="255"/>
      <c r="E224" s="247"/>
      <c r="F224" s="232"/>
      <c r="G224" s="239"/>
      <c r="H224" s="386">
        <v>210</v>
      </c>
      <c r="I224" s="404"/>
      <c r="J224" s="404"/>
      <c r="K224" s="413"/>
      <c r="L224" s="413"/>
      <c r="M224" s="413"/>
      <c r="N224" s="452"/>
      <c r="O224" s="413"/>
      <c r="P224" s="413"/>
      <c r="Q224" s="413"/>
      <c r="R224" s="452"/>
      <c r="S224" s="443"/>
      <c r="T224" s="42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3"/>
      <c r="V224" s="423"/>
      <c r="W224" s="424"/>
      <c r="X224" s="425"/>
      <c r="Y224" s="426" t="str">
        <f t="shared" ca="1" si="51"/>
        <v/>
      </c>
      <c r="Z224" s="427" t="str">
        <f t="shared" ca="1" si="52"/>
        <v/>
      </c>
      <c r="AA224" s="426" t="str">
        <f t="shared" ca="1" si="53"/>
        <v/>
      </c>
      <c r="AB224" s="428" t="str">
        <f t="shared" ca="1" si="54"/>
        <v/>
      </c>
      <c r="AC224" s="427" t="str">
        <f t="shared" ca="1" si="55"/>
        <v/>
      </c>
      <c r="AD224" s="79"/>
      <c r="AN224" s="532" t="str">
        <f t="shared" ca="1" si="50"/>
        <v/>
      </c>
      <c r="AO224" s="524" t="str" cm="1">
        <f t="array" aca="1" ref="AO224" ca="1">IF(AN224&lt;&gt;"",TRANSPOSE(INDEX(GetCDS($C249,AO$13,$G249/10000,F249,D249,$C$13,$C$14,$C$15,$C$8,,,TRUE,TRUE,FALSE,$C$29:$C$31,$C$33),{5})),"")</f>
        <v/>
      </c>
      <c r="AP224" s="524" t="str" cm="1">
        <f t="array" aca="1" ref="AP224" ca="1">IF(AO224&lt;&gt;"",TRANSPOSE(INDEX(GetCDS($C249,AP$13,$G249/10000,G249,E249,$C$13,$C$14,$C$15,$C$8,,,TRUE,TRUE,FALSE,$C$29:$C$31,$C$33),{5})),"")</f>
        <v/>
      </c>
      <c r="AQ224" s="524" t="str" cm="1">
        <f t="array" aca="1" ref="AQ224" ca="1">IF(AP224&lt;&gt;"",TRANSPOSE(INDEX(GetCDS($C249,AQ$13,$G249/10000,H249,F249,$C$13,$C$14,$C$15,$C$8,,,TRUE,TRUE,FALSE,$C$29:$C$31,$C$33),{5})),"")</f>
        <v/>
      </c>
      <c r="AR224" s="524" t="str" cm="1">
        <f t="array" aca="1" ref="AR224" ca="1">IF(AQ224&lt;&gt;"",TRANSPOSE(INDEX(GetCDS($C249,AR$13,$G249/10000,I249,G249,$C$13,$C$14,$C$15,$C$8,,,TRUE,TRUE,FALSE,$C$29:$C$31,$C$33),{5})),"")</f>
        <v/>
      </c>
      <c r="AS224" s="525" t="str" cm="1">
        <f t="array" aca="1" ref="AS224" ca="1">IF(AR224&lt;&gt;"",TRANSPOSE(INDEX(GetCDS($C249,AS$13,$G249/10000,J249,H249,$C$13,$C$14,$C$15,$C$8,,,TRUE,TRUE,FALSE,$C$29:$C$31,$C$33),{5})),"")</f>
        <v/>
      </c>
    </row>
    <row r="225" spans="1:45" customFormat="1" ht="15">
      <c r="A225" s="227"/>
      <c r="B225" s="276">
        <v>187</v>
      </c>
      <c r="C225" s="254"/>
      <c r="D225" s="255"/>
      <c r="E225" s="247"/>
      <c r="F225" s="232"/>
      <c r="G225" s="239"/>
      <c r="H225" s="386">
        <v>211</v>
      </c>
      <c r="I225" s="404"/>
      <c r="J225" s="404"/>
      <c r="K225" s="413"/>
      <c r="L225" s="413"/>
      <c r="M225" s="413"/>
      <c r="N225" s="452"/>
      <c r="O225" s="413"/>
      <c r="P225" s="413"/>
      <c r="Q225" s="413"/>
      <c r="R225" s="452"/>
      <c r="S225" s="443"/>
      <c r="T225" s="42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3"/>
      <c r="V225" s="423"/>
      <c r="W225" s="424"/>
      <c r="X225" s="425"/>
      <c r="Y225" s="426" t="str">
        <f t="shared" ca="1" si="51"/>
        <v/>
      </c>
      <c r="Z225" s="427" t="str">
        <f t="shared" ca="1" si="52"/>
        <v/>
      </c>
      <c r="AA225" s="426" t="str">
        <f t="shared" ca="1" si="53"/>
        <v/>
      </c>
      <c r="AB225" s="428" t="str">
        <f t="shared" ca="1" si="54"/>
        <v/>
      </c>
      <c r="AC225" s="427" t="str">
        <f t="shared" ca="1" si="55"/>
        <v/>
      </c>
      <c r="AD225" s="79"/>
      <c r="AN225" s="532" t="str">
        <f t="shared" ca="1" si="50"/>
        <v/>
      </c>
      <c r="AO225" s="524" t="str" cm="1">
        <f t="array" aca="1" ref="AO225" ca="1">IF(AN225&lt;&gt;"",TRANSPOSE(INDEX(GetCDS($C250,AO$13,$G250/10000,F250,D250,$C$13,$C$14,$C$15,$C$8,,,TRUE,TRUE,FALSE,$C$29:$C$31,$C$33),{5})),"")</f>
        <v/>
      </c>
      <c r="AP225" s="524" t="str" cm="1">
        <f t="array" aca="1" ref="AP225" ca="1">IF(AO225&lt;&gt;"",TRANSPOSE(INDEX(GetCDS($C250,AP$13,$G250/10000,G250,E250,$C$13,$C$14,$C$15,$C$8,,,TRUE,TRUE,FALSE,$C$29:$C$31,$C$33),{5})),"")</f>
        <v/>
      </c>
      <c r="AQ225" s="524" t="str" cm="1">
        <f t="array" aca="1" ref="AQ225" ca="1">IF(AP225&lt;&gt;"",TRANSPOSE(INDEX(GetCDS($C250,AQ$13,$G250/10000,H250,F250,$C$13,$C$14,$C$15,$C$8,,,TRUE,TRUE,FALSE,$C$29:$C$31,$C$33),{5})),"")</f>
        <v/>
      </c>
      <c r="AR225" s="524" t="str" cm="1">
        <f t="array" aca="1" ref="AR225" ca="1">IF(AQ225&lt;&gt;"",TRANSPOSE(INDEX(GetCDS($C250,AR$13,$G250/10000,I250,G250,$C$13,$C$14,$C$15,$C$8,,,TRUE,TRUE,FALSE,$C$29:$C$31,$C$33),{5})),"")</f>
        <v/>
      </c>
      <c r="AS225" s="525" t="str" cm="1">
        <f t="array" aca="1" ref="AS225" ca="1">IF(AR225&lt;&gt;"",TRANSPOSE(INDEX(GetCDS($C250,AS$13,$G250/10000,J250,H250,$C$13,$C$14,$C$15,$C$8,,,TRUE,TRUE,FALSE,$C$29:$C$31,$C$33),{5})),"")</f>
        <v/>
      </c>
    </row>
    <row r="226" spans="1:45" customFormat="1" ht="15">
      <c r="A226" s="227"/>
      <c r="B226" s="276">
        <v>188</v>
      </c>
      <c r="C226" s="254"/>
      <c r="D226" s="255"/>
      <c r="E226" s="247"/>
      <c r="F226" s="232"/>
      <c r="G226" s="239"/>
      <c r="H226" s="386">
        <v>212</v>
      </c>
      <c r="I226" s="404"/>
      <c r="J226" s="404"/>
      <c r="K226" s="413"/>
      <c r="L226" s="413"/>
      <c r="M226" s="413"/>
      <c r="N226" s="452"/>
      <c r="O226" s="413"/>
      <c r="P226" s="413"/>
      <c r="Q226" s="413"/>
      <c r="R226" s="452"/>
      <c r="S226" s="443"/>
      <c r="T226" s="42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3"/>
      <c r="V226" s="423"/>
      <c r="W226" s="424"/>
      <c r="X226" s="425"/>
      <c r="Y226" s="426" t="str">
        <f t="shared" ca="1" si="51"/>
        <v/>
      </c>
      <c r="Z226" s="427" t="str">
        <f t="shared" ca="1" si="52"/>
        <v/>
      </c>
      <c r="AA226" s="426" t="str">
        <f t="shared" ca="1" si="53"/>
        <v/>
      </c>
      <c r="AB226" s="428" t="str">
        <f t="shared" ca="1" si="54"/>
        <v/>
      </c>
      <c r="AC226" s="427" t="str">
        <f t="shared" ca="1" si="55"/>
        <v/>
      </c>
      <c r="AD226" s="79"/>
      <c r="AN226" s="532" t="str">
        <f t="shared" ca="1" si="50"/>
        <v/>
      </c>
      <c r="AO226" s="524" t="str" cm="1">
        <f t="array" aca="1" ref="AO226" ca="1">IF(AN226&lt;&gt;"",TRANSPOSE(INDEX(GetCDS($C251,AO$13,$G251/10000,F251,D251,$C$13,$C$14,$C$15,$C$8,,,TRUE,TRUE,FALSE,$C$29:$C$31,$C$33),{5})),"")</f>
        <v/>
      </c>
      <c r="AP226" s="524" t="str" cm="1">
        <f t="array" aca="1" ref="AP226" ca="1">IF(AO226&lt;&gt;"",TRANSPOSE(INDEX(GetCDS($C251,AP$13,$G251/10000,G251,E251,$C$13,$C$14,$C$15,$C$8,,,TRUE,TRUE,FALSE,$C$29:$C$31,$C$33),{5})),"")</f>
        <v/>
      </c>
      <c r="AQ226" s="524" t="str" cm="1">
        <f t="array" aca="1" ref="AQ226" ca="1">IF(AP226&lt;&gt;"",TRANSPOSE(INDEX(GetCDS($C251,AQ$13,$G251/10000,H251,F251,$C$13,$C$14,$C$15,$C$8,,,TRUE,TRUE,FALSE,$C$29:$C$31,$C$33),{5})),"")</f>
        <v/>
      </c>
      <c r="AR226" s="524" t="str" cm="1">
        <f t="array" aca="1" ref="AR226" ca="1">IF(AQ226&lt;&gt;"",TRANSPOSE(INDEX(GetCDS($C251,AR$13,$G251/10000,I251,G251,$C$13,$C$14,$C$15,$C$8,,,TRUE,TRUE,FALSE,$C$29:$C$31,$C$33),{5})),"")</f>
        <v/>
      </c>
      <c r="AS226" s="525" t="str" cm="1">
        <f t="array" aca="1" ref="AS226" ca="1">IF(AR226&lt;&gt;"",TRANSPOSE(INDEX(GetCDS($C251,AS$13,$G251/10000,J251,H251,$C$13,$C$14,$C$15,$C$8,,,TRUE,TRUE,FALSE,$C$29:$C$31,$C$33),{5})),"")</f>
        <v/>
      </c>
    </row>
    <row r="227" spans="1:45" customFormat="1" ht="15">
      <c r="A227" s="227"/>
      <c r="B227" s="276">
        <v>189</v>
      </c>
      <c r="C227" s="254"/>
      <c r="D227" s="255"/>
      <c r="E227" s="247"/>
      <c r="F227" s="232"/>
      <c r="G227" s="239"/>
      <c r="H227" s="386">
        <v>213</v>
      </c>
      <c r="I227" s="404"/>
      <c r="J227" s="404"/>
      <c r="K227" s="413"/>
      <c r="L227" s="413"/>
      <c r="M227" s="413"/>
      <c r="N227" s="452"/>
      <c r="O227" s="413"/>
      <c r="P227" s="413"/>
      <c r="Q227" s="413"/>
      <c r="R227" s="452"/>
      <c r="S227" s="443"/>
      <c r="T227" s="42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3"/>
      <c r="V227" s="423"/>
      <c r="W227" s="424"/>
      <c r="X227" s="425"/>
      <c r="Y227" s="426" t="str">
        <f t="shared" ca="1" si="51"/>
        <v/>
      </c>
      <c r="Z227" s="427" t="str">
        <f t="shared" ca="1" si="52"/>
        <v/>
      </c>
      <c r="AA227" s="426" t="str">
        <f t="shared" ca="1" si="53"/>
        <v/>
      </c>
      <c r="AB227" s="428" t="str">
        <f t="shared" ca="1" si="54"/>
        <v/>
      </c>
      <c r="AC227" s="427" t="str">
        <f t="shared" ca="1" si="55"/>
        <v/>
      </c>
      <c r="AD227" s="79"/>
      <c r="AN227" s="532" t="str">
        <f t="shared" ca="1" si="50"/>
        <v/>
      </c>
      <c r="AO227" s="524" t="str" cm="1">
        <f t="array" aca="1" ref="AO227" ca="1">IF(AN227&lt;&gt;"",TRANSPOSE(INDEX(GetCDS($C252,AO$13,$G252/10000,F252,D252,$C$13,$C$14,$C$15,$C$8,,,TRUE,TRUE,FALSE,$C$29:$C$31,$C$33),{5})),"")</f>
        <v/>
      </c>
      <c r="AP227" s="524" t="str" cm="1">
        <f t="array" aca="1" ref="AP227" ca="1">IF(AO227&lt;&gt;"",TRANSPOSE(INDEX(GetCDS($C252,AP$13,$G252/10000,G252,E252,$C$13,$C$14,$C$15,$C$8,,,TRUE,TRUE,FALSE,$C$29:$C$31,$C$33),{5})),"")</f>
        <v/>
      </c>
      <c r="AQ227" s="524" t="str" cm="1">
        <f t="array" aca="1" ref="AQ227" ca="1">IF(AP227&lt;&gt;"",TRANSPOSE(INDEX(GetCDS($C252,AQ$13,$G252/10000,H252,F252,$C$13,$C$14,$C$15,$C$8,,,TRUE,TRUE,FALSE,$C$29:$C$31,$C$33),{5})),"")</f>
        <v/>
      </c>
      <c r="AR227" s="524" t="str" cm="1">
        <f t="array" aca="1" ref="AR227" ca="1">IF(AQ227&lt;&gt;"",TRANSPOSE(INDEX(GetCDS($C252,AR$13,$G252/10000,I252,G252,$C$13,$C$14,$C$15,$C$8,,,TRUE,TRUE,FALSE,$C$29:$C$31,$C$33),{5})),"")</f>
        <v/>
      </c>
      <c r="AS227" s="525" t="str" cm="1">
        <f t="array" aca="1" ref="AS227" ca="1">IF(AR227&lt;&gt;"",TRANSPOSE(INDEX(GetCDS($C252,AS$13,$G252/10000,J252,H252,$C$13,$C$14,$C$15,$C$8,,,TRUE,TRUE,FALSE,$C$29:$C$31,$C$33),{5})),"")</f>
        <v/>
      </c>
    </row>
    <row r="228" spans="1:45" customFormat="1" ht="15">
      <c r="A228" s="227"/>
      <c r="B228" s="276">
        <v>190</v>
      </c>
      <c r="C228" s="254"/>
      <c r="D228" s="255"/>
      <c r="E228" s="247"/>
      <c r="F228" s="232"/>
      <c r="G228" s="239"/>
      <c r="H228" s="386">
        <v>214</v>
      </c>
      <c r="I228" s="404"/>
      <c r="J228" s="404"/>
      <c r="K228" s="413"/>
      <c r="L228" s="413"/>
      <c r="M228" s="413"/>
      <c r="N228" s="452"/>
      <c r="O228" s="413"/>
      <c r="P228" s="413"/>
      <c r="Q228" s="413"/>
      <c r="R228" s="452"/>
      <c r="S228" s="443"/>
      <c r="T228" s="42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3"/>
      <c r="V228" s="423"/>
      <c r="W228" s="424"/>
      <c r="X228" s="425"/>
      <c r="Y228" s="426" t="str">
        <f t="shared" ca="1" si="51"/>
        <v/>
      </c>
      <c r="Z228" s="427" t="str">
        <f t="shared" ca="1" si="52"/>
        <v/>
      </c>
      <c r="AA228" s="426" t="str">
        <f t="shared" ca="1" si="53"/>
        <v/>
      </c>
      <c r="AB228" s="428" t="str">
        <f t="shared" ca="1" si="54"/>
        <v/>
      </c>
      <c r="AC228" s="427" t="str">
        <f t="shared" ca="1" si="55"/>
        <v/>
      </c>
      <c r="AD228" s="79"/>
      <c r="AN228" s="532" t="str">
        <f t="shared" ca="1" si="50"/>
        <v/>
      </c>
      <c r="AO228" s="524" t="str" cm="1">
        <f t="array" aca="1" ref="AO228" ca="1">IF(AN228&lt;&gt;"",TRANSPOSE(INDEX(GetCDS($C253,AO$13,$G253/10000,F253,D253,$C$13,$C$14,$C$15,$C$8,,,TRUE,TRUE,FALSE,$C$29:$C$31,$C$33),{5})),"")</f>
        <v/>
      </c>
      <c r="AP228" s="524" t="str" cm="1">
        <f t="array" aca="1" ref="AP228" ca="1">IF(AO228&lt;&gt;"",TRANSPOSE(INDEX(GetCDS($C253,AP$13,$G253/10000,G253,E253,$C$13,$C$14,$C$15,$C$8,,,TRUE,TRUE,FALSE,$C$29:$C$31,$C$33),{5})),"")</f>
        <v/>
      </c>
      <c r="AQ228" s="524" t="str" cm="1">
        <f t="array" aca="1" ref="AQ228" ca="1">IF(AP228&lt;&gt;"",TRANSPOSE(INDEX(GetCDS($C253,AQ$13,$G253/10000,H253,F253,$C$13,$C$14,$C$15,$C$8,,,TRUE,TRUE,FALSE,$C$29:$C$31,$C$33),{5})),"")</f>
        <v/>
      </c>
      <c r="AR228" s="524" t="str" cm="1">
        <f t="array" aca="1" ref="AR228" ca="1">IF(AQ228&lt;&gt;"",TRANSPOSE(INDEX(GetCDS($C253,AR$13,$G253/10000,I253,G253,$C$13,$C$14,$C$15,$C$8,,,TRUE,TRUE,FALSE,$C$29:$C$31,$C$33),{5})),"")</f>
        <v/>
      </c>
      <c r="AS228" s="525" t="str" cm="1">
        <f t="array" aca="1" ref="AS228" ca="1">IF(AR228&lt;&gt;"",TRANSPOSE(INDEX(GetCDS($C253,AS$13,$G253/10000,J253,H253,$C$13,$C$14,$C$15,$C$8,,,TRUE,TRUE,FALSE,$C$29:$C$31,$C$33),{5})),"")</f>
        <v/>
      </c>
    </row>
    <row r="229" spans="1:45" customFormat="1" ht="15">
      <c r="A229" s="227"/>
      <c r="B229" s="276">
        <v>191</v>
      </c>
      <c r="C229" s="254"/>
      <c r="D229" s="255"/>
      <c r="E229" s="247"/>
      <c r="F229" s="232"/>
      <c r="G229" s="239"/>
      <c r="H229" s="386">
        <v>215</v>
      </c>
      <c r="I229" s="404"/>
      <c r="J229" s="404"/>
      <c r="K229" s="413"/>
      <c r="L229" s="413"/>
      <c r="M229" s="413"/>
      <c r="N229" s="452"/>
      <c r="O229" s="413"/>
      <c r="P229" s="413"/>
      <c r="Q229" s="413"/>
      <c r="R229" s="452"/>
      <c r="S229" s="443"/>
      <c r="T229" s="42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3"/>
      <c r="V229" s="423"/>
      <c r="W229" s="424"/>
      <c r="X229" s="425"/>
      <c r="Y229" s="426" t="str">
        <f t="shared" ca="1" si="51"/>
        <v/>
      </c>
      <c r="Z229" s="427" t="str">
        <f t="shared" ca="1" si="52"/>
        <v/>
      </c>
      <c r="AA229" s="426" t="str">
        <f t="shared" ca="1" si="53"/>
        <v/>
      </c>
      <c r="AB229" s="428" t="str">
        <f t="shared" ca="1" si="54"/>
        <v/>
      </c>
      <c r="AC229" s="427" t="str">
        <f t="shared" ca="1" si="55"/>
        <v/>
      </c>
      <c r="AD229" s="79"/>
      <c r="AN229" s="532" t="str">
        <f t="shared" ca="1" si="50"/>
        <v/>
      </c>
      <c r="AO229" s="524" t="str" cm="1">
        <f t="array" aca="1" ref="AO229" ca="1">IF(AN229&lt;&gt;"",TRANSPOSE(INDEX(GetCDS($C254,AO$13,$G254/10000,F254,D254,$C$13,$C$14,$C$15,$C$8,,,TRUE,TRUE,FALSE,$C$29:$C$31,$C$33),{5})),"")</f>
        <v/>
      </c>
      <c r="AP229" s="524" t="str" cm="1">
        <f t="array" aca="1" ref="AP229" ca="1">IF(AO229&lt;&gt;"",TRANSPOSE(INDEX(GetCDS($C254,AP$13,$G254/10000,G254,E254,$C$13,$C$14,$C$15,$C$8,,,TRUE,TRUE,FALSE,$C$29:$C$31,$C$33),{5})),"")</f>
        <v/>
      </c>
      <c r="AQ229" s="524" t="str" cm="1">
        <f t="array" aca="1" ref="AQ229" ca="1">IF(AP229&lt;&gt;"",TRANSPOSE(INDEX(GetCDS($C254,AQ$13,$G254/10000,H254,F254,$C$13,$C$14,$C$15,$C$8,,,TRUE,TRUE,FALSE,$C$29:$C$31,$C$33),{5})),"")</f>
        <v/>
      </c>
      <c r="AR229" s="524" t="str" cm="1">
        <f t="array" aca="1" ref="AR229" ca="1">IF(AQ229&lt;&gt;"",TRANSPOSE(INDEX(GetCDS($C254,AR$13,$G254/10000,I254,G254,$C$13,$C$14,$C$15,$C$8,,,TRUE,TRUE,FALSE,$C$29:$C$31,$C$33),{5})),"")</f>
        <v/>
      </c>
      <c r="AS229" s="525" t="str" cm="1">
        <f t="array" aca="1" ref="AS229" ca="1">IF(AR229&lt;&gt;"",TRANSPOSE(INDEX(GetCDS($C254,AS$13,$G254/10000,J254,H254,$C$13,$C$14,$C$15,$C$8,,,TRUE,TRUE,FALSE,$C$29:$C$31,$C$33),{5})),"")</f>
        <v/>
      </c>
    </row>
    <row r="230" spans="1:45" customFormat="1" ht="15">
      <c r="A230" s="227"/>
      <c r="B230" s="276">
        <v>192</v>
      </c>
      <c r="C230" s="254"/>
      <c r="D230" s="255"/>
      <c r="E230" s="247"/>
      <c r="F230" s="232"/>
      <c r="G230" s="239"/>
      <c r="H230" s="386">
        <v>216</v>
      </c>
      <c r="I230" s="404"/>
      <c r="J230" s="404"/>
      <c r="K230" s="413"/>
      <c r="L230" s="413"/>
      <c r="M230" s="413"/>
      <c r="N230" s="452"/>
      <c r="O230" s="413"/>
      <c r="P230" s="413"/>
      <c r="Q230" s="413"/>
      <c r="R230" s="452"/>
      <c r="S230" s="443"/>
      <c r="T230" s="42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3"/>
      <c r="V230" s="423"/>
      <c r="W230" s="424"/>
      <c r="X230" s="425"/>
      <c r="Y230" s="426" t="str">
        <f t="shared" ca="1" si="51"/>
        <v/>
      </c>
      <c r="Z230" s="427" t="str">
        <f t="shared" ca="1" si="52"/>
        <v/>
      </c>
      <c r="AA230" s="426" t="str">
        <f t="shared" ca="1" si="53"/>
        <v/>
      </c>
      <c r="AB230" s="428" t="str">
        <f t="shared" ca="1" si="54"/>
        <v/>
      </c>
      <c r="AC230" s="427" t="str">
        <f t="shared" ca="1" si="55"/>
        <v/>
      </c>
      <c r="AD230" s="79"/>
      <c r="AN230" s="532" t="str">
        <f t="shared" ca="1" si="50"/>
        <v/>
      </c>
      <c r="AO230" s="524" t="str" cm="1">
        <f t="array" aca="1" ref="AO230" ca="1">IF(AN230&lt;&gt;"",TRANSPOSE(INDEX(GetCDS($C255,AO$13,$G255/10000,F255,D255,$C$13,$C$14,$C$15,$C$8,,,TRUE,TRUE,FALSE,$C$29:$C$31,$C$33),{5})),"")</f>
        <v/>
      </c>
      <c r="AP230" s="524" t="str" cm="1">
        <f t="array" aca="1" ref="AP230" ca="1">IF(AO230&lt;&gt;"",TRANSPOSE(INDEX(GetCDS($C255,AP$13,$G255/10000,G255,E255,$C$13,$C$14,$C$15,$C$8,,,TRUE,TRUE,FALSE,$C$29:$C$31,$C$33),{5})),"")</f>
        <v/>
      </c>
      <c r="AQ230" s="524" t="str" cm="1">
        <f t="array" aca="1" ref="AQ230" ca="1">IF(AP230&lt;&gt;"",TRANSPOSE(INDEX(GetCDS($C255,AQ$13,$G255/10000,H255,F255,$C$13,$C$14,$C$15,$C$8,,,TRUE,TRUE,FALSE,$C$29:$C$31,$C$33),{5})),"")</f>
        <v/>
      </c>
      <c r="AR230" s="524" t="str" cm="1">
        <f t="array" aca="1" ref="AR230" ca="1">IF(AQ230&lt;&gt;"",TRANSPOSE(INDEX(GetCDS($C255,AR$13,$G255/10000,I255,G255,$C$13,$C$14,$C$15,$C$8,,,TRUE,TRUE,FALSE,$C$29:$C$31,$C$33),{5})),"")</f>
        <v/>
      </c>
      <c r="AS230" s="525" t="str" cm="1">
        <f t="array" aca="1" ref="AS230" ca="1">IF(AR230&lt;&gt;"",TRANSPOSE(INDEX(GetCDS($C255,AS$13,$G255/10000,J255,H255,$C$13,$C$14,$C$15,$C$8,,,TRUE,TRUE,FALSE,$C$29:$C$31,$C$33),{5})),"")</f>
        <v/>
      </c>
    </row>
    <row r="231" spans="1:45" customFormat="1" ht="15">
      <c r="A231" s="227"/>
      <c r="B231" s="276">
        <v>193</v>
      </c>
      <c r="C231" s="254"/>
      <c r="D231" s="255"/>
      <c r="E231" s="247"/>
      <c r="F231" s="232"/>
      <c r="G231" s="239"/>
      <c r="H231" s="386">
        <v>217</v>
      </c>
      <c r="I231" s="404"/>
      <c r="J231" s="404"/>
      <c r="K231" s="413"/>
      <c r="L231" s="413"/>
      <c r="M231" s="413"/>
      <c r="N231" s="452"/>
      <c r="O231" s="413"/>
      <c r="P231" s="413"/>
      <c r="Q231" s="413"/>
      <c r="R231" s="452"/>
      <c r="S231" s="443"/>
      <c r="T231" s="42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3"/>
      <c r="V231" s="423"/>
      <c r="W231" s="424"/>
      <c r="X231" s="425"/>
      <c r="Y231" s="426" t="str">
        <f t="shared" ca="1" si="51"/>
        <v/>
      </c>
      <c r="Z231" s="427" t="str">
        <f t="shared" ca="1" si="52"/>
        <v/>
      </c>
      <c r="AA231" s="426" t="str">
        <f t="shared" ca="1" si="53"/>
        <v/>
      </c>
      <c r="AB231" s="428" t="str">
        <f t="shared" ca="1" si="54"/>
        <v/>
      </c>
      <c r="AC231" s="427" t="str">
        <f t="shared" ca="1" si="55"/>
        <v/>
      </c>
      <c r="AD231" s="79"/>
      <c r="AN231" s="532" t="str">
        <f t="shared" ca="1" si="50"/>
        <v/>
      </c>
      <c r="AO231" s="524" t="str" cm="1">
        <f t="array" aca="1" ref="AO231" ca="1">IF(AN231&lt;&gt;"",TRANSPOSE(INDEX(GetCDS($C256,AO$13,$G256/10000,F256,D256,$C$13,$C$14,$C$15,$C$8,,,TRUE,TRUE,FALSE,$C$29:$C$31,$C$33),{5})),"")</f>
        <v/>
      </c>
      <c r="AP231" s="524" t="str" cm="1">
        <f t="array" aca="1" ref="AP231" ca="1">IF(AO231&lt;&gt;"",TRANSPOSE(INDEX(GetCDS($C256,AP$13,$G256/10000,G256,E256,$C$13,$C$14,$C$15,$C$8,,,TRUE,TRUE,FALSE,$C$29:$C$31,$C$33),{5})),"")</f>
        <v/>
      </c>
      <c r="AQ231" s="524" t="str" cm="1">
        <f t="array" aca="1" ref="AQ231" ca="1">IF(AP231&lt;&gt;"",TRANSPOSE(INDEX(GetCDS($C256,AQ$13,$G256/10000,H256,F256,$C$13,$C$14,$C$15,$C$8,,,TRUE,TRUE,FALSE,$C$29:$C$31,$C$33),{5})),"")</f>
        <v/>
      </c>
      <c r="AR231" s="524" t="str" cm="1">
        <f t="array" aca="1" ref="AR231" ca="1">IF(AQ231&lt;&gt;"",TRANSPOSE(INDEX(GetCDS($C256,AR$13,$G256/10000,I256,G256,$C$13,$C$14,$C$15,$C$8,,,TRUE,TRUE,FALSE,$C$29:$C$31,$C$33),{5})),"")</f>
        <v/>
      </c>
      <c r="AS231" s="525" t="str" cm="1">
        <f t="array" aca="1" ref="AS231" ca="1">IF(AR231&lt;&gt;"",TRANSPOSE(INDEX(GetCDS($C256,AS$13,$G256/10000,J256,H256,$C$13,$C$14,$C$15,$C$8,,,TRUE,TRUE,FALSE,$C$29:$C$31,$C$33),{5})),"")</f>
        <v/>
      </c>
    </row>
    <row r="232" spans="1:45" customFormat="1" ht="15">
      <c r="A232" s="227"/>
      <c r="B232" s="276">
        <v>194</v>
      </c>
      <c r="C232" s="254"/>
      <c r="D232" s="255"/>
      <c r="E232" s="247"/>
      <c r="F232" s="232"/>
      <c r="G232" s="239"/>
      <c r="H232" s="386">
        <v>218</v>
      </c>
      <c r="I232" s="404"/>
      <c r="J232" s="404"/>
      <c r="K232" s="413"/>
      <c r="L232" s="413"/>
      <c r="M232" s="413"/>
      <c r="N232" s="452"/>
      <c r="O232" s="413"/>
      <c r="P232" s="413"/>
      <c r="Q232" s="413"/>
      <c r="R232" s="452"/>
      <c r="S232" s="443"/>
      <c r="T232" s="42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3"/>
      <c r="V232" s="423"/>
      <c r="W232" s="424"/>
      <c r="X232" s="425"/>
      <c r="Y232" s="426" t="str">
        <f t="shared" ca="1" si="51"/>
        <v/>
      </c>
      <c r="Z232" s="427" t="str">
        <f t="shared" ca="1" si="52"/>
        <v/>
      </c>
      <c r="AA232" s="426" t="str">
        <f t="shared" ca="1" si="53"/>
        <v/>
      </c>
      <c r="AB232" s="428" t="str">
        <f t="shared" ca="1" si="54"/>
        <v/>
      </c>
      <c r="AC232" s="427" t="str">
        <f t="shared" ca="1" si="55"/>
        <v/>
      </c>
      <c r="AD232" s="79"/>
      <c r="AN232" s="532" t="str">
        <f t="shared" ca="1" si="50"/>
        <v/>
      </c>
      <c r="AO232" s="524" t="str" cm="1">
        <f t="array" aca="1" ref="AO232" ca="1">IF(AN232&lt;&gt;"",TRANSPOSE(INDEX(GetCDS($C257,AO$13,$G257/10000,F257,D257,$C$13,$C$14,$C$15,$C$8,,,TRUE,TRUE,FALSE,$C$29:$C$31,$C$33),{5})),"")</f>
        <v/>
      </c>
      <c r="AP232" s="524" t="str" cm="1">
        <f t="array" aca="1" ref="AP232" ca="1">IF(AO232&lt;&gt;"",TRANSPOSE(INDEX(GetCDS($C257,AP$13,$G257/10000,G257,E257,$C$13,$C$14,$C$15,$C$8,,,TRUE,TRUE,FALSE,$C$29:$C$31,$C$33),{5})),"")</f>
        <v/>
      </c>
      <c r="AQ232" s="524" t="str" cm="1">
        <f t="array" aca="1" ref="AQ232" ca="1">IF(AP232&lt;&gt;"",TRANSPOSE(INDEX(GetCDS($C257,AQ$13,$G257/10000,H257,F257,$C$13,$C$14,$C$15,$C$8,,,TRUE,TRUE,FALSE,$C$29:$C$31,$C$33),{5})),"")</f>
        <v/>
      </c>
      <c r="AR232" s="524" t="str" cm="1">
        <f t="array" aca="1" ref="AR232" ca="1">IF(AQ232&lt;&gt;"",TRANSPOSE(INDEX(GetCDS($C257,AR$13,$G257/10000,I257,G257,$C$13,$C$14,$C$15,$C$8,,,TRUE,TRUE,FALSE,$C$29:$C$31,$C$33),{5})),"")</f>
        <v/>
      </c>
      <c r="AS232" s="525" t="str" cm="1">
        <f t="array" aca="1" ref="AS232" ca="1">IF(AR232&lt;&gt;"",TRANSPOSE(INDEX(GetCDS($C257,AS$13,$G257/10000,J257,H257,$C$13,$C$14,$C$15,$C$8,,,TRUE,TRUE,FALSE,$C$29:$C$31,$C$33),{5})),"")</f>
        <v/>
      </c>
    </row>
    <row r="233" spans="1:45" customFormat="1" ht="15">
      <c r="A233" s="227"/>
      <c r="B233" s="276">
        <v>195</v>
      </c>
      <c r="C233" s="254"/>
      <c r="D233" s="255"/>
      <c r="E233" s="247"/>
      <c r="F233" s="232"/>
      <c r="G233" s="239"/>
      <c r="H233" s="386">
        <v>219</v>
      </c>
      <c r="I233" s="404"/>
      <c r="J233" s="404"/>
      <c r="K233" s="413"/>
      <c r="L233" s="413"/>
      <c r="M233" s="413"/>
      <c r="N233" s="452"/>
      <c r="O233" s="413"/>
      <c r="P233" s="413"/>
      <c r="Q233" s="413"/>
      <c r="R233" s="452"/>
      <c r="S233" s="443"/>
      <c r="T233" s="42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3"/>
      <c r="V233" s="423"/>
      <c r="W233" s="424"/>
      <c r="X233" s="425"/>
      <c r="Y233" s="426" t="str">
        <f t="shared" ca="1" si="51"/>
        <v/>
      </c>
      <c r="Z233" s="427" t="str">
        <f t="shared" ca="1" si="52"/>
        <v/>
      </c>
      <c r="AA233" s="426" t="str">
        <f t="shared" ca="1" si="53"/>
        <v/>
      </c>
      <c r="AB233" s="428" t="str">
        <f t="shared" ca="1" si="54"/>
        <v/>
      </c>
      <c r="AC233" s="427" t="str">
        <f t="shared" ca="1" si="55"/>
        <v/>
      </c>
      <c r="AD233" s="79"/>
      <c r="AN233" s="532" t="str">
        <f t="shared" ca="1" si="50"/>
        <v/>
      </c>
      <c r="AO233" s="524" t="str" cm="1">
        <f t="array" aca="1" ref="AO233" ca="1">IF(AN233&lt;&gt;"",TRANSPOSE(INDEX(GetCDS($C258,AO$13,$G258/10000,F258,D258,$C$13,$C$14,$C$15,$C$8,,,TRUE,TRUE,FALSE,$C$29:$C$31,$C$33),{5})),"")</f>
        <v/>
      </c>
      <c r="AP233" s="524" t="str" cm="1">
        <f t="array" aca="1" ref="AP233" ca="1">IF(AO233&lt;&gt;"",TRANSPOSE(INDEX(GetCDS($C258,AP$13,$G258/10000,G258,E258,$C$13,$C$14,$C$15,$C$8,,,TRUE,TRUE,FALSE,$C$29:$C$31,$C$33),{5})),"")</f>
        <v/>
      </c>
      <c r="AQ233" s="524" t="str" cm="1">
        <f t="array" aca="1" ref="AQ233" ca="1">IF(AP233&lt;&gt;"",TRANSPOSE(INDEX(GetCDS($C258,AQ$13,$G258/10000,H258,F258,$C$13,$C$14,$C$15,$C$8,,,TRUE,TRUE,FALSE,$C$29:$C$31,$C$33),{5})),"")</f>
        <v/>
      </c>
      <c r="AR233" s="524" t="str" cm="1">
        <f t="array" aca="1" ref="AR233" ca="1">IF(AQ233&lt;&gt;"",TRANSPOSE(INDEX(GetCDS($C258,AR$13,$G258/10000,I258,G258,$C$13,$C$14,$C$15,$C$8,,,TRUE,TRUE,FALSE,$C$29:$C$31,$C$33),{5})),"")</f>
        <v/>
      </c>
      <c r="AS233" s="525" t="str" cm="1">
        <f t="array" aca="1" ref="AS233" ca="1">IF(AR233&lt;&gt;"",TRANSPOSE(INDEX(GetCDS($C258,AS$13,$G258/10000,J258,H258,$C$13,$C$14,$C$15,$C$8,,,TRUE,TRUE,FALSE,$C$29:$C$31,$C$33),{5})),"")</f>
        <v/>
      </c>
    </row>
    <row r="234" spans="1:45" customFormat="1" ht="15">
      <c r="A234" s="227"/>
      <c r="B234" s="276">
        <v>196</v>
      </c>
      <c r="C234" s="254"/>
      <c r="D234" s="255"/>
      <c r="E234" s="247"/>
      <c r="F234" s="232"/>
      <c r="G234" s="239"/>
      <c r="H234" s="386">
        <v>220</v>
      </c>
      <c r="I234" s="404"/>
      <c r="J234" s="404"/>
      <c r="K234" s="413"/>
      <c r="L234" s="413"/>
      <c r="M234" s="413"/>
      <c r="N234" s="452"/>
      <c r="O234" s="413"/>
      <c r="P234" s="413"/>
      <c r="Q234" s="413"/>
      <c r="R234" s="452"/>
      <c r="S234" s="443"/>
      <c r="T234" s="42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3"/>
      <c r="V234" s="423"/>
      <c r="W234" s="424"/>
      <c r="X234" s="425"/>
      <c r="Y234" s="426" t="str">
        <f t="shared" ca="1" si="51"/>
        <v/>
      </c>
      <c r="Z234" s="427" t="str">
        <f t="shared" ca="1" si="52"/>
        <v/>
      </c>
      <c r="AA234" s="426" t="str">
        <f t="shared" ca="1" si="53"/>
        <v/>
      </c>
      <c r="AB234" s="428" t="str">
        <f t="shared" ca="1" si="54"/>
        <v/>
      </c>
      <c r="AC234" s="427" t="str">
        <f t="shared" ca="1" si="55"/>
        <v/>
      </c>
      <c r="AD234" s="79"/>
      <c r="AN234" s="532" t="str">
        <f t="shared" ca="1" si="50"/>
        <v/>
      </c>
      <c r="AO234" s="524" t="str" cm="1">
        <f t="array" aca="1" ref="AO234" ca="1">IF(AN234&lt;&gt;"",TRANSPOSE(INDEX(GetCDS($C259,AO$13,$G259/10000,F259,D259,$C$13,$C$14,$C$15,$C$8,,,TRUE,TRUE,FALSE,$C$29:$C$31,$C$33),{5})),"")</f>
        <v/>
      </c>
      <c r="AP234" s="524" t="str" cm="1">
        <f t="array" aca="1" ref="AP234" ca="1">IF(AO234&lt;&gt;"",TRANSPOSE(INDEX(GetCDS($C259,AP$13,$G259/10000,G259,E259,$C$13,$C$14,$C$15,$C$8,,,TRUE,TRUE,FALSE,$C$29:$C$31,$C$33),{5})),"")</f>
        <v/>
      </c>
      <c r="AQ234" s="524" t="str" cm="1">
        <f t="array" aca="1" ref="AQ234" ca="1">IF(AP234&lt;&gt;"",TRANSPOSE(INDEX(GetCDS($C259,AQ$13,$G259/10000,H259,F259,$C$13,$C$14,$C$15,$C$8,,,TRUE,TRUE,FALSE,$C$29:$C$31,$C$33),{5})),"")</f>
        <v/>
      </c>
      <c r="AR234" s="524" t="str" cm="1">
        <f t="array" aca="1" ref="AR234" ca="1">IF(AQ234&lt;&gt;"",TRANSPOSE(INDEX(GetCDS($C259,AR$13,$G259/10000,I259,G259,$C$13,$C$14,$C$15,$C$8,,,TRUE,TRUE,FALSE,$C$29:$C$31,$C$33),{5})),"")</f>
        <v/>
      </c>
      <c r="AS234" s="525" t="str" cm="1">
        <f t="array" aca="1" ref="AS234" ca="1">IF(AR234&lt;&gt;"",TRANSPOSE(INDEX(GetCDS($C259,AS$13,$G259/10000,J259,H259,$C$13,$C$14,$C$15,$C$8,,,TRUE,TRUE,FALSE,$C$29:$C$31,$C$33),{5})),"")</f>
        <v/>
      </c>
    </row>
    <row r="235" spans="1:45" customFormat="1" ht="15">
      <c r="A235" s="227"/>
      <c r="B235" s="276">
        <v>197</v>
      </c>
      <c r="C235" s="254"/>
      <c r="D235" s="255"/>
      <c r="E235" s="247"/>
      <c r="F235" s="232"/>
      <c r="G235" s="239"/>
      <c r="H235" s="386">
        <v>221</v>
      </c>
      <c r="I235" s="404"/>
      <c r="J235" s="404"/>
      <c r="K235" s="413"/>
      <c r="L235" s="413"/>
      <c r="M235" s="413"/>
      <c r="N235" s="452"/>
      <c r="O235" s="413"/>
      <c r="P235" s="413"/>
      <c r="Q235" s="413"/>
      <c r="R235" s="452"/>
      <c r="S235" s="443"/>
      <c r="T235" s="42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3"/>
      <c r="V235" s="423"/>
      <c r="W235" s="424"/>
      <c r="X235" s="425"/>
      <c r="Y235" s="426" t="str">
        <f t="shared" ca="1" si="51"/>
        <v/>
      </c>
      <c r="Z235" s="427" t="str">
        <f t="shared" ca="1" si="52"/>
        <v/>
      </c>
      <c r="AA235" s="426" t="str">
        <f t="shared" ca="1" si="53"/>
        <v/>
      </c>
      <c r="AB235" s="428" t="str">
        <f t="shared" ca="1" si="54"/>
        <v/>
      </c>
      <c r="AC235" s="427" t="str">
        <f t="shared" ca="1" si="55"/>
        <v/>
      </c>
      <c r="AD235" s="79"/>
      <c r="AN235" s="532" t="str">
        <f t="shared" ca="1" si="50"/>
        <v/>
      </c>
      <c r="AO235" s="526" t="str" cm="1">
        <f t="array" aca="1" ref="AO235" ca="1">IF(AN235&lt;&gt;"",TRANSPOSE(INDEX(GetCDS($C260,AO$13,$G260/10000,F260,D260,$C$13,$C$14,$C$15,$C$8,,,TRUE,TRUE,FALSE,$C$29:$C$31,$C$33),{5})),"")</f>
        <v/>
      </c>
      <c r="AP235" s="526" t="str" cm="1">
        <f t="array" aca="1" ref="AP235" ca="1">IF(AO235&lt;&gt;"",TRANSPOSE(INDEX(GetCDS($C260,AP$13,$G260/10000,G260,E260,$C$13,$C$14,$C$15,$C$8,,,TRUE,TRUE,FALSE,$C$29:$C$31,$C$33),{5})),"")</f>
        <v/>
      </c>
      <c r="AQ235" s="526" t="str" cm="1">
        <f t="array" aca="1" ref="AQ235" ca="1">IF(AP235&lt;&gt;"",TRANSPOSE(INDEX(GetCDS($C260,AQ$13,$G260/10000,H260,F260,$C$13,$C$14,$C$15,$C$8,,,TRUE,TRUE,FALSE,$C$29:$C$31,$C$33),{5})),"")</f>
        <v/>
      </c>
      <c r="AR235" s="526" t="str" cm="1">
        <f t="array" aca="1" ref="AR235" ca="1">IF(AQ235&lt;&gt;"",TRANSPOSE(INDEX(GetCDS($C260,AR$13,$G260/10000,I260,G260,$C$13,$C$14,$C$15,$C$8,,,TRUE,TRUE,FALSE,$C$29:$C$31,$C$33),{5})),"")</f>
        <v/>
      </c>
      <c r="AS235" s="527" t="str" cm="1">
        <f t="array" aca="1" ref="AS235" ca="1">IF(AR235&lt;&gt;"",TRANSPOSE(INDEX(GetCDS($C260,AS$13,$G260/10000,J260,H260,$C$13,$C$14,$C$15,$C$8,,,TRUE,TRUE,FALSE,$C$29:$C$31,$C$33),{5})),"")</f>
        <v/>
      </c>
    </row>
    <row r="236" spans="1:45" customFormat="1" ht="15">
      <c r="A236" s="227"/>
      <c r="B236" s="276">
        <v>198</v>
      </c>
      <c r="C236" s="254"/>
      <c r="D236" s="255"/>
      <c r="E236" s="247"/>
      <c r="F236" s="232"/>
      <c r="G236" s="239"/>
      <c r="H236" s="386">
        <v>222</v>
      </c>
      <c r="I236" s="404"/>
      <c r="J236" s="404"/>
      <c r="K236" s="413"/>
      <c r="L236" s="413"/>
      <c r="M236" s="413"/>
      <c r="N236" s="452"/>
      <c r="O236" s="413"/>
      <c r="P236" s="413"/>
      <c r="Q236" s="413"/>
      <c r="R236" s="452"/>
      <c r="S236" s="443"/>
      <c r="T236" s="42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3"/>
      <c r="V236" s="423"/>
      <c r="W236" s="424"/>
      <c r="X236" s="425"/>
      <c r="Y236" s="426" t="str">
        <f t="shared" ca="1" si="51"/>
        <v/>
      </c>
      <c r="Z236" s="427" t="str">
        <f t="shared" ca="1" si="52"/>
        <v/>
      </c>
      <c r="AA236" s="426" t="str">
        <f t="shared" ca="1" si="53"/>
        <v/>
      </c>
      <c r="AB236" s="428" t="str">
        <f t="shared" ca="1" si="54"/>
        <v/>
      </c>
      <c r="AC236" s="427" t="str">
        <f t="shared" ca="1" si="55"/>
        <v/>
      </c>
      <c r="AD236" s="79"/>
      <c r="AN236" s="532" t="str">
        <f t="shared" ca="1" si="50"/>
        <v/>
      </c>
      <c r="AO236" s="526" t="str" cm="1">
        <f t="array" aca="1" ref="AO236" ca="1">IF(AN236&lt;&gt;"",TRANSPOSE(INDEX(GetCDS($C261,AO$13,$G261/10000,F261,D261,$C$13,$C$14,$C$15,$C$8,,,TRUE,TRUE,FALSE,$C$29:$C$31,$C$33),{5})),"")</f>
        <v/>
      </c>
      <c r="AP236" s="526" t="str" cm="1">
        <f t="array" aca="1" ref="AP236" ca="1">IF(AO236&lt;&gt;"",TRANSPOSE(INDEX(GetCDS($C261,AP$13,$G261/10000,G261,E261,$C$13,$C$14,$C$15,$C$8,,,TRUE,TRUE,FALSE,$C$29:$C$31,$C$33),{5})),"")</f>
        <v/>
      </c>
      <c r="AQ236" s="526" t="str" cm="1">
        <f t="array" aca="1" ref="AQ236" ca="1">IF(AP236&lt;&gt;"",TRANSPOSE(INDEX(GetCDS($C261,AQ$13,$G261/10000,H261,F261,$C$13,$C$14,$C$15,$C$8,,,TRUE,TRUE,FALSE,$C$29:$C$31,$C$33),{5})),"")</f>
        <v/>
      </c>
      <c r="AR236" s="526" t="str" cm="1">
        <f t="array" aca="1" ref="AR236" ca="1">IF(AQ236&lt;&gt;"",TRANSPOSE(INDEX(GetCDS($C261,AR$13,$G261/10000,I261,G261,$C$13,$C$14,$C$15,$C$8,,,TRUE,TRUE,FALSE,$C$29:$C$31,$C$33),{5})),"")</f>
        <v/>
      </c>
      <c r="AS236" s="527" t="str" cm="1">
        <f t="array" aca="1" ref="AS236" ca="1">IF(AR236&lt;&gt;"",TRANSPOSE(INDEX(GetCDS($C261,AS$13,$G261/10000,J261,H261,$C$13,$C$14,$C$15,$C$8,,,TRUE,TRUE,FALSE,$C$29:$C$31,$C$33),{5})),"")</f>
        <v/>
      </c>
    </row>
    <row r="237" spans="1:45" customFormat="1" ht="15">
      <c r="A237" s="227"/>
      <c r="B237" s="276">
        <v>199</v>
      </c>
      <c r="C237" s="254"/>
      <c r="D237" s="255"/>
      <c r="E237" s="247"/>
      <c r="F237" s="232"/>
      <c r="G237" s="239"/>
      <c r="H237" s="386">
        <v>223</v>
      </c>
      <c r="I237" s="404"/>
      <c r="J237" s="404"/>
      <c r="K237" s="413"/>
      <c r="L237" s="413"/>
      <c r="M237" s="413"/>
      <c r="N237" s="452"/>
      <c r="O237" s="413"/>
      <c r="P237" s="413"/>
      <c r="Q237" s="413"/>
      <c r="R237" s="452"/>
      <c r="S237" s="443"/>
      <c r="T237" s="42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3"/>
      <c r="V237" s="423"/>
      <c r="W237" s="424"/>
      <c r="X237" s="425"/>
      <c r="Y237" s="426" t="str">
        <f t="shared" ca="1" si="51"/>
        <v/>
      </c>
      <c r="Z237" s="427" t="str">
        <f t="shared" ca="1" si="52"/>
        <v/>
      </c>
      <c r="AA237" s="426" t="str">
        <f t="shared" ca="1" si="53"/>
        <v/>
      </c>
      <c r="AB237" s="428" t="str">
        <f t="shared" ca="1" si="54"/>
        <v/>
      </c>
      <c r="AC237" s="427" t="str">
        <f t="shared" ca="1" si="55"/>
        <v/>
      </c>
      <c r="AD237" s="79"/>
      <c r="AN237" s="532" t="str">
        <f t="shared" ca="1" si="50"/>
        <v/>
      </c>
      <c r="AO237" s="526" t="str" cm="1">
        <f t="array" aca="1" ref="AO237" ca="1">IF(AN237&lt;&gt;"",TRANSPOSE(INDEX(GetCDS($C262,AO$13,$G262/10000,F262,D262,$C$13,$C$14,$C$15,$C$8,,,TRUE,TRUE,FALSE,$C$29:$C$31,$C$33),{5})),"")</f>
        <v/>
      </c>
      <c r="AP237" s="526" t="str" cm="1">
        <f t="array" aca="1" ref="AP237" ca="1">IF(AO237&lt;&gt;"",TRANSPOSE(INDEX(GetCDS($C262,AP$13,$G262/10000,G262,E262,$C$13,$C$14,$C$15,$C$8,,,TRUE,TRUE,FALSE,$C$29:$C$31,$C$33),{5})),"")</f>
        <v/>
      </c>
      <c r="AQ237" s="526" t="str" cm="1">
        <f t="array" aca="1" ref="AQ237" ca="1">IF(AP237&lt;&gt;"",TRANSPOSE(INDEX(GetCDS($C262,AQ$13,$G262/10000,H262,F262,$C$13,$C$14,$C$15,$C$8,,,TRUE,TRUE,FALSE,$C$29:$C$31,$C$33),{5})),"")</f>
        <v/>
      </c>
      <c r="AR237" s="526" t="str" cm="1">
        <f t="array" aca="1" ref="AR237" ca="1">IF(AQ237&lt;&gt;"",TRANSPOSE(INDEX(GetCDS($C262,AR$13,$G262/10000,I262,G262,$C$13,$C$14,$C$15,$C$8,,,TRUE,TRUE,FALSE,$C$29:$C$31,$C$33),{5})),"")</f>
        <v/>
      </c>
      <c r="AS237" s="527" t="str" cm="1">
        <f t="array" aca="1" ref="AS237" ca="1">IF(AR237&lt;&gt;"",TRANSPOSE(INDEX(GetCDS($C262,AS$13,$G262/10000,J262,H262,$C$13,$C$14,$C$15,$C$8,,,TRUE,TRUE,FALSE,$C$29:$C$31,$C$33),{5})),"")</f>
        <v/>
      </c>
    </row>
    <row r="238" spans="1:45" customFormat="1" ht="15">
      <c r="A238" s="227"/>
      <c r="B238" s="276">
        <v>200</v>
      </c>
      <c r="C238" s="254"/>
      <c r="D238" s="255"/>
      <c r="E238" s="247"/>
      <c r="F238" s="232"/>
      <c r="G238" s="239"/>
      <c r="H238" s="386">
        <v>224</v>
      </c>
      <c r="I238" s="404"/>
      <c r="J238" s="404"/>
      <c r="K238" s="413"/>
      <c r="L238" s="413"/>
      <c r="M238" s="413"/>
      <c r="N238" s="452"/>
      <c r="O238" s="413"/>
      <c r="P238" s="413"/>
      <c r="Q238" s="413"/>
      <c r="R238" s="452"/>
      <c r="S238" s="443"/>
      <c r="T238" s="42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3"/>
      <c r="V238" s="423"/>
      <c r="W238" s="424"/>
      <c r="X238" s="425"/>
      <c r="Y238" s="426" t="str">
        <f t="shared" ca="1" si="51"/>
        <v/>
      </c>
      <c r="Z238" s="427" t="str">
        <f t="shared" ca="1" si="52"/>
        <v/>
      </c>
      <c r="AA238" s="426" t="str">
        <f t="shared" ca="1" si="53"/>
        <v/>
      </c>
      <c r="AB238" s="428" t="str">
        <f t="shared" ca="1" si="54"/>
        <v/>
      </c>
      <c r="AC238" s="427" t="str">
        <f t="shared" ca="1" si="55"/>
        <v/>
      </c>
      <c r="AD238" s="79"/>
      <c r="AN238" s="532" t="str">
        <f t="shared" ca="1" si="50"/>
        <v/>
      </c>
      <c r="AO238" s="526" t="str" cm="1">
        <f t="array" aca="1" ref="AO238" ca="1">IF(AN238&lt;&gt;"",TRANSPOSE(INDEX(GetCDS($C263,AO$13,$G263/10000,F263,D263,$C$13,$C$14,$C$15,$C$8,,,TRUE,TRUE,FALSE,$C$29:$C$31,$C$33),{5})),"")</f>
        <v/>
      </c>
      <c r="AP238" s="526" t="str" cm="1">
        <f t="array" aca="1" ref="AP238" ca="1">IF(AO238&lt;&gt;"",TRANSPOSE(INDEX(GetCDS($C263,AP$13,$G263/10000,G263,E263,$C$13,$C$14,$C$15,$C$8,,,TRUE,TRUE,FALSE,$C$29:$C$31,$C$33),{5})),"")</f>
        <v/>
      </c>
      <c r="AQ238" s="526" t="str" cm="1">
        <f t="array" aca="1" ref="AQ238" ca="1">IF(AP238&lt;&gt;"",TRANSPOSE(INDEX(GetCDS($C263,AQ$13,$G263/10000,H263,F263,$C$13,$C$14,$C$15,$C$8,,,TRUE,TRUE,FALSE,$C$29:$C$31,$C$33),{5})),"")</f>
        <v/>
      </c>
      <c r="AR238" s="526" t="str" cm="1">
        <f t="array" aca="1" ref="AR238" ca="1">IF(AQ238&lt;&gt;"",TRANSPOSE(INDEX(GetCDS($C263,AR$13,$G263/10000,I263,G263,$C$13,$C$14,$C$15,$C$8,,,TRUE,TRUE,FALSE,$C$29:$C$31,$C$33),{5})),"")</f>
        <v/>
      </c>
      <c r="AS238" s="527" t="str" cm="1">
        <f t="array" aca="1" ref="AS238" ca="1">IF(AR238&lt;&gt;"",TRANSPOSE(INDEX(GetCDS($C263,AS$13,$G263/10000,J263,H263,$C$13,$C$14,$C$15,$C$8,,,TRUE,TRUE,FALSE,$C$29:$C$31,$C$33),{5})),"")</f>
        <v/>
      </c>
    </row>
    <row r="239" spans="1:45" customFormat="1" ht="15">
      <c r="A239" s="227"/>
      <c r="B239" s="276">
        <v>201</v>
      </c>
      <c r="C239" s="254"/>
      <c r="D239" s="255"/>
      <c r="E239" s="247"/>
      <c r="F239" s="232"/>
      <c r="G239" s="239"/>
      <c r="H239" s="386">
        <v>225</v>
      </c>
      <c r="I239" s="404"/>
      <c r="J239" s="404"/>
      <c r="K239" s="413"/>
      <c r="L239" s="413"/>
      <c r="M239" s="413"/>
      <c r="N239" s="452"/>
      <c r="O239" s="413"/>
      <c r="P239" s="413"/>
      <c r="Q239" s="413"/>
      <c r="R239" s="452"/>
      <c r="S239" s="443"/>
      <c r="T239" s="42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3"/>
      <c r="V239" s="423"/>
      <c r="W239" s="424"/>
      <c r="X239" s="425"/>
      <c r="Y239" s="426" t="str">
        <f t="shared" ca="1" si="51"/>
        <v/>
      </c>
      <c r="Z239" s="427" t="str">
        <f t="shared" ca="1" si="52"/>
        <v/>
      </c>
      <c r="AA239" s="426" t="str">
        <f t="shared" ca="1" si="53"/>
        <v/>
      </c>
      <c r="AB239" s="428" t="str">
        <f t="shared" ca="1" si="54"/>
        <v/>
      </c>
      <c r="AC239" s="427" t="str">
        <f t="shared" ca="1" si="55"/>
        <v/>
      </c>
      <c r="AD239" s="79"/>
      <c r="AN239" s="532" t="str">
        <f t="shared" ca="1" si="50"/>
        <v/>
      </c>
      <c r="AO239" s="526" t="str" cm="1">
        <f t="array" aca="1" ref="AO239" ca="1">IF(AN239&lt;&gt;"",TRANSPOSE(INDEX(GetCDS($C264,AO$13,$G264/10000,F264,D264,$C$13,$C$14,$C$15,$C$8,,,TRUE,TRUE,FALSE,$C$29:$C$31,$C$33),{5})),"")</f>
        <v/>
      </c>
      <c r="AP239" s="526" t="str" cm="1">
        <f t="array" aca="1" ref="AP239" ca="1">IF(AO239&lt;&gt;"",TRANSPOSE(INDEX(GetCDS($C264,AP$13,$G264/10000,G264,E264,$C$13,$C$14,$C$15,$C$8,,,TRUE,TRUE,FALSE,$C$29:$C$31,$C$33),{5})),"")</f>
        <v/>
      </c>
      <c r="AQ239" s="526" t="str" cm="1">
        <f t="array" aca="1" ref="AQ239" ca="1">IF(AP239&lt;&gt;"",TRANSPOSE(INDEX(GetCDS($C264,AQ$13,$G264/10000,H264,F264,$C$13,$C$14,$C$15,$C$8,,,TRUE,TRUE,FALSE,$C$29:$C$31,$C$33),{5})),"")</f>
        <v/>
      </c>
      <c r="AR239" s="526" t="str" cm="1">
        <f t="array" aca="1" ref="AR239" ca="1">IF(AQ239&lt;&gt;"",TRANSPOSE(INDEX(GetCDS($C264,AR$13,$G264/10000,I264,G264,$C$13,$C$14,$C$15,$C$8,,,TRUE,TRUE,FALSE,$C$29:$C$31,$C$33),{5})),"")</f>
        <v/>
      </c>
      <c r="AS239" s="527" t="str" cm="1">
        <f t="array" aca="1" ref="AS239" ca="1">IF(AR239&lt;&gt;"",TRANSPOSE(INDEX(GetCDS($C264,AS$13,$G264/10000,J264,H264,$C$13,$C$14,$C$15,$C$8,,,TRUE,TRUE,FALSE,$C$29:$C$31,$C$33),{5})),"")</f>
        <v/>
      </c>
    </row>
    <row r="240" spans="1:45" customFormat="1" ht="15">
      <c r="A240" s="227"/>
      <c r="B240" s="276">
        <v>202</v>
      </c>
      <c r="C240" s="254"/>
      <c r="D240" s="255"/>
      <c r="E240" s="247"/>
      <c r="F240" s="232"/>
      <c r="G240" s="239"/>
      <c r="H240" s="386">
        <v>226</v>
      </c>
      <c r="I240" s="404"/>
      <c r="J240" s="404"/>
      <c r="K240" s="413"/>
      <c r="L240" s="413"/>
      <c r="M240" s="413"/>
      <c r="N240" s="452"/>
      <c r="O240" s="413"/>
      <c r="P240" s="413"/>
      <c r="Q240" s="413"/>
      <c r="R240" s="452"/>
      <c r="S240" s="443"/>
      <c r="T240" s="42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3"/>
      <c r="V240" s="423"/>
      <c r="W240" s="424"/>
      <c r="X240" s="425"/>
      <c r="Y240" s="426" t="str">
        <f t="shared" ca="1" si="51"/>
        <v/>
      </c>
      <c r="Z240" s="427" t="str">
        <f t="shared" ca="1" si="52"/>
        <v/>
      </c>
      <c r="AA240" s="426" t="str">
        <f t="shared" ca="1" si="53"/>
        <v/>
      </c>
      <c r="AB240" s="428" t="str">
        <f t="shared" ca="1" si="54"/>
        <v/>
      </c>
      <c r="AC240" s="427" t="str">
        <f t="shared" ca="1" si="55"/>
        <v/>
      </c>
      <c r="AD240" s="79"/>
      <c r="AN240" s="532" t="str">
        <f t="shared" ca="1" si="50"/>
        <v/>
      </c>
      <c r="AO240" s="526" t="str" cm="1">
        <f t="array" aca="1" ref="AO240" ca="1">IF(AN240&lt;&gt;"",TRANSPOSE(INDEX(GetCDS($C265,AO$13,$G265/10000,F265,D265,$C$13,$C$14,$C$15,$C$8,,,TRUE,TRUE,FALSE,$C$29:$C$31,$C$33),{5})),"")</f>
        <v/>
      </c>
      <c r="AP240" s="526" t="str" cm="1">
        <f t="array" aca="1" ref="AP240" ca="1">IF(AO240&lt;&gt;"",TRANSPOSE(INDEX(GetCDS($C265,AP$13,$G265/10000,G265,E265,$C$13,$C$14,$C$15,$C$8,,,TRUE,TRUE,FALSE,$C$29:$C$31,$C$33),{5})),"")</f>
        <v/>
      </c>
      <c r="AQ240" s="526" t="str" cm="1">
        <f t="array" aca="1" ref="AQ240" ca="1">IF(AP240&lt;&gt;"",TRANSPOSE(INDEX(GetCDS($C265,AQ$13,$G265/10000,H265,F265,$C$13,$C$14,$C$15,$C$8,,,TRUE,TRUE,FALSE,$C$29:$C$31,$C$33),{5})),"")</f>
        <v/>
      </c>
      <c r="AR240" s="526" t="str" cm="1">
        <f t="array" aca="1" ref="AR240" ca="1">IF(AQ240&lt;&gt;"",TRANSPOSE(INDEX(GetCDS($C265,AR$13,$G265/10000,I265,G265,$C$13,$C$14,$C$15,$C$8,,,TRUE,TRUE,FALSE,$C$29:$C$31,$C$33),{5})),"")</f>
        <v/>
      </c>
      <c r="AS240" s="527" t="str" cm="1">
        <f t="array" aca="1" ref="AS240" ca="1">IF(AR240&lt;&gt;"",TRANSPOSE(INDEX(GetCDS($C265,AS$13,$G265/10000,J265,H265,$C$13,$C$14,$C$15,$C$8,,,TRUE,TRUE,FALSE,$C$29:$C$31,$C$33),{5})),"")</f>
        <v/>
      </c>
    </row>
    <row r="241" spans="1:45" customFormat="1" ht="15">
      <c r="A241" s="227"/>
      <c r="B241" s="276">
        <v>203</v>
      </c>
      <c r="C241" s="254"/>
      <c r="D241" s="255"/>
      <c r="E241" s="247"/>
      <c r="F241" s="232"/>
      <c r="G241" s="239"/>
      <c r="H241" s="386">
        <v>227</v>
      </c>
      <c r="I241" s="404"/>
      <c r="J241" s="404"/>
      <c r="K241" s="413"/>
      <c r="L241" s="413"/>
      <c r="M241" s="413"/>
      <c r="N241" s="452"/>
      <c r="O241" s="413"/>
      <c r="P241" s="413"/>
      <c r="Q241" s="413"/>
      <c r="R241" s="452"/>
      <c r="S241" s="443"/>
      <c r="T241" s="42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3"/>
      <c r="V241" s="423"/>
      <c r="W241" s="424"/>
      <c r="X241" s="425"/>
      <c r="Y241" s="426" t="str">
        <f t="shared" ca="1" si="51"/>
        <v/>
      </c>
      <c r="Z241" s="427" t="str">
        <f t="shared" ca="1" si="52"/>
        <v/>
      </c>
      <c r="AA241" s="426" t="str">
        <f t="shared" ca="1" si="53"/>
        <v/>
      </c>
      <c r="AB241" s="428" t="str">
        <f t="shared" ca="1" si="54"/>
        <v/>
      </c>
      <c r="AC241" s="427" t="str">
        <f t="shared" ca="1" si="55"/>
        <v/>
      </c>
      <c r="AD241" s="79"/>
      <c r="AN241" s="532" t="str">
        <f t="shared" ca="1" si="50"/>
        <v/>
      </c>
      <c r="AO241" s="526" t="str" cm="1">
        <f t="array" aca="1" ref="AO241" ca="1">IF(AN241&lt;&gt;"",TRANSPOSE(INDEX(GetCDS($C266,AO$13,$G266/10000,F266,D266,$C$13,$C$14,$C$15,$C$8,,,TRUE,TRUE,FALSE,$C$29:$C$31,$C$33),{5})),"")</f>
        <v/>
      </c>
      <c r="AP241" s="526" t="str" cm="1">
        <f t="array" aca="1" ref="AP241" ca="1">IF(AO241&lt;&gt;"",TRANSPOSE(INDEX(GetCDS($C266,AP$13,$G266/10000,G266,E266,$C$13,$C$14,$C$15,$C$8,,,TRUE,TRUE,FALSE,$C$29:$C$31,$C$33),{5})),"")</f>
        <v/>
      </c>
      <c r="AQ241" s="526" t="str" cm="1">
        <f t="array" aca="1" ref="AQ241" ca="1">IF(AP241&lt;&gt;"",TRANSPOSE(INDEX(GetCDS($C266,AQ$13,$G266/10000,H266,F266,$C$13,$C$14,$C$15,$C$8,,,TRUE,TRUE,FALSE,$C$29:$C$31,$C$33),{5})),"")</f>
        <v/>
      </c>
      <c r="AR241" s="526" t="str" cm="1">
        <f t="array" aca="1" ref="AR241" ca="1">IF(AQ241&lt;&gt;"",TRANSPOSE(INDEX(GetCDS($C266,AR$13,$G266/10000,I266,G266,$C$13,$C$14,$C$15,$C$8,,,TRUE,TRUE,FALSE,$C$29:$C$31,$C$33),{5})),"")</f>
        <v/>
      </c>
      <c r="AS241" s="527" t="str" cm="1">
        <f t="array" aca="1" ref="AS241" ca="1">IF(AR241&lt;&gt;"",TRANSPOSE(INDEX(GetCDS($C266,AS$13,$G266/10000,J266,H266,$C$13,$C$14,$C$15,$C$8,,,TRUE,TRUE,FALSE,$C$29:$C$31,$C$33),{5})),"")</f>
        <v/>
      </c>
    </row>
    <row r="242" spans="1:45" customFormat="1" ht="15">
      <c r="A242" s="227"/>
      <c r="B242" s="276">
        <v>204</v>
      </c>
      <c r="C242" s="254"/>
      <c r="D242" s="255"/>
      <c r="E242" s="247"/>
      <c r="F242" s="232"/>
      <c r="G242" s="239"/>
      <c r="H242" s="386">
        <v>228</v>
      </c>
      <c r="I242" s="404"/>
      <c r="J242" s="404"/>
      <c r="K242" s="413"/>
      <c r="L242" s="413"/>
      <c r="M242" s="413"/>
      <c r="N242" s="452"/>
      <c r="O242" s="413"/>
      <c r="P242" s="413"/>
      <c r="Q242" s="413"/>
      <c r="R242" s="452"/>
      <c r="S242" s="443"/>
      <c r="T242" s="42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3"/>
      <c r="V242" s="423"/>
      <c r="W242" s="424"/>
      <c r="X242" s="425"/>
      <c r="Y242" s="426" t="str">
        <f t="shared" ca="1" si="51"/>
        <v/>
      </c>
      <c r="Z242" s="427" t="str">
        <f t="shared" ca="1" si="52"/>
        <v/>
      </c>
      <c r="AA242" s="426" t="str">
        <f t="shared" ca="1" si="53"/>
        <v/>
      </c>
      <c r="AB242" s="428" t="str">
        <f t="shared" ca="1" si="54"/>
        <v/>
      </c>
      <c r="AC242" s="427" t="str">
        <f t="shared" ca="1" si="55"/>
        <v/>
      </c>
      <c r="AD242" s="79"/>
      <c r="AN242" s="532" t="str">
        <f t="shared" ca="1" si="50"/>
        <v/>
      </c>
      <c r="AO242" s="526" t="str" cm="1">
        <f t="array" aca="1" ref="AO242" ca="1">IF(AN242&lt;&gt;"",TRANSPOSE(INDEX(GetCDS($C267,AO$13,$G267/10000,F267,D267,$C$13,$C$14,$C$15,$C$8,,,TRUE,TRUE,FALSE,$C$29:$C$31,$C$33),{5})),"")</f>
        <v/>
      </c>
      <c r="AP242" s="526" t="str" cm="1">
        <f t="array" aca="1" ref="AP242" ca="1">IF(AO242&lt;&gt;"",TRANSPOSE(INDEX(GetCDS($C267,AP$13,$G267/10000,G267,E267,$C$13,$C$14,$C$15,$C$8,,,TRUE,TRUE,FALSE,$C$29:$C$31,$C$33),{5})),"")</f>
        <v/>
      </c>
      <c r="AQ242" s="526" t="str" cm="1">
        <f t="array" aca="1" ref="AQ242" ca="1">IF(AP242&lt;&gt;"",TRANSPOSE(INDEX(GetCDS($C267,AQ$13,$G267/10000,H267,F267,$C$13,$C$14,$C$15,$C$8,,,TRUE,TRUE,FALSE,$C$29:$C$31,$C$33),{5})),"")</f>
        <v/>
      </c>
      <c r="AR242" s="526" t="str" cm="1">
        <f t="array" aca="1" ref="AR242" ca="1">IF(AQ242&lt;&gt;"",TRANSPOSE(INDEX(GetCDS($C267,AR$13,$G267/10000,I267,G267,$C$13,$C$14,$C$15,$C$8,,,TRUE,TRUE,FALSE,$C$29:$C$31,$C$33),{5})),"")</f>
        <v/>
      </c>
      <c r="AS242" s="527" t="str" cm="1">
        <f t="array" aca="1" ref="AS242" ca="1">IF(AR242&lt;&gt;"",TRANSPOSE(INDEX(GetCDS($C267,AS$13,$G267/10000,J267,H267,$C$13,$C$14,$C$15,$C$8,,,TRUE,TRUE,FALSE,$C$29:$C$31,$C$33),{5})),"")</f>
        <v/>
      </c>
    </row>
    <row r="243" spans="1:45" customFormat="1" ht="15">
      <c r="A243" s="227"/>
      <c r="B243" s="276">
        <v>205</v>
      </c>
      <c r="C243" s="254"/>
      <c r="D243" s="255"/>
      <c r="E243" s="247"/>
      <c r="F243" s="232"/>
      <c r="G243" s="239"/>
      <c r="H243" s="386">
        <v>229</v>
      </c>
      <c r="I243" s="404"/>
      <c r="J243" s="404"/>
      <c r="K243" s="413"/>
      <c r="L243" s="413"/>
      <c r="M243" s="413"/>
      <c r="N243" s="452"/>
      <c r="O243" s="413"/>
      <c r="P243" s="413"/>
      <c r="Q243" s="413"/>
      <c r="R243" s="452"/>
      <c r="S243" s="443"/>
      <c r="T243" s="42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3"/>
      <c r="V243" s="423"/>
      <c r="W243" s="424"/>
      <c r="X243" s="425"/>
      <c r="Y243" s="426" t="str">
        <f t="shared" ca="1" si="51"/>
        <v/>
      </c>
      <c r="Z243" s="427" t="str">
        <f t="shared" ca="1" si="52"/>
        <v/>
      </c>
      <c r="AA243" s="426" t="str">
        <f t="shared" ca="1" si="53"/>
        <v/>
      </c>
      <c r="AB243" s="428" t="str">
        <f t="shared" ca="1" si="54"/>
        <v/>
      </c>
      <c r="AC243" s="427" t="str">
        <f t="shared" ca="1" si="55"/>
        <v/>
      </c>
      <c r="AD243" s="79"/>
      <c r="AN243" s="532" t="str">
        <f t="shared" ca="1" si="50"/>
        <v/>
      </c>
      <c r="AO243" s="526" t="str" cm="1">
        <f t="array" aca="1" ref="AO243" ca="1">IF(AN243&lt;&gt;"",TRANSPOSE(INDEX(GetCDS($C268,AO$13,$G268/10000,F268,D268,$C$13,$C$14,$C$15,$C$8,,,TRUE,TRUE,FALSE,$C$29:$C$31,$C$33),{5})),"")</f>
        <v/>
      </c>
      <c r="AP243" s="526" t="str" cm="1">
        <f t="array" aca="1" ref="AP243" ca="1">IF(AO243&lt;&gt;"",TRANSPOSE(INDEX(GetCDS($C268,AP$13,$G268/10000,G268,E268,$C$13,$C$14,$C$15,$C$8,,,TRUE,TRUE,FALSE,$C$29:$C$31,$C$33),{5})),"")</f>
        <v/>
      </c>
      <c r="AQ243" s="526" t="str" cm="1">
        <f t="array" aca="1" ref="AQ243" ca="1">IF(AP243&lt;&gt;"",TRANSPOSE(INDEX(GetCDS($C268,AQ$13,$G268/10000,H268,F268,$C$13,$C$14,$C$15,$C$8,,,TRUE,TRUE,FALSE,$C$29:$C$31,$C$33),{5})),"")</f>
        <v/>
      </c>
      <c r="AR243" s="526" t="str" cm="1">
        <f t="array" aca="1" ref="AR243" ca="1">IF(AQ243&lt;&gt;"",TRANSPOSE(INDEX(GetCDS($C268,AR$13,$G268/10000,I268,G268,$C$13,$C$14,$C$15,$C$8,,,TRUE,TRUE,FALSE,$C$29:$C$31,$C$33),{5})),"")</f>
        <v/>
      </c>
      <c r="AS243" s="527" t="str" cm="1">
        <f t="array" aca="1" ref="AS243" ca="1">IF(AR243&lt;&gt;"",TRANSPOSE(INDEX(GetCDS($C268,AS$13,$G268/10000,J268,H268,$C$13,$C$14,$C$15,$C$8,,,TRUE,TRUE,FALSE,$C$29:$C$31,$C$33),{5})),"")</f>
        <v/>
      </c>
    </row>
    <row r="244" spans="1:45" customFormat="1" ht="15">
      <c r="A244" s="227"/>
      <c r="B244" s="276">
        <v>206</v>
      </c>
      <c r="C244" s="254"/>
      <c r="D244" s="255"/>
      <c r="E244" s="247"/>
      <c r="F244" s="232"/>
      <c r="G244" s="239"/>
      <c r="H244" s="386">
        <v>230</v>
      </c>
      <c r="I244" s="404"/>
      <c r="J244" s="404"/>
      <c r="K244" s="413"/>
      <c r="L244" s="413"/>
      <c r="M244" s="413"/>
      <c r="N244" s="452"/>
      <c r="O244" s="413"/>
      <c r="P244" s="413"/>
      <c r="Q244" s="413"/>
      <c r="R244" s="452"/>
      <c r="S244" s="443"/>
      <c r="T244" s="42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3"/>
      <c r="V244" s="423"/>
      <c r="W244" s="424"/>
      <c r="X244" s="425"/>
      <c r="Y244" s="426" t="str">
        <f t="shared" ca="1" si="51"/>
        <v/>
      </c>
      <c r="Z244" s="427" t="str">
        <f t="shared" ca="1" si="52"/>
        <v/>
      </c>
      <c r="AA244" s="426" t="str">
        <f t="shared" ca="1" si="53"/>
        <v/>
      </c>
      <c r="AB244" s="428" t="str">
        <f t="shared" ca="1" si="54"/>
        <v/>
      </c>
      <c r="AC244" s="427" t="str">
        <f t="shared" ca="1" si="55"/>
        <v/>
      </c>
      <c r="AD244" s="79"/>
      <c r="AN244" s="532" t="str">
        <f t="shared" ca="1" si="50"/>
        <v/>
      </c>
      <c r="AO244" s="526" t="str" cm="1">
        <f t="array" aca="1" ref="AO244" ca="1">IF(AN244&lt;&gt;"",TRANSPOSE(INDEX(GetCDS($C269,AO$13,$G269/10000,F269,D269,$C$13,$C$14,$C$15,$C$8,,,TRUE,TRUE,FALSE,$C$29:$C$31,$C$33),{5})),"")</f>
        <v/>
      </c>
      <c r="AP244" s="526" t="str" cm="1">
        <f t="array" aca="1" ref="AP244" ca="1">IF(AO244&lt;&gt;"",TRANSPOSE(INDEX(GetCDS($C269,AP$13,$G269/10000,G269,E269,$C$13,$C$14,$C$15,$C$8,,,TRUE,TRUE,FALSE,$C$29:$C$31,$C$33),{5})),"")</f>
        <v/>
      </c>
      <c r="AQ244" s="526" t="str" cm="1">
        <f t="array" aca="1" ref="AQ244" ca="1">IF(AP244&lt;&gt;"",TRANSPOSE(INDEX(GetCDS($C269,AQ$13,$G269/10000,H269,F269,$C$13,$C$14,$C$15,$C$8,,,TRUE,TRUE,FALSE,$C$29:$C$31,$C$33),{5})),"")</f>
        <v/>
      </c>
      <c r="AR244" s="526" t="str" cm="1">
        <f t="array" aca="1" ref="AR244" ca="1">IF(AQ244&lt;&gt;"",TRANSPOSE(INDEX(GetCDS($C269,AR$13,$G269/10000,I269,G269,$C$13,$C$14,$C$15,$C$8,,,TRUE,TRUE,FALSE,$C$29:$C$31,$C$33),{5})),"")</f>
        <v/>
      </c>
      <c r="AS244" s="527" t="str" cm="1">
        <f t="array" aca="1" ref="AS244" ca="1">IF(AR244&lt;&gt;"",TRANSPOSE(INDEX(GetCDS($C269,AS$13,$G269/10000,J269,H269,$C$13,$C$14,$C$15,$C$8,,,TRUE,TRUE,FALSE,$C$29:$C$31,$C$33),{5})),"")</f>
        <v/>
      </c>
    </row>
    <row r="245" spans="1:45" customFormat="1" ht="15">
      <c r="A245" s="227"/>
      <c r="B245" s="276">
        <v>207</v>
      </c>
      <c r="C245" s="254"/>
      <c r="D245" s="255"/>
      <c r="E245" s="247"/>
      <c r="F245" s="232"/>
      <c r="G245" s="239"/>
      <c r="H245" s="386">
        <v>231</v>
      </c>
      <c r="I245" s="404"/>
      <c r="J245" s="404"/>
      <c r="K245" s="413"/>
      <c r="L245" s="413"/>
      <c r="M245" s="413"/>
      <c r="N245" s="452"/>
      <c r="O245" s="413"/>
      <c r="P245" s="413"/>
      <c r="Q245" s="413"/>
      <c r="R245" s="452"/>
      <c r="S245" s="443"/>
      <c r="T245" s="42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3"/>
      <c r="V245" s="423"/>
      <c r="W245" s="424"/>
      <c r="X245" s="425"/>
      <c r="Y245" s="426" t="str">
        <f t="shared" ca="1" si="51"/>
        <v/>
      </c>
      <c r="Z245" s="427" t="str">
        <f t="shared" ca="1" si="52"/>
        <v/>
      </c>
      <c r="AA245" s="426" t="str">
        <f t="shared" ca="1" si="53"/>
        <v/>
      </c>
      <c r="AB245" s="428" t="str">
        <f t="shared" ca="1" si="54"/>
        <v/>
      </c>
      <c r="AC245" s="427" t="str">
        <f t="shared" ca="1" si="55"/>
        <v/>
      </c>
      <c r="AD245" s="79"/>
      <c r="AN245" s="532" t="str">
        <f t="shared" ca="1" si="50"/>
        <v/>
      </c>
      <c r="AO245" s="526" t="str" cm="1">
        <f t="array" aca="1" ref="AO245" ca="1">IF(AN245&lt;&gt;"",TRANSPOSE(INDEX(GetCDS($C270,AO$13,$G270/10000,F270,D270,$C$13,$C$14,$C$15,$C$8,,,TRUE,TRUE,FALSE,$C$29:$C$31,$C$33),{5})),"")</f>
        <v/>
      </c>
      <c r="AP245" s="526" t="str" cm="1">
        <f t="array" aca="1" ref="AP245" ca="1">IF(AO245&lt;&gt;"",TRANSPOSE(INDEX(GetCDS($C270,AP$13,$G270/10000,G270,E270,$C$13,$C$14,$C$15,$C$8,,,TRUE,TRUE,FALSE,$C$29:$C$31,$C$33),{5})),"")</f>
        <v/>
      </c>
      <c r="AQ245" s="526" t="str" cm="1">
        <f t="array" aca="1" ref="AQ245" ca="1">IF(AP245&lt;&gt;"",TRANSPOSE(INDEX(GetCDS($C270,AQ$13,$G270/10000,H270,F270,$C$13,$C$14,$C$15,$C$8,,,TRUE,TRUE,FALSE,$C$29:$C$31,$C$33),{5})),"")</f>
        <v/>
      </c>
      <c r="AR245" s="526" t="str" cm="1">
        <f t="array" aca="1" ref="AR245" ca="1">IF(AQ245&lt;&gt;"",TRANSPOSE(INDEX(GetCDS($C270,AR$13,$G270/10000,I270,G270,$C$13,$C$14,$C$15,$C$8,,,TRUE,TRUE,FALSE,$C$29:$C$31,$C$33),{5})),"")</f>
        <v/>
      </c>
      <c r="AS245" s="527" t="str" cm="1">
        <f t="array" aca="1" ref="AS245" ca="1">IF(AR245&lt;&gt;"",TRANSPOSE(INDEX(GetCDS($C270,AS$13,$G270/10000,J270,H270,$C$13,$C$14,$C$15,$C$8,,,TRUE,TRUE,FALSE,$C$29:$C$31,$C$33),{5})),"")</f>
        <v/>
      </c>
    </row>
    <row r="246" spans="1:45" customFormat="1" ht="15">
      <c r="A246" s="227"/>
      <c r="B246" s="276">
        <v>208</v>
      </c>
      <c r="C246" s="254"/>
      <c r="D246" s="255"/>
      <c r="E246" s="247"/>
      <c r="F246" s="232"/>
      <c r="G246" s="239"/>
      <c r="H246" s="386">
        <v>232</v>
      </c>
      <c r="I246" s="404"/>
      <c r="J246" s="404"/>
      <c r="K246" s="413"/>
      <c r="L246" s="413"/>
      <c r="M246" s="413"/>
      <c r="N246" s="452"/>
      <c r="O246" s="413"/>
      <c r="P246" s="413"/>
      <c r="Q246" s="413"/>
      <c r="R246" s="452"/>
      <c r="S246" s="443"/>
      <c r="T246" s="42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3"/>
      <c r="V246" s="423"/>
      <c r="W246" s="424"/>
      <c r="X246" s="425"/>
      <c r="Y246" s="426" t="str">
        <f t="shared" ca="1" si="51"/>
        <v/>
      </c>
      <c r="Z246" s="427" t="str">
        <f t="shared" ca="1" si="52"/>
        <v/>
      </c>
      <c r="AA246" s="426" t="str">
        <f t="shared" ca="1" si="53"/>
        <v/>
      </c>
      <c r="AB246" s="428" t="str">
        <f t="shared" ca="1" si="54"/>
        <v/>
      </c>
      <c r="AC246" s="427" t="str">
        <f t="shared" ca="1" si="55"/>
        <v/>
      </c>
      <c r="AD246" s="79"/>
      <c r="AN246" s="532" t="str">
        <f t="shared" ca="1" si="50"/>
        <v/>
      </c>
      <c r="AO246" s="526" t="str" cm="1">
        <f t="array" aca="1" ref="AO246" ca="1">IF(AN246&lt;&gt;"",TRANSPOSE(INDEX(GetCDS($C271,AO$13,$G271/10000,F271,D271,$C$13,$C$14,$C$15,$C$8,,,TRUE,TRUE,FALSE,$C$29:$C$31,$C$33),{5})),"")</f>
        <v/>
      </c>
      <c r="AP246" s="526" t="str" cm="1">
        <f t="array" aca="1" ref="AP246" ca="1">IF(AO246&lt;&gt;"",TRANSPOSE(INDEX(GetCDS($C271,AP$13,$G271/10000,G271,E271,$C$13,$C$14,$C$15,$C$8,,,TRUE,TRUE,FALSE,$C$29:$C$31,$C$33),{5})),"")</f>
        <v/>
      </c>
      <c r="AQ246" s="526" t="str" cm="1">
        <f t="array" aca="1" ref="AQ246" ca="1">IF(AP246&lt;&gt;"",TRANSPOSE(INDEX(GetCDS($C271,AQ$13,$G271/10000,H271,F271,$C$13,$C$14,$C$15,$C$8,,,TRUE,TRUE,FALSE,$C$29:$C$31,$C$33),{5})),"")</f>
        <v/>
      </c>
      <c r="AR246" s="526" t="str" cm="1">
        <f t="array" aca="1" ref="AR246" ca="1">IF(AQ246&lt;&gt;"",TRANSPOSE(INDEX(GetCDS($C271,AR$13,$G271/10000,I271,G271,$C$13,$C$14,$C$15,$C$8,,,TRUE,TRUE,FALSE,$C$29:$C$31,$C$33),{5})),"")</f>
        <v/>
      </c>
      <c r="AS246" s="527" t="str" cm="1">
        <f t="array" aca="1" ref="AS246" ca="1">IF(AR246&lt;&gt;"",TRANSPOSE(INDEX(GetCDS($C271,AS$13,$G271/10000,J271,H271,$C$13,$C$14,$C$15,$C$8,,,TRUE,TRUE,FALSE,$C$29:$C$31,$C$33),{5})),"")</f>
        <v/>
      </c>
    </row>
    <row r="247" spans="1:45" customFormat="1" ht="15">
      <c r="A247" s="227"/>
      <c r="B247" s="276">
        <v>209</v>
      </c>
      <c r="C247" s="254"/>
      <c r="D247" s="255"/>
      <c r="E247" s="247"/>
      <c r="F247" s="232"/>
      <c r="G247" s="239"/>
      <c r="H247" s="386">
        <v>233</v>
      </c>
      <c r="I247" s="404"/>
      <c r="J247" s="404"/>
      <c r="K247" s="413"/>
      <c r="L247" s="413"/>
      <c r="M247" s="413"/>
      <c r="N247" s="452"/>
      <c r="O247" s="413"/>
      <c r="P247" s="413"/>
      <c r="Q247" s="413"/>
      <c r="R247" s="452"/>
      <c r="S247" s="443"/>
      <c r="T247" s="42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3"/>
      <c r="V247" s="423"/>
      <c r="W247" s="424"/>
      <c r="X247" s="425"/>
      <c r="Y247" s="426" t="str">
        <f t="shared" ca="1" si="51"/>
        <v/>
      </c>
      <c r="Z247" s="427" t="str">
        <f t="shared" ca="1" si="52"/>
        <v/>
      </c>
      <c r="AA247" s="426" t="str">
        <f t="shared" ca="1" si="53"/>
        <v/>
      </c>
      <c r="AB247" s="428" t="str">
        <f t="shared" ca="1" si="54"/>
        <v/>
      </c>
      <c r="AC247" s="427" t="str">
        <f t="shared" ca="1" si="55"/>
        <v/>
      </c>
      <c r="AD247" s="79"/>
      <c r="AN247" s="532" t="str">
        <f t="shared" ca="1" si="50"/>
        <v/>
      </c>
      <c r="AO247" s="526" t="str" cm="1">
        <f t="array" aca="1" ref="AO247" ca="1">IF(AN247&lt;&gt;"",TRANSPOSE(INDEX(GetCDS($C272,AO$13,$G272/10000,F272,D272,$C$13,$C$14,$C$15,$C$8,,,TRUE,TRUE,FALSE,$C$29:$C$31,$C$33),{5})),"")</f>
        <v/>
      </c>
      <c r="AP247" s="526" t="str" cm="1">
        <f t="array" aca="1" ref="AP247" ca="1">IF(AO247&lt;&gt;"",TRANSPOSE(INDEX(GetCDS($C272,AP$13,$G272/10000,G272,E272,$C$13,$C$14,$C$15,$C$8,,,TRUE,TRUE,FALSE,$C$29:$C$31,$C$33),{5})),"")</f>
        <v/>
      </c>
      <c r="AQ247" s="526" t="str" cm="1">
        <f t="array" aca="1" ref="AQ247" ca="1">IF(AP247&lt;&gt;"",TRANSPOSE(INDEX(GetCDS($C272,AQ$13,$G272/10000,H272,F272,$C$13,$C$14,$C$15,$C$8,,,TRUE,TRUE,FALSE,$C$29:$C$31,$C$33),{5})),"")</f>
        <v/>
      </c>
      <c r="AR247" s="526" t="str" cm="1">
        <f t="array" aca="1" ref="AR247" ca="1">IF(AQ247&lt;&gt;"",TRANSPOSE(INDEX(GetCDS($C272,AR$13,$G272/10000,I272,G272,$C$13,$C$14,$C$15,$C$8,,,TRUE,TRUE,FALSE,$C$29:$C$31,$C$33),{5})),"")</f>
        <v/>
      </c>
      <c r="AS247" s="527" t="str" cm="1">
        <f t="array" aca="1" ref="AS247" ca="1">IF(AR247&lt;&gt;"",TRANSPOSE(INDEX(GetCDS($C272,AS$13,$G272/10000,J272,H272,$C$13,$C$14,$C$15,$C$8,,,TRUE,TRUE,FALSE,$C$29:$C$31,$C$33),{5})),"")</f>
        <v/>
      </c>
    </row>
    <row r="248" spans="1:45" customFormat="1" ht="15">
      <c r="A248" s="227"/>
      <c r="B248" s="276">
        <v>210</v>
      </c>
      <c r="C248" s="254"/>
      <c r="D248" s="255"/>
      <c r="E248" s="247"/>
      <c r="F248" s="232"/>
      <c r="G248" s="239"/>
      <c r="H248" s="386">
        <v>234</v>
      </c>
      <c r="I248" s="404"/>
      <c r="J248" s="404"/>
      <c r="K248" s="413"/>
      <c r="L248" s="413"/>
      <c r="M248" s="413"/>
      <c r="N248" s="452"/>
      <c r="O248" s="413"/>
      <c r="P248" s="413"/>
      <c r="Q248" s="413"/>
      <c r="R248" s="452"/>
      <c r="S248" s="443"/>
      <c r="T248" s="42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3"/>
      <c r="V248" s="423"/>
      <c r="W248" s="424"/>
      <c r="X248" s="425"/>
      <c r="Y248" s="426" t="str">
        <f t="shared" ca="1" si="51"/>
        <v/>
      </c>
      <c r="Z248" s="427" t="str">
        <f t="shared" ca="1" si="52"/>
        <v/>
      </c>
      <c r="AA248" s="426" t="str">
        <f t="shared" ca="1" si="53"/>
        <v/>
      </c>
      <c r="AB248" s="428" t="str">
        <f t="shared" ca="1" si="54"/>
        <v/>
      </c>
      <c r="AC248" s="427" t="str">
        <f t="shared" ca="1" si="55"/>
        <v/>
      </c>
      <c r="AD248" s="79"/>
      <c r="AN248" s="532" t="str">
        <f t="shared" ca="1" si="50"/>
        <v/>
      </c>
      <c r="AO248" s="526" t="str" cm="1">
        <f t="array" aca="1" ref="AO248" ca="1">IF(AN248&lt;&gt;"",TRANSPOSE(INDEX(GetCDS($C273,AO$13,$G273/10000,F273,D273,$C$13,$C$14,$C$15,$C$8,,,TRUE,TRUE,FALSE,$C$29:$C$31,$C$33),{5})),"")</f>
        <v/>
      </c>
      <c r="AP248" s="526" t="str" cm="1">
        <f t="array" aca="1" ref="AP248" ca="1">IF(AO248&lt;&gt;"",TRANSPOSE(INDEX(GetCDS($C273,AP$13,$G273/10000,G273,E273,$C$13,$C$14,$C$15,$C$8,,,TRUE,TRUE,FALSE,$C$29:$C$31,$C$33),{5})),"")</f>
        <v/>
      </c>
      <c r="AQ248" s="526" t="str" cm="1">
        <f t="array" aca="1" ref="AQ248" ca="1">IF(AP248&lt;&gt;"",TRANSPOSE(INDEX(GetCDS($C273,AQ$13,$G273/10000,H273,F273,$C$13,$C$14,$C$15,$C$8,,,TRUE,TRUE,FALSE,$C$29:$C$31,$C$33),{5})),"")</f>
        <v/>
      </c>
      <c r="AR248" s="526" t="str" cm="1">
        <f t="array" aca="1" ref="AR248" ca="1">IF(AQ248&lt;&gt;"",TRANSPOSE(INDEX(GetCDS($C273,AR$13,$G273/10000,I273,G273,$C$13,$C$14,$C$15,$C$8,,,TRUE,TRUE,FALSE,$C$29:$C$31,$C$33),{5})),"")</f>
        <v/>
      </c>
      <c r="AS248" s="527" t="str" cm="1">
        <f t="array" aca="1" ref="AS248" ca="1">IF(AR248&lt;&gt;"",TRANSPOSE(INDEX(GetCDS($C273,AS$13,$G273/10000,J273,H273,$C$13,$C$14,$C$15,$C$8,,,TRUE,TRUE,FALSE,$C$29:$C$31,$C$33),{5})),"")</f>
        <v/>
      </c>
    </row>
    <row r="249" spans="1:45" customFormat="1" ht="15">
      <c r="A249" s="227"/>
      <c r="B249" s="276">
        <v>211</v>
      </c>
      <c r="C249" s="254"/>
      <c r="D249" s="255"/>
      <c r="E249" s="247"/>
      <c r="F249" s="232"/>
      <c r="G249" s="239"/>
      <c r="H249" s="386">
        <v>235</v>
      </c>
      <c r="I249" s="404"/>
      <c r="J249" s="404"/>
      <c r="K249" s="413"/>
      <c r="L249" s="413"/>
      <c r="M249" s="413"/>
      <c r="N249" s="452"/>
      <c r="O249" s="413"/>
      <c r="P249" s="413"/>
      <c r="Q249" s="413"/>
      <c r="R249" s="452"/>
      <c r="S249" s="443"/>
      <c r="T249" s="42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3"/>
      <c r="V249" s="423"/>
      <c r="W249" s="424"/>
      <c r="X249" s="425"/>
      <c r="Y249" s="426" t="str">
        <f t="shared" ca="1" si="51"/>
        <v/>
      </c>
      <c r="Z249" s="427" t="str">
        <f t="shared" ca="1" si="52"/>
        <v/>
      </c>
      <c r="AA249" s="426" t="str">
        <f t="shared" ca="1" si="53"/>
        <v/>
      </c>
      <c r="AB249" s="428" t="str">
        <f t="shared" ca="1" si="54"/>
        <v/>
      </c>
      <c r="AC249" s="427" t="str">
        <f t="shared" ca="1" si="55"/>
        <v/>
      </c>
      <c r="AD249" s="79"/>
      <c r="AN249" s="532" t="str">
        <f t="shared" ca="1" si="50"/>
        <v/>
      </c>
      <c r="AO249" s="526" t="str" cm="1">
        <f t="array" aca="1" ref="AO249" ca="1">IF(AN249&lt;&gt;"",TRANSPOSE(INDEX(GetCDS($C274,AO$13,$G274/10000,F274,D274,$C$13,$C$14,$C$15,$C$8,,,TRUE,TRUE,FALSE,$C$29:$C$31,$C$33),{5})),"")</f>
        <v/>
      </c>
      <c r="AP249" s="526" t="str" cm="1">
        <f t="array" aca="1" ref="AP249" ca="1">IF(AO249&lt;&gt;"",TRANSPOSE(INDEX(GetCDS($C274,AP$13,$G274/10000,G274,E274,$C$13,$C$14,$C$15,$C$8,,,TRUE,TRUE,FALSE,$C$29:$C$31,$C$33),{5})),"")</f>
        <v/>
      </c>
      <c r="AQ249" s="526" t="str" cm="1">
        <f t="array" aca="1" ref="AQ249" ca="1">IF(AP249&lt;&gt;"",TRANSPOSE(INDEX(GetCDS($C274,AQ$13,$G274/10000,H274,F274,$C$13,$C$14,$C$15,$C$8,,,TRUE,TRUE,FALSE,$C$29:$C$31,$C$33),{5})),"")</f>
        <v/>
      </c>
      <c r="AR249" s="526" t="str" cm="1">
        <f t="array" aca="1" ref="AR249" ca="1">IF(AQ249&lt;&gt;"",TRANSPOSE(INDEX(GetCDS($C274,AR$13,$G274/10000,I274,G274,$C$13,$C$14,$C$15,$C$8,,,TRUE,TRUE,FALSE,$C$29:$C$31,$C$33),{5})),"")</f>
        <v/>
      </c>
      <c r="AS249" s="527" t="str" cm="1">
        <f t="array" aca="1" ref="AS249" ca="1">IF(AR249&lt;&gt;"",TRANSPOSE(INDEX(GetCDS($C274,AS$13,$G274/10000,J274,H274,$C$13,$C$14,$C$15,$C$8,,,TRUE,TRUE,FALSE,$C$29:$C$31,$C$33),{5})),"")</f>
        <v/>
      </c>
    </row>
    <row r="250" spans="1:45" customFormat="1" ht="15">
      <c r="A250" s="227"/>
      <c r="B250" s="276">
        <v>212</v>
      </c>
      <c r="C250" s="254"/>
      <c r="D250" s="255"/>
      <c r="E250" s="247"/>
      <c r="F250" s="232"/>
      <c r="G250" s="239"/>
      <c r="H250" s="386">
        <v>236</v>
      </c>
      <c r="I250" s="404"/>
      <c r="J250" s="404"/>
      <c r="K250" s="413"/>
      <c r="L250" s="413"/>
      <c r="M250" s="413"/>
      <c r="N250" s="452"/>
      <c r="O250" s="413"/>
      <c r="P250" s="413"/>
      <c r="Q250" s="413"/>
      <c r="R250" s="452"/>
      <c r="S250" s="443"/>
      <c r="T250" s="42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3"/>
      <c r="V250" s="423"/>
      <c r="W250" s="424"/>
      <c r="X250" s="425"/>
      <c r="Y250" s="426" t="str">
        <f t="shared" ca="1" si="51"/>
        <v/>
      </c>
      <c r="Z250" s="427" t="str">
        <f t="shared" ca="1" si="52"/>
        <v/>
      </c>
      <c r="AA250" s="426" t="str">
        <f t="shared" ca="1" si="53"/>
        <v/>
      </c>
      <c r="AB250" s="428" t="str">
        <f t="shared" ca="1" si="54"/>
        <v/>
      </c>
      <c r="AC250" s="427" t="str">
        <f t="shared" ca="1" si="55"/>
        <v/>
      </c>
      <c r="AD250" s="79"/>
      <c r="AN250" s="532" t="str">
        <f t="shared" ca="1" si="50"/>
        <v/>
      </c>
      <c r="AO250" s="526" t="str" cm="1">
        <f t="array" aca="1" ref="AO250" ca="1">IF(AN250&lt;&gt;"",TRANSPOSE(INDEX(GetCDS($C275,AO$13,$G275/10000,F275,D275,$C$13,$C$14,$C$15,$C$8,,,TRUE,TRUE,FALSE,$C$29:$C$31,$C$33),{5})),"")</f>
        <v/>
      </c>
      <c r="AP250" s="526" t="str" cm="1">
        <f t="array" aca="1" ref="AP250" ca="1">IF(AO250&lt;&gt;"",TRANSPOSE(INDEX(GetCDS($C275,AP$13,$G275/10000,G275,E275,$C$13,$C$14,$C$15,$C$8,,,TRUE,TRUE,FALSE,$C$29:$C$31,$C$33),{5})),"")</f>
        <v/>
      </c>
      <c r="AQ250" s="526" t="str" cm="1">
        <f t="array" aca="1" ref="AQ250" ca="1">IF(AP250&lt;&gt;"",TRANSPOSE(INDEX(GetCDS($C275,AQ$13,$G275/10000,H275,F275,$C$13,$C$14,$C$15,$C$8,,,TRUE,TRUE,FALSE,$C$29:$C$31,$C$33),{5})),"")</f>
        <v/>
      </c>
      <c r="AR250" s="526" t="str" cm="1">
        <f t="array" aca="1" ref="AR250" ca="1">IF(AQ250&lt;&gt;"",TRANSPOSE(INDEX(GetCDS($C275,AR$13,$G275/10000,I275,G275,$C$13,$C$14,$C$15,$C$8,,,TRUE,TRUE,FALSE,$C$29:$C$31,$C$33),{5})),"")</f>
        <v/>
      </c>
      <c r="AS250" s="527" t="str" cm="1">
        <f t="array" aca="1" ref="AS250" ca="1">IF(AR250&lt;&gt;"",TRANSPOSE(INDEX(GetCDS($C275,AS$13,$G275/10000,J275,H275,$C$13,$C$14,$C$15,$C$8,,,TRUE,TRUE,FALSE,$C$29:$C$31,$C$33),{5})),"")</f>
        <v/>
      </c>
    </row>
    <row r="251" spans="1:45" customFormat="1" ht="15">
      <c r="A251" s="227"/>
      <c r="B251" s="276">
        <v>213</v>
      </c>
      <c r="C251" s="254"/>
      <c r="D251" s="255"/>
      <c r="E251" s="247"/>
      <c r="F251" s="232"/>
      <c r="G251" s="239"/>
      <c r="H251" s="386">
        <v>237</v>
      </c>
      <c r="I251" s="404"/>
      <c r="J251" s="404"/>
      <c r="K251" s="413"/>
      <c r="L251" s="413"/>
      <c r="M251" s="413"/>
      <c r="N251" s="452"/>
      <c r="O251" s="413"/>
      <c r="P251" s="413"/>
      <c r="Q251" s="413"/>
      <c r="R251" s="452"/>
      <c r="S251" s="443"/>
      <c r="T251" s="42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3"/>
      <c r="V251" s="423"/>
      <c r="W251" s="424"/>
      <c r="X251" s="425"/>
      <c r="Y251" s="426" t="str">
        <f t="shared" ca="1" si="51"/>
        <v/>
      </c>
      <c r="Z251" s="427" t="str">
        <f t="shared" ca="1" si="52"/>
        <v/>
      </c>
      <c r="AA251" s="426" t="str">
        <f t="shared" ca="1" si="53"/>
        <v/>
      </c>
      <c r="AB251" s="428" t="str">
        <f t="shared" ca="1" si="54"/>
        <v/>
      </c>
      <c r="AC251" s="427" t="str">
        <f t="shared" ca="1" si="55"/>
        <v/>
      </c>
      <c r="AD251" s="79"/>
      <c r="AN251" s="532" t="str">
        <f t="shared" ca="1" si="50"/>
        <v/>
      </c>
      <c r="AO251" s="526" t="str" cm="1">
        <f t="array" aca="1" ref="AO251" ca="1">IF(AN251&lt;&gt;"",TRANSPOSE(INDEX(GetCDS($C276,AO$13,$G276/10000,F276,D276,$C$13,$C$14,$C$15,$C$8,,,TRUE,TRUE,FALSE,$C$29:$C$31,$C$33),{5})),"")</f>
        <v/>
      </c>
      <c r="AP251" s="526" t="str" cm="1">
        <f t="array" aca="1" ref="AP251" ca="1">IF(AO251&lt;&gt;"",TRANSPOSE(INDEX(GetCDS($C276,AP$13,$G276/10000,G276,E276,$C$13,$C$14,$C$15,$C$8,,,TRUE,TRUE,FALSE,$C$29:$C$31,$C$33),{5})),"")</f>
        <v/>
      </c>
      <c r="AQ251" s="526" t="str" cm="1">
        <f t="array" aca="1" ref="AQ251" ca="1">IF(AP251&lt;&gt;"",TRANSPOSE(INDEX(GetCDS($C276,AQ$13,$G276/10000,H276,F276,$C$13,$C$14,$C$15,$C$8,,,TRUE,TRUE,FALSE,$C$29:$C$31,$C$33),{5})),"")</f>
        <v/>
      </c>
      <c r="AR251" s="526" t="str" cm="1">
        <f t="array" aca="1" ref="AR251" ca="1">IF(AQ251&lt;&gt;"",TRANSPOSE(INDEX(GetCDS($C276,AR$13,$G276/10000,I276,G276,$C$13,$C$14,$C$15,$C$8,,,TRUE,TRUE,FALSE,$C$29:$C$31,$C$33),{5})),"")</f>
        <v/>
      </c>
      <c r="AS251" s="527" t="str" cm="1">
        <f t="array" aca="1" ref="AS251" ca="1">IF(AR251&lt;&gt;"",TRANSPOSE(INDEX(GetCDS($C276,AS$13,$G276/10000,J276,H276,$C$13,$C$14,$C$15,$C$8,,,TRUE,TRUE,FALSE,$C$29:$C$31,$C$33),{5})),"")</f>
        <v/>
      </c>
    </row>
    <row r="252" spans="1:45" customFormat="1" ht="15">
      <c r="A252" s="227"/>
      <c r="B252" s="276">
        <v>214</v>
      </c>
      <c r="C252" s="254"/>
      <c r="D252" s="255"/>
      <c r="E252" s="247"/>
      <c r="F252" s="232"/>
      <c r="G252" s="239"/>
      <c r="H252" s="386">
        <v>238</v>
      </c>
      <c r="I252" s="404"/>
      <c r="J252" s="404"/>
      <c r="K252" s="413"/>
      <c r="L252" s="413"/>
      <c r="M252" s="413"/>
      <c r="N252" s="452"/>
      <c r="O252" s="413"/>
      <c r="P252" s="413"/>
      <c r="Q252" s="413"/>
      <c r="R252" s="452"/>
      <c r="S252" s="443"/>
      <c r="T252" s="42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3"/>
      <c r="V252" s="423"/>
      <c r="W252" s="424"/>
      <c r="X252" s="425"/>
      <c r="Y252" s="426" t="str">
        <f t="shared" ca="1" si="51"/>
        <v/>
      </c>
      <c r="Z252" s="427" t="str">
        <f t="shared" ca="1" si="52"/>
        <v/>
      </c>
      <c r="AA252" s="426" t="str">
        <f t="shared" ca="1" si="53"/>
        <v/>
      </c>
      <c r="AB252" s="428" t="str">
        <f t="shared" ca="1" si="54"/>
        <v/>
      </c>
      <c r="AC252" s="427" t="str">
        <f t="shared" ca="1" si="55"/>
        <v/>
      </c>
      <c r="AD252" s="79"/>
      <c r="AN252" s="532" t="str">
        <f t="shared" ca="1" si="50"/>
        <v/>
      </c>
      <c r="AO252" s="526" t="str" cm="1">
        <f t="array" aca="1" ref="AO252" ca="1">IF(AN252&lt;&gt;"",TRANSPOSE(INDEX(GetCDS($C277,AO$13,$G277/10000,F277,D277,$C$13,$C$14,$C$15,$C$8,,,TRUE,TRUE,FALSE,$C$29:$C$31,$C$33),{5})),"")</f>
        <v/>
      </c>
      <c r="AP252" s="526" t="str" cm="1">
        <f t="array" aca="1" ref="AP252" ca="1">IF(AO252&lt;&gt;"",TRANSPOSE(INDEX(GetCDS($C277,AP$13,$G277/10000,G277,E277,$C$13,$C$14,$C$15,$C$8,,,TRUE,TRUE,FALSE,$C$29:$C$31,$C$33),{5})),"")</f>
        <v/>
      </c>
      <c r="AQ252" s="526" t="str" cm="1">
        <f t="array" aca="1" ref="AQ252" ca="1">IF(AP252&lt;&gt;"",TRANSPOSE(INDEX(GetCDS($C277,AQ$13,$G277/10000,H277,F277,$C$13,$C$14,$C$15,$C$8,,,TRUE,TRUE,FALSE,$C$29:$C$31,$C$33),{5})),"")</f>
        <v/>
      </c>
      <c r="AR252" s="526" t="str" cm="1">
        <f t="array" aca="1" ref="AR252" ca="1">IF(AQ252&lt;&gt;"",TRANSPOSE(INDEX(GetCDS($C277,AR$13,$G277/10000,I277,G277,$C$13,$C$14,$C$15,$C$8,,,TRUE,TRUE,FALSE,$C$29:$C$31,$C$33),{5})),"")</f>
        <v/>
      </c>
      <c r="AS252" s="527" t="str" cm="1">
        <f t="array" aca="1" ref="AS252" ca="1">IF(AR252&lt;&gt;"",TRANSPOSE(INDEX(GetCDS($C277,AS$13,$G277/10000,J277,H277,$C$13,$C$14,$C$15,$C$8,,,TRUE,TRUE,FALSE,$C$29:$C$31,$C$33),{5})),"")</f>
        <v/>
      </c>
    </row>
    <row r="253" spans="1:45" customFormat="1" ht="15">
      <c r="A253" s="227"/>
      <c r="B253" s="276">
        <v>215</v>
      </c>
      <c r="C253" s="254"/>
      <c r="D253" s="255"/>
      <c r="E253" s="247"/>
      <c r="F253" s="232"/>
      <c r="G253" s="239"/>
      <c r="H253" s="386">
        <v>239</v>
      </c>
      <c r="I253" s="404"/>
      <c r="J253" s="404"/>
      <c r="K253" s="413"/>
      <c r="L253" s="413"/>
      <c r="M253" s="413"/>
      <c r="N253" s="452"/>
      <c r="O253" s="413"/>
      <c r="P253" s="413"/>
      <c r="Q253" s="413"/>
      <c r="R253" s="452"/>
      <c r="S253" s="443"/>
      <c r="T253" s="42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3"/>
      <c r="V253" s="423"/>
      <c r="W253" s="424"/>
      <c r="X253" s="425"/>
      <c r="Y253" s="426" t="str">
        <f t="shared" ca="1" si="51"/>
        <v/>
      </c>
      <c r="Z253" s="427" t="str">
        <f t="shared" ca="1" si="52"/>
        <v/>
      </c>
      <c r="AA253" s="426" t="str">
        <f t="shared" ca="1" si="53"/>
        <v/>
      </c>
      <c r="AB253" s="428" t="str">
        <f t="shared" ca="1" si="54"/>
        <v/>
      </c>
      <c r="AC253" s="427" t="str">
        <f t="shared" ca="1" si="55"/>
        <v/>
      </c>
      <c r="AD253" s="79"/>
      <c r="AN253" s="532" t="str">
        <f t="shared" ca="1" si="50"/>
        <v/>
      </c>
      <c r="AO253" s="526" t="str" cm="1">
        <f t="array" aca="1" ref="AO253" ca="1">IF(AN253&lt;&gt;"",TRANSPOSE(INDEX(GetCDS($C278,AO$13,$G278/10000,F278,D278,$C$13,$C$14,$C$15,$C$8,,,TRUE,TRUE,FALSE,$C$29:$C$31,$C$33),{5})),"")</f>
        <v/>
      </c>
      <c r="AP253" s="526" t="str" cm="1">
        <f t="array" aca="1" ref="AP253" ca="1">IF(AO253&lt;&gt;"",TRANSPOSE(INDEX(GetCDS($C278,AP$13,$G278/10000,G278,E278,$C$13,$C$14,$C$15,$C$8,,,TRUE,TRUE,FALSE,$C$29:$C$31,$C$33),{5})),"")</f>
        <v/>
      </c>
      <c r="AQ253" s="526" t="str" cm="1">
        <f t="array" aca="1" ref="AQ253" ca="1">IF(AP253&lt;&gt;"",TRANSPOSE(INDEX(GetCDS($C278,AQ$13,$G278/10000,H278,F278,$C$13,$C$14,$C$15,$C$8,,,TRUE,TRUE,FALSE,$C$29:$C$31,$C$33),{5})),"")</f>
        <v/>
      </c>
      <c r="AR253" s="526" t="str" cm="1">
        <f t="array" aca="1" ref="AR253" ca="1">IF(AQ253&lt;&gt;"",TRANSPOSE(INDEX(GetCDS($C278,AR$13,$G278/10000,I278,G278,$C$13,$C$14,$C$15,$C$8,,,TRUE,TRUE,FALSE,$C$29:$C$31,$C$33),{5})),"")</f>
        <v/>
      </c>
      <c r="AS253" s="527" t="str" cm="1">
        <f t="array" aca="1" ref="AS253" ca="1">IF(AR253&lt;&gt;"",TRANSPOSE(INDEX(GetCDS($C278,AS$13,$G278/10000,J278,H278,$C$13,$C$14,$C$15,$C$8,,,TRUE,TRUE,FALSE,$C$29:$C$31,$C$33),{5})),"")</f>
        <v/>
      </c>
    </row>
    <row r="254" spans="1:45" customFormat="1" ht="15">
      <c r="A254" s="227"/>
      <c r="B254" s="276">
        <v>216</v>
      </c>
      <c r="C254" s="254"/>
      <c r="D254" s="255"/>
      <c r="E254" s="247"/>
      <c r="F254" s="232"/>
      <c r="G254" s="239"/>
      <c r="H254" s="386">
        <v>240</v>
      </c>
      <c r="I254" s="404"/>
      <c r="J254" s="404"/>
      <c r="K254" s="413"/>
      <c r="L254" s="413"/>
      <c r="M254" s="413"/>
      <c r="N254" s="452"/>
      <c r="O254" s="413"/>
      <c r="P254" s="413"/>
      <c r="Q254" s="413"/>
      <c r="R254" s="452"/>
      <c r="S254" s="443"/>
      <c r="T254" s="42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3"/>
      <c r="V254" s="423"/>
      <c r="W254" s="424"/>
      <c r="X254" s="425"/>
      <c r="Y254" s="426" t="str">
        <f t="shared" ca="1" si="51"/>
        <v/>
      </c>
      <c r="Z254" s="427" t="str">
        <f t="shared" ca="1" si="52"/>
        <v/>
      </c>
      <c r="AA254" s="426" t="str">
        <f t="shared" ca="1" si="53"/>
        <v/>
      </c>
      <c r="AB254" s="428" t="str">
        <f t="shared" ca="1" si="54"/>
        <v/>
      </c>
      <c r="AC254" s="427" t="str">
        <f t="shared" ca="1" si="55"/>
        <v/>
      </c>
      <c r="AD254" s="79"/>
      <c r="AN254" s="532" t="str">
        <f t="shared" ca="1" si="50"/>
        <v/>
      </c>
      <c r="AO254" s="526" t="str" cm="1">
        <f t="array" aca="1" ref="AO254" ca="1">IF(AN254&lt;&gt;"",TRANSPOSE(INDEX(GetCDS($C279,AO$13,$G279/10000,F279,D279,$C$13,$C$14,$C$15,$C$8,,,TRUE,TRUE,FALSE,$C$29:$C$31,$C$33),{5})),"")</f>
        <v/>
      </c>
      <c r="AP254" s="526" t="str" cm="1">
        <f t="array" aca="1" ref="AP254" ca="1">IF(AO254&lt;&gt;"",TRANSPOSE(INDEX(GetCDS($C279,AP$13,$G279/10000,G279,E279,$C$13,$C$14,$C$15,$C$8,,,TRUE,TRUE,FALSE,$C$29:$C$31,$C$33),{5})),"")</f>
        <v/>
      </c>
      <c r="AQ254" s="526" t="str" cm="1">
        <f t="array" aca="1" ref="AQ254" ca="1">IF(AP254&lt;&gt;"",TRANSPOSE(INDEX(GetCDS($C279,AQ$13,$G279/10000,H279,F279,$C$13,$C$14,$C$15,$C$8,,,TRUE,TRUE,FALSE,$C$29:$C$31,$C$33),{5})),"")</f>
        <v/>
      </c>
      <c r="AR254" s="526" t="str" cm="1">
        <f t="array" aca="1" ref="AR254" ca="1">IF(AQ254&lt;&gt;"",TRANSPOSE(INDEX(GetCDS($C279,AR$13,$G279/10000,I279,G279,$C$13,$C$14,$C$15,$C$8,,,TRUE,TRUE,FALSE,$C$29:$C$31,$C$33),{5})),"")</f>
        <v/>
      </c>
      <c r="AS254" s="527" t="str" cm="1">
        <f t="array" aca="1" ref="AS254" ca="1">IF(AR254&lt;&gt;"",TRANSPOSE(INDEX(GetCDS($C279,AS$13,$G279/10000,J279,H279,$C$13,$C$14,$C$15,$C$8,,,TRUE,TRUE,FALSE,$C$29:$C$31,$C$33),{5})),"")</f>
        <v/>
      </c>
    </row>
    <row r="255" spans="1:45" customFormat="1" ht="15">
      <c r="A255" s="227"/>
      <c r="B255" s="276">
        <v>217</v>
      </c>
      <c r="C255" s="254"/>
      <c r="D255" s="255"/>
      <c r="E255" s="247"/>
      <c r="F255" s="232"/>
      <c r="G255" s="239"/>
      <c r="H255" s="386">
        <v>241</v>
      </c>
      <c r="I255" s="404"/>
      <c r="J255" s="404"/>
      <c r="K255" s="413"/>
      <c r="L255" s="413"/>
      <c r="M255" s="413"/>
      <c r="N255" s="452"/>
      <c r="O255" s="413"/>
      <c r="P255" s="413"/>
      <c r="Q255" s="413"/>
      <c r="R255" s="452"/>
      <c r="S255" s="443"/>
      <c r="T255" s="42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3"/>
      <c r="V255" s="423"/>
      <c r="W255" s="424"/>
      <c r="X255" s="425"/>
      <c r="Y255" s="426" t="str">
        <f t="shared" ca="1" si="51"/>
        <v/>
      </c>
      <c r="Z255" s="427" t="str">
        <f t="shared" ca="1" si="52"/>
        <v/>
      </c>
      <c r="AA255" s="426" t="str">
        <f t="shared" ca="1" si="53"/>
        <v/>
      </c>
      <c r="AB255" s="428" t="str">
        <f t="shared" ca="1" si="54"/>
        <v/>
      </c>
      <c r="AC255" s="427" t="str">
        <f t="shared" ca="1" si="55"/>
        <v/>
      </c>
      <c r="AD255" s="79"/>
      <c r="AN255" s="532" t="str">
        <f t="shared" ca="1" si="50"/>
        <v/>
      </c>
      <c r="AO255" s="526" t="str" cm="1">
        <f t="array" aca="1" ref="AO255" ca="1">IF(AN255&lt;&gt;"",TRANSPOSE(INDEX(GetCDS($C280,AO$13,$G280/10000,F280,D280,$C$13,$C$14,$C$15,$C$8,,,TRUE,TRUE,FALSE,$C$29:$C$31,$C$33),{5})),"")</f>
        <v/>
      </c>
      <c r="AP255" s="526" t="str" cm="1">
        <f t="array" aca="1" ref="AP255" ca="1">IF(AO255&lt;&gt;"",TRANSPOSE(INDEX(GetCDS($C280,AP$13,$G280/10000,G280,E280,$C$13,$C$14,$C$15,$C$8,,,TRUE,TRUE,FALSE,$C$29:$C$31,$C$33),{5})),"")</f>
        <v/>
      </c>
      <c r="AQ255" s="526" t="str" cm="1">
        <f t="array" aca="1" ref="AQ255" ca="1">IF(AP255&lt;&gt;"",TRANSPOSE(INDEX(GetCDS($C280,AQ$13,$G280/10000,H280,F280,$C$13,$C$14,$C$15,$C$8,,,TRUE,TRUE,FALSE,$C$29:$C$31,$C$33),{5})),"")</f>
        <v/>
      </c>
      <c r="AR255" s="526" t="str" cm="1">
        <f t="array" aca="1" ref="AR255" ca="1">IF(AQ255&lt;&gt;"",TRANSPOSE(INDEX(GetCDS($C280,AR$13,$G280/10000,I280,G280,$C$13,$C$14,$C$15,$C$8,,,TRUE,TRUE,FALSE,$C$29:$C$31,$C$33),{5})),"")</f>
        <v/>
      </c>
      <c r="AS255" s="527" t="str" cm="1">
        <f t="array" aca="1" ref="AS255" ca="1">IF(AR255&lt;&gt;"",TRANSPOSE(INDEX(GetCDS($C280,AS$13,$G280/10000,J280,H280,$C$13,$C$14,$C$15,$C$8,,,TRUE,TRUE,FALSE,$C$29:$C$31,$C$33),{5})),"")</f>
        <v/>
      </c>
    </row>
    <row r="256" spans="1:45" customFormat="1" ht="15">
      <c r="A256" s="227"/>
      <c r="B256" s="276">
        <v>218</v>
      </c>
      <c r="C256" s="254"/>
      <c r="D256" s="255"/>
      <c r="E256" s="247"/>
      <c r="F256" s="232"/>
      <c r="G256" s="239"/>
      <c r="H256" s="386">
        <v>242</v>
      </c>
      <c r="I256" s="404"/>
      <c r="J256" s="404"/>
      <c r="K256" s="413"/>
      <c r="L256" s="413"/>
      <c r="M256" s="413"/>
      <c r="N256" s="452"/>
      <c r="O256" s="413"/>
      <c r="P256" s="413"/>
      <c r="Q256" s="413"/>
      <c r="R256" s="452"/>
      <c r="S256" s="443"/>
      <c r="T256" s="42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3"/>
      <c r="V256" s="423"/>
      <c r="W256" s="424"/>
      <c r="X256" s="425"/>
      <c r="Y256" s="426" t="str">
        <f t="shared" ca="1" si="51"/>
        <v/>
      </c>
      <c r="Z256" s="427" t="str">
        <f t="shared" ca="1" si="52"/>
        <v/>
      </c>
      <c r="AA256" s="426" t="str">
        <f t="shared" ca="1" si="53"/>
        <v/>
      </c>
      <c r="AB256" s="428" t="str">
        <f t="shared" ca="1" si="54"/>
        <v/>
      </c>
      <c r="AC256" s="427" t="str">
        <f t="shared" ca="1" si="55"/>
        <v/>
      </c>
      <c r="AD256" s="79"/>
      <c r="AN256" s="532" t="str">
        <f t="shared" ca="1" si="50"/>
        <v/>
      </c>
      <c r="AO256" s="526" t="str" cm="1">
        <f t="array" aca="1" ref="AO256" ca="1">IF(AN256&lt;&gt;"",TRANSPOSE(INDEX(GetCDS($C281,AO$13,$G281/10000,F281,D281,$C$13,$C$14,$C$15,$C$8,,,TRUE,TRUE,FALSE,$C$29:$C$31,$C$33),{5})),"")</f>
        <v/>
      </c>
      <c r="AP256" s="526" t="str" cm="1">
        <f t="array" aca="1" ref="AP256" ca="1">IF(AO256&lt;&gt;"",TRANSPOSE(INDEX(GetCDS($C281,AP$13,$G281/10000,G281,E281,$C$13,$C$14,$C$15,$C$8,,,TRUE,TRUE,FALSE,$C$29:$C$31,$C$33),{5})),"")</f>
        <v/>
      </c>
      <c r="AQ256" s="526" t="str" cm="1">
        <f t="array" aca="1" ref="AQ256" ca="1">IF(AP256&lt;&gt;"",TRANSPOSE(INDEX(GetCDS($C281,AQ$13,$G281/10000,H281,F281,$C$13,$C$14,$C$15,$C$8,,,TRUE,TRUE,FALSE,$C$29:$C$31,$C$33),{5})),"")</f>
        <v/>
      </c>
      <c r="AR256" s="526" t="str" cm="1">
        <f t="array" aca="1" ref="AR256" ca="1">IF(AQ256&lt;&gt;"",TRANSPOSE(INDEX(GetCDS($C281,AR$13,$G281/10000,I281,G281,$C$13,$C$14,$C$15,$C$8,,,TRUE,TRUE,FALSE,$C$29:$C$31,$C$33),{5})),"")</f>
        <v/>
      </c>
      <c r="AS256" s="527" t="str" cm="1">
        <f t="array" aca="1" ref="AS256" ca="1">IF(AR256&lt;&gt;"",TRANSPOSE(INDEX(GetCDS($C281,AS$13,$G281/10000,J281,H281,$C$13,$C$14,$C$15,$C$8,,,TRUE,TRUE,FALSE,$C$29:$C$31,$C$33),{5})),"")</f>
        <v/>
      </c>
    </row>
    <row r="257" spans="1:45" customFormat="1" ht="15">
      <c r="A257" s="227"/>
      <c r="B257" s="276">
        <v>219</v>
      </c>
      <c r="C257" s="254"/>
      <c r="D257" s="255"/>
      <c r="E257" s="247"/>
      <c r="F257" s="232"/>
      <c r="G257" s="239"/>
      <c r="H257" s="386">
        <v>243</v>
      </c>
      <c r="I257" s="404"/>
      <c r="J257" s="404"/>
      <c r="K257" s="413"/>
      <c r="L257" s="413"/>
      <c r="M257" s="413"/>
      <c r="N257" s="452"/>
      <c r="O257" s="413"/>
      <c r="P257" s="413"/>
      <c r="Q257" s="413"/>
      <c r="R257" s="452"/>
      <c r="S257" s="443"/>
      <c r="T257" s="42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3"/>
      <c r="V257" s="423"/>
      <c r="W257" s="424"/>
      <c r="X257" s="425"/>
      <c r="Y257" s="426" t="str">
        <f t="shared" ca="1" si="51"/>
        <v/>
      </c>
      <c r="Z257" s="427" t="str">
        <f t="shared" ca="1" si="52"/>
        <v/>
      </c>
      <c r="AA257" s="426" t="str">
        <f t="shared" ca="1" si="53"/>
        <v/>
      </c>
      <c r="AB257" s="428" t="str">
        <f t="shared" ca="1" si="54"/>
        <v/>
      </c>
      <c r="AC257" s="427" t="str">
        <f t="shared" ca="1" si="55"/>
        <v/>
      </c>
      <c r="AD257" s="79"/>
      <c r="AN257" s="532" t="str">
        <f t="shared" ca="1" si="50"/>
        <v/>
      </c>
      <c r="AO257" s="526" t="str" cm="1">
        <f t="array" aca="1" ref="AO257" ca="1">IF(AN257&lt;&gt;"",TRANSPOSE(INDEX(GetCDS($C282,AO$13,$G282/10000,F282,D282,$C$13,$C$14,$C$15,$C$8,,,TRUE,TRUE,FALSE,$C$29:$C$31,$C$33),{5})),"")</f>
        <v/>
      </c>
      <c r="AP257" s="526" t="str" cm="1">
        <f t="array" aca="1" ref="AP257" ca="1">IF(AO257&lt;&gt;"",TRANSPOSE(INDEX(GetCDS($C282,AP$13,$G282/10000,G282,E282,$C$13,$C$14,$C$15,$C$8,,,TRUE,TRUE,FALSE,$C$29:$C$31,$C$33),{5})),"")</f>
        <v/>
      </c>
      <c r="AQ257" s="526" t="str" cm="1">
        <f t="array" aca="1" ref="AQ257" ca="1">IF(AP257&lt;&gt;"",TRANSPOSE(INDEX(GetCDS($C282,AQ$13,$G282/10000,H282,F282,$C$13,$C$14,$C$15,$C$8,,,TRUE,TRUE,FALSE,$C$29:$C$31,$C$33),{5})),"")</f>
        <v/>
      </c>
      <c r="AR257" s="526" t="str" cm="1">
        <f t="array" aca="1" ref="AR257" ca="1">IF(AQ257&lt;&gt;"",TRANSPOSE(INDEX(GetCDS($C282,AR$13,$G282/10000,I282,G282,$C$13,$C$14,$C$15,$C$8,,,TRUE,TRUE,FALSE,$C$29:$C$31,$C$33),{5})),"")</f>
        <v/>
      </c>
      <c r="AS257" s="527" t="str" cm="1">
        <f t="array" aca="1" ref="AS257" ca="1">IF(AR257&lt;&gt;"",TRANSPOSE(INDEX(GetCDS($C282,AS$13,$G282/10000,J282,H282,$C$13,$C$14,$C$15,$C$8,,,TRUE,TRUE,FALSE,$C$29:$C$31,$C$33),{5})),"")</f>
        <v/>
      </c>
    </row>
    <row r="258" spans="1:45" customFormat="1" ht="15">
      <c r="A258" s="227"/>
      <c r="B258" s="276">
        <v>220</v>
      </c>
      <c r="C258" s="254"/>
      <c r="D258" s="255"/>
      <c r="E258" s="247"/>
      <c r="F258" s="232"/>
      <c r="G258" s="239"/>
      <c r="H258" s="386">
        <v>244</v>
      </c>
      <c r="I258" s="404"/>
      <c r="J258" s="404"/>
      <c r="K258" s="413"/>
      <c r="L258" s="413"/>
      <c r="M258" s="413"/>
      <c r="N258" s="452"/>
      <c r="O258" s="413"/>
      <c r="P258" s="413"/>
      <c r="Q258" s="413"/>
      <c r="R258" s="452"/>
      <c r="S258" s="443"/>
      <c r="T258" s="42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3"/>
      <c r="V258" s="423"/>
      <c r="W258" s="424"/>
      <c r="X258" s="425"/>
      <c r="Y258" s="426" t="str">
        <f t="shared" ca="1" si="51"/>
        <v/>
      </c>
      <c r="Z258" s="427" t="str">
        <f t="shared" ca="1" si="52"/>
        <v/>
      </c>
      <c r="AA258" s="426" t="str">
        <f t="shared" ca="1" si="53"/>
        <v/>
      </c>
      <c r="AB258" s="428" t="str">
        <f t="shared" ca="1" si="54"/>
        <v/>
      </c>
      <c r="AC258" s="427" t="str">
        <f t="shared" ca="1" si="55"/>
        <v/>
      </c>
      <c r="AD258" s="79"/>
      <c r="AN258" s="532" t="str">
        <f t="shared" ca="1" si="50"/>
        <v/>
      </c>
      <c r="AO258" s="526" t="str" cm="1">
        <f t="array" aca="1" ref="AO258" ca="1">IF(AN258&lt;&gt;"",TRANSPOSE(INDEX(GetCDS($C283,AO$13,$G283/10000,F283,D283,$C$13,$C$14,$C$15,$C$8,,,TRUE,TRUE,FALSE,$C$29:$C$31,$C$33),{5})),"")</f>
        <v/>
      </c>
      <c r="AP258" s="526" t="str" cm="1">
        <f t="array" aca="1" ref="AP258" ca="1">IF(AO258&lt;&gt;"",TRANSPOSE(INDEX(GetCDS($C283,AP$13,$G283/10000,G283,E283,$C$13,$C$14,$C$15,$C$8,,,TRUE,TRUE,FALSE,$C$29:$C$31,$C$33),{5})),"")</f>
        <v/>
      </c>
      <c r="AQ258" s="526" t="str" cm="1">
        <f t="array" aca="1" ref="AQ258" ca="1">IF(AP258&lt;&gt;"",TRANSPOSE(INDEX(GetCDS($C283,AQ$13,$G283/10000,H283,F283,$C$13,$C$14,$C$15,$C$8,,,TRUE,TRUE,FALSE,$C$29:$C$31,$C$33),{5})),"")</f>
        <v/>
      </c>
      <c r="AR258" s="526" t="str" cm="1">
        <f t="array" aca="1" ref="AR258" ca="1">IF(AQ258&lt;&gt;"",TRANSPOSE(INDEX(GetCDS($C283,AR$13,$G283/10000,I283,G283,$C$13,$C$14,$C$15,$C$8,,,TRUE,TRUE,FALSE,$C$29:$C$31,$C$33),{5})),"")</f>
        <v/>
      </c>
      <c r="AS258" s="527" t="str" cm="1">
        <f t="array" aca="1" ref="AS258" ca="1">IF(AR258&lt;&gt;"",TRANSPOSE(INDEX(GetCDS($C283,AS$13,$G283/10000,J283,H283,$C$13,$C$14,$C$15,$C$8,,,TRUE,TRUE,FALSE,$C$29:$C$31,$C$33),{5})),"")</f>
        <v/>
      </c>
    </row>
    <row r="259" spans="1:45" customFormat="1" ht="15">
      <c r="A259" s="227"/>
      <c r="B259" s="276">
        <v>221</v>
      </c>
      <c r="C259" s="254"/>
      <c r="D259" s="255"/>
      <c r="E259" s="247"/>
      <c r="F259" s="232"/>
      <c r="G259" s="239"/>
      <c r="H259" s="386">
        <v>245</v>
      </c>
      <c r="I259" s="404"/>
      <c r="J259" s="404"/>
      <c r="K259" s="413"/>
      <c r="L259" s="413"/>
      <c r="M259" s="413"/>
      <c r="N259" s="452"/>
      <c r="O259" s="413"/>
      <c r="P259" s="413"/>
      <c r="Q259" s="413"/>
      <c r="R259" s="452"/>
      <c r="S259" s="443"/>
      <c r="T259" s="42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3"/>
      <c r="V259" s="423"/>
      <c r="W259" s="424"/>
      <c r="X259" s="425"/>
      <c r="Y259" s="426" t="str">
        <f t="shared" ca="1" si="51"/>
        <v/>
      </c>
      <c r="Z259" s="427" t="str">
        <f t="shared" ca="1" si="52"/>
        <v/>
      </c>
      <c r="AA259" s="426" t="str">
        <f t="shared" ca="1" si="53"/>
        <v/>
      </c>
      <c r="AB259" s="428" t="str">
        <f t="shared" ca="1" si="54"/>
        <v/>
      </c>
      <c r="AC259" s="427" t="str">
        <f t="shared" ca="1" si="55"/>
        <v/>
      </c>
      <c r="AD259" s="79"/>
      <c r="AN259" s="532" t="str">
        <f t="shared" ca="1" si="50"/>
        <v/>
      </c>
      <c r="AO259" s="526" t="str" cm="1">
        <f t="array" aca="1" ref="AO259" ca="1">IF(AN259&lt;&gt;"",TRANSPOSE(INDEX(GetCDS($C284,AO$13,$G284/10000,F284,D284,$C$13,$C$14,$C$15,$C$8,,,TRUE,TRUE,FALSE,$C$29:$C$31,$C$33),{5})),"")</f>
        <v/>
      </c>
      <c r="AP259" s="526" t="str" cm="1">
        <f t="array" aca="1" ref="AP259" ca="1">IF(AO259&lt;&gt;"",TRANSPOSE(INDEX(GetCDS($C284,AP$13,$G284/10000,G284,E284,$C$13,$C$14,$C$15,$C$8,,,TRUE,TRUE,FALSE,$C$29:$C$31,$C$33),{5})),"")</f>
        <v/>
      </c>
      <c r="AQ259" s="526" t="str" cm="1">
        <f t="array" aca="1" ref="AQ259" ca="1">IF(AP259&lt;&gt;"",TRANSPOSE(INDEX(GetCDS($C284,AQ$13,$G284/10000,H284,F284,$C$13,$C$14,$C$15,$C$8,,,TRUE,TRUE,FALSE,$C$29:$C$31,$C$33),{5})),"")</f>
        <v/>
      </c>
      <c r="AR259" s="526" t="str" cm="1">
        <f t="array" aca="1" ref="AR259" ca="1">IF(AQ259&lt;&gt;"",TRANSPOSE(INDEX(GetCDS($C284,AR$13,$G284/10000,I284,G284,$C$13,$C$14,$C$15,$C$8,,,TRUE,TRUE,FALSE,$C$29:$C$31,$C$33),{5})),"")</f>
        <v/>
      </c>
      <c r="AS259" s="527" t="str" cm="1">
        <f t="array" aca="1" ref="AS259" ca="1">IF(AR259&lt;&gt;"",TRANSPOSE(INDEX(GetCDS($C284,AS$13,$G284/10000,J284,H284,$C$13,$C$14,$C$15,$C$8,,,TRUE,TRUE,FALSE,$C$29:$C$31,$C$33),{5})),"")</f>
        <v/>
      </c>
    </row>
    <row r="260" spans="1:45" customFormat="1" ht="15">
      <c r="A260" s="227"/>
      <c r="B260" s="276">
        <v>222</v>
      </c>
      <c r="C260" s="254"/>
      <c r="D260" s="255"/>
      <c r="E260" s="247"/>
      <c r="F260" s="232"/>
      <c r="G260" s="239"/>
      <c r="H260" s="386">
        <v>246</v>
      </c>
      <c r="I260" s="404"/>
      <c r="J260" s="404"/>
      <c r="K260" s="413"/>
      <c r="L260" s="413"/>
      <c r="M260" s="413"/>
      <c r="N260" s="452"/>
      <c r="O260" s="413"/>
      <c r="P260" s="413"/>
      <c r="Q260" s="413"/>
      <c r="R260" s="452"/>
      <c r="S260" s="443"/>
      <c r="T260" s="42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3"/>
      <c r="V260" s="423"/>
      <c r="W260" s="424"/>
      <c r="X260" s="425"/>
      <c r="Y260" s="426" t="str">
        <f t="shared" ca="1" si="51"/>
        <v/>
      </c>
      <c r="Z260" s="427" t="str">
        <f t="shared" ca="1" si="52"/>
        <v/>
      </c>
      <c r="AA260" s="426" t="str">
        <f t="shared" ca="1" si="53"/>
        <v/>
      </c>
      <c r="AB260" s="428" t="str">
        <f t="shared" ca="1" si="54"/>
        <v/>
      </c>
      <c r="AC260" s="427" t="str">
        <f t="shared" ca="1" si="55"/>
        <v/>
      </c>
      <c r="AD260" s="79"/>
      <c r="AN260" s="532" t="str">
        <f t="shared" ca="1" si="50"/>
        <v/>
      </c>
      <c r="AO260" s="526" t="str" cm="1">
        <f t="array" aca="1" ref="AO260" ca="1">IF(AN260&lt;&gt;"",TRANSPOSE(INDEX(GetCDS($C285,AO$13,$G285/10000,F285,D285,$C$13,$C$14,$C$15,$C$8,,,TRUE,TRUE,FALSE,$C$29:$C$31,$C$33),{5})),"")</f>
        <v/>
      </c>
      <c r="AP260" s="526" t="str" cm="1">
        <f t="array" aca="1" ref="AP260" ca="1">IF(AO260&lt;&gt;"",TRANSPOSE(INDEX(GetCDS($C285,AP$13,$G285/10000,G285,E285,$C$13,$C$14,$C$15,$C$8,,,TRUE,TRUE,FALSE,$C$29:$C$31,$C$33),{5})),"")</f>
        <v/>
      </c>
      <c r="AQ260" s="526" t="str" cm="1">
        <f t="array" aca="1" ref="AQ260" ca="1">IF(AP260&lt;&gt;"",TRANSPOSE(INDEX(GetCDS($C285,AQ$13,$G285/10000,H285,F285,$C$13,$C$14,$C$15,$C$8,,,TRUE,TRUE,FALSE,$C$29:$C$31,$C$33),{5})),"")</f>
        <v/>
      </c>
      <c r="AR260" s="526" t="str" cm="1">
        <f t="array" aca="1" ref="AR260" ca="1">IF(AQ260&lt;&gt;"",TRANSPOSE(INDEX(GetCDS($C285,AR$13,$G285/10000,I285,G285,$C$13,$C$14,$C$15,$C$8,,,TRUE,TRUE,FALSE,$C$29:$C$31,$C$33),{5})),"")</f>
        <v/>
      </c>
      <c r="AS260" s="527" t="str" cm="1">
        <f t="array" aca="1" ref="AS260" ca="1">IF(AR260&lt;&gt;"",TRANSPOSE(INDEX(GetCDS($C285,AS$13,$G285/10000,J285,H285,$C$13,$C$14,$C$15,$C$8,,,TRUE,TRUE,FALSE,$C$29:$C$31,$C$33),{5})),"")</f>
        <v/>
      </c>
    </row>
    <row r="261" spans="1:45" customFormat="1" ht="15">
      <c r="A261" s="227"/>
      <c r="B261" s="276">
        <v>223</v>
      </c>
      <c r="C261" s="254"/>
      <c r="D261" s="255"/>
      <c r="E261" s="247"/>
      <c r="F261" s="232"/>
      <c r="G261" s="239"/>
      <c r="H261" s="386">
        <v>247</v>
      </c>
      <c r="I261" s="404"/>
      <c r="J261" s="404"/>
      <c r="K261" s="413"/>
      <c r="L261" s="413"/>
      <c r="M261" s="413"/>
      <c r="N261" s="452"/>
      <c r="O261" s="413"/>
      <c r="P261" s="413"/>
      <c r="Q261" s="413"/>
      <c r="R261" s="452"/>
      <c r="S261" s="443"/>
      <c r="T261" s="42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3"/>
      <c r="V261" s="423"/>
      <c r="W261" s="424"/>
      <c r="X261" s="425"/>
      <c r="Y261" s="426" t="str">
        <f t="shared" ca="1" si="51"/>
        <v/>
      </c>
      <c r="Z261" s="427" t="str">
        <f t="shared" ca="1" si="52"/>
        <v/>
      </c>
      <c r="AA261" s="426" t="str">
        <f t="shared" ca="1" si="53"/>
        <v/>
      </c>
      <c r="AB261" s="428" t="str">
        <f t="shared" ca="1" si="54"/>
        <v/>
      </c>
      <c r="AC261" s="427" t="str">
        <f t="shared" ca="1" si="55"/>
        <v/>
      </c>
      <c r="AD261" s="79"/>
      <c r="AN261" s="532" t="str">
        <f t="shared" ca="1" si="50"/>
        <v/>
      </c>
      <c r="AO261" s="526" t="str" cm="1">
        <f t="array" aca="1" ref="AO261" ca="1">IF(AN261&lt;&gt;"",TRANSPOSE(INDEX(GetCDS($C286,AO$13,$G286/10000,F286,D286,$C$13,$C$14,$C$15,$C$8,,,TRUE,TRUE,FALSE,$C$29:$C$31,$C$33),{5})),"")</f>
        <v/>
      </c>
      <c r="AP261" s="526" t="str" cm="1">
        <f t="array" aca="1" ref="AP261" ca="1">IF(AO261&lt;&gt;"",TRANSPOSE(INDEX(GetCDS($C286,AP$13,$G286/10000,G286,E286,$C$13,$C$14,$C$15,$C$8,,,TRUE,TRUE,FALSE,$C$29:$C$31,$C$33),{5})),"")</f>
        <v/>
      </c>
      <c r="AQ261" s="526" t="str" cm="1">
        <f t="array" aca="1" ref="AQ261" ca="1">IF(AP261&lt;&gt;"",TRANSPOSE(INDEX(GetCDS($C286,AQ$13,$G286/10000,H286,F286,$C$13,$C$14,$C$15,$C$8,,,TRUE,TRUE,FALSE,$C$29:$C$31,$C$33),{5})),"")</f>
        <v/>
      </c>
      <c r="AR261" s="526" t="str" cm="1">
        <f t="array" aca="1" ref="AR261" ca="1">IF(AQ261&lt;&gt;"",TRANSPOSE(INDEX(GetCDS($C286,AR$13,$G286/10000,I286,G286,$C$13,$C$14,$C$15,$C$8,,,TRUE,TRUE,FALSE,$C$29:$C$31,$C$33),{5})),"")</f>
        <v/>
      </c>
      <c r="AS261" s="527" t="str" cm="1">
        <f t="array" aca="1" ref="AS261" ca="1">IF(AR261&lt;&gt;"",TRANSPOSE(INDEX(GetCDS($C286,AS$13,$G286/10000,J286,H286,$C$13,$C$14,$C$15,$C$8,,,TRUE,TRUE,FALSE,$C$29:$C$31,$C$33),{5})),"")</f>
        <v/>
      </c>
    </row>
    <row r="262" spans="1:45" customFormat="1" ht="15">
      <c r="A262" s="227"/>
      <c r="B262" s="276">
        <v>224</v>
      </c>
      <c r="C262" s="254"/>
      <c r="D262" s="255"/>
      <c r="E262" s="247"/>
      <c r="F262" s="232"/>
      <c r="G262" s="239"/>
      <c r="H262" s="386">
        <v>248</v>
      </c>
      <c r="I262" s="404"/>
      <c r="J262" s="404"/>
      <c r="K262" s="413"/>
      <c r="L262" s="413"/>
      <c r="M262" s="413"/>
      <c r="N262" s="452"/>
      <c r="O262" s="413"/>
      <c r="P262" s="413"/>
      <c r="Q262" s="413"/>
      <c r="R262" s="452"/>
      <c r="S262" s="443"/>
      <c r="T262" s="42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3"/>
      <c r="V262" s="423"/>
      <c r="W262" s="424"/>
      <c r="X262" s="425"/>
      <c r="Y262" s="426" t="str">
        <f t="shared" ca="1" si="51"/>
        <v/>
      </c>
      <c r="Z262" s="427" t="str">
        <f t="shared" ca="1" si="52"/>
        <v/>
      </c>
      <c r="AA262" s="426" t="str">
        <f t="shared" ca="1" si="53"/>
        <v/>
      </c>
      <c r="AB262" s="428" t="str">
        <f t="shared" ca="1" si="54"/>
        <v/>
      </c>
      <c r="AC262" s="427" t="str">
        <f t="shared" ca="1" si="55"/>
        <v/>
      </c>
      <c r="AD262" s="79"/>
      <c r="AN262" s="532" t="str">
        <f t="shared" ca="1" si="50"/>
        <v/>
      </c>
      <c r="AO262" s="526" t="str" cm="1">
        <f t="array" aca="1" ref="AO262" ca="1">IF(AN262&lt;&gt;"",TRANSPOSE(INDEX(GetCDS($C287,AO$13,$G287/10000,F287,D287,$C$13,$C$14,$C$15,$C$8,,,TRUE,TRUE,FALSE,$C$29:$C$31,$C$33),{5})),"")</f>
        <v/>
      </c>
      <c r="AP262" s="526" t="str" cm="1">
        <f t="array" aca="1" ref="AP262" ca="1">IF(AO262&lt;&gt;"",TRANSPOSE(INDEX(GetCDS($C287,AP$13,$G287/10000,G287,E287,$C$13,$C$14,$C$15,$C$8,,,TRUE,TRUE,FALSE,$C$29:$C$31,$C$33),{5})),"")</f>
        <v/>
      </c>
      <c r="AQ262" s="526" t="str" cm="1">
        <f t="array" aca="1" ref="AQ262" ca="1">IF(AP262&lt;&gt;"",TRANSPOSE(INDEX(GetCDS($C287,AQ$13,$G287/10000,H287,F287,$C$13,$C$14,$C$15,$C$8,,,TRUE,TRUE,FALSE,$C$29:$C$31,$C$33),{5})),"")</f>
        <v/>
      </c>
      <c r="AR262" s="526" t="str" cm="1">
        <f t="array" aca="1" ref="AR262" ca="1">IF(AQ262&lt;&gt;"",TRANSPOSE(INDEX(GetCDS($C287,AR$13,$G287/10000,I287,G287,$C$13,$C$14,$C$15,$C$8,,,TRUE,TRUE,FALSE,$C$29:$C$31,$C$33),{5})),"")</f>
        <v/>
      </c>
      <c r="AS262" s="527" t="str" cm="1">
        <f t="array" aca="1" ref="AS262" ca="1">IF(AR262&lt;&gt;"",TRANSPOSE(INDEX(GetCDS($C287,AS$13,$G287/10000,J287,H287,$C$13,$C$14,$C$15,$C$8,,,TRUE,TRUE,FALSE,$C$29:$C$31,$C$33),{5})),"")</f>
        <v/>
      </c>
    </row>
    <row r="263" spans="1:45" customFormat="1" ht="15">
      <c r="A263" s="227"/>
      <c r="B263" s="276">
        <v>225</v>
      </c>
      <c r="C263" s="254"/>
      <c r="D263" s="255"/>
      <c r="E263" s="247"/>
      <c r="F263" s="232"/>
      <c r="G263" s="239"/>
      <c r="H263" s="386">
        <v>249</v>
      </c>
      <c r="I263" s="404"/>
      <c r="J263" s="404"/>
      <c r="K263" s="413"/>
      <c r="L263" s="413"/>
      <c r="M263" s="413"/>
      <c r="N263" s="452"/>
      <c r="O263" s="413"/>
      <c r="P263" s="413"/>
      <c r="Q263" s="413"/>
      <c r="R263" s="452"/>
      <c r="S263" s="443"/>
      <c r="T263" s="42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3"/>
      <c r="V263" s="423"/>
      <c r="W263" s="424"/>
      <c r="X263" s="425"/>
      <c r="Y263" s="426" t="str">
        <f t="shared" ca="1" si="51"/>
        <v/>
      </c>
      <c r="Z263" s="427" t="str">
        <f t="shared" ca="1" si="52"/>
        <v/>
      </c>
      <c r="AA263" s="426" t="str">
        <f t="shared" ca="1" si="53"/>
        <v/>
      </c>
      <c r="AB263" s="428" t="str">
        <f t="shared" ca="1" si="54"/>
        <v/>
      </c>
      <c r="AC263" s="427" t="str">
        <f t="shared" ca="1" si="55"/>
        <v/>
      </c>
      <c r="AD263" s="79"/>
      <c r="AN263" s="532" t="str">
        <f t="shared" ca="1" si="50"/>
        <v/>
      </c>
      <c r="AO263" s="526" t="str" cm="1">
        <f t="array" aca="1" ref="AO263" ca="1">IF(AN263&lt;&gt;"",TRANSPOSE(INDEX(GetCDS($C288,AO$13,$G288/10000,F288,D288,$C$13,$C$14,$C$15,$C$8,,,TRUE,TRUE,FALSE,$C$29:$C$31,$C$33),{5})),"")</f>
        <v/>
      </c>
      <c r="AP263" s="526" t="str" cm="1">
        <f t="array" aca="1" ref="AP263" ca="1">IF(AO263&lt;&gt;"",TRANSPOSE(INDEX(GetCDS($C288,AP$13,$G288/10000,G288,E288,$C$13,$C$14,$C$15,$C$8,,,TRUE,TRUE,FALSE,$C$29:$C$31,$C$33),{5})),"")</f>
        <v/>
      </c>
      <c r="AQ263" s="526" t="str" cm="1">
        <f t="array" aca="1" ref="AQ263" ca="1">IF(AP263&lt;&gt;"",TRANSPOSE(INDEX(GetCDS($C288,AQ$13,$G288/10000,H288,F288,$C$13,$C$14,$C$15,$C$8,,,TRUE,TRUE,FALSE,$C$29:$C$31,$C$33),{5})),"")</f>
        <v/>
      </c>
      <c r="AR263" s="526" t="str" cm="1">
        <f t="array" aca="1" ref="AR263" ca="1">IF(AQ263&lt;&gt;"",TRANSPOSE(INDEX(GetCDS($C288,AR$13,$G288/10000,I288,G288,$C$13,$C$14,$C$15,$C$8,,,TRUE,TRUE,FALSE,$C$29:$C$31,$C$33),{5})),"")</f>
        <v/>
      </c>
      <c r="AS263" s="527" t="str" cm="1">
        <f t="array" aca="1" ref="AS263" ca="1">IF(AR263&lt;&gt;"",TRANSPOSE(INDEX(GetCDS($C288,AS$13,$G288/10000,J288,H288,$C$13,$C$14,$C$15,$C$8,,,TRUE,TRUE,FALSE,$C$29:$C$31,$C$33),{5})),"")</f>
        <v/>
      </c>
    </row>
    <row r="264" spans="1:45" customFormat="1" ht="15">
      <c r="A264" s="227"/>
      <c r="B264" s="276">
        <v>226</v>
      </c>
      <c r="C264" s="254"/>
      <c r="D264" s="255"/>
      <c r="E264" s="247"/>
      <c r="F264" s="232"/>
      <c r="G264" s="239"/>
      <c r="H264" s="386">
        <v>250</v>
      </c>
      <c r="I264" s="404"/>
      <c r="J264" s="404"/>
      <c r="K264" s="413"/>
      <c r="L264" s="413"/>
      <c r="M264" s="413"/>
      <c r="N264" s="452"/>
      <c r="O264" s="413"/>
      <c r="P264" s="413"/>
      <c r="Q264" s="413"/>
      <c r="R264" s="452"/>
      <c r="S264" s="443"/>
      <c r="T264" s="42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3"/>
      <c r="V264" s="423"/>
      <c r="W264" s="424"/>
      <c r="X264" s="425"/>
      <c r="Y264" s="426" t="str">
        <f t="shared" ca="1" si="51"/>
        <v/>
      </c>
      <c r="Z264" s="427" t="str">
        <f t="shared" ca="1" si="52"/>
        <v/>
      </c>
      <c r="AA264" s="426" t="str">
        <f t="shared" ca="1" si="53"/>
        <v/>
      </c>
      <c r="AB264" s="428" t="str">
        <f t="shared" ca="1" si="54"/>
        <v/>
      </c>
      <c r="AC264" s="427" t="str">
        <f t="shared" ca="1" si="55"/>
        <v/>
      </c>
      <c r="AD264" s="79"/>
      <c r="AN264" s="532" t="str">
        <f t="shared" ca="1" si="50"/>
        <v/>
      </c>
      <c r="AO264" s="526" t="str" cm="1">
        <f t="array" aca="1" ref="AO264" ca="1">IF(AN264&lt;&gt;"",TRANSPOSE(INDEX(GetCDS($C289,AO$13,$G289/10000,F289,D289,$C$13,$C$14,$C$15,$C$8,,,TRUE,TRUE,FALSE,$C$29:$C$31,$C$33),{5})),"")</f>
        <v/>
      </c>
      <c r="AP264" s="526" t="str" cm="1">
        <f t="array" aca="1" ref="AP264" ca="1">IF(AO264&lt;&gt;"",TRANSPOSE(INDEX(GetCDS($C289,AP$13,$G289/10000,G289,E289,$C$13,$C$14,$C$15,$C$8,,,TRUE,TRUE,FALSE,$C$29:$C$31,$C$33),{5})),"")</f>
        <v/>
      </c>
      <c r="AQ264" s="526" t="str" cm="1">
        <f t="array" aca="1" ref="AQ264" ca="1">IF(AP264&lt;&gt;"",TRANSPOSE(INDEX(GetCDS($C289,AQ$13,$G289/10000,H289,F289,$C$13,$C$14,$C$15,$C$8,,,TRUE,TRUE,FALSE,$C$29:$C$31,$C$33),{5})),"")</f>
        <v/>
      </c>
      <c r="AR264" s="526" t="str" cm="1">
        <f t="array" aca="1" ref="AR264" ca="1">IF(AQ264&lt;&gt;"",TRANSPOSE(INDEX(GetCDS($C289,AR$13,$G289/10000,I289,G289,$C$13,$C$14,$C$15,$C$8,,,TRUE,TRUE,FALSE,$C$29:$C$31,$C$33),{5})),"")</f>
        <v/>
      </c>
      <c r="AS264" s="527" t="str" cm="1">
        <f t="array" aca="1" ref="AS264" ca="1">IF(AR264&lt;&gt;"",TRANSPOSE(INDEX(GetCDS($C289,AS$13,$G289/10000,J289,H289,$C$13,$C$14,$C$15,$C$8,,,TRUE,TRUE,FALSE,$C$29:$C$31,$C$33),{5})),"")</f>
        <v/>
      </c>
    </row>
    <row r="265" spans="1:45" customFormat="1" ht="15">
      <c r="A265" s="227"/>
      <c r="B265" s="276">
        <v>227</v>
      </c>
      <c r="C265" s="254"/>
      <c r="D265" s="255"/>
      <c r="E265" s="247"/>
      <c r="F265" s="232"/>
      <c r="G265" s="239"/>
      <c r="H265" s="386">
        <v>251</v>
      </c>
      <c r="I265" s="404"/>
      <c r="J265" s="404"/>
      <c r="K265" s="413"/>
      <c r="L265" s="413"/>
      <c r="M265" s="413"/>
      <c r="N265" s="452"/>
      <c r="O265" s="413"/>
      <c r="P265" s="413"/>
      <c r="Q265" s="413"/>
      <c r="R265" s="452"/>
      <c r="S265" s="443"/>
      <c r="T265" s="42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3"/>
      <c r="V265" s="423"/>
      <c r="W265" s="424"/>
      <c r="X265" s="425"/>
      <c r="Y265" s="426" t="str">
        <f t="shared" ca="1" si="51"/>
        <v/>
      </c>
      <c r="Z265" s="427" t="str">
        <f t="shared" ca="1" si="52"/>
        <v/>
      </c>
      <c r="AA265" s="426" t="str">
        <f t="shared" ca="1" si="53"/>
        <v/>
      </c>
      <c r="AB265" s="428" t="str">
        <f t="shared" ca="1" si="54"/>
        <v/>
      </c>
      <c r="AC265" s="427" t="str">
        <f t="shared" ca="1" si="55"/>
        <v/>
      </c>
      <c r="AD265" s="79"/>
      <c r="AN265" s="532" t="str">
        <f t="shared" ca="1" si="50"/>
        <v/>
      </c>
      <c r="AO265" s="526" t="str" cm="1">
        <f t="array" aca="1" ref="AO265" ca="1">IF(AN265&lt;&gt;"",TRANSPOSE(INDEX(GetCDS($C290,AO$13,$G290/10000,F290,D290,$C$13,$C$14,$C$15,$C$8,,,TRUE,TRUE,FALSE,$C$29:$C$31,$C$33),{5})),"")</f>
        <v/>
      </c>
      <c r="AP265" s="526" t="str" cm="1">
        <f t="array" aca="1" ref="AP265" ca="1">IF(AO265&lt;&gt;"",TRANSPOSE(INDEX(GetCDS($C290,AP$13,$G290/10000,G290,E290,$C$13,$C$14,$C$15,$C$8,,,TRUE,TRUE,FALSE,$C$29:$C$31,$C$33),{5})),"")</f>
        <v/>
      </c>
      <c r="AQ265" s="526" t="str" cm="1">
        <f t="array" aca="1" ref="AQ265" ca="1">IF(AP265&lt;&gt;"",TRANSPOSE(INDEX(GetCDS($C290,AQ$13,$G290/10000,H290,F290,$C$13,$C$14,$C$15,$C$8,,,TRUE,TRUE,FALSE,$C$29:$C$31,$C$33),{5})),"")</f>
        <v/>
      </c>
      <c r="AR265" s="526" t="str" cm="1">
        <f t="array" aca="1" ref="AR265" ca="1">IF(AQ265&lt;&gt;"",TRANSPOSE(INDEX(GetCDS($C290,AR$13,$G290/10000,I290,G290,$C$13,$C$14,$C$15,$C$8,,,TRUE,TRUE,FALSE,$C$29:$C$31,$C$33),{5})),"")</f>
        <v/>
      </c>
      <c r="AS265" s="527" t="str" cm="1">
        <f t="array" aca="1" ref="AS265" ca="1">IF(AR265&lt;&gt;"",TRANSPOSE(INDEX(GetCDS($C290,AS$13,$G290/10000,J290,H290,$C$13,$C$14,$C$15,$C$8,,,TRUE,TRUE,FALSE,$C$29:$C$31,$C$33),{5})),"")</f>
        <v/>
      </c>
    </row>
    <row r="266" spans="1:45" customFormat="1" ht="15">
      <c r="A266" s="227"/>
      <c r="B266" s="276">
        <v>228</v>
      </c>
      <c r="C266" s="254"/>
      <c r="D266" s="255"/>
      <c r="E266" s="247"/>
      <c r="F266" s="232"/>
      <c r="G266" s="239"/>
      <c r="H266" s="386">
        <v>252</v>
      </c>
      <c r="I266" s="404"/>
      <c r="J266" s="404"/>
      <c r="K266" s="413"/>
      <c r="L266" s="413"/>
      <c r="M266" s="413"/>
      <c r="N266" s="452"/>
      <c r="O266" s="413"/>
      <c r="P266" s="413"/>
      <c r="Q266" s="413"/>
      <c r="R266" s="452"/>
      <c r="S266" s="443"/>
      <c r="T266" s="42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3"/>
      <c r="V266" s="423"/>
      <c r="W266" s="424"/>
      <c r="X266" s="425"/>
      <c r="Y266" s="426" t="str">
        <f t="shared" ca="1" si="51"/>
        <v/>
      </c>
      <c r="Z266" s="427" t="str">
        <f t="shared" ca="1" si="52"/>
        <v/>
      </c>
      <c r="AA266" s="426" t="str">
        <f t="shared" ca="1" si="53"/>
        <v/>
      </c>
      <c r="AB266" s="428" t="str">
        <f t="shared" ca="1" si="54"/>
        <v/>
      </c>
      <c r="AC266" s="427" t="str">
        <f t="shared" ca="1" si="55"/>
        <v/>
      </c>
      <c r="AD266" s="79"/>
      <c r="AN266" s="532" t="str">
        <f t="shared" ca="1" si="50"/>
        <v/>
      </c>
      <c r="AO266" s="526" t="str" cm="1">
        <f t="array" aca="1" ref="AO266" ca="1">IF(AN266&lt;&gt;"",TRANSPOSE(INDEX(GetCDS($C291,AO$13,$G291/10000,F291,D291,$C$13,$C$14,$C$15,$C$8,,,TRUE,TRUE,FALSE,$C$29:$C$31,$C$33),{5})),"")</f>
        <v/>
      </c>
      <c r="AP266" s="526" t="str" cm="1">
        <f t="array" aca="1" ref="AP266" ca="1">IF(AO266&lt;&gt;"",TRANSPOSE(INDEX(GetCDS($C291,AP$13,$G291/10000,G291,E291,$C$13,$C$14,$C$15,$C$8,,,TRUE,TRUE,FALSE,$C$29:$C$31,$C$33),{5})),"")</f>
        <v/>
      </c>
      <c r="AQ266" s="526" t="str" cm="1">
        <f t="array" aca="1" ref="AQ266" ca="1">IF(AP266&lt;&gt;"",TRANSPOSE(INDEX(GetCDS($C291,AQ$13,$G291/10000,H291,F291,$C$13,$C$14,$C$15,$C$8,,,TRUE,TRUE,FALSE,$C$29:$C$31,$C$33),{5})),"")</f>
        <v/>
      </c>
      <c r="AR266" s="526" t="str" cm="1">
        <f t="array" aca="1" ref="AR266" ca="1">IF(AQ266&lt;&gt;"",TRANSPOSE(INDEX(GetCDS($C291,AR$13,$G291/10000,I291,G291,$C$13,$C$14,$C$15,$C$8,,,TRUE,TRUE,FALSE,$C$29:$C$31,$C$33),{5})),"")</f>
        <v/>
      </c>
      <c r="AS266" s="527" t="str" cm="1">
        <f t="array" aca="1" ref="AS266" ca="1">IF(AR266&lt;&gt;"",TRANSPOSE(INDEX(GetCDS($C291,AS$13,$G291/10000,J291,H291,$C$13,$C$14,$C$15,$C$8,,,TRUE,TRUE,FALSE,$C$29:$C$31,$C$33),{5})),"")</f>
        <v/>
      </c>
    </row>
    <row r="267" spans="1:45" customFormat="1" ht="15">
      <c r="A267" s="227"/>
      <c r="B267" s="276">
        <v>229</v>
      </c>
      <c r="C267" s="254"/>
      <c r="D267" s="255"/>
      <c r="E267" s="247"/>
      <c r="F267" s="232"/>
      <c r="G267" s="239"/>
      <c r="H267" s="386">
        <v>253</v>
      </c>
      <c r="I267" s="404"/>
      <c r="J267" s="404"/>
      <c r="K267" s="413"/>
      <c r="L267" s="413"/>
      <c r="M267" s="413"/>
      <c r="N267" s="452"/>
      <c r="O267" s="413"/>
      <c r="P267" s="413"/>
      <c r="Q267" s="413"/>
      <c r="R267" s="452"/>
      <c r="S267" s="443"/>
      <c r="T267" s="42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3"/>
      <c r="V267" s="423"/>
      <c r="W267" s="424"/>
      <c r="X267" s="425"/>
      <c r="Y267" s="426" t="str">
        <f t="shared" ca="1" si="51"/>
        <v/>
      </c>
      <c r="Z267" s="427" t="str">
        <f t="shared" ca="1" si="52"/>
        <v/>
      </c>
      <c r="AA267" s="426" t="str">
        <f t="shared" ca="1" si="53"/>
        <v/>
      </c>
      <c r="AB267" s="428" t="str">
        <f t="shared" ca="1" si="54"/>
        <v/>
      </c>
      <c r="AC267" s="427" t="str">
        <f t="shared" ca="1" si="55"/>
        <v/>
      </c>
      <c r="AD267" s="79"/>
      <c r="AN267" s="532" t="str">
        <f t="shared" ca="1" si="50"/>
        <v/>
      </c>
      <c r="AO267" s="526" t="str" cm="1">
        <f t="array" aca="1" ref="AO267" ca="1">IF(AN267&lt;&gt;"",TRANSPOSE(INDEX(GetCDS($C292,AO$13,$G292/10000,F292,D292,$C$13,$C$14,$C$15,$C$8,,,TRUE,TRUE,FALSE,$C$29:$C$31,$C$33),{5})),"")</f>
        <v/>
      </c>
      <c r="AP267" s="526" t="str" cm="1">
        <f t="array" aca="1" ref="AP267" ca="1">IF(AO267&lt;&gt;"",TRANSPOSE(INDEX(GetCDS($C292,AP$13,$G292/10000,G292,E292,$C$13,$C$14,$C$15,$C$8,,,TRUE,TRUE,FALSE,$C$29:$C$31,$C$33),{5})),"")</f>
        <v/>
      </c>
      <c r="AQ267" s="526" t="str" cm="1">
        <f t="array" aca="1" ref="AQ267" ca="1">IF(AP267&lt;&gt;"",TRANSPOSE(INDEX(GetCDS($C292,AQ$13,$G292/10000,H292,F292,$C$13,$C$14,$C$15,$C$8,,,TRUE,TRUE,FALSE,$C$29:$C$31,$C$33),{5})),"")</f>
        <v/>
      </c>
      <c r="AR267" s="526" t="str" cm="1">
        <f t="array" aca="1" ref="AR267" ca="1">IF(AQ267&lt;&gt;"",TRANSPOSE(INDEX(GetCDS($C292,AR$13,$G292/10000,I292,G292,$C$13,$C$14,$C$15,$C$8,,,TRUE,TRUE,FALSE,$C$29:$C$31,$C$33),{5})),"")</f>
        <v/>
      </c>
      <c r="AS267" s="527" t="str" cm="1">
        <f t="array" aca="1" ref="AS267" ca="1">IF(AR267&lt;&gt;"",TRANSPOSE(INDEX(GetCDS($C292,AS$13,$G292/10000,J292,H292,$C$13,$C$14,$C$15,$C$8,,,TRUE,TRUE,FALSE,$C$29:$C$31,$C$33),{5})),"")</f>
        <v/>
      </c>
    </row>
    <row r="268" spans="1:45" customFormat="1" ht="15">
      <c r="A268" s="227"/>
      <c r="B268" s="276">
        <v>230</v>
      </c>
      <c r="C268" s="254"/>
      <c r="D268" s="255"/>
      <c r="E268" s="247"/>
      <c r="F268" s="232"/>
      <c r="G268" s="239"/>
      <c r="H268" s="386">
        <v>254</v>
      </c>
      <c r="I268" s="404"/>
      <c r="J268" s="404"/>
      <c r="K268" s="413"/>
      <c r="L268" s="413"/>
      <c r="M268" s="413"/>
      <c r="N268" s="452"/>
      <c r="O268" s="413"/>
      <c r="P268" s="413"/>
      <c r="Q268" s="413"/>
      <c r="R268" s="452"/>
      <c r="S268" s="443"/>
      <c r="T268" s="42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3"/>
      <c r="V268" s="423"/>
      <c r="W268" s="424"/>
      <c r="X268" s="425"/>
      <c r="Y268" s="426" t="str">
        <f t="shared" ca="1" si="51"/>
        <v/>
      </c>
      <c r="Z268" s="427" t="str">
        <f t="shared" ca="1" si="52"/>
        <v/>
      </c>
      <c r="AA268" s="426" t="str">
        <f t="shared" ca="1" si="53"/>
        <v/>
      </c>
      <c r="AB268" s="428" t="str">
        <f t="shared" ca="1" si="54"/>
        <v/>
      </c>
      <c r="AC268" s="427" t="str">
        <f t="shared" ca="1" si="55"/>
        <v/>
      </c>
      <c r="AD268" s="79"/>
      <c r="AN268" s="532" t="str">
        <f t="shared" ca="1" si="50"/>
        <v/>
      </c>
      <c r="AO268" s="526" t="str" cm="1">
        <f t="array" aca="1" ref="AO268" ca="1">IF(AN268&lt;&gt;"",TRANSPOSE(INDEX(GetCDS($C293,AO$13,$G293/10000,F293,D293,$C$13,$C$14,$C$15,$C$8,,,TRUE,TRUE,FALSE,$C$29:$C$31,$C$33),{5})),"")</f>
        <v/>
      </c>
      <c r="AP268" s="526" t="str" cm="1">
        <f t="array" aca="1" ref="AP268" ca="1">IF(AO268&lt;&gt;"",TRANSPOSE(INDEX(GetCDS($C293,AP$13,$G293/10000,G293,E293,$C$13,$C$14,$C$15,$C$8,,,TRUE,TRUE,FALSE,$C$29:$C$31,$C$33),{5})),"")</f>
        <v/>
      </c>
      <c r="AQ268" s="526" t="str" cm="1">
        <f t="array" aca="1" ref="AQ268" ca="1">IF(AP268&lt;&gt;"",TRANSPOSE(INDEX(GetCDS($C293,AQ$13,$G293/10000,H293,F293,$C$13,$C$14,$C$15,$C$8,,,TRUE,TRUE,FALSE,$C$29:$C$31,$C$33),{5})),"")</f>
        <v/>
      </c>
      <c r="AR268" s="526" t="str" cm="1">
        <f t="array" aca="1" ref="AR268" ca="1">IF(AQ268&lt;&gt;"",TRANSPOSE(INDEX(GetCDS($C293,AR$13,$G293/10000,I293,G293,$C$13,$C$14,$C$15,$C$8,,,TRUE,TRUE,FALSE,$C$29:$C$31,$C$33),{5})),"")</f>
        <v/>
      </c>
      <c r="AS268" s="527" t="str" cm="1">
        <f t="array" aca="1" ref="AS268" ca="1">IF(AR268&lt;&gt;"",TRANSPOSE(INDEX(GetCDS($C293,AS$13,$G293/10000,J293,H293,$C$13,$C$14,$C$15,$C$8,,,TRUE,TRUE,FALSE,$C$29:$C$31,$C$33),{5})),"")</f>
        <v/>
      </c>
    </row>
    <row r="269" spans="1:45" customFormat="1" ht="15">
      <c r="A269" s="227"/>
      <c r="B269" s="276">
        <v>231</v>
      </c>
      <c r="C269" s="254"/>
      <c r="D269" s="255"/>
      <c r="E269" s="247"/>
      <c r="F269" s="232"/>
      <c r="G269" s="239"/>
      <c r="H269" s="386">
        <v>255</v>
      </c>
      <c r="I269" s="404"/>
      <c r="J269" s="404"/>
      <c r="K269" s="413"/>
      <c r="L269" s="413"/>
      <c r="M269" s="413"/>
      <c r="N269" s="452"/>
      <c r="O269" s="413"/>
      <c r="P269" s="413"/>
      <c r="Q269" s="413"/>
      <c r="R269" s="452"/>
      <c r="S269" s="443"/>
      <c r="T269" s="42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3"/>
      <c r="V269" s="423"/>
      <c r="W269" s="424"/>
      <c r="X269" s="425"/>
      <c r="Y269" s="426" t="str">
        <f t="shared" ca="1" si="51"/>
        <v/>
      </c>
      <c r="Z269" s="427" t="str">
        <f t="shared" ca="1" si="52"/>
        <v/>
      </c>
      <c r="AA269" s="426" t="str">
        <f t="shared" ca="1" si="53"/>
        <v/>
      </c>
      <c r="AB269" s="428" t="str">
        <f t="shared" ca="1" si="54"/>
        <v/>
      </c>
      <c r="AC269" s="427" t="str">
        <f t="shared" ca="1" si="55"/>
        <v/>
      </c>
      <c r="AD269" s="79"/>
      <c r="AN269" s="532" t="str">
        <f t="shared" ca="1" si="50"/>
        <v/>
      </c>
      <c r="AO269" s="526" t="str" cm="1">
        <f t="array" aca="1" ref="AO269" ca="1">IF(AN269&lt;&gt;"",TRANSPOSE(INDEX(GetCDS($C294,AO$13,$G294/10000,F294,D294,$C$13,$C$14,$C$15,$C$8,,,TRUE,TRUE,FALSE,$C$29:$C$31,$C$33),{5})),"")</f>
        <v/>
      </c>
      <c r="AP269" s="526" t="str" cm="1">
        <f t="array" aca="1" ref="AP269" ca="1">IF(AO269&lt;&gt;"",TRANSPOSE(INDEX(GetCDS($C294,AP$13,$G294/10000,G294,E294,$C$13,$C$14,$C$15,$C$8,,,TRUE,TRUE,FALSE,$C$29:$C$31,$C$33),{5})),"")</f>
        <v/>
      </c>
      <c r="AQ269" s="526" t="str" cm="1">
        <f t="array" aca="1" ref="AQ269" ca="1">IF(AP269&lt;&gt;"",TRANSPOSE(INDEX(GetCDS($C294,AQ$13,$G294/10000,H294,F294,$C$13,$C$14,$C$15,$C$8,,,TRUE,TRUE,FALSE,$C$29:$C$31,$C$33),{5})),"")</f>
        <v/>
      </c>
      <c r="AR269" s="526" t="str" cm="1">
        <f t="array" aca="1" ref="AR269" ca="1">IF(AQ269&lt;&gt;"",TRANSPOSE(INDEX(GetCDS($C294,AR$13,$G294/10000,I294,G294,$C$13,$C$14,$C$15,$C$8,,,TRUE,TRUE,FALSE,$C$29:$C$31,$C$33),{5})),"")</f>
        <v/>
      </c>
      <c r="AS269" s="527" t="str" cm="1">
        <f t="array" aca="1" ref="AS269" ca="1">IF(AR269&lt;&gt;"",TRANSPOSE(INDEX(GetCDS($C294,AS$13,$G294/10000,J294,H294,$C$13,$C$14,$C$15,$C$8,,,TRUE,TRUE,FALSE,$C$29:$C$31,$C$33),{5})),"")</f>
        <v/>
      </c>
    </row>
    <row r="270" spans="1:45" customFormat="1" ht="15">
      <c r="A270" s="227"/>
      <c r="B270" s="276">
        <v>232</v>
      </c>
      <c r="C270" s="254"/>
      <c r="D270" s="255"/>
      <c r="E270" s="247"/>
      <c r="F270" s="232"/>
      <c r="G270" s="239"/>
      <c r="H270" s="386">
        <v>256</v>
      </c>
      <c r="I270" s="404"/>
      <c r="J270" s="404"/>
      <c r="K270" s="413"/>
      <c r="L270" s="413"/>
      <c r="M270" s="413"/>
      <c r="N270" s="452"/>
      <c r="O270" s="413"/>
      <c r="P270" s="413"/>
      <c r="Q270" s="413"/>
      <c r="R270" s="452"/>
      <c r="S270" s="443"/>
      <c r="T270" s="42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3"/>
      <c r="V270" s="423"/>
      <c r="W270" s="424"/>
      <c r="X270" s="425"/>
      <c r="Y270" s="426" t="str">
        <f t="shared" ca="1" si="51"/>
        <v/>
      </c>
      <c r="Z270" s="427" t="str">
        <f t="shared" ca="1" si="52"/>
        <v/>
      </c>
      <c r="AA270" s="426" t="str">
        <f t="shared" ca="1" si="53"/>
        <v/>
      </c>
      <c r="AB270" s="428" t="str">
        <f t="shared" ca="1" si="54"/>
        <v/>
      </c>
      <c r="AC270" s="427" t="str">
        <f t="shared" ca="1" si="55"/>
        <v/>
      </c>
      <c r="AD270" s="79"/>
      <c r="AN270" s="532" t="str">
        <f t="shared" ca="1" si="50"/>
        <v/>
      </c>
      <c r="AO270" s="526" t="str" cm="1">
        <f t="array" aca="1" ref="AO270" ca="1">IF(AN270&lt;&gt;"",TRANSPOSE(INDEX(GetCDS($C295,AO$13,$G295/10000,F295,D295,$C$13,$C$14,$C$15,$C$8,,,TRUE,TRUE,FALSE,$C$29:$C$31,$C$33),{5})),"")</f>
        <v/>
      </c>
      <c r="AP270" s="526" t="str" cm="1">
        <f t="array" aca="1" ref="AP270" ca="1">IF(AO270&lt;&gt;"",TRANSPOSE(INDEX(GetCDS($C295,AP$13,$G295/10000,G295,E295,$C$13,$C$14,$C$15,$C$8,,,TRUE,TRUE,FALSE,$C$29:$C$31,$C$33),{5})),"")</f>
        <v/>
      </c>
      <c r="AQ270" s="526" t="str" cm="1">
        <f t="array" aca="1" ref="AQ270" ca="1">IF(AP270&lt;&gt;"",TRANSPOSE(INDEX(GetCDS($C295,AQ$13,$G295/10000,H295,F295,$C$13,$C$14,$C$15,$C$8,,,TRUE,TRUE,FALSE,$C$29:$C$31,$C$33),{5})),"")</f>
        <v/>
      </c>
      <c r="AR270" s="526" t="str" cm="1">
        <f t="array" aca="1" ref="AR270" ca="1">IF(AQ270&lt;&gt;"",TRANSPOSE(INDEX(GetCDS($C295,AR$13,$G295/10000,I295,G295,$C$13,$C$14,$C$15,$C$8,,,TRUE,TRUE,FALSE,$C$29:$C$31,$C$33),{5})),"")</f>
        <v/>
      </c>
      <c r="AS270" s="527" t="str" cm="1">
        <f t="array" aca="1" ref="AS270" ca="1">IF(AR270&lt;&gt;"",TRANSPOSE(INDEX(GetCDS($C295,AS$13,$G295/10000,J295,H295,$C$13,$C$14,$C$15,$C$8,,,TRUE,TRUE,FALSE,$C$29:$C$31,$C$33),{5})),"")</f>
        <v/>
      </c>
    </row>
    <row r="271" spans="1:45" customFormat="1" ht="15">
      <c r="A271" s="227"/>
      <c r="B271" s="276">
        <v>233</v>
      </c>
      <c r="C271" s="254"/>
      <c r="D271" s="255"/>
      <c r="E271" s="247"/>
      <c r="F271" s="232"/>
      <c r="G271" s="239"/>
      <c r="H271" s="386">
        <v>257</v>
      </c>
      <c r="I271" s="404"/>
      <c r="J271" s="404"/>
      <c r="K271" s="413"/>
      <c r="L271" s="413"/>
      <c r="M271" s="413"/>
      <c r="N271" s="452"/>
      <c r="O271" s="413"/>
      <c r="P271" s="413"/>
      <c r="Q271" s="413"/>
      <c r="R271" s="452"/>
      <c r="S271" s="443"/>
      <c r="T271" s="42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3"/>
      <c r="V271" s="423"/>
      <c r="W271" s="424"/>
      <c r="X271" s="425"/>
      <c r="Y271" s="426" t="str">
        <f t="shared" ca="1" si="51"/>
        <v/>
      </c>
      <c r="Z271" s="427" t="str">
        <f t="shared" ca="1" si="52"/>
        <v/>
      </c>
      <c r="AA271" s="426" t="str">
        <f t="shared" ca="1" si="53"/>
        <v/>
      </c>
      <c r="AB271" s="428" t="str">
        <f t="shared" ca="1" si="54"/>
        <v/>
      </c>
      <c r="AC271" s="427" t="str">
        <f t="shared" ca="1" si="55"/>
        <v/>
      </c>
      <c r="AD271" s="79"/>
      <c r="AN271" s="532" t="str">
        <f t="shared" ref="AN271:AN314" ca="1" si="56">IF(OR(C296="",C296=0),"",C296)</f>
        <v/>
      </c>
      <c r="AO271" s="526" t="str" cm="1">
        <f t="array" aca="1" ref="AO271" ca="1">IF(AN271&lt;&gt;"",TRANSPOSE(INDEX(GetCDS($C296,AO$13,$G296/10000,F296,D296,$C$13,$C$14,$C$15,$C$8,,,TRUE,TRUE,FALSE,$C$29:$C$31,$C$33),{5})),"")</f>
        <v/>
      </c>
      <c r="AP271" s="526" t="str" cm="1">
        <f t="array" aca="1" ref="AP271" ca="1">IF(AO271&lt;&gt;"",TRANSPOSE(INDEX(GetCDS($C296,AP$13,$G296/10000,G296,E296,$C$13,$C$14,$C$15,$C$8,,,TRUE,TRUE,FALSE,$C$29:$C$31,$C$33),{5})),"")</f>
        <v/>
      </c>
      <c r="AQ271" s="526" t="str" cm="1">
        <f t="array" aca="1" ref="AQ271" ca="1">IF(AP271&lt;&gt;"",TRANSPOSE(INDEX(GetCDS($C296,AQ$13,$G296/10000,H296,F296,$C$13,$C$14,$C$15,$C$8,,,TRUE,TRUE,FALSE,$C$29:$C$31,$C$33),{5})),"")</f>
        <v/>
      </c>
      <c r="AR271" s="526" t="str" cm="1">
        <f t="array" aca="1" ref="AR271" ca="1">IF(AQ271&lt;&gt;"",TRANSPOSE(INDEX(GetCDS($C296,AR$13,$G296/10000,I296,G296,$C$13,$C$14,$C$15,$C$8,,,TRUE,TRUE,FALSE,$C$29:$C$31,$C$33),{5})),"")</f>
        <v/>
      </c>
      <c r="AS271" s="527" t="str" cm="1">
        <f t="array" aca="1" ref="AS271" ca="1">IF(AR271&lt;&gt;"",TRANSPOSE(INDEX(GetCDS($C296,AS$13,$G296/10000,J296,H296,$C$13,$C$14,$C$15,$C$8,,,TRUE,TRUE,FALSE,$C$29:$C$31,$C$33),{5})),"")</f>
        <v/>
      </c>
    </row>
    <row r="272" spans="1:45" customFormat="1" ht="15">
      <c r="A272" s="227"/>
      <c r="B272" s="276">
        <v>234</v>
      </c>
      <c r="C272" s="254"/>
      <c r="D272" s="255"/>
      <c r="E272" s="247"/>
      <c r="F272" s="232"/>
      <c r="G272" s="239"/>
      <c r="H272" s="386">
        <v>258</v>
      </c>
      <c r="I272" s="404"/>
      <c r="J272" s="404"/>
      <c r="K272" s="413"/>
      <c r="L272" s="413"/>
      <c r="M272" s="413"/>
      <c r="N272" s="452"/>
      <c r="O272" s="413"/>
      <c r="P272" s="413"/>
      <c r="Q272" s="413"/>
      <c r="R272" s="452"/>
      <c r="S272" s="443"/>
      <c r="T272" s="42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3"/>
      <c r="V272" s="423"/>
      <c r="W272" s="424"/>
      <c r="X272" s="425"/>
      <c r="Y272" s="426" t="str">
        <f t="shared" ref="Y272:Y314" ca="1" si="57">IF($U$12,IF(T272="","",$U$13*D296/$C$18),"")</f>
        <v/>
      </c>
      <c r="Z272" s="427" t="str">
        <f t="shared" ref="Z272:Z314" ca="1" si="58">IF($U$12,IF(Y272="","",Y272*($Z$10-W272)*X272),"")</f>
        <v/>
      </c>
      <c r="AA272" s="426" t="str">
        <f t="shared" ref="AA272:AA313" ca="1" si="59">IF($U$12,IF(OR(T272="",L272=""),"",L272/($C$20-$C$19)),"")</f>
        <v/>
      </c>
      <c r="AB272" s="428" t="str">
        <f t="shared" ref="AB272:AB313" ca="1" si="60">IF($U$12,IF(W272="","",W272*$AC$10),"")</f>
        <v/>
      </c>
      <c r="AC272" s="427" t="str">
        <f t="shared" ref="AC272:AC313" ca="1" si="61">IF($U$12,IF(AA272="","",AA272*(AB272-W272)*X272),"")</f>
        <v/>
      </c>
      <c r="AD272" s="79"/>
      <c r="AN272" s="532" t="str">
        <f t="shared" ca="1" si="56"/>
        <v/>
      </c>
      <c r="AO272" s="526" t="str" cm="1">
        <f t="array" aca="1" ref="AO272" ca="1">IF(AN272&lt;&gt;"",TRANSPOSE(INDEX(GetCDS($C297,AO$13,$G297/10000,F297,D297,$C$13,$C$14,$C$15,$C$8,,,TRUE,TRUE,FALSE,$C$29:$C$31,$C$33),{5})),"")</f>
        <v/>
      </c>
      <c r="AP272" s="526" t="str" cm="1">
        <f t="array" aca="1" ref="AP272" ca="1">IF(AO272&lt;&gt;"",TRANSPOSE(INDEX(GetCDS($C297,AP$13,$G297/10000,G297,E297,$C$13,$C$14,$C$15,$C$8,,,TRUE,TRUE,FALSE,$C$29:$C$31,$C$33),{5})),"")</f>
        <v/>
      </c>
      <c r="AQ272" s="526" t="str" cm="1">
        <f t="array" aca="1" ref="AQ272" ca="1">IF(AP272&lt;&gt;"",TRANSPOSE(INDEX(GetCDS($C297,AQ$13,$G297/10000,H297,F297,$C$13,$C$14,$C$15,$C$8,,,TRUE,TRUE,FALSE,$C$29:$C$31,$C$33),{5})),"")</f>
        <v/>
      </c>
      <c r="AR272" s="526" t="str" cm="1">
        <f t="array" aca="1" ref="AR272" ca="1">IF(AQ272&lt;&gt;"",TRANSPOSE(INDEX(GetCDS($C297,AR$13,$G297/10000,I297,G297,$C$13,$C$14,$C$15,$C$8,,,TRUE,TRUE,FALSE,$C$29:$C$31,$C$33),{5})),"")</f>
        <v/>
      </c>
      <c r="AS272" s="527" t="str" cm="1">
        <f t="array" aca="1" ref="AS272" ca="1">IF(AR272&lt;&gt;"",TRANSPOSE(INDEX(GetCDS($C297,AS$13,$G297/10000,J297,H297,$C$13,$C$14,$C$15,$C$8,,,TRUE,TRUE,FALSE,$C$29:$C$31,$C$33),{5})),"")</f>
        <v/>
      </c>
    </row>
    <row r="273" spans="1:45" customFormat="1" ht="15">
      <c r="A273" s="227"/>
      <c r="B273" s="276">
        <v>235</v>
      </c>
      <c r="C273" s="254"/>
      <c r="D273" s="255"/>
      <c r="E273" s="247"/>
      <c r="F273" s="232"/>
      <c r="G273" s="239"/>
      <c r="H273" s="386">
        <v>259</v>
      </c>
      <c r="I273" s="404"/>
      <c r="J273" s="404"/>
      <c r="K273" s="413"/>
      <c r="L273" s="413"/>
      <c r="M273" s="413"/>
      <c r="N273" s="452"/>
      <c r="O273" s="413"/>
      <c r="P273" s="413"/>
      <c r="Q273" s="413"/>
      <c r="R273" s="452"/>
      <c r="S273" s="443"/>
      <c r="T273" s="42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3"/>
      <c r="V273" s="423"/>
      <c r="W273" s="424"/>
      <c r="X273" s="425"/>
      <c r="Y273" s="426" t="str">
        <f t="shared" ca="1" si="57"/>
        <v/>
      </c>
      <c r="Z273" s="427" t="str">
        <f t="shared" ca="1" si="58"/>
        <v/>
      </c>
      <c r="AA273" s="426" t="str">
        <f t="shared" ca="1" si="59"/>
        <v/>
      </c>
      <c r="AB273" s="428" t="str">
        <f t="shared" ca="1" si="60"/>
        <v/>
      </c>
      <c r="AC273" s="427" t="str">
        <f t="shared" ca="1" si="61"/>
        <v/>
      </c>
      <c r="AD273" s="79"/>
      <c r="AN273" s="532" t="str">
        <f t="shared" ca="1" si="56"/>
        <v/>
      </c>
      <c r="AO273" s="526" t="str" cm="1">
        <f t="array" aca="1" ref="AO273" ca="1">IF(AN273&lt;&gt;"",TRANSPOSE(INDEX(GetCDS($C298,AO$13,$G298/10000,F298,D298,$C$13,$C$14,$C$15,$C$8,,,TRUE,TRUE,FALSE,$C$29:$C$31,$C$33),{5})),"")</f>
        <v/>
      </c>
      <c r="AP273" s="526" t="str" cm="1">
        <f t="array" aca="1" ref="AP273" ca="1">IF(AO273&lt;&gt;"",TRANSPOSE(INDEX(GetCDS($C298,AP$13,$G298/10000,G298,E298,$C$13,$C$14,$C$15,$C$8,,,TRUE,TRUE,FALSE,$C$29:$C$31,$C$33),{5})),"")</f>
        <v/>
      </c>
      <c r="AQ273" s="526" t="str" cm="1">
        <f t="array" aca="1" ref="AQ273" ca="1">IF(AP273&lt;&gt;"",TRANSPOSE(INDEX(GetCDS($C298,AQ$13,$G298/10000,H298,F298,$C$13,$C$14,$C$15,$C$8,,,TRUE,TRUE,FALSE,$C$29:$C$31,$C$33),{5})),"")</f>
        <v/>
      </c>
      <c r="AR273" s="526" t="str" cm="1">
        <f t="array" aca="1" ref="AR273" ca="1">IF(AQ273&lt;&gt;"",TRANSPOSE(INDEX(GetCDS($C298,AR$13,$G298/10000,I298,G298,$C$13,$C$14,$C$15,$C$8,,,TRUE,TRUE,FALSE,$C$29:$C$31,$C$33),{5})),"")</f>
        <v/>
      </c>
      <c r="AS273" s="527" t="str" cm="1">
        <f t="array" aca="1" ref="AS273" ca="1">IF(AR273&lt;&gt;"",TRANSPOSE(INDEX(GetCDS($C298,AS$13,$G298/10000,J298,H298,$C$13,$C$14,$C$15,$C$8,,,TRUE,TRUE,FALSE,$C$29:$C$31,$C$33),{5})),"")</f>
        <v/>
      </c>
    </row>
    <row r="274" spans="1:45" customFormat="1" ht="15">
      <c r="A274" s="227"/>
      <c r="B274" s="276">
        <v>236</v>
      </c>
      <c r="C274" s="254"/>
      <c r="D274" s="255"/>
      <c r="E274" s="247"/>
      <c r="F274" s="232"/>
      <c r="G274" s="239"/>
      <c r="H274" s="386">
        <v>260</v>
      </c>
      <c r="I274" s="404"/>
      <c r="J274" s="404"/>
      <c r="K274" s="413"/>
      <c r="L274" s="413"/>
      <c r="M274" s="413"/>
      <c r="N274" s="452"/>
      <c r="O274" s="413"/>
      <c r="P274" s="413"/>
      <c r="Q274" s="413"/>
      <c r="R274" s="452"/>
      <c r="S274" s="443"/>
      <c r="T274" s="42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3"/>
      <c r="V274" s="423"/>
      <c r="W274" s="424"/>
      <c r="X274" s="425"/>
      <c r="Y274" s="426" t="str">
        <f t="shared" ca="1" si="57"/>
        <v/>
      </c>
      <c r="Z274" s="427" t="str">
        <f t="shared" ca="1" si="58"/>
        <v/>
      </c>
      <c r="AA274" s="426" t="str">
        <f t="shared" ca="1" si="59"/>
        <v/>
      </c>
      <c r="AB274" s="428" t="str">
        <f t="shared" ca="1" si="60"/>
        <v/>
      </c>
      <c r="AC274" s="427" t="str">
        <f t="shared" ca="1" si="61"/>
        <v/>
      </c>
      <c r="AD274" s="79"/>
      <c r="AN274" s="532" t="str">
        <f t="shared" ca="1" si="56"/>
        <v/>
      </c>
      <c r="AO274" s="526" t="str" cm="1">
        <f t="array" aca="1" ref="AO274" ca="1">IF(AN274&lt;&gt;"",TRANSPOSE(INDEX(GetCDS($C299,AO$13,$G299/10000,F299,D299,$C$13,$C$14,$C$15,$C$8,,,TRUE,TRUE,FALSE,$C$29:$C$31,$C$33),{5})),"")</f>
        <v/>
      </c>
      <c r="AP274" s="526" t="str" cm="1">
        <f t="array" aca="1" ref="AP274" ca="1">IF(AO274&lt;&gt;"",TRANSPOSE(INDEX(GetCDS($C299,AP$13,$G299/10000,G299,E299,$C$13,$C$14,$C$15,$C$8,,,TRUE,TRUE,FALSE,$C$29:$C$31,$C$33),{5})),"")</f>
        <v/>
      </c>
      <c r="AQ274" s="526" t="str" cm="1">
        <f t="array" aca="1" ref="AQ274" ca="1">IF(AP274&lt;&gt;"",TRANSPOSE(INDEX(GetCDS($C299,AQ$13,$G299/10000,H299,F299,$C$13,$C$14,$C$15,$C$8,,,TRUE,TRUE,FALSE,$C$29:$C$31,$C$33),{5})),"")</f>
        <v/>
      </c>
      <c r="AR274" s="526" t="str" cm="1">
        <f t="array" aca="1" ref="AR274" ca="1">IF(AQ274&lt;&gt;"",TRANSPOSE(INDEX(GetCDS($C299,AR$13,$G299/10000,I299,G299,$C$13,$C$14,$C$15,$C$8,,,TRUE,TRUE,FALSE,$C$29:$C$31,$C$33),{5})),"")</f>
        <v/>
      </c>
      <c r="AS274" s="527" t="str" cm="1">
        <f t="array" aca="1" ref="AS274" ca="1">IF(AR274&lt;&gt;"",TRANSPOSE(INDEX(GetCDS($C299,AS$13,$G299/10000,J299,H299,$C$13,$C$14,$C$15,$C$8,,,TRUE,TRUE,FALSE,$C$29:$C$31,$C$33),{5})),"")</f>
        <v/>
      </c>
    </row>
    <row r="275" spans="1:45" customFormat="1" ht="15">
      <c r="A275" s="227"/>
      <c r="B275" s="276">
        <v>237</v>
      </c>
      <c r="C275" s="254"/>
      <c r="D275" s="255"/>
      <c r="E275" s="247"/>
      <c r="F275" s="232"/>
      <c r="G275" s="239"/>
      <c r="H275" s="386">
        <v>261</v>
      </c>
      <c r="I275" s="404"/>
      <c r="J275" s="404"/>
      <c r="K275" s="413"/>
      <c r="L275" s="413"/>
      <c r="M275" s="413"/>
      <c r="N275" s="452"/>
      <c r="O275" s="413"/>
      <c r="P275" s="413"/>
      <c r="Q275" s="413"/>
      <c r="R275" s="452"/>
      <c r="S275" s="443"/>
      <c r="T275" s="42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3"/>
      <c r="V275" s="423"/>
      <c r="W275" s="424"/>
      <c r="X275" s="425"/>
      <c r="Y275" s="426" t="str">
        <f t="shared" ca="1" si="57"/>
        <v/>
      </c>
      <c r="Z275" s="427" t="str">
        <f t="shared" ca="1" si="58"/>
        <v/>
      </c>
      <c r="AA275" s="426" t="str">
        <f t="shared" ca="1" si="59"/>
        <v/>
      </c>
      <c r="AB275" s="428" t="str">
        <f t="shared" ca="1" si="60"/>
        <v/>
      </c>
      <c r="AC275" s="427" t="str">
        <f t="shared" ca="1" si="61"/>
        <v/>
      </c>
      <c r="AD275" s="79"/>
      <c r="AN275" s="532" t="str">
        <f t="shared" ca="1" si="56"/>
        <v/>
      </c>
      <c r="AO275" s="526" t="str" cm="1">
        <f t="array" aca="1" ref="AO275" ca="1">IF(AN275&lt;&gt;"",TRANSPOSE(INDEX(GetCDS($C300,AO$13,$G300/10000,F300,D300,$C$13,$C$14,$C$15,$C$8,,,TRUE,TRUE,FALSE,$C$29:$C$31,$C$33),{5})),"")</f>
        <v/>
      </c>
      <c r="AP275" s="526" t="str" cm="1">
        <f t="array" aca="1" ref="AP275" ca="1">IF(AO275&lt;&gt;"",TRANSPOSE(INDEX(GetCDS($C300,AP$13,$G300/10000,G300,E300,$C$13,$C$14,$C$15,$C$8,,,TRUE,TRUE,FALSE,$C$29:$C$31,$C$33),{5})),"")</f>
        <v/>
      </c>
      <c r="AQ275" s="526" t="str" cm="1">
        <f t="array" aca="1" ref="AQ275" ca="1">IF(AP275&lt;&gt;"",TRANSPOSE(INDEX(GetCDS($C300,AQ$13,$G300/10000,H300,F300,$C$13,$C$14,$C$15,$C$8,,,TRUE,TRUE,FALSE,$C$29:$C$31,$C$33),{5})),"")</f>
        <v/>
      </c>
      <c r="AR275" s="526" t="str" cm="1">
        <f t="array" aca="1" ref="AR275" ca="1">IF(AQ275&lt;&gt;"",TRANSPOSE(INDEX(GetCDS($C300,AR$13,$G300/10000,I300,G300,$C$13,$C$14,$C$15,$C$8,,,TRUE,TRUE,FALSE,$C$29:$C$31,$C$33),{5})),"")</f>
        <v/>
      </c>
      <c r="AS275" s="527" t="str" cm="1">
        <f t="array" aca="1" ref="AS275" ca="1">IF(AR275&lt;&gt;"",TRANSPOSE(INDEX(GetCDS($C300,AS$13,$G300/10000,J300,H300,$C$13,$C$14,$C$15,$C$8,,,TRUE,TRUE,FALSE,$C$29:$C$31,$C$33),{5})),"")</f>
        <v/>
      </c>
    </row>
    <row r="276" spans="1:45" customFormat="1" ht="15">
      <c r="A276" s="227"/>
      <c r="B276" s="276">
        <v>238</v>
      </c>
      <c r="C276" s="254"/>
      <c r="D276" s="255"/>
      <c r="E276" s="247"/>
      <c r="F276" s="232"/>
      <c r="G276" s="239"/>
      <c r="H276" s="386">
        <v>262</v>
      </c>
      <c r="I276" s="404"/>
      <c r="J276" s="404"/>
      <c r="K276" s="413"/>
      <c r="L276" s="413"/>
      <c r="M276" s="413"/>
      <c r="N276" s="452"/>
      <c r="O276" s="413"/>
      <c r="P276" s="413"/>
      <c r="Q276" s="413"/>
      <c r="R276" s="452"/>
      <c r="S276" s="443"/>
      <c r="T276" s="42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3"/>
      <c r="V276" s="423"/>
      <c r="W276" s="424"/>
      <c r="X276" s="425"/>
      <c r="Y276" s="426" t="str">
        <f t="shared" ca="1" si="57"/>
        <v/>
      </c>
      <c r="Z276" s="427" t="str">
        <f t="shared" ca="1" si="58"/>
        <v/>
      </c>
      <c r="AA276" s="426" t="str">
        <f t="shared" ca="1" si="59"/>
        <v/>
      </c>
      <c r="AB276" s="428" t="str">
        <f t="shared" ca="1" si="60"/>
        <v/>
      </c>
      <c r="AC276" s="427" t="str">
        <f t="shared" ca="1" si="61"/>
        <v/>
      </c>
      <c r="AD276" s="79"/>
      <c r="AN276" s="532" t="str">
        <f t="shared" ca="1" si="56"/>
        <v/>
      </c>
      <c r="AO276" s="526" t="str" cm="1">
        <f t="array" aca="1" ref="AO276" ca="1">IF(AN276&lt;&gt;"",TRANSPOSE(INDEX(GetCDS($C301,AO$13,$G301/10000,F301,D301,$C$13,$C$14,$C$15,$C$8,,,TRUE,TRUE,FALSE,$C$29:$C$31,$C$33),{5})),"")</f>
        <v/>
      </c>
      <c r="AP276" s="526" t="str" cm="1">
        <f t="array" aca="1" ref="AP276" ca="1">IF(AO276&lt;&gt;"",TRANSPOSE(INDEX(GetCDS($C301,AP$13,$G301/10000,G301,E301,$C$13,$C$14,$C$15,$C$8,,,TRUE,TRUE,FALSE,$C$29:$C$31,$C$33),{5})),"")</f>
        <v/>
      </c>
      <c r="AQ276" s="526" t="str" cm="1">
        <f t="array" aca="1" ref="AQ276" ca="1">IF(AP276&lt;&gt;"",TRANSPOSE(INDEX(GetCDS($C301,AQ$13,$G301/10000,H301,F301,$C$13,$C$14,$C$15,$C$8,,,TRUE,TRUE,FALSE,$C$29:$C$31,$C$33),{5})),"")</f>
        <v/>
      </c>
      <c r="AR276" s="526" t="str" cm="1">
        <f t="array" aca="1" ref="AR276" ca="1">IF(AQ276&lt;&gt;"",TRANSPOSE(INDEX(GetCDS($C301,AR$13,$G301/10000,I301,G301,$C$13,$C$14,$C$15,$C$8,,,TRUE,TRUE,FALSE,$C$29:$C$31,$C$33),{5})),"")</f>
        <v/>
      </c>
      <c r="AS276" s="527" t="str" cm="1">
        <f t="array" aca="1" ref="AS276" ca="1">IF(AR276&lt;&gt;"",TRANSPOSE(INDEX(GetCDS($C301,AS$13,$G301/10000,J301,H301,$C$13,$C$14,$C$15,$C$8,,,TRUE,TRUE,FALSE,$C$29:$C$31,$C$33),{5})),"")</f>
        <v/>
      </c>
    </row>
    <row r="277" spans="1:45" customFormat="1" ht="15">
      <c r="A277" s="227"/>
      <c r="B277" s="276">
        <v>239</v>
      </c>
      <c r="C277" s="254"/>
      <c r="D277" s="255"/>
      <c r="E277" s="247"/>
      <c r="F277" s="232"/>
      <c r="G277" s="239"/>
      <c r="H277" s="386">
        <v>263</v>
      </c>
      <c r="I277" s="404"/>
      <c r="J277" s="404"/>
      <c r="K277" s="413"/>
      <c r="L277" s="413"/>
      <c r="M277" s="413"/>
      <c r="N277" s="452"/>
      <c r="O277" s="413"/>
      <c r="P277" s="413"/>
      <c r="Q277" s="413"/>
      <c r="R277" s="452"/>
      <c r="S277" s="443"/>
      <c r="T277" s="42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3"/>
      <c r="V277" s="423"/>
      <c r="W277" s="424"/>
      <c r="X277" s="425"/>
      <c r="Y277" s="426" t="str">
        <f t="shared" ca="1" si="57"/>
        <v/>
      </c>
      <c r="Z277" s="427" t="str">
        <f t="shared" ca="1" si="58"/>
        <v/>
      </c>
      <c r="AA277" s="426" t="str">
        <f t="shared" ca="1" si="59"/>
        <v/>
      </c>
      <c r="AB277" s="428" t="str">
        <f t="shared" ca="1" si="60"/>
        <v/>
      </c>
      <c r="AC277" s="427" t="str">
        <f t="shared" ca="1" si="61"/>
        <v/>
      </c>
      <c r="AD277" s="79"/>
      <c r="AN277" s="532" t="str">
        <f t="shared" ca="1" si="56"/>
        <v/>
      </c>
      <c r="AO277" s="526" t="str" cm="1">
        <f t="array" aca="1" ref="AO277" ca="1">IF(AN277&lt;&gt;"",TRANSPOSE(INDEX(GetCDS($C302,AO$13,$G302/10000,F302,D302,$C$13,$C$14,$C$15,$C$8,,,TRUE,TRUE,FALSE,$C$29:$C$31,$C$33),{5})),"")</f>
        <v/>
      </c>
      <c r="AP277" s="526" t="str" cm="1">
        <f t="array" aca="1" ref="AP277" ca="1">IF(AO277&lt;&gt;"",TRANSPOSE(INDEX(GetCDS($C302,AP$13,$G302/10000,G302,E302,$C$13,$C$14,$C$15,$C$8,,,TRUE,TRUE,FALSE,$C$29:$C$31,$C$33),{5})),"")</f>
        <v/>
      </c>
      <c r="AQ277" s="526" t="str" cm="1">
        <f t="array" aca="1" ref="AQ277" ca="1">IF(AP277&lt;&gt;"",TRANSPOSE(INDEX(GetCDS($C302,AQ$13,$G302/10000,H302,F302,$C$13,$C$14,$C$15,$C$8,,,TRUE,TRUE,FALSE,$C$29:$C$31,$C$33),{5})),"")</f>
        <v/>
      </c>
      <c r="AR277" s="526" t="str" cm="1">
        <f t="array" aca="1" ref="AR277" ca="1">IF(AQ277&lt;&gt;"",TRANSPOSE(INDEX(GetCDS($C302,AR$13,$G302/10000,I302,G302,$C$13,$C$14,$C$15,$C$8,,,TRUE,TRUE,FALSE,$C$29:$C$31,$C$33),{5})),"")</f>
        <v/>
      </c>
      <c r="AS277" s="527" t="str" cm="1">
        <f t="array" aca="1" ref="AS277" ca="1">IF(AR277&lt;&gt;"",TRANSPOSE(INDEX(GetCDS($C302,AS$13,$G302/10000,J302,H302,$C$13,$C$14,$C$15,$C$8,,,TRUE,TRUE,FALSE,$C$29:$C$31,$C$33),{5})),"")</f>
        <v/>
      </c>
    </row>
    <row r="278" spans="1:45" customFormat="1" ht="15">
      <c r="A278" s="227"/>
      <c r="B278" s="276">
        <v>240</v>
      </c>
      <c r="C278" s="254"/>
      <c r="D278" s="255"/>
      <c r="E278" s="247"/>
      <c r="F278" s="232"/>
      <c r="G278" s="239"/>
      <c r="H278" s="386">
        <v>264</v>
      </c>
      <c r="I278" s="404"/>
      <c r="J278" s="404"/>
      <c r="K278" s="413"/>
      <c r="L278" s="413"/>
      <c r="M278" s="413"/>
      <c r="N278" s="452"/>
      <c r="O278" s="413"/>
      <c r="P278" s="413"/>
      <c r="Q278" s="413"/>
      <c r="R278" s="452"/>
      <c r="S278" s="443"/>
      <c r="T278" s="42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3"/>
      <c r="V278" s="423"/>
      <c r="W278" s="424"/>
      <c r="X278" s="425"/>
      <c r="Y278" s="426" t="str">
        <f t="shared" ca="1" si="57"/>
        <v/>
      </c>
      <c r="Z278" s="427" t="str">
        <f t="shared" ca="1" si="58"/>
        <v/>
      </c>
      <c r="AA278" s="426" t="str">
        <f t="shared" ca="1" si="59"/>
        <v/>
      </c>
      <c r="AB278" s="428" t="str">
        <f t="shared" ca="1" si="60"/>
        <v/>
      </c>
      <c r="AC278" s="427" t="str">
        <f t="shared" ca="1" si="61"/>
        <v/>
      </c>
      <c r="AD278" s="79"/>
      <c r="AN278" s="532" t="str">
        <f t="shared" ca="1" si="56"/>
        <v/>
      </c>
      <c r="AO278" s="526" t="str" cm="1">
        <f t="array" aca="1" ref="AO278" ca="1">IF(AN278&lt;&gt;"",TRANSPOSE(INDEX(GetCDS($C303,AO$13,$G303/10000,F303,D303,$C$13,$C$14,$C$15,$C$8,,,TRUE,TRUE,FALSE,$C$29:$C$31,$C$33),{5})),"")</f>
        <v/>
      </c>
      <c r="AP278" s="526" t="str" cm="1">
        <f t="array" aca="1" ref="AP278" ca="1">IF(AO278&lt;&gt;"",TRANSPOSE(INDEX(GetCDS($C303,AP$13,$G303/10000,G303,E303,$C$13,$C$14,$C$15,$C$8,,,TRUE,TRUE,FALSE,$C$29:$C$31,$C$33),{5})),"")</f>
        <v/>
      </c>
      <c r="AQ278" s="526" t="str" cm="1">
        <f t="array" aca="1" ref="AQ278" ca="1">IF(AP278&lt;&gt;"",TRANSPOSE(INDEX(GetCDS($C303,AQ$13,$G303/10000,H303,F303,$C$13,$C$14,$C$15,$C$8,,,TRUE,TRUE,FALSE,$C$29:$C$31,$C$33),{5})),"")</f>
        <v/>
      </c>
      <c r="AR278" s="526" t="str" cm="1">
        <f t="array" aca="1" ref="AR278" ca="1">IF(AQ278&lt;&gt;"",TRANSPOSE(INDEX(GetCDS($C303,AR$13,$G303/10000,I303,G303,$C$13,$C$14,$C$15,$C$8,,,TRUE,TRUE,FALSE,$C$29:$C$31,$C$33),{5})),"")</f>
        <v/>
      </c>
      <c r="AS278" s="527" t="str" cm="1">
        <f t="array" aca="1" ref="AS278" ca="1">IF(AR278&lt;&gt;"",TRANSPOSE(INDEX(GetCDS($C303,AS$13,$G303/10000,J303,H303,$C$13,$C$14,$C$15,$C$8,,,TRUE,TRUE,FALSE,$C$29:$C$31,$C$33),{5})),"")</f>
        <v/>
      </c>
    </row>
    <row r="279" spans="1:45" customFormat="1" ht="15">
      <c r="A279" s="227"/>
      <c r="B279" s="276">
        <v>241</v>
      </c>
      <c r="C279" s="254"/>
      <c r="D279" s="255"/>
      <c r="E279" s="247"/>
      <c r="F279" s="232"/>
      <c r="G279" s="239"/>
      <c r="H279" s="386">
        <v>265</v>
      </c>
      <c r="I279" s="404"/>
      <c r="J279" s="404"/>
      <c r="K279" s="413"/>
      <c r="L279" s="413"/>
      <c r="M279" s="413"/>
      <c r="N279" s="452"/>
      <c r="O279" s="413"/>
      <c r="P279" s="413"/>
      <c r="Q279" s="413"/>
      <c r="R279" s="452"/>
      <c r="S279" s="443"/>
      <c r="T279" s="42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3"/>
      <c r="V279" s="423"/>
      <c r="W279" s="424"/>
      <c r="X279" s="425"/>
      <c r="Y279" s="426" t="str">
        <f t="shared" ca="1" si="57"/>
        <v/>
      </c>
      <c r="Z279" s="427" t="str">
        <f t="shared" ca="1" si="58"/>
        <v/>
      </c>
      <c r="AA279" s="426" t="str">
        <f t="shared" ca="1" si="59"/>
        <v/>
      </c>
      <c r="AB279" s="428" t="str">
        <f t="shared" ca="1" si="60"/>
        <v/>
      </c>
      <c r="AC279" s="427" t="str">
        <f t="shared" ca="1" si="61"/>
        <v/>
      </c>
      <c r="AD279" s="79"/>
      <c r="AN279" s="532" t="str">
        <f t="shared" ca="1" si="56"/>
        <v/>
      </c>
      <c r="AO279" s="526" t="str" cm="1">
        <f t="array" aca="1" ref="AO279" ca="1">IF(AN279&lt;&gt;"",TRANSPOSE(INDEX(GetCDS($C304,AO$13,$G304/10000,F304,D304,$C$13,$C$14,$C$15,$C$8,,,TRUE,TRUE,FALSE,$C$29:$C$31,$C$33),{5})),"")</f>
        <v/>
      </c>
      <c r="AP279" s="526" t="str" cm="1">
        <f t="array" aca="1" ref="AP279" ca="1">IF(AO279&lt;&gt;"",TRANSPOSE(INDEX(GetCDS($C304,AP$13,$G304/10000,G304,E304,$C$13,$C$14,$C$15,$C$8,,,TRUE,TRUE,FALSE,$C$29:$C$31,$C$33),{5})),"")</f>
        <v/>
      </c>
      <c r="AQ279" s="526" t="str" cm="1">
        <f t="array" aca="1" ref="AQ279" ca="1">IF(AP279&lt;&gt;"",TRANSPOSE(INDEX(GetCDS($C304,AQ$13,$G304/10000,H304,F304,$C$13,$C$14,$C$15,$C$8,,,TRUE,TRUE,FALSE,$C$29:$C$31,$C$33),{5})),"")</f>
        <v/>
      </c>
      <c r="AR279" s="526" t="str" cm="1">
        <f t="array" aca="1" ref="AR279" ca="1">IF(AQ279&lt;&gt;"",TRANSPOSE(INDEX(GetCDS($C304,AR$13,$G304/10000,I304,G304,$C$13,$C$14,$C$15,$C$8,,,TRUE,TRUE,FALSE,$C$29:$C$31,$C$33),{5})),"")</f>
        <v/>
      </c>
      <c r="AS279" s="527" t="str" cm="1">
        <f t="array" aca="1" ref="AS279" ca="1">IF(AR279&lt;&gt;"",TRANSPOSE(INDEX(GetCDS($C304,AS$13,$G304/10000,J304,H304,$C$13,$C$14,$C$15,$C$8,,,TRUE,TRUE,FALSE,$C$29:$C$31,$C$33),{5})),"")</f>
        <v/>
      </c>
    </row>
    <row r="280" spans="1:45" customFormat="1" ht="15">
      <c r="A280" s="227"/>
      <c r="B280" s="276">
        <v>242</v>
      </c>
      <c r="C280" s="254"/>
      <c r="D280" s="255"/>
      <c r="E280" s="247"/>
      <c r="F280" s="232"/>
      <c r="G280" s="239"/>
      <c r="H280" s="386">
        <v>266</v>
      </c>
      <c r="I280" s="404"/>
      <c r="J280" s="404"/>
      <c r="K280" s="413"/>
      <c r="L280" s="413"/>
      <c r="M280" s="413"/>
      <c r="N280" s="452"/>
      <c r="O280" s="413"/>
      <c r="P280" s="413"/>
      <c r="Q280" s="413"/>
      <c r="R280" s="452"/>
      <c r="S280" s="443"/>
      <c r="T280" s="42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3"/>
      <c r="V280" s="423"/>
      <c r="W280" s="424"/>
      <c r="X280" s="425"/>
      <c r="Y280" s="426" t="str">
        <f t="shared" ca="1" si="57"/>
        <v/>
      </c>
      <c r="Z280" s="427" t="str">
        <f t="shared" ca="1" si="58"/>
        <v/>
      </c>
      <c r="AA280" s="426" t="str">
        <f t="shared" ca="1" si="59"/>
        <v/>
      </c>
      <c r="AB280" s="428" t="str">
        <f t="shared" ca="1" si="60"/>
        <v/>
      </c>
      <c r="AC280" s="427" t="str">
        <f t="shared" ca="1" si="61"/>
        <v/>
      </c>
      <c r="AD280" s="79"/>
      <c r="AN280" s="532" t="str">
        <f t="shared" ca="1" si="56"/>
        <v/>
      </c>
      <c r="AO280" s="526" t="str" cm="1">
        <f t="array" aca="1" ref="AO280" ca="1">IF(AN280&lt;&gt;"",TRANSPOSE(INDEX(GetCDS($C305,AO$13,$G305/10000,F305,D305,$C$13,$C$14,$C$15,$C$8,,,TRUE,TRUE,FALSE,$C$29:$C$31,$C$33),{5})),"")</f>
        <v/>
      </c>
      <c r="AP280" s="526" t="str" cm="1">
        <f t="array" aca="1" ref="AP280" ca="1">IF(AO280&lt;&gt;"",TRANSPOSE(INDEX(GetCDS($C305,AP$13,$G305/10000,G305,E305,$C$13,$C$14,$C$15,$C$8,,,TRUE,TRUE,FALSE,$C$29:$C$31,$C$33),{5})),"")</f>
        <v/>
      </c>
      <c r="AQ280" s="526" t="str" cm="1">
        <f t="array" aca="1" ref="AQ280" ca="1">IF(AP280&lt;&gt;"",TRANSPOSE(INDEX(GetCDS($C305,AQ$13,$G305/10000,H305,F305,$C$13,$C$14,$C$15,$C$8,,,TRUE,TRUE,FALSE,$C$29:$C$31,$C$33),{5})),"")</f>
        <v/>
      </c>
      <c r="AR280" s="526" t="str" cm="1">
        <f t="array" aca="1" ref="AR280" ca="1">IF(AQ280&lt;&gt;"",TRANSPOSE(INDEX(GetCDS($C305,AR$13,$G305/10000,I305,G305,$C$13,$C$14,$C$15,$C$8,,,TRUE,TRUE,FALSE,$C$29:$C$31,$C$33),{5})),"")</f>
        <v/>
      </c>
      <c r="AS280" s="527" t="str" cm="1">
        <f t="array" aca="1" ref="AS280" ca="1">IF(AR280&lt;&gt;"",TRANSPOSE(INDEX(GetCDS($C305,AS$13,$G305/10000,J305,H305,$C$13,$C$14,$C$15,$C$8,,,TRUE,TRUE,FALSE,$C$29:$C$31,$C$33),{5})),"")</f>
        <v/>
      </c>
    </row>
    <row r="281" spans="1:45" customFormat="1" ht="15">
      <c r="A281" s="227"/>
      <c r="B281" s="276">
        <v>243</v>
      </c>
      <c r="C281" s="254"/>
      <c r="D281" s="255"/>
      <c r="E281" s="247"/>
      <c r="F281" s="232"/>
      <c r="G281" s="239"/>
      <c r="H281" s="386">
        <v>267</v>
      </c>
      <c r="I281" s="404"/>
      <c r="J281" s="404"/>
      <c r="K281" s="413"/>
      <c r="L281" s="413"/>
      <c r="M281" s="413"/>
      <c r="N281" s="452"/>
      <c r="O281" s="413"/>
      <c r="P281" s="413"/>
      <c r="Q281" s="413"/>
      <c r="R281" s="452"/>
      <c r="S281" s="443"/>
      <c r="T281" s="42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3"/>
      <c r="V281" s="423"/>
      <c r="W281" s="424"/>
      <c r="X281" s="425"/>
      <c r="Y281" s="426" t="str">
        <f t="shared" ca="1" si="57"/>
        <v/>
      </c>
      <c r="Z281" s="427" t="str">
        <f t="shared" ca="1" si="58"/>
        <v/>
      </c>
      <c r="AA281" s="426" t="str">
        <f t="shared" ca="1" si="59"/>
        <v/>
      </c>
      <c r="AB281" s="428" t="str">
        <f t="shared" ca="1" si="60"/>
        <v/>
      </c>
      <c r="AC281" s="427" t="str">
        <f t="shared" ca="1" si="61"/>
        <v/>
      </c>
      <c r="AD281" s="79"/>
      <c r="AN281" s="532" t="str">
        <f t="shared" ca="1" si="56"/>
        <v/>
      </c>
      <c r="AO281" s="526" t="str" cm="1">
        <f t="array" aca="1" ref="AO281" ca="1">IF(AN281&lt;&gt;"",TRANSPOSE(INDEX(GetCDS($C306,AO$13,$G306/10000,F306,D306,$C$13,$C$14,$C$15,$C$8,,,TRUE,TRUE,FALSE,$C$29:$C$31,$C$33),{5})),"")</f>
        <v/>
      </c>
      <c r="AP281" s="526" t="str" cm="1">
        <f t="array" aca="1" ref="AP281" ca="1">IF(AO281&lt;&gt;"",TRANSPOSE(INDEX(GetCDS($C306,AP$13,$G306/10000,G306,E306,$C$13,$C$14,$C$15,$C$8,,,TRUE,TRUE,FALSE,$C$29:$C$31,$C$33),{5})),"")</f>
        <v/>
      </c>
      <c r="AQ281" s="526" t="str" cm="1">
        <f t="array" aca="1" ref="AQ281" ca="1">IF(AP281&lt;&gt;"",TRANSPOSE(INDEX(GetCDS($C306,AQ$13,$G306/10000,H306,F306,$C$13,$C$14,$C$15,$C$8,,,TRUE,TRUE,FALSE,$C$29:$C$31,$C$33),{5})),"")</f>
        <v/>
      </c>
      <c r="AR281" s="526" t="str" cm="1">
        <f t="array" aca="1" ref="AR281" ca="1">IF(AQ281&lt;&gt;"",TRANSPOSE(INDEX(GetCDS($C306,AR$13,$G306/10000,I306,G306,$C$13,$C$14,$C$15,$C$8,,,TRUE,TRUE,FALSE,$C$29:$C$31,$C$33),{5})),"")</f>
        <v/>
      </c>
      <c r="AS281" s="527" t="str" cm="1">
        <f t="array" aca="1" ref="AS281" ca="1">IF(AR281&lt;&gt;"",TRANSPOSE(INDEX(GetCDS($C306,AS$13,$G306/10000,J306,H306,$C$13,$C$14,$C$15,$C$8,,,TRUE,TRUE,FALSE,$C$29:$C$31,$C$33),{5})),"")</f>
        <v/>
      </c>
    </row>
    <row r="282" spans="1:45" customFormat="1" ht="15">
      <c r="A282" s="227"/>
      <c r="B282" s="276">
        <v>244</v>
      </c>
      <c r="C282" s="254"/>
      <c r="D282" s="255"/>
      <c r="E282" s="247"/>
      <c r="F282" s="232"/>
      <c r="G282" s="239"/>
      <c r="H282" s="386">
        <v>268</v>
      </c>
      <c r="I282" s="404"/>
      <c r="J282" s="404"/>
      <c r="K282" s="413"/>
      <c r="L282" s="413"/>
      <c r="M282" s="413"/>
      <c r="N282" s="452"/>
      <c r="O282" s="413"/>
      <c r="P282" s="413"/>
      <c r="Q282" s="413"/>
      <c r="R282" s="452"/>
      <c r="S282" s="443"/>
      <c r="T282" s="42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3"/>
      <c r="V282" s="423"/>
      <c r="W282" s="424"/>
      <c r="X282" s="425"/>
      <c r="Y282" s="426" t="str">
        <f t="shared" ca="1" si="57"/>
        <v/>
      </c>
      <c r="Z282" s="427" t="str">
        <f t="shared" ca="1" si="58"/>
        <v/>
      </c>
      <c r="AA282" s="426" t="str">
        <f t="shared" ca="1" si="59"/>
        <v/>
      </c>
      <c r="AB282" s="428" t="str">
        <f t="shared" ca="1" si="60"/>
        <v/>
      </c>
      <c r="AC282" s="427" t="str">
        <f t="shared" ca="1" si="61"/>
        <v/>
      </c>
      <c r="AD282" s="79"/>
      <c r="AN282" s="532" t="str">
        <f t="shared" ca="1" si="56"/>
        <v/>
      </c>
      <c r="AO282" s="526" t="str" cm="1">
        <f t="array" aca="1" ref="AO282" ca="1">IF(AN282&lt;&gt;"",TRANSPOSE(INDEX(GetCDS($C307,AO$13,$G307/10000,F307,D307,$C$13,$C$14,$C$15,$C$8,,,TRUE,TRUE,FALSE,$C$29:$C$31,$C$33),{5})),"")</f>
        <v/>
      </c>
      <c r="AP282" s="526" t="str" cm="1">
        <f t="array" aca="1" ref="AP282" ca="1">IF(AO282&lt;&gt;"",TRANSPOSE(INDEX(GetCDS($C307,AP$13,$G307/10000,G307,E307,$C$13,$C$14,$C$15,$C$8,,,TRUE,TRUE,FALSE,$C$29:$C$31,$C$33),{5})),"")</f>
        <v/>
      </c>
      <c r="AQ282" s="526" t="str" cm="1">
        <f t="array" aca="1" ref="AQ282" ca="1">IF(AP282&lt;&gt;"",TRANSPOSE(INDEX(GetCDS($C307,AQ$13,$G307/10000,H307,F307,$C$13,$C$14,$C$15,$C$8,,,TRUE,TRUE,FALSE,$C$29:$C$31,$C$33),{5})),"")</f>
        <v/>
      </c>
      <c r="AR282" s="526" t="str" cm="1">
        <f t="array" aca="1" ref="AR282" ca="1">IF(AQ282&lt;&gt;"",TRANSPOSE(INDEX(GetCDS($C307,AR$13,$G307/10000,I307,G307,$C$13,$C$14,$C$15,$C$8,,,TRUE,TRUE,FALSE,$C$29:$C$31,$C$33),{5})),"")</f>
        <v/>
      </c>
      <c r="AS282" s="527" t="str" cm="1">
        <f t="array" aca="1" ref="AS282" ca="1">IF(AR282&lt;&gt;"",TRANSPOSE(INDEX(GetCDS($C307,AS$13,$G307/10000,J307,H307,$C$13,$C$14,$C$15,$C$8,,,TRUE,TRUE,FALSE,$C$29:$C$31,$C$33),{5})),"")</f>
        <v/>
      </c>
    </row>
    <row r="283" spans="1:45" customFormat="1" ht="15">
      <c r="A283" s="227"/>
      <c r="B283" s="276">
        <v>245</v>
      </c>
      <c r="C283" s="254"/>
      <c r="D283" s="255"/>
      <c r="E283" s="247"/>
      <c r="F283" s="232"/>
      <c r="G283" s="239"/>
      <c r="H283" s="386">
        <v>269</v>
      </c>
      <c r="I283" s="404"/>
      <c r="J283" s="404"/>
      <c r="K283" s="413"/>
      <c r="L283" s="413"/>
      <c r="M283" s="413"/>
      <c r="N283" s="452"/>
      <c r="O283" s="413"/>
      <c r="P283" s="413"/>
      <c r="Q283" s="413"/>
      <c r="R283" s="452"/>
      <c r="S283" s="443"/>
      <c r="T283" s="42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3"/>
      <c r="V283" s="423"/>
      <c r="W283" s="424"/>
      <c r="X283" s="425"/>
      <c r="Y283" s="426" t="str">
        <f t="shared" ca="1" si="57"/>
        <v/>
      </c>
      <c r="Z283" s="427" t="str">
        <f t="shared" ca="1" si="58"/>
        <v/>
      </c>
      <c r="AA283" s="426" t="str">
        <f t="shared" ca="1" si="59"/>
        <v/>
      </c>
      <c r="AB283" s="428" t="str">
        <f t="shared" ca="1" si="60"/>
        <v/>
      </c>
      <c r="AC283" s="427" t="str">
        <f t="shared" ca="1" si="61"/>
        <v/>
      </c>
      <c r="AD283" s="79"/>
      <c r="AN283" s="532" t="str">
        <f t="shared" ca="1" si="56"/>
        <v/>
      </c>
      <c r="AO283" s="526" t="str" cm="1">
        <f t="array" aca="1" ref="AO283" ca="1">IF(AN283&lt;&gt;"",TRANSPOSE(INDEX(GetCDS($C308,AO$13,$G308/10000,F308,D308,$C$13,$C$14,$C$15,$C$8,,,TRUE,TRUE,FALSE,$C$29:$C$31,$C$33),{5})),"")</f>
        <v/>
      </c>
      <c r="AP283" s="526" t="str" cm="1">
        <f t="array" aca="1" ref="AP283" ca="1">IF(AO283&lt;&gt;"",TRANSPOSE(INDEX(GetCDS($C308,AP$13,$G308/10000,G308,E308,$C$13,$C$14,$C$15,$C$8,,,TRUE,TRUE,FALSE,$C$29:$C$31,$C$33),{5})),"")</f>
        <v/>
      </c>
      <c r="AQ283" s="526" t="str" cm="1">
        <f t="array" aca="1" ref="AQ283" ca="1">IF(AP283&lt;&gt;"",TRANSPOSE(INDEX(GetCDS($C308,AQ$13,$G308/10000,H308,F308,$C$13,$C$14,$C$15,$C$8,,,TRUE,TRUE,FALSE,$C$29:$C$31,$C$33),{5})),"")</f>
        <v/>
      </c>
      <c r="AR283" s="526" t="str" cm="1">
        <f t="array" aca="1" ref="AR283" ca="1">IF(AQ283&lt;&gt;"",TRANSPOSE(INDEX(GetCDS($C308,AR$13,$G308/10000,I308,G308,$C$13,$C$14,$C$15,$C$8,,,TRUE,TRUE,FALSE,$C$29:$C$31,$C$33),{5})),"")</f>
        <v/>
      </c>
      <c r="AS283" s="527" t="str" cm="1">
        <f t="array" aca="1" ref="AS283" ca="1">IF(AR283&lt;&gt;"",TRANSPOSE(INDEX(GetCDS($C308,AS$13,$G308/10000,J308,H308,$C$13,$C$14,$C$15,$C$8,,,TRUE,TRUE,FALSE,$C$29:$C$31,$C$33),{5})),"")</f>
        <v/>
      </c>
    </row>
    <row r="284" spans="1:45" customFormat="1" ht="15">
      <c r="A284" s="227"/>
      <c r="B284" s="276">
        <v>246</v>
      </c>
      <c r="C284" s="254"/>
      <c r="D284" s="255"/>
      <c r="E284" s="247"/>
      <c r="F284" s="232"/>
      <c r="G284" s="239"/>
      <c r="H284" s="386">
        <v>270</v>
      </c>
      <c r="I284" s="404"/>
      <c r="J284" s="404"/>
      <c r="K284" s="413"/>
      <c r="L284" s="413"/>
      <c r="M284" s="413"/>
      <c r="N284" s="452"/>
      <c r="O284" s="413"/>
      <c r="P284" s="413"/>
      <c r="Q284" s="413"/>
      <c r="R284" s="452"/>
      <c r="S284" s="443"/>
      <c r="T284" s="42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3"/>
      <c r="V284" s="423"/>
      <c r="W284" s="424"/>
      <c r="X284" s="425"/>
      <c r="Y284" s="426" t="str">
        <f t="shared" ca="1" si="57"/>
        <v/>
      </c>
      <c r="Z284" s="427" t="str">
        <f t="shared" ca="1" si="58"/>
        <v/>
      </c>
      <c r="AA284" s="426" t="str">
        <f t="shared" ca="1" si="59"/>
        <v/>
      </c>
      <c r="AB284" s="428" t="str">
        <f t="shared" ca="1" si="60"/>
        <v/>
      </c>
      <c r="AC284" s="427" t="str">
        <f t="shared" ca="1" si="61"/>
        <v/>
      </c>
      <c r="AD284" s="79"/>
      <c r="AN284" s="532" t="str">
        <f t="shared" ca="1" si="56"/>
        <v/>
      </c>
      <c r="AO284" s="526" t="str" cm="1">
        <f t="array" aca="1" ref="AO284" ca="1">IF(AN284&lt;&gt;"",TRANSPOSE(INDEX(GetCDS($C309,AO$13,$G309/10000,F309,D309,$C$13,$C$14,$C$15,$C$8,,,TRUE,TRUE,FALSE,$C$29:$C$31,$C$33),{5})),"")</f>
        <v/>
      </c>
      <c r="AP284" s="526" t="str" cm="1">
        <f t="array" aca="1" ref="AP284" ca="1">IF(AO284&lt;&gt;"",TRANSPOSE(INDEX(GetCDS($C309,AP$13,$G309/10000,G309,E309,$C$13,$C$14,$C$15,$C$8,,,TRUE,TRUE,FALSE,$C$29:$C$31,$C$33),{5})),"")</f>
        <v/>
      </c>
      <c r="AQ284" s="526" t="str" cm="1">
        <f t="array" aca="1" ref="AQ284" ca="1">IF(AP284&lt;&gt;"",TRANSPOSE(INDEX(GetCDS($C309,AQ$13,$G309/10000,H309,F309,$C$13,$C$14,$C$15,$C$8,,,TRUE,TRUE,FALSE,$C$29:$C$31,$C$33),{5})),"")</f>
        <v/>
      </c>
      <c r="AR284" s="526" t="str" cm="1">
        <f t="array" aca="1" ref="AR284" ca="1">IF(AQ284&lt;&gt;"",TRANSPOSE(INDEX(GetCDS($C309,AR$13,$G309/10000,I309,G309,$C$13,$C$14,$C$15,$C$8,,,TRUE,TRUE,FALSE,$C$29:$C$31,$C$33),{5})),"")</f>
        <v/>
      </c>
      <c r="AS284" s="527" t="str" cm="1">
        <f t="array" aca="1" ref="AS284" ca="1">IF(AR284&lt;&gt;"",TRANSPOSE(INDEX(GetCDS($C309,AS$13,$G309/10000,J309,H309,$C$13,$C$14,$C$15,$C$8,,,TRUE,TRUE,FALSE,$C$29:$C$31,$C$33),{5})),"")</f>
        <v/>
      </c>
    </row>
    <row r="285" spans="1:45" customFormat="1" ht="15">
      <c r="A285" s="227"/>
      <c r="B285" s="276">
        <v>247</v>
      </c>
      <c r="C285" s="254"/>
      <c r="D285" s="255"/>
      <c r="E285" s="247"/>
      <c r="F285" s="232"/>
      <c r="G285" s="239"/>
      <c r="H285" s="386">
        <v>271</v>
      </c>
      <c r="I285" s="404"/>
      <c r="J285" s="404"/>
      <c r="K285" s="413"/>
      <c r="L285" s="413"/>
      <c r="M285" s="413"/>
      <c r="N285" s="452"/>
      <c r="O285" s="413"/>
      <c r="P285" s="413"/>
      <c r="Q285" s="413"/>
      <c r="R285" s="452"/>
      <c r="S285" s="443"/>
      <c r="T285" s="42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3"/>
      <c r="V285" s="423"/>
      <c r="W285" s="424"/>
      <c r="X285" s="425"/>
      <c r="Y285" s="426" t="str">
        <f t="shared" ca="1" si="57"/>
        <v/>
      </c>
      <c r="Z285" s="427" t="str">
        <f t="shared" ca="1" si="58"/>
        <v/>
      </c>
      <c r="AA285" s="426" t="str">
        <f t="shared" ca="1" si="59"/>
        <v/>
      </c>
      <c r="AB285" s="428" t="str">
        <f t="shared" ca="1" si="60"/>
        <v/>
      </c>
      <c r="AC285" s="427" t="str">
        <f t="shared" ca="1" si="61"/>
        <v/>
      </c>
      <c r="AD285" s="79"/>
      <c r="AN285" s="532" t="str">
        <f t="shared" ca="1" si="56"/>
        <v/>
      </c>
      <c r="AO285" s="526" t="str" cm="1">
        <f t="array" aca="1" ref="AO285" ca="1">IF(AN285&lt;&gt;"",TRANSPOSE(INDEX(GetCDS($C310,AO$13,$G310/10000,F310,D310,$C$13,$C$14,$C$15,$C$8,,,TRUE,TRUE,FALSE,$C$29:$C$31,$C$33),{5})),"")</f>
        <v/>
      </c>
      <c r="AP285" s="526" t="str" cm="1">
        <f t="array" aca="1" ref="AP285" ca="1">IF(AO285&lt;&gt;"",TRANSPOSE(INDEX(GetCDS($C310,AP$13,$G310/10000,G310,E310,$C$13,$C$14,$C$15,$C$8,,,TRUE,TRUE,FALSE,$C$29:$C$31,$C$33),{5})),"")</f>
        <v/>
      </c>
      <c r="AQ285" s="526" t="str" cm="1">
        <f t="array" aca="1" ref="AQ285" ca="1">IF(AP285&lt;&gt;"",TRANSPOSE(INDEX(GetCDS($C310,AQ$13,$G310/10000,H310,F310,$C$13,$C$14,$C$15,$C$8,,,TRUE,TRUE,FALSE,$C$29:$C$31,$C$33),{5})),"")</f>
        <v/>
      </c>
      <c r="AR285" s="526" t="str" cm="1">
        <f t="array" aca="1" ref="AR285" ca="1">IF(AQ285&lt;&gt;"",TRANSPOSE(INDEX(GetCDS($C310,AR$13,$G310/10000,I310,G310,$C$13,$C$14,$C$15,$C$8,,,TRUE,TRUE,FALSE,$C$29:$C$31,$C$33),{5})),"")</f>
        <v/>
      </c>
      <c r="AS285" s="527" t="str" cm="1">
        <f t="array" aca="1" ref="AS285" ca="1">IF(AR285&lt;&gt;"",TRANSPOSE(INDEX(GetCDS($C310,AS$13,$G310/10000,J310,H310,$C$13,$C$14,$C$15,$C$8,,,TRUE,TRUE,FALSE,$C$29:$C$31,$C$33),{5})),"")</f>
        <v/>
      </c>
    </row>
    <row r="286" spans="1:45" customFormat="1" ht="15">
      <c r="A286" s="227"/>
      <c r="B286" s="276">
        <v>248</v>
      </c>
      <c r="C286" s="254"/>
      <c r="D286" s="255"/>
      <c r="E286" s="247"/>
      <c r="F286" s="232"/>
      <c r="G286" s="239"/>
      <c r="H286" s="386">
        <v>272</v>
      </c>
      <c r="I286" s="404"/>
      <c r="J286" s="404"/>
      <c r="K286" s="413"/>
      <c r="L286" s="413"/>
      <c r="M286" s="413"/>
      <c r="N286" s="452"/>
      <c r="O286" s="413"/>
      <c r="P286" s="413"/>
      <c r="Q286" s="413"/>
      <c r="R286" s="452"/>
      <c r="S286" s="443"/>
      <c r="T286" s="42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3"/>
      <c r="V286" s="423"/>
      <c r="W286" s="424"/>
      <c r="X286" s="425"/>
      <c r="Y286" s="426" t="str">
        <f t="shared" ca="1" si="57"/>
        <v/>
      </c>
      <c r="Z286" s="427" t="str">
        <f t="shared" ca="1" si="58"/>
        <v/>
      </c>
      <c r="AA286" s="426" t="str">
        <f t="shared" ca="1" si="59"/>
        <v/>
      </c>
      <c r="AB286" s="428" t="str">
        <f t="shared" ca="1" si="60"/>
        <v/>
      </c>
      <c r="AC286" s="427" t="str">
        <f t="shared" ca="1" si="61"/>
        <v/>
      </c>
      <c r="AD286" s="79"/>
      <c r="AN286" s="532" t="str">
        <f t="shared" ca="1" si="56"/>
        <v/>
      </c>
      <c r="AO286" s="526" t="str" cm="1">
        <f t="array" aca="1" ref="AO286" ca="1">IF(AN286&lt;&gt;"",TRANSPOSE(INDEX(GetCDS($C311,AO$13,$G311/10000,F311,D311,$C$13,$C$14,$C$15,$C$8,,,TRUE,TRUE,FALSE,$C$29:$C$31,$C$33),{5})),"")</f>
        <v/>
      </c>
      <c r="AP286" s="526" t="str" cm="1">
        <f t="array" aca="1" ref="AP286" ca="1">IF(AO286&lt;&gt;"",TRANSPOSE(INDEX(GetCDS($C311,AP$13,$G311/10000,G311,E311,$C$13,$C$14,$C$15,$C$8,,,TRUE,TRUE,FALSE,$C$29:$C$31,$C$33),{5})),"")</f>
        <v/>
      </c>
      <c r="AQ286" s="526" t="str" cm="1">
        <f t="array" aca="1" ref="AQ286" ca="1">IF(AP286&lt;&gt;"",TRANSPOSE(INDEX(GetCDS($C311,AQ$13,$G311/10000,H311,F311,$C$13,$C$14,$C$15,$C$8,,,TRUE,TRUE,FALSE,$C$29:$C$31,$C$33),{5})),"")</f>
        <v/>
      </c>
      <c r="AR286" s="526" t="str" cm="1">
        <f t="array" aca="1" ref="AR286" ca="1">IF(AQ286&lt;&gt;"",TRANSPOSE(INDEX(GetCDS($C311,AR$13,$G311/10000,I311,G311,$C$13,$C$14,$C$15,$C$8,,,TRUE,TRUE,FALSE,$C$29:$C$31,$C$33),{5})),"")</f>
        <v/>
      </c>
      <c r="AS286" s="527" t="str" cm="1">
        <f t="array" aca="1" ref="AS286" ca="1">IF(AR286&lt;&gt;"",TRANSPOSE(INDEX(GetCDS($C311,AS$13,$G311/10000,J311,H311,$C$13,$C$14,$C$15,$C$8,,,TRUE,TRUE,FALSE,$C$29:$C$31,$C$33),{5})),"")</f>
        <v/>
      </c>
    </row>
    <row r="287" spans="1:45" customFormat="1" ht="15">
      <c r="A287" s="227"/>
      <c r="B287" s="276">
        <v>249</v>
      </c>
      <c r="C287" s="254"/>
      <c r="D287" s="255"/>
      <c r="E287" s="247"/>
      <c r="F287" s="232"/>
      <c r="G287" s="239"/>
      <c r="H287" s="386">
        <v>273</v>
      </c>
      <c r="I287" s="404"/>
      <c r="J287" s="404"/>
      <c r="K287" s="413"/>
      <c r="L287" s="413"/>
      <c r="M287" s="413"/>
      <c r="N287" s="452"/>
      <c r="O287" s="413"/>
      <c r="P287" s="413"/>
      <c r="Q287" s="413"/>
      <c r="R287" s="452"/>
      <c r="S287" s="443"/>
      <c r="T287" s="42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3"/>
      <c r="V287" s="423"/>
      <c r="W287" s="424"/>
      <c r="X287" s="425"/>
      <c r="Y287" s="426" t="str">
        <f t="shared" ca="1" si="57"/>
        <v/>
      </c>
      <c r="Z287" s="427" t="str">
        <f t="shared" ca="1" si="58"/>
        <v/>
      </c>
      <c r="AA287" s="426" t="str">
        <f t="shared" ca="1" si="59"/>
        <v/>
      </c>
      <c r="AB287" s="428" t="str">
        <f t="shared" ca="1" si="60"/>
        <v/>
      </c>
      <c r="AC287" s="427" t="str">
        <f t="shared" ca="1" si="61"/>
        <v/>
      </c>
      <c r="AD287" s="79"/>
      <c r="AN287" s="532" t="str">
        <f t="shared" ca="1" si="56"/>
        <v/>
      </c>
      <c r="AO287" s="526" t="str" cm="1">
        <f t="array" aca="1" ref="AO287" ca="1">IF(AN287&lt;&gt;"",TRANSPOSE(INDEX(GetCDS($C312,AO$13,$G312/10000,F312,D312,$C$13,$C$14,$C$15,$C$8,,,TRUE,TRUE,FALSE,$C$29:$C$31,$C$33),{5})),"")</f>
        <v/>
      </c>
      <c r="AP287" s="526" t="str" cm="1">
        <f t="array" aca="1" ref="AP287" ca="1">IF(AO287&lt;&gt;"",TRANSPOSE(INDEX(GetCDS($C312,AP$13,$G312/10000,G312,E312,$C$13,$C$14,$C$15,$C$8,,,TRUE,TRUE,FALSE,$C$29:$C$31,$C$33),{5})),"")</f>
        <v/>
      </c>
      <c r="AQ287" s="526" t="str" cm="1">
        <f t="array" aca="1" ref="AQ287" ca="1">IF(AP287&lt;&gt;"",TRANSPOSE(INDEX(GetCDS($C312,AQ$13,$G312/10000,H312,F312,$C$13,$C$14,$C$15,$C$8,,,TRUE,TRUE,FALSE,$C$29:$C$31,$C$33),{5})),"")</f>
        <v/>
      </c>
      <c r="AR287" s="526" t="str" cm="1">
        <f t="array" aca="1" ref="AR287" ca="1">IF(AQ287&lt;&gt;"",TRANSPOSE(INDEX(GetCDS($C312,AR$13,$G312/10000,I312,G312,$C$13,$C$14,$C$15,$C$8,,,TRUE,TRUE,FALSE,$C$29:$C$31,$C$33),{5})),"")</f>
        <v/>
      </c>
      <c r="AS287" s="527" t="str" cm="1">
        <f t="array" aca="1" ref="AS287" ca="1">IF(AR287&lt;&gt;"",TRANSPOSE(INDEX(GetCDS($C312,AS$13,$G312/10000,J312,H312,$C$13,$C$14,$C$15,$C$8,,,TRUE,TRUE,FALSE,$C$29:$C$31,$C$33),{5})),"")</f>
        <v/>
      </c>
    </row>
    <row r="288" spans="1:45" customFormat="1" ht="15">
      <c r="A288" s="227"/>
      <c r="B288" s="276">
        <v>250</v>
      </c>
      <c r="C288" s="254"/>
      <c r="D288" s="255"/>
      <c r="E288" s="247"/>
      <c r="F288" s="232"/>
      <c r="G288" s="239"/>
      <c r="H288" s="386">
        <v>274</v>
      </c>
      <c r="I288" s="404"/>
      <c r="J288" s="404"/>
      <c r="K288" s="413"/>
      <c r="L288" s="413"/>
      <c r="M288" s="413"/>
      <c r="N288" s="452"/>
      <c r="O288" s="413"/>
      <c r="P288" s="413"/>
      <c r="Q288" s="413"/>
      <c r="R288" s="452"/>
      <c r="S288" s="443"/>
      <c r="T288" s="42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3"/>
      <c r="V288" s="423"/>
      <c r="W288" s="424"/>
      <c r="X288" s="425"/>
      <c r="Y288" s="426" t="str">
        <f t="shared" ca="1" si="57"/>
        <v/>
      </c>
      <c r="Z288" s="427" t="str">
        <f t="shared" ca="1" si="58"/>
        <v/>
      </c>
      <c r="AA288" s="426" t="str">
        <f t="shared" ca="1" si="59"/>
        <v/>
      </c>
      <c r="AB288" s="428" t="str">
        <f t="shared" ca="1" si="60"/>
        <v/>
      </c>
      <c r="AC288" s="427" t="str">
        <f t="shared" ca="1" si="61"/>
        <v/>
      </c>
      <c r="AD288" s="79"/>
      <c r="AN288" s="532" t="str">
        <f t="shared" ca="1" si="56"/>
        <v/>
      </c>
      <c r="AO288" s="526" t="str" cm="1">
        <f t="array" aca="1" ref="AO288" ca="1">IF(AN288&lt;&gt;"",TRANSPOSE(INDEX(GetCDS($C313,AO$13,$G313/10000,F313,D313,$C$13,$C$14,$C$15,$C$8,,,TRUE,TRUE,FALSE,$C$29:$C$31,$C$33),{5})),"")</f>
        <v/>
      </c>
      <c r="AP288" s="526" t="str" cm="1">
        <f t="array" aca="1" ref="AP288" ca="1">IF(AO288&lt;&gt;"",TRANSPOSE(INDEX(GetCDS($C313,AP$13,$G313/10000,G313,E313,$C$13,$C$14,$C$15,$C$8,,,TRUE,TRUE,FALSE,$C$29:$C$31,$C$33),{5})),"")</f>
        <v/>
      </c>
      <c r="AQ288" s="526" t="str" cm="1">
        <f t="array" aca="1" ref="AQ288" ca="1">IF(AP288&lt;&gt;"",TRANSPOSE(INDEX(GetCDS($C313,AQ$13,$G313/10000,H313,F313,$C$13,$C$14,$C$15,$C$8,,,TRUE,TRUE,FALSE,$C$29:$C$31,$C$33),{5})),"")</f>
        <v/>
      </c>
      <c r="AR288" s="526" t="str" cm="1">
        <f t="array" aca="1" ref="AR288" ca="1">IF(AQ288&lt;&gt;"",TRANSPOSE(INDEX(GetCDS($C313,AR$13,$G313/10000,I313,G313,$C$13,$C$14,$C$15,$C$8,,,TRUE,TRUE,FALSE,$C$29:$C$31,$C$33),{5})),"")</f>
        <v/>
      </c>
      <c r="AS288" s="527" t="str" cm="1">
        <f t="array" aca="1" ref="AS288" ca="1">IF(AR288&lt;&gt;"",TRANSPOSE(INDEX(GetCDS($C313,AS$13,$G313/10000,J313,H313,$C$13,$C$14,$C$15,$C$8,,,TRUE,TRUE,FALSE,$C$29:$C$31,$C$33),{5})),"")</f>
        <v/>
      </c>
    </row>
    <row r="289" spans="1:45" customFormat="1" ht="15">
      <c r="A289" s="227"/>
      <c r="B289" s="276">
        <v>251</v>
      </c>
      <c r="C289" s="254"/>
      <c r="D289" s="255"/>
      <c r="E289" s="247"/>
      <c r="F289" s="232"/>
      <c r="G289" s="239"/>
      <c r="H289" s="386">
        <v>275</v>
      </c>
      <c r="I289" s="404"/>
      <c r="J289" s="404"/>
      <c r="K289" s="413"/>
      <c r="L289" s="413"/>
      <c r="M289" s="413"/>
      <c r="N289" s="452"/>
      <c r="O289" s="413"/>
      <c r="P289" s="413"/>
      <c r="Q289" s="413"/>
      <c r="R289" s="452"/>
      <c r="S289" s="443"/>
      <c r="T289" s="42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3"/>
      <c r="V289" s="423"/>
      <c r="W289" s="424"/>
      <c r="X289" s="425"/>
      <c r="Y289" s="426" t="str">
        <f t="shared" ca="1" si="57"/>
        <v/>
      </c>
      <c r="Z289" s="427" t="str">
        <f t="shared" ca="1" si="58"/>
        <v/>
      </c>
      <c r="AA289" s="426" t="str">
        <f t="shared" ca="1" si="59"/>
        <v/>
      </c>
      <c r="AB289" s="428" t="str">
        <f t="shared" ca="1" si="60"/>
        <v/>
      </c>
      <c r="AC289" s="427" t="str">
        <f t="shared" ca="1" si="61"/>
        <v/>
      </c>
      <c r="AD289" s="79"/>
      <c r="AN289" s="532" t="str">
        <f t="shared" ca="1" si="56"/>
        <v/>
      </c>
      <c r="AO289" s="526" t="str" cm="1">
        <f t="array" aca="1" ref="AO289" ca="1">IF(AN289&lt;&gt;"",TRANSPOSE(INDEX(GetCDS($C314,AO$13,$G314/10000,F314,D314,$C$13,$C$14,$C$15,$C$8,,,TRUE,TRUE,FALSE,$C$29:$C$31,$C$33),{5})),"")</f>
        <v/>
      </c>
      <c r="AP289" s="526" t="str" cm="1">
        <f t="array" aca="1" ref="AP289" ca="1">IF(AO289&lt;&gt;"",TRANSPOSE(INDEX(GetCDS($C314,AP$13,$G314/10000,G314,E314,$C$13,$C$14,$C$15,$C$8,,,TRUE,TRUE,FALSE,$C$29:$C$31,$C$33),{5})),"")</f>
        <v/>
      </c>
      <c r="AQ289" s="526" t="str" cm="1">
        <f t="array" aca="1" ref="AQ289" ca="1">IF(AP289&lt;&gt;"",TRANSPOSE(INDEX(GetCDS($C314,AQ$13,$G314/10000,H314,F314,$C$13,$C$14,$C$15,$C$8,,,TRUE,TRUE,FALSE,$C$29:$C$31,$C$33),{5})),"")</f>
        <v/>
      </c>
      <c r="AR289" s="526" t="str" cm="1">
        <f t="array" aca="1" ref="AR289" ca="1">IF(AQ289&lt;&gt;"",TRANSPOSE(INDEX(GetCDS($C314,AR$13,$G314/10000,I314,G314,$C$13,$C$14,$C$15,$C$8,,,TRUE,TRUE,FALSE,$C$29:$C$31,$C$33),{5})),"")</f>
        <v/>
      </c>
      <c r="AS289" s="527" t="str" cm="1">
        <f t="array" aca="1" ref="AS289" ca="1">IF(AR289&lt;&gt;"",TRANSPOSE(INDEX(GetCDS($C314,AS$13,$G314/10000,J314,H314,$C$13,$C$14,$C$15,$C$8,,,TRUE,TRUE,FALSE,$C$29:$C$31,$C$33),{5})),"")</f>
        <v/>
      </c>
    </row>
    <row r="290" spans="1:45" customFormat="1" ht="15">
      <c r="A290" s="227"/>
      <c r="B290" s="276">
        <v>252</v>
      </c>
      <c r="C290" s="254"/>
      <c r="D290" s="255"/>
      <c r="E290" s="247"/>
      <c r="F290" s="232"/>
      <c r="G290" s="239"/>
      <c r="H290" s="386">
        <v>276</v>
      </c>
      <c r="I290" s="404"/>
      <c r="J290" s="404"/>
      <c r="K290" s="413"/>
      <c r="L290" s="413"/>
      <c r="M290" s="413"/>
      <c r="N290" s="452"/>
      <c r="O290" s="413"/>
      <c r="P290" s="413"/>
      <c r="Q290" s="413"/>
      <c r="R290" s="452"/>
      <c r="S290" s="443"/>
      <c r="T290" s="42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3"/>
      <c r="V290" s="423"/>
      <c r="W290" s="424"/>
      <c r="X290" s="425"/>
      <c r="Y290" s="426" t="str">
        <f t="shared" ca="1" si="57"/>
        <v/>
      </c>
      <c r="Z290" s="427" t="str">
        <f t="shared" ca="1" si="58"/>
        <v/>
      </c>
      <c r="AA290" s="426" t="str">
        <f t="shared" ca="1" si="59"/>
        <v/>
      </c>
      <c r="AB290" s="428" t="str">
        <f t="shared" ca="1" si="60"/>
        <v/>
      </c>
      <c r="AC290" s="427" t="str">
        <f t="shared" ca="1" si="61"/>
        <v/>
      </c>
      <c r="AD290" s="79"/>
      <c r="AN290" s="532" t="str">
        <f t="shared" ca="1" si="56"/>
        <v/>
      </c>
      <c r="AO290" s="526" t="str" cm="1">
        <f t="array" aca="1" ref="AO290" ca="1">IF(AN290&lt;&gt;"",TRANSPOSE(INDEX(GetCDS($C315,AO$13,$G315/10000,F315,D315,$C$13,$C$14,$C$15,$C$8,,,TRUE,TRUE,FALSE,$C$29:$C$31,$C$33),{5})),"")</f>
        <v/>
      </c>
      <c r="AP290" s="526" t="str" cm="1">
        <f t="array" aca="1" ref="AP290" ca="1">IF(AO290&lt;&gt;"",TRANSPOSE(INDEX(GetCDS($C315,AP$13,$G315/10000,G315,E315,$C$13,$C$14,$C$15,$C$8,,,TRUE,TRUE,FALSE,$C$29:$C$31,$C$33),{5})),"")</f>
        <v/>
      </c>
      <c r="AQ290" s="526" t="str" cm="1">
        <f t="array" aca="1" ref="AQ290" ca="1">IF(AP290&lt;&gt;"",TRANSPOSE(INDEX(GetCDS($C315,AQ$13,$G315/10000,H315,F315,$C$13,$C$14,$C$15,$C$8,,,TRUE,TRUE,FALSE,$C$29:$C$31,$C$33),{5})),"")</f>
        <v/>
      </c>
      <c r="AR290" s="526" t="str" cm="1">
        <f t="array" aca="1" ref="AR290" ca="1">IF(AQ290&lt;&gt;"",TRANSPOSE(INDEX(GetCDS($C315,AR$13,$G315/10000,I315,G315,$C$13,$C$14,$C$15,$C$8,,,TRUE,TRUE,FALSE,$C$29:$C$31,$C$33),{5})),"")</f>
        <v/>
      </c>
      <c r="AS290" s="527" t="str" cm="1">
        <f t="array" aca="1" ref="AS290" ca="1">IF(AR290&lt;&gt;"",TRANSPOSE(INDEX(GetCDS($C315,AS$13,$G315/10000,J315,H315,$C$13,$C$14,$C$15,$C$8,,,TRUE,TRUE,FALSE,$C$29:$C$31,$C$33),{5})),"")</f>
        <v/>
      </c>
    </row>
    <row r="291" spans="1:45" customFormat="1" ht="15">
      <c r="A291" s="227"/>
      <c r="B291" s="276">
        <v>253</v>
      </c>
      <c r="C291" s="254"/>
      <c r="D291" s="255"/>
      <c r="E291" s="247"/>
      <c r="F291" s="232"/>
      <c r="G291" s="239"/>
      <c r="H291" s="386">
        <v>277</v>
      </c>
      <c r="I291" s="404"/>
      <c r="J291" s="404"/>
      <c r="K291" s="413"/>
      <c r="L291" s="413"/>
      <c r="M291" s="413"/>
      <c r="N291" s="452"/>
      <c r="O291" s="413"/>
      <c r="P291" s="413"/>
      <c r="Q291" s="413"/>
      <c r="R291" s="452"/>
      <c r="S291" s="443"/>
      <c r="T291" s="42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3"/>
      <c r="V291" s="423"/>
      <c r="W291" s="424"/>
      <c r="X291" s="425"/>
      <c r="Y291" s="426" t="str">
        <f t="shared" ca="1" si="57"/>
        <v/>
      </c>
      <c r="Z291" s="427" t="str">
        <f t="shared" ca="1" si="58"/>
        <v/>
      </c>
      <c r="AA291" s="426" t="str">
        <f t="shared" ca="1" si="59"/>
        <v/>
      </c>
      <c r="AB291" s="428" t="str">
        <f t="shared" ca="1" si="60"/>
        <v/>
      </c>
      <c r="AC291" s="427" t="str">
        <f t="shared" ca="1" si="61"/>
        <v/>
      </c>
      <c r="AD291" s="79"/>
      <c r="AN291" s="532" t="str">
        <f t="shared" ca="1" si="56"/>
        <v/>
      </c>
      <c r="AO291" s="526" t="str" cm="1">
        <f t="array" aca="1" ref="AO291" ca="1">IF(AN291&lt;&gt;"",TRANSPOSE(INDEX(GetCDS($C316,AO$13,$G316/10000,F316,D316,$C$13,$C$14,$C$15,$C$8,,,TRUE,TRUE,FALSE,$C$29:$C$31,$C$33),{5})),"")</f>
        <v/>
      </c>
      <c r="AP291" s="526" t="str" cm="1">
        <f t="array" aca="1" ref="AP291" ca="1">IF(AO291&lt;&gt;"",TRANSPOSE(INDEX(GetCDS($C316,AP$13,$G316/10000,G316,E316,$C$13,$C$14,$C$15,$C$8,,,TRUE,TRUE,FALSE,$C$29:$C$31,$C$33),{5})),"")</f>
        <v/>
      </c>
      <c r="AQ291" s="526" t="str" cm="1">
        <f t="array" aca="1" ref="AQ291" ca="1">IF(AP291&lt;&gt;"",TRANSPOSE(INDEX(GetCDS($C316,AQ$13,$G316/10000,H316,F316,$C$13,$C$14,$C$15,$C$8,,,TRUE,TRUE,FALSE,$C$29:$C$31,$C$33),{5})),"")</f>
        <v/>
      </c>
      <c r="AR291" s="526" t="str" cm="1">
        <f t="array" aca="1" ref="AR291" ca="1">IF(AQ291&lt;&gt;"",TRANSPOSE(INDEX(GetCDS($C316,AR$13,$G316/10000,I316,G316,$C$13,$C$14,$C$15,$C$8,,,TRUE,TRUE,FALSE,$C$29:$C$31,$C$33),{5})),"")</f>
        <v/>
      </c>
      <c r="AS291" s="527" t="str" cm="1">
        <f t="array" aca="1" ref="AS291" ca="1">IF(AR291&lt;&gt;"",TRANSPOSE(INDEX(GetCDS($C316,AS$13,$G316/10000,J316,H316,$C$13,$C$14,$C$15,$C$8,,,TRUE,TRUE,FALSE,$C$29:$C$31,$C$33),{5})),"")</f>
        <v/>
      </c>
    </row>
    <row r="292" spans="1:45" customFormat="1" ht="15">
      <c r="A292" s="227"/>
      <c r="B292" s="276">
        <v>254</v>
      </c>
      <c r="C292" s="254"/>
      <c r="D292" s="255"/>
      <c r="E292" s="247"/>
      <c r="F292" s="232"/>
      <c r="G292" s="239"/>
      <c r="H292" s="386">
        <v>278</v>
      </c>
      <c r="I292" s="404"/>
      <c r="J292" s="404"/>
      <c r="K292" s="413"/>
      <c r="L292" s="413"/>
      <c r="M292" s="413"/>
      <c r="N292" s="452"/>
      <c r="O292" s="413"/>
      <c r="P292" s="413"/>
      <c r="Q292" s="413"/>
      <c r="R292" s="452"/>
      <c r="S292" s="443"/>
      <c r="T292" s="42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3"/>
      <c r="V292" s="423"/>
      <c r="W292" s="424"/>
      <c r="X292" s="425"/>
      <c r="Y292" s="426" t="str">
        <f t="shared" ca="1" si="57"/>
        <v/>
      </c>
      <c r="Z292" s="427" t="str">
        <f t="shared" ca="1" si="58"/>
        <v/>
      </c>
      <c r="AA292" s="426" t="str">
        <f t="shared" ca="1" si="59"/>
        <v/>
      </c>
      <c r="AB292" s="428" t="str">
        <f t="shared" ca="1" si="60"/>
        <v/>
      </c>
      <c r="AC292" s="427" t="str">
        <f t="shared" ca="1" si="61"/>
        <v/>
      </c>
      <c r="AD292" s="79"/>
      <c r="AN292" s="532" t="str">
        <f t="shared" ca="1" si="56"/>
        <v/>
      </c>
      <c r="AO292" s="526" t="str" cm="1">
        <f t="array" aca="1" ref="AO292" ca="1">IF(AN292&lt;&gt;"",TRANSPOSE(INDEX(GetCDS($C317,AO$13,$G317/10000,F317,D317,$C$13,$C$14,$C$15,$C$8,,,TRUE,TRUE,FALSE,$C$29:$C$31,$C$33),{5})),"")</f>
        <v/>
      </c>
      <c r="AP292" s="526" t="str" cm="1">
        <f t="array" aca="1" ref="AP292" ca="1">IF(AO292&lt;&gt;"",TRANSPOSE(INDEX(GetCDS($C317,AP$13,$G317/10000,G317,E317,$C$13,$C$14,$C$15,$C$8,,,TRUE,TRUE,FALSE,$C$29:$C$31,$C$33),{5})),"")</f>
        <v/>
      </c>
      <c r="AQ292" s="526" t="str" cm="1">
        <f t="array" aca="1" ref="AQ292" ca="1">IF(AP292&lt;&gt;"",TRANSPOSE(INDEX(GetCDS($C317,AQ$13,$G317/10000,H317,F317,$C$13,$C$14,$C$15,$C$8,,,TRUE,TRUE,FALSE,$C$29:$C$31,$C$33),{5})),"")</f>
        <v/>
      </c>
      <c r="AR292" s="526" t="str" cm="1">
        <f t="array" aca="1" ref="AR292" ca="1">IF(AQ292&lt;&gt;"",TRANSPOSE(INDEX(GetCDS($C317,AR$13,$G317/10000,I317,G317,$C$13,$C$14,$C$15,$C$8,,,TRUE,TRUE,FALSE,$C$29:$C$31,$C$33),{5})),"")</f>
        <v/>
      </c>
      <c r="AS292" s="527" t="str" cm="1">
        <f t="array" aca="1" ref="AS292" ca="1">IF(AR292&lt;&gt;"",TRANSPOSE(INDEX(GetCDS($C317,AS$13,$G317/10000,J317,H317,$C$13,$C$14,$C$15,$C$8,,,TRUE,TRUE,FALSE,$C$29:$C$31,$C$33),{5})),"")</f>
        <v/>
      </c>
    </row>
    <row r="293" spans="1:45" customFormat="1" ht="15">
      <c r="A293" s="227"/>
      <c r="B293" s="276">
        <v>255</v>
      </c>
      <c r="C293" s="254"/>
      <c r="D293" s="255"/>
      <c r="E293" s="247"/>
      <c r="F293" s="232"/>
      <c r="G293" s="239"/>
      <c r="H293" s="386">
        <v>279</v>
      </c>
      <c r="I293" s="404"/>
      <c r="J293" s="404"/>
      <c r="K293" s="413"/>
      <c r="L293" s="413"/>
      <c r="M293" s="413"/>
      <c r="N293" s="452"/>
      <c r="O293" s="413"/>
      <c r="P293" s="413"/>
      <c r="Q293" s="413"/>
      <c r="R293" s="452"/>
      <c r="S293" s="443"/>
      <c r="T293" s="42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3"/>
      <c r="V293" s="423"/>
      <c r="W293" s="424"/>
      <c r="X293" s="425"/>
      <c r="Y293" s="426" t="str">
        <f t="shared" ca="1" si="57"/>
        <v/>
      </c>
      <c r="Z293" s="427" t="str">
        <f t="shared" ca="1" si="58"/>
        <v/>
      </c>
      <c r="AA293" s="426" t="str">
        <f t="shared" ca="1" si="59"/>
        <v/>
      </c>
      <c r="AB293" s="428" t="str">
        <f t="shared" ca="1" si="60"/>
        <v/>
      </c>
      <c r="AC293" s="427" t="str">
        <f t="shared" ca="1" si="61"/>
        <v/>
      </c>
      <c r="AD293" s="79"/>
      <c r="AN293" s="532" t="str">
        <f t="shared" ca="1" si="56"/>
        <v/>
      </c>
      <c r="AO293" s="526" t="str" cm="1">
        <f t="array" aca="1" ref="AO293" ca="1">IF(AN293&lt;&gt;"",TRANSPOSE(INDEX(GetCDS($C318,AO$13,$G318/10000,F318,D318,$C$13,$C$14,$C$15,$C$8,,,TRUE,TRUE,FALSE,$C$29:$C$31,$C$33),{5})),"")</f>
        <v/>
      </c>
      <c r="AP293" s="526" t="str" cm="1">
        <f t="array" aca="1" ref="AP293" ca="1">IF(AO293&lt;&gt;"",TRANSPOSE(INDEX(GetCDS($C318,AP$13,$G318/10000,G318,E318,$C$13,$C$14,$C$15,$C$8,,,TRUE,TRUE,FALSE,$C$29:$C$31,$C$33),{5})),"")</f>
        <v/>
      </c>
      <c r="AQ293" s="526" t="str" cm="1">
        <f t="array" aca="1" ref="AQ293" ca="1">IF(AP293&lt;&gt;"",TRANSPOSE(INDEX(GetCDS($C318,AQ$13,$G318/10000,H318,F318,$C$13,$C$14,$C$15,$C$8,,,TRUE,TRUE,FALSE,$C$29:$C$31,$C$33),{5})),"")</f>
        <v/>
      </c>
      <c r="AR293" s="526" t="str" cm="1">
        <f t="array" aca="1" ref="AR293" ca="1">IF(AQ293&lt;&gt;"",TRANSPOSE(INDEX(GetCDS($C318,AR$13,$G318/10000,I318,G318,$C$13,$C$14,$C$15,$C$8,,,TRUE,TRUE,FALSE,$C$29:$C$31,$C$33),{5})),"")</f>
        <v/>
      </c>
      <c r="AS293" s="527" t="str" cm="1">
        <f t="array" aca="1" ref="AS293" ca="1">IF(AR293&lt;&gt;"",TRANSPOSE(INDEX(GetCDS($C318,AS$13,$G318/10000,J318,H318,$C$13,$C$14,$C$15,$C$8,,,TRUE,TRUE,FALSE,$C$29:$C$31,$C$33),{5})),"")</f>
        <v/>
      </c>
    </row>
    <row r="294" spans="1:45" customFormat="1" ht="15">
      <c r="A294" s="227"/>
      <c r="B294" s="276">
        <v>256</v>
      </c>
      <c r="C294" s="254"/>
      <c r="D294" s="255"/>
      <c r="E294" s="247"/>
      <c r="F294" s="232"/>
      <c r="G294" s="239"/>
      <c r="H294" s="386">
        <v>280</v>
      </c>
      <c r="I294" s="404"/>
      <c r="J294" s="404"/>
      <c r="K294" s="413"/>
      <c r="L294" s="413"/>
      <c r="M294" s="413"/>
      <c r="N294" s="452"/>
      <c r="O294" s="413"/>
      <c r="P294" s="413"/>
      <c r="Q294" s="413"/>
      <c r="R294" s="452"/>
      <c r="S294" s="443"/>
      <c r="T294" s="42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3"/>
      <c r="V294" s="423"/>
      <c r="W294" s="424"/>
      <c r="X294" s="425"/>
      <c r="Y294" s="426" t="str">
        <f t="shared" ca="1" si="57"/>
        <v/>
      </c>
      <c r="Z294" s="427" t="str">
        <f t="shared" ca="1" si="58"/>
        <v/>
      </c>
      <c r="AA294" s="426" t="str">
        <f t="shared" ca="1" si="59"/>
        <v/>
      </c>
      <c r="AB294" s="428" t="str">
        <f t="shared" ca="1" si="60"/>
        <v/>
      </c>
      <c r="AC294" s="427" t="str">
        <f t="shared" ca="1" si="61"/>
        <v/>
      </c>
      <c r="AD294" s="79"/>
      <c r="AN294" s="532" t="str">
        <f t="shared" ca="1" si="56"/>
        <v/>
      </c>
      <c r="AO294" s="526" t="str" cm="1">
        <f t="array" aca="1" ref="AO294" ca="1">IF(AN294&lt;&gt;"",TRANSPOSE(INDEX(GetCDS($C319,AO$13,$G319/10000,F319,D319,$C$13,$C$14,$C$15,$C$8,,,TRUE,TRUE,FALSE,$C$29:$C$31,$C$33),{5})),"")</f>
        <v/>
      </c>
      <c r="AP294" s="526" t="str" cm="1">
        <f t="array" aca="1" ref="AP294" ca="1">IF(AO294&lt;&gt;"",TRANSPOSE(INDEX(GetCDS($C319,AP$13,$G319/10000,G319,E319,$C$13,$C$14,$C$15,$C$8,,,TRUE,TRUE,FALSE,$C$29:$C$31,$C$33),{5})),"")</f>
        <v/>
      </c>
      <c r="AQ294" s="526" t="str" cm="1">
        <f t="array" aca="1" ref="AQ294" ca="1">IF(AP294&lt;&gt;"",TRANSPOSE(INDEX(GetCDS($C319,AQ$13,$G319/10000,H319,F319,$C$13,$C$14,$C$15,$C$8,,,TRUE,TRUE,FALSE,$C$29:$C$31,$C$33),{5})),"")</f>
        <v/>
      </c>
      <c r="AR294" s="526" t="str" cm="1">
        <f t="array" aca="1" ref="AR294" ca="1">IF(AQ294&lt;&gt;"",TRANSPOSE(INDEX(GetCDS($C319,AR$13,$G319/10000,I319,G319,$C$13,$C$14,$C$15,$C$8,,,TRUE,TRUE,FALSE,$C$29:$C$31,$C$33),{5})),"")</f>
        <v/>
      </c>
      <c r="AS294" s="527" t="str" cm="1">
        <f t="array" aca="1" ref="AS294" ca="1">IF(AR294&lt;&gt;"",TRANSPOSE(INDEX(GetCDS($C319,AS$13,$G319/10000,J319,H319,$C$13,$C$14,$C$15,$C$8,,,TRUE,TRUE,FALSE,$C$29:$C$31,$C$33),{5})),"")</f>
        <v/>
      </c>
    </row>
    <row r="295" spans="1:45" customFormat="1" ht="15">
      <c r="A295" s="227"/>
      <c r="B295" s="276">
        <v>257</v>
      </c>
      <c r="C295" s="254"/>
      <c r="D295" s="255"/>
      <c r="E295" s="247"/>
      <c r="F295" s="232"/>
      <c r="G295" s="239"/>
      <c r="H295" s="386">
        <v>281</v>
      </c>
      <c r="I295" s="404"/>
      <c r="J295" s="404"/>
      <c r="K295" s="413"/>
      <c r="L295" s="413"/>
      <c r="M295" s="413"/>
      <c r="N295" s="452"/>
      <c r="O295" s="413"/>
      <c r="P295" s="413"/>
      <c r="Q295" s="413"/>
      <c r="R295" s="452"/>
      <c r="S295" s="443"/>
      <c r="T295" s="42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3"/>
      <c r="V295" s="423"/>
      <c r="W295" s="424"/>
      <c r="X295" s="425"/>
      <c r="Y295" s="426" t="str">
        <f t="shared" ca="1" si="57"/>
        <v/>
      </c>
      <c r="Z295" s="427" t="str">
        <f t="shared" ca="1" si="58"/>
        <v/>
      </c>
      <c r="AA295" s="426" t="str">
        <f t="shared" ca="1" si="59"/>
        <v/>
      </c>
      <c r="AB295" s="428" t="str">
        <f t="shared" ca="1" si="60"/>
        <v/>
      </c>
      <c r="AC295" s="427" t="str">
        <f t="shared" ca="1" si="61"/>
        <v/>
      </c>
      <c r="AD295" s="79"/>
      <c r="AN295" s="532" t="str">
        <f t="shared" ca="1" si="56"/>
        <v/>
      </c>
      <c r="AO295" t="str" cm="1">
        <f t="array" aca="1" ref="AO295" ca="1">IF(AN295&lt;&gt;"",TRANSPOSE(INDEX(GetCDS($C320,AO$13,$G320/10000,F320,D320,$C$13,$C$14,$C$15,$C$8,,,TRUE,TRUE,FALSE,$C$29:$C$31,$C$33),{5})),"")</f>
        <v/>
      </c>
      <c r="AP295" t="str" cm="1">
        <f t="array" aca="1" ref="AP295" ca="1">IF(AO295&lt;&gt;"",TRANSPOSE(INDEX(GetCDS($C320,AP$13,$G320/10000,G320,E320,$C$13,$C$14,$C$15,$C$8,,,TRUE,TRUE,FALSE,$C$29:$C$31,$C$33),{5})),"")</f>
        <v/>
      </c>
      <c r="AQ295" t="str" cm="1">
        <f t="array" aca="1" ref="AQ295" ca="1">IF(AP295&lt;&gt;"",TRANSPOSE(INDEX(GetCDS($C320,AQ$13,$G320/10000,H320,F320,$C$13,$C$14,$C$15,$C$8,,,TRUE,TRUE,FALSE,$C$29:$C$31,$C$33),{5})),"")</f>
        <v/>
      </c>
      <c r="AR295" t="str" cm="1">
        <f t="array" aca="1" ref="AR295" ca="1">IF(AQ295&lt;&gt;"",TRANSPOSE(INDEX(GetCDS($C320,AR$13,$G320/10000,I320,G320,$C$13,$C$14,$C$15,$C$8,,,TRUE,TRUE,FALSE,$C$29:$C$31,$C$33),{5})),"")</f>
        <v/>
      </c>
      <c r="AS295" s="528" t="str" cm="1">
        <f t="array" aca="1" ref="AS295" ca="1">IF(AR295&lt;&gt;"",TRANSPOSE(INDEX(GetCDS($C320,AS$13,$G320/10000,J320,H320,$C$13,$C$14,$C$15,$C$8,,,TRUE,TRUE,FALSE,$C$29:$C$31,$C$33),{5})),"")</f>
        <v/>
      </c>
    </row>
    <row r="296" spans="1:45" customFormat="1" ht="15">
      <c r="A296" s="227"/>
      <c r="B296" s="276">
        <v>258</v>
      </c>
      <c r="C296" s="254"/>
      <c r="D296" s="255"/>
      <c r="E296" s="247"/>
      <c r="F296" s="232"/>
      <c r="G296" s="239"/>
      <c r="H296" s="386">
        <v>282</v>
      </c>
      <c r="I296" s="404"/>
      <c r="J296" s="404"/>
      <c r="K296" s="413"/>
      <c r="L296" s="413"/>
      <c r="M296" s="413"/>
      <c r="N296" s="452"/>
      <c r="O296" s="413"/>
      <c r="P296" s="413"/>
      <c r="Q296" s="413"/>
      <c r="R296" s="452"/>
      <c r="S296" s="443"/>
      <c r="T296" s="42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3"/>
      <c r="V296" s="423"/>
      <c r="W296" s="424"/>
      <c r="X296" s="425"/>
      <c r="Y296" s="426" t="str">
        <f t="shared" ca="1" si="57"/>
        <v/>
      </c>
      <c r="Z296" s="427" t="str">
        <f t="shared" ca="1" si="58"/>
        <v/>
      </c>
      <c r="AA296" s="426" t="str">
        <f t="shared" ca="1" si="59"/>
        <v/>
      </c>
      <c r="AB296" s="428" t="str">
        <f t="shared" ca="1" si="60"/>
        <v/>
      </c>
      <c r="AC296" s="427" t="str">
        <f t="shared" ca="1" si="61"/>
        <v/>
      </c>
      <c r="AD296" s="79"/>
      <c r="AN296" s="532" t="str">
        <f t="shared" ca="1" si="56"/>
        <v/>
      </c>
      <c r="AO296" t="str" cm="1">
        <f t="array" aca="1" ref="AO296" ca="1">IF(AN296&lt;&gt;"",TRANSPOSE(INDEX(GetCDS($C321,AO$13,$G321/10000,F321,D321,$C$13,$C$14,$C$15,$C$8,,,TRUE,TRUE,FALSE,$C$29:$C$31,$C$33),{5})),"")</f>
        <v/>
      </c>
      <c r="AP296" t="str" cm="1">
        <f t="array" aca="1" ref="AP296" ca="1">IF(AO296&lt;&gt;"",TRANSPOSE(INDEX(GetCDS($C321,AP$13,$G321/10000,G321,E321,$C$13,$C$14,$C$15,$C$8,,,TRUE,TRUE,FALSE,$C$29:$C$31,$C$33),{5})),"")</f>
        <v/>
      </c>
      <c r="AQ296" t="str" cm="1">
        <f t="array" aca="1" ref="AQ296" ca="1">IF(AP296&lt;&gt;"",TRANSPOSE(INDEX(GetCDS($C321,AQ$13,$G321/10000,H321,F321,$C$13,$C$14,$C$15,$C$8,,,TRUE,TRUE,FALSE,$C$29:$C$31,$C$33),{5})),"")</f>
        <v/>
      </c>
      <c r="AR296" t="str" cm="1">
        <f t="array" aca="1" ref="AR296" ca="1">IF(AQ296&lt;&gt;"",TRANSPOSE(INDEX(GetCDS($C321,AR$13,$G321/10000,I321,G321,$C$13,$C$14,$C$15,$C$8,,,TRUE,TRUE,FALSE,$C$29:$C$31,$C$33),{5})),"")</f>
        <v/>
      </c>
      <c r="AS296" s="528" t="str" cm="1">
        <f t="array" aca="1" ref="AS296" ca="1">IF(AR296&lt;&gt;"",TRANSPOSE(INDEX(GetCDS($C321,AS$13,$G321/10000,J321,H321,$C$13,$C$14,$C$15,$C$8,,,TRUE,TRUE,FALSE,$C$29:$C$31,$C$33),{5})),"")</f>
        <v/>
      </c>
    </row>
    <row r="297" spans="1:45" customFormat="1" ht="15">
      <c r="A297" s="227"/>
      <c r="B297" s="276">
        <v>259</v>
      </c>
      <c r="C297" s="254"/>
      <c r="D297" s="255"/>
      <c r="E297" s="247"/>
      <c r="F297" s="232"/>
      <c r="G297" s="239"/>
      <c r="H297" s="386">
        <v>283</v>
      </c>
      <c r="I297" s="404"/>
      <c r="J297" s="404"/>
      <c r="K297" s="413"/>
      <c r="L297" s="413"/>
      <c r="M297" s="413"/>
      <c r="N297" s="452"/>
      <c r="O297" s="413"/>
      <c r="P297" s="413"/>
      <c r="Q297" s="413"/>
      <c r="R297" s="452"/>
      <c r="S297" s="443"/>
      <c r="T297" s="42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3"/>
      <c r="V297" s="423"/>
      <c r="W297" s="424"/>
      <c r="X297" s="425"/>
      <c r="Y297" s="426" t="str">
        <f t="shared" ca="1" si="57"/>
        <v/>
      </c>
      <c r="Z297" s="427" t="str">
        <f t="shared" ca="1" si="58"/>
        <v/>
      </c>
      <c r="AA297" s="426" t="str">
        <f t="shared" ca="1" si="59"/>
        <v/>
      </c>
      <c r="AB297" s="428" t="str">
        <f t="shared" ca="1" si="60"/>
        <v/>
      </c>
      <c r="AC297" s="427" t="str">
        <f t="shared" ca="1" si="61"/>
        <v/>
      </c>
      <c r="AD297" s="79"/>
      <c r="AN297" s="38" t="str">
        <f t="shared" ca="1" si="56"/>
        <v/>
      </c>
      <c r="AO297" t="str" cm="1">
        <f t="array" aca="1" ref="AO297" ca="1">IF(AN297&lt;&gt;"",TRANSPOSE(INDEX(GetCDS($C322,AO$13,$G322/10000,F322,D322,$C$13,$C$14,$C$15,$C$8,,,TRUE,TRUE,FALSE,$C$29:$C$31,$C$33),{5})),"")</f>
        <v/>
      </c>
      <c r="AP297" t="str" cm="1">
        <f t="array" aca="1" ref="AP297" ca="1">IF(AO297&lt;&gt;"",TRANSPOSE(INDEX(GetCDS($C322,AP$13,$G322/10000,G322,E322,$C$13,$C$14,$C$15,$C$8,,,TRUE,TRUE,FALSE,$C$29:$C$31,$C$33),{5})),"")</f>
        <v/>
      </c>
      <c r="AQ297" t="str" cm="1">
        <f t="array" aca="1" ref="AQ297" ca="1">IF(AP297&lt;&gt;"",TRANSPOSE(INDEX(GetCDS($C322,AQ$13,$G322/10000,H322,F322,$C$13,$C$14,$C$15,$C$8,,,TRUE,TRUE,FALSE,$C$29:$C$31,$C$33),{5})),"")</f>
        <v/>
      </c>
      <c r="AR297" t="str" cm="1">
        <f t="array" aca="1" ref="AR297" ca="1">IF(AQ297&lt;&gt;"",TRANSPOSE(INDEX(GetCDS($C322,AR$13,$G322/10000,I322,G322,$C$13,$C$14,$C$15,$C$8,,,TRUE,TRUE,FALSE,$C$29:$C$31,$C$33),{5})),"")</f>
        <v/>
      </c>
      <c r="AS297" s="528" t="str" cm="1">
        <f t="array" aca="1" ref="AS297" ca="1">IF(AR297&lt;&gt;"",TRANSPOSE(INDEX(GetCDS($C322,AS$13,$G322/10000,J322,H322,$C$13,$C$14,$C$15,$C$8,,,TRUE,TRUE,FALSE,$C$29:$C$31,$C$33),{5})),"")</f>
        <v/>
      </c>
    </row>
    <row r="298" spans="1:45" customFormat="1" ht="15">
      <c r="A298" s="227"/>
      <c r="B298" s="276">
        <v>260</v>
      </c>
      <c r="C298" s="254"/>
      <c r="D298" s="255"/>
      <c r="E298" s="247"/>
      <c r="F298" s="232"/>
      <c r="G298" s="239"/>
      <c r="H298" s="386">
        <v>284</v>
      </c>
      <c r="I298" s="404"/>
      <c r="J298" s="404"/>
      <c r="K298" s="413"/>
      <c r="L298" s="413"/>
      <c r="M298" s="413"/>
      <c r="N298" s="452"/>
      <c r="O298" s="413"/>
      <c r="P298" s="413"/>
      <c r="Q298" s="413"/>
      <c r="R298" s="452"/>
      <c r="S298" s="443"/>
      <c r="T298" s="42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3"/>
      <c r="V298" s="423"/>
      <c r="W298" s="424"/>
      <c r="X298" s="425"/>
      <c r="Y298" s="426" t="str">
        <f t="shared" ca="1" si="57"/>
        <v/>
      </c>
      <c r="Z298" s="427" t="str">
        <f t="shared" ca="1" si="58"/>
        <v/>
      </c>
      <c r="AA298" s="426" t="str">
        <f t="shared" ca="1" si="59"/>
        <v/>
      </c>
      <c r="AB298" s="428" t="str">
        <f t="shared" ca="1" si="60"/>
        <v/>
      </c>
      <c r="AC298" s="427" t="str">
        <f t="shared" ca="1" si="61"/>
        <v/>
      </c>
      <c r="AD298" s="79"/>
      <c r="AN298" s="38" t="str">
        <f t="shared" ca="1" si="56"/>
        <v/>
      </c>
      <c r="AO298" t="str" cm="1">
        <f t="array" aca="1" ref="AO298" ca="1">IF(AN298&lt;&gt;"",TRANSPOSE(INDEX(GetCDS($C323,AO$13,$G323/10000,F323,D323,$C$13,$C$14,$C$15,$C$8,,,TRUE,TRUE,FALSE,$C$29:$C$31,$C$33),{5})),"")</f>
        <v/>
      </c>
      <c r="AP298" t="str" cm="1">
        <f t="array" aca="1" ref="AP298" ca="1">IF(AO298&lt;&gt;"",TRANSPOSE(INDEX(GetCDS($C323,AP$13,$G323/10000,G323,E323,$C$13,$C$14,$C$15,$C$8,,,TRUE,TRUE,FALSE,$C$29:$C$31,$C$33),{5})),"")</f>
        <v/>
      </c>
      <c r="AQ298" t="str" cm="1">
        <f t="array" aca="1" ref="AQ298" ca="1">IF(AP298&lt;&gt;"",TRANSPOSE(INDEX(GetCDS($C323,AQ$13,$G323/10000,H323,F323,$C$13,$C$14,$C$15,$C$8,,,TRUE,TRUE,FALSE,$C$29:$C$31,$C$33),{5})),"")</f>
        <v/>
      </c>
      <c r="AR298" t="str" cm="1">
        <f t="array" aca="1" ref="AR298" ca="1">IF(AQ298&lt;&gt;"",TRANSPOSE(INDEX(GetCDS($C323,AR$13,$G323/10000,I323,G323,$C$13,$C$14,$C$15,$C$8,,,TRUE,TRUE,FALSE,$C$29:$C$31,$C$33),{5})),"")</f>
        <v/>
      </c>
      <c r="AS298" s="528" t="str" cm="1">
        <f t="array" aca="1" ref="AS298" ca="1">IF(AR298&lt;&gt;"",TRANSPOSE(INDEX(GetCDS($C323,AS$13,$G323/10000,J323,H323,$C$13,$C$14,$C$15,$C$8,,,TRUE,TRUE,FALSE,$C$29:$C$31,$C$33),{5})),"")</f>
        <v/>
      </c>
    </row>
    <row r="299" spans="1:45" customFormat="1" ht="15">
      <c r="A299" s="227"/>
      <c r="B299" s="276">
        <v>261</v>
      </c>
      <c r="C299" s="254"/>
      <c r="D299" s="255"/>
      <c r="E299" s="247"/>
      <c r="F299" s="232"/>
      <c r="G299" s="239"/>
      <c r="H299" s="386">
        <v>285</v>
      </c>
      <c r="I299" s="404"/>
      <c r="J299" s="404"/>
      <c r="K299" s="413"/>
      <c r="L299" s="413"/>
      <c r="M299" s="413"/>
      <c r="N299" s="452"/>
      <c r="O299" s="413"/>
      <c r="P299" s="413"/>
      <c r="Q299" s="413"/>
      <c r="R299" s="452"/>
      <c r="S299" s="443"/>
      <c r="T299" s="42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3"/>
      <c r="V299" s="423"/>
      <c r="W299" s="424"/>
      <c r="X299" s="425"/>
      <c r="Y299" s="426" t="str">
        <f t="shared" ca="1" si="57"/>
        <v/>
      </c>
      <c r="Z299" s="427" t="str">
        <f t="shared" ca="1" si="58"/>
        <v/>
      </c>
      <c r="AA299" s="426" t="str">
        <f t="shared" ca="1" si="59"/>
        <v/>
      </c>
      <c r="AB299" s="428" t="str">
        <f t="shared" ca="1" si="60"/>
        <v/>
      </c>
      <c r="AC299" s="427" t="str">
        <f t="shared" ca="1" si="61"/>
        <v/>
      </c>
      <c r="AD299" s="79"/>
      <c r="AN299" s="38" t="str">
        <f t="shared" ca="1" si="56"/>
        <v/>
      </c>
      <c r="AO299" t="str" cm="1">
        <f t="array" aca="1" ref="AO299" ca="1">IF(AN299&lt;&gt;"",TRANSPOSE(INDEX(GetCDS($C324,AO$13,$G324/10000,F324,D324,$C$13,$C$14,$C$15,$C$8,,,TRUE,TRUE,FALSE,$C$29:$C$31,$C$33),{5})),"")</f>
        <v/>
      </c>
      <c r="AP299" t="str" cm="1">
        <f t="array" aca="1" ref="AP299" ca="1">IF(AO299&lt;&gt;"",TRANSPOSE(INDEX(GetCDS($C324,AP$13,$G324/10000,G324,E324,$C$13,$C$14,$C$15,$C$8,,,TRUE,TRUE,FALSE,$C$29:$C$31,$C$33),{5})),"")</f>
        <v/>
      </c>
      <c r="AQ299" t="str" cm="1">
        <f t="array" aca="1" ref="AQ299" ca="1">IF(AP299&lt;&gt;"",TRANSPOSE(INDEX(GetCDS($C324,AQ$13,$G324/10000,H324,F324,$C$13,$C$14,$C$15,$C$8,,,TRUE,TRUE,FALSE,$C$29:$C$31,$C$33),{5})),"")</f>
        <v/>
      </c>
      <c r="AR299" t="str" cm="1">
        <f t="array" aca="1" ref="AR299" ca="1">IF(AQ299&lt;&gt;"",TRANSPOSE(INDEX(GetCDS($C324,AR$13,$G324/10000,I324,G324,$C$13,$C$14,$C$15,$C$8,,,TRUE,TRUE,FALSE,$C$29:$C$31,$C$33),{5})),"")</f>
        <v/>
      </c>
      <c r="AS299" s="528" t="str" cm="1">
        <f t="array" aca="1" ref="AS299" ca="1">IF(AR299&lt;&gt;"",TRANSPOSE(INDEX(GetCDS($C324,AS$13,$G324/10000,J324,H324,$C$13,$C$14,$C$15,$C$8,,,TRUE,TRUE,FALSE,$C$29:$C$31,$C$33),{5})),"")</f>
        <v/>
      </c>
    </row>
    <row r="300" spans="1:45" customFormat="1" ht="15">
      <c r="A300" s="227"/>
      <c r="B300" s="276">
        <v>262</v>
      </c>
      <c r="C300" s="254"/>
      <c r="D300" s="255"/>
      <c r="E300" s="247"/>
      <c r="F300" s="232"/>
      <c r="G300" s="239"/>
      <c r="H300" s="386">
        <v>286</v>
      </c>
      <c r="I300" s="404"/>
      <c r="J300" s="404"/>
      <c r="K300" s="413"/>
      <c r="L300" s="413"/>
      <c r="M300" s="413"/>
      <c r="N300" s="452"/>
      <c r="O300" s="413"/>
      <c r="P300" s="413"/>
      <c r="Q300" s="413"/>
      <c r="R300" s="452"/>
      <c r="S300" s="443"/>
      <c r="T300" s="42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3"/>
      <c r="V300" s="423"/>
      <c r="W300" s="424"/>
      <c r="X300" s="425"/>
      <c r="Y300" s="426" t="str">
        <f t="shared" ca="1" si="57"/>
        <v/>
      </c>
      <c r="Z300" s="427" t="str">
        <f t="shared" ca="1" si="58"/>
        <v/>
      </c>
      <c r="AA300" s="426" t="str">
        <f t="shared" ca="1" si="59"/>
        <v/>
      </c>
      <c r="AB300" s="428" t="str">
        <f t="shared" ca="1" si="60"/>
        <v/>
      </c>
      <c r="AC300" s="427" t="str">
        <f t="shared" ca="1" si="61"/>
        <v/>
      </c>
      <c r="AD300" s="79"/>
      <c r="AN300" s="38" t="str">
        <f t="shared" ca="1" si="56"/>
        <v/>
      </c>
      <c r="AO300" t="str" cm="1">
        <f t="array" aca="1" ref="AO300" ca="1">IF(AN300&lt;&gt;"",TRANSPOSE(INDEX(GetCDS($C325,AO$13,$G325/10000,F325,D325,$C$13,$C$14,$C$15,$C$8,,,TRUE,TRUE,FALSE,$C$29:$C$31,$C$33),{5})),"")</f>
        <v/>
      </c>
      <c r="AP300" t="str" cm="1">
        <f t="array" aca="1" ref="AP300" ca="1">IF(AO300&lt;&gt;"",TRANSPOSE(INDEX(GetCDS($C325,AP$13,$G325/10000,G325,E325,$C$13,$C$14,$C$15,$C$8,,,TRUE,TRUE,FALSE,$C$29:$C$31,$C$33),{5})),"")</f>
        <v/>
      </c>
      <c r="AQ300" t="str" cm="1">
        <f t="array" aca="1" ref="AQ300" ca="1">IF(AP300&lt;&gt;"",TRANSPOSE(INDEX(GetCDS($C325,AQ$13,$G325/10000,H325,F325,$C$13,$C$14,$C$15,$C$8,,,TRUE,TRUE,FALSE,$C$29:$C$31,$C$33),{5})),"")</f>
        <v/>
      </c>
      <c r="AR300" t="str" cm="1">
        <f t="array" aca="1" ref="AR300" ca="1">IF(AQ300&lt;&gt;"",TRANSPOSE(INDEX(GetCDS($C325,AR$13,$G325/10000,I325,G325,$C$13,$C$14,$C$15,$C$8,,,TRUE,TRUE,FALSE,$C$29:$C$31,$C$33),{5})),"")</f>
        <v/>
      </c>
      <c r="AS300" s="528" t="str" cm="1">
        <f t="array" aca="1" ref="AS300" ca="1">IF(AR300&lt;&gt;"",TRANSPOSE(INDEX(GetCDS($C325,AS$13,$G325/10000,J325,H325,$C$13,$C$14,$C$15,$C$8,,,TRUE,TRUE,FALSE,$C$29:$C$31,$C$33),{5})),"")</f>
        <v/>
      </c>
    </row>
    <row r="301" spans="1:45" customFormat="1" ht="15">
      <c r="A301" s="227"/>
      <c r="B301" s="276">
        <v>263</v>
      </c>
      <c r="C301" s="254"/>
      <c r="D301" s="255"/>
      <c r="E301" s="247"/>
      <c r="F301" s="232"/>
      <c r="G301" s="239"/>
      <c r="H301" s="386">
        <v>287</v>
      </c>
      <c r="I301" s="404"/>
      <c r="J301" s="404"/>
      <c r="K301" s="413"/>
      <c r="L301" s="413"/>
      <c r="M301" s="413"/>
      <c r="N301" s="452"/>
      <c r="O301" s="413"/>
      <c r="P301" s="413"/>
      <c r="Q301" s="413"/>
      <c r="R301" s="452"/>
      <c r="S301" s="443"/>
      <c r="T301" s="42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3"/>
      <c r="V301" s="423"/>
      <c r="W301" s="424"/>
      <c r="X301" s="425"/>
      <c r="Y301" s="426" t="str">
        <f t="shared" ca="1" si="57"/>
        <v/>
      </c>
      <c r="Z301" s="427" t="str">
        <f t="shared" ca="1" si="58"/>
        <v/>
      </c>
      <c r="AA301" s="426" t="str">
        <f t="shared" ca="1" si="59"/>
        <v/>
      </c>
      <c r="AB301" s="428" t="str">
        <f t="shared" ca="1" si="60"/>
        <v/>
      </c>
      <c r="AC301" s="427" t="str">
        <f t="shared" ca="1" si="61"/>
        <v/>
      </c>
      <c r="AD301" s="79"/>
      <c r="AN301" s="38" t="str">
        <f t="shared" ca="1" si="56"/>
        <v/>
      </c>
      <c r="AO301" t="str" cm="1">
        <f t="array" aca="1" ref="AO301" ca="1">IF(AN301&lt;&gt;"",TRANSPOSE(INDEX(GetCDS($C326,AO$13,$G326/10000,F326,D326,$C$13,$C$14,$C$15,$C$8,,,TRUE,TRUE,FALSE,$C$29:$C$31,$C$33),{5})),"")</f>
        <v/>
      </c>
      <c r="AP301" t="str" cm="1">
        <f t="array" aca="1" ref="AP301" ca="1">IF(AO301&lt;&gt;"",TRANSPOSE(INDEX(GetCDS($C326,AP$13,$G326/10000,G326,E326,$C$13,$C$14,$C$15,$C$8,,,TRUE,TRUE,FALSE,$C$29:$C$31,$C$33),{5})),"")</f>
        <v/>
      </c>
      <c r="AQ301" t="str" cm="1">
        <f t="array" aca="1" ref="AQ301" ca="1">IF(AP301&lt;&gt;"",TRANSPOSE(INDEX(GetCDS($C326,AQ$13,$G326/10000,H326,F326,$C$13,$C$14,$C$15,$C$8,,,TRUE,TRUE,FALSE,$C$29:$C$31,$C$33),{5})),"")</f>
        <v/>
      </c>
      <c r="AR301" t="str" cm="1">
        <f t="array" aca="1" ref="AR301" ca="1">IF(AQ301&lt;&gt;"",TRANSPOSE(INDEX(GetCDS($C326,AR$13,$G326/10000,I326,G326,$C$13,$C$14,$C$15,$C$8,,,TRUE,TRUE,FALSE,$C$29:$C$31,$C$33),{5})),"")</f>
        <v/>
      </c>
      <c r="AS301" s="528" t="str" cm="1">
        <f t="array" aca="1" ref="AS301" ca="1">IF(AR301&lt;&gt;"",TRANSPOSE(INDEX(GetCDS($C326,AS$13,$G326/10000,J326,H326,$C$13,$C$14,$C$15,$C$8,,,TRUE,TRUE,FALSE,$C$29:$C$31,$C$33),{5})),"")</f>
        <v/>
      </c>
    </row>
    <row r="302" spans="1:45" customFormat="1" ht="15">
      <c r="A302" s="227"/>
      <c r="B302" s="276">
        <v>264</v>
      </c>
      <c r="C302" s="254"/>
      <c r="D302" s="255"/>
      <c r="E302" s="247"/>
      <c r="F302" s="232"/>
      <c r="G302" s="239"/>
      <c r="H302" s="386">
        <v>288</v>
      </c>
      <c r="I302" s="404"/>
      <c r="J302" s="404"/>
      <c r="K302" s="413"/>
      <c r="L302" s="413"/>
      <c r="M302" s="413"/>
      <c r="N302" s="452"/>
      <c r="O302" s="413"/>
      <c r="P302" s="413"/>
      <c r="Q302" s="413"/>
      <c r="R302" s="452"/>
      <c r="S302" s="443"/>
      <c r="T302" s="42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3"/>
      <c r="V302" s="423"/>
      <c r="W302" s="424"/>
      <c r="X302" s="425"/>
      <c r="Y302" s="426" t="str">
        <f t="shared" ca="1" si="57"/>
        <v/>
      </c>
      <c r="Z302" s="427" t="str">
        <f t="shared" ca="1" si="58"/>
        <v/>
      </c>
      <c r="AA302" s="426" t="str">
        <f t="shared" ca="1" si="59"/>
        <v/>
      </c>
      <c r="AB302" s="428" t="str">
        <f t="shared" ca="1" si="60"/>
        <v/>
      </c>
      <c r="AC302" s="427" t="str">
        <f t="shared" ca="1" si="61"/>
        <v/>
      </c>
      <c r="AD302" s="79"/>
      <c r="AN302" s="38" t="str">
        <f t="shared" ca="1" si="56"/>
        <v/>
      </c>
      <c r="AO302" t="str" cm="1">
        <f t="array" aca="1" ref="AO302" ca="1">IF(AN302&lt;&gt;"",TRANSPOSE(INDEX(GetCDS($C327,AO$13,$G327/10000,F327,D327,$C$13,$C$14,$C$15,$C$8,,,TRUE,TRUE,FALSE,$C$29:$C$31,$C$33),{5})),"")</f>
        <v/>
      </c>
      <c r="AP302" t="str" cm="1">
        <f t="array" aca="1" ref="AP302" ca="1">IF(AO302&lt;&gt;"",TRANSPOSE(INDEX(GetCDS($C327,AP$13,$G327/10000,G327,E327,$C$13,$C$14,$C$15,$C$8,,,TRUE,TRUE,FALSE,$C$29:$C$31,$C$33),{5})),"")</f>
        <v/>
      </c>
      <c r="AQ302" t="str" cm="1">
        <f t="array" aca="1" ref="AQ302" ca="1">IF(AP302&lt;&gt;"",TRANSPOSE(INDEX(GetCDS($C327,AQ$13,$G327/10000,H327,F327,$C$13,$C$14,$C$15,$C$8,,,TRUE,TRUE,FALSE,$C$29:$C$31,$C$33),{5})),"")</f>
        <v/>
      </c>
      <c r="AR302" t="str" cm="1">
        <f t="array" aca="1" ref="AR302" ca="1">IF(AQ302&lt;&gt;"",TRANSPOSE(INDEX(GetCDS($C327,AR$13,$G327/10000,I327,G327,$C$13,$C$14,$C$15,$C$8,,,TRUE,TRUE,FALSE,$C$29:$C$31,$C$33),{5})),"")</f>
        <v/>
      </c>
      <c r="AS302" s="528" t="str" cm="1">
        <f t="array" aca="1" ref="AS302" ca="1">IF(AR302&lt;&gt;"",TRANSPOSE(INDEX(GetCDS($C327,AS$13,$G327/10000,J327,H327,$C$13,$C$14,$C$15,$C$8,,,TRUE,TRUE,FALSE,$C$29:$C$31,$C$33),{5})),"")</f>
        <v/>
      </c>
    </row>
    <row r="303" spans="1:45" customFormat="1" ht="15">
      <c r="A303" s="227"/>
      <c r="B303" s="276">
        <v>265</v>
      </c>
      <c r="C303" s="254"/>
      <c r="D303" s="255"/>
      <c r="E303" s="247"/>
      <c r="F303" s="232"/>
      <c r="G303" s="239"/>
      <c r="H303" s="386">
        <v>289</v>
      </c>
      <c r="I303" s="404"/>
      <c r="J303" s="404"/>
      <c r="K303" s="413"/>
      <c r="L303" s="413"/>
      <c r="M303" s="413"/>
      <c r="N303" s="452"/>
      <c r="O303" s="413"/>
      <c r="P303" s="413"/>
      <c r="Q303" s="413"/>
      <c r="R303" s="452"/>
      <c r="S303" s="443"/>
      <c r="T303" s="42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3"/>
      <c r="V303" s="423"/>
      <c r="W303" s="424"/>
      <c r="X303" s="425"/>
      <c r="Y303" s="426" t="str">
        <f t="shared" ca="1" si="57"/>
        <v/>
      </c>
      <c r="Z303" s="427" t="str">
        <f t="shared" ca="1" si="58"/>
        <v/>
      </c>
      <c r="AA303" s="426" t="str">
        <f t="shared" ca="1" si="59"/>
        <v/>
      </c>
      <c r="AB303" s="428" t="str">
        <f t="shared" ca="1" si="60"/>
        <v/>
      </c>
      <c r="AC303" s="427" t="str">
        <f t="shared" ca="1" si="61"/>
        <v/>
      </c>
      <c r="AD303" s="79"/>
      <c r="AN303" s="38" t="str">
        <f t="shared" ca="1" si="56"/>
        <v/>
      </c>
      <c r="AO303" t="str" cm="1">
        <f t="array" aca="1" ref="AO303" ca="1">IF(AN303&lt;&gt;"",TRANSPOSE(INDEX(GetCDS($C328,AO$13,$G328/10000,F328,D328,$C$13,$C$14,$C$15,$C$8,,,TRUE,TRUE,FALSE,$C$29:$C$31,$C$33),{5})),"")</f>
        <v/>
      </c>
      <c r="AP303" t="str" cm="1">
        <f t="array" aca="1" ref="AP303" ca="1">IF(AO303&lt;&gt;"",TRANSPOSE(INDEX(GetCDS($C328,AP$13,$G328/10000,G328,E328,$C$13,$C$14,$C$15,$C$8,,,TRUE,TRUE,FALSE,$C$29:$C$31,$C$33),{5})),"")</f>
        <v/>
      </c>
      <c r="AQ303" t="str" cm="1">
        <f t="array" aca="1" ref="AQ303" ca="1">IF(AP303&lt;&gt;"",TRANSPOSE(INDEX(GetCDS($C328,AQ$13,$G328/10000,H328,F328,$C$13,$C$14,$C$15,$C$8,,,TRUE,TRUE,FALSE,$C$29:$C$31,$C$33),{5})),"")</f>
        <v/>
      </c>
      <c r="AR303" t="str" cm="1">
        <f t="array" aca="1" ref="AR303" ca="1">IF(AQ303&lt;&gt;"",TRANSPOSE(INDEX(GetCDS($C328,AR$13,$G328/10000,I328,G328,$C$13,$C$14,$C$15,$C$8,,,TRUE,TRUE,FALSE,$C$29:$C$31,$C$33),{5})),"")</f>
        <v/>
      </c>
      <c r="AS303" s="528" t="str" cm="1">
        <f t="array" aca="1" ref="AS303" ca="1">IF(AR303&lt;&gt;"",TRANSPOSE(INDEX(GetCDS($C328,AS$13,$G328/10000,J328,H328,$C$13,$C$14,$C$15,$C$8,,,TRUE,TRUE,FALSE,$C$29:$C$31,$C$33),{5})),"")</f>
        <v/>
      </c>
    </row>
    <row r="304" spans="1:45" customFormat="1" ht="15">
      <c r="A304" s="227"/>
      <c r="B304" s="276">
        <v>266</v>
      </c>
      <c r="C304" s="254"/>
      <c r="D304" s="255"/>
      <c r="E304" s="247"/>
      <c r="F304" s="232"/>
      <c r="G304" s="239"/>
      <c r="H304" s="386">
        <v>290</v>
      </c>
      <c r="I304" s="404"/>
      <c r="J304" s="404"/>
      <c r="K304" s="413"/>
      <c r="L304" s="413"/>
      <c r="M304" s="413"/>
      <c r="N304" s="452"/>
      <c r="O304" s="413"/>
      <c r="P304" s="413"/>
      <c r="Q304" s="413"/>
      <c r="R304" s="452"/>
      <c r="S304" s="443"/>
      <c r="T304" s="42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3"/>
      <c r="V304" s="423"/>
      <c r="W304" s="424"/>
      <c r="X304" s="425"/>
      <c r="Y304" s="426" t="str">
        <f t="shared" ca="1" si="57"/>
        <v/>
      </c>
      <c r="Z304" s="427" t="str">
        <f t="shared" ca="1" si="58"/>
        <v/>
      </c>
      <c r="AA304" s="426" t="str">
        <f t="shared" ca="1" si="59"/>
        <v/>
      </c>
      <c r="AB304" s="428" t="str">
        <f t="shared" ca="1" si="60"/>
        <v/>
      </c>
      <c r="AC304" s="427" t="str">
        <f t="shared" ca="1" si="61"/>
        <v/>
      </c>
      <c r="AD304" s="79"/>
      <c r="AN304" s="38" t="str">
        <f t="shared" ca="1" si="56"/>
        <v/>
      </c>
      <c r="AS304" s="528"/>
    </row>
    <row r="305" spans="1:45" customFormat="1" ht="15">
      <c r="A305" s="227"/>
      <c r="B305" s="276">
        <v>267</v>
      </c>
      <c r="C305" s="254"/>
      <c r="D305" s="255"/>
      <c r="E305" s="247"/>
      <c r="F305" s="232"/>
      <c r="G305" s="239"/>
      <c r="H305" s="386">
        <v>291</v>
      </c>
      <c r="I305" s="404"/>
      <c r="J305" s="404"/>
      <c r="K305" s="413"/>
      <c r="L305" s="413"/>
      <c r="M305" s="413"/>
      <c r="N305" s="452"/>
      <c r="O305" s="413"/>
      <c r="P305" s="413"/>
      <c r="Q305" s="413"/>
      <c r="R305" s="452"/>
      <c r="S305" s="443"/>
      <c r="T305" s="42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3"/>
      <c r="V305" s="423"/>
      <c r="W305" s="424"/>
      <c r="X305" s="425"/>
      <c r="Y305" s="426" t="str">
        <f t="shared" ca="1" si="57"/>
        <v/>
      </c>
      <c r="Z305" s="427" t="str">
        <f t="shared" ca="1" si="58"/>
        <v/>
      </c>
      <c r="AA305" s="426" t="str">
        <f t="shared" ca="1" si="59"/>
        <v/>
      </c>
      <c r="AB305" s="428" t="str">
        <f t="shared" ca="1" si="60"/>
        <v/>
      </c>
      <c r="AC305" s="427" t="str">
        <f t="shared" ca="1" si="61"/>
        <v/>
      </c>
      <c r="AD305" s="79"/>
      <c r="AN305" s="38" t="str">
        <f t="shared" ca="1" si="56"/>
        <v/>
      </c>
      <c r="AS305" s="528"/>
    </row>
    <row r="306" spans="1:45" customFormat="1" ht="15">
      <c r="A306" s="227"/>
      <c r="B306" s="276">
        <v>268</v>
      </c>
      <c r="C306" s="254"/>
      <c r="D306" s="255"/>
      <c r="E306" s="247"/>
      <c r="F306" s="232"/>
      <c r="G306" s="239"/>
      <c r="H306" s="386">
        <v>292</v>
      </c>
      <c r="I306" s="404"/>
      <c r="J306" s="404"/>
      <c r="K306" s="413"/>
      <c r="L306" s="413"/>
      <c r="M306" s="413"/>
      <c r="N306" s="452"/>
      <c r="O306" s="413"/>
      <c r="P306" s="413"/>
      <c r="Q306" s="413"/>
      <c r="R306" s="452"/>
      <c r="S306" s="443"/>
      <c r="T306" s="42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3"/>
      <c r="V306" s="423"/>
      <c r="W306" s="424"/>
      <c r="X306" s="425"/>
      <c r="Y306" s="426" t="str">
        <f t="shared" ca="1" si="57"/>
        <v/>
      </c>
      <c r="Z306" s="427" t="str">
        <f t="shared" ca="1" si="58"/>
        <v/>
      </c>
      <c r="AA306" s="426" t="str">
        <f t="shared" ca="1" si="59"/>
        <v/>
      </c>
      <c r="AB306" s="428" t="str">
        <f t="shared" ca="1" si="60"/>
        <v/>
      </c>
      <c r="AC306" s="427" t="str">
        <f t="shared" ca="1" si="61"/>
        <v/>
      </c>
      <c r="AD306" s="79"/>
      <c r="AN306" s="38" t="str">
        <f t="shared" ca="1" si="56"/>
        <v/>
      </c>
      <c r="AS306" s="528"/>
    </row>
    <row r="307" spans="1:45" customFormat="1" ht="15">
      <c r="A307" s="227"/>
      <c r="B307" s="276">
        <v>269</v>
      </c>
      <c r="C307" s="254"/>
      <c r="D307" s="255"/>
      <c r="E307" s="247"/>
      <c r="F307" s="232"/>
      <c r="G307" s="239"/>
      <c r="H307" s="386">
        <v>293</v>
      </c>
      <c r="I307" s="404"/>
      <c r="J307" s="404"/>
      <c r="K307" s="413"/>
      <c r="L307" s="413"/>
      <c r="M307" s="413"/>
      <c r="N307" s="452"/>
      <c r="O307" s="413"/>
      <c r="P307" s="413"/>
      <c r="Q307" s="413"/>
      <c r="R307" s="452"/>
      <c r="S307" s="443"/>
      <c r="T307" s="42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3"/>
      <c r="V307" s="423"/>
      <c r="W307" s="424"/>
      <c r="X307" s="425"/>
      <c r="Y307" s="426" t="str">
        <f t="shared" ca="1" si="57"/>
        <v/>
      </c>
      <c r="Z307" s="427" t="str">
        <f t="shared" ca="1" si="58"/>
        <v/>
      </c>
      <c r="AA307" s="426" t="str">
        <f t="shared" ca="1" si="59"/>
        <v/>
      </c>
      <c r="AB307" s="428" t="str">
        <f t="shared" ca="1" si="60"/>
        <v/>
      </c>
      <c r="AC307" s="427" t="str">
        <f t="shared" ca="1" si="61"/>
        <v/>
      </c>
      <c r="AD307" s="79"/>
      <c r="AN307" s="38" t="str">
        <f t="shared" ca="1" si="56"/>
        <v/>
      </c>
      <c r="AS307" s="528"/>
    </row>
    <row r="308" spans="1:45" customFormat="1" ht="15">
      <c r="A308" s="227"/>
      <c r="B308" s="276">
        <v>270</v>
      </c>
      <c r="C308" s="254"/>
      <c r="D308" s="255"/>
      <c r="E308" s="247"/>
      <c r="F308" s="232"/>
      <c r="G308" s="239"/>
      <c r="H308" s="386">
        <v>294</v>
      </c>
      <c r="I308" s="404"/>
      <c r="J308" s="404"/>
      <c r="K308" s="413"/>
      <c r="L308" s="413"/>
      <c r="M308" s="413"/>
      <c r="N308" s="452"/>
      <c r="O308" s="413"/>
      <c r="P308" s="413"/>
      <c r="Q308" s="413"/>
      <c r="R308" s="452"/>
      <c r="S308" s="443"/>
      <c r="T308" s="42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3"/>
      <c r="V308" s="423"/>
      <c r="W308" s="424"/>
      <c r="X308" s="425"/>
      <c r="Y308" s="426" t="str">
        <f t="shared" ca="1" si="57"/>
        <v/>
      </c>
      <c r="Z308" s="427" t="str">
        <f t="shared" ca="1" si="58"/>
        <v/>
      </c>
      <c r="AA308" s="426" t="str">
        <f t="shared" ca="1" si="59"/>
        <v/>
      </c>
      <c r="AB308" s="428" t="str">
        <f t="shared" ca="1" si="60"/>
        <v/>
      </c>
      <c r="AC308" s="427" t="str">
        <f t="shared" ca="1" si="61"/>
        <v/>
      </c>
      <c r="AD308" s="79"/>
      <c r="AN308" s="38" t="str">
        <f t="shared" ca="1" si="56"/>
        <v/>
      </c>
      <c r="AS308" s="528"/>
    </row>
    <row r="309" spans="1:45" customFormat="1" ht="15">
      <c r="A309" s="227"/>
      <c r="B309" s="276">
        <v>271</v>
      </c>
      <c r="C309" s="254"/>
      <c r="D309" s="255"/>
      <c r="E309" s="247"/>
      <c r="F309" s="232"/>
      <c r="G309" s="239"/>
      <c r="H309" s="386">
        <v>295</v>
      </c>
      <c r="I309" s="404"/>
      <c r="J309" s="404"/>
      <c r="K309" s="413"/>
      <c r="L309" s="413"/>
      <c r="M309" s="413"/>
      <c r="N309" s="452"/>
      <c r="O309" s="413"/>
      <c r="P309" s="413"/>
      <c r="Q309" s="413"/>
      <c r="R309" s="452"/>
      <c r="S309" s="443"/>
      <c r="T309" s="42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3"/>
      <c r="V309" s="423"/>
      <c r="W309" s="424"/>
      <c r="X309" s="425"/>
      <c r="Y309" s="426" t="str">
        <f t="shared" ca="1" si="57"/>
        <v/>
      </c>
      <c r="Z309" s="427" t="str">
        <f t="shared" ca="1" si="58"/>
        <v/>
      </c>
      <c r="AA309" s="426" t="str">
        <f t="shared" ca="1" si="59"/>
        <v/>
      </c>
      <c r="AB309" s="428" t="str">
        <f t="shared" ca="1" si="60"/>
        <v/>
      </c>
      <c r="AC309" s="427" t="str">
        <f t="shared" ca="1" si="61"/>
        <v/>
      </c>
      <c r="AD309" s="79"/>
      <c r="AN309" s="38" t="str">
        <f t="shared" ca="1" si="56"/>
        <v/>
      </c>
      <c r="AS309" s="528"/>
    </row>
    <row r="310" spans="1:45" customFormat="1" ht="15">
      <c r="A310" s="227"/>
      <c r="B310" s="276">
        <v>272</v>
      </c>
      <c r="C310" s="254"/>
      <c r="D310" s="255"/>
      <c r="E310" s="247"/>
      <c r="F310" s="232"/>
      <c r="G310" s="239"/>
      <c r="H310" s="386">
        <v>296</v>
      </c>
      <c r="I310" s="404"/>
      <c r="J310" s="404"/>
      <c r="K310" s="413"/>
      <c r="L310" s="413"/>
      <c r="M310" s="413"/>
      <c r="N310" s="452"/>
      <c r="O310" s="413"/>
      <c r="P310" s="413"/>
      <c r="Q310" s="413"/>
      <c r="R310" s="452"/>
      <c r="S310" s="443"/>
      <c r="T310" s="42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3"/>
      <c r="V310" s="423"/>
      <c r="W310" s="424"/>
      <c r="X310" s="425"/>
      <c r="Y310" s="426" t="str">
        <f t="shared" ca="1" si="57"/>
        <v/>
      </c>
      <c r="Z310" s="427" t="str">
        <f t="shared" ca="1" si="58"/>
        <v/>
      </c>
      <c r="AA310" s="426" t="str">
        <f t="shared" ca="1" si="59"/>
        <v/>
      </c>
      <c r="AB310" s="428" t="str">
        <f t="shared" ca="1" si="60"/>
        <v/>
      </c>
      <c r="AC310" s="427" t="str">
        <f t="shared" ca="1" si="61"/>
        <v/>
      </c>
      <c r="AD310" s="79"/>
      <c r="AN310" s="38" t="str">
        <f t="shared" ca="1" si="56"/>
        <v/>
      </c>
      <c r="AS310" s="528"/>
    </row>
    <row r="311" spans="1:45" customFormat="1" ht="15">
      <c r="A311" s="227"/>
      <c r="B311" s="276">
        <v>273</v>
      </c>
      <c r="C311" s="254"/>
      <c r="D311" s="255"/>
      <c r="E311" s="247"/>
      <c r="F311" s="232"/>
      <c r="G311" s="239"/>
      <c r="H311" s="386">
        <v>297</v>
      </c>
      <c r="I311" s="404"/>
      <c r="J311" s="404"/>
      <c r="K311" s="413"/>
      <c r="L311" s="413"/>
      <c r="M311" s="413"/>
      <c r="N311" s="452"/>
      <c r="O311" s="413"/>
      <c r="P311" s="413"/>
      <c r="Q311" s="413"/>
      <c r="R311" s="452"/>
      <c r="S311" s="443"/>
      <c r="T311" s="42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3"/>
      <c r="V311" s="423"/>
      <c r="W311" s="424"/>
      <c r="X311" s="425"/>
      <c r="Y311" s="426" t="str">
        <f t="shared" ca="1" si="57"/>
        <v/>
      </c>
      <c r="Z311" s="427" t="str">
        <f t="shared" ca="1" si="58"/>
        <v/>
      </c>
      <c r="AA311" s="426" t="str">
        <f t="shared" ca="1" si="59"/>
        <v/>
      </c>
      <c r="AB311" s="428" t="str">
        <f t="shared" ca="1" si="60"/>
        <v/>
      </c>
      <c r="AC311" s="427" t="str">
        <f t="shared" ca="1" si="61"/>
        <v/>
      </c>
      <c r="AD311" s="79"/>
      <c r="AN311" s="38" t="str">
        <f t="shared" ca="1" si="56"/>
        <v/>
      </c>
      <c r="AS311" s="528"/>
    </row>
    <row r="312" spans="1:45" customFormat="1" ht="15">
      <c r="A312" s="227"/>
      <c r="B312" s="276">
        <v>274</v>
      </c>
      <c r="C312" s="254"/>
      <c r="D312" s="255"/>
      <c r="E312" s="247"/>
      <c r="F312" s="232"/>
      <c r="G312" s="239"/>
      <c r="H312" s="386">
        <v>298</v>
      </c>
      <c r="I312" s="404"/>
      <c r="J312" s="404"/>
      <c r="K312" s="413"/>
      <c r="L312" s="413"/>
      <c r="M312" s="413"/>
      <c r="N312" s="452"/>
      <c r="O312" s="413"/>
      <c r="P312" s="413"/>
      <c r="Q312" s="413"/>
      <c r="R312" s="452"/>
      <c r="S312" s="443"/>
      <c r="T312" s="42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3"/>
      <c r="V312" s="423"/>
      <c r="W312" s="424"/>
      <c r="X312" s="425"/>
      <c r="Y312" s="426" t="str">
        <f t="shared" ca="1" si="57"/>
        <v/>
      </c>
      <c r="Z312" s="427" t="str">
        <f t="shared" ca="1" si="58"/>
        <v/>
      </c>
      <c r="AA312" s="426" t="str">
        <f t="shared" ca="1" si="59"/>
        <v/>
      </c>
      <c r="AB312" s="428" t="str">
        <f t="shared" ca="1" si="60"/>
        <v/>
      </c>
      <c r="AC312" s="427" t="str">
        <f t="shared" ca="1" si="61"/>
        <v/>
      </c>
      <c r="AD312" s="79"/>
      <c r="AN312" s="38" t="str">
        <f t="shared" ca="1" si="56"/>
        <v/>
      </c>
      <c r="AS312" s="528"/>
    </row>
    <row r="313" spans="1:45" customFormat="1" ht="15.75" thickBot="1">
      <c r="A313" s="227"/>
      <c r="B313" s="276">
        <v>275</v>
      </c>
      <c r="C313" s="254"/>
      <c r="D313" s="255"/>
      <c r="E313" s="247"/>
      <c r="F313" s="232"/>
      <c r="G313" s="239"/>
      <c r="H313" s="386">
        <v>299</v>
      </c>
      <c r="I313" s="404"/>
      <c r="J313" s="404"/>
      <c r="K313" s="413"/>
      <c r="L313" s="413"/>
      <c r="M313" s="413"/>
      <c r="N313" s="452"/>
      <c r="O313" s="413"/>
      <c r="P313" s="413"/>
      <c r="Q313" s="413"/>
      <c r="R313" s="452"/>
      <c r="S313" s="443"/>
      <c r="T313" s="42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3"/>
      <c r="V313" s="423"/>
      <c r="W313" s="424"/>
      <c r="X313" s="425"/>
      <c r="Y313" s="426" t="str">
        <f t="shared" ca="1" si="57"/>
        <v/>
      </c>
      <c r="Z313" s="427" t="str">
        <f t="shared" ca="1" si="58"/>
        <v/>
      </c>
      <c r="AA313" s="426" t="str">
        <f t="shared" ca="1" si="59"/>
        <v/>
      </c>
      <c r="AB313" s="428" t="str">
        <f t="shared" ca="1" si="60"/>
        <v/>
      </c>
      <c r="AC313" s="427" t="str">
        <f t="shared" ca="1" si="61"/>
        <v/>
      </c>
      <c r="AD313" s="79"/>
      <c r="AN313" s="41" t="str">
        <f t="shared" ca="1" si="56"/>
        <v/>
      </c>
      <c r="AO313" s="529"/>
      <c r="AP313" s="529"/>
      <c r="AQ313" s="529"/>
      <c r="AR313" s="529"/>
      <c r="AS313" s="530"/>
    </row>
    <row r="314" spans="1:45" customFormat="1" ht="15.75" thickBot="1">
      <c r="A314" s="227"/>
      <c r="B314" s="276">
        <v>276</v>
      </c>
      <c r="C314" s="254"/>
      <c r="D314" s="255"/>
      <c r="E314" s="247"/>
      <c r="F314" s="232"/>
      <c r="G314" s="239"/>
      <c r="H314" s="389">
        <v>300</v>
      </c>
      <c r="I314" s="414"/>
      <c r="J314" s="414"/>
      <c r="K314" s="415"/>
      <c r="L314" s="415"/>
      <c r="M314" s="415"/>
      <c r="N314" s="416"/>
      <c r="O314" s="415"/>
      <c r="P314" s="415"/>
      <c r="Q314" s="415"/>
      <c r="R314" s="416"/>
      <c r="S314" s="454"/>
      <c r="T314" s="43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9"/>
      <c r="V314" s="429"/>
      <c r="W314" s="430"/>
      <c r="X314" s="431"/>
      <c r="Y314" s="426" t="str">
        <f t="shared" ca="1" si="57"/>
        <v/>
      </c>
      <c r="Z314" s="427" t="str">
        <f t="shared" ca="1" si="58"/>
        <v/>
      </c>
      <c r="AA314" s="430"/>
      <c r="AB314" s="430"/>
      <c r="AC314" s="416"/>
      <c r="AD314" s="79"/>
      <c r="AN314" t="str">
        <f t="shared" ca="1" si="56"/>
        <v/>
      </c>
    </row>
    <row r="315" spans="1:45" customFormat="1" ht="15">
      <c r="A315" s="227"/>
      <c r="B315" s="276">
        <v>277</v>
      </c>
      <c r="C315" s="254"/>
      <c r="D315" s="255"/>
      <c r="E315" s="247"/>
      <c r="F315" s="232"/>
      <c r="G315" s="239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  <c r="AN315" t="str">
        <f ca="1">IF(OR(C340="",C340=0),"",C340)</f>
        <v/>
      </c>
    </row>
    <row r="316" spans="1:45" customFormat="1" ht="15">
      <c r="A316" s="227"/>
      <c r="B316" s="276">
        <v>278</v>
      </c>
      <c r="C316" s="254"/>
      <c r="D316" s="255"/>
      <c r="E316" s="247"/>
      <c r="F316" s="232"/>
      <c r="G316" s="239"/>
      <c r="S316" s="44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45" customFormat="1" ht="15">
      <c r="A317" s="227"/>
      <c r="B317" s="276">
        <v>279</v>
      </c>
      <c r="C317" s="254"/>
      <c r="D317" s="255"/>
      <c r="E317" s="247"/>
      <c r="F317" s="232"/>
      <c r="G317" s="239"/>
      <c r="S317" s="444"/>
    </row>
    <row r="318" spans="1:45" customFormat="1" ht="15">
      <c r="A318" s="227"/>
      <c r="B318" s="276">
        <v>280</v>
      </c>
      <c r="C318" s="254"/>
      <c r="D318" s="255"/>
      <c r="E318" s="247"/>
      <c r="F318" s="232"/>
      <c r="G318" s="239"/>
      <c r="S318" s="444"/>
    </row>
    <row r="319" spans="1:45" customFormat="1" ht="15">
      <c r="A319" s="227"/>
      <c r="B319" s="276">
        <v>281</v>
      </c>
      <c r="C319" s="254"/>
      <c r="D319" s="255"/>
      <c r="E319" s="247"/>
      <c r="F319" s="232"/>
      <c r="G319" s="239"/>
      <c r="S319" s="444"/>
    </row>
    <row r="320" spans="1:45" customFormat="1" ht="15">
      <c r="A320" s="227"/>
      <c r="B320" s="276">
        <v>282</v>
      </c>
      <c r="C320" s="254"/>
      <c r="D320" s="255"/>
      <c r="E320" s="247"/>
      <c r="F320" s="232"/>
      <c r="G320" s="239"/>
      <c r="S320" s="444"/>
    </row>
    <row r="321" spans="1:19" customFormat="1" ht="15">
      <c r="A321" s="227"/>
      <c r="B321" s="276">
        <v>283</v>
      </c>
      <c r="C321" s="254"/>
      <c r="D321" s="255"/>
      <c r="E321" s="247"/>
      <c r="F321" s="232"/>
      <c r="G321" s="239"/>
      <c r="S321" s="444"/>
    </row>
    <row r="322" spans="1:19" customFormat="1" ht="15">
      <c r="A322" s="227"/>
      <c r="B322" s="276">
        <v>284</v>
      </c>
      <c r="C322" s="254"/>
      <c r="D322" s="255"/>
      <c r="E322" s="247"/>
      <c r="F322" s="232"/>
      <c r="G322" s="239"/>
      <c r="S322" s="444"/>
    </row>
    <row r="323" spans="1:19" customFormat="1" ht="15">
      <c r="A323" s="227"/>
      <c r="B323" s="276">
        <v>285</v>
      </c>
      <c r="C323" s="254"/>
      <c r="D323" s="255"/>
      <c r="E323" s="247"/>
      <c r="F323" s="232"/>
      <c r="G323" s="239"/>
      <c r="S323" s="444"/>
    </row>
    <row r="324" spans="1:19" customFormat="1" ht="15">
      <c r="A324" s="227"/>
      <c r="B324" s="276">
        <v>286</v>
      </c>
      <c r="C324" s="254"/>
      <c r="D324" s="255"/>
      <c r="E324" s="247"/>
      <c r="F324" s="232"/>
      <c r="G324" s="239"/>
      <c r="S324" s="444"/>
    </row>
    <row r="325" spans="1:19" customFormat="1" ht="15">
      <c r="A325" s="227"/>
      <c r="B325" s="276">
        <v>287</v>
      </c>
      <c r="C325" s="254"/>
      <c r="D325" s="255"/>
      <c r="E325" s="247"/>
      <c r="F325" s="232"/>
      <c r="G325" s="239"/>
      <c r="S325" s="444"/>
    </row>
    <row r="326" spans="1:19" customFormat="1" ht="15">
      <c r="A326" s="227"/>
      <c r="B326" s="276">
        <v>288</v>
      </c>
      <c r="C326" s="254"/>
      <c r="D326" s="255"/>
      <c r="E326" s="247"/>
      <c r="F326" s="232"/>
      <c r="G326" s="239"/>
      <c r="S326" s="444"/>
    </row>
    <row r="327" spans="1:19" customFormat="1" ht="15">
      <c r="A327" s="227"/>
      <c r="B327" s="276">
        <v>289</v>
      </c>
      <c r="C327" s="254"/>
      <c r="D327" s="255"/>
      <c r="E327" s="247"/>
      <c r="F327" s="232"/>
      <c r="G327" s="239"/>
      <c r="S327" s="444"/>
    </row>
    <row r="328" spans="1:19" customFormat="1" ht="15">
      <c r="A328" s="227"/>
      <c r="B328" s="276">
        <v>290</v>
      </c>
      <c r="C328" s="254"/>
      <c r="D328" s="255"/>
      <c r="E328" s="247"/>
      <c r="F328" s="232"/>
      <c r="G328" s="239"/>
    </row>
    <row r="329" spans="1:19" customFormat="1" ht="15">
      <c r="A329" s="227"/>
      <c r="B329" s="276">
        <v>291</v>
      </c>
      <c r="C329" s="254"/>
      <c r="D329" s="255"/>
      <c r="E329" s="247"/>
      <c r="F329" s="232"/>
      <c r="G329" s="239"/>
    </row>
    <row r="330" spans="1:19" customFormat="1" ht="15">
      <c r="A330" s="227"/>
      <c r="B330" s="276">
        <v>292</v>
      </c>
      <c r="C330" s="254"/>
      <c r="D330" s="255"/>
      <c r="E330" s="247"/>
      <c r="F330" s="232"/>
      <c r="G330" s="239"/>
    </row>
    <row r="331" spans="1:19" customFormat="1" ht="15">
      <c r="A331" s="227"/>
      <c r="B331" s="276">
        <v>293</v>
      </c>
      <c r="C331" s="254"/>
      <c r="D331" s="255"/>
      <c r="E331" s="247"/>
      <c r="F331" s="232"/>
      <c r="G331" s="239"/>
    </row>
    <row r="332" spans="1:19" customFormat="1" ht="15">
      <c r="A332" s="227"/>
      <c r="B332" s="276">
        <v>294</v>
      </c>
      <c r="C332" s="254"/>
      <c r="D332" s="255"/>
      <c r="E332" s="247"/>
      <c r="F332" s="232"/>
      <c r="G332" s="239"/>
    </row>
    <row r="333" spans="1:19" customFormat="1" ht="15">
      <c r="A333" s="227"/>
      <c r="B333" s="276">
        <v>295</v>
      </c>
      <c r="C333" s="254"/>
      <c r="D333" s="255"/>
      <c r="E333" s="247"/>
      <c r="F333" s="232"/>
      <c r="G333" s="239"/>
    </row>
    <row r="334" spans="1:19" customFormat="1" ht="15">
      <c r="A334" s="227"/>
      <c r="B334" s="276">
        <v>296</v>
      </c>
      <c r="C334" s="254"/>
      <c r="D334" s="255"/>
      <c r="E334" s="247"/>
      <c r="F334" s="232"/>
      <c r="G334" s="239"/>
    </row>
    <row r="335" spans="1:19" customFormat="1" ht="15">
      <c r="A335" s="227"/>
      <c r="B335" s="276">
        <v>297</v>
      </c>
      <c r="C335" s="254"/>
      <c r="D335" s="255"/>
      <c r="E335" s="247"/>
      <c r="F335" s="232"/>
      <c r="G335" s="239"/>
    </row>
    <row r="336" spans="1:19" customFormat="1" ht="15">
      <c r="A336" s="227"/>
      <c r="B336" s="276">
        <v>298</v>
      </c>
      <c r="C336" s="254"/>
      <c r="D336" s="255"/>
      <c r="E336" s="247"/>
      <c r="F336" s="232"/>
      <c r="G336" s="239"/>
    </row>
    <row r="337" spans="1:7" customFormat="1" ht="15">
      <c r="A337" s="227"/>
      <c r="B337" s="276">
        <v>299</v>
      </c>
      <c r="C337" s="254"/>
      <c r="D337" s="255"/>
      <c r="E337" s="247"/>
      <c r="F337" s="232"/>
      <c r="G337" s="239"/>
    </row>
    <row r="338" spans="1:7" customFormat="1" ht="15.75" thickBot="1">
      <c r="A338" s="227"/>
      <c r="B338" s="439">
        <v>300</v>
      </c>
      <c r="C338" s="440"/>
      <c r="D338" s="440"/>
      <c r="E338" s="440"/>
      <c r="F338" s="440"/>
      <c r="G338" s="4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 AH13 AL13 AF9 AH120 AL120 AF11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7" name="Button 72">
              <controlPr defaultSize="0" print="0" autoFill="0" autoPict="0" macro="[0]!FRTBPricing">
                <anchor moveWithCells="1">
                  <from>
                    <xdr:col>30</xdr:col>
                    <xdr:colOff>9525</xdr:colOff>
                    <xdr:row>6</xdr:row>
                    <xdr:rowOff>95250</xdr:rowOff>
                  </from>
                  <to>
                    <xdr:col>30</xdr:col>
                    <xdr:colOff>609600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8" name="Button 74">
              <controlPr defaultSize="0" print="0" autoFill="0" autoPict="0" macro="[0]!CurrentRegionCalculate">
                <anchor moveWithCells="1">
                  <from>
                    <xdr:col>38</xdr:col>
                    <xdr:colOff>266700</xdr:colOff>
                    <xdr:row>3</xdr:row>
                    <xdr:rowOff>142875</xdr:rowOff>
                  </from>
                  <to>
                    <xdr:col>39</xdr:col>
                    <xdr:colOff>95250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1" customWidth="1"/>
    <col min="2" max="2" width="17" style="281" bestFit="1" customWidth="1"/>
    <col min="3" max="3" width="26.5703125" style="281" bestFit="1" customWidth="1"/>
    <col min="4" max="4" width="10.5703125" style="282" customWidth="1"/>
    <col min="5" max="14" width="9.85546875" style="282" customWidth="1"/>
    <col min="15" max="31" width="9.140625" style="79"/>
    <col min="32" max="16384" width="9.140625" style="281"/>
  </cols>
  <sheetData>
    <row r="1" spans="1:228" customFormat="1" ht="29.25" customHeight="1">
      <c r="A1" s="278"/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8"/>
      <c r="AM1" s="278"/>
      <c r="AN1" s="278"/>
      <c r="AO1" s="278"/>
      <c r="AP1" s="278"/>
      <c r="AQ1" s="278"/>
      <c r="AR1" s="278"/>
      <c r="AS1" s="278"/>
      <c r="AT1" s="278"/>
      <c r="AU1" s="278"/>
      <c r="AV1" s="278"/>
      <c r="AW1" s="278"/>
      <c r="AX1" s="278"/>
      <c r="AY1" s="278"/>
      <c r="AZ1" s="278"/>
      <c r="BA1" s="278"/>
      <c r="BB1" s="278"/>
      <c r="BC1" s="278"/>
      <c r="BD1" s="278"/>
      <c r="BE1" s="278"/>
      <c r="BF1" s="278"/>
      <c r="BG1" s="278"/>
      <c r="BH1" s="278"/>
      <c r="BI1" s="278"/>
      <c r="BJ1" s="278"/>
      <c r="BK1" s="278"/>
      <c r="BL1" s="278"/>
      <c r="BM1" s="278"/>
      <c r="BN1" s="278"/>
      <c r="BO1" s="278"/>
      <c r="BP1" s="278"/>
      <c r="BQ1" s="278"/>
      <c r="BR1" s="278"/>
      <c r="BS1" s="278"/>
      <c r="BT1" s="278"/>
      <c r="BU1" s="278"/>
      <c r="BV1" s="278"/>
      <c r="BW1" s="278"/>
      <c r="BX1" s="278"/>
      <c r="BY1" s="278"/>
      <c r="BZ1" s="278"/>
      <c r="CA1" s="278"/>
      <c r="CB1" s="278"/>
      <c r="CC1" s="278"/>
      <c r="CD1" s="278"/>
      <c r="CE1" s="278"/>
      <c r="CF1" s="278"/>
      <c r="CG1" s="278"/>
      <c r="CH1" s="278"/>
      <c r="CI1" s="278"/>
      <c r="CJ1" s="278"/>
      <c r="CK1" s="278"/>
      <c r="CL1" s="278"/>
      <c r="CM1" s="278"/>
      <c r="CN1" s="278"/>
      <c r="CO1" s="278"/>
      <c r="CP1" s="278"/>
      <c r="CQ1" s="278"/>
      <c r="CR1" s="278"/>
      <c r="CS1" s="278"/>
      <c r="CT1" s="278"/>
      <c r="CU1" s="278"/>
      <c r="CV1" s="278"/>
      <c r="CW1" s="278"/>
      <c r="CX1" s="278"/>
      <c r="CY1" s="278"/>
      <c r="CZ1" s="278"/>
      <c r="DA1" s="278"/>
      <c r="DB1" s="278"/>
      <c r="DC1" s="278"/>
      <c r="DD1" s="278"/>
      <c r="DE1" s="278"/>
      <c r="DF1" s="278"/>
      <c r="DG1" s="278"/>
      <c r="DH1" s="278"/>
      <c r="DI1" s="278"/>
      <c r="DJ1" s="278"/>
      <c r="DK1" s="278"/>
      <c r="DL1" s="278"/>
      <c r="DM1" s="278"/>
      <c r="DN1" s="278"/>
      <c r="DO1" s="278"/>
      <c r="DP1" s="278"/>
      <c r="DQ1" s="278"/>
      <c r="DR1" s="278"/>
      <c r="DS1" s="278"/>
      <c r="DT1" s="278"/>
      <c r="DU1" s="278"/>
      <c r="DV1" s="278"/>
      <c r="DW1" s="278"/>
      <c r="DX1" s="278"/>
      <c r="DY1" s="278"/>
      <c r="DZ1" s="278"/>
      <c r="EA1" s="278"/>
      <c r="EB1" s="278"/>
      <c r="EC1" s="278"/>
      <c r="ED1" s="278"/>
      <c r="EE1" s="278"/>
      <c r="EF1" s="278"/>
      <c r="EG1" s="278"/>
      <c r="EH1" s="278"/>
      <c r="EI1" s="278"/>
      <c r="EJ1" s="278"/>
      <c r="EK1" s="278"/>
      <c r="EL1" s="278"/>
      <c r="EM1" s="278"/>
      <c r="EN1" s="278"/>
      <c r="EO1" s="278"/>
      <c r="EP1" s="278"/>
      <c r="EQ1" s="278"/>
      <c r="ER1" s="278"/>
      <c r="ES1" s="278"/>
      <c r="ET1" s="278"/>
      <c r="EU1" s="278"/>
      <c r="EV1" s="278"/>
      <c r="EW1" s="278"/>
      <c r="EX1" s="278"/>
      <c r="EY1" s="278"/>
      <c r="EZ1" s="278"/>
      <c r="FA1" s="278"/>
      <c r="FB1" s="278"/>
      <c r="FC1" s="278"/>
      <c r="FD1" s="278"/>
      <c r="FE1" s="278"/>
      <c r="FF1" s="278"/>
      <c r="FG1" s="278"/>
      <c r="FH1" s="278"/>
      <c r="FI1" s="278"/>
      <c r="FJ1" s="278"/>
      <c r="FK1" s="278"/>
      <c r="FL1" s="278"/>
      <c r="FM1" s="278"/>
      <c r="FN1" s="278"/>
      <c r="FO1" s="278"/>
      <c r="FP1" s="278"/>
      <c r="FQ1" s="278"/>
      <c r="FR1" s="278"/>
      <c r="FS1" s="278"/>
      <c r="FT1" s="278"/>
      <c r="FU1" s="278"/>
      <c r="FV1" s="278"/>
      <c r="FW1" s="278"/>
      <c r="FX1" s="278"/>
      <c r="FY1" s="278"/>
      <c r="FZ1" s="278"/>
      <c r="GA1" s="278"/>
      <c r="GB1" s="278"/>
      <c r="GC1" s="278"/>
      <c r="GD1" s="278"/>
      <c r="GE1" s="278"/>
      <c r="GF1" s="278"/>
      <c r="GG1" s="278"/>
      <c r="GH1" s="278"/>
      <c r="GI1" s="278"/>
      <c r="GJ1" s="278"/>
      <c r="GK1" s="278"/>
      <c r="GL1" s="278"/>
      <c r="GM1" s="278"/>
      <c r="GN1" s="278"/>
      <c r="GO1" s="278"/>
      <c r="GP1" s="278"/>
      <c r="GQ1" s="278"/>
      <c r="GR1" s="278"/>
      <c r="GS1" s="278"/>
      <c r="GT1" s="278"/>
      <c r="GU1" s="278"/>
      <c r="GV1" s="278"/>
      <c r="GW1" s="278"/>
      <c r="GX1" s="278"/>
      <c r="GY1" s="278"/>
      <c r="GZ1" s="278"/>
      <c r="HA1" s="278"/>
      <c r="HB1" s="278"/>
      <c r="HC1" s="278"/>
      <c r="HD1" s="278"/>
      <c r="HE1" s="278"/>
      <c r="HF1" s="278"/>
      <c r="HG1" s="278"/>
      <c r="HH1" s="278"/>
      <c r="HI1" s="278"/>
      <c r="HJ1" s="278"/>
      <c r="HK1" s="278"/>
      <c r="HL1" s="278"/>
      <c r="HM1" s="278"/>
      <c r="HN1" s="278"/>
      <c r="HO1" s="278"/>
      <c r="HP1" s="278"/>
      <c r="HQ1" s="278"/>
      <c r="HR1" s="278"/>
      <c r="HS1" s="278"/>
      <c r="HT1" s="278"/>
    </row>
    <row r="2" spans="1:228" customFormat="1" ht="54.75" customHeight="1">
      <c r="A2" s="278"/>
      <c r="B2" s="278"/>
      <c r="C2" s="279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278"/>
      <c r="AS2" s="278"/>
      <c r="AT2" s="278"/>
      <c r="AU2" s="278"/>
      <c r="AV2" s="278"/>
      <c r="AW2" s="278"/>
      <c r="AX2" s="278"/>
      <c r="AY2" s="278"/>
      <c r="AZ2" s="278"/>
      <c r="BA2" s="278"/>
      <c r="BB2" s="278"/>
      <c r="BC2" s="278"/>
      <c r="BD2" s="278"/>
      <c r="BE2" s="278"/>
      <c r="BF2" s="278"/>
      <c r="BG2" s="278"/>
      <c r="BH2" s="278"/>
      <c r="BI2" s="278"/>
      <c r="BJ2" s="278"/>
      <c r="BK2" s="278"/>
      <c r="BL2" s="278"/>
      <c r="BM2" s="278"/>
      <c r="BN2" s="278"/>
      <c r="BO2" s="278"/>
      <c r="BP2" s="278"/>
      <c r="BQ2" s="278"/>
      <c r="BR2" s="278"/>
      <c r="BS2" s="278"/>
      <c r="BT2" s="278"/>
      <c r="BU2" s="278"/>
      <c r="BV2" s="278"/>
      <c r="BW2" s="278"/>
      <c r="BX2" s="278"/>
      <c r="BY2" s="278"/>
      <c r="BZ2" s="278"/>
      <c r="CA2" s="278"/>
      <c r="CB2" s="278"/>
      <c r="CC2" s="278"/>
      <c r="CD2" s="278"/>
      <c r="CE2" s="278"/>
      <c r="CF2" s="278"/>
      <c r="CG2" s="278"/>
      <c r="CH2" s="278"/>
      <c r="CI2" s="278"/>
      <c r="CJ2" s="278"/>
      <c r="CK2" s="278"/>
      <c r="CL2" s="278"/>
      <c r="CM2" s="278"/>
      <c r="CN2" s="278"/>
      <c r="CO2" s="278"/>
      <c r="CP2" s="278"/>
      <c r="CQ2" s="278"/>
      <c r="CR2" s="278"/>
      <c r="CS2" s="278"/>
      <c r="CT2" s="278"/>
      <c r="CU2" s="278"/>
      <c r="CV2" s="278"/>
      <c r="CW2" s="278"/>
      <c r="CX2" s="278"/>
      <c r="CY2" s="278"/>
      <c r="CZ2" s="278"/>
      <c r="DA2" s="278"/>
      <c r="DB2" s="278"/>
      <c r="DC2" s="278"/>
      <c r="DD2" s="278"/>
      <c r="DE2" s="278"/>
      <c r="DF2" s="278"/>
      <c r="DG2" s="278"/>
      <c r="DH2" s="278"/>
      <c r="DI2" s="278"/>
      <c r="DJ2" s="278"/>
      <c r="DK2" s="278"/>
      <c r="DL2" s="278"/>
      <c r="DM2" s="278"/>
      <c r="DN2" s="278"/>
      <c r="DO2" s="278"/>
      <c r="DP2" s="278"/>
      <c r="DQ2" s="278"/>
      <c r="DR2" s="278"/>
      <c r="DS2" s="278"/>
      <c r="DT2" s="278"/>
      <c r="DU2" s="278"/>
      <c r="DV2" s="278"/>
      <c r="DW2" s="278"/>
      <c r="DX2" s="278"/>
      <c r="DY2" s="278"/>
      <c r="DZ2" s="278"/>
      <c r="EA2" s="278"/>
      <c r="EB2" s="278"/>
      <c r="EC2" s="278"/>
      <c r="ED2" s="278"/>
      <c r="EE2" s="278"/>
      <c r="EF2" s="278"/>
      <c r="EG2" s="278"/>
      <c r="EH2" s="278"/>
      <c r="EI2" s="278"/>
      <c r="EJ2" s="278"/>
      <c r="EK2" s="278"/>
      <c r="EL2" s="278"/>
      <c r="EM2" s="278"/>
      <c r="EN2" s="278"/>
      <c r="EO2" s="278"/>
      <c r="EP2" s="278"/>
      <c r="EQ2" s="278"/>
      <c r="ER2" s="278"/>
      <c r="ES2" s="278"/>
      <c r="ET2" s="278"/>
      <c r="EU2" s="278"/>
      <c r="EV2" s="278"/>
      <c r="EW2" s="278"/>
      <c r="EX2" s="278"/>
      <c r="EY2" s="278"/>
      <c r="EZ2" s="278"/>
      <c r="FA2" s="278"/>
      <c r="FB2" s="278"/>
      <c r="FC2" s="278"/>
      <c r="FD2" s="278"/>
      <c r="FE2" s="278"/>
      <c r="FF2" s="278"/>
      <c r="FG2" s="278"/>
      <c r="FH2" s="278"/>
      <c r="FI2" s="278"/>
      <c r="FJ2" s="278"/>
      <c r="FK2" s="278"/>
      <c r="FL2" s="278"/>
      <c r="FM2" s="278"/>
      <c r="FN2" s="278"/>
      <c r="FO2" s="278"/>
      <c r="FP2" s="278"/>
      <c r="FQ2" s="278"/>
      <c r="FR2" s="278"/>
      <c r="FS2" s="278"/>
      <c r="FT2" s="278"/>
      <c r="FU2" s="278"/>
      <c r="FV2" s="278"/>
      <c r="FW2" s="278"/>
      <c r="FX2" s="278"/>
      <c r="FY2" s="278"/>
      <c r="FZ2" s="278"/>
      <c r="GA2" s="278"/>
      <c r="GB2" s="278"/>
      <c r="GC2" s="278"/>
      <c r="GD2" s="278"/>
      <c r="GE2" s="278"/>
      <c r="GF2" s="278"/>
      <c r="GG2" s="278"/>
      <c r="GH2" s="278"/>
      <c r="GI2" s="278"/>
      <c r="GJ2" s="278"/>
      <c r="GK2" s="278"/>
      <c r="GL2" s="278"/>
      <c r="GM2" s="278"/>
      <c r="GN2" s="278"/>
      <c r="GO2" s="278"/>
      <c r="GP2" s="278"/>
      <c r="GQ2" s="278"/>
      <c r="GR2" s="278"/>
      <c r="GS2" s="278"/>
      <c r="GT2" s="278"/>
      <c r="GU2" s="278"/>
      <c r="GV2" s="278"/>
      <c r="GW2" s="278"/>
      <c r="GX2" s="278"/>
      <c r="GY2" s="278"/>
      <c r="GZ2" s="278"/>
      <c r="HA2" s="278"/>
      <c r="HB2" s="278"/>
      <c r="HC2" s="278"/>
      <c r="HD2" s="278"/>
      <c r="HE2" s="278"/>
      <c r="HF2" s="278"/>
      <c r="HG2" s="278"/>
      <c r="HH2" s="278"/>
      <c r="HI2" s="278"/>
      <c r="HJ2" s="278"/>
      <c r="HK2" s="278"/>
      <c r="HL2" s="278"/>
      <c r="HM2" s="278"/>
      <c r="HN2" s="278"/>
      <c r="HO2" s="278"/>
      <c r="HP2" s="278"/>
      <c r="HQ2" s="278"/>
      <c r="HR2" s="278"/>
      <c r="HS2" s="278"/>
      <c r="HT2" s="278"/>
    </row>
    <row r="3" spans="1:228" customFormat="1" ht="36.75" customHeight="1">
      <c r="A3" s="278"/>
      <c r="B3" s="278"/>
      <c r="C3" s="278"/>
      <c r="D3" s="278"/>
      <c r="E3" s="278"/>
      <c r="F3" s="278"/>
      <c r="G3" s="278"/>
      <c r="H3" s="278"/>
      <c r="I3" s="280"/>
      <c r="J3" s="280"/>
      <c r="K3" s="280"/>
      <c r="L3" s="280"/>
      <c r="M3" s="280"/>
      <c r="N3" s="280"/>
      <c r="O3" s="280"/>
      <c r="P3" s="280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80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278"/>
      <c r="AS3" s="278"/>
      <c r="AT3" s="278"/>
      <c r="AU3" s="278"/>
      <c r="AV3" s="278"/>
      <c r="AW3" s="278"/>
      <c r="AX3" s="278"/>
      <c r="AY3" s="278"/>
      <c r="AZ3" s="278"/>
      <c r="BA3" s="278"/>
      <c r="BB3" s="278"/>
      <c r="BC3" s="278"/>
      <c r="BD3" s="278"/>
      <c r="BE3" s="278"/>
      <c r="BF3" s="278"/>
      <c r="BG3" s="278"/>
      <c r="BH3" s="278"/>
      <c r="BI3" s="278"/>
      <c r="BJ3" s="278"/>
      <c r="BK3" s="278"/>
      <c r="BL3" s="278"/>
      <c r="BM3" s="278"/>
      <c r="BN3" s="278"/>
      <c r="BO3" s="278"/>
      <c r="BP3" s="278"/>
      <c r="BQ3" s="278"/>
      <c r="BR3" s="278"/>
      <c r="BS3" s="278"/>
      <c r="BT3" s="278"/>
      <c r="BU3" s="278"/>
      <c r="BV3" s="278"/>
      <c r="BW3" s="278"/>
      <c r="BX3" s="278"/>
      <c r="BY3" s="278"/>
      <c r="BZ3" s="278"/>
      <c r="CA3" s="278"/>
      <c r="CB3" s="278"/>
      <c r="CC3" s="278"/>
      <c r="CD3" s="278"/>
      <c r="CE3" s="278"/>
      <c r="CF3" s="278"/>
      <c r="CG3" s="278"/>
      <c r="CH3" s="278"/>
      <c r="CI3" s="278"/>
      <c r="CJ3" s="278"/>
      <c r="CK3" s="278"/>
      <c r="CL3" s="278"/>
      <c r="CM3" s="278"/>
      <c r="CN3" s="278"/>
      <c r="CO3" s="278"/>
      <c r="CP3" s="278"/>
      <c r="CQ3" s="278"/>
      <c r="CR3" s="278"/>
      <c r="CS3" s="278"/>
      <c r="CT3" s="278"/>
      <c r="CU3" s="278"/>
      <c r="CV3" s="278"/>
      <c r="CW3" s="278"/>
      <c r="CX3" s="278"/>
      <c r="CY3" s="278"/>
      <c r="CZ3" s="278"/>
      <c r="DA3" s="278"/>
      <c r="DB3" s="278"/>
      <c r="DC3" s="278"/>
      <c r="DD3" s="278"/>
      <c r="DE3" s="278"/>
      <c r="DF3" s="278"/>
      <c r="DG3" s="278"/>
      <c r="DH3" s="278"/>
      <c r="DI3" s="278"/>
      <c r="DJ3" s="278"/>
      <c r="DK3" s="278"/>
      <c r="DL3" s="278"/>
      <c r="DM3" s="278"/>
      <c r="DN3" s="278"/>
      <c r="DO3" s="278"/>
      <c r="DP3" s="278"/>
      <c r="DQ3" s="278"/>
      <c r="DR3" s="278"/>
      <c r="DS3" s="278"/>
      <c r="DT3" s="278"/>
      <c r="DU3" s="278"/>
      <c r="DV3" s="278"/>
      <c r="DW3" s="278"/>
      <c r="DX3" s="278"/>
      <c r="DY3" s="278"/>
      <c r="DZ3" s="278"/>
      <c r="EA3" s="278"/>
      <c r="EB3" s="278"/>
      <c r="EC3" s="278"/>
      <c r="ED3" s="278"/>
      <c r="EE3" s="278"/>
      <c r="EF3" s="278"/>
      <c r="EG3" s="278"/>
      <c r="EH3" s="278"/>
      <c r="EI3" s="278"/>
      <c r="EJ3" s="278"/>
      <c r="EK3" s="278"/>
      <c r="EL3" s="278"/>
      <c r="EM3" s="278"/>
      <c r="EN3" s="278"/>
      <c r="EO3" s="278"/>
      <c r="EP3" s="278"/>
      <c r="EQ3" s="278"/>
      <c r="ER3" s="278"/>
      <c r="ES3" s="278"/>
      <c r="ET3" s="278"/>
      <c r="EU3" s="278"/>
      <c r="EV3" s="278"/>
      <c r="EW3" s="278"/>
      <c r="EX3" s="278"/>
      <c r="EY3" s="278"/>
      <c r="EZ3" s="278"/>
      <c r="FA3" s="278"/>
      <c r="FB3" s="278"/>
      <c r="FC3" s="278"/>
      <c r="FD3" s="278"/>
      <c r="FE3" s="278"/>
      <c r="FF3" s="278"/>
      <c r="FG3" s="278"/>
      <c r="FH3" s="278"/>
      <c r="FI3" s="278"/>
      <c r="FJ3" s="278"/>
      <c r="FK3" s="278"/>
      <c r="FL3" s="278"/>
      <c r="FM3" s="278"/>
      <c r="FN3" s="278"/>
      <c r="FO3" s="278"/>
      <c r="FP3" s="278"/>
      <c r="FQ3" s="278"/>
      <c r="FR3" s="278"/>
      <c r="FS3" s="278"/>
      <c r="FT3" s="278"/>
      <c r="FU3" s="278"/>
      <c r="FV3" s="278"/>
      <c r="FW3" s="278"/>
      <c r="FX3" s="278"/>
      <c r="FY3" s="278"/>
      <c r="FZ3" s="278"/>
      <c r="GA3" s="278"/>
      <c r="GB3" s="278"/>
      <c r="GC3" s="278"/>
      <c r="GD3" s="278"/>
      <c r="GE3" s="278"/>
      <c r="GF3" s="278"/>
      <c r="GG3" s="278"/>
      <c r="GH3" s="278"/>
      <c r="GI3" s="278"/>
      <c r="GJ3" s="278"/>
      <c r="GK3" s="278"/>
      <c r="GL3" s="278"/>
      <c r="GM3" s="278"/>
      <c r="GN3" s="278"/>
      <c r="GO3" s="278"/>
      <c r="GP3" s="278"/>
      <c r="GQ3" s="278"/>
      <c r="GR3" s="278"/>
      <c r="GS3" s="278"/>
      <c r="GT3" s="278"/>
      <c r="GU3" s="278"/>
      <c r="GV3" s="278"/>
      <c r="GW3" s="278"/>
      <c r="GX3" s="278"/>
      <c r="GY3" s="278"/>
      <c r="GZ3" s="278"/>
      <c r="HA3" s="278"/>
      <c r="HB3" s="278"/>
      <c r="HC3" s="278"/>
      <c r="HD3" s="278"/>
      <c r="HE3" s="278"/>
      <c r="HF3" s="278"/>
      <c r="HG3" s="278"/>
      <c r="HH3" s="278"/>
      <c r="HI3" s="278"/>
      <c r="HJ3" s="278"/>
      <c r="HK3" s="278"/>
      <c r="HL3" s="278"/>
      <c r="HM3" s="278"/>
      <c r="HN3" s="278"/>
      <c r="HO3" s="278"/>
      <c r="HP3" s="278"/>
      <c r="HQ3" s="278"/>
      <c r="HR3" s="278"/>
      <c r="HS3" s="278"/>
      <c r="HT3" s="278"/>
    </row>
    <row r="4" spans="1:228" ht="12" thickBot="1"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</row>
    <row r="5" spans="1:228">
      <c r="B5" s="283" t="s">
        <v>432</v>
      </c>
      <c r="C5" s="284">
        <v>46828</v>
      </c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1"/>
    </row>
    <row r="6" spans="1:228">
      <c r="B6" s="285" t="s">
        <v>475</v>
      </c>
      <c r="C6" s="286">
        <v>5000</v>
      </c>
      <c r="D6" s="281"/>
      <c r="E6" s="574"/>
      <c r="F6" s="574"/>
      <c r="G6" s="574"/>
      <c r="H6" s="574"/>
      <c r="I6" s="574"/>
      <c r="J6" s="574"/>
      <c r="K6" s="574"/>
      <c r="L6" s="574"/>
      <c r="M6" s="574"/>
      <c r="N6" s="574"/>
      <c r="O6" s="281"/>
      <c r="P6" s="281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</row>
    <row r="7" spans="1:228" ht="12" thickBot="1">
      <c r="B7" s="287" t="s">
        <v>476</v>
      </c>
      <c r="C7" s="288" t="b">
        <v>0</v>
      </c>
      <c r="D7" s="281"/>
      <c r="E7" s="281"/>
      <c r="H7" s="289"/>
      <c r="O7" s="574"/>
      <c r="P7" s="574"/>
      <c r="Q7" s="574"/>
      <c r="R7" s="574"/>
      <c r="S7" s="574"/>
      <c r="T7" s="574"/>
      <c r="U7" s="574"/>
      <c r="V7" s="574"/>
      <c r="W7" s="574"/>
      <c r="X7" s="574"/>
      <c r="Y7" s="281"/>
      <c r="Z7" s="281"/>
      <c r="AA7" s="281"/>
      <c r="AB7" s="281"/>
      <c r="AC7" s="281"/>
      <c r="AD7" s="281"/>
      <c r="AE7" s="281"/>
    </row>
    <row r="8" spans="1:228" ht="12" thickBot="1">
      <c r="B8" s="287" t="s">
        <v>477</v>
      </c>
      <c r="C8" s="290">
        <v>0.3</v>
      </c>
      <c r="D8" s="291"/>
      <c r="E8" s="281"/>
      <c r="H8" s="289"/>
      <c r="O8" s="281"/>
      <c r="P8" s="281"/>
      <c r="Q8" s="281"/>
      <c r="R8" s="281"/>
      <c r="S8" s="281"/>
      <c r="T8" s="281"/>
      <c r="U8" s="281"/>
      <c r="V8" s="281"/>
      <c r="W8" s="281"/>
      <c r="X8" s="281"/>
      <c r="Y8" s="281"/>
      <c r="Z8" s="281"/>
      <c r="AA8" s="281"/>
      <c r="AB8" s="281"/>
      <c r="AC8" s="281"/>
      <c r="AD8" s="281"/>
      <c r="AE8" s="281"/>
    </row>
    <row r="9" spans="1:228" ht="12" thickBot="1">
      <c r="B9" s="287" t="s">
        <v>478</v>
      </c>
      <c r="C9" s="292">
        <v>125</v>
      </c>
      <c r="D9" s="291"/>
      <c r="E9" s="281"/>
      <c r="H9" s="289"/>
      <c r="O9" s="281"/>
      <c r="P9" s="281"/>
      <c r="Q9" s="281"/>
      <c r="R9" s="281"/>
      <c r="S9" s="281"/>
      <c r="T9" s="281"/>
      <c r="U9" s="281"/>
      <c r="V9" s="281"/>
      <c r="W9" s="281"/>
      <c r="X9" s="281"/>
      <c r="Y9" s="281"/>
      <c r="Z9" s="281"/>
      <c r="AA9" s="281"/>
      <c r="AB9" s="281"/>
      <c r="AC9" s="281"/>
      <c r="AD9" s="281"/>
      <c r="AE9" s="281"/>
    </row>
    <row r="10" spans="1:228" ht="12" thickBot="1">
      <c r="B10" s="293"/>
      <c r="C10" s="294"/>
      <c r="D10" s="291"/>
      <c r="E10" s="281"/>
      <c r="H10" s="289"/>
      <c r="O10" s="281"/>
      <c r="P10" s="281"/>
      <c r="Q10" s="281"/>
      <c r="R10" s="281"/>
      <c r="S10" s="281"/>
      <c r="T10" s="281"/>
      <c r="U10" s="281"/>
      <c r="V10" s="281"/>
      <c r="W10" s="281"/>
      <c r="X10" s="281"/>
      <c r="Y10" s="281"/>
      <c r="Z10" s="281"/>
      <c r="AA10" s="281"/>
      <c r="AB10" s="281"/>
      <c r="AC10" s="281"/>
      <c r="AD10" s="281"/>
      <c r="AE10" s="281"/>
    </row>
    <row r="11" spans="1:228">
      <c r="B11" s="295" t="s">
        <v>82</v>
      </c>
      <c r="C11" s="296" t="s">
        <v>67</v>
      </c>
      <c r="D11" s="281"/>
      <c r="E11" s="281"/>
      <c r="H11" s="289"/>
      <c r="O11" s="281"/>
      <c r="P11" s="281"/>
      <c r="Q11" s="281"/>
      <c r="R11" s="281"/>
      <c r="S11" s="281"/>
      <c r="T11" s="281"/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</row>
    <row r="12" spans="1:228">
      <c r="B12" s="297" t="s">
        <v>437</v>
      </c>
      <c r="C12" s="298">
        <v>-0.1</v>
      </c>
      <c r="D12" s="291"/>
      <c r="E12" s="281"/>
      <c r="H12" s="289"/>
      <c r="O12" s="281"/>
      <c r="P12" s="281"/>
      <c r="Q12" s="281"/>
      <c r="R12" s="281"/>
      <c r="S12" s="281"/>
      <c r="T12" s="281"/>
      <c r="U12" s="281"/>
      <c r="V12" s="281"/>
      <c r="W12" s="281"/>
      <c r="X12" s="281"/>
      <c r="Y12" s="281"/>
      <c r="Z12" s="281"/>
      <c r="AA12" s="281"/>
      <c r="AB12" s="281"/>
      <c r="AC12" s="281"/>
      <c r="AD12" s="281"/>
      <c r="AE12" s="281"/>
    </row>
    <row r="13" spans="1:228" ht="12" thickBot="1">
      <c r="B13" s="299" t="s">
        <v>439</v>
      </c>
      <c r="C13" s="233">
        <v>0.1</v>
      </c>
      <c r="E13" s="300"/>
      <c r="H13" s="289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1"/>
      <c r="AB13" s="281"/>
      <c r="AC13" s="281"/>
      <c r="AD13" s="281"/>
      <c r="AE13" s="281"/>
    </row>
    <row r="14" spans="1:228" ht="12" thickBot="1">
      <c r="B14" s="301"/>
      <c r="C14" s="302"/>
      <c r="E14" s="300"/>
      <c r="H14" s="289"/>
      <c r="O14" s="281"/>
      <c r="P14" s="281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1"/>
      <c r="AC14" s="281"/>
      <c r="AD14" s="281"/>
      <c r="AE14" s="281"/>
    </row>
    <row r="15" spans="1:228">
      <c r="B15" s="283" t="s">
        <v>458</v>
      </c>
      <c r="C15" s="303" t="s">
        <v>459</v>
      </c>
      <c r="E15" s="300"/>
      <c r="H15" s="289"/>
      <c r="O15" s="281"/>
      <c r="P15" s="281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81"/>
    </row>
    <row r="16" spans="1:228">
      <c r="B16" s="285" t="s">
        <v>461</v>
      </c>
      <c r="C16" s="304" t="s">
        <v>479</v>
      </c>
      <c r="E16" s="300"/>
      <c r="H16" s="289"/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</row>
    <row r="17" spans="2:31" ht="12" thickBot="1">
      <c r="B17" s="287" t="s">
        <v>462</v>
      </c>
      <c r="C17" s="305"/>
      <c r="E17" s="300"/>
      <c r="H17" s="289"/>
      <c r="O17" s="281"/>
      <c r="P17" s="281"/>
      <c r="Q17" s="281"/>
      <c r="R17" s="281"/>
      <c r="S17" s="281"/>
      <c r="T17" s="281"/>
      <c r="U17" s="281"/>
      <c r="V17" s="281"/>
      <c r="W17" s="281"/>
      <c r="X17" s="281"/>
      <c r="Y17" s="281"/>
      <c r="Z17" s="281"/>
      <c r="AA17" s="281"/>
      <c r="AB17" s="281"/>
      <c r="AC17" s="281"/>
      <c r="AD17" s="281"/>
      <c r="AE17" s="281"/>
    </row>
    <row r="18" spans="2:31" ht="12" thickBot="1">
      <c r="B18" s="293"/>
      <c r="C18" s="306"/>
      <c r="E18" s="300"/>
      <c r="H18" s="289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1"/>
      <c r="AC18" s="281"/>
      <c r="AD18" s="281"/>
      <c r="AE18" s="281"/>
    </row>
    <row r="19" spans="2:31" ht="12" thickBot="1">
      <c r="B19" s="295" t="s">
        <v>480</v>
      </c>
      <c r="C19" s="307"/>
      <c r="D19" s="308"/>
      <c r="E19" s="575" t="s">
        <v>481</v>
      </c>
      <c r="F19" s="575"/>
      <c r="G19" s="575"/>
      <c r="H19" s="575"/>
      <c r="I19" s="575"/>
      <c r="J19" s="575"/>
      <c r="K19" s="575"/>
      <c r="L19" s="575"/>
      <c r="M19" s="575"/>
      <c r="N19" s="576"/>
      <c r="O19" s="281"/>
      <c r="P19" s="281"/>
      <c r="Q19" s="281"/>
      <c r="R19" s="281"/>
      <c r="S19" s="281"/>
      <c r="T19" s="281"/>
      <c r="U19" s="281"/>
      <c r="V19" s="281"/>
      <c r="W19" s="281"/>
      <c r="X19" s="281"/>
      <c r="Y19" s="281"/>
      <c r="Z19" s="281"/>
      <c r="AA19" s="281"/>
      <c r="AB19" s="281"/>
      <c r="AC19" s="281"/>
      <c r="AD19" s="281"/>
      <c r="AE19" s="281"/>
    </row>
    <row r="20" spans="2:31" ht="12" thickBot="1">
      <c r="B20" s="310"/>
      <c r="C20" s="311"/>
      <c r="D20" s="312" t="s">
        <v>482</v>
      </c>
      <c r="E20" s="313">
        <v>1</v>
      </c>
      <c r="F20" s="314">
        <v>2</v>
      </c>
      <c r="G20" s="313">
        <v>3</v>
      </c>
      <c r="H20" s="315">
        <v>4</v>
      </c>
      <c r="I20" s="315">
        <v>5</v>
      </c>
      <c r="J20" s="315">
        <v>6</v>
      </c>
      <c r="K20" s="315">
        <v>7</v>
      </c>
      <c r="L20" s="314">
        <v>8</v>
      </c>
      <c r="M20" s="315">
        <v>9</v>
      </c>
      <c r="N20" s="316">
        <v>10</v>
      </c>
      <c r="O20" s="281"/>
      <c r="P20" s="281"/>
      <c r="Q20" s="281"/>
      <c r="R20" s="281"/>
      <c r="S20" s="281"/>
      <c r="T20" s="281"/>
      <c r="U20" s="281"/>
      <c r="V20" s="281"/>
      <c r="W20" s="293"/>
      <c r="X20" s="281"/>
      <c r="Y20" s="281"/>
      <c r="Z20" s="281"/>
      <c r="AA20" s="281"/>
      <c r="AB20" s="281"/>
      <c r="AC20" s="281"/>
      <c r="AD20" s="281"/>
      <c r="AE20" s="281"/>
    </row>
    <row r="21" spans="2:31">
      <c r="B21" s="283" t="s">
        <v>465</v>
      </c>
      <c r="C21" s="317">
        <v>0.54</v>
      </c>
      <c r="D21" s="318" t="s">
        <v>465</v>
      </c>
      <c r="E21" s="319">
        <v>6.0999999999999999E-2</v>
      </c>
      <c r="F21" s="319">
        <v>6.0999999999999999E-2</v>
      </c>
      <c r="G21" s="319">
        <v>6.0999999999999999E-2</v>
      </c>
      <c r="H21" s="319">
        <v>6.0999999999999999E-2</v>
      </c>
      <c r="I21" s="320">
        <v>0.06</v>
      </c>
      <c r="J21" s="320">
        <v>0.06</v>
      </c>
      <c r="K21" s="321"/>
      <c r="L21" s="322"/>
      <c r="M21" s="321"/>
      <c r="N21" s="323"/>
      <c r="O21" s="281"/>
      <c r="P21" s="281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1"/>
      <c r="AC21" s="281"/>
      <c r="AD21" s="281"/>
      <c r="AE21" s="281"/>
    </row>
    <row r="22" spans="2:31" ht="12" thickBot="1">
      <c r="B22" s="287" t="s">
        <v>466</v>
      </c>
      <c r="C22" s="324">
        <v>0.84</v>
      </c>
      <c r="D22" s="318" t="s">
        <v>483</v>
      </c>
      <c r="E22" s="325">
        <v>0.111</v>
      </c>
      <c r="F22" s="325">
        <v>0.111</v>
      </c>
      <c r="G22" s="325">
        <v>0.111</v>
      </c>
      <c r="H22" s="325">
        <v>0.111</v>
      </c>
      <c r="I22" s="326">
        <v>0.11</v>
      </c>
      <c r="J22" s="326">
        <v>0.11</v>
      </c>
      <c r="K22" s="327"/>
      <c r="L22" s="328"/>
      <c r="M22" s="327"/>
      <c r="N22" s="329"/>
      <c r="O22" s="281"/>
      <c r="P22" s="281"/>
      <c r="Q22" s="330"/>
      <c r="R22" s="281"/>
      <c r="S22" s="281"/>
      <c r="T22" s="281"/>
      <c r="U22" s="281"/>
      <c r="V22" s="281"/>
      <c r="W22" s="281"/>
      <c r="X22" s="281"/>
      <c r="Y22" s="281"/>
      <c r="Z22" s="281"/>
      <c r="AA22" s="281"/>
      <c r="AB22" s="281"/>
      <c r="AC22" s="281"/>
      <c r="AD22" s="281"/>
      <c r="AE22" s="281"/>
    </row>
    <row r="23" spans="2:31" ht="12" thickBot="1">
      <c r="B23" s="331"/>
      <c r="C23" s="332"/>
      <c r="D23" s="333" t="s">
        <v>484</v>
      </c>
      <c r="E23" s="334">
        <f t="shared" ref="E23:J23" si="0">0.166666666666667%*100</f>
        <v>0.16666666666666699</v>
      </c>
      <c r="F23" s="334">
        <f t="shared" si="0"/>
        <v>0.16666666666666699</v>
      </c>
      <c r="G23" s="334">
        <f t="shared" si="0"/>
        <v>0.16666666666666699</v>
      </c>
      <c r="H23" s="334">
        <f t="shared" si="0"/>
        <v>0.16666666666666699</v>
      </c>
      <c r="I23" s="334">
        <f t="shared" si="0"/>
        <v>0.16666666666666699</v>
      </c>
      <c r="J23" s="334">
        <f t="shared" si="0"/>
        <v>0.16666666666666699</v>
      </c>
      <c r="K23" s="327"/>
      <c r="L23" s="328"/>
      <c r="M23" s="327"/>
      <c r="N23" s="329"/>
      <c r="O23" s="281"/>
      <c r="P23" s="281"/>
      <c r="Q23" s="281"/>
      <c r="R23" s="281"/>
      <c r="S23" s="281"/>
      <c r="T23" s="281"/>
      <c r="U23" s="281"/>
      <c r="V23" s="281"/>
      <c r="W23" s="281"/>
      <c r="X23" s="281"/>
      <c r="Y23" s="281"/>
      <c r="Z23" s="281"/>
      <c r="AA23" s="281"/>
      <c r="AB23" s="281"/>
      <c r="AC23" s="281"/>
      <c r="AD23" s="281"/>
      <c r="AE23" s="281"/>
    </row>
    <row r="24" spans="2:31" ht="12" thickBot="1">
      <c r="B24" s="331"/>
      <c r="C24" s="332"/>
      <c r="D24" s="335"/>
      <c r="E24" s="336"/>
      <c r="F24" s="337"/>
      <c r="G24" s="337"/>
      <c r="H24" s="337"/>
      <c r="I24" s="337"/>
      <c r="J24" s="337"/>
      <c r="K24" s="337"/>
      <c r="L24" s="337"/>
      <c r="M24" s="337"/>
      <c r="N24" s="126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</row>
    <row r="25" spans="2:31" ht="12" thickBot="1">
      <c r="B25" s="283" t="s">
        <v>485</v>
      </c>
      <c r="C25" s="338">
        <v>8.3836702003960026E-2</v>
      </c>
      <c r="D25" s="339"/>
      <c r="E25" s="573" t="s">
        <v>486</v>
      </c>
      <c r="F25" s="573"/>
      <c r="G25" s="573"/>
      <c r="H25" s="573"/>
      <c r="I25" s="573"/>
      <c r="J25" s="573"/>
      <c r="K25" s="573"/>
      <c r="L25" s="573"/>
      <c r="M25" s="573"/>
      <c r="N25" s="572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</row>
    <row r="26" spans="2:31" ht="12" thickBot="1">
      <c r="B26" s="287" t="s">
        <v>487</v>
      </c>
      <c r="C26" s="340" t="b">
        <v>1</v>
      </c>
      <c r="D26" s="312" t="s">
        <v>488</v>
      </c>
      <c r="E26" s="341">
        <v>1</v>
      </c>
      <c r="F26" s="59">
        <f t="shared" ref="F26:N26" si="1">E26+1</f>
        <v>2</v>
      </c>
      <c r="G26" s="342">
        <f t="shared" si="1"/>
        <v>3</v>
      </c>
      <c r="H26" s="343">
        <f t="shared" si="1"/>
        <v>4</v>
      </c>
      <c r="I26" s="343">
        <f t="shared" si="1"/>
        <v>5</v>
      </c>
      <c r="J26" s="343">
        <f t="shared" si="1"/>
        <v>6</v>
      </c>
      <c r="K26" s="343">
        <f t="shared" si="1"/>
        <v>7</v>
      </c>
      <c r="L26" s="59">
        <f t="shared" si="1"/>
        <v>8</v>
      </c>
      <c r="M26" s="343">
        <f t="shared" si="1"/>
        <v>9</v>
      </c>
      <c r="N26" s="344">
        <f t="shared" si="1"/>
        <v>10</v>
      </c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</row>
    <row r="27" spans="2:31">
      <c r="B27" s="331"/>
      <c r="D27" s="345">
        <v>0</v>
      </c>
      <c r="E27" s="346">
        <v>1.9E-2</v>
      </c>
      <c r="F27" s="347">
        <v>2.1000000000000001E-2</v>
      </c>
      <c r="G27" s="348">
        <v>2.1999999999999999E-2</v>
      </c>
      <c r="H27" s="349">
        <v>2.1000000000000001E-2</v>
      </c>
      <c r="I27" s="348">
        <v>2.1999999999999999E-2</v>
      </c>
      <c r="J27" s="348">
        <v>2.1000000000000001E-2</v>
      </c>
      <c r="K27" s="322"/>
      <c r="L27" s="350"/>
      <c r="M27" s="322"/>
      <c r="N27" s="298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</row>
    <row r="28" spans="2:31">
      <c r="B28" s="331"/>
      <c r="D28" s="351">
        <v>2.4E-2</v>
      </c>
      <c r="E28" s="346">
        <v>3.5999999999999997E-2</v>
      </c>
      <c r="F28" s="352">
        <v>0.04</v>
      </c>
      <c r="G28" s="353">
        <v>4.1000000000000002E-2</v>
      </c>
      <c r="H28" s="354">
        <v>0.04</v>
      </c>
      <c r="I28" s="354">
        <v>4.1000000000000002E-2</v>
      </c>
      <c r="J28" s="354">
        <v>0.04</v>
      </c>
      <c r="K28" s="355"/>
      <c r="L28" s="355"/>
      <c r="M28" s="355"/>
      <c r="N28" s="355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</row>
    <row r="29" spans="2:31">
      <c r="B29" s="331"/>
      <c r="D29" s="351">
        <v>4.9000000000000002E-2</v>
      </c>
      <c r="E29" s="346">
        <v>6.3E-2</v>
      </c>
      <c r="F29" s="352">
        <v>6.9000000000000006E-2</v>
      </c>
      <c r="G29" s="353">
        <v>7.0999999999999994E-2</v>
      </c>
      <c r="H29" s="354">
        <v>6.9000000000000006E-2</v>
      </c>
      <c r="I29" s="354">
        <v>7.0999999999999994E-2</v>
      </c>
      <c r="J29" s="354">
        <v>6.9000000000000006E-2</v>
      </c>
      <c r="K29" s="355"/>
      <c r="L29" s="355"/>
      <c r="M29" s="355"/>
      <c r="N29" s="355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</row>
    <row r="30" spans="2:31">
      <c r="B30" s="331"/>
      <c r="D30" s="351">
        <v>6.5000000000000002E-2</v>
      </c>
      <c r="E30" s="346">
        <v>9.2999999999999999E-2</v>
      </c>
      <c r="F30" s="352">
        <v>0.107</v>
      </c>
      <c r="G30" s="353">
        <v>0.111</v>
      </c>
      <c r="H30" s="354">
        <v>0.108</v>
      </c>
      <c r="I30" s="354">
        <v>0.112</v>
      </c>
      <c r="J30" s="354">
        <v>0.108</v>
      </c>
      <c r="K30" s="355"/>
      <c r="L30" s="355"/>
      <c r="M30" s="355"/>
      <c r="N30" s="355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</row>
    <row r="31" spans="2:31">
      <c r="B31" s="331"/>
      <c r="D31" s="351">
        <v>8.1000000000000003E-2</v>
      </c>
      <c r="E31" s="346">
        <v>0.13300000000000001</v>
      </c>
      <c r="F31" s="352">
        <v>0.14899999999999999</v>
      </c>
      <c r="G31" s="353">
        <v>0.154</v>
      </c>
      <c r="H31" s="354">
        <v>0.151</v>
      </c>
      <c r="I31" s="354">
        <v>0.154</v>
      </c>
      <c r="J31" s="354">
        <v>0.14899999999999999</v>
      </c>
      <c r="K31" s="355"/>
      <c r="L31" s="355"/>
      <c r="M31" s="355"/>
      <c r="N31" s="355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</row>
    <row r="32" spans="2:31">
      <c r="B32" s="331"/>
      <c r="D32" s="351">
        <v>9.8000000000000004E-2</v>
      </c>
      <c r="E32" s="346">
        <v>0.17399999999999999</v>
      </c>
      <c r="F32" s="352">
        <v>0.191</v>
      </c>
      <c r="G32" s="353">
        <v>0.19600000000000001</v>
      </c>
      <c r="H32" s="354">
        <v>0.19400000000000001</v>
      </c>
      <c r="I32" s="354">
        <v>0.19700000000000001</v>
      </c>
      <c r="J32" s="354">
        <v>0.191</v>
      </c>
      <c r="K32" s="355"/>
      <c r="L32" s="355"/>
      <c r="M32" s="355"/>
      <c r="N32" s="355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</row>
    <row r="33" spans="1:31" ht="12" thickBot="1">
      <c r="B33" s="356"/>
      <c r="C33" s="357"/>
      <c r="D33" s="358">
        <v>0.114</v>
      </c>
      <c r="E33" s="359">
        <v>0.214</v>
      </c>
      <c r="F33" s="360">
        <v>0.23200000000000001</v>
      </c>
      <c r="G33" s="361">
        <v>0.23799999999999999</v>
      </c>
      <c r="H33" s="362">
        <v>0.23499999999999999</v>
      </c>
      <c r="I33" s="361">
        <v>0.23899999999999999</v>
      </c>
      <c r="J33" s="361">
        <v>0.23200000000000001</v>
      </c>
      <c r="K33" s="328"/>
      <c r="L33" s="363"/>
      <c r="M33" s="328"/>
      <c r="N33" s="324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</row>
    <row r="34" spans="1:31" ht="12" thickBot="1"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</row>
    <row r="35" spans="1:31" ht="12" thickBot="1">
      <c r="D35" s="364" t="s">
        <v>423</v>
      </c>
      <c r="E35" s="365" t="b">
        <v>1</v>
      </c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</row>
    <row r="36" spans="1:31" ht="12" thickBot="1">
      <c r="B36" s="366"/>
      <c r="C36" s="79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</row>
    <row r="37" spans="1:31" ht="13.5" customHeight="1" thickBot="1">
      <c r="B37" s="366"/>
      <c r="C37" s="571" t="s">
        <v>480</v>
      </c>
      <c r="D37" s="572"/>
      <c r="E37" s="573" t="s">
        <v>489</v>
      </c>
      <c r="F37" s="573"/>
      <c r="G37" s="573"/>
      <c r="H37" s="573"/>
      <c r="I37" s="573"/>
      <c r="J37" s="573"/>
      <c r="K37" s="573"/>
      <c r="L37" s="573"/>
      <c r="M37" s="573"/>
      <c r="N37" s="572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</row>
    <row r="38" spans="1:31" ht="12" thickBot="1">
      <c r="B38" s="293"/>
      <c r="C38" s="367" t="s">
        <v>434</v>
      </c>
      <c r="D38" s="368" t="s">
        <v>490</v>
      </c>
      <c r="E38" s="282">
        <v>1</v>
      </c>
      <c r="F38" s="282">
        <f t="shared" ref="F38:N38" si="2">E38+1</f>
        <v>2</v>
      </c>
      <c r="G38" s="282">
        <f t="shared" si="2"/>
        <v>3</v>
      </c>
      <c r="H38" s="282">
        <f t="shared" si="2"/>
        <v>4</v>
      </c>
      <c r="I38" s="282">
        <f t="shared" si="2"/>
        <v>5</v>
      </c>
      <c r="J38" s="282">
        <f t="shared" si="2"/>
        <v>6</v>
      </c>
      <c r="K38" s="282">
        <f t="shared" si="2"/>
        <v>7</v>
      </c>
      <c r="L38" s="282">
        <f t="shared" si="2"/>
        <v>8</v>
      </c>
      <c r="M38" s="282">
        <f t="shared" si="2"/>
        <v>9</v>
      </c>
      <c r="N38" s="369">
        <f t="shared" si="2"/>
        <v>10</v>
      </c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</row>
    <row r="39" spans="1:31" ht="12" thickBot="1">
      <c r="A39" s="79"/>
      <c r="B39" s="367" t="s">
        <v>491</v>
      </c>
      <c r="C39" s="370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1" t="e">
        <f ca="1"/>
        <v>#NAME?</v>
      </c>
      <c r="E39" s="372" t="e">
        <f ca="1"/>
        <v>#NAME?</v>
      </c>
      <c r="F39" s="372" t="e">
        <f ca="1"/>
        <v>#NAME?</v>
      </c>
      <c r="G39" s="372" t="e">
        <f ca="1"/>
        <v>#NAME?</v>
      </c>
      <c r="H39" s="372" t="e">
        <f ca="1"/>
        <v>#NAME?</v>
      </c>
      <c r="I39" s="372" t="e">
        <f ca="1"/>
        <v>#NAME?</v>
      </c>
      <c r="J39" s="372" t="e">
        <f ca="1"/>
        <v>#NAME?</v>
      </c>
      <c r="K39" s="372" t="e">
        <f ca="1"/>
        <v>#NAME?</v>
      </c>
      <c r="L39" s="372" t="e">
        <f ca="1"/>
        <v>#NAME?</v>
      </c>
      <c r="M39" s="372" t="e">
        <f ca="1"/>
        <v>#NAME?</v>
      </c>
      <c r="N39" s="373" t="e">
        <f ca="1"/>
        <v>#NAME?</v>
      </c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</row>
    <row r="40" spans="1:31" ht="12" thickBot="1">
      <c r="B40" s="367" t="s">
        <v>492</v>
      </c>
      <c r="C40" s="374" t="e">
        <f ca="1"/>
        <v>#NAME?</v>
      </c>
      <c r="D40" s="375" t="e">
        <f ca="1"/>
        <v>#NAME?</v>
      </c>
      <c r="E40" s="376" t="e">
        <f ca="1"/>
        <v>#NAME?</v>
      </c>
      <c r="F40" s="376" t="e">
        <f ca="1"/>
        <v>#NAME?</v>
      </c>
      <c r="G40" s="376" t="e">
        <f ca="1"/>
        <v>#NAME?</v>
      </c>
      <c r="H40" s="376" t="e">
        <f ca="1"/>
        <v>#NAME?</v>
      </c>
      <c r="I40" s="376" t="e">
        <f ca="1"/>
        <v>#NAME?</v>
      </c>
      <c r="J40" s="376" t="e">
        <f ca="1"/>
        <v>#NAME?</v>
      </c>
      <c r="K40" s="376" t="e">
        <f ca="1"/>
        <v>#NAME?</v>
      </c>
      <c r="L40" s="376" t="e">
        <f ca="1"/>
        <v>#NAME?</v>
      </c>
      <c r="M40" s="376" t="e">
        <f ca="1"/>
        <v>#NAME?</v>
      </c>
      <c r="N40" s="377" t="e">
        <f ca="1"/>
        <v>#NAME?</v>
      </c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</row>
    <row r="41" spans="1:31">
      <c r="C41" s="378"/>
      <c r="D41" s="379" t="e" cm="1">
        <f t="array" aca="1" ref="D41" ca="1">GetTest2(E21:N23)</f>
        <v>#NAME?</v>
      </c>
      <c r="E41" s="379"/>
      <c r="F41" s="380"/>
      <c r="G41" s="379"/>
      <c r="H41" s="380"/>
      <c r="I41" s="378"/>
      <c r="J41" s="380"/>
      <c r="K41" s="378"/>
      <c r="L41" s="380"/>
      <c r="M41" s="378"/>
      <c r="N41" s="378"/>
      <c r="O41" s="281"/>
      <c r="P41" s="574"/>
      <c r="Q41" s="574"/>
      <c r="R41" s="574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</row>
    <row r="42" spans="1:31">
      <c r="B42" s="281" t="e" cm="1">
        <f t="array" aca="1" ref="B42" ca="1">GetTest2(E21:N23,C21,C22,C26,D46:N345,Parameter_Date,C5,C11)</f>
        <v>#NAME?</v>
      </c>
      <c r="D42" s="379"/>
      <c r="E42" s="379"/>
      <c r="F42" s="380"/>
      <c r="G42" s="379"/>
      <c r="H42" s="380"/>
      <c r="I42" s="378"/>
      <c r="J42" s="380"/>
      <c r="K42" s="378"/>
      <c r="L42" s="380"/>
      <c r="M42" s="378"/>
      <c r="N42" s="378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</row>
    <row r="43" spans="1:31" ht="12" thickBot="1">
      <c r="D43" s="281"/>
      <c r="E43" s="3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</row>
    <row r="44" spans="1:31" ht="12" thickBot="1">
      <c r="C44" s="332"/>
      <c r="D44" s="382"/>
      <c r="E44" s="571" t="s">
        <v>493</v>
      </c>
      <c r="F44" s="573"/>
      <c r="G44" s="573"/>
      <c r="H44" s="573"/>
      <c r="I44" s="573"/>
      <c r="J44" s="573"/>
      <c r="K44" s="573"/>
      <c r="L44" s="573"/>
      <c r="M44" s="573"/>
      <c r="N44" s="572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</row>
    <row r="45" spans="1:31" ht="12" thickBot="1">
      <c r="B45" s="312" t="s">
        <v>494</v>
      </c>
      <c r="C45" s="309" t="s">
        <v>495</v>
      </c>
      <c r="D45" s="367" t="s">
        <v>474</v>
      </c>
      <c r="E45" s="383">
        <v>1</v>
      </c>
      <c r="F45" s="384">
        <f t="shared" ref="F45:N45" si="3">E45+1</f>
        <v>2</v>
      </c>
      <c r="G45" s="384">
        <f t="shared" si="3"/>
        <v>3</v>
      </c>
      <c r="H45" s="384">
        <f t="shared" si="3"/>
        <v>4</v>
      </c>
      <c r="I45" s="384">
        <f t="shared" si="3"/>
        <v>5</v>
      </c>
      <c r="J45" s="384">
        <f t="shared" si="3"/>
        <v>6</v>
      </c>
      <c r="K45" s="384">
        <f t="shared" si="3"/>
        <v>7</v>
      </c>
      <c r="L45" s="384">
        <f t="shared" si="3"/>
        <v>8</v>
      </c>
      <c r="M45" s="384">
        <f t="shared" si="3"/>
        <v>9</v>
      </c>
      <c r="N45" s="385">
        <f t="shared" si="3"/>
        <v>10</v>
      </c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</row>
    <row r="46" spans="1:31" ht="15">
      <c r="B46" s="386">
        <v>1</v>
      </c>
      <c r="C46" s="394" t="str" cm="1">
        <f t="array" aca="1" ref="C46" ca="1">IF(B46&lt;=$C$9,GetGetCDSName(B46),"")</f>
        <v>CDS Name - Issuer 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46" s="354">
        <v>0</v>
      </c>
      <c r="E46" s="387">
        <v>0</v>
      </c>
      <c r="F46" s="306">
        <v>0</v>
      </c>
      <c r="G46" s="306">
        <v>1</v>
      </c>
      <c r="H46" s="306">
        <v>0</v>
      </c>
      <c r="I46" s="306">
        <v>0</v>
      </c>
      <c r="J46" s="306">
        <v>0</v>
      </c>
      <c r="K46" s="306"/>
      <c r="L46" s="306"/>
      <c r="M46" s="306"/>
      <c r="N46" s="388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</row>
    <row r="47" spans="1:31" ht="15">
      <c r="B47" s="386">
        <f t="shared" ref="B47:B110" si="4">B46+1</f>
        <v>2</v>
      </c>
      <c r="C47" s="394" t="str" cm="1">
        <f t="array" aca="1" ref="C47" ca="1">IF(B47&lt;=$C$9,GetGetCDSName(B47),"")</f>
        <v>CDS Name - Issuer 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47" s="354">
        <v>0</v>
      </c>
      <c r="E47" s="387">
        <v>0</v>
      </c>
      <c r="F47" s="306">
        <v>0</v>
      </c>
      <c r="G47" s="306">
        <v>0</v>
      </c>
      <c r="H47" s="306">
        <v>0</v>
      </c>
      <c r="I47" s="306">
        <v>1</v>
      </c>
      <c r="J47" s="306">
        <v>1</v>
      </c>
      <c r="K47" s="306"/>
      <c r="L47" s="306"/>
      <c r="M47" s="306"/>
      <c r="N47" s="388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81"/>
    </row>
    <row r="48" spans="1:31" ht="15">
      <c r="B48" s="386">
        <f t="shared" si="4"/>
        <v>3</v>
      </c>
      <c r="C48" s="394" t="str" cm="1">
        <f t="array" aca="1" ref="C48" ca="1">IF(B48&lt;=$C$9,GetGetCDSName(B48),"")</f>
        <v>CDS Name - Issuer 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48" s="354">
        <v>0</v>
      </c>
      <c r="E48" s="387">
        <v>0</v>
      </c>
      <c r="F48" s="306">
        <v>0</v>
      </c>
      <c r="G48" s="306">
        <v>1</v>
      </c>
      <c r="H48" s="306">
        <v>0</v>
      </c>
      <c r="I48" s="306">
        <v>1</v>
      </c>
      <c r="J48" s="306">
        <v>0</v>
      </c>
      <c r="K48" s="306"/>
      <c r="L48" s="306"/>
      <c r="M48" s="306"/>
      <c r="N48" s="388"/>
      <c r="O48" s="281"/>
      <c r="P48" s="281"/>
      <c r="Q48" s="281"/>
      <c r="R48" s="281"/>
      <c r="S48" s="281"/>
      <c r="T48" s="281"/>
      <c r="U48" s="281"/>
      <c r="V48" s="281"/>
      <c r="W48" s="281"/>
      <c r="X48" s="281"/>
      <c r="Y48" s="281"/>
      <c r="Z48" s="281"/>
      <c r="AA48" s="281"/>
      <c r="AB48" s="281"/>
      <c r="AC48" s="281"/>
      <c r="AD48" s="281"/>
      <c r="AE48" s="281"/>
    </row>
    <row r="49" spans="2:31" ht="15">
      <c r="B49" s="386">
        <f t="shared" si="4"/>
        <v>4</v>
      </c>
      <c r="C49" s="394" t="str" cm="1">
        <f t="array" aca="1" ref="C49" ca="1">IF(B49&lt;=$C$9,GetGetCDSName(B49),"")</f>
        <v>CDS Name - Issuer 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49" s="354">
        <v>0</v>
      </c>
      <c r="E49" s="387">
        <v>0</v>
      </c>
      <c r="F49" s="306">
        <v>0</v>
      </c>
      <c r="G49" s="306">
        <v>0</v>
      </c>
      <c r="H49" s="306">
        <v>0</v>
      </c>
      <c r="I49" s="306">
        <v>0</v>
      </c>
      <c r="J49" s="306">
        <v>1</v>
      </c>
      <c r="K49" s="306"/>
      <c r="L49" s="306"/>
      <c r="M49" s="306"/>
      <c r="N49" s="388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</row>
    <row r="50" spans="2:31" ht="15">
      <c r="B50" s="386">
        <f t="shared" si="4"/>
        <v>5</v>
      </c>
      <c r="C50" s="394" t="str" cm="1">
        <f t="array" aca="1" ref="C50" ca="1">IF(B50&lt;=$C$9,GetGetCDSName(B50),"")</f>
        <v>CDS Name - Issuer 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0" s="354">
        <v>0</v>
      </c>
      <c r="E50" s="387">
        <v>0</v>
      </c>
      <c r="F50" s="306">
        <v>0</v>
      </c>
      <c r="G50" s="306">
        <v>0</v>
      </c>
      <c r="H50" s="306">
        <v>1</v>
      </c>
      <c r="I50" s="306">
        <v>0</v>
      </c>
      <c r="J50" s="306">
        <v>0</v>
      </c>
      <c r="K50" s="306"/>
      <c r="L50" s="306"/>
      <c r="M50" s="306"/>
      <c r="N50" s="388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</row>
    <row r="51" spans="2:31" ht="15">
      <c r="B51" s="386">
        <f t="shared" si="4"/>
        <v>6</v>
      </c>
      <c r="C51" s="394" t="str" cm="1">
        <f t="array" aca="1" ref="C51" ca="1">IF(B51&lt;=$C$9,GetGetCDSName(B51),"")</f>
        <v>CDS Name - Issuer 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1" s="354">
        <v>0</v>
      </c>
      <c r="E51" s="387">
        <v>1</v>
      </c>
      <c r="F51" s="306">
        <v>1</v>
      </c>
      <c r="G51" s="306">
        <v>0</v>
      </c>
      <c r="H51" s="306">
        <v>0</v>
      </c>
      <c r="I51" s="306">
        <v>0</v>
      </c>
      <c r="J51" s="306">
        <v>1</v>
      </c>
      <c r="K51" s="306"/>
      <c r="L51" s="306"/>
      <c r="M51" s="306"/>
      <c r="N51" s="388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</row>
    <row r="52" spans="2:31" ht="15">
      <c r="B52" s="386">
        <f t="shared" si="4"/>
        <v>7</v>
      </c>
      <c r="C52" s="394" t="str" cm="1">
        <f t="array" aca="1" ref="C52" ca="1">IF(B52&lt;=$C$9,GetGetCDSName(B52),"")</f>
        <v>CDS Name - Issuer 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2" s="354">
        <v>0</v>
      </c>
      <c r="E52" s="387">
        <v>0</v>
      </c>
      <c r="F52" s="306">
        <v>0</v>
      </c>
      <c r="G52" s="306">
        <v>1</v>
      </c>
      <c r="H52" s="306">
        <v>1</v>
      </c>
      <c r="I52" s="306">
        <v>1</v>
      </c>
      <c r="J52" s="306">
        <v>0</v>
      </c>
      <c r="K52" s="306"/>
      <c r="L52" s="306"/>
      <c r="M52" s="306"/>
      <c r="N52" s="388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</row>
    <row r="53" spans="2:31" ht="15">
      <c r="B53" s="386">
        <f t="shared" si="4"/>
        <v>8</v>
      </c>
      <c r="C53" s="394" t="str" cm="1">
        <f t="array" aca="1" ref="C53" ca="1">IF(B53&lt;=$C$9,GetGetCDSName(B53),"")</f>
        <v>CDS Name - Issuer 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3" s="354">
        <v>0</v>
      </c>
      <c r="E53" s="387">
        <v>1</v>
      </c>
      <c r="F53" s="306">
        <v>1</v>
      </c>
      <c r="G53" s="306">
        <v>0</v>
      </c>
      <c r="H53" s="306">
        <v>0</v>
      </c>
      <c r="I53" s="306">
        <v>1</v>
      </c>
      <c r="J53" s="306">
        <v>0</v>
      </c>
      <c r="K53" s="306"/>
      <c r="L53" s="306"/>
      <c r="M53" s="306"/>
      <c r="N53" s="388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</row>
    <row r="54" spans="2:31" ht="15">
      <c r="B54" s="386">
        <f t="shared" si="4"/>
        <v>9</v>
      </c>
      <c r="C54" s="394" t="str" cm="1">
        <f t="array" aca="1" ref="C54" ca="1">IF(B54&lt;=$C$9,GetGetCDSName(B54),"")</f>
        <v>CDS Name - Issuer 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4" s="354">
        <v>0</v>
      </c>
      <c r="E54" s="387">
        <v>0</v>
      </c>
      <c r="F54" s="306">
        <v>0</v>
      </c>
      <c r="G54" s="306">
        <v>0</v>
      </c>
      <c r="H54" s="306">
        <v>0</v>
      </c>
      <c r="I54" s="306">
        <v>0</v>
      </c>
      <c r="J54" s="306">
        <v>1</v>
      </c>
      <c r="K54" s="306"/>
      <c r="L54" s="306"/>
      <c r="M54" s="306"/>
      <c r="N54" s="388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</row>
    <row r="55" spans="2:31" ht="15">
      <c r="B55" s="386">
        <f t="shared" si="4"/>
        <v>10</v>
      </c>
      <c r="C55" s="394" t="str" cm="1">
        <f t="array" aca="1" ref="C55" ca="1">IF(B55&lt;=$C$9,GetGetCDSName(B55),"")</f>
        <v>CDS Name - Issuer 10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5" s="354">
        <v>0</v>
      </c>
      <c r="E55" s="387">
        <v>0</v>
      </c>
      <c r="F55" s="306">
        <v>0</v>
      </c>
      <c r="G55" s="306">
        <v>1</v>
      </c>
      <c r="H55" s="306">
        <v>1</v>
      </c>
      <c r="I55" s="306">
        <v>0</v>
      </c>
      <c r="J55" s="306">
        <v>0</v>
      </c>
      <c r="K55" s="306"/>
      <c r="L55" s="306"/>
      <c r="M55" s="306"/>
      <c r="N55" s="388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</row>
    <row r="56" spans="2:31" ht="15">
      <c r="B56" s="386">
        <f t="shared" si="4"/>
        <v>11</v>
      </c>
      <c r="C56" s="394" t="str" cm="1">
        <f t="array" aca="1" ref="C56" ca="1">IF(B56&lt;=$C$9,GetGetCDSName(B56),"")</f>
        <v>CDS Name - Issuer 11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6" s="354">
        <v>0</v>
      </c>
      <c r="E56" s="387">
        <v>1</v>
      </c>
      <c r="F56" s="306">
        <v>0</v>
      </c>
      <c r="G56" s="306">
        <v>0</v>
      </c>
      <c r="H56" s="306">
        <v>0</v>
      </c>
      <c r="I56" s="306">
        <v>0</v>
      </c>
      <c r="J56" s="306">
        <v>0</v>
      </c>
      <c r="K56" s="306"/>
      <c r="L56" s="306"/>
      <c r="M56" s="306"/>
      <c r="N56" s="388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</row>
    <row r="57" spans="2:31" ht="15">
      <c r="B57" s="386">
        <f t="shared" si="4"/>
        <v>12</v>
      </c>
      <c r="C57" s="394" t="str" cm="1">
        <f t="array" aca="1" ref="C57" ca="1">IF(B57&lt;=$C$9,GetGetCDSName(B57),"")</f>
        <v>CDS Name - Issuer 12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7" s="354">
        <v>0</v>
      </c>
      <c r="E57" s="387">
        <v>0</v>
      </c>
      <c r="F57" s="306">
        <v>1</v>
      </c>
      <c r="G57" s="306">
        <v>0</v>
      </c>
      <c r="H57" s="306">
        <v>0</v>
      </c>
      <c r="I57" s="306">
        <v>0</v>
      </c>
      <c r="J57" s="306">
        <v>0</v>
      </c>
      <c r="K57" s="306"/>
      <c r="L57" s="306"/>
      <c r="M57" s="306"/>
      <c r="N57" s="388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</row>
    <row r="58" spans="2:31" ht="15">
      <c r="B58" s="386">
        <f t="shared" si="4"/>
        <v>13</v>
      </c>
      <c r="C58" s="394" t="str" cm="1">
        <f t="array" aca="1" ref="C58" ca="1">IF(B58&lt;=$C$9,GetGetCDSName(B58),"")</f>
        <v>CDS Name - Issuer 13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8" s="354">
        <v>0</v>
      </c>
      <c r="E58" s="387">
        <v>0</v>
      </c>
      <c r="F58" s="306">
        <v>0</v>
      </c>
      <c r="G58" s="306">
        <v>0</v>
      </c>
      <c r="H58" s="306">
        <v>1</v>
      </c>
      <c r="I58" s="306">
        <v>0</v>
      </c>
      <c r="J58" s="306">
        <v>0</v>
      </c>
      <c r="K58" s="306"/>
      <c r="L58" s="306"/>
      <c r="M58" s="306"/>
      <c r="N58" s="388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</row>
    <row r="59" spans="2:31" ht="15">
      <c r="B59" s="386">
        <f t="shared" si="4"/>
        <v>14</v>
      </c>
      <c r="C59" s="394" t="str" cm="1">
        <f t="array" aca="1" ref="C59" ca="1">IF(B59&lt;=$C$9,GetGetCDSName(B59),"")</f>
        <v>CDS Name - Issuer 14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59" s="354">
        <v>0</v>
      </c>
      <c r="E59" s="387">
        <v>0</v>
      </c>
      <c r="F59" s="306">
        <v>0</v>
      </c>
      <c r="G59" s="306">
        <v>0</v>
      </c>
      <c r="H59" s="306">
        <v>1</v>
      </c>
      <c r="I59" s="306">
        <v>1</v>
      </c>
      <c r="J59" s="306">
        <v>0</v>
      </c>
      <c r="K59" s="306"/>
      <c r="L59" s="306"/>
      <c r="M59" s="306"/>
      <c r="N59" s="388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</row>
    <row r="60" spans="2:31" ht="15">
      <c r="B60" s="386">
        <f t="shared" si="4"/>
        <v>15</v>
      </c>
      <c r="C60" s="394" t="str" cm="1">
        <f t="array" aca="1" ref="C60" ca="1">IF(B60&lt;=$C$9,GetGetCDSName(B60),"")</f>
        <v>CDS Name - Issuer 15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0" s="354">
        <v>0</v>
      </c>
      <c r="E60" s="387">
        <v>1</v>
      </c>
      <c r="F60" s="306">
        <v>0</v>
      </c>
      <c r="G60" s="306">
        <v>0</v>
      </c>
      <c r="H60" s="306">
        <v>1</v>
      </c>
      <c r="I60" s="306">
        <v>1</v>
      </c>
      <c r="J60" s="306">
        <v>0</v>
      </c>
      <c r="K60" s="306"/>
      <c r="L60" s="306"/>
      <c r="M60" s="306"/>
      <c r="N60" s="388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</row>
    <row r="61" spans="2:31" ht="15">
      <c r="B61" s="386">
        <f t="shared" si="4"/>
        <v>16</v>
      </c>
      <c r="C61" s="394" t="str" cm="1">
        <f t="array" aca="1" ref="C61" ca="1">IF(B61&lt;=$C$9,GetGetCDSName(B61),"")</f>
        <v>CDS Name - Issuer 16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1" s="354">
        <v>0</v>
      </c>
      <c r="E61" s="387">
        <v>0</v>
      </c>
      <c r="F61" s="306">
        <v>0</v>
      </c>
      <c r="G61" s="306">
        <v>0</v>
      </c>
      <c r="H61" s="306">
        <v>0</v>
      </c>
      <c r="I61" s="306">
        <v>1</v>
      </c>
      <c r="J61" s="306">
        <v>0</v>
      </c>
      <c r="K61" s="306"/>
      <c r="L61" s="306"/>
      <c r="M61" s="306"/>
      <c r="N61" s="388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81"/>
    </row>
    <row r="62" spans="2:31" ht="15">
      <c r="B62" s="386">
        <f t="shared" si="4"/>
        <v>17</v>
      </c>
      <c r="C62" s="394" t="str" cm="1">
        <f t="array" aca="1" ref="C62" ca="1">IF(B62&lt;=$C$9,GetGetCDSName(B62),"")</f>
        <v>CDS Name - Issuer 17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2" s="354">
        <v>0</v>
      </c>
      <c r="E62" s="387">
        <v>1</v>
      </c>
      <c r="F62" s="306">
        <v>0</v>
      </c>
      <c r="G62" s="306">
        <v>0</v>
      </c>
      <c r="H62" s="306">
        <v>0</v>
      </c>
      <c r="I62" s="306">
        <v>0</v>
      </c>
      <c r="J62" s="306">
        <v>0</v>
      </c>
      <c r="K62" s="306"/>
      <c r="L62" s="306"/>
      <c r="M62" s="306"/>
      <c r="N62" s="388"/>
      <c r="O62" s="281"/>
      <c r="P62" s="281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  <c r="AC62" s="281"/>
      <c r="AD62" s="281"/>
      <c r="AE62" s="281"/>
    </row>
    <row r="63" spans="2:31" ht="15">
      <c r="B63" s="386">
        <f t="shared" si="4"/>
        <v>18</v>
      </c>
      <c r="C63" s="394" t="str" cm="1">
        <f t="array" aca="1" ref="C63" ca="1">IF(B63&lt;=$C$9,GetGetCDSName(B63),"")</f>
        <v>CDS Name - Issuer 18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3" s="354">
        <v>0</v>
      </c>
      <c r="E63" s="387">
        <v>0</v>
      </c>
      <c r="F63" s="306">
        <v>1</v>
      </c>
      <c r="G63" s="306">
        <v>0</v>
      </c>
      <c r="H63" s="306">
        <v>0</v>
      </c>
      <c r="I63" s="306">
        <v>0</v>
      </c>
      <c r="J63" s="306">
        <v>0</v>
      </c>
      <c r="K63" s="306"/>
      <c r="L63" s="306"/>
      <c r="M63" s="306"/>
      <c r="N63" s="388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1"/>
      <c r="Z63" s="281"/>
      <c r="AA63" s="281"/>
      <c r="AB63" s="281"/>
      <c r="AC63" s="281"/>
      <c r="AD63" s="281"/>
      <c r="AE63" s="281"/>
    </row>
    <row r="64" spans="2:31" ht="15">
      <c r="B64" s="386">
        <f t="shared" si="4"/>
        <v>19</v>
      </c>
      <c r="C64" s="394" t="str" cm="1">
        <f t="array" aca="1" ref="C64" ca="1">IF(B64&lt;=$C$9,GetGetCDSName(B64),"")</f>
        <v>CDS Name - Issuer 19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4" s="354">
        <v>0</v>
      </c>
      <c r="E64" s="387">
        <v>0</v>
      </c>
      <c r="F64" s="306">
        <v>0</v>
      </c>
      <c r="G64" s="306">
        <v>1</v>
      </c>
      <c r="H64" s="306">
        <v>0</v>
      </c>
      <c r="I64" s="306">
        <v>0</v>
      </c>
      <c r="J64" s="306">
        <v>0</v>
      </c>
      <c r="K64" s="306"/>
      <c r="L64" s="306"/>
      <c r="M64" s="306"/>
      <c r="N64" s="388"/>
      <c r="O64" s="281"/>
      <c r="P64" s="281"/>
      <c r="Q64" s="281"/>
      <c r="R64" s="281"/>
      <c r="S64" s="281"/>
      <c r="T64" s="281"/>
      <c r="U64" s="281"/>
      <c r="V64" s="281"/>
      <c r="W64" s="281"/>
      <c r="X64" s="281"/>
      <c r="Y64" s="281"/>
      <c r="Z64" s="281"/>
      <c r="AA64" s="281"/>
      <c r="AB64" s="281"/>
      <c r="AC64" s="281"/>
      <c r="AD64" s="281"/>
      <c r="AE64" s="281"/>
    </row>
    <row r="65" spans="2:31" ht="15">
      <c r="B65" s="386">
        <f t="shared" si="4"/>
        <v>20</v>
      </c>
      <c r="C65" s="394" t="str" cm="1">
        <f t="array" aca="1" ref="C65" ca="1">IF(B65&lt;=$C$9,GetGetCDSName(B65),"")</f>
        <v>CDS Name - Issuer 20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5" s="354">
        <v>0</v>
      </c>
      <c r="E65" s="387">
        <v>1</v>
      </c>
      <c r="F65" s="306">
        <v>0</v>
      </c>
      <c r="G65" s="306">
        <v>1</v>
      </c>
      <c r="H65" s="306">
        <v>1</v>
      </c>
      <c r="I65" s="306">
        <v>0</v>
      </c>
      <c r="J65" s="306">
        <v>0</v>
      </c>
      <c r="K65" s="306"/>
      <c r="L65" s="306"/>
      <c r="M65" s="306"/>
      <c r="N65" s="388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281"/>
      <c r="AB65" s="281"/>
      <c r="AC65" s="281"/>
      <c r="AD65" s="281"/>
      <c r="AE65" s="281"/>
    </row>
    <row r="66" spans="2:31" ht="15">
      <c r="B66" s="386">
        <f t="shared" si="4"/>
        <v>21</v>
      </c>
      <c r="C66" s="394" t="str" cm="1">
        <f t="array" aca="1" ref="C66" ca="1">IF(B66&lt;=$C$9,GetGetCDSName(B66),"")</f>
        <v>CDS Name - Issuer 21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6" s="354">
        <v>0</v>
      </c>
      <c r="E66" s="387">
        <v>0</v>
      </c>
      <c r="F66" s="306">
        <v>1</v>
      </c>
      <c r="G66" s="306">
        <v>1</v>
      </c>
      <c r="H66" s="306">
        <v>0</v>
      </c>
      <c r="I66" s="306">
        <v>0</v>
      </c>
      <c r="J66" s="306">
        <v>1</v>
      </c>
      <c r="K66" s="306"/>
      <c r="L66" s="306"/>
      <c r="M66" s="306"/>
      <c r="N66" s="388"/>
      <c r="O66" s="281"/>
      <c r="P66" s="281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1"/>
      <c r="AB66" s="281"/>
      <c r="AC66" s="281"/>
      <c r="AD66" s="281"/>
      <c r="AE66" s="281"/>
    </row>
    <row r="67" spans="2:31" ht="15">
      <c r="B67" s="386">
        <f t="shared" si="4"/>
        <v>22</v>
      </c>
      <c r="C67" s="394" t="str" cm="1">
        <f t="array" aca="1" ref="C67" ca="1">IF(B67&lt;=$C$9,GetGetCDSName(B67),"")</f>
        <v>CDS Name - Issuer 22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7" s="354">
        <v>0</v>
      </c>
      <c r="E67" s="387">
        <v>0</v>
      </c>
      <c r="F67" s="306">
        <v>0</v>
      </c>
      <c r="G67" s="306">
        <v>1</v>
      </c>
      <c r="H67" s="306">
        <v>0</v>
      </c>
      <c r="I67" s="306">
        <v>0</v>
      </c>
      <c r="J67" s="306">
        <v>1</v>
      </c>
      <c r="K67" s="306"/>
      <c r="L67" s="306"/>
      <c r="M67" s="306"/>
      <c r="N67" s="388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81"/>
    </row>
    <row r="68" spans="2:31" ht="15">
      <c r="B68" s="386">
        <f t="shared" si="4"/>
        <v>23</v>
      </c>
      <c r="C68" s="394" t="str" cm="1">
        <f t="array" aca="1" ref="C68" ca="1">IF(B68&lt;=$C$9,GetGetCDSName(B68),"")</f>
        <v>CDS Name - Issuer 23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8" s="354">
        <v>0</v>
      </c>
      <c r="E68" s="387">
        <v>0</v>
      </c>
      <c r="F68" s="306">
        <v>0</v>
      </c>
      <c r="G68" s="306">
        <v>0</v>
      </c>
      <c r="H68" s="306">
        <v>0</v>
      </c>
      <c r="I68" s="306">
        <v>0</v>
      </c>
      <c r="J68" s="306">
        <v>1</v>
      </c>
      <c r="K68" s="306"/>
      <c r="L68" s="306"/>
      <c r="M68" s="306"/>
      <c r="N68" s="388"/>
      <c r="O68" s="281"/>
      <c r="P68" s="281"/>
      <c r="Q68" s="281"/>
      <c r="R68" s="281"/>
      <c r="S68" s="281"/>
      <c r="T68" s="281"/>
      <c r="U68" s="281"/>
      <c r="V68" s="281"/>
      <c r="W68" s="281"/>
      <c r="X68" s="281"/>
      <c r="Y68" s="281"/>
      <c r="Z68" s="281"/>
      <c r="AA68" s="281"/>
      <c r="AB68" s="281"/>
      <c r="AC68" s="281"/>
      <c r="AD68" s="281"/>
      <c r="AE68" s="281"/>
    </row>
    <row r="69" spans="2:31" ht="15">
      <c r="B69" s="386">
        <f t="shared" si="4"/>
        <v>24</v>
      </c>
      <c r="C69" s="394" t="str" cm="1">
        <f t="array" aca="1" ref="C69" ca="1">IF(B69&lt;=$C$9,GetGetCDSName(B69),"")</f>
        <v>CDS Name - Issuer 24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69" s="354">
        <v>0</v>
      </c>
      <c r="E69" s="387">
        <v>0</v>
      </c>
      <c r="F69" s="306">
        <v>1</v>
      </c>
      <c r="G69" s="306">
        <v>1</v>
      </c>
      <c r="H69" s="306">
        <v>0</v>
      </c>
      <c r="I69" s="306">
        <v>0</v>
      </c>
      <c r="J69" s="306">
        <v>0</v>
      </c>
      <c r="K69" s="306"/>
      <c r="L69" s="306"/>
      <c r="M69" s="306"/>
      <c r="N69" s="388"/>
      <c r="O69" s="281"/>
      <c r="P69" s="281"/>
      <c r="Q69" s="281"/>
      <c r="R69" s="281"/>
      <c r="S69" s="281"/>
      <c r="T69" s="281"/>
      <c r="U69" s="281"/>
      <c r="V69" s="281"/>
      <c r="W69" s="281"/>
      <c r="X69" s="281"/>
      <c r="Y69" s="281"/>
      <c r="Z69" s="281"/>
      <c r="AA69" s="281"/>
      <c r="AB69" s="281"/>
      <c r="AC69" s="281"/>
      <c r="AD69" s="281"/>
      <c r="AE69" s="281"/>
    </row>
    <row r="70" spans="2:31" ht="15">
      <c r="B70" s="386">
        <f t="shared" si="4"/>
        <v>25</v>
      </c>
      <c r="C70" s="394" t="str" cm="1">
        <f t="array" aca="1" ref="C70" ca="1">IF(B70&lt;=$C$9,GetGetCDSName(B70),"")</f>
        <v>CDS Name - Issuer 25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0" s="354">
        <v>0</v>
      </c>
      <c r="E70" s="387">
        <v>0</v>
      </c>
      <c r="F70" s="306">
        <v>0</v>
      </c>
      <c r="G70" s="306">
        <v>0</v>
      </c>
      <c r="H70" s="306">
        <v>0</v>
      </c>
      <c r="I70" s="306">
        <v>1</v>
      </c>
      <c r="J70" s="306">
        <v>0</v>
      </c>
      <c r="K70" s="306"/>
      <c r="L70" s="306"/>
      <c r="M70" s="306"/>
      <c r="N70" s="388"/>
      <c r="O70" s="281"/>
      <c r="P70" s="281"/>
      <c r="Q70" s="281"/>
      <c r="R70" s="281"/>
      <c r="S70" s="281"/>
      <c r="T70" s="281"/>
      <c r="U70" s="281"/>
      <c r="V70" s="281"/>
      <c r="W70" s="281"/>
      <c r="X70" s="281"/>
      <c r="Y70" s="281"/>
      <c r="Z70" s="281"/>
      <c r="AA70" s="281"/>
      <c r="AB70" s="281"/>
      <c r="AC70" s="281"/>
      <c r="AD70" s="281"/>
      <c r="AE70" s="281"/>
    </row>
    <row r="71" spans="2:31" ht="15">
      <c r="B71" s="386">
        <f t="shared" si="4"/>
        <v>26</v>
      </c>
      <c r="C71" s="394" t="str" cm="1">
        <f t="array" aca="1" ref="C71" ca="1">IF(B71&lt;=$C$9,GetGetCDSName(B71),"")</f>
        <v>CDS Name - Issuer 26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1" s="354">
        <v>0</v>
      </c>
      <c r="E71" s="387">
        <v>1</v>
      </c>
      <c r="F71" s="306">
        <v>0</v>
      </c>
      <c r="G71" s="306">
        <v>0</v>
      </c>
      <c r="H71" s="306">
        <v>0</v>
      </c>
      <c r="I71" s="306">
        <v>1</v>
      </c>
      <c r="J71" s="306">
        <v>1</v>
      </c>
      <c r="K71" s="306"/>
      <c r="L71" s="306"/>
      <c r="M71" s="306"/>
      <c r="N71" s="388"/>
      <c r="O71" s="281"/>
      <c r="P71" s="281"/>
      <c r="Q71" s="281"/>
      <c r="R71" s="281"/>
      <c r="S71" s="281"/>
      <c r="T71" s="281"/>
      <c r="U71" s="281"/>
      <c r="V71" s="281"/>
      <c r="W71" s="281"/>
      <c r="X71" s="281"/>
      <c r="Y71" s="281"/>
      <c r="Z71" s="281"/>
      <c r="AA71" s="281"/>
      <c r="AB71" s="281"/>
      <c r="AC71" s="281"/>
      <c r="AD71" s="281"/>
      <c r="AE71" s="281"/>
    </row>
    <row r="72" spans="2:31" ht="15">
      <c r="B72" s="386">
        <f t="shared" si="4"/>
        <v>27</v>
      </c>
      <c r="C72" s="394" t="str" cm="1">
        <f t="array" aca="1" ref="C72" ca="1">IF(B72&lt;=$C$9,GetGetCDSName(B72),"")</f>
        <v>CDS Name - Issuer 27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2" s="354">
        <v>0</v>
      </c>
      <c r="E72" s="387">
        <v>0</v>
      </c>
      <c r="F72" s="306">
        <v>1</v>
      </c>
      <c r="G72" s="306">
        <v>0</v>
      </c>
      <c r="H72" s="306">
        <v>1</v>
      </c>
      <c r="I72" s="306">
        <v>0</v>
      </c>
      <c r="J72" s="306">
        <v>0</v>
      </c>
      <c r="K72" s="306"/>
      <c r="L72" s="306"/>
      <c r="M72" s="306"/>
      <c r="N72" s="388"/>
      <c r="O72" s="281"/>
      <c r="P72" s="281"/>
      <c r="Q72" s="281"/>
      <c r="R72" s="281"/>
      <c r="S72" s="281"/>
      <c r="T72" s="281"/>
      <c r="U72" s="281"/>
      <c r="V72" s="281"/>
      <c r="W72" s="281"/>
      <c r="X72" s="281"/>
      <c r="Y72" s="281"/>
      <c r="Z72" s="281"/>
      <c r="AA72" s="281"/>
      <c r="AB72" s="281"/>
      <c r="AC72" s="281"/>
      <c r="AD72" s="281"/>
      <c r="AE72" s="281"/>
    </row>
    <row r="73" spans="2:31" ht="15">
      <c r="B73" s="386">
        <f t="shared" si="4"/>
        <v>28</v>
      </c>
      <c r="C73" s="394" t="str" cm="1">
        <f t="array" aca="1" ref="C73" ca="1">IF(B73&lt;=$C$9,GetGetCDSName(B73),"")</f>
        <v>CDS Name - Issuer 28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3" s="354">
        <v>0</v>
      </c>
      <c r="E73" s="387">
        <v>1</v>
      </c>
      <c r="F73" s="306">
        <v>0</v>
      </c>
      <c r="G73" s="306">
        <v>0</v>
      </c>
      <c r="H73" s="306">
        <v>0</v>
      </c>
      <c r="I73" s="306">
        <v>0</v>
      </c>
      <c r="J73" s="306">
        <v>1</v>
      </c>
      <c r="K73" s="306"/>
      <c r="L73" s="306"/>
      <c r="M73" s="306"/>
      <c r="N73" s="388"/>
      <c r="O73" s="281"/>
      <c r="P73" s="281"/>
      <c r="Q73" s="281"/>
      <c r="R73" s="281"/>
      <c r="S73" s="281"/>
      <c r="T73" s="281"/>
      <c r="U73" s="281"/>
      <c r="V73" s="281"/>
      <c r="W73" s="281"/>
      <c r="X73" s="281"/>
      <c r="Y73" s="281"/>
      <c r="Z73" s="281"/>
      <c r="AA73" s="281"/>
      <c r="AB73" s="281"/>
      <c r="AC73" s="281"/>
      <c r="AD73" s="281"/>
      <c r="AE73" s="281"/>
    </row>
    <row r="74" spans="2:31" ht="15">
      <c r="B74" s="386">
        <f t="shared" si="4"/>
        <v>29</v>
      </c>
      <c r="C74" s="394" t="str" cm="1">
        <f t="array" aca="1" ref="C74" ca="1">IF(B74&lt;=$C$9,GetGetCDSName(B74),"")</f>
        <v>CDS Name - Issuer 29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4" s="354">
        <v>0</v>
      </c>
      <c r="E74" s="387">
        <v>1</v>
      </c>
      <c r="F74" s="306">
        <v>0</v>
      </c>
      <c r="G74" s="306">
        <v>0</v>
      </c>
      <c r="H74" s="306">
        <v>0</v>
      </c>
      <c r="I74" s="306">
        <v>0</v>
      </c>
      <c r="J74" s="306">
        <v>0</v>
      </c>
      <c r="K74" s="306"/>
      <c r="L74" s="306"/>
      <c r="M74" s="306"/>
      <c r="N74" s="388"/>
      <c r="O74" s="281"/>
      <c r="P74" s="281"/>
      <c r="Q74" s="281"/>
      <c r="R74" s="281"/>
      <c r="S74" s="281"/>
      <c r="T74" s="281"/>
      <c r="U74" s="281"/>
      <c r="V74" s="281"/>
      <c r="W74" s="281"/>
      <c r="X74" s="281"/>
      <c r="Y74" s="281"/>
      <c r="Z74" s="281"/>
      <c r="AA74" s="281"/>
      <c r="AB74" s="281"/>
      <c r="AC74" s="281"/>
      <c r="AD74" s="281"/>
      <c r="AE74" s="281"/>
    </row>
    <row r="75" spans="2:31" ht="15">
      <c r="B75" s="386">
        <f t="shared" si="4"/>
        <v>30</v>
      </c>
      <c r="C75" s="394" t="str" cm="1">
        <f t="array" aca="1" ref="C75" ca="1">IF(B75&lt;=$C$9,GetGetCDSName(B75),"")</f>
        <v>CDS Name - Issuer 30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5" s="354">
        <v>0</v>
      </c>
      <c r="E75" s="387">
        <v>0</v>
      </c>
      <c r="F75" s="306">
        <v>1</v>
      </c>
      <c r="G75" s="306">
        <v>0</v>
      </c>
      <c r="H75" s="306">
        <v>0</v>
      </c>
      <c r="I75" s="306">
        <v>1</v>
      </c>
      <c r="J75" s="306">
        <v>1</v>
      </c>
      <c r="K75" s="306"/>
      <c r="L75" s="306"/>
      <c r="M75" s="306"/>
      <c r="N75" s="388"/>
      <c r="O75" s="281"/>
      <c r="P75" s="281"/>
      <c r="Q75" s="281"/>
      <c r="R75" s="281"/>
      <c r="S75" s="281"/>
      <c r="T75" s="281"/>
      <c r="U75" s="281"/>
      <c r="V75" s="281"/>
      <c r="W75" s="281"/>
      <c r="X75" s="281"/>
      <c r="Y75" s="281"/>
      <c r="Z75" s="281"/>
      <c r="AA75" s="281"/>
      <c r="AB75" s="281"/>
      <c r="AC75" s="281"/>
      <c r="AD75" s="281"/>
      <c r="AE75" s="281"/>
    </row>
    <row r="76" spans="2:31" ht="15">
      <c r="B76" s="386">
        <f t="shared" si="4"/>
        <v>31</v>
      </c>
      <c r="C76" s="394" t="str" cm="1">
        <f t="array" aca="1" ref="C76" ca="1">IF(B76&lt;=$C$9,GetGetCDSName(B76),"")</f>
        <v>CDS Name - Issuer 31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6" s="354">
        <v>0</v>
      </c>
      <c r="E76" s="387">
        <v>0</v>
      </c>
      <c r="F76" s="306">
        <v>0</v>
      </c>
      <c r="G76" s="306">
        <v>1</v>
      </c>
      <c r="H76" s="306">
        <v>1</v>
      </c>
      <c r="I76" s="306">
        <v>0</v>
      </c>
      <c r="J76" s="306">
        <v>1</v>
      </c>
      <c r="K76" s="306"/>
      <c r="L76" s="306"/>
      <c r="M76" s="306"/>
      <c r="N76" s="388"/>
      <c r="O76" s="281"/>
      <c r="P76" s="281"/>
      <c r="Q76" s="281"/>
      <c r="R76" s="281"/>
      <c r="S76" s="281"/>
      <c r="T76" s="281"/>
      <c r="U76" s="281"/>
      <c r="V76" s="281"/>
      <c r="W76" s="281"/>
      <c r="X76" s="281"/>
      <c r="Y76" s="281"/>
      <c r="Z76" s="281"/>
      <c r="AA76" s="281"/>
      <c r="AB76" s="281"/>
      <c r="AC76" s="281"/>
      <c r="AD76" s="281"/>
      <c r="AE76" s="281"/>
    </row>
    <row r="77" spans="2:31" ht="15">
      <c r="B77" s="386">
        <f t="shared" si="4"/>
        <v>32</v>
      </c>
      <c r="C77" s="394" t="str" cm="1">
        <f t="array" aca="1" ref="C77" ca="1">IF(B77&lt;=$C$9,GetGetCDSName(B77),"")</f>
        <v>CDS Name - Issuer 32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7" s="354">
        <v>0</v>
      </c>
      <c r="E77" s="387">
        <v>0</v>
      </c>
      <c r="F77" s="306">
        <v>0</v>
      </c>
      <c r="G77" s="306">
        <v>1</v>
      </c>
      <c r="H77" s="306">
        <v>0</v>
      </c>
      <c r="I77" s="306">
        <v>0</v>
      </c>
      <c r="J77" s="306">
        <v>1</v>
      </c>
      <c r="K77" s="306"/>
      <c r="L77" s="306"/>
      <c r="M77" s="306"/>
      <c r="N77" s="388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1"/>
      <c r="AB77" s="281"/>
      <c r="AC77" s="281"/>
      <c r="AD77" s="281"/>
      <c r="AE77" s="281"/>
    </row>
    <row r="78" spans="2:31" ht="15">
      <c r="B78" s="386">
        <f t="shared" si="4"/>
        <v>33</v>
      </c>
      <c r="C78" s="394" t="str" cm="1">
        <f t="array" aca="1" ref="C78" ca="1">IF(B78&lt;=$C$9,GetGetCDSName(B78),"")</f>
        <v>CDS Name - Issuer 33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8" s="354">
        <v>0</v>
      </c>
      <c r="E78" s="387">
        <v>1</v>
      </c>
      <c r="F78" s="306">
        <v>0</v>
      </c>
      <c r="G78" s="306">
        <v>0</v>
      </c>
      <c r="H78" s="306">
        <v>1</v>
      </c>
      <c r="I78" s="306">
        <v>0</v>
      </c>
      <c r="J78" s="306">
        <v>0</v>
      </c>
      <c r="K78" s="306"/>
      <c r="L78" s="306"/>
      <c r="M78" s="306"/>
      <c r="N78" s="388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1"/>
      <c r="AB78" s="281"/>
      <c r="AC78" s="281"/>
      <c r="AD78" s="281"/>
      <c r="AE78" s="281"/>
    </row>
    <row r="79" spans="2:31" ht="15">
      <c r="B79" s="386">
        <f t="shared" si="4"/>
        <v>34</v>
      </c>
      <c r="C79" s="394" t="str" cm="1">
        <f t="array" aca="1" ref="C79" ca="1">IF(B79&lt;=$C$9,GetGetCDSName(B79),"")</f>
        <v>CDS Name - Issuer 34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79" s="354">
        <v>0</v>
      </c>
      <c r="E79" s="387">
        <v>1</v>
      </c>
      <c r="F79" s="306">
        <v>0</v>
      </c>
      <c r="G79" s="306">
        <v>1</v>
      </c>
      <c r="H79" s="306">
        <v>0</v>
      </c>
      <c r="I79" s="306">
        <v>0</v>
      </c>
      <c r="J79" s="306">
        <v>1</v>
      </c>
      <c r="K79" s="306"/>
      <c r="L79" s="306"/>
      <c r="M79" s="306"/>
      <c r="N79" s="388"/>
      <c r="O79" s="281"/>
      <c r="P79" s="281"/>
      <c r="Q79" s="281"/>
      <c r="R79" s="281"/>
      <c r="S79" s="281"/>
      <c r="T79" s="281"/>
      <c r="U79" s="281"/>
      <c r="V79" s="281"/>
      <c r="W79" s="281"/>
      <c r="X79" s="281"/>
      <c r="Y79" s="281"/>
      <c r="Z79" s="281"/>
      <c r="AA79" s="281"/>
      <c r="AB79" s="281"/>
      <c r="AC79" s="281"/>
      <c r="AD79" s="281"/>
      <c r="AE79" s="281"/>
    </row>
    <row r="80" spans="2:31" ht="15">
      <c r="B80" s="386">
        <f t="shared" si="4"/>
        <v>35</v>
      </c>
      <c r="C80" s="394" t="str" cm="1">
        <f t="array" aca="1" ref="C80" ca="1">IF(B80&lt;=$C$9,GetGetCDSName(B80),"")</f>
        <v>CDS Name - Issuer 35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0" s="354">
        <v>0</v>
      </c>
      <c r="E80" s="387">
        <v>0</v>
      </c>
      <c r="F80" s="306">
        <v>1</v>
      </c>
      <c r="G80" s="306">
        <v>1</v>
      </c>
      <c r="H80" s="306">
        <v>1</v>
      </c>
      <c r="I80" s="306">
        <v>0</v>
      </c>
      <c r="J80" s="306">
        <v>0</v>
      </c>
      <c r="K80" s="306"/>
      <c r="L80" s="306"/>
      <c r="M80" s="306"/>
      <c r="N80" s="388"/>
      <c r="O80" s="281"/>
      <c r="P80" s="281"/>
      <c r="Q80" s="281"/>
      <c r="R80" s="281"/>
      <c r="S80" s="281"/>
      <c r="T80" s="281"/>
      <c r="U80" s="281"/>
      <c r="V80" s="281"/>
      <c r="W80" s="281"/>
      <c r="X80" s="281"/>
      <c r="Y80" s="281"/>
      <c r="Z80" s="281"/>
      <c r="AA80" s="281"/>
      <c r="AB80" s="281"/>
      <c r="AC80" s="281"/>
      <c r="AD80" s="281"/>
      <c r="AE80" s="281"/>
    </row>
    <row r="81" spans="2:31" ht="15">
      <c r="B81" s="386">
        <f t="shared" si="4"/>
        <v>36</v>
      </c>
      <c r="C81" s="394" t="str" cm="1">
        <f t="array" aca="1" ref="C81" ca="1">IF(B81&lt;=$C$9,GetGetCDSName(B81),"")</f>
        <v>CDS Name - Issuer 36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1" s="354">
        <v>0</v>
      </c>
      <c r="E81" s="387">
        <v>0</v>
      </c>
      <c r="F81" s="306">
        <v>1</v>
      </c>
      <c r="G81" s="306">
        <v>0</v>
      </c>
      <c r="H81" s="306">
        <v>0</v>
      </c>
      <c r="I81" s="306">
        <v>1</v>
      </c>
      <c r="J81" s="306">
        <v>0</v>
      </c>
      <c r="K81" s="306"/>
      <c r="L81" s="306"/>
      <c r="M81" s="306"/>
      <c r="N81" s="388"/>
      <c r="O81" s="281"/>
      <c r="P81" s="281"/>
      <c r="Q81" s="281"/>
      <c r="R81" s="281"/>
      <c r="S81" s="281"/>
      <c r="T81" s="281"/>
      <c r="U81" s="281"/>
      <c r="V81" s="281"/>
      <c r="W81" s="281"/>
      <c r="X81" s="281"/>
      <c r="Y81" s="281"/>
      <c r="Z81" s="281"/>
      <c r="AA81" s="281"/>
      <c r="AB81" s="281"/>
      <c r="AC81" s="281"/>
      <c r="AD81" s="281"/>
      <c r="AE81" s="281"/>
    </row>
    <row r="82" spans="2:31" ht="15">
      <c r="B82" s="386">
        <f t="shared" si="4"/>
        <v>37</v>
      </c>
      <c r="C82" s="394" t="str" cm="1">
        <f t="array" aca="1" ref="C82" ca="1">IF(B82&lt;=$C$9,GetGetCDSName(B82),"")</f>
        <v>CDS Name - Issuer 37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2" s="354">
        <v>0</v>
      </c>
      <c r="E82" s="387">
        <v>0</v>
      </c>
      <c r="F82" s="306">
        <v>0</v>
      </c>
      <c r="G82" s="306">
        <v>1</v>
      </c>
      <c r="H82" s="306">
        <v>0</v>
      </c>
      <c r="I82" s="306">
        <v>1</v>
      </c>
      <c r="J82" s="306">
        <v>0</v>
      </c>
      <c r="K82" s="306"/>
      <c r="L82" s="306"/>
      <c r="M82" s="306"/>
      <c r="N82" s="388"/>
      <c r="O82" s="281"/>
      <c r="P82" s="281"/>
      <c r="Q82" s="281"/>
      <c r="R82" s="281"/>
      <c r="S82" s="281"/>
      <c r="T82" s="281"/>
      <c r="U82" s="281"/>
      <c r="V82" s="281"/>
      <c r="W82" s="281"/>
      <c r="X82" s="281"/>
      <c r="Y82" s="281"/>
      <c r="Z82" s="281"/>
      <c r="AA82" s="281"/>
      <c r="AB82" s="281"/>
      <c r="AC82" s="281"/>
      <c r="AD82" s="281"/>
      <c r="AE82" s="281"/>
    </row>
    <row r="83" spans="2:31" ht="15">
      <c r="B83" s="386">
        <f t="shared" si="4"/>
        <v>38</v>
      </c>
      <c r="C83" s="394" t="str" cm="1">
        <f t="array" aca="1" ref="C83" ca="1">IF(B83&lt;=$C$9,GetGetCDSName(B83),"")</f>
        <v>CDS Name - Issuer 38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3" s="354">
        <v>0</v>
      </c>
      <c r="E83" s="387">
        <v>0</v>
      </c>
      <c r="F83" s="306">
        <v>1</v>
      </c>
      <c r="G83" s="306">
        <v>0</v>
      </c>
      <c r="H83" s="306">
        <v>0</v>
      </c>
      <c r="I83" s="306">
        <v>0</v>
      </c>
      <c r="J83" s="306">
        <v>1</v>
      </c>
      <c r="K83" s="306"/>
      <c r="L83" s="306"/>
      <c r="M83" s="306"/>
      <c r="N83" s="388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  <c r="AE83" s="281"/>
    </row>
    <row r="84" spans="2:31" ht="15">
      <c r="B84" s="386">
        <f t="shared" si="4"/>
        <v>39</v>
      </c>
      <c r="C84" s="394" t="str" cm="1">
        <f t="array" aca="1" ref="C84" ca="1">IF(B84&lt;=$C$9,GetGetCDSName(B84),"")</f>
        <v>CDS Name - Issuer 39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4" s="354">
        <v>0</v>
      </c>
      <c r="E84" s="387">
        <v>1</v>
      </c>
      <c r="F84" s="306">
        <v>0</v>
      </c>
      <c r="G84" s="306">
        <v>0</v>
      </c>
      <c r="H84" s="306">
        <v>0</v>
      </c>
      <c r="I84" s="306">
        <v>1</v>
      </c>
      <c r="J84" s="306">
        <v>0</v>
      </c>
      <c r="K84" s="306"/>
      <c r="L84" s="306"/>
      <c r="M84" s="306"/>
      <c r="N84" s="388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</row>
    <row r="85" spans="2:31" ht="15">
      <c r="B85" s="386">
        <f t="shared" si="4"/>
        <v>40</v>
      </c>
      <c r="C85" s="394" t="str" cm="1">
        <f t="array" aca="1" ref="C85" ca="1">IF(B85&lt;=$C$9,GetGetCDSName(B85),"")</f>
        <v>CDS Name - Issuer 40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5" s="354">
        <v>0</v>
      </c>
      <c r="E85" s="387">
        <v>0</v>
      </c>
      <c r="F85" s="306">
        <v>0</v>
      </c>
      <c r="G85" s="306">
        <v>0</v>
      </c>
      <c r="H85" s="306">
        <v>1</v>
      </c>
      <c r="I85" s="306">
        <v>1</v>
      </c>
      <c r="J85" s="306">
        <v>1</v>
      </c>
      <c r="K85" s="306"/>
      <c r="L85" s="306"/>
      <c r="M85" s="306"/>
      <c r="N85" s="388"/>
      <c r="O85" s="281"/>
      <c r="P85" s="281"/>
      <c r="Q85" s="281"/>
      <c r="R85" s="281"/>
      <c r="S85" s="281"/>
      <c r="T85" s="281"/>
      <c r="U85" s="281"/>
      <c r="V85" s="281"/>
      <c r="W85" s="281"/>
      <c r="X85" s="281"/>
      <c r="Y85" s="281"/>
      <c r="Z85" s="281"/>
      <c r="AA85" s="281"/>
      <c r="AB85" s="281"/>
      <c r="AC85" s="281"/>
      <c r="AD85" s="281"/>
      <c r="AE85" s="281"/>
    </row>
    <row r="86" spans="2:31" ht="15">
      <c r="B86" s="386">
        <f t="shared" si="4"/>
        <v>41</v>
      </c>
      <c r="C86" s="394" t="str" cm="1">
        <f t="array" aca="1" ref="C86" ca="1">IF(B86&lt;=$C$9,GetGetCDSName(B86),"")</f>
        <v>CDS Name - Issuer 41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6" s="354">
        <v>0</v>
      </c>
      <c r="E86" s="387">
        <v>0</v>
      </c>
      <c r="F86" s="306">
        <v>0</v>
      </c>
      <c r="G86" s="306">
        <v>0</v>
      </c>
      <c r="H86" s="306">
        <v>1</v>
      </c>
      <c r="I86" s="306">
        <v>0</v>
      </c>
      <c r="J86" s="306">
        <v>1</v>
      </c>
      <c r="K86" s="306"/>
      <c r="L86" s="306"/>
      <c r="M86" s="306"/>
      <c r="N86" s="388"/>
      <c r="O86" s="281"/>
      <c r="P86" s="281"/>
      <c r="Q86" s="281"/>
      <c r="R86" s="281"/>
      <c r="S86" s="281"/>
      <c r="T86" s="281"/>
      <c r="U86" s="281"/>
      <c r="V86" s="281"/>
      <c r="W86" s="281"/>
      <c r="X86" s="281"/>
      <c r="Y86" s="281"/>
      <c r="Z86" s="281"/>
      <c r="AA86" s="281"/>
      <c r="AB86" s="281"/>
      <c r="AC86" s="281"/>
      <c r="AD86" s="281"/>
      <c r="AE86" s="281"/>
    </row>
    <row r="87" spans="2:31" ht="15">
      <c r="B87" s="386">
        <f t="shared" si="4"/>
        <v>42</v>
      </c>
      <c r="C87" s="394" t="str" cm="1">
        <f t="array" aca="1" ref="C87" ca="1">IF(B87&lt;=$C$9,GetGetCDSName(B87),"")</f>
        <v>CDS Name - Issuer 42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7" s="354">
        <v>0</v>
      </c>
      <c r="E87" s="387">
        <v>1</v>
      </c>
      <c r="F87" s="306">
        <v>0</v>
      </c>
      <c r="G87" s="306">
        <v>1</v>
      </c>
      <c r="H87" s="306">
        <v>0</v>
      </c>
      <c r="I87" s="306">
        <v>0</v>
      </c>
      <c r="J87" s="306">
        <v>0</v>
      </c>
      <c r="K87" s="306"/>
      <c r="L87" s="306"/>
      <c r="M87" s="306"/>
      <c r="N87" s="388"/>
      <c r="O87" s="281"/>
      <c r="P87" s="281"/>
      <c r="Q87" s="281"/>
      <c r="R87" s="281"/>
      <c r="S87" s="281"/>
      <c r="T87" s="281"/>
      <c r="U87" s="281"/>
      <c r="V87" s="281"/>
      <c r="W87" s="281"/>
      <c r="X87" s="281"/>
      <c r="Y87" s="281"/>
      <c r="Z87" s="281"/>
      <c r="AA87" s="281"/>
      <c r="AB87" s="281"/>
      <c r="AC87" s="281"/>
      <c r="AD87" s="281"/>
      <c r="AE87" s="281"/>
    </row>
    <row r="88" spans="2:31" ht="15">
      <c r="B88" s="386">
        <f t="shared" si="4"/>
        <v>43</v>
      </c>
      <c r="C88" s="394" t="str" cm="1">
        <f t="array" aca="1" ref="C88" ca="1">IF(B88&lt;=$C$9,GetGetCDSName(B88),"")</f>
        <v>CDS Name - Issuer 43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8" s="354">
        <v>0</v>
      </c>
      <c r="E88" s="387">
        <v>0</v>
      </c>
      <c r="F88" s="306">
        <v>1</v>
      </c>
      <c r="G88" s="306">
        <v>0</v>
      </c>
      <c r="H88" s="306">
        <v>0</v>
      </c>
      <c r="I88" s="306">
        <v>0</v>
      </c>
      <c r="J88" s="306">
        <v>0</v>
      </c>
      <c r="K88" s="306"/>
      <c r="L88" s="306"/>
      <c r="M88" s="306"/>
      <c r="N88" s="388"/>
      <c r="O88" s="281"/>
      <c r="P88" s="281"/>
      <c r="Q88" s="281"/>
      <c r="R88" s="281"/>
      <c r="S88" s="281"/>
      <c r="T88" s="281"/>
      <c r="U88" s="281"/>
      <c r="V88" s="281"/>
      <c r="W88" s="281"/>
      <c r="X88" s="281"/>
      <c r="Y88" s="281"/>
      <c r="Z88" s="281"/>
      <c r="AA88" s="281"/>
      <c r="AB88" s="281"/>
      <c r="AC88" s="281"/>
      <c r="AD88" s="281"/>
      <c r="AE88" s="281"/>
    </row>
    <row r="89" spans="2:31" ht="15">
      <c r="B89" s="386">
        <f t="shared" si="4"/>
        <v>44</v>
      </c>
      <c r="C89" s="394" t="str" cm="1">
        <f t="array" aca="1" ref="C89" ca="1">IF(B89&lt;=$C$9,GetGetCDSName(B89),"")</f>
        <v>CDS Name - Issuer 44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89" s="354">
        <v>0</v>
      </c>
      <c r="E89" s="387">
        <v>1</v>
      </c>
      <c r="F89" s="306">
        <v>0</v>
      </c>
      <c r="G89" s="306">
        <v>0</v>
      </c>
      <c r="H89" s="306">
        <v>0</v>
      </c>
      <c r="I89" s="306">
        <v>0</v>
      </c>
      <c r="J89" s="306">
        <v>0</v>
      </c>
      <c r="K89" s="306"/>
      <c r="L89" s="306"/>
      <c r="M89" s="306"/>
      <c r="N89" s="388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</row>
    <row r="90" spans="2:31" ht="15">
      <c r="B90" s="386">
        <f t="shared" si="4"/>
        <v>45</v>
      </c>
      <c r="C90" s="394" t="str" cm="1">
        <f t="array" aca="1" ref="C90" ca="1">IF(B90&lt;=$C$9,GetGetCDSName(B90),"")</f>
        <v>CDS Name - Issuer 45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0" s="354">
        <v>0</v>
      </c>
      <c r="E90" s="387">
        <v>0</v>
      </c>
      <c r="F90" s="306">
        <v>0</v>
      </c>
      <c r="G90" s="306">
        <v>1</v>
      </c>
      <c r="H90" s="306">
        <v>0</v>
      </c>
      <c r="I90" s="306">
        <v>0</v>
      </c>
      <c r="J90" s="306">
        <v>0</v>
      </c>
      <c r="K90" s="306"/>
      <c r="L90" s="306"/>
      <c r="M90" s="306"/>
      <c r="N90" s="388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</row>
    <row r="91" spans="2:31" ht="15">
      <c r="B91" s="386">
        <f t="shared" si="4"/>
        <v>46</v>
      </c>
      <c r="C91" s="394" t="str" cm="1">
        <f t="array" aca="1" ref="C91" ca="1">IF(B91&lt;=$C$9,GetGetCDSName(B91),"")</f>
        <v>CDS Name - Issuer 46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1" s="354">
        <v>0</v>
      </c>
      <c r="E91" s="387">
        <v>1</v>
      </c>
      <c r="F91" s="306">
        <v>1</v>
      </c>
      <c r="G91" s="306">
        <v>1</v>
      </c>
      <c r="H91" s="306">
        <v>0</v>
      </c>
      <c r="I91" s="306">
        <v>0</v>
      </c>
      <c r="J91" s="306">
        <v>0</v>
      </c>
      <c r="K91" s="306"/>
      <c r="L91" s="306"/>
      <c r="M91" s="306"/>
      <c r="N91" s="388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1"/>
      <c r="AD91" s="281"/>
      <c r="AE91" s="281"/>
    </row>
    <row r="92" spans="2:31" ht="15">
      <c r="B92" s="386">
        <f t="shared" si="4"/>
        <v>47</v>
      </c>
      <c r="C92" s="394" t="str" cm="1">
        <f t="array" aca="1" ref="C92" ca="1">IF(B92&lt;=$C$9,GetGetCDSName(B92),"")</f>
        <v>CDS Name - Issuer 47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2" s="354">
        <v>0</v>
      </c>
      <c r="E92" s="387">
        <v>0</v>
      </c>
      <c r="F92" s="306">
        <v>1</v>
      </c>
      <c r="G92" s="306">
        <v>0</v>
      </c>
      <c r="H92" s="306">
        <v>1</v>
      </c>
      <c r="I92" s="306">
        <v>1</v>
      </c>
      <c r="J92" s="306">
        <v>0</v>
      </c>
      <c r="K92" s="306"/>
      <c r="L92" s="306"/>
      <c r="M92" s="306"/>
      <c r="N92" s="388"/>
      <c r="O92" s="281"/>
      <c r="P92" s="281"/>
      <c r="Q92" s="281"/>
      <c r="R92" s="281"/>
      <c r="S92" s="281"/>
      <c r="T92" s="281"/>
      <c r="U92" s="281"/>
      <c r="V92" s="281"/>
      <c r="W92" s="281"/>
      <c r="X92" s="281"/>
      <c r="Y92" s="281"/>
      <c r="Z92" s="281"/>
      <c r="AA92" s="281"/>
      <c r="AB92" s="281"/>
      <c r="AC92" s="281"/>
      <c r="AD92" s="281"/>
      <c r="AE92" s="281"/>
    </row>
    <row r="93" spans="2:31" ht="15">
      <c r="B93" s="386">
        <f t="shared" si="4"/>
        <v>48</v>
      </c>
      <c r="C93" s="394" t="str" cm="1">
        <f t="array" aca="1" ref="C93" ca="1">IF(B93&lt;=$C$9,GetGetCDSName(B93),"")</f>
        <v>CDS Name - Issuer 48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3" s="354">
        <v>0</v>
      </c>
      <c r="E93" s="387">
        <v>1</v>
      </c>
      <c r="F93" s="306">
        <v>1</v>
      </c>
      <c r="G93" s="306">
        <v>1</v>
      </c>
      <c r="H93" s="306">
        <v>0</v>
      </c>
      <c r="I93" s="306">
        <v>0</v>
      </c>
      <c r="J93" s="306">
        <v>0</v>
      </c>
      <c r="K93" s="306"/>
      <c r="L93" s="306"/>
      <c r="M93" s="306"/>
      <c r="N93" s="388"/>
      <c r="O93" s="281"/>
      <c r="P93" s="281"/>
      <c r="Q93" s="281"/>
      <c r="R93" s="281"/>
      <c r="S93" s="281"/>
      <c r="T93" s="281"/>
      <c r="U93" s="281"/>
      <c r="V93" s="281"/>
      <c r="W93" s="281"/>
      <c r="X93" s="281"/>
      <c r="Y93" s="281"/>
      <c r="Z93" s="281"/>
      <c r="AA93" s="281"/>
      <c r="AB93" s="281"/>
      <c r="AC93" s="281"/>
      <c r="AD93" s="281"/>
      <c r="AE93" s="281"/>
    </row>
    <row r="94" spans="2:31" ht="15">
      <c r="B94" s="386">
        <f t="shared" si="4"/>
        <v>49</v>
      </c>
      <c r="C94" s="394" t="str" cm="1">
        <f t="array" aca="1" ref="C94" ca="1">IF(B94&lt;=$C$9,GetGetCDSName(B94),"")</f>
        <v>CDS Name - Issuer 49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4" s="354">
        <v>0</v>
      </c>
      <c r="E94" s="387">
        <v>0</v>
      </c>
      <c r="F94" s="306">
        <v>1</v>
      </c>
      <c r="G94" s="306">
        <v>0</v>
      </c>
      <c r="H94" s="306">
        <v>0</v>
      </c>
      <c r="I94" s="306">
        <v>0</v>
      </c>
      <c r="J94" s="306">
        <v>1</v>
      </c>
      <c r="K94" s="306"/>
      <c r="L94" s="306"/>
      <c r="M94" s="306"/>
      <c r="N94" s="388"/>
      <c r="O94" s="281"/>
      <c r="P94" s="281"/>
      <c r="Q94" s="281"/>
      <c r="R94" s="281"/>
      <c r="S94" s="281"/>
      <c r="T94" s="281"/>
      <c r="U94" s="281"/>
      <c r="V94" s="281"/>
      <c r="W94" s="281"/>
      <c r="X94" s="281"/>
      <c r="Y94" s="281"/>
      <c r="Z94" s="281"/>
      <c r="AA94" s="281"/>
      <c r="AB94" s="281"/>
      <c r="AC94" s="281"/>
      <c r="AD94" s="281"/>
      <c r="AE94" s="281"/>
    </row>
    <row r="95" spans="2:31" ht="15">
      <c r="B95" s="386">
        <f t="shared" si="4"/>
        <v>50</v>
      </c>
      <c r="C95" s="394" t="str" cm="1">
        <f t="array" aca="1" ref="C95" ca="1">IF(B95&lt;=$C$9,GetGetCDSName(B95),"")</f>
        <v>CDS Name - Issuer 50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5" s="354">
        <v>0</v>
      </c>
      <c r="E95" s="387">
        <v>0</v>
      </c>
      <c r="F95" s="306">
        <v>0</v>
      </c>
      <c r="G95" s="306">
        <v>1</v>
      </c>
      <c r="H95" s="306">
        <v>0</v>
      </c>
      <c r="I95" s="306">
        <v>0</v>
      </c>
      <c r="J95" s="306">
        <v>0</v>
      </c>
      <c r="K95" s="306"/>
      <c r="L95" s="306"/>
      <c r="M95" s="306"/>
      <c r="N95" s="388"/>
      <c r="O95" s="281"/>
      <c r="P95" s="281"/>
      <c r="Q95" s="281"/>
      <c r="R95" s="281"/>
      <c r="S95" s="281"/>
      <c r="T95" s="281"/>
      <c r="U95" s="281"/>
      <c r="V95" s="281"/>
      <c r="W95" s="281"/>
      <c r="X95" s="281"/>
      <c r="Y95" s="281"/>
      <c r="Z95" s="281"/>
      <c r="AA95" s="281"/>
      <c r="AB95" s="281"/>
      <c r="AC95" s="281"/>
      <c r="AD95" s="281"/>
      <c r="AE95" s="281"/>
    </row>
    <row r="96" spans="2:31" ht="15">
      <c r="B96" s="386">
        <f t="shared" si="4"/>
        <v>51</v>
      </c>
      <c r="C96" s="394" t="str" cm="1">
        <f t="array" aca="1" ref="C96" ca="1">IF(B96&lt;=$C$9,GetGetCDSName(B96),"")</f>
        <v>CDS Name - Issuer 51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6" s="354">
        <v>0</v>
      </c>
      <c r="E96" s="387">
        <v>0</v>
      </c>
      <c r="F96" s="306">
        <v>0</v>
      </c>
      <c r="G96" s="306">
        <v>0</v>
      </c>
      <c r="H96" s="306">
        <v>0</v>
      </c>
      <c r="I96" s="306">
        <v>1</v>
      </c>
      <c r="J96" s="306">
        <v>0</v>
      </c>
      <c r="K96" s="306"/>
      <c r="L96" s="306"/>
      <c r="M96" s="306"/>
      <c r="N96" s="388"/>
      <c r="O96" s="281"/>
      <c r="P96" s="281"/>
      <c r="Q96" s="281"/>
      <c r="R96" s="281"/>
      <c r="S96" s="281"/>
      <c r="T96" s="281"/>
      <c r="U96" s="281"/>
      <c r="V96" s="281"/>
      <c r="W96" s="281"/>
      <c r="X96" s="281"/>
      <c r="Y96" s="281"/>
      <c r="Z96" s="281"/>
      <c r="AA96" s="281"/>
      <c r="AB96" s="281"/>
      <c r="AC96" s="281"/>
      <c r="AD96" s="281"/>
      <c r="AE96" s="281"/>
    </row>
    <row r="97" spans="2:31" ht="15">
      <c r="B97" s="386">
        <f t="shared" si="4"/>
        <v>52</v>
      </c>
      <c r="C97" s="394" t="str" cm="1">
        <f t="array" aca="1" ref="C97" ca="1">IF(B97&lt;=$C$9,GetGetCDSName(B97),"")</f>
        <v>CDS Name - Issuer 52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7" s="354">
        <v>0</v>
      </c>
      <c r="E97" s="387">
        <v>1</v>
      </c>
      <c r="F97" s="306">
        <v>0</v>
      </c>
      <c r="G97" s="306">
        <v>0</v>
      </c>
      <c r="H97" s="306">
        <v>1</v>
      </c>
      <c r="I97" s="306">
        <v>0</v>
      </c>
      <c r="J97" s="306">
        <v>1</v>
      </c>
      <c r="K97" s="306"/>
      <c r="L97" s="306"/>
      <c r="M97" s="306"/>
      <c r="N97" s="388"/>
      <c r="O97" s="281"/>
      <c r="P97" s="281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</row>
    <row r="98" spans="2:31" ht="15">
      <c r="B98" s="386">
        <f t="shared" si="4"/>
        <v>53</v>
      </c>
      <c r="C98" s="394" t="str" cm="1">
        <f t="array" aca="1" ref="C98" ca="1">IF(B98&lt;=$C$9,GetGetCDSName(B98),"")</f>
        <v>CDS Name - Issuer 53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8" s="354">
        <v>0</v>
      </c>
      <c r="E98" s="387">
        <v>0</v>
      </c>
      <c r="F98" s="306">
        <v>0</v>
      </c>
      <c r="G98" s="306">
        <v>0</v>
      </c>
      <c r="H98" s="306">
        <v>1</v>
      </c>
      <c r="I98" s="306">
        <v>1</v>
      </c>
      <c r="J98" s="306">
        <v>1</v>
      </c>
      <c r="K98" s="306"/>
      <c r="L98" s="306"/>
      <c r="M98" s="306"/>
      <c r="N98" s="388"/>
      <c r="O98" s="281"/>
      <c r="P98" s="281"/>
      <c r="Q98" s="281"/>
      <c r="R98" s="281"/>
      <c r="S98" s="281"/>
      <c r="T98" s="281"/>
      <c r="U98" s="281"/>
      <c r="V98" s="281"/>
      <c r="W98" s="281"/>
      <c r="X98" s="281"/>
      <c r="Y98" s="281"/>
      <c r="Z98" s="281"/>
      <c r="AA98" s="281"/>
      <c r="AB98" s="281"/>
      <c r="AC98" s="281"/>
      <c r="AD98" s="281"/>
      <c r="AE98" s="281"/>
    </row>
    <row r="99" spans="2:31" ht="15">
      <c r="B99" s="386">
        <f t="shared" si="4"/>
        <v>54</v>
      </c>
      <c r="C99" s="394" t="str" cm="1">
        <f t="array" aca="1" ref="C99" ca="1">IF(B99&lt;=$C$9,GetGetCDSName(B99),"")</f>
        <v>CDS Name - Issuer 54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99" s="354">
        <v>0</v>
      </c>
      <c r="E99" s="387">
        <v>1</v>
      </c>
      <c r="F99" s="306">
        <v>0</v>
      </c>
      <c r="G99" s="306">
        <v>0</v>
      </c>
      <c r="H99" s="306">
        <v>1</v>
      </c>
      <c r="I99" s="306">
        <v>0</v>
      </c>
      <c r="J99" s="306">
        <v>0</v>
      </c>
      <c r="K99" s="306"/>
      <c r="L99" s="306"/>
      <c r="M99" s="306"/>
      <c r="N99" s="388"/>
      <c r="O99" s="281"/>
      <c r="P99" s="281"/>
      <c r="Q99" s="281"/>
      <c r="R99" s="281"/>
      <c r="S99" s="281"/>
      <c r="T99" s="281"/>
      <c r="U99" s="281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</row>
    <row r="100" spans="2:31" ht="15">
      <c r="B100" s="386">
        <f t="shared" si="4"/>
        <v>55</v>
      </c>
      <c r="C100" s="394" t="str" cm="1">
        <f t="array" aca="1" ref="C100" ca="1">IF(B100&lt;=$C$9,GetGetCDSName(B100),"")</f>
        <v>CDS Name - Issuer 55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0" s="354">
        <v>0</v>
      </c>
      <c r="E100" s="387">
        <v>0</v>
      </c>
      <c r="F100" s="306">
        <v>0</v>
      </c>
      <c r="G100" s="306">
        <v>0</v>
      </c>
      <c r="H100" s="306">
        <v>0</v>
      </c>
      <c r="I100" s="306">
        <v>1</v>
      </c>
      <c r="J100" s="306">
        <v>0</v>
      </c>
      <c r="K100" s="306"/>
      <c r="L100" s="306"/>
      <c r="M100" s="306"/>
      <c r="N100" s="388"/>
      <c r="O100" s="281"/>
      <c r="P100" s="281"/>
      <c r="Q100" s="281"/>
      <c r="R100" s="281"/>
      <c r="S100" s="281"/>
      <c r="T100" s="281"/>
      <c r="U100" s="281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</row>
    <row r="101" spans="2:31" ht="15">
      <c r="B101" s="386">
        <f t="shared" si="4"/>
        <v>56</v>
      </c>
      <c r="C101" s="394" t="str" cm="1">
        <f t="array" aca="1" ref="C101" ca="1">IF(B101&lt;=$C$9,GetGetCDSName(B101),"")</f>
        <v>CDS Name - Issuer 56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1" s="354">
        <v>0</v>
      </c>
      <c r="E101" s="387">
        <v>0</v>
      </c>
      <c r="F101" s="306">
        <v>0</v>
      </c>
      <c r="G101" s="306">
        <v>0</v>
      </c>
      <c r="H101" s="306">
        <v>1</v>
      </c>
      <c r="I101" s="306">
        <v>0</v>
      </c>
      <c r="J101" s="306">
        <v>0</v>
      </c>
      <c r="K101" s="306"/>
      <c r="L101" s="306"/>
      <c r="M101" s="306"/>
      <c r="N101" s="388"/>
      <c r="O101" s="281"/>
      <c r="P101" s="281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</row>
    <row r="102" spans="2:31" ht="15">
      <c r="B102" s="386">
        <f t="shared" si="4"/>
        <v>57</v>
      </c>
      <c r="C102" s="394" t="str" cm="1">
        <f t="array" aca="1" ref="C102" ca="1">IF(B102&lt;=$C$9,GetGetCDSName(B102),"")</f>
        <v>CDS Name - Issuer 57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2" s="354">
        <v>0</v>
      </c>
      <c r="E102" s="387">
        <v>0</v>
      </c>
      <c r="F102" s="306">
        <v>0</v>
      </c>
      <c r="G102" s="306">
        <v>0</v>
      </c>
      <c r="H102" s="306">
        <v>0</v>
      </c>
      <c r="I102" s="306">
        <v>0</v>
      </c>
      <c r="J102" s="306">
        <v>1</v>
      </c>
      <c r="K102" s="306"/>
      <c r="L102" s="306"/>
      <c r="M102" s="306"/>
      <c r="N102" s="388"/>
      <c r="O102" s="281"/>
      <c r="P102" s="281"/>
      <c r="Q102" s="281"/>
      <c r="R102" s="281"/>
      <c r="S102" s="281"/>
      <c r="T102" s="281"/>
      <c r="U102" s="281"/>
      <c r="V102" s="281"/>
      <c r="W102" s="281"/>
      <c r="X102" s="281"/>
      <c r="Y102" s="281"/>
      <c r="Z102" s="281"/>
      <c r="AA102" s="281"/>
      <c r="AB102" s="281"/>
      <c r="AC102" s="281"/>
      <c r="AD102" s="281"/>
      <c r="AE102" s="281"/>
    </row>
    <row r="103" spans="2:31" ht="15">
      <c r="B103" s="386">
        <f t="shared" si="4"/>
        <v>58</v>
      </c>
      <c r="C103" s="394" t="str" cm="1">
        <f t="array" aca="1" ref="C103" ca="1">IF(B103&lt;=$C$9,GetGetCDSName(B103),"")</f>
        <v>CDS Name - Issuer 58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3" s="354">
        <v>0</v>
      </c>
      <c r="E103" s="387">
        <v>0</v>
      </c>
      <c r="F103" s="306">
        <v>0</v>
      </c>
      <c r="G103" s="306">
        <v>0</v>
      </c>
      <c r="H103" s="306">
        <v>1</v>
      </c>
      <c r="I103" s="306">
        <v>0</v>
      </c>
      <c r="J103" s="306">
        <v>0</v>
      </c>
      <c r="K103" s="306"/>
      <c r="L103" s="306"/>
      <c r="M103" s="306"/>
      <c r="N103" s="388"/>
      <c r="O103" s="281"/>
      <c r="P103" s="281"/>
      <c r="Q103" s="281"/>
      <c r="R103" s="281"/>
      <c r="S103" s="281"/>
      <c r="T103" s="281"/>
      <c r="U103" s="281"/>
      <c r="V103" s="281"/>
      <c r="W103" s="281"/>
      <c r="X103" s="281"/>
      <c r="Y103" s="281"/>
      <c r="Z103" s="281"/>
      <c r="AA103" s="281"/>
      <c r="AB103" s="281"/>
      <c r="AC103" s="281"/>
      <c r="AD103" s="281"/>
      <c r="AE103" s="281"/>
    </row>
    <row r="104" spans="2:31" ht="15">
      <c r="B104" s="386">
        <f t="shared" si="4"/>
        <v>59</v>
      </c>
      <c r="C104" s="394" t="str" cm="1">
        <f t="array" aca="1" ref="C104" ca="1">IF(B104&lt;=$C$9,GetGetCDSName(B104),"")</f>
        <v>CDS Name - Issuer 59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4" s="354">
        <v>0</v>
      </c>
      <c r="E104" s="387">
        <v>0</v>
      </c>
      <c r="F104" s="306">
        <v>1</v>
      </c>
      <c r="G104" s="306">
        <v>1</v>
      </c>
      <c r="H104" s="306">
        <v>0</v>
      </c>
      <c r="I104" s="306">
        <v>1</v>
      </c>
      <c r="J104" s="306">
        <v>0</v>
      </c>
      <c r="K104" s="306"/>
      <c r="L104" s="306"/>
      <c r="M104" s="306"/>
      <c r="N104" s="388"/>
      <c r="O104" s="281"/>
      <c r="P104" s="281"/>
      <c r="Q104" s="281"/>
      <c r="R104" s="281"/>
      <c r="S104" s="281"/>
      <c r="T104" s="281"/>
      <c r="U104" s="281"/>
      <c r="V104" s="281"/>
      <c r="W104" s="281"/>
      <c r="X104" s="281"/>
      <c r="Y104" s="281"/>
      <c r="Z104" s="281"/>
      <c r="AA104" s="281"/>
      <c r="AB104" s="281"/>
      <c r="AC104" s="281"/>
      <c r="AD104" s="281"/>
      <c r="AE104" s="281"/>
    </row>
    <row r="105" spans="2:31" ht="15">
      <c r="B105" s="386">
        <f t="shared" si="4"/>
        <v>60</v>
      </c>
      <c r="C105" s="394" t="str" cm="1">
        <f t="array" aca="1" ref="C105" ca="1">IF(B105&lt;=$C$9,GetGetCDSName(B105),"")</f>
        <v>CDS Name - Issuer 60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5" s="354">
        <v>0</v>
      </c>
      <c r="E105" s="387">
        <v>0</v>
      </c>
      <c r="F105" s="306">
        <v>1</v>
      </c>
      <c r="G105" s="306">
        <v>0</v>
      </c>
      <c r="H105" s="306">
        <v>0</v>
      </c>
      <c r="I105" s="306">
        <v>0</v>
      </c>
      <c r="J105" s="306">
        <v>1</v>
      </c>
      <c r="K105" s="306"/>
      <c r="L105" s="306"/>
      <c r="M105" s="306"/>
      <c r="N105" s="388"/>
      <c r="O105" s="281"/>
      <c r="P105" s="281"/>
      <c r="Q105" s="281"/>
      <c r="R105" s="281"/>
      <c r="S105" s="281"/>
      <c r="T105" s="281"/>
      <c r="U105" s="281"/>
      <c r="V105" s="281"/>
      <c r="W105" s="281"/>
      <c r="X105" s="281"/>
      <c r="Y105" s="281"/>
      <c r="Z105" s="281"/>
      <c r="AA105" s="281"/>
      <c r="AB105" s="281"/>
      <c r="AC105" s="281"/>
      <c r="AD105" s="281"/>
      <c r="AE105" s="281"/>
    </row>
    <row r="106" spans="2:31" ht="15">
      <c r="B106" s="386">
        <f t="shared" si="4"/>
        <v>61</v>
      </c>
      <c r="C106" s="394" t="str" cm="1">
        <f t="array" aca="1" ref="C106" ca="1">IF(B106&lt;=$C$9,GetGetCDSName(B106),"")</f>
        <v>CDS Name - Issuer 61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6" s="354">
        <v>0</v>
      </c>
      <c r="E106" s="387">
        <v>0</v>
      </c>
      <c r="F106" s="306">
        <v>1</v>
      </c>
      <c r="G106" s="306">
        <v>0</v>
      </c>
      <c r="H106" s="306">
        <v>1</v>
      </c>
      <c r="I106" s="306">
        <v>0</v>
      </c>
      <c r="J106" s="306">
        <v>0</v>
      </c>
      <c r="K106" s="306"/>
      <c r="L106" s="306"/>
      <c r="M106" s="306"/>
      <c r="N106" s="388"/>
      <c r="O106" s="281"/>
      <c r="P106" s="281"/>
      <c r="Q106" s="281"/>
      <c r="R106" s="281"/>
      <c r="S106" s="281"/>
      <c r="T106" s="281"/>
      <c r="U106" s="281"/>
      <c r="V106" s="281"/>
      <c r="W106" s="281"/>
      <c r="X106" s="281"/>
      <c r="Y106" s="281"/>
      <c r="Z106" s="281"/>
      <c r="AA106" s="281"/>
      <c r="AB106" s="281"/>
      <c r="AC106" s="281"/>
      <c r="AD106" s="281"/>
      <c r="AE106" s="281"/>
    </row>
    <row r="107" spans="2:31" ht="15">
      <c r="B107" s="386">
        <f t="shared" si="4"/>
        <v>62</v>
      </c>
      <c r="C107" s="394" t="str" cm="1">
        <f t="array" aca="1" ref="C107" ca="1">IF(B107&lt;=$C$9,GetGetCDSName(B107),"")</f>
        <v>CDS Name - Issuer 62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7" s="354">
        <v>0</v>
      </c>
      <c r="E107" s="387">
        <v>1</v>
      </c>
      <c r="F107" s="306">
        <v>0</v>
      </c>
      <c r="G107" s="306">
        <v>0</v>
      </c>
      <c r="H107" s="306">
        <v>0</v>
      </c>
      <c r="I107" s="306">
        <v>0</v>
      </c>
      <c r="J107" s="306">
        <v>1</v>
      </c>
      <c r="K107" s="306"/>
      <c r="L107" s="306"/>
      <c r="M107" s="306"/>
      <c r="N107" s="388"/>
      <c r="O107" s="281"/>
      <c r="P107" s="281"/>
      <c r="Q107" s="281"/>
      <c r="R107" s="281"/>
      <c r="S107" s="281"/>
      <c r="T107" s="281"/>
      <c r="U107" s="281"/>
      <c r="V107" s="281"/>
      <c r="W107" s="281"/>
      <c r="X107" s="281"/>
      <c r="Y107" s="281"/>
      <c r="Z107" s="281"/>
      <c r="AA107" s="281"/>
      <c r="AB107" s="281"/>
      <c r="AC107" s="281"/>
      <c r="AD107" s="281"/>
      <c r="AE107" s="281"/>
    </row>
    <row r="108" spans="2:31" ht="15">
      <c r="B108" s="386">
        <f t="shared" si="4"/>
        <v>63</v>
      </c>
      <c r="C108" s="394" t="str" cm="1">
        <f t="array" aca="1" ref="C108" ca="1">IF(B108&lt;=$C$9,GetGetCDSName(B108),"")</f>
        <v>CDS Name - Issuer 63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8" s="354">
        <v>0</v>
      </c>
      <c r="E108" s="387">
        <v>1</v>
      </c>
      <c r="F108" s="306">
        <v>1</v>
      </c>
      <c r="G108" s="306">
        <v>0</v>
      </c>
      <c r="H108" s="306">
        <v>1</v>
      </c>
      <c r="I108" s="306">
        <v>0</v>
      </c>
      <c r="J108" s="306">
        <v>0</v>
      </c>
      <c r="K108" s="306"/>
      <c r="L108" s="306"/>
      <c r="M108" s="306"/>
      <c r="N108" s="388"/>
      <c r="O108" s="281"/>
      <c r="P108" s="281"/>
      <c r="Q108" s="281"/>
      <c r="R108" s="281"/>
      <c r="S108" s="281"/>
      <c r="T108" s="281"/>
      <c r="U108" s="281"/>
      <c r="V108" s="281"/>
      <c r="W108" s="281"/>
      <c r="X108" s="281"/>
      <c r="Y108" s="281"/>
      <c r="Z108" s="281"/>
      <c r="AA108" s="281"/>
      <c r="AB108" s="281"/>
      <c r="AC108" s="281"/>
      <c r="AD108" s="281"/>
      <c r="AE108" s="281"/>
    </row>
    <row r="109" spans="2:31" ht="15">
      <c r="B109" s="386">
        <f t="shared" si="4"/>
        <v>64</v>
      </c>
      <c r="C109" s="394" t="str" cm="1">
        <f t="array" aca="1" ref="C109" ca="1">IF(B109&lt;=$C$9,GetGetCDSName(B109),"")</f>
        <v>CDS Name - Issuer 64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09" s="354">
        <v>0</v>
      </c>
      <c r="E109" s="387">
        <v>1</v>
      </c>
      <c r="F109" s="306">
        <v>0</v>
      </c>
      <c r="G109" s="306">
        <v>0</v>
      </c>
      <c r="H109" s="306">
        <v>1</v>
      </c>
      <c r="I109" s="306">
        <v>0</v>
      </c>
      <c r="J109" s="306">
        <v>1</v>
      </c>
      <c r="K109" s="306"/>
      <c r="L109" s="306"/>
      <c r="M109" s="306"/>
      <c r="N109" s="388"/>
      <c r="O109" s="281"/>
      <c r="P109" s="281"/>
      <c r="Q109" s="281"/>
      <c r="R109" s="281"/>
      <c r="S109" s="281"/>
      <c r="T109" s="281"/>
      <c r="U109" s="281"/>
      <c r="V109" s="281"/>
      <c r="W109" s="281"/>
      <c r="X109" s="281"/>
      <c r="Y109" s="281"/>
      <c r="Z109" s="281"/>
      <c r="AA109" s="281"/>
      <c r="AB109" s="281"/>
      <c r="AC109" s="281"/>
      <c r="AD109" s="281"/>
      <c r="AE109" s="281"/>
    </row>
    <row r="110" spans="2:31" ht="15">
      <c r="B110" s="386">
        <f t="shared" si="4"/>
        <v>65</v>
      </c>
      <c r="C110" s="394" t="str" cm="1">
        <f t="array" aca="1" ref="C110" ca="1">IF(B110&lt;=$C$9,GetGetCDSName(B110),"")</f>
        <v>CDS Name - Issuer 65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0" s="354">
        <v>0</v>
      </c>
      <c r="E110" s="387">
        <v>0</v>
      </c>
      <c r="F110" s="306">
        <v>1</v>
      </c>
      <c r="G110" s="306">
        <v>1</v>
      </c>
      <c r="H110" s="306">
        <v>0</v>
      </c>
      <c r="I110" s="306">
        <v>1</v>
      </c>
      <c r="J110" s="306">
        <v>0</v>
      </c>
      <c r="K110" s="306"/>
      <c r="L110" s="306"/>
      <c r="M110" s="306"/>
      <c r="N110" s="388"/>
      <c r="O110" s="281"/>
      <c r="P110" s="281"/>
      <c r="Q110" s="281"/>
      <c r="R110" s="281"/>
      <c r="S110" s="281"/>
      <c r="T110" s="281"/>
      <c r="U110" s="281"/>
      <c r="V110" s="281"/>
      <c r="W110" s="281"/>
      <c r="X110" s="281"/>
      <c r="Y110" s="281"/>
      <c r="Z110" s="281"/>
      <c r="AA110" s="281"/>
      <c r="AB110" s="281"/>
      <c r="AC110" s="281"/>
      <c r="AD110" s="281"/>
      <c r="AE110" s="281"/>
    </row>
    <row r="111" spans="2:31" ht="15">
      <c r="B111" s="386">
        <f t="shared" ref="B111:B174" si="5">B110+1</f>
        <v>66</v>
      </c>
      <c r="C111" s="394" t="str" cm="1">
        <f t="array" aca="1" ref="C111" ca="1">IF(B111&lt;=$C$9,GetGetCDSName(B111),"")</f>
        <v>CDS Name - Issuer 66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1" s="354">
        <v>0</v>
      </c>
      <c r="E111" s="387">
        <v>1</v>
      </c>
      <c r="F111" s="306">
        <v>0</v>
      </c>
      <c r="G111" s="306">
        <v>1</v>
      </c>
      <c r="H111" s="306">
        <v>0</v>
      </c>
      <c r="I111" s="306">
        <v>1</v>
      </c>
      <c r="J111" s="306">
        <v>0</v>
      </c>
      <c r="K111" s="306"/>
      <c r="L111" s="306"/>
      <c r="M111" s="306"/>
      <c r="N111" s="388"/>
      <c r="O111" s="281"/>
      <c r="P111" s="281"/>
      <c r="Q111" s="281"/>
      <c r="R111" s="281"/>
      <c r="S111" s="281"/>
      <c r="T111" s="281"/>
      <c r="U111" s="281"/>
      <c r="V111" s="281"/>
      <c r="W111" s="281"/>
      <c r="X111" s="281"/>
      <c r="Y111" s="281"/>
      <c r="Z111" s="281"/>
      <c r="AA111" s="281"/>
      <c r="AB111" s="281"/>
      <c r="AC111" s="281"/>
      <c r="AD111" s="281"/>
      <c r="AE111" s="281"/>
    </row>
    <row r="112" spans="2:31" ht="15">
      <c r="B112" s="386">
        <f t="shared" si="5"/>
        <v>67</v>
      </c>
      <c r="C112" s="394" t="str" cm="1">
        <f t="array" aca="1" ref="C112" ca="1">IF(B112&lt;=$C$9,GetGetCDSName(B112),"")</f>
        <v>CDS Name - Issuer 67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2" s="354">
        <v>0</v>
      </c>
      <c r="E112" s="387">
        <v>1</v>
      </c>
      <c r="F112" s="306">
        <v>0</v>
      </c>
      <c r="G112" s="306">
        <v>0</v>
      </c>
      <c r="H112" s="306">
        <v>1</v>
      </c>
      <c r="I112" s="306">
        <v>0</v>
      </c>
      <c r="J112" s="306">
        <v>1</v>
      </c>
      <c r="K112" s="306"/>
      <c r="L112" s="306"/>
      <c r="M112" s="306"/>
      <c r="N112" s="388"/>
      <c r="O112" s="281"/>
      <c r="P112" s="281"/>
      <c r="Q112" s="281"/>
      <c r="R112" s="281"/>
      <c r="S112" s="281"/>
      <c r="T112" s="281"/>
      <c r="U112" s="281"/>
      <c r="V112" s="281"/>
      <c r="W112" s="281"/>
      <c r="X112" s="281"/>
      <c r="Y112" s="281"/>
      <c r="Z112" s="281"/>
      <c r="AA112" s="281"/>
      <c r="AB112" s="281"/>
      <c r="AC112" s="281"/>
      <c r="AD112" s="281"/>
      <c r="AE112" s="281"/>
    </row>
    <row r="113" spans="2:31" ht="15">
      <c r="B113" s="386">
        <f t="shared" si="5"/>
        <v>68</v>
      </c>
      <c r="C113" s="394" t="str" cm="1">
        <f t="array" aca="1" ref="C113" ca="1">IF(B113&lt;=$C$9,GetGetCDSName(B113),"")</f>
        <v>CDS Name - Issuer 68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3" s="354">
        <v>0</v>
      </c>
      <c r="E113" s="387">
        <v>0</v>
      </c>
      <c r="F113" s="306">
        <v>1</v>
      </c>
      <c r="G113" s="306">
        <v>0</v>
      </c>
      <c r="H113" s="306">
        <v>1</v>
      </c>
      <c r="I113" s="306">
        <v>0</v>
      </c>
      <c r="J113" s="306">
        <v>1</v>
      </c>
      <c r="K113" s="306"/>
      <c r="L113" s="306"/>
      <c r="M113" s="306"/>
      <c r="N113" s="388"/>
      <c r="O113" s="281"/>
      <c r="P113" s="281"/>
      <c r="Q113" s="281"/>
      <c r="R113" s="281"/>
      <c r="S113" s="281"/>
      <c r="T113" s="281"/>
      <c r="U113" s="281"/>
      <c r="V113" s="281"/>
      <c r="W113" s="281"/>
      <c r="X113" s="281"/>
      <c r="Y113" s="281"/>
      <c r="Z113" s="281"/>
      <c r="AA113" s="281"/>
      <c r="AB113" s="281"/>
      <c r="AC113" s="281"/>
      <c r="AD113" s="281"/>
      <c r="AE113" s="281"/>
    </row>
    <row r="114" spans="2:31" ht="15">
      <c r="B114" s="386">
        <f t="shared" si="5"/>
        <v>69</v>
      </c>
      <c r="C114" s="394" t="str" cm="1">
        <f t="array" aca="1" ref="C114" ca="1">IF(B114&lt;=$C$9,GetGetCDSName(B114),"")</f>
        <v>CDS Name - Issuer 69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4" s="354">
        <v>0</v>
      </c>
      <c r="E114" s="387">
        <v>0</v>
      </c>
      <c r="F114" s="306">
        <v>0</v>
      </c>
      <c r="G114" s="306">
        <v>1</v>
      </c>
      <c r="H114" s="306">
        <v>0</v>
      </c>
      <c r="I114" s="306">
        <v>1</v>
      </c>
      <c r="J114" s="306">
        <v>1</v>
      </c>
      <c r="K114" s="306"/>
      <c r="L114" s="306"/>
      <c r="M114" s="306"/>
      <c r="N114" s="388"/>
      <c r="O114" s="281"/>
      <c r="P114" s="281"/>
      <c r="Q114" s="281"/>
      <c r="R114" s="281"/>
      <c r="S114" s="281"/>
      <c r="T114" s="281"/>
      <c r="U114" s="281"/>
      <c r="V114" s="281"/>
      <c r="W114" s="281"/>
      <c r="X114" s="281"/>
      <c r="Y114" s="281"/>
      <c r="Z114" s="281"/>
      <c r="AA114" s="281"/>
      <c r="AB114" s="281"/>
      <c r="AC114" s="281"/>
      <c r="AD114" s="281"/>
      <c r="AE114" s="281"/>
    </row>
    <row r="115" spans="2:31" ht="15">
      <c r="B115" s="386">
        <f t="shared" si="5"/>
        <v>70</v>
      </c>
      <c r="C115" s="394" t="str" cm="1">
        <f t="array" aca="1" ref="C115" ca="1">IF(B115&lt;=$C$9,GetGetCDSName(B115),"")</f>
        <v>CDS Name - Issuer 70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5" s="354">
        <v>0</v>
      </c>
      <c r="E115" s="387">
        <v>1</v>
      </c>
      <c r="F115" s="306">
        <v>0</v>
      </c>
      <c r="G115" s="306">
        <v>0</v>
      </c>
      <c r="H115" s="306">
        <v>0</v>
      </c>
      <c r="I115" s="306">
        <v>1</v>
      </c>
      <c r="J115" s="306">
        <v>1</v>
      </c>
      <c r="K115" s="306"/>
      <c r="L115" s="306"/>
      <c r="M115" s="306"/>
      <c r="N115" s="388"/>
      <c r="O115" s="281"/>
      <c r="P115" s="281"/>
      <c r="Q115" s="281"/>
      <c r="R115" s="281"/>
      <c r="S115" s="281"/>
      <c r="T115" s="281"/>
      <c r="U115" s="281"/>
      <c r="V115" s="281"/>
      <c r="W115" s="281"/>
      <c r="X115" s="281"/>
      <c r="Y115" s="281"/>
      <c r="Z115" s="281"/>
      <c r="AA115" s="281"/>
      <c r="AB115" s="281"/>
      <c r="AC115" s="281"/>
      <c r="AD115" s="281"/>
      <c r="AE115" s="281"/>
    </row>
    <row r="116" spans="2:31" ht="15">
      <c r="B116" s="386">
        <f t="shared" si="5"/>
        <v>71</v>
      </c>
      <c r="C116" s="394" t="str" cm="1">
        <f t="array" aca="1" ref="C116" ca="1">IF(B116&lt;=$C$9,GetGetCDSName(B116),"")</f>
        <v>CDS Name - Issuer 71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6" s="354">
        <v>0</v>
      </c>
      <c r="E116" s="387">
        <v>1</v>
      </c>
      <c r="F116" s="306">
        <v>1</v>
      </c>
      <c r="G116" s="306">
        <v>0</v>
      </c>
      <c r="H116" s="306">
        <v>0</v>
      </c>
      <c r="I116" s="306">
        <v>0</v>
      </c>
      <c r="J116" s="306">
        <v>1</v>
      </c>
      <c r="K116" s="306"/>
      <c r="L116" s="306"/>
      <c r="M116" s="306"/>
      <c r="N116" s="388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281"/>
      <c r="AA116" s="281"/>
      <c r="AB116" s="281"/>
      <c r="AC116" s="281"/>
      <c r="AD116" s="281"/>
      <c r="AE116" s="281"/>
    </row>
    <row r="117" spans="2:31" ht="15">
      <c r="B117" s="386">
        <f t="shared" si="5"/>
        <v>72</v>
      </c>
      <c r="C117" s="394" t="str" cm="1">
        <f t="array" aca="1" ref="C117" ca="1">IF(B117&lt;=$C$9,GetGetCDSName(B117),"")</f>
        <v>CDS Name - Issuer 72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7" s="354">
        <v>0</v>
      </c>
      <c r="E117" s="387">
        <v>1</v>
      </c>
      <c r="F117" s="306">
        <v>1</v>
      </c>
      <c r="G117" s="306">
        <v>0</v>
      </c>
      <c r="H117" s="306">
        <v>0</v>
      </c>
      <c r="I117" s="306">
        <v>0</v>
      </c>
      <c r="J117" s="306">
        <v>0</v>
      </c>
      <c r="K117" s="306"/>
      <c r="L117" s="306"/>
      <c r="M117" s="306"/>
      <c r="N117" s="388"/>
      <c r="O117" s="281"/>
      <c r="P117" s="281"/>
      <c r="Q117" s="281"/>
      <c r="R117" s="281"/>
      <c r="S117" s="281"/>
      <c r="T117" s="281"/>
      <c r="U117" s="281"/>
      <c r="V117" s="281"/>
      <c r="W117" s="281"/>
      <c r="X117" s="281"/>
      <c r="Y117" s="281"/>
      <c r="Z117" s="281"/>
      <c r="AA117" s="281"/>
      <c r="AB117" s="281"/>
      <c r="AC117" s="281"/>
      <c r="AD117" s="281"/>
      <c r="AE117" s="281"/>
    </row>
    <row r="118" spans="2:31" ht="15">
      <c r="B118" s="386">
        <f t="shared" si="5"/>
        <v>73</v>
      </c>
      <c r="C118" s="394" t="str" cm="1">
        <f t="array" aca="1" ref="C118" ca="1">IF(B118&lt;=$C$9,GetGetCDSName(B118),"")</f>
        <v>CDS Name - Issuer 73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8" s="354">
        <v>0</v>
      </c>
      <c r="E118" s="387">
        <v>0</v>
      </c>
      <c r="F118" s="306">
        <v>1</v>
      </c>
      <c r="G118" s="306">
        <v>0</v>
      </c>
      <c r="H118" s="306">
        <v>1</v>
      </c>
      <c r="I118" s="306">
        <v>0</v>
      </c>
      <c r="J118" s="306">
        <v>1</v>
      </c>
      <c r="K118" s="306"/>
      <c r="L118" s="306"/>
      <c r="M118" s="306"/>
      <c r="N118" s="388"/>
      <c r="O118" s="281"/>
      <c r="P118" s="281"/>
      <c r="Q118" s="281"/>
      <c r="R118" s="281"/>
      <c r="S118" s="281"/>
      <c r="T118" s="281"/>
      <c r="U118" s="281"/>
      <c r="V118" s="281"/>
      <c r="W118" s="281"/>
      <c r="X118" s="281"/>
      <c r="Y118" s="281"/>
      <c r="Z118" s="281"/>
      <c r="AA118" s="281"/>
      <c r="AB118" s="281"/>
      <c r="AC118" s="281"/>
      <c r="AD118" s="281"/>
      <c r="AE118" s="281"/>
    </row>
    <row r="119" spans="2:31" ht="15">
      <c r="B119" s="386">
        <f t="shared" si="5"/>
        <v>74</v>
      </c>
      <c r="C119" s="394" t="str" cm="1">
        <f t="array" aca="1" ref="C119" ca="1">IF(B119&lt;=$C$9,GetGetCDSName(B119),"")</f>
        <v>CDS Name - Issuer 74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19" s="354">
        <v>0</v>
      </c>
      <c r="E119" s="387">
        <v>1</v>
      </c>
      <c r="F119" s="306">
        <v>1</v>
      </c>
      <c r="G119" s="306">
        <v>0</v>
      </c>
      <c r="H119" s="306">
        <v>1</v>
      </c>
      <c r="I119" s="306">
        <v>0</v>
      </c>
      <c r="J119" s="306">
        <v>0</v>
      </c>
      <c r="K119" s="306"/>
      <c r="L119" s="306"/>
      <c r="M119" s="306"/>
      <c r="N119" s="388"/>
      <c r="O119" s="281"/>
      <c r="P119" s="281"/>
      <c r="Q119" s="281"/>
      <c r="R119" s="281"/>
      <c r="S119" s="281"/>
      <c r="T119" s="281"/>
      <c r="U119" s="281"/>
      <c r="V119" s="281"/>
      <c r="W119" s="281"/>
      <c r="X119" s="281"/>
      <c r="Y119" s="281"/>
      <c r="Z119" s="281"/>
      <c r="AA119" s="281"/>
      <c r="AB119" s="281"/>
      <c r="AC119" s="281"/>
      <c r="AD119" s="281"/>
      <c r="AE119" s="281"/>
    </row>
    <row r="120" spans="2:31" ht="15">
      <c r="B120" s="386">
        <f t="shared" si="5"/>
        <v>75</v>
      </c>
      <c r="C120" s="394" t="str" cm="1">
        <f t="array" aca="1" ref="C120" ca="1">IF(B120&lt;=$C$9,GetGetCDSName(B120),"")</f>
        <v>CDS Name - Issuer 75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0" s="354">
        <v>0</v>
      </c>
      <c r="E120" s="387">
        <v>0</v>
      </c>
      <c r="F120" s="306">
        <v>0</v>
      </c>
      <c r="G120" s="306">
        <v>0</v>
      </c>
      <c r="H120" s="306">
        <v>1</v>
      </c>
      <c r="I120" s="306">
        <v>0</v>
      </c>
      <c r="J120" s="306">
        <v>1</v>
      </c>
      <c r="K120" s="306"/>
      <c r="L120" s="306"/>
      <c r="M120" s="306"/>
      <c r="N120" s="388"/>
      <c r="O120" s="281"/>
      <c r="P120" s="281"/>
      <c r="Q120" s="281"/>
      <c r="R120" s="281"/>
      <c r="S120" s="281"/>
      <c r="T120" s="281"/>
      <c r="U120" s="281"/>
      <c r="V120" s="281"/>
      <c r="W120" s="281"/>
      <c r="X120" s="281"/>
      <c r="Y120" s="281"/>
      <c r="Z120" s="281"/>
      <c r="AA120" s="281"/>
      <c r="AB120" s="281"/>
      <c r="AC120" s="281"/>
      <c r="AD120" s="281"/>
      <c r="AE120" s="281"/>
    </row>
    <row r="121" spans="2:31" ht="15">
      <c r="B121" s="386">
        <f t="shared" si="5"/>
        <v>76</v>
      </c>
      <c r="C121" s="394" t="str" cm="1">
        <f t="array" aca="1" ref="C121" ca="1">IF(B121&lt;=$C$9,GetGetCDSName(B121),"")</f>
        <v>CDS Name - Issuer 76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1" s="354">
        <v>0</v>
      </c>
      <c r="E121" s="387">
        <v>0</v>
      </c>
      <c r="F121" s="306">
        <v>0</v>
      </c>
      <c r="G121" s="306">
        <v>1</v>
      </c>
      <c r="H121" s="306">
        <v>1</v>
      </c>
      <c r="I121" s="306">
        <v>0</v>
      </c>
      <c r="J121" s="306">
        <v>1</v>
      </c>
      <c r="K121" s="306"/>
      <c r="L121" s="306"/>
      <c r="M121" s="306"/>
      <c r="N121" s="388"/>
      <c r="O121" s="281"/>
      <c r="P121" s="281"/>
      <c r="Q121" s="281"/>
      <c r="R121" s="281"/>
      <c r="S121" s="281"/>
      <c r="T121" s="281"/>
      <c r="U121" s="281"/>
      <c r="V121" s="281"/>
      <c r="W121" s="281"/>
      <c r="X121" s="281"/>
      <c r="Y121" s="281"/>
      <c r="Z121" s="281"/>
      <c r="AA121" s="281"/>
      <c r="AB121" s="281"/>
      <c r="AC121" s="281"/>
      <c r="AD121" s="281"/>
      <c r="AE121" s="281"/>
    </row>
    <row r="122" spans="2:31" ht="15">
      <c r="B122" s="386">
        <f t="shared" si="5"/>
        <v>77</v>
      </c>
      <c r="C122" s="394" t="str" cm="1">
        <f t="array" aca="1" ref="C122" ca="1">IF(B122&lt;=$C$9,GetGetCDSName(B122),"")</f>
        <v>CDS Name - Issuer 77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2" s="354">
        <v>0</v>
      </c>
      <c r="E122" s="387">
        <v>1</v>
      </c>
      <c r="F122" s="306">
        <v>0</v>
      </c>
      <c r="G122" s="306">
        <v>1</v>
      </c>
      <c r="H122" s="306">
        <v>0</v>
      </c>
      <c r="I122" s="306">
        <v>1</v>
      </c>
      <c r="J122" s="306">
        <v>0</v>
      </c>
      <c r="K122" s="306"/>
      <c r="L122" s="306"/>
      <c r="M122" s="306"/>
      <c r="N122" s="388"/>
      <c r="O122" s="281"/>
      <c r="P122" s="281"/>
      <c r="Q122" s="281"/>
      <c r="R122" s="281"/>
      <c r="S122" s="281"/>
      <c r="T122" s="281"/>
      <c r="U122" s="281"/>
      <c r="V122" s="281"/>
      <c r="W122" s="281"/>
      <c r="X122" s="281"/>
      <c r="Y122" s="281"/>
      <c r="Z122" s="281"/>
      <c r="AA122" s="281"/>
      <c r="AB122" s="281"/>
      <c r="AC122" s="281"/>
      <c r="AD122" s="281"/>
      <c r="AE122" s="281"/>
    </row>
    <row r="123" spans="2:31" ht="15">
      <c r="B123" s="386">
        <f t="shared" si="5"/>
        <v>78</v>
      </c>
      <c r="C123" s="394" t="str" cm="1">
        <f t="array" aca="1" ref="C123" ca="1">IF(B123&lt;=$C$9,GetGetCDSName(B123),"")</f>
        <v>CDS Name - Issuer 78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3" s="354">
        <v>0</v>
      </c>
      <c r="E123" s="387">
        <v>0</v>
      </c>
      <c r="F123" s="306">
        <v>0</v>
      </c>
      <c r="G123" s="306">
        <v>0</v>
      </c>
      <c r="H123" s="306">
        <v>0</v>
      </c>
      <c r="I123" s="306">
        <v>1</v>
      </c>
      <c r="J123" s="306">
        <v>1</v>
      </c>
      <c r="K123" s="306"/>
      <c r="L123" s="306"/>
      <c r="M123" s="306"/>
      <c r="N123" s="388"/>
      <c r="O123" s="281"/>
      <c r="P123" s="281"/>
      <c r="Q123" s="281"/>
      <c r="R123" s="281"/>
      <c r="S123" s="281"/>
      <c r="T123" s="281"/>
      <c r="U123" s="281"/>
      <c r="V123" s="281"/>
      <c r="W123" s="281"/>
      <c r="X123" s="281"/>
      <c r="Y123" s="281"/>
      <c r="Z123" s="281"/>
      <c r="AA123" s="281"/>
      <c r="AB123" s="281"/>
      <c r="AC123" s="281"/>
      <c r="AD123" s="281"/>
      <c r="AE123" s="281"/>
    </row>
    <row r="124" spans="2:31" ht="15">
      <c r="B124" s="386">
        <f t="shared" si="5"/>
        <v>79</v>
      </c>
      <c r="C124" s="394" t="str" cm="1">
        <f t="array" aca="1" ref="C124" ca="1">IF(B124&lt;=$C$9,GetGetCDSName(B124),"")</f>
        <v>CDS Name - Issuer 79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4" s="354">
        <v>0</v>
      </c>
      <c r="E124" s="387">
        <v>0</v>
      </c>
      <c r="F124" s="306">
        <v>0</v>
      </c>
      <c r="G124" s="306">
        <v>1</v>
      </c>
      <c r="H124" s="306">
        <v>0</v>
      </c>
      <c r="I124" s="306">
        <v>0</v>
      </c>
      <c r="J124" s="306">
        <v>1</v>
      </c>
      <c r="K124" s="306"/>
      <c r="L124" s="306"/>
      <c r="M124" s="306"/>
      <c r="N124" s="388"/>
      <c r="O124" s="281"/>
      <c r="P124" s="281"/>
      <c r="Q124" s="281"/>
      <c r="R124" s="281"/>
      <c r="S124" s="281"/>
      <c r="T124" s="281"/>
      <c r="U124" s="281"/>
      <c r="V124" s="281"/>
      <c r="W124" s="281"/>
      <c r="X124" s="281"/>
      <c r="Y124" s="281"/>
      <c r="Z124" s="281"/>
      <c r="AA124" s="281"/>
      <c r="AB124" s="281"/>
      <c r="AC124" s="281"/>
      <c r="AD124" s="281"/>
      <c r="AE124" s="281"/>
    </row>
    <row r="125" spans="2:31" ht="15">
      <c r="B125" s="386">
        <f t="shared" si="5"/>
        <v>80</v>
      </c>
      <c r="C125" s="394" t="str" cm="1">
        <f t="array" aca="1" ref="C125" ca="1">IF(B125&lt;=$C$9,GetGetCDSName(B125),"")</f>
        <v>CDS Name - Issuer 80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5" s="354">
        <v>0</v>
      </c>
      <c r="E125" s="387">
        <v>1</v>
      </c>
      <c r="F125" s="306">
        <v>1</v>
      </c>
      <c r="G125" s="306">
        <v>0</v>
      </c>
      <c r="H125" s="306">
        <v>0</v>
      </c>
      <c r="I125" s="306">
        <v>0</v>
      </c>
      <c r="J125" s="306">
        <v>0</v>
      </c>
      <c r="K125" s="306"/>
      <c r="L125" s="306"/>
      <c r="M125" s="306"/>
      <c r="N125" s="388"/>
      <c r="O125" s="281"/>
      <c r="P125" s="281"/>
      <c r="Q125" s="281"/>
      <c r="R125" s="281"/>
      <c r="S125" s="281"/>
      <c r="T125" s="281"/>
      <c r="U125" s="281"/>
      <c r="V125" s="281"/>
      <c r="W125" s="281"/>
      <c r="X125" s="281"/>
      <c r="Y125" s="281"/>
      <c r="Z125" s="281"/>
      <c r="AA125" s="281"/>
      <c r="AB125" s="281"/>
      <c r="AC125" s="281"/>
      <c r="AD125" s="281"/>
      <c r="AE125" s="281"/>
    </row>
    <row r="126" spans="2:31" ht="15">
      <c r="B126" s="386">
        <f t="shared" si="5"/>
        <v>81</v>
      </c>
      <c r="C126" s="394" t="str" cm="1">
        <f t="array" aca="1" ref="C126" ca="1">IF(B126&lt;=$C$9,GetGetCDSName(B126),"")</f>
        <v>CDS Name - Issuer 81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6" s="354">
        <v>0</v>
      </c>
      <c r="E126" s="387">
        <v>0</v>
      </c>
      <c r="F126" s="306">
        <v>0</v>
      </c>
      <c r="G126" s="306">
        <v>0</v>
      </c>
      <c r="H126" s="306">
        <v>1</v>
      </c>
      <c r="I126" s="306">
        <v>0</v>
      </c>
      <c r="J126" s="306">
        <v>1</v>
      </c>
      <c r="K126" s="306"/>
      <c r="L126" s="306"/>
      <c r="M126" s="306"/>
      <c r="N126" s="388"/>
      <c r="O126" s="281"/>
      <c r="P126" s="281"/>
      <c r="Q126" s="281"/>
      <c r="R126" s="281"/>
      <c r="S126" s="281"/>
      <c r="T126" s="281"/>
      <c r="U126" s="281"/>
      <c r="V126" s="281"/>
      <c r="W126" s="281"/>
      <c r="X126" s="281"/>
      <c r="Y126" s="281"/>
      <c r="Z126" s="281"/>
      <c r="AA126" s="281"/>
      <c r="AB126" s="281"/>
      <c r="AC126" s="281"/>
      <c r="AD126" s="281"/>
      <c r="AE126" s="281"/>
    </row>
    <row r="127" spans="2:31" ht="15">
      <c r="B127" s="386">
        <f t="shared" si="5"/>
        <v>82</v>
      </c>
      <c r="C127" s="394" t="str" cm="1">
        <f t="array" aca="1" ref="C127" ca="1">IF(B127&lt;=$C$9,GetGetCDSName(B127),"")</f>
        <v>CDS Name - Issuer 82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7" s="354">
        <v>0</v>
      </c>
      <c r="E127" s="387">
        <v>0</v>
      </c>
      <c r="F127" s="306">
        <v>0</v>
      </c>
      <c r="G127" s="306">
        <v>1</v>
      </c>
      <c r="H127" s="306">
        <v>1</v>
      </c>
      <c r="I127" s="306">
        <v>0</v>
      </c>
      <c r="J127" s="306">
        <v>0</v>
      </c>
      <c r="K127" s="306"/>
      <c r="L127" s="306"/>
      <c r="M127" s="306"/>
      <c r="N127" s="388"/>
      <c r="O127" s="281"/>
      <c r="P127" s="281"/>
      <c r="Q127" s="281"/>
      <c r="R127" s="281"/>
      <c r="S127" s="281"/>
      <c r="T127" s="281"/>
      <c r="U127" s="281"/>
      <c r="V127" s="281"/>
      <c r="W127" s="281"/>
      <c r="X127" s="281"/>
      <c r="Y127" s="281"/>
      <c r="Z127" s="281"/>
      <c r="AA127" s="281"/>
      <c r="AB127" s="281"/>
      <c r="AC127" s="281"/>
      <c r="AD127" s="281"/>
      <c r="AE127" s="281"/>
    </row>
    <row r="128" spans="2:31" ht="15">
      <c r="B128" s="386">
        <f t="shared" si="5"/>
        <v>83</v>
      </c>
      <c r="C128" s="394" t="str" cm="1">
        <f t="array" aca="1" ref="C128" ca="1">IF(B128&lt;=$C$9,GetGetCDSName(B128),"")</f>
        <v>CDS Name - Issuer 83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8" s="354">
        <v>0</v>
      </c>
      <c r="E128" s="387">
        <v>0</v>
      </c>
      <c r="F128" s="306">
        <v>0</v>
      </c>
      <c r="G128" s="306">
        <v>1</v>
      </c>
      <c r="H128" s="306">
        <v>0</v>
      </c>
      <c r="I128" s="306">
        <v>1</v>
      </c>
      <c r="J128" s="306">
        <v>1</v>
      </c>
      <c r="K128" s="306"/>
      <c r="L128" s="306"/>
      <c r="M128" s="306"/>
      <c r="N128" s="388"/>
      <c r="O128" s="281"/>
      <c r="P128" s="281"/>
      <c r="Q128" s="281"/>
      <c r="R128" s="281"/>
      <c r="S128" s="281"/>
      <c r="T128" s="281"/>
      <c r="U128" s="281"/>
      <c r="V128" s="281"/>
      <c r="W128" s="281"/>
      <c r="X128" s="281"/>
      <c r="Y128" s="281"/>
      <c r="Z128" s="281"/>
      <c r="AA128" s="281"/>
      <c r="AB128" s="281"/>
      <c r="AC128" s="281"/>
      <c r="AD128" s="281"/>
      <c r="AE128" s="281"/>
    </row>
    <row r="129" spans="2:31" ht="15">
      <c r="B129" s="386">
        <f t="shared" si="5"/>
        <v>84</v>
      </c>
      <c r="C129" s="394" t="str" cm="1">
        <f t="array" aca="1" ref="C129" ca="1">IF(B129&lt;=$C$9,GetGetCDSName(B129),"")</f>
        <v>CDS Name - Issuer 84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29" s="354">
        <v>0</v>
      </c>
      <c r="E129" s="387">
        <v>1</v>
      </c>
      <c r="F129" s="306">
        <v>0</v>
      </c>
      <c r="G129" s="306">
        <v>1</v>
      </c>
      <c r="H129" s="306">
        <v>1</v>
      </c>
      <c r="I129" s="306">
        <v>0</v>
      </c>
      <c r="J129" s="306">
        <v>0</v>
      </c>
      <c r="K129" s="306"/>
      <c r="L129" s="306"/>
      <c r="M129" s="306"/>
      <c r="N129" s="388"/>
      <c r="O129" s="281"/>
      <c r="P129" s="281"/>
      <c r="Q129" s="281"/>
      <c r="R129" s="281"/>
      <c r="S129" s="281"/>
      <c r="T129" s="281"/>
      <c r="U129" s="281"/>
      <c r="V129" s="281"/>
      <c r="W129" s="281"/>
      <c r="X129" s="281"/>
      <c r="Y129" s="281"/>
      <c r="Z129" s="281"/>
      <c r="AA129" s="281"/>
      <c r="AB129" s="281"/>
      <c r="AC129" s="281"/>
      <c r="AD129" s="281"/>
      <c r="AE129" s="281"/>
    </row>
    <row r="130" spans="2:31" ht="15">
      <c r="B130" s="386">
        <f t="shared" si="5"/>
        <v>85</v>
      </c>
      <c r="C130" s="394" t="str" cm="1">
        <f t="array" aca="1" ref="C130" ca="1">IF(B130&lt;=$C$9,GetGetCDSName(B130),"")</f>
        <v>CDS Name - Issuer 85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0" s="354">
        <v>0</v>
      </c>
      <c r="E130" s="387">
        <v>0</v>
      </c>
      <c r="F130" s="306">
        <v>1</v>
      </c>
      <c r="G130" s="306">
        <v>0</v>
      </c>
      <c r="H130" s="306">
        <v>0</v>
      </c>
      <c r="I130" s="306">
        <v>1</v>
      </c>
      <c r="J130" s="306">
        <v>0</v>
      </c>
      <c r="K130" s="306"/>
      <c r="L130" s="306"/>
      <c r="M130" s="306"/>
      <c r="N130" s="388"/>
      <c r="O130" s="281"/>
      <c r="P130" s="281"/>
      <c r="Q130" s="281"/>
      <c r="R130" s="281"/>
      <c r="S130" s="281"/>
      <c r="T130" s="281"/>
      <c r="U130" s="281"/>
      <c r="V130" s="281"/>
      <c r="W130" s="281"/>
      <c r="X130" s="281"/>
      <c r="Y130" s="281"/>
      <c r="Z130" s="281"/>
      <c r="AA130" s="281"/>
      <c r="AB130" s="281"/>
      <c r="AC130" s="281"/>
      <c r="AD130" s="281"/>
      <c r="AE130" s="281"/>
    </row>
    <row r="131" spans="2:31" ht="15">
      <c r="B131" s="386">
        <f t="shared" si="5"/>
        <v>86</v>
      </c>
      <c r="C131" s="394" t="str" cm="1">
        <f t="array" aca="1" ref="C131" ca="1">IF(B131&lt;=$C$9,GetGetCDSName(B131),"")</f>
        <v>CDS Name - Issuer 86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1" s="354">
        <v>0</v>
      </c>
      <c r="E131" s="387">
        <v>1</v>
      </c>
      <c r="F131" s="306">
        <v>0</v>
      </c>
      <c r="G131" s="306">
        <v>1</v>
      </c>
      <c r="H131" s="306">
        <v>0</v>
      </c>
      <c r="I131" s="306">
        <v>0</v>
      </c>
      <c r="J131" s="306">
        <v>0</v>
      </c>
      <c r="K131" s="306"/>
      <c r="L131" s="306"/>
      <c r="M131" s="306"/>
      <c r="N131" s="388"/>
      <c r="O131" s="281"/>
      <c r="P131" s="281"/>
      <c r="Q131" s="281"/>
      <c r="R131" s="281"/>
      <c r="S131" s="281"/>
      <c r="T131" s="281"/>
      <c r="U131" s="281"/>
      <c r="V131" s="281"/>
      <c r="W131" s="281"/>
      <c r="X131" s="281"/>
      <c r="Y131" s="281"/>
      <c r="Z131" s="281"/>
      <c r="AA131" s="281"/>
      <c r="AB131" s="281"/>
      <c r="AC131" s="281"/>
      <c r="AD131" s="281"/>
      <c r="AE131" s="281"/>
    </row>
    <row r="132" spans="2:31" ht="15">
      <c r="B132" s="386">
        <f t="shared" si="5"/>
        <v>87</v>
      </c>
      <c r="C132" s="394" t="str" cm="1">
        <f t="array" aca="1" ref="C132" ca="1">IF(B132&lt;=$C$9,GetGetCDSName(B132),"")</f>
        <v>CDS Name - Issuer 87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2" s="354">
        <v>0</v>
      </c>
      <c r="E132" s="387">
        <v>1</v>
      </c>
      <c r="F132" s="306">
        <v>0</v>
      </c>
      <c r="G132" s="306">
        <v>0</v>
      </c>
      <c r="H132" s="306">
        <v>1</v>
      </c>
      <c r="I132" s="306">
        <v>0</v>
      </c>
      <c r="J132" s="306">
        <v>0</v>
      </c>
      <c r="K132" s="306"/>
      <c r="L132" s="306"/>
      <c r="M132" s="306"/>
      <c r="N132" s="388"/>
      <c r="O132" s="281"/>
      <c r="P132" s="281"/>
      <c r="Q132" s="281"/>
      <c r="R132" s="281"/>
      <c r="S132" s="281"/>
      <c r="T132" s="281"/>
      <c r="U132" s="281"/>
      <c r="V132" s="281"/>
      <c r="W132" s="281"/>
      <c r="X132" s="281"/>
      <c r="Y132" s="281"/>
      <c r="Z132" s="281"/>
      <c r="AA132" s="281"/>
      <c r="AB132" s="281"/>
      <c r="AC132" s="281"/>
      <c r="AD132" s="281"/>
      <c r="AE132" s="281"/>
    </row>
    <row r="133" spans="2:31" ht="15">
      <c r="B133" s="386">
        <f t="shared" si="5"/>
        <v>88</v>
      </c>
      <c r="C133" s="394" t="str" cm="1">
        <f t="array" aca="1" ref="C133" ca="1">IF(B133&lt;=$C$9,GetGetCDSName(B133),"")</f>
        <v>CDS Name - Issuer 88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3" s="354">
        <v>0</v>
      </c>
      <c r="E133" s="387">
        <v>0</v>
      </c>
      <c r="F133" s="306">
        <v>0</v>
      </c>
      <c r="G133" s="306">
        <v>1</v>
      </c>
      <c r="H133" s="306">
        <v>1</v>
      </c>
      <c r="I133" s="306">
        <v>1</v>
      </c>
      <c r="J133" s="306">
        <v>0</v>
      </c>
      <c r="K133" s="306"/>
      <c r="L133" s="306"/>
      <c r="M133" s="306"/>
      <c r="N133" s="388"/>
      <c r="O133" s="281"/>
      <c r="P133" s="281"/>
      <c r="Q133" s="281"/>
      <c r="R133" s="281"/>
      <c r="S133" s="281"/>
      <c r="T133" s="281"/>
      <c r="U133" s="281"/>
      <c r="V133" s="281"/>
      <c r="W133" s="281"/>
      <c r="X133" s="281"/>
      <c r="Y133" s="281"/>
      <c r="Z133" s="281"/>
      <c r="AA133" s="281"/>
      <c r="AB133" s="281"/>
      <c r="AC133" s="281"/>
      <c r="AD133" s="281"/>
      <c r="AE133" s="281"/>
    </row>
    <row r="134" spans="2:31" ht="15">
      <c r="B134" s="386">
        <f t="shared" si="5"/>
        <v>89</v>
      </c>
      <c r="C134" s="394" t="str" cm="1">
        <f t="array" aca="1" ref="C134" ca="1">IF(B134&lt;=$C$9,GetGetCDSName(B134),"")</f>
        <v>CDS Name - Issuer 89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4" s="354">
        <v>0</v>
      </c>
      <c r="E134" s="387">
        <v>0</v>
      </c>
      <c r="F134" s="306">
        <v>0</v>
      </c>
      <c r="G134" s="306">
        <v>0</v>
      </c>
      <c r="H134" s="306">
        <v>1</v>
      </c>
      <c r="I134" s="306">
        <v>1</v>
      </c>
      <c r="J134" s="306">
        <v>0</v>
      </c>
      <c r="K134" s="306"/>
      <c r="L134" s="306"/>
      <c r="M134" s="306"/>
      <c r="N134" s="388"/>
      <c r="O134" s="281"/>
      <c r="P134" s="281"/>
      <c r="Q134" s="281"/>
      <c r="R134" s="281"/>
      <c r="S134" s="281"/>
      <c r="T134" s="281"/>
      <c r="U134" s="281"/>
      <c r="V134" s="281"/>
      <c r="W134" s="281"/>
      <c r="X134" s="281"/>
      <c r="Y134" s="281"/>
      <c r="Z134" s="281"/>
      <c r="AA134" s="281"/>
      <c r="AB134" s="281"/>
      <c r="AC134" s="281"/>
      <c r="AD134" s="281"/>
      <c r="AE134" s="281"/>
    </row>
    <row r="135" spans="2:31" ht="15">
      <c r="B135" s="386">
        <f t="shared" si="5"/>
        <v>90</v>
      </c>
      <c r="C135" s="394" t="str" cm="1">
        <f t="array" aca="1" ref="C135" ca="1">IF(B135&lt;=$C$9,GetGetCDSName(B135),"")</f>
        <v>CDS Name - Issuer 90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5" s="354">
        <v>0</v>
      </c>
      <c r="E135" s="387">
        <v>0</v>
      </c>
      <c r="F135" s="306">
        <v>1</v>
      </c>
      <c r="G135" s="306">
        <v>0</v>
      </c>
      <c r="H135" s="306">
        <v>1</v>
      </c>
      <c r="I135" s="306">
        <v>0</v>
      </c>
      <c r="J135" s="306">
        <v>0</v>
      </c>
      <c r="K135" s="306"/>
      <c r="L135" s="306"/>
      <c r="M135" s="306"/>
      <c r="N135" s="388"/>
      <c r="O135" s="281"/>
      <c r="P135" s="281"/>
      <c r="Q135" s="281"/>
      <c r="R135" s="281"/>
      <c r="S135" s="281"/>
      <c r="T135" s="281"/>
      <c r="U135" s="281"/>
      <c r="V135" s="281"/>
      <c r="W135" s="281"/>
      <c r="X135" s="281"/>
      <c r="Y135" s="281"/>
      <c r="Z135" s="281"/>
      <c r="AA135" s="281"/>
      <c r="AB135" s="281"/>
      <c r="AC135" s="281"/>
      <c r="AD135" s="281"/>
      <c r="AE135" s="281"/>
    </row>
    <row r="136" spans="2:31" ht="15">
      <c r="B136" s="386">
        <f t="shared" si="5"/>
        <v>91</v>
      </c>
      <c r="C136" s="394" t="str" cm="1">
        <f t="array" aca="1" ref="C136" ca="1">IF(B136&lt;=$C$9,GetGetCDSName(B136),"")</f>
        <v>CDS Name - Issuer 91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6" s="354">
        <v>0</v>
      </c>
      <c r="E136" s="387">
        <v>0</v>
      </c>
      <c r="F136" s="306">
        <v>1</v>
      </c>
      <c r="G136" s="306">
        <v>1</v>
      </c>
      <c r="H136" s="306">
        <v>0</v>
      </c>
      <c r="I136" s="306">
        <v>0</v>
      </c>
      <c r="J136" s="306">
        <v>1</v>
      </c>
      <c r="K136" s="306"/>
      <c r="L136" s="306"/>
      <c r="M136" s="306"/>
      <c r="N136" s="388"/>
      <c r="O136" s="281"/>
      <c r="P136" s="281"/>
      <c r="Q136" s="281"/>
      <c r="R136" s="281"/>
      <c r="S136" s="281"/>
      <c r="T136" s="281"/>
      <c r="U136" s="281"/>
      <c r="V136" s="281"/>
      <c r="W136" s="281"/>
      <c r="X136" s="281"/>
      <c r="Y136" s="281"/>
      <c r="Z136" s="281"/>
      <c r="AA136" s="281"/>
      <c r="AB136" s="281"/>
      <c r="AC136" s="281"/>
      <c r="AD136" s="281"/>
      <c r="AE136" s="281"/>
    </row>
    <row r="137" spans="2:31" ht="15">
      <c r="B137" s="386">
        <f t="shared" si="5"/>
        <v>92</v>
      </c>
      <c r="C137" s="394" t="str" cm="1">
        <f t="array" aca="1" ref="C137" ca="1">IF(B137&lt;=$C$9,GetGetCDSName(B137),"")</f>
        <v>CDS Name - Issuer 92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7" s="354">
        <v>0</v>
      </c>
      <c r="E137" s="387">
        <v>0</v>
      </c>
      <c r="F137" s="306">
        <v>1</v>
      </c>
      <c r="G137" s="306">
        <v>0</v>
      </c>
      <c r="H137" s="306">
        <v>0</v>
      </c>
      <c r="I137" s="306">
        <v>1</v>
      </c>
      <c r="J137" s="306">
        <v>1</v>
      </c>
      <c r="K137" s="306"/>
      <c r="L137" s="306"/>
      <c r="M137" s="306"/>
      <c r="N137" s="388"/>
      <c r="O137" s="281"/>
      <c r="P137" s="281"/>
      <c r="Q137" s="281"/>
      <c r="R137" s="281"/>
      <c r="S137" s="281"/>
      <c r="T137" s="281"/>
      <c r="U137" s="281"/>
      <c r="V137" s="281"/>
      <c r="W137" s="281"/>
      <c r="X137" s="281"/>
      <c r="Y137" s="281"/>
      <c r="Z137" s="281"/>
      <c r="AA137" s="281"/>
      <c r="AB137" s="281"/>
      <c r="AC137" s="281"/>
      <c r="AD137" s="281"/>
      <c r="AE137" s="281"/>
    </row>
    <row r="138" spans="2:31" ht="15">
      <c r="B138" s="386">
        <f t="shared" si="5"/>
        <v>93</v>
      </c>
      <c r="C138" s="394" t="str" cm="1">
        <f t="array" aca="1" ref="C138" ca="1">IF(B138&lt;=$C$9,GetGetCDSName(B138),"")</f>
        <v>CDS Name - Issuer 93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8" s="354">
        <v>0</v>
      </c>
      <c r="E138" s="387">
        <v>1</v>
      </c>
      <c r="F138" s="306">
        <v>1</v>
      </c>
      <c r="G138" s="306">
        <v>0</v>
      </c>
      <c r="H138" s="306">
        <v>0</v>
      </c>
      <c r="I138" s="306">
        <v>1</v>
      </c>
      <c r="J138" s="306">
        <v>0</v>
      </c>
      <c r="K138" s="306"/>
      <c r="L138" s="306"/>
      <c r="M138" s="306"/>
      <c r="N138" s="388"/>
      <c r="O138" s="281"/>
      <c r="P138" s="281"/>
      <c r="Q138" s="281"/>
      <c r="R138" s="281"/>
      <c r="S138" s="281"/>
      <c r="T138" s="281"/>
      <c r="U138" s="281"/>
      <c r="V138" s="281"/>
      <c r="W138" s="281"/>
      <c r="X138" s="281"/>
      <c r="Y138" s="281"/>
      <c r="Z138" s="281"/>
      <c r="AA138" s="281"/>
      <c r="AB138" s="281"/>
      <c r="AC138" s="281"/>
      <c r="AD138" s="281"/>
      <c r="AE138" s="281"/>
    </row>
    <row r="139" spans="2:31" ht="15">
      <c r="B139" s="386">
        <f t="shared" si="5"/>
        <v>94</v>
      </c>
      <c r="C139" s="394" t="str" cm="1">
        <f t="array" aca="1" ref="C139" ca="1">IF(B139&lt;=$C$9,GetGetCDSName(B139),"")</f>
        <v>CDS Name - Issuer 94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39" s="354">
        <v>0</v>
      </c>
      <c r="E139" s="387">
        <v>1</v>
      </c>
      <c r="F139" s="306">
        <v>0</v>
      </c>
      <c r="G139" s="306">
        <v>0</v>
      </c>
      <c r="H139" s="306">
        <v>0</v>
      </c>
      <c r="I139" s="306">
        <v>1</v>
      </c>
      <c r="J139" s="306">
        <v>0</v>
      </c>
      <c r="K139" s="306"/>
      <c r="L139" s="306"/>
      <c r="M139" s="306"/>
      <c r="N139" s="388"/>
      <c r="O139" s="281"/>
      <c r="P139" s="281"/>
      <c r="Q139" s="281"/>
      <c r="R139" s="281"/>
      <c r="S139" s="281"/>
      <c r="T139" s="281"/>
      <c r="U139" s="281"/>
      <c r="V139" s="281"/>
      <c r="W139" s="281"/>
      <c r="X139" s="281"/>
      <c r="Y139" s="281"/>
      <c r="Z139" s="281"/>
      <c r="AA139" s="281"/>
      <c r="AB139" s="281"/>
      <c r="AC139" s="281"/>
      <c r="AD139" s="281"/>
      <c r="AE139" s="281"/>
    </row>
    <row r="140" spans="2:31" ht="15">
      <c r="B140" s="386">
        <f t="shared" si="5"/>
        <v>95</v>
      </c>
      <c r="C140" s="394" t="str" cm="1">
        <f t="array" aca="1" ref="C140" ca="1">IF(B140&lt;=$C$9,GetGetCDSName(B140),"")</f>
        <v>CDS Name - Issuer 95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0" s="354">
        <v>0</v>
      </c>
      <c r="E140" s="387">
        <v>1</v>
      </c>
      <c r="F140" s="306">
        <v>1</v>
      </c>
      <c r="G140" s="306">
        <v>0</v>
      </c>
      <c r="H140" s="306">
        <v>0</v>
      </c>
      <c r="I140" s="306">
        <v>1</v>
      </c>
      <c r="J140" s="306">
        <v>0</v>
      </c>
      <c r="K140" s="306"/>
      <c r="L140" s="306"/>
      <c r="M140" s="306"/>
      <c r="N140" s="388"/>
      <c r="O140" s="281"/>
      <c r="P140" s="281"/>
      <c r="Q140" s="281"/>
      <c r="R140" s="281"/>
      <c r="S140" s="281"/>
      <c r="T140" s="281"/>
      <c r="U140" s="281"/>
      <c r="V140" s="281"/>
      <c r="W140" s="281"/>
      <c r="X140" s="281"/>
      <c r="Y140" s="281"/>
      <c r="Z140" s="281"/>
      <c r="AA140" s="281"/>
      <c r="AB140" s="281"/>
      <c r="AC140" s="281"/>
      <c r="AD140" s="281"/>
      <c r="AE140" s="281"/>
    </row>
    <row r="141" spans="2:31" ht="15">
      <c r="B141" s="386">
        <f t="shared" si="5"/>
        <v>96</v>
      </c>
      <c r="C141" s="394" t="str" cm="1">
        <f t="array" aca="1" ref="C141" ca="1">IF(B141&lt;=$C$9,GetGetCDSName(B141),"")</f>
        <v>CDS Name - Issuer 96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1" s="354">
        <v>0</v>
      </c>
      <c r="E141" s="387">
        <v>0</v>
      </c>
      <c r="F141" s="306">
        <v>0</v>
      </c>
      <c r="G141" s="306">
        <v>0</v>
      </c>
      <c r="H141" s="306">
        <v>0</v>
      </c>
      <c r="I141" s="306">
        <v>0</v>
      </c>
      <c r="J141" s="306">
        <v>1</v>
      </c>
      <c r="K141" s="306"/>
      <c r="L141" s="306"/>
      <c r="M141" s="306"/>
      <c r="N141" s="388"/>
      <c r="O141" s="281"/>
      <c r="P141" s="281"/>
      <c r="Q141" s="281"/>
      <c r="R141" s="281"/>
      <c r="S141" s="281"/>
      <c r="T141" s="281"/>
      <c r="U141" s="281"/>
      <c r="V141" s="281"/>
      <c r="W141" s="281"/>
      <c r="X141" s="281"/>
      <c r="Y141" s="281"/>
      <c r="Z141" s="281"/>
      <c r="AA141" s="281"/>
      <c r="AB141" s="281"/>
      <c r="AC141" s="281"/>
      <c r="AD141" s="281"/>
      <c r="AE141" s="281"/>
    </row>
    <row r="142" spans="2:31" ht="15">
      <c r="B142" s="386">
        <f t="shared" si="5"/>
        <v>97</v>
      </c>
      <c r="C142" s="394" t="str" cm="1">
        <f t="array" aca="1" ref="C142" ca="1">IF(B142&lt;=$C$9,GetGetCDSName(B142),"")</f>
        <v>CDS Name - Issuer 97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2" s="354">
        <v>0</v>
      </c>
      <c r="E142" s="387">
        <v>1</v>
      </c>
      <c r="F142" s="306">
        <v>0</v>
      </c>
      <c r="G142" s="306">
        <v>0</v>
      </c>
      <c r="H142" s="306">
        <v>0</v>
      </c>
      <c r="I142" s="306">
        <v>0</v>
      </c>
      <c r="J142" s="306">
        <v>0</v>
      </c>
      <c r="K142" s="306"/>
      <c r="L142" s="306"/>
      <c r="M142" s="306"/>
      <c r="N142" s="388"/>
      <c r="O142" s="281"/>
      <c r="P142" s="281"/>
      <c r="Q142" s="281"/>
      <c r="R142" s="281"/>
      <c r="S142" s="281"/>
      <c r="T142" s="281"/>
      <c r="U142" s="281"/>
      <c r="V142" s="281"/>
      <c r="W142" s="281"/>
      <c r="X142" s="281"/>
      <c r="Y142" s="281"/>
      <c r="Z142" s="281"/>
      <c r="AA142" s="281"/>
      <c r="AB142" s="281"/>
      <c r="AC142" s="281"/>
      <c r="AD142" s="281"/>
      <c r="AE142" s="281"/>
    </row>
    <row r="143" spans="2:31" ht="15">
      <c r="B143" s="386">
        <f t="shared" si="5"/>
        <v>98</v>
      </c>
      <c r="C143" s="394" t="str" cm="1">
        <f t="array" aca="1" ref="C143" ca="1">IF(B143&lt;=$C$9,GetGetCDSName(B143),"")</f>
        <v>CDS Name - Issuer 98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3" s="354">
        <v>0</v>
      </c>
      <c r="E143" s="387">
        <v>0</v>
      </c>
      <c r="F143" s="306">
        <v>0</v>
      </c>
      <c r="G143" s="306">
        <v>1</v>
      </c>
      <c r="H143" s="306">
        <v>0</v>
      </c>
      <c r="I143" s="306">
        <v>0</v>
      </c>
      <c r="J143" s="306">
        <v>0</v>
      </c>
      <c r="K143" s="306"/>
      <c r="L143" s="306"/>
      <c r="M143" s="306"/>
      <c r="N143" s="388"/>
      <c r="O143" s="281"/>
      <c r="P143" s="281"/>
      <c r="Q143" s="281"/>
      <c r="R143" s="281"/>
      <c r="S143" s="281"/>
      <c r="T143" s="281"/>
      <c r="U143" s="281"/>
      <c r="V143" s="281"/>
      <c r="W143" s="281"/>
      <c r="X143" s="281"/>
      <c r="Y143" s="281"/>
      <c r="Z143" s="281"/>
      <c r="AA143" s="281"/>
      <c r="AB143" s="281"/>
      <c r="AC143" s="281"/>
      <c r="AD143" s="281"/>
      <c r="AE143" s="281"/>
    </row>
    <row r="144" spans="2:31" ht="15">
      <c r="B144" s="386">
        <f t="shared" si="5"/>
        <v>99</v>
      </c>
      <c r="C144" s="394" t="str" cm="1">
        <f t="array" aca="1" ref="C144" ca="1">IF(B144&lt;=$C$9,GetGetCDSName(B144),"")</f>
        <v>CDS Name - Issuer 99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4" s="354">
        <v>0</v>
      </c>
      <c r="E144" s="387">
        <v>0</v>
      </c>
      <c r="F144" s="306">
        <v>0</v>
      </c>
      <c r="G144" s="306">
        <v>0</v>
      </c>
      <c r="H144" s="306">
        <v>0</v>
      </c>
      <c r="I144" s="306">
        <v>1</v>
      </c>
      <c r="J144" s="306">
        <v>0</v>
      </c>
      <c r="K144" s="306"/>
      <c r="L144" s="306"/>
      <c r="M144" s="306"/>
      <c r="N144" s="388"/>
      <c r="O144" s="281"/>
      <c r="P144" s="281"/>
      <c r="Q144" s="281"/>
      <c r="R144" s="281"/>
      <c r="S144" s="281"/>
      <c r="T144" s="281"/>
      <c r="U144" s="281"/>
      <c r="V144" s="281"/>
      <c r="W144" s="281"/>
      <c r="X144" s="281"/>
      <c r="Y144" s="281"/>
      <c r="Z144" s="281"/>
      <c r="AA144" s="281"/>
      <c r="AB144" s="281"/>
      <c r="AC144" s="281"/>
      <c r="AD144" s="281"/>
      <c r="AE144" s="281"/>
    </row>
    <row r="145" spans="2:31" ht="15">
      <c r="B145" s="386">
        <f t="shared" si="5"/>
        <v>100</v>
      </c>
      <c r="C145" s="394" t="str" cm="1">
        <f t="array" aca="1" ref="C145" ca="1">IF(B145&lt;=$C$9,GetGetCDSName(B145),"")</f>
        <v>CDS Name - Issuer 100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5" s="354">
        <v>0</v>
      </c>
      <c r="E145" s="387">
        <v>0</v>
      </c>
      <c r="F145" s="306">
        <v>0</v>
      </c>
      <c r="G145" s="306">
        <v>1</v>
      </c>
      <c r="H145" s="306">
        <v>0</v>
      </c>
      <c r="I145" s="306">
        <v>1</v>
      </c>
      <c r="J145" s="306">
        <v>1</v>
      </c>
      <c r="K145" s="306"/>
      <c r="L145" s="306"/>
      <c r="M145" s="306"/>
      <c r="N145" s="388"/>
      <c r="O145" s="281"/>
      <c r="P145" s="281"/>
      <c r="Q145" s="281"/>
      <c r="R145" s="281"/>
      <c r="S145" s="281"/>
      <c r="T145" s="281"/>
      <c r="U145" s="281"/>
      <c r="V145" s="281"/>
      <c r="W145" s="281"/>
      <c r="X145" s="281"/>
      <c r="Y145" s="281"/>
      <c r="Z145" s="281"/>
      <c r="AA145" s="281"/>
      <c r="AB145" s="281"/>
      <c r="AC145" s="281"/>
      <c r="AD145" s="281"/>
      <c r="AE145" s="281"/>
    </row>
    <row r="146" spans="2:31" ht="15">
      <c r="B146" s="386">
        <f t="shared" si="5"/>
        <v>101</v>
      </c>
      <c r="C146" s="394" t="str" cm="1">
        <f t="array" aca="1" ref="C146" ca="1">IF(B146&lt;=$C$9,GetGetCDSName(B146),"")</f>
        <v>CDS Name - Issuer 101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6" s="354">
        <v>0</v>
      </c>
      <c r="E146" s="387">
        <v>0</v>
      </c>
      <c r="F146" s="306">
        <v>1</v>
      </c>
      <c r="G146" s="306">
        <v>1</v>
      </c>
      <c r="H146" s="306">
        <v>0</v>
      </c>
      <c r="I146" s="306">
        <v>0</v>
      </c>
      <c r="J146" s="306">
        <v>0</v>
      </c>
      <c r="K146" s="306"/>
      <c r="L146" s="306"/>
      <c r="M146" s="306"/>
      <c r="N146" s="388"/>
      <c r="O146" s="281"/>
      <c r="P146" s="281"/>
      <c r="Q146" s="281"/>
      <c r="R146" s="281"/>
      <c r="S146" s="281"/>
      <c r="T146" s="281"/>
      <c r="U146" s="281"/>
      <c r="V146" s="281"/>
      <c r="W146" s="281"/>
      <c r="X146" s="281"/>
      <c r="Y146" s="281"/>
      <c r="Z146" s="281"/>
      <c r="AA146" s="281"/>
      <c r="AB146" s="281"/>
      <c r="AC146" s="281"/>
      <c r="AD146" s="281"/>
      <c r="AE146" s="281"/>
    </row>
    <row r="147" spans="2:31" ht="15">
      <c r="B147" s="386">
        <f t="shared" si="5"/>
        <v>102</v>
      </c>
      <c r="C147" s="394" t="str" cm="1">
        <f t="array" aca="1" ref="C147" ca="1">IF(B147&lt;=$C$9,GetGetCDSName(B147),"")</f>
        <v>CDS Name - Issuer 102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7" s="354">
        <v>0</v>
      </c>
      <c r="E147" s="387">
        <v>1</v>
      </c>
      <c r="F147" s="306">
        <v>1</v>
      </c>
      <c r="G147" s="306">
        <v>0</v>
      </c>
      <c r="H147" s="306">
        <v>0</v>
      </c>
      <c r="I147" s="306">
        <v>0</v>
      </c>
      <c r="J147" s="306">
        <v>0</v>
      </c>
      <c r="K147" s="306"/>
      <c r="L147" s="306"/>
      <c r="M147" s="306"/>
      <c r="N147" s="388"/>
      <c r="O147" s="281"/>
      <c r="P147" s="281"/>
      <c r="Q147" s="281"/>
      <c r="R147" s="281"/>
      <c r="S147" s="281"/>
      <c r="T147" s="281"/>
      <c r="U147" s="281"/>
      <c r="V147" s="281"/>
      <c r="W147" s="281"/>
      <c r="X147" s="281"/>
      <c r="Y147" s="281"/>
      <c r="Z147" s="281"/>
      <c r="AA147" s="281"/>
      <c r="AB147" s="281"/>
      <c r="AC147" s="281"/>
      <c r="AD147" s="281"/>
      <c r="AE147" s="281"/>
    </row>
    <row r="148" spans="2:31" ht="15">
      <c r="B148" s="386">
        <f t="shared" si="5"/>
        <v>103</v>
      </c>
      <c r="C148" s="394" t="str" cm="1">
        <f t="array" aca="1" ref="C148" ca="1">IF(B148&lt;=$C$9,GetGetCDSName(B148),"")</f>
        <v>CDS Name - Issuer 103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8" s="354">
        <v>0</v>
      </c>
      <c r="E148" s="387">
        <v>0</v>
      </c>
      <c r="F148" s="306">
        <v>0</v>
      </c>
      <c r="G148" s="306">
        <v>0</v>
      </c>
      <c r="H148" s="306">
        <v>1</v>
      </c>
      <c r="I148" s="306">
        <v>0</v>
      </c>
      <c r="J148" s="306">
        <v>0</v>
      </c>
      <c r="K148" s="306"/>
      <c r="L148" s="306"/>
      <c r="M148" s="306"/>
      <c r="N148" s="388"/>
      <c r="O148" s="281"/>
      <c r="P148" s="281"/>
      <c r="Q148" s="281"/>
      <c r="R148" s="281"/>
      <c r="S148" s="281"/>
      <c r="T148" s="281"/>
      <c r="U148" s="281"/>
      <c r="V148" s="281"/>
      <c r="W148" s="281"/>
      <c r="X148" s="281"/>
      <c r="Y148" s="281"/>
      <c r="Z148" s="281"/>
      <c r="AA148" s="281"/>
      <c r="AB148" s="281"/>
      <c r="AC148" s="281"/>
      <c r="AD148" s="281"/>
      <c r="AE148" s="281"/>
    </row>
    <row r="149" spans="2:31" ht="15">
      <c r="B149" s="386">
        <f t="shared" si="5"/>
        <v>104</v>
      </c>
      <c r="C149" s="394" t="str" cm="1">
        <f t="array" aca="1" ref="C149" ca="1">IF(B149&lt;=$C$9,GetGetCDSName(B149),"")</f>
        <v>CDS Name - Issuer 104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49" s="354">
        <v>0</v>
      </c>
      <c r="E149" s="387">
        <v>0</v>
      </c>
      <c r="F149" s="306">
        <v>0</v>
      </c>
      <c r="G149" s="306">
        <v>0</v>
      </c>
      <c r="H149" s="306">
        <v>0</v>
      </c>
      <c r="I149" s="306">
        <v>0</v>
      </c>
      <c r="J149" s="306">
        <v>1</v>
      </c>
      <c r="K149" s="306"/>
      <c r="L149" s="306"/>
      <c r="M149" s="306"/>
      <c r="N149" s="388"/>
      <c r="O149" s="281"/>
      <c r="P149" s="281"/>
      <c r="Q149" s="281"/>
      <c r="R149" s="281"/>
      <c r="S149" s="281"/>
      <c r="T149" s="281"/>
      <c r="U149" s="281"/>
      <c r="V149" s="281"/>
      <c r="W149" s="281"/>
      <c r="X149" s="281"/>
      <c r="Y149" s="281"/>
      <c r="Z149" s="281"/>
      <c r="AA149" s="281"/>
      <c r="AB149" s="281"/>
      <c r="AC149" s="281"/>
      <c r="AD149" s="281"/>
      <c r="AE149" s="281"/>
    </row>
    <row r="150" spans="2:31" ht="15">
      <c r="B150" s="386">
        <f t="shared" si="5"/>
        <v>105</v>
      </c>
      <c r="C150" s="394" t="str" cm="1">
        <f t="array" aca="1" ref="C150" ca="1">IF(B150&lt;=$C$9,GetGetCDSName(B150),"")</f>
        <v>CDS Name - Issuer 105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0" s="354">
        <v>0</v>
      </c>
      <c r="E150" s="387">
        <v>0</v>
      </c>
      <c r="F150" s="306">
        <v>1</v>
      </c>
      <c r="G150" s="306">
        <v>0</v>
      </c>
      <c r="H150" s="306">
        <v>1</v>
      </c>
      <c r="I150" s="306">
        <v>1</v>
      </c>
      <c r="J150" s="306">
        <v>0</v>
      </c>
      <c r="K150" s="306"/>
      <c r="L150" s="306"/>
      <c r="M150" s="306"/>
      <c r="N150" s="388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281"/>
      <c r="AA150" s="281"/>
      <c r="AB150" s="281"/>
      <c r="AC150" s="281"/>
      <c r="AD150" s="281"/>
      <c r="AE150" s="281"/>
    </row>
    <row r="151" spans="2:31" ht="15">
      <c r="B151" s="386">
        <f t="shared" si="5"/>
        <v>106</v>
      </c>
      <c r="C151" s="394" t="str" cm="1">
        <f t="array" aca="1" ref="C151" ca="1">IF(B151&lt;=$C$9,GetGetCDSName(B151),"")</f>
        <v>CDS Name - Issuer 106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1" s="354">
        <v>0</v>
      </c>
      <c r="E151" s="387">
        <v>0</v>
      </c>
      <c r="F151" s="306">
        <v>0</v>
      </c>
      <c r="G151" s="306">
        <v>0</v>
      </c>
      <c r="H151" s="306">
        <v>0</v>
      </c>
      <c r="I151" s="306">
        <v>1</v>
      </c>
      <c r="J151" s="306">
        <v>0</v>
      </c>
      <c r="K151" s="306"/>
      <c r="L151" s="306"/>
      <c r="M151" s="306"/>
      <c r="N151" s="388"/>
      <c r="O151" s="281"/>
      <c r="P151" s="281"/>
      <c r="Q151" s="281"/>
      <c r="R151" s="281"/>
      <c r="S151" s="281"/>
      <c r="T151" s="281"/>
      <c r="U151" s="281"/>
      <c r="V151" s="281"/>
      <c r="W151" s="281"/>
      <c r="X151" s="281"/>
      <c r="Y151" s="281"/>
      <c r="Z151" s="281"/>
      <c r="AA151" s="281"/>
      <c r="AB151" s="281"/>
      <c r="AC151" s="281"/>
      <c r="AD151" s="281"/>
      <c r="AE151" s="281"/>
    </row>
    <row r="152" spans="2:31" ht="15">
      <c r="B152" s="386">
        <f t="shared" si="5"/>
        <v>107</v>
      </c>
      <c r="C152" s="394" t="str" cm="1">
        <f t="array" aca="1" ref="C152" ca="1">IF(B152&lt;=$C$9,GetGetCDSName(B152),"")</f>
        <v>CDS Name - Issuer 107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2" s="354">
        <v>0</v>
      </c>
      <c r="E152" s="387">
        <v>0</v>
      </c>
      <c r="F152" s="306">
        <v>0</v>
      </c>
      <c r="G152" s="306">
        <v>1</v>
      </c>
      <c r="H152" s="306">
        <v>0</v>
      </c>
      <c r="I152" s="306">
        <v>0</v>
      </c>
      <c r="J152" s="306">
        <v>0</v>
      </c>
      <c r="K152" s="306"/>
      <c r="L152" s="306"/>
      <c r="M152" s="306"/>
      <c r="N152" s="388"/>
      <c r="O152" s="281"/>
      <c r="P152" s="281"/>
      <c r="Q152" s="281"/>
      <c r="R152" s="281"/>
      <c r="S152" s="281"/>
      <c r="T152" s="281"/>
      <c r="U152" s="281"/>
      <c r="V152" s="281"/>
      <c r="W152" s="281"/>
      <c r="X152" s="281"/>
      <c r="Y152" s="281"/>
      <c r="Z152" s="281"/>
      <c r="AA152" s="281"/>
      <c r="AB152" s="281"/>
      <c r="AC152" s="281"/>
      <c r="AD152" s="281"/>
      <c r="AE152" s="281"/>
    </row>
    <row r="153" spans="2:31" ht="15">
      <c r="B153" s="386">
        <f t="shared" si="5"/>
        <v>108</v>
      </c>
      <c r="C153" s="394" t="str" cm="1">
        <f t="array" aca="1" ref="C153" ca="1">IF(B153&lt;=$C$9,GetGetCDSName(B153),"")</f>
        <v>CDS Name - Issuer 108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3" s="354">
        <v>0</v>
      </c>
      <c r="E153" s="387">
        <v>0</v>
      </c>
      <c r="F153" s="306">
        <v>0</v>
      </c>
      <c r="G153" s="306">
        <v>0</v>
      </c>
      <c r="H153" s="306">
        <v>1</v>
      </c>
      <c r="I153" s="306">
        <v>1</v>
      </c>
      <c r="J153" s="306">
        <v>1</v>
      </c>
      <c r="K153" s="306"/>
      <c r="L153" s="306"/>
      <c r="M153" s="306"/>
      <c r="N153" s="388"/>
      <c r="O153" s="281"/>
      <c r="P153" s="281"/>
      <c r="Q153" s="281"/>
      <c r="R153" s="281"/>
      <c r="S153" s="281"/>
      <c r="T153" s="281"/>
      <c r="U153" s="281"/>
      <c r="V153" s="281"/>
      <c r="W153" s="281"/>
      <c r="X153" s="281"/>
      <c r="Y153" s="281"/>
      <c r="Z153" s="281"/>
      <c r="AA153" s="281"/>
      <c r="AB153" s="281"/>
      <c r="AC153" s="281"/>
      <c r="AD153" s="281"/>
      <c r="AE153" s="281"/>
    </row>
    <row r="154" spans="2:31" ht="15">
      <c r="B154" s="386">
        <f t="shared" si="5"/>
        <v>109</v>
      </c>
      <c r="C154" s="394" t="str" cm="1">
        <f t="array" aca="1" ref="C154" ca="1">IF(B154&lt;=$C$9,GetGetCDSName(B154),"")</f>
        <v>CDS Name - Issuer 109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4" s="354">
        <v>0</v>
      </c>
      <c r="E154" s="387">
        <v>1</v>
      </c>
      <c r="F154" s="306">
        <v>0</v>
      </c>
      <c r="G154" s="306">
        <v>0</v>
      </c>
      <c r="H154" s="306">
        <v>0</v>
      </c>
      <c r="I154" s="306">
        <v>0</v>
      </c>
      <c r="J154" s="306">
        <v>0</v>
      </c>
      <c r="K154" s="306"/>
      <c r="L154" s="306"/>
      <c r="M154" s="306"/>
      <c r="N154" s="388"/>
      <c r="O154" s="281"/>
      <c r="P154" s="281"/>
      <c r="Q154" s="281"/>
      <c r="R154" s="281"/>
      <c r="S154" s="281"/>
      <c r="T154" s="281"/>
      <c r="U154" s="281"/>
      <c r="V154" s="281"/>
      <c r="W154" s="281"/>
      <c r="X154" s="281"/>
      <c r="Y154" s="281"/>
      <c r="Z154" s="281"/>
      <c r="AA154" s="281"/>
      <c r="AB154" s="281"/>
      <c r="AC154" s="281"/>
      <c r="AD154" s="281"/>
      <c r="AE154" s="281"/>
    </row>
    <row r="155" spans="2:31" ht="15">
      <c r="B155" s="386">
        <f t="shared" si="5"/>
        <v>110</v>
      </c>
      <c r="C155" s="394" t="str" cm="1">
        <f t="array" aca="1" ref="C155" ca="1">IF(B155&lt;=$C$9,GetGetCDSName(B155),"")</f>
        <v>CDS Name - Issuer 110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5" s="354">
        <v>0</v>
      </c>
      <c r="E155" s="387">
        <v>1</v>
      </c>
      <c r="F155" s="306">
        <v>0</v>
      </c>
      <c r="G155" s="306">
        <v>0</v>
      </c>
      <c r="H155" s="306">
        <v>1</v>
      </c>
      <c r="I155" s="306">
        <v>1</v>
      </c>
      <c r="J155" s="306">
        <v>0</v>
      </c>
      <c r="K155" s="306"/>
      <c r="L155" s="306"/>
      <c r="M155" s="306"/>
      <c r="N155" s="388"/>
      <c r="O155" s="281"/>
      <c r="P155" s="281"/>
      <c r="Q155" s="281"/>
      <c r="R155" s="281"/>
      <c r="S155" s="281"/>
      <c r="T155" s="281"/>
      <c r="U155" s="281"/>
      <c r="V155" s="281"/>
      <c r="W155" s="281"/>
      <c r="X155" s="281"/>
      <c r="Y155" s="281"/>
      <c r="Z155" s="281"/>
      <c r="AA155" s="281"/>
      <c r="AB155" s="281"/>
      <c r="AC155" s="281"/>
      <c r="AD155" s="281"/>
      <c r="AE155" s="281"/>
    </row>
    <row r="156" spans="2:31" ht="15">
      <c r="B156" s="386">
        <f t="shared" si="5"/>
        <v>111</v>
      </c>
      <c r="C156" s="394" t="str" cm="1">
        <f t="array" aca="1" ref="C156" ca="1">IF(B156&lt;=$C$9,GetGetCDSName(B156),"")</f>
        <v>CDS Name - Issuer 111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6" s="354">
        <v>0</v>
      </c>
      <c r="E156" s="387">
        <v>0</v>
      </c>
      <c r="F156" s="306">
        <v>0</v>
      </c>
      <c r="G156" s="306">
        <v>0</v>
      </c>
      <c r="H156" s="306">
        <v>0</v>
      </c>
      <c r="I156" s="306">
        <v>1</v>
      </c>
      <c r="J156" s="306">
        <v>1</v>
      </c>
      <c r="K156" s="306"/>
      <c r="L156" s="306"/>
      <c r="M156" s="306"/>
      <c r="N156" s="388"/>
      <c r="O156" s="281"/>
      <c r="P156" s="281"/>
      <c r="Q156" s="281"/>
      <c r="R156" s="281"/>
      <c r="S156" s="281"/>
      <c r="T156" s="281"/>
      <c r="U156" s="281"/>
      <c r="V156" s="281"/>
      <c r="W156" s="281"/>
      <c r="X156" s="281"/>
      <c r="Y156" s="281"/>
      <c r="Z156" s="281"/>
      <c r="AA156" s="281"/>
      <c r="AB156" s="281"/>
      <c r="AC156" s="281"/>
      <c r="AD156" s="281"/>
      <c r="AE156" s="281"/>
    </row>
    <row r="157" spans="2:31" ht="15">
      <c r="B157" s="386">
        <f t="shared" si="5"/>
        <v>112</v>
      </c>
      <c r="C157" s="394" t="str" cm="1">
        <f t="array" aca="1" ref="C157" ca="1">IF(B157&lt;=$C$9,GetGetCDSName(B157),"")</f>
        <v>CDS Name - Issuer 112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7" s="354">
        <v>0</v>
      </c>
      <c r="E157" s="387">
        <v>0</v>
      </c>
      <c r="F157" s="306">
        <v>0</v>
      </c>
      <c r="G157" s="306">
        <v>1</v>
      </c>
      <c r="H157" s="306">
        <v>1</v>
      </c>
      <c r="I157" s="306">
        <v>0</v>
      </c>
      <c r="J157" s="306">
        <v>0</v>
      </c>
      <c r="K157" s="306"/>
      <c r="L157" s="306"/>
      <c r="M157" s="306"/>
      <c r="N157" s="388"/>
      <c r="O157" s="281"/>
      <c r="P157" s="281"/>
      <c r="Q157" s="281"/>
      <c r="R157" s="281"/>
      <c r="S157" s="281"/>
      <c r="T157" s="281"/>
      <c r="U157" s="281"/>
      <c r="V157" s="281"/>
      <c r="W157" s="281"/>
      <c r="X157" s="281"/>
      <c r="Y157" s="281"/>
      <c r="Z157" s="281"/>
      <c r="AA157" s="281"/>
      <c r="AB157" s="281"/>
      <c r="AC157" s="281"/>
      <c r="AD157" s="281"/>
      <c r="AE157" s="281"/>
    </row>
    <row r="158" spans="2:31" ht="15">
      <c r="B158" s="386">
        <f t="shared" si="5"/>
        <v>113</v>
      </c>
      <c r="C158" s="394" t="str" cm="1">
        <f t="array" aca="1" ref="C158" ca="1">IF(B158&lt;=$C$9,GetGetCDSName(B158),"")</f>
        <v>CDS Name - Issuer 113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8" s="354">
        <v>0</v>
      </c>
      <c r="E158" s="387">
        <v>0</v>
      </c>
      <c r="F158" s="306">
        <v>0</v>
      </c>
      <c r="G158" s="306">
        <v>0</v>
      </c>
      <c r="H158" s="306">
        <v>0</v>
      </c>
      <c r="I158" s="306">
        <v>0</v>
      </c>
      <c r="J158" s="306">
        <v>1</v>
      </c>
      <c r="K158" s="306"/>
      <c r="L158" s="306"/>
      <c r="M158" s="306"/>
      <c r="N158" s="388"/>
      <c r="O158" s="281"/>
      <c r="P158" s="281"/>
      <c r="Q158" s="281"/>
      <c r="R158" s="281"/>
      <c r="S158" s="281"/>
      <c r="T158" s="281"/>
      <c r="U158" s="281"/>
      <c r="V158" s="281"/>
      <c r="W158" s="281"/>
      <c r="X158" s="281"/>
      <c r="Y158" s="281"/>
      <c r="Z158" s="281"/>
      <c r="AA158" s="281"/>
      <c r="AB158" s="281"/>
      <c r="AC158" s="281"/>
      <c r="AD158" s="281"/>
      <c r="AE158" s="281"/>
    </row>
    <row r="159" spans="2:31" ht="15">
      <c r="B159" s="386">
        <f t="shared" si="5"/>
        <v>114</v>
      </c>
      <c r="C159" s="394" t="str" cm="1">
        <f t="array" aca="1" ref="C159" ca="1">IF(B159&lt;=$C$9,GetGetCDSName(B159),"")</f>
        <v>CDS Name - Issuer 114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59" s="354">
        <v>0</v>
      </c>
      <c r="E159" s="387">
        <v>0</v>
      </c>
      <c r="F159" s="306">
        <v>1</v>
      </c>
      <c r="G159" s="306">
        <v>0</v>
      </c>
      <c r="H159" s="306">
        <v>0</v>
      </c>
      <c r="I159" s="306">
        <v>0</v>
      </c>
      <c r="J159" s="306">
        <v>0</v>
      </c>
      <c r="K159" s="306"/>
      <c r="L159" s="306"/>
      <c r="M159" s="306"/>
      <c r="N159" s="388"/>
      <c r="O159" s="281"/>
      <c r="P159" s="281"/>
      <c r="Q159" s="281"/>
      <c r="R159" s="281"/>
      <c r="S159" s="281"/>
      <c r="T159" s="281"/>
      <c r="U159" s="281"/>
      <c r="V159" s="281"/>
      <c r="W159" s="281"/>
      <c r="X159" s="281"/>
      <c r="Y159" s="281"/>
      <c r="Z159" s="281"/>
      <c r="AA159" s="281"/>
      <c r="AB159" s="281"/>
      <c r="AC159" s="281"/>
      <c r="AD159" s="281"/>
      <c r="AE159" s="281"/>
    </row>
    <row r="160" spans="2:31" ht="15">
      <c r="B160" s="386">
        <f t="shared" si="5"/>
        <v>115</v>
      </c>
      <c r="C160" s="394" t="str" cm="1">
        <f t="array" aca="1" ref="C160" ca="1">IF(B160&lt;=$C$9,GetGetCDSName(B160),"")</f>
        <v>CDS Name - Issuer 115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0" s="354">
        <v>0</v>
      </c>
      <c r="E160" s="387">
        <v>0</v>
      </c>
      <c r="F160" s="306">
        <v>0</v>
      </c>
      <c r="G160" s="306">
        <v>1</v>
      </c>
      <c r="H160" s="306">
        <v>0</v>
      </c>
      <c r="I160" s="306">
        <v>0</v>
      </c>
      <c r="J160" s="306">
        <v>1</v>
      </c>
      <c r="K160" s="306"/>
      <c r="L160" s="306"/>
      <c r="M160" s="306"/>
      <c r="N160" s="388"/>
      <c r="O160" s="281"/>
      <c r="P160" s="281"/>
      <c r="Q160" s="281"/>
      <c r="R160" s="281"/>
      <c r="S160" s="281"/>
      <c r="T160" s="281"/>
      <c r="U160" s="281"/>
      <c r="V160" s="281"/>
      <c r="W160" s="281"/>
      <c r="X160" s="281"/>
      <c r="Y160" s="281"/>
      <c r="Z160" s="281"/>
      <c r="AA160" s="281"/>
      <c r="AB160" s="281"/>
      <c r="AC160" s="281"/>
      <c r="AD160" s="281"/>
      <c r="AE160" s="281"/>
    </row>
    <row r="161" spans="2:31" ht="15">
      <c r="B161" s="386">
        <f t="shared" si="5"/>
        <v>116</v>
      </c>
      <c r="C161" s="394" t="str" cm="1">
        <f t="array" aca="1" ref="C161" ca="1">IF(B161&lt;=$C$9,GetGetCDSName(B161),"")</f>
        <v>CDS Name - Issuer 116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1" s="354">
        <v>0</v>
      </c>
      <c r="E161" s="387">
        <v>0</v>
      </c>
      <c r="F161" s="306">
        <v>0</v>
      </c>
      <c r="G161" s="306">
        <v>0</v>
      </c>
      <c r="H161" s="306">
        <v>0</v>
      </c>
      <c r="I161" s="306">
        <v>0</v>
      </c>
      <c r="J161" s="306">
        <v>1</v>
      </c>
      <c r="K161" s="306"/>
      <c r="L161" s="306"/>
      <c r="M161" s="306"/>
      <c r="N161" s="388"/>
      <c r="O161" s="281"/>
      <c r="P161" s="281"/>
      <c r="Q161" s="281"/>
      <c r="R161" s="281"/>
      <c r="S161" s="281"/>
      <c r="T161" s="281"/>
      <c r="U161" s="281"/>
      <c r="V161" s="281"/>
      <c r="W161" s="281"/>
      <c r="X161" s="281"/>
      <c r="Y161" s="281"/>
      <c r="Z161" s="281"/>
      <c r="AA161" s="281"/>
      <c r="AB161" s="281"/>
      <c r="AC161" s="281"/>
      <c r="AD161" s="281"/>
      <c r="AE161" s="281"/>
    </row>
    <row r="162" spans="2:31" ht="15">
      <c r="B162" s="386">
        <f t="shared" si="5"/>
        <v>117</v>
      </c>
      <c r="C162" s="394" t="str" cm="1">
        <f t="array" aca="1" ref="C162" ca="1">IF(B162&lt;=$C$9,GetGetCDSName(B162),"")</f>
        <v>CDS Name - Issuer 117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2" s="354">
        <v>0</v>
      </c>
      <c r="E162" s="387">
        <v>0</v>
      </c>
      <c r="F162" s="306">
        <v>0</v>
      </c>
      <c r="G162" s="306">
        <v>1</v>
      </c>
      <c r="H162" s="306">
        <v>0</v>
      </c>
      <c r="I162" s="306">
        <v>1</v>
      </c>
      <c r="J162" s="306">
        <v>0</v>
      </c>
      <c r="K162" s="306"/>
      <c r="L162" s="306"/>
      <c r="M162" s="306"/>
      <c r="N162" s="388"/>
      <c r="O162" s="281"/>
      <c r="P162" s="281"/>
      <c r="Q162" s="281"/>
      <c r="R162" s="281"/>
      <c r="S162" s="281"/>
      <c r="T162" s="281"/>
      <c r="U162" s="281"/>
      <c r="V162" s="281"/>
      <c r="W162" s="281"/>
      <c r="X162" s="281"/>
      <c r="Y162" s="281"/>
      <c r="Z162" s="281"/>
      <c r="AA162" s="281"/>
      <c r="AB162" s="281"/>
      <c r="AC162" s="281"/>
      <c r="AD162" s="281"/>
      <c r="AE162" s="281"/>
    </row>
    <row r="163" spans="2:31" ht="15">
      <c r="B163" s="386">
        <f t="shared" si="5"/>
        <v>118</v>
      </c>
      <c r="C163" s="394" t="str" cm="1">
        <f t="array" aca="1" ref="C163" ca="1">IF(B163&lt;=$C$9,GetGetCDSName(B163),"")</f>
        <v>CDS Name - Issuer 118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3" s="354">
        <v>0</v>
      </c>
      <c r="E163" s="387">
        <v>0</v>
      </c>
      <c r="F163" s="306">
        <v>1</v>
      </c>
      <c r="G163" s="306">
        <v>0</v>
      </c>
      <c r="H163" s="306">
        <v>0</v>
      </c>
      <c r="I163" s="306">
        <v>0</v>
      </c>
      <c r="J163" s="306">
        <v>0</v>
      </c>
      <c r="K163" s="306"/>
      <c r="L163" s="306"/>
      <c r="M163" s="306"/>
      <c r="N163" s="388"/>
      <c r="O163" s="281"/>
      <c r="P163" s="281"/>
      <c r="Q163" s="281"/>
      <c r="R163" s="281"/>
      <c r="S163" s="281"/>
      <c r="T163" s="281"/>
      <c r="U163" s="281"/>
      <c r="V163" s="281"/>
      <c r="W163" s="281"/>
      <c r="X163" s="281"/>
      <c r="Y163" s="281"/>
      <c r="Z163" s="281"/>
      <c r="AA163" s="281"/>
      <c r="AB163" s="281"/>
      <c r="AC163" s="281"/>
      <c r="AD163" s="281"/>
      <c r="AE163" s="281"/>
    </row>
    <row r="164" spans="2:31" ht="15">
      <c r="B164" s="386">
        <f t="shared" si="5"/>
        <v>119</v>
      </c>
      <c r="C164" s="394" t="str" cm="1">
        <f t="array" aca="1" ref="C164" ca="1">IF(B164&lt;=$C$9,GetGetCDSName(B164),"")</f>
        <v>CDS Name - Issuer 119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4" s="354">
        <v>0</v>
      </c>
      <c r="E164" s="387">
        <v>0</v>
      </c>
      <c r="F164" s="306">
        <v>0</v>
      </c>
      <c r="G164" s="306">
        <v>1</v>
      </c>
      <c r="H164" s="306">
        <v>0</v>
      </c>
      <c r="I164" s="306">
        <v>0</v>
      </c>
      <c r="J164" s="306">
        <v>0</v>
      </c>
      <c r="K164" s="306"/>
      <c r="L164" s="306"/>
      <c r="M164" s="306"/>
      <c r="N164" s="388"/>
      <c r="O164" s="281"/>
      <c r="P164" s="281"/>
      <c r="Q164" s="281"/>
      <c r="R164" s="281"/>
      <c r="S164" s="281"/>
      <c r="T164" s="281"/>
      <c r="U164" s="281"/>
      <c r="V164" s="281"/>
      <c r="W164" s="281"/>
      <c r="X164" s="281"/>
      <c r="Y164" s="281"/>
      <c r="Z164" s="281"/>
      <c r="AA164" s="281"/>
      <c r="AB164" s="281"/>
      <c r="AC164" s="281"/>
      <c r="AD164" s="281"/>
      <c r="AE164" s="281"/>
    </row>
    <row r="165" spans="2:31" ht="15">
      <c r="B165" s="386">
        <f t="shared" si="5"/>
        <v>120</v>
      </c>
      <c r="C165" s="394" t="str" cm="1">
        <f t="array" aca="1" ref="C165" ca="1">IF(B165&lt;=$C$9,GetGetCDSName(B165),"")</f>
        <v>CDS Name - Issuer 120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5" s="354">
        <v>0</v>
      </c>
      <c r="E165" s="387">
        <v>1</v>
      </c>
      <c r="F165" s="306">
        <v>0</v>
      </c>
      <c r="G165" s="306">
        <v>0</v>
      </c>
      <c r="H165" s="306">
        <v>0</v>
      </c>
      <c r="I165" s="306">
        <v>0</v>
      </c>
      <c r="J165" s="306">
        <v>0</v>
      </c>
      <c r="K165" s="306"/>
      <c r="L165" s="306"/>
      <c r="M165" s="306"/>
      <c r="N165" s="388"/>
      <c r="O165" s="281"/>
      <c r="P165" s="281"/>
      <c r="Q165" s="281"/>
      <c r="R165" s="281"/>
      <c r="S165" s="281"/>
      <c r="T165" s="281"/>
      <c r="U165" s="281"/>
      <c r="V165" s="281"/>
      <c r="W165" s="281"/>
      <c r="X165" s="281"/>
      <c r="Y165" s="281"/>
      <c r="Z165" s="281"/>
      <c r="AA165" s="281"/>
      <c r="AB165" s="281"/>
      <c r="AC165" s="281"/>
      <c r="AD165" s="281"/>
      <c r="AE165" s="281"/>
    </row>
    <row r="166" spans="2:31" ht="15">
      <c r="B166" s="386">
        <f t="shared" si="5"/>
        <v>121</v>
      </c>
      <c r="C166" s="394" t="str" cm="1">
        <f t="array" aca="1" ref="C166" ca="1">IF(B166&lt;=$C$9,GetGetCDSName(B166),"")</f>
        <v>CDS Name - Issuer 121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6" s="354">
        <v>0</v>
      </c>
      <c r="E166" s="387">
        <v>0</v>
      </c>
      <c r="F166" s="306">
        <v>0</v>
      </c>
      <c r="G166" s="306">
        <v>0</v>
      </c>
      <c r="H166" s="306">
        <v>1</v>
      </c>
      <c r="I166" s="306">
        <v>0</v>
      </c>
      <c r="J166" s="306">
        <v>1</v>
      </c>
      <c r="K166" s="306"/>
      <c r="L166" s="306"/>
      <c r="M166" s="306"/>
      <c r="N166" s="388"/>
      <c r="O166" s="281"/>
      <c r="P166" s="281"/>
      <c r="Q166" s="281"/>
      <c r="R166" s="281"/>
      <c r="S166" s="281"/>
      <c r="T166" s="281"/>
      <c r="U166" s="281"/>
      <c r="V166" s="281"/>
      <c r="W166" s="281"/>
      <c r="X166" s="281"/>
      <c r="Y166" s="281"/>
      <c r="Z166" s="281"/>
      <c r="AA166" s="281"/>
      <c r="AB166" s="281"/>
      <c r="AC166" s="281"/>
      <c r="AD166" s="281"/>
      <c r="AE166" s="281"/>
    </row>
    <row r="167" spans="2:31" ht="15">
      <c r="B167" s="386">
        <f t="shared" si="5"/>
        <v>122</v>
      </c>
      <c r="C167" s="394" t="str" cm="1">
        <f t="array" aca="1" ref="C167" ca="1">IF(B167&lt;=$C$9,GetGetCDSName(B167),"")</f>
        <v>CDS Name - Issuer 122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7" s="354">
        <v>0</v>
      </c>
      <c r="E167" s="387">
        <v>1</v>
      </c>
      <c r="F167" s="306">
        <v>0</v>
      </c>
      <c r="G167" s="306">
        <v>0</v>
      </c>
      <c r="H167" s="306">
        <v>0</v>
      </c>
      <c r="I167" s="306">
        <v>0</v>
      </c>
      <c r="J167" s="306">
        <v>0</v>
      </c>
      <c r="K167" s="306"/>
      <c r="L167" s="306"/>
      <c r="M167" s="306"/>
      <c r="N167" s="388"/>
      <c r="O167" s="281"/>
      <c r="P167" s="281"/>
      <c r="Q167" s="281"/>
      <c r="R167" s="281"/>
      <c r="S167" s="281"/>
      <c r="T167" s="281"/>
      <c r="U167" s="281"/>
      <c r="V167" s="281"/>
      <c r="W167" s="281"/>
      <c r="X167" s="281"/>
      <c r="Y167" s="281"/>
      <c r="Z167" s="281"/>
      <c r="AA167" s="281"/>
      <c r="AB167" s="281"/>
      <c r="AC167" s="281"/>
      <c r="AD167" s="281"/>
      <c r="AE167" s="281"/>
    </row>
    <row r="168" spans="2:31" ht="15">
      <c r="B168" s="386">
        <f t="shared" si="5"/>
        <v>123</v>
      </c>
      <c r="C168" s="394" t="str" cm="1">
        <f t="array" aca="1" ref="C168" ca="1">IF(B168&lt;=$C$9,GetGetCDSName(B168),"")</f>
        <v>CDS Name - Issuer 123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8" s="354">
        <v>0</v>
      </c>
      <c r="E168" s="387">
        <v>0</v>
      </c>
      <c r="F168" s="306">
        <v>1</v>
      </c>
      <c r="G168" s="306">
        <v>0</v>
      </c>
      <c r="H168" s="306">
        <v>0</v>
      </c>
      <c r="I168" s="306">
        <v>0</v>
      </c>
      <c r="J168" s="306">
        <v>0</v>
      </c>
      <c r="K168" s="306"/>
      <c r="L168" s="306"/>
      <c r="M168" s="306"/>
      <c r="N168" s="388"/>
      <c r="O168" s="281"/>
      <c r="P168" s="281"/>
      <c r="Q168" s="281"/>
      <c r="R168" s="281"/>
      <c r="S168" s="281"/>
      <c r="T168" s="281"/>
      <c r="U168" s="281"/>
      <c r="V168" s="281"/>
      <c r="W168" s="281"/>
      <c r="X168" s="281"/>
      <c r="Y168" s="281"/>
      <c r="Z168" s="281"/>
      <c r="AA168" s="281"/>
      <c r="AB168" s="281"/>
      <c r="AC168" s="281"/>
      <c r="AD168" s="281"/>
      <c r="AE168" s="281"/>
    </row>
    <row r="169" spans="2:31" ht="15">
      <c r="B169" s="386">
        <f t="shared" si="5"/>
        <v>124</v>
      </c>
      <c r="C169" s="394" t="str" cm="1">
        <f t="array" aca="1" ref="C169" ca="1">IF(B169&lt;=$C$9,GetGetCDSName(B169),"")</f>
        <v>CDS Name - Issuer 124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69" s="354">
        <v>0</v>
      </c>
      <c r="E169" s="387">
        <v>1</v>
      </c>
      <c r="F169" s="306">
        <v>0</v>
      </c>
      <c r="G169" s="306">
        <v>1</v>
      </c>
      <c r="H169" s="306">
        <v>0</v>
      </c>
      <c r="I169" s="306">
        <v>1</v>
      </c>
      <c r="J169" s="306">
        <v>0</v>
      </c>
      <c r="K169" s="306"/>
      <c r="L169" s="306"/>
      <c r="M169" s="306"/>
      <c r="N169" s="388"/>
      <c r="O169" s="281"/>
      <c r="P169" s="281"/>
      <c r="Q169" s="281"/>
      <c r="R169" s="281"/>
      <c r="S169" s="281"/>
      <c r="T169" s="281"/>
      <c r="U169" s="281"/>
      <c r="V169" s="281"/>
      <c r="W169" s="281"/>
      <c r="X169" s="281"/>
      <c r="Y169" s="281"/>
      <c r="Z169" s="281"/>
      <c r="AA169" s="281"/>
      <c r="AB169" s="281"/>
      <c r="AC169" s="281"/>
      <c r="AD169" s="281"/>
      <c r="AE169" s="281"/>
    </row>
    <row r="170" spans="2:31" ht="15">
      <c r="B170" s="386">
        <f t="shared" si="5"/>
        <v>125</v>
      </c>
      <c r="C170" s="394" t="str" cm="1">
        <f t="array" aca="1" ref="C170" ca="1">IF(B170&lt;=$C$9,GetGetCDSName(B170),"")</f>
        <v>CDS Name - Issuer 125 out of range - called from    à System.Environment.GetStackTrace(Exception e, Boolean needFileInfo)_x000D_
   à System.Environment.get_StackTrace()_x000D_
   à ValoLibrary.StrippingCDS.GetCDSName(Int32 cdsID) dans C:\Users\f.jordan-stagiaire\OneDrive - AXIS ALTERNATIVES\Bureau\github environnement\Valo\csharp\ValoLibrary\StrippingCDS.cs:ligne 956_x000D_
   à System.RuntimeMethodHandle.InvokeMethod(Object target, Object[] arguments, Signature sig, Boolean constructor)_x000D_
   à System.Reflection.RuntimeMethodInfo.UnsafeInvokeInternal(Object obj, Object[] parameters, Object[] arguments)_x000D_
   à System.Reflection.RuntimeMethodInfo.Invoke(Object obj, BindingFlags invokeAttr, Binder binder, Object[] parameters, CultureInfo culture)</v>
      </c>
      <c r="D170" s="354">
        <v>0</v>
      </c>
      <c r="E170" s="387">
        <v>0</v>
      </c>
      <c r="F170" s="306">
        <v>0</v>
      </c>
      <c r="G170" s="306">
        <v>0</v>
      </c>
      <c r="H170" s="306">
        <v>1</v>
      </c>
      <c r="I170" s="306">
        <v>0</v>
      </c>
      <c r="J170" s="306">
        <v>0</v>
      </c>
      <c r="K170" s="306"/>
      <c r="L170" s="306"/>
      <c r="M170" s="306"/>
      <c r="N170" s="388"/>
      <c r="O170" s="281"/>
      <c r="P170" s="281"/>
      <c r="Q170" s="281"/>
      <c r="R170" s="281"/>
      <c r="S170" s="281"/>
      <c r="T170" s="281"/>
      <c r="U170" s="281"/>
      <c r="V170" s="281"/>
      <c r="W170" s="281"/>
      <c r="X170" s="281"/>
      <c r="Y170" s="281"/>
      <c r="Z170" s="281"/>
      <c r="AA170" s="281"/>
      <c r="AB170" s="281"/>
      <c r="AC170" s="281"/>
      <c r="AD170" s="281"/>
      <c r="AE170" s="281"/>
    </row>
    <row r="171" spans="2:31" ht="15">
      <c r="B171" s="386">
        <f t="shared" si="5"/>
        <v>126</v>
      </c>
      <c r="C171" s="394" t="str" cm="1">
        <f t="array" aca="1" ref="C171" ca="1">IF(B171&lt;=$C$9,GetGetCDSName(B171),"")</f>
        <v/>
      </c>
      <c r="D171" s="354"/>
      <c r="E171" s="387"/>
      <c r="F171" s="306"/>
      <c r="G171" s="306"/>
      <c r="H171" s="306"/>
      <c r="I171" s="306"/>
      <c r="J171" s="306"/>
      <c r="K171" s="306"/>
      <c r="L171" s="306"/>
      <c r="M171" s="306"/>
      <c r="N171" s="388"/>
      <c r="O171" s="281"/>
      <c r="P171" s="281"/>
      <c r="Q171" s="281"/>
      <c r="R171" s="281"/>
      <c r="S171" s="281"/>
      <c r="T171" s="281"/>
      <c r="U171" s="281"/>
      <c r="V171" s="281"/>
      <c r="W171" s="281"/>
      <c r="X171" s="281"/>
      <c r="Y171" s="281"/>
      <c r="Z171" s="281"/>
      <c r="AA171" s="281"/>
      <c r="AB171" s="281"/>
      <c r="AC171" s="281"/>
      <c r="AD171" s="281"/>
      <c r="AE171" s="281"/>
    </row>
    <row r="172" spans="2:31" ht="15">
      <c r="B172" s="386">
        <f t="shared" si="5"/>
        <v>127</v>
      </c>
      <c r="C172" s="394" t="str" cm="1">
        <f t="array" aca="1" ref="C172" ca="1">IF(B172&lt;=$C$9,GetGetCDSName(B172),"")</f>
        <v/>
      </c>
      <c r="D172" s="354"/>
      <c r="E172" s="387"/>
      <c r="F172" s="306"/>
      <c r="G172" s="306"/>
      <c r="H172" s="306"/>
      <c r="I172" s="306"/>
      <c r="J172" s="306"/>
      <c r="K172" s="306"/>
      <c r="L172" s="306"/>
      <c r="M172" s="306"/>
      <c r="N172" s="388"/>
      <c r="O172" s="281"/>
      <c r="P172" s="281"/>
      <c r="Q172" s="281"/>
      <c r="R172" s="281"/>
      <c r="S172" s="281"/>
      <c r="T172" s="281"/>
      <c r="U172" s="281"/>
      <c r="V172" s="281"/>
      <c r="W172" s="281"/>
      <c r="X172" s="281"/>
      <c r="Y172" s="281"/>
      <c r="Z172" s="281"/>
      <c r="AA172" s="281"/>
      <c r="AB172" s="281"/>
      <c r="AC172" s="281"/>
      <c r="AD172" s="281"/>
      <c r="AE172" s="281"/>
    </row>
    <row r="173" spans="2:31" ht="15">
      <c r="B173" s="386">
        <f t="shared" si="5"/>
        <v>128</v>
      </c>
      <c r="C173" s="394" t="str" cm="1">
        <f t="array" aca="1" ref="C173" ca="1">IF(B173&lt;=$C$9,GetGetCDSName(B173),"")</f>
        <v/>
      </c>
      <c r="D173" s="354"/>
      <c r="E173" s="387"/>
      <c r="F173" s="306"/>
      <c r="G173" s="306"/>
      <c r="H173" s="306"/>
      <c r="I173" s="306"/>
      <c r="J173" s="306"/>
      <c r="K173" s="306"/>
      <c r="L173" s="306"/>
      <c r="M173" s="306"/>
      <c r="N173" s="388"/>
      <c r="O173" s="281"/>
      <c r="P173" s="281"/>
      <c r="Q173" s="281"/>
      <c r="R173" s="281"/>
      <c r="S173" s="281"/>
      <c r="T173" s="281"/>
      <c r="U173" s="281"/>
      <c r="V173" s="281"/>
      <c r="W173" s="281"/>
      <c r="X173" s="281"/>
      <c r="Y173" s="281"/>
      <c r="Z173" s="281"/>
      <c r="AA173" s="281"/>
      <c r="AB173" s="281"/>
      <c r="AC173" s="281"/>
      <c r="AD173" s="281"/>
      <c r="AE173" s="281"/>
    </row>
    <row r="174" spans="2:31" ht="15">
      <c r="B174" s="386">
        <f t="shared" si="5"/>
        <v>129</v>
      </c>
      <c r="C174" s="394" t="str" cm="1">
        <f t="array" aca="1" ref="C174" ca="1">IF(B174&lt;=$C$9,GetGetCDSName(B174),"")</f>
        <v/>
      </c>
      <c r="D174" s="354"/>
      <c r="E174" s="387"/>
      <c r="F174" s="306"/>
      <c r="G174" s="306"/>
      <c r="H174" s="306"/>
      <c r="I174" s="306"/>
      <c r="J174" s="306"/>
      <c r="K174" s="306"/>
      <c r="L174" s="306"/>
      <c r="M174" s="306"/>
      <c r="N174" s="388"/>
      <c r="O174" s="281"/>
      <c r="P174" s="281"/>
      <c r="Q174" s="281"/>
      <c r="R174" s="281"/>
      <c r="S174" s="281"/>
      <c r="T174" s="281"/>
      <c r="U174" s="281"/>
      <c r="V174" s="281"/>
      <c r="W174" s="281"/>
      <c r="X174" s="281"/>
      <c r="Y174" s="281"/>
      <c r="Z174" s="281"/>
      <c r="AA174" s="281"/>
      <c r="AB174" s="281"/>
      <c r="AC174" s="281"/>
      <c r="AD174" s="281"/>
      <c r="AE174" s="281"/>
    </row>
    <row r="175" spans="2:31" ht="15">
      <c r="B175" s="386">
        <f t="shared" ref="B175:B238" si="6">B174+1</f>
        <v>130</v>
      </c>
      <c r="C175" s="394" t="str" cm="1">
        <f t="array" aca="1" ref="C175" ca="1">IF(B175&lt;=$C$9,GetGetCDSName(B175),"")</f>
        <v/>
      </c>
      <c r="D175" s="354"/>
      <c r="E175" s="387"/>
      <c r="F175" s="306"/>
      <c r="G175" s="306"/>
      <c r="H175" s="306"/>
      <c r="I175" s="306"/>
      <c r="J175" s="306"/>
      <c r="K175" s="306"/>
      <c r="L175" s="306"/>
      <c r="M175" s="306"/>
      <c r="N175" s="388"/>
      <c r="O175" s="281"/>
      <c r="P175" s="281"/>
      <c r="Q175" s="281"/>
      <c r="R175" s="281"/>
      <c r="S175" s="281"/>
      <c r="T175" s="281"/>
      <c r="U175" s="281"/>
      <c r="V175" s="281"/>
      <c r="W175" s="281"/>
      <c r="X175" s="281"/>
      <c r="Y175" s="281"/>
      <c r="Z175" s="281"/>
      <c r="AA175" s="281"/>
      <c r="AB175" s="281"/>
      <c r="AC175" s="281"/>
      <c r="AD175" s="281"/>
      <c r="AE175" s="281"/>
    </row>
    <row r="176" spans="2:31" ht="15">
      <c r="B176" s="386">
        <f t="shared" si="6"/>
        <v>131</v>
      </c>
      <c r="C176" s="394" t="str" cm="1">
        <f t="array" aca="1" ref="C176" ca="1">IF(B176&lt;=$C$9,GetGetCDSName(B176),"")</f>
        <v/>
      </c>
      <c r="D176" s="354"/>
      <c r="E176" s="387"/>
      <c r="F176" s="306"/>
      <c r="G176" s="306"/>
      <c r="H176" s="306"/>
      <c r="I176" s="306"/>
      <c r="J176" s="306"/>
      <c r="K176" s="306"/>
      <c r="L176" s="306"/>
      <c r="M176" s="306"/>
      <c r="N176" s="388"/>
      <c r="O176" s="281"/>
      <c r="P176" s="281"/>
      <c r="Q176" s="281"/>
      <c r="R176" s="281"/>
      <c r="S176" s="281"/>
      <c r="T176" s="281"/>
      <c r="U176" s="281"/>
      <c r="V176" s="281"/>
      <c r="W176" s="281"/>
      <c r="X176" s="281"/>
      <c r="Y176" s="281"/>
      <c r="Z176" s="281"/>
      <c r="AA176" s="281"/>
      <c r="AB176" s="281"/>
      <c r="AC176" s="281"/>
      <c r="AD176" s="281"/>
      <c r="AE176" s="281"/>
    </row>
    <row r="177" spans="2:31" ht="15">
      <c r="B177" s="386">
        <f t="shared" si="6"/>
        <v>132</v>
      </c>
      <c r="C177" s="394" t="str" cm="1">
        <f t="array" aca="1" ref="C177" ca="1">IF(B177&lt;=$C$9,GetGetCDSName(B177),"")</f>
        <v/>
      </c>
      <c r="D177" s="354"/>
      <c r="E177" s="387"/>
      <c r="F177" s="306"/>
      <c r="G177" s="306"/>
      <c r="H177" s="306"/>
      <c r="I177" s="306"/>
      <c r="J177" s="306"/>
      <c r="K177" s="306"/>
      <c r="L177" s="306"/>
      <c r="M177" s="306"/>
      <c r="N177" s="388"/>
      <c r="O177" s="281"/>
      <c r="P177" s="281"/>
      <c r="Q177" s="281"/>
      <c r="R177" s="281"/>
      <c r="S177" s="281"/>
      <c r="T177" s="281"/>
      <c r="U177" s="281"/>
      <c r="V177" s="281"/>
      <c r="W177" s="281"/>
      <c r="X177" s="281"/>
      <c r="Y177" s="281"/>
      <c r="Z177" s="281"/>
      <c r="AA177" s="281"/>
      <c r="AB177" s="281"/>
      <c r="AC177" s="281"/>
      <c r="AD177" s="281"/>
      <c r="AE177" s="281"/>
    </row>
    <row r="178" spans="2:31" ht="15">
      <c r="B178" s="386">
        <f t="shared" si="6"/>
        <v>133</v>
      </c>
      <c r="C178" s="394" t="str" cm="1">
        <f t="array" aca="1" ref="C178" ca="1">IF(B178&lt;=$C$9,GetGetCDSName(B178),"")</f>
        <v/>
      </c>
      <c r="D178" s="354"/>
      <c r="E178" s="387"/>
      <c r="F178" s="306"/>
      <c r="G178" s="306"/>
      <c r="H178" s="306"/>
      <c r="I178" s="306"/>
      <c r="J178" s="306"/>
      <c r="K178" s="306"/>
      <c r="L178" s="306"/>
      <c r="M178" s="306"/>
      <c r="N178" s="388"/>
      <c r="O178" s="281"/>
      <c r="P178" s="281"/>
      <c r="Q178" s="281"/>
      <c r="R178" s="281"/>
      <c r="S178" s="281"/>
      <c r="T178" s="281"/>
      <c r="U178" s="281"/>
      <c r="V178" s="281"/>
      <c r="W178" s="281"/>
      <c r="X178" s="281"/>
      <c r="Y178" s="281"/>
      <c r="Z178" s="281"/>
      <c r="AA178" s="281"/>
      <c r="AB178" s="281"/>
      <c r="AC178" s="281"/>
      <c r="AD178" s="281"/>
      <c r="AE178" s="281"/>
    </row>
    <row r="179" spans="2:31" ht="15">
      <c r="B179" s="386">
        <f t="shared" si="6"/>
        <v>134</v>
      </c>
      <c r="C179" s="394" t="str" cm="1">
        <f t="array" aca="1" ref="C179" ca="1">IF(B179&lt;=$C$9,GetGetCDSName(B179),"")</f>
        <v/>
      </c>
      <c r="D179" s="354"/>
      <c r="E179" s="387"/>
      <c r="F179" s="306"/>
      <c r="G179" s="306"/>
      <c r="H179" s="306"/>
      <c r="I179" s="306"/>
      <c r="J179" s="306"/>
      <c r="K179" s="306"/>
      <c r="L179" s="306"/>
      <c r="M179" s="306"/>
      <c r="N179" s="388"/>
      <c r="O179" s="281"/>
      <c r="P179" s="281"/>
      <c r="Q179" s="281"/>
      <c r="R179" s="281"/>
      <c r="S179" s="281"/>
      <c r="T179" s="281"/>
      <c r="U179" s="281"/>
      <c r="V179" s="281"/>
      <c r="W179" s="281"/>
      <c r="X179" s="281"/>
      <c r="Y179" s="281"/>
      <c r="Z179" s="281"/>
      <c r="AA179" s="281"/>
      <c r="AB179" s="281"/>
      <c r="AC179" s="281"/>
      <c r="AD179" s="281"/>
      <c r="AE179" s="281"/>
    </row>
    <row r="180" spans="2:31" ht="15">
      <c r="B180" s="386">
        <f t="shared" si="6"/>
        <v>135</v>
      </c>
      <c r="C180" s="394" t="str" cm="1">
        <f t="array" aca="1" ref="C180" ca="1">IF(B180&lt;=$C$9,GetGetCDSName(B180),"")</f>
        <v/>
      </c>
      <c r="D180" s="354"/>
      <c r="E180" s="387"/>
      <c r="F180" s="306"/>
      <c r="G180" s="306"/>
      <c r="H180" s="306"/>
      <c r="I180" s="306"/>
      <c r="J180" s="306"/>
      <c r="K180" s="306"/>
      <c r="L180" s="306"/>
      <c r="M180" s="306"/>
      <c r="N180" s="388"/>
      <c r="O180" s="281"/>
      <c r="P180" s="281"/>
      <c r="Q180" s="281"/>
      <c r="R180" s="281"/>
      <c r="S180" s="281"/>
      <c r="T180" s="281"/>
      <c r="U180" s="281"/>
      <c r="V180" s="281"/>
      <c r="W180" s="281"/>
      <c r="X180" s="281"/>
      <c r="Y180" s="281"/>
      <c r="Z180" s="281"/>
      <c r="AA180" s="281"/>
      <c r="AB180" s="281"/>
      <c r="AC180" s="281"/>
      <c r="AD180" s="281"/>
      <c r="AE180" s="281"/>
    </row>
    <row r="181" spans="2:31" ht="15">
      <c r="B181" s="386">
        <f t="shared" si="6"/>
        <v>136</v>
      </c>
      <c r="C181" s="394" t="str" cm="1">
        <f t="array" aca="1" ref="C181" ca="1">IF(B181&lt;=$C$9,GetGetCDSName(B181),"")</f>
        <v/>
      </c>
      <c r="D181" s="354"/>
      <c r="E181" s="387"/>
      <c r="F181" s="306"/>
      <c r="G181" s="306"/>
      <c r="H181" s="306"/>
      <c r="I181" s="306"/>
      <c r="J181" s="306"/>
      <c r="K181" s="306"/>
      <c r="L181" s="306"/>
      <c r="M181" s="306"/>
      <c r="N181" s="388"/>
      <c r="O181" s="281"/>
      <c r="P181" s="281"/>
      <c r="Q181" s="281"/>
      <c r="R181" s="281"/>
      <c r="S181" s="281"/>
      <c r="T181" s="281"/>
      <c r="U181" s="281"/>
      <c r="V181" s="281"/>
      <c r="W181" s="281"/>
      <c r="X181" s="281"/>
      <c r="Y181" s="281"/>
      <c r="Z181" s="281"/>
      <c r="AA181" s="281"/>
      <c r="AB181" s="281"/>
      <c r="AC181" s="281"/>
      <c r="AD181" s="281"/>
      <c r="AE181" s="281"/>
    </row>
    <row r="182" spans="2:31" ht="15">
      <c r="B182" s="386">
        <f t="shared" si="6"/>
        <v>137</v>
      </c>
      <c r="C182" s="394" t="str" cm="1">
        <f t="array" aca="1" ref="C182" ca="1">IF(B182&lt;=$C$9,GetGetCDSName(B182),"")</f>
        <v/>
      </c>
      <c r="D182" s="354"/>
      <c r="E182" s="387"/>
      <c r="F182" s="306"/>
      <c r="G182" s="306"/>
      <c r="H182" s="306"/>
      <c r="I182" s="306"/>
      <c r="J182" s="306"/>
      <c r="K182" s="306"/>
      <c r="L182" s="306"/>
      <c r="M182" s="306"/>
      <c r="N182" s="388"/>
      <c r="O182" s="281"/>
      <c r="P182" s="281"/>
      <c r="Q182" s="281"/>
      <c r="R182" s="281"/>
      <c r="S182" s="281"/>
      <c r="T182" s="281"/>
      <c r="U182" s="281"/>
      <c r="V182" s="281"/>
      <c r="W182" s="281"/>
      <c r="X182" s="281"/>
      <c r="Y182" s="281"/>
      <c r="Z182" s="281"/>
      <c r="AA182" s="281"/>
      <c r="AB182" s="281"/>
      <c r="AC182" s="281"/>
      <c r="AD182" s="281"/>
      <c r="AE182" s="281"/>
    </row>
    <row r="183" spans="2:31" ht="15">
      <c r="B183" s="386">
        <f t="shared" si="6"/>
        <v>138</v>
      </c>
      <c r="C183" s="394" t="str" cm="1">
        <f t="array" aca="1" ref="C183" ca="1">IF(B183&lt;=$C$9,GetGetCDSName(B183),"")</f>
        <v/>
      </c>
      <c r="D183" s="354"/>
      <c r="E183" s="387"/>
      <c r="F183" s="306"/>
      <c r="G183" s="306"/>
      <c r="H183" s="306"/>
      <c r="I183" s="306"/>
      <c r="J183" s="306"/>
      <c r="K183" s="306"/>
      <c r="L183" s="306"/>
      <c r="M183" s="306"/>
      <c r="N183" s="388"/>
      <c r="O183" s="281"/>
      <c r="P183" s="281"/>
      <c r="Q183" s="281"/>
      <c r="R183" s="281"/>
      <c r="S183" s="281"/>
      <c r="T183" s="281"/>
      <c r="U183" s="281"/>
      <c r="V183" s="281"/>
      <c r="W183" s="281"/>
      <c r="X183" s="281"/>
      <c r="Y183" s="281"/>
      <c r="Z183" s="281"/>
      <c r="AA183" s="281"/>
      <c r="AB183" s="281"/>
      <c r="AC183" s="281"/>
      <c r="AD183" s="281"/>
      <c r="AE183" s="281"/>
    </row>
    <row r="184" spans="2:31" ht="15">
      <c r="B184" s="386">
        <f t="shared" si="6"/>
        <v>139</v>
      </c>
      <c r="C184" s="394" t="str" cm="1">
        <f t="array" aca="1" ref="C184" ca="1">IF(B184&lt;=$C$9,GetGetCDSName(B184),"")</f>
        <v/>
      </c>
      <c r="D184" s="354"/>
      <c r="E184" s="387"/>
      <c r="F184" s="306"/>
      <c r="G184" s="306"/>
      <c r="H184" s="306"/>
      <c r="I184" s="306"/>
      <c r="J184" s="306"/>
      <c r="K184" s="306"/>
      <c r="L184" s="306"/>
      <c r="M184" s="306"/>
      <c r="N184" s="388"/>
      <c r="O184" s="281"/>
      <c r="P184" s="281"/>
      <c r="Q184" s="281"/>
      <c r="R184" s="281"/>
      <c r="S184" s="281"/>
      <c r="T184" s="281"/>
      <c r="U184" s="281"/>
      <c r="V184" s="281"/>
      <c r="W184" s="281"/>
      <c r="X184" s="281"/>
      <c r="Y184" s="281"/>
      <c r="Z184" s="281"/>
      <c r="AA184" s="281"/>
      <c r="AB184" s="281"/>
      <c r="AC184" s="281"/>
      <c r="AD184" s="281"/>
      <c r="AE184" s="281"/>
    </row>
    <row r="185" spans="2:31" ht="15">
      <c r="B185" s="386">
        <f t="shared" si="6"/>
        <v>140</v>
      </c>
      <c r="C185" s="394" t="str" cm="1">
        <f t="array" aca="1" ref="C185" ca="1">IF(B185&lt;=$C$9,GetGetCDSName(B185),"")</f>
        <v/>
      </c>
      <c r="D185" s="354"/>
      <c r="E185" s="387"/>
      <c r="F185" s="306"/>
      <c r="G185" s="306"/>
      <c r="H185" s="306"/>
      <c r="I185" s="306"/>
      <c r="J185" s="306"/>
      <c r="K185" s="306"/>
      <c r="L185" s="306"/>
      <c r="M185" s="306"/>
      <c r="N185" s="388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281"/>
      <c r="AA185" s="281"/>
      <c r="AB185" s="281"/>
      <c r="AC185" s="281"/>
      <c r="AD185" s="281"/>
      <c r="AE185" s="281"/>
    </row>
    <row r="186" spans="2:31" ht="15">
      <c r="B186" s="386">
        <f t="shared" si="6"/>
        <v>141</v>
      </c>
      <c r="C186" s="394" t="str" cm="1">
        <f t="array" aca="1" ref="C186" ca="1">IF(B186&lt;=$C$9,GetGetCDSName(B186),"")</f>
        <v/>
      </c>
      <c r="D186" s="354"/>
      <c r="E186" s="387"/>
      <c r="F186" s="306"/>
      <c r="G186" s="306"/>
      <c r="H186" s="306"/>
      <c r="I186" s="306"/>
      <c r="J186" s="306"/>
      <c r="K186" s="306"/>
      <c r="L186" s="306"/>
      <c r="M186" s="306"/>
      <c r="N186" s="388"/>
      <c r="O186" s="281"/>
      <c r="P186" s="281"/>
      <c r="Q186" s="281"/>
      <c r="R186" s="281"/>
      <c r="S186" s="281"/>
      <c r="T186" s="281"/>
      <c r="U186" s="281"/>
      <c r="V186" s="281"/>
      <c r="W186" s="281"/>
      <c r="X186" s="281"/>
      <c r="Y186" s="281"/>
      <c r="Z186" s="281"/>
      <c r="AA186" s="281"/>
      <c r="AB186" s="281"/>
      <c r="AC186" s="281"/>
      <c r="AD186" s="281"/>
      <c r="AE186" s="281"/>
    </row>
    <row r="187" spans="2:31" ht="15">
      <c r="B187" s="386">
        <f t="shared" si="6"/>
        <v>142</v>
      </c>
      <c r="C187" s="394" t="str" cm="1">
        <f t="array" aca="1" ref="C187" ca="1">IF(B187&lt;=$C$9,GetGetCDSName(B187),"")</f>
        <v/>
      </c>
      <c r="D187" s="354"/>
      <c r="E187" s="387"/>
      <c r="F187" s="306"/>
      <c r="G187" s="306"/>
      <c r="H187" s="306"/>
      <c r="I187" s="306"/>
      <c r="J187" s="306"/>
      <c r="K187" s="306"/>
      <c r="L187" s="306"/>
      <c r="M187" s="306"/>
      <c r="N187" s="388"/>
      <c r="O187" s="281"/>
      <c r="P187" s="281"/>
      <c r="Q187" s="281"/>
      <c r="R187" s="281"/>
      <c r="S187" s="281"/>
      <c r="T187" s="281"/>
      <c r="U187" s="281"/>
      <c r="V187" s="281"/>
      <c r="W187" s="281"/>
      <c r="X187" s="281"/>
      <c r="Y187" s="281"/>
      <c r="Z187" s="281"/>
      <c r="AA187" s="281"/>
      <c r="AB187" s="281"/>
      <c r="AC187" s="281"/>
      <c r="AD187" s="281"/>
      <c r="AE187" s="281"/>
    </row>
    <row r="188" spans="2:31" ht="15">
      <c r="B188" s="386">
        <f t="shared" si="6"/>
        <v>143</v>
      </c>
      <c r="C188" s="394" t="str" cm="1">
        <f t="array" aca="1" ref="C188" ca="1">IF(B188&lt;=$C$9,GetGetCDSName(B188),"")</f>
        <v/>
      </c>
      <c r="D188" s="354"/>
      <c r="E188" s="387"/>
      <c r="F188" s="306"/>
      <c r="G188" s="306"/>
      <c r="H188" s="306"/>
      <c r="I188" s="306"/>
      <c r="J188" s="306"/>
      <c r="K188" s="306"/>
      <c r="L188" s="306"/>
      <c r="M188" s="306"/>
      <c r="N188" s="388"/>
      <c r="O188" s="281"/>
      <c r="P188" s="281"/>
      <c r="Q188" s="281"/>
      <c r="R188" s="281"/>
      <c r="S188" s="281"/>
      <c r="T188" s="281"/>
      <c r="U188" s="281"/>
      <c r="V188" s="281"/>
      <c r="W188" s="281"/>
      <c r="X188" s="281"/>
      <c r="Y188" s="281"/>
      <c r="Z188" s="281"/>
      <c r="AA188" s="281"/>
      <c r="AB188" s="281"/>
      <c r="AC188" s="281"/>
      <c r="AD188" s="281"/>
      <c r="AE188" s="281"/>
    </row>
    <row r="189" spans="2:31" ht="15">
      <c r="B189" s="386">
        <f t="shared" si="6"/>
        <v>144</v>
      </c>
      <c r="C189" s="394" t="str" cm="1">
        <f t="array" aca="1" ref="C189" ca="1">IF(B189&lt;=$C$9,GetGetCDSName(B189),"")</f>
        <v/>
      </c>
      <c r="D189" s="354"/>
      <c r="E189" s="387"/>
      <c r="F189" s="306"/>
      <c r="G189" s="306"/>
      <c r="H189" s="306"/>
      <c r="I189" s="306"/>
      <c r="J189" s="306"/>
      <c r="K189" s="306"/>
      <c r="L189" s="306"/>
      <c r="M189" s="306"/>
      <c r="N189" s="388"/>
      <c r="O189" s="281"/>
      <c r="P189" s="281"/>
      <c r="Q189" s="281"/>
      <c r="R189" s="281"/>
      <c r="S189" s="281"/>
      <c r="T189" s="281"/>
      <c r="U189" s="281"/>
      <c r="V189" s="281"/>
      <c r="W189" s="281"/>
      <c r="X189" s="281"/>
      <c r="Y189" s="281"/>
      <c r="Z189" s="281"/>
      <c r="AA189" s="281"/>
      <c r="AB189" s="281"/>
      <c r="AC189" s="281"/>
      <c r="AD189" s="281"/>
      <c r="AE189" s="281"/>
    </row>
    <row r="190" spans="2:31" ht="15">
      <c r="B190" s="386">
        <f t="shared" si="6"/>
        <v>145</v>
      </c>
      <c r="C190" s="394" t="str" cm="1">
        <f t="array" aca="1" ref="C190" ca="1">IF(B190&lt;=$C$9,GetGetCDSName(B190),"")</f>
        <v/>
      </c>
      <c r="D190" s="354"/>
      <c r="E190" s="387"/>
      <c r="F190" s="306"/>
      <c r="G190" s="306"/>
      <c r="H190" s="306"/>
      <c r="I190" s="306"/>
      <c r="J190" s="306"/>
      <c r="K190" s="306"/>
      <c r="L190" s="306"/>
      <c r="M190" s="306"/>
      <c r="N190" s="388"/>
      <c r="O190" s="281"/>
      <c r="P190" s="281"/>
      <c r="Q190" s="281"/>
      <c r="R190" s="281"/>
      <c r="S190" s="281"/>
      <c r="T190" s="281"/>
      <c r="U190" s="281"/>
      <c r="V190" s="281"/>
      <c r="W190" s="281"/>
      <c r="X190" s="281"/>
      <c r="Y190" s="281"/>
      <c r="Z190" s="281"/>
      <c r="AA190" s="281"/>
      <c r="AB190" s="281"/>
      <c r="AC190" s="281"/>
      <c r="AD190" s="281"/>
      <c r="AE190" s="281"/>
    </row>
    <row r="191" spans="2:31" ht="15">
      <c r="B191" s="386">
        <f t="shared" si="6"/>
        <v>146</v>
      </c>
      <c r="C191" s="394" t="str" cm="1">
        <f t="array" aca="1" ref="C191" ca="1">IF(B191&lt;=$C$9,GetGetCDSName(B191),"")</f>
        <v/>
      </c>
      <c r="D191" s="354"/>
      <c r="E191" s="387"/>
      <c r="F191" s="306"/>
      <c r="G191" s="306"/>
      <c r="H191" s="306"/>
      <c r="I191" s="306"/>
      <c r="J191" s="306"/>
      <c r="K191" s="306"/>
      <c r="L191" s="306"/>
      <c r="M191" s="306"/>
      <c r="N191" s="388"/>
      <c r="O191" s="281"/>
      <c r="P191" s="281"/>
      <c r="Q191" s="281"/>
      <c r="R191" s="281"/>
      <c r="S191" s="281"/>
      <c r="T191" s="281"/>
      <c r="U191" s="281"/>
      <c r="V191" s="281"/>
      <c r="W191" s="281"/>
      <c r="X191" s="281"/>
      <c r="Y191" s="281"/>
      <c r="Z191" s="281"/>
      <c r="AA191" s="281"/>
      <c r="AB191" s="281"/>
      <c r="AC191" s="281"/>
      <c r="AD191" s="281"/>
      <c r="AE191" s="281"/>
    </row>
    <row r="192" spans="2:31" ht="15">
      <c r="B192" s="386">
        <f t="shared" si="6"/>
        <v>147</v>
      </c>
      <c r="C192" s="394" t="str" cm="1">
        <f t="array" aca="1" ref="C192" ca="1">IF(B192&lt;=$C$9,GetGetCDSName(B192),"")</f>
        <v/>
      </c>
      <c r="D192" s="354"/>
      <c r="E192" s="387"/>
      <c r="F192" s="306"/>
      <c r="G192" s="306"/>
      <c r="H192" s="306"/>
      <c r="I192" s="306"/>
      <c r="J192" s="306"/>
      <c r="K192" s="306"/>
      <c r="L192" s="306"/>
      <c r="M192" s="306"/>
      <c r="N192" s="388"/>
      <c r="O192" s="281"/>
      <c r="P192" s="281"/>
      <c r="Q192" s="281"/>
      <c r="R192" s="281"/>
      <c r="S192" s="281"/>
      <c r="T192" s="281"/>
      <c r="U192" s="281"/>
      <c r="V192" s="281"/>
      <c r="W192" s="281"/>
      <c r="X192" s="281"/>
      <c r="Y192" s="281"/>
      <c r="Z192" s="281"/>
      <c r="AA192" s="281"/>
      <c r="AB192" s="281"/>
      <c r="AC192" s="281"/>
      <c r="AD192" s="281"/>
      <c r="AE192" s="281"/>
    </row>
    <row r="193" spans="2:31" ht="15">
      <c r="B193" s="386">
        <f t="shared" si="6"/>
        <v>148</v>
      </c>
      <c r="C193" s="394" t="str" cm="1">
        <f t="array" aca="1" ref="C193" ca="1">IF(B193&lt;=$C$9,GetGetCDSName(B193),"")</f>
        <v/>
      </c>
      <c r="D193" s="354"/>
      <c r="E193" s="387"/>
      <c r="F193" s="306"/>
      <c r="G193" s="306"/>
      <c r="H193" s="306"/>
      <c r="I193" s="306"/>
      <c r="J193" s="306"/>
      <c r="K193" s="306"/>
      <c r="L193" s="306"/>
      <c r="M193" s="306"/>
      <c r="N193" s="388"/>
      <c r="O193" s="281"/>
      <c r="P193" s="281"/>
      <c r="Q193" s="281"/>
      <c r="R193" s="281"/>
      <c r="S193" s="281"/>
      <c r="T193" s="281"/>
      <c r="U193" s="281"/>
      <c r="V193" s="281"/>
      <c r="W193" s="281"/>
      <c r="X193" s="281"/>
      <c r="Y193" s="281"/>
      <c r="Z193" s="281"/>
      <c r="AA193" s="281"/>
      <c r="AB193" s="281"/>
      <c r="AC193" s="281"/>
      <c r="AD193" s="281"/>
      <c r="AE193" s="281"/>
    </row>
    <row r="194" spans="2:31" ht="15">
      <c r="B194" s="386">
        <f t="shared" si="6"/>
        <v>149</v>
      </c>
      <c r="C194" s="394" t="str" cm="1">
        <f t="array" aca="1" ref="C194" ca="1">IF(B194&lt;=$C$9,GetGetCDSName(B194),"")</f>
        <v/>
      </c>
      <c r="D194" s="354"/>
      <c r="E194" s="387"/>
      <c r="F194" s="306"/>
      <c r="G194" s="306"/>
      <c r="H194" s="306"/>
      <c r="I194" s="306"/>
      <c r="J194" s="306"/>
      <c r="K194" s="306"/>
      <c r="L194" s="306"/>
      <c r="M194" s="306"/>
      <c r="N194" s="388"/>
      <c r="O194" s="281"/>
      <c r="P194" s="281"/>
      <c r="Q194" s="281"/>
      <c r="R194" s="281"/>
      <c r="S194" s="281"/>
      <c r="T194" s="281"/>
      <c r="U194" s="281"/>
      <c r="V194" s="281"/>
      <c r="W194" s="281"/>
      <c r="X194" s="281"/>
      <c r="Y194" s="281"/>
      <c r="Z194" s="281"/>
      <c r="AA194" s="281"/>
      <c r="AB194" s="281"/>
      <c r="AC194" s="281"/>
      <c r="AD194" s="281"/>
      <c r="AE194" s="281"/>
    </row>
    <row r="195" spans="2:31" ht="15">
      <c r="B195" s="386">
        <f t="shared" si="6"/>
        <v>150</v>
      </c>
      <c r="C195" s="394" t="str" cm="1">
        <f t="array" aca="1" ref="C195" ca="1">IF(B195&lt;=$C$9,GetGetCDSName(B195),"")</f>
        <v/>
      </c>
      <c r="D195" s="354"/>
      <c r="E195" s="387"/>
      <c r="F195" s="306"/>
      <c r="G195" s="306"/>
      <c r="H195" s="306"/>
      <c r="I195" s="306"/>
      <c r="J195" s="306"/>
      <c r="K195" s="306"/>
      <c r="L195" s="306"/>
      <c r="M195" s="306"/>
      <c r="N195" s="388"/>
      <c r="O195" s="281"/>
      <c r="P195" s="281"/>
      <c r="Q195" s="281"/>
      <c r="R195" s="281"/>
      <c r="S195" s="281"/>
      <c r="T195" s="281"/>
      <c r="U195" s="281"/>
      <c r="V195" s="281"/>
      <c r="W195" s="281"/>
      <c r="X195" s="281"/>
      <c r="Y195" s="281"/>
      <c r="Z195" s="281"/>
      <c r="AA195" s="281"/>
      <c r="AB195" s="281"/>
      <c r="AC195" s="281"/>
      <c r="AD195" s="281"/>
      <c r="AE195" s="281"/>
    </row>
    <row r="196" spans="2:31" ht="15">
      <c r="B196" s="386">
        <f t="shared" si="6"/>
        <v>151</v>
      </c>
      <c r="C196" s="394" t="str" cm="1">
        <f t="array" aca="1" ref="C196" ca="1">IF(B196&lt;=$C$9,GetGetCDSName(B196),"")</f>
        <v/>
      </c>
      <c r="D196" s="354"/>
      <c r="E196" s="387"/>
      <c r="F196" s="306"/>
      <c r="G196" s="306"/>
      <c r="H196" s="306"/>
      <c r="I196" s="306"/>
      <c r="J196" s="306"/>
      <c r="K196" s="306"/>
      <c r="L196" s="306"/>
      <c r="M196" s="306"/>
      <c r="N196" s="388"/>
      <c r="O196" s="281"/>
      <c r="P196" s="281"/>
      <c r="Q196" s="281"/>
      <c r="R196" s="281"/>
      <c r="S196" s="281"/>
      <c r="T196" s="281"/>
      <c r="U196" s="281"/>
      <c r="V196" s="281"/>
      <c r="W196" s="281"/>
      <c r="X196" s="281"/>
      <c r="Y196" s="281"/>
      <c r="Z196" s="281"/>
      <c r="AA196" s="281"/>
      <c r="AB196" s="281"/>
      <c r="AC196" s="281"/>
      <c r="AD196" s="281"/>
      <c r="AE196" s="281"/>
    </row>
    <row r="197" spans="2:31" ht="15">
      <c r="B197" s="386">
        <f t="shared" si="6"/>
        <v>152</v>
      </c>
      <c r="C197" s="394" t="str" cm="1">
        <f t="array" aca="1" ref="C197" ca="1">IF(B197&lt;=$C$9,GetGetCDSName(B197),"")</f>
        <v/>
      </c>
      <c r="D197" s="354"/>
      <c r="E197" s="387"/>
      <c r="F197" s="306"/>
      <c r="G197" s="306"/>
      <c r="H197" s="306"/>
      <c r="I197" s="306"/>
      <c r="J197" s="306"/>
      <c r="K197" s="306"/>
      <c r="L197" s="306"/>
      <c r="M197" s="306"/>
      <c r="N197" s="388"/>
      <c r="O197" s="281"/>
      <c r="P197" s="281"/>
      <c r="Q197" s="281"/>
      <c r="R197" s="281"/>
      <c r="S197" s="281"/>
      <c r="T197" s="281"/>
      <c r="U197" s="281"/>
      <c r="V197" s="281"/>
      <c r="W197" s="281"/>
      <c r="X197" s="281"/>
      <c r="Y197" s="281"/>
      <c r="Z197" s="281"/>
      <c r="AA197" s="281"/>
      <c r="AB197" s="281"/>
      <c r="AC197" s="281"/>
      <c r="AD197" s="281"/>
      <c r="AE197" s="281"/>
    </row>
    <row r="198" spans="2:31" ht="15">
      <c r="B198" s="386">
        <f t="shared" si="6"/>
        <v>153</v>
      </c>
      <c r="C198" s="394" t="str" cm="1">
        <f t="array" aca="1" ref="C198" ca="1">IF(B198&lt;=$C$9,GetGetCDSName(B198),"")</f>
        <v/>
      </c>
      <c r="D198" s="354"/>
      <c r="E198" s="387"/>
      <c r="F198" s="306"/>
      <c r="G198" s="306"/>
      <c r="H198" s="306"/>
      <c r="I198" s="306"/>
      <c r="J198" s="306"/>
      <c r="K198" s="306"/>
      <c r="L198" s="306"/>
      <c r="M198" s="306"/>
      <c r="N198" s="388"/>
      <c r="O198" s="281"/>
      <c r="P198" s="281"/>
      <c r="Q198" s="281"/>
      <c r="R198" s="281"/>
      <c r="S198" s="281"/>
      <c r="T198" s="281"/>
      <c r="U198" s="281"/>
      <c r="V198" s="281"/>
      <c r="W198" s="281"/>
      <c r="X198" s="281"/>
      <c r="Y198" s="281"/>
      <c r="Z198" s="281"/>
      <c r="AA198" s="281"/>
      <c r="AB198" s="281"/>
      <c r="AC198" s="281"/>
      <c r="AD198" s="281"/>
      <c r="AE198" s="281"/>
    </row>
    <row r="199" spans="2:31" ht="15">
      <c r="B199" s="386">
        <f t="shared" si="6"/>
        <v>154</v>
      </c>
      <c r="C199" s="394" t="str" cm="1">
        <f t="array" aca="1" ref="C199" ca="1">IF(B199&lt;=$C$9,GetGetCDSName(B199),"")</f>
        <v/>
      </c>
      <c r="D199" s="354"/>
      <c r="E199" s="387"/>
      <c r="F199" s="306"/>
      <c r="G199" s="306"/>
      <c r="H199" s="306"/>
      <c r="I199" s="306"/>
      <c r="J199" s="306"/>
      <c r="K199" s="306"/>
      <c r="L199" s="306"/>
      <c r="M199" s="306"/>
      <c r="N199" s="388"/>
      <c r="O199" s="281"/>
      <c r="P199" s="281"/>
      <c r="Q199" s="281"/>
      <c r="R199" s="281"/>
      <c r="S199" s="281"/>
      <c r="T199" s="281"/>
      <c r="U199" s="281"/>
      <c r="V199" s="281"/>
      <c r="W199" s="281"/>
      <c r="X199" s="281"/>
      <c r="Y199" s="281"/>
      <c r="Z199" s="281"/>
      <c r="AA199" s="281"/>
      <c r="AB199" s="281"/>
      <c r="AC199" s="281"/>
      <c r="AD199" s="281"/>
      <c r="AE199" s="281"/>
    </row>
    <row r="200" spans="2:31" ht="15">
      <c r="B200" s="386">
        <f t="shared" si="6"/>
        <v>155</v>
      </c>
      <c r="C200" s="394" t="str" cm="1">
        <f t="array" aca="1" ref="C200" ca="1">IF(B200&lt;=$C$9,GetGetCDSName(B200),"")</f>
        <v/>
      </c>
      <c r="D200" s="354"/>
      <c r="E200" s="387"/>
      <c r="F200" s="306"/>
      <c r="G200" s="306"/>
      <c r="H200" s="306"/>
      <c r="I200" s="306"/>
      <c r="J200" s="306"/>
      <c r="K200" s="306"/>
      <c r="L200" s="306"/>
      <c r="M200" s="306"/>
      <c r="N200" s="388"/>
      <c r="O200" s="281"/>
      <c r="P200" s="281"/>
      <c r="Q200" s="281"/>
      <c r="R200" s="281"/>
      <c r="S200" s="281"/>
      <c r="T200" s="281"/>
      <c r="U200" s="281"/>
      <c r="V200" s="281"/>
      <c r="W200" s="281"/>
      <c r="X200" s="281"/>
      <c r="Y200" s="281"/>
      <c r="Z200" s="281"/>
      <c r="AA200" s="281"/>
      <c r="AB200" s="281"/>
      <c r="AC200" s="281"/>
      <c r="AD200" s="281"/>
      <c r="AE200" s="281"/>
    </row>
    <row r="201" spans="2:31" ht="15">
      <c r="B201" s="386">
        <f t="shared" si="6"/>
        <v>156</v>
      </c>
      <c r="C201" s="394" t="str" cm="1">
        <f t="array" aca="1" ref="C201" ca="1">IF(B201&lt;=$C$9,GetGetCDSName(B201),"")</f>
        <v/>
      </c>
      <c r="D201" s="354"/>
      <c r="E201" s="387"/>
      <c r="F201" s="306"/>
      <c r="G201" s="306"/>
      <c r="H201" s="306"/>
      <c r="I201" s="306"/>
      <c r="J201" s="306"/>
      <c r="K201" s="306"/>
      <c r="L201" s="306"/>
      <c r="M201" s="306"/>
      <c r="N201" s="388"/>
      <c r="O201" s="281"/>
      <c r="P201" s="281"/>
      <c r="Q201" s="281"/>
      <c r="R201" s="281"/>
      <c r="S201" s="281"/>
      <c r="T201" s="281"/>
      <c r="U201" s="281"/>
      <c r="V201" s="281"/>
      <c r="W201" s="281"/>
      <c r="X201" s="281"/>
      <c r="Y201" s="281"/>
      <c r="Z201" s="281"/>
      <c r="AA201" s="281"/>
      <c r="AB201" s="281"/>
      <c r="AC201" s="281"/>
      <c r="AD201" s="281"/>
      <c r="AE201" s="281"/>
    </row>
    <row r="202" spans="2:31" ht="15">
      <c r="B202" s="386">
        <f t="shared" si="6"/>
        <v>157</v>
      </c>
      <c r="C202" s="394" t="str" cm="1">
        <f t="array" aca="1" ref="C202" ca="1">IF(B202&lt;=$C$9,GetGetCDSName(B202),"")</f>
        <v/>
      </c>
      <c r="D202" s="354"/>
      <c r="E202" s="387"/>
      <c r="F202" s="306"/>
      <c r="G202" s="306"/>
      <c r="H202" s="306"/>
      <c r="I202" s="306"/>
      <c r="J202" s="306"/>
      <c r="K202" s="306"/>
      <c r="L202" s="306"/>
      <c r="M202" s="306"/>
      <c r="N202" s="388"/>
      <c r="O202" s="281"/>
      <c r="P202" s="281"/>
      <c r="Q202" s="281"/>
      <c r="R202" s="281"/>
      <c r="S202" s="281"/>
      <c r="T202" s="281"/>
      <c r="U202" s="281"/>
      <c r="V202" s="281"/>
      <c r="W202" s="281"/>
      <c r="X202" s="281"/>
      <c r="Y202" s="281"/>
      <c r="Z202" s="281"/>
      <c r="AA202" s="281"/>
      <c r="AB202" s="281"/>
      <c r="AC202" s="281"/>
      <c r="AD202" s="281"/>
      <c r="AE202" s="281"/>
    </row>
    <row r="203" spans="2:31" ht="15">
      <c r="B203" s="386">
        <f t="shared" si="6"/>
        <v>158</v>
      </c>
      <c r="C203" s="394" t="str" cm="1">
        <f t="array" aca="1" ref="C203" ca="1">IF(B203&lt;=$C$9,GetGetCDSName(B203),"")</f>
        <v/>
      </c>
      <c r="D203" s="354"/>
      <c r="E203" s="387"/>
      <c r="F203" s="306"/>
      <c r="G203" s="306"/>
      <c r="H203" s="306"/>
      <c r="I203" s="306"/>
      <c r="J203" s="306"/>
      <c r="K203" s="306"/>
      <c r="L203" s="306"/>
      <c r="M203" s="306"/>
      <c r="N203" s="388"/>
      <c r="O203" s="281"/>
      <c r="P203" s="281"/>
      <c r="Q203" s="281"/>
      <c r="R203" s="281"/>
      <c r="S203" s="281"/>
      <c r="T203" s="281"/>
      <c r="U203" s="281"/>
      <c r="V203" s="281"/>
      <c r="W203" s="281"/>
      <c r="X203" s="281"/>
      <c r="Y203" s="281"/>
      <c r="Z203" s="281"/>
      <c r="AA203" s="281"/>
      <c r="AB203" s="281"/>
      <c r="AC203" s="281"/>
      <c r="AD203" s="281"/>
      <c r="AE203" s="281"/>
    </row>
    <row r="204" spans="2:31" ht="15">
      <c r="B204" s="386">
        <f t="shared" si="6"/>
        <v>159</v>
      </c>
      <c r="C204" s="394" t="str" cm="1">
        <f t="array" aca="1" ref="C204" ca="1">IF(B204&lt;=$C$9,GetGetCDSName(B204),"")</f>
        <v/>
      </c>
      <c r="D204" s="354"/>
      <c r="E204" s="387"/>
      <c r="F204" s="306"/>
      <c r="G204" s="306"/>
      <c r="H204" s="306"/>
      <c r="I204" s="306"/>
      <c r="J204" s="306"/>
      <c r="K204" s="306"/>
      <c r="L204" s="306"/>
      <c r="M204" s="306"/>
      <c r="N204" s="388"/>
      <c r="O204" s="281"/>
      <c r="P204" s="281"/>
      <c r="Q204" s="281"/>
      <c r="R204" s="281"/>
      <c r="S204" s="281"/>
      <c r="T204" s="281"/>
      <c r="U204" s="281"/>
      <c r="V204" s="281"/>
      <c r="W204" s="281"/>
      <c r="X204" s="281"/>
      <c r="Y204" s="281"/>
      <c r="Z204" s="281"/>
      <c r="AA204" s="281"/>
      <c r="AB204" s="281"/>
      <c r="AC204" s="281"/>
      <c r="AD204" s="281"/>
      <c r="AE204" s="281"/>
    </row>
    <row r="205" spans="2:31" ht="15">
      <c r="B205" s="386">
        <f t="shared" si="6"/>
        <v>160</v>
      </c>
      <c r="C205" s="394" t="str" cm="1">
        <f t="array" aca="1" ref="C205" ca="1">IF(B205&lt;=$C$9,GetGetCDSName(B205),"")</f>
        <v/>
      </c>
      <c r="D205" s="354"/>
      <c r="E205" s="387"/>
      <c r="F205" s="306"/>
      <c r="G205" s="306"/>
      <c r="H205" s="306"/>
      <c r="I205" s="306"/>
      <c r="J205" s="306"/>
      <c r="K205" s="306"/>
      <c r="L205" s="306"/>
      <c r="M205" s="306"/>
      <c r="N205" s="388"/>
      <c r="O205" s="281"/>
      <c r="P205" s="281"/>
      <c r="Q205" s="281"/>
      <c r="R205" s="281"/>
      <c r="S205" s="281"/>
      <c r="T205" s="281"/>
      <c r="U205" s="281"/>
      <c r="V205" s="281"/>
      <c r="W205" s="281"/>
      <c r="X205" s="281"/>
      <c r="Y205" s="281"/>
      <c r="Z205" s="281"/>
      <c r="AA205" s="281"/>
      <c r="AB205" s="281"/>
      <c r="AC205" s="281"/>
      <c r="AD205" s="281"/>
      <c r="AE205" s="281"/>
    </row>
    <row r="206" spans="2:31" ht="15">
      <c r="B206" s="386">
        <f t="shared" si="6"/>
        <v>161</v>
      </c>
      <c r="C206" s="394" t="str" cm="1">
        <f t="array" aca="1" ref="C206" ca="1">IF(B206&lt;=$C$9,GetGetCDSName(B206),"")</f>
        <v/>
      </c>
      <c r="D206" s="354"/>
      <c r="E206" s="387"/>
      <c r="F206" s="306"/>
      <c r="G206" s="306"/>
      <c r="H206" s="306"/>
      <c r="I206" s="306"/>
      <c r="J206" s="306"/>
      <c r="K206" s="306"/>
      <c r="L206" s="306"/>
      <c r="M206" s="306"/>
      <c r="N206" s="388"/>
      <c r="O206" s="281"/>
      <c r="P206" s="281"/>
      <c r="Q206" s="281"/>
      <c r="R206" s="281"/>
      <c r="S206" s="281"/>
      <c r="T206" s="281"/>
      <c r="U206" s="281"/>
      <c r="V206" s="281"/>
      <c r="W206" s="281"/>
      <c r="X206" s="281"/>
      <c r="Y206" s="281"/>
      <c r="Z206" s="281"/>
      <c r="AA206" s="281"/>
      <c r="AB206" s="281"/>
      <c r="AC206" s="281"/>
      <c r="AD206" s="281"/>
      <c r="AE206" s="281"/>
    </row>
    <row r="207" spans="2:31" ht="15">
      <c r="B207" s="386">
        <f t="shared" si="6"/>
        <v>162</v>
      </c>
      <c r="C207" s="394" t="str" cm="1">
        <f t="array" aca="1" ref="C207" ca="1">IF(B207&lt;=$C$9,GetGetCDSName(B207),"")</f>
        <v/>
      </c>
      <c r="D207" s="354"/>
      <c r="E207" s="387"/>
      <c r="F207" s="306"/>
      <c r="G207" s="306"/>
      <c r="H207" s="306"/>
      <c r="I207" s="306"/>
      <c r="J207" s="306"/>
      <c r="K207" s="306"/>
      <c r="L207" s="306"/>
      <c r="M207" s="306"/>
      <c r="N207" s="388"/>
      <c r="O207" s="281"/>
      <c r="P207" s="281"/>
      <c r="Q207" s="281"/>
      <c r="R207" s="281"/>
      <c r="S207" s="281"/>
      <c r="T207" s="281"/>
      <c r="U207" s="281"/>
      <c r="V207" s="281"/>
      <c r="W207" s="281"/>
      <c r="X207" s="281"/>
      <c r="Y207" s="281"/>
      <c r="Z207" s="281"/>
      <c r="AA207" s="281"/>
      <c r="AB207" s="281"/>
      <c r="AC207" s="281"/>
      <c r="AD207" s="281"/>
      <c r="AE207" s="281"/>
    </row>
    <row r="208" spans="2:31" ht="15">
      <c r="B208" s="386">
        <f t="shared" si="6"/>
        <v>163</v>
      </c>
      <c r="C208" s="394" t="str" cm="1">
        <f t="array" aca="1" ref="C208" ca="1">IF(B208&lt;=$C$9,GetGetCDSName(B208),"")</f>
        <v/>
      </c>
      <c r="D208" s="354"/>
      <c r="E208" s="387"/>
      <c r="F208" s="306"/>
      <c r="G208" s="306"/>
      <c r="H208" s="306"/>
      <c r="I208" s="306"/>
      <c r="J208" s="306"/>
      <c r="K208" s="306"/>
      <c r="L208" s="306"/>
      <c r="M208" s="306"/>
      <c r="N208" s="388"/>
      <c r="O208" s="281"/>
      <c r="P208" s="281"/>
      <c r="Q208" s="281"/>
      <c r="R208" s="281"/>
      <c r="S208" s="281"/>
      <c r="T208" s="281"/>
      <c r="U208" s="281"/>
      <c r="V208" s="281"/>
      <c r="W208" s="281"/>
      <c r="X208" s="281"/>
      <c r="Y208" s="281"/>
      <c r="Z208" s="281"/>
      <c r="AA208" s="281"/>
      <c r="AB208" s="281"/>
      <c r="AC208" s="281"/>
      <c r="AD208" s="281"/>
      <c r="AE208" s="281"/>
    </row>
    <row r="209" spans="2:31" ht="15">
      <c r="B209" s="386">
        <f t="shared" si="6"/>
        <v>164</v>
      </c>
      <c r="C209" s="394" t="str" cm="1">
        <f t="array" aca="1" ref="C209" ca="1">IF(B209&lt;=$C$9,GetGetCDSName(B209),"")</f>
        <v/>
      </c>
      <c r="D209" s="354"/>
      <c r="E209" s="387"/>
      <c r="F209" s="306"/>
      <c r="G209" s="306"/>
      <c r="H209" s="306"/>
      <c r="I209" s="306"/>
      <c r="J209" s="306"/>
      <c r="K209" s="306"/>
      <c r="L209" s="306"/>
      <c r="M209" s="306"/>
      <c r="N209" s="388"/>
      <c r="O209" s="281"/>
      <c r="P209" s="281"/>
      <c r="Q209" s="281"/>
      <c r="R209" s="281"/>
      <c r="S209" s="281"/>
      <c r="T209" s="281"/>
      <c r="U209" s="281"/>
      <c r="V209" s="281"/>
      <c r="W209" s="281"/>
      <c r="X209" s="281"/>
      <c r="Y209" s="281"/>
      <c r="Z209" s="281"/>
      <c r="AA209" s="281"/>
      <c r="AB209" s="281"/>
      <c r="AC209" s="281"/>
      <c r="AD209" s="281"/>
      <c r="AE209" s="281"/>
    </row>
    <row r="210" spans="2:31" ht="15">
      <c r="B210" s="386">
        <f t="shared" si="6"/>
        <v>165</v>
      </c>
      <c r="C210" s="394" t="str" cm="1">
        <f t="array" aca="1" ref="C210" ca="1">IF(B210&lt;=$C$9,GetGetCDSName(B210),"")</f>
        <v/>
      </c>
      <c r="D210" s="354"/>
      <c r="E210" s="387"/>
      <c r="F210" s="306"/>
      <c r="G210" s="306"/>
      <c r="H210" s="306"/>
      <c r="I210" s="306"/>
      <c r="J210" s="306"/>
      <c r="K210" s="306"/>
      <c r="L210" s="306"/>
      <c r="M210" s="306"/>
      <c r="N210" s="388"/>
      <c r="O210" s="281"/>
      <c r="P210" s="281"/>
      <c r="Q210" s="281"/>
      <c r="R210" s="281"/>
      <c r="S210" s="281"/>
      <c r="T210" s="281"/>
      <c r="U210" s="281"/>
      <c r="V210" s="281"/>
      <c r="W210" s="281"/>
      <c r="X210" s="281"/>
      <c r="Y210" s="281"/>
      <c r="Z210" s="281"/>
      <c r="AA210" s="281"/>
      <c r="AB210" s="281"/>
      <c r="AC210" s="281"/>
      <c r="AD210" s="281"/>
      <c r="AE210" s="281"/>
    </row>
    <row r="211" spans="2:31" ht="15">
      <c r="B211" s="386">
        <f t="shared" si="6"/>
        <v>166</v>
      </c>
      <c r="C211" s="394" t="str" cm="1">
        <f t="array" aca="1" ref="C211" ca="1">IF(B211&lt;=$C$9,GetGetCDSName(B211),"")</f>
        <v/>
      </c>
      <c r="D211" s="354"/>
      <c r="E211" s="387"/>
      <c r="F211" s="306"/>
      <c r="G211" s="306"/>
      <c r="H211" s="306"/>
      <c r="I211" s="306"/>
      <c r="J211" s="306"/>
      <c r="K211" s="306"/>
      <c r="L211" s="306"/>
      <c r="M211" s="306"/>
      <c r="N211" s="388"/>
      <c r="O211" s="281"/>
      <c r="P211" s="281"/>
      <c r="Q211" s="281"/>
      <c r="R211" s="281"/>
      <c r="S211" s="281"/>
      <c r="T211" s="281"/>
      <c r="U211" s="281"/>
      <c r="V211" s="281"/>
      <c r="W211" s="281"/>
      <c r="X211" s="281"/>
      <c r="Y211" s="281"/>
      <c r="Z211" s="281"/>
      <c r="AA211" s="281"/>
      <c r="AB211" s="281"/>
      <c r="AC211" s="281"/>
      <c r="AD211" s="281"/>
      <c r="AE211" s="281"/>
    </row>
    <row r="212" spans="2:31" ht="15">
      <c r="B212" s="386">
        <f t="shared" si="6"/>
        <v>167</v>
      </c>
      <c r="C212" s="394" t="str" cm="1">
        <f t="array" aca="1" ref="C212" ca="1">IF(B212&lt;=$C$9,GetGetCDSName(B212),"")</f>
        <v/>
      </c>
      <c r="D212" s="354"/>
      <c r="E212" s="387"/>
      <c r="F212" s="306"/>
      <c r="G212" s="306"/>
      <c r="H212" s="306"/>
      <c r="I212" s="306"/>
      <c r="J212" s="306"/>
      <c r="K212" s="306"/>
      <c r="L212" s="306"/>
      <c r="M212" s="306"/>
      <c r="N212" s="388"/>
      <c r="O212" s="281"/>
      <c r="P212" s="281"/>
      <c r="Q212" s="281"/>
      <c r="R212" s="281"/>
      <c r="S212" s="281"/>
      <c r="T212" s="281"/>
      <c r="U212" s="281"/>
      <c r="V212" s="281"/>
      <c r="W212" s="281"/>
      <c r="X212" s="281"/>
      <c r="Y212" s="281"/>
      <c r="Z212" s="281"/>
      <c r="AA212" s="281"/>
      <c r="AB212" s="281"/>
      <c r="AC212" s="281"/>
      <c r="AD212" s="281"/>
      <c r="AE212" s="281"/>
    </row>
    <row r="213" spans="2:31" ht="15">
      <c r="B213" s="386">
        <f t="shared" si="6"/>
        <v>168</v>
      </c>
      <c r="C213" s="394" t="str" cm="1">
        <f t="array" aca="1" ref="C213" ca="1">IF(B213&lt;=$C$9,GetGetCDSName(B213),"")</f>
        <v/>
      </c>
      <c r="D213" s="354"/>
      <c r="E213" s="387"/>
      <c r="F213" s="306"/>
      <c r="G213" s="306"/>
      <c r="H213" s="306"/>
      <c r="I213" s="306"/>
      <c r="J213" s="306"/>
      <c r="K213" s="306"/>
      <c r="L213" s="306"/>
      <c r="M213" s="306"/>
      <c r="N213" s="388"/>
      <c r="O213" s="281"/>
      <c r="P213" s="281"/>
      <c r="Q213" s="281"/>
      <c r="R213" s="281"/>
      <c r="S213" s="281"/>
      <c r="T213" s="281"/>
      <c r="U213" s="281"/>
      <c r="V213" s="281"/>
      <c r="W213" s="281"/>
      <c r="X213" s="281"/>
      <c r="Y213" s="281"/>
      <c r="Z213" s="281"/>
      <c r="AA213" s="281"/>
      <c r="AB213" s="281"/>
      <c r="AC213" s="281"/>
      <c r="AD213" s="281"/>
      <c r="AE213" s="281"/>
    </row>
    <row r="214" spans="2:31" ht="15">
      <c r="B214" s="386">
        <f t="shared" si="6"/>
        <v>169</v>
      </c>
      <c r="C214" s="394" t="str" cm="1">
        <f t="array" aca="1" ref="C214" ca="1">IF(B214&lt;=$C$9,GetGetCDSName(B214),"")</f>
        <v/>
      </c>
      <c r="D214" s="354"/>
      <c r="E214" s="387"/>
      <c r="F214" s="306"/>
      <c r="G214" s="306"/>
      <c r="H214" s="306"/>
      <c r="I214" s="306"/>
      <c r="J214" s="306"/>
      <c r="K214" s="306"/>
      <c r="L214" s="306"/>
      <c r="M214" s="306"/>
      <c r="N214" s="388"/>
      <c r="O214" s="281"/>
      <c r="P214" s="281"/>
      <c r="Q214" s="281"/>
      <c r="R214" s="281"/>
      <c r="S214" s="281"/>
      <c r="T214" s="281"/>
      <c r="U214" s="281"/>
      <c r="V214" s="281"/>
      <c r="W214" s="281"/>
      <c r="X214" s="281"/>
      <c r="Y214" s="281"/>
      <c r="Z214" s="281"/>
      <c r="AA214" s="281"/>
      <c r="AB214" s="281"/>
      <c r="AC214" s="281"/>
      <c r="AD214" s="281"/>
      <c r="AE214" s="281"/>
    </row>
    <row r="215" spans="2:31" ht="15">
      <c r="B215" s="386">
        <f t="shared" si="6"/>
        <v>170</v>
      </c>
      <c r="C215" s="394" t="str" cm="1">
        <f t="array" aca="1" ref="C215" ca="1">IF(B215&lt;=$C$9,GetGetCDSName(B215),"")</f>
        <v/>
      </c>
      <c r="D215" s="354"/>
      <c r="E215" s="387"/>
      <c r="F215" s="306"/>
      <c r="G215" s="306"/>
      <c r="H215" s="306"/>
      <c r="I215" s="306"/>
      <c r="J215" s="306"/>
      <c r="K215" s="306"/>
      <c r="L215" s="306"/>
      <c r="M215" s="306"/>
      <c r="N215" s="388"/>
      <c r="O215" s="281"/>
      <c r="P215" s="281"/>
      <c r="Q215" s="281"/>
      <c r="R215" s="281"/>
      <c r="S215" s="281"/>
      <c r="T215" s="281"/>
      <c r="U215" s="281"/>
      <c r="V215" s="281"/>
      <c r="W215" s="281"/>
      <c r="X215" s="281"/>
      <c r="Y215" s="281"/>
      <c r="Z215" s="281"/>
      <c r="AA215" s="281"/>
      <c r="AB215" s="281"/>
      <c r="AC215" s="281"/>
      <c r="AD215" s="281"/>
      <c r="AE215" s="281"/>
    </row>
    <row r="216" spans="2:31" ht="15">
      <c r="B216" s="386">
        <f t="shared" si="6"/>
        <v>171</v>
      </c>
      <c r="C216" s="394" t="str" cm="1">
        <f t="array" aca="1" ref="C216" ca="1">IF(B216&lt;=$C$9,GetGetCDSName(B216),"")</f>
        <v/>
      </c>
      <c r="D216" s="354"/>
      <c r="E216" s="387"/>
      <c r="F216" s="306"/>
      <c r="G216" s="306"/>
      <c r="H216" s="306"/>
      <c r="I216" s="306"/>
      <c r="J216" s="306"/>
      <c r="K216" s="306"/>
      <c r="L216" s="306"/>
      <c r="M216" s="306"/>
      <c r="N216" s="388"/>
      <c r="O216" s="281"/>
      <c r="P216" s="281"/>
      <c r="Q216" s="281"/>
      <c r="R216" s="281"/>
      <c r="S216" s="281"/>
      <c r="T216" s="281"/>
      <c r="U216" s="281"/>
      <c r="V216" s="281"/>
      <c r="W216" s="281"/>
      <c r="X216" s="281"/>
      <c r="Y216" s="281"/>
      <c r="Z216" s="281"/>
      <c r="AA216" s="281"/>
      <c r="AB216" s="281"/>
      <c r="AC216" s="281"/>
      <c r="AD216" s="281"/>
      <c r="AE216" s="281"/>
    </row>
    <row r="217" spans="2:31" ht="15">
      <c r="B217" s="386">
        <f t="shared" si="6"/>
        <v>172</v>
      </c>
      <c r="C217" s="394" t="str" cm="1">
        <f t="array" aca="1" ref="C217" ca="1">IF(B217&lt;=$C$9,GetGetCDSName(B217),"")</f>
        <v/>
      </c>
      <c r="D217" s="354"/>
      <c r="E217" s="387"/>
      <c r="F217" s="306"/>
      <c r="G217" s="306"/>
      <c r="H217" s="306"/>
      <c r="I217" s="306"/>
      <c r="J217" s="306"/>
      <c r="K217" s="306"/>
      <c r="L217" s="306"/>
      <c r="M217" s="306"/>
      <c r="N217" s="388"/>
      <c r="O217" s="281"/>
      <c r="P217" s="281"/>
      <c r="Q217" s="281"/>
      <c r="R217" s="281"/>
      <c r="S217" s="281"/>
      <c r="T217" s="281"/>
      <c r="U217" s="281"/>
      <c r="V217" s="281"/>
      <c r="W217" s="281"/>
      <c r="X217" s="281"/>
      <c r="Y217" s="281"/>
      <c r="Z217" s="281"/>
      <c r="AA217" s="281"/>
      <c r="AB217" s="281"/>
      <c r="AC217" s="281"/>
      <c r="AD217" s="281"/>
      <c r="AE217" s="281"/>
    </row>
    <row r="218" spans="2:31" ht="15">
      <c r="B218" s="386">
        <f t="shared" si="6"/>
        <v>173</v>
      </c>
      <c r="C218" s="394" t="str" cm="1">
        <f t="array" aca="1" ref="C218" ca="1">IF(B218&lt;=$C$9,GetGetCDSName(B218),"")</f>
        <v/>
      </c>
      <c r="D218" s="354"/>
      <c r="E218" s="387"/>
      <c r="F218" s="306"/>
      <c r="G218" s="306"/>
      <c r="H218" s="306"/>
      <c r="I218" s="306"/>
      <c r="J218" s="306"/>
      <c r="K218" s="306"/>
      <c r="L218" s="306"/>
      <c r="M218" s="306"/>
      <c r="N218" s="388"/>
      <c r="O218" s="281"/>
      <c r="P218" s="281"/>
      <c r="Q218" s="281"/>
      <c r="R218" s="281"/>
      <c r="S218" s="281"/>
      <c r="T218" s="281"/>
      <c r="U218" s="281"/>
      <c r="V218" s="281"/>
      <c r="W218" s="281"/>
      <c r="X218" s="281"/>
      <c r="Y218" s="281"/>
      <c r="Z218" s="281"/>
      <c r="AA218" s="281"/>
      <c r="AB218" s="281"/>
      <c r="AC218" s="281"/>
      <c r="AD218" s="281"/>
      <c r="AE218" s="281"/>
    </row>
    <row r="219" spans="2:31" ht="15">
      <c r="B219" s="386">
        <f t="shared" si="6"/>
        <v>174</v>
      </c>
      <c r="C219" s="394" t="str" cm="1">
        <f t="array" aca="1" ref="C219" ca="1">IF(B219&lt;=$C$9,GetGetCDSName(B219),"")</f>
        <v/>
      </c>
      <c r="D219" s="354"/>
      <c r="E219" s="387"/>
      <c r="F219" s="306"/>
      <c r="G219" s="306"/>
      <c r="H219" s="306"/>
      <c r="I219" s="306"/>
      <c r="J219" s="306"/>
      <c r="K219" s="306"/>
      <c r="L219" s="306"/>
      <c r="M219" s="306"/>
      <c r="N219" s="388"/>
      <c r="O219" s="281"/>
      <c r="P219" s="281"/>
      <c r="Q219" s="281"/>
      <c r="R219" s="281"/>
      <c r="S219" s="281"/>
      <c r="T219" s="281"/>
      <c r="U219" s="281"/>
      <c r="V219" s="281"/>
      <c r="W219" s="281"/>
      <c r="X219" s="281"/>
      <c r="Y219" s="281"/>
      <c r="Z219" s="281"/>
      <c r="AA219" s="281"/>
      <c r="AB219" s="281"/>
      <c r="AC219" s="281"/>
      <c r="AD219" s="281"/>
      <c r="AE219" s="281"/>
    </row>
    <row r="220" spans="2:31" ht="15">
      <c r="B220" s="386">
        <f t="shared" si="6"/>
        <v>175</v>
      </c>
      <c r="C220" s="394" t="str" cm="1">
        <f t="array" aca="1" ref="C220" ca="1">IF(B220&lt;=$C$9,GetGetCDSName(B220),"")</f>
        <v/>
      </c>
      <c r="D220" s="354"/>
      <c r="E220" s="387"/>
      <c r="F220" s="306"/>
      <c r="G220" s="306"/>
      <c r="H220" s="306"/>
      <c r="I220" s="306"/>
      <c r="J220" s="306"/>
      <c r="K220" s="306"/>
      <c r="L220" s="306"/>
      <c r="M220" s="306"/>
      <c r="N220" s="388"/>
      <c r="O220" s="281"/>
      <c r="P220" s="281"/>
      <c r="Q220" s="281"/>
      <c r="R220" s="281"/>
      <c r="S220" s="281"/>
      <c r="T220" s="281"/>
      <c r="U220" s="281"/>
      <c r="V220" s="281"/>
      <c r="W220" s="281"/>
      <c r="X220" s="281"/>
      <c r="Y220" s="281"/>
      <c r="Z220" s="281"/>
      <c r="AA220" s="281"/>
      <c r="AB220" s="281"/>
      <c r="AC220" s="281"/>
      <c r="AD220" s="281"/>
      <c r="AE220" s="281"/>
    </row>
    <row r="221" spans="2:31" ht="15">
      <c r="B221" s="386">
        <f t="shared" si="6"/>
        <v>176</v>
      </c>
      <c r="C221" s="394" t="str" cm="1">
        <f t="array" aca="1" ref="C221" ca="1">IF(B221&lt;=$C$9,GetGetCDSName(B221),"")</f>
        <v/>
      </c>
      <c r="D221" s="354"/>
      <c r="E221" s="387"/>
      <c r="F221" s="306"/>
      <c r="G221" s="306"/>
      <c r="H221" s="306"/>
      <c r="I221" s="306"/>
      <c r="J221" s="306"/>
      <c r="K221" s="306"/>
      <c r="L221" s="306"/>
      <c r="M221" s="306"/>
      <c r="N221" s="388"/>
      <c r="O221" s="281"/>
      <c r="P221" s="281"/>
      <c r="Q221" s="281"/>
      <c r="R221" s="281"/>
      <c r="S221" s="281"/>
      <c r="T221" s="281"/>
      <c r="U221" s="281"/>
      <c r="V221" s="281"/>
      <c r="W221" s="281"/>
      <c r="X221" s="281"/>
      <c r="Y221" s="281"/>
      <c r="Z221" s="281"/>
      <c r="AA221" s="281"/>
      <c r="AB221" s="281"/>
      <c r="AC221" s="281"/>
      <c r="AD221" s="281"/>
      <c r="AE221" s="281"/>
    </row>
    <row r="222" spans="2:31" ht="15">
      <c r="B222" s="386">
        <f t="shared" si="6"/>
        <v>177</v>
      </c>
      <c r="C222" s="394" t="str" cm="1">
        <f t="array" aca="1" ref="C222" ca="1">IF(B222&lt;=$C$9,GetGetCDSName(B222),"")</f>
        <v/>
      </c>
      <c r="D222" s="354"/>
      <c r="E222" s="387"/>
      <c r="F222" s="306"/>
      <c r="G222" s="306"/>
      <c r="H222" s="306"/>
      <c r="I222" s="306"/>
      <c r="J222" s="306"/>
      <c r="K222" s="306"/>
      <c r="L222" s="306"/>
      <c r="M222" s="306"/>
      <c r="N222" s="388"/>
      <c r="O222" s="281"/>
      <c r="P222" s="281"/>
      <c r="Q222" s="281"/>
      <c r="R222" s="281"/>
      <c r="S222" s="281"/>
      <c r="T222" s="281"/>
      <c r="U222" s="281"/>
      <c r="V222" s="281"/>
      <c r="W222" s="281"/>
      <c r="X222" s="281"/>
      <c r="Y222" s="281"/>
      <c r="Z222" s="281"/>
      <c r="AA222" s="281"/>
      <c r="AB222" s="281"/>
      <c r="AC222" s="281"/>
      <c r="AD222" s="281"/>
      <c r="AE222" s="281"/>
    </row>
    <row r="223" spans="2:31" ht="15">
      <c r="B223" s="386">
        <f t="shared" si="6"/>
        <v>178</v>
      </c>
      <c r="C223" s="394" t="str" cm="1">
        <f t="array" aca="1" ref="C223" ca="1">IF(B223&lt;=$C$9,GetGetCDSName(B223),"")</f>
        <v/>
      </c>
      <c r="D223" s="354"/>
      <c r="E223" s="387"/>
      <c r="F223" s="306"/>
      <c r="G223" s="306"/>
      <c r="H223" s="306"/>
      <c r="I223" s="306"/>
      <c r="J223" s="306"/>
      <c r="K223" s="306"/>
      <c r="L223" s="306"/>
      <c r="M223" s="306"/>
      <c r="N223" s="388"/>
      <c r="O223" s="281"/>
      <c r="P223" s="281"/>
      <c r="Q223" s="281"/>
      <c r="R223" s="281"/>
      <c r="S223" s="281"/>
      <c r="T223" s="281"/>
      <c r="U223" s="281"/>
      <c r="V223" s="281"/>
      <c r="W223" s="281"/>
      <c r="X223" s="281"/>
      <c r="Y223" s="281"/>
      <c r="Z223" s="281"/>
      <c r="AA223" s="281"/>
      <c r="AB223" s="281"/>
      <c r="AC223" s="281"/>
      <c r="AD223" s="281"/>
      <c r="AE223" s="281"/>
    </row>
    <row r="224" spans="2:31" ht="15">
      <c r="B224" s="386">
        <f t="shared" si="6"/>
        <v>179</v>
      </c>
      <c r="C224" s="394" t="str" cm="1">
        <f t="array" aca="1" ref="C224" ca="1">IF(B224&lt;=$C$9,GetGetCDSName(B224),"")</f>
        <v/>
      </c>
      <c r="D224" s="354"/>
      <c r="E224" s="387"/>
      <c r="F224" s="306"/>
      <c r="G224" s="306"/>
      <c r="H224" s="306"/>
      <c r="I224" s="306"/>
      <c r="J224" s="306"/>
      <c r="K224" s="306"/>
      <c r="L224" s="306"/>
      <c r="M224" s="306"/>
      <c r="N224" s="388"/>
      <c r="O224" s="281"/>
      <c r="P224" s="281"/>
      <c r="Q224" s="281"/>
      <c r="R224" s="281"/>
      <c r="S224" s="281"/>
      <c r="T224" s="281"/>
      <c r="U224" s="281"/>
      <c r="V224" s="281"/>
      <c r="W224" s="281"/>
      <c r="X224" s="281"/>
      <c r="Y224" s="281"/>
      <c r="Z224" s="281"/>
      <c r="AA224" s="281"/>
      <c r="AB224" s="281"/>
      <c r="AC224" s="281"/>
      <c r="AD224" s="281"/>
      <c r="AE224" s="281"/>
    </row>
    <row r="225" spans="2:31" ht="15">
      <c r="B225" s="386">
        <f t="shared" si="6"/>
        <v>180</v>
      </c>
      <c r="C225" s="394" t="str" cm="1">
        <f t="array" aca="1" ref="C225" ca="1">IF(B225&lt;=$C$9,GetGetCDSName(B225),"")</f>
        <v/>
      </c>
      <c r="D225" s="354"/>
      <c r="E225" s="387"/>
      <c r="F225" s="306"/>
      <c r="G225" s="306"/>
      <c r="H225" s="306"/>
      <c r="I225" s="306"/>
      <c r="J225" s="306"/>
      <c r="K225" s="306"/>
      <c r="L225" s="306"/>
      <c r="M225" s="306"/>
      <c r="N225" s="388"/>
      <c r="O225" s="281"/>
      <c r="P225" s="281"/>
      <c r="Q225" s="281"/>
      <c r="R225" s="281"/>
      <c r="S225" s="281"/>
      <c r="T225" s="281"/>
      <c r="U225" s="281"/>
      <c r="V225" s="281"/>
      <c r="W225" s="281"/>
      <c r="X225" s="281"/>
      <c r="Y225" s="281"/>
      <c r="Z225" s="281"/>
      <c r="AA225" s="281"/>
      <c r="AB225" s="281"/>
      <c r="AC225" s="281"/>
      <c r="AD225" s="281"/>
      <c r="AE225" s="281"/>
    </row>
    <row r="226" spans="2:31" ht="15">
      <c r="B226" s="386">
        <f t="shared" si="6"/>
        <v>181</v>
      </c>
      <c r="C226" s="394" t="str" cm="1">
        <f t="array" aca="1" ref="C226" ca="1">IF(B226&lt;=$C$9,GetGetCDSName(B226),"")</f>
        <v/>
      </c>
      <c r="D226" s="354"/>
      <c r="E226" s="387"/>
      <c r="F226" s="306"/>
      <c r="G226" s="306"/>
      <c r="H226" s="306"/>
      <c r="I226" s="306"/>
      <c r="J226" s="306"/>
      <c r="K226" s="306"/>
      <c r="L226" s="306"/>
      <c r="M226" s="306"/>
      <c r="N226" s="388"/>
      <c r="O226" s="281"/>
      <c r="P226" s="281"/>
      <c r="Q226" s="281"/>
      <c r="R226" s="281"/>
      <c r="S226" s="281"/>
      <c r="T226" s="281"/>
      <c r="U226" s="281"/>
      <c r="V226" s="281"/>
      <c r="W226" s="281"/>
      <c r="X226" s="281"/>
      <c r="Y226" s="281"/>
      <c r="Z226" s="281"/>
      <c r="AA226" s="281"/>
      <c r="AB226" s="281"/>
      <c r="AC226" s="281"/>
      <c r="AD226" s="281"/>
      <c r="AE226" s="281"/>
    </row>
    <row r="227" spans="2:31" ht="15">
      <c r="B227" s="386">
        <f t="shared" si="6"/>
        <v>182</v>
      </c>
      <c r="C227" s="394" t="str" cm="1">
        <f t="array" aca="1" ref="C227" ca="1">IF(B227&lt;=$C$9,GetGetCDSName(B227),"")</f>
        <v/>
      </c>
      <c r="D227" s="354"/>
      <c r="E227" s="387"/>
      <c r="F227" s="306"/>
      <c r="G227" s="306"/>
      <c r="H227" s="306"/>
      <c r="I227" s="306"/>
      <c r="J227" s="306"/>
      <c r="K227" s="306"/>
      <c r="L227" s="306"/>
      <c r="M227" s="306"/>
      <c r="N227" s="388"/>
      <c r="O227" s="281"/>
      <c r="P227" s="281"/>
      <c r="Q227" s="281"/>
      <c r="R227" s="281"/>
      <c r="S227" s="281"/>
      <c r="T227" s="281"/>
      <c r="U227" s="281"/>
      <c r="V227" s="281"/>
      <c r="W227" s="281"/>
      <c r="X227" s="281"/>
      <c r="Y227" s="281"/>
      <c r="Z227" s="281"/>
      <c r="AA227" s="281"/>
      <c r="AB227" s="281"/>
      <c r="AC227" s="281"/>
      <c r="AD227" s="281"/>
      <c r="AE227" s="281"/>
    </row>
    <row r="228" spans="2:31" ht="15">
      <c r="B228" s="386">
        <f t="shared" si="6"/>
        <v>183</v>
      </c>
      <c r="C228" s="394" t="str" cm="1">
        <f t="array" aca="1" ref="C228" ca="1">IF(B228&lt;=$C$9,GetGetCDSName(B228),"")</f>
        <v/>
      </c>
      <c r="D228" s="354"/>
      <c r="E228" s="387"/>
      <c r="F228" s="306"/>
      <c r="G228" s="306"/>
      <c r="H228" s="306"/>
      <c r="I228" s="306"/>
      <c r="J228" s="306"/>
      <c r="K228" s="306"/>
      <c r="L228" s="306"/>
      <c r="M228" s="306"/>
      <c r="N228" s="388"/>
      <c r="O228" s="281"/>
      <c r="P228" s="281"/>
      <c r="Q228" s="281"/>
      <c r="R228" s="281"/>
      <c r="S228" s="281"/>
      <c r="T228" s="281"/>
      <c r="U228" s="281"/>
      <c r="V228" s="281"/>
      <c r="W228" s="281"/>
      <c r="X228" s="281"/>
      <c r="Y228" s="281"/>
      <c r="Z228" s="281"/>
      <c r="AA228" s="281"/>
      <c r="AB228" s="281"/>
      <c r="AC228" s="281"/>
      <c r="AD228" s="281"/>
      <c r="AE228" s="281"/>
    </row>
    <row r="229" spans="2:31" ht="15">
      <c r="B229" s="386">
        <f t="shared" si="6"/>
        <v>184</v>
      </c>
      <c r="C229" s="394" t="str" cm="1">
        <f t="array" aca="1" ref="C229" ca="1">IF(B229&lt;=$C$9,GetGetCDSName(B229),"")</f>
        <v/>
      </c>
      <c r="D229" s="354"/>
      <c r="E229" s="387"/>
      <c r="F229" s="306"/>
      <c r="G229" s="306"/>
      <c r="H229" s="306"/>
      <c r="I229" s="306"/>
      <c r="J229" s="306"/>
      <c r="K229" s="306"/>
      <c r="L229" s="306"/>
      <c r="M229" s="306"/>
      <c r="N229" s="388"/>
      <c r="O229" s="281"/>
      <c r="P229" s="281"/>
      <c r="Q229" s="281"/>
      <c r="R229" s="281"/>
      <c r="S229" s="281"/>
      <c r="T229" s="281"/>
      <c r="U229" s="281"/>
      <c r="V229" s="281"/>
      <c r="W229" s="281"/>
      <c r="X229" s="281"/>
      <c r="Y229" s="281"/>
      <c r="Z229" s="281"/>
      <c r="AA229" s="281"/>
      <c r="AB229" s="281"/>
      <c r="AC229" s="281"/>
      <c r="AD229" s="281"/>
      <c r="AE229" s="281"/>
    </row>
    <row r="230" spans="2:31" ht="15">
      <c r="B230" s="386">
        <f t="shared" si="6"/>
        <v>185</v>
      </c>
      <c r="C230" s="394" t="str" cm="1">
        <f t="array" aca="1" ref="C230" ca="1">IF(B230&lt;=$C$9,GetGetCDSName(B230),"")</f>
        <v/>
      </c>
      <c r="D230" s="354"/>
      <c r="E230" s="387"/>
      <c r="F230" s="306"/>
      <c r="G230" s="306"/>
      <c r="H230" s="306"/>
      <c r="I230" s="306"/>
      <c r="J230" s="306"/>
      <c r="K230" s="306"/>
      <c r="L230" s="306"/>
      <c r="M230" s="306"/>
      <c r="N230" s="388"/>
      <c r="O230" s="281"/>
      <c r="P230" s="281"/>
      <c r="Q230" s="281"/>
      <c r="R230" s="281"/>
      <c r="S230" s="281"/>
      <c r="T230" s="281"/>
      <c r="U230" s="281"/>
      <c r="V230" s="281"/>
      <c r="W230" s="281"/>
      <c r="X230" s="281"/>
      <c r="Y230" s="281"/>
      <c r="Z230" s="281"/>
      <c r="AA230" s="281"/>
      <c r="AB230" s="281"/>
      <c r="AC230" s="281"/>
      <c r="AD230" s="281"/>
      <c r="AE230" s="281"/>
    </row>
    <row r="231" spans="2:31" ht="15">
      <c r="B231" s="386">
        <f t="shared" si="6"/>
        <v>186</v>
      </c>
      <c r="C231" s="394" t="str" cm="1">
        <f t="array" aca="1" ref="C231" ca="1">IF(B231&lt;=$C$9,GetGetCDSName(B231),"")</f>
        <v/>
      </c>
      <c r="D231" s="354"/>
      <c r="E231" s="387"/>
      <c r="F231" s="306"/>
      <c r="G231" s="306"/>
      <c r="H231" s="306"/>
      <c r="I231" s="306"/>
      <c r="J231" s="306"/>
      <c r="K231" s="306"/>
      <c r="L231" s="306"/>
      <c r="M231" s="306"/>
      <c r="N231" s="388"/>
      <c r="O231" s="281"/>
      <c r="P231" s="281"/>
      <c r="Q231" s="281"/>
      <c r="R231" s="281"/>
      <c r="S231" s="281"/>
      <c r="T231" s="281"/>
      <c r="U231" s="281"/>
      <c r="V231" s="281"/>
      <c r="W231" s="281"/>
      <c r="X231" s="281"/>
      <c r="Y231" s="281"/>
      <c r="Z231" s="281"/>
      <c r="AA231" s="281"/>
      <c r="AB231" s="281"/>
      <c r="AC231" s="281"/>
      <c r="AD231" s="281"/>
      <c r="AE231" s="281"/>
    </row>
    <row r="232" spans="2:31" ht="15">
      <c r="B232" s="386">
        <f t="shared" si="6"/>
        <v>187</v>
      </c>
      <c r="C232" s="394" t="str" cm="1">
        <f t="array" aca="1" ref="C232" ca="1">IF(B232&lt;=$C$9,GetGetCDSName(B232),"")</f>
        <v/>
      </c>
      <c r="D232" s="354"/>
      <c r="E232" s="387"/>
      <c r="F232" s="306"/>
      <c r="G232" s="306"/>
      <c r="H232" s="306"/>
      <c r="I232" s="306"/>
      <c r="J232" s="306"/>
      <c r="K232" s="306"/>
      <c r="L232" s="306"/>
      <c r="M232" s="306"/>
      <c r="N232" s="388"/>
      <c r="O232" s="281"/>
      <c r="P232" s="281"/>
      <c r="Q232" s="281"/>
      <c r="R232" s="281"/>
      <c r="S232" s="281"/>
      <c r="T232" s="281"/>
      <c r="U232" s="281"/>
      <c r="V232" s="281"/>
      <c r="W232" s="281"/>
      <c r="X232" s="281"/>
      <c r="Y232" s="281"/>
      <c r="Z232" s="281"/>
      <c r="AA232" s="281"/>
      <c r="AB232" s="281"/>
      <c r="AC232" s="281"/>
      <c r="AD232" s="281"/>
      <c r="AE232" s="281"/>
    </row>
    <row r="233" spans="2:31" ht="15">
      <c r="B233" s="386">
        <f t="shared" si="6"/>
        <v>188</v>
      </c>
      <c r="C233" s="394" t="str" cm="1">
        <f t="array" aca="1" ref="C233" ca="1">IF(B233&lt;=$C$9,GetGetCDSName(B233),"")</f>
        <v/>
      </c>
      <c r="D233" s="354"/>
      <c r="E233" s="387"/>
      <c r="F233" s="306"/>
      <c r="G233" s="306"/>
      <c r="H233" s="306"/>
      <c r="I233" s="306"/>
      <c r="J233" s="306"/>
      <c r="K233" s="306"/>
      <c r="L233" s="306"/>
      <c r="M233" s="306"/>
      <c r="N233" s="388"/>
      <c r="O233" s="281"/>
      <c r="P233" s="281"/>
      <c r="Q233" s="281"/>
      <c r="R233" s="281"/>
      <c r="S233" s="281"/>
      <c r="T233" s="281"/>
      <c r="U233" s="281"/>
      <c r="V233" s="281"/>
      <c r="W233" s="281"/>
      <c r="X233" s="281"/>
      <c r="Y233" s="281"/>
      <c r="Z233" s="281"/>
      <c r="AA233" s="281"/>
      <c r="AB233" s="281"/>
      <c r="AC233" s="281"/>
      <c r="AD233" s="281"/>
      <c r="AE233" s="281"/>
    </row>
    <row r="234" spans="2:31" ht="15">
      <c r="B234" s="386">
        <f t="shared" si="6"/>
        <v>189</v>
      </c>
      <c r="C234" s="394" t="str" cm="1">
        <f t="array" aca="1" ref="C234" ca="1">IF(B234&lt;=$C$9,GetGetCDSName(B234),"")</f>
        <v/>
      </c>
      <c r="D234" s="354"/>
      <c r="E234" s="387"/>
      <c r="F234" s="306"/>
      <c r="G234" s="306"/>
      <c r="H234" s="306"/>
      <c r="I234" s="306"/>
      <c r="J234" s="306"/>
      <c r="K234" s="306"/>
      <c r="L234" s="306"/>
      <c r="M234" s="306"/>
      <c r="N234" s="388"/>
      <c r="O234" s="281"/>
      <c r="P234" s="281"/>
      <c r="Q234" s="281"/>
      <c r="R234" s="281"/>
      <c r="S234" s="281"/>
      <c r="T234" s="281"/>
      <c r="U234" s="281"/>
      <c r="V234" s="281"/>
      <c r="W234" s="281"/>
      <c r="X234" s="281"/>
      <c r="Y234" s="281"/>
      <c r="Z234" s="281"/>
      <c r="AA234" s="281"/>
      <c r="AB234" s="281"/>
      <c r="AC234" s="281"/>
      <c r="AD234" s="281"/>
      <c r="AE234" s="281"/>
    </row>
    <row r="235" spans="2:31" ht="15">
      <c r="B235" s="386">
        <f t="shared" si="6"/>
        <v>190</v>
      </c>
      <c r="C235" s="394" t="str" cm="1">
        <f t="array" aca="1" ref="C235" ca="1">IF(B235&lt;=$C$9,GetGetCDSName(B235),"")</f>
        <v/>
      </c>
      <c r="D235" s="354"/>
      <c r="E235" s="387"/>
      <c r="F235" s="306"/>
      <c r="G235" s="306"/>
      <c r="H235" s="306"/>
      <c r="I235" s="306"/>
      <c r="J235" s="306"/>
      <c r="K235" s="306"/>
      <c r="L235" s="306"/>
      <c r="M235" s="306"/>
      <c r="N235" s="388"/>
      <c r="O235" s="281"/>
      <c r="P235" s="281"/>
      <c r="Q235" s="281"/>
      <c r="R235" s="281"/>
      <c r="S235" s="281"/>
      <c r="T235" s="281"/>
      <c r="U235" s="281"/>
      <c r="V235" s="281"/>
      <c r="W235" s="281"/>
      <c r="X235" s="281"/>
      <c r="Y235" s="281"/>
      <c r="Z235" s="281"/>
      <c r="AA235" s="281"/>
      <c r="AB235" s="281"/>
      <c r="AC235" s="281"/>
      <c r="AD235" s="281"/>
      <c r="AE235" s="281"/>
    </row>
    <row r="236" spans="2:31" ht="15">
      <c r="B236" s="386">
        <f t="shared" si="6"/>
        <v>191</v>
      </c>
      <c r="C236" s="394" t="str" cm="1">
        <f t="array" aca="1" ref="C236" ca="1">IF(B236&lt;=$C$9,GetGetCDSName(B236),"")</f>
        <v/>
      </c>
      <c r="D236" s="354"/>
      <c r="E236" s="387"/>
      <c r="F236" s="306"/>
      <c r="G236" s="306"/>
      <c r="H236" s="306"/>
      <c r="I236" s="306"/>
      <c r="J236" s="306"/>
      <c r="K236" s="306"/>
      <c r="L236" s="306"/>
      <c r="M236" s="306"/>
      <c r="N236" s="388"/>
      <c r="O236" s="281"/>
      <c r="P236" s="281"/>
      <c r="Q236" s="281"/>
      <c r="R236" s="281"/>
      <c r="S236" s="281"/>
      <c r="T236" s="281"/>
      <c r="U236" s="281"/>
      <c r="V236" s="281"/>
      <c r="W236" s="281"/>
      <c r="X236" s="281"/>
      <c r="Y236" s="281"/>
      <c r="Z236" s="281"/>
      <c r="AA236" s="281"/>
      <c r="AB236" s="281"/>
      <c r="AC236" s="281"/>
      <c r="AD236" s="281"/>
      <c r="AE236" s="281"/>
    </row>
    <row r="237" spans="2:31" ht="15">
      <c r="B237" s="386">
        <f t="shared" si="6"/>
        <v>192</v>
      </c>
      <c r="C237" s="394" t="str" cm="1">
        <f t="array" aca="1" ref="C237" ca="1">IF(B237&lt;=$C$9,GetGetCDSName(B237),"")</f>
        <v/>
      </c>
      <c r="D237" s="354"/>
      <c r="E237" s="387"/>
      <c r="F237" s="306"/>
      <c r="G237" s="306"/>
      <c r="H237" s="306"/>
      <c r="I237" s="306"/>
      <c r="J237" s="306"/>
      <c r="K237" s="306"/>
      <c r="L237" s="306"/>
      <c r="M237" s="306"/>
      <c r="N237" s="388"/>
      <c r="O237" s="281"/>
      <c r="P237" s="281"/>
      <c r="Q237" s="281"/>
      <c r="R237" s="281"/>
      <c r="S237" s="281"/>
      <c r="T237" s="281"/>
      <c r="U237" s="281"/>
      <c r="V237" s="281"/>
      <c r="W237" s="281"/>
      <c r="X237" s="281"/>
      <c r="Y237" s="281"/>
      <c r="Z237" s="281"/>
      <c r="AA237" s="281"/>
      <c r="AB237" s="281"/>
      <c r="AC237" s="281"/>
      <c r="AD237" s="281"/>
      <c r="AE237" s="281"/>
    </row>
    <row r="238" spans="2:31" ht="15">
      <c r="B238" s="386">
        <f t="shared" si="6"/>
        <v>193</v>
      </c>
      <c r="C238" s="394" t="str" cm="1">
        <f t="array" aca="1" ref="C238" ca="1">IF(B238&lt;=$C$9,GetGetCDSName(B238),"")</f>
        <v/>
      </c>
      <c r="D238" s="354"/>
      <c r="E238" s="387"/>
      <c r="F238" s="306"/>
      <c r="G238" s="306"/>
      <c r="H238" s="306"/>
      <c r="I238" s="306"/>
      <c r="J238" s="306"/>
      <c r="K238" s="306"/>
      <c r="L238" s="306"/>
      <c r="M238" s="306"/>
      <c r="N238" s="388"/>
      <c r="O238" s="281"/>
      <c r="P238" s="281"/>
      <c r="Q238" s="281"/>
      <c r="R238" s="281"/>
      <c r="S238" s="281"/>
      <c r="T238" s="281"/>
      <c r="U238" s="281"/>
      <c r="V238" s="281"/>
      <c r="W238" s="281"/>
      <c r="X238" s="281"/>
      <c r="Y238" s="281"/>
      <c r="Z238" s="281"/>
      <c r="AA238" s="281"/>
      <c r="AB238" s="281"/>
      <c r="AC238" s="281"/>
      <c r="AD238" s="281"/>
      <c r="AE238" s="281"/>
    </row>
    <row r="239" spans="2:31" ht="15">
      <c r="B239" s="386">
        <f t="shared" ref="B239:B302" si="7">B238+1</f>
        <v>194</v>
      </c>
      <c r="C239" s="394" t="str" cm="1">
        <f t="array" aca="1" ref="C239" ca="1">IF(B239&lt;=$C$9,GetGetCDSName(B239),"")</f>
        <v/>
      </c>
      <c r="D239" s="354"/>
      <c r="E239" s="387"/>
      <c r="F239" s="306"/>
      <c r="G239" s="306"/>
      <c r="H239" s="306"/>
      <c r="I239" s="306"/>
      <c r="J239" s="306"/>
      <c r="K239" s="306"/>
      <c r="L239" s="306"/>
      <c r="M239" s="306"/>
      <c r="N239" s="388"/>
      <c r="O239" s="281"/>
      <c r="P239" s="281"/>
      <c r="Q239" s="281"/>
      <c r="R239" s="281"/>
      <c r="S239" s="281"/>
      <c r="T239" s="281"/>
      <c r="U239" s="281"/>
      <c r="V239" s="281"/>
      <c r="W239" s="281"/>
      <c r="X239" s="281"/>
      <c r="Y239" s="281"/>
      <c r="Z239" s="281"/>
      <c r="AA239" s="281"/>
      <c r="AB239" s="281"/>
      <c r="AC239" s="281"/>
      <c r="AD239" s="281"/>
      <c r="AE239" s="281"/>
    </row>
    <row r="240" spans="2:31" ht="15">
      <c r="B240" s="386">
        <f t="shared" si="7"/>
        <v>195</v>
      </c>
      <c r="C240" s="394" t="str" cm="1">
        <f t="array" aca="1" ref="C240" ca="1">IF(B240&lt;=$C$9,GetGetCDSName(B240),"")</f>
        <v/>
      </c>
      <c r="D240" s="354"/>
      <c r="E240" s="387"/>
      <c r="F240" s="306"/>
      <c r="G240" s="306"/>
      <c r="H240" s="306"/>
      <c r="I240" s="306"/>
      <c r="J240" s="306"/>
      <c r="K240" s="306"/>
      <c r="L240" s="306"/>
      <c r="M240" s="306"/>
      <c r="N240" s="388"/>
      <c r="O240" s="281"/>
      <c r="P240" s="281"/>
      <c r="Q240" s="281"/>
      <c r="R240" s="281"/>
      <c r="S240" s="281"/>
      <c r="T240" s="281"/>
      <c r="U240" s="281"/>
      <c r="V240" s="281"/>
      <c r="W240" s="281"/>
      <c r="X240" s="281"/>
      <c r="Y240" s="281"/>
      <c r="Z240" s="281"/>
      <c r="AA240" s="281"/>
      <c r="AB240" s="281"/>
      <c r="AC240" s="281"/>
      <c r="AD240" s="281"/>
      <c r="AE240" s="281"/>
    </row>
    <row r="241" spans="2:31" ht="15">
      <c r="B241" s="386">
        <f t="shared" si="7"/>
        <v>196</v>
      </c>
      <c r="C241" s="394" t="str" cm="1">
        <f t="array" aca="1" ref="C241" ca="1">IF(B241&lt;=$C$9,GetGetCDSName(B241),"")</f>
        <v/>
      </c>
      <c r="D241" s="354"/>
      <c r="E241" s="387"/>
      <c r="F241" s="306"/>
      <c r="G241" s="306"/>
      <c r="H241" s="306"/>
      <c r="I241" s="306"/>
      <c r="J241" s="306"/>
      <c r="K241" s="306"/>
      <c r="L241" s="306"/>
      <c r="M241" s="306"/>
      <c r="N241" s="388"/>
      <c r="O241" s="281"/>
      <c r="P241" s="281"/>
      <c r="Q241" s="281"/>
      <c r="R241" s="281"/>
      <c r="S241" s="281"/>
      <c r="T241" s="281"/>
      <c r="U241" s="281"/>
      <c r="V241" s="281"/>
      <c r="W241" s="281"/>
      <c r="X241" s="281"/>
      <c r="Y241" s="281"/>
      <c r="Z241" s="281"/>
      <c r="AA241" s="281"/>
      <c r="AB241" s="281"/>
      <c r="AC241" s="281"/>
      <c r="AD241" s="281"/>
      <c r="AE241" s="281"/>
    </row>
    <row r="242" spans="2:31" ht="15">
      <c r="B242" s="386">
        <f t="shared" si="7"/>
        <v>197</v>
      </c>
      <c r="C242" s="394" t="str" cm="1">
        <f t="array" aca="1" ref="C242" ca="1">IF(B242&lt;=$C$9,GetGetCDSName(B242),"")</f>
        <v/>
      </c>
      <c r="D242" s="354"/>
      <c r="E242" s="387"/>
      <c r="F242" s="306"/>
      <c r="G242" s="306"/>
      <c r="H242" s="306"/>
      <c r="I242" s="306"/>
      <c r="J242" s="306"/>
      <c r="K242" s="306"/>
      <c r="L242" s="306"/>
      <c r="M242" s="306"/>
      <c r="N242" s="388"/>
      <c r="O242" s="281"/>
      <c r="P242" s="281"/>
      <c r="Q242" s="281"/>
      <c r="R242" s="281"/>
      <c r="S242" s="281"/>
      <c r="T242" s="281"/>
      <c r="U242" s="281"/>
      <c r="V242" s="281"/>
      <c r="W242" s="281"/>
      <c r="X242" s="281"/>
      <c r="Y242" s="281"/>
      <c r="Z242" s="281"/>
      <c r="AA242" s="281"/>
      <c r="AB242" s="281"/>
      <c r="AC242" s="281"/>
      <c r="AD242" s="281"/>
      <c r="AE242" s="281"/>
    </row>
    <row r="243" spans="2:31" ht="15">
      <c r="B243" s="386">
        <f t="shared" si="7"/>
        <v>198</v>
      </c>
      <c r="C243" s="394" t="str" cm="1">
        <f t="array" aca="1" ref="C243" ca="1">IF(B243&lt;=$C$9,GetGetCDSName(B243),"")</f>
        <v/>
      </c>
      <c r="D243" s="354"/>
      <c r="E243" s="387"/>
      <c r="F243" s="306"/>
      <c r="G243" s="306"/>
      <c r="H243" s="306"/>
      <c r="I243" s="306"/>
      <c r="J243" s="306"/>
      <c r="K243" s="306"/>
      <c r="L243" s="306"/>
      <c r="M243" s="306"/>
      <c r="N243" s="388"/>
      <c r="O243" s="281"/>
      <c r="P243" s="281"/>
      <c r="Q243" s="281"/>
      <c r="R243" s="281"/>
      <c r="S243" s="281"/>
      <c r="T243" s="281"/>
      <c r="U243" s="281"/>
      <c r="V243" s="281"/>
      <c r="W243" s="281"/>
      <c r="X243" s="281"/>
      <c r="Y243" s="281"/>
      <c r="Z243" s="281"/>
      <c r="AA243" s="281"/>
      <c r="AB243" s="281"/>
      <c r="AC243" s="281"/>
      <c r="AD243" s="281"/>
      <c r="AE243" s="281"/>
    </row>
    <row r="244" spans="2:31" ht="15">
      <c r="B244" s="386">
        <f t="shared" si="7"/>
        <v>199</v>
      </c>
      <c r="C244" s="394" t="str" cm="1">
        <f t="array" aca="1" ref="C244" ca="1">IF(B244&lt;=$C$9,GetGetCDSName(B244),"")</f>
        <v/>
      </c>
      <c r="D244" s="354"/>
      <c r="E244" s="387"/>
      <c r="F244" s="306"/>
      <c r="G244" s="306"/>
      <c r="H244" s="306"/>
      <c r="I244" s="306"/>
      <c r="J244" s="306"/>
      <c r="K244" s="306"/>
      <c r="L244" s="306"/>
      <c r="M244" s="306"/>
      <c r="N244" s="388"/>
      <c r="O244" s="281"/>
      <c r="P244" s="281"/>
      <c r="Q244" s="281"/>
      <c r="R244" s="281"/>
      <c r="S244" s="281"/>
      <c r="T244" s="281"/>
      <c r="U244" s="281"/>
      <c r="V244" s="281"/>
      <c r="W244" s="281"/>
      <c r="X244" s="281"/>
      <c r="Y244" s="281"/>
      <c r="Z244" s="281"/>
      <c r="AA244" s="281"/>
      <c r="AB244" s="281"/>
      <c r="AC244" s="281"/>
      <c r="AD244" s="281"/>
      <c r="AE244" s="281"/>
    </row>
    <row r="245" spans="2:31" ht="15">
      <c r="B245" s="386">
        <f t="shared" si="7"/>
        <v>200</v>
      </c>
      <c r="C245" s="394" t="str" cm="1">
        <f t="array" aca="1" ref="C245" ca="1">IF(B245&lt;=$C$9,GetGetCDSName(B245),"")</f>
        <v/>
      </c>
      <c r="D245" s="354"/>
      <c r="E245" s="387"/>
      <c r="F245" s="306"/>
      <c r="G245" s="306"/>
      <c r="H245" s="306"/>
      <c r="I245" s="306"/>
      <c r="J245" s="306"/>
      <c r="K245" s="306"/>
      <c r="L245" s="306"/>
      <c r="M245" s="306"/>
      <c r="N245" s="388"/>
      <c r="O245" s="281"/>
      <c r="P245" s="281"/>
      <c r="Q245" s="281"/>
      <c r="R245" s="281"/>
      <c r="S245" s="281"/>
      <c r="T245" s="281"/>
      <c r="U245" s="281"/>
      <c r="V245" s="281"/>
      <c r="W245" s="281"/>
      <c r="X245" s="281"/>
      <c r="Y245" s="281"/>
      <c r="Z245" s="281"/>
      <c r="AA245" s="281"/>
      <c r="AB245" s="281"/>
      <c r="AC245" s="281"/>
      <c r="AD245" s="281"/>
      <c r="AE245" s="281"/>
    </row>
    <row r="246" spans="2:31" ht="15">
      <c r="B246" s="386">
        <f t="shared" si="7"/>
        <v>201</v>
      </c>
      <c r="C246" s="394" t="str" cm="1">
        <f t="array" aca="1" ref="C246" ca="1">IF(B246&lt;=$C$9,GetGetCDSName(B246),"")</f>
        <v/>
      </c>
      <c r="D246" s="354"/>
      <c r="E246" s="387"/>
      <c r="F246" s="306"/>
      <c r="G246" s="306"/>
      <c r="H246" s="306"/>
      <c r="I246" s="306"/>
      <c r="J246" s="306"/>
      <c r="K246" s="306"/>
      <c r="L246" s="306"/>
      <c r="M246" s="306"/>
      <c r="N246" s="388"/>
      <c r="O246" s="281"/>
      <c r="P246" s="281"/>
      <c r="Q246" s="281"/>
      <c r="R246" s="281"/>
      <c r="S246" s="281"/>
      <c r="T246" s="281"/>
      <c r="U246" s="281"/>
      <c r="V246" s="281"/>
      <c r="W246" s="281"/>
      <c r="X246" s="281"/>
      <c r="Y246" s="281"/>
      <c r="Z246" s="281"/>
      <c r="AA246" s="281"/>
      <c r="AB246" s="281"/>
      <c r="AC246" s="281"/>
      <c r="AD246" s="281"/>
      <c r="AE246" s="281"/>
    </row>
    <row r="247" spans="2:31" ht="15">
      <c r="B247" s="386">
        <f t="shared" si="7"/>
        <v>202</v>
      </c>
      <c r="C247" s="394" t="str" cm="1">
        <f t="array" aca="1" ref="C247" ca="1">IF(B247&lt;=$C$9,GetGetCDSName(B247),"")</f>
        <v/>
      </c>
      <c r="D247" s="354"/>
      <c r="E247" s="387"/>
      <c r="F247" s="306"/>
      <c r="G247" s="306"/>
      <c r="H247" s="306"/>
      <c r="I247" s="306"/>
      <c r="J247" s="306"/>
      <c r="K247" s="306"/>
      <c r="L247" s="306"/>
      <c r="M247" s="306"/>
      <c r="N247" s="388"/>
      <c r="O247" s="281"/>
      <c r="P247" s="281"/>
      <c r="Q247" s="281"/>
      <c r="R247" s="281"/>
      <c r="S247" s="281"/>
      <c r="T247" s="281"/>
      <c r="U247" s="281"/>
      <c r="V247" s="281"/>
      <c r="W247" s="281"/>
      <c r="X247" s="281"/>
      <c r="Y247" s="281"/>
      <c r="Z247" s="281"/>
      <c r="AA247" s="281"/>
      <c r="AB247" s="281"/>
      <c r="AC247" s="281"/>
      <c r="AD247" s="281"/>
      <c r="AE247" s="281"/>
    </row>
    <row r="248" spans="2:31" ht="15">
      <c r="B248" s="386">
        <f t="shared" si="7"/>
        <v>203</v>
      </c>
      <c r="C248" s="394" t="str" cm="1">
        <f t="array" aca="1" ref="C248" ca="1">IF(B248&lt;=$C$9,GetGetCDSName(B248),"")</f>
        <v/>
      </c>
      <c r="D248" s="354"/>
      <c r="E248" s="387"/>
      <c r="F248" s="306"/>
      <c r="G248" s="306"/>
      <c r="H248" s="306"/>
      <c r="I248" s="306"/>
      <c r="J248" s="306"/>
      <c r="K248" s="306"/>
      <c r="L248" s="306"/>
      <c r="M248" s="306"/>
      <c r="N248" s="388"/>
      <c r="O248" s="281"/>
      <c r="P248" s="281"/>
      <c r="Q248" s="281"/>
      <c r="R248" s="281"/>
      <c r="S248" s="281"/>
      <c r="T248" s="281"/>
      <c r="U248" s="281"/>
      <c r="V248" s="281"/>
      <c r="W248" s="281"/>
      <c r="X248" s="281"/>
      <c r="Y248" s="281"/>
      <c r="Z248" s="281"/>
      <c r="AA248" s="281"/>
      <c r="AB248" s="281"/>
      <c r="AC248" s="281"/>
      <c r="AD248" s="281"/>
      <c r="AE248" s="281"/>
    </row>
    <row r="249" spans="2:31" ht="15">
      <c r="B249" s="386">
        <f t="shared" si="7"/>
        <v>204</v>
      </c>
      <c r="C249" s="394" t="str" cm="1">
        <f t="array" aca="1" ref="C249" ca="1">IF(B249&lt;=$C$9,GetGetCDSName(B249),"")</f>
        <v/>
      </c>
      <c r="D249" s="354"/>
      <c r="E249" s="387"/>
      <c r="F249" s="306"/>
      <c r="G249" s="306"/>
      <c r="H249" s="306"/>
      <c r="I249" s="306"/>
      <c r="J249" s="306"/>
      <c r="K249" s="306"/>
      <c r="L249" s="306"/>
      <c r="M249" s="306"/>
      <c r="N249" s="388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281"/>
      <c r="AA249" s="281"/>
      <c r="AB249" s="281"/>
      <c r="AC249" s="281"/>
      <c r="AD249" s="281"/>
      <c r="AE249" s="281"/>
    </row>
    <row r="250" spans="2:31" ht="15">
      <c r="B250" s="386">
        <f t="shared" si="7"/>
        <v>205</v>
      </c>
      <c r="C250" s="394" t="str" cm="1">
        <f t="array" aca="1" ref="C250" ca="1">IF(B250&lt;=$C$9,GetGetCDSName(B250),"")</f>
        <v/>
      </c>
      <c r="D250" s="354"/>
      <c r="E250" s="387"/>
      <c r="F250" s="306"/>
      <c r="G250" s="306"/>
      <c r="H250" s="306"/>
      <c r="I250" s="306"/>
      <c r="J250" s="306"/>
      <c r="K250" s="306"/>
      <c r="L250" s="306"/>
      <c r="M250" s="306"/>
      <c r="N250" s="388"/>
      <c r="O250" s="281"/>
      <c r="P250" s="281"/>
      <c r="Q250" s="281"/>
      <c r="R250" s="281"/>
      <c r="S250" s="281"/>
      <c r="T250" s="281"/>
      <c r="U250" s="281"/>
      <c r="V250" s="281"/>
      <c r="W250" s="281"/>
      <c r="X250" s="281"/>
      <c r="Y250" s="281"/>
      <c r="Z250" s="281"/>
      <c r="AA250" s="281"/>
      <c r="AB250" s="281"/>
      <c r="AC250" s="281"/>
      <c r="AD250" s="281"/>
      <c r="AE250" s="281"/>
    </row>
    <row r="251" spans="2:31" ht="15">
      <c r="B251" s="386">
        <f t="shared" si="7"/>
        <v>206</v>
      </c>
      <c r="C251" s="394" t="str" cm="1">
        <f t="array" aca="1" ref="C251" ca="1">IF(B251&lt;=$C$9,GetGetCDSName(B251),"")</f>
        <v/>
      </c>
      <c r="D251" s="354"/>
      <c r="E251" s="387"/>
      <c r="F251" s="306"/>
      <c r="G251" s="306"/>
      <c r="H251" s="306"/>
      <c r="I251" s="306"/>
      <c r="J251" s="306"/>
      <c r="K251" s="306"/>
      <c r="L251" s="306"/>
      <c r="M251" s="306"/>
      <c r="N251" s="388"/>
      <c r="O251" s="281"/>
      <c r="P251" s="281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81"/>
    </row>
    <row r="252" spans="2:31" ht="15">
      <c r="B252" s="386">
        <f t="shared" si="7"/>
        <v>207</v>
      </c>
      <c r="C252" s="394" t="str" cm="1">
        <f t="array" aca="1" ref="C252" ca="1">IF(B252&lt;=$C$9,GetGetCDSName(B252),"")</f>
        <v/>
      </c>
      <c r="D252" s="354"/>
      <c r="E252" s="387"/>
      <c r="F252" s="306"/>
      <c r="G252" s="306"/>
      <c r="H252" s="306"/>
      <c r="I252" s="306"/>
      <c r="J252" s="306"/>
      <c r="K252" s="306"/>
      <c r="L252" s="306"/>
      <c r="M252" s="306"/>
      <c r="N252" s="388"/>
      <c r="O252" s="281"/>
      <c r="P252" s="281"/>
      <c r="Q252" s="281"/>
      <c r="R252" s="281"/>
      <c r="S252" s="281"/>
      <c r="T252" s="281"/>
      <c r="U252" s="281"/>
      <c r="V252" s="281"/>
      <c r="W252" s="281"/>
      <c r="X252" s="281"/>
      <c r="Y252" s="281"/>
      <c r="Z252" s="281"/>
      <c r="AA252" s="281"/>
      <c r="AB252" s="281"/>
      <c r="AC252" s="281"/>
      <c r="AD252" s="281"/>
      <c r="AE252" s="281"/>
    </row>
    <row r="253" spans="2:31" ht="15">
      <c r="B253" s="386">
        <f t="shared" si="7"/>
        <v>208</v>
      </c>
      <c r="C253" s="394" t="str" cm="1">
        <f t="array" aca="1" ref="C253" ca="1">IF(B253&lt;=$C$9,GetGetCDSName(B253),"")</f>
        <v/>
      </c>
      <c r="D253" s="354"/>
      <c r="E253" s="387"/>
      <c r="F253" s="306"/>
      <c r="G253" s="306"/>
      <c r="H253" s="306"/>
      <c r="I253" s="306"/>
      <c r="J253" s="306"/>
      <c r="K253" s="306"/>
      <c r="L253" s="306"/>
      <c r="M253" s="306"/>
      <c r="N253" s="388"/>
      <c r="O253" s="281"/>
      <c r="P253" s="281"/>
      <c r="Q253" s="281"/>
      <c r="R253" s="281"/>
      <c r="S253" s="281"/>
      <c r="T253" s="281"/>
      <c r="U253" s="281"/>
      <c r="V253" s="281"/>
      <c r="W253" s="281"/>
      <c r="X253" s="281"/>
      <c r="Y253" s="281"/>
      <c r="Z253" s="281"/>
      <c r="AA253" s="281"/>
      <c r="AB253" s="281"/>
      <c r="AC253" s="281"/>
      <c r="AD253" s="281"/>
      <c r="AE253" s="281"/>
    </row>
    <row r="254" spans="2:31" ht="15">
      <c r="B254" s="386">
        <f t="shared" si="7"/>
        <v>209</v>
      </c>
      <c r="C254" s="394" t="str" cm="1">
        <f t="array" aca="1" ref="C254" ca="1">IF(B254&lt;=$C$9,GetGetCDSName(B254),"")</f>
        <v/>
      </c>
      <c r="D254" s="354"/>
      <c r="E254" s="387"/>
      <c r="F254" s="306"/>
      <c r="G254" s="306"/>
      <c r="H254" s="306"/>
      <c r="I254" s="306"/>
      <c r="J254" s="306"/>
      <c r="K254" s="306"/>
      <c r="L254" s="306"/>
      <c r="M254" s="306"/>
      <c r="N254" s="388"/>
      <c r="O254" s="281"/>
      <c r="P254" s="281"/>
      <c r="Q254" s="281"/>
      <c r="R254" s="281"/>
      <c r="S254" s="281"/>
      <c r="T254" s="281"/>
      <c r="U254" s="281"/>
      <c r="V254" s="281"/>
      <c r="W254" s="281"/>
      <c r="X254" s="281"/>
      <c r="Y254" s="281"/>
      <c r="Z254" s="281"/>
      <c r="AA254" s="281"/>
      <c r="AB254" s="281"/>
      <c r="AC254" s="281"/>
      <c r="AD254" s="281"/>
      <c r="AE254" s="281"/>
    </row>
    <row r="255" spans="2:31" ht="15">
      <c r="B255" s="386">
        <f t="shared" si="7"/>
        <v>210</v>
      </c>
      <c r="C255" s="394" t="str" cm="1">
        <f t="array" aca="1" ref="C255" ca="1">IF(B255&lt;=$C$9,GetGetCDSName(B255),"")</f>
        <v/>
      </c>
      <c r="D255" s="354"/>
      <c r="E255" s="387"/>
      <c r="F255" s="306"/>
      <c r="G255" s="306"/>
      <c r="H255" s="306"/>
      <c r="I255" s="306"/>
      <c r="J255" s="306"/>
      <c r="K255" s="306"/>
      <c r="L255" s="306"/>
      <c r="M255" s="306"/>
      <c r="N255" s="388"/>
      <c r="O255" s="281"/>
      <c r="P255" s="281"/>
      <c r="Q255" s="281"/>
      <c r="R255" s="281"/>
      <c r="S255" s="281"/>
      <c r="T255" s="281"/>
      <c r="U255" s="281"/>
      <c r="V255" s="281"/>
      <c r="W255" s="281"/>
      <c r="X255" s="281"/>
      <c r="Y255" s="281"/>
      <c r="Z255" s="281"/>
      <c r="AA255" s="281"/>
      <c r="AB255" s="281"/>
      <c r="AC255" s="281"/>
      <c r="AD255" s="281"/>
      <c r="AE255" s="281"/>
    </row>
    <row r="256" spans="2:31" ht="15">
      <c r="B256" s="386">
        <f t="shared" si="7"/>
        <v>211</v>
      </c>
      <c r="C256" s="394" t="str" cm="1">
        <f t="array" aca="1" ref="C256" ca="1">IF(B256&lt;=$C$9,GetGetCDSName(B256),"")</f>
        <v/>
      </c>
      <c r="D256" s="354"/>
      <c r="E256" s="387"/>
      <c r="F256" s="306"/>
      <c r="G256" s="306"/>
      <c r="H256" s="306"/>
      <c r="I256" s="306"/>
      <c r="J256" s="306"/>
      <c r="K256" s="306"/>
      <c r="L256" s="306"/>
      <c r="M256" s="306"/>
      <c r="N256" s="388"/>
      <c r="O256" s="281"/>
      <c r="P256" s="281"/>
      <c r="Q256" s="281"/>
      <c r="R256" s="281"/>
      <c r="S256" s="281"/>
      <c r="T256" s="281"/>
      <c r="U256" s="281"/>
      <c r="V256" s="281"/>
      <c r="W256" s="281"/>
      <c r="X256" s="281"/>
      <c r="Y256" s="281"/>
      <c r="Z256" s="281"/>
      <c r="AA256" s="281"/>
      <c r="AB256" s="281"/>
      <c r="AC256" s="281"/>
      <c r="AD256" s="281"/>
      <c r="AE256" s="281"/>
    </row>
    <row r="257" spans="2:31" ht="15">
      <c r="B257" s="386">
        <f t="shared" si="7"/>
        <v>212</v>
      </c>
      <c r="C257" s="394" t="str" cm="1">
        <f t="array" aca="1" ref="C257" ca="1">IF(B257&lt;=$C$9,GetGetCDSName(B257),"")</f>
        <v/>
      </c>
      <c r="D257" s="354"/>
      <c r="E257" s="387"/>
      <c r="F257" s="306"/>
      <c r="G257" s="306"/>
      <c r="H257" s="306"/>
      <c r="I257" s="306"/>
      <c r="J257" s="306"/>
      <c r="K257" s="306"/>
      <c r="L257" s="306"/>
      <c r="M257" s="306"/>
      <c r="N257" s="388"/>
      <c r="O257" s="281"/>
      <c r="P257" s="281"/>
      <c r="Q257" s="281"/>
      <c r="R257" s="281"/>
      <c r="S257" s="281"/>
      <c r="T257" s="281"/>
      <c r="U257" s="281"/>
      <c r="V257" s="281"/>
      <c r="W257" s="281"/>
      <c r="X257" s="281"/>
      <c r="Y257" s="281"/>
      <c r="Z257" s="281"/>
      <c r="AA257" s="281"/>
      <c r="AB257" s="281"/>
      <c r="AC257" s="281"/>
      <c r="AD257" s="281"/>
      <c r="AE257" s="281"/>
    </row>
    <row r="258" spans="2:31" ht="15">
      <c r="B258" s="386">
        <f t="shared" si="7"/>
        <v>213</v>
      </c>
      <c r="C258" s="394" t="str" cm="1">
        <f t="array" aca="1" ref="C258" ca="1">IF(B258&lt;=$C$9,GetGetCDSName(B258),"")</f>
        <v/>
      </c>
      <c r="D258" s="354"/>
      <c r="E258" s="387"/>
      <c r="F258" s="306"/>
      <c r="G258" s="306"/>
      <c r="H258" s="306"/>
      <c r="I258" s="306"/>
      <c r="J258" s="306"/>
      <c r="K258" s="306"/>
      <c r="L258" s="306"/>
      <c r="M258" s="306"/>
      <c r="N258" s="388"/>
      <c r="O258" s="281"/>
      <c r="P258" s="281"/>
      <c r="Q258" s="281"/>
      <c r="R258" s="281"/>
      <c r="S258" s="281"/>
      <c r="T258" s="281"/>
      <c r="U258" s="281"/>
      <c r="V258" s="281"/>
      <c r="W258" s="281"/>
      <c r="X258" s="281"/>
      <c r="Y258" s="281"/>
      <c r="Z258" s="281"/>
      <c r="AA258" s="281"/>
      <c r="AB258" s="281"/>
      <c r="AC258" s="281"/>
      <c r="AD258" s="281"/>
      <c r="AE258" s="281"/>
    </row>
    <row r="259" spans="2:31" ht="15">
      <c r="B259" s="386">
        <f t="shared" si="7"/>
        <v>214</v>
      </c>
      <c r="C259" s="394" t="str" cm="1">
        <f t="array" aca="1" ref="C259" ca="1">IF(B259&lt;=$C$9,GetGetCDSName(B259),"")</f>
        <v/>
      </c>
      <c r="D259" s="354"/>
      <c r="E259" s="387"/>
      <c r="F259" s="306"/>
      <c r="G259" s="306"/>
      <c r="H259" s="306"/>
      <c r="I259" s="306"/>
      <c r="J259" s="306"/>
      <c r="K259" s="306"/>
      <c r="L259" s="306"/>
      <c r="M259" s="306"/>
      <c r="N259" s="388"/>
      <c r="O259" s="281"/>
      <c r="P259" s="281"/>
      <c r="Q259" s="281"/>
      <c r="R259" s="281"/>
      <c r="S259" s="281"/>
      <c r="T259" s="281"/>
      <c r="U259" s="281"/>
      <c r="V259" s="281"/>
      <c r="W259" s="281"/>
      <c r="X259" s="281"/>
      <c r="Y259" s="281"/>
      <c r="Z259" s="281"/>
      <c r="AA259" s="281"/>
      <c r="AB259" s="281"/>
      <c r="AC259" s="281"/>
      <c r="AD259" s="281"/>
      <c r="AE259" s="281"/>
    </row>
    <row r="260" spans="2:31" ht="15">
      <c r="B260" s="386">
        <f t="shared" si="7"/>
        <v>215</v>
      </c>
      <c r="C260" s="394" t="str" cm="1">
        <f t="array" aca="1" ref="C260" ca="1">IF(B260&lt;=$C$9,GetGetCDSName(B260),"")</f>
        <v/>
      </c>
      <c r="D260" s="354"/>
      <c r="E260" s="387"/>
      <c r="F260" s="306"/>
      <c r="G260" s="306"/>
      <c r="H260" s="306"/>
      <c r="I260" s="306"/>
      <c r="J260" s="306"/>
      <c r="K260" s="306"/>
      <c r="L260" s="306"/>
      <c r="M260" s="306"/>
      <c r="N260" s="388"/>
      <c r="O260" s="281"/>
      <c r="P260" s="281"/>
      <c r="Q260" s="281"/>
      <c r="R260" s="281"/>
      <c r="S260" s="281"/>
      <c r="T260" s="281"/>
      <c r="U260" s="281"/>
      <c r="V260" s="281"/>
      <c r="W260" s="281"/>
      <c r="X260" s="281"/>
      <c r="Y260" s="281"/>
      <c r="Z260" s="281"/>
      <c r="AA260" s="281"/>
      <c r="AB260" s="281"/>
      <c r="AC260" s="281"/>
      <c r="AD260" s="281"/>
      <c r="AE260" s="281"/>
    </row>
    <row r="261" spans="2:31" ht="15">
      <c r="B261" s="386">
        <f t="shared" si="7"/>
        <v>216</v>
      </c>
      <c r="C261" s="394" t="str" cm="1">
        <f t="array" aca="1" ref="C261" ca="1">IF(B261&lt;=$C$9,GetGetCDSName(B261),"")</f>
        <v/>
      </c>
      <c r="D261" s="354"/>
      <c r="E261" s="387"/>
      <c r="F261" s="306"/>
      <c r="G261" s="306"/>
      <c r="H261" s="306"/>
      <c r="I261" s="306"/>
      <c r="J261" s="306"/>
      <c r="K261" s="306"/>
      <c r="L261" s="306"/>
      <c r="M261" s="306"/>
      <c r="N261" s="388"/>
      <c r="O261" s="281"/>
      <c r="P261" s="281"/>
      <c r="Q261" s="281"/>
      <c r="R261" s="281"/>
      <c r="S261" s="281"/>
      <c r="T261" s="281"/>
      <c r="U261" s="281"/>
      <c r="V261" s="281"/>
      <c r="W261" s="281"/>
      <c r="X261" s="281"/>
      <c r="Y261" s="281"/>
      <c r="Z261" s="281"/>
      <c r="AA261" s="281"/>
      <c r="AB261" s="281"/>
      <c r="AC261" s="281"/>
      <c r="AD261" s="281"/>
      <c r="AE261" s="281"/>
    </row>
    <row r="262" spans="2:31" ht="15">
      <c r="B262" s="386">
        <f t="shared" si="7"/>
        <v>217</v>
      </c>
      <c r="C262" s="394" t="str" cm="1">
        <f t="array" aca="1" ref="C262" ca="1">IF(B262&lt;=$C$9,GetGetCDSName(B262),"")</f>
        <v/>
      </c>
      <c r="D262" s="354"/>
      <c r="E262" s="387"/>
      <c r="F262" s="306"/>
      <c r="G262" s="306"/>
      <c r="H262" s="306"/>
      <c r="I262" s="306"/>
      <c r="J262" s="306"/>
      <c r="K262" s="306"/>
      <c r="L262" s="306"/>
      <c r="M262" s="306"/>
      <c r="N262" s="388"/>
      <c r="O262" s="281"/>
      <c r="P262" s="281"/>
      <c r="Q262" s="281"/>
      <c r="R262" s="281"/>
      <c r="S262" s="281"/>
      <c r="T262" s="281"/>
      <c r="U262" s="281"/>
      <c r="V262" s="281"/>
      <c r="W262" s="281"/>
      <c r="X262" s="281"/>
      <c r="Y262" s="281"/>
      <c r="Z262" s="281"/>
      <c r="AA262" s="281"/>
      <c r="AB262" s="281"/>
      <c r="AC262" s="281"/>
      <c r="AD262" s="281"/>
      <c r="AE262" s="281"/>
    </row>
    <row r="263" spans="2:31" ht="15">
      <c r="B263" s="386">
        <f t="shared" si="7"/>
        <v>218</v>
      </c>
      <c r="C263" s="394" t="str" cm="1">
        <f t="array" aca="1" ref="C263" ca="1">IF(B263&lt;=$C$9,GetGetCDSName(B263),"")</f>
        <v/>
      </c>
      <c r="D263" s="354"/>
      <c r="E263" s="387"/>
      <c r="F263" s="306"/>
      <c r="G263" s="306"/>
      <c r="H263" s="306"/>
      <c r="I263" s="306"/>
      <c r="J263" s="306"/>
      <c r="K263" s="306"/>
      <c r="L263" s="306"/>
      <c r="M263" s="306"/>
      <c r="N263" s="388"/>
      <c r="O263" s="281"/>
      <c r="P263" s="281"/>
      <c r="Q263" s="281"/>
      <c r="R263" s="281"/>
      <c r="S263" s="281"/>
      <c r="T263" s="281"/>
      <c r="U263" s="281"/>
      <c r="V263" s="281"/>
      <c r="W263" s="281"/>
      <c r="X263" s="281"/>
      <c r="Y263" s="281"/>
      <c r="Z263" s="281"/>
      <c r="AA263" s="281"/>
      <c r="AB263" s="281"/>
      <c r="AC263" s="281"/>
      <c r="AD263" s="281"/>
      <c r="AE263" s="281"/>
    </row>
    <row r="264" spans="2:31" ht="15">
      <c r="B264" s="386">
        <f t="shared" si="7"/>
        <v>219</v>
      </c>
      <c r="C264" s="394" t="str" cm="1">
        <f t="array" aca="1" ref="C264" ca="1">IF(B264&lt;=$C$9,GetGetCDSName(B264),"")</f>
        <v/>
      </c>
      <c r="D264" s="354"/>
      <c r="E264" s="387"/>
      <c r="F264" s="306"/>
      <c r="G264" s="306"/>
      <c r="H264" s="306"/>
      <c r="I264" s="306"/>
      <c r="J264" s="306"/>
      <c r="K264" s="306"/>
      <c r="L264" s="306"/>
      <c r="M264" s="306"/>
      <c r="N264" s="388"/>
      <c r="O264" s="281"/>
      <c r="P264" s="281"/>
      <c r="Q264" s="281"/>
      <c r="R264" s="281"/>
      <c r="S264" s="281"/>
      <c r="T264" s="281"/>
      <c r="U264" s="281"/>
      <c r="V264" s="281"/>
      <c r="W264" s="281"/>
      <c r="X264" s="281"/>
      <c r="Y264" s="281"/>
      <c r="Z264" s="281"/>
      <c r="AA264" s="281"/>
      <c r="AB264" s="281"/>
      <c r="AC264" s="281"/>
      <c r="AD264" s="281"/>
      <c r="AE264" s="281"/>
    </row>
    <row r="265" spans="2:31" ht="15">
      <c r="B265" s="386">
        <f t="shared" si="7"/>
        <v>220</v>
      </c>
      <c r="C265" s="394" t="str" cm="1">
        <f t="array" aca="1" ref="C265" ca="1">IF(B265&lt;=$C$9,GetGetCDSName(B265),"")</f>
        <v/>
      </c>
      <c r="D265" s="354"/>
      <c r="E265" s="387"/>
      <c r="F265" s="306"/>
      <c r="G265" s="306"/>
      <c r="H265" s="306"/>
      <c r="I265" s="306"/>
      <c r="J265" s="306"/>
      <c r="K265" s="306"/>
      <c r="L265" s="306"/>
      <c r="M265" s="306"/>
      <c r="N265" s="388"/>
      <c r="O265" s="281"/>
      <c r="P265" s="281"/>
      <c r="Q265" s="281"/>
      <c r="R265" s="281"/>
      <c r="S265" s="281"/>
      <c r="T265" s="281"/>
      <c r="U265" s="281"/>
      <c r="V265" s="281"/>
      <c r="W265" s="281"/>
      <c r="X265" s="281"/>
      <c r="Y265" s="281"/>
      <c r="Z265" s="281"/>
      <c r="AA265" s="281"/>
      <c r="AB265" s="281"/>
      <c r="AC265" s="281"/>
      <c r="AD265" s="281"/>
      <c r="AE265" s="281"/>
    </row>
    <row r="266" spans="2:31" ht="15">
      <c r="B266" s="386">
        <f t="shared" si="7"/>
        <v>221</v>
      </c>
      <c r="C266" s="394" t="str" cm="1">
        <f t="array" aca="1" ref="C266" ca="1">IF(B266&lt;=$C$9,GetGetCDSName(B266),"")</f>
        <v/>
      </c>
      <c r="D266" s="354"/>
      <c r="E266" s="387"/>
      <c r="F266" s="306"/>
      <c r="G266" s="306"/>
      <c r="H266" s="306"/>
      <c r="I266" s="306"/>
      <c r="J266" s="306"/>
      <c r="K266" s="306"/>
      <c r="L266" s="306"/>
      <c r="M266" s="306"/>
      <c r="N266" s="388"/>
      <c r="O266" s="281"/>
      <c r="P266" s="281"/>
      <c r="Q266" s="281"/>
      <c r="R266" s="281"/>
      <c r="S266" s="281"/>
      <c r="T266" s="281"/>
      <c r="U266" s="281"/>
      <c r="V266" s="281"/>
      <c r="W266" s="281"/>
      <c r="X266" s="281"/>
      <c r="Y266" s="281"/>
      <c r="Z266" s="281"/>
      <c r="AA266" s="281"/>
      <c r="AB266" s="281"/>
      <c r="AC266" s="281"/>
      <c r="AD266" s="281"/>
      <c r="AE266" s="281"/>
    </row>
    <row r="267" spans="2:31" ht="15">
      <c r="B267" s="386">
        <f t="shared" si="7"/>
        <v>222</v>
      </c>
      <c r="C267" s="394" t="str" cm="1">
        <f t="array" aca="1" ref="C267" ca="1">IF(B267&lt;=$C$9,GetGetCDSName(B267),"")</f>
        <v/>
      </c>
      <c r="D267" s="354"/>
      <c r="E267" s="387"/>
      <c r="F267" s="306"/>
      <c r="G267" s="306"/>
      <c r="H267" s="306"/>
      <c r="I267" s="306"/>
      <c r="J267" s="306"/>
      <c r="K267" s="306"/>
      <c r="L267" s="306"/>
      <c r="M267" s="306"/>
      <c r="N267" s="388"/>
      <c r="O267" s="281"/>
      <c r="P267" s="281"/>
      <c r="Q267" s="281"/>
      <c r="R267" s="281"/>
      <c r="S267" s="281"/>
      <c r="T267" s="281"/>
      <c r="U267" s="281"/>
      <c r="V267" s="281"/>
      <c r="W267" s="281"/>
      <c r="X267" s="281"/>
      <c r="Y267" s="281"/>
      <c r="Z267" s="281"/>
      <c r="AA267" s="281"/>
      <c r="AB267" s="281"/>
      <c r="AC267" s="281"/>
      <c r="AD267" s="281"/>
      <c r="AE267" s="281"/>
    </row>
    <row r="268" spans="2:31" ht="15">
      <c r="B268" s="386">
        <f t="shared" si="7"/>
        <v>223</v>
      </c>
      <c r="C268" s="394" t="str" cm="1">
        <f t="array" aca="1" ref="C268" ca="1">IF(B268&lt;=$C$9,GetGetCDSName(B268),"")</f>
        <v/>
      </c>
      <c r="D268" s="354"/>
      <c r="E268" s="387"/>
      <c r="F268" s="306"/>
      <c r="G268" s="306"/>
      <c r="H268" s="306"/>
      <c r="I268" s="306"/>
      <c r="J268" s="306"/>
      <c r="K268" s="306"/>
      <c r="L268" s="306"/>
      <c r="M268" s="306"/>
      <c r="N268" s="388"/>
      <c r="O268" s="281"/>
      <c r="P268" s="281"/>
      <c r="Q268" s="281"/>
      <c r="R268" s="281"/>
      <c r="S268" s="281"/>
      <c r="T268" s="281"/>
      <c r="U268" s="281"/>
      <c r="V268" s="281"/>
      <c r="W268" s="281"/>
      <c r="X268" s="281"/>
      <c r="Y268" s="281"/>
      <c r="Z268" s="281"/>
      <c r="AA268" s="281"/>
      <c r="AB268" s="281"/>
      <c r="AC268" s="281"/>
      <c r="AD268" s="281"/>
      <c r="AE268" s="281"/>
    </row>
    <row r="269" spans="2:31" ht="15">
      <c r="B269" s="386">
        <f t="shared" si="7"/>
        <v>224</v>
      </c>
      <c r="C269" s="394" t="str" cm="1">
        <f t="array" aca="1" ref="C269" ca="1">IF(B269&lt;=$C$9,GetGetCDSName(B269),"")</f>
        <v/>
      </c>
      <c r="D269" s="354"/>
      <c r="E269" s="387"/>
      <c r="F269" s="306"/>
      <c r="G269" s="306"/>
      <c r="H269" s="306"/>
      <c r="I269" s="306"/>
      <c r="J269" s="306"/>
      <c r="K269" s="306"/>
      <c r="L269" s="306"/>
      <c r="M269" s="306"/>
      <c r="N269" s="388"/>
      <c r="O269" s="281"/>
      <c r="P269" s="281"/>
      <c r="Q269" s="281"/>
      <c r="R269" s="281"/>
      <c r="S269" s="281"/>
      <c r="T269" s="281"/>
      <c r="U269" s="281"/>
      <c r="V269" s="281"/>
      <c r="W269" s="281"/>
      <c r="X269" s="281"/>
      <c r="Y269" s="281"/>
      <c r="Z269" s="281"/>
      <c r="AA269" s="281"/>
      <c r="AB269" s="281"/>
      <c r="AC269" s="281"/>
      <c r="AD269" s="281"/>
      <c r="AE269" s="281"/>
    </row>
    <row r="270" spans="2:31" ht="15">
      <c r="B270" s="386">
        <f t="shared" si="7"/>
        <v>225</v>
      </c>
      <c r="C270" s="394" t="str" cm="1">
        <f t="array" aca="1" ref="C270" ca="1">IF(B270&lt;=$C$9,GetGetCDSName(B270),"")</f>
        <v/>
      </c>
      <c r="D270" s="354"/>
      <c r="E270" s="387"/>
      <c r="F270" s="306"/>
      <c r="G270" s="306"/>
      <c r="H270" s="306"/>
      <c r="I270" s="306"/>
      <c r="J270" s="306"/>
      <c r="K270" s="306"/>
      <c r="L270" s="306"/>
      <c r="M270" s="306"/>
      <c r="N270" s="388"/>
      <c r="O270" s="281"/>
      <c r="P270" s="281"/>
      <c r="Q270" s="281"/>
      <c r="R270" s="281"/>
      <c r="S270" s="281"/>
      <c r="T270" s="281"/>
      <c r="U270" s="281"/>
      <c r="V270" s="281"/>
      <c r="W270" s="281"/>
      <c r="X270" s="281"/>
      <c r="Y270" s="281"/>
      <c r="Z270" s="281"/>
      <c r="AA270" s="281"/>
      <c r="AB270" s="281"/>
      <c r="AC270" s="281"/>
      <c r="AD270" s="281"/>
      <c r="AE270" s="281"/>
    </row>
    <row r="271" spans="2:31" ht="15">
      <c r="B271" s="386">
        <f t="shared" si="7"/>
        <v>226</v>
      </c>
      <c r="C271" s="394" t="str" cm="1">
        <f t="array" aca="1" ref="C271" ca="1">IF(B271&lt;=$C$9,GetGetCDSName(B271),"")</f>
        <v/>
      </c>
      <c r="D271" s="354"/>
      <c r="E271" s="387"/>
      <c r="F271" s="306"/>
      <c r="G271" s="306"/>
      <c r="H271" s="306"/>
      <c r="I271" s="306"/>
      <c r="J271" s="306"/>
      <c r="K271" s="306"/>
      <c r="L271" s="306"/>
      <c r="M271" s="306"/>
      <c r="N271" s="388"/>
      <c r="O271" s="281"/>
      <c r="P271" s="281"/>
      <c r="Q271" s="281"/>
      <c r="R271" s="281"/>
      <c r="S271" s="281"/>
      <c r="T271" s="281"/>
      <c r="U271" s="281"/>
      <c r="V271" s="281"/>
      <c r="W271" s="281"/>
      <c r="X271" s="281"/>
      <c r="Y271" s="281"/>
      <c r="Z271" s="281"/>
      <c r="AA271" s="281"/>
      <c r="AB271" s="281"/>
      <c r="AC271" s="281"/>
      <c r="AD271" s="281"/>
      <c r="AE271" s="281"/>
    </row>
    <row r="272" spans="2:31" ht="15">
      <c r="B272" s="386">
        <f t="shared" si="7"/>
        <v>227</v>
      </c>
      <c r="C272" s="394" t="str" cm="1">
        <f t="array" aca="1" ref="C272" ca="1">IF(B272&lt;=$C$9,GetGetCDSName(B272),"")</f>
        <v/>
      </c>
      <c r="D272" s="354"/>
      <c r="E272" s="387"/>
      <c r="F272" s="306"/>
      <c r="G272" s="306"/>
      <c r="H272" s="306"/>
      <c r="I272" s="306"/>
      <c r="J272" s="306"/>
      <c r="K272" s="306"/>
      <c r="L272" s="306"/>
      <c r="M272" s="306"/>
      <c r="N272" s="388"/>
      <c r="O272" s="281"/>
      <c r="P272" s="281"/>
      <c r="Q272" s="281"/>
      <c r="R272" s="281"/>
      <c r="S272" s="281"/>
      <c r="T272" s="281"/>
      <c r="U272" s="281"/>
      <c r="V272" s="281"/>
      <c r="W272" s="281"/>
      <c r="X272" s="281"/>
      <c r="Y272" s="281"/>
      <c r="Z272" s="281"/>
      <c r="AA272" s="281"/>
      <c r="AB272" s="281"/>
      <c r="AC272" s="281"/>
      <c r="AD272" s="281"/>
      <c r="AE272" s="281"/>
    </row>
    <row r="273" spans="2:31" ht="15">
      <c r="B273" s="386">
        <f t="shared" si="7"/>
        <v>228</v>
      </c>
      <c r="C273" s="394" t="str" cm="1">
        <f t="array" aca="1" ref="C273" ca="1">IF(B273&lt;=$C$9,GetGetCDSName(B273),"")</f>
        <v/>
      </c>
      <c r="D273" s="354"/>
      <c r="E273" s="387"/>
      <c r="F273" s="306"/>
      <c r="G273" s="306"/>
      <c r="H273" s="306"/>
      <c r="I273" s="306"/>
      <c r="J273" s="306"/>
      <c r="K273" s="306"/>
      <c r="L273" s="306"/>
      <c r="M273" s="306"/>
      <c r="N273" s="388"/>
      <c r="O273" s="281"/>
      <c r="P273" s="281"/>
      <c r="Q273" s="281"/>
      <c r="R273" s="281"/>
      <c r="S273" s="281"/>
      <c r="T273" s="281"/>
      <c r="U273" s="281"/>
      <c r="V273" s="281"/>
      <c r="W273" s="281"/>
      <c r="X273" s="281"/>
      <c r="Y273" s="281"/>
      <c r="Z273" s="281"/>
      <c r="AA273" s="281"/>
      <c r="AB273" s="281"/>
      <c r="AC273" s="281"/>
      <c r="AD273" s="281"/>
      <c r="AE273" s="281"/>
    </row>
    <row r="274" spans="2:31" ht="15">
      <c r="B274" s="386">
        <f t="shared" si="7"/>
        <v>229</v>
      </c>
      <c r="C274" s="394" t="str" cm="1">
        <f t="array" aca="1" ref="C274" ca="1">IF(B274&lt;=$C$9,GetGetCDSName(B274),"")</f>
        <v/>
      </c>
      <c r="D274" s="354"/>
      <c r="E274" s="387"/>
      <c r="F274" s="306"/>
      <c r="G274" s="306"/>
      <c r="H274" s="306"/>
      <c r="I274" s="306"/>
      <c r="J274" s="306"/>
      <c r="K274" s="306"/>
      <c r="L274" s="306"/>
      <c r="M274" s="306"/>
      <c r="N274" s="388"/>
      <c r="O274" s="281"/>
      <c r="P274" s="281"/>
      <c r="Q274" s="281"/>
      <c r="R274" s="281"/>
      <c r="S274" s="281"/>
      <c r="T274" s="281"/>
      <c r="U274" s="281"/>
      <c r="V274" s="281"/>
      <c r="W274" s="281"/>
      <c r="X274" s="281"/>
      <c r="Y274" s="281"/>
      <c r="Z274" s="281"/>
      <c r="AA274" s="281"/>
      <c r="AB274" s="281"/>
      <c r="AC274" s="281"/>
      <c r="AD274" s="281"/>
      <c r="AE274" s="281"/>
    </row>
    <row r="275" spans="2:31" ht="15">
      <c r="B275" s="386">
        <f t="shared" si="7"/>
        <v>230</v>
      </c>
      <c r="C275" s="394" t="str" cm="1">
        <f t="array" aca="1" ref="C275" ca="1">IF(B275&lt;=$C$9,GetGetCDSName(B275),"")</f>
        <v/>
      </c>
      <c r="D275" s="354"/>
      <c r="E275" s="387"/>
      <c r="F275" s="306"/>
      <c r="G275" s="306"/>
      <c r="H275" s="306"/>
      <c r="I275" s="306"/>
      <c r="J275" s="306"/>
      <c r="K275" s="306"/>
      <c r="L275" s="306"/>
      <c r="M275" s="306"/>
      <c r="N275" s="388"/>
      <c r="O275" s="281"/>
      <c r="P275" s="281"/>
      <c r="Q275" s="281"/>
      <c r="R275" s="281"/>
      <c r="S275" s="281"/>
      <c r="T275" s="281"/>
      <c r="U275" s="281"/>
      <c r="V275" s="281"/>
      <c r="W275" s="281"/>
      <c r="X275" s="281"/>
      <c r="Y275" s="281"/>
      <c r="Z275" s="281"/>
      <c r="AA275" s="281"/>
      <c r="AB275" s="281"/>
      <c r="AC275" s="281"/>
      <c r="AD275" s="281"/>
      <c r="AE275" s="281"/>
    </row>
    <row r="276" spans="2:31" ht="15">
      <c r="B276" s="386">
        <f t="shared" si="7"/>
        <v>231</v>
      </c>
      <c r="C276" s="394" t="str" cm="1">
        <f t="array" aca="1" ref="C276" ca="1">IF(B276&lt;=$C$9,GetGetCDSName(B276),"")</f>
        <v/>
      </c>
      <c r="D276" s="354"/>
      <c r="E276" s="387"/>
      <c r="F276" s="306"/>
      <c r="G276" s="306"/>
      <c r="H276" s="306"/>
      <c r="I276" s="306"/>
      <c r="J276" s="306"/>
      <c r="K276" s="306"/>
      <c r="L276" s="306"/>
      <c r="M276" s="306"/>
      <c r="N276" s="388"/>
      <c r="O276" s="281"/>
      <c r="P276" s="281"/>
      <c r="Q276" s="281"/>
      <c r="R276" s="281"/>
      <c r="S276" s="281"/>
      <c r="T276" s="281"/>
      <c r="U276" s="281"/>
      <c r="V276" s="281"/>
      <c r="W276" s="281"/>
      <c r="X276" s="281"/>
      <c r="Y276" s="281"/>
      <c r="Z276" s="281"/>
      <c r="AA276" s="281"/>
      <c r="AB276" s="281"/>
      <c r="AC276" s="281"/>
      <c r="AD276" s="281"/>
      <c r="AE276" s="281"/>
    </row>
    <row r="277" spans="2:31" ht="15">
      <c r="B277" s="386">
        <f t="shared" si="7"/>
        <v>232</v>
      </c>
      <c r="C277" s="394" t="str" cm="1">
        <f t="array" aca="1" ref="C277" ca="1">IF(B277&lt;=$C$9,GetGetCDSName(B277),"")</f>
        <v/>
      </c>
      <c r="D277" s="354"/>
      <c r="E277" s="387"/>
      <c r="F277" s="306"/>
      <c r="G277" s="306"/>
      <c r="H277" s="306"/>
      <c r="I277" s="306"/>
      <c r="J277" s="306"/>
      <c r="K277" s="306"/>
      <c r="L277" s="306"/>
      <c r="M277" s="306"/>
      <c r="N277" s="388"/>
      <c r="O277" s="281"/>
      <c r="P277" s="281"/>
      <c r="Q277" s="281"/>
      <c r="R277" s="281"/>
      <c r="S277" s="281"/>
      <c r="T277" s="281"/>
      <c r="U277" s="281"/>
      <c r="V277" s="281"/>
      <c r="W277" s="281"/>
      <c r="X277" s="281"/>
      <c r="Y277" s="281"/>
      <c r="Z277" s="281"/>
      <c r="AA277" s="281"/>
      <c r="AB277" s="281"/>
      <c r="AC277" s="281"/>
      <c r="AD277" s="281"/>
      <c r="AE277" s="281"/>
    </row>
    <row r="278" spans="2:31" ht="15">
      <c r="B278" s="386">
        <f t="shared" si="7"/>
        <v>233</v>
      </c>
      <c r="C278" s="394" t="str" cm="1">
        <f t="array" aca="1" ref="C278" ca="1">IF(B278&lt;=$C$9,GetGetCDSName(B278),"")</f>
        <v/>
      </c>
      <c r="D278" s="354"/>
      <c r="E278" s="387"/>
      <c r="F278" s="306"/>
      <c r="G278" s="306"/>
      <c r="H278" s="306"/>
      <c r="I278" s="306"/>
      <c r="J278" s="306"/>
      <c r="K278" s="306"/>
      <c r="L278" s="306"/>
      <c r="M278" s="306"/>
      <c r="N278" s="388"/>
      <c r="O278" s="281"/>
      <c r="P278" s="281"/>
      <c r="Q278" s="281"/>
      <c r="R278" s="281"/>
      <c r="S278" s="281"/>
      <c r="T278" s="281"/>
      <c r="U278" s="281"/>
      <c r="V278" s="281"/>
      <c r="W278" s="281"/>
      <c r="X278" s="281"/>
      <c r="Y278" s="281"/>
      <c r="Z278" s="281"/>
      <c r="AA278" s="281"/>
      <c r="AB278" s="281"/>
      <c r="AC278" s="281"/>
      <c r="AD278" s="281"/>
      <c r="AE278" s="281"/>
    </row>
    <row r="279" spans="2:31" ht="15">
      <c r="B279" s="386">
        <f t="shared" si="7"/>
        <v>234</v>
      </c>
      <c r="C279" s="394" t="str" cm="1">
        <f t="array" aca="1" ref="C279" ca="1">IF(B279&lt;=$C$9,GetGetCDSName(B279),"")</f>
        <v/>
      </c>
      <c r="D279" s="354"/>
      <c r="E279" s="387"/>
      <c r="F279" s="306"/>
      <c r="G279" s="306"/>
      <c r="H279" s="306"/>
      <c r="I279" s="306"/>
      <c r="J279" s="306"/>
      <c r="K279" s="306"/>
      <c r="L279" s="306"/>
      <c r="M279" s="306"/>
      <c r="N279" s="388"/>
      <c r="O279" s="281"/>
      <c r="P279" s="281"/>
      <c r="Q279" s="281"/>
      <c r="R279" s="281"/>
      <c r="S279" s="281"/>
      <c r="T279" s="281"/>
      <c r="U279" s="281"/>
      <c r="V279" s="281"/>
      <c r="W279" s="281"/>
      <c r="X279" s="281"/>
      <c r="Y279" s="281"/>
      <c r="Z279" s="281"/>
      <c r="AA279" s="281"/>
      <c r="AB279" s="281"/>
      <c r="AC279" s="281"/>
      <c r="AD279" s="281"/>
      <c r="AE279" s="281"/>
    </row>
    <row r="280" spans="2:31" ht="15">
      <c r="B280" s="386">
        <f t="shared" si="7"/>
        <v>235</v>
      </c>
      <c r="C280" s="394" t="str" cm="1">
        <f t="array" aca="1" ref="C280" ca="1">IF(B280&lt;=$C$9,GetGetCDSName(B280),"")</f>
        <v/>
      </c>
      <c r="D280" s="354"/>
      <c r="E280" s="387"/>
      <c r="F280" s="306"/>
      <c r="G280" s="306"/>
      <c r="H280" s="306"/>
      <c r="I280" s="306"/>
      <c r="J280" s="306"/>
      <c r="K280" s="306"/>
      <c r="L280" s="306"/>
      <c r="M280" s="306"/>
      <c r="N280" s="388"/>
      <c r="O280" s="281"/>
      <c r="P280" s="281"/>
      <c r="Q280" s="281"/>
      <c r="R280" s="281"/>
      <c r="S280" s="281"/>
      <c r="T280" s="281"/>
      <c r="U280" s="281"/>
      <c r="V280" s="281"/>
      <c r="W280" s="281"/>
      <c r="X280" s="281"/>
      <c r="Y280" s="281"/>
      <c r="Z280" s="281"/>
      <c r="AA280" s="281"/>
      <c r="AB280" s="281"/>
      <c r="AC280" s="281"/>
      <c r="AD280" s="281"/>
      <c r="AE280" s="281"/>
    </row>
    <row r="281" spans="2:31" ht="15">
      <c r="B281" s="386">
        <f t="shared" si="7"/>
        <v>236</v>
      </c>
      <c r="C281" s="394" t="str" cm="1">
        <f t="array" aca="1" ref="C281" ca="1">IF(B281&lt;=$C$9,GetGetCDSName(B281),"")</f>
        <v/>
      </c>
      <c r="D281" s="354"/>
      <c r="E281" s="387"/>
      <c r="F281" s="306"/>
      <c r="G281" s="306"/>
      <c r="H281" s="306"/>
      <c r="I281" s="306"/>
      <c r="J281" s="306"/>
      <c r="K281" s="306"/>
      <c r="L281" s="306"/>
      <c r="M281" s="306"/>
      <c r="N281" s="388"/>
      <c r="O281" s="281"/>
      <c r="P281" s="281"/>
      <c r="Q281" s="281"/>
      <c r="R281" s="281"/>
      <c r="S281" s="281"/>
      <c r="T281" s="281"/>
      <c r="U281" s="281"/>
      <c r="V281" s="281"/>
      <c r="W281" s="281"/>
      <c r="X281" s="281"/>
      <c r="Y281" s="281"/>
      <c r="Z281" s="281"/>
      <c r="AA281" s="281"/>
      <c r="AB281" s="281"/>
      <c r="AC281" s="281"/>
      <c r="AD281" s="281"/>
      <c r="AE281" s="281"/>
    </row>
    <row r="282" spans="2:31" ht="15">
      <c r="B282" s="386">
        <f t="shared" si="7"/>
        <v>237</v>
      </c>
      <c r="C282" s="394" t="str" cm="1">
        <f t="array" aca="1" ref="C282" ca="1">IF(B282&lt;=$C$9,GetGetCDSName(B282),"")</f>
        <v/>
      </c>
      <c r="D282" s="354"/>
      <c r="E282" s="387"/>
      <c r="F282" s="306"/>
      <c r="G282" s="306"/>
      <c r="H282" s="306"/>
      <c r="I282" s="306"/>
      <c r="J282" s="306"/>
      <c r="K282" s="306"/>
      <c r="L282" s="306"/>
      <c r="M282" s="306"/>
      <c r="N282" s="388"/>
      <c r="O282" s="281"/>
      <c r="P282" s="281"/>
      <c r="Q282" s="281"/>
      <c r="R282" s="281"/>
      <c r="S282" s="281"/>
      <c r="T282" s="281"/>
      <c r="U282" s="281"/>
      <c r="V282" s="281"/>
      <c r="W282" s="281"/>
      <c r="X282" s="281"/>
      <c r="Y282" s="281"/>
      <c r="Z282" s="281"/>
      <c r="AA282" s="281"/>
      <c r="AB282" s="281"/>
      <c r="AC282" s="281"/>
      <c r="AD282" s="281"/>
      <c r="AE282" s="281"/>
    </row>
    <row r="283" spans="2:31" ht="15">
      <c r="B283" s="386">
        <f t="shared" si="7"/>
        <v>238</v>
      </c>
      <c r="C283" s="394" t="str" cm="1">
        <f t="array" aca="1" ref="C283" ca="1">IF(B283&lt;=$C$9,GetGetCDSName(B283),"")</f>
        <v/>
      </c>
      <c r="D283" s="354"/>
      <c r="E283" s="387"/>
      <c r="F283" s="306"/>
      <c r="G283" s="306"/>
      <c r="H283" s="306"/>
      <c r="I283" s="306"/>
      <c r="J283" s="306"/>
      <c r="K283" s="306"/>
      <c r="L283" s="306"/>
      <c r="M283" s="306"/>
      <c r="N283" s="388"/>
      <c r="O283" s="281"/>
      <c r="P283" s="281"/>
      <c r="Q283" s="281"/>
      <c r="R283" s="281"/>
      <c r="S283" s="281"/>
      <c r="T283" s="281"/>
      <c r="U283" s="281"/>
      <c r="V283" s="281"/>
      <c r="W283" s="281"/>
      <c r="X283" s="281"/>
      <c r="Y283" s="281"/>
      <c r="Z283" s="281"/>
      <c r="AA283" s="281"/>
      <c r="AB283" s="281"/>
      <c r="AC283" s="281"/>
      <c r="AD283" s="281"/>
      <c r="AE283" s="281"/>
    </row>
    <row r="284" spans="2:31" ht="15">
      <c r="B284" s="386">
        <f t="shared" si="7"/>
        <v>239</v>
      </c>
      <c r="C284" s="394" t="str" cm="1">
        <f t="array" aca="1" ref="C284" ca="1">IF(B284&lt;=$C$9,GetGetCDSName(B284),"")</f>
        <v/>
      </c>
      <c r="D284" s="354"/>
      <c r="E284" s="387"/>
      <c r="F284" s="306"/>
      <c r="G284" s="306"/>
      <c r="H284" s="306"/>
      <c r="I284" s="306"/>
      <c r="J284" s="306"/>
      <c r="K284" s="306"/>
      <c r="L284" s="306"/>
      <c r="M284" s="306"/>
      <c r="N284" s="388"/>
      <c r="O284" s="281"/>
      <c r="P284" s="281"/>
      <c r="Q284" s="281"/>
      <c r="R284" s="281"/>
      <c r="S284" s="281"/>
      <c r="T284" s="281"/>
      <c r="U284" s="281"/>
      <c r="V284" s="281"/>
      <c r="W284" s="281"/>
      <c r="X284" s="281"/>
      <c r="Y284" s="281"/>
      <c r="Z284" s="281"/>
      <c r="AA284" s="281"/>
      <c r="AB284" s="281"/>
      <c r="AC284" s="281"/>
      <c r="AD284" s="281"/>
      <c r="AE284" s="281"/>
    </row>
    <row r="285" spans="2:31" ht="15">
      <c r="B285" s="386">
        <f t="shared" si="7"/>
        <v>240</v>
      </c>
      <c r="C285" s="394" t="str" cm="1">
        <f t="array" aca="1" ref="C285" ca="1">IF(B285&lt;=$C$9,GetGetCDSName(B285),"")</f>
        <v/>
      </c>
      <c r="D285" s="354"/>
      <c r="E285" s="387"/>
      <c r="F285" s="306"/>
      <c r="G285" s="306"/>
      <c r="H285" s="306"/>
      <c r="I285" s="306"/>
      <c r="J285" s="306"/>
      <c r="K285" s="306"/>
      <c r="L285" s="306"/>
      <c r="M285" s="306"/>
      <c r="N285" s="388"/>
      <c r="O285" s="281"/>
      <c r="P285" s="281"/>
      <c r="Q285" s="281"/>
      <c r="R285" s="281"/>
      <c r="S285" s="281"/>
      <c r="T285" s="281"/>
      <c r="U285" s="281"/>
      <c r="V285" s="281"/>
      <c r="W285" s="281"/>
      <c r="X285" s="281"/>
      <c r="Y285" s="281"/>
      <c r="Z285" s="281"/>
      <c r="AA285" s="281"/>
      <c r="AB285" s="281"/>
      <c r="AC285" s="281"/>
      <c r="AD285" s="281"/>
      <c r="AE285" s="281"/>
    </row>
    <row r="286" spans="2:31" ht="15">
      <c r="B286" s="386">
        <f t="shared" si="7"/>
        <v>241</v>
      </c>
      <c r="C286" s="394" t="str" cm="1">
        <f t="array" aca="1" ref="C286" ca="1">IF(B286&lt;=$C$9,GetGetCDSName(B286),"")</f>
        <v/>
      </c>
      <c r="D286" s="354"/>
      <c r="E286" s="387"/>
      <c r="F286" s="306"/>
      <c r="G286" s="306"/>
      <c r="H286" s="306"/>
      <c r="I286" s="306"/>
      <c r="J286" s="306"/>
      <c r="K286" s="306"/>
      <c r="L286" s="306"/>
      <c r="M286" s="306"/>
      <c r="N286" s="388"/>
      <c r="O286" s="281"/>
      <c r="P286" s="281"/>
      <c r="Q286" s="281"/>
      <c r="R286" s="281"/>
      <c r="S286" s="281"/>
      <c r="T286" s="281"/>
      <c r="U286" s="281"/>
      <c r="V286" s="281"/>
      <c r="W286" s="281"/>
      <c r="X286" s="281"/>
      <c r="Y286" s="281"/>
      <c r="Z286" s="281"/>
      <c r="AA286" s="281"/>
      <c r="AB286" s="281"/>
      <c r="AC286" s="281"/>
      <c r="AD286" s="281"/>
      <c r="AE286" s="281"/>
    </row>
    <row r="287" spans="2:31" ht="15">
      <c r="B287" s="386">
        <f t="shared" si="7"/>
        <v>242</v>
      </c>
      <c r="C287" s="394" t="str" cm="1">
        <f t="array" aca="1" ref="C287" ca="1">IF(B287&lt;=$C$9,GetGetCDSName(B287),"")</f>
        <v/>
      </c>
      <c r="D287" s="354"/>
      <c r="E287" s="387"/>
      <c r="F287" s="306"/>
      <c r="G287" s="306"/>
      <c r="H287" s="306"/>
      <c r="I287" s="306"/>
      <c r="J287" s="306"/>
      <c r="K287" s="306"/>
      <c r="L287" s="306"/>
      <c r="M287" s="306"/>
      <c r="N287" s="388"/>
      <c r="O287" s="281"/>
      <c r="P287" s="281"/>
      <c r="Q287" s="281"/>
      <c r="R287" s="281"/>
      <c r="S287" s="281"/>
      <c r="T287" s="281"/>
      <c r="U287" s="281"/>
      <c r="V287" s="281"/>
      <c r="W287" s="281"/>
      <c r="X287" s="281"/>
      <c r="Y287" s="281"/>
      <c r="Z287" s="281"/>
      <c r="AA287" s="281"/>
      <c r="AB287" s="281"/>
      <c r="AC287" s="281"/>
      <c r="AD287" s="281"/>
      <c r="AE287" s="281"/>
    </row>
    <row r="288" spans="2:31" ht="15">
      <c r="B288" s="386">
        <f t="shared" si="7"/>
        <v>243</v>
      </c>
      <c r="C288" s="394" t="str" cm="1">
        <f t="array" aca="1" ref="C288" ca="1">IF(B288&lt;=$C$9,GetGetCDSName(B288),"")</f>
        <v/>
      </c>
      <c r="D288" s="354"/>
      <c r="E288" s="387"/>
      <c r="F288" s="306"/>
      <c r="G288" s="306"/>
      <c r="H288" s="306"/>
      <c r="I288" s="306"/>
      <c r="J288" s="306"/>
      <c r="K288" s="306"/>
      <c r="L288" s="306"/>
      <c r="M288" s="306"/>
      <c r="N288" s="388"/>
      <c r="O288" s="281"/>
      <c r="P288" s="281"/>
      <c r="Q288" s="281"/>
      <c r="R288" s="281"/>
      <c r="S288" s="281"/>
      <c r="T288" s="281"/>
      <c r="U288" s="281"/>
      <c r="V288" s="281"/>
      <c r="W288" s="281"/>
      <c r="X288" s="281"/>
      <c r="Y288" s="281"/>
      <c r="Z288" s="281"/>
      <c r="AA288" s="281"/>
      <c r="AB288" s="281"/>
      <c r="AC288" s="281"/>
      <c r="AD288" s="281"/>
      <c r="AE288" s="281"/>
    </row>
    <row r="289" spans="2:31" ht="15">
      <c r="B289" s="386">
        <f t="shared" si="7"/>
        <v>244</v>
      </c>
      <c r="C289" s="394" t="str" cm="1">
        <f t="array" aca="1" ref="C289" ca="1">IF(B289&lt;=$C$9,GetGetCDSName(B289),"")</f>
        <v/>
      </c>
      <c r="D289" s="354"/>
      <c r="E289" s="387"/>
      <c r="F289" s="306"/>
      <c r="G289" s="306"/>
      <c r="H289" s="306"/>
      <c r="I289" s="306"/>
      <c r="J289" s="306"/>
      <c r="K289" s="306"/>
      <c r="L289" s="306"/>
      <c r="M289" s="306"/>
      <c r="N289" s="388"/>
      <c r="O289" s="281"/>
      <c r="P289" s="281"/>
      <c r="Q289" s="281"/>
      <c r="R289" s="281"/>
      <c r="S289" s="281"/>
      <c r="T289" s="281"/>
      <c r="U289" s="281"/>
      <c r="V289" s="281"/>
      <c r="W289" s="281"/>
      <c r="X289" s="281"/>
      <c r="Y289" s="281"/>
      <c r="Z289" s="281"/>
      <c r="AA289" s="281"/>
      <c r="AB289" s="281"/>
      <c r="AC289" s="281"/>
      <c r="AD289" s="281"/>
      <c r="AE289" s="281"/>
    </row>
    <row r="290" spans="2:31" ht="15">
      <c r="B290" s="386">
        <f t="shared" si="7"/>
        <v>245</v>
      </c>
      <c r="C290" s="394" t="str" cm="1">
        <f t="array" aca="1" ref="C290" ca="1">IF(B290&lt;=$C$9,GetGetCDSName(B290),"")</f>
        <v/>
      </c>
      <c r="D290" s="354"/>
      <c r="E290" s="387"/>
      <c r="F290" s="306"/>
      <c r="G290" s="306"/>
      <c r="H290" s="306"/>
      <c r="I290" s="306"/>
      <c r="J290" s="306"/>
      <c r="K290" s="306"/>
      <c r="L290" s="306"/>
      <c r="M290" s="306"/>
      <c r="N290" s="388"/>
      <c r="O290" s="281"/>
      <c r="P290" s="281"/>
      <c r="Q290" s="281"/>
      <c r="R290" s="281"/>
      <c r="S290" s="281"/>
      <c r="T290" s="281"/>
      <c r="U290" s="281"/>
      <c r="V290" s="281"/>
      <c r="W290" s="281"/>
      <c r="X290" s="281"/>
      <c r="Y290" s="281"/>
      <c r="Z290" s="281"/>
      <c r="AA290" s="281"/>
      <c r="AB290" s="281"/>
      <c r="AC290" s="281"/>
      <c r="AD290" s="281"/>
      <c r="AE290" s="281"/>
    </row>
    <row r="291" spans="2:31" ht="15">
      <c r="B291" s="386">
        <f t="shared" si="7"/>
        <v>246</v>
      </c>
      <c r="C291" s="394" t="str" cm="1">
        <f t="array" aca="1" ref="C291" ca="1">IF(B291&lt;=$C$9,GetGetCDSName(B291),"")</f>
        <v/>
      </c>
      <c r="D291" s="354"/>
      <c r="E291" s="387"/>
      <c r="F291" s="306"/>
      <c r="G291" s="306"/>
      <c r="H291" s="306"/>
      <c r="I291" s="306"/>
      <c r="J291" s="306"/>
      <c r="K291" s="306"/>
      <c r="L291" s="306"/>
      <c r="M291" s="306"/>
      <c r="N291" s="388"/>
      <c r="O291" s="281"/>
      <c r="P291" s="281"/>
      <c r="Q291" s="281"/>
      <c r="R291" s="281"/>
      <c r="S291" s="281"/>
      <c r="T291" s="281"/>
      <c r="U291" s="281"/>
      <c r="V291" s="281"/>
      <c r="W291" s="281"/>
      <c r="X291" s="281"/>
      <c r="Y291" s="281"/>
      <c r="Z291" s="281"/>
      <c r="AA291" s="281"/>
      <c r="AB291" s="281"/>
      <c r="AC291" s="281"/>
      <c r="AD291" s="281"/>
      <c r="AE291" s="281"/>
    </row>
    <row r="292" spans="2:31" ht="15">
      <c r="B292" s="386">
        <f t="shared" si="7"/>
        <v>247</v>
      </c>
      <c r="C292" s="394" t="str" cm="1">
        <f t="array" aca="1" ref="C292" ca="1">IF(B292&lt;=$C$9,GetGetCDSName(B292),"")</f>
        <v/>
      </c>
      <c r="D292" s="354"/>
      <c r="E292" s="387"/>
      <c r="F292" s="306"/>
      <c r="G292" s="306"/>
      <c r="H292" s="306"/>
      <c r="I292" s="306"/>
      <c r="J292" s="306"/>
      <c r="K292" s="306"/>
      <c r="L292" s="306"/>
      <c r="M292" s="306"/>
      <c r="N292" s="388"/>
      <c r="O292" s="281"/>
      <c r="P292" s="281"/>
      <c r="Q292" s="281"/>
      <c r="R292" s="281"/>
      <c r="S292" s="281"/>
      <c r="T292" s="281"/>
      <c r="U292" s="281"/>
      <c r="V292" s="281"/>
      <c r="W292" s="281"/>
      <c r="X292" s="281"/>
      <c r="Y292" s="281"/>
      <c r="Z292" s="281"/>
      <c r="AA292" s="281"/>
      <c r="AB292" s="281"/>
      <c r="AC292" s="281"/>
      <c r="AD292" s="281"/>
      <c r="AE292" s="281"/>
    </row>
    <row r="293" spans="2:31" ht="15">
      <c r="B293" s="386">
        <f t="shared" si="7"/>
        <v>248</v>
      </c>
      <c r="C293" s="394" t="str" cm="1">
        <f t="array" aca="1" ref="C293" ca="1">IF(B293&lt;=$C$9,GetGetCDSName(B293),"")</f>
        <v/>
      </c>
      <c r="D293" s="354"/>
      <c r="E293" s="387"/>
      <c r="F293" s="306"/>
      <c r="G293" s="306"/>
      <c r="H293" s="306"/>
      <c r="I293" s="306"/>
      <c r="J293" s="306"/>
      <c r="K293" s="306"/>
      <c r="L293" s="306"/>
      <c r="M293" s="306"/>
      <c r="N293" s="388"/>
      <c r="O293" s="281"/>
      <c r="P293" s="281"/>
      <c r="Q293" s="281"/>
      <c r="R293" s="281"/>
      <c r="S293" s="281"/>
      <c r="T293" s="281"/>
      <c r="U293" s="281"/>
      <c r="V293" s="281"/>
      <c r="W293" s="281"/>
      <c r="X293" s="281"/>
      <c r="Y293" s="281"/>
      <c r="Z293" s="281"/>
      <c r="AA293" s="281"/>
      <c r="AB293" s="281"/>
      <c r="AC293" s="281"/>
      <c r="AD293" s="281"/>
      <c r="AE293" s="281"/>
    </row>
    <row r="294" spans="2:31" ht="15">
      <c r="B294" s="386">
        <f t="shared" si="7"/>
        <v>249</v>
      </c>
      <c r="C294" s="394" t="str" cm="1">
        <f t="array" aca="1" ref="C294" ca="1">IF(B294&lt;=$C$9,GetGetCDSName(B294),"")</f>
        <v/>
      </c>
      <c r="D294" s="354"/>
      <c r="E294" s="387"/>
      <c r="F294" s="306"/>
      <c r="G294" s="306"/>
      <c r="H294" s="306"/>
      <c r="I294" s="306"/>
      <c r="J294" s="306"/>
      <c r="K294" s="306"/>
      <c r="L294" s="306"/>
      <c r="M294" s="306"/>
      <c r="N294" s="388"/>
      <c r="O294" s="281"/>
      <c r="P294" s="281"/>
      <c r="Q294" s="281"/>
      <c r="R294" s="281"/>
      <c r="S294" s="281"/>
      <c r="T294" s="281"/>
      <c r="U294" s="281"/>
      <c r="V294" s="281"/>
      <c r="W294" s="281"/>
      <c r="X294" s="281"/>
      <c r="Y294" s="281"/>
      <c r="Z294" s="281"/>
      <c r="AA294" s="281"/>
      <c r="AB294" s="281"/>
      <c r="AC294" s="281"/>
      <c r="AD294" s="281"/>
      <c r="AE294" s="281"/>
    </row>
    <row r="295" spans="2:31" ht="15">
      <c r="B295" s="386">
        <f t="shared" si="7"/>
        <v>250</v>
      </c>
      <c r="C295" s="394" t="str" cm="1">
        <f t="array" aca="1" ref="C295" ca="1">IF(B295&lt;=$C$9,GetGetCDSName(B295),"")</f>
        <v/>
      </c>
      <c r="D295" s="354"/>
      <c r="E295" s="387"/>
      <c r="F295" s="306"/>
      <c r="G295" s="306"/>
      <c r="H295" s="306"/>
      <c r="I295" s="306"/>
      <c r="J295" s="306"/>
      <c r="K295" s="306"/>
      <c r="L295" s="306"/>
      <c r="M295" s="306"/>
      <c r="N295" s="388"/>
      <c r="O295" s="281"/>
      <c r="P295" s="281"/>
      <c r="Q295" s="281"/>
      <c r="R295" s="281"/>
      <c r="S295" s="281"/>
      <c r="T295" s="281"/>
      <c r="U295" s="281"/>
      <c r="V295" s="281"/>
      <c r="W295" s="281"/>
      <c r="X295" s="281"/>
      <c r="Y295" s="281"/>
      <c r="Z295" s="281"/>
      <c r="AA295" s="281"/>
      <c r="AB295" s="281"/>
      <c r="AC295" s="281"/>
      <c r="AD295" s="281"/>
      <c r="AE295" s="281"/>
    </row>
    <row r="296" spans="2:31" ht="15">
      <c r="B296" s="386">
        <f t="shared" si="7"/>
        <v>251</v>
      </c>
      <c r="C296" s="394" t="str" cm="1">
        <f t="array" aca="1" ref="C296" ca="1">IF(B296&lt;=$C$9,GetGetCDSName(B296),"")</f>
        <v/>
      </c>
      <c r="D296" s="354"/>
      <c r="E296" s="387"/>
      <c r="F296" s="306"/>
      <c r="G296" s="306"/>
      <c r="H296" s="306"/>
      <c r="I296" s="306"/>
      <c r="J296" s="306"/>
      <c r="K296" s="306"/>
      <c r="L296" s="306"/>
      <c r="M296" s="306"/>
      <c r="N296" s="388"/>
      <c r="O296" s="281"/>
      <c r="P296" s="281"/>
      <c r="Q296" s="281"/>
      <c r="R296" s="281"/>
      <c r="S296" s="281"/>
      <c r="T296" s="281"/>
      <c r="U296" s="281"/>
      <c r="V296" s="281"/>
      <c r="W296" s="281"/>
      <c r="X296" s="281"/>
      <c r="Y296" s="281"/>
      <c r="Z296" s="281"/>
      <c r="AA296" s="281"/>
      <c r="AB296" s="281"/>
      <c r="AC296" s="281"/>
      <c r="AD296" s="281"/>
      <c r="AE296" s="281"/>
    </row>
    <row r="297" spans="2:31" ht="15">
      <c r="B297" s="386">
        <f t="shared" si="7"/>
        <v>252</v>
      </c>
      <c r="C297" s="394" t="str" cm="1">
        <f t="array" aca="1" ref="C297" ca="1">IF(B297&lt;=$C$9,GetGetCDSName(B297),"")</f>
        <v/>
      </c>
      <c r="D297" s="354"/>
      <c r="E297" s="387"/>
      <c r="F297" s="306"/>
      <c r="G297" s="306"/>
      <c r="H297" s="306"/>
      <c r="I297" s="306"/>
      <c r="J297" s="306"/>
      <c r="K297" s="306"/>
      <c r="L297" s="306"/>
      <c r="M297" s="306"/>
      <c r="N297" s="388"/>
      <c r="O297" s="281"/>
      <c r="P297" s="281"/>
      <c r="Q297" s="281"/>
      <c r="R297" s="281"/>
      <c r="S297" s="281"/>
      <c r="T297" s="281"/>
      <c r="U297" s="281"/>
      <c r="V297" s="281"/>
      <c r="W297" s="281"/>
      <c r="X297" s="281"/>
      <c r="Y297" s="281"/>
      <c r="Z297" s="281"/>
      <c r="AA297" s="281"/>
      <c r="AB297" s="281"/>
      <c r="AC297" s="281"/>
      <c r="AD297" s="281"/>
      <c r="AE297" s="281"/>
    </row>
    <row r="298" spans="2:31" ht="15">
      <c r="B298" s="386">
        <f t="shared" si="7"/>
        <v>253</v>
      </c>
      <c r="C298" s="394" t="str" cm="1">
        <f t="array" aca="1" ref="C298" ca="1">IF(B298&lt;=$C$9,GetGetCDSName(B298),"")</f>
        <v/>
      </c>
      <c r="D298" s="354"/>
      <c r="E298" s="387"/>
      <c r="F298" s="306"/>
      <c r="G298" s="306"/>
      <c r="H298" s="306"/>
      <c r="I298" s="306"/>
      <c r="J298" s="306"/>
      <c r="K298" s="306"/>
      <c r="L298" s="306"/>
      <c r="M298" s="306"/>
      <c r="N298" s="388"/>
      <c r="O298" s="281"/>
      <c r="P298" s="281"/>
      <c r="Q298" s="281"/>
      <c r="R298" s="281"/>
      <c r="S298" s="281"/>
      <c r="T298" s="281"/>
      <c r="U298" s="281"/>
      <c r="V298" s="281"/>
      <c r="W298" s="281"/>
      <c r="X298" s="281"/>
      <c r="Y298" s="281"/>
      <c r="Z298" s="281"/>
      <c r="AA298" s="281"/>
      <c r="AB298" s="281"/>
      <c r="AC298" s="281"/>
      <c r="AD298" s="281"/>
      <c r="AE298" s="281"/>
    </row>
    <row r="299" spans="2:31" ht="15">
      <c r="B299" s="386">
        <f t="shared" si="7"/>
        <v>254</v>
      </c>
      <c r="C299" s="394" t="str" cm="1">
        <f t="array" aca="1" ref="C299" ca="1">IF(B299&lt;=$C$9,GetGetCDSName(B299),"")</f>
        <v/>
      </c>
      <c r="D299" s="354"/>
      <c r="E299" s="387"/>
      <c r="F299" s="306"/>
      <c r="G299" s="306"/>
      <c r="H299" s="306"/>
      <c r="I299" s="306"/>
      <c r="J299" s="306"/>
      <c r="K299" s="306"/>
      <c r="L299" s="306"/>
      <c r="M299" s="306"/>
      <c r="N299" s="388"/>
      <c r="O299" s="281"/>
      <c r="P299" s="281"/>
      <c r="Q299" s="281"/>
      <c r="R299" s="281"/>
      <c r="S299" s="281"/>
      <c r="T299" s="281"/>
      <c r="U299" s="281"/>
      <c r="V299" s="281"/>
      <c r="W299" s="281"/>
      <c r="X299" s="281"/>
      <c r="Y299" s="281"/>
      <c r="Z299" s="281"/>
      <c r="AA299" s="281"/>
      <c r="AB299" s="281"/>
      <c r="AC299" s="281"/>
      <c r="AD299" s="281"/>
      <c r="AE299" s="281"/>
    </row>
    <row r="300" spans="2:31" ht="15">
      <c r="B300" s="386">
        <f t="shared" si="7"/>
        <v>255</v>
      </c>
      <c r="C300" s="394" t="str" cm="1">
        <f t="array" aca="1" ref="C300" ca="1">IF(B300&lt;=$C$9,GetGetCDSName(B300),"")</f>
        <v/>
      </c>
      <c r="D300" s="354"/>
      <c r="E300" s="387"/>
      <c r="F300" s="306"/>
      <c r="G300" s="306"/>
      <c r="H300" s="306"/>
      <c r="I300" s="306"/>
      <c r="J300" s="306"/>
      <c r="K300" s="306"/>
      <c r="L300" s="306"/>
      <c r="M300" s="306"/>
      <c r="N300" s="388"/>
      <c r="O300" s="281"/>
      <c r="P300" s="281"/>
      <c r="Q300" s="281"/>
      <c r="R300" s="281"/>
      <c r="S300" s="281"/>
      <c r="T300" s="281"/>
      <c r="U300" s="281"/>
      <c r="V300" s="281"/>
      <c r="W300" s="281"/>
      <c r="X300" s="281"/>
      <c r="Y300" s="281"/>
      <c r="Z300" s="281"/>
      <c r="AA300" s="281"/>
      <c r="AB300" s="281"/>
      <c r="AC300" s="281"/>
      <c r="AD300" s="281"/>
      <c r="AE300" s="281"/>
    </row>
    <row r="301" spans="2:31" ht="15">
      <c r="B301" s="386">
        <f t="shared" si="7"/>
        <v>256</v>
      </c>
      <c r="C301" s="394" t="str" cm="1">
        <f t="array" aca="1" ref="C301" ca="1">IF(B301&lt;=$C$9,GetGetCDSName(B301),"")</f>
        <v/>
      </c>
      <c r="D301" s="354"/>
      <c r="E301" s="387"/>
      <c r="F301" s="306"/>
      <c r="G301" s="306"/>
      <c r="H301" s="306"/>
      <c r="I301" s="306"/>
      <c r="J301" s="306"/>
      <c r="K301" s="306"/>
      <c r="L301" s="306"/>
      <c r="M301" s="306"/>
      <c r="N301" s="388"/>
      <c r="O301" s="281"/>
      <c r="P301" s="281"/>
      <c r="Q301" s="281"/>
      <c r="R301" s="281"/>
      <c r="S301" s="281"/>
      <c r="T301" s="281"/>
      <c r="U301" s="281"/>
      <c r="V301" s="281"/>
      <c r="W301" s="281"/>
      <c r="X301" s="281"/>
      <c r="Y301" s="281"/>
      <c r="Z301" s="281"/>
      <c r="AA301" s="281"/>
      <c r="AB301" s="281"/>
      <c r="AC301" s="281"/>
      <c r="AD301" s="281"/>
      <c r="AE301" s="281"/>
    </row>
    <row r="302" spans="2:31" ht="15">
      <c r="B302" s="386">
        <f t="shared" si="7"/>
        <v>257</v>
      </c>
      <c r="C302" s="394" t="str" cm="1">
        <f t="array" aca="1" ref="C302" ca="1">IF(B302&lt;=$C$9,GetGetCDSName(B302),"")</f>
        <v/>
      </c>
      <c r="D302" s="354"/>
      <c r="E302" s="387"/>
      <c r="F302" s="306"/>
      <c r="G302" s="306"/>
      <c r="H302" s="306"/>
      <c r="I302" s="306"/>
      <c r="J302" s="306"/>
      <c r="K302" s="306"/>
      <c r="L302" s="306"/>
      <c r="M302" s="306"/>
      <c r="N302" s="388"/>
      <c r="O302" s="281"/>
      <c r="P302" s="281"/>
      <c r="Q302" s="281"/>
      <c r="R302" s="281"/>
      <c r="S302" s="281"/>
      <c r="T302" s="281"/>
      <c r="U302" s="281"/>
      <c r="V302" s="281"/>
      <c r="W302" s="281"/>
      <c r="X302" s="281"/>
      <c r="Y302" s="281"/>
      <c r="Z302" s="281"/>
      <c r="AA302" s="281"/>
      <c r="AB302" s="281"/>
      <c r="AC302" s="281"/>
      <c r="AD302" s="281"/>
      <c r="AE302" s="281"/>
    </row>
    <row r="303" spans="2:31" ht="15">
      <c r="B303" s="386">
        <f t="shared" ref="B303:B345" si="8">B302+1</f>
        <v>258</v>
      </c>
      <c r="C303" s="394" t="str" cm="1">
        <f t="array" aca="1" ref="C303" ca="1">IF(B303&lt;=$C$9,GetGetCDSName(B303),"")</f>
        <v/>
      </c>
      <c r="D303" s="354"/>
      <c r="E303" s="387"/>
      <c r="F303" s="306"/>
      <c r="G303" s="306"/>
      <c r="H303" s="306"/>
      <c r="I303" s="306"/>
      <c r="J303" s="306"/>
      <c r="K303" s="306"/>
      <c r="L303" s="306"/>
      <c r="M303" s="306"/>
      <c r="N303" s="388"/>
      <c r="O303" s="281"/>
      <c r="P303" s="281"/>
      <c r="Q303" s="281"/>
      <c r="R303" s="281"/>
      <c r="S303" s="281"/>
      <c r="T303" s="281"/>
      <c r="U303" s="281"/>
      <c r="V303" s="281"/>
      <c r="W303" s="281"/>
      <c r="X303" s="281"/>
      <c r="Y303" s="281"/>
      <c r="Z303" s="281"/>
      <c r="AA303" s="281"/>
      <c r="AB303" s="281"/>
      <c r="AC303" s="281"/>
      <c r="AD303" s="281"/>
      <c r="AE303" s="281"/>
    </row>
    <row r="304" spans="2:31" ht="15">
      <c r="B304" s="386">
        <f t="shared" si="8"/>
        <v>259</v>
      </c>
      <c r="C304" s="394" t="str" cm="1">
        <f t="array" aca="1" ref="C304" ca="1">IF(B304&lt;=$C$9,GetGetCDSName(B304),"")</f>
        <v/>
      </c>
      <c r="D304" s="354"/>
      <c r="E304" s="387"/>
      <c r="F304" s="306"/>
      <c r="G304" s="306"/>
      <c r="H304" s="306"/>
      <c r="I304" s="306"/>
      <c r="J304" s="306"/>
      <c r="K304" s="306"/>
      <c r="L304" s="306"/>
      <c r="M304" s="306"/>
      <c r="N304" s="388"/>
      <c r="O304" s="281"/>
      <c r="P304" s="281"/>
      <c r="Q304" s="281"/>
      <c r="R304" s="281"/>
      <c r="S304" s="281"/>
      <c r="T304" s="281"/>
      <c r="U304" s="281"/>
      <c r="V304" s="281"/>
      <c r="W304" s="281"/>
      <c r="X304" s="281"/>
      <c r="Y304" s="281"/>
      <c r="Z304" s="281"/>
      <c r="AA304" s="281"/>
      <c r="AB304" s="281"/>
      <c r="AC304" s="281"/>
      <c r="AD304" s="281"/>
      <c r="AE304" s="281"/>
    </row>
    <row r="305" spans="2:31" ht="15">
      <c r="B305" s="386">
        <f t="shared" si="8"/>
        <v>260</v>
      </c>
      <c r="C305" s="394" t="str" cm="1">
        <f t="array" aca="1" ref="C305" ca="1">IF(B305&lt;=$C$9,GetGetCDSName(B305),"")</f>
        <v/>
      </c>
      <c r="D305" s="354"/>
      <c r="E305" s="387"/>
      <c r="F305" s="306"/>
      <c r="G305" s="306"/>
      <c r="H305" s="306"/>
      <c r="I305" s="306"/>
      <c r="J305" s="306"/>
      <c r="K305" s="306"/>
      <c r="L305" s="306"/>
      <c r="M305" s="306"/>
      <c r="N305" s="388"/>
      <c r="O305" s="281"/>
      <c r="P305" s="281"/>
      <c r="Q305" s="281"/>
      <c r="R305" s="281"/>
      <c r="S305" s="281"/>
      <c r="T305" s="281"/>
      <c r="U305" s="281"/>
      <c r="V305" s="281"/>
      <c r="W305" s="281"/>
      <c r="X305" s="281"/>
      <c r="Y305" s="281"/>
      <c r="Z305" s="281"/>
      <c r="AA305" s="281"/>
      <c r="AB305" s="281"/>
      <c r="AC305" s="281"/>
      <c r="AD305" s="281"/>
      <c r="AE305" s="281"/>
    </row>
    <row r="306" spans="2:31" ht="15">
      <c r="B306" s="386">
        <f t="shared" si="8"/>
        <v>261</v>
      </c>
      <c r="C306" s="394" t="str" cm="1">
        <f t="array" aca="1" ref="C306" ca="1">IF(B306&lt;=$C$9,GetGetCDSName(B306),"")</f>
        <v/>
      </c>
      <c r="D306" s="354"/>
      <c r="E306" s="387"/>
      <c r="F306" s="306"/>
      <c r="G306" s="306"/>
      <c r="H306" s="306"/>
      <c r="I306" s="306"/>
      <c r="J306" s="306"/>
      <c r="K306" s="306"/>
      <c r="L306" s="306"/>
      <c r="M306" s="306"/>
      <c r="N306" s="388"/>
      <c r="O306" s="281"/>
      <c r="P306" s="281"/>
      <c r="Q306" s="281"/>
      <c r="R306" s="281"/>
      <c r="S306" s="281"/>
      <c r="T306" s="281"/>
      <c r="U306" s="281"/>
      <c r="V306" s="281"/>
      <c r="W306" s="281"/>
      <c r="X306" s="281"/>
      <c r="Y306" s="281"/>
      <c r="Z306" s="281"/>
      <c r="AA306" s="281"/>
      <c r="AB306" s="281"/>
      <c r="AC306" s="281"/>
      <c r="AD306" s="281"/>
      <c r="AE306" s="281"/>
    </row>
    <row r="307" spans="2:31" ht="15">
      <c r="B307" s="386">
        <f t="shared" si="8"/>
        <v>262</v>
      </c>
      <c r="C307" s="394" t="str" cm="1">
        <f t="array" aca="1" ref="C307" ca="1">IF(B307&lt;=$C$9,GetGetCDSName(B307),"")</f>
        <v/>
      </c>
      <c r="D307" s="354"/>
      <c r="E307" s="387"/>
      <c r="F307" s="306"/>
      <c r="G307" s="306"/>
      <c r="H307" s="306"/>
      <c r="I307" s="306"/>
      <c r="J307" s="306"/>
      <c r="K307" s="306"/>
      <c r="L307" s="306"/>
      <c r="M307" s="306"/>
      <c r="N307" s="388"/>
      <c r="O307" s="281"/>
      <c r="P307" s="281"/>
      <c r="Q307" s="281"/>
      <c r="R307" s="281"/>
      <c r="S307" s="281"/>
      <c r="T307" s="281"/>
      <c r="U307" s="281"/>
      <c r="V307" s="281"/>
      <c r="W307" s="281"/>
      <c r="X307" s="281"/>
      <c r="Y307" s="281"/>
      <c r="Z307" s="281"/>
      <c r="AA307" s="281"/>
      <c r="AB307" s="281"/>
      <c r="AC307" s="281"/>
      <c r="AD307" s="281"/>
      <c r="AE307" s="281"/>
    </row>
    <row r="308" spans="2:31" ht="15">
      <c r="B308" s="386">
        <f t="shared" si="8"/>
        <v>263</v>
      </c>
      <c r="C308" s="394" t="str" cm="1">
        <f t="array" aca="1" ref="C308" ca="1">IF(B308&lt;=$C$9,GetGetCDSName(B308),"")</f>
        <v/>
      </c>
      <c r="D308" s="354"/>
      <c r="E308" s="387"/>
      <c r="F308" s="306"/>
      <c r="G308" s="306"/>
      <c r="H308" s="306"/>
      <c r="I308" s="306"/>
      <c r="J308" s="306"/>
      <c r="K308" s="306"/>
      <c r="L308" s="306"/>
      <c r="M308" s="306"/>
      <c r="N308" s="388"/>
      <c r="O308" s="281"/>
      <c r="P308" s="281"/>
      <c r="Q308" s="281"/>
      <c r="R308" s="281"/>
      <c r="S308" s="281"/>
      <c r="T308" s="281"/>
      <c r="U308" s="281"/>
      <c r="V308" s="281"/>
      <c r="W308" s="281"/>
      <c r="X308" s="281"/>
      <c r="Y308" s="281"/>
      <c r="Z308" s="281"/>
      <c r="AA308" s="281"/>
      <c r="AB308" s="281"/>
      <c r="AC308" s="281"/>
      <c r="AD308" s="281"/>
      <c r="AE308" s="281"/>
    </row>
    <row r="309" spans="2:31" ht="15">
      <c r="B309" s="386">
        <f t="shared" si="8"/>
        <v>264</v>
      </c>
      <c r="C309" s="394" t="str" cm="1">
        <f t="array" aca="1" ref="C309" ca="1">IF(B309&lt;=$C$9,GetGetCDSName(B309),"")</f>
        <v/>
      </c>
      <c r="D309" s="354"/>
      <c r="E309" s="387"/>
      <c r="F309" s="306"/>
      <c r="G309" s="306"/>
      <c r="H309" s="306"/>
      <c r="I309" s="306"/>
      <c r="J309" s="306"/>
      <c r="K309" s="306"/>
      <c r="L309" s="306"/>
      <c r="M309" s="306"/>
      <c r="N309" s="388"/>
      <c r="O309" s="281"/>
      <c r="P309" s="281"/>
      <c r="Q309" s="281"/>
      <c r="R309" s="281"/>
      <c r="S309" s="281"/>
      <c r="T309" s="281"/>
      <c r="U309" s="281"/>
      <c r="V309" s="281"/>
      <c r="W309" s="281"/>
      <c r="X309" s="281"/>
      <c r="Y309" s="281"/>
      <c r="Z309" s="281"/>
      <c r="AA309" s="281"/>
      <c r="AB309" s="281"/>
      <c r="AC309" s="281"/>
      <c r="AD309" s="281"/>
      <c r="AE309" s="281"/>
    </row>
    <row r="310" spans="2:31" ht="15">
      <c r="B310" s="386">
        <f t="shared" si="8"/>
        <v>265</v>
      </c>
      <c r="C310" s="394" t="str" cm="1">
        <f t="array" aca="1" ref="C310" ca="1">IF(B310&lt;=$C$9,GetGetCDSName(B310),"")</f>
        <v/>
      </c>
      <c r="D310" s="354"/>
      <c r="E310" s="387"/>
      <c r="F310" s="306"/>
      <c r="G310" s="306"/>
      <c r="H310" s="306"/>
      <c r="I310" s="306"/>
      <c r="J310" s="306"/>
      <c r="K310" s="306"/>
      <c r="L310" s="306"/>
      <c r="M310" s="306"/>
      <c r="N310" s="388"/>
      <c r="O310" s="281"/>
      <c r="P310" s="281"/>
      <c r="Q310" s="281"/>
      <c r="R310" s="281"/>
      <c r="S310" s="281"/>
      <c r="T310" s="281"/>
      <c r="U310" s="281"/>
      <c r="V310" s="281"/>
      <c r="W310" s="281"/>
      <c r="X310" s="281"/>
      <c r="Y310" s="281"/>
      <c r="Z310" s="281"/>
      <c r="AA310" s="281"/>
      <c r="AB310" s="281"/>
      <c r="AC310" s="281"/>
      <c r="AD310" s="281"/>
      <c r="AE310" s="281"/>
    </row>
    <row r="311" spans="2:31" ht="15">
      <c r="B311" s="386">
        <f t="shared" si="8"/>
        <v>266</v>
      </c>
      <c r="C311" s="394" t="str" cm="1">
        <f t="array" aca="1" ref="C311" ca="1">IF(B311&lt;=$C$9,GetGetCDSName(B311),"")</f>
        <v/>
      </c>
      <c r="D311" s="354"/>
      <c r="E311" s="387"/>
      <c r="F311" s="306"/>
      <c r="G311" s="306"/>
      <c r="H311" s="306"/>
      <c r="I311" s="306"/>
      <c r="J311" s="306"/>
      <c r="K311" s="306"/>
      <c r="L311" s="306"/>
      <c r="M311" s="306"/>
      <c r="N311" s="388"/>
      <c r="O311" s="281"/>
      <c r="P311" s="281"/>
      <c r="Q311" s="281"/>
      <c r="R311" s="281"/>
      <c r="S311" s="281"/>
      <c r="T311" s="281"/>
      <c r="U311" s="281"/>
      <c r="V311" s="281"/>
      <c r="W311" s="281"/>
      <c r="X311" s="281"/>
      <c r="Y311" s="281"/>
      <c r="Z311" s="281"/>
      <c r="AA311" s="281"/>
      <c r="AB311" s="281"/>
      <c r="AC311" s="281"/>
      <c r="AD311" s="281"/>
      <c r="AE311" s="281"/>
    </row>
    <row r="312" spans="2:31" ht="15">
      <c r="B312" s="386">
        <f t="shared" si="8"/>
        <v>267</v>
      </c>
      <c r="C312" s="394" t="str" cm="1">
        <f t="array" aca="1" ref="C312" ca="1">IF(B312&lt;=$C$9,GetGetCDSName(B312),"")</f>
        <v/>
      </c>
      <c r="D312" s="354"/>
      <c r="E312" s="387"/>
      <c r="F312" s="306"/>
      <c r="G312" s="306"/>
      <c r="H312" s="306"/>
      <c r="I312" s="306"/>
      <c r="J312" s="306"/>
      <c r="K312" s="306"/>
      <c r="L312" s="306"/>
      <c r="M312" s="306"/>
      <c r="N312" s="388"/>
      <c r="O312" s="281"/>
      <c r="P312" s="281"/>
      <c r="Q312" s="281"/>
      <c r="R312" s="281"/>
      <c r="S312" s="281"/>
      <c r="T312" s="281"/>
      <c r="U312" s="281"/>
      <c r="V312" s="281"/>
      <c r="W312" s="281"/>
      <c r="X312" s="281"/>
      <c r="Y312" s="281"/>
      <c r="Z312" s="281"/>
      <c r="AA312" s="281"/>
      <c r="AB312" s="281"/>
      <c r="AC312" s="281"/>
      <c r="AD312" s="281"/>
      <c r="AE312" s="281"/>
    </row>
    <row r="313" spans="2:31" ht="15">
      <c r="B313" s="386">
        <f t="shared" si="8"/>
        <v>268</v>
      </c>
      <c r="C313" s="394" t="str" cm="1">
        <f t="array" aca="1" ref="C313" ca="1">IF(B313&lt;=$C$9,GetGetCDSName(B313),"")</f>
        <v/>
      </c>
      <c r="D313" s="354"/>
      <c r="E313" s="387"/>
      <c r="F313" s="306"/>
      <c r="G313" s="306"/>
      <c r="H313" s="306"/>
      <c r="I313" s="306"/>
      <c r="J313" s="306"/>
      <c r="K313" s="306"/>
      <c r="L313" s="306"/>
      <c r="M313" s="306"/>
      <c r="N313" s="388"/>
      <c r="O313" s="281"/>
      <c r="P313" s="281"/>
      <c r="Q313" s="281"/>
      <c r="R313" s="281"/>
      <c r="S313" s="281"/>
      <c r="T313" s="281"/>
      <c r="U313" s="281"/>
      <c r="V313" s="281"/>
      <c r="W313" s="281"/>
      <c r="X313" s="281"/>
      <c r="Y313" s="281"/>
      <c r="Z313" s="281"/>
      <c r="AA313" s="281"/>
      <c r="AB313" s="281"/>
      <c r="AC313" s="281"/>
      <c r="AD313" s="281"/>
      <c r="AE313" s="281"/>
    </row>
    <row r="314" spans="2:31" ht="15">
      <c r="B314" s="386">
        <f t="shared" si="8"/>
        <v>269</v>
      </c>
      <c r="C314" s="394" t="str" cm="1">
        <f t="array" aca="1" ref="C314" ca="1">IF(B314&lt;=$C$9,GetGetCDSName(B314),"")</f>
        <v/>
      </c>
      <c r="D314" s="354"/>
      <c r="E314" s="387"/>
      <c r="F314" s="306"/>
      <c r="G314" s="306"/>
      <c r="H314" s="306"/>
      <c r="I314" s="306"/>
      <c r="J314" s="306"/>
      <c r="K314" s="306"/>
      <c r="L314" s="306"/>
      <c r="M314" s="306"/>
      <c r="N314" s="388"/>
      <c r="O314" s="281"/>
      <c r="P314" s="281"/>
      <c r="Q314" s="281"/>
      <c r="R314" s="281"/>
      <c r="S314" s="281"/>
      <c r="T314" s="281"/>
      <c r="U314" s="281"/>
      <c r="V314" s="281"/>
      <c r="W314" s="281"/>
      <c r="X314" s="281"/>
      <c r="Y314" s="281"/>
      <c r="Z314" s="281"/>
      <c r="AA314" s="281"/>
      <c r="AB314" s="281"/>
      <c r="AC314" s="281"/>
      <c r="AD314" s="281"/>
      <c r="AE314" s="281"/>
    </row>
    <row r="315" spans="2:31" ht="15">
      <c r="B315" s="386">
        <f t="shared" si="8"/>
        <v>270</v>
      </c>
      <c r="C315" s="394" t="str" cm="1">
        <f t="array" aca="1" ref="C315" ca="1">IF(B315&lt;=$C$9,GetGetCDSName(B315),"")</f>
        <v/>
      </c>
      <c r="D315" s="354"/>
      <c r="E315" s="387"/>
      <c r="F315" s="306"/>
      <c r="G315" s="306"/>
      <c r="H315" s="306"/>
      <c r="I315" s="306"/>
      <c r="J315" s="306"/>
      <c r="K315" s="306"/>
      <c r="L315" s="306"/>
      <c r="M315" s="306"/>
      <c r="N315" s="388"/>
      <c r="O315" s="281"/>
      <c r="P315" s="281"/>
      <c r="Q315" s="281"/>
      <c r="R315" s="281"/>
      <c r="S315" s="281"/>
      <c r="T315" s="281"/>
      <c r="U315" s="281"/>
      <c r="V315" s="281"/>
      <c r="W315" s="281"/>
      <c r="X315" s="281"/>
      <c r="Y315" s="281"/>
      <c r="Z315" s="281"/>
      <c r="AA315" s="281"/>
      <c r="AB315" s="281"/>
      <c r="AC315" s="281"/>
      <c r="AD315" s="281"/>
      <c r="AE315" s="281"/>
    </row>
    <row r="316" spans="2:31" ht="15">
      <c r="B316" s="386">
        <f t="shared" si="8"/>
        <v>271</v>
      </c>
      <c r="C316" s="394" t="str" cm="1">
        <f t="array" aca="1" ref="C316" ca="1">IF(B316&lt;=$C$9,GetGetCDSName(B316),"")</f>
        <v/>
      </c>
      <c r="D316" s="354"/>
      <c r="E316" s="387"/>
      <c r="F316" s="306"/>
      <c r="G316" s="306"/>
      <c r="H316" s="306"/>
      <c r="I316" s="306"/>
      <c r="J316" s="306"/>
      <c r="K316" s="306"/>
      <c r="L316" s="306"/>
      <c r="M316" s="306"/>
      <c r="N316" s="388"/>
      <c r="O316" s="281"/>
      <c r="P316" s="281"/>
      <c r="Q316" s="281"/>
      <c r="R316" s="281"/>
      <c r="S316" s="281"/>
      <c r="T316" s="281"/>
      <c r="U316" s="281"/>
      <c r="V316" s="281"/>
      <c r="W316" s="281"/>
      <c r="X316" s="281"/>
      <c r="Y316" s="281"/>
      <c r="Z316" s="281"/>
      <c r="AA316" s="281"/>
      <c r="AB316" s="281"/>
      <c r="AC316" s="281"/>
      <c r="AD316" s="281"/>
      <c r="AE316" s="281"/>
    </row>
    <row r="317" spans="2:31" ht="15">
      <c r="B317" s="386">
        <f t="shared" si="8"/>
        <v>272</v>
      </c>
      <c r="C317" s="394" t="str" cm="1">
        <f t="array" aca="1" ref="C317" ca="1">IF(B317&lt;=$C$9,GetGetCDSName(B317),"")</f>
        <v/>
      </c>
      <c r="D317" s="354"/>
      <c r="E317" s="387"/>
      <c r="F317" s="306"/>
      <c r="G317" s="306"/>
      <c r="H317" s="306"/>
      <c r="I317" s="306"/>
      <c r="J317" s="306"/>
      <c r="K317" s="306"/>
      <c r="L317" s="306"/>
      <c r="M317" s="306"/>
      <c r="N317" s="388"/>
      <c r="O317" s="281"/>
      <c r="P317" s="281"/>
      <c r="Q317" s="281"/>
      <c r="R317" s="281"/>
      <c r="S317" s="281"/>
      <c r="T317" s="281"/>
      <c r="U317" s="281"/>
      <c r="V317" s="281"/>
      <c r="W317" s="281"/>
      <c r="X317" s="281"/>
      <c r="Y317" s="281"/>
      <c r="Z317" s="281"/>
      <c r="AA317" s="281"/>
      <c r="AB317" s="281"/>
      <c r="AC317" s="281"/>
      <c r="AD317" s="281"/>
      <c r="AE317" s="281"/>
    </row>
    <row r="318" spans="2:31" ht="15">
      <c r="B318" s="386">
        <f t="shared" si="8"/>
        <v>273</v>
      </c>
      <c r="C318" s="394" t="str" cm="1">
        <f t="array" aca="1" ref="C318" ca="1">IF(B318&lt;=$C$9,GetGetCDSName(B318),"")</f>
        <v/>
      </c>
      <c r="D318" s="354"/>
      <c r="E318" s="387"/>
      <c r="F318" s="306"/>
      <c r="G318" s="306"/>
      <c r="H318" s="306"/>
      <c r="I318" s="306"/>
      <c r="J318" s="306"/>
      <c r="K318" s="306"/>
      <c r="L318" s="306"/>
      <c r="M318" s="306"/>
      <c r="N318" s="388"/>
      <c r="O318" s="281"/>
      <c r="P318" s="281"/>
      <c r="Q318" s="281"/>
      <c r="R318" s="281"/>
      <c r="S318" s="281"/>
      <c r="T318" s="281"/>
      <c r="U318" s="281"/>
      <c r="V318" s="281"/>
      <c r="W318" s="281"/>
      <c r="X318" s="281"/>
      <c r="Y318" s="281"/>
      <c r="Z318" s="281"/>
      <c r="AA318" s="281"/>
      <c r="AB318" s="281"/>
      <c r="AC318" s="281"/>
      <c r="AD318" s="281"/>
      <c r="AE318" s="281"/>
    </row>
    <row r="319" spans="2:31" ht="15">
      <c r="B319" s="386">
        <f t="shared" si="8"/>
        <v>274</v>
      </c>
      <c r="C319" s="394" t="str" cm="1">
        <f t="array" aca="1" ref="C319" ca="1">IF(B319&lt;=$C$9,GetGetCDSName(B319),"")</f>
        <v/>
      </c>
      <c r="D319" s="354"/>
      <c r="E319" s="387"/>
      <c r="F319" s="306"/>
      <c r="G319" s="306"/>
      <c r="H319" s="306"/>
      <c r="I319" s="306"/>
      <c r="J319" s="306"/>
      <c r="K319" s="306"/>
      <c r="L319" s="306"/>
      <c r="M319" s="306"/>
      <c r="N319" s="388"/>
      <c r="O319" s="281"/>
      <c r="P319" s="281"/>
      <c r="Q319" s="281"/>
      <c r="R319" s="281"/>
      <c r="S319" s="281"/>
      <c r="T319" s="281"/>
      <c r="U319" s="281"/>
      <c r="V319" s="281"/>
      <c r="W319" s="281"/>
      <c r="X319" s="281"/>
      <c r="Y319" s="281"/>
      <c r="Z319" s="281"/>
      <c r="AA319" s="281"/>
      <c r="AB319" s="281"/>
      <c r="AC319" s="281"/>
      <c r="AD319" s="281"/>
      <c r="AE319" s="281"/>
    </row>
    <row r="320" spans="2:31" ht="15">
      <c r="B320" s="386">
        <f t="shared" si="8"/>
        <v>275</v>
      </c>
      <c r="C320" s="394" t="str" cm="1">
        <f t="array" aca="1" ref="C320" ca="1">IF(B320&lt;=$C$9,GetGetCDSName(B320),"")</f>
        <v/>
      </c>
      <c r="D320" s="354"/>
      <c r="E320" s="387"/>
      <c r="F320" s="306"/>
      <c r="G320" s="306"/>
      <c r="H320" s="306"/>
      <c r="I320" s="306"/>
      <c r="J320" s="306"/>
      <c r="K320" s="306"/>
      <c r="L320" s="306"/>
      <c r="M320" s="306"/>
      <c r="N320" s="388"/>
      <c r="O320" s="281"/>
      <c r="P320" s="281"/>
      <c r="Q320" s="281"/>
      <c r="R320" s="281"/>
      <c r="S320" s="281"/>
      <c r="T320" s="281"/>
      <c r="U320" s="281"/>
      <c r="V320" s="281"/>
      <c r="W320" s="281"/>
      <c r="X320" s="281"/>
      <c r="Y320" s="281"/>
      <c r="Z320" s="281"/>
      <c r="AA320" s="281"/>
      <c r="AB320" s="281"/>
      <c r="AC320" s="281"/>
      <c r="AD320" s="281"/>
      <c r="AE320" s="281"/>
    </row>
    <row r="321" spans="2:31" ht="15">
      <c r="B321" s="386">
        <f t="shared" si="8"/>
        <v>276</v>
      </c>
      <c r="C321" s="394" t="str" cm="1">
        <f t="array" aca="1" ref="C321" ca="1">IF(B321&lt;=$C$9,GetGetCDSName(B321),"")</f>
        <v/>
      </c>
      <c r="D321" s="354"/>
      <c r="E321" s="387"/>
      <c r="F321" s="306"/>
      <c r="G321" s="306"/>
      <c r="H321" s="306"/>
      <c r="I321" s="306"/>
      <c r="J321" s="306"/>
      <c r="K321" s="306"/>
      <c r="L321" s="306"/>
      <c r="M321" s="306"/>
      <c r="N321" s="388"/>
      <c r="O321" s="281"/>
      <c r="P321" s="281"/>
      <c r="Q321" s="281"/>
      <c r="R321" s="281"/>
      <c r="S321" s="281"/>
      <c r="T321" s="281"/>
      <c r="U321" s="281"/>
      <c r="V321" s="281"/>
      <c r="W321" s="281"/>
      <c r="X321" s="281"/>
      <c r="Y321" s="281"/>
      <c r="Z321" s="281"/>
      <c r="AA321" s="281"/>
      <c r="AB321" s="281"/>
      <c r="AC321" s="281"/>
      <c r="AD321" s="281"/>
      <c r="AE321" s="281"/>
    </row>
    <row r="322" spans="2:31" ht="15">
      <c r="B322" s="386">
        <f t="shared" si="8"/>
        <v>277</v>
      </c>
      <c r="C322" s="394" t="str" cm="1">
        <f t="array" aca="1" ref="C322" ca="1">IF(B322&lt;=$C$9,GetGetCDSName(B322),"")</f>
        <v/>
      </c>
      <c r="D322" s="354"/>
      <c r="E322" s="387"/>
      <c r="F322" s="306"/>
      <c r="G322" s="306"/>
      <c r="H322" s="306"/>
      <c r="I322" s="306"/>
      <c r="J322" s="306"/>
      <c r="K322" s="306"/>
      <c r="L322" s="306"/>
      <c r="M322" s="306"/>
      <c r="N322" s="388"/>
      <c r="O322" s="281"/>
      <c r="P322" s="281"/>
      <c r="Q322" s="281"/>
      <c r="R322" s="281"/>
      <c r="S322" s="281"/>
      <c r="T322" s="281"/>
      <c r="U322" s="281"/>
      <c r="V322" s="281"/>
      <c r="W322" s="281"/>
      <c r="X322" s="281"/>
      <c r="Y322" s="281"/>
      <c r="Z322" s="281"/>
      <c r="AA322" s="281"/>
      <c r="AB322" s="281"/>
      <c r="AC322" s="281"/>
      <c r="AD322" s="281"/>
      <c r="AE322" s="281"/>
    </row>
    <row r="323" spans="2:31" ht="15">
      <c r="B323" s="386">
        <f t="shared" si="8"/>
        <v>278</v>
      </c>
      <c r="C323" s="394" t="str" cm="1">
        <f t="array" aca="1" ref="C323" ca="1">IF(B323&lt;=$C$9,GetGetCDSName(B323),"")</f>
        <v/>
      </c>
      <c r="D323" s="354"/>
      <c r="E323" s="387"/>
      <c r="F323" s="306"/>
      <c r="G323" s="306"/>
      <c r="H323" s="306"/>
      <c r="I323" s="306"/>
      <c r="J323" s="306"/>
      <c r="K323" s="306"/>
      <c r="L323" s="306"/>
      <c r="M323" s="306"/>
      <c r="N323" s="388"/>
      <c r="O323" s="281"/>
      <c r="P323" s="281"/>
      <c r="Q323" s="281"/>
      <c r="R323" s="281"/>
      <c r="S323" s="281"/>
      <c r="T323" s="281"/>
      <c r="U323" s="281"/>
      <c r="V323" s="281"/>
      <c r="W323" s="281"/>
      <c r="X323" s="281"/>
      <c r="Y323" s="281"/>
      <c r="Z323" s="281"/>
      <c r="AA323" s="281"/>
      <c r="AB323" s="281"/>
      <c r="AC323" s="281"/>
      <c r="AD323" s="281"/>
      <c r="AE323" s="281"/>
    </row>
    <row r="324" spans="2:31" ht="15">
      <c r="B324" s="386">
        <f t="shared" si="8"/>
        <v>279</v>
      </c>
      <c r="C324" s="394" t="str" cm="1">
        <f t="array" aca="1" ref="C324" ca="1">IF(B324&lt;=$C$9,GetGetCDSName(B324),"")</f>
        <v/>
      </c>
      <c r="D324" s="354"/>
      <c r="E324" s="387"/>
      <c r="F324" s="306"/>
      <c r="G324" s="306"/>
      <c r="H324" s="306"/>
      <c r="I324" s="306"/>
      <c r="J324" s="306"/>
      <c r="K324" s="306"/>
      <c r="L324" s="306"/>
      <c r="M324" s="306"/>
      <c r="N324" s="388"/>
      <c r="O324" s="281"/>
      <c r="P324" s="281"/>
      <c r="Q324" s="281"/>
      <c r="R324" s="281"/>
      <c r="S324" s="281"/>
      <c r="T324" s="281"/>
      <c r="U324" s="281"/>
      <c r="V324" s="281"/>
      <c r="W324" s="281"/>
      <c r="X324" s="281"/>
      <c r="Y324" s="281"/>
      <c r="Z324" s="281"/>
      <c r="AA324" s="281"/>
      <c r="AB324" s="281"/>
      <c r="AC324" s="281"/>
      <c r="AD324" s="281"/>
      <c r="AE324" s="281"/>
    </row>
    <row r="325" spans="2:31" ht="15">
      <c r="B325" s="386">
        <f t="shared" si="8"/>
        <v>280</v>
      </c>
      <c r="C325" s="394" t="str" cm="1">
        <f t="array" aca="1" ref="C325" ca="1">IF(B325&lt;=$C$9,GetGetCDSName(B325),"")</f>
        <v/>
      </c>
      <c r="D325" s="354"/>
      <c r="E325" s="387"/>
      <c r="F325" s="306"/>
      <c r="G325" s="306"/>
      <c r="H325" s="306"/>
      <c r="I325" s="306"/>
      <c r="J325" s="306"/>
      <c r="K325" s="306"/>
      <c r="L325" s="306"/>
      <c r="M325" s="306"/>
      <c r="N325" s="388"/>
      <c r="O325" s="281"/>
      <c r="P325" s="281"/>
      <c r="Q325" s="281"/>
      <c r="R325" s="281"/>
      <c r="S325" s="281"/>
      <c r="T325" s="281"/>
      <c r="U325" s="281"/>
      <c r="V325" s="281"/>
      <c r="W325" s="281"/>
      <c r="X325" s="281"/>
      <c r="Y325" s="281"/>
      <c r="Z325" s="281"/>
      <c r="AA325" s="281"/>
      <c r="AB325" s="281"/>
      <c r="AC325" s="281"/>
      <c r="AD325" s="281"/>
      <c r="AE325" s="281"/>
    </row>
    <row r="326" spans="2:31" ht="15">
      <c r="B326" s="386">
        <f t="shared" si="8"/>
        <v>281</v>
      </c>
      <c r="C326" s="394" t="str" cm="1">
        <f t="array" aca="1" ref="C326" ca="1">IF(B326&lt;=$C$9,GetGetCDSName(B326),"")</f>
        <v/>
      </c>
      <c r="D326" s="354"/>
      <c r="E326" s="387"/>
      <c r="F326" s="306"/>
      <c r="G326" s="306"/>
      <c r="H326" s="306"/>
      <c r="I326" s="306"/>
      <c r="J326" s="306"/>
      <c r="K326" s="306"/>
      <c r="L326" s="306"/>
      <c r="M326" s="306"/>
      <c r="N326" s="388"/>
      <c r="O326" s="281"/>
      <c r="P326" s="281"/>
      <c r="Q326" s="281"/>
      <c r="R326" s="281"/>
      <c r="S326" s="281"/>
      <c r="T326" s="281"/>
      <c r="U326" s="281"/>
      <c r="V326" s="281"/>
      <c r="W326" s="281"/>
      <c r="X326" s="281"/>
      <c r="Y326" s="281"/>
      <c r="Z326" s="281"/>
      <c r="AA326" s="281"/>
      <c r="AB326" s="281"/>
      <c r="AC326" s="281"/>
      <c r="AD326" s="281"/>
      <c r="AE326" s="281"/>
    </row>
    <row r="327" spans="2:31" ht="15">
      <c r="B327" s="386">
        <f t="shared" si="8"/>
        <v>282</v>
      </c>
      <c r="C327" s="394" t="str" cm="1">
        <f t="array" aca="1" ref="C327" ca="1">IF(B327&lt;=$C$9,GetGetCDSName(B327),"")</f>
        <v/>
      </c>
      <c r="D327" s="354"/>
      <c r="E327" s="387"/>
      <c r="F327" s="306"/>
      <c r="G327" s="306"/>
      <c r="H327" s="306"/>
      <c r="I327" s="306"/>
      <c r="J327" s="306"/>
      <c r="K327" s="306"/>
      <c r="L327" s="306"/>
      <c r="M327" s="306"/>
      <c r="N327" s="388"/>
      <c r="O327" s="281"/>
      <c r="P327" s="281"/>
      <c r="Q327" s="281"/>
      <c r="R327" s="281"/>
      <c r="S327" s="281"/>
      <c r="T327" s="281"/>
      <c r="U327" s="281"/>
      <c r="V327" s="281"/>
      <c r="W327" s="281"/>
      <c r="X327" s="281"/>
      <c r="Y327" s="281"/>
      <c r="Z327" s="281"/>
      <c r="AA327" s="281"/>
      <c r="AB327" s="281"/>
      <c r="AC327" s="281"/>
      <c r="AD327" s="281"/>
      <c r="AE327" s="281"/>
    </row>
    <row r="328" spans="2:31" ht="15">
      <c r="B328" s="386">
        <f t="shared" si="8"/>
        <v>283</v>
      </c>
      <c r="C328" s="394" t="str" cm="1">
        <f t="array" aca="1" ref="C328" ca="1">IF(B328&lt;=$C$9,GetGetCDSName(B328),"")</f>
        <v/>
      </c>
      <c r="D328" s="354"/>
      <c r="E328" s="387"/>
      <c r="F328" s="306"/>
      <c r="G328" s="306"/>
      <c r="H328" s="306"/>
      <c r="I328" s="306"/>
      <c r="J328" s="306"/>
      <c r="K328" s="306"/>
      <c r="L328" s="306"/>
      <c r="M328" s="306"/>
      <c r="N328" s="388"/>
      <c r="O328" s="281"/>
      <c r="P328" s="281"/>
      <c r="Q328" s="281"/>
      <c r="R328" s="281"/>
      <c r="S328" s="281"/>
      <c r="T328" s="281"/>
      <c r="U328" s="281"/>
      <c r="V328" s="281"/>
      <c r="W328" s="281"/>
      <c r="X328" s="281"/>
      <c r="Y328" s="281"/>
      <c r="Z328" s="281"/>
      <c r="AA328" s="281"/>
      <c r="AB328" s="281"/>
      <c r="AC328" s="281"/>
      <c r="AD328" s="281"/>
      <c r="AE328" s="281"/>
    </row>
    <row r="329" spans="2:31" ht="15">
      <c r="B329" s="386">
        <f t="shared" si="8"/>
        <v>284</v>
      </c>
      <c r="C329" s="394" t="str" cm="1">
        <f t="array" aca="1" ref="C329" ca="1">IF(B329&lt;=$C$9,GetGetCDSName(B329),"")</f>
        <v/>
      </c>
      <c r="D329" s="354"/>
      <c r="E329" s="387"/>
      <c r="F329" s="306"/>
      <c r="G329" s="306"/>
      <c r="H329" s="306"/>
      <c r="I329" s="306"/>
      <c r="J329" s="306"/>
      <c r="K329" s="306"/>
      <c r="L329" s="306"/>
      <c r="M329" s="306"/>
      <c r="N329" s="388"/>
      <c r="O329" s="281"/>
      <c r="P329" s="281"/>
      <c r="Q329" s="281"/>
      <c r="R329" s="281"/>
      <c r="S329" s="281"/>
      <c r="T329" s="281"/>
      <c r="U329" s="281"/>
      <c r="V329" s="281"/>
      <c r="W329" s="281"/>
      <c r="X329" s="281"/>
      <c r="Y329" s="281"/>
      <c r="Z329" s="281"/>
      <c r="AA329" s="281"/>
      <c r="AB329" s="281"/>
      <c r="AC329" s="281"/>
      <c r="AD329" s="281"/>
      <c r="AE329" s="281"/>
    </row>
    <row r="330" spans="2:31" ht="15">
      <c r="B330" s="386">
        <f t="shared" si="8"/>
        <v>285</v>
      </c>
      <c r="C330" s="394" t="str" cm="1">
        <f t="array" aca="1" ref="C330" ca="1">IF(B330&lt;=$C$9,GetGetCDSName(B330),"")</f>
        <v/>
      </c>
      <c r="D330" s="354"/>
      <c r="E330" s="387"/>
      <c r="F330" s="306"/>
      <c r="G330" s="306"/>
      <c r="H330" s="306"/>
      <c r="I330" s="306"/>
      <c r="J330" s="306"/>
      <c r="K330" s="306"/>
      <c r="L330" s="306"/>
      <c r="M330" s="306"/>
      <c r="N330" s="388"/>
      <c r="O330" s="281"/>
      <c r="P330" s="281"/>
      <c r="Q330" s="281"/>
      <c r="R330" s="281"/>
      <c r="S330" s="281"/>
      <c r="T330" s="281"/>
      <c r="U330" s="281"/>
      <c r="V330" s="281"/>
      <c r="W330" s="281"/>
      <c r="X330" s="281"/>
      <c r="Y330" s="281"/>
      <c r="Z330" s="281"/>
      <c r="AA330" s="281"/>
      <c r="AB330" s="281"/>
      <c r="AC330" s="281"/>
      <c r="AD330" s="281"/>
      <c r="AE330" s="281"/>
    </row>
    <row r="331" spans="2:31" ht="15">
      <c r="B331" s="386">
        <f t="shared" si="8"/>
        <v>286</v>
      </c>
      <c r="C331" s="394" t="str" cm="1">
        <f t="array" aca="1" ref="C331" ca="1">IF(B331&lt;=$C$9,GetGetCDSName(B331),"")</f>
        <v/>
      </c>
      <c r="D331" s="354"/>
      <c r="E331" s="387"/>
      <c r="F331" s="306"/>
      <c r="G331" s="306"/>
      <c r="H331" s="306"/>
      <c r="I331" s="306"/>
      <c r="J331" s="306"/>
      <c r="K331" s="306"/>
      <c r="L331" s="306"/>
      <c r="M331" s="306"/>
      <c r="N331" s="388"/>
      <c r="O331" s="281"/>
      <c r="P331" s="281"/>
      <c r="Q331" s="281"/>
      <c r="R331" s="281"/>
      <c r="S331" s="281"/>
      <c r="T331" s="281"/>
      <c r="U331" s="281"/>
      <c r="V331" s="281"/>
      <c r="W331" s="281"/>
      <c r="X331" s="281"/>
      <c r="Y331" s="281"/>
      <c r="Z331" s="281"/>
      <c r="AA331" s="281"/>
      <c r="AB331" s="281"/>
      <c r="AC331" s="281"/>
      <c r="AD331" s="281"/>
      <c r="AE331" s="281"/>
    </row>
    <row r="332" spans="2:31" ht="15">
      <c r="B332" s="386">
        <f t="shared" si="8"/>
        <v>287</v>
      </c>
      <c r="C332" s="394" t="str" cm="1">
        <f t="array" aca="1" ref="C332" ca="1">IF(B332&lt;=$C$9,GetGetCDSName(B332),"")</f>
        <v/>
      </c>
      <c r="D332" s="354"/>
      <c r="E332" s="387"/>
      <c r="F332" s="306"/>
      <c r="G332" s="306"/>
      <c r="H332" s="306"/>
      <c r="I332" s="306"/>
      <c r="J332" s="306"/>
      <c r="K332" s="306"/>
      <c r="L332" s="306"/>
      <c r="M332" s="306"/>
      <c r="N332" s="388"/>
      <c r="O332" s="281"/>
      <c r="P332" s="281"/>
      <c r="Q332" s="281"/>
      <c r="R332" s="281"/>
      <c r="S332" s="281"/>
      <c r="T332" s="281"/>
      <c r="U332" s="281"/>
      <c r="V332" s="281"/>
      <c r="W332" s="281"/>
      <c r="X332" s="281"/>
      <c r="Y332" s="281"/>
      <c r="Z332" s="281"/>
      <c r="AA332" s="281"/>
      <c r="AB332" s="281"/>
      <c r="AC332" s="281"/>
      <c r="AD332" s="281"/>
      <c r="AE332" s="281"/>
    </row>
    <row r="333" spans="2:31" ht="15">
      <c r="B333" s="386">
        <f t="shared" si="8"/>
        <v>288</v>
      </c>
      <c r="C333" s="394" t="str" cm="1">
        <f t="array" aca="1" ref="C333" ca="1">IF(B333&lt;=$C$9,GetGetCDSName(B333),"")</f>
        <v/>
      </c>
      <c r="D333" s="354"/>
      <c r="E333" s="387"/>
      <c r="F333" s="306"/>
      <c r="G333" s="306"/>
      <c r="H333" s="306"/>
      <c r="I333" s="306"/>
      <c r="J333" s="306"/>
      <c r="K333" s="306"/>
      <c r="L333" s="306"/>
      <c r="M333" s="306"/>
      <c r="N333" s="388"/>
      <c r="O333" s="281"/>
      <c r="P333" s="281"/>
      <c r="Q333" s="281"/>
      <c r="R333" s="281"/>
      <c r="S333" s="281"/>
      <c r="T333" s="281"/>
      <c r="U333" s="281"/>
      <c r="V333" s="281"/>
      <c r="W333" s="281"/>
      <c r="X333" s="281"/>
      <c r="Y333" s="281"/>
      <c r="Z333" s="281"/>
      <c r="AA333" s="281"/>
      <c r="AB333" s="281"/>
      <c r="AC333" s="281"/>
      <c r="AD333" s="281"/>
      <c r="AE333" s="281"/>
    </row>
    <row r="334" spans="2:31" ht="15">
      <c r="B334" s="386">
        <f t="shared" si="8"/>
        <v>289</v>
      </c>
      <c r="C334" s="394" t="str" cm="1">
        <f t="array" aca="1" ref="C334" ca="1">IF(B334&lt;=$C$9,GetGetCDSName(B334),"")</f>
        <v/>
      </c>
      <c r="D334" s="354"/>
      <c r="E334" s="387"/>
      <c r="F334" s="306"/>
      <c r="G334" s="306"/>
      <c r="H334" s="306"/>
      <c r="I334" s="306"/>
      <c r="J334" s="306"/>
      <c r="K334" s="306"/>
      <c r="L334" s="306"/>
      <c r="M334" s="306"/>
      <c r="N334" s="388"/>
      <c r="O334" s="281"/>
      <c r="P334" s="281"/>
      <c r="Q334" s="281"/>
      <c r="R334" s="281"/>
      <c r="S334" s="281"/>
      <c r="T334" s="281"/>
      <c r="U334" s="281"/>
      <c r="V334" s="281"/>
      <c r="W334" s="281"/>
      <c r="X334" s="281"/>
      <c r="Y334" s="281"/>
      <c r="Z334" s="281"/>
      <c r="AA334" s="281"/>
      <c r="AB334" s="281"/>
      <c r="AC334" s="281"/>
      <c r="AD334" s="281"/>
      <c r="AE334" s="281"/>
    </row>
    <row r="335" spans="2:31" ht="15">
      <c r="B335" s="386">
        <f t="shared" si="8"/>
        <v>290</v>
      </c>
      <c r="C335" s="394" t="str" cm="1">
        <f t="array" aca="1" ref="C335" ca="1">IF(B335&lt;=$C$9,GetGetCDSName(B335),"")</f>
        <v/>
      </c>
      <c r="D335" s="354"/>
      <c r="E335" s="387"/>
      <c r="F335" s="306"/>
      <c r="G335" s="306"/>
      <c r="H335" s="306"/>
      <c r="I335" s="306"/>
      <c r="J335" s="306"/>
      <c r="K335" s="306"/>
      <c r="L335" s="306"/>
      <c r="M335" s="306"/>
      <c r="N335" s="388"/>
      <c r="O335" s="281"/>
      <c r="P335" s="281"/>
      <c r="Q335" s="281"/>
      <c r="R335" s="281"/>
      <c r="S335" s="281"/>
      <c r="T335" s="281"/>
      <c r="U335" s="281"/>
      <c r="V335" s="281"/>
      <c r="W335" s="281"/>
      <c r="X335" s="281"/>
      <c r="Y335" s="281"/>
      <c r="Z335" s="281"/>
      <c r="AA335" s="281"/>
      <c r="AB335" s="281"/>
      <c r="AC335" s="281"/>
      <c r="AD335" s="281"/>
      <c r="AE335" s="281"/>
    </row>
    <row r="336" spans="2:31" ht="15">
      <c r="B336" s="386">
        <f t="shared" si="8"/>
        <v>291</v>
      </c>
      <c r="C336" s="394" t="str" cm="1">
        <f t="array" aca="1" ref="C336" ca="1">IF(B336&lt;=$C$9,GetGetCDSName(B336),"")</f>
        <v/>
      </c>
      <c r="D336" s="354"/>
      <c r="E336" s="387"/>
      <c r="F336" s="306"/>
      <c r="G336" s="306"/>
      <c r="H336" s="306"/>
      <c r="I336" s="306"/>
      <c r="J336" s="306"/>
      <c r="K336" s="306"/>
      <c r="L336" s="306"/>
      <c r="M336" s="306"/>
      <c r="N336" s="388"/>
      <c r="O336" s="281"/>
      <c r="P336" s="281"/>
      <c r="Q336" s="281"/>
      <c r="R336" s="281"/>
      <c r="S336" s="281"/>
      <c r="T336" s="281"/>
      <c r="U336" s="281"/>
      <c r="V336" s="281"/>
      <c r="W336" s="281"/>
      <c r="X336" s="281"/>
      <c r="Y336" s="281"/>
      <c r="Z336" s="281"/>
      <c r="AA336" s="281"/>
      <c r="AB336" s="281"/>
      <c r="AC336" s="281"/>
      <c r="AD336" s="281"/>
      <c r="AE336" s="281"/>
    </row>
    <row r="337" spans="2:31" ht="15">
      <c r="B337" s="386">
        <f t="shared" si="8"/>
        <v>292</v>
      </c>
      <c r="C337" s="394" t="str" cm="1">
        <f t="array" aca="1" ref="C337" ca="1">IF(B337&lt;=$C$9,GetGetCDSName(B337),"")</f>
        <v/>
      </c>
      <c r="D337" s="354"/>
      <c r="E337" s="387"/>
      <c r="F337" s="306"/>
      <c r="G337" s="306"/>
      <c r="H337" s="306"/>
      <c r="I337" s="306"/>
      <c r="J337" s="306"/>
      <c r="K337" s="306"/>
      <c r="L337" s="306"/>
      <c r="M337" s="306"/>
      <c r="N337" s="388"/>
      <c r="O337" s="281"/>
      <c r="P337" s="281"/>
      <c r="Q337" s="281"/>
      <c r="R337" s="281"/>
      <c r="S337" s="281"/>
      <c r="T337" s="281"/>
      <c r="U337" s="281"/>
      <c r="V337" s="281"/>
      <c r="W337" s="281"/>
      <c r="X337" s="281"/>
      <c r="Y337" s="281"/>
      <c r="Z337" s="281"/>
      <c r="AA337" s="281"/>
      <c r="AB337" s="281"/>
      <c r="AC337" s="281"/>
      <c r="AD337" s="281"/>
      <c r="AE337" s="281"/>
    </row>
    <row r="338" spans="2:31" ht="15">
      <c r="B338" s="386">
        <f t="shared" si="8"/>
        <v>293</v>
      </c>
      <c r="C338" s="394" t="str" cm="1">
        <f t="array" aca="1" ref="C338" ca="1">IF(B338&lt;=$C$9,GetGetCDSName(B338),"")</f>
        <v/>
      </c>
      <c r="D338" s="354"/>
      <c r="E338" s="387"/>
      <c r="F338" s="306"/>
      <c r="G338" s="306"/>
      <c r="H338" s="306"/>
      <c r="I338" s="306"/>
      <c r="J338" s="306"/>
      <c r="K338" s="306"/>
      <c r="L338" s="306"/>
      <c r="M338" s="306"/>
      <c r="N338" s="388"/>
      <c r="O338" s="281"/>
      <c r="P338" s="281"/>
      <c r="Q338" s="281"/>
      <c r="R338" s="281"/>
      <c r="S338" s="281"/>
      <c r="T338" s="281"/>
      <c r="U338" s="281"/>
      <c r="V338" s="281"/>
      <c r="W338" s="281"/>
      <c r="X338" s="281"/>
      <c r="Y338" s="281"/>
      <c r="Z338" s="281"/>
      <c r="AA338" s="281"/>
      <c r="AB338" s="281"/>
      <c r="AC338" s="281"/>
      <c r="AD338" s="281"/>
      <c r="AE338" s="281"/>
    </row>
    <row r="339" spans="2:31" ht="15">
      <c r="B339" s="386">
        <f t="shared" si="8"/>
        <v>294</v>
      </c>
      <c r="C339" s="394" t="str" cm="1">
        <f t="array" aca="1" ref="C339" ca="1">IF(B339&lt;=$C$9,GetGetCDSName(B339),"")</f>
        <v/>
      </c>
      <c r="D339" s="354"/>
      <c r="E339" s="387"/>
      <c r="F339" s="306"/>
      <c r="G339" s="306"/>
      <c r="H339" s="306"/>
      <c r="I339" s="306"/>
      <c r="J339" s="306"/>
      <c r="K339" s="306"/>
      <c r="L339" s="306"/>
      <c r="M339" s="306"/>
      <c r="N339" s="388"/>
      <c r="O339" s="281"/>
      <c r="P339" s="281"/>
      <c r="Q339" s="281"/>
      <c r="R339" s="281"/>
      <c r="S339" s="281"/>
      <c r="T339" s="281"/>
      <c r="U339" s="281"/>
      <c r="V339" s="281"/>
      <c r="W339" s="281"/>
      <c r="X339" s="281"/>
      <c r="Y339" s="281"/>
      <c r="Z339" s="281"/>
      <c r="AA339" s="281"/>
      <c r="AB339" s="281"/>
      <c r="AC339" s="281"/>
      <c r="AD339" s="281"/>
      <c r="AE339" s="281"/>
    </row>
    <row r="340" spans="2:31" ht="15">
      <c r="B340" s="386">
        <f t="shared" si="8"/>
        <v>295</v>
      </c>
      <c r="C340" s="394" t="str" cm="1">
        <f t="array" aca="1" ref="C340" ca="1">IF(B340&lt;=$C$9,GetGetCDSName(B340),"")</f>
        <v/>
      </c>
      <c r="D340" s="354"/>
      <c r="E340" s="387"/>
      <c r="F340" s="306"/>
      <c r="G340" s="306"/>
      <c r="H340" s="306"/>
      <c r="I340" s="306"/>
      <c r="J340" s="306"/>
      <c r="K340" s="306"/>
      <c r="L340" s="306"/>
      <c r="M340" s="306"/>
      <c r="N340" s="388"/>
      <c r="O340" s="281"/>
      <c r="P340" s="281"/>
      <c r="Q340" s="281"/>
      <c r="R340" s="281"/>
      <c r="S340" s="281"/>
      <c r="T340" s="281"/>
      <c r="U340" s="281"/>
      <c r="V340" s="281"/>
      <c r="W340" s="281"/>
      <c r="X340" s="281"/>
      <c r="Y340" s="281"/>
      <c r="Z340" s="281"/>
      <c r="AA340" s="281"/>
      <c r="AB340" s="281"/>
      <c r="AC340" s="281"/>
      <c r="AD340" s="281"/>
      <c r="AE340" s="281"/>
    </row>
    <row r="341" spans="2:31" ht="15">
      <c r="B341" s="386">
        <f t="shared" si="8"/>
        <v>296</v>
      </c>
      <c r="C341" s="394" t="str" cm="1">
        <f t="array" aca="1" ref="C341" ca="1">IF(B341&lt;=$C$9,GetGetCDSName(B341),"")</f>
        <v/>
      </c>
      <c r="D341" s="354"/>
      <c r="E341" s="387"/>
      <c r="F341" s="306"/>
      <c r="G341" s="306"/>
      <c r="H341" s="306"/>
      <c r="I341" s="306"/>
      <c r="J341" s="306"/>
      <c r="K341" s="306"/>
      <c r="L341" s="306"/>
      <c r="M341" s="306"/>
      <c r="N341" s="388"/>
      <c r="O341" s="281"/>
      <c r="P341" s="281"/>
      <c r="Q341" s="281"/>
      <c r="R341" s="281"/>
      <c r="S341" s="281"/>
      <c r="T341" s="281"/>
      <c r="U341" s="281"/>
      <c r="V341" s="281"/>
      <c r="W341" s="281"/>
      <c r="X341" s="281"/>
      <c r="Y341" s="281"/>
      <c r="Z341" s="281"/>
      <c r="AA341" s="281"/>
      <c r="AB341" s="281"/>
      <c r="AC341" s="281"/>
      <c r="AD341" s="281"/>
      <c r="AE341" s="281"/>
    </row>
    <row r="342" spans="2:31" ht="15">
      <c r="B342" s="386">
        <f t="shared" si="8"/>
        <v>297</v>
      </c>
      <c r="C342" s="394" t="str" cm="1">
        <f t="array" aca="1" ref="C342" ca="1">IF(B342&lt;=$C$9,GetGetCDSName(B342),"")</f>
        <v/>
      </c>
      <c r="D342" s="354"/>
      <c r="E342" s="387"/>
      <c r="F342" s="306"/>
      <c r="G342" s="306"/>
      <c r="H342" s="306"/>
      <c r="I342" s="306"/>
      <c r="J342" s="306"/>
      <c r="K342" s="306"/>
      <c r="L342" s="306"/>
      <c r="M342" s="306"/>
      <c r="N342" s="388"/>
      <c r="O342" s="281"/>
      <c r="P342" s="281"/>
      <c r="Q342" s="281"/>
      <c r="R342" s="281"/>
      <c r="S342" s="281"/>
      <c r="T342" s="281"/>
      <c r="U342" s="281"/>
      <c r="V342" s="281"/>
      <c r="W342" s="281"/>
      <c r="X342" s="281"/>
      <c r="Y342" s="281"/>
      <c r="Z342" s="281"/>
      <c r="AA342" s="281"/>
      <c r="AB342" s="281"/>
      <c r="AC342" s="281"/>
      <c r="AD342" s="281"/>
      <c r="AE342" s="281"/>
    </row>
    <row r="343" spans="2:31" ht="15">
      <c r="B343" s="386">
        <f t="shared" si="8"/>
        <v>298</v>
      </c>
      <c r="C343" s="394" t="str" cm="1">
        <f t="array" aca="1" ref="C343" ca="1">IF(B343&lt;=$C$9,GetGetCDSName(B343),"")</f>
        <v/>
      </c>
      <c r="D343" s="354"/>
      <c r="E343" s="387"/>
      <c r="F343" s="306"/>
      <c r="G343" s="306"/>
      <c r="H343" s="306"/>
      <c r="I343" s="306"/>
      <c r="J343" s="306"/>
      <c r="K343" s="306"/>
      <c r="L343" s="306"/>
      <c r="M343" s="306"/>
      <c r="N343" s="388"/>
      <c r="O343" s="281"/>
      <c r="P343" s="281"/>
      <c r="Q343" s="281"/>
      <c r="R343" s="281"/>
      <c r="S343" s="281"/>
      <c r="T343" s="281"/>
      <c r="U343" s="281"/>
      <c r="V343" s="281"/>
      <c r="W343" s="281"/>
      <c r="X343" s="281"/>
      <c r="Y343" s="281"/>
      <c r="Z343" s="281"/>
      <c r="AA343" s="281"/>
      <c r="AB343" s="281"/>
      <c r="AC343" s="281"/>
      <c r="AD343" s="281"/>
      <c r="AE343" s="281"/>
    </row>
    <row r="344" spans="2:31" ht="15">
      <c r="B344" s="386">
        <f t="shared" si="8"/>
        <v>299</v>
      </c>
      <c r="C344" s="394" t="str" cm="1">
        <f t="array" aca="1" ref="C344" ca="1">IF(B344&lt;=$C$9,GetGetCDSName(B344),"")</f>
        <v/>
      </c>
      <c r="D344" s="354"/>
      <c r="E344" s="387"/>
      <c r="F344" s="306"/>
      <c r="G344" s="306"/>
      <c r="H344" s="306"/>
      <c r="I344" s="306"/>
      <c r="J344" s="306"/>
      <c r="K344" s="306"/>
      <c r="L344" s="306"/>
      <c r="M344" s="306"/>
      <c r="N344" s="388"/>
      <c r="O344" s="281"/>
      <c r="P344" s="281"/>
      <c r="Q344" s="281"/>
      <c r="R344" s="281"/>
      <c r="S344" s="281"/>
      <c r="T344" s="281"/>
      <c r="U344" s="281"/>
      <c r="V344" s="281"/>
      <c r="W344" s="281"/>
      <c r="X344" s="281"/>
      <c r="Y344" s="281"/>
      <c r="Z344" s="281"/>
      <c r="AA344" s="281"/>
      <c r="AB344" s="281"/>
      <c r="AC344" s="281"/>
      <c r="AD344" s="281"/>
      <c r="AE344" s="281"/>
    </row>
    <row r="345" spans="2:31" ht="15.75" thickBot="1">
      <c r="B345" s="389">
        <f t="shared" si="8"/>
        <v>300</v>
      </c>
      <c r="C345" s="394" t="str" cm="1">
        <f t="array" aca="1" ref="C345" ca="1">IF(B345&lt;=$C$9,GetGetCDSName(B345),"")</f>
        <v/>
      </c>
      <c r="D345" s="390"/>
      <c r="E345" s="391"/>
      <c r="F345" s="392"/>
      <c r="G345" s="392"/>
      <c r="H345" s="392"/>
      <c r="I345" s="392"/>
      <c r="J345" s="392"/>
      <c r="K345" s="392"/>
      <c r="L345" s="392"/>
      <c r="M345" s="392"/>
      <c r="N345" s="393"/>
      <c r="O345" s="281"/>
      <c r="P345" s="281"/>
      <c r="Q345" s="281"/>
      <c r="R345" s="281"/>
      <c r="S345" s="281"/>
      <c r="T345" s="281"/>
      <c r="U345" s="281"/>
      <c r="V345" s="281"/>
      <c r="W345" s="281"/>
      <c r="X345" s="281"/>
      <c r="Y345" s="281"/>
      <c r="Z345" s="281"/>
      <c r="AA345" s="281"/>
      <c r="AB345" s="281"/>
      <c r="AC345" s="281"/>
      <c r="AD345" s="281"/>
      <c r="AE345" s="281"/>
    </row>
    <row r="346" spans="2:31">
      <c r="O346" s="281"/>
      <c r="P346" s="281"/>
      <c r="Q346" s="281"/>
      <c r="R346" s="281"/>
      <c r="S346" s="281"/>
      <c r="T346" s="281"/>
      <c r="U346" s="281"/>
      <c r="V346" s="281"/>
      <c r="W346" s="281"/>
      <c r="X346" s="281"/>
      <c r="Y346" s="281"/>
      <c r="Z346" s="281"/>
      <c r="AA346" s="281"/>
      <c r="AB346" s="281"/>
      <c r="AC346" s="281"/>
      <c r="AD346" s="281"/>
      <c r="AE346" s="281"/>
    </row>
    <row r="347" spans="2:31">
      <c r="O347" s="281"/>
      <c r="P347" s="281"/>
      <c r="Q347" s="281"/>
      <c r="R347" s="281"/>
      <c r="S347" s="281"/>
      <c r="T347" s="281"/>
      <c r="U347" s="281"/>
      <c r="V347" s="281"/>
      <c r="W347" s="281"/>
      <c r="X347" s="281"/>
      <c r="Y347" s="281"/>
      <c r="Z347" s="281"/>
      <c r="AA347" s="281"/>
      <c r="AB347" s="281"/>
      <c r="AC347" s="281"/>
      <c r="AD347" s="281"/>
      <c r="AE347" s="281"/>
    </row>
    <row r="348" spans="2:31">
      <c r="O348" s="281"/>
      <c r="P348" s="281"/>
      <c r="Q348" s="281"/>
      <c r="R348" s="281"/>
      <c r="S348" s="281"/>
      <c r="T348" s="281"/>
      <c r="U348" s="281"/>
      <c r="V348" s="281"/>
      <c r="W348" s="281"/>
      <c r="X348" s="281"/>
      <c r="Y348" s="281"/>
      <c r="Z348" s="281"/>
      <c r="AA348" s="281"/>
      <c r="AB348" s="281"/>
      <c r="AC348" s="281"/>
      <c r="AD348" s="281"/>
      <c r="AE348" s="281"/>
    </row>
    <row r="349" spans="2:31">
      <c r="O349" s="281"/>
      <c r="P349" s="281"/>
      <c r="Q349" s="281"/>
      <c r="R349" s="281"/>
      <c r="S349" s="281"/>
      <c r="T349" s="281"/>
      <c r="U349" s="281"/>
      <c r="V349" s="281"/>
      <c r="W349" s="281"/>
      <c r="X349" s="281"/>
      <c r="Y349" s="281"/>
      <c r="Z349" s="281"/>
      <c r="AA349" s="281"/>
      <c r="AB349" s="281"/>
      <c r="AC349" s="281"/>
      <c r="AD349" s="281"/>
      <c r="AE349" s="281"/>
    </row>
    <row r="350" spans="2:31">
      <c r="O350" s="281"/>
      <c r="P350" s="281"/>
      <c r="Q350" s="281"/>
      <c r="R350" s="281"/>
      <c r="S350" s="281"/>
      <c r="T350" s="281"/>
      <c r="U350" s="281"/>
      <c r="V350" s="281"/>
      <c r="W350" s="281"/>
      <c r="X350" s="281"/>
      <c r="Y350" s="281"/>
      <c r="Z350" s="281"/>
      <c r="AA350" s="281"/>
      <c r="AB350" s="281"/>
      <c r="AC350" s="281"/>
      <c r="AD350" s="281"/>
      <c r="AE350" s="281"/>
    </row>
    <row r="351" spans="2:31">
      <c r="O351" s="281"/>
      <c r="P351" s="281"/>
      <c r="Q351" s="281"/>
      <c r="R351" s="281"/>
      <c r="S351" s="281"/>
      <c r="T351" s="281"/>
      <c r="U351" s="281"/>
      <c r="V351" s="281"/>
      <c r="W351" s="281"/>
      <c r="X351" s="281"/>
      <c r="Y351" s="281"/>
      <c r="Z351" s="281"/>
      <c r="AA351" s="281"/>
      <c r="AB351" s="281"/>
      <c r="AC351" s="281"/>
      <c r="AD351" s="281"/>
      <c r="AE351" s="281"/>
    </row>
    <row r="352" spans="2:31">
      <c r="O352" s="281"/>
      <c r="P352" s="281"/>
      <c r="Q352" s="281"/>
      <c r="R352" s="281"/>
      <c r="S352" s="281"/>
      <c r="T352" s="281"/>
      <c r="U352" s="281"/>
      <c r="V352" s="281"/>
      <c r="W352" s="281"/>
      <c r="X352" s="281"/>
      <c r="Y352" s="281"/>
      <c r="Z352" s="281"/>
      <c r="AA352" s="281"/>
      <c r="AB352" s="281"/>
      <c r="AC352" s="281"/>
      <c r="AD352" s="281"/>
      <c r="AE352" s="281"/>
    </row>
    <row r="353" spans="15:31">
      <c r="O353" s="281"/>
      <c r="P353" s="281"/>
      <c r="Q353" s="281"/>
      <c r="R353" s="281"/>
      <c r="S353" s="281"/>
      <c r="T353" s="281"/>
      <c r="U353" s="281"/>
      <c r="V353" s="281"/>
      <c r="W353" s="281"/>
      <c r="X353" s="281"/>
      <c r="Y353" s="281"/>
      <c r="Z353" s="281"/>
      <c r="AA353" s="281"/>
      <c r="AB353" s="281"/>
      <c r="AC353" s="281"/>
      <c r="AD353" s="281"/>
      <c r="AE353" s="281"/>
    </row>
    <row r="354" spans="15:31">
      <c r="O354" s="281"/>
      <c r="P354" s="281"/>
      <c r="Q354" s="281"/>
      <c r="R354" s="281"/>
      <c r="S354" s="281"/>
      <c r="T354" s="281"/>
      <c r="U354" s="281"/>
      <c r="V354" s="281"/>
      <c r="W354" s="281"/>
      <c r="X354" s="281"/>
      <c r="Y354" s="281"/>
      <c r="Z354" s="281"/>
      <c r="AA354" s="281"/>
      <c r="AB354" s="281"/>
      <c r="AC354" s="281"/>
      <c r="AD354" s="281"/>
      <c r="AE354" s="281"/>
    </row>
    <row r="355" spans="15:31">
      <c r="O355" s="281"/>
      <c r="P355" s="281"/>
      <c r="Q355" s="281"/>
      <c r="R355" s="281"/>
      <c r="S355" s="281"/>
      <c r="T355" s="281"/>
      <c r="U355" s="281"/>
      <c r="V355" s="281"/>
      <c r="W355" s="281"/>
      <c r="X355" s="281"/>
      <c r="Y355" s="281"/>
      <c r="Z355" s="281"/>
      <c r="AA355" s="281"/>
      <c r="AB355" s="281"/>
      <c r="AC355" s="281"/>
      <c r="AD355" s="281"/>
      <c r="AE355" s="281"/>
    </row>
    <row r="356" spans="15:31">
      <c r="O356" s="281"/>
      <c r="P356" s="281"/>
      <c r="Q356" s="281"/>
      <c r="R356" s="281"/>
      <c r="S356" s="281"/>
      <c r="T356" s="281"/>
      <c r="U356" s="281"/>
      <c r="V356" s="281"/>
      <c r="W356" s="281"/>
      <c r="X356" s="281"/>
      <c r="Y356" s="281"/>
      <c r="Z356" s="281"/>
      <c r="AA356" s="281"/>
      <c r="AB356" s="281"/>
      <c r="AC356" s="281"/>
      <c r="AD356" s="281"/>
      <c r="AE356" s="281"/>
    </row>
    <row r="357" spans="15:31">
      <c r="O357" s="281"/>
      <c r="P357" s="281"/>
      <c r="Q357" s="281"/>
      <c r="R357" s="281"/>
      <c r="S357" s="281"/>
      <c r="T357" s="281"/>
      <c r="U357" s="281"/>
      <c r="V357" s="281"/>
      <c r="W357" s="281"/>
      <c r="X357" s="281"/>
      <c r="Y357" s="281"/>
      <c r="Z357" s="281"/>
      <c r="AA357" s="281"/>
      <c r="AB357" s="281"/>
      <c r="AC357" s="281"/>
      <c r="AD357" s="281"/>
      <c r="AE357" s="281"/>
    </row>
    <row r="358" spans="15:31">
      <c r="O358" s="281"/>
      <c r="P358" s="281"/>
      <c r="Q358" s="281"/>
      <c r="R358" s="281"/>
      <c r="S358" s="281"/>
      <c r="T358" s="281"/>
      <c r="U358" s="281"/>
      <c r="V358" s="281"/>
      <c r="W358" s="281"/>
      <c r="X358" s="281"/>
      <c r="Y358" s="281"/>
      <c r="Z358" s="281"/>
      <c r="AA358" s="281"/>
      <c r="AB358" s="281"/>
      <c r="AC358" s="281"/>
      <c r="AD358" s="281"/>
      <c r="AE358" s="281"/>
    </row>
    <row r="359" spans="15:31">
      <c r="O359" s="281"/>
      <c r="P359" s="281"/>
      <c r="Q359" s="281"/>
      <c r="R359" s="281"/>
      <c r="S359" s="281"/>
      <c r="T359" s="281"/>
      <c r="U359" s="281"/>
      <c r="V359" s="281"/>
      <c r="W359" s="281"/>
      <c r="X359" s="281"/>
      <c r="Y359" s="281"/>
      <c r="Z359" s="281"/>
      <c r="AA359" s="281"/>
      <c r="AB359" s="281"/>
      <c r="AC359" s="281"/>
      <c r="AD359" s="281"/>
      <c r="AE359" s="281"/>
    </row>
    <row r="360" spans="15:31">
      <c r="O360" s="281"/>
      <c r="P360" s="281"/>
      <c r="Q360" s="281"/>
      <c r="R360" s="281"/>
      <c r="S360" s="281"/>
      <c r="T360" s="281"/>
      <c r="U360" s="281"/>
      <c r="V360" s="281"/>
      <c r="W360" s="281"/>
      <c r="X360" s="281"/>
      <c r="Y360" s="281"/>
      <c r="Z360" s="281"/>
      <c r="AA360" s="281"/>
      <c r="AB360" s="281"/>
      <c r="AC360" s="281"/>
      <c r="AD360" s="281"/>
      <c r="AE360" s="281"/>
    </row>
    <row r="361" spans="15:31">
      <c r="O361" s="281"/>
      <c r="P361" s="281"/>
      <c r="Q361" s="281"/>
      <c r="R361" s="281"/>
      <c r="S361" s="281"/>
      <c r="T361" s="281"/>
      <c r="U361" s="281"/>
      <c r="V361" s="281"/>
      <c r="W361" s="281"/>
      <c r="X361" s="281"/>
      <c r="Y361" s="281"/>
      <c r="Z361" s="281"/>
      <c r="AA361" s="281"/>
      <c r="AB361" s="281"/>
      <c r="AC361" s="281"/>
      <c r="AD361" s="281"/>
      <c r="AE361" s="281"/>
    </row>
    <row r="362" spans="15:31">
      <c r="O362" s="281"/>
      <c r="P362" s="281"/>
      <c r="Q362" s="281"/>
      <c r="R362" s="281"/>
      <c r="S362" s="281"/>
      <c r="T362" s="281"/>
      <c r="U362" s="281"/>
      <c r="V362" s="281"/>
      <c r="W362" s="281"/>
      <c r="X362" s="281"/>
      <c r="Y362" s="281"/>
      <c r="Z362" s="281"/>
      <c r="AA362" s="281"/>
      <c r="AB362" s="281"/>
      <c r="AC362" s="281"/>
      <c r="AD362" s="281"/>
      <c r="AE362" s="281"/>
    </row>
    <row r="363" spans="15:31">
      <c r="O363" s="281"/>
      <c r="P363" s="281"/>
      <c r="Q363" s="281"/>
      <c r="R363" s="281"/>
      <c r="S363" s="281"/>
      <c r="T363" s="281"/>
      <c r="U363" s="281"/>
      <c r="V363" s="281"/>
      <c r="W363" s="281"/>
      <c r="X363" s="281"/>
      <c r="Y363" s="281"/>
      <c r="Z363" s="281"/>
      <c r="AA363" s="281"/>
      <c r="AB363" s="281"/>
      <c r="AC363" s="281"/>
      <c r="AD363" s="281"/>
      <c r="AE363" s="281"/>
    </row>
    <row r="364" spans="15:31">
      <c r="O364" s="281"/>
      <c r="P364" s="281"/>
      <c r="Q364" s="281"/>
      <c r="R364" s="281"/>
      <c r="S364" s="281"/>
      <c r="T364" s="281"/>
      <c r="U364" s="281"/>
      <c r="V364" s="281"/>
      <c r="W364" s="281"/>
      <c r="X364" s="281"/>
      <c r="Y364" s="281"/>
      <c r="Z364" s="281"/>
      <c r="AA364" s="281"/>
      <c r="AB364" s="281"/>
      <c r="AC364" s="281"/>
      <c r="AD364" s="281"/>
      <c r="AE364" s="281"/>
    </row>
    <row r="365" spans="15:31">
      <c r="O365" s="281"/>
      <c r="P365" s="281"/>
      <c r="Q365" s="281"/>
      <c r="R365" s="281"/>
      <c r="S365" s="281"/>
      <c r="T365" s="281"/>
      <c r="U365" s="281"/>
      <c r="V365" s="281"/>
      <c r="W365" s="281"/>
      <c r="X365" s="281"/>
      <c r="Y365" s="281"/>
      <c r="Z365" s="281"/>
      <c r="AA365" s="281"/>
      <c r="AB365" s="281"/>
      <c r="AC365" s="281"/>
      <c r="AD365" s="281"/>
      <c r="AE365" s="281"/>
    </row>
    <row r="366" spans="15:31">
      <c r="O366" s="281"/>
      <c r="P366" s="281"/>
      <c r="Q366" s="281"/>
      <c r="R366" s="281"/>
      <c r="S366" s="281"/>
      <c r="T366" s="281"/>
      <c r="U366" s="281"/>
      <c r="V366" s="281"/>
      <c r="W366" s="281"/>
      <c r="X366" s="281"/>
      <c r="Y366" s="281"/>
      <c r="Z366" s="281"/>
      <c r="AA366" s="281"/>
      <c r="AB366" s="281"/>
      <c r="AC366" s="281"/>
      <c r="AD366" s="281"/>
      <c r="AE366" s="281"/>
    </row>
    <row r="367" spans="15:31">
      <c r="O367" s="281"/>
      <c r="P367" s="281"/>
      <c r="Q367" s="281"/>
      <c r="R367" s="281"/>
      <c r="S367" s="281"/>
      <c r="T367" s="281"/>
      <c r="U367" s="281"/>
      <c r="V367" s="281"/>
      <c r="W367" s="281"/>
      <c r="X367" s="281"/>
      <c r="Y367" s="281"/>
      <c r="Z367" s="281"/>
      <c r="AA367" s="281"/>
      <c r="AB367" s="281"/>
      <c r="AC367" s="281"/>
      <c r="AD367" s="281"/>
      <c r="AE367" s="281"/>
    </row>
    <row r="368" spans="15:31">
      <c r="O368" s="281"/>
      <c r="P368" s="281"/>
      <c r="Q368" s="281"/>
      <c r="R368" s="281"/>
      <c r="S368" s="281"/>
      <c r="T368" s="281"/>
      <c r="U368" s="281"/>
      <c r="V368" s="281"/>
      <c r="W368" s="281"/>
      <c r="X368" s="281"/>
      <c r="Y368" s="281"/>
      <c r="Z368" s="281"/>
      <c r="AA368" s="281"/>
      <c r="AB368" s="281"/>
      <c r="AC368" s="281"/>
      <c r="AD368" s="281"/>
      <c r="AE368" s="281"/>
    </row>
    <row r="369" spans="15:31">
      <c r="O369" s="281"/>
      <c r="P369" s="281"/>
      <c r="Q369" s="281"/>
      <c r="R369" s="281"/>
      <c r="S369" s="281"/>
      <c r="T369" s="281"/>
      <c r="U369" s="281"/>
      <c r="V369" s="281"/>
      <c r="W369" s="281"/>
      <c r="X369" s="281"/>
      <c r="Y369" s="281"/>
      <c r="Z369" s="281"/>
      <c r="AA369" s="281"/>
      <c r="AB369" s="281"/>
      <c r="AC369" s="281"/>
      <c r="AD369" s="281"/>
      <c r="AE369" s="281"/>
    </row>
    <row r="370" spans="15:31">
      <c r="O370" s="281"/>
      <c r="P370" s="281"/>
      <c r="Q370" s="281"/>
      <c r="R370" s="281"/>
      <c r="S370" s="281"/>
      <c r="T370" s="281"/>
      <c r="U370" s="281"/>
      <c r="V370" s="281"/>
      <c r="W370" s="281"/>
      <c r="X370" s="281"/>
      <c r="Y370" s="281"/>
      <c r="Z370" s="281"/>
      <c r="AA370" s="281"/>
      <c r="AB370" s="281"/>
      <c r="AC370" s="281"/>
      <c r="AD370" s="281"/>
      <c r="AE370" s="281"/>
    </row>
    <row r="371" spans="15:31">
      <c r="O371" s="281"/>
      <c r="P371" s="281"/>
      <c r="Q371" s="281"/>
      <c r="R371" s="281"/>
      <c r="S371" s="281"/>
      <c r="T371" s="281"/>
      <c r="U371" s="281"/>
      <c r="V371" s="281"/>
      <c r="W371" s="281"/>
      <c r="X371" s="281"/>
      <c r="Y371" s="281"/>
      <c r="Z371" s="281"/>
      <c r="AA371" s="281"/>
      <c r="AB371" s="281"/>
      <c r="AC371" s="281"/>
      <c r="AD371" s="281"/>
      <c r="AE371" s="281"/>
    </row>
    <row r="372" spans="15:31">
      <c r="O372" s="281"/>
      <c r="P372" s="281"/>
      <c r="Q372" s="281"/>
      <c r="R372" s="281"/>
      <c r="S372" s="281"/>
      <c r="T372" s="281"/>
      <c r="U372" s="281"/>
      <c r="V372" s="281"/>
      <c r="W372" s="281"/>
      <c r="X372" s="281"/>
      <c r="Y372" s="281"/>
      <c r="Z372" s="281"/>
      <c r="AA372" s="281"/>
      <c r="AB372" s="281"/>
      <c r="AC372" s="281"/>
      <c r="AD372" s="281"/>
      <c r="AE372" s="281"/>
    </row>
    <row r="373" spans="15:31">
      <c r="O373" s="281"/>
      <c r="P373" s="281"/>
      <c r="Q373" s="281"/>
      <c r="R373" s="281"/>
      <c r="S373" s="281"/>
      <c r="T373" s="281"/>
      <c r="U373" s="281"/>
      <c r="V373" s="281"/>
      <c r="W373" s="281"/>
      <c r="X373" s="281"/>
      <c r="Y373" s="281"/>
      <c r="Z373" s="281"/>
      <c r="AA373" s="281"/>
      <c r="AB373" s="281"/>
      <c r="AC373" s="281"/>
      <c r="AD373" s="281"/>
      <c r="AE373" s="281"/>
    </row>
    <row r="374" spans="15:31">
      <c r="O374" s="281"/>
      <c r="P374" s="281"/>
      <c r="Q374" s="281"/>
      <c r="R374" s="281"/>
      <c r="S374" s="281"/>
      <c r="T374" s="281"/>
      <c r="U374" s="281"/>
      <c r="V374" s="281"/>
      <c r="W374" s="281"/>
      <c r="X374" s="281"/>
      <c r="Y374" s="281"/>
      <c r="Z374" s="281"/>
      <c r="AA374" s="281"/>
      <c r="AB374" s="281"/>
      <c r="AC374" s="281"/>
      <c r="AD374" s="281"/>
      <c r="AE374" s="281"/>
    </row>
    <row r="375" spans="15:31">
      <c r="O375" s="281"/>
      <c r="P375" s="281"/>
      <c r="Q375" s="281"/>
      <c r="R375" s="281"/>
      <c r="S375" s="281"/>
      <c r="T375" s="281"/>
      <c r="U375" s="281"/>
      <c r="V375" s="281"/>
      <c r="W375" s="281"/>
      <c r="X375" s="281"/>
      <c r="Y375" s="281"/>
      <c r="Z375" s="281"/>
      <c r="AA375" s="281"/>
      <c r="AB375" s="281"/>
      <c r="AC375" s="281"/>
      <c r="AD375" s="281"/>
      <c r="AE375" s="281"/>
    </row>
    <row r="376" spans="15:31">
      <c r="O376" s="281"/>
      <c r="P376" s="281"/>
      <c r="Q376" s="281"/>
      <c r="R376" s="281"/>
      <c r="S376" s="281"/>
      <c r="T376" s="281"/>
      <c r="U376" s="281"/>
      <c r="V376" s="281"/>
      <c r="W376" s="281"/>
      <c r="X376" s="281"/>
      <c r="Y376" s="281"/>
      <c r="Z376" s="281"/>
      <c r="AA376" s="281"/>
      <c r="AB376" s="281"/>
      <c r="AC376" s="281"/>
      <c r="AD376" s="281"/>
      <c r="AE376" s="281"/>
    </row>
    <row r="377" spans="15:31">
      <c r="O377" s="281"/>
      <c r="P377" s="281"/>
      <c r="Q377" s="281"/>
      <c r="R377" s="281"/>
      <c r="S377" s="281"/>
      <c r="T377" s="281"/>
      <c r="U377" s="281"/>
      <c r="V377" s="281"/>
      <c r="W377" s="281"/>
      <c r="X377" s="281"/>
      <c r="Y377" s="281"/>
      <c r="Z377" s="281"/>
      <c r="AA377" s="281"/>
      <c r="AB377" s="281"/>
      <c r="AC377" s="281"/>
      <c r="AD377" s="281"/>
      <c r="AE377" s="281"/>
    </row>
    <row r="378" spans="15:31">
      <c r="O378" s="281"/>
      <c r="P378" s="281"/>
      <c r="Q378" s="281"/>
      <c r="R378" s="281"/>
      <c r="S378" s="281"/>
      <c r="T378" s="281"/>
      <c r="U378" s="281"/>
      <c r="V378" s="281"/>
      <c r="W378" s="281"/>
      <c r="X378" s="281"/>
      <c r="Y378" s="281"/>
      <c r="Z378" s="281"/>
      <c r="AA378" s="281"/>
      <c r="AB378" s="281"/>
      <c r="AC378" s="281"/>
      <c r="AD378" s="281"/>
      <c r="AE378" s="281"/>
    </row>
    <row r="379" spans="15:31">
      <c r="O379" s="281"/>
      <c r="P379" s="281"/>
      <c r="Q379" s="281"/>
      <c r="R379" s="281"/>
      <c r="S379" s="281"/>
      <c r="T379" s="281"/>
      <c r="U379" s="281"/>
      <c r="V379" s="281"/>
      <c r="W379" s="281"/>
      <c r="X379" s="281"/>
      <c r="Y379" s="281"/>
      <c r="Z379" s="281"/>
      <c r="AA379" s="281"/>
      <c r="AB379" s="281"/>
      <c r="AC379" s="281"/>
      <c r="AD379" s="281"/>
      <c r="AE379" s="281"/>
    </row>
    <row r="380" spans="15:31">
      <c r="O380" s="281"/>
      <c r="P380" s="281"/>
      <c r="Q380" s="281"/>
      <c r="R380" s="281"/>
      <c r="S380" s="281"/>
      <c r="T380" s="281"/>
      <c r="U380" s="281"/>
      <c r="V380" s="281"/>
      <c r="W380" s="281"/>
      <c r="X380" s="281"/>
      <c r="Y380" s="281"/>
      <c r="Z380" s="281"/>
      <c r="AA380" s="281"/>
      <c r="AB380" s="281"/>
      <c r="AC380" s="281"/>
      <c r="AD380" s="281"/>
      <c r="AE380" s="281"/>
    </row>
    <row r="381" spans="15:31">
      <c r="O381" s="281"/>
      <c r="P381" s="281"/>
      <c r="Q381" s="281"/>
      <c r="R381" s="281"/>
      <c r="S381" s="281"/>
      <c r="T381" s="281"/>
      <c r="U381" s="281"/>
      <c r="V381" s="281"/>
      <c r="W381" s="281"/>
      <c r="X381" s="281"/>
      <c r="Y381" s="281"/>
      <c r="Z381" s="281"/>
      <c r="AA381" s="281"/>
      <c r="AB381" s="281"/>
      <c r="AC381" s="281"/>
      <c r="AD381" s="281"/>
      <c r="AE381" s="281"/>
    </row>
    <row r="382" spans="15:31">
      <c r="O382" s="281"/>
      <c r="P382" s="281"/>
      <c r="Q382" s="281"/>
      <c r="R382" s="281"/>
      <c r="S382" s="281"/>
      <c r="T382" s="281"/>
      <c r="U382" s="281"/>
      <c r="V382" s="281"/>
      <c r="W382" s="281"/>
      <c r="X382" s="281"/>
      <c r="Y382" s="281"/>
      <c r="Z382" s="281"/>
      <c r="AA382" s="281"/>
      <c r="AB382" s="281"/>
      <c r="AC382" s="281"/>
      <c r="AD382" s="281"/>
      <c r="AE382" s="281"/>
    </row>
    <row r="383" spans="15:31">
      <c r="O383" s="281"/>
      <c r="P383" s="281"/>
      <c r="Q383" s="281"/>
      <c r="R383" s="281"/>
      <c r="S383" s="281"/>
      <c r="T383" s="281"/>
      <c r="U383" s="281"/>
      <c r="V383" s="281"/>
      <c r="W383" s="281"/>
      <c r="X383" s="281"/>
      <c r="Y383" s="281"/>
      <c r="Z383" s="281"/>
      <c r="AA383" s="281"/>
      <c r="AB383" s="281"/>
      <c r="AC383" s="281"/>
      <c r="AD383" s="281"/>
      <c r="AE383" s="281"/>
    </row>
    <row r="384" spans="15:31">
      <c r="O384" s="281"/>
      <c r="P384" s="281"/>
      <c r="Q384" s="281"/>
      <c r="R384" s="281"/>
      <c r="S384" s="281"/>
      <c r="T384" s="281"/>
      <c r="U384" s="281"/>
      <c r="V384" s="281"/>
      <c r="W384" s="281"/>
      <c r="X384" s="281"/>
      <c r="Y384" s="281"/>
      <c r="Z384" s="281"/>
      <c r="AA384" s="281"/>
      <c r="AB384" s="281"/>
      <c r="AC384" s="281"/>
      <c r="AD384" s="281"/>
      <c r="AE384" s="281"/>
    </row>
    <row r="385" spans="15:31">
      <c r="O385" s="281"/>
      <c r="P385" s="281"/>
      <c r="Q385" s="281"/>
      <c r="R385" s="281"/>
      <c r="S385" s="281"/>
      <c r="T385" s="281"/>
      <c r="U385" s="281"/>
      <c r="V385" s="281"/>
      <c r="W385" s="281"/>
      <c r="X385" s="281"/>
      <c r="Y385" s="281"/>
      <c r="Z385" s="281"/>
      <c r="AA385" s="281"/>
      <c r="AB385" s="281"/>
      <c r="AC385" s="281"/>
      <c r="AD385" s="281"/>
      <c r="AE385" s="281"/>
    </row>
    <row r="386" spans="15:31">
      <c r="O386" s="281"/>
      <c r="P386" s="281"/>
      <c r="Q386" s="281"/>
      <c r="R386" s="281"/>
      <c r="S386" s="281"/>
      <c r="T386" s="281"/>
      <c r="U386" s="281"/>
      <c r="V386" s="281"/>
      <c r="W386" s="281"/>
      <c r="X386" s="281"/>
      <c r="Y386" s="281"/>
      <c r="Z386" s="281"/>
      <c r="AA386" s="281"/>
      <c r="AB386" s="281"/>
      <c r="AC386" s="281"/>
      <c r="AD386" s="281"/>
      <c r="AE386" s="281"/>
    </row>
    <row r="387" spans="15:31">
      <c r="O387" s="281"/>
      <c r="P387" s="281"/>
      <c r="Q387" s="281"/>
      <c r="R387" s="281"/>
      <c r="S387" s="281"/>
      <c r="T387" s="281"/>
      <c r="U387" s="281"/>
      <c r="V387" s="281"/>
      <c r="W387" s="281"/>
      <c r="X387" s="281"/>
      <c r="Y387" s="281"/>
      <c r="Z387" s="281"/>
      <c r="AA387" s="281"/>
      <c r="AB387" s="281"/>
      <c r="AC387" s="281"/>
      <c r="AD387" s="281"/>
      <c r="AE387" s="281"/>
    </row>
    <row r="388" spans="15:31">
      <c r="O388" s="281"/>
      <c r="P388" s="281"/>
      <c r="Q388" s="281"/>
      <c r="R388" s="281"/>
      <c r="S388" s="281"/>
      <c r="T388" s="281"/>
      <c r="U388" s="281"/>
      <c r="V388" s="281"/>
      <c r="W388" s="281"/>
      <c r="X388" s="281"/>
      <c r="Y388" s="281"/>
      <c r="Z388" s="281"/>
      <c r="AA388" s="281"/>
      <c r="AB388" s="281"/>
      <c r="AC388" s="281"/>
      <c r="AD388" s="281"/>
      <c r="AE388" s="281"/>
    </row>
    <row r="389" spans="15:31">
      <c r="O389" s="281"/>
      <c r="P389" s="281"/>
      <c r="Q389" s="281"/>
      <c r="R389" s="281"/>
      <c r="S389" s="281"/>
      <c r="T389" s="281"/>
      <c r="U389" s="281"/>
      <c r="V389" s="281"/>
      <c r="W389" s="281"/>
      <c r="X389" s="281"/>
      <c r="Y389" s="281"/>
      <c r="Z389" s="281"/>
      <c r="AA389" s="281"/>
      <c r="AB389" s="281"/>
      <c r="AC389" s="281"/>
      <c r="AD389" s="281"/>
      <c r="AE389" s="281"/>
    </row>
    <row r="390" spans="15:31">
      <c r="O390" s="281"/>
      <c r="P390" s="281"/>
      <c r="Q390" s="281"/>
      <c r="R390" s="281"/>
      <c r="S390" s="281"/>
      <c r="T390" s="281"/>
      <c r="U390" s="281"/>
      <c r="V390" s="281"/>
      <c r="W390" s="281"/>
      <c r="X390" s="281"/>
      <c r="Y390" s="281"/>
      <c r="Z390" s="281"/>
      <c r="AA390" s="281"/>
      <c r="AB390" s="281"/>
      <c r="AC390" s="281"/>
      <c r="AD390" s="281"/>
      <c r="AE390" s="281"/>
    </row>
    <row r="391" spans="15:31">
      <c r="O391" s="281"/>
      <c r="P391" s="281"/>
      <c r="Q391" s="281"/>
      <c r="R391" s="281"/>
      <c r="S391" s="281"/>
      <c r="T391" s="281"/>
      <c r="U391" s="281"/>
      <c r="V391" s="281"/>
      <c r="W391" s="281"/>
      <c r="X391" s="281"/>
      <c r="Y391" s="281"/>
      <c r="Z391" s="281"/>
      <c r="AA391" s="281"/>
      <c r="AB391" s="281"/>
      <c r="AC391" s="281"/>
      <c r="AD391" s="281"/>
      <c r="AE391" s="281"/>
    </row>
    <row r="392" spans="15:31">
      <c r="O392" s="281"/>
      <c r="P392" s="281"/>
      <c r="Q392" s="281"/>
      <c r="R392" s="281"/>
      <c r="S392" s="281"/>
      <c r="T392" s="281"/>
      <c r="U392" s="281"/>
      <c r="V392" s="281"/>
      <c r="W392" s="281"/>
      <c r="X392" s="281"/>
      <c r="Y392" s="281"/>
      <c r="Z392" s="281"/>
      <c r="AA392" s="281"/>
      <c r="AB392" s="281"/>
      <c r="AC392" s="281"/>
      <c r="AD392" s="281"/>
      <c r="AE392" s="281"/>
    </row>
    <row r="393" spans="15:31">
      <c r="O393" s="281"/>
      <c r="P393" s="281"/>
      <c r="Q393" s="281"/>
      <c r="R393" s="281"/>
      <c r="S393" s="281"/>
      <c r="T393" s="281"/>
      <c r="U393" s="281"/>
      <c r="V393" s="281"/>
      <c r="W393" s="281"/>
      <c r="X393" s="281"/>
      <c r="Y393" s="281"/>
      <c r="Z393" s="281"/>
      <c r="AA393" s="281"/>
      <c r="AB393" s="281"/>
      <c r="AC393" s="281"/>
      <c r="AD393" s="281"/>
      <c r="AE393" s="281"/>
    </row>
    <row r="394" spans="15:31">
      <c r="O394" s="281"/>
      <c r="P394" s="281"/>
      <c r="Q394" s="281"/>
      <c r="R394" s="281"/>
      <c r="S394" s="281"/>
      <c r="T394" s="281"/>
      <c r="U394" s="281"/>
      <c r="V394" s="281"/>
      <c r="W394" s="281"/>
      <c r="X394" s="281"/>
      <c r="Y394" s="281"/>
      <c r="Z394" s="281"/>
      <c r="AA394" s="281"/>
      <c r="AB394" s="281"/>
      <c r="AC394" s="281"/>
      <c r="AD394" s="281"/>
      <c r="AE394" s="281"/>
    </row>
    <row r="395" spans="15:31">
      <c r="O395" s="281"/>
      <c r="P395" s="281"/>
      <c r="Q395" s="281"/>
      <c r="R395" s="281"/>
      <c r="S395" s="281"/>
      <c r="T395" s="281"/>
      <c r="U395" s="281"/>
      <c r="V395" s="281"/>
      <c r="W395" s="281"/>
      <c r="X395" s="281"/>
      <c r="Y395" s="281"/>
      <c r="Z395" s="281"/>
      <c r="AA395" s="281"/>
      <c r="AB395" s="281"/>
      <c r="AC395" s="281"/>
      <c r="AD395" s="281"/>
      <c r="AE395" s="281"/>
    </row>
    <row r="396" spans="15:31">
      <c r="O396" s="281"/>
      <c r="P396" s="281"/>
      <c r="Q396" s="281"/>
      <c r="R396" s="281"/>
      <c r="S396" s="281"/>
      <c r="T396" s="281"/>
      <c r="U396" s="281"/>
      <c r="V396" s="281"/>
      <c r="W396" s="281"/>
      <c r="X396" s="281"/>
      <c r="Y396" s="281"/>
      <c r="Z396" s="281"/>
      <c r="AA396" s="281"/>
      <c r="AB396" s="281"/>
      <c r="AC396" s="281"/>
      <c r="AD396" s="281"/>
      <c r="AE396" s="281"/>
    </row>
    <row r="397" spans="15:31">
      <c r="O397" s="281"/>
      <c r="P397" s="281"/>
      <c r="Q397" s="281"/>
      <c r="R397" s="281"/>
      <c r="S397" s="281"/>
      <c r="T397" s="281"/>
      <c r="U397" s="281"/>
      <c r="V397" s="281"/>
      <c r="W397" s="281"/>
      <c r="X397" s="281"/>
      <c r="Y397" s="281"/>
      <c r="Z397" s="281"/>
      <c r="AA397" s="281"/>
      <c r="AB397" s="281"/>
      <c r="AC397" s="281"/>
      <c r="AD397" s="281"/>
      <c r="AE397" s="281"/>
    </row>
    <row r="398" spans="15:31">
      <c r="O398" s="281"/>
      <c r="P398" s="281"/>
      <c r="Q398" s="281"/>
      <c r="R398" s="281"/>
      <c r="S398" s="281"/>
      <c r="T398" s="281"/>
      <c r="U398" s="281"/>
      <c r="V398" s="281"/>
      <c r="W398" s="281"/>
      <c r="X398" s="281"/>
      <c r="Y398" s="281"/>
      <c r="Z398" s="281"/>
      <c r="AA398" s="281"/>
      <c r="AB398" s="281"/>
      <c r="AC398" s="281"/>
      <c r="AD398" s="281"/>
      <c r="AE398" s="281"/>
    </row>
    <row r="399" spans="15:31">
      <c r="O399" s="281"/>
      <c r="P399" s="281"/>
      <c r="Q399" s="281"/>
      <c r="R399" s="281"/>
      <c r="S399" s="281"/>
      <c r="T399" s="281"/>
      <c r="U399" s="281"/>
      <c r="V399" s="281"/>
      <c r="W399" s="281"/>
      <c r="X399" s="281"/>
      <c r="Y399" s="281"/>
      <c r="Z399" s="281"/>
      <c r="AA399" s="281"/>
      <c r="AB399" s="281"/>
      <c r="AC399" s="281"/>
      <c r="AD399" s="281"/>
      <c r="AE399" s="281"/>
    </row>
    <row r="400" spans="15:31">
      <c r="O400" s="281"/>
      <c r="P400" s="281"/>
      <c r="Q400" s="281"/>
      <c r="R400" s="281"/>
      <c r="S400" s="281"/>
      <c r="T400" s="281"/>
      <c r="U400" s="281"/>
      <c r="V400" s="281"/>
      <c r="W400" s="281"/>
      <c r="X400" s="281"/>
      <c r="Y400" s="281"/>
      <c r="Z400" s="281"/>
      <c r="AA400" s="281"/>
      <c r="AB400" s="281"/>
      <c r="AC400" s="281"/>
      <c r="AD400" s="281"/>
      <c r="AE400" s="281"/>
    </row>
    <row r="401" spans="15:31">
      <c r="O401" s="281"/>
      <c r="P401" s="281"/>
      <c r="Q401" s="281"/>
      <c r="R401" s="281"/>
      <c r="S401" s="281"/>
      <c r="T401" s="281"/>
      <c r="U401" s="281"/>
      <c r="V401" s="281"/>
      <c r="W401" s="281"/>
      <c r="X401" s="281"/>
      <c r="Y401" s="281"/>
      <c r="Z401" s="281"/>
      <c r="AA401" s="281"/>
      <c r="AB401" s="281"/>
      <c r="AC401" s="281"/>
      <c r="AD401" s="281"/>
      <c r="AE401" s="281"/>
    </row>
    <row r="402" spans="15:31">
      <c r="O402" s="281"/>
      <c r="P402" s="281"/>
      <c r="Q402" s="281"/>
      <c r="R402" s="281"/>
      <c r="S402" s="281"/>
      <c r="T402" s="281"/>
      <c r="U402" s="281"/>
      <c r="V402" s="281"/>
      <c r="W402" s="281"/>
      <c r="X402" s="281"/>
      <c r="Y402" s="281"/>
      <c r="Z402" s="281"/>
      <c r="AA402" s="281"/>
      <c r="AB402" s="281"/>
      <c r="AC402" s="281"/>
      <c r="AD402" s="281"/>
      <c r="AE402" s="281"/>
    </row>
    <row r="403" spans="15:31">
      <c r="O403" s="281"/>
      <c r="P403" s="281"/>
      <c r="Q403" s="281"/>
      <c r="R403" s="281"/>
      <c r="S403" s="281"/>
      <c r="T403" s="281"/>
      <c r="U403" s="281"/>
      <c r="V403" s="281"/>
      <c r="W403" s="281"/>
      <c r="X403" s="281"/>
      <c r="Y403" s="281"/>
      <c r="Z403" s="281"/>
      <c r="AA403" s="281"/>
      <c r="AB403" s="281"/>
      <c r="AC403" s="281"/>
      <c r="AD403" s="281"/>
      <c r="AE403" s="281"/>
    </row>
    <row r="404" spans="15:31">
      <c r="O404" s="281"/>
      <c r="P404" s="281"/>
      <c r="Q404" s="281"/>
      <c r="R404" s="281"/>
      <c r="S404" s="281"/>
      <c r="T404" s="281"/>
      <c r="U404" s="281"/>
      <c r="V404" s="281"/>
      <c r="W404" s="281"/>
      <c r="X404" s="281"/>
      <c r="Y404" s="281"/>
      <c r="Z404" s="281"/>
      <c r="AA404" s="281"/>
      <c r="AB404" s="281"/>
      <c r="AC404" s="281"/>
      <c r="AD404" s="281"/>
      <c r="AE404" s="281"/>
    </row>
    <row r="405" spans="15:31">
      <c r="O405" s="281"/>
      <c r="P405" s="281"/>
      <c r="Q405" s="281"/>
      <c r="R405" s="281"/>
      <c r="S405" s="281"/>
      <c r="T405" s="281"/>
      <c r="U405" s="281"/>
      <c r="V405" s="281"/>
      <c r="W405" s="281"/>
      <c r="X405" s="281"/>
      <c r="Y405" s="281"/>
      <c r="Z405" s="281"/>
      <c r="AA405" s="281"/>
      <c r="AB405" s="281"/>
      <c r="AC405" s="281"/>
      <c r="AD405" s="281"/>
      <c r="AE405" s="281"/>
    </row>
    <row r="406" spans="15:31">
      <c r="O406" s="281"/>
      <c r="P406" s="281"/>
      <c r="Q406" s="281"/>
      <c r="R406" s="281"/>
      <c r="S406" s="281"/>
      <c r="T406" s="281"/>
      <c r="U406" s="281"/>
      <c r="V406" s="281"/>
      <c r="W406" s="281"/>
      <c r="X406" s="281"/>
      <c r="Y406" s="281"/>
      <c r="Z406" s="281"/>
      <c r="AA406" s="281"/>
      <c r="AB406" s="281"/>
      <c r="AC406" s="281"/>
      <c r="AD406" s="281"/>
      <c r="AE406" s="281"/>
    </row>
    <row r="407" spans="15:31">
      <c r="O407" s="281"/>
      <c r="P407" s="281"/>
      <c r="Q407" s="281"/>
      <c r="R407" s="281"/>
      <c r="S407" s="281"/>
      <c r="T407" s="281"/>
      <c r="U407" s="281"/>
      <c r="V407" s="281"/>
      <c r="W407" s="281"/>
      <c r="X407" s="281"/>
      <c r="Y407" s="281"/>
      <c r="Z407" s="281"/>
      <c r="AA407" s="281"/>
      <c r="AB407" s="281"/>
      <c r="AC407" s="281"/>
      <c r="AD407" s="281"/>
      <c r="AE407" s="281"/>
    </row>
    <row r="408" spans="15:31">
      <c r="O408" s="281"/>
      <c r="P408" s="281"/>
      <c r="Q408" s="281"/>
      <c r="R408" s="281"/>
      <c r="S408" s="281"/>
      <c r="T408" s="281"/>
      <c r="U408" s="281"/>
      <c r="V408" s="281"/>
      <c r="W408" s="281"/>
      <c r="X408" s="281"/>
      <c r="Y408" s="281"/>
      <c r="Z408" s="281"/>
      <c r="AA408" s="281"/>
      <c r="AB408" s="281"/>
      <c r="AC408" s="281"/>
      <c r="AD408" s="281"/>
      <c r="AE408" s="281"/>
    </row>
    <row r="409" spans="15:31">
      <c r="O409" s="281"/>
      <c r="P409" s="281"/>
      <c r="Q409" s="281"/>
      <c r="R409" s="281"/>
      <c r="S409" s="281"/>
      <c r="T409" s="281"/>
      <c r="U409" s="281"/>
      <c r="V409" s="281"/>
      <c r="W409" s="281"/>
      <c r="X409" s="281"/>
      <c r="Y409" s="281"/>
      <c r="Z409" s="281"/>
      <c r="AA409" s="281"/>
      <c r="AB409" s="281"/>
      <c r="AC409" s="281"/>
      <c r="AD409" s="281"/>
      <c r="AE409" s="281"/>
    </row>
    <row r="410" spans="15:31">
      <c r="O410" s="281"/>
      <c r="P410" s="281"/>
      <c r="Q410" s="281"/>
      <c r="R410" s="281"/>
      <c r="S410" s="281"/>
      <c r="T410" s="281"/>
      <c r="U410" s="281"/>
      <c r="V410" s="281"/>
      <c r="W410" s="281"/>
      <c r="X410" s="281"/>
      <c r="Y410" s="281"/>
      <c r="Z410" s="281"/>
      <c r="AA410" s="281"/>
      <c r="AB410" s="281"/>
      <c r="AC410" s="281"/>
      <c r="AD410" s="281"/>
      <c r="AE410" s="281"/>
    </row>
    <row r="411" spans="15:31">
      <c r="O411" s="281"/>
      <c r="P411" s="281"/>
      <c r="Q411" s="281"/>
      <c r="R411" s="281"/>
      <c r="S411" s="281"/>
      <c r="T411" s="281"/>
      <c r="U411" s="281"/>
      <c r="V411" s="281"/>
      <c r="W411" s="281"/>
      <c r="X411" s="281"/>
      <c r="Y411" s="281"/>
      <c r="Z411" s="281"/>
      <c r="AA411" s="281"/>
      <c r="AB411" s="281"/>
      <c r="AC411" s="281"/>
      <c r="AD411" s="281"/>
      <c r="AE411" s="281"/>
    </row>
    <row r="412" spans="15:31">
      <c r="O412" s="281"/>
      <c r="P412" s="281"/>
      <c r="Q412" s="281"/>
      <c r="R412" s="281"/>
      <c r="S412" s="281"/>
      <c r="T412" s="281"/>
      <c r="U412" s="281"/>
      <c r="V412" s="281"/>
      <c r="W412" s="281"/>
      <c r="X412" s="281"/>
      <c r="Y412" s="281"/>
      <c r="Z412" s="281"/>
      <c r="AA412" s="281"/>
      <c r="AB412" s="281"/>
      <c r="AC412" s="281"/>
      <c r="AD412" s="281"/>
      <c r="AE412" s="281"/>
    </row>
    <row r="413" spans="15:31">
      <c r="O413" s="281"/>
      <c r="P413" s="281"/>
      <c r="Q413" s="281"/>
      <c r="R413" s="281"/>
      <c r="S413" s="281"/>
      <c r="T413" s="281"/>
      <c r="U413" s="281"/>
      <c r="V413" s="281"/>
      <c r="W413" s="281"/>
      <c r="X413" s="281"/>
      <c r="Y413" s="281"/>
      <c r="Z413" s="281"/>
      <c r="AA413" s="281"/>
      <c r="AB413" s="281"/>
      <c r="AC413" s="281"/>
      <c r="AD413" s="281"/>
      <c r="AE413" s="281"/>
    </row>
    <row r="414" spans="15:31">
      <c r="O414" s="281"/>
      <c r="P414" s="281"/>
      <c r="Q414" s="281"/>
      <c r="R414" s="281"/>
      <c r="S414" s="281"/>
      <c r="T414" s="281"/>
      <c r="U414" s="281"/>
      <c r="V414" s="281"/>
      <c r="W414" s="281"/>
      <c r="X414" s="281"/>
      <c r="Y414" s="281"/>
      <c r="Z414" s="281"/>
      <c r="AA414" s="281"/>
      <c r="AB414" s="281"/>
      <c r="AC414" s="281"/>
      <c r="AD414" s="281"/>
      <c r="AE414" s="281"/>
    </row>
    <row r="415" spans="15:31">
      <c r="O415" s="281"/>
      <c r="P415" s="281"/>
      <c r="Q415" s="281"/>
      <c r="R415" s="281"/>
      <c r="S415" s="281"/>
      <c r="T415" s="281"/>
      <c r="U415" s="281"/>
      <c r="V415" s="281"/>
      <c r="W415" s="281"/>
      <c r="X415" s="281"/>
      <c r="Y415" s="281"/>
      <c r="Z415" s="281"/>
      <c r="AA415" s="281"/>
      <c r="AB415" s="281"/>
      <c r="AC415" s="281"/>
      <c r="AD415" s="281"/>
      <c r="AE415" s="281"/>
    </row>
    <row r="416" spans="15:31">
      <c r="O416" s="281"/>
      <c r="P416" s="281"/>
      <c r="Q416" s="281"/>
      <c r="R416" s="281"/>
      <c r="S416" s="281"/>
      <c r="T416" s="281"/>
      <c r="U416" s="281"/>
      <c r="V416" s="281"/>
      <c r="W416" s="281"/>
      <c r="X416" s="281"/>
      <c r="Y416" s="281"/>
      <c r="Z416" s="281"/>
      <c r="AA416" s="281"/>
      <c r="AB416" s="281"/>
      <c r="AC416" s="281"/>
      <c r="AD416" s="281"/>
      <c r="AE416" s="281"/>
    </row>
    <row r="417" spans="15:31">
      <c r="O417" s="281"/>
      <c r="P417" s="281"/>
      <c r="Q417" s="281"/>
      <c r="R417" s="281"/>
      <c r="S417" s="281"/>
      <c r="T417" s="281"/>
      <c r="U417" s="281"/>
      <c r="V417" s="281"/>
      <c r="W417" s="281"/>
      <c r="X417" s="281"/>
      <c r="Y417" s="281"/>
      <c r="Z417" s="281"/>
      <c r="AA417" s="281"/>
      <c r="AB417" s="281"/>
      <c r="AC417" s="281"/>
      <c r="AD417" s="281"/>
      <c r="AE417" s="281"/>
    </row>
    <row r="418" spans="15:31">
      <c r="O418" s="281"/>
      <c r="P418" s="281"/>
      <c r="Q418" s="281"/>
      <c r="R418" s="281"/>
      <c r="S418" s="281"/>
      <c r="T418" s="281"/>
      <c r="U418" s="281"/>
      <c r="V418" s="281"/>
      <c r="W418" s="281"/>
      <c r="X418" s="281"/>
      <c r="Y418" s="281"/>
      <c r="Z418" s="281"/>
      <c r="AA418" s="281"/>
      <c r="AB418" s="281"/>
      <c r="AC418" s="281"/>
      <c r="AD418" s="281"/>
      <c r="AE418" s="281"/>
    </row>
    <row r="419" spans="15:31">
      <c r="O419" s="281"/>
      <c r="P419" s="281"/>
      <c r="Q419" s="281"/>
      <c r="R419" s="281"/>
      <c r="S419" s="281"/>
      <c r="T419" s="281"/>
      <c r="U419" s="281"/>
      <c r="V419" s="281"/>
      <c r="W419" s="281"/>
      <c r="X419" s="281"/>
      <c r="Y419" s="281"/>
      <c r="Z419" s="281"/>
      <c r="AA419" s="281"/>
      <c r="AB419" s="281"/>
      <c r="AC419" s="281"/>
      <c r="AD419" s="281"/>
      <c r="AE419" s="281"/>
    </row>
    <row r="420" spans="15:31">
      <c r="O420" s="281"/>
      <c r="P420" s="281"/>
      <c r="Q420" s="281"/>
      <c r="R420" s="281"/>
      <c r="S420" s="281"/>
      <c r="T420" s="281"/>
      <c r="U420" s="281"/>
      <c r="V420" s="281"/>
      <c r="W420" s="281"/>
      <c r="X420" s="281"/>
      <c r="Y420" s="281"/>
      <c r="Z420" s="281"/>
      <c r="AA420" s="281"/>
      <c r="AB420" s="281"/>
      <c r="AC420" s="281"/>
      <c r="AD420" s="281"/>
      <c r="AE420" s="281"/>
    </row>
    <row r="421" spans="15:31">
      <c r="O421" s="281"/>
      <c r="P421" s="281"/>
      <c r="Q421" s="281"/>
      <c r="R421" s="281"/>
      <c r="S421" s="281"/>
      <c r="T421" s="281"/>
      <c r="U421" s="281"/>
      <c r="V421" s="281"/>
      <c r="W421" s="281"/>
      <c r="X421" s="281"/>
      <c r="Y421" s="281"/>
      <c r="Z421" s="281"/>
      <c r="AA421" s="281"/>
      <c r="AB421" s="281"/>
      <c r="AC421" s="281"/>
      <c r="AD421" s="281"/>
      <c r="AE421" s="281"/>
    </row>
    <row r="422" spans="15:31">
      <c r="O422" s="281"/>
      <c r="P422" s="281"/>
      <c r="Q422" s="281"/>
      <c r="R422" s="281"/>
      <c r="S422" s="281"/>
      <c r="T422" s="281"/>
      <c r="U422" s="281"/>
      <c r="V422" s="281"/>
      <c r="W422" s="281"/>
      <c r="X422" s="281"/>
      <c r="Y422" s="281"/>
      <c r="Z422" s="281"/>
      <c r="AA422" s="281"/>
      <c r="AB422" s="281"/>
      <c r="AC422" s="281"/>
      <c r="AD422" s="281"/>
      <c r="AE422" s="281"/>
    </row>
    <row r="423" spans="15:31">
      <c r="O423" s="281"/>
      <c r="P423" s="281"/>
      <c r="Q423" s="281"/>
      <c r="R423" s="281"/>
      <c r="S423" s="281"/>
      <c r="T423" s="281"/>
      <c r="U423" s="281"/>
      <c r="V423" s="281"/>
      <c r="W423" s="281"/>
      <c r="X423" s="281"/>
      <c r="Y423" s="281"/>
      <c r="Z423" s="281"/>
      <c r="AA423" s="281"/>
      <c r="AB423" s="281"/>
      <c r="AC423" s="281"/>
      <c r="AD423" s="281"/>
      <c r="AE423" s="281"/>
    </row>
    <row r="424" spans="15:31">
      <c r="O424" s="281"/>
      <c r="P424" s="281"/>
      <c r="Q424" s="281"/>
      <c r="R424" s="281"/>
      <c r="S424" s="281"/>
      <c r="T424" s="281"/>
      <c r="U424" s="281"/>
      <c r="V424" s="281"/>
      <c r="W424" s="281"/>
      <c r="X424" s="281"/>
      <c r="Y424" s="281"/>
      <c r="Z424" s="281"/>
      <c r="AA424" s="281"/>
      <c r="AB424" s="281"/>
      <c r="AC424" s="281"/>
      <c r="AD424" s="281"/>
      <c r="AE424" s="281"/>
    </row>
    <row r="425" spans="15:31">
      <c r="O425" s="281"/>
      <c r="P425" s="281"/>
      <c r="Q425" s="281"/>
      <c r="R425" s="281"/>
      <c r="S425" s="281"/>
      <c r="T425" s="281"/>
      <c r="U425" s="281"/>
      <c r="V425" s="281"/>
      <c r="W425" s="281"/>
      <c r="X425" s="281"/>
      <c r="Y425" s="281"/>
      <c r="Z425" s="281"/>
      <c r="AA425" s="281"/>
      <c r="AB425" s="281"/>
      <c r="AC425" s="281"/>
      <c r="AD425" s="281"/>
      <c r="AE425" s="281"/>
    </row>
    <row r="426" spans="15:31">
      <c r="O426" s="281"/>
      <c r="P426" s="281"/>
      <c r="Q426" s="281"/>
      <c r="R426" s="281"/>
      <c r="S426" s="281"/>
      <c r="T426" s="281"/>
      <c r="U426" s="281"/>
      <c r="V426" s="281"/>
      <c r="W426" s="281"/>
      <c r="X426" s="281"/>
      <c r="Y426" s="281"/>
      <c r="Z426" s="281"/>
      <c r="AA426" s="281"/>
      <c r="AB426" s="281"/>
      <c r="AC426" s="281"/>
      <c r="AD426" s="281"/>
      <c r="AE426" s="281"/>
    </row>
    <row r="427" spans="15:31">
      <c r="O427" s="281"/>
      <c r="P427" s="281"/>
      <c r="Q427" s="281"/>
      <c r="R427" s="281"/>
      <c r="S427" s="281"/>
      <c r="T427" s="281"/>
      <c r="U427" s="281"/>
      <c r="V427" s="281"/>
      <c r="W427" s="281"/>
      <c r="X427" s="281"/>
      <c r="Y427" s="281"/>
      <c r="Z427" s="281"/>
      <c r="AA427" s="281"/>
      <c r="AB427" s="281"/>
      <c r="AC427" s="281"/>
      <c r="AD427" s="281"/>
      <c r="AE427" s="281"/>
    </row>
    <row r="428" spans="15:31">
      <c r="O428" s="281"/>
      <c r="P428" s="281"/>
      <c r="Q428" s="281"/>
      <c r="R428" s="281"/>
      <c r="S428" s="281"/>
      <c r="T428" s="281"/>
      <c r="U428" s="281"/>
      <c r="V428" s="281"/>
      <c r="W428" s="281"/>
      <c r="X428" s="281"/>
      <c r="Y428" s="281"/>
      <c r="Z428" s="281"/>
      <c r="AA428" s="281"/>
      <c r="AB428" s="281"/>
      <c r="AC428" s="281"/>
      <c r="AD428" s="281"/>
      <c r="AE428" s="281"/>
    </row>
    <row r="429" spans="15:31">
      <c r="O429" s="281"/>
      <c r="P429" s="281"/>
      <c r="Q429" s="281"/>
      <c r="R429" s="281"/>
      <c r="S429" s="281"/>
      <c r="T429" s="281"/>
      <c r="U429" s="281"/>
      <c r="V429" s="281"/>
      <c r="W429" s="281"/>
      <c r="X429" s="281"/>
      <c r="Y429" s="281"/>
      <c r="Z429" s="281"/>
      <c r="AA429" s="281"/>
      <c r="AB429" s="281"/>
      <c r="AC429" s="281"/>
      <c r="AD429" s="281"/>
      <c r="AE429" s="281"/>
    </row>
    <row r="430" spans="15:31">
      <c r="O430" s="281"/>
      <c r="P430" s="281"/>
      <c r="Q430" s="281"/>
      <c r="R430" s="281"/>
      <c r="S430" s="281"/>
      <c r="T430" s="281"/>
      <c r="U430" s="281"/>
      <c r="V430" s="281"/>
      <c r="W430" s="281"/>
      <c r="X430" s="281"/>
      <c r="Y430" s="281"/>
      <c r="Z430" s="281"/>
      <c r="AA430" s="281"/>
      <c r="AB430" s="281"/>
      <c r="AC430" s="281"/>
      <c r="AD430" s="281"/>
      <c r="AE430" s="281"/>
    </row>
    <row r="431" spans="15:31">
      <c r="O431" s="281"/>
      <c r="P431" s="281"/>
      <c r="Q431" s="281"/>
      <c r="R431" s="281"/>
      <c r="S431" s="281"/>
      <c r="T431" s="281"/>
      <c r="U431" s="281"/>
      <c r="V431" s="281"/>
      <c r="W431" s="281"/>
      <c r="X431" s="281"/>
      <c r="Y431" s="281"/>
      <c r="Z431" s="281"/>
      <c r="AA431" s="281"/>
      <c r="AB431" s="281"/>
      <c r="AC431" s="281"/>
      <c r="AD431" s="281"/>
      <c r="AE431" s="281"/>
    </row>
    <row r="432" spans="15:31">
      <c r="O432" s="281"/>
      <c r="P432" s="281"/>
      <c r="Q432" s="281"/>
      <c r="R432" s="281"/>
      <c r="S432" s="281"/>
      <c r="T432" s="281"/>
      <c r="U432" s="281"/>
      <c r="V432" s="281"/>
      <c r="W432" s="281"/>
      <c r="X432" s="281"/>
      <c r="Y432" s="281"/>
      <c r="Z432" s="281"/>
      <c r="AA432" s="281"/>
      <c r="AB432" s="281"/>
      <c r="AC432" s="281"/>
      <c r="AD432" s="281"/>
      <c r="AE432" s="281"/>
    </row>
    <row r="433" spans="15:31">
      <c r="O433" s="281"/>
      <c r="P433" s="281"/>
      <c r="Q433" s="281"/>
      <c r="R433" s="281"/>
      <c r="S433" s="281"/>
      <c r="T433" s="281"/>
      <c r="U433" s="281"/>
      <c r="V433" s="281"/>
      <c r="W433" s="281"/>
      <c r="X433" s="281"/>
      <c r="Y433" s="281"/>
      <c r="Z433" s="281"/>
      <c r="AA433" s="281"/>
      <c r="AB433" s="281"/>
      <c r="AC433" s="281"/>
      <c r="AD433" s="281"/>
      <c r="AE433" s="281"/>
    </row>
    <row r="434" spans="15:31">
      <c r="O434" s="281"/>
      <c r="P434" s="281"/>
      <c r="Q434" s="281"/>
      <c r="R434" s="281"/>
      <c r="S434" s="281"/>
      <c r="T434" s="281"/>
      <c r="U434" s="281"/>
      <c r="V434" s="281"/>
      <c r="W434" s="281"/>
      <c r="X434" s="281"/>
      <c r="Y434" s="281"/>
      <c r="Z434" s="281"/>
      <c r="AA434" s="281"/>
      <c r="AB434" s="281"/>
      <c r="AC434" s="281"/>
      <c r="AD434" s="281"/>
      <c r="AE434" s="281"/>
    </row>
    <row r="435" spans="15:31">
      <c r="O435" s="281"/>
      <c r="P435" s="281"/>
      <c r="Q435" s="281"/>
      <c r="R435" s="281"/>
      <c r="S435" s="281"/>
      <c r="T435" s="281"/>
      <c r="U435" s="281"/>
      <c r="V435" s="281"/>
      <c r="W435" s="281"/>
      <c r="X435" s="281"/>
      <c r="Y435" s="281"/>
      <c r="Z435" s="281"/>
      <c r="AA435" s="281"/>
      <c r="AB435" s="281"/>
      <c r="AC435" s="281"/>
      <c r="AD435" s="281"/>
      <c r="AE435" s="281"/>
    </row>
    <row r="436" spans="15:31">
      <c r="O436" s="281"/>
      <c r="P436" s="281"/>
      <c r="Q436" s="281"/>
      <c r="R436" s="281"/>
      <c r="S436" s="281"/>
      <c r="T436" s="281"/>
      <c r="U436" s="281"/>
      <c r="V436" s="281"/>
      <c r="W436" s="281"/>
      <c r="X436" s="281"/>
      <c r="Y436" s="281"/>
      <c r="Z436" s="281"/>
      <c r="AA436" s="281"/>
      <c r="AB436" s="281"/>
      <c r="AC436" s="281"/>
      <c r="AD436" s="281"/>
      <c r="AE436" s="281"/>
    </row>
    <row r="437" spans="15:31">
      <c r="O437" s="281"/>
      <c r="P437" s="281"/>
      <c r="Q437" s="281"/>
      <c r="R437" s="281"/>
      <c r="S437" s="281"/>
      <c r="T437" s="281"/>
      <c r="U437" s="281"/>
      <c r="V437" s="281"/>
      <c r="W437" s="281"/>
      <c r="X437" s="281"/>
      <c r="Y437" s="281"/>
      <c r="Z437" s="281"/>
      <c r="AA437" s="281"/>
      <c r="AB437" s="281"/>
      <c r="AC437" s="281"/>
      <c r="AD437" s="281"/>
      <c r="AE437" s="281"/>
    </row>
    <row r="438" spans="15:31">
      <c r="O438" s="281"/>
      <c r="P438" s="281"/>
      <c r="Q438" s="281"/>
      <c r="R438" s="281"/>
      <c r="S438" s="281"/>
      <c r="T438" s="281"/>
      <c r="U438" s="281"/>
      <c r="V438" s="281"/>
      <c r="W438" s="281"/>
      <c r="X438" s="281"/>
      <c r="Y438" s="281"/>
      <c r="Z438" s="281"/>
      <c r="AA438" s="281"/>
      <c r="AB438" s="281"/>
      <c r="AC438" s="281"/>
      <c r="AD438" s="281"/>
      <c r="AE438" s="281"/>
    </row>
    <row r="439" spans="15:31">
      <c r="O439" s="281"/>
      <c r="P439" s="281"/>
      <c r="Q439" s="281"/>
      <c r="R439" s="281"/>
      <c r="S439" s="281"/>
      <c r="T439" s="281"/>
      <c r="U439" s="281"/>
      <c r="V439" s="281"/>
      <c r="W439" s="281"/>
      <c r="X439" s="281"/>
      <c r="Y439" s="281"/>
      <c r="Z439" s="281"/>
      <c r="AA439" s="281"/>
      <c r="AB439" s="281"/>
      <c r="AC439" s="281"/>
      <c r="AD439" s="281"/>
      <c r="AE439" s="281"/>
    </row>
    <row r="440" spans="15:31">
      <c r="O440" s="281"/>
      <c r="P440" s="281"/>
      <c r="Q440" s="281"/>
      <c r="R440" s="281"/>
      <c r="S440" s="281"/>
      <c r="T440" s="281"/>
      <c r="U440" s="281"/>
      <c r="V440" s="281"/>
      <c r="W440" s="281"/>
      <c r="X440" s="281"/>
      <c r="Y440" s="281"/>
      <c r="Z440" s="281"/>
      <c r="AA440" s="281"/>
      <c r="AB440" s="281"/>
      <c r="AC440" s="281"/>
      <c r="AD440" s="281"/>
      <c r="AE440" s="281"/>
    </row>
    <row r="441" spans="15:31">
      <c r="O441" s="281"/>
      <c r="P441" s="281"/>
      <c r="Q441" s="281"/>
      <c r="R441" s="281"/>
      <c r="S441" s="281"/>
      <c r="T441" s="281"/>
      <c r="U441" s="281"/>
      <c r="V441" s="281"/>
      <c r="W441" s="281"/>
      <c r="X441" s="281"/>
      <c r="Y441" s="281"/>
      <c r="Z441" s="281"/>
      <c r="AA441" s="281"/>
      <c r="AB441" s="281"/>
      <c r="AC441" s="281"/>
      <c r="AD441" s="281"/>
      <c r="AE441" s="281"/>
    </row>
    <row r="442" spans="15:31">
      <c r="O442" s="281"/>
      <c r="P442" s="281"/>
      <c r="Q442" s="281"/>
      <c r="R442" s="281"/>
      <c r="S442" s="281"/>
      <c r="T442" s="281"/>
      <c r="U442" s="281"/>
      <c r="V442" s="281"/>
      <c r="W442" s="281"/>
      <c r="X442" s="281"/>
      <c r="Y442" s="281"/>
      <c r="Z442" s="281"/>
      <c r="AA442" s="281"/>
      <c r="AB442" s="281"/>
      <c r="AC442" s="281"/>
      <c r="AD442" s="281"/>
      <c r="AE442" s="281"/>
    </row>
    <row r="443" spans="15:31">
      <c r="O443" s="281"/>
      <c r="P443" s="281"/>
      <c r="Q443" s="281"/>
      <c r="R443" s="281"/>
      <c r="S443" s="281"/>
      <c r="T443" s="281"/>
      <c r="U443" s="281"/>
      <c r="V443" s="281"/>
      <c r="W443" s="281"/>
      <c r="X443" s="281"/>
      <c r="Y443" s="281"/>
      <c r="Z443" s="281"/>
      <c r="AA443" s="281"/>
      <c r="AB443" s="281"/>
      <c r="AC443" s="281"/>
      <c r="AD443" s="281"/>
      <c r="AE443" s="281"/>
    </row>
    <row r="444" spans="15:31">
      <c r="O444" s="281"/>
      <c r="P444" s="281"/>
      <c r="Q444" s="281"/>
      <c r="R444" s="281"/>
      <c r="S444" s="281"/>
      <c r="T444" s="281"/>
      <c r="U444" s="281"/>
      <c r="V444" s="281"/>
      <c r="W444" s="281"/>
      <c r="X444" s="281"/>
      <c r="Y444" s="281"/>
      <c r="Z444" s="281"/>
      <c r="AA444" s="281"/>
      <c r="AB444" s="281"/>
      <c r="AC444" s="281"/>
      <c r="AD444" s="281"/>
      <c r="AE444" s="281"/>
    </row>
    <row r="445" spans="15:31">
      <c r="O445" s="281"/>
      <c r="P445" s="281"/>
      <c r="Q445" s="281"/>
      <c r="R445" s="281"/>
      <c r="S445" s="281"/>
      <c r="T445" s="281"/>
      <c r="U445" s="281"/>
      <c r="V445" s="281"/>
      <c r="W445" s="281"/>
      <c r="X445" s="281"/>
      <c r="Y445" s="281"/>
      <c r="Z445" s="281"/>
      <c r="AA445" s="281"/>
      <c r="AB445" s="281"/>
      <c r="AC445" s="281"/>
      <c r="AD445" s="281"/>
      <c r="AE445" s="281"/>
    </row>
    <row r="446" spans="15:31">
      <c r="O446" s="281"/>
      <c r="P446" s="281"/>
      <c r="Q446" s="281"/>
      <c r="R446" s="281"/>
      <c r="S446" s="281"/>
      <c r="T446" s="281"/>
      <c r="U446" s="281"/>
      <c r="V446" s="281"/>
      <c r="W446" s="281"/>
      <c r="X446" s="281"/>
      <c r="Y446" s="281"/>
      <c r="Z446" s="281"/>
      <c r="AA446" s="281"/>
      <c r="AB446" s="281"/>
      <c r="AC446" s="281"/>
      <c r="AD446" s="281"/>
      <c r="AE446" s="281"/>
    </row>
    <row r="447" spans="15:31">
      <c r="O447" s="281"/>
      <c r="P447" s="281"/>
      <c r="Q447" s="281"/>
      <c r="R447" s="281"/>
      <c r="S447" s="281"/>
      <c r="T447" s="281"/>
      <c r="U447" s="281"/>
      <c r="V447" s="281"/>
      <c r="W447" s="281"/>
      <c r="X447" s="281"/>
      <c r="Y447" s="281"/>
      <c r="Z447" s="281"/>
      <c r="AA447" s="281"/>
      <c r="AB447" s="281"/>
      <c r="AC447" s="281"/>
      <c r="AD447" s="281"/>
      <c r="AE447" s="281"/>
    </row>
    <row r="448" spans="15:31">
      <c r="O448" s="281"/>
      <c r="P448" s="281"/>
      <c r="Q448" s="281"/>
      <c r="R448" s="281"/>
      <c r="S448" s="281"/>
      <c r="T448" s="281"/>
      <c r="U448" s="281"/>
      <c r="V448" s="281"/>
      <c r="W448" s="281"/>
      <c r="X448" s="281"/>
      <c r="Y448" s="281"/>
      <c r="Z448" s="281"/>
      <c r="AA448" s="281"/>
      <c r="AB448" s="281"/>
      <c r="AC448" s="281"/>
      <c r="AD448" s="281"/>
      <c r="AE448" s="281"/>
    </row>
    <row r="449" spans="15:31">
      <c r="O449" s="281"/>
      <c r="P449" s="281"/>
      <c r="Q449" s="281"/>
      <c r="R449" s="281"/>
      <c r="S449" s="281"/>
      <c r="T449" s="281"/>
      <c r="U449" s="281"/>
      <c r="V449" s="281"/>
      <c r="W449" s="281"/>
      <c r="X449" s="281"/>
      <c r="Y449" s="281"/>
      <c r="Z449" s="281"/>
      <c r="AA449" s="281"/>
      <c r="AB449" s="281"/>
      <c r="AC449" s="281"/>
      <c r="AD449" s="281"/>
      <c r="AE449" s="281"/>
    </row>
    <row r="450" spans="15:31">
      <c r="O450" s="281"/>
      <c r="P450" s="281"/>
      <c r="Q450" s="281"/>
      <c r="R450" s="281"/>
      <c r="S450" s="281"/>
      <c r="T450" s="281"/>
      <c r="U450" s="281"/>
      <c r="V450" s="281"/>
      <c r="W450" s="281"/>
      <c r="X450" s="281"/>
      <c r="Y450" s="281"/>
      <c r="Z450" s="281"/>
      <c r="AA450" s="281"/>
      <c r="AB450" s="281"/>
      <c r="AC450" s="281"/>
      <c r="AD450" s="281"/>
      <c r="AE450" s="281"/>
    </row>
    <row r="451" spans="15:31">
      <c r="O451" s="281"/>
      <c r="P451" s="281"/>
      <c r="Q451" s="281"/>
      <c r="R451" s="281"/>
      <c r="S451" s="281"/>
      <c r="T451" s="281"/>
      <c r="U451" s="281"/>
      <c r="V451" s="281"/>
      <c r="W451" s="281"/>
      <c r="X451" s="281"/>
      <c r="Y451" s="281"/>
      <c r="Z451" s="281"/>
      <c r="AA451" s="281"/>
      <c r="AB451" s="281"/>
      <c r="AC451" s="281"/>
      <c r="AD451" s="281"/>
      <c r="AE451" s="281"/>
    </row>
    <row r="452" spans="15:31">
      <c r="O452" s="281"/>
      <c r="P452" s="281"/>
      <c r="Q452" s="281"/>
      <c r="R452" s="281"/>
      <c r="S452" s="281"/>
      <c r="T452" s="281"/>
      <c r="U452" s="281"/>
      <c r="V452" s="281"/>
      <c r="W452" s="281"/>
      <c r="X452" s="281"/>
      <c r="Y452" s="281"/>
      <c r="Z452" s="281"/>
      <c r="AA452" s="281"/>
      <c r="AB452" s="281"/>
      <c r="AC452" s="281"/>
      <c r="AD452" s="281"/>
      <c r="AE452" s="281"/>
    </row>
    <row r="453" spans="15:31">
      <c r="O453" s="281"/>
      <c r="P453" s="281"/>
      <c r="Q453" s="281"/>
      <c r="R453" s="281"/>
      <c r="S453" s="281"/>
      <c r="T453" s="281"/>
      <c r="U453" s="281"/>
      <c r="V453" s="281"/>
      <c r="W453" s="281"/>
      <c r="X453" s="281"/>
      <c r="Y453" s="281"/>
      <c r="Z453" s="281"/>
      <c r="AA453" s="281"/>
      <c r="AB453" s="281"/>
      <c r="AC453" s="281"/>
      <c r="AD453" s="281"/>
      <c r="AE453" s="281"/>
    </row>
    <row r="454" spans="15:31">
      <c r="O454" s="281"/>
      <c r="P454" s="281"/>
      <c r="Q454" s="281"/>
      <c r="R454" s="281"/>
      <c r="S454" s="281"/>
      <c r="T454" s="281"/>
      <c r="U454" s="281"/>
      <c r="V454" s="281"/>
      <c r="W454" s="281"/>
      <c r="X454" s="281"/>
      <c r="Y454" s="281"/>
      <c r="Z454" s="281"/>
      <c r="AA454" s="281"/>
      <c r="AB454" s="281"/>
      <c r="AC454" s="281"/>
      <c r="AD454" s="281"/>
      <c r="AE454" s="281"/>
    </row>
    <row r="455" spans="15:31">
      <c r="O455" s="281"/>
      <c r="P455" s="281"/>
      <c r="Q455" s="281"/>
      <c r="R455" s="281"/>
      <c r="S455" s="281"/>
      <c r="T455" s="281"/>
      <c r="U455" s="281"/>
      <c r="V455" s="281"/>
      <c r="W455" s="281"/>
      <c r="X455" s="281"/>
      <c r="Y455" s="281"/>
      <c r="Z455" s="281"/>
      <c r="AA455" s="281"/>
      <c r="AB455" s="281"/>
      <c r="AC455" s="281"/>
      <c r="AD455" s="281"/>
      <c r="AE455" s="281"/>
    </row>
    <row r="456" spans="15:31">
      <c r="O456" s="281"/>
      <c r="P456" s="281"/>
      <c r="Q456" s="281"/>
      <c r="R456" s="281"/>
      <c r="S456" s="281"/>
      <c r="T456" s="281"/>
      <c r="U456" s="281"/>
      <c r="V456" s="281"/>
      <c r="W456" s="281"/>
      <c r="X456" s="281"/>
      <c r="Y456" s="281"/>
      <c r="Z456" s="281"/>
      <c r="AA456" s="281"/>
      <c r="AB456" s="281"/>
      <c r="AC456" s="281"/>
      <c r="AD456" s="281"/>
      <c r="AE456" s="281"/>
    </row>
    <row r="457" spans="15:31">
      <c r="O457" s="281"/>
      <c r="P457" s="281"/>
      <c r="Q457" s="281"/>
      <c r="R457" s="281"/>
      <c r="S457" s="281"/>
      <c r="T457" s="281"/>
      <c r="U457" s="281"/>
      <c r="V457" s="281"/>
      <c r="W457" s="281"/>
      <c r="X457" s="281"/>
      <c r="Y457" s="281"/>
      <c r="Z457" s="281"/>
      <c r="AA457" s="281"/>
      <c r="AB457" s="281"/>
      <c r="AC457" s="281"/>
      <c r="AD457" s="281"/>
      <c r="AE457" s="281"/>
    </row>
    <row r="458" spans="15:31">
      <c r="O458" s="281"/>
      <c r="P458" s="281"/>
      <c r="Q458" s="281"/>
      <c r="R458" s="281"/>
      <c r="S458" s="281"/>
      <c r="T458" s="281"/>
      <c r="U458" s="281"/>
      <c r="V458" s="281"/>
      <c r="W458" s="281"/>
      <c r="X458" s="281"/>
      <c r="Y458" s="281"/>
      <c r="Z458" s="281"/>
      <c r="AA458" s="281"/>
      <c r="AB458" s="281"/>
      <c r="AC458" s="281"/>
      <c r="AD458" s="281"/>
      <c r="AE458" s="281"/>
    </row>
    <row r="459" spans="15:31">
      <c r="O459" s="281"/>
      <c r="P459" s="281"/>
      <c r="Q459" s="281"/>
      <c r="R459" s="281"/>
      <c r="S459" s="281"/>
      <c r="T459" s="281"/>
      <c r="U459" s="281"/>
      <c r="V459" s="281"/>
      <c r="W459" s="281"/>
      <c r="X459" s="281"/>
      <c r="Y459" s="281"/>
      <c r="Z459" s="281"/>
      <c r="AA459" s="281"/>
      <c r="AB459" s="281"/>
      <c r="AC459" s="281"/>
      <c r="AD459" s="281"/>
      <c r="AE459" s="281"/>
    </row>
    <row r="460" spans="15:31">
      <c r="O460" s="281"/>
      <c r="P460" s="281"/>
      <c r="Q460" s="281"/>
      <c r="R460" s="281"/>
      <c r="S460" s="281"/>
      <c r="T460" s="281"/>
      <c r="U460" s="281"/>
      <c r="V460" s="281"/>
      <c r="W460" s="281"/>
      <c r="X460" s="281"/>
      <c r="Y460" s="281"/>
      <c r="Z460" s="281"/>
      <c r="AA460" s="281"/>
      <c r="AB460" s="281"/>
      <c r="AC460" s="281"/>
      <c r="AD460" s="281"/>
      <c r="AE460" s="281"/>
    </row>
    <row r="461" spans="15:31">
      <c r="O461" s="281"/>
      <c r="P461" s="281"/>
      <c r="Q461" s="281"/>
      <c r="R461" s="281"/>
      <c r="S461" s="281"/>
      <c r="T461" s="281"/>
      <c r="U461" s="281"/>
      <c r="V461" s="281"/>
      <c r="W461" s="281"/>
      <c r="X461" s="281"/>
      <c r="Y461" s="281"/>
      <c r="Z461" s="281"/>
      <c r="AA461" s="281"/>
      <c r="AB461" s="281"/>
      <c r="AC461" s="281"/>
      <c r="AD461" s="281"/>
      <c r="AE461" s="281"/>
    </row>
    <row r="462" spans="15:31">
      <c r="O462" s="281"/>
      <c r="P462" s="281"/>
      <c r="Q462" s="281"/>
      <c r="R462" s="281"/>
      <c r="S462" s="281"/>
      <c r="T462" s="281"/>
      <c r="U462" s="281"/>
      <c r="V462" s="281"/>
      <c r="W462" s="281"/>
      <c r="X462" s="281"/>
      <c r="Y462" s="281"/>
      <c r="Z462" s="281"/>
      <c r="AA462" s="281"/>
      <c r="AB462" s="281"/>
      <c r="AC462" s="281"/>
      <c r="AD462" s="281"/>
      <c r="AE462" s="281"/>
    </row>
    <row r="463" spans="15:31">
      <c r="O463" s="281"/>
      <c r="P463" s="281"/>
      <c r="Q463" s="281"/>
      <c r="R463" s="281"/>
      <c r="S463" s="281"/>
      <c r="T463" s="281"/>
      <c r="U463" s="281"/>
      <c r="V463" s="281"/>
      <c r="W463" s="281"/>
      <c r="X463" s="281"/>
      <c r="Y463" s="281"/>
      <c r="Z463" s="281"/>
      <c r="AA463" s="281"/>
      <c r="AB463" s="281"/>
      <c r="AC463" s="281"/>
      <c r="AD463" s="281"/>
      <c r="AE463" s="281"/>
    </row>
    <row r="464" spans="15:31">
      <c r="O464" s="281"/>
      <c r="P464" s="281"/>
      <c r="Q464" s="281"/>
      <c r="R464" s="281"/>
      <c r="S464" s="281"/>
      <c r="T464" s="281"/>
      <c r="U464" s="281"/>
      <c r="V464" s="281"/>
      <c r="W464" s="281"/>
      <c r="X464" s="281"/>
      <c r="Y464" s="281"/>
      <c r="Z464" s="281"/>
      <c r="AA464" s="281"/>
      <c r="AB464" s="281"/>
      <c r="AC464" s="281"/>
      <c r="AD464" s="281"/>
      <c r="AE464" s="281"/>
    </row>
    <row r="465" spans="15:31">
      <c r="O465" s="281"/>
      <c r="P465" s="281"/>
      <c r="Q465" s="281"/>
      <c r="R465" s="281"/>
      <c r="S465" s="281"/>
      <c r="T465" s="281"/>
      <c r="U465" s="281"/>
      <c r="V465" s="281"/>
      <c r="W465" s="281"/>
      <c r="X465" s="281"/>
      <c r="Y465" s="281"/>
      <c r="Z465" s="281"/>
      <c r="AA465" s="281"/>
      <c r="AB465" s="281"/>
      <c r="AC465" s="281"/>
      <c r="AD465" s="281"/>
      <c r="AE465" s="281"/>
    </row>
    <row r="466" spans="15:31">
      <c r="O466" s="281"/>
      <c r="P466" s="281"/>
      <c r="Q466" s="281"/>
      <c r="R466" s="281"/>
      <c r="S466" s="281"/>
      <c r="T466" s="281"/>
      <c r="U466" s="281"/>
      <c r="V466" s="281"/>
      <c r="W466" s="281"/>
      <c r="X466" s="281"/>
      <c r="Y466" s="281"/>
      <c r="Z466" s="281"/>
      <c r="AA466" s="281"/>
      <c r="AB466" s="281"/>
      <c r="AC466" s="281"/>
      <c r="AD466" s="281"/>
      <c r="AE466" s="281"/>
    </row>
    <row r="467" spans="15:31">
      <c r="O467" s="281"/>
      <c r="P467" s="281"/>
      <c r="Q467" s="281"/>
      <c r="R467" s="281"/>
      <c r="S467" s="281"/>
      <c r="T467" s="281"/>
      <c r="U467" s="281"/>
      <c r="V467" s="281"/>
      <c r="W467" s="281"/>
      <c r="X467" s="281"/>
      <c r="Y467" s="281"/>
      <c r="Z467" s="281"/>
      <c r="AA467" s="281"/>
      <c r="AB467" s="281"/>
      <c r="AC467" s="281"/>
      <c r="AD467" s="281"/>
      <c r="AE467" s="281"/>
    </row>
    <row r="468" spans="15:31">
      <c r="O468" s="281"/>
      <c r="P468" s="281"/>
      <c r="Q468" s="281"/>
      <c r="R468" s="281"/>
      <c r="S468" s="281"/>
      <c r="T468" s="281"/>
      <c r="U468" s="281"/>
      <c r="V468" s="281"/>
      <c r="W468" s="281"/>
      <c r="X468" s="281"/>
      <c r="Y468" s="281"/>
      <c r="Z468" s="281"/>
      <c r="AA468" s="281"/>
      <c r="AB468" s="281"/>
      <c r="AC468" s="281"/>
      <c r="AD468" s="281"/>
      <c r="AE468" s="281"/>
    </row>
    <row r="469" spans="15:31">
      <c r="O469" s="281"/>
      <c r="P469" s="281"/>
      <c r="Q469" s="281"/>
      <c r="R469" s="281"/>
      <c r="S469" s="281"/>
      <c r="T469" s="281"/>
      <c r="U469" s="281"/>
      <c r="V469" s="281"/>
      <c r="W469" s="281"/>
      <c r="X469" s="281"/>
      <c r="Y469" s="281"/>
      <c r="Z469" s="281"/>
      <c r="AA469" s="281"/>
      <c r="AB469" s="281"/>
      <c r="AC469" s="281"/>
      <c r="AD469" s="281"/>
      <c r="AE469" s="281"/>
    </row>
    <row r="470" spans="15:31">
      <c r="O470" s="281"/>
      <c r="P470" s="281"/>
      <c r="Q470" s="281"/>
      <c r="R470" s="281"/>
      <c r="S470" s="281"/>
      <c r="T470" s="281"/>
      <c r="U470" s="281"/>
      <c r="V470" s="281"/>
      <c r="W470" s="281"/>
      <c r="X470" s="281"/>
      <c r="Y470" s="281"/>
      <c r="Z470" s="281"/>
      <c r="AA470" s="281"/>
      <c r="AB470" s="281"/>
      <c r="AC470" s="281"/>
      <c r="AD470" s="281"/>
      <c r="AE470" s="281"/>
    </row>
    <row r="471" spans="15:31">
      <c r="O471" s="281"/>
      <c r="P471" s="281"/>
      <c r="Q471" s="281"/>
      <c r="R471" s="281"/>
      <c r="S471" s="281"/>
      <c r="T471" s="281"/>
      <c r="U471" s="281"/>
      <c r="V471" s="281"/>
      <c r="W471" s="281"/>
      <c r="X471" s="281"/>
      <c r="Y471" s="281"/>
      <c r="Z471" s="281"/>
      <c r="AA471" s="281"/>
      <c r="AB471" s="281"/>
      <c r="AC471" s="281"/>
      <c r="AD471" s="281"/>
      <c r="AE471" s="281"/>
    </row>
    <row r="472" spans="15:31">
      <c r="O472" s="281"/>
      <c r="P472" s="281"/>
      <c r="Q472" s="281"/>
      <c r="R472" s="281"/>
      <c r="S472" s="281"/>
      <c r="T472" s="281"/>
      <c r="U472" s="281"/>
      <c r="V472" s="281"/>
      <c r="W472" s="281"/>
      <c r="X472" s="281"/>
      <c r="Y472" s="281"/>
      <c r="Z472" s="281"/>
      <c r="AA472" s="281"/>
      <c r="AB472" s="281"/>
      <c r="AC472" s="281"/>
      <c r="AD472" s="281"/>
      <c r="AE472" s="281"/>
    </row>
    <row r="473" spans="15:31">
      <c r="O473" s="281"/>
      <c r="P473" s="281"/>
      <c r="Q473" s="281"/>
      <c r="R473" s="281"/>
      <c r="S473" s="281"/>
      <c r="T473" s="281"/>
      <c r="U473" s="281"/>
      <c r="V473" s="281"/>
      <c r="W473" s="281"/>
      <c r="X473" s="281"/>
      <c r="Y473" s="281"/>
      <c r="Z473" s="281"/>
      <c r="AA473" s="281"/>
      <c r="AB473" s="281"/>
      <c r="AC473" s="281"/>
      <c r="AD473" s="281"/>
      <c r="AE473" s="281"/>
    </row>
    <row r="474" spans="15:31">
      <c r="O474" s="281"/>
      <c r="P474" s="281"/>
      <c r="Q474" s="281"/>
      <c r="R474" s="281"/>
      <c r="S474" s="281"/>
      <c r="T474" s="281"/>
      <c r="U474" s="281"/>
      <c r="V474" s="281"/>
      <c r="W474" s="281"/>
      <c r="X474" s="281"/>
      <c r="Y474" s="281"/>
      <c r="Z474" s="281"/>
      <c r="AA474" s="281"/>
      <c r="AB474" s="281"/>
      <c r="AC474" s="281"/>
      <c r="AD474" s="281"/>
      <c r="AE474" s="281"/>
    </row>
    <row r="475" spans="15:31">
      <c r="O475" s="281"/>
      <c r="P475" s="281"/>
      <c r="Q475" s="281"/>
      <c r="R475" s="281"/>
      <c r="S475" s="281"/>
      <c r="T475" s="281"/>
      <c r="U475" s="281"/>
      <c r="V475" s="281"/>
      <c r="W475" s="281"/>
      <c r="X475" s="281"/>
      <c r="Y475" s="281"/>
      <c r="Z475" s="281"/>
      <c r="AA475" s="281"/>
      <c r="AB475" s="281"/>
      <c r="AC475" s="281"/>
      <c r="AD475" s="281"/>
      <c r="AE475" s="281"/>
    </row>
    <row r="476" spans="15:31">
      <c r="O476" s="281"/>
      <c r="P476" s="281"/>
      <c r="Q476" s="281"/>
      <c r="R476" s="281"/>
      <c r="S476" s="281"/>
      <c r="T476" s="281"/>
      <c r="U476" s="281"/>
      <c r="V476" s="281"/>
      <c r="W476" s="281"/>
      <c r="X476" s="281"/>
      <c r="Y476" s="281"/>
      <c r="Z476" s="281"/>
      <c r="AA476" s="281"/>
      <c r="AB476" s="281"/>
      <c r="AC476" s="281"/>
      <c r="AD476" s="281"/>
      <c r="AE476" s="281"/>
    </row>
    <row r="477" spans="15:31">
      <c r="O477" s="281"/>
      <c r="P477" s="281"/>
      <c r="Q477" s="281"/>
      <c r="R477" s="281"/>
      <c r="S477" s="281"/>
      <c r="T477" s="281"/>
      <c r="U477" s="281"/>
      <c r="V477" s="281"/>
      <c r="W477" s="281"/>
      <c r="X477" s="281"/>
      <c r="Y477" s="281"/>
      <c r="Z477" s="281"/>
      <c r="AA477" s="281"/>
      <c r="AB477" s="281"/>
      <c r="AC477" s="281"/>
      <c r="AD477" s="281"/>
      <c r="AE477" s="281"/>
    </row>
    <row r="478" spans="15:31">
      <c r="O478" s="281"/>
      <c r="P478" s="281"/>
      <c r="Q478" s="281"/>
      <c r="R478" s="281"/>
      <c r="S478" s="281"/>
      <c r="T478" s="281"/>
      <c r="U478" s="281"/>
      <c r="V478" s="281"/>
      <c r="W478" s="281"/>
      <c r="X478" s="281"/>
      <c r="Y478" s="281"/>
      <c r="Z478" s="281"/>
      <c r="AA478" s="281"/>
      <c r="AB478" s="281"/>
      <c r="AC478" s="281"/>
      <c r="AD478" s="281"/>
      <c r="AE478" s="281"/>
    </row>
    <row r="479" spans="15:31">
      <c r="O479" s="281"/>
      <c r="P479" s="281"/>
      <c r="Q479" s="281"/>
      <c r="R479" s="281"/>
      <c r="S479" s="281"/>
      <c r="T479" s="281"/>
      <c r="U479" s="281"/>
      <c r="V479" s="281"/>
      <c r="W479" s="281"/>
      <c r="X479" s="281"/>
      <c r="Y479" s="281"/>
      <c r="Z479" s="281"/>
      <c r="AA479" s="281"/>
      <c r="AB479" s="281"/>
      <c r="AC479" s="281"/>
      <c r="AD479" s="281"/>
      <c r="AE479" s="281"/>
    </row>
    <row r="480" spans="15:31">
      <c r="O480" s="281"/>
      <c r="P480" s="281"/>
      <c r="Q480" s="281"/>
      <c r="R480" s="281"/>
      <c r="S480" s="281"/>
      <c r="T480" s="281"/>
      <c r="U480" s="281"/>
      <c r="V480" s="281"/>
      <c r="W480" s="281"/>
      <c r="X480" s="281"/>
      <c r="Y480" s="281"/>
      <c r="Z480" s="281"/>
      <c r="AA480" s="281"/>
      <c r="AB480" s="281"/>
      <c r="AC480" s="281"/>
      <c r="AD480" s="281"/>
      <c r="AE480" s="281"/>
    </row>
    <row r="481" spans="15:31">
      <c r="O481" s="281"/>
      <c r="P481" s="281"/>
      <c r="Q481" s="281"/>
      <c r="R481" s="281"/>
      <c r="S481" s="281"/>
      <c r="T481" s="281"/>
      <c r="U481" s="281"/>
      <c r="V481" s="281"/>
      <c r="W481" s="281"/>
      <c r="X481" s="281"/>
      <c r="Y481" s="281"/>
      <c r="Z481" s="281"/>
      <c r="AA481" s="281"/>
      <c r="AB481" s="281"/>
      <c r="AC481" s="281"/>
      <c r="AD481" s="281"/>
      <c r="AE481" s="281"/>
    </row>
    <row r="482" spans="15:31">
      <c r="O482" s="281"/>
      <c r="P482" s="281"/>
      <c r="Q482" s="281"/>
      <c r="R482" s="281"/>
      <c r="S482" s="281"/>
      <c r="T482" s="281"/>
      <c r="U482" s="281"/>
      <c r="V482" s="281"/>
      <c r="W482" s="281"/>
      <c r="X482" s="281"/>
      <c r="Y482" s="281"/>
      <c r="Z482" s="281"/>
      <c r="AA482" s="281"/>
      <c r="AB482" s="281"/>
      <c r="AC482" s="281"/>
      <c r="AD482" s="281"/>
      <c r="AE482" s="281"/>
    </row>
    <row r="483" spans="15:31">
      <c r="O483" s="281"/>
      <c r="P483" s="281"/>
      <c r="Q483" s="281"/>
      <c r="R483" s="281"/>
      <c r="S483" s="281"/>
      <c r="T483" s="281"/>
      <c r="U483" s="281"/>
      <c r="V483" s="281"/>
      <c r="W483" s="281"/>
      <c r="X483" s="281"/>
      <c r="Y483" s="281"/>
      <c r="Z483" s="281"/>
      <c r="AA483" s="281"/>
      <c r="AB483" s="281"/>
      <c r="AC483" s="281"/>
      <c r="AD483" s="281"/>
      <c r="AE483" s="281"/>
    </row>
    <row r="484" spans="15:31">
      <c r="O484" s="281"/>
      <c r="P484" s="281"/>
      <c r="Q484" s="281"/>
      <c r="R484" s="281"/>
      <c r="S484" s="281"/>
      <c r="T484" s="281"/>
      <c r="U484" s="281"/>
      <c r="V484" s="281"/>
      <c r="W484" s="281"/>
      <c r="X484" s="281"/>
      <c r="Y484" s="281"/>
      <c r="Z484" s="281"/>
      <c r="AA484" s="281"/>
      <c r="AB484" s="281"/>
      <c r="AC484" s="281"/>
      <c r="AD484" s="281"/>
      <c r="AE484" s="281"/>
    </row>
    <row r="485" spans="15:31">
      <c r="O485" s="281"/>
      <c r="P485" s="281"/>
      <c r="Q485" s="281"/>
      <c r="R485" s="281"/>
      <c r="S485" s="281"/>
      <c r="T485" s="281"/>
      <c r="U485" s="281"/>
      <c r="V485" s="281"/>
      <c r="W485" s="281"/>
      <c r="X485" s="281"/>
      <c r="Y485" s="281"/>
      <c r="Z485" s="281"/>
      <c r="AA485" s="281"/>
      <c r="AB485" s="281"/>
      <c r="AC485" s="281"/>
      <c r="AD485" s="281"/>
      <c r="AE485" s="281"/>
    </row>
    <row r="486" spans="15:31">
      <c r="O486" s="281"/>
      <c r="P486" s="281"/>
      <c r="Q486" s="281"/>
      <c r="R486" s="281"/>
      <c r="S486" s="281"/>
      <c r="T486" s="281"/>
      <c r="U486" s="281"/>
      <c r="V486" s="281"/>
      <c r="W486" s="281"/>
      <c r="X486" s="281"/>
      <c r="Y486" s="281"/>
      <c r="Z486" s="281"/>
      <c r="AA486" s="281"/>
      <c r="AB486" s="281"/>
      <c r="AC486" s="281"/>
      <c r="AD486" s="281"/>
      <c r="AE486" s="281"/>
    </row>
    <row r="487" spans="15:31">
      <c r="O487" s="281"/>
      <c r="P487" s="281"/>
      <c r="Q487" s="281"/>
      <c r="R487" s="281"/>
      <c r="S487" s="281"/>
      <c r="T487" s="281"/>
      <c r="U487" s="281"/>
      <c r="V487" s="281"/>
      <c r="W487" s="281"/>
      <c r="X487" s="281"/>
      <c r="Y487" s="281"/>
      <c r="Z487" s="281"/>
      <c r="AA487" s="281"/>
      <c r="AB487" s="281"/>
      <c r="AC487" s="281"/>
      <c r="AD487" s="281"/>
      <c r="AE487" s="281"/>
    </row>
    <row r="488" spans="15:31">
      <c r="O488" s="281"/>
      <c r="P488" s="281"/>
      <c r="Q488" s="281"/>
      <c r="R488" s="281"/>
      <c r="S488" s="281"/>
      <c r="T488" s="281"/>
      <c r="U488" s="281"/>
      <c r="V488" s="281"/>
      <c r="W488" s="281"/>
      <c r="X488" s="281"/>
      <c r="Y488" s="281"/>
      <c r="Z488" s="281"/>
      <c r="AA488" s="281"/>
      <c r="AB488" s="281"/>
      <c r="AC488" s="281"/>
      <c r="AD488" s="281"/>
      <c r="AE488" s="281"/>
    </row>
    <row r="489" spans="15:31">
      <c r="O489" s="281"/>
      <c r="P489" s="281"/>
      <c r="Q489" s="281"/>
      <c r="R489" s="281"/>
      <c r="S489" s="281"/>
      <c r="T489" s="281"/>
      <c r="U489" s="281"/>
      <c r="V489" s="281"/>
      <c r="W489" s="281"/>
      <c r="X489" s="281"/>
      <c r="Y489" s="281"/>
      <c r="Z489" s="281"/>
      <c r="AA489" s="281"/>
      <c r="AB489" s="281"/>
      <c r="AC489" s="281"/>
      <c r="AD489" s="281"/>
      <c r="AE489" s="281"/>
    </row>
    <row r="490" spans="15:31">
      <c r="O490" s="281"/>
      <c r="P490" s="281"/>
      <c r="Q490" s="281"/>
      <c r="R490" s="281"/>
      <c r="S490" s="281"/>
      <c r="T490" s="281"/>
      <c r="U490" s="281"/>
      <c r="V490" s="281"/>
      <c r="W490" s="281"/>
      <c r="X490" s="281"/>
      <c r="Y490" s="281"/>
      <c r="Z490" s="281"/>
      <c r="AA490" s="281"/>
      <c r="AB490" s="281"/>
      <c r="AC490" s="281"/>
      <c r="AD490" s="281"/>
      <c r="AE490" s="281"/>
    </row>
    <row r="491" spans="15:31">
      <c r="O491" s="281"/>
      <c r="P491" s="281"/>
      <c r="Q491" s="281"/>
      <c r="R491" s="281"/>
      <c r="S491" s="281"/>
      <c r="T491" s="281"/>
      <c r="U491" s="281"/>
      <c r="V491" s="281"/>
      <c r="W491" s="281"/>
      <c r="X491" s="281"/>
      <c r="Y491" s="281"/>
      <c r="Z491" s="281"/>
      <c r="AA491" s="281"/>
      <c r="AB491" s="281"/>
      <c r="AC491" s="281"/>
      <c r="AD491" s="281"/>
      <c r="AE491" s="281"/>
    </row>
    <row r="492" spans="15:31">
      <c r="O492" s="281"/>
      <c r="P492" s="281"/>
      <c r="Q492" s="281"/>
      <c r="R492" s="281"/>
      <c r="S492" s="281"/>
      <c r="T492" s="281"/>
      <c r="U492" s="281"/>
      <c r="V492" s="281"/>
      <c r="W492" s="281"/>
      <c r="X492" s="281"/>
      <c r="Y492" s="281"/>
      <c r="Z492" s="281"/>
      <c r="AA492" s="281"/>
      <c r="AB492" s="281"/>
      <c r="AC492" s="281"/>
      <c r="AD492" s="281"/>
      <c r="AE492" s="281"/>
    </row>
    <row r="493" spans="15:31">
      <c r="O493" s="281"/>
      <c r="P493" s="281"/>
      <c r="Q493" s="281"/>
      <c r="R493" s="281"/>
      <c r="S493" s="281"/>
      <c r="T493" s="281"/>
      <c r="U493" s="281"/>
      <c r="V493" s="281"/>
      <c r="W493" s="281"/>
      <c r="X493" s="281"/>
      <c r="Y493" s="281"/>
      <c r="Z493" s="281"/>
      <c r="AA493" s="281"/>
      <c r="AB493" s="281"/>
      <c r="AC493" s="281"/>
      <c r="AD493" s="281"/>
      <c r="AE493" s="281"/>
    </row>
    <row r="494" spans="15:31">
      <c r="O494" s="281"/>
      <c r="P494" s="281"/>
      <c r="Q494" s="281"/>
      <c r="R494" s="281"/>
      <c r="S494" s="281"/>
      <c r="T494" s="281"/>
      <c r="U494" s="281"/>
      <c r="V494" s="281"/>
      <c r="W494" s="281"/>
      <c r="X494" s="281"/>
      <c r="Y494" s="281"/>
      <c r="Z494" s="281"/>
      <c r="AA494" s="281"/>
      <c r="AB494" s="281"/>
      <c r="AC494" s="281"/>
      <c r="AD494" s="281"/>
      <c r="AE494" s="281"/>
    </row>
    <row r="495" spans="15:31">
      <c r="O495" s="281"/>
      <c r="P495" s="281"/>
      <c r="Q495" s="281"/>
      <c r="R495" s="281"/>
      <c r="S495" s="281"/>
      <c r="T495" s="281"/>
      <c r="U495" s="281"/>
      <c r="V495" s="281"/>
      <c r="W495" s="281"/>
      <c r="X495" s="281"/>
      <c r="Y495" s="281"/>
      <c r="Z495" s="281"/>
      <c r="AA495" s="281"/>
      <c r="AB495" s="281"/>
      <c r="AC495" s="281"/>
      <c r="AD495" s="281"/>
      <c r="AE495" s="281"/>
    </row>
    <row r="496" spans="15:31">
      <c r="O496" s="281"/>
      <c r="P496" s="281"/>
      <c r="Q496" s="281"/>
      <c r="R496" s="281"/>
      <c r="S496" s="281"/>
      <c r="T496" s="281"/>
      <c r="U496" s="281"/>
      <c r="V496" s="281"/>
      <c r="W496" s="281"/>
      <c r="X496" s="281"/>
      <c r="Y496" s="281"/>
      <c r="Z496" s="281"/>
      <c r="AA496" s="281"/>
      <c r="AB496" s="281"/>
      <c r="AC496" s="281"/>
      <c r="AD496" s="281"/>
      <c r="AE496" s="281"/>
    </row>
    <row r="497" spans="15:31">
      <c r="O497" s="281"/>
      <c r="P497" s="281"/>
      <c r="Q497" s="281"/>
      <c r="R497" s="281"/>
      <c r="S497" s="281"/>
      <c r="T497" s="281"/>
      <c r="U497" s="281"/>
      <c r="V497" s="281"/>
      <c r="W497" s="281"/>
      <c r="X497" s="281"/>
      <c r="Y497" s="281"/>
      <c r="Z497" s="281"/>
      <c r="AA497" s="281"/>
      <c r="AB497" s="281"/>
      <c r="AC497" s="281"/>
      <c r="AD497" s="281"/>
      <c r="AE497" s="281"/>
    </row>
    <row r="498" spans="15:31">
      <c r="O498" s="281"/>
      <c r="P498" s="281"/>
      <c r="Q498" s="281"/>
      <c r="R498" s="281"/>
      <c r="S498" s="281"/>
      <c r="T498" s="281"/>
      <c r="U498" s="281"/>
      <c r="V498" s="281"/>
      <c r="W498" s="281"/>
      <c r="X498" s="281"/>
      <c r="Y498" s="281"/>
      <c r="Z498" s="281"/>
      <c r="AA498" s="281"/>
      <c r="AB498" s="281"/>
      <c r="AC498" s="281"/>
      <c r="AD498" s="281"/>
      <c r="AE498" s="281"/>
    </row>
    <row r="499" spans="15:31">
      <c r="O499" s="281"/>
      <c r="P499" s="281"/>
      <c r="Q499" s="281"/>
      <c r="R499" s="281"/>
      <c r="S499" s="281"/>
      <c r="T499" s="281"/>
      <c r="U499" s="281"/>
      <c r="V499" s="281"/>
      <c r="W499" s="281"/>
      <c r="X499" s="281"/>
      <c r="Y499" s="281"/>
      <c r="Z499" s="281"/>
      <c r="AA499" s="281"/>
      <c r="AB499" s="281"/>
      <c r="AC499" s="281"/>
      <c r="AD499" s="281"/>
      <c r="AE499" s="281"/>
    </row>
    <row r="500" spans="15:31">
      <c r="O500" s="281"/>
      <c r="P500" s="281"/>
      <c r="Q500" s="281"/>
      <c r="R500" s="281"/>
      <c r="S500" s="281"/>
      <c r="T500" s="281"/>
      <c r="U500" s="281"/>
      <c r="V500" s="281"/>
      <c r="W500" s="281"/>
      <c r="X500" s="281"/>
      <c r="Y500" s="281"/>
      <c r="Z500" s="281"/>
      <c r="AA500" s="281"/>
      <c r="AB500" s="281"/>
      <c r="AC500" s="281"/>
      <c r="AD500" s="281"/>
      <c r="AE500" s="281"/>
    </row>
    <row r="501" spans="15:31">
      <c r="O501" s="281"/>
      <c r="P501" s="281"/>
      <c r="Q501" s="281"/>
      <c r="R501" s="281"/>
      <c r="S501" s="281"/>
      <c r="T501" s="281"/>
      <c r="U501" s="281"/>
      <c r="V501" s="281"/>
      <c r="W501" s="281"/>
      <c r="X501" s="281"/>
      <c r="Y501" s="281"/>
      <c r="Z501" s="281"/>
      <c r="AA501" s="281"/>
      <c r="AB501" s="281"/>
      <c r="AC501" s="281"/>
      <c r="AD501" s="281"/>
      <c r="AE501" s="281"/>
    </row>
    <row r="502" spans="15:31">
      <c r="O502" s="281"/>
      <c r="P502" s="281"/>
      <c r="Q502" s="281"/>
      <c r="R502" s="281"/>
      <c r="S502" s="281"/>
      <c r="T502" s="281"/>
      <c r="U502" s="281"/>
      <c r="V502" s="281"/>
      <c r="W502" s="281"/>
      <c r="X502" s="281"/>
      <c r="Y502" s="281"/>
      <c r="Z502" s="281"/>
      <c r="AA502" s="281"/>
      <c r="AB502" s="281"/>
      <c r="AC502" s="281"/>
      <c r="AD502" s="281"/>
      <c r="AE502" s="281"/>
    </row>
    <row r="503" spans="15:31">
      <c r="O503" s="281"/>
      <c r="P503" s="281"/>
      <c r="Q503" s="281"/>
      <c r="R503" s="281"/>
      <c r="S503" s="281"/>
      <c r="T503" s="281"/>
      <c r="U503" s="281"/>
      <c r="V503" s="281"/>
      <c r="W503" s="281"/>
      <c r="X503" s="281"/>
      <c r="Y503" s="281"/>
      <c r="Z503" s="281"/>
      <c r="AA503" s="281"/>
      <c r="AB503" s="281"/>
      <c r="AC503" s="281"/>
      <c r="AD503" s="281"/>
      <c r="AE503" s="281"/>
    </row>
    <row r="504" spans="15:31">
      <c r="O504" s="281"/>
      <c r="P504" s="281"/>
      <c r="Q504" s="281"/>
      <c r="R504" s="281"/>
      <c r="S504" s="281"/>
      <c r="T504" s="281"/>
      <c r="U504" s="281"/>
      <c r="V504" s="281"/>
      <c r="W504" s="281"/>
      <c r="X504" s="281"/>
      <c r="Y504" s="281"/>
      <c r="Z504" s="281"/>
      <c r="AA504" s="281"/>
      <c r="AB504" s="281"/>
      <c r="AC504" s="281"/>
      <c r="AD504" s="281"/>
      <c r="AE504" s="281"/>
    </row>
    <row r="505" spans="15:31">
      <c r="O505" s="281"/>
      <c r="P505" s="281"/>
      <c r="Q505" s="281"/>
      <c r="R505" s="281"/>
      <c r="S505" s="281"/>
      <c r="T505" s="281"/>
      <c r="U505" s="281"/>
      <c r="V505" s="281"/>
      <c r="W505" s="281"/>
      <c r="X505" s="281"/>
      <c r="Y505" s="281"/>
      <c r="Z505" s="281"/>
      <c r="AA505" s="281"/>
      <c r="AB505" s="281"/>
      <c r="AC505" s="281"/>
      <c r="AD505" s="281"/>
      <c r="AE505" s="281"/>
    </row>
    <row r="506" spans="15:31">
      <c r="O506" s="281"/>
      <c r="P506" s="281"/>
      <c r="Q506" s="281"/>
      <c r="R506" s="281"/>
      <c r="S506" s="281"/>
      <c r="T506" s="281"/>
      <c r="U506" s="281"/>
      <c r="V506" s="281"/>
      <c r="W506" s="281"/>
      <c r="X506" s="281"/>
      <c r="Y506" s="281"/>
      <c r="Z506" s="281"/>
      <c r="AA506" s="281"/>
      <c r="AB506" s="281"/>
      <c r="AC506" s="281"/>
      <c r="AD506" s="281"/>
      <c r="AE506" s="281"/>
    </row>
    <row r="507" spans="15:31">
      <c r="O507" s="281"/>
      <c r="P507" s="281"/>
      <c r="Q507" s="281"/>
      <c r="R507" s="281"/>
      <c r="S507" s="281"/>
      <c r="T507" s="281"/>
      <c r="U507" s="281"/>
      <c r="V507" s="281"/>
      <c r="W507" s="281"/>
      <c r="X507" s="281"/>
      <c r="Y507" s="281"/>
      <c r="Z507" s="281"/>
      <c r="AA507" s="281"/>
      <c r="AB507" s="281"/>
      <c r="AC507" s="281"/>
      <c r="AD507" s="281"/>
      <c r="AE507" s="281"/>
    </row>
    <row r="508" spans="15:31">
      <c r="O508" s="281"/>
      <c r="P508" s="281"/>
      <c r="Q508" s="281"/>
      <c r="R508" s="281"/>
      <c r="S508" s="281"/>
      <c r="T508" s="281"/>
      <c r="U508" s="281"/>
      <c r="V508" s="281"/>
      <c r="W508" s="281"/>
      <c r="X508" s="281"/>
      <c r="Y508" s="281"/>
      <c r="Z508" s="281"/>
      <c r="AA508" s="281"/>
      <c r="AB508" s="281"/>
      <c r="AC508" s="281"/>
      <c r="AD508" s="281"/>
      <c r="AE508" s="281"/>
    </row>
    <row r="509" spans="15:31">
      <c r="O509" s="281"/>
      <c r="P509" s="281"/>
      <c r="Q509" s="281"/>
      <c r="R509" s="281"/>
      <c r="S509" s="281"/>
      <c r="T509" s="281"/>
      <c r="U509" s="281"/>
      <c r="V509" s="281"/>
      <c r="W509" s="281"/>
      <c r="X509" s="281"/>
      <c r="Y509" s="281"/>
      <c r="Z509" s="281"/>
      <c r="AA509" s="281"/>
      <c r="AB509" s="281"/>
      <c r="AC509" s="281"/>
      <c r="AD509" s="281"/>
      <c r="AE509" s="281"/>
    </row>
    <row r="510" spans="15:31">
      <c r="O510" s="281"/>
      <c r="P510" s="281"/>
      <c r="Q510" s="281"/>
      <c r="R510" s="281"/>
      <c r="S510" s="281"/>
      <c r="T510" s="281"/>
      <c r="U510" s="281"/>
      <c r="V510" s="281"/>
      <c r="W510" s="281"/>
      <c r="X510" s="281"/>
      <c r="Y510" s="281"/>
      <c r="Z510" s="281"/>
      <c r="AA510" s="281"/>
      <c r="AB510" s="281"/>
      <c r="AC510" s="281"/>
      <c r="AD510" s="281"/>
      <c r="AE510" s="281"/>
    </row>
    <row r="511" spans="15:31">
      <c r="O511" s="281"/>
      <c r="P511" s="281"/>
      <c r="Q511" s="281"/>
      <c r="R511" s="281"/>
      <c r="S511" s="281"/>
      <c r="T511" s="281"/>
      <c r="U511" s="281"/>
      <c r="V511" s="281"/>
      <c r="W511" s="281"/>
      <c r="X511" s="281"/>
      <c r="Y511" s="281"/>
      <c r="Z511" s="281"/>
      <c r="AA511" s="281"/>
      <c r="AB511" s="281"/>
      <c r="AC511" s="281"/>
      <c r="AD511" s="281"/>
      <c r="AE511" s="281"/>
    </row>
    <row r="512" spans="15:31">
      <c r="O512" s="281"/>
      <c r="P512" s="281"/>
      <c r="Q512" s="281"/>
      <c r="R512" s="281"/>
      <c r="S512" s="281"/>
      <c r="T512" s="281"/>
      <c r="U512" s="281"/>
      <c r="V512" s="281"/>
      <c r="W512" s="281"/>
      <c r="X512" s="281"/>
      <c r="Y512" s="281"/>
      <c r="Z512" s="281"/>
      <c r="AA512" s="281"/>
      <c r="AB512" s="281"/>
      <c r="AC512" s="281"/>
      <c r="AD512" s="281"/>
      <c r="AE512" s="281"/>
    </row>
    <row r="513" spans="15:31">
      <c r="O513" s="281"/>
      <c r="P513" s="281"/>
      <c r="Q513" s="281"/>
      <c r="R513" s="281"/>
      <c r="S513" s="281"/>
      <c r="T513" s="281"/>
      <c r="U513" s="281"/>
      <c r="V513" s="281"/>
      <c r="W513" s="281"/>
      <c r="X513" s="281"/>
      <c r="Y513" s="281"/>
      <c r="Z513" s="281"/>
      <c r="AA513" s="281"/>
      <c r="AB513" s="281"/>
      <c r="AC513" s="281"/>
      <c r="AD513" s="281"/>
      <c r="AE513" s="281"/>
    </row>
    <row r="514" spans="15:31">
      <c r="O514" s="281"/>
      <c r="P514" s="281"/>
      <c r="Q514" s="281"/>
      <c r="R514" s="281"/>
      <c r="S514" s="281"/>
      <c r="T514" s="281"/>
      <c r="U514" s="281"/>
      <c r="V514" s="281"/>
      <c r="W514" s="281"/>
      <c r="X514" s="281"/>
      <c r="Y514" s="281"/>
      <c r="Z514" s="281"/>
      <c r="AA514" s="281"/>
      <c r="AB514" s="281"/>
      <c r="AC514" s="281"/>
      <c r="AD514" s="281"/>
      <c r="AE514" s="281"/>
    </row>
    <row r="515" spans="15:31">
      <c r="O515" s="281"/>
      <c r="P515" s="281"/>
      <c r="Q515" s="281"/>
      <c r="R515" s="281"/>
      <c r="S515" s="281"/>
      <c r="T515" s="281"/>
      <c r="U515" s="281"/>
      <c r="V515" s="281"/>
      <c r="W515" s="281"/>
      <c r="X515" s="281"/>
      <c r="Y515" s="281"/>
      <c r="Z515" s="281"/>
      <c r="AA515" s="281"/>
      <c r="AB515" s="281"/>
      <c r="AC515" s="281"/>
      <c r="AD515" s="281"/>
      <c r="AE515" s="281"/>
    </row>
    <row r="516" spans="15:31">
      <c r="O516" s="281"/>
      <c r="P516" s="281"/>
      <c r="Q516" s="281"/>
      <c r="R516" s="281"/>
      <c r="S516" s="281"/>
      <c r="T516" s="281"/>
      <c r="U516" s="281"/>
      <c r="V516" s="281"/>
      <c r="W516" s="281"/>
      <c r="X516" s="281"/>
      <c r="Y516" s="281"/>
      <c r="Z516" s="281"/>
      <c r="AA516" s="281"/>
      <c r="AB516" s="281"/>
      <c r="AC516" s="281"/>
      <c r="AD516" s="281"/>
      <c r="AE516" s="281"/>
    </row>
    <row r="517" spans="15:31">
      <c r="O517" s="281"/>
      <c r="P517" s="281"/>
      <c r="Q517" s="281"/>
      <c r="R517" s="281"/>
      <c r="S517" s="281"/>
      <c r="T517" s="281"/>
      <c r="U517" s="281"/>
      <c r="V517" s="281"/>
      <c r="W517" s="281"/>
      <c r="X517" s="281"/>
      <c r="Y517" s="281"/>
      <c r="Z517" s="281"/>
      <c r="AA517" s="281"/>
      <c r="AB517" s="281"/>
      <c r="AC517" s="281"/>
      <c r="AD517" s="281"/>
      <c r="AE517" s="281"/>
    </row>
    <row r="518" spans="15:31">
      <c r="O518" s="281"/>
      <c r="P518" s="281"/>
      <c r="Q518" s="281"/>
      <c r="R518" s="281"/>
      <c r="S518" s="281"/>
      <c r="T518" s="281"/>
      <c r="U518" s="281"/>
      <c r="V518" s="281"/>
      <c r="W518" s="281"/>
      <c r="X518" s="281"/>
      <c r="Y518" s="281"/>
      <c r="Z518" s="281"/>
      <c r="AA518" s="281"/>
      <c r="AB518" s="281"/>
      <c r="AC518" s="281"/>
      <c r="AD518" s="281"/>
      <c r="AE518" s="281"/>
    </row>
    <row r="519" spans="15:31">
      <c r="O519" s="281"/>
      <c r="P519" s="281"/>
      <c r="Q519" s="281"/>
      <c r="R519" s="281"/>
      <c r="S519" s="281"/>
      <c r="T519" s="281"/>
      <c r="U519" s="281"/>
      <c r="V519" s="281"/>
      <c r="W519" s="281"/>
      <c r="X519" s="281"/>
      <c r="Y519" s="281"/>
      <c r="Z519" s="281"/>
      <c r="AA519" s="281"/>
      <c r="AB519" s="281"/>
      <c r="AC519" s="281"/>
      <c r="AD519" s="281"/>
      <c r="AE519" s="281"/>
    </row>
    <row r="520" spans="15:31">
      <c r="O520" s="281"/>
      <c r="P520" s="281"/>
      <c r="Q520" s="281"/>
      <c r="R520" s="281"/>
      <c r="S520" s="281"/>
      <c r="T520" s="281"/>
      <c r="U520" s="281"/>
      <c r="V520" s="281"/>
      <c r="W520" s="281"/>
      <c r="X520" s="281"/>
      <c r="Y520" s="281"/>
      <c r="Z520" s="281"/>
      <c r="AA520" s="281"/>
      <c r="AB520" s="281"/>
      <c r="AC520" s="281"/>
      <c r="AD520" s="281"/>
      <c r="AE520" s="281"/>
    </row>
    <row r="521" spans="15:31">
      <c r="O521" s="281"/>
      <c r="P521" s="281"/>
      <c r="Q521" s="281"/>
      <c r="R521" s="281"/>
      <c r="S521" s="281"/>
      <c r="T521" s="281"/>
      <c r="U521" s="281"/>
      <c r="V521" s="281"/>
      <c r="W521" s="281"/>
      <c r="X521" s="281"/>
      <c r="Y521" s="281"/>
      <c r="Z521" s="281"/>
      <c r="AA521" s="281"/>
      <c r="AB521" s="281"/>
      <c r="AC521" s="281"/>
      <c r="AD521" s="281"/>
      <c r="AE521" s="281"/>
    </row>
    <row r="522" spans="15:31">
      <c r="O522" s="281"/>
      <c r="P522" s="281"/>
      <c r="Q522" s="281"/>
      <c r="R522" s="281"/>
      <c r="S522" s="281"/>
      <c r="T522" s="281"/>
      <c r="U522" s="281"/>
      <c r="V522" s="281"/>
      <c r="W522" s="281"/>
      <c r="X522" s="281"/>
      <c r="Y522" s="281"/>
      <c r="Z522" s="281"/>
      <c r="AA522" s="281"/>
      <c r="AB522" s="281"/>
      <c r="AC522" s="281"/>
      <c r="AD522" s="281"/>
      <c r="AE522" s="281"/>
    </row>
    <row r="523" spans="15:31">
      <c r="O523" s="281"/>
      <c r="P523" s="281"/>
      <c r="Q523" s="281"/>
      <c r="R523" s="281"/>
      <c r="S523" s="281"/>
      <c r="T523" s="281"/>
      <c r="U523" s="281"/>
      <c r="V523" s="281"/>
      <c r="W523" s="281"/>
      <c r="X523" s="281"/>
      <c r="Y523" s="281"/>
      <c r="Z523" s="281"/>
      <c r="AA523" s="281"/>
      <c r="AB523" s="281"/>
      <c r="AC523" s="281"/>
      <c r="AD523" s="281"/>
      <c r="AE523" s="281"/>
    </row>
    <row r="524" spans="15:31">
      <c r="O524" s="281"/>
      <c r="P524" s="281"/>
      <c r="Q524" s="281"/>
      <c r="R524" s="281"/>
      <c r="S524" s="281"/>
      <c r="T524" s="281"/>
      <c r="U524" s="281"/>
      <c r="V524" s="281"/>
      <c r="W524" s="281"/>
      <c r="X524" s="281"/>
      <c r="Y524" s="281"/>
      <c r="Z524" s="281"/>
      <c r="AA524" s="281"/>
      <c r="AB524" s="281"/>
      <c r="AC524" s="281"/>
      <c r="AD524" s="281"/>
      <c r="AE524" s="281"/>
    </row>
    <row r="525" spans="15:31">
      <c r="O525" s="281"/>
      <c r="P525" s="281"/>
      <c r="Q525" s="281"/>
      <c r="R525" s="281"/>
      <c r="S525" s="281"/>
      <c r="T525" s="281"/>
      <c r="U525" s="281"/>
      <c r="V525" s="281"/>
      <c r="W525" s="281"/>
      <c r="X525" s="281"/>
      <c r="Y525" s="281"/>
      <c r="Z525" s="281"/>
      <c r="AA525" s="281"/>
      <c r="AB525" s="281"/>
      <c r="AC525" s="281"/>
      <c r="AD525" s="281"/>
      <c r="AE525" s="281"/>
    </row>
    <row r="526" spans="15:31">
      <c r="O526" s="281"/>
      <c r="P526" s="281"/>
      <c r="Q526" s="281"/>
      <c r="R526" s="281"/>
      <c r="S526" s="281"/>
      <c r="T526" s="281"/>
      <c r="U526" s="281"/>
      <c r="V526" s="281"/>
      <c r="W526" s="281"/>
      <c r="X526" s="281"/>
      <c r="Y526" s="281"/>
      <c r="Z526" s="281"/>
      <c r="AA526" s="281"/>
      <c r="AB526" s="281"/>
      <c r="AC526" s="281"/>
      <c r="AD526" s="281"/>
      <c r="AE526" s="281"/>
    </row>
    <row r="527" spans="15:31">
      <c r="O527" s="281"/>
      <c r="P527" s="281"/>
      <c r="Q527" s="281"/>
      <c r="R527" s="281"/>
      <c r="S527" s="281"/>
      <c r="T527" s="281"/>
      <c r="U527" s="281"/>
      <c r="V527" s="281"/>
      <c r="W527" s="281"/>
      <c r="X527" s="281"/>
      <c r="Y527" s="281"/>
      <c r="Z527" s="281"/>
      <c r="AA527" s="281"/>
      <c r="AB527" s="281"/>
      <c r="AC527" s="281"/>
      <c r="AD527" s="281"/>
      <c r="AE527" s="281"/>
    </row>
    <row r="528" spans="15:31">
      <c r="O528" s="281"/>
      <c r="P528" s="281"/>
      <c r="Q528" s="281"/>
      <c r="R528" s="281"/>
      <c r="S528" s="281"/>
      <c r="T528" s="281"/>
      <c r="U528" s="281"/>
      <c r="V528" s="281"/>
      <c r="W528" s="281"/>
      <c r="X528" s="281"/>
      <c r="Y528" s="281"/>
      <c r="Z528" s="281"/>
      <c r="AA528" s="281"/>
      <c r="AB528" s="281"/>
      <c r="AC528" s="281"/>
      <c r="AD528" s="281"/>
      <c r="AE528" s="281"/>
    </row>
    <row r="529" spans="15:31">
      <c r="O529" s="281"/>
      <c r="P529" s="281"/>
      <c r="Q529" s="281"/>
      <c r="R529" s="281"/>
      <c r="S529" s="281"/>
      <c r="T529" s="281"/>
      <c r="U529" s="281"/>
      <c r="V529" s="281"/>
      <c r="W529" s="281"/>
      <c r="X529" s="281"/>
      <c r="Y529" s="281"/>
      <c r="Z529" s="281"/>
      <c r="AA529" s="281"/>
      <c r="AB529" s="281"/>
      <c r="AC529" s="281"/>
      <c r="AD529" s="281"/>
      <c r="AE529" s="281"/>
    </row>
    <row r="530" spans="15:31">
      <c r="O530" s="281"/>
      <c r="P530" s="281"/>
      <c r="Q530" s="281"/>
      <c r="R530" s="281"/>
      <c r="S530" s="281"/>
      <c r="T530" s="281"/>
      <c r="U530" s="281"/>
      <c r="V530" s="281"/>
      <c r="W530" s="281"/>
      <c r="X530" s="281"/>
      <c r="Y530" s="281"/>
      <c r="Z530" s="281"/>
      <c r="AA530" s="281"/>
      <c r="AB530" s="281"/>
      <c r="AC530" s="281"/>
      <c r="AD530" s="281"/>
      <c r="AE530" s="281"/>
    </row>
    <row r="531" spans="15:31">
      <c r="O531" s="281"/>
      <c r="P531" s="281"/>
      <c r="Q531" s="281"/>
      <c r="R531" s="281"/>
      <c r="S531" s="281"/>
      <c r="T531" s="281"/>
      <c r="U531" s="281"/>
      <c r="V531" s="281"/>
      <c r="W531" s="281"/>
      <c r="X531" s="281"/>
      <c r="Y531" s="281"/>
      <c r="Z531" s="281"/>
      <c r="AA531" s="281"/>
      <c r="AB531" s="281"/>
      <c r="AC531" s="281"/>
      <c r="AD531" s="281"/>
      <c r="AE531" s="281"/>
    </row>
    <row r="532" spans="15:31">
      <c r="O532" s="281"/>
      <c r="P532" s="281"/>
      <c r="Q532" s="281"/>
      <c r="R532" s="281"/>
      <c r="S532" s="281"/>
      <c r="T532" s="281"/>
      <c r="U532" s="281"/>
      <c r="V532" s="281"/>
      <c r="W532" s="281"/>
      <c r="X532" s="281"/>
      <c r="Y532" s="281"/>
      <c r="Z532" s="281"/>
      <c r="AA532" s="281"/>
      <c r="AB532" s="281"/>
      <c r="AC532" s="281"/>
      <c r="AD532" s="281"/>
      <c r="AE532" s="281"/>
    </row>
    <row r="533" spans="15:31">
      <c r="O533" s="281"/>
      <c r="P533" s="281"/>
      <c r="Q533" s="281"/>
      <c r="R533" s="281"/>
      <c r="S533" s="281"/>
      <c r="T533" s="281"/>
      <c r="U533" s="281"/>
      <c r="V533" s="281"/>
      <c r="W533" s="281"/>
      <c r="X533" s="281"/>
      <c r="Y533" s="281"/>
      <c r="Z533" s="281"/>
      <c r="AA533" s="281"/>
      <c r="AB533" s="281"/>
      <c r="AC533" s="281"/>
      <c r="AD533" s="281"/>
      <c r="AE533" s="281"/>
    </row>
    <row r="534" spans="15:31">
      <c r="O534" s="281"/>
      <c r="P534" s="281"/>
      <c r="Q534" s="281"/>
      <c r="R534" s="281"/>
      <c r="S534" s="281"/>
      <c r="T534" s="281"/>
      <c r="U534" s="281"/>
      <c r="V534" s="281"/>
      <c r="W534" s="281"/>
      <c r="X534" s="281"/>
      <c r="Y534" s="281"/>
      <c r="Z534" s="281"/>
      <c r="AA534" s="281"/>
      <c r="AB534" s="281"/>
      <c r="AC534" s="281"/>
      <c r="AD534" s="281"/>
      <c r="AE534" s="281"/>
    </row>
    <row r="535" spans="15:31">
      <c r="O535" s="281"/>
      <c r="P535" s="281"/>
      <c r="Q535" s="281"/>
      <c r="R535" s="281"/>
      <c r="S535" s="281"/>
      <c r="T535" s="281"/>
      <c r="U535" s="281"/>
      <c r="V535" s="281"/>
      <c r="W535" s="281"/>
      <c r="X535" s="281"/>
      <c r="Y535" s="281"/>
      <c r="Z535" s="281"/>
      <c r="AA535" s="281"/>
      <c r="AB535" s="281"/>
      <c r="AC535" s="281"/>
      <c r="AD535" s="281"/>
      <c r="AE535" s="281"/>
    </row>
    <row r="536" spans="15:31">
      <c r="O536" s="281"/>
      <c r="P536" s="281"/>
      <c r="Q536" s="281"/>
      <c r="R536" s="281"/>
      <c r="S536" s="281"/>
      <c r="T536" s="281"/>
      <c r="U536" s="281"/>
      <c r="V536" s="281"/>
      <c r="W536" s="281"/>
      <c r="X536" s="281"/>
      <c r="Y536" s="281"/>
      <c r="Z536" s="281"/>
      <c r="AA536" s="281"/>
      <c r="AB536" s="281"/>
      <c r="AC536" s="281"/>
      <c r="AD536" s="281"/>
      <c r="AE536" s="281"/>
    </row>
    <row r="537" spans="15:31">
      <c r="O537" s="281"/>
      <c r="P537" s="281"/>
      <c r="Q537" s="281"/>
      <c r="R537" s="281"/>
      <c r="S537" s="281"/>
      <c r="T537" s="281"/>
      <c r="U537" s="281"/>
      <c r="V537" s="281"/>
      <c r="W537" s="281"/>
      <c r="X537" s="281"/>
      <c r="Y537" s="281"/>
      <c r="Z537" s="281"/>
      <c r="AA537" s="281"/>
      <c r="AB537" s="281"/>
      <c r="AC537" s="281"/>
      <c r="AD537" s="281"/>
      <c r="AE537" s="281"/>
    </row>
    <row r="538" spans="15:31">
      <c r="O538" s="281"/>
      <c r="P538" s="281"/>
      <c r="Q538" s="281"/>
      <c r="R538" s="281"/>
      <c r="S538" s="281"/>
      <c r="T538" s="281"/>
      <c r="U538" s="281"/>
      <c r="V538" s="281"/>
      <c r="W538" s="281"/>
      <c r="X538" s="281"/>
      <c r="Y538" s="281"/>
      <c r="Z538" s="281"/>
      <c r="AA538" s="281"/>
      <c r="AB538" s="281"/>
      <c r="AC538" s="281"/>
      <c r="AD538" s="281"/>
      <c r="AE538" s="281"/>
    </row>
    <row r="539" spans="15:31">
      <c r="O539" s="281"/>
      <c r="P539" s="281"/>
      <c r="Q539" s="281"/>
      <c r="R539" s="281"/>
      <c r="S539" s="281"/>
      <c r="T539" s="281"/>
      <c r="U539" s="281"/>
      <c r="V539" s="281"/>
      <c r="W539" s="281"/>
      <c r="X539" s="281"/>
      <c r="Y539" s="281"/>
      <c r="Z539" s="281"/>
      <c r="AA539" s="281"/>
      <c r="AB539" s="281"/>
      <c r="AC539" s="281"/>
      <c r="AD539" s="281"/>
      <c r="AE539" s="281"/>
    </row>
    <row r="540" spans="15:31">
      <c r="O540" s="281"/>
      <c r="P540" s="281"/>
      <c r="Q540" s="281"/>
      <c r="R540" s="281"/>
      <c r="S540" s="281"/>
      <c r="T540" s="281"/>
      <c r="U540" s="281"/>
      <c r="V540" s="281"/>
      <c r="W540" s="281"/>
      <c r="X540" s="281"/>
      <c r="Y540" s="281"/>
      <c r="Z540" s="281"/>
      <c r="AA540" s="281"/>
      <c r="AB540" s="281"/>
      <c r="AC540" s="281"/>
      <c r="AD540" s="281"/>
      <c r="AE540" s="281"/>
    </row>
    <row r="541" spans="15:31">
      <c r="O541" s="281"/>
      <c r="P541" s="281"/>
      <c r="Q541" s="281"/>
      <c r="R541" s="281"/>
      <c r="S541" s="281"/>
      <c r="T541" s="281"/>
      <c r="U541" s="281"/>
      <c r="V541" s="281"/>
      <c r="W541" s="281"/>
      <c r="X541" s="281"/>
      <c r="Y541" s="281"/>
      <c r="Z541" s="281"/>
      <c r="AA541" s="281"/>
      <c r="AB541" s="281"/>
      <c r="AC541" s="281"/>
      <c r="AD541" s="281"/>
      <c r="AE541" s="281"/>
    </row>
    <row r="542" spans="15:31">
      <c r="O542" s="281"/>
      <c r="P542" s="281"/>
      <c r="Q542" s="281"/>
      <c r="R542" s="281"/>
      <c r="S542" s="281"/>
      <c r="T542" s="281"/>
      <c r="U542" s="281"/>
      <c r="V542" s="281"/>
      <c r="W542" s="281"/>
      <c r="X542" s="281"/>
      <c r="Y542" s="281"/>
      <c r="Z542" s="281"/>
      <c r="AA542" s="281"/>
      <c r="AB542" s="281"/>
      <c r="AC542" s="281"/>
      <c r="AD542" s="281"/>
      <c r="AE542" s="281"/>
    </row>
    <row r="543" spans="15:31">
      <c r="O543" s="281"/>
      <c r="P543" s="281"/>
      <c r="Q543" s="281"/>
      <c r="R543" s="281"/>
      <c r="S543" s="281"/>
      <c r="T543" s="281"/>
      <c r="U543" s="281"/>
      <c r="V543" s="281"/>
      <c r="W543" s="281"/>
      <c r="X543" s="281"/>
      <c r="Y543" s="281"/>
      <c r="Z543" s="281"/>
      <c r="AA543" s="281"/>
      <c r="AB543" s="281"/>
      <c r="AC543" s="281"/>
      <c r="AD543" s="281"/>
      <c r="AE543" s="281"/>
    </row>
    <row r="544" spans="15:31">
      <c r="O544" s="281"/>
      <c r="P544" s="281"/>
      <c r="Q544" s="281"/>
      <c r="R544" s="281"/>
      <c r="S544" s="281"/>
      <c r="T544" s="281"/>
      <c r="U544" s="281"/>
      <c r="V544" s="281"/>
      <c r="W544" s="281"/>
      <c r="X544" s="281"/>
      <c r="Y544" s="281"/>
      <c r="Z544" s="281"/>
      <c r="AA544" s="281"/>
      <c r="AB544" s="281"/>
      <c r="AC544" s="281"/>
      <c r="AD544" s="281"/>
      <c r="AE544" s="281"/>
    </row>
    <row r="545" spans="15:31">
      <c r="O545" s="281"/>
      <c r="P545" s="281"/>
      <c r="Q545" s="281"/>
      <c r="R545" s="281"/>
      <c r="S545" s="281"/>
      <c r="T545" s="281"/>
      <c r="U545" s="281"/>
      <c r="V545" s="281"/>
      <c r="W545" s="281"/>
      <c r="X545" s="281"/>
      <c r="Y545" s="281"/>
      <c r="Z545" s="281"/>
      <c r="AA545" s="281"/>
      <c r="AB545" s="281"/>
      <c r="AC545" s="281"/>
      <c r="AD545" s="281"/>
      <c r="AE545" s="281"/>
    </row>
    <row r="546" spans="15:31">
      <c r="O546" s="281"/>
      <c r="P546" s="281"/>
      <c r="Q546" s="281"/>
      <c r="R546" s="281"/>
      <c r="S546" s="281"/>
      <c r="T546" s="281"/>
      <c r="U546" s="281"/>
      <c r="V546" s="281"/>
      <c r="W546" s="281"/>
      <c r="X546" s="281"/>
      <c r="Y546" s="281"/>
      <c r="Z546" s="281"/>
      <c r="AA546" s="281"/>
      <c r="AB546" s="281"/>
      <c r="AC546" s="281"/>
      <c r="AD546" s="281"/>
      <c r="AE546" s="281"/>
    </row>
    <row r="547" spans="15:31">
      <c r="O547" s="281"/>
      <c r="P547" s="281"/>
      <c r="Q547" s="281"/>
      <c r="R547" s="281"/>
      <c r="S547" s="281"/>
      <c r="T547" s="281"/>
      <c r="U547" s="281"/>
      <c r="V547" s="281"/>
      <c r="W547" s="281"/>
      <c r="X547" s="281"/>
      <c r="Y547" s="281"/>
      <c r="Z547" s="281"/>
      <c r="AA547" s="281"/>
      <c r="AB547" s="281"/>
      <c r="AC547" s="281"/>
      <c r="AD547" s="281"/>
      <c r="AE547" s="281"/>
    </row>
    <row r="548" spans="15:31">
      <c r="O548" s="281"/>
      <c r="P548" s="281"/>
      <c r="Q548" s="281"/>
      <c r="R548" s="281"/>
      <c r="S548" s="281"/>
      <c r="T548" s="281"/>
      <c r="U548" s="281"/>
      <c r="V548" s="281"/>
      <c r="W548" s="281"/>
      <c r="X548" s="281"/>
      <c r="Y548" s="281"/>
      <c r="Z548" s="281"/>
      <c r="AA548" s="281"/>
      <c r="AB548" s="281"/>
      <c r="AC548" s="281"/>
      <c r="AD548" s="281"/>
      <c r="AE548" s="281"/>
    </row>
    <row r="549" spans="15:31">
      <c r="O549" s="281"/>
      <c r="P549" s="281"/>
      <c r="Q549" s="281"/>
      <c r="R549" s="281"/>
      <c r="S549" s="281"/>
      <c r="T549" s="281"/>
      <c r="U549" s="281"/>
      <c r="V549" s="281"/>
      <c r="W549" s="281"/>
      <c r="X549" s="281"/>
      <c r="Y549" s="281"/>
      <c r="Z549" s="281"/>
      <c r="AA549" s="281"/>
      <c r="AB549" s="281"/>
      <c r="AC549" s="281"/>
      <c r="AD549" s="281"/>
      <c r="AE549" s="281"/>
    </row>
    <row r="550" spans="15:31">
      <c r="O550" s="281"/>
      <c r="P550" s="281"/>
      <c r="Q550" s="281"/>
      <c r="R550" s="281"/>
      <c r="S550" s="281"/>
      <c r="T550" s="281"/>
      <c r="U550" s="281"/>
      <c r="V550" s="281"/>
      <c r="W550" s="281"/>
      <c r="X550" s="281"/>
      <c r="Y550" s="281"/>
      <c r="Z550" s="281"/>
      <c r="AA550" s="281"/>
      <c r="AB550" s="281"/>
      <c r="AC550" s="281"/>
      <c r="AD550" s="281"/>
      <c r="AE550" s="281"/>
    </row>
    <row r="551" spans="15:31">
      <c r="O551" s="281"/>
      <c r="P551" s="281"/>
      <c r="Q551" s="281"/>
      <c r="R551" s="281"/>
      <c r="S551" s="281"/>
      <c r="T551" s="281"/>
      <c r="U551" s="281"/>
      <c r="V551" s="281"/>
      <c r="W551" s="281"/>
      <c r="X551" s="281"/>
      <c r="Y551" s="281"/>
      <c r="Z551" s="281"/>
      <c r="AA551" s="281"/>
      <c r="AB551" s="281"/>
      <c r="AC551" s="281"/>
      <c r="AD551" s="281"/>
      <c r="AE551" s="281"/>
    </row>
    <row r="552" spans="15:31">
      <c r="O552" s="281"/>
      <c r="P552" s="281"/>
      <c r="Q552" s="281"/>
      <c r="R552" s="281"/>
      <c r="S552" s="281"/>
      <c r="T552" s="281"/>
      <c r="U552" s="281"/>
      <c r="V552" s="281"/>
      <c r="W552" s="281"/>
      <c r="X552" s="281"/>
      <c r="Y552" s="281"/>
      <c r="Z552" s="281"/>
      <c r="AA552" s="281"/>
      <c r="AB552" s="281"/>
      <c r="AC552" s="281"/>
      <c r="AD552" s="281"/>
      <c r="AE552" s="281"/>
    </row>
    <row r="553" spans="15:31">
      <c r="O553" s="281"/>
      <c r="P553" s="281"/>
      <c r="Q553" s="281"/>
      <c r="R553" s="281"/>
      <c r="S553" s="281"/>
      <c r="T553" s="281"/>
      <c r="U553" s="281"/>
      <c r="V553" s="281"/>
      <c r="W553" s="281"/>
      <c r="X553" s="281"/>
      <c r="Y553" s="281"/>
      <c r="Z553" s="281"/>
      <c r="AA553" s="281"/>
      <c r="AB553" s="281"/>
      <c r="AC553" s="281"/>
      <c r="AD553" s="281"/>
      <c r="AE553" s="281"/>
    </row>
    <row r="554" spans="15:31">
      <c r="O554" s="281"/>
      <c r="P554" s="281"/>
      <c r="Q554" s="281"/>
      <c r="R554" s="281"/>
      <c r="S554" s="281"/>
      <c r="T554" s="281"/>
      <c r="U554" s="281"/>
      <c r="V554" s="281"/>
      <c r="W554" s="281"/>
      <c r="X554" s="281"/>
      <c r="Y554" s="281"/>
      <c r="Z554" s="281"/>
      <c r="AA554" s="281"/>
      <c r="AB554" s="281"/>
      <c r="AC554" s="281"/>
      <c r="AD554" s="281"/>
      <c r="AE554" s="281"/>
    </row>
    <row r="555" spans="15:31">
      <c r="O555" s="281"/>
      <c r="P555" s="281"/>
      <c r="Q555" s="281"/>
      <c r="R555" s="281"/>
      <c r="S555" s="281"/>
      <c r="T555" s="281"/>
      <c r="U555" s="281"/>
      <c r="V555" s="281"/>
      <c r="W555" s="281"/>
      <c r="X555" s="281"/>
      <c r="Y555" s="281"/>
      <c r="Z555" s="281"/>
      <c r="AA555" s="281"/>
      <c r="AB555" s="281"/>
      <c r="AC555" s="281"/>
      <c r="AD555" s="281"/>
      <c r="AE555" s="281"/>
    </row>
    <row r="556" spans="15:31">
      <c r="O556" s="281"/>
      <c r="P556" s="281"/>
      <c r="Q556" s="281"/>
      <c r="R556" s="281"/>
      <c r="S556" s="281"/>
      <c r="T556" s="281"/>
      <c r="U556" s="281"/>
      <c r="V556" s="281"/>
      <c r="W556" s="281"/>
      <c r="X556" s="281"/>
      <c r="Y556" s="281"/>
      <c r="Z556" s="281"/>
      <c r="AA556" s="281"/>
      <c r="AB556" s="281"/>
      <c r="AC556" s="281"/>
      <c r="AD556" s="281"/>
      <c r="AE556" s="281"/>
    </row>
    <row r="557" spans="15:31">
      <c r="O557" s="281"/>
      <c r="P557" s="281"/>
      <c r="Q557" s="281"/>
      <c r="R557" s="281"/>
      <c r="S557" s="281"/>
      <c r="T557" s="281"/>
      <c r="U557" s="281"/>
      <c r="V557" s="281"/>
      <c r="W557" s="281"/>
      <c r="X557" s="281"/>
      <c r="Y557" s="281"/>
      <c r="Z557" s="281"/>
      <c r="AA557" s="281"/>
      <c r="AB557" s="281"/>
      <c r="AC557" s="281"/>
      <c r="AD557" s="281"/>
      <c r="AE557" s="281"/>
    </row>
    <row r="558" spans="15:31">
      <c r="O558" s="281"/>
      <c r="P558" s="281"/>
      <c r="Q558" s="281"/>
      <c r="R558" s="281"/>
      <c r="S558" s="281"/>
      <c r="T558" s="281"/>
      <c r="U558" s="281"/>
      <c r="V558" s="281"/>
      <c r="W558" s="281"/>
      <c r="X558" s="281"/>
      <c r="Y558" s="281"/>
      <c r="Z558" s="281"/>
      <c r="AA558" s="281"/>
      <c r="AB558" s="281"/>
      <c r="AC558" s="281"/>
      <c r="AD558" s="281"/>
      <c r="AE558" s="281"/>
    </row>
    <row r="559" spans="15:31">
      <c r="O559" s="281"/>
      <c r="P559" s="281"/>
      <c r="Q559" s="281"/>
      <c r="R559" s="281"/>
      <c r="S559" s="281"/>
      <c r="T559" s="281"/>
      <c r="U559" s="281"/>
      <c r="V559" s="281"/>
      <c r="W559" s="281"/>
      <c r="X559" s="281"/>
      <c r="Y559" s="281"/>
      <c r="Z559" s="281"/>
      <c r="AA559" s="281"/>
      <c r="AB559" s="281"/>
      <c r="AC559" s="281"/>
      <c r="AD559" s="281"/>
      <c r="AE559" s="281"/>
    </row>
    <row r="560" spans="15:31">
      <c r="O560" s="281"/>
      <c r="P560" s="281"/>
      <c r="Q560" s="281"/>
      <c r="R560" s="281"/>
      <c r="S560" s="281"/>
      <c r="T560" s="281"/>
      <c r="U560" s="281"/>
      <c r="V560" s="281"/>
      <c r="W560" s="281"/>
      <c r="X560" s="281"/>
      <c r="Y560" s="281"/>
      <c r="Z560" s="281"/>
      <c r="AA560" s="281"/>
      <c r="AB560" s="281"/>
      <c r="AC560" s="281"/>
      <c r="AD560" s="281"/>
      <c r="AE560" s="281"/>
    </row>
    <row r="561" spans="15:31">
      <c r="O561" s="281"/>
      <c r="P561" s="281"/>
      <c r="Q561" s="281"/>
      <c r="R561" s="281"/>
      <c r="S561" s="281"/>
      <c r="T561" s="281"/>
      <c r="U561" s="281"/>
      <c r="V561" s="281"/>
      <c r="W561" s="281"/>
      <c r="X561" s="281"/>
      <c r="Y561" s="281"/>
      <c r="Z561" s="281"/>
      <c r="AA561" s="281"/>
      <c r="AB561" s="281"/>
      <c r="AC561" s="281"/>
      <c r="AD561" s="281"/>
      <c r="AE561" s="281"/>
    </row>
    <row r="562" spans="15:31">
      <c r="O562" s="281"/>
      <c r="P562" s="281"/>
      <c r="Q562" s="281"/>
      <c r="R562" s="281"/>
      <c r="S562" s="281"/>
      <c r="T562" s="281"/>
      <c r="U562" s="281"/>
      <c r="V562" s="281"/>
      <c r="W562" s="281"/>
      <c r="X562" s="281"/>
      <c r="Y562" s="281"/>
      <c r="Z562" s="281"/>
      <c r="AA562" s="281"/>
      <c r="AB562" s="281"/>
      <c r="AC562" s="281"/>
      <c r="AD562" s="281"/>
      <c r="AE562" s="281"/>
    </row>
    <row r="563" spans="15:31">
      <c r="O563" s="281"/>
      <c r="P563" s="281"/>
      <c r="Q563" s="281"/>
      <c r="R563" s="281"/>
      <c r="S563" s="281"/>
      <c r="T563" s="281"/>
      <c r="U563" s="281"/>
      <c r="V563" s="281"/>
      <c r="W563" s="281"/>
      <c r="X563" s="281"/>
      <c r="Y563" s="281"/>
      <c r="Z563" s="281"/>
      <c r="AA563" s="281"/>
      <c r="AB563" s="281"/>
      <c r="AC563" s="281"/>
      <c r="AD563" s="281"/>
      <c r="AE563" s="281"/>
    </row>
    <row r="564" spans="15:31">
      <c r="O564" s="281"/>
      <c r="P564" s="281"/>
      <c r="Q564" s="281"/>
      <c r="R564" s="281"/>
      <c r="S564" s="281"/>
      <c r="T564" s="281"/>
      <c r="U564" s="281"/>
      <c r="V564" s="281"/>
      <c r="W564" s="281"/>
      <c r="X564" s="281"/>
      <c r="Y564" s="281"/>
      <c r="Z564" s="281"/>
      <c r="AA564" s="281"/>
      <c r="AB564" s="281"/>
      <c r="AC564" s="281"/>
      <c r="AD564" s="281"/>
      <c r="AE564" s="281"/>
    </row>
    <row r="565" spans="15:31">
      <c r="O565" s="281"/>
      <c r="P565" s="281"/>
      <c r="Q565" s="281"/>
      <c r="R565" s="281"/>
      <c r="S565" s="281"/>
      <c r="T565" s="281"/>
      <c r="U565" s="281"/>
      <c r="V565" s="281"/>
      <c r="W565" s="281"/>
      <c r="X565" s="281"/>
      <c r="Y565" s="281"/>
      <c r="Z565" s="281"/>
      <c r="AA565" s="281"/>
      <c r="AB565" s="281"/>
      <c r="AC565" s="281"/>
      <c r="AD565" s="281"/>
      <c r="AE565" s="281"/>
    </row>
    <row r="566" spans="15:31">
      <c r="O566" s="281"/>
      <c r="P566" s="281"/>
      <c r="Q566" s="281"/>
      <c r="R566" s="281"/>
      <c r="S566" s="281"/>
      <c r="T566" s="281"/>
      <c r="U566" s="281"/>
      <c r="V566" s="281"/>
      <c r="W566" s="281"/>
      <c r="X566" s="281"/>
      <c r="Y566" s="281"/>
      <c r="Z566" s="281"/>
      <c r="AA566" s="281"/>
      <c r="AB566" s="281"/>
      <c r="AC566" s="281"/>
      <c r="AD566" s="281"/>
      <c r="AE566" s="281"/>
    </row>
    <row r="567" spans="15:31">
      <c r="O567" s="281"/>
      <c r="P567" s="281"/>
      <c r="Q567" s="281"/>
      <c r="R567" s="281"/>
      <c r="S567" s="281"/>
      <c r="T567" s="281"/>
      <c r="U567" s="281"/>
      <c r="V567" s="281"/>
      <c r="W567" s="281"/>
      <c r="X567" s="281"/>
      <c r="Y567" s="281"/>
      <c r="Z567" s="281"/>
      <c r="AA567" s="281"/>
      <c r="AB567" s="281"/>
      <c r="AC567" s="281"/>
      <c r="AD567" s="281"/>
      <c r="AE567" s="281"/>
    </row>
    <row r="568" spans="15:31">
      <c r="O568" s="281"/>
      <c r="P568" s="281"/>
      <c r="Q568" s="281"/>
      <c r="R568" s="281"/>
      <c r="S568" s="281"/>
      <c r="T568" s="281"/>
      <c r="U568" s="281"/>
      <c r="V568" s="281"/>
      <c r="W568" s="281"/>
      <c r="X568" s="281"/>
      <c r="Y568" s="281"/>
      <c r="Z568" s="281"/>
      <c r="AA568" s="281"/>
      <c r="AB568" s="281"/>
      <c r="AC568" s="281"/>
      <c r="AD568" s="281"/>
      <c r="AE568" s="281"/>
    </row>
    <row r="569" spans="15:31">
      <c r="O569" s="281"/>
      <c r="P569" s="281"/>
      <c r="Q569" s="281"/>
      <c r="R569" s="281"/>
      <c r="S569" s="281"/>
      <c r="T569" s="281"/>
      <c r="U569" s="281"/>
      <c r="V569" s="281"/>
      <c r="W569" s="281"/>
      <c r="X569" s="281"/>
      <c r="Y569" s="281"/>
      <c r="Z569" s="281"/>
      <c r="AA569" s="281"/>
      <c r="AB569" s="281"/>
      <c r="AC569" s="281"/>
      <c r="AD569" s="281"/>
      <c r="AE569" s="281"/>
    </row>
    <row r="570" spans="15:31">
      <c r="O570" s="281"/>
      <c r="P570" s="281"/>
      <c r="Q570" s="281"/>
      <c r="R570" s="281"/>
      <c r="S570" s="281"/>
      <c r="T570" s="281"/>
      <c r="U570" s="281"/>
      <c r="V570" s="281"/>
      <c r="W570" s="281"/>
      <c r="X570" s="281"/>
      <c r="Y570" s="281"/>
      <c r="Z570" s="281"/>
      <c r="AA570" s="281"/>
      <c r="AB570" s="281"/>
      <c r="AC570" s="281"/>
      <c r="AD570" s="281"/>
      <c r="AE570" s="281"/>
    </row>
    <row r="571" spans="15:31">
      <c r="O571" s="281"/>
      <c r="P571" s="281"/>
      <c r="Q571" s="281"/>
      <c r="R571" s="281"/>
      <c r="S571" s="281"/>
      <c r="T571" s="281"/>
      <c r="U571" s="281"/>
      <c r="V571" s="281"/>
      <c r="W571" s="281"/>
      <c r="X571" s="281"/>
      <c r="Y571" s="281"/>
      <c r="Z571" s="281"/>
      <c r="AA571" s="281"/>
      <c r="AB571" s="281"/>
      <c r="AC571" s="281"/>
      <c r="AD571" s="281"/>
      <c r="AE571" s="281"/>
    </row>
    <row r="572" spans="15:31">
      <c r="O572" s="281"/>
      <c r="P572" s="281"/>
      <c r="Q572" s="281"/>
      <c r="R572" s="281"/>
      <c r="S572" s="281"/>
      <c r="T572" s="281"/>
      <c r="U572" s="281"/>
      <c r="V572" s="281"/>
      <c r="W572" s="281"/>
      <c r="X572" s="281"/>
      <c r="Y572" s="281"/>
      <c r="Z572" s="281"/>
      <c r="AA572" s="281"/>
      <c r="AB572" s="281"/>
      <c r="AC572" s="281"/>
      <c r="AD572" s="281"/>
      <c r="AE572" s="281"/>
    </row>
    <row r="573" spans="15:31">
      <c r="O573" s="281"/>
      <c r="P573" s="281"/>
      <c r="Q573" s="281"/>
      <c r="R573" s="281"/>
      <c r="S573" s="281"/>
      <c r="T573" s="281"/>
      <c r="U573" s="281"/>
      <c r="V573" s="281"/>
      <c r="W573" s="281"/>
      <c r="X573" s="281"/>
      <c r="Y573" s="281"/>
      <c r="Z573" s="281"/>
      <c r="AA573" s="281"/>
      <c r="AB573" s="281"/>
      <c r="AC573" s="281"/>
      <c r="AD573" s="281"/>
      <c r="AE573" s="281"/>
    </row>
    <row r="574" spans="15:31">
      <c r="O574" s="281"/>
      <c r="P574" s="281"/>
      <c r="Q574" s="281"/>
      <c r="R574" s="281"/>
      <c r="S574" s="281"/>
      <c r="T574" s="281"/>
      <c r="U574" s="281"/>
      <c r="V574" s="281"/>
      <c r="W574" s="281"/>
      <c r="X574" s="281"/>
      <c r="Y574" s="281"/>
      <c r="Z574" s="281"/>
      <c r="AA574" s="281"/>
      <c r="AB574" s="281"/>
      <c r="AC574" s="281"/>
      <c r="AD574" s="281"/>
      <c r="AE574" s="281"/>
    </row>
    <row r="575" spans="15:31">
      <c r="O575" s="281"/>
      <c r="P575" s="281"/>
      <c r="Q575" s="281"/>
      <c r="R575" s="281"/>
      <c r="S575" s="281"/>
      <c r="T575" s="281"/>
      <c r="U575" s="281"/>
      <c r="V575" s="281"/>
      <c r="W575" s="281"/>
      <c r="X575" s="281"/>
      <c r="Y575" s="281"/>
      <c r="Z575" s="281"/>
      <c r="AA575" s="281"/>
      <c r="AB575" s="281"/>
      <c r="AC575" s="281"/>
      <c r="AD575" s="281"/>
      <c r="AE575" s="281"/>
    </row>
    <row r="576" spans="15:31">
      <c r="O576" s="281"/>
      <c r="P576" s="281"/>
      <c r="Q576" s="281"/>
      <c r="R576" s="281"/>
      <c r="S576" s="281"/>
      <c r="T576" s="281"/>
      <c r="U576" s="281"/>
      <c r="V576" s="281"/>
      <c r="W576" s="281"/>
      <c r="X576" s="281"/>
      <c r="Y576" s="281"/>
      <c r="Z576" s="281"/>
      <c r="AA576" s="281"/>
      <c r="AB576" s="281"/>
      <c r="AC576" s="281"/>
      <c r="AD576" s="281"/>
      <c r="AE576" s="281"/>
    </row>
    <row r="577" spans="15:31">
      <c r="O577" s="281"/>
      <c r="P577" s="281"/>
      <c r="Q577" s="281"/>
      <c r="R577" s="281"/>
      <c r="S577" s="281"/>
      <c r="T577" s="281"/>
      <c r="U577" s="281"/>
      <c r="V577" s="281"/>
      <c r="W577" s="281"/>
      <c r="X577" s="281"/>
      <c r="Y577" s="281"/>
      <c r="Z577" s="281"/>
      <c r="AA577" s="281"/>
      <c r="AB577" s="281"/>
      <c r="AC577" s="281"/>
      <c r="AD577" s="281"/>
      <c r="AE577" s="281"/>
    </row>
    <row r="578" spans="15:31">
      <c r="O578" s="281"/>
      <c r="P578" s="281"/>
      <c r="Q578" s="281"/>
      <c r="R578" s="281"/>
      <c r="S578" s="281"/>
      <c r="T578" s="281"/>
      <c r="U578" s="281"/>
      <c r="V578" s="281"/>
      <c r="W578" s="281"/>
      <c r="X578" s="281"/>
      <c r="Y578" s="281"/>
      <c r="Z578" s="281"/>
      <c r="AA578" s="281"/>
      <c r="AB578" s="281"/>
      <c r="AC578" s="281"/>
      <c r="AD578" s="281"/>
      <c r="AE578" s="281"/>
    </row>
    <row r="579" spans="15:31">
      <c r="O579" s="281"/>
      <c r="P579" s="281"/>
      <c r="Q579" s="281"/>
      <c r="R579" s="281"/>
      <c r="S579" s="281"/>
      <c r="T579" s="281"/>
      <c r="U579" s="281"/>
      <c r="V579" s="281"/>
      <c r="W579" s="281"/>
      <c r="X579" s="281"/>
      <c r="Y579" s="281"/>
      <c r="Z579" s="281"/>
      <c r="AA579" s="281"/>
      <c r="AB579" s="281"/>
      <c r="AC579" s="281"/>
      <c r="AD579" s="281"/>
      <c r="AE579" s="281"/>
    </row>
    <row r="580" spans="15:31">
      <c r="O580" s="281"/>
      <c r="P580" s="281"/>
      <c r="Q580" s="281"/>
      <c r="R580" s="281"/>
      <c r="S580" s="281"/>
      <c r="T580" s="281"/>
      <c r="U580" s="281"/>
      <c r="V580" s="281"/>
      <c r="W580" s="281"/>
      <c r="X580" s="281"/>
      <c r="Y580" s="281"/>
      <c r="Z580" s="281"/>
      <c r="AA580" s="281"/>
      <c r="AB580" s="281"/>
      <c r="AC580" s="281"/>
      <c r="AD580" s="281"/>
      <c r="AE580" s="281"/>
    </row>
    <row r="581" spans="15:31">
      <c r="O581" s="281"/>
      <c r="P581" s="281"/>
      <c r="Q581" s="281"/>
      <c r="R581" s="281"/>
      <c r="S581" s="281"/>
      <c r="T581" s="281"/>
      <c r="U581" s="281"/>
      <c r="V581" s="281"/>
      <c r="W581" s="281"/>
      <c r="X581" s="281"/>
      <c r="Y581" s="281"/>
      <c r="Z581" s="281"/>
      <c r="AA581" s="281"/>
      <c r="AB581" s="281"/>
      <c r="AC581" s="281"/>
      <c r="AD581" s="281"/>
      <c r="AE581" s="281"/>
    </row>
    <row r="582" spans="15:31">
      <c r="O582" s="281"/>
      <c r="P582" s="281"/>
      <c r="Q582" s="281"/>
      <c r="R582" s="281"/>
      <c r="S582" s="281"/>
      <c r="T582" s="281"/>
      <c r="U582" s="281"/>
      <c r="V582" s="281"/>
      <c r="W582" s="281"/>
      <c r="X582" s="281"/>
      <c r="Y582" s="281"/>
      <c r="Z582" s="281"/>
      <c r="AA582" s="281"/>
      <c r="AB582" s="281"/>
      <c r="AC582" s="281"/>
      <c r="AD582" s="281"/>
      <c r="AE582" s="281"/>
    </row>
    <row r="583" spans="15:31">
      <c r="O583" s="281"/>
      <c r="P583" s="281"/>
      <c r="Q583" s="281"/>
      <c r="R583" s="281"/>
      <c r="S583" s="281"/>
      <c r="T583" s="281"/>
      <c r="U583" s="281"/>
      <c r="V583" s="281"/>
      <c r="W583" s="281"/>
      <c r="X583" s="281"/>
      <c r="Y583" s="281"/>
      <c r="Z583" s="281"/>
      <c r="AA583" s="281"/>
      <c r="AB583" s="281"/>
      <c r="AC583" s="281"/>
      <c r="AD583" s="281"/>
      <c r="AE583" s="281"/>
    </row>
    <row r="584" spans="15:31">
      <c r="O584" s="281"/>
      <c r="P584" s="281"/>
      <c r="Q584" s="281"/>
      <c r="R584" s="281"/>
      <c r="S584" s="281"/>
      <c r="T584" s="281"/>
      <c r="U584" s="281"/>
      <c r="V584" s="281"/>
      <c r="W584" s="281"/>
      <c r="X584" s="281"/>
      <c r="Y584" s="281"/>
      <c r="Z584" s="281"/>
      <c r="AA584" s="281"/>
      <c r="AB584" s="281"/>
      <c r="AC584" s="281"/>
      <c r="AD584" s="281"/>
      <c r="AE584" s="281"/>
    </row>
    <row r="585" spans="15:31">
      <c r="O585" s="281"/>
      <c r="P585" s="281"/>
      <c r="Q585" s="281"/>
      <c r="R585" s="281"/>
      <c r="S585" s="281"/>
      <c r="T585" s="281"/>
      <c r="U585" s="281"/>
      <c r="V585" s="281"/>
      <c r="W585" s="281"/>
      <c r="X585" s="281"/>
      <c r="Y585" s="281"/>
      <c r="Z585" s="281"/>
      <c r="AA585" s="281"/>
      <c r="AB585" s="281"/>
      <c r="AC585" s="281"/>
      <c r="AD585" s="281"/>
      <c r="AE585" s="281"/>
    </row>
    <row r="586" spans="15:31">
      <c r="O586" s="281"/>
      <c r="P586" s="281"/>
      <c r="Q586" s="281"/>
      <c r="R586" s="281"/>
      <c r="S586" s="281"/>
      <c r="T586" s="281"/>
      <c r="U586" s="281"/>
      <c r="V586" s="281"/>
      <c r="W586" s="281"/>
      <c r="X586" s="281"/>
      <c r="Y586" s="281"/>
      <c r="Z586" s="281"/>
      <c r="AA586" s="281"/>
      <c r="AB586" s="281"/>
      <c r="AC586" s="281"/>
      <c r="AD586" s="281"/>
      <c r="AE586" s="281"/>
    </row>
    <row r="587" spans="15:31">
      <c r="O587" s="281"/>
      <c r="P587" s="281"/>
      <c r="Q587" s="281"/>
      <c r="R587" s="281"/>
      <c r="S587" s="281"/>
      <c r="T587" s="281"/>
      <c r="U587" s="281"/>
      <c r="V587" s="281"/>
      <c r="W587" s="281"/>
      <c r="X587" s="281"/>
      <c r="Y587" s="281"/>
      <c r="Z587" s="281"/>
      <c r="AA587" s="281"/>
      <c r="AB587" s="281"/>
      <c r="AC587" s="281"/>
      <c r="AD587" s="281"/>
      <c r="AE587" s="281"/>
    </row>
    <row r="588" spans="15:31">
      <c r="O588" s="281"/>
      <c r="P588" s="281"/>
      <c r="Q588" s="281"/>
      <c r="R588" s="281"/>
      <c r="S588" s="281"/>
      <c r="T588" s="281"/>
      <c r="U588" s="281"/>
      <c r="V588" s="281"/>
      <c r="W588" s="281"/>
      <c r="X588" s="281"/>
      <c r="Y588" s="281"/>
      <c r="Z588" s="281"/>
      <c r="AA588" s="281"/>
      <c r="AB588" s="281"/>
      <c r="AC588" s="281"/>
      <c r="AD588" s="281"/>
      <c r="AE588" s="281"/>
    </row>
    <row r="589" spans="15:31">
      <c r="O589" s="281"/>
      <c r="P589" s="281"/>
      <c r="Q589" s="281"/>
      <c r="R589" s="281"/>
      <c r="S589" s="281"/>
      <c r="T589" s="281"/>
      <c r="U589" s="281"/>
      <c r="V589" s="281"/>
      <c r="W589" s="281"/>
      <c r="X589" s="281"/>
      <c r="Y589" s="281"/>
      <c r="Z589" s="281"/>
      <c r="AA589" s="281"/>
      <c r="AB589" s="281"/>
      <c r="AC589" s="281"/>
      <c r="AD589" s="281"/>
      <c r="AE589" s="281"/>
    </row>
    <row r="590" spans="15:31">
      <c r="O590" s="281"/>
      <c r="P590" s="281"/>
      <c r="Q590" s="281"/>
      <c r="R590" s="281"/>
      <c r="S590" s="281"/>
      <c r="T590" s="281"/>
      <c r="U590" s="281"/>
      <c r="V590" s="281"/>
      <c r="W590" s="281"/>
      <c r="X590" s="281"/>
      <c r="Y590" s="281"/>
      <c r="Z590" s="281"/>
      <c r="AA590" s="281"/>
      <c r="AB590" s="281"/>
      <c r="AC590" s="281"/>
      <c r="AD590" s="281"/>
      <c r="AE590" s="281"/>
    </row>
    <row r="591" spans="15:31">
      <c r="O591" s="281"/>
      <c r="P591" s="281"/>
      <c r="Q591" s="281"/>
      <c r="R591" s="281"/>
      <c r="S591" s="281"/>
      <c r="T591" s="281"/>
      <c r="U591" s="281"/>
      <c r="V591" s="281"/>
      <c r="W591" s="281"/>
      <c r="X591" s="281"/>
      <c r="Y591" s="281"/>
      <c r="Z591" s="281"/>
      <c r="AA591" s="281"/>
      <c r="AB591" s="281"/>
      <c r="AC591" s="281"/>
      <c r="AD591" s="281"/>
      <c r="AE591" s="281"/>
    </row>
    <row r="592" spans="15:31">
      <c r="O592" s="281"/>
      <c r="P592" s="281"/>
      <c r="Q592" s="281"/>
      <c r="R592" s="281"/>
      <c r="S592" s="281"/>
      <c r="T592" s="281"/>
      <c r="U592" s="281"/>
      <c r="V592" s="281"/>
      <c r="W592" s="281"/>
      <c r="X592" s="281"/>
      <c r="Y592" s="281"/>
      <c r="Z592" s="281"/>
      <c r="AA592" s="281"/>
      <c r="AB592" s="281"/>
      <c r="AC592" s="281"/>
      <c r="AD592" s="281"/>
      <c r="AE592" s="281"/>
    </row>
    <row r="593" spans="15:31">
      <c r="O593" s="281"/>
      <c r="P593" s="281"/>
      <c r="Q593" s="281"/>
      <c r="R593" s="281"/>
      <c r="S593" s="281"/>
      <c r="T593" s="281"/>
      <c r="U593" s="281"/>
      <c r="V593" s="281"/>
      <c r="W593" s="281"/>
      <c r="X593" s="281"/>
      <c r="Y593" s="281"/>
      <c r="Z593" s="281"/>
      <c r="AA593" s="281"/>
      <c r="AB593" s="281"/>
      <c r="AC593" s="281"/>
      <c r="AD593" s="281"/>
      <c r="AE593" s="281"/>
    </row>
    <row r="594" spans="15:31">
      <c r="O594" s="281"/>
      <c r="P594" s="281"/>
      <c r="Q594" s="281"/>
      <c r="R594" s="281"/>
      <c r="S594" s="281"/>
      <c r="T594" s="281"/>
      <c r="U594" s="281"/>
      <c r="V594" s="281"/>
      <c r="W594" s="281"/>
      <c r="X594" s="281"/>
      <c r="Y594" s="281"/>
      <c r="Z594" s="281"/>
      <c r="AA594" s="281"/>
      <c r="AB594" s="281"/>
      <c r="AC594" s="281"/>
      <c r="AD594" s="281"/>
      <c r="AE594" s="281"/>
    </row>
    <row r="595" spans="15:31">
      <c r="O595" s="281"/>
      <c r="P595" s="281"/>
      <c r="Q595" s="281"/>
      <c r="R595" s="281"/>
      <c r="S595" s="281"/>
      <c r="T595" s="281"/>
      <c r="U595" s="281"/>
      <c r="V595" s="281"/>
      <c r="W595" s="281"/>
      <c r="X595" s="281"/>
      <c r="Y595" s="281"/>
      <c r="Z595" s="281"/>
      <c r="AA595" s="281"/>
      <c r="AB595" s="281"/>
      <c r="AC595" s="281"/>
      <c r="AD595" s="281"/>
      <c r="AE595" s="281"/>
    </row>
    <row r="596" spans="15:31">
      <c r="O596" s="281"/>
      <c r="P596" s="281"/>
      <c r="Q596" s="281"/>
      <c r="R596" s="281"/>
      <c r="S596" s="281"/>
      <c r="T596" s="281"/>
      <c r="U596" s="281"/>
      <c r="V596" s="281"/>
      <c r="W596" s="281"/>
      <c r="X596" s="281"/>
      <c r="Y596" s="281"/>
      <c r="Z596" s="281"/>
      <c r="AA596" s="281"/>
      <c r="AB596" s="281"/>
      <c r="AC596" s="281"/>
      <c r="AD596" s="281"/>
      <c r="AE596" s="281"/>
    </row>
    <row r="597" spans="15:31">
      <c r="O597" s="281"/>
      <c r="P597" s="281"/>
      <c r="Q597" s="281"/>
      <c r="R597" s="281"/>
      <c r="S597" s="281"/>
      <c r="T597" s="281"/>
      <c r="U597" s="281"/>
      <c r="V597" s="281"/>
      <c r="W597" s="281"/>
      <c r="X597" s="281"/>
      <c r="Y597" s="281"/>
      <c r="Z597" s="281"/>
      <c r="AA597" s="281"/>
      <c r="AB597" s="281"/>
      <c r="AC597" s="281"/>
      <c r="AD597" s="281"/>
      <c r="AE597" s="281"/>
    </row>
    <row r="598" spans="15:31">
      <c r="O598" s="281"/>
      <c r="P598" s="281"/>
      <c r="Q598" s="281"/>
      <c r="R598" s="281"/>
      <c r="S598" s="281"/>
      <c r="T598" s="281"/>
      <c r="U598" s="281"/>
      <c r="V598" s="281"/>
      <c r="W598" s="281"/>
      <c r="X598" s="281"/>
      <c r="Y598" s="281"/>
      <c r="Z598" s="281"/>
      <c r="AA598" s="281"/>
      <c r="AB598" s="281"/>
      <c r="AC598" s="281"/>
      <c r="AD598" s="281"/>
      <c r="AE598" s="281"/>
    </row>
    <row r="599" spans="15:31">
      <c r="O599" s="281"/>
      <c r="P599" s="281"/>
      <c r="Q599" s="281"/>
      <c r="R599" s="281"/>
      <c r="S599" s="281"/>
      <c r="T599" s="281"/>
      <c r="U599" s="281"/>
      <c r="V599" s="281"/>
      <c r="W599" s="281"/>
      <c r="X599" s="281"/>
      <c r="Y599" s="281"/>
      <c r="Z599" s="281"/>
      <c r="AA599" s="281"/>
      <c r="AB599" s="281"/>
      <c r="AC599" s="281"/>
      <c r="AD599" s="281"/>
      <c r="AE599" s="281"/>
    </row>
    <row r="600" spans="15:31">
      <c r="O600" s="281"/>
      <c r="P600" s="281"/>
      <c r="Q600" s="281"/>
      <c r="R600" s="281"/>
      <c r="S600" s="281"/>
      <c r="T600" s="281"/>
      <c r="U600" s="281"/>
      <c r="V600" s="281"/>
      <c r="W600" s="281"/>
      <c r="X600" s="281"/>
      <c r="Y600" s="281"/>
      <c r="Z600" s="281"/>
      <c r="AA600" s="281"/>
      <c r="AB600" s="281"/>
      <c r="AC600" s="281"/>
      <c r="AD600" s="281"/>
      <c r="AE600" s="281"/>
    </row>
    <row r="601" spans="15:31">
      <c r="O601" s="281"/>
      <c r="P601" s="281"/>
      <c r="Q601" s="281"/>
      <c r="R601" s="281"/>
      <c r="S601" s="281"/>
      <c r="T601" s="281"/>
      <c r="U601" s="281"/>
      <c r="V601" s="281"/>
      <c r="W601" s="281"/>
      <c r="X601" s="281"/>
      <c r="Y601" s="281"/>
      <c r="Z601" s="281"/>
      <c r="AA601" s="281"/>
      <c r="AB601" s="281"/>
      <c r="AC601" s="281"/>
      <c r="AD601" s="281"/>
      <c r="AE601" s="281"/>
    </row>
    <row r="602" spans="15:31">
      <c r="O602" s="281"/>
      <c r="P602" s="281"/>
      <c r="Q602" s="281"/>
      <c r="R602" s="281"/>
      <c r="S602" s="281"/>
      <c r="T602" s="281"/>
      <c r="U602" s="281"/>
      <c r="V602" s="281"/>
      <c r="W602" s="281"/>
      <c r="X602" s="281"/>
      <c r="Y602" s="281"/>
      <c r="Z602" s="281"/>
      <c r="AA602" s="281"/>
      <c r="AB602" s="281"/>
      <c r="AC602" s="281"/>
      <c r="AD602" s="281"/>
      <c r="AE602" s="281"/>
    </row>
    <row r="603" spans="15:31">
      <c r="O603" s="281"/>
      <c r="P603" s="281"/>
      <c r="Q603" s="281"/>
      <c r="R603" s="281"/>
      <c r="S603" s="281"/>
      <c r="T603" s="281"/>
      <c r="U603" s="281"/>
      <c r="V603" s="281"/>
      <c r="W603" s="281"/>
      <c r="X603" s="281"/>
      <c r="Y603" s="281"/>
      <c r="Z603" s="281"/>
      <c r="AA603" s="281"/>
      <c r="AB603" s="281"/>
      <c r="AC603" s="281"/>
      <c r="AD603" s="281"/>
      <c r="AE603" s="281"/>
    </row>
    <row r="604" spans="15:31">
      <c r="O604" s="281"/>
      <c r="P604" s="281"/>
      <c r="Q604" s="281"/>
      <c r="R604" s="281"/>
      <c r="S604" s="281"/>
      <c r="T604" s="281"/>
      <c r="U604" s="281"/>
      <c r="V604" s="281"/>
      <c r="W604" s="281"/>
      <c r="X604" s="281"/>
      <c r="Y604" s="281"/>
      <c r="Z604" s="281"/>
      <c r="AA604" s="281"/>
      <c r="AB604" s="281"/>
      <c r="AC604" s="281"/>
      <c r="AD604" s="281"/>
      <c r="AE604" s="281"/>
    </row>
    <row r="605" spans="15:31">
      <c r="O605" s="281"/>
      <c r="P605" s="281"/>
      <c r="Q605" s="281"/>
      <c r="R605" s="281"/>
      <c r="S605" s="281"/>
      <c r="T605" s="281"/>
      <c r="U605" s="281"/>
      <c r="V605" s="281"/>
      <c r="W605" s="281"/>
      <c r="X605" s="281"/>
      <c r="Y605" s="281"/>
      <c r="Z605" s="281"/>
      <c r="AA605" s="281"/>
      <c r="AB605" s="281"/>
      <c r="AC605" s="281"/>
      <c r="AD605" s="281"/>
      <c r="AE605" s="281"/>
    </row>
    <row r="606" spans="15:31">
      <c r="O606" s="281"/>
      <c r="P606" s="281"/>
      <c r="Q606" s="281"/>
      <c r="R606" s="281"/>
      <c r="S606" s="281"/>
      <c r="T606" s="281"/>
      <c r="U606" s="281"/>
      <c r="V606" s="281"/>
      <c r="W606" s="281"/>
      <c r="X606" s="281"/>
      <c r="Y606" s="281"/>
      <c r="Z606" s="281"/>
      <c r="AA606" s="281"/>
      <c r="AB606" s="281"/>
      <c r="AC606" s="281"/>
      <c r="AD606" s="281"/>
      <c r="AE606" s="281"/>
    </row>
    <row r="607" spans="15:31">
      <c r="O607" s="281"/>
      <c r="P607" s="281"/>
      <c r="Q607" s="281"/>
      <c r="R607" s="281"/>
      <c r="S607" s="281"/>
      <c r="T607" s="281"/>
      <c r="U607" s="281"/>
      <c r="V607" s="281"/>
      <c r="W607" s="281"/>
      <c r="X607" s="281"/>
      <c r="Y607" s="281"/>
      <c r="Z607" s="281"/>
      <c r="AA607" s="281"/>
      <c r="AB607" s="281"/>
      <c r="AC607" s="281"/>
      <c r="AD607" s="281"/>
      <c r="AE607" s="281"/>
    </row>
    <row r="608" spans="15:31">
      <c r="O608" s="281"/>
      <c r="P608" s="281"/>
      <c r="Q608" s="281"/>
      <c r="R608" s="281"/>
      <c r="S608" s="281"/>
      <c r="T608" s="281"/>
      <c r="U608" s="281"/>
      <c r="V608" s="281"/>
      <c r="W608" s="281"/>
      <c r="X608" s="281"/>
      <c r="Y608" s="281"/>
      <c r="Z608" s="281"/>
      <c r="AA608" s="281"/>
      <c r="AB608" s="281"/>
      <c r="AC608" s="281"/>
      <c r="AD608" s="281"/>
      <c r="AE608" s="281"/>
    </row>
    <row r="609" spans="15:31">
      <c r="O609" s="281"/>
      <c r="P609" s="281"/>
      <c r="Q609" s="281"/>
      <c r="R609" s="281"/>
      <c r="S609" s="281"/>
      <c r="T609" s="281"/>
      <c r="U609" s="281"/>
      <c r="V609" s="281"/>
      <c r="W609" s="281"/>
      <c r="X609" s="281"/>
      <c r="Y609" s="281"/>
      <c r="Z609" s="281"/>
      <c r="AA609" s="281"/>
      <c r="AB609" s="281"/>
      <c r="AC609" s="281"/>
      <c r="AD609" s="281"/>
      <c r="AE609" s="281"/>
    </row>
    <row r="610" spans="15:31">
      <c r="O610" s="281"/>
      <c r="P610" s="281"/>
      <c r="Q610" s="281"/>
      <c r="R610" s="281"/>
      <c r="S610" s="281"/>
      <c r="T610" s="281"/>
      <c r="U610" s="281"/>
      <c r="V610" s="281"/>
      <c r="W610" s="281"/>
      <c r="X610" s="281"/>
      <c r="Y610" s="281"/>
      <c r="Z610" s="281"/>
      <c r="AA610" s="281"/>
      <c r="AB610" s="281"/>
      <c r="AC610" s="281"/>
      <c r="AD610" s="281"/>
      <c r="AE610" s="281"/>
    </row>
    <row r="611" spans="15:31">
      <c r="O611" s="281"/>
      <c r="P611" s="281"/>
      <c r="Q611" s="281"/>
      <c r="R611" s="281"/>
      <c r="S611" s="281"/>
      <c r="T611" s="281"/>
      <c r="U611" s="281"/>
      <c r="V611" s="281"/>
      <c r="W611" s="281"/>
      <c r="X611" s="281"/>
      <c r="Y611" s="281"/>
      <c r="Z611" s="281"/>
      <c r="AA611" s="281"/>
      <c r="AB611" s="281"/>
      <c r="AC611" s="281"/>
      <c r="AD611" s="281"/>
      <c r="AE611" s="281"/>
    </row>
    <row r="612" spans="15:31">
      <c r="O612" s="281"/>
      <c r="P612" s="281"/>
      <c r="Q612" s="281"/>
      <c r="R612" s="281"/>
      <c r="S612" s="281"/>
      <c r="T612" s="281"/>
      <c r="U612" s="281"/>
      <c r="V612" s="281"/>
      <c r="W612" s="281"/>
      <c r="X612" s="281"/>
      <c r="Y612" s="281"/>
      <c r="Z612" s="281"/>
      <c r="AA612" s="281"/>
      <c r="AB612" s="281"/>
      <c r="AC612" s="281"/>
      <c r="AD612" s="281"/>
      <c r="AE612" s="281"/>
    </row>
    <row r="613" spans="15:31">
      <c r="O613" s="281"/>
      <c r="P613" s="281"/>
      <c r="Q613" s="281"/>
      <c r="R613" s="281"/>
      <c r="S613" s="281"/>
      <c r="T613" s="281"/>
      <c r="U613" s="281"/>
      <c r="V613" s="281"/>
      <c r="W613" s="281"/>
      <c r="X613" s="281"/>
      <c r="Y613" s="281"/>
      <c r="Z613" s="281"/>
      <c r="AA613" s="281"/>
      <c r="AB613" s="281"/>
      <c r="AC613" s="281"/>
      <c r="AD613" s="281"/>
      <c r="AE613" s="281"/>
    </row>
    <row r="614" spans="15:31">
      <c r="O614" s="281"/>
      <c r="P614" s="281"/>
      <c r="Q614" s="281"/>
      <c r="R614" s="281"/>
      <c r="S614" s="281"/>
      <c r="T614" s="281"/>
      <c r="U614" s="281"/>
      <c r="V614" s="281"/>
      <c r="W614" s="281"/>
      <c r="X614" s="281"/>
      <c r="Y614" s="281"/>
      <c r="Z614" s="281"/>
      <c r="AA614" s="281"/>
      <c r="AB614" s="281"/>
      <c r="AC614" s="281"/>
      <c r="AD614" s="281"/>
      <c r="AE614" s="281"/>
    </row>
    <row r="615" spans="15:31">
      <c r="O615" s="281"/>
      <c r="P615" s="281"/>
      <c r="Q615" s="281"/>
      <c r="R615" s="281"/>
      <c r="S615" s="281"/>
      <c r="T615" s="281"/>
      <c r="U615" s="281"/>
      <c r="V615" s="281"/>
      <c r="W615" s="281"/>
      <c r="X615" s="281"/>
      <c r="Y615" s="281"/>
      <c r="Z615" s="281"/>
      <c r="AA615" s="281"/>
      <c r="AB615" s="281"/>
      <c r="AC615" s="281"/>
      <c r="AD615" s="281"/>
      <c r="AE615" s="281"/>
    </row>
    <row r="616" spans="15:31">
      <c r="O616" s="281"/>
      <c r="P616" s="281"/>
      <c r="Q616" s="281"/>
      <c r="R616" s="281"/>
      <c r="S616" s="281"/>
      <c r="T616" s="281"/>
      <c r="U616" s="281"/>
      <c r="V616" s="281"/>
      <c r="W616" s="281"/>
      <c r="X616" s="281"/>
      <c r="Y616" s="281"/>
      <c r="Z616" s="281"/>
      <c r="AA616" s="281"/>
      <c r="AB616" s="281"/>
      <c r="AC616" s="281"/>
      <c r="AD616" s="281"/>
      <c r="AE616" s="281"/>
    </row>
    <row r="617" spans="15:31">
      <c r="O617" s="281"/>
      <c r="P617" s="281"/>
      <c r="Q617" s="281"/>
      <c r="R617" s="281"/>
      <c r="S617" s="281"/>
      <c r="T617" s="281"/>
      <c r="U617" s="281"/>
      <c r="V617" s="281"/>
      <c r="W617" s="281"/>
      <c r="X617" s="281"/>
      <c r="Y617" s="281"/>
      <c r="Z617" s="281"/>
      <c r="AA617" s="281"/>
      <c r="AB617" s="281"/>
      <c r="AC617" s="281"/>
      <c r="AD617" s="281"/>
      <c r="AE617" s="281"/>
    </row>
    <row r="618" spans="15:31">
      <c r="O618" s="281"/>
      <c r="P618" s="281"/>
      <c r="Q618" s="281"/>
      <c r="R618" s="281"/>
      <c r="S618" s="281"/>
      <c r="T618" s="281"/>
      <c r="U618" s="281"/>
      <c r="V618" s="281"/>
      <c r="W618" s="281"/>
      <c r="X618" s="281"/>
      <c r="Y618" s="281"/>
      <c r="Z618" s="281"/>
      <c r="AA618" s="281"/>
      <c r="AB618" s="281"/>
      <c r="AC618" s="281"/>
      <c r="AD618" s="281"/>
      <c r="AE618" s="281"/>
    </row>
    <row r="619" spans="15:31">
      <c r="O619" s="281"/>
      <c r="P619" s="281"/>
      <c r="Q619" s="281"/>
      <c r="R619" s="281"/>
      <c r="S619" s="281"/>
      <c r="T619" s="281"/>
      <c r="U619" s="281"/>
      <c r="V619" s="281"/>
      <c r="W619" s="281"/>
      <c r="X619" s="281"/>
      <c r="Y619" s="281"/>
      <c r="Z619" s="281"/>
      <c r="AA619" s="281"/>
      <c r="AB619" s="281"/>
      <c r="AC619" s="281"/>
      <c r="AD619" s="281"/>
      <c r="AE619" s="281"/>
    </row>
    <row r="620" spans="15:31">
      <c r="O620" s="281"/>
      <c r="P620" s="281"/>
      <c r="Q620" s="281"/>
      <c r="R620" s="281"/>
      <c r="S620" s="281"/>
      <c r="T620" s="281"/>
      <c r="U620" s="281"/>
      <c r="V620" s="281"/>
      <c r="W620" s="281"/>
      <c r="X620" s="281"/>
      <c r="Y620" s="281"/>
      <c r="Z620" s="281"/>
      <c r="AA620" s="281"/>
      <c r="AB620" s="281"/>
      <c r="AC620" s="281"/>
      <c r="AD620" s="281"/>
      <c r="AE620" s="281"/>
    </row>
    <row r="621" spans="15:31">
      <c r="O621" s="281"/>
      <c r="P621" s="281"/>
      <c r="Q621" s="281"/>
      <c r="R621" s="281"/>
      <c r="S621" s="281"/>
      <c r="T621" s="281"/>
      <c r="U621" s="281"/>
      <c r="V621" s="281"/>
      <c r="W621" s="281"/>
      <c r="X621" s="281"/>
      <c r="Y621" s="281"/>
      <c r="Z621" s="281"/>
      <c r="AA621" s="281"/>
      <c r="AB621" s="281"/>
      <c r="AC621" s="281"/>
      <c r="AD621" s="281"/>
      <c r="AE621" s="281"/>
    </row>
    <row r="622" spans="15:31">
      <c r="O622" s="281"/>
      <c r="P622" s="281"/>
      <c r="Q622" s="281"/>
      <c r="R622" s="281"/>
      <c r="S622" s="281"/>
      <c r="T622" s="281"/>
      <c r="U622" s="281"/>
      <c r="V622" s="281"/>
      <c r="W622" s="281"/>
      <c r="X622" s="281"/>
      <c r="Y622" s="281"/>
      <c r="Z622" s="281"/>
      <c r="AA622" s="281"/>
      <c r="AB622" s="281"/>
      <c r="AC622" s="281"/>
      <c r="AD622" s="281"/>
      <c r="AE622" s="281"/>
    </row>
    <row r="623" spans="15:31">
      <c r="O623" s="281"/>
      <c r="P623" s="281"/>
      <c r="Q623" s="281"/>
      <c r="R623" s="281"/>
      <c r="S623" s="281"/>
      <c r="T623" s="281"/>
      <c r="U623" s="281"/>
      <c r="V623" s="281"/>
      <c r="W623" s="281"/>
      <c r="X623" s="281"/>
      <c r="Y623" s="281"/>
      <c r="Z623" s="281"/>
      <c r="AA623" s="281"/>
      <c r="AB623" s="281"/>
      <c r="AC623" s="281"/>
      <c r="AD623" s="281"/>
      <c r="AE623" s="281"/>
    </row>
    <row r="624" spans="15:31">
      <c r="O624" s="281"/>
      <c r="P624" s="281"/>
      <c r="Q624" s="281"/>
      <c r="R624" s="281"/>
      <c r="S624" s="281"/>
      <c r="T624" s="281"/>
      <c r="U624" s="281"/>
      <c r="V624" s="281"/>
      <c r="W624" s="281"/>
      <c r="X624" s="281"/>
      <c r="Y624" s="281"/>
      <c r="Z624" s="281"/>
      <c r="AA624" s="281"/>
      <c r="AB624" s="281"/>
      <c r="AC624" s="281"/>
      <c r="AD624" s="281"/>
      <c r="AE624" s="281"/>
    </row>
    <row r="625" spans="15:31">
      <c r="O625" s="281"/>
      <c r="P625" s="281"/>
      <c r="Q625" s="281"/>
      <c r="R625" s="281"/>
      <c r="S625" s="281"/>
      <c r="T625" s="281"/>
      <c r="U625" s="281"/>
      <c r="V625" s="281"/>
      <c r="W625" s="281"/>
      <c r="X625" s="281"/>
      <c r="Y625" s="281"/>
      <c r="Z625" s="281"/>
      <c r="AA625" s="281"/>
      <c r="AB625" s="281"/>
      <c r="AC625" s="281"/>
      <c r="AD625" s="281"/>
      <c r="AE625" s="281"/>
    </row>
    <row r="626" spans="15:31">
      <c r="O626" s="281"/>
      <c r="P626" s="281"/>
      <c r="Q626" s="281"/>
      <c r="R626" s="281"/>
      <c r="S626" s="281"/>
      <c r="T626" s="281"/>
      <c r="U626" s="281"/>
      <c r="V626" s="281"/>
      <c r="W626" s="281"/>
      <c r="X626" s="281"/>
      <c r="Y626" s="281"/>
      <c r="Z626" s="281"/>
      <c r="AA626" s="281"/>
      <c r="AB626" s="281"/>
      <c r="AC626" s="281"/>
      <c r="AD626" s="281"/>
      <c r="AE626" s="281"/>
    </row>
    <row r="627" spans="15:31">
      <c r="O627" s="281"/>
      <c r="P627" s="281"/>
      <c r="Q627" s="281"/>
      <c r="R627" s="281"/>
      <c r="S627" s="281"/>
      <c r="T627" s="281"/>
      <c r="U627" s="281"/>
      <c r="V627" s="281"/>
      <c r="W627" s="281"/>
      <c r="X627" s="281"/>
      <c r="Y627" s="281"/>
      <c r="Z627" s="281"/>
      <c r="AA627" s="281"/>
      <c r="AB627" s="281"/>
      <c r="AC627" s="281"/>
      <c r="AD627" s="281"/>
      <c r="AE627" s="281"/>
    </row>
    <row r="628" spans="15:31">
      <c r="O628" s="281"/>
      <c r="P628" s="281"/>
      <c r="Q628" s="281"/>
      <c r="R628" s="281"/>
      <c r="S628" s="281"/>
      <c r="T628" s="281"/>
      <c r="U628" s="281"/>
      <c r="V628" s="281"/>
      <c r="W628" s="281"/>
      <c r="X628" s="281"/>
      <c r="Y628" s="281"/>
      <c r="Z628" s="281"/>
      <c r="AA628" s="281"/>
      <c r="AB628" s="281"/>
      <c r="AC628" s="281"/>
      <c r="AD628" s="281"/>
      <c r="AE628" s="281"/>
    </row>
    <row r="629" spans="15:31">
      <c r="O629" s="281"/>
      <c r="P629" s="281"/>
      <c r="Q629" s="281"/>
      <c r="R629" s="281"/>
      <c r="S629" s="281"/>
      <c r="T629" s="281"/>
      <c r="U629" s="281"/>
      <c r="V629" s="281"/>
      <c r="W629" s="281"/>
      <c r="X629" s="281"/>
      <c r="Y629" s="281"/>
      <c r="Z629" s="281"/>
      <c r="AA629" s="281"/>
      <c r="AB629" s="281"/>
      <c r="AC629" s="281"/>
      <c r="AD629" s="281"/>
      <c r="AE629" s="281"/>
    </row>
    <row r="630" spans="15:31">
      <c r="O630" s="281"/>
      <c r="P630" s="281"/>
      <c r="Q630" s="281"/>
      <c r="R630" s="281"/>
      <c r="S630" s="281"/>
      <c r="T630" s="281"/>
      <c r="U630" s="281"/>
      <c r="V630" s="281"/>
      <c r="W630" s="281"/>
      <c r="X630" s="281"/>
      <c r="Y630" s="281"/>
      <c r="Z630" s="281"/>
      <c r="AA630" s="281"/>
      <c r="AB630" s="281"/>
      <c r="AC630" s="281"/>
      <c r="AD630" s="281"/>
      <c r="AE630" s="281"/>
    </row>
    <row r="631" spans="15:31">
      <c r="O631" s="281"/>
      <c r="P631" s="281"/>
      <c r="Q631" s="281"/>
      <c r="R631" s="281"/>
      <c r="S631" s="281"/>
      <c r="T631" s="281"/>
      <c r="U631" s="281"/>
      <c r="V631" s="281"/>
      <c r="W631" s="281"/>
      <c r="X631" s="281"/>
      <c r="Y631" s="281"/>
      <c r="Z631" s="281"/>
      <c r="AA631" s="281"/>
      <c r="AB631" s="281"/>
      <c r="AC631" s="281"/>
      <c r="AD631" s="281"/>
      <c r="AE631" s="281"/>
    </row>
    <row r="632" spans="15:31">
      <c r="O632" s="281"/>
      <c r="P632" s="281"/>
      <c r="Q632" s="281"/>
      <c r="R632" s="281"/>
      <c r="S632" s="281"/>
      <c r="T632" s="281"/>
      <c r="U632" s="281"/>
      <c r="V632" s="281"/>
      <c r="W632" s="281"/>
      <c r="X632" s="281"/>
      <c r="Y632" s="281"/>
      <c r="Z632" s="281"/>
      <c r="AA632" s="281"/>
      <c r="AB632" s="281"/>
      <c r="AC632" s="281"/>
      <c r="AD632" s="281"/>
      <c r="AE632" s="281"/>
    </row>
    <row r="633" spans="15:31">
      <c r="O633" s="281"/>
      <c r="P633" s="281"/>
      <c r="Q633" s="281"/>
      <c r="R633" s="281"/>
      <c r="S633" s="281"/>
      <c r="T633" s="281"/>
      <c r="U633" s="281"/>
      <c r="V633" s="281"/>
      <c r="W633" s="281"/>
      <c r="X633" s="281"/>
      <c r="Y633" s="281"/>
      <c r="Z633" s="281"/>
      <c r="AA633" s="281"/>
      <c r="AB633" s="281"/>
      <c r="AC633" s="281"/>
      <c r="AD633" s="281"/>
      <c r="AE633" s="281"/>
    </row>
    <row r="634" spans="15:31">
      <c r="O634" s="281"/>
      <c r="P634" s="281"/>
      <c r="Q634" s="281"/>
      <c r="R634" s="281"/>
      <c r="S634" s="281"/>
      <c r="T634" s="281"/>
      <c r="U634" s="281"/>
      <c r="V634" s="281"/>
      <c r="W634" s="281"/>
      <c r="X634" s="281"/>
      <c r="Y634" s="281"/>
      <c r="Z634" s="281"/>
      <c r="AA634" s="281"/>
      <c r="AB634" s="281"/>
      <c r="AC634" s="281"/>
      <c r="AD634" s="281"/>
      <c r="AE634" s="281"/>
    </row>
    <row r="635" spans="15:31">
      <c r="O635" s="281"/>
      <c r="P635" s="281"/>
      <c r="Q635" s="281"/>
      <c r="R635" s="281"/>
      <c r="S635" s="281"/>
      <c r="T635" s="281"/>
      <c r="U635" s="281"/>
      <c r="V635" s="281"/>
      <c r="W635" s="281"/>
      <c r="X635" s="281"/>
      <c r="Y635" s="281"/>
      <c r="Z635" s="281"/>
      <c r="AA635" s="281"/>
      <c r="AB635" s="281"/>
      <c r="AC635" s="281"/>
      <c r="AD635" s="281"/>
      <c r="AE635" s="281"/>
    </row>
    <row r="636" spans="15:31">
      <c r="O636" s="281"/>
      <c r="P636" s="281"/>
      <c r="Q636" s="281"/>
      <c r="R636" s="281"/>
      <c r="S636" s="281"/>
      <c r="T636" s="281"/>
      <c r="U636" s="281"/>
      <c r="V636" s="281"/>
      <c r="W636" s="281"/>
      <c r="X636" s="281"/>
      <c r="Y636" s="281"/>
      <c r="Z636" s="281"/>
      <c r="AA636" s="281"/>
      <c r="AB636" s="281"/>
      <c r="AC636" s="281"/>
      <c r="AD636" s="281"/>
      <c r="AE636" s="281"/>
    </row>
    <row r="637" spans="15:31">
      <c r="O637" s="281"/>
      <c r="P637" s="281"/>
      <c r="Q637" s="281"/>
      <c r="R637" s="281"/>
      <c r="S637" s="281"/>
      <c r="T637" s="281"/>
      <c r="U637" s="281"/>
      <c r="V637" s="281"/>
      <c r="W637" s="281"/>
      <c r="X637" s="281"/>
      <c r="Y637" s="281"/>
      <c r="Z637" s="281"/>
      <c r="AA637" s="281"/>
      <c r="AB637" s="281"/>
      <c r="AC637" s="281"/>
      <c r="AD637" s="281"/>
      <c r="AE637" s="281"/>
    </row>
    <row r="638" spans="15:31">
      <c r="O638" s="281"/>
      <c r="P638" s="281"/>
      <c r="Q638" s="281"/>
      <c r="R638" s="281"/>
      <c r="S638" s="281"/>
      <c r="T638" s="281"/>
      <c r="U638" s="281"/>
      <c r="V638" s="281"/>
      <c r="W638" s="281"/>
      <c r="X638" s="281"/>
      <c r="Y638" s="281"/>
      <c r="Z638" s="281"/>
      <c r="AA638" s="281"/>
      <c r="AB638" s="281"/>
      <c r="AC638" s="281"/>
      <c r="AD638" s="281"/>
      <c r="AE638" s="281"/>
    </row>
    <row r="639" spans="15:31">
      <c r="O639" s="281"/>
      <c r="P639" s="281"/>
      <c r="Q639" s="281"/>
      <c r="R639" s="281"/>
      <c r="S639" s="281"/>
      <c r="T639" s="281"/>
      <c r="U639" s="281"/>
      <c r="V639" s="281"/>
      <c r="W639" s="281"/>
      <c r="X639" s="281"/>
      <c r="Y639" s="281"/>
      <c r="Z639" s="281"/>
      <c r="AA639" s="281"/>
      <c r="AB639" s="281"/>
      <c r="AC639" s="281"/>
      <c r="AD639" s="281"/>
      <c r="AE639" s="281"/>
    </row>
    <row r="640" spans="15:31">
      <c r="O640" s="281"/>
      <c r="P640" s="281"/>
      <c r="Q640" s="281"/>
      <c r="R640" s="281"/>
      <c r="S640" s="281"/>
      <c r="T640" s="281"/>
      <c r="U640" s="281"/>
      <c r="V640" s="281"/>
      <c r="W640" s="281"/>
      <c r="X640" s="281"/>
      <c r="Y640" s="281"/>
      <c r="Z640" s="281"/>
      <c r="AA640" s="281"/>
      <c r="AB640" s="281"/>
      <c r="AC640" s="281"/>
      <c r="AD640" s="281"/>
      <c r="AE640" s="281"/>
    </row>
    <row r="641" spans="15:31">
      <c r="O641" s="281"/>
      <c r="P641" s="281"/>
      <c r="Q641" s="281"/>
      <c r="R641" s="281"/>
      <c r="S641" s="281"/>
      <c r="T641" s="281"/>
      <c r="U641" s="281"/>
      <c r="V641" s="281"/>
      <c r="W641" s="281"/>
      <c r="X641" s="281"/>
      <c r="Y641" s="281"/>
      <c r="Z641" s="281"/>
      <c r="AA641" s="281"/>
      <c r="AB641" s="281"/>
      <c r="AC641" s="281"/>
      <c r="AD641" s="281"/>
      <c r="AE641" s="281"/>
    </row>
    <row r="642" spans="15:31">
      <c r="O642" s="281"/>
      <c r="P642" s="281"/>
      <c r="Q642" s="281"/>
      <c r="R642" s="281"/>
      <c r="S642" s="281"/>
      <c r="T642" s="281"/>
      <c r="U642" s="281"/>
      <c r="V642" s="281"/>
      <c r="W642" s="281"/>
      <c r="X642" s="281"/>
      <c r="Y642" s="281"/>
      <c r="Z642" s="281"/>
      <c r="AA642" s="281"/>
      <c r="AB642" s="281"/>
      <c r="AC642" s="281"/>
      <c r="AD642" s="281"/>
      <c r="AE642" s="281"/>
    </row>
    <row r="643" spans="15:31">
      <c r="O643" s="281"/>
      <c r="P643" s="281"/>
      <c r="Q643" s="281"/>
      <c r="R643" s="281"/>
      <c r="S643" s="281"/>
      <c r="T643" s="281"/>
      <c r="U643" s="281"/>
      <c r="V643" s="281"/>
      <c r="W643" s="281"/>
      <c r="X643" s="281"/>
      <c r="Y643" s="281"/>
      <c r="Z643" s="281"/>
      <c r="AA643" s="281"/>
      <c r="AB643" s="281"/>
      <c r="AC643" s="281"/>
      <c r="AD643" s="281"/>
      <c r="AE643" s="281"/>
    </row>
    <row r="644" spans="15:31">
      <c r="O644" s="281"/>
      <c r="P644" s="281"/>
      <c r="Q644" s="281"/>
      <c r="R644" s="281"/>
      <c r="S644" s="281"/>
      <c r="T644" s="281"/>
      <c r="U644" s="281"/>
      <c r="V644" s="281"/>
      <c r="W644" s="281"/>
      <c r="X644" s="281"/>
      <c r="Y644" s="281"/>
      <c r="Z644" s="281"/>
      <c r="AA644" s="281"/>
      <c r="AB644" s="281"/>
      <c r="AC644" s="281"/>
      <c r="AD644" s="281"/>
      <c r="AE644" s="281"/>
    </row>
    <row r="645" spans="15:31">
      <c r="O645" s="281"/>
      <c r="P645" s="281"/>
      <c r="Q645" s="281"/>
      <c r="R645" s="281"/>
      <c r="S645" s="281"/>
      <c r="T645" s="281"/>
      <c r="U645" s="281"/>
      <c r="V645" s="281"/>
      <c r="W645" s="281"/>
      <c r="X645" s="281"/>
      <c r="Y645" s="281"/>
      <c r="Z645" s="281"/>
      <c r="AA645" s="281"/>
      <c r="AB645" s="281"/>
      <c r="AC645" s="281"/>
      <c r="AD645" s="281"/>
      <c r="AE645" s="281"/>
    </row>
    <row r="646" spans="15:31">
      <c r="O646" s="281"/>
      <c r="P646" s="281"/>
      <c r="Q646" s="281"/>
      <c r="R646" s="281"/>
      <c r="S646" s="281"/>
      <c r="T646" s="281"/>
      <c r="U646" s="281"/>
      <c r="V646" s="281"/>
      <c r="W646" s="281"/>
      <c r="X646" s="281"/>
      <c r="Y646" s="281"/>
      <c r="Z646" s="281"/>
      <c r="AA646" s="281"/>
      <c r="AB646" s="281"/>
      <c r="AC646" s="281"/>
      <c r="AD646" s="281"/>
      <c r="AE646" s="281"/>
    </row>
    <row r="647" spans="15:31">
      <c r="O647" s="281"/>
      <c r="P647" s="281"/>
      <c r="Q647" s="281"/>
      <c r="R647" s="281"/>
      <c r="S647" s="281"/>
      <c r="T647" s="281"/>
      <c r="U647" s="281"/>
      <c r="V647" s="281"/>
      <c r="W647" s="281"/>
      <c r="X647" s="281"/>
      <c r="Y647" s="281"/>
      <c r="Z647" s="281"/>
      <c r="AA647" s="281"/>
      <c r="AB647" s="281"/>
      <c r="AC647" s="281"/>
      <c r="AD647" s="281"/>
      <c r="AE647" s="281"/>
    </row>
    <row r="648" spans="15:31">
      <c r="O648" s="281"/>
      <c r="P648" s="281"/>
      <c r="Q648" s="281"/>
      <c r="R648" s="281"/>
      <c r="S648" s="281"/>
      <c r="T648" s="281"/>
      <c r="U648" s="281"/>
      <c r="V648" s="281"/>
      <c r="W648" s="281"/>
      <c r="X648" s="281"/>
      <c r="Y648" s="281"/>
      <c r="Z648" s="281"/>
      <c r="AA648" s="281"/>
      <c r="AB648" s="281"/>
      <c r="AC648" s="281"/>
      <c r="AD648" s="281"/>
      <c r="AE648" s="281"/>
    </row>
    <row r="649" spans="15:31">
      <c r="O649" s="281"/>
      <c r="P649" s="281"/>
      <c r="Q649" s="281"/>
      <c r="R649" s="281"/>
      <c r="S649" s="281"/>
      <c r="T649" s="281"/>
      <c r="U649" s="281"/>
      <c r="V649" s="281"/>
      <c r="W649" s="281"/>
      <c r="X649" s="281"/>
      <c r="Y649" s="281"/>
      <c r="Z649" s="281"/>
      <c r="AA649" s="281"/>
      <c r="AB649" s="281"/>
      <c r="AC649" s="281"/>
      <c r="AD649" s="281"/>
      <c r="AE649" s="281"/>
    </row>
    <row r="650" spans="15:31">
      <c r="O650" s="281"/>
      <c r="P650" s="281"/>
      <c r="Q650" s="281"/>
      <c r="R650" s="281"/>
      <c r="S650" s="281"/>
      <c r="T650" s="281"/>
      <c r="U650" s="281"/>
      <c r="V650" s="281"/>
      <c r="W650" s="281"/>
      <c r="X650" s="281"/>
      <c r="Y650" s="281"/>
      <c r="Z650" s="281"/>
      <c r="AA650" s="281"/>
      <c r="AB650" s="281"/>
      <c r="AC650" s="281"/>
      <c r="AD650" s="281"/>
      <c r="AE650" s="281"/>
    </row>
    <row r="651" spans="15:31">
      <c r="O651" s="281"/>
      <c r="P651" s="281"/>
      <c r="Q651" s="281"/>
      <c r="R651" s="281"/>
      <c r="S651" s="281"/>
      <c r="T651" s="281"/>
      <c r="U651" s="281"/>
      <c r="V651" s="281"/>
      <c r="W651" s="281"/>
      <c r="X651" s="281"/>
      <c r="Y651" s="281"/>
      <c r="Z651" s="281"/>
      <c r="AA651" s="281"/>
      <c r="AB651" s="281"/>
      <c r="AC651" s="281"/>
      <c r="AD651" s="281"/>
      <c r="AE651" s="281"/>
    </row>
    <row r="652" spans="15:31">
      <c r="O652" s="281"/>
      <c r="P652" s="281"/>
      <c r="Q652" s="281"/>
      <c r="R652" s="281"/>
      <c r="S652" s="281"/>
      <c r="T652" s="281"/>
      <c r="U652" s="281"/>
      <c r="V652" s="281"/>
      <c r="W652" s="281"/>
      <c r="X652" s="281"/>
      <c r="Y652" s="281"/>
      <c r="Z652" s="281"/>
      <c r="AA652" s="281"/>
      <c r="AB652" s="281"/>
      <c r="AC652" s="281"/>
      <c r="AD652" s="281"/>
      <c r="AE652" s="281"/>
    </row>
    <row r="653" spans="15:31">
      <c r="O653" s="281"/>
      <c r="P653" s="281"/>
      <c r="Q653" s="281"/>
      <c r="R653" s="281"/>
      <c r="S653" s="281"/>
      <c r="T653" s="281"/>
      <c r="U653" s="281"/>
      <c r="V653" s="281"/>
      <c r="W653" s="281"/>
      <c r="X653" s="281"/>
      <c r="Y653" s="281"/>
      <c r="Z653" s="281"/>
      <c r="AA653" s="281"/>
      <c r="AB653" s="281"/>
      <c r="AC653" s="281"/>
      <c r="AD653" s="281"/>
      <c r="AE653" s="281"/>
    </row>
    <row r="654" spans="15:31">
      <c r="O654" s="281"/>
      <c r="P654" s="281"/>
      <c r="Q654" s="281"/>
      <c r="R654" s="281"/>
      <c r="S654" s="281"/>
      <c r="T654" s="281"/>
      <c r="U654" s="281"/>
      <c r="V654" s="281"/>
      <c r="W654" s="281"/>
      <c r="X654" s="281"/>
      <c r="Y654" s="281"/>
      <c r="Z654" s="281"/>
      <c r="AA654" s="281"/>
      <c r="AB654" s="281"/>
      <c r="AC654" s="281"/>
      <c r="AD654" s="281"/>
      <c r="AE654" s="281"/>
    </row>
    <row r="655" spans="15:31">
      <c r="O655" s="281"/>
      <c r="P655" s="281"/>
      <c r="Q655" s="281"/>
      <c r="R655" s="281"/>
      <c r="S655" s="281"/>
      <c r="T655" s="281"/>
      <c r="U655" s="281"/>
      <c r="V655" s="281"/>
      <c r="W655" s="281"/>
      <c r="X655" s="281"/>
      <c r="Y655" s="281"/>
      <c r="Z655" s="281"/>
      <c r="AA655" s="281"/>
      <c r="AB655" s="281"/>
      <c r="AC655" s="281"/>
      <c r="AD655" s="281"/>
      <c r="AE655" s="281"/>
    </row>
    <row r="656" spans="15:31">
      <c r="O656" s="281"/>
      <c r="P656" s="281"/>
      <c r="Q656" s="281"/>
      <c r="R656" s="281"/>
      <c r="S656" s="281"/>
      <c r="T656" s="281"/>
      <c r="U656" s="281"/>
      <c r="V656" s="281"/>
      <c r="W656" s="281"/>
      <c r="X656" s="281"/>
      <c r="Y656" s="281"/>
      <c r="Z656" s="281"/>
      <c r="AA656" s="281"/>
      <c r="AB656" s="281"/>
      <c r="AC656" s="281"/>
      <c r="AD656" s="281"/>
      <c r="AE656" s="281"/>
    </row>
    <row r="657" spans="15:31">
      <c r="O657" s="281"/>
      <c r="P657" s="281"/>
      <c r="Q657" s="281"/>
      <c r="R657" s="281"/>
      <c r="S657" s="281"/>
      <c r="T657" s="281"/>
      <c r="U657" s="281"/>
      <c r="V657" s="281"/>
      <c r="W657" s="281"/>
      <c r="X657" s="281"/>
      <c r="Y657" s="281"/>
      <c r="Z657" s="281"/>
      <c r="AA657" s="281"/>
      <c r="AB657" s="281"/>
      <c r="AC657" s="281"/>
      <c r="AD657" s="281"/>
      <c r="AE657" s="281"/>
    </row>
    <row r="658" spans="15:31">
      <c r="O658" s="281"/>
      <c r="P658" s="281"/>
      <c r="Q658" s="281"/>
      <c r="R658" s="281"/>
      <c r="S658" s="281"/>
      <c r="T658" s="281"/>
      <c r="U658" s="281"/>
      <c r="V658" s="281"/>
      <c r="W658" s="281"/>
      <c r="X658" s="281"/>
      <c r="Y658" s="281"/>
      <c r="Z658" s="281"/>
      <c r="AA658" s="281"/>
      <c r="AB658" s="281"/>
      <c r="AC658" s="281"/>
      <c r="AD658" s="281"/>
      <c r="AE658" s="281"/>
    </row>
    <row r="659" spans="15:31">
      <c r="O659" s="281"/>
      <c r="P659" s="281"/>
      <c r="Q659" s="281"/>
      <c r="R659" s="281"/>
      <c r="S659" s="281"/>
      <c r="T659" s="281"/>
      <c r="U659" s="281"/>
      <c r="V659" s="281"/>
      <c r="W659" s="281"/>
      <c r="X659" s="281"/>
      <c r="Y659" s="281"/>
      <c r="Z659" s="281"/>
      <c r="AA659" s="281"/>
      <c r="AB659" s="281"/>
      <c r="AC659" s="281"/>
      <c r="AD659" s="281"/>
      <c r="AE659" s="281"/>
    </row>
    <row r="660" spans="15:31">
      <c r="O660" s="281"/>
      <c r="P660" s="281"/>
      <c r="Q660" s="281"/>
      <c r="R660" s="281"/>
      <c r="S660" s="281"/>
      <c r="T660" s="281"/>
      <c r="U660" s="281"/>
      <c r="V660" s="281"/>
      <c r="W660" s="281"/>
      <c r="X660" s="281"/>
      <c r="Y660" s="281"/>
      <c r="Z660" s="281"/>
      <c r="AA660" s="281"/>
      <c r="AB660" s="281"/>
      <c r="AC660" s="281"/>
      <c r="AD660" s="281"/>
      <c r="AE660" s="281"/>
    </row>
    <row r="661" spans="15:31">
      <c r="O661" s="281"/>
      <c r="P661" s="281"/>
      <c r="Q661" s="281"/>
      <c r="R661" s="281"/>
      <c r="S661" s="281"/>
      <c r="T661" s="281"/>
      <c r="U661" s="281"/>
      <c r="V661" s="281"/>
      <c r="W661" s="281"/>
      <c r="X661" s="281"/>
      <c r="Y661" s="281"/>
      <c r="Z661" s="281"/>
      <c r="AA661" s="281"/>
      <c r="AB661" s="281"/>
      <c r="AC661" s="281"/>
      <c r="AD661" s="281"/>
      <c r="AE661" s="281"/>
    </row>
    <row r="662" spans="15:31">
      <c r="O662" s="281"/>
      <c r="P662" s="281"/>
      <c r="Q662" s="281"/>
      <c r="R662" s="281"/>
      <c r="S662" s="281"/>
      <c r="T662" s="281"/>
      <c r="U662" s="281"/>
      <c r="V662" s="281"/>
      <c r="W662" s="281"/>
      <c r="X662" s="281"/>
      <c r="Y662" s="281"/>
      <c r="Z662" s="281"/>
      <c r="AA662" s="281"/>
      <c r="AB662" s="281"/>
      <c r="AC662" s="281"/>
      <c r="AD662" s="281"/>
      <c r="AE662" s="281"/>
    </row>
    <row r="663" spans="15:31">
      <c r="O663" s="281"/>
      <c r="P663" s="281"/>
      <c r="Q663" s="281"/>
      <c r="R663" s="281"/>
      <c r="S663" s="281"/>
      <c r="T663" s="281"/>
      <c r="U663" s="281"/>
      <c r="V663" s="281"/>
      <c r="W663" s="281"/>
      <c r="X663" s="281"/>
      <c r="Y663" s="281"/>
      <c r="Z663" s="281"/>
      <c r="AA663" s="281"/>
      <c r="AB663" s="281"/>
      <c r="AC663" s="281"/>
      <c r="AD663" s="281"/>
      <c r="AE663" s="281"/>
    </row>
    <row r="664" spans="15:31">
      <c r="O664" s="281"/>
      <c r="P664" s="281"/>
      <c r="Q664" s="281"/>
      <c r="R664" s="281"/>
      <c r="S664" s="281"/>
      <c r="T664" s="281"/>
      <c r="U664" s="281"/>
      <c r="V664" s="281"/>
      <c r="W664" s="281"/>
      <c r="X664" s="281"/>
      <c r="Y664" s="281"/>
      <c r="Z664" s="281"/>
      <c r="AA664" s="281"/>
      <c r="AB664" s="281"/>
      <c r="AC664" s="281"/>
      <c r="AD664" s="281"/>
      <c r="AE664" s="281"/>
    </row>
    <row r="665" spans="15:31">
      <c r="O665" s="281"/>
      <c r="P665" s="281"/>
      <c r="Q665" s="281"/>
      <c r="R665" s="281"/>
      <c r="S665" s="281"/>
      <c r="T665" s="281"/>
      <c r="U665" s="281"/>
      <c r="V665" s="281"/>
      <c r="W665" s="281"/>
      <c r="X665" s="281"/>
      <c r="Y665" s="281"/>
      <c r="Z665" s="281"/>
      <c r="AA665" s="281"/>
      <c r="AB665" s="281"/>
      <c r="AC665" s="281"/>
      <c r="AD665" s="281"/>
      <c r="AE665" s="281"/>
    </row>
    <row r="666" spans="15:31">
      <c r="O666" s="281"/>
      <c r="P666" s="281"/>
      <c r="Q666" s="281"/>
      <c r="R666" s="281"/>
      <c r="S666" s="281"/>
      <c r="T666" s="281"/>
      <c r="U666" s="281"/>
      <c r="V666" s="281"/>
      <c r="W666" s="281"/>
      <c r="X666" s="281"/>
      <c r="Y666" s="281"/>
      <c r="Z666" s="281"/>
      <c r="AA666" s="281"/>
      <c r="AB666" s="281"/>
      <c r="AC666" s="281"/>
      <c r="AD666" s="281"/>
      <c r="AE666" s="281"/>
    </row>
    <row r="667" spans="15:31">
      <c r="O667" s="281"/>
      <c r="P667" s="281"/>
      <c r="Q667" s="281"/>
      <c r="R667" s="281"/>
      <c r="S667" s="281"/>
      <c r="T667" s="281"/>
      <c r="U667" s="281"/>
      <c r="V667" s="281"/>
      <c r="W667" s="281"/>
      <c r="X667" s="281"/>
      <c r="Y667" s="281"/>
      <c r="Z667" s="281"/>
      <c r="AA667" s="281"/>
      <c r="AB667" s="281"/>
      <c r="AC667" s="281"/>
      <c r="AD667" s="281"/>
      <c r="AE667" s="281"/>
    </row>
    <row r="668" spans="15:31">
      <c r="O668" s="281"/>
      <c r="P668" s="281"/>
      <c r="Q668" s="281"/>
      <c r="R668" s="281"/>
      <c r="S668" s="281"/>
      <c r="T668" s="281"/>
      <c r="U668" s="281"/>
      <c r="V668" s="281"/>
      <c r="W668" s="281"/>
      <c r="X668" s="281"/>
      <c r="Y668" s="281"/>
      <c r="Z668" s="281"/>
      <c r="AA668" s="281"/>
      <c r="AB668" s="281"/>
      <c r="AC668" s="281"/>
      <c r="AD668" s="281"/>
      <c r="AE668" s="281"/>
    </row>
    <row r="669" spans="15:31">
      <c r="O669" s="281"/>
      <c r="P669" s="281"/>
      <c r="Q669" s="281"/>
      <c r="R669" s="281"/>
      <c r="S669" s="281"/>
      <c r="T669" s="281"/>
      <c r="U669" s="281"/>
      <c r="V669" s="281"/>
      <c r="W669" s="281"/>
      <c r="X669" s="281"/>
      <c r="Y669" s="281"/>
      <c r="Z669" s="281"/>
      <c r="AA669" s="281"/>
      <c r="AB669" s="281"/>
      <c r="AC669" s="281"/>
      <c r="AD669" s="281"/>
      <c r="AE669" s="281"/>
    </row>
    <row r="670" spans="15:31">
      <c r="O670" s="281"/>
      <c r="P670" s="281"/>
      <c r="Q670" s="281"/>
      <c r="R670" s="281"/>
      <c r="S670" s="281"/>
      <c r="T670" s="281"/>
      <c r="U670" s="281"/>
      <c r="V670" s="281"/>
      <c r="W670" s="281"/>
      <c r="X670" s="281"/>
      <c r="Y670" s="281"/>
      <c r="Z670" s="281"/>
      <c r="AA670" s="281"/>
      <c r="AB670" s="281"/>
      <c r="AC670" s="281"/>
      <c r="AD670" s="281"/>
      <c r="AE670" s="281"/>
    </row>
    <row r="671" spans="15:31">
      <c r="O671" s="281"/>
      <c r="P671" s="281"/>
      <c r="Q671" s="281"/>
      <c r="R671" s="281"/>
      <c r="S671" s="281"/>
      <c r="T671" s="281"/>
      <c r="U671" s="281"/>
      <c r="V671" s="281"/>
      <c r="W671" s="281"/>
      <c r="X671" s="281"/>
      <c r="Y671" s="281"/>
      <c r="Z671" s="281"/>
      <c r="AA671" s="281"/>
      <c r="AB671" s="281"/>
      <c r="AC671" s="281"/>
      <c r="AD671" s="281"/>
      <c r="AE671" s="281"/>
    </row>
    <row r="672" spans="15:31">
      <c r="O672" s="281"/>
      <c r="P672" s="281"/>
      <c r="Q672" s="281"/>
      <c r="R672" s="281"/>
      <c r="S672" s="281"/>
      <c r="T672" s="281"/>
      <c r="U672" s="281"/>
      <c r="V672" s="281"/>
      <c r="W672" s="281"/>
      <c r="X672" s="281"/>
      <c r="Y672" s="281"/>
      <c r="Z672" s="281"/>
      <c r="AA672" s="281"/>
      <c r="AB672" s="281"/>
      <c r="AC672" s="281"/>
      <c r="AD672" s="281"/>
      <c r="AE672" s="281"/>
    </row>
    <row r="673" spans="15:31">
      <c r="O673" s="281"/>
      <c r="P673" s="281"/>
      <c r="Q673" s="281"/>
      <c r="R673" s="281"/>
      <c r="S673" s="281"/>
      <c r="T673" s="281"/>
      <c r="U673" s="281"/>
      <c r="V673" s="281"/>
      <c r="W673" s="281"/>
      <c r="X673" s="281"/>
      <c r="Y673" s="281"/>
      <c r="Z673" s="281"/>
      <c r="AA673" s="281"/>
      <c r="AB673" s="281"/>
      <c r="AC673" s="281"/>
      <c r="AD673" s="281"/>
      <c r="AE673" s="281"/>
    </row>
    <row r="674" spans="15:31">
      <c r="O674" s="281"/>
      <c r="P674" s="281"/>
      <c r="Q674" s="281"/>
      <c r="R674" s="281"/>
      <c r="S674" s="281"/>
      <c r="T674" s="281"/>
      <c r="U674" s="281"/>
      <c r="V674" s="281"/>
      <c r="W674" s="281"/>
      <c r="X674" s="281"/>
      <c r="Y674" s="281"/>
      <c r="Z674" s="281"/>
      <c r="AA674" s="281"/>
      <c r="AB674" s="281"/>
      <c r="AC674" s="281"/>
      <c r="AD674" s="281"/>
      <c r="AE674" s="281"/>
    </row>
    <row r="675" spans="15:31">
      <c r="O675" s="281"/>
      <c r="P675" s="281"/>
      <c r="Q675" s="281"/>
      <c r="R675" s="281"/>
      <c r="S675" s="281"/>
      <c r="T675" s="281"/>
      <c r="U675" s="281"/>
      <c r="V675" s="281"/>
      <c r="W675" s="281"/>
      <c r="X675" s="281"/>
      <c r="Y675" s="281"/>
      <c r="Z675" s="281"/>
      <c r="AA675" s="281"/>
      <c r="AB675" s="281"/>
      <c r="AC675" s="281"/>
      <c r="AD675" s="281"/>
      <c r="AE675" s="281"/>
    </row>
    <row r="676" spans="15:31">
      <c r="O676" s="281"/>
      <c r="P676" s="281"/>
      <c r="Q676" s="281"/>
      <c r="R676" s="281"/>
      <c r="S676" s="281"/>
      <c r="T676" s="281"/>
      <c r="U676" s="281"/>
      <c r="V676" s="281"/>
      <c r="W676" s="281"/>
      <c r="X676" s="281"/>
      <c r="Y676" s="281"/>
      <c r="Z676" s="281"/>
      <c r="AA676" s="281"/>
      <c r="AB676" s="281"/>
      <c r="AC676" s="281"/>
      <c r="AD676" s="281"/>
      <c r="AE676" s="281"/>
    </row>
    <row r="677" spans="15:31">
      <c r="O677" s="281"/>
      <c r="P677" s="281"/>
      <c r="Q677" s="281"/>
      <c r="R677" s="281"/>
      <c r="S677" s="281"/>
      <c r="T677" s="281"/>
      <c r="U677" s="281"/>
      <c r="V677" s="281"/>
      <c r="W677" s="281"/>
      <c r="X677" s="281"/>
      <c r="Y677" s="281"/>
      <c r="Z677" s="281"/>
      <c r="AA677" s="281"/>
      <c r="AB677" s="281"/>
      <c r="AC677" s="281"/>
      <c r="AD677" s="281"/>
      <c r="AE677" s="281"/>
    </row>
    <row r="678" spans="15:31">
      <c r="O678" s="281"/>
      <c r="P678" s="281"/>
      <c r="Q678" s="281"/>
      <c r="R678" s="281"/>
      <c r="S678" s="281"/>
      <c r="T678" s="281"/>
      <c r="U678" s="281"/>
      <c r="V678" s="281"/>
      <c r="W678" s="281"/>
      <c r="X678" s="281"/>
      <c r="Y678" s="281"/>
      <c r="Z678" s="281"/>
      <c r="AA678" s="281"/>
      <c r="AB678" s="281"/>
      <c r="AC678" s="281"/>
      <c r="AD678" s="281"/>
      <c r="AE678" s="281"/>
    </row>
    <row r="679" spans="15:31">
      <c r="O679" s="281"/>
      <c r="P679" s="281"/>
      <c r="Q679" s="281"/>
      <c r="R679" s="281"/>
      <c r="S679" s="281"/>
      <c r="T679" s="281"/>
      <c r="U679" s="281"/>
      <c r="V679" s="281"/>
      <c r="W679" s="281"/>
      <c r="X679" s="281"/>
      <c r="Y679" s="281"/>
      <c r="Z679" s="281"/>
      <c r="AA679" s="281"/>
      <c r="AB679" s="281"/>
      <c r="AC679" s="281"/>
      <c r="AD679" s="281"/>
      <c r="AE679" s="281"/>
    </row>
    <row r="680" spans="15:31">
      <c r="O680" s="281"/>
      <c r="P680" s="281"/>
      <c r="Q680" s="281"/>
      <c r="R680" s="281"/>
      <c r="S680" s="281"/>
      <c r="T680" s="281"/>
      <c r="U680" s="281"/>
      <c r="V680" s="281"/>
      <c r="W680" s="281"/>
      <c r="X680" s="281"/>
      <c r="Y680" s="281"/>
      <c r="Z680" s="281"/>
      <c r="AA680" s="281"/>
      <c r="AB680" s="281"/>
      <c r="AC680" s="281"/>
      <c r="AD680" s="281"/>
      <c r="AE680" s="281"/>
    </row>
    <row r="681" spans="15:31">
      <c r="O681" s="281"/>
      <c r="P681" s="281"/>
      <c r="Q681" s="281"/>
      <c r="R681" s="281"/>
      <c r="S681" s="281"/>
      <c r="T681" s="281"/>
      <c r="U681" s="281"/>
      <c r="V681" s="281"/>
      <c r="W681" s="281"/>
      <c r="X681" s="281"/>
      <c r="Y681" s="281"/>
      <c r="Z681" s="281"/>
      <c r="AA681" s="281"/>
      <c r="AB681" s="281"/>
      <c r="AC681" s="281"/>
      <c r="AD681" s="281"/>
      <c r="AE681" s="281"/>
    </row>
    <row r="682" spans="15:31">
      <c r="O682" s="281"/>
      <c r="P682" s="281"/>
      <c r="Q682" s="281"/>
      <c r="R682" s="281"/>
      <c r="S682" s="281"/>
      <c r="T682" s="281"/>
      <c r="U682" s="281"/>
      <c r="V682" s="281"/>
      <c r="W682" s="281"/>
      <c r="X682" s="281"/>
      <c r="Y682" s="281"/>
      <c r="Z682" s="281"/>
      <c r="AA682" s="281"/>
      <c r="AB682" s="281"/>
      <c r="AC682" s="281"/>
      <c r="AD682" s="281"/>
      <c r="AE682" s="281"/>
    </row>
    <row r="683" spans="15:31">
      <c r="O683" s="281"/>
      <c r="P683" s="281"/>
      <c r="Q683" s="281"/>
      <c r="R683" s="281"/>
      <c r="S683" s="281"/>
      <c r="T683" s="281"/>
      <c r="U683" s="281"/>
      <c r="V683" s="281"/>
      <c r="W683" s="281"/>
      <c r="X683" s="281"/>
      <c r="Y683" s="281"/>
      <c r="Z683" s="281"/>
      <c r="AA683" s="281"/>
      <c r="AB683" s="281"/>
      <c r="AC683" s="281"/>
      <c r="AD683" s="281"/>
      <c r="AE683" s="281"/>
    </row>
    <row r="684" spans="15:31">
      <c r="O684" s="281"/>
      <c r="P684" s="281"/>
      <c r="Q684" s="281"/>
      <c r="R684" s="281"/>
      <c r="S684" s="281"/>
      <c r="T684" s="281"/>
      <c r="U684" s="281"/>
      <c r="V684" s="281"/>
      <c r="W684" s="281"/>
      <c r="X684" s="281"/>
      <c r="Y684" s="281"/>
      <c r="Z684" s="281"/>
      <c r="AA684" s="281"/>
      <c r="AB684" s="281"/>
      <c r="AC684" s="281"/>
      <c r="AD684" s="281"/>
      <c r="AE684" s="281"/>
    </row>
    <row r="685" spans="15:31">
      <c r="O685" s="281"/>
      <c r="P685" s="281"/>
      <c r="Q685" s="281"/>
      <c r="R685" s="281"/>
      <c r="S685" s="281"/>
      <c r="T685" s="281"/>
      <c r="U685" s="281"/>
      <c r="V685" s="281"/>
      <c r="W685" s="281"/>
      <c r="X685" s="281"/>
      <c r="Y685" s="281"/>
      <c r="Z685" s="281"/>
      <c r="AA685" s="281"/>
      <c r="AB685" s="281"/>
      <c r="AC685" s="281"/>
      <c r="AD685" s="281"/>
      <c r="AE685" s="281"/>
    </row>
    <row r="686" spans="15:31">
      <c r="O686" s="281"/>
      <c r="P686" s="281"/>
      <c r="Q686" s="281"/>
      <c r="R686" s="281"/>
      <c r="S686" s="281"/>
      <c r="T686" s="281"/>
      <c r="U686" s="281"/>
      <c r="V686" s="281"/>
      <c r="W686" s="281"/>
      <c r="X686" s="281"/>
      <c r="Y686" s="281"/>
      <c r="Z686" s="281"/>
      <c r="AA686" s="281"/>
      <c r="AB686" s="281"/>
      <c r="AC686" s="281"/>
      <c r="AD686" s="281"/>
      <c r="AE686" s="281"/>
    </row>
    <row r="687" spans="15:31">
      <c r="O687" s="281"/>
      <c r="P687" s="281"/>
      <c r="Q687" s="281"/>
      <c r="R687" s="281"/>
      <c r="S687" s="281"/>
      <c r="T687" s="281"/>
      <c r="U687" s="281"/>
      <c r="V687" s="281"/>
      <c r="W687" s="281"/>
      <c r="X687" s="281"/>
      <c r="Y687" s="281"/>
      <c r="Z687" s="281"/>
      <c r="AA687" s="281"/>
      <c r="AB687" s="281"/>
      <c r="AC687" s="281"/>
      <c r="AD687" s="281"/>
      <c r="AE687" s="281"/>
    </row>
    <row r="688" spans="15:31">
      <c r="O688" s="281"/>
      <c r="P688" s="281"/>
      <c r="Q688" s="281"/>
      <c r="R688" s="281"/>
      <c r="S688" s="281"/>
      <c r="T688" s="281"/>
      <c r="U688" s="281"/>
      <c r="V688" s="281"/>
      <c r="W688" s="281"/>
      <c r="X688" s="281"/>
      <c r="Y688" s="281"/>
      <c r="Z688" s="281"/>
      <c r="AA688" s="281"/>
      <c r="AB688" s="281"/>
      <c r="AC688" s="281"/>
      <c r="AD688" s="281"/>
      <c r="AE688" s="281"/>
    </row>
    <row r="689" spans="15:31">
      <c r="O689" s="281"/>
      <c r="P689" s="281"/>
      <c r="Q689" s="281"/>
      <c r="R689" s="281"/>
      <c r="S689" s="281"/>
      <c r="T689" s="281"/>
      <c r="U689" s="281"/>
      <c r="V689" s="281"/>
      <c r="W689" s="281"/>
      <c r="X689" s="281"/>
      <c r="Y689" s="281"/>
      <c r="Z689" s="281"/>
      <c r="AA689" s="281"/>
      <c r="AB689" s="281"/>
      <c r="AC689" s="281"/>
      <c r="AD689" s="281"/>
      <c r="AE689" s="281"/>
    </row>
    <row r="690" spans="15:31">
      <c r="O690" s="281"/>
      <c r="P690" s="281"/>
      <c r="Q690" s="281"/>
      <c r="R690" s="281"/>
      <c r="S690" s="281"/>
      <c r="T690" s="281"/>
      <c r="U690" s="281"/>
      <c r="V690" s="281"/>
      <c r="W690" s="281"/>
      <c r="X690" s="281"/>
      <c r="Y690" s="281"/>
      <c r="Z690" s="281"/>
      <c r="AA690" s="281"/>
      <c r="AB690" s="281"/>
      <c r="AC690" s="281"/>
      <c r="AD690" s="281"/>
      <c r="AE690" s="281"/>
    </row>
    <row r="691" spans="15:31">
      <c r="O691" s="281"/>
      <c r="P691" s="281"/>
      <c r="Q691" s="281"/>
      <c r="R691" s="281"/>
      <c r="S691" s="281"/>
      <c r="T691" s="281"/>
      <c r="U691" s="281"/>
      <c r="V691" s="281"/>
      <c r="W691" s="281"/>
      <c r="X691" s="281"/>
      <c r="Y691" s="281"/>
      <c r="Z691" s="281"/>
      <c r="AA691" s="281"/>
      <c r="AB691" s="281"/>
      <c r="AC691" s="281"/>
      <c r="AD691" s="281"/>
      <c r="AE691" s="281"/>
    </row>
    <row r="692" spans="15:31">
      <c r="O692" s="281"/>
      <c r="P692" s="281"/>
      <c r="Q692" s="281"/>
      <c r="R692" s="281"/>
      <c r="S692" s="281"/>
      <c r="T692" s="281"/>
      <c r="U692" s="281"/>
      <c r="V692" s="281"/>
      <c r="W692" s="281"/>
      <c r="X692" s="281"/>
      <c r="Y692" s="281"/>
      <c r="Z692" s="281"/>
      <c r="AA692" s="281"/>
      <c r="AB692" s="281"/>
      <c r="AC692" s="281"/>
      <c r="AD692" s="281"/>
      <c r="AE692" s="281"/>
    </row>
    <row r="693" spans="15:31">
      <c r="O693" s="281"/>
      <c r="P693" s="281"/>
      <c r="Q693" s="281"/>
      <c r="R693" s="281"/>
      <c r="S693" s="281"/>
      <c r="T693" s="281"/>
      <c r="U693" s="281"/>
      <c r="V693" s="281"/>
      <c r="W693" s="281"/>
      <c r="X693" s="281"/>
      <c r="Y693" s="281"/>
      <c r="Z693" s="281"/>
      <c r="AA693" s="281"/>
      <c r="AB693" s="281"/>
      <c r="AC693" s="281"/>
      <c r="AD693" s="281"/>
      <c r="AE693" s="281"/>
    </row>
    <row r="694" spans="15:31">
      <c r="O694" s="281"/>
      <c r="P694" s="281"/>
      <c r="Q694" s="281"/>
      <c r="R694" s="281"/>
      <c r="S694" s="281"/>
      <c r="T694" s="281"/>
      <c r="U694" s="281"/>
      <c r="V694" s="281"/>
      <c r="W694" s="281"/>
      <c r="X694" s="281"/>
      <c r="Y694" s="281"/>
      <c r="Z694" s="281"/>
      <c r="AA694" s="281"/>
      <c r="AB694" s="281"/>
      <c r="AC694" s="281"/>
      <c r="AD694" s="281"/>
      <c r="AE694" s="281"/>
    </row>
    <row r="695" spans="15:31">
      <c r="O695" s="281"/>
      <c r="P695" s="281"/>
      <c r="Q695" s="281"/>
      <c r="R695" s="281"/>
      <c r="S695" s="281"/>
      <c r="T695" s="281"/>
      <c r="U695" s="281"/>
      <c r="V695" s="281"/>
      <c r="W695" s="281"/>
      <c r="X695" s="281"/>
      <c r="Y695" s="281"/>
      <c r="Z695" s="281"/>
      <c r="AA695" s="281"/>
      <c r="AB695" s="281"/>
      <c r="AC695" s="281"/>
      <c r="AD695" s="281"/>
      <c r="AE695" s="281"/>
    </row>
    <row r="696" spans="15:31">
      <c r="O696" s="281"/>
      <c r="P696" s="281"/>
      <c r="Q696" s="281"/>
      <c r="R696" s="281"/>
      <c r="S696" s="281"/>
      <c r="T696" s="281"/>
      <c r="U696" s="281"/>
      <c r="V696" s="281"/>
      <c r="W696" s="281"/>
      <c r="X696" s="281"/>
      <c r="Y696" s="281"/>
      <c r="Z696" s="281"/>
      <c r="AA696" s="281"/>
      <c r="AB696" s="281"/>
      <c r="AC696" s="281"/>
      <c r="AD696" s="281"/>
      <c r="AE696" s="281"/>
    </row>
    <row r="697" spans="15:31">
      <c r="O697" s="281"/>
      <c r="P697" s="281"/>
      <c r="Q697" s="281"/>
      <c r="R697" s="281"/>
      <c r="S697" s="281"/>
      <c r="T697" s="281"/>
      <c r="U697" s="281"/>
      <c r="V697" s="281"/>
      <c r="W697" s="281"/>
      <c r="X697" s="281"/>
      <c r="Y697" s="281"/>
      <c r="Z697" s="281"/>
      <c r="AA697" s="281"/>
      <c r="AB697" s="281"/>
      <c r="AC697" s="281"/>
      <c r="AD697" s="281"/>
      <c r="AE697" s="281"/>
    </row>
    <row r="698" spans="15:31">
      <c r="O698" s="281"/>
      <c r="P698" s="281"/>
      <c r="Q698" s="281"/>
      <c r="R698" s="281"/>
      <c r="S698" s="281"/>
      <c r="T698" s="281"/>
      <c r="U698" s="281"/>
      <c r="V698" s="281"/>
      <c r="W698" s="281"/>
      <c r="X698" s="281"/>
      <c r="Y698" s="281"/>
      <c r="Z698" s="281"/>
      <c r="AA698" s="281"/>
      <c r="AB698" s="281"/>
      <c r="AC698" s="281"/>
      <c r="AD698" s="281"/>
      <c r="AE698" s="281"/>
    </row>
    <row r="699" spans="15:31">
      <c r="O699" s="281"/>
      <c r="P699" s="281"/>
      <c r="Q699" s="281"/>
      <c r="R699" s="281"/>
      <c r="S699" s="281"/>
      <c r="T699" s="281"/>
      <c r="U699" s="281"/>
      <c r="V699" s="281"/>
      <c r="W699" s="281"/>
      <c r="X699" s="281"/>
      <c r="Y699" s="281"/>
      <c r="Z699" s="281"/>
      <c r="AA699" s="281"/>
      <c r="AB699" s="281"/>
      <c r="AC699" s="281"/>
      <c r="AD699" s="281"/>
      <c r="AE699" s="281"/>
    </row>
    <row r="700" spans="15:31">
      <c r="O700" s="281"/>
      <c r="P700" s="281"/>
      <c r="Q700" s="281"/>
      <c r="R700" s="281"/>
      <c r="S700" s="281"/>
      <c r="T700" s="281"/>
      <c r="U700" s="281"/>
      <c r="V700" s="281"/>
      <c r="W700" s="281"/>
      <c r="X700" s="281"/>
      <c r="Y700" s="281"/>
      <c r="Z700" s="281"/>
      <c r="AA700" s="281"/>
      <c r="AB700" s="281"/>
      <c r="AC700" s="281"/>
      <c r="AD700" s="281"/>
      <c r="AE700" s="281"/>
    </row>
    <row r="701" spans="15:31">
      <c r="O701" s="281"/>
      <c r="P701" s="281"/>
      <c r="Q701" s="281"/>
      <c r="R701" s="281"/>
      <c r="S701" s="281"/>
      <c r="T701" s="281"/>
      <c r="U701" s="281"/>
      <c r="V701" s="281"/>
      <c r="W701" s="281"/>
      <c r="X701" s="281"/>
      <c r="Y701" s="281"/>
      <c r="Z701" s="281"/>
      <c r="AA701" s="281"/>
      <c r="AB701" s="281"/>
      <c r="AC701" s="281"/>
      <c r="AD701" s="281"/>
      <c r="AE701" s="281"/>
    </row>
    <row r="702" spans="15:31">
      <c r="O702" s="281"/>
      <c r="P702" s="281"/>
      <c r="Q702" s="281"/>
      <c r="R702" s="281"/>
      <c r="S702" s="281"/>
      <c r="T702" s="281"/>
      <c r="U702" s="281"/>
      <c r="V702" s="281"/>
      <c r="W702" s="281"/>
      <c r="X702" s="281"/>
      <c r="Y702" s="281"/>
      <c r="Z702" s="281"/>
      <c r="AA702" s="281"/>
      <c r="AB702" s="281"/>
      <c r="AC702" s="281"/>
      <c r="AD702" s="281"/>
      <c r="AE702" s="281"/>
    </row>
    <row r="703" spans="15:31">
      <c r="O703" s="281"/>
      <c r="P703" s="281"/>
      <c r="Q703" s="281"/>
      <c r="R703" s="281"/>
      <c r="S703" s="281"/>
      <c r="T703" s="281"/>
      <c r="U703" s="281"/>
      <c r="V703" s="281"/>
      <c r="W703" s="281"/>
      <c r="X703" s="281"/>
      <c r="Y703" s="281"/>
      <c r="Z703" s="281"/>
      <c r="AA703" s="281"/>
      <c r="AB703" s="281"/>
      <c r="AC703" s="281"/>
      <c r="AD703" s="281"/>
      <c r="AE703" s="281"/>
    </row>
    <row r="704" spans="15:31">
      <c r="O704" s="281"/>
      <c r="P704" s="281"/>
      <c r="Q704" s="281"/>
      <c r="R704" s="281"/>
      <c r="S704" s="281"/>
      <c r="T704" s="281"/>
      <c r="U704" s="281"/>
      <c r="V704" s="281"/>
      <c r="W704" s="281"/>
      <c r="X704" s="281"/>
      <c r="Y704" s="281"/>
      <c r="Z704" s="281"/>
      <c r="AA704" s="281"/>
      <c r="AB704" s="281"/>
      <c r="AC704" s="281"/>
      <c r="AD704" s="281"/>
      <c r="AE704" s="281"/>
    </row>
    <row r="705" spans="15:31">
      <c r="O705" s="281"/>
      <c r="P705" s="281"/>
      <c r="Q705" s="281"/>
      <c r="R705" s="281"/>
      <c r="S705" s="281"/>
      <c r="T705" s="281"/>
      <c r="U705" s="281"/>
      <c r="V705" s="281"/>
      <c r="W705" s="281"/>
      <c r="X705" s="281"/>
      <c r="Y705" s="281"/>
      <c r="Z705" s="281"/>
      <c r="AA705" s="281"/>
      <c r="AB705" s="281"/>
      <c r="AC705" s="281"/>
      <c r="AD705" s="281"/>
      <c r="AE705" s="281"/>
    </row>
    <row r="706" spans="15:31">
      <c r="O706" s="281"/>
      <c r="P706" s="281"/>
      <c r="Q706" s="281"/>
      <c r="R706" s="281"/>
      <c r="S706" s="281"/>
      <c r="T706" s="281"/>
      <c r="U706" s="281"/>
      <c r="V706" s="281"/>
      <c r="W706" s="281"/>
      <c r="X706" s="281"/>
      <c r="Y706" s="281"/>
      <c r="Z706" s="281"/>
      <c r="AA706" s="281"/>
      <c r="AB706" s="281"/>
      <c r="AC706" s="281"/>
      <c r="AD706" s="281"/>
      <c r="AE706" s="281"/>
    </row>
    <row r="707" spans="15:31">
      <c r="O707" s="281"/>
      <c r="P707" s="281"/>
      <c r="Q707" s="281"/>
      <c r="R707" s="281"/>
      <c r="S707" s="281"/>
      <c r="T707" s="281"/>
      <c r="U707" s="281"/>
      <c r="V707" s="281"/>
      <c r="W707" s="281"/>
      <c r="X707" s="281"/>
      <c r="Y707" s="281"/>
      <c r="Z707" s="281"/>
      <c r="AA707" s="281"/>
      <c r="AB707" s="281"/>
      <c r="AC707" s="281"/>
      <c r="AD707" s="281"/>
      <c r="AE707" s="281"/>
    </row>
    <row r="708" spans="15:31">
      <c r="O708" s="281"/>
      <c r="P708" s="281"/>
      <c r="Q708" s="281"/>
      <c r="R708" s="281"/>
      <c r="S708" s="281"/>
      <c r="T708" s="281"/>
      <c r="U708" s="281"/>
      <c r="V708" s="281"/>
      <c r="W708" s="281"/>
      <c r="X708" s="281"/>
      <c r="Y708" s="281"/>
      <c r="Z708" s="281"/>
      <c r="AA708" s="281"/>
      <c r="AB708" s="281"/>
      <c r="AC708" s="281"/>
      <c r="AD708" s="281"/>
      <c r="AE708" s="281"/>
    </row>
    <row r="709" spans="15:31">
      <c r="O709" s="281"/>
      <c r="P709" s="281"/>
      <c r="Q709" s="281"/>
      <c r="R709" s="281"/>
      <c r="S709" s="281"/>
      <c r="T709" s="281"/>
      <c r="U709" s="281"/>
      <c r="V709" s="281"/>
      <c r="W709" s="281"/>
      <c r="X709" s="281"/>
      <c r="Y709" s="281"/>
      <c r="Z709" s="281"/>
      <c r="AA709" s="281"/>
      <c r="AB709" s="281"/>
      <c r="AC709" s="281"/>
      <c r="AD709" s="281"/>
      <c r="AE709" s="281"/>
    </row>
    <row r="710" spans="15:31">
      <c r="O710" s="281"/>
      <c r="P710" s="281"/>
      <c r="Q710" s="281"/>
      <c r="R710" s="281"/>
      <c r="S710" s="281"/>
      <c r="T710" s="281"/>
      <c r="U710" s="281"/>
      <c r="V710" s="281"/>
      <c r="W710" s="281"/>
      <c r="X710" s="281"/>
      <c r="Y710" s="281"/>
      <c r="Z710" s="281"/>
      <c r="AA710" s="281"/>
      <c r="AB710" s="281"/>
      <c r="AC710" s="281"/>
      <c r="AD710" s="281"/>
      <c r="AE710" s="281"/>
    </row>
    <row r="711" spans="15:31">
      <c r="O711" s="281"/>
      <c r="P711" s="281"/>
      <c r="Q711" s="281"/>
      <c r="R711" s="281"/>
      <c r="S711" s="281"/>
      <c r="T711" s="281"/>
      <c r="U711" s="281"/>
      <c r="V711" s="281"/>
      <c r="W711" s="281"/>
      <c r="X711" s="281"/>
      <c r="Y711" s="281"/>
      <c r="Z711" s="281"/>
      <c r="AA711" s="281"/>
      <c r="AB711" s="281"/>
      <c r="AC711" s="281"/>
      <c r="AD711" s="281"/>
      <c r="AE711" s="281"/>
    </row>
    <row r="712" spans="15:31">
      <c r="O712" s="281"/>
      <c r="P712" s="281"/>
      <c r="Q712" s="281"/>
      <c r="R712" s="281"/>
      <c r="S712" s="281"/>
      <c r="T712" s="281"/>
      <c r="U712" s="281"/>
      <c r="V712" s="281"/>
      <c r="W712" s="281"/>
      <c r="X712" s="281"/>
      <c r="Y712" s="281"/>
      <c r="Z712" s="281"/>
      <c r="AA712" s="281"/>
      <c r="AB712" s="281"/>
      <c r="AC712" s="281"/>
      <c r="AD712" s="281"/>
      <c r="AE712" s="281"/>
    </row>
    <row r="713" spans="15:31">
      <c r="O713" s="281"/>
      <c r="P713" s="281"/>
      <c r="Q713" s="281"/>
      <c r="R713" s="281"/>
      <c r="S713" s="281"/>
      <c r="T713" s="281"/>
      <c r="U713" s="281"/>
      <c r="V713" s="281"/>
      <c r="W713" s="281"/>
      <c r="X713" s="281"/>
      <c r="Y713" s="281"/>
      <c r="Z713" s="281"/>
      <c r="AA713" s="281"/>
      <c r="AB713" s="281"/>
      <c r="AC713" s="281"/>
      <c r="AD713" s="281"/>
      <c r="AE713" s="281"/>
    </row>
    <row r="714" spans="15:31">
      <c r="O714" s="281"/>
      <c r="P714" s="281"/>
      <c r="Q714" s="281"/>
      <c r="R714" s="281"/>
      <c r="S714" s="281"/>
      <c r="T714" s="281"/>
      <c r="U714" s="281"/>
      <c r="V714" s="281"/>
      <c r="W714" s="281"/>
      <c r="X714" s="281"/>
      <c r="Y714" s="281"/>
      <c r="Z714" s="281"/>
      <c r="AA714" s="281"/>
      <c r="AB714" s="281"/>
      <c r="AC714" s="281"/>
      <c r="AD714" s="281"/>
      <c r="AE714" s="281"/>
    </row>
    <row r="715" spans="15:31">
      <c r="O715" s="281"/>
      <c r="P715" s="281"/>
      <c r="Q715" s="281"/>
      <c r="R715" s="281"/>
      <c r="S715" s="281"/>
      <c r="T715" s="281"/>
      <c r="U715" s="281"/>
      <c r="V715" s="281"/>
      <c r="W715" s="281"/>
      <c r="X715" s="281"/>
      <c r="Y715" s="281"/>
      <c r="Z715" s="281"/>
      <c r="AA715" s="281"/>
      <c r="AB715" s="281"/>
      <c r="AC715" s="281"/>
      <c r="AD715" s="281"/>
      <c r="AE715" s="281"/>
    </row>
    <row r="716" spans="15:31">
      <c r="O716" s="281"/>
      <c r="P716" s="281"/>
      <c r="Q716" s="281"/>
      <c r="R716" s="281"/>
      <c r="S716" s="281"/>
      <c r="T716" s="281"/>
      <c r="U716" s="281"/>
      <c r="V716" s="281"/>
      <c r="W716" s="281"/>
      <c r="X716" s="281"/>
      <c r="Y716" s="281"/>
      <c r="Z716" s="281"/>
      <c r="AA716" s="281"/>
      <c r="AB716" s="281"/>
      <c r="AC716" s="281"/>
      <c r="AD716" s="281"/>
      <c r="AE716" s="281"/>
    </row>
    <row r="717" spans="15:31">
      <c r="O717" s="281"/>
      <c r="P717" s="281"/>
      <c r="Q717" s="281"/>
      <c r="R717" s="281"/>
      <c r="S717" s="281"/>
      <c r="T717" s="281"/>
      <c r="U717" s="281"/>
      <c r="V717" s="281"/>
      <c r="W717" s="281"/>
      <c r="X717" s="281"/>
      <c r="Y717" s="281"/>
      <c r="Z717" s="281"/>
      <c r="AA717" s="281"/>
      <c r="AB717" s="281"/>
      <c r="AC717" s="281"/>
      <c r="AD717" s="281"/>
      <c r="AE717" s="281"/>
    </row>
    <row r="718" spans="15:31">
      <c r="O718" s="281"/>
      <c r="P718" s="281"/>
      <c r="Q718" s="281"/>
      <c r="R718" s="281"/>
      <c r="S718" s="281"/>
      <c r="T718" s="281"/>
      <c r="U718" s="281"/>
      <c r="V718" s="281"/>
      <c r="W718" s="281"/>
      <c r="X718" s="281"/>
      <c r="Y718" s="281"/>
      <c r="Z718" s="281"/>
      <c r="AA718" s="281"/>
      <c r="AB718" s="281"/>
      <c r="AC718" s="281"/>
      <c r="AD718" s="281"/>
      <c r="AE718" s="281"/>
    </row>
    <row r="719" spans="15:31">
      <c r="O719" s="281"/>
      <c r="P719" s="281"/>
      <c r="Q719" s="281"/>
      <c r="R719" s="281"/>
      <c r="S719" s="281"/>
      <c r="T719" s="281"/>
      <c r="U719" s="281"/>
      <c r="V719" s="281"/>
      <c r="W719" s="281"/>
      <c r="X719" s="281"/>
      <c r="Y719" s="281"/>
      <c r="Z719" s="281"/>
      <c r="AA719" s="281"/>
      <c r="AB719" s="281"/>
      <c r="AC719" s="281"/>
      <c r="AD719" s="281"/>
      <c r="AE719" s="281"/>
    </row>
    <row r="720" spans="15:31">
      <c r="O720" s="281"/>
      <c r="P720" s="281"/>
      <c r="Q720" s="281"/>
      <c r="R720" s="281"/>
      <c r="S720" s="281"/>
      <c r="T720" s="281"/>
      <c r="U720" s="281"/>
      <c r="V720" s="281"/>
      <c r="W720" s="281"/>
      <c r="X720" s="281"/>
      <c r="Y720" s="281"/>
      <c r="Z720" s="281"/>
      <c r="AA720" s="281"/>
      <c r="AB720" s="281"/>
      <c r="AC720" s="281"/>
      <c r="AD720" s="281"/>
      <c r="AE720" s="281"/>
    </row>
    <row r="721" spans="15:31">
      <c r="O721" s="281"/>
      <c r="P721" s="281"/>
      <c r="Q721" s="281"/>
      <c r="R721" s="281"/>
      <c r="S721" s="281"/>
      <c r="T721" s="281"/>
      <c r="U721" s="281"/>
      <c r="V721" s="281"/>
      <c r="W721" s="281"/>
      <c r="X721" s="281"/>
      <c r="Y721" s="281"/>
      <c r="Z721" s="281"/>
      <c r="AA721" s="281"/>
      <c r="AB721" s="281"/>
      <c r="AC721" s="281"/>
      <c r="AD721" s="281"/>
      <c r="AE721" s="281"/>
    </row>
    <row r="722" spans="15:31">
      <c r="O722" s="281"/>
      <c r="P722" s="281"/>
      <c r="Q722" s="281"/>
      <c r="R722" s="281"/>
      <c r="S722" s="281"/>
      <c r="T722" s="281"/>
      <c r="U722" s="281"/>
      <c r="V722" s="281"/>
      <c r="W722" s="281"/>
      <c r="X722" s="281"/>
      <c r="Y722" s="281"/>
      <c r="Z722" s="281"/>
      <c r="AA722" s="281"/>
      <c r="AB722" s="281"/>
      <c r="AC722" s="281"/>
      <c r="AD722" s="281"/>
      <c r="AE722" s="281"/>
    </row>
    <row r="723" spans="15:31">
      <c r="O723" s="281"/>
      <c r="P723" s="281"/>
      <c r="Q723" s="281"/>
      <c r="R723" s="281"/>
      <c r="S723" s="281"/>
      <c r="T723" s="281"/>
      <c r="U723" s="281"/>
      <c r="V723" s="281"/>
      <c r="W723" s="281"/>
      <c r="X723" s="281"/>
      <c r="Y723" s="281"/>
      <c r="Z723" s="281"/>
      <c r="AA723" s="281"/>
      <c r="AB723" s="281"/>
      <c r="AC723" s="281"/>
      <c r="AD723" s="281"/>
      <c r="AE723" s="281"/>
    </row>
    <row r="724" spans="15:31">
      <c r="O724" s="281"/>
      <c r="P724" s="281"/>
      <c r="Q724" s="281"/>
      <c r="R724" s="281"/>
      <c r="S724" s="281"/>
      <c r="T724" s="281"/>
      <c r="U724" s="281"/>
      <c r="V724" s="281"/>
      <c r="W724" s="281"/>
      <c r="X724" s="281"/>
      <c r="Y724" s="281"/>
      <c r="Z724" s="281"/>
      <c r="AA724" s="281"/>
      <c r="AB724" s="281"/>
      <c r="AC724" s="281"/>
      <c r="AD724" s="281"/>
      <c r="AE724" s="281"/>
    </row>
    <row r="725" spans="15:31">
      <c r="O725" s="281"/>
      <c r="P725" s="281"/>
      <c r="Q725" s="281"/>
      <c r="R725" s="281"/>
      <c r="S725" s="281"/>
      <c r="T725" s="281"/>
      <c r="U725" s="281"/>
      <c r="V725" s="281"/>
      <c r="W725" s="281"/>
      <c r="X725" s="281"/>
      <c r="Y725" s="281"/>
      <c r="Z725" s="281"/>
      <c r="AA725" s="281"/>
      <c r="AB725" s="281"/>
      <c r="AC725" s="281"/>
      <c r="AD725" s="281"/>
      <c r="AE725" s="281"/>
    </row>
    <row r="726" spans="15:31">
      <c r="O726" s="281"/>
      <c r="P726" s="281"/>
      <c r="Q726" s="281"/>
      <c r="R726" s="281"/>
      <c r="S726" s="281"/>
      <c r="T726" s="281"/>
      <c r="U726" s="281"/>
      <c r="V726" s="281"/>
      <c r="W726" s="281"/>
      <c r="X726" s="281"/>
      <c r="Y726" s="281"/>
      <c r="Z726" s="281"/>
      <c r="AA726" s="281"/>
      <c r="AB726" s="281"/>
      <c r="AC726" s="281"/>
      <c r="AD726" s="281"/>
      <c r="AE726" s="281"/>
    </row>
    <row r="727" spans="15:31">
      <c r="O727" s="281"/>
      <c r="P727" s="281"/>
      <c r="Q727" s="281"/>
      <c r="R727" s="281"/>
      <c r="S727" s="281"/>
      <c r="T727" s="281"/>
      <c r="U727" s="281"/>
      <c r="V727" s="281"/>
      <c r="W727" s="281"/>
      <c r="X727" s="281"/>
      <c r="Y727" s="281"/>
      <c r="Z727" s="281"/>
      <c r="AA727" s="281"/>
      <c r="AB727" s="281"/>
      <c r="AC727" s="281"/>
      <c r="AD727" s="281"/>
      <c r="AE727" s="281"/>
    </row>
    <row r="728" spans="15:31">
      <c r="O728" s="281"/>
      <c r="P728" s="281"/>
      <c r="Q728" s="281"/>
      <c r="R728" s="281"/>
      <c r="S728" s="281"/>
      <c r="T728" s="281"/>
      <c r="U728" s="281"/>
      <c r="V728" s="281"/>
      <c r="W728" s="281"/>
      <c r="X728" s="281"/>
      <c r="Y728" s="281"/>
      <c r="Z728" s="281"/>
      <c r="AA728" s="281"/>
      <c r="AB728" s="281"/>
      <c r="AC728" s="281"/>
      <c r="AD728" s="281"/>
      <c r="AE728" s="281"/>
    </row>
    <row r="729" spans="15:31">
      <c r="O729" s="281"/>
      <c r="P729" s="281"/>
      <c r="Q729" s="281"/>
      <c r="R729" s="281"/>
      <c r="S729" s="281"/>
      <c r="T729" s="281"/>
      <c r="U729" s="281"/>
      <c r="V729" s="281"/>
      <c r="W729" s="281"/>
      <c r="X729" s="281"/>
      <c r="Y729" s="281"/>
      <c r="Z729" s="281"/>
      <c r="AA729" s="281"/>
      <c r="AB729" s="281"/>
      <c r="AC729" s="281"/>
      <c r="AD729" s="281"/>
      <c r="AE729" s="281"/>
    </row>
    <row r="730" spans="15:31">
      <c r="O730" s="281"/>
      <c r="P730" s="281"/>
      <c r="Q730" s="281"/>
      <c r="R730" s="281"/>
      <c r="S730" s="281"/>
      <c r="T730" s="281"/>
      <c r="U730" s="281"/>
      <c r="V730" s="281"/>
      <c r="W730" s="281"/>
      <c r="X730" s="281"/>
      <c r="Y730" s="281"/>
      <c r="Z730" s="281"/>
      <c r="AA730" s="281"/>
      <c r="AB730" s="281"/>
      <c r="AC730" s="281"/>
      <c r="AD730" s="281"/>
      <c r="AE730" s="281"/>
    </row>
    <row r="731" spans="15:31">
      <c r="O731" s="281"/>
      <c r="P731" s="281"/>
      <c r="Q731" s="281"/>
      <c r="R731" s="281"/>
      <c r="S731" s="281"/>
      <c r="T731" s="281"/>
      <c r="U731" s="281"/>
      <c r="V731" s="281"/>
      <c r="W731" s="281"/>
      <c r="X731" s="281"/>
      <c r="Y731" s="281"/>
      <c r="Z731" s="281"/>
      <c r="AA731" s="281"/>
      <c r="AB731" s="281"/>
      <c r="AC731" s="281"/>
      <c r="AD731" s="281"/>
      <c r="AE731" s="281"/>
    </row>
    <row r="732" spans="15:31">
      <c r="O732" s="281"/>
      <c r="P732" s="281"/>
      <c r="Q732" s="281"/>
      <c r="R732" s="281"/>
      <c r="S732" s="281"/>
      <c r="T732" s="281"/>
      <c r="U732" s="281"/>
      <c r="V732" s="281"/>
      <c r="W732" s="281"/>
      <c r="X732" s="281"/>
      <c r="Y732" s="281"/>
      <c r="Z732" s="281"/>
      <c r="AA732" s="281"/>
      <c r="AB732" s="281"/>
      <c r="AC732" s="281"/>
      <c r="AD732" s="281"/>
      <c r="AE732" s="281"/>
    </row>
    <row r="733" spans="15:31">
      <c r="O733" s="281"/>
      <c r="P733" s="281"/>
      <c r="Q733" s="281"/>
      <c r="R733" s="281"/>
      <c r="S733" s="281"/>
      <c r="T733" s="281"/>
      <c r="U733" s="281"/>
      <c r="V733" s="281"/>
      <c r="W733" s="281"/>
      <c r="X733" s="281"/>
      <c r="Y733" s="281"/>
      <c r="Z733" s="281"/>
      <c r="AA733" s="281"/>
      <c r="AB733" s="281"/>
      <c r="AC733" s="281"/>
      <c r="AD733" s="281"/>
      <c r="AE733" s="281"/>
    </row>
    <row r="734" spans="15:31">
      <c r="O734" s="281"/>
      <c r="P734" s="281"/>
      <c r="Q734" s="281"/>
      <c r="R734" s="281"/>
      <c r="S734" s="281"/>
      <c r="T734" s="281"/>
      <c r="U734" s="281"/>
      <c r="V734" s="281"/>
      <c r="W734" s="281"/>
      <c r="X734" s="281"/>
      <c r="Y734" s="281"/>
      <c r="Z734" s="281"/>
      <c r="AA734" s="281"/>
      <c r="AB734" s="281"/>
      <c r="AC734" s="281"/>
      <c r="AD734" s="281"/>
      <c r="AE734" s="281"/>
    </row>
    <row r="735" spans="15:31">
      <c r="O735" s="281"/>
      <c r="P735" s="281"/>
      <c r="Q735" s="281"/>
      <c r="R735" s="281"/>
      <c r="S735" s="281"/>
      <c r="T735" s="281"/>
      <c r="U735" s="281"/>
      <c r="V735" s="281"/>
      <c r="W735" s="281"/>
      <c r="X735" s="281"/>
      <c r="Y735" s="281"/>
      <c r="Z735" s="281"/>
      <c r="AA735" s="281"/>
      <c r="AB735" s="281"/>
      <c r="AC735" s="281"/>
      <c r="AD735" s="281"/>
      <c r="AE735" s="281"/>
    </row>
    <row r="736" spans="15:31">
      <c r="O736" s="281"/>
      <c r="P736" s="281"/>
      <c r="Q736" s="281"/>
      <c r="R736" s="281"/>
      <c r="S736" s="281"/>
      <c r="T736" s="281"/>
      <c r="U736" s="281"/>
      <c r="V736" s="281"/>
      <c r="W736" s="281"/>
      <c r="X736" s="281"/>
      <c r="Y736" s="281"/>
      <c r="Z736" s="281"/>
      <c r="AA736" s="281"/>
      <c r="AB736" s="281"/>
      <c r="AC736" s="281"/>
      <c r="AD736" s="281"/>
      <c r="AE736" s="281"/>
    </row>
    <row r="737" spans="15:31">
      <c r="O737" s="281"/>
      <c r="P737" s="281"/>
      <c r="Q737" s="281"/>
      <c r="R737" s="281"/>
      <c r="S737" s="281"/>
      <c r="T737" s="281"/>
      <c r="U737" s="281"/>
      <c r="V737" s="281"/>
      <c r="W737" s="281"/>
      <c r="X737" s="281"/>
      <c r="Y737" s="281"/>
      <c r="Z737" s="281"/>
      <c r="AA737" s="281"/>
      <c r="AB737" s="281"/>
      <c r="AC737" s="281"/>
      <c r="AD737" s="281"/>
      <c r="AE737" s="281"/>
    </row>
    <row r="738" spans="15:31">
      <c r="O738" s="281"/>
      <c r="P738" s="281"/>
      <c r="Q738" s="281"/>
      <c r="R738" s="281"/>
      <c r="S738" s="281"/>
      <c r="T738" s="281"/>
      <c r="U738" s="281"/>
      <c r="V738" s="281"/>
      <c r="W738" s="281"/>
      <c r="X738" s="281"/>
      <c r="Y738" s="281"/>
      <c r="Z738" s="281"/>
      <c r="AA738" s="281"/>
      <c r="AB738" s="281"/>
      <c r="AC738" s="281"/>
      <c r="AD738" s="281"/>
      <c r="AE738" s="281"/>
    </row>
    <row r="739" spans="15:31">
      <c r="O739" s="281"/>
      <c r="P739" s="281"/>
      <c r="Q739" s="281"/>
      <c r="R739" s="281"/>
      <c r="S739" s="281"/>
      <c r="T739" s="281"/>
      <c r="U739" s="281"/>
      <c r="V739" s="281"/>
      <c r="W739" s="281"/>
      <c r="X739" s="281"/>
      <c r="Y739" s="281"/>
      <c r="Z739" s="281"/>
      <c r="AA739" s="281"/>
      <c r="AB739" s="281"/>
      <c r="AC739" s="281"/>
      <c r="AD739" s="281"/>
      <c r="AE739" s="281"/>
    </row>
    <row r="740" spans="15:31">
      <c r="O740" s="281"/>
      <c r="P740" s="281"/>
      <c r="Q740" s="281"/>
      <c r="R740" s="281"/>
      <c r="S740" s="281"/>
      <c r="T740" s="281"/>
      <c r="U740" s="281"/>
      <c r="V740" s="281"/>
      <c r="W740" s="281"/>
      <c r="X740" s="281"/>
      <c r="Y740" s="281"/>
      <c r="Z740" s="281"/>
      <c r="AA740" s="281"/>
      <c r="AB740" s="281"/>
      <c r="AC740" s="281"/>
      <c r="AD740" s="281"/>
      <c r="AE740" s="281"/>
    </row>
    <row r="741" spans="15:31">
      <c r="O741" s="281"/>
      <c r="P741" s="281"/>
      <c r="Q741" s="281"/>
      <c r="R741" s="281"/>
      <c r="S741" s="281"/>
      <c r="T741" s="281"/>
      <c r="U741" s="281"/>
      <c r="V741" s="281"/>
      <c r="W741" s="281"/>
      <c r="X741" s="281"/>
      <c r="Y741" s="281"/>
      <c r="Z741" s="281"/>
      <c r="AA741" s="281"/>
      <c r="AB741" s="281"/>
      <c r="AC741" s="281"/>
      <c r="AD741" s="281"/>
      <c r="AE741" s="281"/>
    </row>
    <row r="742" spans="15:31">
      <c r="O742" s="281"/>
      <c r="P742" s="281"/>
      <c r="Q742" s="281"/>
      <c r="R742" s="281"/>
      <c r="S742" s="281"/>
      <c r="T742" s="281"/>
      <c r="U742" s="281"/>
      <c r="V742" s="281"/>
      <c r="W742" s="281"/>
      <c r="X742" s="281"/>
      <c r="Y742" s="281"/>
      <c r="Z742" s="281"/>
      <c r="AA742" s="281"/>
      <c r="AB742" s="281"/>
      <c r="AC742" s="281"/>
      <c r="AD742" s="281"/>
      <c r="AE742" s="281"/>
    </row>
    <row r="743" spans="15:31">
      <c r="O743" s="281"/>
      <c r="P743" s="281"/>
      <c r="Q743" s="281"/>
      <c r="R743" s="281"/>
      <c r="S743" s="281"/>
      <c r="T743" s="281"/>
      <c r="U743" s="281"/>
      <c r="V743" s="281"/>
      <c r="W743" s="281"/>
      <c r="X743" s="281"/>
      <c r="Y743" s="281"/>
      <c r="Z743" s="281"/>
      <c r="AA743" s="281"/>
      <c r="AB743" s="281"/>
      <c r="AC743" s="281"/>
      <c r="AD743" s="281"/>
      <c r="AE743" s="281"/>
    </row>
    <row r="744" spans="15:31">
      <c r="O744" s="281"/>
      <c r="P744" s="281"/>
      <c r="Q744" s="281"/>
      <c r="R744" s="281"/>
      <c r="S744" s="281"/>
      <c r="T744" s="281"/>
      <c r="U744" s="281"/>
      <c r="V744" s="281"/>
      <c r="W744" s="281"/>
      <c r="X744" s="281"/>
      <c r="Y744" s="281"/>
      <c r="Z744" s="281"/>
      <c r="AA744" s="281"/>
      <c r="AB744" s="281"/>
      <c r="AC744" s="281"/>
      <c r="AD744" s="281"/>
      <c r="AE744" s="281"/>
    </row>
    <row r="745" spans="15:31">
      <c r="O745" s="281"/>
      <c r="P745" s="281"/>
      <c r="Q745" s="281"/>
      <c r="R745" s="281"/>
      <c r="S745" s="281"/>
      <c r="T745" s="281"/>
      <c r="U745" s="281"/>
      <c r="V745" s="281"/>
      <c r="W745" s="281"/>
      <c r="X745" s="281"/>
      <c r="Y745" s="281"/>
      <c r="Z745" s="281"/>
      <c r="AA745" s="281"/>
      <c r="AB745" s="281"/>
      <c r="AC745" s="281"/>
      <c r="AD745" s="281"/>
      <c r="AE745" s="281"/>
    </row>
    <row r="746" spans="15:31">
      <c r="O746" s="281"/>
      <c r="P746" s="281"/>
      <c r="Q746" s="281"/>
      <c r="R746" s="281"/>
      <c r="S746" s="281"/>
      <c r="T746" s="281"/>
      <c r="U746" s="281"/>
      <c r="V746" s="281"/>
      <c r="W746" s="281"/>
      <c r="X746" s="281"/>
      <c r="Y746" s="281"/>
      <c r="Z746" s="281"/>
      <c r="AA746" s="281"/>
      <c r="AB746" s="281"/>
      <c r="AC746" s="281"/>
      <c r="AD746" s="281"/>
      <c r="AE746" s="281"/>
    </row>
    <row r="747" spans="15:31">
      <c r="O747" s="281"/>
      <c r="P747" s="281"/>
      <c r="Q747" s="281"/>
      <c r="R747" s="281"/>
      <c r="S747" s="281"/>
      <c r="T747" s="281"/>
      <c r="U747" s="281"/>
      <c r="V747" s="281"/>
      <c r="W747" s="281"/>
      <c r="X747" s="281"/>
      <c r="Y747" s="281"/>
      <c r="Z747" s="281"/>
      <c r="AA747" s="281"/>
      <c r="AB747" s="281"/>
      <c r="AC747" s="281"/>
      <c r="AD747" s="281"/>
      <c r="AE747" s="281"/>
    </row>
    <row r="748" spans="15:31">
      <c r="O748" s="281"/>
      <c r="P748" s="281"/>
      <c r="Q748" s="281"/>
      <c r="R748" s="281"/>
      <c r="S748" s="281"/>
      <c r="T748" s="281"/>
      <c r="U748" s="281"/>
      <c r="V748" s="281"/>
      <c r="W748" s="281"/>
      <c r="X748" s="281"/>
      <c r="Y748" s="281"/>
      <c r="Z748" s="281"/>
      <c r="AA748" s="281"/>
      <c r="AB748" s="281"/>
      <c r="AC748" s="281"/>
      <c r="AD748" s="281"/>
      <c r="AE748" s="281"/>
    </row>
    <row r="749" spans="15:31">
      <c r="O749" s="281"/>
      <c r="P749" s="281"/>
      <c r="Q749" s="281"/>
      <c r="R749" s="281"/>
      <c r="S749" s="281"/>
      <c r="T749" s="281"/>
      <c r="U749" s="281"/>
      <c r="V749" s="281"/>
      <c r="W749" s="281"/>
      <c r="X749" s="281"/>
      <c r="Y749" s="281"/>
      <c r="Z749" s="281"/>
      <c r="AA749" s="281"/>
      <c r="AB749" s="281"/>
      <c r="AC749" s="281"/>
      <c r="AD749" s="281"/>
      <c r="AE749" s="281"/>
    </row>
    <row r="750" spans="15:31">
      <c r="O750" s="281"/>
      <c r="P750" s="281"/>
      <c r="Q750" s="281"/>
      <c r="R750" s="281"/>
      <c r="S750" s="281"/>
      <c r="T750" s="281"/>
      <c r="U750" s="281"/>
      <c r="V750" s="281"/>
      <c r="W750" s="281"/>
      <c r="X750" s="281"/>
      <c r="Y750" s="281"/>
      <c r="Z750" s="281"/>
      <c r="AA750" s="281"/>
      <c r="AB750" s="281"/>
      <c r="AC750" s="281"/>
      <c r="AD750" s="281"/>
      <c r="AE750" s="281"/>
    </row>
    <row r="751" spans="15:31">
      <c r="O751" s="281"/>
      <c r="P751" s="281"/>
      <c r="Q751" s="281"/>
      <c r="R751" s="281"/>
      <c r="S751" s="281"/>
      <c r="T751" s="281"/>
      <c r="U751" s="281"/>
      <c r="V751" s="281"/>
      <c r="W751" s="281"/>
      <c r="X751" s="281"/>
      <c r="Y751" s="281"/>
      <c r="Z751" s="281"/>
      <c r="AA751" s="281"/>
      <c r="AB751" s="281"/>
      <c r="AC751" s="281"/>
      <c r="AD751" s="281"/>
      <c r="AE751" s="281"/>
    </row>
    <row r="752" spans="15:31">
      <c r="O752" s="281"/>
      <c r="P752" s="281"/>
      <c r="Q752" s="281"/>
      <c r="R752" s="281"/>
      <c r="S752" s="281"/>
      <c r="T752" s="281"/>
      <c r="U752" s="281"/>
      <c r="V752" s="281"/>
      <c r="W752" s="281"/>
      <c r="X752" s="281"/>
      <c r="Y752" s="281"/>
      <c r="Z752" s="281"/>
      <c r="AA752" s="281"/>
      <c r="AB752" s="281"/>
      <c r="AC752" s="281"/>
      <c r="AD752" s="281"/>
      <c r="AE752" s="281"/>
    </row>
    <row r="753" spans="15:31">
      <c r="O753" s="281"/>
      <c r="P753" s="281"/>
      <c r="Q753" s="281"/>
      <c r="R753" s="281"/>
      <c r="S753" s="281"/>
      <c r="T753" s="281"/>
      <c r="U753" s="281"/>
      <c r="V753" s="281"/>
      <c r="W753" s="281"/>
      <c r="X753" s="281"/>
      <c r="Y753" s="281"/>
      <c r="Z753" s="281"/>
      <c r="AA753" s="281"/>
      <c r="AB753" s="281"/>
      <c r="AC753" s="281"/>
      <c r="AD753" s="281"/>
      <c r="AE753" s="281"/>
    </row>
    <row r="754" spans="15:31">
      <c r="O754" s="281"/>
      <c r="P754" s="281"/>
      <c r="Q754" s="281"/>
      <c r="R754" s="281"/>
      <c r="S754" s="281"/>
      <c r="T754" s="281"/>
      <c r="U754" s="281"/>
      <c r="V754" s="281"/>
      <c r="W754" s="281"/>
      <c r="X754" s="281"/>
      <c r="Y754" s="281"/>
      <c r="Z754" s="281"/>
      <c r="AA754" s="281"/>
      <c r="AB754" s="281"/>
      <c r="AC754" s="281"/>
      <c r="AD754" s="281"/>
      <c r="AE754" s="281"/>
    </row>
    <row r="755" spans="15:31">
      <c r="O755" s="281"/>
      <c r="P755" s="281"/>
      <c r="Q755" s="281"/>
      <c r="R755" s="281"/>
      <c r="S755" s="281"/>
      <c r="T755" s="281"/>
      <c r="U755" s="281"/>
      <c r="V755" s="281"/>
      <c r="W755" s="281"/>
      <c r="X755" s="281"/>
      <c r="Y755" s="281"/>
      <c r="Z755" s="281"/>
      <c r="AA755" s="281"/>
      <c r="AB755" s="281"/>
      <c r="AC755" s="281"/>
      <c r="AD755" s="281"/>
      <c r="AE755" s="281"/>
    </row>
    <row r="756" spans="15:31">
      <c r="O756" s="281"/>
      <c r="P756" s="281"/>
      <c r="Q756" s="281"/>
      <c r="R756" s="281"/>
      <c r="S756" s="281"/>
      <c r="T756" s="281"/>
      <c r="U756" s="281"/>
      <c r="V756" s="281"/>
      <c r="W756" s="281"/>
      <c r="X756" s="281"/>
      <c r="Y756" s="281"/>
      <c r="Z756" s="281"/>
      <c r="AA756" s="281"/>
      <c r="AB756" s="281"/>
      <c r="AC756" s="281"/>
      <c r="AD756" s="281"/>
      <c r="AE756" s="281"/>
    </row>
    <row r="757" spans="15:31">
      <c r="O757" s="281"/>
      <c r="P757" s="281"/>
      <c r="Q757" s="281"/>
      <c r="R757" s="281"/>
      <c r="S757" s="281"/>
      <c r="T757" s="281"/>
      <c r="U757" s="281"/>
      <c r="V757" s="281"/>
      <c r="W757" s="281"/>
      <c r="X757" s="281"/>
      <c r="Y757" s="281"/>
      <c r="Z757" s="281"/>
      <c r="AA757" s="281"/>
      <c r="AB757" s="281"/>
      <c r="AC757" s="281"/>
      <c r="AD757" s="281"/>
      <c r="AE757" s="281"/>
    </row>
    <row r="758" spans="15:31">
      <c r="O758" s="281"/>
      <c r="P758" s="281"/>
      <c r="Q758" s="281"/>
      <c r="R758" s="281"/>
      <c r="S758" s="281"/>
      <c r="T758" s="281"/>
      <c r="U758" s="281"/>
      <c r="V758" s="281"/>
      <c r="W758" s="281"/>
      <c r="X758" s="281"/>
      <c r="Y758" s="281"/>
      <c r="Z758" s="281"/>
      <c r="AA758" s="281"/>
      <c r="AB758" s="281"/>
      <c r="AC758" s="281"/>
      <c r="AD758" s="281"/>
      <c r="AE758" s="281"/>
    </row>
    <row r="759" spans="15:31">
      <c r="O759" s="281"/>
      <c r="P759" s="281"/>
      <c r="Q759" s="281"/>
      <c r="R759" s="281"/>
      <c r="S759" s="281"/>
      <c r="T759" s="281"/>
      <c r="U759" s="281"/>
      <c r="V759" s="281"/>
      <c r="W759" s="281"/>
      <c r="X759" s="281"/>
      <c r="Y759" s="281"/>
      <c r="Z759" s="281"/>
      <c r="AA759" s="281"/>
      <c r="AB759" s="281"/>
      <c r="AC759" s="281"/>
      <c r="AD759" s="281"/>
      <c r="AE759" s="281"/>
    </row>
    <row r="760" spans="15:31">
      <c r="O760" s="281"/>
      <c r="P760" s="281"/>
      <c r="Q760" s="281"/>
      <c r="R760" s="281"/>
      <c r="S760" s="281"/>
      <c r="T760" s="281"/>
      <c r="U760" s="281"/>
      <c r="V760" s="281"/>
      <c r="W760" s="281"/>
      <c r="X760" s="281"/>
      <c r="Y760" s="281"/>
      <c r="Z760" s="281"/>
      <c r="AA760" s="281"/>
      <c r="AB760" s="281"/>
      <c r="AC760" s="281"/>
      <c r="AD760" s="281"/>
      <c r="AE760" s="281"/>
    </row>
    <row r="761" spans="15:31">
      <c r="O761" s="281"/>
      <c r="P761" s="281"/>
      <c r="Q761" s="281"/>
      <c r="R761" s="281"/>
      <c r="S761" s="281"/>
      <c r="T761" s="281"/>
      <c r="U761" s="281"/>
      <c r="V761" s="281"/>
      <c r="W761" s="281"/>
      <c r="X761" s="281"/>
      <c r="Y761" s="281"/>
      <c r="Z761" s="281"/>
      <c r="AA761" s="281"/>
      <c r="AB761" s="281"/>
      <c r="AC761" s="281"/>
      <c r="AD761" s="281"/>
      <c r="AE761" s="281"/>
    </row>
    <row r="762" spans="15:31">
      <c r="O762" s="281"/>
      <c r="P762" s="281"/>
      <c r="Q762" s="281"/>
      <c r="R762" s="281"/>
      <c r="S762" s="281"/>
      <c r="T762" s="281"/>
      <c r="U762" s="281"/>
      <c r="V762" s="281"/>
      <c r="W762" s="281"/>
      <c r="X762" s="281"/>
      <c r="Y762" s="281"/>
      <c r="Z762" s="281"/>
      <c r="AA762" s="281"/>
      <c r="AB762" s="281"/>
      <c r="AC762" s="281"/>
      <c r="AD762" s="281"/>
      <c r="AE762" s="281"/>
    </row>
    <row r="763" spans="15:31">
      <c r="O763" s="281"/>
      <c r="P763" s="281"/>
      <c r="Q763" s="281"/>
      <c r="R763" s="281"/>
      <c r="S763" s="281"/>
      <c r="T763" s="281"/>
      <c r="U763" s="281"/>
      <c r="V763" s="281"/>
      <c r="W763" s="281"/>
      <c r="X763" s="281"/>
      <c r="Y763" s="281"/>
      <c r="Z763" s="281"/>
      <c r="AA763" s="281"/>
      <c r="AB763" s="281"/>
      <c r="AC763" s="281"/>
      <c r="AD763" s="281"/>
      <c r="AE763" s="281"/>
    </row>
    <row r="764" spans="15:31"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</row>
    <row r="765" spans="15:31">
      <c r="O765" s="281"/>
      <c r="P765" s="281"/>
      <c r="Q765" s="281"/>
      <c r="R765" s="281"/>
      <c r="S765" s="281"/>
      <c r="T765" s="281"/>
      <c r="U765" s="281"/>
      <c r="V765" s="281"/>
      <c r="W765" s="281"/>
      <c r="X765" s="281"/>
      <c r="Y765" s="281"/>
      <c r="Z765" s="281"/>
      <c r="AA765" s="281"/>
      <c r="AB765" s="281"/>
      <c r="AC765" s="281"/>
      <c r="AD765" s="281"/>
      <c r="AE765" s="281"/>
    </row>
    <row r="766" spans="15:31">
      <c r="O766" s="281"/>
      <c r="P766" s="281"/>
      <c r="Q766" s="281"/>
      <c r="R766" s="281"/>
      <c r="S766" s="281"/>
      <c r="T766" s="281"/>
      <c r="U766" s="281"/>
      <c r="V766" s="281"/>
      <c r="W766" s="281"/>
      <c r="X766" s="281"/>
      <c r="Y766" s="281"/>
      <c r="Z766" s="281"/>
      <c r="AA766" s="281"/>
      <c r="AB766" s="281"/>
      <c r="AC766" s="281"/>
      <c r="AD766" s="281"/>
      <c r="AE766" s="281"/>
    </row>
    <row r="767" spans="15:31">
      <c r="O767" s="281"/>
      <c r="P767" s="281"/>
      <c r="Q767" s="281"/>
      <c r="R767" s="281"/>
      <c r="S767" s="281"/>
      <c r="T767" s="281"/>
      <c r="U767" s="281"/>
      <c r="V767" s="281"/>
      <c r="W767" s="281"/>
      <c r="X767" s="281"/>
      <c r="Y767" s="281"/>
      <c r="Z767" s="281"/>
      <c r="AA767" s="281"/>
      <c r="AB767" s="281"/>
      <c r="AC767" s="281"/>
      <c r="AD767" s="281"/>
      <c r="AE767" s="281"/>
    </row>
    <row r="768" spans="15:31">
      <c r="O768" s="281"/>
      <c r="P768" s="281"/>
      <c r="Q768" s="281"/>
      <c r="R768" s="281"/>
      <c r="S768" s="281"/>
      <c r="T768" s="281"/>
      <c r="U768" s="281"/>
      <c r="V768" s="281"/>
      <c r="W768" s="281"/>
      <c r="X768" s="281"/>
      <c r="Y768" s="281"/>
      <c r="Z768" s="281"/>
      <c r="AA768" s="281"/>
      <c r="AB768" s="281"/>
      <c r="AC768" s="281"/>
      <c r="AD768" s="281"/>
      <c r="AE768" s="281"/>
    </row>
    <row r="769" spans="15:31">
      <c r="O769" s="281"/>
      <c r="P769" s="281"/>
      <c r="Q769" s="281"/>
      <c r="R769" s="281"/>
      <c r="S769" s="281"/>
      <c r="T769" s="281"/>
      <c r="U769" s="281"/>
      <c r="V769" s="281"/>
      <c r="W769" s="281"/>
      <c r="X769" s="281"/>
      <c r="Y769" s="281"/>
      <c r="Z769" s="281"/>
      <c r="AA769" s="281"/>
      <c r="AB769" s="281"/>
      <c r="AC769" s="281"/>
      <c r="AD769" s="281"/>
      <c r="AE769" s="281"/>
    </row>
    <row r="770" spans="15:31">
      <c r="O770" s="281"/>
      <c r="P770" s="281"/>
      <c r="Q770" s="281"/>
      <c r="R770" s="281"/>
      <c r="S770" s="281"/>
      <c r="T770" s="281"/>
      <c r="U770" s="281"/>
      <c r="V770" s="281"/>
      <c r="W770" s="281"/>
      <c r="X770" s="281"/>
      <c r="Y770" s="281"/>
      <c r="Z770" s="281"/>
      <c r="AA770" s="281"/>
      <c r="AB770" s="281"/>
      <c r="AC770" s="281"/>
      <c r="AD770" s="281"/>
      <c r="AE770" s="281"/>
    </row>
    <row r="771" spans="15:31">
      <c r="O771" s="281"/>
      <c r="P771" s="281"/>
      <c r="Q771" s="281"/>
      <c r="R771" s="281"/>
      <c r="S771" s="281"/>
      <c r="T771" s="281"/>
      <c r="U771" s="281"/>
      <c r="V771" s="281"/>
      <c r="W771" s="281"/>
      <c r="X771" s="281"/>
      <c r="Y771" s="281"/>
      <c r="Z771" s="281"/>
      <c r="AA771" s="281"/>
      <c r="AB771" s="281"/>
      <c r="AC771" s="281"/>
      <c r="AD771" s="281"/>
      <c r="AE771" s="281"/>
    </row>
    <row r="772" spans="15:31">
      <c r="O772" s="281"/>
      <c r="P772" s="281"/>
      <c r="Q772" s="281"/>
      <c r="R772" s="281"/>
      <c r="S772" s="281"/>
      <c r="T772" s="281"/>
      <c r="U772" s="281"/>
      <c r="V772" s="281"/>
      <c r="W772" s="281"/>
      <c r="X772" s="281"/>
      <c r="Y772" s="281"/>
      <c r="Z772" s="281"/>
      <c r="AA772" s="281"/>
      <c r="AB772" s="281"/>
      <c r="AC772" s="281"/>
      <c r="AD772" s="281"/>
      <c r="AE772" s="281"/>
    </row>
    <row r="773" spans="15:31">
      <c r="O773" s="281"/>
      <c r="P773" s="281"/>
      <c r="Q773" s="281"/>
      <c r="R773" s="281"/>
      <c r="S773" s="281"/>
      <c r="T773" s="281"/>
      <c r="U773" s="281"/>
      <c r="V773" s="281"/>
      <c r="W773" s="281"/>
      <c r="X773" s="281"/>
      <c r="Y773" s="281"/>
      <c r="Z773" s="281"/>
      <c r="AA773" s="281"/>
      <c r="AB773" s="281"/>
      <c r="AC773" s="281"/>
      <c r="AD773" s="281"/>
      <c r="AE773" s="281"/>
    </row>
    <row r="774" spans="15:31">
      <c r="O774" s="281"/>
      <c r="P774" s="281"/>
      <c r="Q774" s="281"/>
      <c r="R774" s="281"/>
      <c r="S774" s="281"/>
      <c r="T774" s="281"/>
      <c r="U774" s="281"/>
      <c r="V774" s="281"/>
      <c r="W774" s="281"/>
      <c r="X774" s="281"/>
      <c r="Y774" s="281"/>
      <c r="Z774" s="281"/>
      <c r="AA774" s="281"/>
      <c r="AB774" s="281"/>
      <c r="AC774" s="281"/>
      <c r="AD774" s="281"/>
      <c r="AE774" s="281"/>
    </row>
    <row r="775" spans="15:31">
      <c r="O775" s="281"/>
      <c r="P775" s="281"/>
      <c r="Q775" s="281"/>
      <c r="R775" s="281"/>
      <c r="S775" s="281"/>
      <c r="T775" s="281"/>
      <c r="U775" s="281"/>
      <c r="V775" s="281"/>
      <c r="W775" s="281"/>
      <c r="X775" s="281"/>
      <c r="Y775" s="281"/>
      <c r="Z775" s="281"/>
      <c r="AA775" s="281"/>
      <c r="AB775" s="281"/>
      <c r="AC775" s="281"/>
      <c r="AD775" s="281"/>
      <c r="AE775" s="281"/>
    </row>
    <row r="776" spans="15:31">
      <c r="O776" s="281"/>
      <c r="P776" s="281"/>
      <c r="Q776" s="281"/>
      <c r="R776" s="281"/>
      <c r="S776" s="281"/>
      <c r="T776" s="281"/>
      <c r="U776" s="281"/>
      <c r="V776" s="281"/>
      <c r="W776" s="281"/>
      <c r="X776" s="281"/>
      <c r="Y776" s="281"/>
      <c r="Z776" s="281"/>
      <c r="AA776" s="281"/>
      <c r="AB776" s="281"/>
      <c r="AC776" s="281"/>
      <c r="AD776" s="281"/>
      <c r="AE776" s="281"/>
    </row>
    <row r="777" spans="15:31">
      <c r="O777" s="281"/>
      <c r="P777" s="281"/>
      <c r="Q777" s="281"/>
      <c r="R777" s="281"/>
      <c r="S777" s="281"/>
      <c r="T777" s="281"/>
      <c r="U777" s="281"/>
      <c r="V777" s="281"/>
      <c r="W777" s="281"/>
      <c r="X777" s="281"/>
      <c r="Y777" s="281"/>
      <c r="Z777" s="281"/>
      <c r="AA777" s="281"/>
      <c r="AB777" s="281"/>
      <c r="AC777" s="281"/>
      <c r="AD777" s="281"/>
      <c r="AE777" s="281"/>
    </row>
    <row r="778" spans="15:31">
      <c r="O778" s="281"/>
      <c r="P778" s="281"/>
      <c r="Q778" s="281"/>
      <c r="R778" s="281"/>
      <c r="S778" s="281"/>
      <c r="T778" s="281"/>
      <c r="U778" s="281"/>
      <c r="V778" s="281"/>
      <c r="W778" s="281"/>
      <c r="X778" s="281"/>
      <c r="Y778" s="281"/>
      <c r="Z778" s="281"/>
      <c r="AA778" s="281"/>
      <c r="AB778" s="281"/>
      <c r="AC778" s="281"/>
      <c r="AD778" s="281"/>
      <c r="AE778" s="281"/>
    </row>
    <row r="779" spans="15:31"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</row>
    <row r="780" spans="15:31"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</row>
    <row r="781" spans="15:31">
      <c r="O781" s="281"/>
      <c r="P781" s="281"/>
      <c r="Q781" s="281"/>
      <c r="R781" s="281"/>
      <c r="S781" s="281"/>
      <c r="T781" s="281"/>
      <c r="U781" s="281"/>
      <c r="V781" s="281"/>
      <c r="W781" s="281"/>
      <c r="X781" s="281"/>
      <c r="Y781" s="281"/>
      <c r="Z781" s="281"/>
      <c r="AA781" s="281"/>
      <c r="AB781" s="281"/>
      <c r="AC781" s="281"/>
      <c r="AD781" s="281"/>
      <c r="AE781" s="281"/>
    </row>
    <row r="782" spans="15:31">
      <c r="O782" s="281"/>
      <c r="P782" s="281"/>
      <c r="Q782" s="281"/>
      <c r="R782" s="281"/>
      <c r="S782" s="281"/>
      <c r="T782" s="281"/>
      <c r="U782" s="281"/>
      <c r="V782" s="281"/>
      <c r="W782" s="281"/>
      <c r="X782" s="281"/>
      <c r="Y782" s="281"/>
      <c r="Z782" s="281"/>
      <c r="AA782" s="281"/>
      <c r="AB782" s="281"/>
      <c r="AC782" s="281"/>
      <c r="AD782" s="281"/>
      <c r="AE782" s="281"/>
    </row>
    <row r="783" spans="15:31">
      <c r="O783" s="281"/>
      <c r="P783" s="281"/>
      <c r="Q783" s="281"/>
      <c r="R783" s="281"/>
      <c r="S783" s="281"/>
      <c r="T783" s="281"/>
      <c r="U783" s="281"/>
      <c r="V783" s="281"/>
      <c r="W783" s="281"/>
      <c r="X783" s="281"/>
      <c r="Y783" s="281"/>
      <c r="Z783" s="281"/>
      <c r="AA783" s="281"/>
      <c r="AB783" s="281"/>
      <c r="AC783" s="281"/>
      <c r="AD783" s="281"/>
      <c r="AE783" s="281"/>
    </row>
    <row r="784" spans="15:31">
      <c r="O784" s="281"/>
      <c r="P784" s="281"/>
      <c r="Q784" s="281"/>
      <c r="R784" s="281"/>
      <c r="S784" s="281"/>
      <c r="T784" s="281"/>
      <c r="U784" s="281"/>
      <c r="V784" s="281"/>
      <c r="W784" s="281"/>
      <c r="X784" s="281"/>
      <c r="Y784" s="281"/>
      <c r="Z784" s="281"/>
      <c r="AA784" s="281"/>
      <c r="AB784" s="281"/>
      <c r="AC784" s="281"/>
      <c r="AD784" s="281"/>
      <c r="AE784" s="281"/>
    </row>
    <row r="785" spans="15:31">
      <c r="O785" s="281"/>
      <c r="P785" s="281"/>
      <c r="Q785" s="281"/>
      <c r="R785" s="281"/>
      <c r="S785" s="281"/>
      <c r="T785" s="281"/>
      <c r="U785" s="281"/>
      <c r="V785" s="281"/>
      <c r="W785" s="281"/>
      <c r="X785" s="281"/>
      <c r="Y785" s="281"/>
      <c r="Z785" s="281"/>
      <c r="AA785" s="281"/>
      <c r="AB785" s="281"/>
      <c r="AC785" s="281"/>
      <c r="AD785" s="281"/>
      <c r="AE785" s="281"/>
    </row>
    <row r="786" spans="15:31">
      <c r="O786" s="281"/>
      <c r="P786" s="281"/>
      <c r="Q786" s="281"/>
      <c r="R786" s="281"/>
      <c r="S786" s="281"/>
      <c r="T786" s="281"/>
      <c r="U786" s="281"/>
      <c r="V786" s="281"/>
      <c r="W786" s="281"/>
      <c r="X786" s="281"/>
      <c r="Y786" s="281"/>
      <c r="Z786" s="281"/>
      <c r="AA786" s="281"/>
      <c r="AB786" s="281"/>
      <c r="AC786" s="281"/>
      <c r="AD786" s="281"/>
      <c r="AE786" s="281"/>
    </row>
    <row r="787" spans="15:31">
      <c r="O787" s="281"/>
      <c r="P787" s="281"/>
      <c r="Q787" s="281"/>
      <c r="R787" s="281"/>
      <c r="S787" s="281"/>
      <c r="T787" s="281"/>
      <c r="U787" s="281"/>
      <c r="V787" s="281"/>
      <c r="W787" s="281"/>
      <c r="X787" s="281"/>
      <c r="Y787" s="281"/>
      <c r="Z787" s="281"/>
      <c r="AA787" s="281"/>
      <c r="AB787" s="281"/>
      <c r="AC787" s="281"/>
      <c r="AD787" s="281"/>
      <c r="AE787" s="281"/>
    </row>
    <row r="788" spans="15:31">
      <c r="O788" s="281"/>
      <c r="P788" s="281"/>
      <c r="Q788" s="281"/>
      <c r="R788" s="281"/>
      <c r="S788" s="281"/>
      <c r="T788" s="281"/>
      <c r="U788" s="281"/>
      <c r="V788" s="281"/>
      <c r="W788" s="281"/>
      <c r="X788" s="281"/>
      <c r="Y788" s="281"/>
      <c r="Z788" s="281"/>
      <c r="AA788" s="281"/>
      <c r="AB788" s="281"/>
      <c r="AC788" s="281"/>
      <c r="AD788" s="281"/>
      <c r="AE788" s="281"/>
    </row>
    <row r="789" spans="15:31">
      <c r="O789" s="281"/>
      <c r="P789" s="281"/>
      <c r="Q789" s="281"/>
      <c r="R789" s="281"/>
      <c r="S789" s="281"/>
      <c r="T789" s="281"/>
      <c r="U789" s="281"/>
      <c r="V789" s="281"/>
      <c r="W789" s="281"/>
      <c r="X789" s="281"/>
      <c r="Y789" s="281"/>
      <c r="Z789" s="281"/>
      <c r="AA789" s="281"/>
      <c r="AB789" s="281"/>
      <c r="AC789" s="281"/>
      <c r="AD789" s="281"/>
      <c r="AE789" s="281"/>
    </row>
    <row r="790" spans="15:31">
      <c r="O790" s="281"/>
      <c r="P790" s="281"/>
      <c r="Q790" s="281"/>
      <c r="R790" s="281"/>
      <c r="S790" s="281"/>
      <c r="T790" s="281"/>
      <c r="U790" s="281"/>
      <c r="V790" s="281"/>
      <c r="W790" s="281"/>
      <c r="X790" s="281"/>
      <c r="Y790" s="281"/>
      <c r="Z790" s="281"/>
      <c r="AA790" s="281"/>
      <c r="AB790" s="281"/>
      <c r="AC790" s="281"/>
      <c r="AD790" s="281"/>
      <c r="AE790" s="281"/>
    </row>
    <row r="791" spans="15:31">
      <c r="O791" s="281"/>
      <c r="P791" s="281"/>
      <c r="Q791" s="281"/>
      <c r="R791" s="281"/>
      <c r="S791" s="281"/>
      <c r="T791" s="281"/>
      <c r="U791" s="281"/>
      <c r="V791" s="281"/>
      <c r="W791" s="281"/>
      <c r="X791" s="281"/>
      <c r="Y791" s="281"/>
      <c r="Z791" s="281"/>
      <c r="AA791" s="281"/>
      <c r="AB791" s="281"/>
      <c r="AC791" s="281"/>
      <c r="AD791" s="281"/>
      <c r="AE791" s="281"/>
    </row>
    <row r="792" spans="15:31">
      <c r="O792" s="281"/>
      <c r="P792" s="281"/>
      <c r="Q792" s="281"/>
      <c r="R792" s="281"/>
      <c r="S792" s="281"/>
      <c r="T792" s="281"/>
      <c r="U792" s="281"/>
      <c r="V792" s="281"/>
      <c r="W792" s="281"/>
      <c r="X792" s="281"/>
      <c r="Y792" s="281"/>
      <c r="Z792" s="281"/>
      <c r="AA792" s="281"/>
      <c r="AB792" s="281"/>
      <c r="AC792" s="281"/>
      <c r="AD792" s="281"/>
      <c r="AE792" s="281"/>
    </row>
    <row r="793" spans="15:31">
      <c r="O793" s="281"/>
      <c r="P793" s="281"/>
      <c r="Q793" s="281"/>
      <c r="R793" s="281"/>
      <c r="S793" s="281"/>
      <c r="T793" s="281"/>
      <c r="U793" s="281"/>
      <c r="V793" s="281"/>
      <c r="W793" s="281"/>
      <c r="X793" s="281"/>
      <c r="Y793" s="281"/>
      <c r="Z793" s="281"/>
      <c r="AA793" s="281"/>
      <c r="AB793" s="281"/>
      <c r="AC793" s="281"/>
      <c r="AD793" s="281"/>
      <c r="AE793" s="281"/>
    </row>
    <row r="794" spans="15:31"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</row>
    <row r="795" spans="15:31">
      <c r="O795" s="281"/>
      <c r="P795" s="281"/>
      <c r="Q795" s="281"/>
      <c r="R795" s="281"/>
      <c r="S795" s="281"/>
      <c r="T795" s="281"/>
      <c r="U795" s="281"/>
      <c r="V795" s="281"/>
      <c r="W795" s="281"/>
      <c r="X795" s="281"/>
      <c r="Y795" s="281"/>
      <c r="Z795" s="281"/>
      <c r="AA795" s="281"/>
      <c r="AB795" s="281"/>
      <c r="AC795" s="281"/>
      <c r="AD795" s="281"/>
      <c r="AE795" s="281"/>
    </row>
    <row r="796" spans="15:31">
      <c r="O796" s="281"/>
      <c r="P796" s="281"/>
      <c r="Q796" s="281"/>
      <c r="R796" s="281"/>
      <c r="S796" s="281"/>
      <c r="T796" s="281"/>
      <c r="U796" s="281"/>
      <c r="V796" s="281"/>
      <c r="W796" s="281"/>
      <c r="X796" s="281"/>
      <c r="Y796" s="281"/>
      <c r="Z796" s="281"/>
      <c r="AA796" s="281"/>
      <c r="AB796" s="281"/>
      <c r="AC796" s="281"/>
      <c r="AD796" s="281"/>
      <c r="AE796" s="281"/>
    </row>
    <row r="797" spans="15:31">
      <c r="O797" s="281"/>
      <c r="P797" s="281"/>
      <c r="Q797" s="281"/>
      <c r="R797" s="281"/>
      <c r="S797" s="281"/>
      <c r="T797" s="281"/>
      <c r="U797" s="281"/>
      <c r="V797" s="281"/>
      <c r="W797" s="281"/>
      <c r="X797" s="281"/>
      <c r="Y797" s="281"/>
      <c r="Z797" s="281"/>
      <c r="AA797" s="281"/>
      <c r="AB797" s="281"/>
      <c r="AC797" s="281"/>
      <c r="AD797" s="281"/>
      <c r="AE797" s="281"/>
    </row>
    <row r="798" spans="15:31">
      <c r="O798" s="281"/>
      <c r="P798" s="281"/>
      <c r="Q798" s="281"/>
      <c r="R798" s="281"/>
      <c r="S798" s="281"/>
      <c r="T798" s="281"/>
      <c r="U798" s="281"/>
      <c r="V798" s="281"/>
      <c r="W798" s="281"/>
      <c r="X798" s="281"/>
      <c r="Y798" s="281"/>
      <c r="Z798" s="281"/>
      <c r="AA798" s="281"/>
      <c r="AB798" s="281"/>
      <c r="AC798" s="281"/>
      <c r="AD798" s="281"/>
      <c r="AE798" s="281"/>
    </row>
    <row r="799" spans="15:31">
      <c r="O799" s="281"/>
      <c r="P799" s="281"/>
      <c r="Q799" s="281"/>
      <c r="R799" s="281"/>
      <c r="S799" s="281"/>
      <c r="T799" s="281"/>
      <c r="U799" s="281"/>
      <c r="V799" s="281"/>
      <c r="W799" s="281"/>
      <c r="X799" s="281"/>
      <c r="Y799" s="281"/>
      <c r="Z799" s="281"/>
      <c r="AA799" s="281"/>
      <c r="AB799" s="281"/>
      <c r="AC799" s="281"/>
      <c r="AD799" s="281"/>
      <c r="AE799" s="281"/>
    </row>
    <row r="800" spans="15:31">
      <c r="O800" s="281"/>
      <c r="P800" s="281"/>
      <c r="Q800" s="281"/>
      <c r="R800" s="281"/>
      <c r="S800" s="281"/>
      <c r="T800" s="281"/>
      <c r="U800" s="281"/>
      <c r="V800" s="281"/>
      <c r="W800" s="281"/>
      <c r="X800" s="281"/>
      <c r="Y800" s="281"/>
      <c r="Z800" s="281"/>
      <c r="AA800" s="281"/>
      <c r="AB800" s="281"/>
      <c r="AC800" s="281"/>
      <c r="AD800" s="281"/>
      <c r="AE800" s="281"/>
    </row>
    <row r="801" spans="15:31">
      <c r="O801" s="281"/>
      <c r="P801" s="281"/>
      <c r="Q801" s="281"/>
      <c r="R801" s="281"/>
      <c r="S801" s="281"/>
      <c r="T801" s="281"/>
      <c r="U801" s="281"/>
      <c r="V801" s="281"/>
      <c r="W801" s="281"/>
      <c r="X801" s="281"/>
      <c r="Y801" s="281"/>
      <c r="Z801" s="281"/>
      <c r="AA801" s="281"/>
      <c r="AB801" s="281"/>
      <c r="AC801" s="281"/>
      <c r="AD801" s="281"/>
      <c r="AE801" s="281"/>
    </row>
    <row r="802" spans="15:31">
      <c r="O802" s="281"/>
      <c r="P802" s="281"/>
      <c r="Q802" s="281"/>
      <c r="R802" s="281"/>
      <c r="S802" s="281"/>
      <c r="T802" s="281"/>
      <c r="U802" s="281"/>
      <c r="V802" s="281"/>
      <c r="W802" s="281"/>
      <c r="X802" s="281"/>
      <c r="Y802" s="281"/>
      <c r="Z802" s="281"/>
      <c r="AA802" s="281"/>
      <c r="AB802" s="281"/>
      <c r="AC802" s="281"/>
      <c r="AD802" s="281"/>
      <c r="AE802" s="281"/>
    </row>
    <row r="803" spans="15:31">
      <c r="O803" s="281"/>
      <c r="P803" s="281"/>
      <c r="Q803" s="281"/>
      <c r="R803" s="281"/>
      <c r="S803" s="281"/>
      <c r="T803" s="281"/>
      <c r="U803" s="281"/>
      <c r="V803" s="281"/>
      <c r="W803" s="281"/>
      <c r="X803" s="281"/>
      <c r="Y803" s="281"/>
      <c r="Z803" s="281"/>
      <c r="AA803" s="281"/>
      <c r="AB803" s="281"/>
      <c r="AC803" s="281"/>
      <c r="AD803" s="281"/>
      <c r="AE803" s="281"/>
    </row>
    <row r="804" spans="15:31">
      <c r="O804" s="281"/>
      <c r="P804" s="281"/>
      <c r="Q804" s="281"/>
      <c r="R804" s="281"/>
      <c r="S804" s="281"/>
      <c r="T804" s="281"/>
      <c r="U804" s="281"/>
      <c r="V804" s="281"/>
      <c r="W804" s="281"/>
      <c r="X804" s="281"/>
      <c r="Y804" s="281"/>
      <c r="Z804" s="281"/>
      <c r="AA804" s="281"/>
      <c r="AB804" s="281"/>
      <c r="AC804" s="281"/>
      <c r="AD804" s="281"/>
      <c r="AE804" s="281"/>
    </row>
    <row r="805" spans="15:31">
      <c r="O805" s="281"/>
      <c r="P805" s="281"/>
      <c r="Q805" s="281"/>
      <c r="R805" s="281"/>
      <c r="S805" s="281"/>
      <c r="T805" s="281"/>
      <c r="U805" s="281"/>
      <c r="V805" s="281"/>
      <c r="W805" s="281"/>
      <c r="X805" s="281"/>
      <c r="Y805" s="281"/>
      <c r="Z805" s="281"/>
      <c r="AA805" s="281"/>
      <c r="AB805" s="281"/>
      <c r="AC805" s="281"/>
      <c r="AD805" s="281"/>
      <c r="AE805" s="281"/>
    </row>
    <row r="806" spans="15:31">
      <c r="O806" s="281"/>
      <c r="P806" s="281"/>
      <c r="Q806" s="281"/>
      <c r="R806" s="281"/>
      <c r="S806" s="281"/>
      <c r="T806" s="281"/>
      <c r="U806" s="281"/>
      <c r="V806" s="281"/>
      <c r="W806" s="281"/>
      <c r="X806" s="281"/>
      <c r="Y806" s="281"/>
      <c r="Z806" s="281"/>
      <c r="AA806" s="281"/>
      <c r="AB806" s="281"/>
      <c r="AC806" s="281"/>
      <c r="AD806" s="281"/>
      <c r="AE806" s="281"/>
    </row>
    <row r="807" spans="15:31">
      <c r="O807" s="281"/>
      <c r="P807" s="281"/>
      <c r="Q807" s="281"/>
      <c r="R807" s="281"/>
      <c r="S807" s="281"/>
      <c r="T807" s="281"/>
      <c r="U807" s="281"/>
      <c r="V807" s="281"/>
      <c r="W807" s="281"/>
      <c r="X807" s="281"/>
      <c r="Y807" s="281"/>
      <c r="Z807" s="281"/>
      <c r="AA807" s="281"/>
      <c r="AB807" s="281"/>
      <c r="AC807" s="281"/>
      <c r="AD807" s="281"/>
      <c r="AE807" s="281"/>
    </row>
    <row r="808" spans="15:31">
      <c r="O808" s="281"/>
      <c r="P808" s="281"/>
      <c r="Q808" s="281"/>
      <c r="R808" s="281"/>
      <c r="S808" s="281"/>
      <c r="T808" s="281"/>
      <c r="U808" s="281"/>
      <c r="V808" s="281"/>
      <c r="W808" s="281"/>
      <c r="X808" s="281"/>
      <c r="Y808" s="281"/>
      <c r="Z808" s="281"/>
      <c r="AA808" s="281"/>
      <c r="AB808" s="281"/>
      <c r="AC808" s="281"/>
      <c r="AD808" s="281"/>
      <c r="AE808" s="28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CDS</vt:lpstr>
      <vt:lpstr>Fwd Intensity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2024-06-27T09:22:08Z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