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445" documentId="13_ncr:1_{B5827D37-63AF-4BD1-A0A3-6E704A76DBBC}" xr6:coauthVersionLast="47" xr6:coauthVersionMax="47" xr10:uidLastSave="{6F167717-0201-4B9C-B184-B074055B6146}"/>
  <bookViews>
    <workbookView xWindow="-120" yWindow="-120" windowWidth="29040" windowHeight="15720" activeTab="9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Chart2" sheetId="17" state="hidden" r:id="rId9"/>
    <sheet name="FRTB" sheetId="16" r:id="rId10"/>
    <sheet name="CDO2" sheetId="13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9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16" i="16" l="1" a="1"/>
  <c r="BC16" i="16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BD16" i="16" a="1"/>
  <c r="BD16" i="16"/>
  <c r="F15" i="8" a="1"/>
  <c r="F15" i="8"/>
  <c r="AQ11" i="16"/>
  <c r="AQ11" i="16" a="1"/>
  <c r="AW14" i="16" a="1"/>
  <c r="AW14" i="16"/>
  <c r="AQ14" i="16" a="1"/>
  <c r="AQ14" i="16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D5" i="11"/>
  <c r="D7" i="11" a="1"/>
  <c r="D7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C18" i="11"/>
  <c r="BQ14" i="16" a="1"/>
  <c r="BQ14" i="16"/>
  <c r="C18" i="4" a="1"/>
  <c r="C18" i="4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AG11" i="16" l="1"/>
  <c r="T9" i="16" a="1"/>
  <c r="T9" i="16"/>
  <c r="X14" i="16"/>
  <c r="AA14" i="16"/>
  <c r="V9" i="16"/>
  <c r="AB14" i="16"/>
  <c r="AE14" i="16"/>
  <c r="W9" i="16"/>
  <c r="X15" i="16"/>
  <c r="AA15" i="16"/>
  <c r="V10" i="16"/>
  <c r="AB15" i="16"/>
  <c r="AE15" i="16"/>
  <c r="W10" i="16"/>
  <c r="Y14" i="16"/>
  <c r="Z14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Y12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Y11" i="16"/>
  <c r="Y10" i="16"/>
  <c r="AC14" i="16"/>
  <c r="AD14" i="16"/>
  <c r="AC15" i="16"/>
  <c r="AD15" i="16"/>
  <c r="AB16" i="16"/>
  <c r="AC16" i="16"/>
  <c r="AD16" i="16"/>
  <c r="AB17" i="16"/>
  <c r="AC17" i="16"/>
  <c r="AD17" i="16"/>
  <c r="AB18" i="16"/>
  <c r="AC18" i="16"/>
  <c r="AD18" i="16"/>
  <c r="AB19" i="16"/>
  <c r="AC19" i="16"/>
  <c r="AD19" i="16"/>
  <c r="AB20" i="16"/>
  <c r="AC20" i="16"/>
  <c r="AD20" i="16"/>
  <c r="AB21" i="16"/>
  <c r="AC21" i="16"/>
  <c r="AD21" i="16"/>
  <c r="AB22" i="16"/>
  <c r="AC22" i="16"/>
  <c r="AD22" i="16"/>
  <c r="AB23" i="16"/>
  <c r="AC23" i="16"/>
  <c r="AD23" i="16"/>
  <c r="AB24" i="16"/>
  <c r="AC24" i="16"/>
  <c r="AD24" i="16"/>
  <c r="AB25" i="16"/>
  <c r="AC25" i="16"/>
  <c r="AD25" i="16"/>
  <c r="AB26" i="16"/>
  <c r="AC26" i="16"/>
  <c r="AD26" i="16"/>
  <c r="AB27" i="16"/>
  <c r="AC27" i="16"/>
  <c r="AD27" i="16"/>
  <c r="AB28" i="16"/>
  <c r="AC28" i="16"/>
  <c r="AD28" i="16"/>
  <c r="AB29" i="16"/>
  <c r="AC29" i="16"/>
  <c r="AD29" i="16"/>
  <c r="AB30" i="16"/>
  <c r="AC30" i="16"/>
  <c r="AD30" i="16"/>
  <c r="AB31" i="16"/>
  <c r="AC31" i="16"/>
  <c r="AD31" i="16"/>
  <c r="AB32" i="16"/>
  <c r="AC32" i="16"/>
  <c r="AD32" i="16"/>
  <c r="AB33" i="16"/>
  <c r="AC33" i="16"/>
  <c r="AD33" i="16"/>
  <c r="AB34" i="16"/>
  <c r="AC34" i="16"/>
  <c r="AD34" i="16"/>
  <c r="AB35" i="16"/>
  <c r="AC35" i="16"/>
  <c r="AD35" i="16"/>
  <c r="AB36" i="16"/>
  <c r="AC36" i="16"/>
  <c r="AD36" i="16"/>
  <c r="AB37" i="16"/>
  <c r="AC37" i="16"/>
  <c r="AD37" i="16"/>
  <c r="AB38" i="16"/>
  <c r="AC38" i="16"/>
  <c r="AD38" i="16"/>
  <c r="AB39" i="16"/>
  <c r="AC39" i="16"/>
  <c r="AD39" i="16"/>
  <c r="AB40" i="16"/>
  <c r="AC40" i="16"/>
  <c r="AD40" i="16"/>
  <c r="AB41" i="16"/>
  <c r="AC41" i="16"/>
  <c r="AD41" i="16"/>
  <c r="AB42" i="16"/>
  <c r="AC42" i="16"/>
  <c r="AD42" i="16"/>
  <c r="AB43" i="16"/>
  <c r="AC43" i="16"/>
  <c r="AD43" i="16"/>
  <c r="AB44" i="16"/>
  <c r="AC44" i="16"/>
  <c r="AD44" i="16"/>
  <c r="AB45" i="16"/>
  <c r="AC45" i="16"/>
  <c r="AD45" i="16"/>
  <c r="AB46" i="16"/>
  <c r="AC46" i="16"/>
  <c r="AD46" i="16"/>
  <c r="AB47" i="16"/>
  <c r="AC47" i="16"/>
  <c r="AD47" i="16"/>
  <c r="AB48" i="16"/>
  <c r="AC48" i="16"/>
  <c r="AD48" i="16"/>
  <c r="AB49" i="16"/>
  <c r="AC49" i="16"/>
  <c r="AD49" i="16"/>
  <c r="AB50" i="16"/>
  <c r="AC50" i="16"/>
  <c r="AD50" i="16"/>
  <c r="AB51" i="16"/>
  <c r="AC51" i="16"/>
  <c r="AD51" i="16"/>
  <c r="AB52" i="16"/>
  <c r="AC52" i="16"/>
  <c r="AD52" i="16"/>
  <c r="AB53" i="16"/>
  <c r="AC53" i="16"/>
  <c r="AD53" i="16"/>
  <c r="AB54" i="16"/>
  <c r="AC54" i="16"/>
  <c r="AD54" i="16"/>
  <c r="AB55" i="16"/>
  <c r="AC55" i="16"/>
  <c r="AD55" i="16"/>
  <c r="AB56" i="16"/>
  <c r="AC56" i="16"/>
  <c r="AD56" i="16"/>
  <c r="AB57" i="16"/>
  <c r="AC57" i="16"/>
  <c r="AD57" i="16"/>
  <c r="AB58" i="16"/>
  <c r="AC58" i="16"/>
  <c r="AD58" i="16"/>
  <c r="AB59" i="16"/>
  <c r="AC59" i="16"/>
  <c r="AD59" i="16"/>
  <c r="AB60" i="16"/>
  <c r="AC60" i="16"/>
  <c r="AD60" i="16"/>
  <c r="AB61" i="16"/>
  <c r="AC61" i="16"/>
  <c r="AD61" i="16"/>
  <c r="AB62" i="16"/>
  <c r="AC62" i="16"/>
  <c r="AD62" i="16"/>
  <c r="AB63" i="16"/>
  <c r="AC63" i="16"/>
  <c r="AD63" i="16"/>
  <c r="AB64" i="16"/>
  <c r="AC64" i="16"/>
  <c r="AD64" i="16"/>
  <c r="AB65" i="16"/>
  <c r="AC65" i="16"/>
  <c r="AD65" i="16"/>
  <c r="AB66" i="16"/>
  <c r="AC66" i="16"/>
  <c r="AD66" i="16"/>
  <c r="AB67" i="16"/>
  <c r="AC67" i="16"/>
  <c r="AD67" i="16"/>
  <c r="AB68" i="16"/>
  <c r="AC68" i="16"/>
  <c r="AD68" i="16"/>
  <c r="AB69" i="16"/>
  <c r="AC69" i="16"/>
  <c r="AD69" i="16"/>
  <c r="AB70" i="16"/>
  <c r="AC70" i="16"/>
  <c r="AD70" i="16"/>
  <c r="AB71" i="16"/>
  <c r="AC71" i="16"/>
  <c r="AD71" i="16"/>
  <c r="AB72" i="16"/>
  <c r="AC72" i="16"/>
  <c r="AD72" i="16"/>
  <c r="AB73" i="16"/>
  <c r="AC73" i="16"/>
  <c r="AD73" i="16"/>
  <c r="AB74" i="16"/>
  <c r="AC74" i="16"/>
  <c r="AD74" i="16"/>
  <c r="AB75" i="16"/>
  <c r="AC75" i="16"/>
  <c r="AD75" i="16"/>
  <c r="AB76" i="16"/>
  <c r="AC76" i="16"/>
  <c r="AD76" i="16"/>
  <c r="AB77" i="16"/>
  <c r="AC77" i="16"/>
  <c r="AD77" i="16"/>
  <c r="AB78" i="16"/>
  <c r="AC78" i="16"/>
  <c r="AD78" i="16"/>
  <c r="AB79" i="16"/>
  <c r="AC79" i="16"/>
  <c r="AD79" i="16"/>
  <c r="AB80" i="16"/>
  <c r="AC80" i="16"/>
  <c r="AD80" i="16"/>
  <c r="AB81" i="16"/>
  <c r="AC81" i="16"/>
  <c r="AD81" i="16"/>
  <c r="AB82" i="16"/>
  <c r="AC82" i="16"/>
  <c r="AD82" i="16"/>
  <c r="AB83" i="16"/>
  <c r="AC83" i="16"/>
  <c r="AD83" i="16"/>
  <c r="AB84" i="16"/>
  <c r="AC84" i="16"/>
  <c r="AD84" i="16"/>
  <c r="AB85" i="16"/>
  <c r="AC85" i="16"/>
  <c r="AD85" i="16"/>
  <c r="AB86" i="16"/>
  <c r="AC86" i="16"/>
  <c r="AD86" i="16"/>
  <c r="AB87" i="16"/>
  <c r="AC87" i="16"/>
  <c r="AD87" i="16"/>
  <c r="AB88" i="16"/>
  <c r="AC88" i="16"/>
  <c r="AD88" i="16"/>
  <c r="AB89" i="16"/>
  <c r="AC89" i="16"/>
  <c r="AD89" i="16"/>
  <c r="AB90" i="16"/>
  <c r="AC90" i="16"/>
  <c r="AD90" i="16"/>
  <c r="AB91" i="16"/>
  <c r="AC91" i="16"/>
  <c r="AD91" i="16"/>
  <c r="AB92" i="16"/>
  <c r="AC92" i="16"/>
  <c r="AD92" i="16"/>
  <c r="AB93" i="16"/>
  <c r="AC93" i="16"/>
  <c r="AD93" i="16"/>
  <c r="AB94" i="16"/>
  <c r="AC94" i="16"/>
  <c r="AD94" i="16"/>
  <c r="AB95" i="16"/>
  <c r="AC95" i="16"/>
  <c r="AD95" i="16"/>
  <c r="AB96" i="16"/>
  <c r="AC96" i="16"/>
  <c r="AD96" i="16"/>
  <c r="AB97" i="16"/>
  <c r="AC97" i="16"/>
  <c r="AD97" i="16"/>
  <c r="AB98" i="16"/>
  <c r="AC98" i="16"/>
  <c r="AD98" i="16"/>
  <c r="AB99" i="16"/>
  <c r="AC99" i="16"/>
  <c r="AD99" i="16"/>
  <c r="AB100" i="16"/>
  <c r="AC100" i="16"/>
  <c r="AD100" i="16"/>
  <c r="AB101" i="16"/>
  <c r="AC101" i="16"/>
  <c r="AD101" i="16"/>
  <c r="AB102" i="16"/>
  <c r="AC102" i="16"/>
  <c r="AD102" i="16"/>
  <c r="AB103" i="16"/>
  <c r="AC103" i="16"/>
  <c r="AD103" i="16"/>
  <c r="AB104" i="16"/>
  <c r="AC104" i="16"/>
  <c r="AD104" i="16"/>
  <c r="AB105" i="16"/>
  <c r="AC105" i="16"/>
  <c r="AD105" i="16"/>
  <c r="AB106" i="16"/>
  <c r="AC106" i="16"/>
  <c r="AD106" i="16"/>
  <c r="AB107" i="16"/>
  <c r="AC107" i="16"/>
  <c r="AD107" i="16"/>
  <c r="AB108" i="16"/>
  <c r="AC108" i="16"/>
  <c r="AD108" i="16"/>
  <c r="AB109" i="16"/>
  <c r="AD109" i="16"/>
  <c r="AB110" i="16"/>
  <c r="AD110" i="16"/>
  <c r="AB111" i="16"/>
  <c r="AD111" i="16"/>
  <c r="AB112" i="16"/>
  <c r="AD112" i="16"/>
  <c r="AB113" i="16"/>
  <c r="AD113" i="16"/>
  <c r="AB114" i="16"/>
  <c r="AD114" i="16"/>
  <c r="AB115" i="16"/>
  <c r="AD115" i="16"/>
  <c r="AB116" i="16"/>
  <c r="AD116" i="16"/>
  <c r="AB117" i="16"/>
  <c r="AD117" i="16"/>
  <c r="AB118" i="16"/>
  <c r="AD118" i="16"/>
  <c r="AB119" i="16"/>
  <c r="AD119" i="16"/>
  <c r="AB120" i="16"/>
  <c r="AD120" i="16"/>
  <c r="AB121" i="16"/>
  <c r="AD121" i="16"/>
  <c r="AB122" i="16"/>
  <c r="AD122" i="16"/>
  <c r="AB123" i="16"/>
  <c r="AD123" i="16"/>
  <c r="AB124" i="16"/>
  <c r="AD124" i="16"/>
  <c r="AB125" i="16"/>
  <c r="AD125" i="16"/>
  <c r="AB126" i="16"/>
  <c r="AD126" i="16"/>
  <c r="AB127" i="16"/>
  <c r="AD127" i="16"/>
  <c r="AB128" i="16"/>
  <c r="AD128" i="16"/>
  <c r="AB129" i="16"/>
  <c r="AD129" i="16"/>
  <c r="AB130" i="16"/>
  <c r="AD130" i="16"/>
  <c r="AB131" i="16"/>
  <c r="AD131" i="16"/>
  <c r="AB132" i="16"/>
  <c r="AD132" i="16"/>
  <c r="AB133" i="16"/>
  <c r="AD133" i="16"/>
  <c r="AB134" i="16"/>
  <c r="AD134" i="16"/>
  <c r="AB135" i="16"/>
  <c r="AD135" i="16"/>
  <c r="AB136" i="16"/>
  <c r="AD136" i="16"/>
  <c r="AB137" i="16"/>
  <c r="AD137" i="16"/>
  <c r="AB138" i="16"/>
  <c r="AD138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C12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AC11" i="16"/>
  <c r="AC10" i="16"/>
  <c r="AG12" i="16"/>
  <c r="AG10" i="16"/>
  <c r="AF14" i="16"/>
  <c r="AF15" i="16"/>
  <c r="AF16" i="16"/>
  <c r="AF17" i="16"/>
  <c r="AF18" i="16"/>
  <c r="AF19" i="16"/>
  <c r="AF20" i="16"/>
  <c r="AF21" i="16"/>
  <c r="AF22" i="16"/>
  <c r="AF23" i="16"/>
  <c r="AF24" i="16"/>
  <c r="AF25" i="16"/>
  <c r="AF26" i="16"/>
  <c r="AF27" i="16"/>
  <c r="AF28" i="16"/>
  <c r="AF29" i="16"/>
  <c r="AF30" i="16"/>
  <c r="AF31" i="16"/>
  <c r="AF32" i="16"/>
  <c r="AF33" i="16"/>
  <c r="AF34" i="16"/>
  <c r="AF35" i="16"/>
  <c r="AF36" i="16"/>
  <c r="AF37" i="16"/>
  <c r="AF38" i="16"/>
  <c r="AF39" i="16"/>
  <c r="AF40" i="16"/>
  <c r="AF41" i="16"/>
  <c r="AF42" i="16"/>
  <c r="AF43" i="16"/>
  <c r="AF44" i="16"/>
  <c r="AF45" i="16"/>
  <c r="AF46" i="16"/>
  <c r="AF47" i="16"/>
  <c r="AF48" i="16"/>
  <c r="AF49" i="16"/>
  <c r="AF50" i="16"/>
  <c r="AF51" i="16"/>
  <c r="AF52" i="16"/>
  <c r="AF53" i="16"/>
  <c r="AF54" i="16"/>
  <c r="AF55" i="16"/>
  <c r="AF56" i="16"/>
  <c r="AF57" i="16"/>
  <c r="AF58" i="16"/>
  <c r="AF59" i="16"/>
  <c r="AF60" i="16"/>
  <c r="AF61" i="16"/>
  <c r="AF62" i="16"/>
  <c r="AF63" i="16"/>
  <c r="AF64" i="16"/>
  <c r="AF65" i="16"/>
  <c r="AF66" i="16"/>
  <c r="AF67" i="16"/>
  <c r="AF68" i="16"/>
  <c r="AF69" i="16"/>
  <c r="AF70" i="16"/>
  <c r="AF71" i="16"/>
  <c r="AF72" i="16"/>
  <c r="AF73" i="16"/>
  <c r="AF74" i="16"/>
  <c r="AF75" i="16"/>
  <c r="AF76" i="16"/>
  <c r="AF77" i="16"/>
  <c r="AF78" i="16"/>
  <c r="AF79" i="16"/>
  <c r="AF80" i="16"/>
  <c r="AF81" i="16"/>
  <c r="AF82" i="16"/>
  <c r="AF83" i="16"/>
  <c r="AF84" i="16"/>
  <c r="AF85" i="16"/>
  <c r="AF86" i="16"/>
  <c r="AF87" i="16"/>
  <c r="AF88" i="16"/>
  <c r="AF89" i="16"/>
  <c r="AF90" i="16"/>
  <c r="AF91" i="16"/>
  <c r="AF92" i="16"/>
  <c r="AF93" i="16"/>
  <c r="AF94" i="16"/>
  <c r="AF95" i="16"/>
  <c r="AF96" i="16"/>
  <c r="AF97" i="16"/>
  <c r="AF98" i="16"/>
  <c r="AF99" i="16"/>
  <c r="AF100" i="16"/>
  <c r="AF101" i="16"/>
  <c r="AF102" i="16"/>
  <c r="AF103" i="16"/>
  <c r="AF104" i="16"/>
  <c r="AF105" i="16"/>
  <c r="AF106" i="16"/>
  <c r="AF107" i="16"/>
  <c r="AF108" i="16"/>
  <c r="Y109" i="16"/>
  <c r="AC109" i="16"/>
  <c r="AF109" i="16"/>
  <c r="Y110" i="16"/>
  <c r="AC110" i="16"/>
  <c r="AF110" i="16"/>
  <c r="Y111" i="16"/>
  <c r="AC111" i="16"/>
  <c r="AF111" i="16"/>
  <c r="Y112" i="16"/>
  <c r="AC112" i="16"/>
  <c r="AF112" i="16"/>
  <c r="Y113" i="16"/>
  <c r="AC113" i="16"/>
  <c r="AF113" i="16"/>
  <c r="Y114" i="16"/>
  <c r="AC114" i="16"/>
  <c r="AF114" i="16"/>
  <c r="Y115" i="16"/>
  <c r="AC115" i="16"/>
  <c r="AF115" i="16"/>
  <c r="Y116" i="16"/>
  <c r="AC116" i="16"/>
  <c r="AF116" i="16"/>
  <c r="Y117" i="16"/>
  <c r="AC117" i="16"/>
  <c r="AF117" i="16"/>
  <c r="Y118" i="16"/>
  <c r="AC118" i="16"/>
  <c r="AF118" i="16"/>
  <c r="Y119" i="16"/>
  <c r="AC119" i="16"/>
  <c r="AF119" i="16"/>
  <c r="Y120" i="16"/>
  <c r="AC120" i="16"/>
  <c r="AF120" i="16"/>
  <c r="Y121" i="16"/>
  <c r="AC121" i="16"/>
  <c r="AF121" i="16"/>
  <c r="Y122" i="16"/>
  <c r="AC122" i="16"/>
  <c r="AF122" i="16"/>
  <c r="Y123" i="16"/>
  <c r="AC123" i="16"/>
  <c r="AF123" i="16"/>
  <c r="Y124" i="16"/>
  <c r="AC124" i="16"/>
  <c r="AF124" i="16"/>
  <c r="Y125" i="16"/>
  <c r="AC125" i="16"/>
  <c r="AF125" i="16"/>
  <c r="Y126" i="16"/>
  <c r="AC126" i="16"/>
  <c r="AF126" i="16"/>
  <c r="Y127" i="16"/>
  <c r="AC127" i="16"/>
  <c r="AF127" i="16"/>
  <c r="Y128" i="16"/>
  <c r="AC128" i="16"/>
  <c r="AF128" i="16"/>
  <c r="Y129" i="16"/>
  <c r="AC129" i="16"/>
  <c r="AF129" i="16"/>
  <c r="Y130" i="16"/>
  <c r="AC130" i="16"/>
  <c r="AF130" i="16"/>
  <c r="Y131" i="16"/>
  <c r="AC131" i="16"/>
  <c r="AF131" i="16"/>
  <c r="Y132" i="16"/>
  <c r="AC132" i="16"/>
  <c r="AF132" i="16"/>
  <c r="Y133" i="16"/>
  <c r="AC133" i="16"/>
  <c r="AF133" i="16"/>
  <c r="Y134" i="16"/>
  <c r="AC134" i="16"/>
  <c r="AF134" i="16"/>
  <c r="Y135" i="16"/>
  <c r="AC135" i="16"/>
  <c r="AF135" i="16"/>
  <c r="Y136" i="16"/>
  <c r="AC136" i="16"/>
  <c r="AF136" i="16"/>
  <c r="Y137" i="16"/>
  <c r="AC137" i="16"/>
  <c r="AF137" i="16"/>
  <c r="Y138" i="16"/>
  <c r="AC138" i="16"/>
  <c r="AF138" i="16"/>
  <c r="C9" i="8"/>
  <c r="F10" i="8"/>
  <c r="C7" i="4"/>
  <c r="C3" i="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CC18" i="16"/>
  <c r="AP14" i="16"/>
  <c r="CB14" i="16"/>
  <c r="CC14" i="16"/>
  <c r="AP15" i="16"/>
  <c r="CB15" i="16"/>
  <c r="CC15" i="16"/>
  <c r="AP16" i="16"/>
  <c r="CB16" i="16"/>
  <c r="CC16" i="16"/>
  <c r="AP17" i="16"/>
  <c r="CB17" i="16"/>
  <c r="CC17" i="16"/>
  <c r="AP18" i="16"/>
  <c r="CB18" i="16"/>
  <c r="AP19" i="16"/>
  <c r="CB19" i="16"/>
  <c r="CC19" i="16"/>
  <c r="AP20" i="16"/>
  <c r="CB20" i="16"/>
  <c r="CC20" i="16"/>
  <c r="AP21" i="16"/>
  <c r="CB21" i="16"/>
  <c r="CC21" i="16"/>
  <c r="AP22" i="16"/>
  <c r="CB22" i="16"/>
  <c r="CC22" i="16"/>
  <c r="AP23" i="16"/>
  <c r="CB23" i="16"/>
  <c r="CC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X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X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X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X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Y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CA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1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1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<sst xmlns="http://schemas.openxmlformats.org/spreadsheetml/2006/main" count="4158" uniqueCount="700">
  <si>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</si>
  <si>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</si>
  <si>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</si>
  <si>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</si>
  <si>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</si>
  <si>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</si>
  <si>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</si>
  <si>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</si>
  <si>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</si>
  <si>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</si>
  <si>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</si>
  <si>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</si>
  <si>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</si>
  <si>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</si>
  <si>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</si>
  <si>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</si>
  <si>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</si>
  <si>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</si>
  <si>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</si>
  <si>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</si>
  <si>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</si>
  <si>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</si>
  <si>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</si>
  <si>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</si>
  <si>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</si>
  <si>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</si>
  <si>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</si>
  <si>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</si>
  <si>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</si>
  <si>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</si>
  <si>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</si>
  <si>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</si>
  <si>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</si>
  <si>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</si>
  <si>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</si>
  <si>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</si>
  <si>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</si>
  <si>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</si>
  <si>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</si>
  <si>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</si>
  <si>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</si>
  <si>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</si>
  <si>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</si>
  <si>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</si>
  <si>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</si>
  <si>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</si>
  <si>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</si>
  <si>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</si>
  <si>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</si>
  <si>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</si>
  <si>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</si>
  <si>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</si>
  <si>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</si>
  <si>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</si>
  <si>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</si>
  <si>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</si>
  <si>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</si>
  <si>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</si>
  <si>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</si>
  <si>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</si>
  <si>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</si>
  <si>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</si>
  <si>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</si>
  <si>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</si>
  <si>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</si>
  <si>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</si>
  <si>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</si>
  <si>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</si>
  <si>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</si>
  <si>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</si>
  <si>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</si>
  <si>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</si>
  <si>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</si>
  <si>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</si>
  <si>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</si>
  <si>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</si>
  <si>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</si>
  <si>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</si>
  <si>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</si>
  <si>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</si>
  <si>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</si>
  <si>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</si>
  <si>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</si>
  <si>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</si>
  <si>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</si>
  <si>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</si>
  <si>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</si>
  <si>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</si>
  <si>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</si>
  <si>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</si>
  <si>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</si>
  <si>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</si>
  <si>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</si>
  <si>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</si>
  <si>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</si>
  <si>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</si>
  <si>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</si>
  <si>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</si>
  <si>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</si>
  <si>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</si>
  <si>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</si>
  <si>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</si>
  <si>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</si>
  <si>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</si>
  <si>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</si>
  <si>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</si>
  <si>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</si>
  <si>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</si>
  <si>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</si>
  <si>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</si>
  <si>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</si>
  <si>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</si>
  <si>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</si>
  <si>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</si>
  <si>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</si>
  <si>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</si>
  <si>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</si>
  <si>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</si>
  <si>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</si>
  <si>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</si>
  <si>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</si>
  <si>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</si>
  <si>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</si>
  <si>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</si>
  <si>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</si>
  <si>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</si>
  <si>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</si>
  <si>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</si>
  <si>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</si>
  <si>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</si>
  <si>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</si>
  <si>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</si>
  <si>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</si>
  <si>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</si>
  <si>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</si>
  <si>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</si>
  <si>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</si>
  <si>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</si>
  <si>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</si>
  <si>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</si>
  <si>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</si>
  <si>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</si>
  <si>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</si>
  <si>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</si>
  <si>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</si>
  <si>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</si>
  <si>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</si>
  <si>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</si>
  <si>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</si>
  <si>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</si>
  <si>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</si>
  <si>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</si>
  <si>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</si>
  <si>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</si>
  <si>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</si>
  <si>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</si>
  <si>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</si>
  <si>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</si>
  <si>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</si>
  <si>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</si>
  <si>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</si>
  <si>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</si>
  <si>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</si>
  <si>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</si>
  <si>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</si>
  <si>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</si>
  <si>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</si>
  <si>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</si>
  <si>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</si>
  <si>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</si>
  <si>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</si>
  <si>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</si>
  <si>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</si>
  <si>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</si>
  <si>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</si>
  <si>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</si>
  <si>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</si>
  <si>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</si>
  <si>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</si>
  <si>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</si>
  <si>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</si>
  <si>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</si>
  <si>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</si>
  <si>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</si>
  <si>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</si>
  <si>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</si>
  <si>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</si>
  <si>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</si>
  <si>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</si>
  <si>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</si>
  <si>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</si>
  <si>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</si>
  <si>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</si>
  <si>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</si>
  <si>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</si>
  <si>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</si>
  <si>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</si>
  <si>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</si>
  <si>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</si>
  <si>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</si>
  <si>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</si>
  <si>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</si>
  <si>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</si>
  <si>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</si>
  <si>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</si>
  <si>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</si>
  <si>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</si>
  <si>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</si>
  <si>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</si>
  <si>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</si>
  <si>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</si>
  <si>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</si>
  <si>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</si>
  <si>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</si>
  <si>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</si>
  <si>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</si>
  <si>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</si>
  <si>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</si>
  <si>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</si>
  <si>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</si>
  <si>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</si>
  <si>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</si>
  <si>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</si>
  <si>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</si>
  <si>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</si>
  <si>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</si>
  <si>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</si>
  <si>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</si>
  <si>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</si>
  <si>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</si>
  <si>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</si>
  <si>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</si>
  <si>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</si>
  <si>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</si>
  <si>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</si>
  <si>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</si>
  <si>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</si>
  <si>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</si>
  <si>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</si>
  <si>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</si>
  <si>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</si>
  <si>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</si>
  <si>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</si>
  <si>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</si>
  <si>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</si>
  <si>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</si>
  <si>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</si>
  <si>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</si>
  <si>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</si>
  <si>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</si>
  <si>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</si>
  <si>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</si>
  <si>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</si>
  <si>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</si>
  <si>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</si>
  <si>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</si>
  <si>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</si>
  <si>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</si>
  <si>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</si>
  <si>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</si>
  <si>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</si>
  <si>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</si>
  <si>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</si>
  <si>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</si>
  <si>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</si>
  <si>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</si>
  <si>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</si>
  <si>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</si>
  <si>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</si>
  <si>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</si>
  <si>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</si>
  <si>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</si>
  <si>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</si>
  <si>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</si>
  <si>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</si>
  <si>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</si>
  <si>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</si>
  <si>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</si>
  <si>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</si>
  <si>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</si>
  <si>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</si>
  <si>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</si>
  <si>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</si>
  <si>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</si>
  <si>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</si>
  <si>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</si>
  <si>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</si>
  <si>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</si>
  <si>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</si>
  <si>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</si>
  <si>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</si>
  <si>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</si>
  <si>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</si>
  <si>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</si>
  <si>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</si>
  <si>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</si>
  <si>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</si>
  <si>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</si>
  <si>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</si>
  <si>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</si>
  <si>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</si>
  <si>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</si>
  <si>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</si>
  <si>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</si>
  <si>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</si>
  <si>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</si>
  <si>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</si>
  <si>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</si>
  <si>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</si>
  <si>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</si>
  <si>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</si>
  <si>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</si>
  <si>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</si>
  <si>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</si>
  <si>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</si>
  <si>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</si>
  <si>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</si>
  <si>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</si>
  <si>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</si>
  <si>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</si>
  <si>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</si>
  <si>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</si>
  <si>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</si>
  <si>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</si>
  <si>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</si>
  <si>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</si>
  <si>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</si>
  <si>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</si>
  <si>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</si>
  <si>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</si>
  <si>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</si>
  <si>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</si>
  <si>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</si>
  <si>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</si>
  <si>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</si>
  <si>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</si>
  <si>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</si>
  <si>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</si>
  <si>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</si>
  <si>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</si>
  <si>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</si>
  <si>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</si>
  <si>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</si>
  <si>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</si>
  <si>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</si>
  <si>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</si>
  <si>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</si>
  <si>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</si>
  <si>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</si>
  <si>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</si>
  <si>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</si>
  <si>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</si>
  <si>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</si>
  <si>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</si>
  <si>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</si>
  <si>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</si>
  <si>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</si>
  <si>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</si>
  <si>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</si>
  <si>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</si>
  <si>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</si>
  <si>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</si>
  <si>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</si>
  <si>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</si>
  <si>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</si>
  <si>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</si>
  <si>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</si>
  <si>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</si>
  <si>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</si>
  <si>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</si>
  <si>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</si>
  <si>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</si>
  <si>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</si>
  <si>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</si>
  <si>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</si>
  <si>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</si>
  <si>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</si>
  <si>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</si>
  <si>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</si>
  <si>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</si>
  <si>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</si>
  <si>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</si>
  <si>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</si>
  <si>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</si>
  <si>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</si>
  <si>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</si>
  <si>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</si>
  <si>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</si>
  <si>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</si>
  <si>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</si>
  <si>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</si>
  <si>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</si>
  <si>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</si>
  <si>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</si>
  <si>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</si>
  <si>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</si>
  <si>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</si>
  <si>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</si>
  <si>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</si>
  <si>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</si>
  <si>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</si>
  <si>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</si>
  <si>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</si>
  <si>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</si>
  <si>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</si>
  <si>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</si>
  <si>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</si>
  <si>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</si>
  <si>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</si>
  <si>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</si>
  <si>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</si>
  <si>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</si>
  <si>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</si>
  <si>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</si>
  <si>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</si>
  <si>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</si>
  <si>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</si>
  <si>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</si>
  <si>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</si>
  <si>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</si>
  <si>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</si>
  <si>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</si>
  <si>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</si>
  <si>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</si>
  <si>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</si>
  <si>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</si>
  <si>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</si>
  <si>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</si>
  <si>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</si>
  <si>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</si>
  <si>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</si>
  <si>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</si>
  <si>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</si>
  <si>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</si>
  <si>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</si>
  <si>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</si>
  <si>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</si>
  <si>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</si>
  <si>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</si>
  <si>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</si>
  <si>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</si>
  <si>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</si>
  <si>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</si>
  <si>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</si>
  <si>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</si>
  <si>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</si>
  <si>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</si>
  <si>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</si>
  <si>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</si>
  <si>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</si>
  <si>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</si>
  <si>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</si>
  <si>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</si>
  <si>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</si>
  <si>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</si>
  <si>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</si>
  <si>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</si>
  <si>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</si>
  <si>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</si>
  <si>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</si>
  <si>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</si>
  <si>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</si>
  <si>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</si>
  <si>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</si>
  <si>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</si>
  <si>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</si>
  <si>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</si>
  <si>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</si>
  <si>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</si>
  <si>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</si>
  <si>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</si>
  <si>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</si>
  <si>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</si>
  <si>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</si>
  <si>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</si>
  <si>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</si>
  <si>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</si>
  <si>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</si>
  <si>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</si>
  <si>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</si>
  <si>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</si>
  <si>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</si>
  <si>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</si>
  <si>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</si>
  <si>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</si>
  <si>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</si>
  <si>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</si>
  <si>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</si>
  <si>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</si>
  <si>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</si>
  <si>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</si>
  <si>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</si>
  <si>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</si>
  <si>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</si>
  <si>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</si>
  <si>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</si>
  <si>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</si>
  <si>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</si>
  <si>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</si>
  <si>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</si>
  <si>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</si>
  <si>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</si>
  <si>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</si>
  <si>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</si>
  <si>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</si>
  <si>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</si>
  <si>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</si>
  <si>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</si>
  <si>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</si>
  <si>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</si>
  <si>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</si>
  <si>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</si>
  <si>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</si>
  <si>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</si>
  <si>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</si>
  <si>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</si>
  <si>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</si>
  <si>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</si>
  <si>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</si>
  <si>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</si>
  <si>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</si>
  <si>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</si>
  <si>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</si>
  <si>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</si>
  <si>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</si>
  <si>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</si>
  <si>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</si>
  <si>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</si>
  <si>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</si>
  <si>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</si>
  <si>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</si>
  <si>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</si>
  <si>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</si>
  <si>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</si>
  <si>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</si>
  <si>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</si>
  <si>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</si>
  <si>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</si>
  <si>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</si>
  <si>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</si>
  <si>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</si>
  <si>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</si>
  <si>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</si>
  <si>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</si>
  <si>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</si>
  <si>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</si>
  <si>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</si>
  <si>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</si>
  <si>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</si>
  <si>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</si>
  <si>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</si>
  <si>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</si>
  <si>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</si>
  <si>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</si>
  <si>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</si>
  <si>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</si>
  <si>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</si>
  <si>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</si>
  <si>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</si>
  <si>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</si>
  <si>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</si>
  <si>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</si>
  <si>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</si>
  <si>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</si>
  <si>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</si>
  <si>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</si>
  <si>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</si>
  <si>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</si>
  <si>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</si>
  <si>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</si>
  <si>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</si>
  <si>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</si>
  <si>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</si>
  <si>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</si>
  <si>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</si>
  <si>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</si>
  <si>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</si>
  <si>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</si>
  <si>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</si>
  <si>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</si>
  <si>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</si>
  <si>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</si>
  <si>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</si>
  <si>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</si>
  <si>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</si>
  <si>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</si>
  <si>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</si>
  <si>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</si>
  <si>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</si>
  <si>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</si>
  <si>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</si>
  <si>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</si>
  <si>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</si>
  <si>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</si>
  <si>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</si>
  <si>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</si>
  <si>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</si>
  <si>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</si>
  <si>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</si>
  <si>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</si>
  <si>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</si>
  <si>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</si>
  <si>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</si>
  <si>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</si>
  <si>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</si>
  <si>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</si>
  <si>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</si>
  <si>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</si>
  <si>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</si>
  <si>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</si>
  <si>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</si>
  <si>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</si>
  <si>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</si>
  <si>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</si>
  <si>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</si>
  <si>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</si>
  <si>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</si>
  <si>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</si>
  <si>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</si>
  <si>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</si>
  <si>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</si>
  <si>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</si>
  <si>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</si>
  <si>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</si>
  <si>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</si>
  <si>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</si>
  <si>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</si>
  <si>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</si>
  <si>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</si>
  <si>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</si>
  <si>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</si>
  <si>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</si>
  <si>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</si>
  <si>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</si>
  <si>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</si>
  <si>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</si>
  <si>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</si>
  <si>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</si>
  <si>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</si>
  <si>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</si>
  <si>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</si>
  <si>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</si>
  <si>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</si>
  <si>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</si>
  <si>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</si>
  <si>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</si>
  <si>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</si>
  <si>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</si>
  <si>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</si>
  <si>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</si>
  <si>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</si>
  <si>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</si>
  <si>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</si>
  <si>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</si>
  <si>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</si>
  <si>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</si>
  <si>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</si>
  <si>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</si>
  <si>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</si>
  <si>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</si>
  <si>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</si>
  <si>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</si>
  <si>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</si>
  <si>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</si>
  <si>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</si>
  <si>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</si>
  <si>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</si>
  <si>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</si>
  <si>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</si>
  <si>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</si>
  <si>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</si>
  <si>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</si>
  <si>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</si>
  <si>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</si>
  <si>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</si>
  <si>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</si>
  <si>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</si>
  <si>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</si>
  <si>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</si>
  <si>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</si>
  <si>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</si>
  <si>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</si>
  <si>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</si>
  <si>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</si>
  <si>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</si>
  <si>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</si>
  <si>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</si>
  <si>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</si>
  <si>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</si>
  <si>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</si>
  <si>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</si>
  <si>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</si>
  <si>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</si>
  <si>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Ref</t>
  </si>
  <si>
    <t>Delta CSR CDO</t>
  </si>
  <si>
    <t>Delta Risk</t>
  </si>
  <si>
    <t>Delta CSR CDS</t>
  </si>
  <si>
    <t>Delta CSR CDO Proxy</t>
  </si>
  <si>
    <t>MEDIUM</t>
  </si>
  <si>
    <t>SECCTP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</si>
</sst>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  <numFmt numFmtId="185" formatCode="0.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79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0" xfId="0" applyNumberFormat="1" applyFont="1" applyFill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2" fontId="47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80" fontId="47" fillId="4" borderId="0" xfId="0" applyNumberFormat="1" applyFont="1" applyFill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77" fontId="46" fillId="4" borderId="9" xfId="0" applyNumberFormat="1" applyFont="1" applyFill="1" applyBorder="1"/>
    <xf numFmtId="177" fontId="46" fillId="4" borderId="11" xfId="0" applyNumberFormat="1" applyFont="1" applyFill="1" applyBorder="1"/>
    <xf numFmtId="0" fontId="25" fillId="2" borderId="11" xfId="0" applyFont="1" applyFill="1" applyBorder="1"/>
    <xf numFmtId="0" fontId="25" fillId="2" borderId="3" xfId="0" applyFont="1" applyFill="1" applyBorder="1"/>
    <xf numFmtId="10" fontId="22" fillId="0" borderId="2" xfId="0" applyNumberFormat="1" applyFont="1" applyBorder="1" applyAlignment="1">
      <alignment horizontal="center"/>
    </xf>
    <xf numFmtId="181" fontId="20" fillId="4" borderId="0" xfId="0" applyNumberFormat="1" applyFont="1" applyFill="1"/>
    <xf numFmtId="2" fontId="0" fillId="0" borderId="0" xfId="0" applyNumberFormat="1"/>
    <xf numFmtId="185" fontId="0" fillId="0" borderId="0" xfId="0" applyNumberFormat="1"/>
    <xf numFmtId="179" fontId="0" fillId="0" borderId="0" xfId="0" applyNumberFormat="1"/>
    <xf numFmtId="2" fontId="47" fillId="4" borderId="0" xfId="0" applyNumberFormat="1" applyFont="1" applyFill="1"/>
    <xf numFmtId="177" fontId="47" fillId="4" borderId="12" xfId="0" applyNumberFormat="1" applyFont="1" applyFill="1" applyBorder="1"/>
    <xf numFmtId="177" fontId="44" fillId="3" borderId="1" xfId="0" applyNumberFormat="1" applyFont="1" applyFill="1" applyBorder="1"/>
    <xf numFmtId="167" fontId="47" fillId="9" borderId="12" xfId="0" applyNumberFormat="1" applyFont="1" applyFill="1" applyBorder="1"/>
    <xf numFmtId="177" fontId="47" fillId="4" borderId="9" xfId="0" applyNumberFormat="1" applyFont="1" applyFill="1" applyBorder="1"/>
    <xf numFmtId="0" fontId="20" fillId="9" borderId="14" xfId="0" applyFont="1" applyFill="1" applyBorder="1"/>
    <xf numFmtId="167" fontId="47" fillId="3" borderId="0" xfId="0" applyNumberFormat="1" applyFont="1" applyFill="1"/>
    <xf numFmtId="0" fontId="20" fillId="9" borderId="12" xfId="0" applyFont="1" applyFill="1" applyBorder="1"/>
    <xf numFmtId="0" fontId="20" fillId="9" borderId="23" xfId="0" applyFont="1" applyFill="1" applyBorder="1"/>
    <xf numFmtId="0" fontId="20" fillId="9" borderId="6" xfId="0" applyFont="1" applyFill="1" applyBorder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24" Type="http://schemas.microsoft.com/office/2006/relationships/vbaProject" Target="vbaProject.bin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8.xml"/><Relationship Id="rId19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2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FRTB!$BB$26:$BB$121</c:f>
              <c:numCache>
                <c:formatCode>0.0000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7-41C6-B82F-638BD7A3B8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FRTB!$BC$26:$BC$121</c:f>
              <c:numCache>
                <c:formatCode>0.0000%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1-B1A7-41C6-B82F-638BD7A3B886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FRTB!$BD$26:$BD$121</c:f>
              <c:numCache>
                <c:formatCode>0.0000%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2-B1A7-41C6-B82F-638BD7A3B886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FRTB!$BE$26:$BE$121</c:f>
              <c:numCache>
                <c:formatCode>0.0000%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3-B1A7-41C6-B82F-638BD7A3B88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FRTB!$BF$26:$BF$121</c:f>
              <c:numCache>
                <c:formatCode>0.0000%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4-B1A7-41C6-B82F-638BD7A3B886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FRTB!$BG$26:$BG$121</c:f>
              <c:numCache>
                <c:formatCode>0.00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5-B1A7-41C6-B82F-638BD7A3B88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FRTB!$BH$26:$BH$121</c:f>
              <c:numCache>
                <c:formatCode>General</c:formatCode>
                <c:ptCount val="96"/>
              </c:numCache>
            </c:numRef>
          </c:val>
          <c:extLst>
            <c:ext xmlns:c16="http://schemas.microsoft.com/office/drawing/2014/chart" uri="{C3380CC4-5D6E-409C-BE32-E72D297353CC}">
              <c16:uniqueId val="{00000006-B1A7-41C6-B82F-638BD7A3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6240"/>
        <c:axId val="325252000"/>
      </c:barChart>
      <c:catAx>
        <c:axId val="325246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52000"/>
        <c:crosses val="autoZero"/>
        <c:auto val="1"/>
        <c:lblAlgn val="ctr"/>
        <c:lblOffset val="100"/>
        <c:noMultiLvlLbl val="0"/>
      </c:catAx>
      <c:valAx>
        <c:axId val="3252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4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C110393-92B1-496A-AB1F-D5353159A188}">
  <sheetPr codeName="Chart2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123825</xdr:rowOff>
        </xdr:from>
        <xdr:to>
          <xdr:col>45</xdr:col>
          <xdr:colOff>295275</xdr:colOff>
          <xdr:row>364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5</xdr:col>
          <xdr:colOff>438150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5</xdr:col>
          <xdr:colOff>438150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15</xdr:col>
      <xdr:colOff>358423</xdr:colOff>
      <xdr:row>6</xdr:row>
      <xdr:rowOff>72732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1702" y="38653"/>
          <a:ext cx="3116743" cy="1135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937E31-2820-D7B7-1E7C-2C5ED9255B6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262645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342900</xdr:colOff>
          <xdr:row>5</xdr:row>
          <xdr:rowOff>28575</xdr:rowOff>
        </xdr:from>
        <xdr:to>
          <xdr:col>30</xdr:col>
          <xdr:colOff>352425</xdr:colOff>
          <xdr:row>6</xdr:row>
          <xdr:rowOff>104775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9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D39" sqref="D39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7" ht="15.75" thickBot="1"/>
    <row r="2" spans="2:7" ht="15.7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.75" thickBot="1">
      <c r="B4" s="41" t="s">
        <v>30</v>
      </c>
      <c r="D4" s="41" t="s">
        <v>31</v>
      </c>
      <c r="F4" s="38" t="s">
        <v>2</v>
      </c>
    </row>
    <row r="5" spans="2:7" ht="15.75" thickBot="1">
      <c r="F5" s="41" t="s">
        <v>1</v>
      </c>
    </row>
    <row r="6" spans="2:7" ht="15.75" thickBot="1">
      <c r="B6" s="57" t="s">
        <v>44</v>
      </c>
    </row>
    <row r="7" spans="2:7" ht="15.75" thickBot="1">
      <c r="B7" s="141" t="s">
        <v>45</v>
      </c>
      <c r="D7" s="92" t="s">
        <v>429</v>
      </c>
      <c r="E7" s="606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.75" thickBot="1">
      <c r="B11" s="143" t="s">
        <v>42</v>
      </c>
    </row>
    <row r="12" spans="2:7">
      <c r="G12" s="168"/>
    </row>
    <row r="13" spans="2:7" ht="15.75" thickBot="1"/>
    <row r="14" spans="2:7" ht="15.7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635" t="s">
        <v>21</v>
      </c>
      <c r="D5" s="636"/>
      <c r="F5" s="637" t="s">
        <v>23</v>
      </c>
      <c r="G5" s="638"/>
      <c r="I5" s="637" t="s">
        <v>22</v>
      </c>
      <c r="J5" s="638"/>
      <c r="R5" s="635" t="s">
        <v>39</v>
      </c>
      <c r="S5" s="636"/>
      <c r="U5" s="637" t="s">
        <v>40</v>
      </c>
      <c r="V5" s="638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635" t="s">
        <v>21</v>
      </c>
      <c r="C20" s="639"/>
      <c r="D20" s="639"/>
      <c r="E20" s="639"/>
      <c r="F20" s="639"/>
      <c r="G20" s="639"/>
      <c r="H20" s="639"/>
      <c r="I20" s="639"/>
      <c r="J20" s="636"/>
      <c r="L20" s="635" t="s">
        <v>23</v>
      </c>
      <c r="M20" s="636"/>
      <c r="O20" s="635" t="s">
        <v>22</v>
      </c>
      <c r="P20" s="636"/>
      <c r="R20" s="640" t="s">
        <v>39</v>
      </c>
      <c r="S20" s="641"/>
      <c r="T20" s="641"/>
      <c r="U20" s="641"/>
      <c r="V20" s="641"/>
      <c r="W20" s="641"/>
      <c r="X20" s="642"/>
      <c r="Z20" s="637" t="s">
        <v>40</v>
      </c>
      <c r="AA20" s="638"/>
    </row>
    <row r="21" spans="2:27" ht="15.7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zoomScale="145" zoomScaleNormal="145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Parameter_Date</f>
        <v>45261</v>
      </c>
      <c r="D7" s="110"/>
      <c r="E7" s="111"/>
      <c r="F7" s="643" t="s">
        <v>48</v>
      </c>
      <c r="G7" s="644"/>
      <c r="H7" s="644"/>
      <c r="I7" s="644"/>
      <c r="J7" s="644"/>
      <c r="K7" s="644"/>
      <c r="L7" s="644"/>
      <c r="M7" s="644"/>
      <c r="N7" s="644"/>
      <c r="O7" s="644"/>
      <c r="P7" s="644"/>
      <c r="Q7" s="645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609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646" t="s">
        <v>68</v>
      </c>
      <c r="G13" s="647"/>
      <c r="H13" s="647"/>
      <c r="I13" s="647"/>
      <c r="J13" s="647"/>
      <c r="K13" s="647"/>
      <c r="L13" s="647"/>
      <c r="M13" s="647"/>
      <c r="N13" s="647"/>
      <c r="O13" s="647"/>
      <c r="P13" s="647"/>
      <c r="Q13" s="648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.75" thickBot="1"/>
    <row r="18" spans="2:17" ht="15.75" thickBot="1">
      <c r="B18" s="128" t="s">
        <v>669</v>
      </c>
      <c r="C18" s="42" cm="1">
        <f t="array" aca="1" ref="C18" ca="1">GetStoreCurve(B21:B23,C21:C23,D21:D23,E21:E23,F21:F23,H21:O23,H20:O20,G21:G23)</f>
        <v>0</v>
      </c>
    </row>
    <row r="19" spans="2:17" ht="15.75" thickBot="1">
      <c r="B19" s="128" t="s">
        <v>655</v>
      </c>
      <c r="C19" s="551"/>
      <c r="D19" s="101"/>
      <c r="E19" s="101"/>
      <c r="F19" s="101"/>
      <c r="G19" s="102"/>
      <c r="H19" s="643" t="s">
        <v>48</v>
      </c>
      <c r="I19" s="644"/>
      <c r="J19" s="644"/>
      <c r="K19" s="644"/>
      <c r="L19" s="644"/>
      <c r="M19" s="644"/>
      <c r="N19" s="644"/>
      <c r="O19" s="645"/>
    </row>
    <row r="20" spans="2:17" ht="23.25" thickBot="1">
      <c r="B20" s="128" t="s">
        <v>49</v>
      </c>
      <c r="C20" s="552" t="s">
        <v>50</v>
      </c>
      <c r="D20" s="552" t="s">
        <v>51</v>
      </c>
      <c r="E20" s="552" t="s">
        <v>52</v>
      </c>
      <c r="F20" s="128" t="s">
        <v>656</v>
      </c>
      <c r="G20" s="553" t="s">
        <v>657</v>
      </c>
      <c r="H20" s="58" t="s">
        <v>609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608</v>
      </c>
    </row>
    <row r="21" spans="2:17">
      <c r="B21" s="61" t="s">
        <v>66</v>
      </c>
      <c r="C21" s="549" t="s">
        <v>42</v>
      </c>
      <c r="D21" s="549">
        <v>1</v>
      </c>
      <c r="E21" s="549">
        <v>6</v>
      </c>
      <c r="F21" s="549" t="s">
        <v>661</v>
      </c>
      <c r="G21" s="63" t="s">
        <v>658</v>
      </c>
      <c r="H21" s="555">
        <v>3.4180000000000002E-2</v>
      </c>
      <c r="I21" s="556">
        <v>3.039E-2</v>
      </c>
      <c r="J21" s="556">
        <v>2.8570000000000002E-2</v>
      </c>
      <c r="K21" s="556">
        <v>2.708E-2</v>
      </c>
      <c r="L21" s="556">
        <v>2.665E-2</v>
      </c>
      <c r="M21" s="556">
        <v>2.6720000000000001E-2</v>
      </c>
      <c r="N21" s="556">
        <v>2.7040000000000002E-2</v>
      </c>
      <c r="O21" s="557">
        <v>2.436E-2</v>
      </c>
      <c r="P21" s="548"/>
      <c r="Q21" s="548"/>
    </row>
    <row r="22" spans="2:17">
      <c r="B22" s="67" t="s">
        <v>66</v>
      </c>
      <c r="C22" s="550" t="s">
        <v>42</v>
      </c>
      <c r="D22" s="550">
        <v>1</v>
      </c>
      <c r="E22" s="550">
        <v>3</v>
      </c>
      <c r="F22" s="550" t="s">
        <v>662</v>
      </c>
      <c r="G22" s="69" t="s">
        <v>658</v>
      </c>
      <c r="H22" s="558">
        <v>3.3070000000000002E-2</v>
      </c>
      <c r="I22" s="559">
        <v>2.955E-2</v>
      </c>
      <c r="J22" s="559">
        <v>2.784E-2</v>
      </c>
      <c r="K22" s="559">
        <v>2.6499999999999999E-2</v>
      </c>
      <c r="L22" s="559">
        <v>2.6169999999999999E-2</v>
      </c>
      <c r="M22" s="559">
        <v>2.6409999999999999E-2</v>
      </c>
      <c r="N22" s="559">
        <v>2.6950000000000002E-2</v>
      </c>
      <c r="O22" s="560">
        <v>2.4729999999999999E-2</v>
      </c>
      <c r="P22" s="548"/>
      <c r="Q22" s="548"/>
    </row>
    <row r="23" spans="2:17" ht="15.75" thickBot="1">
      <c r="B23" s="73" t="s">
        <v>67</v>
      </c>
      <c r="C23" s="554" t="s">
        <v>43</v>
      </c>
      <c r="D23" s="554">
        <v>1.0865</v>
      </c>
      <c r="E23" s="554">
        <v>1</v>
      </c>
      <c r="F23" s="554" t="s">
        <v>660</v>
      </c>
      <c r="G23" s="75" t="s">
        <v>659</v>
      </c>
      <c r="H23" s="561">
        <v>4.7559999999999998E-2</v>
      </c>
      <c r="I23" s="562">
        <v>4.2529999999999998E-2</v>
      </c>
      <c r="J23" s="562">
        <v>3.9980000000000002E-2</v>
      </c>
      <c r="K23" s="562">
        <v>3.7789999999999997E-2</v>
      </c>
      <c r="L23" s="562">
        <v>3.7139999999999999E-2</v>
      </c>
      <c r="M23" s="562">
        <v>3.6999999999999998E-2</v>
      </c>
      <c r="N23" s="562">
        <v>3.7330000000000002E-2</v>
      </c>
      <c r="O23" s="563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643" t="s">
        <v>72</v>
      </c>
      <c r="H2" s="644"/>
      <c r="I2" s="644"/>
      <c r="J2" s="144" t="b">
        <v>1</v>
      </c>
    </row>
    <row r="3" spans="1:50" ht="15.75" thickBot="1">
      <c r="C3">
        <f ca="1">GetCDSRefDate(Parameter_Date,C6)</f>
        <v>45555</v>
      </c>
      <c r="J3" s="99"/>
    </row>
    <row r="4" spans="1:50" ht="15.75" thickBot="1">
      <c r="G4" s="643" t="s">
        <v>73</v>
      </c>
      <c r="H4" s="644"/>
      <c r="I4" s="645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5" t="s">
        <v>70</v>
      </c>
      <c r="C6" s="652" t="b">
        <v>1</v>
      </c>
      <c r="D6" s="653"/>
      <c r="E6" s="85"/>
      <c r="F6" s="85"/>
      <c r="G6" s="643" t="s">
        <v>74</v>
      </c>
      <c r="H6" s="644"/>
      <c r="I6" s="645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54">
        <f ca="1">GetCDSRefDate(Parameter_Date,C6)</f>
        <v>45280</v>
      </c>
      <c r="D7" s="655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43" t="s">
        <v>76</v>
      </c>
      <c r="F9" s="644"/>
      <c r="G9" s="644"/>
      <c r="H9" s="644"/>
      <c r="I9" s="644"/>
      <c r="J9" s="644"/>
      <c r="K9" s="644"/>
      <c r="L9" s="644"/>
      <c r="M9" s="645"/>
      <c r="N9" s="649" t="s">
        <v>77</v>
      </c>
      <c r="O9" s="650"/>
      <c r="P9" s="650"/>
      <c r="Q9" s="650"/>
      <c r="R9" s="650"/>
      <c r="S9" s="650"/>
      <c r="T9" s="650"/>
      <c r="U9" s="650"/>
      <c r="V9" s="651"/>
      <c r="W9" s="649" t="s">
        <v>78</v>
      </c>
      <c r="X9" s="650"/>
      <c r="Y9" s="650"/>
      <c r="Z9" s="650"/>
      <c r="AA9" s="650"/>
      <c r="AB9" s="650"/>
      <c r="AC9" s="650"/>
      <c r="AD9" s="650"/>
      <c r="AE9" s="651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617</v>
      </c>
      <c r="AM364" s="135" t="s">
        <v>621</v>
      </c>
      <c r="AN364" s="135"/>
      <c r="AQ364" s="135" t="s">
        <v>625</v>
      </c>
      <c r="AR364" s="135"/>
      <c r="AU364" s="135" t="s">
        <v>663</v>
      </c>
      <c r="AV364" s="135"/>
    </row>
    <row r="365" spans="1:53" ht="10.5" customHeight="1">
      <c r="A365" s="96">
        <v>354</v>
      </c>
      <c r="B365" s="68" t="s">
        <v>610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622</v>
      </c>
      <c r="AN365" s="135">
        <f ca="1">0.00359635/AG366</f>
        <v>0.78057033849393798</v>
      </c>
      <c r="AO365" s="135"/>
      <c r="AP365" s="135"/>
      <c r="AQ365" s="135" t="s">
        <v>622</v>
      </c>
      <c r="AR365" s="135">
        <f ca="1">0.00094748/AG366</f>
        <v>0.20564594222370913</v>
      </c>
      <c r="AU365" s="135" t="s">
        <v>622</v>
      </c>
      <c r="AV365" s="566">
        <f ca="1">AX365/AG366</f>
        <v>14.640061764529777</v>
      </c>
      <c r="AX365" s="571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618</v>
      </c>
      <c r="AG366" s="135">
        <v>4.6073362292230243E-3</v>
      </c>
      <c r="AK366" s="135"/>
      <c r="AM366" s="135" t="s">
        <v>624</v>
      </c>
      <c r="AN366" s="135">
        <f ca="1">0.00928509/AG367</f>
        <v>1.1634497154520191</v>
      </c>
      <c r="AQ366" s="135" t="s">
        <v>624</v>
      </c>
      <c r="AR366" s="135">
        <f ca="1">0.00224398/AG367</f>
        <v>0.2811774460430671</v>
      </c>
      <c r="AU366" s="135" t="s">
        <v>624</v>
      </c>
      <c r="AV366" s="566">
        <f ca="1">AX366/AG367</f>
        <v>13.956070813439366</v>
      </c>
      <c r="AX366" s="570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619</v>
      </c>
      <c r="AG367" s="135">
        <v>7.9806543219554538E-3</v>
      </c>
      <c r="AK367" s="135"/>
      <c r="AM367" s="135" t="s">
        <v>623</v>
      </c>
      <c r="AN367" s="135">
        <f ca="1">0.01555165/AG368</f>
        <v>1.6944089896016694</v>
      </c>
      <c r="AQ367" s="135" t="s">
        <v>623</v>
      </c>
      <c r="AR367" s="135">
        <f ca="1">0.00370112/AG368</f>
        <v>0.4032505232303023</v>
      </c>
      <c r="AU367" s="135" t="s">
        <v>664</v>
      </c>
      <c r="AV367" s="566">
        <f ca="1">AX367/AG368</f>
        <v>17.13745523167152</v>
      </c>
      <c r="AX367" s="569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620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6" t="s">
        <v>55</v>
      </c>
      <c r="AI371" s="516" t="s">
        <v>57</v>
      </c>
      <c r="AJ371" s="516" t="s">
        <v>59</v>
      </c>
      <c r="AK371" s="135"/>
      <c r="AL371" s="516" t="s">
        <v>55</v>
      </c>
      <c r="AM371" s="516" t="s">
        <v>57</v>
      </c>
      <c r="AN371" s="516" t="s">
        <v>59</v>
      </c>
      <c r="AP371" s="516" t="s">
        <v>55</v>
      </c>
      <c r="AQ371" s="516" t="s">
        <v>57</v>
      </c>
      <c r="AR371" s="516" t="s">
        <v>59</v>
      </c>
      <c r="AT371" s="516" t="s">
        <v>55</v>
      </c>
      <c r="AU371" s="516" t="s">
        <v>57</v>
      </c>
      <c r="AV371" s="516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6">
        <f t="shared" ref="AP372:AP403" ca="1" si="11">AH372*$AR$365</f>
        <v>6.3544596147126122E-4</v>
      </c>
      <c r="AQ372" s="516">
        <f t="shared" ref="AQ372:AQ403" ca="1" si="12">AI372*$AR$366</f>
        <v>1.2920103645678934E-3</v>
      </c>
      <c r="AR372" s="516">
        <f t="shared" ref="AR372:AR403" ca="1" si="13">AJ372*$AR$367</f>
        <v>2.5469303047225894E-3</v>
      </c>
      <c r="AT372" s="516">
        <f ca="1">AH372*$AV$365</f>
        <v>4.5237790852397007E-2</v>
      </c>
      <c r="AU372" s="516">
        <f ca="1">AI372*$AV$366</f>
        <v>6.4128145387753882E-2</v>
      </c>
      <c r="AV372" s="516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6">
        <f t="shared" ca="1" si="11"/>
        <v>6.0501036202215228E-4</v>
      </c>
      <c r="AQ373" s="516">
        <f t="shared" ca="1" si="12"/>
        <v>1.3926718902513113E-3</v>
      </c>
      <c r="AR373" s="516">
        <f t="shared" ca="1" si="13"/>
        <v>2.8425129382504007E-3</v>
      </c>
      <c r="AT373" s="516">
        <f t="shared" ref="AT373:AT436" ca="1" si="14">AH373*$AV$365</f>
        <v>4.3071061711246611E-2</v>
      </c>
      <c r="AU373" s="516">
        <f t="shared" ref="AU373:AU436" ca="1" si="15">AI373*$AV$366</f>
        <v>6.9124418738965174E-2</v>
      </c>
      <c r="AV373" s="516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611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6">
        <f t="shared" ca="1" si="11"/>
        <v>6.2536931030229945E-4</v>
      </c>
      <c r="AQ374" s="516">
        <f t="shared" ca="1" si="12"/>
        <v>1.4505944441361833E-3</v>
      </c>
      <c r="AR374" s="516">
        <f t="shared" ca="1" si="13"/>
        <v>2.7602498315114194E-3</v>
      </c>
      <c r="AT374" s="516">
        <f t="shared" ca="1" si="14"/>
        <v>4.4520427825935051E-2</v>
      </c>
      <c r="AU374" s="516">
        <f t="shared" ca="1" si="15"/>
        <v>7.1999369326533696E-2</v>
      </c>
      <c r="AV374" s="516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6">
        <f t="shared" ca="1" si="11"/>
        <v>2.0202657364057183E-3</v>
      </c>
      <c r="AQ375" s="516">
        <f t="shared" ca="1" si="12"/>
        <v>4.1217801815453207E-3</v>
      </c>
      <c r="AR375" s="516">
        <f t="shared" ca="1" si="13"/>
        <v>7.5536888011500224E-3</v>
      </c>
      <c r="AT375" s="516">
        <f t="shared" ca="1" si="14"/>
        <v>0.14382396677474052</v>
      </c>
      <c r="AU375" s="516">
        <f t="shared" ca="1" si="15"/>
        <v>0.20458204205420766</v>
      </c>
      <c r="AV375" s="516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6">
        <f t="shared" ca="1" si="11"/>
        <v>9.8031420658042153E-4</v>
      </c>
      <c r="AQ376" s="516">
        <f t="shared" ca="1" si="12"/>
        <v>2.8280827523011688E-3</v>
      </c>
      <c r="AR376" s="516">
        <f t="shared" ca="1" si="13"/>
        <v>6.2511896111161463E-3</v>
      </c>
      <c r="AT376" s="516">
        <f t="shared" ca="1" si="14"/>
        <v>6.9789174431513459E-2</v>
      </c>
      <c r="AU376" s="516">
        <f t="shared" ca="1" si="15"/>
        <v>0.14037016024157314</v>
      </c>
      <c r="AV376" s="516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6">
        <f t="shared" ca="1" si="11"/>
        <v>1.4031222637923674E-3</v>
      </c>
      <c r="AQ377" s="516">
        <f t="shared" ca="1" si="12"/>
        <v>3.9151147587036667E-3</v>
      </c>
      <c r="AR377" s="516">
        <f t="shared" ca="1" si="13"/>
        <v>8.1670328469833128E-3</v>
      </c>
      <c r="AT377" s="516">
        <f t="shared" ca="1" si="14"/>
        <v>9.9889141419386679E-2</v>
      </c>
      <c r="AU377" s="516">
        <f t="shared" ca="1" si="15"/>
        <v>0.19432433000632973</v>
      </c>
      <c r="AV377" s="516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6">
        <f t="shared" ca="1" si="11"/>
        <v>4.5159848912326527E-4</v>
      </c>
      <c r="AQ378" s="516">
        <f t="shared" ca="1" si="12"/>
        <v>8.7643009931624011E-4</v>
      </c>
      <c r="AR378" s="516">
        <f t="shared" ca="1" si="13"/>
        <v>1.7585755318073484E-3</v>
      </c>
      <c r="AT378" s="516">
        <f t="shared" ca="1" si="14"/>
        <v>3.214957563490739E-2</v>
      </c>
      <c r="AU378" s="516">
        <f t="shared" ca="1" si="15"/>
        <v>4.3501072725490503E-2</v>
      </c>
      <c r="AV378" s="516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6">
        <f t="shared" ca="1" si="11"/>
        <v>4.1458221952299764E-4</v>
      </c>
      <c r="AQ379" s="516">
        <f t="shared" ca="1" si="12"/>
        <v>9.6022097823707415E-4</v>
      </c>
      <c r="AR379" s="516">
        <f t="shared" ca="1" si="13"/>
        <v>2.1706975665487173E-3</v>
      </c>
      <c r="AT379" s="516">
        <f t="shared" ca="1" si="14"/>
        <v>2.951436451729203E-2</v>
      </c>
      <c r="AU379" s="516">
        <f t="shared" ca="1" si="15"/>
        <v>4.7659981827895437E-2</v>
      </c>
      <c r="AV379" s="516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6">
        <f t="shared" ca="1" si="11"/>
        <v>4.569452836210817E-4</v>
      </c>
      <c r="AQ380" s="516">
        <f t="shared" ca="1" si="12"/>
        <v>1.1969723878053368E-3</v>
      </c>
      <c r="AR380" s="516">
        <f t="shared" ca="1" si="13"/>
        <v>2.5223320228055408E-3</v>
      </c>
      <c r="AT380" s="516">
        <f t="shared" ca="1" si="14"/>
        <v>3.2530217240785163E-2</v>
      </c>
      <c r="AU380" s="516">
        <f t="shared" ca="1" si="15"/>
        <v>5.9410993452811388E-2</v>
      </c>
      <c r="AV380" s="516">
        <f t="shared" ca="1" si="16"/>
        <v>0.10719478247410537</v>
      </c>
    </row>
    <row r="381" spans="1:48" ht="10.5" customHeight="1">
      <c r="A381" s="96">
        <v>370</v>
      </c>
      <c r="B381" s="68" t="s">
        <v>612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6">
        <f t="shared" ca="1" si="11"/>
        <v>1.5696954769935719E-3</v>
      </c>
      <c r="AQ381" s="516">
        <f t="shared" ca="1" si="12"/>
        <v>3.2073911270132666E-3</v>
      </c>
      <c r="AR381" s="516">
        <f t="shared" ca="1" si="13"/>
        <v>5.9515744723560313E-3</v>
      </c>
      <c r="AT381" s="516">
        <f t="shared" ca="1" si="14"/>
        <v>0.11174759144865579</v>
      </c>
      <c r="AU381" s="516">
        <f t="shared" ca="1" si="15"/>
        <v>0.15919689976890286</v>
      </c>
      <c r="AV381" s="516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6">
        <f t="shared" ca="1" si="11"/>
        <v>5.8321189214643912E-4</v>
      </c>
      <c r="AQ382" s="516">
        <f t="shared" ca="1" si="12"/>
        <v>1.4129166663664121E-3</v>
      </c>
      <c r="AR382" s="516">
        <f t="shared" ca="1" si="13"/>
        <v>2.9284052996984555E-3</v>
      </c>
      <c r="AT382" s="516">
        <f t="shared" ca="1" si="14"/>
        <v>4.1519215164206445E-2</v>
      </c>
      <c r="AU382" s="516">
        <f t="shared" ca="1" si="15"/>
        <v>7.0129255837532808E-2</v>
      </c>
      <c r="AV382" s="516">
        <f t="shared" ca="1" si="16"/>
        <v>0.12445219989239859</v>
      </c>
    </row>
    <row r="383" spans="1:48" ht="10.5" customHeight="1">
      <c r="A383" s="96">
        <v>372</v>
      </c>
      <c r="B383" s="68" t="s">
        <v>613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6">
        <f t="shared" ca="1" si="11"/>
        <v>4.5303801071883121E-4</v>
      </c>
      <c r="AQ383" s="516">
        <f t="shared" ca="1" si="12"/>
        <v>9.4588092848887765E-4</v>
      </c>
      <c r="AR383" s="516">
        <f t="shared" ca="1" si="13"/>
        <v>1.9811698206304751E-3</v>
      </c>
      <c r="AT383" s="516">
        <f t="shared" ca="1" si="14"/>
        <v>3.2252056067259102E-2</v>
      </c>
      <c r="AU383" s="516">
        <f t="shared" ca="1" si="15"/>
        <v>4.6948222216410027E-2</v>
      </c>
      <c r="AV383" s="516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6">
        <f t="shared" ca="1" si="11"/>
        <v>1.1067864610480025E-3</v>
      </c>
      <c r="AQ384" s="516">
        <f t="shared" ca="1" si="12"/>
        <v>2.4819533162221533E-3</v>
      </c>
      <c r="AR384" s="516">
        <f t="shared" ca="1" si="13"/>
        <v>5.0370022856697063E-3</v>
      </c>
      <c r="AT384" s="516">
        <f t="shared" ca="1" si="14"/>
        <v>7.8792812416699262E-2</v>
      </c>
      <c r="AU384" s="516">
        <f t="shared" ca="1" si="15"/>
        <v>0.12319023707022927</v>
      </c>
      <c r="AV384" s="516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6">
        <f t="shared" ca="1" si="11"/>
        <v>5.9740146215987505E-4</v>
      </c>
      <c r="AQ385" s="516">
        <f t="shared" ca="1" si="12"/>
        <v>1.324064593416803E-2</v>
      </c>
      <c r="AR385" s="516">
        <f t="shared" ca="1" si="13"/>
        <v>2.6707282153542924E-3</v>
      </c>
      <c r="AT385" s="516">
        <f t="shared" ca="1" si="14"/>
        <v>4.2529379425959003E-2</v>
      </c>
      <c r="AU385" s="516">
        <f t="shared" ca="1" si="15"/>
        <v>0.65719137460485977</v>
      </c>
      <c r="AV385" s="516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6">
        <f t="shared" ca="1" si="11"/>
        <v>1.060516124047668E-3</v>
      </c>
      <c r="AQ386" s="516">
        <f t="shared" ca="1" si="12"/>
        <v>2.7411989214738614E-3</v>
      </c>
      <c r="AR386" s="516">
        <f t="shared" ca="1" si="13"/>
        <v>5.1640262004872513E-3</v>
      </c>
      <c r="AT386" s="516">
        <f t="shared" ca="1" si="14"/>
        <v>7.5498798519680069E-2</v>
      </c>
      <c r="AU386" s="516">
        <f t="shared" ca="1" si="15"/>
        <v>0.13605773436022039</v>
      </c>
      <c r="AV386" s="516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6">
        <f t="shared" ca="1" si="11"/>
        <v>1.0527015782431672E-3</v>
      </c>
      <c r="AQ387" s="516">
        <f t="shared" ca="1" si="12"/>
        <v>3.0476823376608042E-3</v>
      </c>
      <c r="AR387" s="516">
        <f t="shared" ca="1" si="13"/>
        <v>6.4753969020321942E-3</v>
      </c>
      <c r="AT387" s="516">
        <f t="shared" ca="1" si="14"/>
        <v>7.4942476172627934E-2</v>
      </c>
      <c r="AU387" s="516">
        <f t="shared" ca="1" si="15"/>
        <v>0.15126985154686928</v>
      </c>
      <c r="AV387" s="516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6">
        <f t="shared" ca="1" si="11"/>
        <v>3.1402135377560386E-4</v>
      </c>
      <c r="AQ388" s="516">
        <f t="shared" ca="1" si="12"/>
        <v>7.0013184064723715E-4</v>
      </c>
      <c r="AR388" s="516">
        <f t="shared" ca="1" si="13"/>
        <v>1.4637993993259974E-3</v>
      </c>
      <c r="AT388" s="516">
        <f t="shared" ca="1" si="14"/>
        <v>2.235537431443697E-2</v>
      </c>
      <c r="AU388" s="516">
        <f t="shared" ca="1" si="15"/>
        <v>3.4750616325464022E-2</v>
      </c>
      <c r="AV388" s="516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6">
        <f t="shared" ca="1" si="11"/>
        <v>1.0436531567853237E-3</v>
      </c>
      <c r="AQ389" s="516">
        <f t="shared" ca="1" si="12"/>
        <v>2.4847650906825837E-3</v>
      </c>
      <c r="AR389" s="516">
        <f t="shared" ca="1" si="13"/>
        <v>5.2495153114120756E-3</v>
      </c>
      <c r="AT389" s="516">
        <f t="shared" ca="1" si="14"/>
        <v>7.4298313454988621E-2</v>
      </c>
      <c r="AU389" s="516">
        <f t="shared" ca="1" si="15"/>
        <v>0.12332979777836367</v>
      </c>
      <c r="AV389" s="516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6">
        <f t="shared" ca="1" si="11"/>
        <v>8.3409994165936413E-4</v>
      </c>
      <c r="AQ390" s="516">
        <f t="shared" ca="1" si="12"/>
        <v>2.015198755790662E-3</v>
      </c>
      <c r="AR390" s="516">
        <f t="shared" ca="1" si="13"/>
        <v>4.3127643459480829E-3</v>
      </c>
      <c r="AT390" s="516">
        <f t="shared" ca="1" si="14"/>
        <v>5.9380090516932771E-2</v>
      </c>
      <c r="AU390" s="516">
        <f t="shared" ca="1" si="15"/>
        <v>0.10002315951991993</v>
      </c>
      <c r="AV390" s="516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6">
        <f t="shared" ca="1" si="11"/>
        <v>2.4492431718843756E-4</v>
      </c>
      <c r="AQ391" s="516">
        <f t="shared" ca="1" si="12"/>
        <v>5.3648656705017198E-4</v>
      </c>
      <c r="AR391" s="516">
        <f t="shared" ca="1" si="13"/>
        <v>1.1722492710304888E-3</v>
      </c>
      <c r="AT391" s="516">
        <f t="shared" ca="1" si="14"/>
        <v>1.7436313561554964E-2</v>
      </c>
      <c r="AU391" s="516">
        <f t="shared" ca="1" si="15"/>
        <v>2.6628183112042309E-2</v>
      </c>
      <c r="AV391" s="516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6">
        <f t="shared" ca="1" si="11"/>
        <v>2.478033603795695E-4</v>
      </c>
      <c r="AQ392" s="516">
        <f t="shared" ca="1" si="12"/>
        <v>5.5504427848901449E-4</v>
      </c>
      <c r="AR392" s="516">
        <f t="shared" ca="1" si="13"/>
        <v>1.2319303484685734E-3</v>
      </c>
      <c r="AT392" s="516">
        <f t="shared" ca="1" si="14"/>
        <v>1.7641274426258381E-2</v>
      </c>
      <c r="AU392" s="516">
        <f t="shared" ca="1" si="15"/>
        <v>2.7549283785729309E-2</v>
      </c>
      <c r="AV392" s="516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6">
        <f t="shared" ca="1" si="11"/>
        <v>2.3766501542794062E-3</v>
      </c>
      <c r="AQ393" s="516">
        <f t="shared" ca="1" si="12"/>
        <v>4.8657757037752769E-3</v>
      </c>
      <c r="AR393" s="516">
        <f t="shared" ca="1" si="13"/>
        <v>8.4291456870830093E-3</v>
      </c>
      <c r="AT393" s="516">
        <f t="shared" ca="1" si="14"/>
        <v>0.16919519381267062</v>
      </c>
      <c r="AU393" s="516">
        <f t="shared" ca="1" si="15"/>
        <v>0.24150980542656825</v>
      </c>
      <c r="AV393" s="516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6">
        <f t="shared" ca="1" si="11"/>
        <v>7.1914385995631091E-4</v>
      </c>
      <c r="AQ394" s="516">
        <f t="shared" ca="1" si="12"/>
        <v>1.8841700659345928E-3</v>
      </c>
      <c r="AR394" s="516">
        <f t="shared" ca="1" si="13"/>
        <v>4.2018704520597498E-3</v>
      </c>
      <c r="AT394" s="516">
        <f t="shared" ca="1" si="14"/>
        <v>5.1196295990560636E-2</v>
      </c>
      <c r="AU394" s="516">
        <f t="shared" ca="1" si="15"/>
        <v>9.3519630520857197E-2</v>
      </c>
      <c r="AV394" s="516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6">
        <f t="shared" ca="1" si="11"/>
        <v>5.6758280053743719E-4</v>
      </c>
      <c r="AQ395" s="516">
        <f t="shared" ca="1" si="12"/>
        <v>1.3516199831290234E-3</v>
      </c>
      <c r="AR395" s="516">
        <f t="shared" ca="1" si="13"/>
        <v>2.7913001218001525E-3</v>
      </c>
      <c r="AT395" s="516">
        <f t="shared" ca="1" si="14"/>
        <v>4.0406570470102182E-2</v>
      </c>
      <c r="AU395" s="516">
        <f t="shared" ca="1" si="15"/>
        <v>6.7086832400203023E-2</v>
      </c>
      <c r="AV395" s="516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6">
        <f t="shared" ca="1" si="11"/>
        <v>1.6564780646119771E-3</v>
      </c>
      <c r="AQ396" s="516">
        <f t="shared" ca="1" si="12"/>
        <v>3.5172486725527263E-3</v>
      </c>
      <c r="AR396" s="516">
        <f t="shared" ca="1" si="13"/>
        <v>6.0959381596724796E-3</v>
      </c>
      <c r="AT396" s="516">
        <f t="shared" ca="1" si="14"/>
        <v>0.11792569751328735</v>
      </c>
      <c r="AU396" s="516">
        <f t="shared" ca="1" si="15"/>
        <v>0.17457648980531301</v>
      </c>
      <c r="AV396" s="516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6">
        <f t="shared" ca="1" si="11"/>
        <v>7.0577687371176979E-4</v>
      </c>
      <c r="AQ397" s="516">
        <f t="shared" ca="1" si="12"/>
        <v>1.5892149250354153E-3</v>
      </c>
      <c r="AR397" s="516">
        <f t="shared" ca="1" si="13"/>
        <v>3.2485862151433158E-3</v>
      </c>
      <c r="AT397" s="516">
        <f t="shared" ca="1" si="14"/>
        <v>5.0244691975866201E-2</v>
      </c>
      <c r="AU397" s="516">
        <f t="shared" ca="1" si="15"/>
        <v>7.8879712237559296E-2</v>
      </c>
      <c r="AV397" s="516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6">
        <f t="shared" ca="1" si="11"/>
        <v>4.2568710040307784E-4</v>
      </c>
      <c r="AQ398" s="516">
        <f t="shared" ca="1" si="12"/>
        <v>9.2704203960399228E-4</v>
      </c>
      <c r="AR398" s="516">
        <f t="shared" ca="1" si="13"/>
        <v>1.7787380579688634E-3</v>
      </c>
      <c r="AT398" s="516">
        <f t="shared" ca="1" si="14"/>
        <v>3.0304927852576637E-2</v>
      </c>
      <c r="AU398" s="516">
        <f t="shared" ca="1" si="15"/>
        <v>4.6013165471909589E-2</v>
      </c>
      <c r="AV398" s="516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6">
        <f t="shared" ca="1" si="11"/>
        <v>4.8635265335907209E-4</v>
      </c>
      <c r="AQ399" s="516">
        <f t="shared" ca="1" si="12"/>
        <v>9.7006218884858146E-4</v>
      </c>
      <c r="AR399" s="516">
        <f t="shared" ca="1" si="13"/>
        <v>1.878340937206748E-3</v>
      </c>
      <c r="AT399" s="516">
        <f t="shared" ca="1" si="14"/>
        <v>3.4623746073112922E-2</v>
      </c>
      <c r="AU399" s="516">
        <f t="shared" ca="1" si="15"/>
        <v>4.8148444306365813E-2</v>
      </c>
      <c r="AV399" s="516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6">
        <f t="shared" ca="1" si="11"/>
        <v>6.1035715651996871E-4</v>
      </c>
      <c r="AQ400" s="516">
        <f t="shared" ca="1" si="12"/>
        <v>1.3544317575894542E-3</v>
      </c>
      <c r="AR400" s="516">
        <f t="shared" ca="1" si="13"/>
        <v>2.8663047191209885E-3</v>
      </c>
      <c r="AT400" s="516">
        <f t="shared" ca="1" si="14"/>
        <v>4.3451703317124384E-2</v>
      </c>
      <c r="AU400" s="516">
        <f t="shared" ca="1" si="15"/>
        <v>6.7226393108337432E-2</v>
      </c>
      <c r="AV400" s="516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6">
        <f t="shared" ca="1" si="11"/>
        <v>1.0607217699898917E-3</v>
      </c>
      <c r="AQ401" s="516">
        <f t="shared" ca="1" si="12"/>
        <v>2.3011562184164611E-3</v>
      </c>
      <c r="AR401" s="516">
        <f t="shared" ca="1" si="13"/>
        <v>4.2139679677566586E-3</v>
      </c>
      <c r="AT401" s="516">
        <f t="shared" ca="1" si="14"/>
        <v>7.5513438581444589E-2</v>
      </c>
      <c r="AU401" s="516">
        <f t="shared" ca="1" si="15"/>
        <v>0.11421648353718777</v>
      </c>
      <c r="AV401" s="516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6">
        <f t="shared" ca="1" si="11"/>
        <v>1.2106376618709756E-3</v>
      </c>
      <c r="AQ402" s="516">
        <f t="shared" ca="1" si="12"/>
        <v>2.8806629347112225E-3</v>
      </c>
      <c r="AR402" s="516">
        <f t="shared" ca="1" si="13"/>
        <v>5.9838345142144561E-3</v>
      </c>
      <c r="AT402" s="516">
        <f t="shared" ca="1" si="14"/>
        <v>8.6186043607786797E-2</v>
      </c>
      <c r="AU402" s="516">
        <f t="shared" ca="1" si="15"/>
        <v>0.14297994548368631</v>
      </c>
      <c r="AV402" s="516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6">
        <f t="shared" ca="1" si="11"/>
        <v>1.0210321031407159E-3</v>
      </c>
      <c r="AQ403" s="516">
        <f t="shared" ca="1" si="12"/>
        <v>2.2854102814380494E-3</v>
      </c>
      <c r="AR403" s="516">
        <f t="shared" ca="1" si="13"/>
        <v>4.5272936243066038E-3</v>
      </c>
      <c r="AT403" s="516">
        <f t="shared" ca="1" si="14"/>
        <v>7.2687906660890339E-2</v>
      </c>
      <c r="AU403" s="516">
        <f t="shared" ca="1" si="15"/>
        <v>0.11343494357163517</v>
      </c>
      <c r="AV403" s="516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6">
        <f t="shared" ref="AP404:AP435" ca="1" si="20">AH404*$AR$365</f>
        <v>1.387081880298918E-3</v>
      </c>
      <c r="AQ404" s="516">
        <f t="shared" ref="AQ404:AQ435" ca="1" si="21">AI404*$AR$366</f>
        <v>3.3685058035959436E-3</v>
      </c>
      <c r="AR404" s="516">
        <f t="shared" ref="AR404:AR435" ca="1" si="22">AJ404*$AR$367</f>
        <v>6.8250151056728665E-3</v>
      </c>
      <c r="AT404" s="516">
        <f t="shared" ca="1" si="14"/>
        <v>9.8747216601753354E-2</v>
      </c>
      <c r="AU404" s="516">
        <f t="shared" ca="1" si="15"/>
        <v>0.16719372834500359</v>
      </c>
      <c r="AV404" s="516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6">
        <f t="shared" ca="1" si="20"/>
        <v>3.9833619008732457E-4</v>
      </c>
      <c r="AQ405" s="516">
        <f t="shared" ca="1" si="21"/>
        <v>8.7193126017955113E-4</v>
      </c>
      <c r="AR405" s="516">
        <f t="shared" ca="1" si="22"/>
        <v>1.8553556573826209E-3</v>
      </c>
      <c r="AT405" s="516">
        <f t="shared" ca="1" si="14"/>
        <v>2.8357799637894178E-2</v>
      </c>
      <c r="AU405" s="516">
        <f t="shared" ca="1" si="15"/>
        <v>4.3277775592475476E-2</v>
      </c>
      <c r="AV405" s="516">
        <f t="shared" ca="1" si="16"/>
        <v>7.8849431520920665E-2</v>
      </c>
    </row>
    <row r="406" spans="1:48" ht="10.5" customHeight="1">
      <c r="A406" s="96">
        <v>395</v>
      </c>
      <c r="B406" s="68" t="s">
        <v>614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6">
        <f t="shared" ca="1" si="20"/>
        <v>9.8689487673158023E-4</v>
      </c>
      <c r="AQ406" s="516">
        <f t="shared" ca="1" si="21"/>
        <v>2.4597402979847512E-3</v>
      </c>
      <c r="AR406" s="516">
        <f t="shared" ca="1" si="22"/>
        <v>4.8873963415512643E-3</v>
      </c>
      <c r="AT406" s="516">
        <f t="shared" ca="1" si="14"/>
        <v>7.0257656407978403E-2</v>
      </c>
      <c r="AU406" s="516">
        <f t="shared" ca="1" si="15"/>
        <v>0.12208770747596759</v>
      </c>
      <c r="AV406" s="516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6">
        <f t="shared" ca="1" si="20"/>
        <v>8.8345496779305445E-4</v>
      </c>
      <c r="AQ407" s="516">
        <f t="shared" ca="1" si="21"/>
        <v>1.9091948586324257E-3</v>
      </c>
      <c r="AR407" s="516">
        <f t="shared" ca="1" si="22"/>
        <v>4.0284727270707204E-3</v>
      </c>
      <c r="AT407" s="516">
        <f t="shared" ca="1" si="14"/>
        <v>6.2893705340419923E-2</v>
      </c>
      <c r="AU407" s="516">
        <f t="shared" ca="1" si="15"/>
        <v>9.4761720823253293E-2</v>
      </c>
      <c r="AV407" s="516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6">
        <f t="shared" ca="1" si="20"/>
        <v>2.1327540668020875E-3</v>
      </c>
      <c r="AQ408" s="516">
        <f t="shared" ca="1" si="21"/>
        <v>4.6734503306818187E-3</v>
      </c>
      <c r="AR408" s="516">
        <f t="shared" ca="1" si="22"/>
        <v>7.8129788875871079E-3</v>
      </c>
      <c r="AT408" s="516">
        <f t="shared" ca="1" si="14"/>
        <v>0.15183208055993833</v>
      </c>
      <c r="AU408" s="516">
        <f t="shared" ca="1" si="15"/>
        <v>0.23196385299017572</v>
      </c>
      <c r="AV408" s="516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6">
        <f t="shared" ca="1" si="20"/>
        <v>5.2028423382598416E-4</v>
      </c>
      <c r="AQ409" s="516">
        <f t="shared" ca="1" si="21"/>
        <v>1.1162744607909763E-3</v>
      </c>
      <c r="AR409" s="516">
        <f t="shared" ca="1" si="22"/>
        <v>2.2953019782268806E-3</v>
      </c>
      <c r="AT409" s="516">
        <f t="shared" ca="1" si="14"/>
        <v>3.7039356264260338E-2</v>
      </c>
      <c r="AU409" s="516">
        <f t="shared" ca="1" si="15"/>
        <v>5.5405601129354276E-2</v>
      </c>
      <c r="AV409" s="516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6">
        <f t="shared" ca="1" si="20"/>
        <v>8.1127324207253243E-4</v>
      </c>
      <c r="AQ410" s="516">
        <f t="shared" ca="1" si="21"/>
        <v>1.8948548088842292E-3</v>
      </c>
      <c r="AR410" s="516">
        <f t="shared" ca="1" si="22"/>
        <v>3.9369348582974414E-3</v>
      </c>
      <c r="AT410" s="516">
        <f t="shared" ca="1" si="14"/>
        <v>5.7755043661069969E-2</v>
      </c>
      <c r="AU410" s="516">
        <f t="shared" ca="1" si="15"/>
        <v>9.4049961211767896E-2</v>
      </c>
      <c r="AV410" s="516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6">
        <f t="shared" ca="1" si="20"/>
        <v>3.5741264758480646E-4</v>
      </c>
      <c r="AQ411" s="516">
        <f t="shared" ca="1" si="21"/>
        <v>8.3256641773352168E-4</v>
      </c>
      <c r="AR411" s="516">
        <f t="shared" ca="1" si="22"/>
        <v>1.6722799198360635E-3</v>
      </c>
      <c r="AT411" s="516">
        <f t="shared" ca="1" si="14"/>
        <v>2.5444427346752754E-2</v>
      </c>
      <c r="AU411" s="516">
        <f t="shared" ca="1" si="15"/>
        <v>4.1323925678593963E-2</v>
      </c>
      <c r="AV411" s="516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6">
        <f t="shared" ca="1" si="20"/>
        <v>5.9513935679541424E-4</v>
      </c>
      <c r="AQ412" s="516">
        <f t="shared" ca="1" si="21"/>
        <v>1.4171343280570583E-3</v>
      </c>
      <c r="AR412" s="516">
        <f t="shared" ca="1" si="22"/>
        <v>3.0566389660856915E-3</v>
      </c>
      <c r="AT412" s="516">
        <f t="shared" ca="1" si="14"/>
        <v>4.2368338746549175E-2</v>
      </c>
      <c r="AU412" s="516">
        <f t="shared" ca="1" si="15"/>
        <v>7.0338596899734401E-2</v>
      </c>
      <c r="AV412" s="516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6">
        <f t="shared" ca="1" si="20"/>
        <v>2.6939618431305894E-4</v>
      </c>
      <c r="AQ413" s="516">
        <f t="shared" ca="1" si="21"/>
        <v>6.2702570467603966E-4</v>
      </c>
      <c r="AR413" s="516">
        <f t="shared" ca="1" si="22"/>
        <v>1.354115257007355E-3</v>
      </c>
      <c r="AT413" s="516">
        <f t="shared" ca="1" si="14"/>
        <v>1.9178480911534009E-2</v>
      </c>
      <c r="AU413" s="516">
        <f t="shared" ca="1" si="15"/>
        <v>3.112203791396979E-2</v>
      </c>
      <c r="AV413" s="516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6">
        <f t="shared" ca="1" si="20"/>
        <v>4.4727992433656733E-4</v>
      </c>
      <c r="AQ414" s="516">
        <f t="shared" ca="1" si="21"/>
        <v>9.9508698154641452E-4</v>
      </c>
      <c r="AR414" s="516">
        <f t="shared" ca="1" si="22"/>
        <v>1.9420545198771358E-3</v>
      </c>
      <c r="AT414" s="516">
        <f t="shared" ca="1" si="14"/>
        <v>3.1842134337852261E-2</v>
      </c>
      <c r="AU414" s="516">
        <f t="shared" ca="1" si="15"/>
        <v>4.9390534608761916E-2</v>
      </c>
      <c r="AV414" s="516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6">
        <f t="shared" ca="1" si="20"/>
        <v>3.4959810178030549E-4</v>
      </c>
      <c r="AQ415" s="516">
        <f t="shared" ca="1" si="21"/>
        <v>7.4118374776952489E-3</v>
      </c>
      <c r="AR415" s="516">
        <f t="shared" ca="1" si="22"/>
        <v>1.5763062953072517E-3</v>
      </c>
      <c r="AT415" s="516">
        <f t="shared" ca="1" si="14"/>
        <v>2.4888104999700619E-2</v>
      </c>
      <c r="AU415" s="516">
        <f t="shared" ca="1" si="15"/>
        <v>0.36788202664226172</v>
      </c>
      <c r="AV415" s="516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6">
        <f t="shared" ca="1" si="20"/>
        <v>3.6358202585151777E-3</v>
      </c>
      <c r="AQ416" s="516">
        <f t="shared" ca="1" si="21"/>
        <v>7.0792045590263005E-3</v>
      </c>
      <c r="AR416" s="516">
        <f t="shared" ca="1" si="22"/>
        <v>1.2191473068821729E-2</v>
      </c>
      <c r="AT416" s="516">
        <f t="shared" ca="1" si="14"/>
        <v>0.25883629199688646</v>
      </c>
      <c r="AU416" s="516">
        <f t="shared" ca="1" si="15"/>
        <v>0.35137199486996296</v>
      </c>
      <c r="AV416" s="516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6">
        <f t="shared" ca="1" si="20"/>
        <v>3.7592078238494027E-4</v>
      </c>
      <c r="AQ417" s="516">
        <f t="shared" ca="1" si="21"/>
        <v>8.6349593679825901E-4</v>
      </c>
      <c r="AR417" s="516">
        <f t="shared" ca="1" si="22"/>
        <v>1.756962529714427E-3</v>
      </c>
      <c r="AT417" s="516">
        <f t="shared" ca="1" si="14"/>
        <v>2.6762032905560434E-2</v>
      </c>
      <c r="AU417" s="516">
        <f t="shared" ca="1" si="15"/>
        <v>4.285909346807229E-2</v>
      </c>
      <c r="AV417" s="516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6">
        <f t="shared" ca="1" si="20"/>
        <v>2.7515427069532282E-4</v>
      </c>
      <c r="AQ418" s="516">
        <f t="shared" ca="1" si="21"/>
        <v>5.7219610269764148E-4</v>
      </c>
      <c r="AR418" s="516">
        <f t="shared" ca="1" si="22"/>
        <v>1.1464412375437494E-3</v>
      </c>
      <c r="AT418" s="516">
        <f t="shared" ca="1" si="14"/>
        <v>1.9588402640940843E-2</v>
      </c>
      <c r="AU418" s="516">
        <f t="shared" ca="1" si="15"/>
        <v>2.8400604105349107E-2</v>
      </c>
      <c r="AV418" s="516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6">
        <f t="shared" ca="1" si="20"/>
        <v>9.3815678842456109E-4</v>
      </c>
      <c r="AQ419" s="516">
        <f t="shared" ca="1" si="21"/>
        <v>2.1189532333805538E-3</v>
      </c>
      <c r="AR419" s="516">
        <f t="shared" ca="1" si="22"/>
        <v>4.4313199997777922E-3</v>
      </c>
      <c r="AT419" s="516">
        <f t="shared" ca="1" si="14"/>
        <v>6.678796176978484E-2</v>
      </c>
      <c r="AU419" s="516">
        <f t="shared" ca="1" si="15"/>
        <v>0.10517294965007906</v>
      </c>
      <c r="AV419" s="516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6">
        <f t="shared" ca="1" si="20"/>
        <v>5.4681256037284257E-4</v>
      </c>
      <c r="AQ420" s="516">
        <f t="shared" ca="1" si="21"/>
        <v>1.1927547261146906E-3</v>
      </c>
      <c r="AR420" s="516">
        <f t="shared" ca="1" si="22"/>
        <v>2.2819947109602805E-3</v>
      </c>
      <c r="AT420" s="516">
        <f t="shared" ca="1" si="14"/>
        <v>3.8927924231884674E-2</v>
      </c>
      <c r="AU420" s="516">
        <f t="shared" ca="1" si="15"/>
        <v>5.9201652390609795E-2</v>
      </c>
      <c r="AV420" s="516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6">
        <f t="shared" ca="1" si="20"/>
        <v>3.8373532818944124E-4</v>
      </c>
      <c r="AQ421" s="516">
        <f t="shared" ca="1" si="21"/>
        <v>8.5084295172632093E-3</v>
      </c>
      <c r="AR421" s="516">
        <f t="shared" ca="1" si="22"/>
        <v>1.7279284920418453E-3</v>
      </c>
      <c r="AT421" s="516">
        <f t="shared" ca="1" si="14"/>
        <v>2.7318355252612565E-2</v>
      </c>
      <c r="AU421" s="516">
        <f t="shared" ca="1" si="15"/>
        <v>0.4223107028146752</v>
      </c>
      <c r="AV421" s="516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6">
        <f t="shared" ca="1" si="20"/>
        <v>6.4840165583135488E-4</v>
      </c>
      <c r="AQ422" s="516">
        <f t="shared" ca="1" si="21"/>
        <v>1.382549502193761E-3</v>
      </c>
      <c r="AR422" s="516">
        <f t="shared" ca="1" si="22"/>
        <v>2.7533945726165043E-3</v>
      </c>
      <c r="AT422" s="516">
        <f t="shared" ca="1" si="14"/>
        <v>4.6160114743562387E-2</v>
      </c>
      <c r="AU422" s="516">
        <f t="shared" ca="1" si="15"/>
        <v>6.862200018968137E-2</v>
      </c>
      <c r="AV422" s="516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6">
        <f t="shared" ca="1" si="20"/>
        <v>1.398392407121222E-3</v>
      </c>
      <c r="AQ423" s="516">
        <f t="shared" ca="1" si="21"/>
        <v>3.3018667488837368E-3</v>
      </c>
      <c r="AR423" s="516">
        <f t="shared" ca="1" si="22"/>
        <v>6.1798142685043833E-3</v>
      </c>
      <c r="AT423" s="516">
        <f t="shared" ca="1" si="14"/>
        <v>9.9552419998802474E-2</v>
      </c>
      <c r="AU423" s="516">
        <f t="shared" ca="1" si="15"/>
        <v>0.16388613956221848</v>
      </c>
      <c r="AV423" s="516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6">
        <f t="shared" ca="1" si="20"/>
        <v>3.7180786354046612E-4</v>
      </c>
      <c r="AQ424" s="516">
        <f t="shared" ca="1" si="21"/>
        <v>8.5421708107883787E-4</v>
      </c>
      <c r="AR424" s="516">
        <f t="shared" ca="1" si="22"/>
        <v>1.7218797341933909E-3</v>
      </c>
      <c r="AT424" s="516">
        <f t="shared" ca="1" si="14"/>
        <v>2.6469231670269835E-2</v>
      </c>
      <c r="AU424" s="516">
        <f t="shared" ca="1" si="15"/>
        <v>4.2398543131228796E-2</v>
      </c>
      <c r="AV424" s="516">
        <f t="shared" ca="1" si="16"/>
        <v>7.3176933839237401E-2</v>
      </c>
    </row>
    <row r="425" spans="1:48" ht="10.5" customHeight="1">
      <c r="A425" s="96">
        <v>414</v>
      </c>
      <c r="B425" s="68" t="s">
        <v>615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6">
        <f t="shared" ca="1" si="20"/>
        <v>4.0244910893179878E-4</v>
      </c>
      <c r="AQ425" s="516">
        <f t="shared" ca="1" si="21"/>
        <v>7.5946028176232419E-4</v>
      </c>
      <c r="AR425" s="516">
        <f t="shared" ca="1" si="22"/>
        <v>1.5234804767640822E-3</v>
      </c>
      <c r="AT425" s="516">
        <f t="shared" ca="1" si="14"/>
        <v>2.8650600873184773E-2</v>
      </c>
      <c r="AU425" s="516">
        <f t="shared" ca="1" si="15"/>
        <v>3.7695347267099728E-2</v>
      </c>
      <c r="AV425" s="516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6">
        <f t="shared" ca="1" si="20"/>
        <v>4.849131317635061E-4</v>
      </c>
      <c r="AQ426" s="516">
        <f t="shared" ca="1" si="21"/>
        <v>1.3541505801434111E-3</v>
      </c>
      <c r="AR426" s="516">
        <f t="shared" ca="1" si="22"/>
        <v>3.0715592354452126E-3</v>
      </c>
      <c r="AT426" s="516">
        <f t="shared" ca="1" si="14"/>
        <v>3.452126564076121E-2</v>
      </c>
      <c r="AU426" s="516">
        <f t="shared" ca="1" si="15"/>
        <v>6.7212437037523984E-2</v>
      </c>
      <c r="AV426" s="516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6">
        <f t="shared" ca="1" si="20"/>
        <v>4.7134049957674135E-4</v>
      </c>
      <c r="AQ427" s="516">
        <f t="shared" ca="1" si="21"/>
        <v>1.0358577112226592E-3</v>
      </c>
      <c r="AR427" s="516">
        <f t="shared" ca="1" si="22"/>
        <v>2.0456899043473239E-3</v>
      </c>
      <c r="AT427" s="516">
        <f t="shared" ca="1" si="14"/>
        <v>3.3555021564302255E-2</v>
      </c>
      <c r="AU427" s="516">
        <f t="shared" ca="1" si="15"/>
        <v>5.1414164876710626E-2</v>
      </c>
      <c r="AV427" s="516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6">
        <f t="shared" ca="1" si="20"/>
        <v>3.2862221567348719E-4</v>
      </c>
      <c r="AQ428" s="516">
        <f t="shared" ca="1" si="21"/>
        <v>7.3865315075513725E-4</v>
      </c>
      <c r="AR428" s="516">
        <f t="shared" ca="1" si="22"/>
        <v>1.5351747419377608E-3</v>
      </c>
      <c r="AT428" s="516">
        <f t="shared" ca="1" si="14"/>
        <v>2.3394818699718586E-2</v>
      </c>
      <c r="AU428" s="516">
        <f t="shared" ca="1" si="15"/>
        <v>3.6662598026905212E-2</v>
      </c>
      <c r="AV428" s="516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6">
        <f t="shared" ca="1" si="20"/>
        <v>8.3471687948603543E-4</v>
      </c>
      <c r="AQ429" s="516">
        <f t="shared" ca="1" si="21"/>
        <v>1.9550267823374456E-3</v>
      </c>
      <c r="AR429" s="516">
        <f t="shared" ca="1" si="22"/>
        <v>4.0812985456138897E-3</v>
      </c>
      <c r="AT429" s="516">
        <f t="shared" ca="1" si="14"/>
        <v>5.9424010702226367E-2</v>
      </c>
      <c r="AU429" s="516">
        <f t="shared" ca="1" si="15"/>
        <v>9.7036560365843919E-2</v>
      </c>
      <c r="AV429" s="516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6">
        <f t="shared" ca="1" si="20"/>
        <v>6.4038146408463019E-4</v>
      </c>
      <c r="AQ430" s="516">
        <f t="shared" ca="1" si="21"/>
        <v>1.4601544773016474E-3</v>
      </c>
      <c r="AR430" s="516">
        <f t="shared" ca="1" si="22"/>
        <v>3.1199492982328489E-3</v>
      </c>
      <c r="AT430" s="516">
        <f t="shared" ca="1" si="14"/>
        <v>4.5589152334745725E-2</v>
      </c>
      <c r="AU430" s="516">
        <f t="shared" ca="1" si="15"/>
        <v>7.2473875734190618E-2</v>
      </c>
      <c r="AV430" s="516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6">
        <f t="shared" ca="1" si="20"/>
        <v>3.7921111746051962E-4</v>
      </c>
      <c r="AQ431" s="516">
        <f t="shared" ca="1" si="21"/>
        <v>7.3246724694218989E-4</v>
      </c>
      <c r="AR431" s="516">
        <f t="shared" ca="1" si="22"/>
        <v>1.4537181362452398E-3</v>
      </c>
      <c r="AT431" s="516">
        <f t="shared" ca="1" si="14"/>
        <v>2.6996273893792909E-2</v>
      </c>
      <c r="AU431" s="516">
        <f t="shared" ca="1" si="15"/>
        <v>3.6355564469009553E-2</v>
      </c>
      <c r="AV431" s="516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6">
        <f t="shared" ca="1" si="20"/>
        <v>6.0459907013770482E-4</v>
      </c>
      <c r="AQ432" s="516">
        <f t="shared" ca="1" si="21"/>
        <v>1.4446897177692788E-3</v>
      </c>
      <c r="AR432" s="516">
        <f t="shared" ca="1" si="22"/>
        <v>3.0219594210878853E-3</v>
      </c>
      <c r="AT432" s="516">
        <f t="shared" ca="1" si="14"/>
        <v>4.3041781587717542E-2</v>
      </c>
      <c r="AU432" s="516">
        <f t="shared" ca="1" si="15"/>
        <v>7.1706291839451472E-2</v>
      </c>
      <c r="AV432" s="516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6">
        <f t="shared" ca="1" si="20"/>
        <v>7.411479757742477E-4</v>
      </c>
      <c r="AQ433" s="516">
        <f t="shared" ca="1" si="21"/>
        <v>1.7731049747475812E-3</v>
      </c>
      <c r="AR433" s="516">
        <f t="shared" ca="1" si="22"/>
        <v>3.6546594920362297E-3</v>
      </c>
      <c r="AT433" s="516">
        <f t="shared" ca="1" si="14"/>
        <v>5.2762782599365315E-2</v>
      </c>
      <c r="AU433" s="516">
        <f t="shared" ca="1" si="15"/>
        <v>8.800698254954864E-2</v>
      </c>
      <c r="AV433" s="516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6">
        <f t="shared" ca="1" si="20"/>
        <v>4.9828011800804716E-4</v>
      </c>
      <c r="AQ434" s="516">
        <f t="shared" ca="1" si="21"/>
        <v>1.1199297675895364E-3</v>
      </c>
      <c r="AR434" s="516">
        <f t="shared" ca="1" si="22"/>
        <v>2.4211161414747348E-3</v>
      </c>
      <c r="AT434" s="516">
        <f t="shared" ca="1" si="14"/>
        <v>3.5472869655455645E-2</v>
      </c>
      <c r="AU434" s="516">
        <f t="shared" ca="1" si="15"/>
        <v>5.5587030049929001E-2</v>
      </c>
      <c r="AV434" s="516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6">
        <f t="shared" ca="1" si="20"/>
        <v>8.4705563601945801E-4</v>
      </c>
      <c r="AQ435" s="516">
        <f t="shared" ca="1" si="21"/>
        <v>1.7283977608267334E-3</v>
      </c>
      <c r="AR435" s="516">
        <f t="shared" ca="1" si="22"/>
        <v>3.4195644369929635E-3</v>
      </c>
      <c r="AT435" s="516">
        <f t="shared" ca="1" si="14"/>
        <v>6.0302414408098158E-2</v>
      </c>
      <c r="AU435" s="516">
        <f t="shared" ca="1" si="15"/>
        <v>8.5787967290211778E-2</v>
      </c>
      <c r="AV435" s="516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6">
        <f t="shared" ref="AP436:AP466" ca="1" si="26">AH436*$AR$365</f>
        <v>8.4582176036611574E-4</v>
      </c>
      <c r="AQ436" s="516">
        <f t="shared" ref="AQ436:AQ466" ca="1" si="27">AI436*$AR$366</f>
        <v>1.8535217243158982E-3</v>
      </c>
      <c r="AR436" s="516">
        <f t="shared" ref="AR436:AR466" ca="1" si="28">AJ436*$AR$367</f>
        <v>3.7941841730739145E-3</v>
      </c>
      <c r="AT436" s="516">
        <f t="shared" ca="1" si="14"/>
        <v>6.021457403751098E-2</v>
      </c>
      <c r="AU436" s="516">
        <f t="shared" ca="1" si="15"/>
        <v>9.1998418802192297E-2</v>
      </c>
      <c r="AV436" s="516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6">
        <f t="shared" ca="1" si="26"/>
        <v>6.8377275789383279E-4</v>
      </c>
      <c r="AQ437" s="516">
        <f t="shared" ca="1" si="27"/>
        <v>1.7418942782368007E-3</v>
      </c>
      <c r="AR437" s="516">
        <f t="shared" ca="1" si="28"/>
        <v>3.7345030956358297E-3</v>
      </c>
      <c r="AT437" s="516">
        <f t="shared" ref="AT437:AT466" ca="1" si="29">AH437*$AV$365</f>
        <v>4.8678205367061508E-2</v>
      </c>
      <c r="AU437" s="516">
        <f t="shared" ref="AU437:AU466" ca="1" si="30">AI437*$AV$366</f>
        <v>8.6457858689256872E-2</v>
      </c>
      <c r="AV437" s="516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6">
        <f t="shared" ca="1" si="26"/>
        <v>5.5277629269733007E-4</v>
      </c>
      <c r="AQ438" s="516">
        <f t="shared" ca="1" si="27"/>
        <v>1.2557384740283378E-3</v>
      </c>
      <c r="AR438" s="516">
        <f t="shared" ca="1" si="28"/>
        <v>2.4061958721152137E-3</v>
      </c>
      <c r="AT438" s="516">
        <f t="shared" ca="1" si="29"/>
        <v>3.9352486023056042E-2</v>
      </c>
      <c r="AU438" s="516">
        <f t="shared" ca="1" si="30"/>
        <v>6.2327812252820212E-2</v>
      </c>
      <c r="AV438" s="516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6">
        <f t="shared" ca="1" si="26"/>
        <v>7.140027114007181E-4</v>
      </c>
      <c r="AQ439" s="516">
        <f t="shared" ca="1" si="27"/>
        <v>1.5748748752872188E-3</v>
      </c>
      <c r="AR439" s="516">
        <f t="shared" ca="1" si="28"/>
        <v>3.1320468139297577E-3</v>
      </c>
      <c r="AT439" s="516">
        <f t="shared" ca="1" si="29"/>
        <v>5.0830294446447384E-2</v>
      </c>
      <c r="AU439" s="516">
        <f t="shared" ca="1" si="30"/>
        <v>7.8167952626073886E-2</v>
      </c>
      <c r="AV439" s="516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6">
        <f t="shared" ca="1" si="26"/>
        <v>3.6707800686932077E-4</v>
      </c>
      <c r="AQ440" s="516">
        <f t="shared" ca="1" si="27"/>
        <v>7.7492504129469302E-4</v>
      </c>
      <c r="AR440" s="516">
        <f t="shared" ca="1" si="28"/>
        <v>1.5190447210085489E-3</v>
      </c>
      <c r="AT440" s="516">
        <f t="shared" ca="1" si="29"/>
        <v>2.6132510249685652E-2</v>
      </c>
      <c r="AU440" s="516">
        <f t="shared" ca="1" si="30"/>
        <v>3.8462931161838895E-2</v>
      </c>
      <c r="AV440" s="516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6">
        <f t="shared" ca="1" si="26"/>
        <v>5.3303428224385409E-4</v>
      </c>
      <c r="AQ441" s="516">
        <f t="shared" ca="1" si="27"/>
        <v>1.2889174126614197E-3</v>
      </c>
      <c r="AR441" s="516">
        <f t="shared" ca="1" si="28"/>
        <v>2.6058048811142135E-3</v>
      </c>
      <c r="AT441" s="516">
        <f t="shared" ca="1" si="29"/>
        <v>3.7947040093661184E-2</v>
      </c>
      <c r="AU441" s="516">
        <f t="shared" ca="1" si="30"/>
        <v>6.3974628608806053E-2</v>
      </c>
      <c r="AV441" s="516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6">
        <f t="shared" ca="1" si="26"/>
        <v>4.7442518871009697E-4</v>
      </c>
      <c r="AQ442" s="516">
        <f t="shared" ca="1" si="27"/>
        <v>1.0965920395679617E-3</v>
      </c>
      <c r="AR442" s="516">
        <f t="shared" ca="1" si="28"/>
        <v>2.3271587695620748E-3</v>
      </c>
      <c r="AT442" s="516">
        <f t="shared" ca="1" si="29"/>
        <v>3.3774622490770199E-2</v>
      </c>
      <c r="AU442" s="516">
        <f t="shared" ca="1" si="30"/>
        <v>5.4428676172413523E-2</v>
      </c>
      <c r="AV442" s="516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6">
        <f t="shared" ca="1" si="26"/>
        <v>7.713779292811329E-4</v>
      </c>
      <c r="AQ443" s="516">
        <f t="shared" ca="1" si="27"/>
        <v>1.634484493848349E-3</v>
      </c>
      <c r="AR443" s="516">
        <f t="shared" ca="1" si="28"/>
        <v>3.2356821983999455E-3</v>
      </c>
      <c r="AT443" s="516">
        <f t="shared" ca="1" si="29"/>
        <v>5.4914871678751198E-2</v>
      </c>
      <c r="AU443" s="516">
        <f t="shared" ca="1" si="30"/>
        <v>8.1126639638523027E-2</v>
      </c>
      <c r="AV443" s="516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6">
        <f t="shared" ca="1" si="26"/>
        <v>6.1549830507556141E-4</v>
      </c>
      <c r="AQ444" s="516">
        <f t="shared" ca="1" si="27"/>
        <v>1.3257516580930612E-3</v>
      </c>
      <c r="AR444" s="516">
        <f t="shared" ca="1" si="28"/>
        <v>2.6759704721562865E-3</v>
      </c>
      <c r="AT444" s="516">
        <f t="shared" ca="1" si="29"/>
        <v>4.3817704861237622E-2</v>
      </c>
      <c r="AU444" s="516">
        <f t="shared" ca="1" si="30"/>
        <v>6.5802873885366611E-2</v>
      </c>
      <c r="AV444" s="516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6">
        <f t="shared" ca="1" si="26"/>
        <v>8.2299506077928403E-4</v>
      </c>
      <c r="AQ445" s="516">
        <f t="shared" ca="1" si="27"/>
        <v>1.7047788553591159E-3</v>
      </c>
      <c r="AR445" s="516">
        <f t="shared" ca="1" si="28"/>
        <v>3.3800458857163942E-3</v>
      </c>
      <c r="AT445" s="516">
        <f t="shared" ca="1" si="29"/>
        <v>5.8589527181648178E-2</v>
      </c>
      <c r="AU445" s="516">
        <f t="shared" ca="1" si="30"/>
        <v>8.461565734188288E-2</v>
      </c>
      <c r="AV445" s="516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6">
        <f t="shared" ca="1" si="26"/>
        <v>3.985418360295483E-4</v>
      </c>
      <c r="AQ446" s="516">
        <f t="shared" ca="1" si="27"/>
        <v>8.8317835802127385E-4</v>
      </c>
      <c r="AR446" s="516">
        <f t="shared" ca="1" si="28"/>
        <v>1.8976969623218027E-3</v>
      </c>
      <c r="AT446" s="516">
        <f t="shared" ca="1" si="29"/>
        <v>2.8372439699658709E-2</v>
      </c>
      <c r="AU446" s="516">
        <f t="shared" ca="1" si="30"/>
        <v>4.383601842501305E-2</v>
      </c>
      <c r="AV446" s="516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6">
        <f t="shared" ca="1" si="26"/>
        <v>3.6296508802484661E-4</v>
      </c>
      <c r="AQ447" s="516">
        <f t="shared" ca="1" si="27"/>
        <v>8.3650290197812471E-4</v>
      </c>
      <c r="AR447" s="516">
        <f t="shared" ca="1" si="28"/>
        <v>1.7085724669267911E-3</v>
      </c>
      <c r="AT447" s="516">
        <f t="shared" ca="1" si="29"/>
        <v>2.5839709014395057E-2</v>
      </c>
      <c r="AU447" s="516">
        <f t="shared" ca="1" si="30"/>
        <v>4.1519310669982115E-2</v>
      </c>
      <c r="AV447" s="516">
        <f t="shared" ca="1" si="31"/>
        <v>7.2611397816592232E-2</v>
      </c>
    </row>
    <row r="448" spans="1:48" ht="10.5" customHeight="1">
      <c r="A448" s="96">
        <v>437</v>
      </c>
      <c r="B448" s="68" t="s">
        <v>616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6">
        <f t="shared" ca="1" si="26"/>
        <v>5.1576002309706244E-4</v>
      </c>
      <c r="AQ448" s="516">
        <f t="shared" ca="1" si="27"/>
        <v>1.2031582916182842E-3</v>
      </c>
      <c r="AR448" s="516">
        <f t="shared" ca="1" si="28"/>
        <v>2.3719195776406381E-3</v>
      </c>
      <c r="AT448" s="516">
        <f t="shared" ca="1" si="29"/>
        <v>3.6717274905440682E-2</v>
      </c>
      <c r="AU448" s="516">
        <f t="shared" ca="1" si="30"/>
        <v>5.9718027010707046E-2</v>
      </c>
      <c r="AV448" s="516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6">
        <f t="shared" ca="1" si="26"/>
        <v>4.404936082431849E-4</v>
      </c>
      <c r="AQ449" s="516">
        <f t="shared" ca="1" si="27"/>
        <v>9.3716442766154267E-4</v>
      </c>
      <c r="AR449" s="516">
        <f t="shared" ca="1" si="28"/>
        <v>1.9319732567963785E-3</v>
      </c>
      <c r="AT449" s="516">
        <f t="shared" ca="1" si="29"/>
        <v>3.1359012299622784E-2</v>
      </c>
      <c r="AU449" s="516">
        <f t="shared" ca="1" si="30"/>
        <v>4.6515584021193407E-2</v>
      </c>
      <c r="AV449" s="516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6">
        <f t="shared" ca="1" si="26"/>
        <v>7.7713601566339679E-4</v>
      </c>
      <c r="AQ450" s="516">
        <f t="shared" ca="1" si="27"/>
        <v>2.0652483411863279E-3</v>
      </c>
      <c r="AR450" s="516">
        <f t="shared" ca="1" si="28"/>
        <v>4.1405763725287439E-3</v>
      </c>
      <c r="AT450" s="516">
        <f t="shared" ca="1" si="29"/>
        <v>5.5324793408158025E-2</v>
      </c>
      <c r="AU450" s="516">
        <f t="shared" ca="1" si="30"/>
        <v>0.10250734012471215</v>
      </c>
      <c r="AV450" s="516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6">
        <f t="shared" ca="1" si="26"/>
        <v>4.3946537853206642E-4</v>
      </c>
      <c r="AQ451" s="516">
        <f t="shared" ca="1" si="27"/>
        <v>9.0286077924428847E-4</v>
      </c>
      <c r="AR451" s="516">
        <f t="shared" ca="1" si="28"/>
        <v>1.8565654089523116E-3</v>
      </c>
      <c r="AT451" s="516">
        <f t="shared" ca="1" si="29"/>
        <v>3.1285811990800133E-2</v>
      </c>
      <c r="AU451" s="516">
        <f t="shared" ca="1" si="30"/>
        <v>4.4812943381953803E-2</v>
      </c>
      <c r="AV451" s="516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6">
        <f t="shared" ca="1" si="26"/>
        <v>1.0259676057540849E-3</v>
      </c>
      <c r="AQ452" s="516">
        <f t="shared" ca="1" si="27"/>
        <v>2.8398922050349778E-3</v>
      </c>
      <c r="AR452" s="516">
        <f t="shared" ca="1" si="28"/>
        <v>5.9439127124146559E-3</v>
      </c>
      <c r="AT452" s="516">
        <f t="shared" ca="1" si="29"/>
        <v>7.3039268143239064E-2</v>
      </c>
      <c r="AU452" s="516">
        <f t="shared" ca="1" si="30"/>
        <v>0.14095631521573759</v>
      </c>
      <c r="AV452" s="516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6">
        <f t="shared" ca="1" si="26"/>
        <v>5.5935696284848888E-4</v>
      </c>
      <c r="AQ453" s="516">
        <f t="shared" ca="1" si="27"/>
        <v>1.299320978165013E-3</v>
      </c>
      <c r="AR453" s="516">
        <f t="shared" ca="1" si="28"/>
        <v>2.7892838691840013E-3</v>
      </c>
      <c r="AT453" s="516">
        <f t="shared" ca="1" si="29"/>
        <v>3.9820967999520999E-2</v>
      </c>
      <c r="AU453" s="516">
        <f t="shared" ca="1" si="30"/>
        <v>6.4491003228903318E-2</v>
      </c>
      <c r="AV453" s="516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6">
        <f t="shared" ca="1" si="26"/>
        <v>3.6049733671816213E-4</v>
      </c>
      <c r="AQ454" s="516">
        <f t="shared" ca="1" si="27"/>
        <v>8.7193126017955113E-4</v>
      </c>
      <c r="AR454" s="516">
        <f t="shared" ca="1" si="28"/>
        <v>1.8763246845905966E-3</v>
      </c>
      <c r="AT454" s="516">
        <f t="shared" ca="1" si="29"/>
        <v>2.5664028273220701E-2</v>
      </c>
      <c r="AU454" s="516">
        <f t="shared" ca="1" si="30"/>
        <v>4.3277775592475476E-2</v>
      </c>
      <c r="AV454" s="516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6">
        <f t="shared" ca="1" si="26"/>
        <v>6.3914758843128803E-4</v>
      </c>
      <c r="AQ455" s="516">
        <f t="shared" ca="1" si="27"/>
        <v>1.5231382252152944E-3</v>
      </c>
      <c r="AR455" s="516">
        <f t="shared" ca="1" si="28"/>
        <v>3.2578609771776123E-3</v>
      </c>
      <c r="AT455" s="516">
        <f t="shared" ca="1" si="29"/>
        <v>4.5501311964158547E-2</v>
      </c>
      <c r="AU455" s="516">
        <f t="shared" ca="1" si="30"/>
        <v>7.560003559640105E-2</v>
      </c>
      <c r="AV455" s="516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6">
        <f t="shared" ca="1" si="26"/>
        <v>5.1185275019481201E-4</v>
      </c>
      <c r="AQ456" s="516">
        <f t="shared" ca="1" si="27"/>
        <v>1.2748585403592663E-3</v>
      </c>
      <c r="AR456" s="516">
        <f t="shared" ca="1" si="28"/>
        <v>2.7723473472083282E-3</v>
      </c>
      <c r="AT456" s="516">
        <f t="shared" ca="1" si="29"/>
        <v>3.6439113731914614E-2</v>
      </c>
      <c r="AU456" s="516">
        <f t="shared" ca="1" si="30"/>
        <v>6.3276825068134077E-2</v>
      </c>
      <c r="AV456" s="516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6">
        <f t="shared" ca="1" si="26"/>
        <v>1.9655639157742121E-3</v>
      </c>
      <c r="AQ457" s="516">
        <f t="shared" ca="1" si="27"/>
        <v>4.4603178265811734E-3</v>
      </c>
      <c r="AR457" s="516">
        <f t="shared" ca="1" si="28"/>
        <v>7.9601653285661673E-3</v>
      </c>
      <c r="AT457" s="516">
        <f t="shared" ca="1" si="29"/>
        <v>0.13992971034537563</v>
      </c>
      <c r="AU457" s="516">
        <f t="shared" ca="1" si="30"/>
        <v>0.22138515131358866</v>
      </c>
      <c r="AV457" s="516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6">
        <f t="shared" ca="1" si="26"/>
        <v>1.6204900247228279E-4</v>
      </c>
      <c r="AQ458" s="516">
        <f t="shared" ca="1" si="27"/>
        <v>3.8380721384878656E-4</v>
      </c>
      <c r="AR458" s="516">
        <f t="shared" ca="1" si="28"/>
        <v>1.0355473436554164E-3</v>
      </c>
      <c r="AT458" s="516">
        <f t="shared" ca="1" si="29"/>
        <v>1.1536368670449463E-2</v>
      </c>
      <c r="AU458" s="516">
        <f t="shared" ca="1" si="30"/>
        <v>1.9050036660344733E-2</v>
      </c>
      <c r="AV458" s="516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6">
        <f t="shared" ca="1" si="26"/>
        <v>3.827070984783227E-4</v>
      </c>
      <c r="AQ459" s="516">
        <f t="shared" ca="1" si="27"/>
        <v>8.6349593679825901E-4</v>
      </c>
      <c r="AR459" s="516">
        <f t="shared" ca="1" si="28"/>
        <v>1.7964810809909966E-3</v>
      </c>
      <c r="AT459" s="516">
        <f t="shared" ca="1" si="29"/>
        <v>2.7245154943789915E-2</v>
      </c>
      <c r="AU459" s="516">
        <f t="shared" ca="1" si="30"/>
        <v>4.285909346807229E-2</v>
      </c>
      <c r="AV459" s="516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6">
        <f t="shared" ca="1" si="26"/>
        <v>7.970836720590966E-4</v>
      </c>
      <c r="AQ460" s="516">
        <f t="shared" ca="1" si="27"/>
        <v>1.8822018238122912E-3</v>
      </c>
      <c r="AR460" s="516">
        <f t="shared" ca="1" si="28"/>
        <v>4.0615392699756047E-3</v>
      </c>
      <c r="AT460" s="516">
        <f t="shared" ca="1" si="29"/>
        <v>5.6744879399317417E-2</v>
      </c>
      <c r="AU460" s="516">
        <f t="shared" ca="1" si="30"/>
        <v>9.3421938025163118E-2</v>
      </c>
      <c r="AV460" s="516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6">
        <f t="shared" ca="1" si="26"/>
        <v>2.6898489242861153E-4</v>
      </c>
      <c r="AQ461" s="516">
        <f t="shared" ca="1" si="27"/>
        <v>6.4895754546739892E-4</v>
      </c>
      <c r="AR461" s="516">
        <f t="shared" ca="1" si="28"/>
        <v>1.4690416561279913E-3</v>
      </c>
      <c r="AT461" s="516">
        <f t="shared" ca="1" si="29"/>
        <v>1.9149200788004948E-2</v>
      </c>
      <c r="AU461" s="516">
        <f t="shared" ca="1" si="30"/>
        <v>3.221061143741806E-2</v>
      </c>
      <c r="AV461" s="516">
        <f t="shared" ca="1" si="31"/>
        <v>6.2431749408979345E-2</v>
      </c>
    </row>
    <row r="462" spans="1:48" ht="10.5" customHeight="1" thickBot="1">
      <c r="A462" s="326"/>
      <c r="B462" s="74"/>
      <c r="C462" s="509"/>
      <c r="D462" s="75"/>
      <c r="E462" s="510"/>
      <c r="F462" s="511"/>
      <c r="G462" s="511"/>
      <c r="H462" s="511"/>
      <c r="I462" s="511"/>
      <c r="J462" s="511"/>
      <c r="K462" s="511"/>
      <c r="L462" s="511"/>
      <c r="M462" s="511"/>
      <c r="N462" s="512"/>
      <c r="O462" s="513"/>
      <c r="P462" s="513"/>
      <c r="Q462" s="513"/>
      <c r="R462" s="513"/>
      <c r="S462" s="513"/>
      <c r="T462" s="513"/>
      <c r="U462" s="513"/>
      <c r="V462" s="514"/>
      <c r="W462" s="512"/>
      <c r="X462" s="513"/>
      <c r="Y462" s="513"/>
      <c r="Z462" s="513"/>
      <c r="AA462" s="513"/>
      <c r="AB462" s="513"/>
      <c r="AC462" s="513"/>
      <c r="AD462" s="513"/>
      <c r="AE462" s="514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6">
        <f t="shared" ca="1" si="26"/>
        <v>3.1833991856230169E-4</v>
      </c>
      <c r="AQ462" s="516">
        <f t="shared" ca="1" si="27"/>
        <v>7.2122014910046717E-4</v>
      </c>
      <c r="AR462" s="516">
        <f t="shared" ca="1" si="28"/>
        <v>1.4492823804897065E-3</v>
      </c>
      <c r="AT462" s="516">
        <f t="shared" ca="1" si="29"/>
        <v>2.2662815611492092E-2</v>
      </c>
      <c r="AU462" s="516">
        <f t="shared" ca="1" si="30"/>
        <v>3.5797321636471972E-2</v>
      </c>
      <c r="AV462" s="516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6">
        <f t="shared" ca="1" si="26"/>
        <v>3.3026738321127687E-4</v>
      </c>
      <c r="AQ463" s="516">
        <f t="shared" ca="1" si="27"/>
        <v>7.5018142604290293E-4</v>
      </c>
      <c r="AR463" s="516">
        <f t="shared" ca="1" si="28"/>
        <v>1.6029208298404519E-3</v>
      </c>
      <c r="AT463" s="516">
        <f t="shared" ca="1" si="29"/>
        <v>2.3511939193834822E-2</v>
      </c>
      <c r="AU463" s="516">
        <f t="shared" ca="1" si="30"/>
        <v>3.7234796930256227E-2</v>
      </c>
      <c r="AV463" s="516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6">
        <f t="shared" ca="1" si="26"/>
        <v>6.2372414276450983E-4</v>
      </c>
      <c r="AQ464" s="516">
        <f t="shared" ca="1" si="27"/>
        <v>1.5608160029850656E-3</v>
      </c>
      <c r="AR464" s="516">
        <f t="shared" ca="1" si="28"/>
        <v>3.4171449338535821E-3</v>
      </c>
      <c r="AT464" s="516">
        <f t="shared" ca="1" si="29"/>
        <v>4.4403307331818818E-2</v>
      </c>
      <c r="AU464" s="516">
        <f t="shared" ca="1" si="30"/>
        <v>7.7470149085401924E-2</v>
      </c>
      <c r="AV464" s="516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6">
        <f t="shared" ca="1" si="26"/>
        <v>7.691158239166721E-4</v>
      </c>
      <c r="AQ465" s="516">
        <f t="shared" ca="1" si="27"/>
        <v>1.8625194025892763E-3</v>
      </c>
      <c r="AR465" s="516">
        <f t="shared" ca="1" si="28"/>
        <v>3.7466006113327389E-3</v>
      </c>
      <c r="AT465" s="516">
        <f t="shared" ca="1" si="29"/>
        <v>5.4753830999341363E-2</v>
      </c>
      <c r="AU465" s="516">
        <f t="shared" ca="1" si="30"/>
        <v>9.2445013068222351E-2</v>
      </c>
      <c r="AV465" s="516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6">
        <f t="shared" ca="1" si="26"/>
        <v>7.911199397346091E-4</v>
      </c>
      <c r="AQ466" s="516">
        <f t="shared" ca="1" si="27"/>
        <v>1.8166874788842565E-3</v>
      </c>
      <c r="AR466" s="516">
        <f t="shared" ca="1" si="28"/>
        <v>3.6058661787253632E-3</v>
      </c>
      <c r="AT466" s="516">
        <f t="shared" ca="1" si="29"/>
        <v>5.6320317608146056E-2</v>
      </c>
      <c r="AU466" s="516">
        <f t="shared" ca="1" si="30"/>
        <v>9.0170173525631739E-2</v>
      </c>
      <c r="AV466" s="516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123825</xdr:rowOff>
                  </from>
                  <to>
                    <xdr:col>45</xdr:col>
                    <xdr:colOff>295275</xdr:colOff>
                    <xdr:row>364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57"/>
      <c r="K2" s="168"/>
    </row>
    <row r="3" spans="2:11">
      <c r="J3" s="257"/>
    </row>
    <row r="5" spans="2:11" ht="15.75" thickBot="1"/>
    <row r="6" spans="2:11" ht="15.75" thickBot="1">
      <c r="B6" s="172" t="s">
        <v>423</v>
      </c>
      <c r="C6" s="178" t="b">
        <v>1</v>
      </c>
      <c r="H6" s="173" t="s">
        <v>424</v>
      </c>
      <c r="I6" s="656">
        <v>1</v>
      </c>
      <c r="J6" s="657"/>
      <c r="K6" s="658"/>
    </row>
    <row r="7" spans="2:11" ht="15.75" thickBot="1">
      <c r="D7" s="162"/>
      <c r="H7" s="174" t="s">
        <v>425</v>
      </c>
      <c r="I7" s="659" t="str" cm="1">
        <f t="array" aca="1" ref="I7" ca="1">GetGetCDSName(I6)</f>
        <v>ABNAMRO_MMR.EUR.SU</v>
      </c>
      <c r="J7" s="660"/>
      <c r="K7" s="661"/>
    </row>
    <row r="8" spans="2:11" ht="15.75" thickBot="1"/>
    <row r="9" spans="2:11" ht="15.7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.7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3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20.5703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64" t="s">
        <v>456</v>
      </c>
      <c r="D3" s="665"/>
      <c r="E3" s="666"/>
    </row>
    <row r="4" spans="2:11">
      <c r="C4" s="667"/>
      <c r="D4" s="668"/>
      <c r="E4" s="669"/>
    </row>
    <row r="5" spans="2:11" ht="15.75" thickBot="1">
      <c r="C5" s="670"/>
      <c r="D5" s="671"/>
      <c r="E5" s="672"/>
      <c r="G5" s="461"/>
    </row>
    <row r="6" spans="2:11" ht="15.75" thickBot="1"/>
    <row r="7" spans="2:11" ht="16.5" thickBot="1">
      <c r="B7" s="662" t="s">
        <v>454</v>
      </c>
      <c r="C7" s="663"/>
      <c r="D7" s="79"/>
      <c r="E7" s="662" t="s">
        <v>455</v>
      </c>
      <c r="F7" s="663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670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.7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7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.7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.7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IF(NOT($F$9),"",getcds(C9,C10,C11,C12,C13,C19,C20,C21,C15,C16,C17,C23,C24,C26,C28:C30,C32,))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20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.7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.7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.75" thickBot="1">
      <c r="B20" s="200" t="s">
        <v>444</v>
      </c>
      <c r="C20" s="69" t="s">
        <v>445</v>
      </c>
      <c r="E20" s="217" t="s">
        <v>443</v>
      </c>
      <c r="F20" s="258" t="str">
        <f ca="1"/>
        <v>00:00:00.0200985</v>
      </c>
      <c r="G20" s="254" t="str">
        <f ca="1"/>
        <v>00:00:00.0200985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.7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.7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.75" thickBot="1">
      <c r="B24" s="201" t="s">
        <v>448</v>
      </c>
      <c r="C24" s="190" t="b">
        <v>1</v>
      </c>
    </row>
    <row r="25" spans="2:11" ht="15.75" thickBot="1">
      <c r="B25" s="195"/>
      <c r="C25" s="85"/>
      <c r="D25" s="191"/>
      <c r="E25" s="168"/>
      <c r="F25" s="502"/>
      <c r="H25" s="624"/>
    </row>
    <row r="26" spans="2:11" ht="15.75" thickBot="1">
      <c r="B26" s="172" t="s">
        <v>449</v>
      </c>
      <c r="C26" s="189" t="b">
        <v>1</v>
      </c>
      <c r="D26" s="85"/>
      <c r="F26" s="622"/>
      <c r="G26" s="622"/>
      <c r="I26" s="622"/>
    </row>
    <row r="27" spans="2:11" ht="15.75" thickBot="1">
      <c r="B27" s="197" t="s">
        <v>450</v>
      </c>
      <c r="C27" s="211"/>
      <c r="D27" s="85"/>
      <c r="F27" s="622"/>
      <c r="G27" s="622"/>
      <c r="H27" s="623"/>
      <c r="I27" s="622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.75" thickBot="1">
      <c r="B30" s="198" t="s">
        <v>448</v>
      </c>
      <c r="C30" s="193" t="b">
        <v>1</v>
      </c>
      <c r="D30" s="85"/>
    </row>
    <row r="31" spans="2:11" ht="15.75" thickBot="1">
      <c r="B31" s="196"/>
      <c r="C31" s="79"/>
      <c r="D31" s="85"/>
    </row>
    <row r="32" spans="2:11" ht="15.7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zoomScale="115" zoomScaleNormal="115" workbookViewId="0">
      <selection activeCell="D39" sqref="D39"/>
    </sheetView>
  </sheetViews>
  <sheetFormatPr defaultColWidth="11.42578125" defaultRowHeight="11.25"/>
  <cols>
    <col min="1" max="1" width="3.140625" style="220" customWidth="1"/>
    <col min="2" max="2" width="17.140625" style="220" customWidth="1"/>
    <col min="3" max="3" width="20" style="221" customWidth="1"/>
    <col min="4" max="4" width="15.28515625" style="221" bestFit="1" customWidth="1"/>
    <col min="5" max="5" width="15" style="221" bestFit="1" customWidth="1"/>
    <col min="6" max="6" width="7.42578125" style="221" customWidth="1"/>
    <col min="7" max="7" width="9.7109375" style="221" customWidth="1"/>
    <col min="8" max="8" width="11.28515625" style="221" customWidth="1"/>
    <col min="9" max="10" width="13.140625" style="220" customWidth="1"/>
    <col min="11" max="11" width="18.5703125" style="220" customWidth="1"/>
    <col min="12" max="12" width="18.42578125" style="220" customWidth="1"/>
    <col min="13" max="13" width="13.140625" style="220" customWidth="1"/>
    <col min="14" max="14" width="27.5703125" style="220" customWidth="1"/>
    <col min="15" max="16" width="13.140625" style="220" customWidth="1"/>
    <col min="17" max="18" width="19.28515625" style="220" customWidth="1"/>
    <col min="19" max="29" width="13.140625" style="220" customWidth="1"/>
    <col min="30" max="30" width="11.42578125" style="220"/>
    <col min="31" max="31" width="13.140625" style="220" customWidth="1"/>
    <col min="32" max="32" width="13.5703125" style="220" customWidth="1"/>
    <col min="33" max="33" width="12.7109375" style="220" customWidth="1"/>
    <col min="34" max="34" width="13.5703125" style="220" customWidth="1"/>
    <col min="35" max="35" width="12.42578125" style="220" customWidth="1"/>
    <col min="36" max="36" width="13" style="220" customWidth="1"/>
    <col min="37" max="37" width="11.42578125" style="220" customWidth="1"/>
    <col min="38" max="39" width="11.42578125" style="220"/>
    <col min="40" max="40" width="25.140625" style="220" customWidth="1"/>
    <col min="41" max="50" width="9.7109375" style="220" customWidth="1"/>
    <col min="51" max="16384" width="11.42578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D3" s="221">
        <v>46376</v>
      </c>
      <c r="N3" s="472"/>
      <c r="O3" s="472"/>
      <c r="P3" s="472"/>
    </row>
    <row r="4" spans="1:32" ht="12" thickBot="1">
      <c r="N4" s="473"/>
      <c r="O4" s="472"/>
      <c r="P4" s="472"/>
    </row>
    <row r="5" spans="1:32" ht="12" thickBot="1">
      <c r="B5" s="261" t="s">
        <v>47</v>
      </c>
      <c r="C5" s="222">
        <f ca="1">[0]!Parameter_Date</f>
        <v>45261</v>
      </c>
      <c r="D5" s="221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1</v>
      </c>
      <c r="N5" s="472"/>
      <c r="O5" s="472"/>
      <c r="P5" s="472"/>
    </row>
    <row r="6" spans="1:32" ht="12" thickBot="1">
      <c r="B6" s="261" t="s">
        <v>432</v>
      </c>
      <c r="C6" s="222">
        <v>47107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.75" thickBot="1">
      <c r="A7" s="220"/>
      <c r="B7" s="261" t="s">
        <v>457</v>
      </c>
      <c r="C7" s="223">
        <v>47107</v>
      </c>
      <c r="D7" s="470" cm="1">
        <f t="array" aca="1" ref="D7" ca="1">GetConvertDate([0]!CDSRollDate,C6)</f>
        <v>47107</v>
      </c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R109" ca="1">IF(NOT($I$5),"",getcdo(C6,C19:C20,C21:C22,G39:G338,C8,C17,C39:C338,D39:D338,C12,C13,C14,C15,C9,C10,E39:E338,F39:F338,C24,C25,C27,L5,L6,C29:C31,C36,C33,,C34,))</f>
        <v>1.7843178132690301</v>
      </c>
      <c r="J8" s="613">
        <f ca="1"/>
        <v>0.59477260442301005</v>
      </c>
      <c r="K8" s="398" t="str">
        <f ca="1"/>
        <v/>
      </c>
      <c r="L8" s="398">
        <f ca="1"/>
        <v>0</v>
      </c>
      <c r="M8" s="399">
        <f ca="1"/>
        <v>0</v>
      </c>
      <c r="N8" s="399">
        <f ca="1"/>
        <v>0</v>
      </c>
      <c r="O8" s="399" t="str">
        <f ca="1"/>
        <v/>
      </c>
      <c r="P8" s="399" t="str">
        <f ca="1"/>
        <v/>
      </c>
      <c r="Q8" s="399" t="str">
        <f ca="1"/>
        <v/>
      </c>
      <c r="R8" s="438" t="str">
        <f ca="1"/>
        <v/>
      </c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1.8811678698323</v>
      </c>
      <c r="J9" s="391">
        <f ca="1"/>
        <v>0.62705595661076696</v>
      </c>
      <c r="K9" s="400" t="str">
        <f ca="1"/>
        <v/>
      </c>
      <c r="L9" s="400">
        <f ca="1"/>
        <v>0</v>
      </c>
      <c r="M9" s="323">
        <f ca="1"/>
        <v>0</v>
      </c>
      <c r="N9" s="323">
        <f ca="1"/>
        <v>0</v>
      </c>
      <c r="O9" s="323" t="str">
        <f ca="1"/>
        <v/>
      </c>
      <c r="P9" s="323" t="str">
        <f ca="1"/>
        <v/>
      </c>
      <c r="Q9" s="323" t="str">
        <f ca="1"/>
        <v/>
      </c>
      <c r="R9" s="439" t="str">
        <f ca="1"/>
        <v/>
      </c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9.6850056563265896E-2</v>
      </c>
      <c r="J10" s="391">
        <f ca="1"/>
        <v>3.2283352187755299E-2</v>
      </c>
      <c r="K10" s="400" t="str">
        <f ca="1"/>
        <v/>
      </c>
      <c r="L10" s="400">
        <f ca="1"/>
        <v>0</v>
      </c>
      <c r="M10" s="323">
        <f ca="1"/>
        <v>0</v>
      </c>
      <c r="N10" s="323">
        <f ca="1"/>
        <v>0</v>
      </c>
      <c r="O10" s="323" t="str">
        <f ca="1"/>
        <v/>
      </c>
      <c r="P10" s="323" t="str">
        <f ca="1"/>
        <v/>
      </c>
      <c r="Q10" s="323" t="str">
        <f ca="1"/>
        <v/>
      </c>
      <c r="R10" s="439" t="str">
        <f ca="1"/>
        <v/>
      </c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.75" thickBot="1">
      <c r="A11" s="220"/>
      <c r="B11" s="220"/>
      <c r="C11" s="220"/>
      <c r="D11" s="221"/>
      <c r="E11" s="221"/>
      <c r="F11" s="221"/>
      <c r="H11" s="377" t="s">
        <v>440</v>
      </c>
      <c r="I11" s="614">
        <f ca="1"/>
        <v>0.19423508220704599</v>
      </c>
      <c r="J11" s="393">
        <f ca="1"/>
        <v>0.19423508220704599</v>
      </c>
      <c r="K11" s="400" t="str">
        <f ca="1"/>
        <v/>
      </c>
      <c r="L11" s="400">
        <f ca="1"/>
        <v>0</v>
      </c>
      <c r="M11" s="323">
        <f ca="1"/>
        <v>0</v>
      </c>
      <c r="N11" s="323">
        <f ca="1"/>
        <v>0</v>
      </c>
      <c r="O11" s="323" t="str">
        <f ca="1"/>
        <v/>
      </c>
      <c r="P11" s="323" t="str">
        <f ca="1"/>
        <v/>
      </c>
      <c r="Q11" s="323" t="str">
        <f ca="1"/>
        <v/>
      </c>
      <c r="R11" s="439" t="str">
        <f ca="1"/>
        <v/>
      </c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-0.31733876165664221</v>
      </c>
      <c r="AA11" s="79"/>
      <c r="AB11" s="465" t="s">
        <v>505</v>
      </c>
      <c r="AC11" s="423">
        <f ca="1">SUM(AC15:AC314)</f>
        <v>-1.844553572512278E-2</v>
      </c>
    </row>
    <row r="12" spans="1:32" customFormat="1" ht="15.7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3.2283352187755301</v>
      </c>
      <c r="J12" s="394">
        <f ca="1"/>
        <v>3.2283352187755301</v>
      </c>
      <c r="K12" s="400" t="str">
        <f ca="1"/>
        <v/>
      </c>
      <c r="L12" s="400">
        <f ca="1"/>
        <v>0</v>
      </c>
      <c r="M12" s="323">
        <f ca="1"/>
        <v>0</v>
      </c>
      <c r="N12" s="323">
        <f ca="1"/>
        <v>0</v>
      </c>
      <c r="O12" s="323" t="str">
        <f ca="1"/>
        <v/>
      </c>
      <c r="P12" s="323" t="str">
        <f ca="1"/>
        <v/>
      </c>
      <c r="Q12" s="323" t="str">
        <f ca="1"/>
        <v/>
      </c>
      <c r="R12" s="439" t="str">
        <f ca="1"/>
        <v/>
      </c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0.27743384276636784</v>
      </c>
      <c r="AA12" s="79"/>
      <c r="AB12" s="465" t="s">
        <v>498</v>
      </c>
      <c r="AC12" s="407">
        <f ca="1">$J$8+AC11</f>
        <v>0.5763270686978873</v>
      </c>
    </row>
    <row r="13" spans="1:32" customFormat="1" ht="15.7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00:00:12.8603629</v>
      </c>
      <c r="J13" s="395" t="str">
        <f ca="1"/>
        <v>00:00:12.8603629</v>
      </c>
      <c r="K13" s="401" t="str">
        <f ca="1"/>
        <v>Leverage=</v>
      </c>
      <c r="L13" s="402">
        <f ca="1"/>
        <v>9.3716480357128198</v>
      </c>
      <c r="M13" s="323">
        <f ca="1"/>
        <v>0</v>
      </c>
      <c r="N13" s="323">
        <f ca="1"/>
        <v>0</v>
      </c>
      <c r="O13" s="323" t="str">
        <f ca="1"/>
        <v/>
      </c>
      <c r="P13" s="445" t="str">
        <f ca="1"/>
        <v>Leverage=</v>
      </c>
      <c r="Q13" s="444">
        <f ca="1"/>
        <v>28.450981524111501</v>
      </c>
      <c r="R13" s="439" t="str">
        <f ca="1"/>
        <v/>
      </c>
      <c r="S13" s="435"/>
      <c r="T13" s="278" t="s">
        <v>499</v>
      </c>
      <c r="U13" s="408">
        <f ca="1">L13</f>
        <v>9.3716480357128198</v>
      </c>
      <c r="V13" s="409"/>
      <c r="W13" s="79"/>
      <c r="X13" s="79"/>
      <c r="Y13" s="465" t="s">
        <v>500</v>
      </c>
      <c r="Z13" s="410">
        <f ca="1">Z12*(C20-C21)</f>
        <v>0.83230152829910353</v>
      </c>
      <c r="AA13" s="79"/>
      <c r="AB13" s="465" t="s">
        <v>500</v>
      </c>
      <c r="AC13" s="411">
        <f ca="1">AC12*(C20-C21)</f>
        <v>1.7289812060936618</v>
      </c>
      <c r="AD13" s="220"/>
    </row>
    <row r="14" spans="1:32" customFormat="1" ht="15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396" t="str">
        <f ca="1"/>
        <v>Name</v>
      </c>
      <c r="O14" s="396" t="str">
        <f ca="1"/>
        <v>Jump to Default</v>
      </c>
      <c r="P14" s="396" t="str">
        <f ca="1"/>
        <v>dHedge JTD</v>
      </c>
      <c r="Q14" s="396" t="str">
        <f ca="1"/>
        <v>delta not. (Hedge Crncy)</v>
      </c>
      <c r="R14" s="440" t="str">
        <f ca="1"/>
        <v>delta not. (Product CCY)</v>
      </c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.75" thickBot="1">
      <c r="A15" s="220"/>
      <c r="B15" s="263" t="s">
        <v>462</v>
      </c>
      <c r="C15" s="564"/>
      <c r="D15" s="221"/>
      <c r="E15" s="221"/>
      <c r="F15" s="221"/>
      <c r="G15" s="221"/>
      <c r="H15" s="377">
        <v>1</v>
      </c>
      <c r="I15" s="403">
        <f ca="1"/>
        <v>1.32032819084382E-4</v>
      </c>
      <c r="J15" s="403">
        <f ca="1"/>
        <v>4.7566840858444303E-4</v>
      </c>
      <c r="K15" s="403">
        <f ca="1"/>
        <v>0.27757323526551297</v>
      </c>
      <c r="L15" s="403">
        <f ca="1"/>
        <v>0.27757323526551297</v>
      </c>
      <c r="M15" s="403">
        <f ca="1"/>
        <v>-1.5625908109135499E-4</v>
      </c>
      <c r="N15" s="403" t="str">
        <f ca="1"/>
        <v>AIRBUS SE</v>
      </c>
      <c r="O15" s="403">
        <f ca="1"/>
        <v>0.68604165435876996</v>
      </c>
      <c r="P15" s="403">
        <f ca="1"/>
        <v>0.77320116747410605</v>
      </c>
      <c r="Q15" s="403">
        <f ca="1"/>
        <v>0.88727446778169194</v>
      </c>
      <c r="R15" s="441">
        <f ca="1"/>
        <v>0.88727446778169194</v>
      </c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-2.4422281551690999E-2</v>
      </c>
      <c r="U15" s="413">
        <f ca="1"/>
        <v>2.2680616248726301E-2</v>
      </c>
      <c r="V15" s="413">
        <f ca="1"/>
        <v>4.71028978004173E-2</v>
      </c>
      <c r="W15" s="414">
        <f ca="1"/>
        <v>4.8151212150105496E-3</v>
      </c>
      <c r="X15" s="415">
        <f ca="1"/>
        <v>4.7102897800417303</v>
      </c>
      <c r="Y15" s="416">
        <f ca="1">IF($U$12,IF(T15="","",$U$13*D39/$C$18),"")</f>
        <v>9.8648926691713767E-2</v>
      </c>
      <c r="Z15" s="417">
        <f ca="1">IF($U$12,IF(Y15="","",Y15*($Z$10-W15)*X15),"")</f>
        <v>-2.237418449643494E-3</v>
      </c>
      <c r="AA15" s="416">
        <f ca="1">IF($U$12,IF(OR(T15="",L15=""),"",L15/($C$20-$C$19)),"")</f>
        <v>9.2524411755170996E-2</v>
      </c>
      <c r="AB15" s="418">
        <f ca="1">IF($U$12,IF(W15="","",W15*$AC$10),"")</f>
        <v>4.5743651542600218E-3</v>
      </c>
      <c r="AC15" s="417">
        <f ca="1">IF($U$12,IF(AA15="","",AA15*(AB15-W15)*X15),"")</f>
        <v>-1.049255338329089E-4</v>
      </c>
      <c r="AD15" s="220"/>
      <c r="AE15" s="220">
        <f ca="1">X15*W15</f>
        <v>7.1744360935801802E-3</v>
      </c>
      <c r="AF15" s="220">
        <f ca="1">SUM(AE15:AE109)/SUM(X15:X109)</f>
        <v>3.9979186630963864E-3</v>
      </c>
    </row>
    <row r="16" spans="1:32" customFormat="1" ht="15.7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1.3409739925720899E-4</v>
      </c>
      <c r="J16" s="403">
        <f ca="1"/>
        <v>4.7429264831636502E-4</v>
      </c>
      <c r="K16" s="403">
        <f ca="1"/>
        <v>0.28273134684508699</v>
      </c>
      <c r="L16" s="403">
        <f ca="1"/>
        <v>0.28273134684508699</v>
      </c>
      <c r="M16" s="403">
        <f ca="1"/>
        <v>-1.6755992335618799E-4</v>
      </c>
      <c r="N16" s="403" t="str">
        <f ca="1"/>
        <v>AKTIEBOLAGET VOLVO</v>
      </c>
      <c r="O16" s="403">
        <f ca="1"/>
        <v>0.68585915548861998</v>
      </c>
      <c r="P16" s="403">
        <f ca="1"/>
        <v>0.77152352542069902</v>
      </c>
      <c r="Q16" s="403">
        <f ca="1"/>
        <v>0.88896726138666005</v>
      </c>
      <c r="R16" s="441">
        <f ca="1"/>
        <v>0.88896726138666005</v>
      </c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-2.26563425481041E-2</v>
      </c>
      <c r="U16" s="413">
        <f ca="1"/>
        <v>2.4443245603915999E-2</v>
      </c>
      <c r="V16" s="413">
        <f ca="1"/>
        <v>4.7099588152020103E-2</v>
      </c>
      <c r="W16" s="414">
        <f ca="1"/>
        <v>5.18969412747776E-3</v>
      </c>
      <c r="X16" s="415">
        <f ca="1"/>
        <v>4.7099588152020102</v>
      </c>
      <c r="Y16" s="416">
        <f ca="1">IF($U$12,IF(T16="","",$U$13*D40/$C$18),"")</f>
        <v>9.8648926691713767E-2</v>
      </c>
      <c r="Z16" s="417">
        <f ca="1">IF($U$12,IF(Y16="","",Y16*($Z$10-W16)*X16),"")</f>
        <v>-2.4112999436882621E-3</v>
      </c>
      <c r="AA16" s="416">
        <f t="shared" ref="AA16:AA79" ca="1" si="0">IF($U$12,IF(OR(T16="",L16=""),"",L16/($C$20-$C$19)),"")</f>
        <v>9.4243782281695665E-2</v>
      </c>
      <c r="AB16" s="418">
        <f t="shared" ref="AB16:AB79" ca="1" si="1">IF($U$12,IF(W16="","",W16*$AC$10),"")</f>
        <v>4.9302094211038719E-3</v>
      </c>
      <c r="AC16" s="417">
        <f ca="1">IF($U$12,IF(AA16="","",AA16*(AB16-W16)*X16),"")</f>
        <v>-1.1518119584767367E-4</v>
      </c>
      <c r="AD16" s="220"/>
      <c r="AE16" s="220">
        <f ca="1">X16*W16</f>
        <v>6.832663503179179E-3</v>
      </c>
      <c r="AF16" s="220"/>
    </row>
    <row r="17" spans="1:31" customFormat="1" ht="15">
      <c r="A17" s="220"/>
      <c r="B17" s="261" t="s">
        <v>463</v>
      </c>
      <c r="C17" s="228">
        <f ca="1">COUNTA(C39:C338)</f>
        <v>95</v>
      </c>
      <c r="D17" s="221"/>
      <c r="E17" s="571"/>
      <c r="F17" s="515"/>
      <c r="G17" s="221"/>
      <c r="H17" s="377">
        <v>3</v>
      </c>
      <c r="I17" s="403">
        <f ca="1"/>
        <v>1.32536252968367E-4</v>
      </c>
      <c r="J17" s="403">
        <f ca="1"/>
        <v>4.63383877904478E-4</v>
      </c>
      <c r="K17" s="403">
        <f ca="1"/>
        <v>0.28601826539094199</v>
      </c>
      <c r="L17" s="403">
        <f ca="1"/>
        <v>0.28601826539094199</v>
      </c>
      <c r="M17" s="403">
        <f ca="1"/>
        <v>-1.7404331942335401E-4</v>
      </c>
      <c r="N17" s="403" t="str">
        <f ca="1"/>
        <v>AKZO NOBEL N.V.</v>
      </c>
      <c r="O17" s="403">
        <f ca="1"/>
        <v>0.68573344201448005</v>
      </c>
      <c r="P17" s="403">
        <f ca="1"/>
        <v>0.770547446886927</v>
      </c>
      <c r="Q17" s="403">
        <f ca="1"/>
        <v>0.88993019804931905</v>
      </c>
      <c r="R17" s="441">
        <f ca="1"/>
        <v>0.88993019804931905</v>
      </c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-2.1628891459922799E-2</v>
      </c>
      <c r="U17" s="413">
        <f ca="1"/>
        <v>2.54445104212725E-2</v>
      </c>
      <c r="V17" s="413">
        <f ca="1"/>
        <v>4.7073401881195298E-2</v>
      </c>
      <c r="W17" s="414">
        <f ca="1"/>
        <v>5.4052839617348804E-3</v>
      </c>
      <c r="X17" s="415">
        <f ca="1"/>
        <v>4.70734018811953</v>
      </c>
      <c r="Y17" s="416">
        <f ca="1">IF($U$12,IF(T17="","",$U$13*D41/$C$18),"")</f>
        <v>9.8648926691713767E-2</v>
      </c>
      <c r="Z17" s="417">
        <f t="shared" ref="Z17:Z79" ca="1" si="2">IF($U$12,IF(Y17="","",Y17*($Z$10-W17)*X17),"")</f>
        <v>-2.5100736432546629E-3</v>
      </c>
      <c r="AA17" s="416">
        <f t="shared" ca="1" si="0"/>
        <v>9.533942179698067E-2</v>
      </c>
      <c r="AB17" s="418">
        <f t="shared" ca="1" si="1"/>
        <v>5.1350197636481363E-3</v>
      </c>
      <c r="AC17" s="417">
        <f t="shared" ref="AC17:AC79" ca="1" si="3">IF($U$12,IF(AA17="","",AA17*(AB17-W17)*X17),"")</f>
        <v>-1.2129324557356876E-4</v>
      </c>
      <c r="AD17" s="220"/>
      <c r="AE17" s="220">
        <f t="shared" ref="AE17:AE79" ca="1" si="4">X17*W17</f>
        <v>7.0613021977608461E-3</v>
      </c>
    </row>
    <row r="18" spans="1:31" customFormat="1" ht="15">
      <c r="A18" s="220"/>
      <c r="B18" s="262" t="s">
        <v>464</v>
      </c>
      <c r="C18" s="229">
        <f ca="1">SUM(OFFSET(D38,1,0,C17))</f>
        <v>100.00000000000011</v>
      </c>
      <c r="D18" s="221"/>
      <c r="E18" s="570"/>
      <c r="F18" s="221"/>
      <c r="G18" s="230"/>
      <c r="H18" s="377">
        <v>4</v>
      </c>
      <c r="I18" s="403">
        <f ca="1"/>
        <v>1.66476461619318E-4</v>
      </c>
      <c r="J18" s="403">
        <f ca="1"/>
        <v>4.4260202394702698E-4</v>
      </c>
      <c r="K18" s="403">
        <f ca="1"/>
        <v>0.376131270559311</v>
      </c>
      <c r="L18" s="403">
        <f ca="1"/>
        <v>0.376131270559311</v>
      </c>
      <c r="M18" s="403">
        <f ca="1"/>
        <v>-4.29251329201677E-4</v>
      </c>
      <c r="N18" s="403" t="str">
        <f ca="1"/>
        <v>ALSTOM</v>
      </c>
      <c r="O18" s="403">
        <f ca="1"/>
        <v>0.67845618573644995</v>
      </c>
      <c r="P18" s="403">
        <f ca="1"/>
        <v>0.72693082846872603</v>
      </c>
      <c r="Q18" s="403">
        <f ca="1"/>
        <v>0.93331601737900205</v>
      </c>
      <c r="R18" s="441">
        <f ca="1"/>
        <v>0.93331601737900205</v>
      </c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2.4283338453972101E-2</v>
      </c>
      <c r="U18" s="413">
        <f ca="1"/>
        <v>6.9888889081864095E-2</v>
      </c>
      <c r="V18" s="413">
        <f ca="1"/>
        <v>4.5605550627891997E-2</v>
      </c>
      <c r="W18" s="414">
        <f ca="1"/>
        <v>1.5324645381898001E-2</v>
      </c>
      <c r="X18" s="415">
        <f ca="1"/>
        <v>4.5605550627892004</v>
      </c>
      <c r="Y18" s="416">
        <f t="shared" ref="Y18:Y79" ca="1" si="5">IF($U$12,IF(T18="","",$U$13*D42/$C$18),"")</f>
        <v>9.8648926691713767E-2</v>
      </c>
      <c r="Z18" s="417">
        <f t="shared" ca="1" si="2"/>
        <v>-6.8944638956021228E-3</v>
      </c>
      <c r="AA18" s="416">
        <f t="shared" ca="1" si="0"/>
        <v>0.125377090186437</v>
      </c>
      <c r="AB18" s="418">
        <f t="shared" ca="1" si="1"/>
        <v>1.4558413112803099E-2</v>
      </c>
      <c r="AC18" s="417">
        <f t="shared" ca="1" si="3"/>
        <v>-4.3812327747233884E-4</v>
      </c>
      <c r="AD18" s="220"/>
      <c r="AE18" s="220">
        <f t="shared" ca="1" si="4"/>
        <v>2.2514912477741966E-2</v>
      </c>
    </row>
    <row r="19" spans="1:31" customFormat="1" ht="15">
      <c r="A19" s="220"/>
      <c r="B19" s="262" t="s">
        <v>465</v>
      </c>
      <c r="C19" s="231">
        <v>0</v>
      </c>
      <c r="D19" s="221"/>
      <c r="E19" s="615"/>
      <c r="F19" s="221"/>
      <c r="G19" s="233"/>
      <c r="H19" s="377">
        <v>5</v>
      </c>
      <c r="I19" s="403">
        <f ca="1"/>
        <v>1.56331886645398E-4</v>
      </c>
      <c r="J19" s="403">
        <f ca="1"/>
        <v>4.6050331669100802E-4</v>
      </c>
      <c r="K19" s="403">
        <f ca="1"/>
        <v>0.33948047924765501</v>
      </c>
      <c r="L19" s="403">
        <f ca="1"/>
        <v>0.33948047924765501</v>
      </c>
      <c r="M19" s="403">
        <f ca="1"/>
        <v>-3.1640226027929201E-4</v>
      </c>
      <c r="N19" s="403" t="str">
        <f ca="1"/>
        <v>ANGLO AMERICAN PLC</v>
      </c>
      <c r="O19" s="403">
        <f ca="1"/>
        <v>0.68241143712431995</v>
      </c>
      <c r="P19" s="403">
        <f ca="1"/>
        <v>0.74768750858377797</v>
      </c>
      <c r="Q19" s="403">
        <f ca="1"/>
        <v>0.91269605187988301</v>
      </c>
      <c r="R19" s="441">
        <f ca="1"/>
        <v>0.91269605187988301</v>
      </c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2.4342014907596998E-3</v>
      </c>
      <c r="U19" s="413">
        <f ca="1"/>
        <v>4.89711435733272E-2</v>
      </c>
      <c r="V19" s="413">
        <f ca="1"/>
        <v>4.6536942082567499E-2</v>
      </c>
      <c r="W19" s="414">
        <f ca="1"/>
        <v>1.0523068637909401E-2</v>
      </c>
      <c r="X19" s="415">
        <f ca="1"/>
        <v>4.6536942082567503</v>
      </c>
      <c r="Y19" s="416">
        <f t="shared" ca="1" si="5"/>
        <v>9.8648926691713767E-2</v>
      </c>
      <c r="Z19" s="417">
        <f t="shared" ca="1" si="2"/>
        <v>-4.8309507523745477E-3</v>
      </c>
      <c r="AA19" s="416">
        <f t="shared" ca="1" si="0"/>
        <v>0.11316015974921834</v>
      </c>
      <c r="AB19" s="418">
        <f t="shared" ca="1" si="1"/>
        <v>9.9969152060139302E-3</v>
      </c>
      <c r="AC19" s="417">
        <f t="shared" ca="1" si="3"/>
        <v>-2.7707912149298105E-4</v>
      </c>
      <c r="AD19" s="220"/>
      <c r="AE19" s="220">
        <f t="shared" ca="1" si="4"/>
        <v>1.1034181550254405E-2</v>
      </c>
    </row>
    <row r="20" spans="1:31" customFormat="1" ht="15">
      <c r="A20" s="220"/>
      <c r="B20" s="262" t="s">
        <v>466</v>
      </c>
      <c r="C20" s="231">
        <v>3</v>
      </c>
      <c r="D20" s="232"/>
      <c r="E20" s="403"/>
      <c r="F20" s="221"/>
      <c r="G20" s="233"/>
      <c r="H20" s="377">
        <v>6</v>
      </c>
      <c r="I20" s="403">
        <f ca="1"/>
        <v>1.66348136074613E-4</v>
      </c>
      <c r="J20" s="403">
        <f ca="1"/>
        <v>4.4793805678189602E-4</v>
      </c>
      <c r="K20" s="403">
        <f ca="1"/>
        <v>0.37136415081518498</v>
      </c>
      <c r="L20" s="403">
        <f ca="1"/>
        <v>0.37136415081518498</v>
      </c>
      <c r="M20" s="403">
        <f ca="1"/>
        <v>-4.1386821410696899E-4</v>
      </c>
      <c r="N20" s="403" t="str">
        <f ca="1"/>
        <v>ARCELORMITTAL</v>
      </c>
      <c r="O20" s="403">
        <f ca="1"/>
        <v>0.67929736973528998</v>
      </c>
      <c r="P20" s="403">
        <f ca="1"/>
        <v>0.73008679628595197</v>
      </c>
      <c r="Q20" s="403">
        <f ca="1"/>
        <v>0.930433714444591</v>
      </c>
      <c r="R20" s="441">
        <f ca="1"/>
        <v>0.930433714444591</v>
      </c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2.0961267067418601E-2</v>
      </c>
      <c r="U20" s="413">
        <f ca="1"/>
        <v>6.6991019393932497E-2</v>
      </c>
      <c r="V20" s="413">
        <f ca="1"/>
        <v>4.6029752326513899E-2</v>
      </c>
      <c r="W20" s="414">
        <f ca="1"/>
        <v>1.4553851804095999E-2</v>
      </c>
      <c r="X20" s="415">
        <f ca="1"/>
        <v>4.6029752326513904</v>
      </c>
      <c r="Y20" s="416">
        <f t="shared" ca="1" si="5"/>
        <v>9.8648926691713767E-2</v>
      </c>
      <c r="Z20" s="417">
        <f t="shared" ca="1" si="2"/>
        <v>-6.6085921611952368E-3</v>
      </c>
      <c r="AA20" s="416">
        <f t="shared" ca="1" si="0"/>
        <v>0.12378805027172833</v>
      </c>
      <c r="AB20" s="418">
        <f t="shared" ca="1" si="1"/>
        <v>1.3826159213891199E-2</v>
      </c>
      <c r="AC20" s="417">
        <f t="shared" ca="1" si="3"/>
        <v>-4.1463438382452326E-4</v>
      </c>
      <c r="AD20" s="220"/>
      <c r="AE20" s="220">
        <f t="shared" ca="1" si="4"/>
        <v>1.5734153358332083E-2</v>
      </c>
    </row>
    <row r="21" spans="1:31" customFormat="1" ht="15">
      <c r="A21" s="220"/>
      <c r="B21" s="262" t="s">
        <v>467</v>
      </c>
      <c r="C21" s="238">
        <v>0</v>
      </c>
      <c r="D21" s="221"/>
      <c r="E21" s="403"/>
      <c r="F21" s="221"/>
      <c r="G21" s="234"/>
      <c r="H21" s="377">
        <v>7</v>
      </c>
      <c r="I21" s="403">
        <f ca="1"/>
        <v>1.2168991607407699E-4</v>
      </c>
      <c r="J21" s="403">
        <f ca="1"/>
        <v>4.8175326030959302E-4</v>
      </c>
      <c r="K21" s="403">
        <f ca="1"/>
        <v>0.25259801250929698</v>
      </c>
      <c r="L21" s="403">
        <f ca="1"/>
        <v>0.25259801250929698</v>
      </c>
      <c r="M21" s="403">
        <f ca="1"/>
        <v>-1.0793855477462301E-4</v>
      </c>
      <c r="N21" s="403" t="str">
        <f ca="1"/>
        <v>ASTRAZENECA PLC</v>
      </c>
      <c r="O21" s="403">
        <f ca="1"/>
        <v>0.68689059494957005</v>
      </c>
      <c r="P21" s="403">
        <f ca="1"/>
        <v>0.780263011190791</v>
      </c>
      <c r="Q21" s="403">
        <f ca="1"/>
        <v>0.880332125319229</v>
      </c>
      <c r="R21" s="441">
        <f ca="1"/>
        <v>0.880332125319229</v>
      </c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-3.1855801253463899E-2</v>
      </c>
      <c r="U21" s="413">
        <f ca="1"/>
        <v>1.5459813486653101E-2</v>
      </c>
      <c r="V21" s="413">
        <f ca="1"/>
        <v>4.7315614740117001E-2</v>
      </c>
      <c r="W21" s="414">
        <f ca="1"/>
        <v>3.2673808787155598E-3</v>
      </c>
      <c r="X21" s="415">
        <f ca="1"/>
        <v>4.7315614740117002</v>
      </c>
      <c r="Y21" s="416">
        <f t="shared" ca="1" si="5"/>
        <v>9.8648926691713767E-2</v>
      </c>
      <c r="Z21" s="417">
        <f t="shared" ca="1" si="2"/>
        <v>-1.5250940073124036E-3</v>
      </c>
      <c r="AA21" s="416">
        <f ca="1">IF($U$12,IF(OR(T21="",L21=""),"",L21/($C$20-$C$19)),"")</f>
        <v>8.4199337503098992E-2</v>
      </c>
      <c r="AB21" s="418">
        <f t="shared" ca="1" si="1"/>
        <v>3.1040118347797816E-3</v>
      </c>
      <c r="AC21" s="417">
        <f t="shared" ca="1" si="3"/>
        <v>-6.5085302674883127E-5</v>
      </c>
      <c r="AD21" s="220"/>
      <c r="AE21" s="220">
        <f t="shared" ca="1" si="4"/>
        <v>5.1071149272015146E-3</v>
      </c>
    </row>
    <row r="22" spans="1:31" customFormat="1" ht="15.75" thickBot="1">
      <c r="A22" s="220"/>
      <c r="B22" s="263" t="s">
        <v>468</v>
      </c>
      <c r="C22" s="235">
        <v>0.2</v>
      </c>
      <c r="D22" s="221"/>
      <c r="E22" s="403"/>
      <c r="F22" s="568"/>
      <c r="G22" s="234"/>
      <c r="H22" s="377">
        <v>8</v>
      </c>
      <c r="I22" s="403">
        <f ca="1"/>
        <v>1.2407973479118699E-4</v>
      </c>
      <c r="J22" s="403">
        <f ca="1"/>
        <v>4.8084403231803201E-4</v>
      </c>
      <c r="K22" s="403">
        <f ca="1"/>
        <v>0.25804569975222302</v>
      </c>
      <c r="L22" s="403">
        <f ca="1"/>
        <v>0.25804569975222302</v>
      </c>
      <c r="M22" s="403">
        <f ca="1"/>
        <v>-1.17711104439904E-4</v>
      </c>
      <c r="N22" s="403" t="str">
        <f ca="1"/>
        <v>BAE SYSTEMS PLC</v>
      </c>
      <c r="O22" s="403">
        <f ca="1"/>
        <v>0.68676336990757003</v>
      </c>
      <c r="P22" s="403">
        <f ca="1"/>
        <v>0.77886341331815301</v>
      </c>
      <c r="Q22" s="403">
        <f ca="1"/>
        <v>0.88175071285193196</v>
      </c>
      <c r="R22" s="441">
        <f ca="1"/>
        <v>0.88175071285193196</v>
      </c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-3.0382540334898098E-2</v>
      </c>
      <c r="U22" s="413">
        <f ca="1"/>
        <v>1.6937910992234202E-2</v>
      </c>
      <c r="V22" s="413">
        <f ca="1"/>
        <v>4.73204513271323E-2</v>
      </c>
      <c r="W22" s="414">
        <f ca="1"/>
        <v>3.5794060532390701E-3</v>
      </c>
      <c r="X22" s="415">
        <f ca="1"/>
        <v>4.73204513271323</v>
      </c>
      <c r="Y22" s="416">
        <f t="shared" ca="1" si="5"/>
        <v>9.8648926691713767E-2</v>
      </c>
      <c r="Z22" s="417">
        <f t="shared" ca="1" si="2"/>
        <v>-1.6709067397836859E-3</v>
      </c>
      <c r="AA22" s="416">
        <f t="shared" ca="1" si="0"/>
        <v>8.6015233250741008E-2</v>
      </c>
      <c r="AB22" s="418">
        <f t="shared" ca="1" si="1"/>
        <v>3.4004357505771163E-3</v>
      </c>
      <c r="AC22" s="417">
        <f t="shared" ca="1" si="3"/>
        <v>-7.2845918238865896E-5</v>
      </c>
      <c r="AD22" s="220"/>
      <c r="AE22" s="220">
        <f t="shared" ca="1" si="4"/>
        <v>4.6900536295068577E-3</v>
      </c>
    </row>
    <row r="23" spans="1:31" customFormat="1" ht="15.7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1.2996974750177699E-4</v>
      </c>
      <c r="J23" s="403">
        <f ca="1"/>
        <v>4.7748759281318501E-4</v>
      </c>
      <c r="K23" s="403">
        <f ca="1"/>
        <v>0.27219502550012198</v>
      </c>
      <c r="L23" s="403">
        <f ca="1"/>
        <v>0.27219502550012198</v>
      </c>
      <c r="M23" s="403">
        <f ca="1"/>
        <v>-1.4521086307416501E-4</v>
      </c>
      <c r="N23" s="403" t="str">
        <f ca="1"/>
        <v>BASF SE</v>
      </c>
      <c r="O23" s="403">
        <f ca="1"/>
        <v>0.68631011581181001</v>
      </c>
      <c r="P23" s="403">
        <f ca="1"/>
        <v>0.77485753412158098</v>
      </c>
      <c r="Q23" s="403">
        <f ca="1"/>
        <v>0.88572425973743296</v>
      </c>
      <c r="R23" s="441">
        <f ca="1"/>
        <v>0.88572425973743296</v>
      </c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-2.61658253911379E-2</v>
      </c>
      <c r="U23" s="413">
        <f ca="1"/>
        <v>2.1073390733040799E-2</v>
      </c>
      <c r="V23" s="413">
        <f ca="1"/>
        <v>4.7239216124178703E-2</v>
      </c>
      <c r="W23" s="414">
        <f ca="1"/>
        <v>4.4609950083940404E-3</v>
      </c>
      <c r="X23" s="415">
        <f ca="1"/>
        <v>4.72392161241787</v>
      </c>
      <c r="Y23" s="416">
        <f t="shared" ca="1" si="5"/>
        <v>9.8648926691713767E-2</v>
      </c>
      <c r="Z23" s="417">
        <f t="shared" ca="1" si="2"/>
        <v>-2.0788673775695866E-3</v>
      </c>
      <c r="AA23" s="416">
        <f t="shared" ca="1" si="0"/>
        <v>9.0731675166707326E-2</v>
      </c>
      <c r="AB23" s="418">
        <f t="shared" ca="1" si="1"/>
        <v>4.237945257974338E-3</v>
      </c>
      <c r="AC23" s="417">
        <f t="shared" ca="1" si="3"/>
        <v>-9.5601202132568274E-5</v>
      </c>
      <c r="AD23" s="220"/>
      <c r="AE23" s="220">
        <f t="shared" ca="1" si="4"/>
        <v>5.1673342898428181E-3</v>
      </c>
    </row>
    <row r="24" spans="1:31" customFormat="1" ht="1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1.5915088643563699E-4</v>
      </c>
      <c r="J24" s="403">
        <f ca="1"/>
        <v>4.5352666153813199E-4</v>
      </c>
      <c r="K24" s="403">
        <f ca="1"/>
        <v>0.35091847940290399</v>
      </c>
      <c r="L24" s="403">
        <f ca="1"/>
        <v>0.35091847940290399</v>
      </c>
      <c r="M24" s="403">
        <f ca="1"/>
        <v>-3.5079333099593402E-4</v>
      </c>
      <c r="N24" s="403" t="str">
        <f ca="1"/>
        <v>BAYER AKTIENGESELLSCHAFT</v>
      </c>
      <c r="O24" s="403">
        <f ca="1"/>
        <v>0.68116882599827999</v>
      </c>
      <c r="P24" s="403">
        <f ca="1"/>
        <v>0.741533714699251</v>
      </c>
      <c r="Q24" s="403">
        <f ca="1"/>
        <v>0.91859454600057699</v>
      </c>
      <c r="R24" s="441">
        <f ca="1"/>
        <v>0.91859454600057699</v>
      </c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8.9118792639464005E-3</v>
      </c>
      <c r="U24" s="413">
        <f ca="1"/>
        <v>5.4996171624069397E-2</v>
      </c>
      <c r="V24" s="413">
        <f ca="1"/>
        <v>4.6084292360123E-2</v>
      </c>
      <c r="W24" s="414">
        <f ca="1"/>
        <v>1.19338214405692E-2</v>
      </c>
      <c r="X24" s="415">
        <f ca="1"/>
        <v>4.6084292360122996</v>
      </c>
      <c r="Y24" s="416">
        <f t="shared" ca="1" si="5"/>
        <v>9.8648926691713767E-2</v>
      </c>
      <c r="Z24" s="417">
        <f t="shared" ca="1" si="2"/>
        <v>-5.4253133028677432E-3</v>
      </c>
      <c r="AA24" s="416">
        <f t="shared" ca="1" si="0"/>
        <v>0.11697282646763467</v>
      </c>
      <c r="AB24" s="418">
        <f t="shared" ca="1" si="1"/>
        <v>1.1337130368540739E-2</v>
      </c>
      <c r="AC24" s="417">
        <f t="shared" ca="1" si="3"/>
        <v>-3.216528819883275E-4</v>
      </c>
      <c r="AD24" s="220"/>
      <c r="AE24" s="220">
        <f t="shared" ca="1" si="4"/>
        <v>1.7566465666323531E-2</v>
      </c>
    </row>
    <row r="25" spans="1:31" customFormat="1" ht="15.7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1.3449292181141499E-4</v>
      </c>
      <c r="J25" s="403">
        <f ca="1"/>
        <v>4.7403210425861199E-4</v>
      </c>
      <c r="K25" s="403">
        <f ca="1"/>
        <v>0.28372112479968498</v>
      </c>
      <c r="L25" s="403">
        <f ca="1"/>
        <v>0.28372112479968498</v>
      </c>
      <c r="M25" s="403">
        <f ca="1"/>
        <v>-1.6980393074173E-4</v>
      </c>
      <c r="N25" s="403" t="str">
        <f ca="1"/>
        <v>BAYERISCHE MOTOREN WERKE AKTIENGESELLSCHAFT</v>
      </c>
      <c r="O25" s="403">
        <f ca="1"/>
        <v>0.68582932789451001</v>
      </c>
      <c r="P25" s="403">
        <f ca="1"/>
        <v>0.771190871724586</v>
      </c>
      <c r="Q25" s="403">
        <f ca="1"/>
        <v>0.88931204068950498</v>
      </c>
      <c r="R25" s="441">
        <f ca="1"/>
        <v>0.88931204068950498</v>
      </c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-2.2306180762721801E-2</v>
      </c>
      <c r="U25" s="413">
        <f ca="1"/>
        <v>2.4802791677545798E-2</v>
      </c>
      <c r="V25" s="413">
        <f ca="1"/>
        <v>4.7108972440267599E-2</v>
      </c>
      <c r="W25" s="414">
        <f ca="1"/>
        <v>5.26498252726586E-3</v>
      </c>
      <c r="X25" s="415">
        <f ca="1"/>
        <v>4.7108972440267598</v>
      </c>
      <c r="Y25" s="416">
        <f t="shared" ca="1" si="5"/>
        <v>9.8648926691713767E-2</v>
      </c>
      <c r="Z25" s="417">
        <f t="shared" ca="1" si="2"/>
        <v>-2.4467687779480621E-3</v>
      </c>
      <c r="AA25" s="416">
        <f t="shared" ca="1" si="0"/>
        <v>9.4573708266561654E-2</v>
      </c>
      <c r="AB25" s="418">
        <f t="shared" ca="1" si="1"/>
        <v>5.0017334009025667E-3</v>
      </c>
      <c r="AC25" s="417">
        <f t="shared" ca="1" si="3"/>
        <v>-1.1728459921542601E-4</v>
      </c>
      <c r="AD25" s="220"/>
      <c r="AE25" s="220">
        <f t="shared" ca="1" si="4"/>
        <v>6.5877663587736507E-3</v>
      </c>
    </row>
    <row r="26" spans="1:31" customFormat="1" ht="15.7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1.2368539034103901E-4</v>
      </c>
      <c r="J26" s="403">
        <f ca="1"/>
        <v>4.80881681861379E-4</v>
      </c>
      <c r="K26" s="403">
        <f ca="1"/>
        <v>0.25720545199867501</v>
      </c>
      <c r="L26" s="403">
        <f ca="1"/>
        <v>0.25720545199867501</v>
      </c>
      <c r="M26" s="403">
        <f ca="1"/>
        <v>-1.16114912752514E-4</v>
      </c>
      <c r="N26" s="403" t="str">
        <f ca="1"/>
        <v>BOUYGUES</v>
      </c>
      <c r="O26" s="403">
        <f ca="1"/>
        <v>0.68676987788296995</v>
      </c>
      <c r="P26" s="403">
        <f ca="1"/>
        <v>0.779089965405388</v>
      </c>
      <c r="Q26" s="403">
        <f ca="1"/>
        <v>0.88150266128202404</v>
      </c>
      <c r="R26" s="441">
        <f ca="1"/>
        <v>0.88150266128202404</v>
      </c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-3.0621016216197901E-2</v>
      </c>
      <c r="U26" s="413">
        <f ca="1"/>
        <v>1.6677865365768402E-2</v>
      </c>
      <c r="V26" s="413">
        <f ca="1"/>
        <v>4.7298881581966302E-2</v>
      </c>
      <c r="W26" s="414">
        <f ca="1"/>
        <v>3.52605913881211E-3</v>
      </c>
      <c r="X26" s="415">
        <f ca="1"/>
        <v>4.7298881581966299</v>
      </c>
      <c r="Y26" s="416">
        <f t="shared" ca="1" si="5"/>
        <v>9.8648926691713767E-2</v>
      </c>
      <c r="Z26" s="417">
        <f t="shared" ca="1" si="2"/>
        <v>-1.6452535178419596E-3</v>
      </c>
      <c r="AA26" s="416">
        <f t="shared" ca="1" si="0"/>
        <v>8.5735150666225002E-2</v>
      </c>
      <c r="AB26" s="418">
        <f t="shared" ca="1" si="1"/>
        <v>3.3497561818715046E-3</v>
      </c>
      <c r="AC26" s="417">
        <f t="shared" ca="1" si="3"/>
        <v>-7.149396499625848E-5</v>
      </c>
      <c r="AD26" s="220"/>
      <c r="AE26" s="220">
        <f t="shared" ca="1" si="4"/>
        <v>5.1233283990498703E-3</v>
      </c>
    </row>
    <row r="27" spans="1:31" customFormat="1" ht="15.7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1.4758380857255601E-4</v>
      </c>
      <c r="J27" s="403">
        <f ca="1"/>
        <v>4.4945526680678801E-4</v>
      </c>
      <c r="K27" s="403">
        <f ca="1"/>
        <v>0.32836150663242603</v>
      </c>
      <c r="L27" s="403">
        <f ca="1"/>
        <v>0.32836150663242603</v>
      </c>
      <c r="M27" s="403">
        <f ca="1"/>
        <v>-2.8245221950472802E-4</v>
      </c>
      <c r="N27" s="403" t="str">
        <f ca="1"/>
        <v>CNH INDUSTRIAL N.V</v>
      </c>
      <c r="O27" s="403">
        <f ca="1"/>
        <v>0.68321049054470995</v>
      </c>
      <c r="P27" s="403">
        <f ca="1"/>
        <v>0.75335422373860195</v>
      </c>
      <c r="Q27" s="403">
        <f ca="1"/>
        <v>0.90689143170154896</v>
      </c>
      <c r="R27" s="441">
        <f ca="1"/>
        <v>0.90689143170154896</v>
      </c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-3.5307618301069999E-3</v>
      </c>
      <c r="U27" s="413">
        <f ca="1"/>
        <v>4.3004337425704003E-2</v>
      </c>
      <c r="V27" s="413">
        <f ca="1"/>
        <v>4.6535099255811001E-2</v>
      </c>
      <c r="W27" s="414">
        <f ca="1"/>
        <v>9.2412690879420303E-3</v>
      </c>
      <c r="X27" s="415">
        <f ca="1"/>
        <v>4.6535099255810897</v>
      </c>
      <c r="Y27" s="416">
        <f t="shared" ca="1" si="5"/>
        <v>9.8648926691713767E-2</v>
      </c>
      <c r="Z27" s="417">
        <f t="shared" ca="1" si="2"/>
        <v>-4.2423317301339908E-3</v>
      </c>
      <c r="AA27" s="416">
        <f t="shared" ca="1" si="0"/>
        <v>0.10945383554414201</v>
      </c>
      <c r="AB27" s="418">
        <f t="shared" ca="1" si="1"/>
        <v>8.7792056335449283E-3</v>
      </c>
      <c r="AC27" s="417">
        <f t="shared" ca="1" si="3"/>
        <v>-2.3534948381388973E-4</v>
      </c>
      <c r="AD27" s="220"/>
      <c r="AE27" s="220">
        <f t="shared" ca="1" si="4"/>
        <v>1.244374137261286E-2</v>
      </c>
    </row>
    <row r="28" spans="1:31" customFormat="1" ht="15.7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2.0235585197363401E-4</v>
      </c>
      <c r="J28" s="403">
        <f ca="1"/>
        <v>3.6886088994432298E-4</v>
      </c>
      <c r="K28" s="403">
        <f ca="1"/>
        <v>0.54859665931017598</v>
      </c>
      <c r="L28" s="403">
        <f ca="1"/>
        <v>0.54859665931017598</v>
      </c>
      <c r="M28" s="403">
        <f ca="1"/>
        <v>-8.7004816583347098E-4</v>
      </c>
      <c r="N28" s="403" t="str">
        <f ca="1"/>
        <v>COMPAGNIE DE SAINT-GOBAIN</v>
      </c>
      <c r="O28" s="403">
        <f ca="1"/>
        <v>0.64166025572356999</v>
      </c>
      <c r="P28" s="403">
        <f ca="1"/>
        <v>0.586902484150991</v>
      </c>
      <c r="Q28" s="403">
        <f ca="1"/>
        <v>1.0932996077735</v>
      </c>
      <c r="R28" s="441">
        <f ca="1"/>
        <v>1.0932996077735</v>
      </c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0.17168159563053501</v>
      </c>
      <c r="U28" s="413">
        <f ca="1"/>
        <v>0.216066502860084</v>
      </c>
      <c r="V28" s="413">
        <f ca="1"/>
        <v>4.4384907229548798E-2</v>
      </c>
      <c r="W28" s="414">
        <f ca="1"/>
        <v>4.8680174488737002E-2</v>
      </c>
      <c r="X28" s="415">
        <f ca="1"/>
        <v>4.4384907229548798</v>
      </c>
      <c r="Y28" s="416">
        <f t="shared" ca="1" si="5"/>
        <v>9.8648926691713767E-2</v>
      </c>
      <c r="Z28" s="417">
        <f t="shared" ca="1" si="2"/>
        <v>-2.1314728601179389E-2</v>
      </c>
      <c r="AA28" s="416">
        <f t="shared" ca="1" si="0"/>
        <v>0.182865553103392</v>
      </c>
      <c r="AB28" s="418">
        <f t="shared" ca="1" si="1"/>
        <v>4.624616576430015E-2</v>
      </c>
      <c r="AC28" s="417">
        <f t="shared" ca="1" si="3"/>
        <v>-1.9755560276312461E-3</v>
      </c>
      <c r="AD28" s="220"/>
      <c r="AE28" s="220">
        <f t="shared" ca="1" si="4"/>
        <v>6.747191359152277E-3</v>
      </c>
    </row>
    <row r="29" spans="1:31" customFormat="1" ht="15.7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1.5513643241018101E-4</v>
      </c>
      <c r="J29" s="403">
        <f ca="1"/>
        <v>4.6084461741895903E-4</v>
      </c>
      <c r="K29" s="403">
        <f ca="1"/>
        <v>0.33663501003668</v>
      </c>
      <c r="L29" s="403">
        <f ca="1"/>
        <v>0.33663501003668</v>
      </c>
      <c r="M29" s="403">
        <f ca="1"/>
        <v>-3.0791519198748198E-4</v>
      </c>
      <c r="N29" s="403" t="str">
        <f ca="1"/>
        <v>CONTINENTAL AKTIENGESELLSCHAFT</v>
      </c>
      <c r="O29" s="403">
        <f ca="1"/>
        <v>0.68259524288548001</v>
      </c>
      <c r="P29" s="403">
        <f ca="1"/>
        <v>0.74911061696243797</v>
      </c>
      <c r="Q29" s="403">
        <f ca="1"/>
        <v>0.91120754055432995</v>
      </c>
      <c r="R29" s="441">
        <f ca="1"/>
        <v>0.91120754055432995</v>
      </c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9.3619267111760102E-4</v>
      </c>
      <c r="U29" s="413">
        <f ca="1"/>
        <v>4.74422740998992E-2</v>
      </c>
      <c r="V29" s="413">
        <f ca="1"/>
        <v>4.6506081428781598E-2</v>
      </c>
      <c r="W29" s="414">
        <f ca="1"/>
        <v>1.02013054298181E-2</v>
      </c>
      <c r="X29" s="415">
        <f ca="1"/>
        <v>4.65060814287816</v>
      </c>
      <c r="Y29" s="416">
        <f t="shared" ca="1" si="5"/>
        <v>9.8648926691713767E-2</v>
      </c>
      <c r="Z29" s="417">
        <f t="shared" ca="1" si="2"/>
        <v>-4.6801294197691516E-3</v>
      </c>
      <c r="AA29" s="416">
        <f t="shared" ca="1" si="0"/>
        <v>0.11221167001222666</v>
      </c>
      <c r="AB29" s="418">
        <f t="shared" ca="1" si="1"/>
        <v>9.6912401583271954E-3</v>
      </c>
      <c r="AC29" s="417">
        <f t="shared" ca="1" si="3"/>
        <v>-2.6617884029637507E-4</v>
      </c>
      <c r="AD29" s="220"/>
      <c r="AE29" s="220">
        <f t="shared" ca="1" si="4"/>
        <v>1.1928414881360988E-2</v>
      </c>
    </row>
    <row r="30" spans="1:31" customFormat="1" ht="1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1.58679144334113E-4</v>
      </c>
      <c r="J30" s="403">
        <f ca="1"/>
        <v>4.58017311243995E-4</v>
      </c>
      <c r="K30" s="403">
        <f ca="1"/>
        <v>0.346447918973048</v>
      </c>
      <c r="L30" s="403">
        <f ca="1"/>
        <v>0.346447918973048</v>
      </c>
      <c r="M30" s="403">
        <f ca="1"/>
        <v>-3.37118481617566E-4</v>
      </c>
      <c r="N30" s="403" t="str">
        <f ca="1"/>
        <v>GLENCORE INTERNATIONAL AG</v>
      </c>
      <c r="O30" s="403">
        <f ca="1"/>
        <v>0.68181457275752999</v>
      </c>
      <c r="P30" s="403">
        <f ca="1"/>
        <v>0.74409726252908004</v>
      </c>
      <c r="Q30" s="403">
        <f ca="1"/>
        <v>0.91629764963808602</v>
      </c>
      <c r="R30" s="441">
        <f ca="1"/>
        <v>0.91629764963808602</v>
      </c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6.2134078641259997E-3</v>
      </c>
      <c r="U30" s="413">
        <f ca="1"/>
        <v>5.2655503646831303E-2</v>
      </c>
      <c r="V30" s="413">
        <f ca="1"/>
        <v>4.6442095782705299E-2</v>
      </c>
      <c r="W30" s="414">
        <f ca="1"/>
        <v>1.13378827461184E-2</v>
      </c>
      <c r="X30" s="415">
        <f ca="1"/>
        <v>4.6442095782705302</v>
      </c>
      <c r="Y30" s="416">
        <f t="shared" ca="1" si="5"/>
        <v>9.8648926691713767E-2</v>
      </c>
      <c r="Z30" s="417">
        <f t="shared" ca="1" si="2"/>
        <v>-5.1944089191715229E-3</v>
      </c>
      <c r="AA30" s="416">
        <f t="shared" ca="1" si="0"/>
        <v>0.11548263965768267</v>
      </c>
      <c r="AB30" s="418">
        <f t="shared" ca="1" si="1"/>
        <v>1.077098860881248E-2</v>
      </c>
      <c r="AC30" s="417">
        <f t="shared" ca="1" si="3"/>
        <v>-3.0403982768204062E-4</v>
      </c>
      <c r="AD30" s="220"/>
      <c r="AE30" s="220">
        <f t="shared" ca="1" si="4"/>
        <v>1.1841340298915874E-2</v>
      </c>
    </row>
    <row r="31" spans="1:31" customFormat="1" ht="15.7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1.15958488863708E-4</v>
      </c>
      <c r="J31" s="403">
        <f ca="1"/>
        <v>4.84493200498996E-4</v>
      </c>
      <c r="K31" s="403">
        <f ca="1"/>
        <v>0.23933976523154199</v>
      </c>
      <c r="L31" s="403">
        <f ca="1"/>
        <v>0.23933976523154199</v>
      </c>
      <c r="M31" s="403">
        <f ca="1"/>
        <v>-8.6560219393869701E-5</v>
      </c>
      <c r="N31" s="403" t="str">
        <f ca="1"/>
        <v>GSK PLC</v>
      </c>
      <c r="O31" s="403">
        <f ca="1"/>
        <v>0.68724836674246004</v>
      </c>
      <c r="P31" s="403">
        <f ca="1"/>
        <v>0.78330673267774198</v>
      </c>
      <c r="Q31" s="403">
        <f ca="1"/>
        <v>0.87736813443833706</v>
      </c>
      <c r="R31" s="441">
        <f ca="1"/>
        <v>0.87736813443833706</v>
      </c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-3.50597186081495E-2</v>
      </c>
      <c r="U31" s="413">
        <f ca="1"/>
        <v>1.23851354818758E-2</v>
      </c>
      <c r="V31" s="413">
        <f ca="1"/>
        <v>4.7444854090025301E-2</v>
      </c>
      <c r="W31" s="414">
        <f ca="1"/>
        <v>2.6104275625709302E-3</v>
      </c>
      <c r="X31" s="415">
        <f ca="1"/>
        <v>4.7444854090025297</v>
      </c>
      <c r="Y31" s="416">
        <f t="shared" ca="1" si="5"/>
        <v>9.8648926691713767E-2</v>
      </c>
      <c r="Z31" s="417">
        <f t="shared" ca="1" si="2"/>
        <v>-1.2217803222185106E-3</v>
      </c>
      <c r="AA31" s="416">
        <f t="shared" ca="1" si="0"/>
        <v>7.9779921743847335E-2</v>
      </c>
      <c r="AB31" s="418">
        <f t="shared" ca="1" si="1"/>
        <v>2.4799061844423837E-3</v>
      </c>
      <c r="AC31" s="417">
        <f t="shared" ca="1" si="3"/>
        <v>-4.9404256976549967E-5</v>
      </c>
      <c r="AD31" s="220"/>
      <c r="AE31" s="220">
        <f t="shared" ca="1" si="4"/>
        <v>3.5556406595304538E-3</v>
      </c>
    </row>
    <row r="32" spans="1:31" customFormat="1" ht="15.7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1.47613960101731E-4</v>
      </c>
      <c r="J32" s="403">
        <f ca="1"/>
        <v>4.4937875334292299E-4</v>
      </c>
      <c r="K32" s="403">
        <f ca="1"/>
        <v>0.32848451112482002</v>
      </c>
      <c r="L32" s="403">
        <f ca="1"/>
        <v>0.32848451112482002</v>
      </c>
      <c r="M32" s="403">
        <f ca="1"/>
        <v>-2.8282121451553201E-4</v>
      </c>
      <c r="N32" s="403" t="str">
        <f ca="1"/>
        <v>HEIDELBERG MATERIALS AG</v>
      </c>
      <c r="O32" s="403">
        <f ca="1"/>
        <v>0.68323291666222996</v>
      </c>
      <c r="P32" s="403">
        <f ca="1"/>
        <v>0.75331190144619198</v>
      </c>
      <c r="Q32" s="403">
        <f ca="1"/>
        <v>0.90697215237217699</v>
      </c>
      <c r="R32" s="441">
        <f ca="1"/>
        <v>0.90697215237217699</v>
      </c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-3.4862120486233001E-3</v>
      </c>
      <c r="U32" s="413">
        <f ca="1"/>
        <v>4.3087984921184201E-2</v>
      </c>
      <c r="V32" s="413">
        <f ca="1"/>
        <v>4.6574196969807503E-2</v>
      </c>
      <c r="W32" s="414">
        <f ca="1"/>
        <v>9.2514713563642808E-3</v>
      </c>
      <c r="X32" s="415">
        <f ca="1"/>
        <v>4.6574196969807504</v>
      </c>
      <c r="Y32" s="416">
        <f t="shared" ca="1" si="5"/>
        <v>9.8648926691713767E-2</v>
      </c>
      <c r="Z32" s="417">
        <f t="shared" ca="1" si="2"/>
        <v>-4.2505834657835702E-3</v>
      </c>
      <c r="AA32" s="416">
        <f t="shared" ca="1" si="0"/>
        <v>0.10949483704160667</v>
      </c>
      <c r="AB32" s="418">
        <f t="shared" ca="1" si="1"/>
        <v>8.7888977885460656E-3</v>
      </c>
      <c r="AC32" s="417">
        <f t="shared" ca="1" si="3"/>
        <v>-2.3589559436981415E-4</v>
      </c>
      <c r="AD32" s="220"/>
      <c r="AE32" s="220">
        <f t="shared" ca="1" si="4"/>
        <v>1.1740502045878629E-2</v>
      </c>
    </row>
    <row r="33" spans="1:31" customFormat="1" ht="1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1.41696079297722E-4</v>
      </c>
      <c r="J33" s="403">
        <f ca="1"/>
        <v>4.55687536897261E-4</v>
      </c>
      <c r="K33" s="403">
        <f ca="1"/>
        <v>0.31095008712004502</v>
      </c>
      <c r="L33" s="403">
        <f ca="1"/>
        <v>0.31095008712004502</v>
      </c>
      <c r="M33" s="403">
        <f ca="1"/>
        <v>-2.35049727053478E-4</v>
      </c>
      <c r="N33" s="403" t="str">
        <f ca="1"/>
        <v>HOLCIM AG</v>
      </c>
      <c r="O33" s="403">
        <f ca="1"/>
        <v>0.68442765510777004</v>
      </c>
      <c r="P33" s="403">
        <f ca="1"/>
        <v>0.76109229243440002</v>
      </c>
      <c r="Q33" s="403">
        <f ca="1"/>
        <v>0.89927024870871597</v>
      </c>
      <c r="R33" s="441">
        <f ca="1"/>
        <v>0.89927024870871597</v>
      </c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-1.1676097299369E-2</v>
      </c>
      <c r="U33" s="413">
        <f ca="1"/>
        <v>3.5136415005100202E-2</v>
      </c>
      <c r="V33" s="413">
        <f ca="1"/>
        <v>4.68125123044692E-2</v>
      </c>
      <c r="W33" s="414">
        <f ca="1"/>
        <v>7.5057742632082102E-3</v>
      </c>
      <c r="X33" s="415">
        <f ca="1"/>
        <v>4.6812512304469198</v>
      </c>
      <c r="Y33" s="416">
        <f t="shared" ca="1" si="5"/>
        <v>9.8648926691713767E-2</v>
      </c>
      <c r="Z33" s="417">
        <f t="shared" ca="1" si="2"/>
        <v>-3.4661696280477669E-3</v>
      </c>
      <c r="AA33" s="416">
        <f t="shared" ca="1" si="0"/>
        <v>0.10365002904001501</v>
      </c>
      <c r="AB33" s="418">
        <f t="shared" ca="1" si="1"/>
        <v>7.1304855500477996E-3</v>
      </c>
      <c r="AC33" s="417">
        <f t="shared" ca="1" si="3"/>
        <v>-1.820945217820331E-4</v>
      </c>
      <c r="AD33" s="220"/>
      <c r="AE33" s="220">
        <f t="shared" ca="1" si="4"/>
        <v>9.4006488933574359E-3</v>
      </c>
    </row>
    <row r="34" spans="1:31" customFormat="1" ht="1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1.09476449842361E-4</v>
      </c>
      <c r="J34" s="403">
        <f ca="1"/>
        <v>4.8673119663356502E-4</v>
      </c>
      <c r="K34" s="403">
        <f ca="1"/>
        <v>0.22492178557599299</v>
      </c>
      <c r="L34" s="403">
        <f ca="1"/>
        <v>0.22492178557599299</v>
      </c>
      <c r="M34" s="403">
        <f ca="1"/>
        <v>-6.6496708610825896E-5</v>
      </c>
      <c r="N34" s="403" t="str">
        <f ca="1"/>
        <v>DSM B.V</v>
      </c>
      <c r="O34" s="403">
        <f ca="1"/>
        <v>0.68753159269524999</v>
      </c>
      <c r="P34" s="403">
        <f ca="1"/>
        <v>0.78611816020690295</v>
      </c>
      <c r="Q34" s="403">
        <f ca="1"/>
        <v>0.87459064997849001</v>
      </c>
      <c r="R34" s="441">
        <f ca="1"/>
        <v>0.87459064997849001</v>
      </c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-3.80191160072662E-2</v>
      </c>
      <c r="U34" s="413">
        <f ca="1"/>
        <v>9.5080044065397901E-3</v>
      </c>
      <c r="V34" s="413">
        <f ca="1"/>
        <v>4.7527120413806002E-2</v>
      </c>
      <c r="W34" s="414">
        <f ca="1"/>
        <v>2.0005429160774098E-3</v>
      </c>
      <c r="X34" s="415">
        <f ca="1"/>
        <v>4.7527120413806001</v>
      </c>
      <c r="Y34" s="416">
        <f t="shared" ca="1" si="5"/>
        <v>9.8648926691713767E-2</v>
      </c>
      <c r="Z34" s="417">
        <f t="shared" ca="1" si="2"/>
        <v>-9.3795442968523277E-4</v>
      </c>
      <c r="AA34" s="416">
        <f t="shared" ca="1" si="0"/>
        <v>7.4973928525330996E-2</v>
      </c>
      <c r="AB34" s="418">
        <f t="shared" ca="1" si="1"/>
        <v>1.9005157702735392E-3</v>
      </c>
      <c r="AC34" s="417">
        <f t="shared" ca="1" si="3"/>
        <v>-3.5642622139722276E-5</v>
      </c>
      <c r="AD34" s="220"/>
      <c r="AE34" s="220">
        <f t="shared" ca="1" si="4"/>
        <v>2.7749806048590273E-3</v>
      </c>
    </row>
    <row r="35" spans="1:31" customFormat="1" ht="1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1.1027855502499E-4</v>
      </c>
      <c r="J35" s="403">
        <f ca="1"/>
        <v>4.86505428829645E-4</v>
      </c>
      <c r="K35" s="403">
        <f ca="1"/>
        <v>0.226674870392053</v>
      </c>
      <c r="L35" s="403">
        <f ca="1"/>
        <v>0.226674870392053</v>
      </c>
      <c r="M35" s="403">
        <f ca="1"/>
        <v>-6.8768536764731705E-5</v>
      </c>
      <c r="N35" s="403" t="str">
        <f ca="1"/>
        <v>L'AIR LIQUIDE SOCIETE ANONYME POUR L'ETUDE ET L'EXPLOITATION DES PROCEDES GEORGES CLAUDE</v>
      </c>
      <c r="O35" s="403">
        <f ca="1"/>
        <v>0.68750290319027996</v>
      </c>
      <c r="P35" s="403">
        <f ca="1"/>
        <v>0.78580126359464197</v>
      </c>
      <c r="Q35" s="403">
        <f ca="1"/>
        <v>0.87490684355138704</v>
      </c>
      <c r="R35" s="441">
        <f ca="1"/>
        <v>0.87490684355138704</v>
      </c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-3.7685540625939297E-2</v>
      </c>
      <c r="U35" s="413">
        <f ca="1"/>
        <v>9.8354652786579698E-3</v>
      </c>
      <c r="V35" s="413">
        <f ca="1"/>
        <v>4.7521005904597298E-2</v>
      </c>
      <c r="W35" s="414">
        <f ca="1"/>
        <v>2.0697089826767498E-3</v>
      </c>
      <c r="X35" s="415">
        <f ca="1"/>
        <v>4.7521005904597304</v>
      </c>
      <c r="Y35" s="416">
        <f t="shared" ca="1" si="5"/>
        <v>9.8648926691713767E-2</v>
      </c>
      <c r="Z35" s="417">
        <f t="shared" ca="1" si="2"/>
        <v>-9.7025809325322827E-4</v>
      </c>
      <c r="AA35" s="416">
        <f t="shared" ca="1" si="0"/>
        <v>7.5558290130684339E-2</v>
      </c>
      <c r="AB35" s="418">
        <f t="shared" ca="1" si="1"/>
        <v>1.9662235335429121E-3</v>
      </c>
      <c r="AC35" s="417">
        <f t="shared" ca="1" si="3"/>
        <v>-3.7157546954755708E-5</v>
      </c>
      <c r="AD35" s="220"/>
      <c r="AE35" s="220">
        <f t="shared" ca="1" si="4"/>
        <v>2.8075274338623325E-3</v>
      </c>
    </row>
    <row r="36" spans="1:31" customFormat="1" ht="15.7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1.7111298476533201E-4</v>
      </c>
      <c r="J36" s="403">
        <f ca="1"/>
        <v>4.3394692937706499E-4</v>
      </c>
      <c r="K36" s="403">
        <f ca="1"/>
        <v>0.39431776832933502</v>
      </c>
      <c r="L36" s="403">
        <f ca="1"/>
        <v>0.39431776832933502</v>
      </c>
      <c r="M36" s="403">
        <f ca="1"/>
        <v>-4.8713950669731202E-4</v>
      </c>
      <c r="N36" s="403" t="str">
        <f ca="1"/>
        <v>LANXESS AKTIENGESELLSCHAFT</v>
      </c>
      <c r="O36" s="403">
        <f ca="1"/>
        <v>0.67611027108351995</v>
      </c>
      <c r="P36" s="403">
        <f ca="1"/>
        <v>0.71528457933779499</v>
      </c>
      <c r="Q36" s="403">
        <f ca="1"/>
        <v>0.94523255584435695</v>
      </c>
      <c r="R36" s="441">
        <f ca="1"/>
        <v>0.94523255584435695</v>
      </c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3.6542548065479498E-2</v>
      </c>
      <c r="U36" s="413">
        <f ca="1"/>
        <v>8.1769443539817702E-2</v>
      </c>
      <c r="V36" s="413">
        <f ca="1"/>
        <v>4.5226895474338197E-2</v>
      </c>
      <c r="W36" s="414">
        <f ca="1"/>
        <v>1.8079826767285801E-2</v>
      </c>
      <c r="X36" s="415">
        <f ca="1"/>
        <v>4.5226895474338198</v>
      </c>
      <c r="Y36" s="416">
        <f t="shared" ca="1" si="5"/>
        <v>9.8648926691713767E-2</v>
      </c>
      <c r="Z36" s="417">
        <f t="shared" ca="1" si="2"/>
        <v>-8.0664678413817029E-3</v>
      </c>
      <c r="AA36" s="416">
        <f t="shared" ca="1" si="0"/>
        <v>0.13143925610977833</v>
      </c>
      <c r="AB36" s="418">
        <f t="shared" ca="1" si="1"/>
        <v>1.717583542892151E-2</v>
      </c>
      <c r="AC36" s="417">
        <f t="shared" ca="1" si="3"/>
        <v>-5.3738574156920853E-4</v>
      </c>
      <c r="AD36" s="220"/>
      <c r="AE36" s="220">
        <f t="shared" ca="1" si="4"/>
        <v>2.6399727478320881E-2</v>
      </c>
    </row>
    <row r="37" spans="1:31" customFormat="1" ht="15.7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1.39779782737102E-4</v>
      </c>
      <c r="J37" s="403">
        <f ca="1"/>
        <v>4.57431916954633E-4</v>
      </c>
      <c r="K37" s="403">
        <f ca="1"/>
        <v>0.305575054027035</v>
      </c>
      <c r="L37" s="403">
        <f ca="1"/>
        <v>0.305575054027035</v>
      </c>
      <c r="M37" s="403">
        <f ca="1"/>
        <v>-2.21245760748618E-4</v>
      </c>
      <c r="N37" s="403" t="str">
        <f ca="1"/>
        <v>LEONARDO SOCIETA' PER AZIONI</v>
      </c>
      <c r="O37" s="403">
        <f ca="1"/>
        <v>0.68477353170801003</v>
      </c>
      <c r="P37" s="403">
        <f ca="1"/>
        <v>0.76328939184528499</v>
      </c>
      <c r="Q37" s="403">
        <f ca="1"/>
        <v>0.89713487312137297</v>
      </c>
      <c r="R37" s="441">
        <f ca="1"/>
        <v>0.89713487312137297</v>
      </c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-1.3988833521352601E-2</v>
      </c>
      <c r="U37" s="413">
        <f ca="1"/>
        <v>3.2926414405901397E-2</v>
      </c>
      <c r="V37" s="413">
        <f ca="1"/>
        <v>4.6915247927254003E-2</v>
      </c>
      <c r="W37" s="414">
        <f ca="1"/>
        <v>7.0182756908705899E-3</v>
      </c>
      <c r="X37" s="415">
        <f ca="1"/>
        <v>4.6915247927254002</v>
      </c>
      <c r="Y37" s="416">
        <f t="shared" ca="1" si="5"/>
        <v>9.8648926691713767E-2</v>
      </c>
      <c r="Z37" s="417">
        <f t="shared" ca="1" si="2"/>
        <v>-3.2481554409487514E-3</v>
      </c>
      <c r="AA37" s="416">
        <f t="shared" ca="1" si="0"/>
        <v>0.101858351342345</v>
      </c>
      <c r="AB37" s="418">
        <f t="shared" ca="1" si="1"/>
        <v>6.6673619063270604E-3</v>
      </c>
      <c r="AC37" s="417">
        <f t="shared" ca="1" si="3"/>
        <v>-1.6769151434999755E-4</v>
      </c>
      <c r="AD37" s="220"/>
      <c r="AE37" s="220">
        <f t="shared" ca="1" si="4"/>
        <v>8.1133551841451653E-3</v>
      </c>
    </row>
    <row r="38" spans="1:31" customFormat="1" ht="15.7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1.3328189932143399E-4</v>
      </c>
      <c r="J38" s="403">
        <f ca="1"/>
        <v>4.74979087688863E-4</v>
      </c>
      <c r="K38" s="403">
        <f ca="1"/>
        <v>0.28060582618479601</v>
      </c>
      <c r="L38" s="403">
        <f ca="1"/>
        <v>0.28060582618479601</v>
      </c>
      <c r="M38" s="403">
        <f ca="1"/>
        <v>-1.62914501663134E-4</v>
      </c>
      <c r="N38" s="403" t="str">
        <f ca="1"/>
        <v>MERCEDES-BENZ GROUP AG</v>
      </c>
      <c r="O38" s="403">
        <f ca="1"/>
        <v>0.68595841219109999</v>
      </c>
      <c r="P38" s="403">
        <f ca="1"/>
        <v>0.77222320039527204</v>
      </c>
      <c r="Q38" s="403">
        <f ca="1"/>
        <v>0.88829034382803296</v>
      </c>
      <c r="R38" s="441">
        <f ca="1"/>
        <v>0.88829034382803296</v>
      </c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-2.3392842521339201E-2</v>
      </c>
      <c r="U38" s="413">
        <f ca="1"/>
        <v>2.37400740990775E-2</v>
      </c>
      <c r="V38" s="413">
        <f ca="1"/>
        <v>4.7132916620416701E-2</v>
      </c>
      <c r="W38" s="414">
        <f ca="1"/>
        <v>5.0368353586660699E-3</v>
      </c>
      <c r="X38" s="415">
        <f ca="1"/>
        <v>4.7132916620416703</v>
      </c>
      <c r="Y38" s="416">
        <f t="shared" ca="1" si="5"/>
        <v>9.8648926691713767E-2</v>
      </c>
      <c r="Z38" s="417">
        <f t="shared" ca="1" si="2"/>
        <v>-2.3419328294557447E-3</v>
      </c>
      <c r="AA38" s="416">
        <f t="shared" ca="1" si="0"/>
        <v>9.3535275394932005E-2</v>
      </c>
      <c r="AB38" s="418">
        <f t="shared" ca="1" si="1"/>
        <v>4.7849935907327661E-3</v>
      </c>
      <c r="AC38" s="417">
        <f t="shared" ca="1" si="3"/>
        <v>-1.1102671843766523E-4</v>
      </c>
      <c r="AD38" s="220"/>
      <c r="AE38" s="220">
        <f t="shared" ca="1" si="4"/>
        <v>6.4121210767193026E-3</v>
      </c>
    </row>
    <row r="39" spans="1:31" customFormat="1" ht="1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1.6204219244119399E-4</v>
      </c>
      <c r="J39" s="403">
        <f ca="1"/>
        <v>4.5017394361628998E-4</v>
      </c>
      <c r="K39" s="403">
        <f ca="1"/>
        <v>0.35995462362724401</v>
      </c>
      <c r="L39" s="403">
        <f ca="1"/>
        <v>0.35995462362724401</v>
      </c>
      <c r="M39" s="403">
        <f ca="1"/>
        <v>-3.7853575534827101E-4</v>
      </c>
      <c r="N39" s="403" t="str">
        <f ca="1"/>
        <v>POSTNL N.V.</v>
      </c>
      <c r="O39" s="403">
        <f ca="1"/>
        <v>0.68030175180007002</v>
      </c>
      <c r="P39" s="403">
        <f ca="1"/>
        <v>0.736539008462337</v>
      </c>
      <c r="Q39" s="403">
        <f ca="1"/>
        <v>0.92364660117639596</v>
      </c>
      <c r="R39" s="441">
        <f ca="1"/>
        <v>0.92364660117639596</v>
      </c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1.41694647764877E-2</v>
      </c>
      <c r="U39" s="413">
        <f ca="1"/>
        <v>6.01314678531088E-2</v>
      </c>
      <c r="V39" s="413">
        <f ca="1"/>
        <v>4.59620030766211E-2</v>
      </c>
      <c r="W39" s="414">
        <f ca="1"/>
        <v>1.30828649379938E-2</v>
      </c>
      <c r="X39" s="415">
        <f ca="1"/>
        <v>4.5962003076621096</v>
      </c>
      <c r="Y39" s="416">
        <f t="shared" ca="1" si="5"/>
        <v>9.8648926691713767E-2</v>
      </c>
      <c r="Z39" s="417">
        <f t="shared" ca="1" si="2"/>
        <v>-5.9319047641064855E-3</v>
      </c>
      <c r="AA39" s="416">
        <f t="shared" ca="1" si="0"/>
        <v>0.11998487454241467</v>
      </c>
      <c r="AB39" s="418">
        <f t="shared" ca="1" si="1"/>
        <v>1.2428721691094109E-2</v>
      </c>
      <c r="AC39" s="417">
        <f t="shared" ca="1" si="3"/>
        <v>-3.6074333132032638E-4</v>
      </c>
      <c r="AD39" s="220"/>
      <c r="AE39" s="220">
        <f t="shared" ca="1" si="4"/>
        <v>1.8522789330206995E-2</v>
      </c>
    </row>
    <row r="40" spans="1:31" customFormat="1" ht="15">
      <c r="A40" s="220"/>
      <c r="B40" s="267">
        <v>2</v>
      </c>
      <c r="C40" s="68" t="s">
        <v>511</v>
      </c>
      <c r="D40" s="246">
        <f t="shared" ref="D40:D103" ca="1" si="6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1.35064455228151E-4</v>
      </c>
      <c r="J40" s="403">
        <f ca="1"/>
        <v>4.61498810852042E-4</v>
      </c>
      <c r="K40" s="403">
        <f ca="1"/>
        <v>0.292664795774421</v>
      </c>
      <c r="L40" s="403">
        <f ca="1"/>
        <v>0.292664795774421</v>
      </c>
      <c r="M40" s="403">
        <f ca="1"/>
        <v>-1.89400365749232E-4</v>
      </c>
      <c r="N40" s="403" t="str">
        <f ca="1"/>
        <v>RENTOKIL INITIAL PLC</v>
      </c>
      <c r="O40" s="403">
        <f ca="1"/>
        <v>0.68541113209322002</v>
      </c>
      <c r="P40" s="403">
        <f ca="1"/>
        <v>0.76820802266730803</v>
      </c>
      <c r="Q40" s="403">
        <f ca="1"/>
        <v>0.89222074212840496</v>
      </c>
      <c r="R40" s="441">
        <f ca="1"/>
        <v>0.89222074212840496</v>
      </c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-1.9166339649797599E-2</v>
      </c>
      <c r="U40" s="413">
        <f ca="1"/>
        <v>2.7824215261269498E-2</v>
      </c>
      <c r="V40" s="413">
        <f ca="1"/>
        <v>4.6990554911067101E-2</v>
      </c>
      <c r="W40" s="414">
        <f ca="1"/>
        <v>5.9212357278880298E-3</v>
      </c>
      <c r="X40" s="415">
        <f ca="1"/>
        <v>4.6990554911067104</v>
      </c>
      <c r="Y40" s="416">
        <f t="shared" ca="1" si="5"/>
        <v>9.8648926691713767E-2</v>
      </c>
      <c r="Z40" s="417">
        <f t="shared" ca="1" si="2"/>
        <v>-2.7448289715634368E-3</v>
      </c>
      <c r="AA40" s="416">
        <f t="shared" ca="1" si="0"/>
        <v>9.7554931924807006E-2</v>
      </c>
      <c r="AB40" s="418">
        <f t="shared" ca="1" si="1"/>
        <v>5.6251739414936277E-3</v>
      </c>
      <c r="AC40" s="417">
        <f t="shared" ca="1" si="3"/>
        <v>-1.3571947128371634E-4</v>
      </c>
      <c r="AD40" s="220"/>
      <c r="AE40" s="220">
        <f t="shared" ca="1" si="4"/>
        <v>7.9634988877493752E-3</v>
      </c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6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1.2315771212682199E-4</v>
      </c>
      <c r="J41" s="403">
        <f ca="1"/>
        <v>4.81227408403541E-4</v>
      </c>
      <c r="K41" s="403">
        <f ca="1"/>
        <v>0.25592414308942701</v>
      </c>
      <c r="L41" s="403">
        <f ca="1"/>
        <v>0.25592414308942701</v>
      </c>
      <c r="M41" s="403">
        <f ca="1"/>
        <v>-1.13842841577947E-4</v>
      </c>
      <c r="N41" s="403" t="str">
        <f ca="1"/>
        <v>SANOFI</v>
      </c>
      <c r="O41" s="403">
        <f ca="1"/>
        <v>0.68681606726657995</v>
      </c>
      <c r="P41" s="403">
        <f ca="1"/>
        <v>0.77941907208802397</v>
      </c>
      <c r="Q41" s="403">
        <f ca="1"/>
        <v>0.88118971149452996</v>
      </c>
      <c r="R41" s="441">
        <f ca="1"/>
        <v>0.88118971149452996</v>
      </c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-3.0967444303183499E-2</v>
      </c>
      <c r="U41" s="413">
        <f ca="1"/>
        <v>1.63533891804853E-2</v>
      </c>
      <c r="V41" s="413">
        <f ca="1"/>
        <v>4.7320833483668799E-2</v>
      </c>
      <c r="W41" s="414">
        <f ca="1"/>
        <v>3.4558540026834198E-3</v>
      </c>
      <c r="X41" s="415">
        <f ca="1"/>
        <v>4.7320833483668796</v>
      </c>
      <c r="Y41" s="416">
        <f t="shared" ca="1" si="5"/>
        <v>9.8648926691713767E-2</v>
      </c>
      <c r="Z41" s="417">
        <f t="shared" ca="1" si="2"/>
        <v>-1.6132442904267536E-3</v>
      </c>
      <c r="AA41" s="416">
        <f t="shared" ca="1" si="0"/>
        <v>8.5308047696475667E-2</v>
      </c>
      <c r="AB41" s="418">
        <f t="shared" ca="1" si="1"/>
        <v>3.2830613025492486E-3</v>
      </c>
      <c r="AC41" s="417">
        <f t="shared" ca="1" si="3"/>
        <v>-6.9753785210393323E-5</v>
      </c>
      <c r="AD41" s="220"/>
      <c r="AE41" s="220">
        <f t="shared" ca="1" si="4"/>
        <v>4.8152010248986611E-3</v>
      </c>
    </row>
    <row r="42" spans="1:31" customFormat="1" ht="15">
      <c r="A42" s="220"/>
      <c r="B42" s="267">
        <v>4</v>
      </c>
      <c r="C42" s="68" t="s">
        <v>610</v>
      </c>
      <c r="D42" s="246">
        <f t="shared" ca="1" si="6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1.2434579184374101E-4</v>
      </c>
      <c r="J42" s="403">
        <f ca="1"/>
        <v>4.8044540140995299E-4</v>
      </c>
      <c r="K42" s="403">
        <f ca="1"/>
        <v>0.258813574817921</v>
      </c>
      <c r="L42" s="403">
        <f ca="1"/>
        <v>0.258813574817921</v>
      </c>
      <c r="M42" s="403">
        <f ca="1"/>
        <v>-1.19014364377388E-4</v>
      </c>
      <c r="N42" s="403" t="str">
        <f ca="1"/>
        <v>SIEMENS AKTIENGESELLSCHAFT</v>
      </c>
      <c r="O42" s="403">
        <f ca="1"/>
        <v>0.68671107058201997</v>
      </c>
      <c r="P42" s="403">
        <f ca="1"/>
        <v>0.77866869008580497</v>
      </c>
      <c r="Q42" s="403">
        <f ca="1"/>
        <v>0.88190404895610797</v>
      </c>
      <c r="R42" s="441">
        <f ca="1"/>
        <v>0.88190404895610797</v>
      </c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-3.0177568511373602E-2</v>
      </c>
      <c r="U42" s="413">
        <f ca="1"/>
        <v>1.7094314393547999E-2</v>
      </c>
      <c r="V42" s="413">
        <f ca="1"/>
        <v>4.7271882904921597E-2</v>
      </c>
      <c r="W42" s="414">
        <f ca="1"/>
        <v>3.6161695585365098E-3</v>
      </c>
      <c r="X42" s="415">
        <f ca="1"/>
        <v>4.72718829049216</v>
      </c>
      <c r="Y42" s="416">
        <f t="shared" ca="1" si="5"/>
        <v>9.8648926691713767E-2</v>
      </c>
      <c r="Z42" s="417">
        <f t="shared" ca="1" si="2"/>
        <v>-1.6863357674542236E-3</v>
      </c>
      <c r="AA42" s="416">
        <f t="shared" ca="1" si="0"/>
        <v>8.6271191605973671E-2</v>
      </c>
      <c r="AB42" s="418">
        <f t="shared" ca="1" si="1"/>
        <v>3.4353610806096843E-3</v>
      </c>
      <c r="AC42" s="417">
        <f t="shared" ca="1" si="3"/>
        <v>-7.3737343620926623E-5</v>
      </c>
      <c r="AD42" s="220"/>
      <c r="AE42" s="220">
        <f t="shared" ca="1" si="4"/>
        <v>5.4984378813148728E-3</v>
      </c>
    </row>
    <row r="43" spans="1:31" customFormat="1" ht="15">
      <c r="A43" s="220"/>
      <c r="B43" s="267">
        <v>5</v>
      </c>
      <c r="C43" s="68" t="s">
        <v>512</v>
      </c>
      <c r="D43" s="246">
        <f t="shared" ca="1" si="6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1.3333410081988999E-4</v>
      </c>
      <c r="J43" s="403">
        <f ca="1"/>
        <v>4.7484267478361798E-4</v>
      </c>
      <c r="K43" s="403">
        <f ca="1"/>
        <v>0.28079637298953702</v>
      </c>
      <c r="L43" s="403">
        <f ca="1"/>
        <v>0.28079637298953702</v>
      </c>
      <c r="M43" s="403">
        <f ca="1"/>
        <v>-1.6327456915687499E-4</v>
      </c>
      <c r="N43" s="403" t="str">
        <f ca="1"/>
        <v>SMURFIT KAPPA ACQUISITIONS UNLIMITED COMPANY</v>
      </c>
      <c r="O43" s="403">
        <f ca="1"/>
        <v>0.68593216659462997</v>
      </c>
      <c r="P43" s="403">
        <f ca="1"/>
        <v>0.77216271220944699</v>
      </c>
      <c r="Q43" s="403">
        <f ca="1"/>
        <v>0.88832593927246395</v>
      </c>
      <c r="R43" s="441">
        <f ca="1"/>
        <v>0.88832593927246395</v>
      </c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-2.33291707467859E-2</v>
      </c>
      <c r="U43" s="413">
        <f ca="1"/>
        <v>2.3775663548232202E-2</v>
      </c>
      <c r="V43" s="413">
        <f ca="1"/>
        <v>4.7104834295018098E-2</v>
      </c>
      <c r="W43" s="414">
        <f ca="1"/>
        <v>5.0473935221435999E-3</v>
      </c>
      <c r="X43" s="415">
        <f ca="1"/>
        <v>4.7104834295018101</v>
      </c>
      <c r="Y43" s="416">
        <f t="shared" ca="1" si="5"/>
        <v>9.8648926691713767E-2</v>
      </c>
      <c r="Z43" s="417">
        <f t="shared" ca="1" si="2"/>
        <v>-2.3454436904164098E-3</v>
      </c>
      <c r="AA43" s="416">
        <f t="shared" ca="1" si="0"/>
        <v>9.3598790996512346E-2</v>
      </c>
      <c r="AB43" s="418">
        <f t="shared" ca="1" si="1"/>
        <v>4.7950238460364196E-3</v>
      </c>
      <c r="AC43" s="417">
        <f t="shared" ca="1" si="3"/>
        <v>-1.1126866816271932E-4</v>
      </c>
      <c r="AD43" s="220"/>
      <c r="AE43" s="220">
        <f t="shared" ca="1" si="4"/>
        <v>6.8927180689868474E-3</v>
      </c>
    </row>
    <row r="44" spans="1:31" customFormat="1" ht="15">
      <c r="A44" s="220"/>
      <c r="B44" s="267">
        <v>6</v>
      </c>
      <c r="C44" s="68" t="s">
        <v>513</v>
      </c>
      <c r="D44" s="246">
        <f t="shared" ca="1" si="6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1.4545220775881199E-4</v>
      </c>
      <c r="J44" s="403">
        <f ca="1"/>
        <v>4.5189415514572E-4</v>
      </c>
      <c r="K44" s="403">
        <f ca="1"/>
        <v>0.32187229266532302</v>
      </c>
      <c r="L44" s="403">
        <f ca="1"/>
        <v>0.32187229266532302</v>
      </c>
      <c r="M44" s="403">
        <f ca="1"/>
        <v>-2.64342290357091E-4</v>
      </c>
      <c r="N44" s="403" t="str">
        <f ca="1"/>
        <v>SOLVAY</v>
      </c>
      <c r="O44" s="403">
        <f ca="1"/>
        <v>0.68366267386571</v>
      </c>
      <c r="P44" s="403">
        <f ca="1"/>
        <v>0.75633404232150803</v>
      </c>
      <c r="Q44" s="403">
        <f ca="1"/>
        <v>0.90391630630198905</v>
      </c>
      <c r="R44" s="441">
        <f ca="1"/>
        <v>0.90391630630198905</v>
      </c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-6.6674129700087003E-3</v>
      </c>
      <c r="U44" s="413">
        <f ca="1"/>
        <v>3.9937303780230998E-2</v>
      </c>
      <c r="V44" s="413">
        <f ca="1"/>
        <v>4.6604716750239701E-2</v>
      </c>
      <c r="W44" s="414">
        <f ca="1"/>
        <v>8.5693694898436798E-3</v>
      </c>
      <c r="X44" s="415">
        <f ca="1"/>
        <v>4.6604716750239703</v>
      </c>
      <c r="Y44" s="416">
        <f t="shared" ca="1" si="5"/>
        <v>9.8648926691713767E-2</v>
      </c>
      <c r="Z44" s="417">
        <f t="shared" ca="1" si="2"/>
        <v>-3.9397721528807187E-3</v>
      </c>
      <c r="AA44" s="416">
        <f t="shared" ca="1" si="0"/>
        <v>0.10729076422177435</v>
      </c>
      <c r="AB44" s="418">
        <f t="shared" ca="1" si="1"/>
        <v>8.1409010153514951E-3</v>
      </c>
      <c r="AC44" s="417">
        <f t="shared" ca="1" si="3"/>
        <v>-2.1424519217690786E-4</v>
      </c>
      <c r="AD44" s="220"/>
      <c r="AE44" s="220">
        <f t="shared" ca="1" si="4"/>
        <v>1.1930706155046307E-2</v>
      </c>
    </row>
    <row r="45" spans="1:31" customFormat="1" ht="15">
      <c r="A45" s="220"/>
      <c r="B45" s="267">
        <v>7</v>
      </c>
      <c r="C45" s="68" t="s">
        <v>514</v>
      </c>
      <c r="D45" s="246">
        <f t="shared" ca="1" si="6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1.5646326303234999E-4</v>
      </c>
      <c r="J45" s="403">
        <f ca="1"/>
        <v>4.58652192621236E-4</v>
      </c>
      <c r="K45" s="403">
        <f ca="1"/>
        <v>0.34113706540494099</v>
      </c>
      <c r="L45" s="403">
        <f ca="1"/>
        <v>0.34113706540494099</v>
      </c>
      <c r="M45" s="403">
        <f ca="1"/>
        <v>-3.2105728980821098E-4</v>
      </c>
      <c r="N45" s="403" t="str">
        <f ca="1"/>
        <v>STELLANTIS N.V.</v>
      </c>
      <c r="O45" s="403">
        <f ca="1"/>
        <v>0.68217571657659004</v>
      </c>
      <c r="P45" s="403">
        <f ca="1"/>
        <v>0.746829100690653</v>
      </c>
      <c r="Q45" s="403">
        <f ca="1"/>
        <v>0.91342947930888996</v>
      </c>
      <c r="R45" s="441">
        <f ca="1"/>
        <v>0.91342947930888996</v>
      </c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3.3377887466808998E-3</v>
      </c>
      <c r="U45" s="413">
        <f ca="1"/>
        <v>4.9718474269486897E-2</v>
      </c>
      <c r="V45" s="413">
        <f ca="1"/>
        <v>4.6380685522805998E-2</v>
      </c>
      <c r="W45" s="414">
        <f ca="1"/>
        <v>1.07196505849487E-2</v>
      </c>
      <c r="X45" s="415">
        <f ca="1"/>
        <v>4.6380685522806004</v>
      </c>
      <c r="Y45" s="416">
        <f t="shared" ca="1" si="5"/>
        <v>9.8648926691713767E-2</v>
      </c>
      <c r="Z45" s="417">
        <f t="shared" ca="1" si="2"/>
        <v>-4.9046741234344713E-3</v>
      </c>
      <c r="AA45" s="416">
        <f t="shared" ca="1" si="0"/>
        <v>0.11371235513498033</v>
      </c>
      <c r="AB45" s="418">
        <f t="shared" ca="1" si="1"/>
        <v>1.0183668055701265E-2</v>
      </c>
      <c r="AC45" s="417">
        <f t="shared" ca="1" si="3"/>
        <v>-2.8268024014506377E-4</v>
      </c>
      <c r="AD45" s="220"/>
      <c r="AE45" s="220">
        <f t="shared" ca="1" si="4"/>
        <v>1.3598828991641493E-2</v>
      </c>
    </row>
    <row r="46" spans="1:31" customFormat="1" ht="15">
      <c r="A46" s="220"/>
      <c r="B46" s="267">
        <v>8</v>
      </c>
      <c r="C46" s="68" t="s">
        <v>515</v>
      </c>
      <c r="D46" s="246">
        <f t="shared" ca="1" si="6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1.45257612226182E-4</v>
      </c>
      <c r="J46" s="403">
        <f ca="1"/>
        <v>4.5208660306117601E-4</v>
      </c>
      <c r="K46" s="403">
        <f ca="1"/>
        <v>0.32130483682243899</v>
      </c>
      <c r="L46" s="403">
        <f ca="1"/>
        <v>0.32130483682243899</v>
      </c>
      <c r="M46" s="403">
        <f ca="1"/>
        <v>-2.62790191263748E-4</v>
      </c>
      <c r="N46" s="403" t="str">
        <f ca="1"/>
        <v>STORA ENSO OYJ</v>
      </c>
      <c r="O46" s="403">
        <f ca="1"/>
        <v>0.68371836248801998</v>
      </c>
      <c r="P46" s="403">
        <f ca="1"/>
        <v>0.75659777934258199</v>
      </c>
      <c r="Q46" s="403">
        <f ca="1"/>
        <v>0.90367482056597104</v>
      </c>
      <c r="R46" s="441">
        <f ca="1"/>
        <v>0.90367482056597104</v>
      </c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-6.9450308869284001E-3</v>
      </c>
      <c r="U46" s="413">
        <f ca="1"/>
        <v>3.9688260710556901E-2</v>
      </c>
      <c r="V46" s="413">
        <f ca="1"/>
        <v>4.6633291597485298E-2</v>
      </c>
      <c r="W46" s="414">
        <f ca="1"/>
        <v>8.5107139880079095E-3</v>
      </c>
      <c r="X46" s="415">
        <f ca="1"/>
        <v>4.66332915974853</v>
      </c>
      <c r="Y46" s="416">
        <f t="shared" ca="1" si="5"/>
        <v>9.8648926691713767E-2</v>
      </c>
      <c r="Z46" s="417">
        <f t="shared" ca="1" si="2"/>
        <v>-3.9152043213573602E-3</v>
      </c>
      <c r="AA46" s="416">
        <f t="shared" ca="1" si="0"/>
        <v>0.10710161227414633</v>
      </c>
      <c r="AB46" s="418">
        <f t="shared" ca="1" si="1"/>
        <v>8.085178288607513E-3</v>
      </c>
      <c r="AC46" s="417">
        <f t="shared" ca="1" si="3"/>
        <v>-2.1253383552286595E-4</v>
      </c>
      <c r="AD46" s="220"/>
      <c r="AE46" s="220">
        <f t="shared" ca="1" si="4"/>
        <v>1.1488335708370656E-2</v>
      </c>
    </row>
    <row r="47" spans="1:31" customFormat="1" ht="15">
      <c r="A47" s="220"/>
      <c r="B47" s="267">
        <v>9</v>
      </c>
      <c r="C47" s="68" t="s">
        <v>530</v>
      </c>
      <c r="D47" s="246">
        <f t="shared" ca="1" si="6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1.61300186232731E-4</v>
      </c>
      <c r="J47" s="403">
        <f ca="1"/>
        <v>4.5308293522027101E-4</v>
      </c>
      <c r="K47" s="403">
        <f ca="1"/>
        <v>0.35600587374652098</v>
      </c>
      <c r="L47" s="403">
        <f ca="1"/>
        <v>0.35600587374652098</v>
      </c>
      <c r="M47" s="403">
        <f ca="1"/>
        <v>-3.6594828009260699E-4</v>
      </c>
      <c r="N47" s="403" t="str">
        <f ca="1"/>
        <v>UNIBAIL-RODAMCO-WESTFIELD SE</v>
      </c>
      <c r="O47" s="403">
        <f ca="1"/>
        <v>0.68082052468987997</v>
      </c>
      <c r="P47" s="403">
        <f ca="1"/>
        <v>0.73890709062208604</v>
      </c>
      <c r="Q47" s="403">
        <f ca="1"/>
        <v>0.92138853900657103</v>
      </c>
      <c r="R47" s="441">
        <f ca="1"/>
        <v>0.92138853900657103</v>
      </c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1.1676746713593301E-2</v>
      </c>
      <c r="U47" s="413">
        <f ca="1"/>
        <v>5.78384221015667E-2</v>
      </c>
      <c r="V47" s="413">
        <f ca="1"/>
        <v>4.6161675387973403E-2</v>
      </c>
      <c r="W47" s="414">
        <f ca="1"/>
        <v>1.2529532694698401E-2</v>
      </c>
      <c r="X47" s="415">
        <f ca="1"/>
        <v>4.61616753879734</v>
      </c>
      <c r="Y47" s="416">
        <f t="shared" ca="1" si="5"/>
        <v>9.8648926691713767E-2</v>
      </c>
      <c r="Z47" s="417">
        <f t="shared" ca="1" si="2"/>
        <v>-5.705698261861852E-3</v>
      </c>
      <c r="AA47" s="416">
        <f t="shared" ca="1" si="0"/>
        <v>0.11866862458217366</v>
      </c>
      <c r="AB47" s="418">
        <f t="shared" ca="1" si="1"/>
        <v>1.1903056059963481E-2</v>
      </c>
      <c r="AC47" s="417">
        <f t="shared" ca="1" si="3"/>
        <v>-3.4318029993980574E-4</v>
      </c>
      <c r="AD47" s="220"/>
      <c r="AE47" s="220">
        <f t="shared" ca="1" si="4"/>
        <v>1.5556486156789014E-2</v>
      </c>
    </row>
    <row r="48" spans="1:31" customFormat="1" ht="15">
      <c r="A48" s="220"/>
      <c r="B48" s="267">
        <v>10</v>
      </c>
      <c r="C48" s="68" t="s">
        <v>531</v>
      </c>
      <c r="D48" s="246">
        <f t="shared" ca="1" si="6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1.21557747705942E-4</v>
      </c>
      <c r="J48" s="403">
        <f ca="1"/>
        <v>4.8203074076475302E-4</v>
      </c>
      <c r="K48" s="403">
        <f ca="1"/>
        <v>0.25217841400133101</v>
      </c>
      <c r="L48" s="403">
        <f ca="1"/>
        <v>0.25217841400133101</v>
      </c>
      <c r="M48" s="403">
        <f ca="1"/>
        <v>-1.07281596031172E-4</v>
      </c>
      <c r="N48" s="403" t="str">
        <f ca="1"/>
        <v>VINCI</v>
      </c>
      <c r="O48" s="403">
        <f ca="1"/>
        <v>0.68692427520243005</v>
      </c>
      <c r="P48" s="403">
        <f ca="1"/>
        <v>0.78036140737390403</v>
      </c>
      <c r="Q48" s="403">
        <f ca="1"/>
        <v>0.88026428358891895</v>
      </c>
      <c r="R48" s="441">
        <f ca="1"/>
        <v>0.88026428358891895</v>
      </c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-3.1959376183056699E-2</v>
      </c>
      <c r="U48" s="413">
        <f ca="1"/>
        <v>1.53916886204029E-2</v>
      </c>
      <c r="V48" s="413">
        <f ca="1"/>
        <v>4.7351064803459603E-2</v>
      </c>
      <c r="W48" s="414">
        <f ca="1"/>
        <v>3.2505475186860801E-3</v>
      </c>
      <c r="X48" s="415">
        <f ca="1"/>
        <v>4.7351064803459604</v>
      </c>
      <c r="Y48" s="416">
        <f t="shared" ca="1" si="5"/>
        <v>9.8648926691713767E-2</v>
      </c>
      <c r="Z48" s="417">
        <f t="shared" ca="1" si="2"/>
        <v>-1.5183735623758147E-3</v>
      </c>
      <c r="AA48" s="416">
        <f t="shared" ca="1" si="0"/>
        <v>8.4059471333777003E-2</v>
      </c>
      <c r="AB48" s="418">
        <f t="shared" ca="1" si="1"/>
        <v>3.088020142751776E-3</v>
      </c>
      <c r="AC48" s="417">
        <f t="shared" ca="1" si="3"/>
        <v>-6.4690860418259162E-5</v>
      </c>
      <c r="AD48" s="220"/>
      <c r="AE48" s="220">
        <f t="shared" ca="1" si="4"/>
        <v>4.5069228051163417E-3</v>
      </c>
    </row>
    <row r="49" spans="1:31" customFormat="1" ht="15">
      <c r="A49" s="220"/>
      <c r="B49" s="267">
        <v>11</v>
      </c>
      <c r="C49" s="68" t="s">
        <v>532</v>
      </c>
      <c r="D49" s="246">
        <f t="shared" ca="1" si="6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1.47324081848628E-4</v>
      </c>
      <c r="J49" s="403">
        <f ca="1"/>
        <v>4.4968576930807001E-4</v>
      </c>
      <c r="K49" s="403">
        <f ca="1"/>
        <v>0.32761561940311101</v>
      </c>
      <c r="L49" s="403">
        <f ca="1"/>
        <v>0.32761561940311101</v>
      </c>
      <c r="M49" s="403">
        <f ca="1"/>
        <v>-2.8039746389532601E-4</v>
      </c>
      <c r="N49" s="403" t="str">
        <f ca="1"/>
        <v>VOLKSWAGEN AKTIENGESELLSCHAFT</v>
      </c>
      <c r="O49" s="403">
        <f ca="1"/>
        <v>0.68331941954910003</v>
      </c>
      <c r="P49" s="403">
        <f ca="1"/>
        <v>0.75372747256797501</v>
      </c>
      <c r="Q49" s="403">
        <f ca="1"/>
        <v>0.90658685588440602</v>
      </c>
      <c r="R49" s="441">
        <f ca="1"/>
        <v>0.90658685588440602</v>
      </c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-3.9236553347110001E-3</v>
      </c>
      <c r="U49" s="413">
        <f ca="1"/>
        <v>4.2691936060935798E-2</v>
      </c>
      <c r="V49" s="413">
        <f ca="1"/>
        <v>4.6615591395646798E-2</v>
      </c>
      <c r="W49" s="414">
        <f ca="1"/>
        <v>9.1582954935808293E-3</v>
      </c>
      <c r="X49" s="415">
        <f ca="1"/>
        <v>4.6615591395646803</v>
      </c>
      <c r="Y49" s="416">
        <f t="shared" ca="1" si="5"/>
        <v>9.8648926691713767E-2</v>
      </c>
      <c r="Z49" s="417">
        <f t="shared" ca="1" si="2"/>
        <v>-4.2115136708025811E-3</v>
      </c>
      <c r="AA49" s="416">
        <f t="shared" ca="1" si="0"/>
        <v>0.10920520646770367</v>
      </c>
      <c r="AB49" s="418">
        <f t="shared" ca="1" si="1"/>
        <v>8.7003807189017877E-3</v>
      </c>
      <c r="AC49" s="417">
        <f t="shared" ca="1" si="3"/>
        <v>-2.3310908460202464E-4</v>
      </c>
      <c r="AD49" s="220"/>
      <c r="AE49" s="220">
        <f t="shared" ca="1" si="4"/>
        <v>1.1107602406648749E-2</v>
      </c>
    </row>
    <row r="50" spans="1:31" customFormat="1" ht="15">
      <c r="A50" s="220"/>
      <c r="B50" s="267">
        <v>12</v>
      </c>
      <c r="C50" s="68" t="s">
        <v>516</v>
      </c>
      <c r="D50" s="246">
        <f t="shared" ca="1" si="6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1.40194102603659E-4</v>
      </c>
      <c r="J50" s="403">
        <f ca="1"/>
        <v>4.5717025175906099E-4</v>
      </c>
      <c r="K50" s="403">
        <f ca="1"/>
        <v>0.30665622284965399</v>
      </c>
      <c r="L50" s="403">
        <f ca="1"/>
        <v>0.30665622284965399</v>
      </c>
      <c r="M50" s="403">
        <f ca="1"/>
        <v>-2.2386274235455201E-4</v>
      </c>
      <c r="N50" s="403" t="str">
        <f ca="1"/>
        <v>WENDEL</v>
      </c>
      <c r="O50" s="403">
        <f ca="1"/>
        <v>0.68464026806089995</v>
      </c>
      <c r="P50" s="403">
        <f ca="1"/>
        <v>0.76284225712425702</v>
      </c>
      <c r="Q50" s="403">
        <f ca="1"/>
        <v>0.89748602894894602</v>
      </c>
      <c r="R50" s="441">
        <f ca="1"/>
        <v>0.89748602894894602</v>
      </c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-1.35181653939543E-2</v>
      </c>
      <c r="U50" s="413">
        <f ca="1"/>
        <v>3.3286937523855503E-2</v>
      </c>
      <c r="V50" s="413">
        <f ca="1"/>
        <v>4.6805102917809802E-2</v>
      </c>
      <c r="W50" s="414">
        <f ca="1"/>
        <v>7.1118180387953998E-3</v>
      </c>
      <c r="X50" s="415">
        <f ca="1"/>
        <v>4.6805102917809798</v>
      </c>
      <c r="Y50" s="416">
        <f t="shared" ca="1" si="5"/>
        <v>9.8648926691713767E-2</v>
      </c>
      <c r="Z50" s="417">
        <f t="shared" ca="1" si="2"/>
        <v>-3.2837206595824767E-3</v>
      </c>
      <c r="AA50" s="416">
        <f t="shared" ca="1" si="0"/>
        <v>0.10221874094988466</v>
      </c>
      <c r="AB50" s="418">
        <f t="shared" ca="1" si="1"/>
        <v>6.7562271368556293E-3</v>
      </c>
      <c r="AC50" s="417">
        <f t="shared" ca="1" si="3"/>
        <v>-1.7012744218829925E-4</v>
      </c>
      <c r="AD50" s="220"/>
      <c r="AE50" s="220">
        <f t="shared" ca="1" si="4"/>
        <v>9.9525264281402764E-3</v>
      </c>
    </row>
    <row r="51" spans="1:31" customFormat="1" ht="15">
      <c r="A51" s="220"/>
      <c r="B51" s="267">
        <v>13</v>
      </c>
      <c r="C51" s="68" t="s">
        <v>611</v>
      </c>
      <c r="D51" s="246">
        <f t="shared" ca="1" si="6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1.70418853242737E-4</v>
      </c>
      <c r="J51" s="403">
        <f ca="1"/>
        <v>4.3699606631697902E-4</v>
      </c>
      <c r="K51" s="403">
        <f ca="1"/>
        <v>0.389978002957862</v>
      </c>
      <c r="L51" s="403">
        <f ca="1"/>
        <v>0.389978002957862</v>
      </c>
      <c r="M51" s="403">
        <f ca="1"/>
        <v>-4.7328067862992398E-4</v>
      </c>
      <c r="N51" s="403" t="str">
        <f ca="1"/>
        <v>AKTIEBOLAGET ELECTROLUX</v>
      </c>
      <c r="O51" s="403">
        <f ca="1"/>
        <v>0.67678601042944997</v>
      </c>
      <c r="P51" s="403">
        <f ca="1"/>
        <v>0.71821836550583396</v>
      </c>
      <c r="Q51" s="403">
        <f ca="1"/>
        <v>0.94231231465766896</v>
      </c>
      <c r="R51" s="441">
        <f ca="1"/>
        <v>0.94231231465766896</v>
      </c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3.3454352099122502E-2</v>
      </c>
      <c r="U51" s="413">
        <f ca="1"/>
        <v>7.8870388942103797E-2</v>
      </c>
      <c r="V51" s="413">
        <f ca="1"/>
        <v>4.5416036842981303E-2</v>
      </c>
      <c r="W51" s="414">
        <f ca="1"/>
        <v>1.73661980270946E-2</v>
      </c>
      <c r="X51" s="415">
        <f ca="1"/>
        <v>4.5416036842981304</v>
      </c>
      <c r="Y51" s="416">
        <f t="shared" ca="1" si="5"/>
        <v>9.8648926691713767E-2</v>
      </c>
      <c r="Z51" s="417">
        <f t="shared" ca="1" si="2"/>
        <v>-7.7804792168965457E-3</v>
      </c>
      <c r="AA51" s="416">
        <f t="shared" ca="1" si="0"/>
        <v>0.12999266765262066</v>
      </c>
      <c r="AB51" s="418">
        <f t="shared" ca="1" si="1"/>
        <v>1.6497888125739869E-2</v>
      </c>
      <c r="AC51" s="417">
        <f t="shared" ca="1" si="3"/>
        <v>-5.1262861286919192E-4</v>
      </c>
      <c r="AD51" s="220"/>
      <c r="AE51" s="220">
        <f t="shared" ca="1" si="4"/>
        <v>2.3743884336878008E-2</v>
      </c>
    </row>
    <row r="52" spans="1:31" customFormat="1" ht="15">
      <c r="A52" s="220"/>
      <c r="B52" s="267">
        <v>14</v>
      </c>
      <c r="C52" s="68" t="s">
        <v>517</v>
      </c>
      <c r="D52" s="246">
        <f t="shared" ca="1" si="6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1.2808996217158201E-4</v>
      </c>
      <c r="J52" s="403">
        <f ca="1"/>
        <v>4.7841930935703901E-4</v>
      </c>
      <c r="K52" s="403">
        <f ca="1"/>
        <v>0.26773576999583398</v>
      </c>
      <c r="L52" s="403">
        <f ca="1"/>
        <v>0.26773576999583398</v>
      </c>
      <c r="M52" s="403">
        <f ca="1"/>
        <v>-1.3605148687617801E-4</v>
      </c>
      <c r="N52" s="403" t="str">
        <f ca="1"/>
        <v>ANHEUSER-BUSCH INBEV</v>
      </c>
      <c r="O52" s="403">
        <f ca="1"/>
        <v>0.68643050792259996</v>
      </c>
      <c r="P52" s="403">
        <f ca="1"/>
        <v>0.77619281187301903</v>
      </c>
      <c r="Q52" s="403">
        <f ca="1"/>
        <v>0.88435566192140502</v>
      </c>
      <c r="R52" s="441">
        <f ca="1"/>
        <v>0.88435566192140502</v>
      </c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-2.75713809189672E-2</v>
      </c>
      <c r="U52" s="413">
        <f ca="1"/>
        <v>1.9645400422640801E-2</v>
      </c>
      <c r="V52" s="413">
        <f ca="1"/>
        <v>4.7216781341607998E-2</v>
      </c>
      <c r="W52" s="414">
        <f ca="1"/>
        <v>4.1606818305781196E-3</v>
      </c>
      <c r="X52" s="415">
        <f ca="1"/>
        <v>4.7216781341607996</v>
      </c>
      <c r="Y52" s="416">
        <f t="shared" ca="1" si="5"/>
        <v>9.8648926691713767E-2</v>
      </c>
      <c r="Z52" s="417">
        <f t="shared" ca="1" si="2"/>
        <v>-1.9379976661224585E-3</v>
      </c>
      <c r="AA52" s="416">
        <f t="shared" ca="1" si="0"/>
        <v>8.9245256665277994E-2</v>
      </c>
      <c r="AB52" s="418">
        <f t="shared" ca="1" si="1"/>
        <v>3.9526477390492134E-3</v>
      </c>
      <c r="AC52" s="417">
        <f t="shared" ca="1" si="3"/>
        <v>-8.7662940150537189E-5</v>
      </c>
      <c r="AD52" s="220"/>
      <c r="AE52" s="220">
        <f t="shared" ca="1" si="4"/>
        <v>5.8802642682255039E-3</v>
      </c>
    </row>
    <row r="53" spans="1:31" customFormat="1" ht="15">
      <c r="A53" s="220"/>
      <c r="B53" s="267">
        <v>15</v>
      </c>
      <c r="C53" s="68" t="s">
        <v>518</v>
      </c>
      <c r="D53" s="246">
        <f t="shared" ca="1" si="6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1.3996906296331901E-4</v>
      </c>
      <c r="J53" s="403">
        <f ca="1"/>
        <v>4.5733114163220998E-4</v>
      </c>
      <c r="K53" s="403">
        <f ca="1"/>
        <v>0.30605626912650402</v>
      </c>
      <c r="L53" s="403">
        <f ca="1"/>
        <v>0.30605626912650402</v>
      </c>
      <c r="M53" s="403">
        <f ca="1"/>
        <v>-2.2237005848812599E-4</v>
      </c>
      <c r="N53" s="403" t="str">
        <f ca="1"/>
        <v>BRITISH AMERICAN TOBACCO P.L.C.</v>
      </c>
      <c r="O53" s="403">
        <f ca="1"/>
        <v>0.68470646403683999</v>
      </c>
      <c r="P53" s="403">
        <f ca="1"/>
        <v>0.76309404629574795</v>
      </c>
      <c r="Q53" s="403">
        <f ca="1"/>
        <v>0.89727664284707598</v>
      </c>
      <c r="R53" s="441">
        <f ca="1"/>
        <v>0.89727664284707598</v>
      </c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-1.37832066271029E-2</v>
      </c>
      <c r="U53" s="413">
        <f ca="1"/>
        <v>3.3070991925215398E-2</v>
      </c>
      <c r="V53" s="413">
        <f ca="1"/>
        <v>4.6854198552318302E-2</v>
      </c>
      <c r="W53" s="414">
        <f ca="1"/>
        <v>7.0582771548824298E-3</v>
      </c>
      <c r="X53" s="415">
        <f ca="1"/>
        <v>4.6854198552318298</v>
      </c>
      <c r="Y53" s="416">
        <f t="shared" ca="1" si="5"/>
        <v>9.8648926691713767E-2</v>
      </c>
      <c r="Z53" s="417">
        <f t="shared" ca="1" si="2"/>
        <v>-3.2624178580528285E-3</v>
      </c>
      <c r="AA53" s="416">
        <f t="shared" ca="1" si="0"/>
        <v>0.10201875637550134</v>
      </c>
      <c r="AB53" s="418">
        <f t="shared" ca="1" si="1"/>
        <v>6.7053632971383077E-3</v>
      </c>
      <c r="AC53" s="417">
        <f t="shared" ca="1" si="3"/>
        <v>-1.686930734157362E-4</v>
      </c>
      <c r="AD53" s="220"/>
      <c r="AE53" s="220">
        <f t="shared" ca="1" si="4"/>
        <v>9.1452418053781289E-3</v>
      </c>
    </row>
    <row r="54" spans="1:31" customFormat="1" ht="15">
      <c r="A54" s="220"/>
      <c r="B54" s="267">
        <v>16</v>
      </c>
      <c r="C54" s="68" t="s">
        <v>533</v>
      </c>
      <c r="D54" s="246">
        <f t="shared" ca="1" si="6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1.2035439782532601E-4</v>
      </c>
      <c r="J54" s="403">
        <f ca="1"/>
        <v>4.8269004291993001E-4</v>
      </c>
      <c r="K54" s="403">
        <f ca="1"/>
        <v>0.24934095822086499</v>
      </c>
      <c r="L54" s="403">
        <f ca="1"/>
        <v>0.24934095822086499</v>
      </c>
      <c r="M54" s="403">
        <f ca="1"/>
        <v>-1.02510325806908E-4</v>
      </c>
      <c r="N54" s="403" t="str">
        <f ca="1"/>
        <v>CARLSBERG BREWERIES A/S</v>
      </c>
      <c r="O54" s="403">
        <f ca="1"/>
        <v>0.68701067721807996</v>
      </c>
      <c r="P54" s="403">
        <f ca="1"/>
        <v>0.78104448000646098</v>
      </c>
      <c r="Q54" s="403">
        <f ca="1"/>
        <v>0.87960506066491495</v>
      </c>
      <c r="R54" s="441">
        <f ca="1"/>
        <v>0.87960506066491495</v>
      </c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-3.2678400006800903E-2</v>
      </c>
      <c r="U54" s="413">
        <f ca="1"/>
        <v>1.47081180602989E-2</v>
      </c>
      <c r="V54" s="413">
        <f ca="1"/>
        <v>4.73865180670998E-2</v>
      </c>
      <c r="W54" s="414">
        <f ca="1"/>
        <v>3.1038613217945501E-3</v>
      </c>
      <c r="X54" s="415">
        <f ca="1"/>
        <v>4.7386518067099797</v>
      </c>
      <c r="Y54" s="416">
        <f t="shared" ca="1" si="5"/>
        <v>9.8648926691713767E-2</v>
      </c>
      <c r="Z54" s="417">
        <f t="shared" ca="1" si="2"/>
        <v>-1.4509400603035045E-3</v>
      </c>
      <c r="AA54" s="416">
        <f t="shared" ca="1" si="0"/>
        <v>8.3113652740288327E-2</v>
      </c>
      <c r="AB54" s="418">
        <f t="shared" ca="1" si="1"/>
        <v>2.9486682557048225E-3</v>
      </c>
      <c r="AC54" s="417">
        <f t="shared" ca="1" si="3"/>
        <v>-6.1122270846342589E-5</v>
      </c>
      <c r="AD54" s="220"/>
      <c r="AE54" s="220">
        <f t="shared" ca="1" si="4"/>
        <v>4.0453824002200925E-3</v>
      </c>
    </row>
    <row r="55" spans="1:31" customFormat="1" ht="15">
      <c r="A55" s="220"/>
      <c r="B55" s="267">
        <v>17</v>
      </c>
      <c r="C55" s="68" t="s">
        <v>519</v>
      </c>
      <c r="D55" s="246">
        <f t="shared" ca="1" si="6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1.3457433754140901E-4</v>
      </c>
      <c r="J55" s="403">
        <f ca="1"/>
        <v>4.7394615186223399E-4</v>
      </c>
      <c r="K55" s="403">
        <f ca="1"/>
        <v>0.28394436163821202</v>
      </c>
      <c r="L55" s="403">
        <f ca="1"/>
        <v>0.28394436163821202</v>
      </c>
      <c r="M55" s="403">
        <f ca="1"/>
        <v>-1.7028666639812501E-4</v>
      </c>
      <c r="N55" s="403" t="str">
        <f ca="1"/>
        <v>CARREFOUR</v>
      </c>
      <c r="O55" s="403">
        <f ca="1"/>
        <v>0.68581516357828998</v>
      </c>
      <c r="P55" s="403">
        <f ca="1"/>
        <v>0.77111665215437997</v>
      </c>
      <c r="Q55" s="403">
        <f ca="1"/>
        <v>0.88937926792558397</v>
      </c>
      <c r="R55" s="441">
        <f ca="1"/>
        <v>0.88937926792558397</v>
      </c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-2.22280548993476E-2</v>
      </c>
      <c r="U55" s="413">
        <f ca="1"/>
        <v>2.4872311682202299E-2</v>
      </c>
      <c r="V55" s="413">
        <f ca="1"/>
        <v>4.7100366581549903E-2</v>
      </c>
      <c r="W55" s="414">
        <f ca="1"/>
        <v>5.2807044801101996E-3</v>
      </c>
      <c r="X55" s="415">
        <f ca="1"/>
        <v>4.7100366581549897</v>
      </c>
      <c r="Y55" s="416">
        <f t="shared" ca="1" si="5"/>
        <v>9.8648926691713767E-2</v>
      </c>
      <c r="Z55" s="417">
        <f t="shared" ca="1" si="2"/>
        <v>-2.4536268517910335E-3</v>
      </c>
      <c r="AA55" s="416">
        <f t="shared" ca="1" si="0"/>
        <v>9.4648120546070677E-2</v>
      </c>
      <c r="AB55" s="418">
        <f t="shared" ca="1" si="1"/>
        <v>5.0166692561046892E-3</v>
      </c>
      <c r="AC55" s="417">
        <f t="shared" ca="1" si="3"/>
        <v>-1.177058777178266E-4</v>
      </c>
      <c r="AD55" s="220"/>
      <c r="AE55" s="220">
        <f t="shared" ca="1" si="4"/>
        <v>6.7217784840054185E-3</v>
      </c>
    </row>
    <row r="56" spans="1:31" customFormat="1" ht="15">
      <c r="A56" s="220"/>
      <c r="B56" s="267">
        <v>18</v>
      </c>
      <c r="C56" s="68" t="s">
        <v>534</v>
      </c>
      <c r="D56" s="246">
        <f t="shared" ca="1" si="6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1.13217210796415E-4</v>
      </c>
      <c r="J56" s="403">
        <f ca="1"/>
        <v>4.8556663716216498E-4</v>
      </c>
      <c r="K56" s="403">
        <f ca="1"/>
        <v>0.23316513559930599</v>
      </c>
      <c r="L56" s="403">
        <f ca="1"/>
        <v>0.23316513559930599</v>
      </c>
      <c r="M56" s="403">
        <f ca="1"/>
        <v>-7.75876438422074E-5</v>
      </c>
      <c r="N56" s="403" t="str">
        <f ca="1"/>
        <v>COMPASS GROUP PLC</v>
      </c>
      <c r="O56" s="403">
        <f ca="1"/>
        <v>0.68738402482774996</v>
      </c>
      <c r="P56" s="403">
        <f ca="1"/>
        <v>0.784567978522137</v>
      </c>
      <c r="Q56" s="403">
        <f ca="1"/>
        <v>0.87613061410249105</v>
      </c>
      <c r="R56" s="441">
        <f ca="1"/>
        <v>0.87613061410249105</v>
      </c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-3.6387345812776202E-2</v>
      </c>
      <c r="U56" s="413">
        <f ca="1"/>
        <v>1.11031744295681E-2</v>
      </c>
      <c r="V56" s="413">
        <f ca="1"/>
        <v>4.7490520242344299E-2</v>
      </c>
      <c r="W56" s="414">
        <f ca="1"/>
        <v>2.33797700528623E-3</v>
      </c>
      <c r="X56" s="415">
        <f ca="1"/>
        <v>4.7490520242344303</v>
      </c>
      <c r="Y56" s="416">
        <f t="shared" ca="1" si="5"/>
        <v>9.8648926691713767E-2</v>
      </c>
      <c r="Z56" s="417">
        <f t="shared" ca="1" si="2"/>
        <v>-1.0953162403477764E-3</v>
      </c>
      <c r="AA56" s="416">
        <f t="shared" ca="1" si="0"/>
        <v>7.7721711866435325E-2</v>
      </c>
      <c r="AB56" s="418">
        <f t="shared" ca="1" si="1"/>
        <v>2.2210781550219185E-3</v>
      </c>
      <c r="AC56" s="417">
        <f t="shared" ca="1" si="3"/>
        <v>-4.3147886190883288E-5</v>
      </c>
      <c r="AD56" s="220"/>
      <c r="AE56" s="220">
        <f t="shared" ca="1" si="4"/>
        <v>3.0515750550505504E-3</v>
      </c>
    </row>
    <row r="57" spans="1:31" customFormat="1" ht="15">
      <c r="A57" s="220"/>
      <c r="B57" s="267">
        <v>19</v>
      </c>
      <c r="C57" s="68" t="s">
        <v>535</v>
      </c>
      <c r="D57" s="246">
        <f t="shared" ca="1" si="6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1.2502476925924501E-4</v>
      </c>
      <c r="J57" s="403">
        <f ca="1"/>
        <v>4.80271601743483E-4</v>
      </c>
      <c r="K57" s="403">
        <f ca="1"/>
        <v>0.26032097006231403</v>
      </c>
      <c r="L57" s="403">
        <f ca="1"/>
        <v>0.26032097006231403</v>
      </c>
      <c r="M57" s="403">
        <f ca="1"/>
        <v>-1.21860615348566E-4</v>
      </c>
      <c r="N57" s="403" t="str">
        <f ca="1"/>
        <v>DANONE</v>
      </c>
      <c r="O57" s="403">
        <f ca="1"/>
        <v>0.68668583511759995</v>
      </c>
      <c r="P57" s="403">
        <f ca="1"/>
        <v>0.77826211374409704</v>
      </c>
      <c r="Q57" s="403">
        <f ca="1"/>
        <v>0.88233234406601402</v>
      </c>
      <c r="R57" s="441">
        <f ca="1"/>
        <v>0.88233234406601402</v>
      </c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-2.9749593414838599E-2</v>
      </c>
      <c r="U57" s="413">
        <f ca="1"/>
        <v>1.7541806544202E-2</v>
      </c>
      <c r="V57" s="413">
        <f ca="1"/>
        <v>4.7291399959040602E-2</v>
      </c>
      <c r="W57" s="414">
        <f ca="1"/>
        <v>3.7093015980485E-3</v>
      </c>
      <c r="X57" s="415">
        <f ca="1"/>
        <v>4.7291399959040596</v>
      </c>
      <c r="Y57" s="416">
        <f t="shared" ca="1" si="5"/>
        <v>9.8648926691713767E-2</v>
      </c>
      <c r="Z57" s="417">
        <f t="shared" ca="1" si="2"/>
        <v>-1.7304803878192083E-3</v>
      </c>
      <c r="AA57" s="416">
        <f t="shared" ca="1" si="0"/>
        <v>8.6773656687438014E-2</v>
      </c>
      <c r="AB57" s="418">
        <f t="shared" ca="1" si="1"/>
        <v>3.5238365181460749E-3</v>
      </c>
      <c r="AC57" s="417">
        <f t="shared" ca="1" si="3"/>
        <v>-7.610833493720194E-5</v>
      </c>
      <c r="AD57" s="220"/>
      <c r="AE57" s="220">
        <f t="shared" ca="1" si="4"/>
        <v>5.0584720067240758E-3</v>
      </c>
    </row>
    <row r="58" spans="1:31" customFormat="1" ht="15">
      <c r="A58" s="220"/>
      <c r="B58" s="267">
        <v>20</v>
      </c>
      <c r="C58" s="68" t="s">
        <v>612</v>
      </c>
      <c r="D58" s="246">
        <f t="shared" ca="1" si="6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1.89547357207278E-4</v>
      </c>
      <c r="J58" s="403">
        <f ca="1"/>
        <v>4.21609019347092E-4</v>
      </c>
      <c r="K58" s="403">
        <f ca="1"/>
        <v>0.44958088776376998</v>
      </c>
      <c r="L58" s="403">
        <f ca="1"/>
        <v>0.44958088776376998</v>
      </c>
      <c r="M58" s="403">
        <f ca="1"/>
        <v>-6.60557699744082E-4</v>
      </c>
      <c r="N58" s="403" t="str">
        <f ca="1"/>
        <v>DIAGEO PLC</v>
      </c>
      <c r="O58" s="403">
        <f ca="1"/>
        <v>0.66776647480227003</v>
      </c>
      <c r="P58" s="403">
        <f ca="1"/>
        <v>0.67404686460516905</v>
      </c>
      <c r="Q58" s="403">
        <f ca="1"/>
        <v>0.99068256209962802</v>
      </c>
      <c r="R58" s="441">
        <f ca="1"/>
        <v>0.99068256209962802</v>
      </c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7.9950668836664296E-2</v>
      </c>
      <c r="U58" s="413">
        <f ca="1"/>
        <v>0.12583433593821899</v>
      </c>
      <c r="V58" s="413">
        <f ca="1"/>
        <v>4.5883667101554698E-2</v>
      </c>
      <c r="W58" s="414">
        <f ca="1"/>
        <v>2.7424646696112699E-2</v>
      </c>
      <c r="X58" s="415">
        <f ca="1"/>
        <v>4.5883667101554702</v>
      </c>
      <c r="Y58" s="416">
        <f t="shared" ca="1" si="5"/>
        <v>9.8648926691713767E-2</v>
      </c>
      <c r="Z58" s="417">
        <f t="shared" ca="1" si="2"/>
        <v>-1.2413422181269821E-2</v>
      </c>
      <c r="AA58" s="416">
        <f t="shared" ca="1" si="0"/>
        <v>0.14986029592125666</v>
      </c>
      <c r="AB58" s="418">
        <f t="shared" ca="1" si="1"/>
        <v>2.6053414361307065E-2</v>
      </c>
      <c r="AC58" s="417">
        <f t="shared" ca="1" si="3"/>
        <v>-9.4287854103781358E-4</v>
      </c>
      <c r="AD58" s="220"/>
      <c r="AE58" s="220">
        <f t="shared" ca="1" si="4"/>
        <v>3.9572105798336759E-3</v>
      </c>
    </row>
    <row r="59" spans="1:31" customFormat="1" ht="15">
      <c r="A59" s="220"/>
      <c r="B59" s="267">
        <v>21</v>
      </c>
      <c r="C59" s="68" t="s">
        <v>520</v>
      </c>
      <c r="D59" s="246">
        <f t="shared" ca="1" si="6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1.7963730450792299E-4</v>
      </c>
      <c r="J59" s="403">
        <f ca="1"/>
        <v>4.0812655939146899E-4</v>
      </c>
      <c r="K59" s="403">
        <f ca="1"/>
        <v>0.44015097859783597</v>
      </c>
      <c r="L59" s="403">
        <f ca="1"/>
        <v>0.44015097859783597</v>
      </c>
      <c r="M59" s="403">
        <f ca="1"/>
        <v>-6.3036165302861498E-4</v>
      </c>
      <c r="N59" s="403" t="str">
        <f ca="1"/>
        <v>ELO</v>
      </c>
      <c r="O59" s="403">
        <f ca="1"/>
        <v>0.66844818012558005</v>
      </c>
      <c r="P59" s="403">
        <f ca="1"/>
        <v>0.68201431055308803</v>
      </c>
      <c r="Q59" s="403">
        <f ca="1"/>
        <v>0.98010873053894398</v>
      </c>
      <c r="R59" s="441">
        <f ca="1"/>
        <v>0.98010873053894398</v>
      </c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7.1563883628327996E-2</v>
      </c>
      <c r="U59" s="413">
        <f ca="1"/>
        <v>0.11557398540408199</v>
      </c>
      <c r="V59" s="413">
        <f ca="1"/>
        <v>4.4010101775753999E-2</v>
      </c>
      <c r="W59" s="414">
        <f ca="1"/>
        <v>2.6260785760726001E-2</v>
      </c>
      <c r="X59" s="415">
        <f ca="1"/>
        <v>4.4010101775754</v>
      </c>
      <c r="Y59" s="416">
        <f t="shared" ca="1" si="5"/>
        <v>9.8648926691713767E-2</v>
      </c>
      <c r="Z59" s="417">
        <f t="shared" ca="1" si="2"/>
        <v>-1.1401249613596509E-2</v>
      </c>
      <c r="AA59" s="416">
        <f t="shared" ca="1" si="0"/>
        <v>0.14671699286594533</v>
      </c>
      <c r="AB59" s="418">
        <f t="shared" ca="1" si="1"/>
        <v>2.49477464726897E-2</v>
      </c>
      <c r="AC59" s="417">
        <f t="shared" ca="1" si="3"/>
        <v>-8.4783337960098149E-4</v>
      </c>
      <c r="AD59" s="220"/>
      <c r="AE59" s="220">
        <f t="shared" ca="1" si="4"/>
        <v>3.9921411516586777E-2</v>
      </c>
    </row>
    <row r="60" spans="1:31" customFormat="1" ht="15">
      <c r="A60" s="220"/>
      <c r="B60" s="267">
        <v>22</v>
      </c>
      <c r="C60" s="68" t="s">
        <v>613</v>
      </c>
      <c r="D60" s="246">
        <f t="shared" ca="1" si="6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1.21300758389138E-4</v>
      </c>
      <c r="J60" s="403">
        <f ca="1"/>
        <v>4.8222745513769799E-4</v>
      </c>
      <c r="K60" s="403">
        <f ca="1"/>
        <v>0.25154262184118298</v>
      </c>
      <c r="L60" s="403">
        <f ca="1"/>
        <v>0.25154262184118298</v>
      </c>
      <c r="M60" s="403">
        <f ca="1"/>
        <v>-1.06226156539937E-4</v>
      </c>
      <c r="N60" s="403" t="str">
        <f ca="1"/>
        <v>HEINEKEN N.V.</v>
      </c>
      <c r="O60" s="403">
        <f ca="1"/>
        <v>0.68694946024289005</v>
      </c>
      <c r="P60" s="403">
        <f ca="1"/>
        <v>0.78051346438024405</v>
      </c>
      <c r="Q60" s="403">
        <f ca="1"/>
        <v>0.88012506073595098</v>
      </c>
      <c r="R60" s="441">
        <f ca="1"/>
        <v>0.88012506073595098</v>
      </c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-3.2119436189730399E-2</v>
      </c>
      <c r="U60" s="413">
        <f ca="1"/>
        <v>1.52480507158467E-2</v>
      </c>
      <c r="V60" s="413">
        <f ca="1"/>
        <v>4.73674869055771E-2</v>
      </c>
      <c r="W60" s="414">
        <f ca="1"/>
        <v>3.2190964123223198E-3</v>
      </c>
      <c r="X60" s="415">
        <f ca="1"/>
        <v>4.7367486905577003</v>
      </c>
      <c r="Y60" s="416">
        <f t="shared" ca="1" si="5"/>
        <v>9.8648926691713767E-2</v>
      </c>
      <c r="Z60" s="417">
        <f t="shared" ca="1" si="2"/>
        <v>-1.5042038372590986E-3</v>
      </c>
      <c r="AA60" s="416">
        <f t="shared" ca="1" si="0"/>
        <v>8.3847540613727664E-2</v>
      </c>
      <c r="AB60" s="418">
        <f t="shared" ca="1" si="1"/>
        <v>3.0581415917062035E-3</v>
      </c>
      <c r="AC60" s="417">
        <f t="shared" ca="1" si="3"/>
        <v>-6.3925577583857067E-5</v>
      </c>
      <c r="AD60" s="220"/>
      <c r="AE60" s="220">
        <f t="shared" ca="1" si="4"/>
        <v>4.2541611656394997E-3</v>
      </c>
    </row>
    <row r="61" spans="1:31" customFormat="1" ht="15">
      <c r="A61" s="220"/>
      <c r="B61" s="267">
        <v>23</v>
      </c>
      <c r="C61" s="68" t="s">
        <v>536</v>
      </c>
      <c r="D61" s="246">
        <f t="shared" ca="1" si="6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1.1102855163970001E-4</v>
      </c>
      <c r="J61" s="403">
        <f ca="1"/>
        <v>4.8617113330209102E-4</v>
      </c>
      <c r="K61" s="403">
        <f ca="1"/>
        <v>0.22837339371753801</v>
      </c>
      <c r="L61" s="403">
        <f ca="1"/>
        <v>0.22837339371753801</v>
      </c>
      <c r="M61" s="403">
        <f ca="1"/>
        <v>-7.0961449666882004E-5</v>
      </c>
      <c r="N61" s="403" t="str">
        <f ca="1"/>
        <v>HENKEL AG &amp; CO. KGAA</v>
      </c>
      <c r="O61" s="403">
        <f ca="1"/>
        <v>0.68746443324440998</v>
      </c>
      <c r="P61" s="403">
        <f ca="1"/>
        <v>0.78549636393508204</v>
      </c>
      <c r="Q61" s="403">
        <f ca="1"/>
        <v>0.87519747360819899</v>
      </c>
      <c r="R61" s="441">
        <f ca="1"/>
        <v>0.87519747360819899</v>
      </c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-3.73645936158759E-2</v>
      </c>
      <c r="U61" s="413">
        <f ca="1"/>
        <v>1.01347104891972E-2</v>
      </c>
      <c r="V61" s="413">
        <f ca="1"/>
        <v>4.7499304105073102E-2</v>
      </c>
      <c r="W61" s="414">
        <f ca="1"/>
        <v>2.13365451981743E-3</v>
      </c>
      <c r="X61" s="415">
        <f ca="1"/>
        <v>4.7499304105073099</v>
      </c>
      <c r="Y61" s="416">
        <f t="shared" ca="1" si="5"/>
        <v>9.8648926691713767E-2</v>
      </c>
      <c r="Z61" s="417">
        <f t="shared" ca="1" si="2"/>
        <v>-9.9977831209055543E-4</v>
      </c>
      <c r="AA61" s="416">
        <f t="shared" ca="1" si="0"/>
        <v>7.6124464572512665E-2</v>
      </c>
      <c r="AB61" s="418">
        <f t="shared" ca="1" si="1"/>
        <v>2.0269717938265585E-3</v>
      </c>
      <c r="AC61" s="417">
        <f t="shared" ca="1" si="3"/>
        <v>-3.8574970479378155E-5</v>
      </c>
      <c r="AD61" s="220"/>
      <c r="AE61" s="220">
        <f t="shared" ca="1" si="4"/>
        <v>3.1166384524504596E-3</v>
      </c>
    </row>
    <row r="62" spans="1:31" customFormat="1" ht="15">
      <c r="A62" s="220"/>
      <c r="B62" s="267">
        <v>24</v>
      </c>
      <c r="C62" s="68" t="s">
        <v>521</v>
      </c>
      <c r="D62" s="246">
        <f t="shared" ca="1" si="6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1.43123077770428E-4</v>
      </c>
      <c r="J62" s="403">
        <f ca="1"/>
        <v>4.5431894356194098E-4</v>
      </c>
      <c r="K62" s="403">
        <f ca="1"/>
        <v>0.31502775703851998</v>
      </c>
      <c r="L62" s="403">
        <f ca="1"/>
        <v>0.31502775703851998</v>
      </c>
      <c r="M62" s="403">
        <f ca="1"/>
        <v>-2.4579076151950698E-4</v>
      </c>
      <c r="N62" s="403" t="str">
        <f ca="1"/>
        <v>IMPERIAL BRANDS PLC</v>
      </c>
      <c r="O62" s="403">
        <f ca="1"/>
        <v>0.68414306171979999</v>
      </c>
      <c r="P62" s="403">
        <f ca="1"/>
        <v>0.75935769219944105</v>
      </c>
      <c r="Q62" s="403">
        <f ca="1"/>
        <v>0.90094966936887699</v>
      </c>
      <c r="R62" s="441">
        <f ca="1"/>
        <v>0.90094966936887699</v>
      </c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-9.8502023152009996E-3</v>
      </c>
      <c r="U62" s="413">
        <f ca="1"/>
        <v>3.6872940696785102E-2</v>
      </c>
      <c r="V62" s="413">
        <f ca="1"/>
        <v>4.6723143011986101E-2</v>
      </c>
      <c r="W62" s="414">
        <f ca="1"/>
        <v>7.8917937278589895E-3</v>
      </c>
      <c r="X62" s="415">
        <f ca="1"/>
        <v>4.6723143011986101</v>
      </c>
      <c r="Y62" s="416">
        <f t="shared" ca="1" si="5"/>
        <v>9.8648926691713767E-2</v>
      </c>
      <c r="Z62" s="417">
        <f t="shared" ca="1" si="2"/>
        <v>-3.6374760237050572E-3</v>
      </c>
      <c r="AA62" s="416">
        <f t="shared" ca="1" si="0"/>
        <v>0.10500925234617332</v>
      </c>
      <c r="AB62" s="418">
        <f t="shared" ca="1" si="1"/>
        <v>7.4972040414660393E-3</v>
      </c>
      <c r="AC62" s="417">
        <f t="shared" ca="1" si="3"/>
        <v>-1.935999967187096E-4</v>
      </c>
      <c r="AD62" s="220"/>
      <c r="AE62" s="220">
        <f t="shared" ca="1" si="4"/>
        <v>1.0563625905184244E-2</v>
      </c>
    </row>
    <row r="63" spans="1:31" customFormat="1" ht="15">
      <c r="A63" s="220"/>
      <c r="B63" s="267">
        <v>25</v>
      </c>
      <c r="C63" s="68" t="s">
        <v>537</v>
      </c>
      <c r="D63" s="246">
        <f t="shared" ca="1" si="6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1.2987783923536201E-4</v>
      </c>
      <c r="J63" s="403">
        <f ca="1"/>
        <v>4.77297619865029E-4</v>
      </c>
      <c r="K63" s="403">
        <f ca="1"/>
        <v>0.27211080430715101</v>
      </c>
      <c r="L63" s="403">
        <f ca="1"/>
        <v>0.27211080430715101</v>
      </c>
      <c r="M63" s="403">
        <f ca="1"/>
        <v>-1.4487074338500599E-4</v>
      </c>
      <c r="N63" s="403" t="str">
        <f ca="1"/>
        <v>KERING</v>
      </c>
      <c r="O63" s="403">
        <f ca="1"/>
        <v>0.68627479088175003</v>
      </c>
      <c r="P63" s="403">
        <f ca="1"/>
        <v>0.77489720919341798</v>
      </c>
      <c r="Q63" s="403">
        <f ca="1"/>
        <v>0.88563332367151804</v>
      </c>
      <c r="R63" s="441">
        <f ca="1"/>
        <v>0.88563332367151804</v>
      </c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-2.6207588624650498E-2</v>
      </c>
      <c r="U63" s="413">
        <f ca="1"/>
        <v>2.0974749213478899E-2</v>
      </c>
      <c r="V63" s="413">
        <f ca="1"/>
        <v>4.7182337838129397E-2</v>
      </c>
      <c r="W63" s="414">
        <f ca="1"/>
        <v>4.4454662855914397E-3</v>
      </c>
      <c r="X63" s="415">
        <f ca="1"/>
        <v>4.7182337838129396</v>
      </c>
      <c r="Y63" s="416">
        <f t="shared" ca="1" si="5"/>
        <v>9.8648926691713767E-2</v>
      </c>
      <c r="Z63" s="417">
        <f t="shared" ca="1" si="2"/>
        <v>-2.0691364975375663E-3</v>
      </c>
      <c r="AA63" s="416">
        <f t="shared" ca="1" si="0"/>
        <v>9.0703601435716999E-2</v>
      </c>
      <c r="AB63" s="418">
        <f t="shared" ca="1" si="1"/>
        <v>4.2231929713118675E-3</v>
      </c>
      <c r="AC63" s="417">
        <f t="shared" ca="1" si="3"/>
        <v>-9.5124264643675781E-5</v>
      </c>
      <c r="AD63" s="220"/>
      <c r="AE63" s="220">
        <f t="shared" ca="1" si="4"/>
        <v>6.1786218882621067E-3</v>
      </c>
    </row>
    <row r="64" spans="1:31" customFormat="1" ht="15">
      <c r="A64" s="220"/>
      <c r="B64" s="267">
        <v>26</v>
      </c>
      <c r="C64" s="68" t="s">
        <v>522</v>
      </c>
      <c r="D64" s="246">
        <f t="shared" ca="1" si="6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1.93584301674084E-4</v>
      </c>
      <c r="J64" s="403">
        <f ca="1"/>
        <v>4.1151067462850201E-4</v>
      </c>
      <c r="K64" s="403">
        <f ca="1"/>
        <v>0.47042352388269199</v>
      </c>
      <c r="L64" s="403">
        <f ca="1"/>
        <v>0.47042352388269199</v>
      </c>
      <c r="M64" s="403">
        <f ca="1"/>
        <v>-7.1731884489949498E-4</v>
      </c>
      <c r="N64" s="403" t="str">
        <f ca="1"/>
        <v>KONINKLIJKE AHOLD DELHAIZE N.V.</v>
      </c>
      <c r="O64" s="403">
        <f ca="1"/>
        <v>0.66340624708624996</v>
      </c>
      <c r="P64" s="403">
        <f ca="1"/>
        <v>0.65708525755277702</v>
      </c>
      <c r="Q64" s="403">
        <f ca="1"/>
        <v>1.0096197403013001</v>
      </c>
      <c r="R64" s="441">
        <f ca="1"/>
        <v>1.0096197403013001</v>
      </c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9.7804992049707606E-2</v>
      </c>
      <c r="U64" s="413">
        <f ca="1"/>
        <v>0.14341471906702799</v>
      </c>
      <c r="V64" s="413">
        <f ca="1"/>
        <v>4.5609727017320398E-2</v>
      </c>
      <c r="W64" s="414">
        <f ca="1"/>
        <v>3.1443888934605202E-2</v>
      </c>
      <c r="X64" s="415">
        <f ca="1"/>
        <v>4.5609727017320401</v>
      </c>
      <c r="Y64" s="416">
        <f t="shared" ca="1" si="5"/>
        <v>9.8648926691713767E-2</v>
      </c>
      <c r="Z64" s="417">
        <f t="shared" ca="1" si="2"/>
        <v>-1.4147708107756016E-2</v>
      </c>
      <c r="AA64" s="416">
        <f t="shared" ca="1" si="0"/>
        <v>0.15680784129423067</v>
      </c>
      <c r="AB64" s="418">
        <f t="shared" ca="1" si="1"/>
        <v>2.9871694487874939E-2</v>
      </c>
      <c r="AC64" s="417">
        <f t="shared" ca="1" si="3"/>
        <v>-1.1244276253359661E-3</v>
      </c>
      <c r="AD64" s="220"/>
      <c r="AE64" s="220">
        <f t="shared" ca="1" si="4"/>
        <v>4.3422914220592043E-3</v>
      </c>
    </row>
    <row r="65" spans="1:31" customFormat="1" ht="15">
      <c r="A65" s="220"/>
      <c r="B65" s="267">
        <v>27</v>
      </c>
      <c r="C65" s="68" t="s">
        <v>523</v>
      </c>
      <c r="D65" s="246">
        <f t="shared" ca="1" si="6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1.31247556961385E-4</v>
      </c>
      <c r="J65" s="403">
        <f ca="1"/>
        <v>4.64337624280375E-4</v>
      </c>
      <c r="K65" s="403">
        <f ca="1"/>
        <v>0.28265544314827201</v>
      </c>
      <c r="L65" s="403">
        <f ca="1"/>
        <v>0.28265544314827201</v>
      </c>
      <c r="M65" s="403">
        <f ca="1"/>
        <v>-1.6646248617889099E-4</v>
      </c>
      <c r="N65" s="403" t="str">
        <f ca="1"/>
        <v>KONINKLIJKE PHILIPS N.V.</v>
      </c>
      <c r="O65" s="403">
        <f ca="1"/>
        <v>0.68585811062449997</v>
      </c>
      <c r="P65" s="403">
        <f ca="1"/>
        <v>0.77167988806161203</v>
      </c>
      <c r="Q65" s="403">
        <f ca="1"/>
        <v>0.88878577922681301</v>
      </c>
      <c r="R65" s="441">
        <f ca="1"/>
        <v>0.88878577922681301</v>
      </c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-2.2820934801697199E-2</v>
      </c>
      <c r="U65" s="413">
        <f ca="1"/>
        <v>2.4253137589085899E-2</v>
      </c>
      <c r="V65" s="413">
        <f ca="1"/>
        <v>4.7074072390783102E-2</v>
      </c>
      <c r="W65" s="414">
        <f ca="1"/>
        <v>5.1521222527232602E-3</v>
      </c>
      <c r="X65" s="415">
        <f ca="1"/>
        <v>4.7074072390783099</v>
      </c>
      <c r="Y65" s="416">
        <f t="shared" ca="1" si="5"/>
        <v>9.8648926691713767E-2</v>
      </c>
      <c r="Z65" s="417">
        <f t="shared" ca="1" si="2"/>
        <v>-2.3925459920697851E-3</v>
      </c>
      <c r="AA65" s="416">
        <f t="shared" ca="1" si="0"/>
        <v>9.4218481049423999E-2</v>
      </c>
      <c r="AB65" s="418">
        <f t="shared" ca="1" si="1"/>
        <v>4.8945161400870971E-3</v>
      </c>
      <c r="AC65" s="417">
        <f t="shared" ca="1" si="3"/>
        <v>-1.1425468921631826E-4</v>
      </c>
      <c r="AD65" s="220"/>
      <c r="AE65" s="220">
        <f t="shared" ca="1" si="4"/>
        <v>7.3198640940557239E-3</v>
      </c>
    </row>
    <row r="66" spans="1:31" customFormat="1" ht="15">
      <c r="A66" s="220"/>
      <c r="B66" s="267">
        <v>28</v>
      </c>
      <c r="C66" s="68" t="s">
        <v>524</v>
      </c>
      <c r="D66" s="246">
        <f t="shared" ca="1" si="6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1.60601409280052E-4</v>
      </c>
      <c r="J66" s="403">
        <f ca="1"/>
        <v>4.5363554899141898E-4</v>
      </c>
      <c r="K66" s="403">
        <f ca="1"/>
        <v>0.354031798515618</v>
      </c>
      <c r="L66" s="403">
        <f ca="1"/>
        <v>0.354031798515618</v>
      </c>
      <c r="M66" s="403">
        <f ca="1"/>
        <v>-3.5987694032883598E-4</v>
      </c>
      <c r="N66" s="403" t="str">
        <f ca="1"/>
        <v>LOUIS DREYFUS COMPANY B.V.</v>
      </c>
      <c r="O66" s="403">
        <f ca="1"/>
        <v>0.68099427393020995</v>
      </c>
      <c r="P66" s="403">
        <f ca="1"/>
        <v>0.73998794364905796</v>
      </c>
      <c r="Q66" s="403">
        <f ca="1"/>
        <v>0.920277525836521</v>
      </c>
      <c r="R66" s="441">
        <f ca="1"/>
        <v>0.920277525836521</v>
      </c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1.05390066852018E-2</v>
      </c>
      <c r="U66" s="413">
        <f ca="1"/>
        <v>5.6708525391350198E-2</v>
      </c>
      <c r="V66" s="413">
        <f ca="1"/>
        <v>4.6169518706148403E-2</v>
      </c>
      <c r="W66" s="414">
        <f ca="1"/>
        <v>1.2282676315574901E-2</v>
      </c>
      <c r="X66" s="415">
        <f ca="1"/>
        <v>4.61695187061484</v>
      </c>
      <c r="Y66" s="416">
        <f t="shared" ca="1" si="5"/>
        <v>9.8648926691713767E-2</v>
      </c>
      <c r="Z66" s="417">
        <f t="shared" ca="1" si="2"/>
        <v>-5.5942351641264871E-3</v>
      </c>
      <c r="AA66" s="416">
        <f t="shared" ca="1" si="0"/>
        <v>0.118010599505206</v>
      </c>
      <c r="AB66" s="418">
        <f t="shared" ca="1" si="1"/>
        <v>1.1668542499796155E-2</v>
      </c>
      <c r="AC66" s="417">
        <f t="shared" ca="1" si="3"/>
        <v>-3.3461035392447181E-4</v>
      </c>
      <c r="AD66" s="220"/>
      <c r="AE66" s="220">
        <f t="shared" ca="1" si="4"/>
        <v>1.5681769526762465E-2</v>
      </c>
    </row>
    <row r="67" spans="1:31" customFormat="1" ht="15">
      <c r="A67" s="220"/>
      <c r="B67" s="267">
        <v>29</v>
      </c>
      <c r="C67" s="68" t="s">
        <v>538</v>
      </c>
      <c r="D67" s="246">
        <f t="shared" ca="1" si="6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1.21020463121608E-4</v>
      </c>
      <c r="J67" s="403">
        <f ca="1"/>
        <v>4.8236050587487398E-4</v>
      </c>
      <c r="K67" s="403">
        <f ca="1"/>
        <v>0.25089214736208298</v>
      </c>
      <c r="L67" s="403">
        <f ca="1"/>
        <v>0.25089214736208298</v>
      </c>
      <c r="M67" s="403">
        <f ca="1"/>
        <v>-1.05116799338649E-4</v>
      </c>
      <c r="N67" s="403" t="str">
        <f ca="1"/>
        <v>LVMH MOET HENNESSY LOUIS VUITTON</v>
      </c>
      <c r="O67" s="403">
        <f ca="1"/>
        <v>0.68696719984332</v>
      </c>
      <c r="P67" s="403">
        <f ca="1"/>
        <v>0.78067211029420303</v>
      </c>
      <c r="Q67" s="403">
        <f ca="1"/>
        <v>0.87996892777997504</v>
      </c>
      <c r="R67" s="441">
        <f ca="1"/>
        <v>0.87996892777997504</v>
      </c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-3.2286431888635198E-2</v>
      </c>
      <c r="U67" s="413">
        <f ca="1"/>
        <v>1.5085831691761401E-2</v>
      </c>
      <c r="V67" s="413">
        <f ca="1"/>
        <v>4.7372263580396597E-2</v>
      </c>
      <c r="W67" s="414">
        <f ca="1"/>
        <v>3.18452836144484E-3</v>
      </c>
      <c r="X67" s="415">
        <f ca="1"/>
        <v>4.7372263580396599</v>
      </c>
      <c r="Y67" s="416">
        <f t="shared" ca="1" si="5"/>
        <v>9.8648926691713767E-2</v>
      </c>
      <c r="Z67" s="417">
        <f t="shared" ca="1" si="2"/>
        <v>-1.4882011046440972E-3</v>
      </c>
      <c r="AA67" s="416">
        <f t="shared" ca="1" si="0"/>
        <v>8.363071578736099E-2</v>
      </c>
      <c r="AB67" s="418">
        <f t="shared" ca="1" si="1"/>
        <v>3.0253019433725977E-3</v>
      </c>
      <c r="AC67" s="417">
        <f t="shared" ca="1" si="3"/>
        <v>-6.3081945131482952E-5</v>
      </c>
      <c r="AD67" s="220"/>
      <c r="AE67" s="220">
        <f t="shared" ca="1" si="4"/>
        <v>4.2077718657642605E-3</v>
      </c>
    </row>
    <row r="68" spans="1:31" customFormat="1" ht="15">
      <c r="A68" s="220"/>
      <c r="B68" s="267">
        <v>30</v>
      </c>
      <c r="C68" s="68" t="s">
        <v>539</v>
      </c>
      <c r="D68" s="246">
        <f t="shared" ca="1" si="6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1.1801995945774501E-4</v>
      </c>
      <c r="J68" s="403">
        <f ca="1"/>
        <v>4.83379933058756E-4</v>
      </c>
      <c r="K68" s="403">
        <f ca="1"/>
        <v>0.24415568662714701</v>
      </c>
      <c r="L68" s="403">
        <f ca="1"/>
        <v>0.24415568662714701</v>
      </c>
      <c r="M68" s="403">
        <f ca="1"/>
        <v>-9.3929123306688605E-5</v>
      </c>
      <c r="N68" s="403" t="str">
        <f ca="1"/>
        <v>NESTLE S.A.</v>
      </c>
      <c r="O68" s="403">
        <f ca="1"/>
        <v>0.68710991875553995</v>
      </c>
      <c r="P68" s="403">
        <f ca="1"/>
        <v>0.78226172825186502</v>
      </c>
      <c r="Q68" s="403">
        <f ca="1"/>
        <v>0.87836320497365705</v>
      </c>
      <c r="R68" s="441">
        <f ca="1"/>
        <v>0.87836320497365705</v>
      </c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-3.3959713949331699E-2</v>
      </c>
      <c r="U68" s="413">
        <f ca="1"/>
        <v>1.3414311429827099E-2</v>
      </c>
      <c r="V68" s="413">
        <f ca="1"/>
        <v>4.7374025379158802E-2</v>
      </c>
      <c r="W68" s="414">
        <f ca="1"/>
        <v>2.8315751770016098E-3</v>
      </c>
      <c r="X68" s="415">
        <f ca="1"/>
        <v>4.7374025379158802</v>
      </c>
      <c r="Y68" s="416">
        <f t="shared" ca="1" si="5"/>
        <v>9.8648926691713767E-2</v>
      </c>
      <c r="Z68" s="417">
        <f t="shared" ca="1" si="2"/>
        <v>-1.323307424860825E-3</v>
      </c>
      <c r="AA68" s="416">
        <f t="shared" ca="1" si="0"/>
        <v>8.1385228875715671E-2</v>
      </c>
      <c r="AB68" s="418">
        <f t="shared" ca="1" si="1"/>
        <v>2.6899964181515291E-3</v>
      </c>
      <c r="AC68" s="417">
        <f t="shared" ca="1" si="3"/>
        <v>-5.4586340296330173E-5</v>
      </c>
      <c r="AD68" s="220"/>
      <c r="AE68" s="220">
        <f t="shared" ca="1" si="4"/>
        <v>4.5532900740234581E-3</v>
      </c>
    </row>
    <row r="69" spans="1:31" customFormat="1" ht="15">
      <c r="A69" s="220"/>
      <c r="B69" s="267">
        <v>31</v>
      </c>
      <c r="C69" s="68" t="s">
        <v>540</v>
      </c>
      <c r="D69" s="246">
        <f t="shared" ca="1" si="6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1.3331769325792799E-4</v>
      </c>
      <c r="J69" s="403">
        <f ca="1"/>
        <v>4.7510444934251498E-4</v>
      </c>
      <c r="K69" s="403">
        <f ca="1"/>
        <v>0.28060712427008999</v>
      </c>
      <c r="L69" s="403">
        <f ca="1"/>
        <v>0.28060712427008999</v>
      </c>
      <c r="M69" s="403">
        <f ca="1"/>
        <v>-1.6309171543377499E-4</v>
      </c>
      <c r="N69" s="403" t="str">
        <f ca="1"/>
        <v>NEXT PLC</v>
      </c>
      <c r="O69" s="403">
        <f ca="1"/>
        <v>0.68599279966947002</v>
      </c>
      <c r="P69" s="403">
        <f ca="1"/>
        <v>0.77220654272245703</v>
      </c>
      <c r="Q69" s="403">
        <f ca="1"/>
        <v>0.88835403705718996</v>
      </c>
      <c r="R69" s="441">
        <f ca="1"/>
        <v>0.88835403705718996</v>
      </c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-2.3375308128902698E-2</v>
      </c>
      <c r="U69" s="413">
        <f ca="1"/>
        <v>2.3810140274720799E-2</v>
      </c>
      <c r="V69" s="413">
        <f ca="1"/>
        <v>4.7185448403623501E-2</v>
      </c>
      <c r="W69" s="414">
        <f ca="1"/>
        <v>5.0460769326698598E-3</v>
      </c>
      <c r="X69" s="415">
        <f ca="1"/>
        <v>4.71854484036235</v>
      </c>
      <c r="Y69" s="416">
        <f t="shared" ca="1" si="5"/>
        <v>9.8648926691713767E-2</v>
      </c>
      <c r="Z69" s="417">
        <f t="shared" ca="1" si="2"/>
        <v>-2.3488447824803575E-3</v>
      </c>
      <c r="AA69" s="416">
        <f t="shared" ca="1" si="0"/>
        <v>9.3535708090029993E-2</v>
      </c>
      <c r="AB69" s="418">
        <f t="shared" ca="1" si="1"/>
        <v>4.7937730860363667E-3</v>
      </c>
      <c r="AC69" s="417">
        <f t="shared" ca="1" si="3"/>
        <v>-1.1135491651594779E-4</v>
      </c>
      <c r="AD69" s="220"/>
      <c r="AE69" s="220">
        <f t="shared" ca="1" si="4"/>
        <v>5.4822340652318658E-3</v>
      </c>
    </row>
    <row r="70" spans="1:31" customFormat="1" ht="15">
      <c r="A70" s="220"/>
      <c r="B70" s="267">
        <v>32</v>
      </c>
      <c r="C70" s="68" t="s">
        <v>525</v>
      </c>
      <c r="D70" s="246">
        <f t="shared" ca="1" si="6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1.2609152379124299E-4</v>
      </c>
      <c r="J70" s="403">
        <f ca="1"/>
        <v>4.7965258316612998E-4</v>
      </c>
      <c r="K70" s="403">
        <f ca="1"/>
        <v>0.26288094386759597</v>
      </c>
      <c r="L70" s="403">
        <f ca="1"/>
        <v>0.26288094386759597</v>
      </c>
      <c r="M70" s="403">
        <f ca="1"/>
        <v>-1.2665797543482901E-4</v>
      </c>
      <c r="N70" s="403" t="str">
        <f ca="1"/>
        <v>PERNOD RICARD</v>
      </c>
      <c r="O70" s="403">
        <f ca="1"/>
        <v>0.68660110874423996</v>
      </c>
      <c r="P70" s="403">
        <f ca="1"/>
        <v>0.77756537388604097</v>
      </c>
      <c r="Q70" s="403">
        <f ca="1"/>
        <v>0.88301399702614203</v>
      </c>
      <c r="R70" s="441">
        <f ca="1"/>
        <v>0.88301399702614203</v>
      </c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-2.90161830379378E-2</v>
      </c>
      <c r="U70" s="413">
        <f ca="1"/>
        <v>1.8250417697358402E-2</v>
      </c>
      <c r="V70" s="413">
        <f ca="1"/>
        <v>4.7266600735296198E-2</v>
      </c>
      <c r="W70" s="414">
        <f ca="1"/>
        <v>3.8611656885514001E-3</v>
      </c>
      <c r="X70" s="415">
        <f ca="1"/>
        <v>4.7266600735296196</v>
      </c>
      <c r="Y70" s="416">
        <f t="shared" ca="1" si="5"/>
        <v>9.8648926691713767E-2</v>
      </c>
      <c r="Z70" s="417">
        <f t="shared" ca="1" si="2"/>
        <v>-1.8003841175198649E-3</v>
      </c>
      <c r="AA70" s="416">
        <f t="shared" ca="1" si="0"/>
        <v>8.7626981289198658E-2</v>
      </c>
      <c r="AB70" s="418">
        <f t="shared" ca="1" si="1"/>
        <v>3.6681074041238298E-3</v>
      </c>
      <c r="AC70" s="417">
        <f t="shared" ca="1" si="3"/>
        <v>-7.9961450504324386E-5</v>
      </c>
      <c r="AD70" s="220"/>
      <c r="AE70" s="220">
        <f t="shared" ca="1" si="4"/>
        <v>5.3294347242950884E-3</v>
      </c>
    </row>
    <row r="71" spans="1:31" customFormat="1" ht="15">
      <c r="A71" s="220"/>
      <c r="B71" s="267">
        <v>33</v>
      </c>
      <c r="C71" s="68" t="s">
        <v>526</v>
      </c>
      <c r="D71" s="246">
        <f t="shared" ca="1" si="6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1.17303287640791E-4</v>
      </c>
      <c r="J71" s="403">
        <f ca="1"/>
        <v>4.8396526347716402E-4</v>
      </c>
      <c r="K71" s="403">
        <f ca="1"/>
        <v>0.242379560049408</v>
      </c>
      <c r="L71" s="403">
        <f ca="1"/>
        <v>0.242379560049408</v>
      </c>
      <c r="M71" s="403">
        <f ca="1"/>
        <v>-9.1228328809251895E-5</v>
      </c>
      <c r="N71" s="403" t="str">
        <f ca="1"/>
        <v>SODEXO</v>
      </c>
      <c r="O71" s="403">
        <f ca="1"/>
        <v>0.68717953135034004</v>
      </c>
      <c r="P71" s="403">
        <f ca="1"/>
        <v>0.78264719569420504</v>
      </c>
      <c r="Q71" s="403">
        <f ca="1"/>
        <v>0.87801954077253697</v>
      </c>
      <c r="R71" s="441">
        <f ca="1"/>
        <v>0.87801954077253697</v>
      </c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-3.4365469151794503E-2</v>
      </c>
      <c r="U71" s="413">
        <f ca="1"/>
        <v>1.3061124756397299E-2</v>
      </c>
      <c r="V71" s="413">
        <f ca="1"/>
        <v>4.7426593908191803E-2</v>
      </c>
      <c r="W71" s="414">
        <f ca="1"/>
        <v>2.7539664310873599E-3</v>
      </c>
      <c r="X71" s="415">
        <f ca="1"/>
        <v>4.7426593908191803</v>
      </c>
      <c r="Y71" s="416">
        <f t="shared" ca="1" si="5"/>
        <v>9.8648926691713767E-2</v>
      </c>
      <c r="Z71" s="417">
        <f t="shared" ca="1" si="2"/>
        <v>-1.2884659386051601E-3</v>
      </c>
      <c r="AA71" s="416">
        <f t="shared" ca="1" si="0"/>
        <v>8.0793186683135995E-2</v>
      </c>
      <c r="AB71" s="418">
        <f t="shared" ca="1" si="1"/>
        <v>2.6162681095329918E-3</v>
      </c>
      <c r="AC71" s="417">
        <f t="shared" ca="1" si="3"/>
        <v>-5.2762494536766648E-5</v>
      </c>
      <c r="AD71" s="220"/>
      <c r="AE71" s="220">
        <f t="shared" ca="1" si="4"/>
        <v>3.720477792855087E-3</v>
      </c>
    </row>
    <row r="72" spans="1:31" customFormat="1" ht="15">
      <c r="A72" s="220"/>
      <c r="B72" s="267">
        <v>34</v>
      </c>
      <c r="C72" s="68" t="s">
        <v>527</v>
      </c>
      <c r="D72" s="246">
        <f t="shared" ca="1" si="6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1.4084800650132401E-4</v>
      </c>
      <c r="J72" s="403">
        <f ca="1"/>
        <v>4.5651512055547202E-4</v>
      </c>
      <c r="K72" s="403">
        <f ca="1"/>
        <v>0.30852867771377401</v>
      </c>
      <c r="L72" s="403">
        <f ca="1"/>
        <v>0.30852867771377401</v>
      </c>
      <c r="M72" s="403">
        <f ca="1"/>
        <v>-2.2872622134244999E-4</v>
      </c>
      <c r="N72" s="403" t="str">
        <f ca="1"/>
        <v>SUEDZUCKER AG</v>
      </c>
      <c r="O72" s="403">
        <f ca="1"/>
        <v>0.68456206131468</v>
      </c>
      <c r="P72" s="403">
        <f ca="1"/>
        <v>0.76209053749842603</v>
      </c>
      <c r="Q72" s="403">
        <f ca="1"/>
        <v>0.89826868020401596</v>
      </c>
      <c r="R72" s="441">
        <f ca="1"/>
        <v>0.89826868020401596</v>
      </c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-1.27268815772903E-2</v>
      </c>
      <c r="U72" s="413">
        <f ca="1"/>
        <v>3.40988275702385E-2</v>
      </c>
      <c r="V72" s="413">
        <f ca="1"/>
        <v>4.6825709147528802E-2</v>
      </c>
      <c r="W72" s="414">
        <f ca="1"/>
        <v>7.2820739271255699E-3</v>
      </c>
      <c r="X72" s="415">
        <f ca="1"/>
        <v>4.6825709147528798</v>
      </c>
      <c r="Y72" s="416">
        <f t="shared" ca="1" si="5"/>
        <v>9.8648926691713767E-2</v>
      </c>
      <c r="Z72" s="417">
        <f t="shared" ca="1" si="2"/>
        <v>-3.3638127412498435E-3</v>
      </c>
      <c r="AA72" s="416">
        <f t="shared" ca="1" si="0"/>
        <v>0.102842892571258</v>
      </c>
      <c r="AB72" s="418">
        <f t="shared" ca="1" si="1"/>
        <v>6.9179702307692907E-3</v>
      </c>
      <c r="AC72" s="417">
        <f t="shared" ca="1" si="3"/>
        <v>-1.7534110303059466E-4</v>
      </c>
      <c r="AD72" s="220"/>
      <c r="AE72" s="220">
        <f t="shared" ca="1" si="4"/>
        <v>9.407550349583774E-3</v>
      </c>
    </row>
    <row r="73" spans="1:31" customFormat="1" ht="15">
      <c r="A73" s="220"/>
      <c r="B73" s="267">
        <v>35</v>
      </c>
      <c r="C73" s="68" t="s">
        <v>541</v>
      </c>
      <c r="D73" s="246">
        <f t="shared" ca="1" si="6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1.3272244269158E-4</v>
      </c>
      <c r="J73" s="403">
        <f ca="1"/>
        <v>4.63257693255563E-4</v>
      </c>
      <c r="K73" s="403">
        <f ca="1"/>
        <v>0.28649808653768399</v>
      </c>
      <c r="L73" s="403">
        <f ca="1"/>
        <v>0.28649808653768399</v>
      </c>
      <c r="M73" s="403">
        <f ca="1"/>
        <v>-1.7511788350305801E-4</v>
      </c>
      <c r="N73" s="403" t="str">
        <f ca="1"/>
        <v>TESCO PLC</v>
      </c>
      <c r="O73" s="403">
        <f ca="1"/>
        <v>0.68570691054145005</v>
      </c>
      <c r="P73" s="403">
        <f ca="1"/>
        <v>0.77038310384267905</v>
      </c>
      <c r="Q73" s="403">
        <f ca="1"/>
        <v>0.89008560431963901</v>
      </c>
      <c r="R73" s="441">
        <f ca="1"/>
        <v>0.89008560431963901</v>
      </c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-2.14558987817677E-2</v>
      </c>
      <c r="U73" s="413">
        <f ca="1"/>
        <v>2.5605720424987499E-2</v>
      </c>
      <c r="V73" s="413">
        <f ca="1"/>
        <v>4.7061619206755202E-2</v>
      </c>
      <c r="W73" s="414">
        <f ca="1"/>
        <v>5.4408923569956701E-3</v>
      </c>
      <c r="X73" s="415">
        <f ca="1"/>
        <v>4.7061619206755196</v>
      </c>
      <c r="Y73" s="416">
        <f t="shared" ca="1" si="5"/>
        <v>9.8648926691713767E-2</v>
      </c>
      <c r="Z73" s="417">
        <f t="shared" ca="1" si="2"/>
        <v>-2.5259768370931098E-3</v>
      </c>
      <c r="AA73" s="416">
        <f t="shared" ca="1" si="0"/>
        <v>9.5499362179227998E-2</v>
      </c>
      <c r="AB73" s="418">
        <f t="shared" ca="1" si="1"/>
        <v>5.1688477391458867E-3</v>
      </c>
      <c r="AC73" s="417">
        <f t="shared" ca="1" si="3"/>
        <v>-1.2226649843629679E-4</v>
      </c>
      <c r="AD73" s="220"/>
      <c r="AE73" s="220">
        <f t="shared" ca="1" si="4"/>
        <v>7.2298411976667986E-3</v>
      </c>
    </row>
    <row r="74" spans="1:31" customFormat="1" ht="15">
      <c r="A74" s="220"/>
      <c r="B74" s="267">
        <v>36</v>
      </c>
      <c r="C74" s="68" t="s">
        <v>528</v>
      </c>
      <c r="D74" s="246">
        <f t="shared" ca="1" si="6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1.17107658609541E-4</v>
      </c>
      <c r="J74" s="403">
        <f ca="1"/>
        <v>4.8380686773139399E-4</v>
      </c>
      <c r="K74" s="403">
        <f ca="1"/>
        <v>0.242054560239435</v>
      </c>
      <c r="L74" s="403">
        <f ca="1"/>
        <v>0.242054560239435</v>
      </c>
      <c r="M74" s="403">
        <f ca="1"/>
        <v>-9.0637903407588802E-5</v>
      </c>
      <c r="N74" s="403" t="str">
        <f ca="1"/>
        <v>UNILEVER PLC</v>
      </c>
      <c r="O74" s="403">
        <f ca="1"/>
        <v>0.6871650532568</v>
      </c>
      <c r="P74" s="403">
        <f ca="1"/>
        <v>0.78272910226113901</v>
      </c>
      <c r="Q74" s="403">
        <f ca="1"/>
        <v>0.87790916585537104</v>
      </c>
      <c r="R74" s="441">
        <f ca="1"/>
        <v>0.87790916585537104</v>
      </c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-3.4451686590672298E-2</v>
      </c>
      <c r="U74" s="413">
        <f ca="1"/>
        <v>1.29435351665424E-2</v>
      </c>
      <c r="V74" s="413">
        <f ca="1"/>
        <v>4.7395221757214702E-2</v>
      </c>
      <c r="W74" s="414">
        <f ca="1"/>
        <v>2.7309789229063102E-3</v>
      </c>
      <c r="X74" s="415">
        <f ca="1"/>
        <v>4.7395221757214703</v>
      </c>
      <c r="Y74" s="416">
        <f t="shared" ca="1" si="5"/>
        <v>9.8648926691713767E-2</v>
      </c>
      <c r="Z74" s="417">
        <f t="shared" ca="1" si="2"/>
        <v>-1.2768658517758596E-3</v>
      </c>
      <c r="AA74" s="416">
        <f t="shared" ca="1" si="0"/>
        <v>8.0684853413145005E-2</v>
      </c>
      <c r="AB74" s="418">
        <f t="shared" ca="1" si="1"/>
        <v>2.5944299767609947E-3</v>
      </c>
      <c r="AC74" s="417">
        <f t="shared" ca="1" si="3"/>
        <v>-5.2217361878018028E-5</v>
      </c>
      <c r="AD74" s="220"/>
      <c r="AE74" s="220">
        <f t="shared" ca="1" si="4"/>
        <v>4.2912701453375109E-3</v>
      </c>
    </row>
    <row r="75" spans="1:31" customFormat="1" ht="15">
      <c r="A75" s="220"/>
      <c r="B75" s="267">
        <v>37</v>
      </c>
      <c r="C75" s="68" t="s">
        <v>542</v>
      </c>
      <c r="D75" s="246">
        <f t="shared" ca="1" si="6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1.35100534811942E-4</v>
      </c>
      <c r="J75" s="403">
        <f ca="1"/>
        <v>4.73511422023144E-4</v>
      </c>
      <c r="K75" s="403">
        <f ca="1"/>
        <v>0.285316316625914</v>
      </c>
      <c r="L75" s="403">
        <f ca="1"/>
        <v>0.285316316625914</v>
      </c>
      <c r="M75" s="403">
        <f ca="1"/>
        <v>-1.7336878080600901E-4</v>
      </c>
      <c r="N75" s="403" t="str">
        <f ca="1"/>
        <v>BP P.L.C.</v>
      </c>
      <c r="O75" s="403">
        <f ca="1"/>
        <v>0.68575533991257998</v>
      </c>
      <c r="P75" s="403">
        <f ca="1"/>
        <v>0.77065234473862798</v>
      </c>
      <c r="Q75" s="403">
        <f ca="1"/>
        <v>0.88983747936971302</v>
      </c>
      <c r="R75" s="441">
        <f ca="1"/>
        <v>0.88983747936971302</v>
      </c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-2.17393102511876E-2</v>
      </c>
      <c r="U75" s="413">
        <f ca="1"/>
        <v>2.53487396001956E-2</v>
      </c>
      <c r="V75" s="413">
        <f ca="1"/>
        <v>4.70880498513832E-2</v>
      </c>
      <c r="W75" s="414">
        <f ca="1"/>
        <v>5.3832638387446398E-3</v>
      </c>
      <c r="X75" s="415">
        <f ca="1"/>
        <v>4.70880498513832</v>
      </c>
      <c r="Y75" s="416">
        <f t="shared" ca="1" si="5"/>
        <v>9.8648926691713767E-2</v>
      </c>
      <c r="Z75" s="417">
        <f t="shared" ca="1" si="2"/>
        <v>-2.5006259545470384E-3</v>
      </c>
      <c r="AA75" s="416">
        <f t="shared" ca="1" si="0"/>
        <v>9.5105438875304663E-2</v>
      </c>
      <c r="AB75" s="418">
        <f t="shared" ca="1" si="1"/>
        <v>5.1141006468074079E-3</v>
      </c>
      <c r="AC75" s="417">
        <f t="shared" ca="1" si="3"/>
        <v>-1.2054015023062089E-4</v>
      </c>
      <c r="AD75" s="220"/>
      <c r="AE75" s="220">
        <f t="shared" ca="1" si="4"/>
        <v>6.8280436839071494E-3</v>
      </c>
    </row>
    <row r="76" spans="1:31" customFormat="1" ht="15">
      <c r="A76" s="220"/>
      <c r="B76" s="267">
        <v>38</v>
      </c>
      <c r="C76" s="68" t="s">
        <v>543</v>
      </c>
      <c r="D76" s="246">
        <f t="shared" ca="1" si="6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1.3809974298777399E-4</v>
      </c>
      <c r="J76" s="403">
        <f ca="1"/>
        <v>4.5897458406683002E-4</v>
      </c>
      <c r="K76" s="403">
        <f ca="1"/>
        <v>0.30088756062289002</v>
      </c>
      <c r="L76" s="403">
        <f ca="1"/>
        <v>0.30088756062289002</v>
      </c>
      <c r="M76" s="403">
        <f ca="1"/>
        <v>-2.0937308756115299E-4</v>
      </c>
      <c r="N76" s="403" t="str">
        <f ca="1"/>
        <v>CENTRICA PLC</v>
      </c>
      <c r="O76" s="403">
        <f ca="1"/>
        <v>0.68500517417035001</v>
      </c>
      <c r="P76" s="403">
        <f ca="1"/>
        <v>0.76513346129672699</v>
      </c>
      <c r="Q76" s="403">
        <f ca="1"/>
        <v>0.89527541118045195</v>
      </c>
      <c r="R76" s="441">
        <f ca="1"/>
        <v>0.89527541118045195</v>
      </c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-1.5929959259713099E-2</v>
      </c>
      <c r="U76" s="413">
        <f ca="1"/>
        <v>3.0996406779208601E-2</v>
      </c>
      <c r="V76" s="413">
        <f ca="1"/>
        <v>4.6926366038921703E-2</v>
      </c>
      <c r="W76" s="414">
        <f ca="1"/>
        <v>6.60532860215504E-3</v>
      </c>
      <c r="X76" s="415">
        <f ca="1"/>
        <v>4.6926366038921703</v>
      </c>
      <c r="Y76" s="416">
        <f t="shared" ca="1" si="5"/>
        <v>9.8648926691713767E-2</v>
      </c>
      <c r="Z76" s="417">
        <f t="shared" ca="1" si="2"/>
        <v>-3.0577622600686935E-3</v>
      </c>
      <c r="AA76" s="416">
        <f t="shared" ca="1" si="0"/>
        <v>0.10029585354096333</v>
      </c>
      <c r="AB76" s="418">
        <f t="shared" ca="1" si="1"/>
        <v>6.2750621720472875E-3</v>
      </c>
      <c r="AC76" s="417">
        <f t="shared" ca="1" si="3"/>
        <v>-1.5544055373118185E-4</v>
      </c>
      <c r="AD76" s="220"/>
      <c r="AE76" s="220">
        <f t="shared" ca="1" si="4"/>
        <v>8.3599640368187504E-3</v>
      </c>
    </row>
    <row r="77" spans="1:31" customFormat="1" ht="15">
      <c r="A77" s="220"/>
      <c r="B77" s="267">
        <v>39</v>
      </c>
      <c r="C77" s="68" t="s">
        <v>544</v>
      </c>
      <c r="D77" s="246">
        <f t="shared" ca="1" si="6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1.2818091613262599E-4</v>
      </c>
      <c r="J77" s="403">
        <f ca="1"/>
        <v>4.7844084763460699E-4</v>
      </c>
      <c r="K77" s="403">
        <f ca="1"/>
        <v>0.26791382208761499</v>
      </c>
      <c r="L77" s="403">
        <f ca="1"/>
        <v>0.26791382208761499</v>
      </c>
      <c r="M77" s="403">
        <f ca="1"/>
        <v>-1.36436888842972E-4</v>
      </c>
      <c r="N77" s="403" t="str">
        <f ca="1"/>
        <v>E.ON SE</v>
      </c>
      <c r="O77" s="403">
        <f ca="1"/>
        <v>0.68643447271022995</v>
      </c>
      <c r="P77" s="403">
        <f ca="1"/>
        <v>0.776139327324055</v>
      </c>
      <c r="Q77" s="403">
        <f ca="1"/>
        <v>0.88442171211307397</v>
      </c>
      <c r="R77" s="441">
        <f ca="1"/>
        <v>0.88442171211307397</v>
      </c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-2.75150813937419E-2</v>
      </c>
      <c r="U77" s="413">
        <f ca="1"/>
        <v>1.97150378855293E-2</v>
      </c>
      <c r="V77" s="413">
        <f ca="1"/>
        <v>4.7230119279271197E-2</v>
      </c>
      <c r="W77" s="414">
        <f ca="1"/>
        <v>4.1742511317734501E-3</v>
      </c>
      <c r="X77" s="415">
        <f ca="1"/>
        <v>4.7230119279271197</v>
      </c>
      <c r="Y77" s="416">
        <f t="shared" ca="1" si="5"/>
        <v>9.8648926691713767E-2</v>
      </c>
      <c r="Z77" s="417">
        <f t="shared" ca="1" si="2"/>
        <v>-1.944867327093938E-3</v>
      </c>
      <c r="AA77" s="416">
        <f t="shared" ca="1" si="0"/>
        <v>8.9304607362538327E-2</v>
      </c>
      <c r="AB77" s="418">
        <f t="shared" ca="1" si="1"/>
        <v>3.9655385751847776E-3</v>
      </c>
      <c r="AC77" s="417">
        <f t="shared" ca="1" si="3"/>
        <v>-8.8032185875238026E-5</v>
      </c>
      <c r="AD77" s="220"/>
      <c r="AE77" s="220">
        <f t="shared" ca="1" si="4"/>
        <v>5.6326820328653406E-3</v>
      </c>
    </row>
    <row r="78" spans="1:31" customFormat="1" ht="15">
      <c r="A78" s="220"/>
      <c r="B78" s="267">
        <v>40</v>
      </c>
      <c r="C78" s="68" t="s">
        <v>560</v>
      </c>
      <c r="D78" s="246">
        <f t="shared" ca="1" si="6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1.3741828527359101E-4</v>
      </c>
      <c r="J78" s="403">
        <f ca="1"/>
        <v>4.5964182483914398E-4</v>
      </c>
      <c r="K78" s="403">
        <f ca="1"/>
        <v>0.29896819185608697</v>
      </c>
      <c r="L78" s="403">
        <f ca="1"/>
        <v>0.29896819185608697</v>
      </c>
      <c r="M78" s="403">
        <f ca="1"/>
        <v>-2.0454790458291299E-4</v>
      </c>
      <c r="N78" s="403" t="str">
        <f ca="1"/>
        <v>EDP - ENERGIAS DE PORTUGAL S.A.</v>
      </c>
      <c r="O78" s="403">
        <f ca="1"/>
        <v>0.68504976245810001</v>
      </c>
      <c r="P78" s="403">
        <f ca="1"/>
        <v>0.76585397978467795</v>
      </c>
      <c r="Q78" s="403">
        <f ca="1"/>
        <v>0.89449135284340198</v>
      </c>
      <c r="R78" s="441">
        <f ca="1"/>
        <v>0.89449135284340198</v>
      </c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-1.6688399773344902E-2</v>
      </c>
      <c r="U78" s="413">
        <f ca="1"/>
        <v>3.01806238287795E-2</v>
      </c>
      <c r="V78" s="413">
        <f ca="1"/>
        <v>4.6869023602124402E-2</v>
      </c>
      <c r="W78" s="414">
        <f ca="1"/>
        <v>6.43935407850303E-3</v>
      </c>
      <c r="X78" s="415">
        <f ca="1"/>
        <v>4.6869023602124402</v>
      </c>
      <c r="Y78" s="416">
        <f t="shared" ca="1" si="5"/>
        <v>9.8648926691713767E-2</v>
      </c>
      <c r="Z78" s="417">
        <f t="shared" ca="1" si="2"/>
        <v>-2.9772861475954541E-3</v>
      </c>
      <c r="AA78" s="416">
        <f t="shared" ca="1" si="0"/>
        <v>9.9656063952028986E-2</v>
      </c>
      <c r="AB78" s="418">
        <f t="shared" ca="1" si="1"/>
        <v>6.1173863745778781E-3</v>
      </c>
      <c r="AC78" s="417">
        <f t="shared" ca="1" si="3"/>
        <v>-1.5038410891964895E-4</v>
      </c>
      <c r="AD78" s="220"/>
      <c r="AE78" s="220">
        <f t="shared" ca="1" si="4"/>
        <v>9.5455635873525815E-3</v>
      </c>
    </row>
    <row r="79" spans="1:31" customFormat="1" ht="15">
      <c r="A79" s="220"/>
      <c r="B79" s="267">
        <v>41</v>
      </c>
      <c r="C79" s="68" t="s">
        <v>545</v>
      </c>
      <c r="D79" s="246">
        <f t="shared" ca="1" si="6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1.3936172379746601E-4</v>
      </c>
      <c r="J79" s="403">
        <f ca="1"/>
        <v>4.57917434070569E-4</v>
      </c>
      <c r="K79" s="403">
        <f ca="1"/>
        <v>0.30433810427053798</v>
      </c>
      <c r="L79" s="403">
        <f ca="1"/>
        <v>0.30433810427053798</v>
      </c>
      <c r="M79" s="403">
        <f ca="1"/>
        <v>-2.1796529840576901E-4</v>
      </c>
      <c r="N79" s="403" t="str">
        <f ca="1"/>
        <v>ELECTRICITE DE FRANCE</v>
      </c>
      <c r="O79" s="403">
        <f ca="1"/>
        <v>0.68478054646741005</v>
      </c>
      <c r="P79" s="403">
        <f ca="1"/>
        <v>0.76377398615629</v>
      </c>
      <c r="Q79" s="403">
        <f ca="1"/>
        <v>0.89657484920844699</v>
      </c>
      <c r="R79" s="441">
        <f ca="1"/>
        <v>0.89657484920844699</v>
      </c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-1.4498932796095E-2</v>
      </c>
      <c r="U79" s="413">
        <f ca="1"/>
        <v>3.2342636623673301E-2</v>
      </c>
      <c r="V79" s="413">
        <f ca="1"/>
        <v>4.6841569419768303E-2</v>
      </c>
      <c r="W79" s="414">
        <f ca="1"/>
        <v>6.90468680368849E-3</v>
      </c>
      <c r="X79" s="415">
        <f ca="1"/>
        <v>4.6841569419768296</v>
      </c>
      <c r="Y79" s="416">
        <f t="shared" ca="1" si="5"/>
        <v>9.8648926691713767E-2</v>
      </c>
      <c r="Z79" s="417">
        <f t="shared" ca="1" si="2"/>
        <v>-3.1905663893054791E-3</v>
      </c>
      <c r="AA79" s="416">
        <f t="shared" ca="1" si="0"/>
        <v>0.10144603475684599</v>
      </c>
      <c r="AB79" s="418">
        <f t="shared" ca="1" si="1"/>
        <v>6.5594524635040653E-3</v>
      </c>
      <c r="AC79" s="417">
        <f t="shared" ca="1" si="3"/>
        <v>-1.6405161195265992E-4</v>
      </c>
      <c r="AD79" s="220"/>
      <c r="AE79" s="220">
        <f t="shared" ca="1" si="4"/>
        <v>9.5317636251238472E-3</v>
      </c>
    </row>
    <row r="80" spans="1:31" customFormat="1" ht="15">
      <c r="A80" s="220"/>
      <c r="B80" s="267">
        <v>42</v>
      </c>
      <c r="C80" s="68" t="s">
        <v>546</v>
      </c>
      <c r="D80" s="246">
        <f t="shared" ca="1" si="6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1.3758366994066399E-4</v>
      </c>
      <c r="J80" s="403">
        <f ca="1"/>
        <v>4.5937791542776199E-4</v>
      </c>
      <c r="K80" s="403">
        <f ca="1"/>
        <v>0.29949996575814802</v>
      </c>
      <c r="L80" s="403">
        <f ca="1"/>
        <v>0.29949996575814802</v>
      </c>
      <c r="M80" s="403">
        <f ca="1"/>
        <v>-2.06000944087786E-4</v>
      </c>
      <c r="N80" s="403" t="str">
        <f ca="1"/>
        <v>ENEL S.P.A.</v>
      </c>
      <c r="O80" s="403">
        <f ca="1"/>
        <v>0.68509951553373005</v>
      </c>
      <c r="P80" s="403">
        <f ca="1"/>
        <v>0.76566619537465996</v>
      </c>
      <c r="Q80" s="403">
        <f ca="1"/>
        <v>0.89477571253944899</v>
      </c>
      <c r="R80" s="441">
        <f ca="1"/>
        <v>0.89477571253944899</v>
      </c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-1.6490731973326199E-2</v>
      </c>
      <c r="U80" s="413">
        <f ca="1"/>
        <v>3.0479295043353501E-2</v>
      </c>
      <c r="V80" s="413">
        <f ca="1"/>
        <v>4.6970027016679697E-2</v>
      </c>
      <c r="W80" s="414">
        <f ca="1"/>
        <v>6.4890946374226797E-3</v>
      </c>
      <c r="X80" s="415">
        <f ca="1"/>
        <v>4.6970027016679703</v>
      </c>
      <c r="Y80" s="416">
        <f t="shared" ref="Y80:Y143" ca="1" si="7">IF($U$12,IF(T80="","",$U$13*D104/$C$18),"")</f>
        <v>9.8648926691713767E-2</v>
      </c>
      <c r="Z80" s="417">
        <f t="shared" ref="Z80:Z143" ca="1" si="8">IF($U$12,IF(Y80="","",Y80*($Z$10-W80)*X80),"")</f>
        <v>-3.0067497423468905E-3</v>
      </c>
      <c r="AA80" s="416">
        <f t="shared" ref="AA80:AA143" ca="1" si="9">IF($U$12,IF(OR(T80="",L80=""),"",L80/($C$20-$C$19)),"")</f>
        <v>9.983332191938267E-2</v>
      </c>
      <c r="AB80" s="418">
        <f t="shared" ref="AB80:AB143" ca="1" si="10">IF($U$12,IF(W80="","",W80*$AC$10),"")</f>
        <v>6.1646399055515456E-3</v>
      </c>
      <c r="AC80" s="417">
        <f t="shared" ref="AC80:AC143" ca="1" si="11">IF($U$12,IF(AA80="","",AA80*(AB80-W80)*X80),"")</f>
        <v>-1.5214246369694759E-4</v>
      </c>
      <c r="AD80" s="220"/>
      <c r="AE80" s="220">
        <f t="shared" ref="AE80:AE109" ca="1" si="12">X80*W80</f>
        <v>7.7167346514629082E-3</v>
      </c>
    </row>
    <row r="81" spans="1:31" customFormat="1" ht="15">
      <c r="A81" s="220"/>
      <c r="B81" s="267">
        <v>43</v>
      </c>
      <c r="C81" s="68" t="s">
        <v>561</v>
      </c>
      <c r="D81" s="246">
        <f t="shared" ca="1" si="6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1.3127624391166601E-4</v>
      </c>
      <c r="J81" s="403">
        <f ca="1"/>
        <v>4.7640119426163298E-4</v>
      </c>
      <c r="K81" s="403">
        <f ca="1"/>
        <v>0.27555817553129602</v>
      </c>
      <c r="L81" s="403">
        <f ca="1"/>
        <v>0.27555817553129602</v>
      </c>
      <c r="M81" s="403">
        <f ca="1"/>
        <v>-1.5205743592375099E-4</v>
      </c>
      <c r="N81" s="403" t="str">
        <f ca="1"/>
        <v>ENGIE</v>
      </c>
      <c r="O81" s="403">
        <f ca="1"/>
        <v>0.68615200009911004</v>
      </c>
      <c r="P81" s="403">
        <f ca="1"/>
        <v>0.77383707391183498</v>
      </c>
      <c r="Q81" s="403">
        <f ca="1"/>
        <v>0.88668793888425801</v>
      </c>
      <c r="R81" s="441">
        <f ca="1"/>
        <v>0.88668793888425801</v>
      </c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-2.5091656749299401E-2</v>
      </c>
      <c r="U81" s="413">
        <f ca="1"/>
        <v>2.20725428051631E-2</v>
      </c>
      <c r="V81" s="413">
        <f ca="1"/>
        <v>4.7164199554462501E-2</v>
      </c>
      <c r="W81" s="414">
        <f ca="1"/>
        <v>4.6799358440664197E-3</v>
      </c>
      <c r="X81" s="415">
        <f ca="1"/>
        <v>4.7164199554462503</v>
      </c>
      <c r="Y81" s="416">
        <f t="shared" ca="1" si="7"/>
        <v>9.8648926691713767E-2</v>
      </c>
      <c r="Z81" s="417">
        <f t="shared" ca="1" si="8"/>
        <v>-2.1774326570862439E-3</v>
      </c>
      <c r="AA81" s="416">
        <f t="shared" ca="1" si="9"/>
        <v>9.1852725177098679E-2</v>
      </c>
      <c r="AB81" s="418">
        <f t="shared" ca="1" si="10"/>
        <v>4.4459390518630983E-3</v>
      </c>
      <c r="AC81" s="417">
        <f t="shared" ca="1" si="11"/>
        <v>-1.013711604121196E-4</v>
      </c>
      <c r="AD81" s="220"/>
      <c r="AE81" s="220">
        <f t="shared" ca="1" si="12"/>
        <v>6.2456750723365578E-3</v>
      </c>
    </row>
    <row r="82" spans="1:31" customFormat="1" ht="15">
      <c r="A82" s="220"/>
      <c r="B82" s="267">
        <v>44</v>
      </c>
      <c r="C82" s="68" t="s">
        <v>547</v>
      </c>
      <c r="D82" s="246">
        <f t="shared" ca="1" si="6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1.3481879087723499E-4</v>
      </c>
      <c r="J82" s="403">
        <f ca="1"/>
        <v>4.61700891152811E-4</v>
      </c>
      <c r="K82" s="403">
        <f ca="1"/>
        <v>0.29200461480723799</v>
      </c>
      <c r="L82" s="403">
        <f ca="1"/>
        <v>0.29200461480723799</v>
      </c>
      <c r="M82" s="403">
        <f ca="1"/>
        <v>-1.8782998023330499E-4</v>
      </c>
      <c r="N82" s="403" t="str">
        <f ca="1"/>
        <v>ENI S.P.A.</v>
      </c>
      <c r="O82" s="403">
        <f ca="1"/>
        <v>0.68543684680216999</v>
      </c>
      <c r="P82" s="403">
        <f ca="1"/>
        <v>0.76844529312681698</v>
      </c>
      <c r="Q82" s="403">
        <f ca="1"/>
        <v>0.89197871720069499</v>
      </c>
      <c r="R82" s="441">
        <f ca="1"/>
        <v>0.89197871720069499</v>
      </c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-1.9416098028228301E-2</v>
      </c>
      <c r="U82" s="413">
        <f ca="1"/>
        <v>2.7572448162317999E-2</v>
      </c>
      <c r="V82" s="413">
        <f ca="1"/>
        <v>4.69885461905463E-2</v>
      </c>
      <c r="W82" s="414">
        <f ca="1"/>
        <v>5.8679083303635696E-3</v>
      </c>
      <c r="X82" s="415">
        <f ca="1"/>
        <v>4.6988546190546296</v>
      </c>
      <c r="Y82" s="416">
        <f t="shared" ca="1" si="7"/>
        <v>9.8648926691713767E-2</v>
      </c>
      <c r="Z82" s="417">
        <f t="shared" ca="1" si="8"/>
        <v>-2.7199924174755863E-3</v>
      </c>
      <c r="AA82" s="416">
        <f t="shared" ca="1" si="9"/>
        <v>9.7334871602412665E-2</v>
      </c>
      <c r="AB82" s="418">
        <f t="shared" ca="1" si="10"/>
        <v>5.5745129138453911E-3</v>
      </c>
      <c r="AC82" s="417">
        <f t="shared" ca="1" si="11"/>
        <v>-1.3418803508217012E-4</v>
      </c>
      <c r="AD82" s="220"/>
      <c r="AE82" s="220">
        <f t="shared" ca="1" si="12"/>
        <v>8.0557223684549831E-3</v>
      </c>
    </row>
    <row r="83" spans="1:31" customFormat="1" ht="15">
      <c r="A83" s="220"/>
      <c r="B83" s="267">
        <v>45</v>
      </c>
      <c r="C83" s="68" t="s">
        <v>614</v>
      </c>
      <c r="D83" s="246">
        <f t="shared" ca="1" si="6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1.18527512231687E-4</v>
      </c>
      <c r="J83" s="403">
        <f ca="1"/>
        <v>4.8335585900506601E-4</v>
      </c>
      <c r="K83" s="403">
        <f ca="1"/>
        <v>0.24521790731090501</v>
      </c>
      <c r="L83" s="403">
        <f ca="1"/>
        <v>0.24521790731090501</v>
      </c>
      <c r="M83" s="403">
        <f ca="1"/>
        <v>-9.5678484086261298E-5</v>
      </c>
      <c r="N83" s="403" t="str">
        <f ca="1"/>
        <v>EQUINOR ASA</v>
      </c>
      <c r="O83" s="403">
        <f ca="1"/>
        <v>0.68710186029236997</v>
      </c>
      <c r="P83" s="403">
        <f ca="1"/>
        <v>0.78201572011058196</v>
      </c>
      <c r="Q83" s="403">
        <f ca="1"/>
        <v>0.87862921757533097</v>
      </c>
      <c r="R83" s="441">
        <f ca="1"/>
        <v>0.87862921757533097</v>
      </c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-3.3700758011138698E-2</v>
      </c>
      <c r="U83" s="413">
        <f ca="1"/>
        <v>1.3692644371873499E-2</v>
      </c>
      <c r="V83" s="413">
        <f ca="1"/>
        <v>4.7393402383012199E-2</v>
      </c>
      <c r="W83" s="414">
        <f ca="1"/>
        <v>2.88914567922676E-3</v>
      </c>
      <c r="X83" s="415">
        <f ca="1"/>
        <v>4.73934023830122</v>
      </c>
      <c r="Y83" s="416">
        <f t="shared" ca="1" si="7"/>
        <v>9.8648926691713767E-2</v>
      </c>
      <c r="Z83" s="417">
        <f t="shared" ca="1" si="8"/>
        <v>-1.3507646708566553E-3</v>
      </c>
      <c r="AA83" s="416">
        <f t="shared" ca="1" si="9"/>
        <v>8.1739302436968336E-2</v>
      </c>
      <c r="AB83" s="418">
        <f t="shared" ca="1" si="10"/>
        <v>2.7446883952654219E-3</v>
      </c>
      <c r="AC83" s="417">
        <f t="shared" ca="1" si="11"/>
        <v>-5.596135997372104E-5</v>
      </c>
      <c r="AD83" s="220"/>
      <c r="AE83" s="220">
        <f t="shared" ca="1" si="12"/>
        <v>4.1544199459633063E-3</v>
      </c>
    </row>
    <row r="84" spans="1:31" customFormat="1" ht="15">
      <c r="A84" s="220"/>
      <c r="B84" s="267">
        <v>46</v>
      </c>
      <c r="C84" s="68" t="s">
        <v>562</v>
      </c>
      <c r="D84" s="246">
        <f t="shared" ca="1" si="6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1.31986972965761E-4</v>
      </c>
      <c r="J84" s="403">
        <f ca="1"/>
        <v>4.7597483594421001E-4</v>
      </c>
      <c r="K84" s="403">
        <f ca="1"/>
        <v>0.27729821620492401</v>
      </c>
      <c r="L84" s="403">
        <f ca="1"/>
        <v>0.27729821620492401</v>
      </c>
      <c r="M84" s="403">
        <f ca="1"/>
        <v>-1.55795096724654E-4</v>
      </c>
      <c r="N84" s="403" t="str">
        <f ca="1"/>
        <v>FORTUM OYJ</v>
      </c>
      <c r="O84" s="403">
        <f ca="1"/>
        <v>0.68609752690523995</v>
      </c>
      <c r="P84" s="403">
        <f ca="1"/>
        <v>0.77328645424962605</v>
      </c>
      <c r="Q84" s="403">
        <f ca="1"/>
        <v>0.88724886248137902</v>
      </c>
      <c r="R84" s="441">
        <f ca="1"/>
        <v>0.88724886248137902</v>
      </c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-2.4512057104868999E-2</v>
      </c>
      <c r="U84" s="413">
        <f ca="1"/>
        <v>2.2657292001393301E-2</v>
      </c>
      <c r="V84" s="413">
        <f ca="1"/>
        <v>4.7169349106262297E-2</v>
      </c>
      <c r="W84" s="414">
        <f ca="1"/>
        <v>4.80339297248968E-3</v>
      </c>
      <c r="X84" s="415">
        <f ca="1"/>
        <v>4.7169349106262297</v>
      </c>
      <c r="Y84" s="416">
        <f t="shared" ca="1" si="7"/>
        <v>9.8648926691713767E-2</v>
      </c>
      <c r="Z84" s="417">
        <f t="shared" ca="1" si="8"/>
        <v>-2.2351175376781975E-3</v>
      </c>
      <c r="AA84" s="416">
        <f t="shared" ca="1" si="9"/>
        <v>9.2432738734974665E-2</v>
      </c>
      <c r="AB84" s="418">
        <f t="shared" ca="1" si="10"/>
        <v>4.5632233238651959E-3</v>
      </c>
      <c r="AC84" s="417">
        <f t="shared" ca="1" si="11"/>
        <v>-1.0471377760034082E-4</v>
      </c>
      <c r="AD84" s="220"/>
      <c r="AE84" s="220">
        <f t="shared" ca="1" si="12"/>
        <v>6.0236785993917144E-3</v>
      </c>
    </row>
    <row r="85" spans="1:31" customFormat="1" ht="15">
      <c r="A85" s="220"/>
      <c r="B85" s="267">
        <v>47</v>
      </c>
      <c r="C85" s="68" t="s">
        <v>548</v>
      </c>
      <c r="D85" s="246">
        <f t="shared" ca="1" si="6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1.2761548289037E-4</v>
      </c>
      <c r="J85" s="403">
        <f ca="1"/>
        <v>4.7883261927652199E-4</v>
      </c>
      <c r="K85" s="403">
        <f ca="1"/>
        <v>0.26651376233136898</v>
      </c>
      <c r="L85" s="403">
        <f ca="1"/>
        <v>0.26651376233136898</v>
      </c>
      <c r="M85" s="403">
        <f ca="1"/>
        <v>-1.3370217463737301E-4</v>
      </c>
      <c r="N85" s="403" t="str">
        <f ca="1"/>
        <v>IBERDROLA, S.A.</v>
      </c>
      <c r="O85" s="403">
        <f ca="1"/>
        <v>0.68648905561898999</v>
      </c>
      <c r="P85" s="403">
        <f ca="1"/>
        <v>0.77654100540096505</v>
      </c>
      <c r="Q85" s="403">
        <f ca="1"/>
        <v>0.88403452083579703</v>
      </c>
      <c r="R85" s="441">
        <f ca="1"/>
        <v>0.88403452083579703</v>
      </c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-2.7937900422068201E-2</v>
      </c>
      <c r="U85" s="413">
        <f ca="1"/>
        <v>1.9312895359405599E-2</v>
      </c>
      <c r="V85" s="413">
        <f ca="1"/>
        <v>4.7250795781473801E-2</v>
      </c>
      <c r="W85" s="414">
        <f ca="1"/>
        <v>4.0873164229284402E-3</v>
      </c>
      <c r="X85" s="415">
        <f ca="1"/>
        <v>4.7250795781473798</v>
      </c>
      <c r="Y85" s="416">
        <f t="shared" ca="1" si="7"/>
        <v>9.8648926691713767E-2</v>
      </c>
      <c r="Z85" s="417">
        <f t="shared" ca="1" si="8"/>
        <v>-1.9051963985147393E-3</v>
      </c>
      <c r="AA85" s="416">
        <f t="shared" ca="1" si="9"/>
        <v>8.8837920777122992E-2</v>
      </c>
      <c r="AB85" s="418">
        <f t="shared" ca="1" si="10"/>
        <v>3.8829506017820179E-3</v>
      </c>
      <c r="AC85" s="417">
        <f t="shared" ca="1" si="11"/>
        <v>-8.5785873395787042E-5</v>
      </c>
      <c r="AD85" s="220"/>
      <c r="AE85" s="220">
        <f t="shared" ca="1" si="12"/>
        <v>5.3641651032835186E-3</v>
      </c>
    </row>
    <row r="86" spans="1:31" customFormat="1" ht="15">
      <c r="A86" s="220"/>
      <c r="B86" s="267">
        <v>48</v>
      </c>
      <c r="C86" s="68" t="s">
        <v>563</v>
      </c>
      <c r="D86" s="246">
        <f t="shared" ca="1" si="6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1.3585804733575799E-4</v>
      </c>
      <c r="J86" s="403">
        <f ca="1"/>
        <v>4.60902718492981E-4</v>
      </c>
      <c r="K86" s="403">
        <f ca="1"/>
        <v>0.29476512479677802</v>
      </c>
      <c r="L86" s="403">
        <f ca="1"/>
        <v>0.29476512479677802</v>
      </c>
      <c r="M86" s="403">
        <f ca="1"/>
        <v>-1.9436456468724901E-4</v>
      </c>
      <c r="N86" s="403" t="str">
        <f ca="1"/>
        <v>NATIONAL GRID PLC</v>
      </c>
      <c r="O86" s="403">
        <f ca="1"/>
        <v>0.68528495019921998</v>
      </c>
      <c r="P86" s="403">
        <f ca="1"/>
        <v>0.76743610903880799</v>
      </c>
      <c r="Q86" s="403">
        <f ca="1"/>
        <v>0.89295374836808195</v>
      </c>
      <c r="R86" s="441">
        <f ca="1"/>
        <v>0.89295374836808195</v>
      </c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-1.8353798988218602E-2</v>
      </c>
      <c r="U86" s="413">
        <f ca="1"/>
        <v>2.8584642998823299E-2</v>
      </c>
      <c r="V86" s="413">
        <f ca="1"/>
        <v>4.6938441987041897E-2</v>
      </c>
      <c r="W86" s="414">
        <f ca="1"/>
        <v>6.0898150404554404E-3</v>
      </c>
      <c r="X86" s="415">
        <f ca="1"/>
        <v>4.6938441987041903</v>
      </c>
      <c r="Y86" s="416">
        <f t="shared" ca="1" si="7"/>
        <v>9.8648926691713767E-2</v>
      </c>
      <c r="Z86" s="417">
        <f t="shared" ca="1" si="8"/>
        <v>-2.8198443516997281E-3</v>
      </c>
      <c r="AA86" s="416">
        <f t="shared" ca="1" si="9"/>
        <v>9.8255041598926007E-2</v>
      </c>
      <c r="AB86" s="418">
        <f t="shared" ca="1" si="10"/>
        <v>5.785324288432668E-3</v>
      </c>
      <c r="AC86" s="417">
        <f t="shared" ca="1" si="11"/>
        <v>-1.4042926434699175E-4</v>
      </c>
      <c r="AD86" s="220"/>
      <c r="AE86" s="220">
        <f t="shared" ca="1" si="12"/>
        <v>8.6986056660482876E-3</v>
      </c>
    </row>
    <row r="87" spans="1:31" customFormat="1" ht="15">
      <c r="A87" s="220"/>
      <c r="B87" s="267">
        <v>49</v>
      </c>
      <c r="C87" s="68" t="s">
        <v>549</v>
      </c>
      <c r="D87" s="246">
        <f t="shared" ca="1" si="6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1.3274643779031899E-4</v>
      </c>
      <c r="J87" s="403">
        <f ca="1"/>
        <v>4.7524392025935898E-4</v>
      </c>
      <c r="K87" s="403">
        <f ca="1"/>
        <v>0.27932274802773699</v>
      </c>
      <c r="L87" s="403">
        <f ca="1"/>
        <v>0.27932274802773699</v>
      </c>
      <c r="M87" s="403">
        <f ca="1"/>
        <v>-1.6005076559222299E-4</v>
      </c>
      <c r="N87" s="403" t="str">
        <f ca="1"/>
        <v>NATURGY ENERGY GROUP, S.A.</v>
      </c>
      <c r="O87" s="403">
        <f ca="1"/>
        <v>0.68598587324132998</v>
      </c>
      <c r="P87" s="403">
        <f ca="1"/>
        <v>0.77264186582151595</v>
      </c>
      <c r="Q87" s="403">
        <f ca="1"/>
        <v>0.88784455462033696</v>
      </c>
      <c r="R87" s="441">
        <f ca="1"/>
        <v>0.88784455462033696</v>
      </c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-2.3833542970016899E-2</v>
      </c>
      <c r="U87" s="413">
        <f ca="1"/>
        <v>2.3274498852273201E-2</v>
      </c>
      <c r="V87" s="413">
        <f ca="1"/>
        <v>4.71080418222901E-2</v>
      </c>
      <c r="W87" s="414">
        <f ca="1"/>
        <v>4.9406636217386498E-3</v>
      </c>
      <c r="X87" s="415">
        <f ca="1"/>
        <v>4.7108041822290101</v>
      </c>
      <c r="Y87" s="416">
        <f t="shared" ca="1" si="7"/>
        <v>9.8648926691713767E-2</v>
      </c>
      <c r="Z87" s="417">
        <f t="shared" ca="1" si="8"/>
        <v>-2.296004331064271E-3</v>
      </c>
      <c r="AA87" s="416">
        <f t="shared" ca="1" si="9"/>
        <v>9.3107582675912334E-2</v>
      </c>
      <c r="AB87" s="418">
        <f t="shared" ca="1" si="10"/>
        <v>4.6936304406517172E-3</v>
      </c>
      <c r="AC87" s="417">
        <f t="shared" ca="1" si="11"/>
        <v>-1.0835161630642253E-4</v>
      </c>
      <c r="AD87" s="220"/>
      <c r="AE87" s="220">
        <f t="shared" ca="1" si="12"/>
        <v>6.9504574422507726E-3</v>
      </c>
    </row>
    <row r="88" spans="1:31" customFormat="1" ht="15">
      <c r="A88" s="220"/>
      <c r="B88" s="267">
        <v>50</v>
      </c>
      <c r="C88" s="68" t="s">
        <v>550</v>
      </c>
      <c r="D88" s="246">
        <f t="shared" ca="1" si="6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1.37032860737159E-4</v>
      </c>
      <c r="J88" s="403">
        <f ca="1"/>
        <v>4.5995621245369399E-4</v>
      </c>
      <c r="K88" s="403">
        <f ca="1"/>
        <v>0.29792588300120998</v>
      </c>
      <c r="L88" s="403">
        <f ca="1"/>
        <v>0.29792588300120998</v>
      </c>
      <c r="M88" s="403">
        <f ca="1"/>
        <v>-2.01999745677139E-4</v>
      </c>
      <c r="N88" s="403" t="str">
        <f ca="1"/>
        <v>REPSOL, S.A.</v>
      </c>
      <c r="O88" s="403">
        <f ca="1"/>
        <v>0.68511171054939002</v>
      </c>
      <c r="P88" s="403">
        <f ca="1"/>
        <v>0.76625259886477803</v>
      </c>
      <c r="Q88" s="403">
        <f ca="1"/>
        <v>0.89410686706237597</v>
      </c>
      <c r="R88" s="441">
        <f ca="1"/>
        <v>0.89410686706237597</v>
      </c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-1.71079988050294E-2</v>
      </c>
      <c r="U88" s="413">
        <f ca="1"/>
        <v>2.97816706613078E-2</v>
      </c>
      <c r="V88" s="413">
        <f ca="1"/>
        <v>4.68896694663372E-2</v>
      </c>
      <c r="W88" s="414">
        <f ca="1"/>
        <v>6.3514354014989399E-3</v>
      </c>
      <c r="X88" s="415">
        <f ca="1"/>
        <v>4.6889669466337196</v>
      </c>
      <c r="Y88" s="416">
        <f t="shared" ca="1" si="7"/>
        <v>9.8648926691713767E-2</v>
      </c>
      <c r="Z88" s="417">
        <f t="shared" ca="1" si="8"/>
        <v>-2.9379298458241158E-3</v>
      </c>
      <c r="AA88" s="416">
        <f t="shared" ca="1" si="9"/>
        <v>9.9308627667069993E-2</v>
      </c>
      <c r="AB88" s="418">
        <f t="shared" ca="1" si="10"/>
        <v>6.0338636314239925E-3</v>
      </c>
      <c r="AC88" s="417">
        <f t="shared" ca="1" si="11"/>
        <v>-1.4787884215035609E-4</v>
      </c>
      <c r="AD88" s="220"/>
      <c r="AE88" s="220">
        <f t="shared" ca="1" si="12"/>
        <v>9.2764097404042598E-3</v>
      </c>
    </row>
    <row r="89" spans="1:31" customFormat="1" ht="15">
      <c r="A89" s="220"/>
      <c r="B89" s="267">
        <v>51</v>
      </c>
      <c r="C89" s="68" t="s">
        <v>551</v>
      </c>
      <c r="D89" s="246">
        <f t="shared" ca="1" si="6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1.218902596987E-4</v>
      </c>
      <c r="J89" s="403">
        <f ca="1"/>
        <v>4.8188897141271798E-4</v>
      </c>
      <c r="K89" s="403">
        <f ca="1"/>
        <v>0.25294262149507901</v>
      </c>
      <c r="L89" s="403">
        <f ca="1"/>
        <v>0.25294262149507901</v>
      </c>
      <c r="M89" s="403">
        <f ca="1"/>
        <v>-1.0861073146418E-4</v>
      </c>
      <c r="N89" s="403" t="str">
        <f ca="1"/>
        <v>SHELL PLC</v>
      </c>
      <c r="O89" s="403">
        <f ca="1"/>
        <v>0.68690494749911002</v>
      </c>
      <c r="P89" s="403">
        <f ca="1"/>
        <v>0.78017124019182105</v>
      </c>
      <c r="Q89" s="403">
        <f ca="1"/>
        <v>0.88045407483903204</v>
      </c>
      <c r="R89" s="441">
        <f ca="1"/>
        <v>0.88045407483903204</v>
      </c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-3.1759200201917102E-2</v>
      </c>
      <c r="U89" s="413">
        <f ca="1"/>
        <v>1.5589169111604901E-2</v>
      </c>
      <c r="V89" s="413">
        <f ca="1"/>
        <v>4.7348369313522001E-2</v>
      </c>
      <c r="W89" s="414">
        <f ca="1"/>
        <v>3.29244055024993E-3</v>
      </c>
      <c r="X89" s="415">
        <f ca="1"/>
        <v>4.7348369313522003</v>
      </c>
      <c r="Y89" s="416">
        <f t="shared" ca="1" si="7"/>
        <v>9.8648926691713767E-2</v>
      </c>
      <c r="Z89" s="417">
        <f t="shared" ca="1" si="8"/>
        <v>-1.5378548008754432E-3</v>
      </c>
      <c r="AA89" s="416">
        <f t="shared" ca="1" si="9"/>
        <v>8.4314207165026342E-2</v>
      </c>
      <c r="AB89" s="418">
        <f t="shared" ca="1" si="10"/>
        <v>3.1278185227374333E-3</v>
      </c>
      <c r="AC89" s="417">
        <f t="shared" ca="1" si="11"/>
        <v>-6.5719421700324466E-5</v>
      </c>
      <c r="AD89" s="220"/>
      <c r="AE89" s="220">
        <f t="shared" ca="1" si="12"/>
        <v>4.5092412496482888E-3</v>
      </c>
    </row>
    <row r="90" spans="1:31" customFormat="1" ht="15">
      <c r="A90" s="220"/>
      <c r="B90" s="267">
        <v>52</v>
      </c>
      <c r="C90" s="68" t="s">
        <v>552</v>
      </c>
      <c r="D90" s="246">
        <f t="shared" ca="1" si="6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1.20477809350108E-4</v>
      </c>
      <c r="J90" s="403">
        <f ca="1"/>
        <v>4.8261804842632299E-4</v>
      </c>
      <c r="K90" s="403">
        <f ca="1"/>
        <v>0.249633866248788</v>
      </c>
      <c r="L90" s="403">
        <f ca="1"/>
        <v>0.249633866248788</v>
      </c>
      <c r="M90" s="403">
        <f ca="1"/>
        <v>-1.02992950627047E-4</v>
      </c>
      <c r="N90" s="403" t="str">
        <f ca="1"/>
        <v>TOTALENERGIES SE</v>
      </c>
      <c r="O90" s="403">
        <f ca="1"/>
        <v>0.68700138802190003</v>
      </c>
      <c r="P90" s="403">
        <f ca="1"/>
        <v>0.78097549944519595</v>
      </c>
      <c r="Q90" s="403">
        <f ca="1"/>
        <v>0.87967085844555304</v>
      </c>
      <c r="R90" s="441">
        <f ca="1"/>
        <v>0.87967085844555304</v>
      </c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-3.2605788889679597E-2</v>
      </c>
      <c r="U90" s="413">
        <f ca="1"/>
        <v>1.47762369066828E-2</v>
      </c>
      <c r="V90" s="413">
        <f ca="1"/>
        <v>4.7382025796362401E-2</v>
      </c>
      <c r="W90" s="414">
        <f ca="1"/>
        <v>3.1185321138838301E-3</v>
      </c>
      <c r="X90" s="415">
        <f ca="1"/>
        <v>4.7382025796362397</v>
      </c>
      <c r="Y90" s="416">
        <f t="shared" ca="1" si="7"/>
        <v>9.8648926691713767E-2</v>
      </c>
      <c r="Z90" s="417">
        <f t="shared" ca="1" si="8"/>
        <v>-1.4576599113867489E-3</v>
      </c>
      <c r="AA90" s="416">
        <f t="shared" ca="1" si="9"/>
        <v>8.3211288749596005E-2</v>
      </c>
      <c r="AB90" s="418">
        <f t="shared" ca="1" si="10"/>
        <v>2.9626055081896385E-3</v>
      </c>
      <c r="AC90" s="417">
        <f t="shared" ca="1" si="11"/>
        <v>-6.1477485793721135E-5</v>
      </c>
      <c r="AD90" s="220"/>
      <c r="AE90" s="220">
        <f t="shared" ca="1" si="12"/>
        <v>4.1080232978809115E-3</v>
      </c>
    </row>
    <row r="91" spans="1:31" customFormat="1" ht="15">
      <c r="A91" s="220"/>
      <c r="B91" s="267">
        <v>53</v>
      </c>
      <c r="C91" s="68" t="s">
        <v>553</v>
      </c>
      <c r="D91" s="246">
        <f t="shared" ca="1" si="6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1.30116794715995E-4</v>
      </c>
      <c r="J91" s="403">
        <f ca="1"/>
        <v>4.7724220260529101E-4</v>
      </c>
      <c r="K91" s="403">
        <f ca="1"/>
        <v>0.27264310240309902</v>
      </c>
      <c r="L91" s="403">
        <f ca="1"/>
        <v>0.27264310240309902</v>
      </c>
      <c r="M91" s="403">
        <f ca="1"/>
        <v>-1.4601518825365999E-4</v>
      </c>
      <c r="N91" s="403" t="str">
        <f ca="1"/>
        <v>VEOLIA ENVIRONNEMENT</v>
      </c>
      <c r="O91" s="403">
        <f ca="1"/>
        <v>0.68627020361224</v>
      </c>
      <c r="P91" s="403">
        <f ca="1"/>
        <v>0.77473311122983801</v>
      </c>
      <c r="Q91" s="403">
        <f ca="1"/>
        <v>0.88581499056214497</v>
      </c>
      <c r="R91" s="441">
        <f ca="1"/>
        <v>0.88581499056214497</v>
      </c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-2.60348539261453E-2</v>
      </c>
      <c r="U91" s="413">
        <f ca="1"/>
        <v>2.1165092922119599E-2</v>
      </c>
      <c r="V91" s="413">
        <f ca="1"/>
        <v>4.7199946848264902E-2</v>
      </c>
      <c r="W91" s="414">
        <f ca="1"/>
        <v>4.48413490594801E-3</v>
      </c>
      <c r="X91" s="415">
        <f ca="1"/>
        <v>4.7199946848264904</v>
      </c>
      <c r="Y91" s="416">
        <f t="shared" ca="1" si="7"/>
        <v>9.8648926691713767E-2</v>
      </c>
      <c r="Z91" s="417">
        <f t="shared" ca="1" si="8"/>
        <v>-2.0879137000974807E-3</v>
      </c>
      <c r="AA91" s="416">
        <f t="shared" ca="1" si="9"/>
        <v>9.0881034134366337E-2</v>
      </c>
      <c r="AB91" s="418">
        <f t="shared" ca="1" si="10"/>
        <v>4.2599281606506096E-3</v>
      </c>
      <c r="AC91" s="417">
        <f t="shared" ca="1" si="11"/>
        <v>-9.6175276615609046E-5</v>
      </c>
      <c r="AD91" s="220"/>
      <c r="AE91" s="220">
        <f t="shared" ca="1" si="12"/>
        <v>5.8293674590938292E-3</v>
      </c>
    </row>
    <row r="92" spans="1:31" customFormat="1" ht="15">
      <c r="A92" s="220"/>
      <c r="B92" s="267">
        <v>54</v>
      </c>
      <c r="C92" s="68" t="s">
        <v>554</v>
      </c>
      <c r="D92" s="246">
        <f t="shared" ca="1" si="6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1.23442763521928E-4</v>
      </c>
      <c r="J92" s="403">
        <f ca="1"/>
        <v>4.81041173276216E-4</v>
      </c>
      <c r="K92" s="403">
        <f ca="1"/>
        <v>0.25661579586046501</v>
      </c>
      <c r="L92" s="403">
        <f ca="1"/>
        <v>0.25661579586046501</v>
      </c>
      <c r="M92" s="403">
        <f ca="1"/>
        <v>-1.15065060394088E-4</v>
      </c>
      <c r="N92" s="403" t="str">
        <f ca="1"/>
        <v>BERTELSMANN SE &amp; CO. KGAA</v>
      </c>
      <c r="O92" s="403">
        <f ca="1"/>
        <v>0.68679122995178998</v>
      </c>
      <c r="P92" s="403">
        <f ca="1"/>
        <v>0.77924215593325996</v>
      </c>
      <c r="Q92" s="403">
        <f ca="1"/>
        <v>0.88135789975229695</v>
      </c>
      <c r="R92" s="441">
        <f ca="1"/>
        <v>0.88135789975229695</v>
      </c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-3.07812167718521E-2</v>
      </c>
      <c r="U92" s="413">
        <f ca="1"/>
        <v>1.65277484179173E-2</v>
      </c>
      <c r="V92" s="413">
        <f ca="1"/>
        <v>4.7308965189769403E-2</v>
      </c>
      <c r="W92" s="414">
        <f ca="1"/>
        <v>3.4935763975432301E-3</v>
      </c>
      <c r="X92" s="415">
        <f ca="1"/>
        <v>4.7308965189769401</v>
      </c>
      <c r="Y92" s="416">
        <f t="shared" ca="1" si="7"/>
        <v>9.8648926691713767E-2</v>
      </c>
      <c r="Z92" s="417">
        <f t="shared" ca="1" si="8"/>
        <v>-1.6304446420582087E-3</v>
      </c>
      <c r="AA92" s="416">
        <f t="shared" ca="1" si="9"/>
        <v>8.5538598620155004E-2</v>
      </c>
      <c r="AB92" s="418">
        <f t="shared" ca="1" si="10"/>
        <v>3.3188975776660685E-3</v>
      </c>
      <c r="AC92" s="417">
        <f t="shared" ca="1" si="11"/>
        <v>-7.0688021900756367E-5</v>
      </c>
      <c r="AD92" s="220"/>
      <c r="AE92" s="220">
        <f t="shared" ca="1" si="12"/>
        <v>4.9820255389902944E-3</v>
      </c>
    </row>
    <row r="93" spans="1:31" customFormat="1" ht="15">
      <c r="A93" s="220"/>
      <c r="B93" s="267">
        <v>55</v>
      </c>
      <c r="C93" s="68" t="s">
        <v>555</v>
      </c>
      <c r="D93" s="246">
        <f t="shared" ca="1" si="6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1.42365851957367E-4</v>
      </c>
      <c r="J93" s="403">
        <f ca="1"/>
        <v>4.5496938821315103E-4</v>
      </c>
      <c r="K93" s="403">
        <f ca="1"/>
        <v>0.31291303469118098</v>
      </c>
      <c r="L93" s="403">
        <f ca="1"/>
        <v>0.31291303469118098</v>
      </c>
      <c r="M93" s="403">
        <f ca="1"/>
        <v>-2.4030088790691001E-4</v>
      </c>
      <c r="N93" s="403" t="str">
        <f ca="1"/>
        <v>BRITISH TELECOMMUNICATIONS PUBLIC LIMITED COMPANY</v>
      </c>
      <c r="O93" s="403">
        <f ca="1"/>
        <v>0.68434104207322</v>
      </c>
      <c r="P93" s="403">
        <f ca="1"/>
        <v>0.76027114012185104</v>
      </c>
      <c r="Q93" s="403">
        <f ca="1"/>
        <v>0.90012760705810602</v>
      </c>
      <c r="R93" s="441">
        <f ca="1"/>
        <v>0.90012760705810602</v>
      </c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-1.08117264440533E-2</v>
      </c>
      <c r="U93" s="413">
        <f ca="1"/>
        <v>3.6025650663221297E-2</v>
      </c>
      <c r="V93" s="413">
        <f ca="1"/>
        <v>4.6837377107274598E-2</v>
      </c>
      <c r="W93" s="414">
        <f ca="1"/>
        <v>7.6916456232614004E-3</v>
      </c>
      <c r="X93" s="415">
        <f ca="1"/>
        <v>4.6837377107274598</v>
      </c>
      <c r="Y93" s="416">
        <f t="shared" ca="1" si="7"/>
        <v>9.8648926691713767E-2</v>
      </c>
      <c r="Z93" s="417">
        <f t="shared" ca="1" si="8"/>
        <v>-3.5538917712974014E-3</v>
      </c>
      <c r="AA93" s="416">
        <f t="shared" ca="1" si="9"/>
        <v>0.10430434489706032</v>
      </c>
      <c r="AB93" s="418">
        <f t="shared" ca="1" si="10"/>
        <v>7.3070633420983296E-3</v>
      </c>
      <c r="AC93" s="417">
        <f t="shared" ca="1" si="11"/>
        <v>-1.8788159459588225E-4</v>
      </c>
      <c r="AD93" s="220"/>
      <c r="AE93" s="220">
        <f t="shared" ca="1" si="12"/>
        <v>8.763088184865632E-3</v>
      </c>
    </row>
    <row r="94" spans="1:31" customFormat="1" ht="15">
      <c r="A94" s="220"/>
      <c r="B94" s="267">
        <v>56</v>
      </c>
      <c r="C94" s="68" t="s">
        <v>556</v>
      </c>
      <c r="D94" s="246">
        <f t="shared" ca="1" si="6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1.2246611371126301E-4</v>
      </c>
      <c r="J94" s="403">
        <f ca="1"/>
        <v>4.81476821654935E-4</v>
      </c>
      <c r="K94" s="403">
        <f ca="1"/>
        <v>0.25435515938300401</v>
      </c>
      <c r="L94" s="403">
        <f ca="1"/>
        <v>0.25435515938300401</v>
      </c>
      <c r="M94" s="403">
        <f ca="1"/>
        <v>-1.1102868857464399E-4</v>
      </c>
      <c r="N94" s="403" t="str">
        <f ca="1"/>
        <v>DEUTSCHE TELEKOM AG</v>
      </c>
      <c r="O94" s="403">
        <f ca="1"/>
        <v>0.68685122565246004</v>
      </c>
      <c r="P94" s="403">
        <f ca="1"/>
        <v>0.77982172064993505</v>
      </c>
      <c r="Q94" s="403">
        <f ca="1"/>
        <v>0.88077980833877101</v>
      </c>
      <c r="R94" s="441">
        <f ca="1"/>
        <v>0.88077980833877101</v>
      </c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-3.1391284894668997E-2</v>
      </c>
      <c r="U94" s="413">
        <f ca="1"/>
        <v>1.5926152661710501E-2</v>
      </c>
      <c r="V94" s="413">
        <f ca="1"/>
        <v>4.7317437556379502E-2</v>
      </c>
      <c r="W94" s="414">
        <f ca="1"/>
        <v>3.36581046738515E-3</v>
      </c>
      <c r="X94" s="415">
        <f ca="1"/>
        <v>4.7317437556379502</v>
      </c>
      <c r="Y94" s="416">
        <f t="shared" ca="1" si="7"/>
        <v>9.8648926691713767E-2</v>
      </c>
      <c r="Z94" s="417">
        <f t="shared" ca="1" si="8"/>
        <v>-1.5710978664061246E-3</v>
      </c>
      <c r="AA94" s="416">
        <f t="shared" ca="1" si="9"/>
        <v>8.4785053127668E-2</v>
      </c>
      <c r="AB94" s="418">
        <f t="shared" ca="1" si="10"/>
        <v>3.1975199440158922E-3</v>
      </c>
      <c r="AC94" s="417">
        <f t="shared" ca="1" si="11"/>
        <v>-6.7514984977124078E-5</v>
      </c>
      <c r="AD94" s="220"/>
      <c r="AE94" s="220">
        <f t="shared" ca="1" si="12"/>
        <v>4.9704419312139045E-3</v>
      </c>
    </row>
    <row r="95" spans="1:31" customFormat="1" ht="15">
      <c r="A95" s="220"/>
      <c r="B95" s="267">
        <v>57</v>
      </c>
      <c r="C95" s="68" t="s">
        <v>564</v>
      </c>
      <c r="D95" s="246">
        <f t="shared" ca="1" si="6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1.5637904844777601E-4</v>
      </c>
      <c r="J95" s="403">
        <f ca="1"/>
        <v>4.6012251528535999E-4</v>
      </c>
      <c r="K95" s="403">
        <f ca="1"/>
        <v>0.33986393461052999</v>
      </c>
      <c r="L95" s="403">
        <f ca="1"/>
        <v>0.33986393461052999</v>
      </c>
      <c r="M95" s="403">
        <f ca="1"/>
        <v>-3.1747115603717499E-4</v>
      </c>
      <c r="N95" s="403" t="str">
        <f ca="1"/>
        <v>ITV PLC</v>
      </c>
      <c r="O95" s="403">
        <f ca="1"/>
        <v>0.68236144714939995</v>
      </c>
      <c r="P95" s="403">
        <f ca="1"/>
        <v>0.74749419647537496</v>
      </c>
      <c r="Q95" s="403">
        <f ca="1"/>
        <v>0.91286521068244697</v>
      </c>
      <c r="R95" s="441">
        <f ca="1"/>
        <v>0.91286521068244697</v>
      </c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2.6376879206578001E-3</v>
      </c>
      <c r="U95" s="413">
        <f ca="1"/>
        <v>4.9143283526599899E-2</v>
      </c>
      <c r="V95" s="413">
        <f ca="1"/>
        <v>4.6505595605942099E-2</v>
      </c>
      <c r="W95" s="414">
        <f ca="1"/>
        <v>1.05671764625934E-2</v>
      </c>
      <c r="X95" s="415">
        <f ca="1"/>
        <v>4.6505595605942096</v>
      </c>
      <c r="Y95" s="416">
        <f t="shared" ca="1" si="7"/>
        <v>9.8648926691713767E-2</v>
      </c>
      <c r="Z95" s="417">
        <f t="shared" ca="1" si="8"/>
        <v>-4.847932174005652E-3</v>
      </c>
      <c r="AA95" s="416">
        <f t="shared" ca="1" si="9"/>
        <v>0.11328797820351</v>
      </c>
      <c r="AB95" s="418">
        <f t="shared" ca="1" si="10"/>
        <v>1.003881763946373E-2</v>
      </c>
      <c r="AC95" s="417">
        <f t="shared" ca="1" si="11"/>
        <v>-2.7836716165051769E-4</v>
      </c>
      <c r="AD95" s="220"/>
      <c r="AE95" s="220">
        <f t="shared" ca="1" si="12"/>
        <v>1.154336243580887E-2</v>
      </c>
    </row>
    <row r="96" spans="1:31" customFormat="1" ht="15">
      <c r="A96" s="220"/>
      <c r="B96" s="267">
        <v>58</v>
      </c>
      <c r="C96" s="68" t="s">
        <v>557</v>
      </c>
      <c r="D96" s="246">
        <f t="shared" ca="1" si="6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1.32205476830833E-4</v>
      </c>
      <c r="J96" s="403">
        <f ca="1"/>
        <v>4.75761308226945E-4</v>
      </c>
      <c r="K96" s="403">
        <f ca="1"/>
        <v>0.27788194320284898</v>
      </c>
      <c r="L96" s="403">
        <f ca="1"/>
        <v>0.27788194320284898</v>
      </c>
      <c r="M96" s="403">
        <f ca="1"/>
        <v>-1.57005937804553E-4</v>
      </c>
      <c r="N96" s="403" t="str">
        <f ca="1"/>
        <v>KONINKLIJKE KPN N.V.</v>
      </c>
      <c r="O96" s="403">
        <f ca="1"/>
        <v>0.68606464723065996</v>
      </c>
      <c r="P96" s="403">
        <f ca="1"/>
        <v>0.77310324641816897</v>
      </c>
      <c r="Q96" s="403">
        <f ca="1"/>
        <v>0.88741659074546198</v>
      </c>
      <c r="R96" s="441">
        <f ca="1"/>
        <v>0.88741659074546198</v>
      </c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-2.4319206755967802E-2</v>
      </c>
      <c r="U96" s="413">
        <f ca="1"/>
        <v>2.2830867457174098E-2</v>
      </c>
      <c r="V96" s="413">
        <f ca="1"/>
        <v>4.71500742131419E-2</v>
      </c>
      <c r="W96" s="414">
        <f ca="1"/>
        <v>4.8421699940422499E-3</v>
      </c>
      <c r="X96" s="415">
        <f ca="1"/>
        <v>4.7150074213141897</v>
      </c>
      <c r="Y96" s="416">
        <f t="shared" ca="1" si="7"/>
        <v>9.8648926691713767E-2</v>
      </c>
      <c r="Z96" s="417">
        <f t="shared" ca="1" si="8"/>
        <v>-2.2522405700910009E-3</v>
      </c>
      <c r="AA96" s="416">
        <f t="shared" ca="1" si="9"/>
        <v>9.2627314400949665E-2</v>
      </c>
      <c r="AB96" s="418">
        <f t="shared" ca="1" si="10"/>
        <v>4.6000614943401373E-3</v>
      </c>
      <c r="AC96" s="417">
        <f t="shared" ca="1" si="11"/>
        <v>-1.0573809690010378E-4</v>
      </c>
      <c r="AD96" s="220"/>
      <c r="AE96" s="220">
        <f t="shared" ca="1" si="12"/>
        <v>6.3196565064664451E-3</v>
      </c>
    </row>
    <row r="97" spans="1:31" customFormat="1" ht="15">
      <c r="A97" s="220"/>
      <c r="B97" s="267">
        <v>59</v>
      </c>
      <c r="C97" s="68" t="s">
        <v>558</v>
      </c>
      <c r="D97" s="246">
        <f t="shared" ca="1" si="6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1.2154589930972301E-4</v>
      </c>
      <c r="J97" s="403">
        <f ca="1"/>
        <v>4.8218258165138699E-4</v>
      </c>
      <c r="K97" s="403">
        <f ca="1"/>
        <v>0.25207442975947097</v>
      </c>
      <c r="L97" s="403">
        <f ca="1"/>
        <v>0.25207442975947097</v>
      </c>
      <c r="M97" s="403">
        <f ca="1"/>
        <v>-1.07182215122461E-4</v>
      </c>
      <c r="N97" s="403" t="str">
        <f ca="1"/>
        <v>ORANGE</v>
      </c>
      <c r="O97" s="403">
        <f ca="1"/>
        <v>0.68694246711652995</v>
      </c>
      <c r="P97" s="403">
        <f ca="1"/>
        <v>0.78037733963701394</v>
      </c>
      <c r="Q97" s="403">
        <f ca="1"/>
        <v>0.880269623713133</v>
      </c>
      <c r="R97" s="441">
        <f ca="1"/>
        <v>0.880269623713133</v>
      </c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-3.1976146986330001E-2</v>
      </c>
      <c r="U97" s="413">
        <f ca="1"/>
        <v>1.5399397269863601E-2</v>
      </c>
      <c r="V97" s="413">
        <f ca="1"/>
        <v>4.73755442561936E-2</v>
      </c>
      <c r="W97" s="414">
        <f ca="1"/>
        <v>3.25049506272434E-3</v>
      </c>
      <c r="X97" s="415">
        <f ca="1"/>
        <v>4.7375544256193596</v>
      </c>
      <c r="Y97" s="416">
        <f t="shared" ca="1" si="7"/>
        <v>9.8648926691713767E-2</v>
      </c>
      <c r="Z97" s="417">
        <f t="shared" ca="1" si="8"/>
        <v>-1.5191340123713491E-3</v>
      </c>
      <c r="AA97" s="416">
        <f t="shared" ca="1" si="9"/>
        <v>8.4024809919823654E-2</v>
      </c>
      <c r="AB97" s="418">
        <f t="shared" ca="1" si="10"/>
        <v>3.0879703095881227E-3</v>
      </c>
      <c r="AC97" s="417">
        <f t="shared" ca="1" si="11"/>
        <v>-6.4696571424007021E-5</v>
      </c>
      <c r="AD97" s="220"/>
      <c r="AE97" s="220">
        <f t="shared" ca="1" si="12"/>
        <v>4.0801836681962885E-3</v>
      </c>
    </row>
    <row r="98" spans="1:31" customFormat="1" ht="15">
      <c r="A98" s="220"/>
      <c r="B98" s="267">
        <v>60</v>
      </c>
      <c r="C98" s="68" t="s">
        <v>559</v>
      </c>
      <c r="D98" s="246">
        <f t="shared" ca="1" si="6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1.3387172097890899E-4</v>
      </c>
      <c r="J98" s="403">
        <f ca="1"/>
        <v>4.6238407834729402E-4</v>
      </c>
      <c r="K98" s="403">
        <f ca="1"/>
        <v>0.28952493662283701</v>
      </c>
      <c r="L98" s="403">
        <f ca="1"/>
        <v>0.28952493662283701</v>
      </c>
      <c r="M98" s="403">
        <f ca="1"/>
        <v>-1.8209600472325399E-4</v>
      </c>
      <c r="N98" s="403" t="str">
        <f ca="1"/>
        <v>PEARSON PLC</v>
      </c>
      <c r="O98" s="403">
        <f ca="1"/>
        <v>0.68557946984875995</v>
      </c>
      <c r="P98" s="403">
        <f ca="1"/>
        <v>0.769329836006724</v>
      </c>
      <c r="Q98" s="403">
        <f ca="1"/>
        <v>0.89113854391417102</v>
      </c>
      <c r="R98" s="441">
        <f ca="1"/>
        <v>0.89113854391417102</v>
      </c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-2.0347195796551001E-2</v>
      </c>
      <c r="U98" s="413">
        <f ca="1"/>
        <v>2.6700933893383801E-2</v>
      </c>
      <c r="V98" s="413">
        <f ca="1"/>
        <v>4.7048129689934798E-2</v>
      </c>
      <c r="W98" s="414">
        <f ca="1"/>
        <v>5.6752381166590799E-3</v>
      </c>
      <c r="X98" s="415">
        <f ca="1"/>
        <v>4.7048129689934797</v>
      </c>
      <c r="Y98" s="416">
        <f t="shared" ca="1" si="7"/>
        <v>9.8648926691713767E-2</v>
      </c>
      <c r="Z98" s="417">
        <f t="shared" ca="1" si="8"/>
        <v>-2.6340184702487108E-3</v>
      </c>
      <c r="AA98" s="416">
        <f t="shared" ca="1" si="9"/>
        <v>9.6508312207612343E-2</v>
      </c>
      <c r="AB98" s="418">
        <f t="shared" ca="1" si="10"/>
        <v>5.3914762108261257E-3</v>
      </c>
      <c r="AC98" s="417">
        <f t="shared" ca="1" si="11"/>
        <v>-1.2884310322087506E-4</v>
      </c>
      <c r="AD98" s="220"/>
      <c r="AE98" s="220">
        <f t="shared" ca="1" si="12"/>
        <v>7.2159903787417726E-3</v>
      </c>
    </row>
    <row r="99" spans="1:31" customFormat="1" ht="15">
      <c r="A99" s="220"/>
      <c r="B99" s="267">
        <v>61</v>
      </c>
      <c r="C99" s="68" t="s">
        <v>565</v>
      </c>
      <c r="D99" s="246">
        <f t="shared" ca="1" si="6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1.3168723383834901E-4</v>
      </c>
      <c r="J99" s="403">
        <f ca="1"/>
        <v>4.76229127896031E-4</v>
      </c>
      <c r="K99" s="403">
        <f ca="1"/>
        <v>0.276520746263758</v>
      </c>
      <c r="L99" s="403">
        <f ca="1"/>
        <v>0.276520746263758</v>
      </c>
      <c r="M99" s="403">
        <f ca="1"/>
        <v>-1.5417221162291399E-4</v>
      </c>
      <c r="N99" s="403" t="str">
        <f ca="1"/>
        <v>PUBLICIS GROUPE SA</v>
      </c>
      <c r="O99" s="403">
        <f ca="1"/>
        <v>0.68613489851464005</v>
      </c>
      <c r="P99" s="403">
        <f ca="1"/>
        <v>0.77352951866878605</v>
      </c>
      <c r="Q99" s="403">
        <f ca="1"/>
        <v>0.88701837739230904</v>
      </c>
      <c r="R99" s="441">
        <f ca="1"/>
        <v>0.88701837739230904</v>
      </c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-2.4767914388195599E-2</v>
      </c>
      <c r="U99" s="413">
        <f ca="1"/>
        <v>2.2418246522964601E-2</v>
      </c>
      <c r="V99" s="413">
        <f ca="1"/>
        <v>4.7186160911160201E-2</v>
      </c>
      <c r="W99" s="414">
        <f ca="1"/>
        <v>4.75102150504946E-3</v>
      </c>
      <c r="X99" s="415">
        <f ca="1"/>
        <v>4.7186160911160204</v>
      </c>
      <c r="Y99" s="416">
        <f t="shared" ca="1" si="7"/>
        <v>9.8648926691713767E-2</v>
      </c>
      <c r="Z99" s="417">
        <f t="shared" ca="1" si="8"/>
        <v>-2.2115359578007052E-3</v>
      </c>
      <c r="AA99" s="416">
        <f t="shared" ca="1" si="9"/>
        <v>9.2173582087919328E-2</v>
      </c>
      <c r="AB99" s="418">
        <f t="shared" ca="1" si="10"/>
        <v>4.5134704297969865E-3</v>
      </c>
      <c r="AC99" s="417">
        <f t="shared" ca="1" si="11"/>
        <v>-1.0331850430758483E-4</v>
      </c>
      <c r="AD99" s="220"/>
      <c r="AE99" s="220">
        <f t="shared" ca="1" si="12"/>
        <v>5.7854078129028789E-3</v>
      </c>
    </row>
    <row r="100" spans="1:31" customFormat="1" ht="15">
      <c r="A100" s="220"/>
      <c r="B100" s="267">
        <v>62</v>
      </c>
      <c r="C100" s="68" t="s">
        <v>566</v>
      </c>
      <c r="D100" s="246">
        <f t="shared" ca="1" si="6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1.69288270135777E-4</v>
      </c>
      <c r="J100" s="403">
        <f ca="1"/>
        <v>4.3983686953113398E-4</v>
      </c>
      <c r="K100" s="403">
        <f ca="1"/>
        <v>0.38488876641068798</v>
      </c>
      <c r="L100" s="403">
        <f ca="1"/>
        <v>0.38488876641068798</v>
      </c>
      <c r="M100" s="403">
        <f ca="1"/>
        <v>-4.5706572006977398E-4</v>
      </c>
      <c r="N100" s="403" t="str">
        <f ca="1"/>
        <v>SES</v>
      </c>
      <c r="O100" s="403">
        <f ca="1"/>
        <v>0.67748836597201001</v>
      </c>
      <c r="P100" s="403">
        <f ca="1"/>
        <v>0.72153337275684903</v>
      </c>
      <c r="Q100" s="403">
        <f ca="1"/>
        <v>0.93895638310318097</v>
      </c>
      <c r="R100" s="441">
        <f ca="1"/>
        <v>0.93895638310318097</v>
      </c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2.9964870782264501E-2</v>
      </c>
      <c r="U100" s="413">
        <f ca="1"/>
        <v>7.5529165002354098E-2</v>
      </c>
      <c r="V100" s="413">
        <f ca="1"/>
        <v>4.5564294220089598E-2</v>
      </c>
      <c r="W100" s="414">
        <f ca="1"/>
        <v>1.6576393049681601E-2</v>
      </c>
      <c r="X100" s="415">
        <f ca="1"/>
        <v>4.5564294220089598</v>
      </c>
      <c r="Y100" s="416">
        <f t="shared" ca="1" si="7"/>
        <v>9.8648926691713767E-2</v>
      </c>
      <c r="Z100" s="417">
        <f t="shared" ca="1" si="8"/>
        <v>-7.4508710614035805E-3</v>
      </c>
      <c r="AA100" s="416">
        <f t="shared" ca="1" si="9"/>
        <v>0.12829625547022933</v>
      </c>
      <c r="AB100" s="418">
        <f t="shared" ca="1" si="10"/>
        <v>1.5747573397197519E-2</v>
      </c>
      <c r="AC100" s="417">
        <f t="shared" ca="1" si="11"/>
        <v>-4.8450545242975732E-4</v>
      </c>
      <c r="AD100" s="220"/>
      <c r="AE100" s="220">
        <f t="shared" ca="1" si="12"/>
        <v>2.1916348710331959E-2</v>
      </c>
    </row>
    <row r="101" spans="1:31" customFormat="1" ht="15">
      <c r="A101" s="220"/>
      <c r="B101" s="267">
        <v>63</v>
      </c>
      <c r="C101" s="68" t="s">
        <v>576</v>
      </c>
      <c r="D101" s="246">
        <f t="shared" ca="1" si="6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1.01777697187666E-4</v>
      </c>
      <c r="J101" s="403">
        <f ca="1"/>
        <v>4.8887196914248305E-4</v>
      </c>
      <c r="K101" s="403">
        <f ca="1"/>
        <v>0.20818885845754601</v>
      </c>
      <c r="L101" s="403">
        <f ca="1"/>
        <v>0.20818885845754601</v>
      </c>
      <c r="M101" s="403">
        <f ca="1"/>
        <v>-4.74019535944503E-5</v>
      </c>
      <c r="N101" s="403" t="str">
        <f ca="1"/>
        <v>SKY LIMITED</v>
      </c>
      <c r="O101" s="403">
        <f ca="1"/>
        <v>0.68778324420063996</v>
      </c>
      <c r="P101" s="403">
        <f ca="1"/>
        <v>0.788760391473464</v>
      </c>
      <c r="Q101" s="403">
        <f ca="1"/>
        <v>0.87197994680717805</v>
      </c>
      <c r="R101" s="441">
        <f ca="1"/>
        <v>0.87197994680717805</v>
      </c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-4.0800412077329901E-2</v>
      </c>
      <c r="U101" s="413">
        <f ca="1"/>
        <v>6.8156317990683496E-3</v>
      </c>
      <c r="V101" s="413">
        <f ca="1"/>
        <v>4.7616043876398298E-2</v>
      </c>
      <c r="W101" s="414">
        <f ca="1"/>
        <v>1.4313729668009301E-3</v>
      </c>
      <c r="X101" s="415">
        <f ca="1"/>
        <v>4.7616043876398297</v>
      </c>
      <c r="Y101" s="416">
        <f t="shared" ca="1" si="7"/>
        <v>9.8648926691713767E-2</v>
      </c>
      <c r="Z101" s="417">
        <f t="shared" ca="1" si="8"/>
        <v>-6.7235476170400673E-4</v>
      </c>
      <c r="AA101" s="416">
        <f t="shared" ca="1" si="9"/>
        <v>6.9396286152515335E-2</v>
      </c>
      <c r="AB101" s="418">
        <f t="shared" ca="1" si="10"/>
        <v>1.3598043184608836E-3</v>
      </c>
      <c r="AC101" s="417">
        <f t="shared" ca="1" si="11"/>
        <v>-2.3648976731916505E-5</v>
      </c>
      <c r="AD101" s="220"/>
      <c r="AE101" s="220">
        <f t="shared" ca="1" si="12"/>
        <v>1.8373751376222752E-3</v>
      </c>
    </row>
    <row r="102" spans="1:31" customFormat="1" ht="15">
      <c r="A102" s="220"/>
      <c r="B102" s="267">
        <v>64</v>
      </c>
      <c r="C102" s="68" t="s">
        <v>615</v>
      </c>
      <c r="D102" s="246">
        <f t="shared" ca="1" si="6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1.21302779252206E-4</v>
      </c>
      <c r="J102" s="403">
        <f ca="1"/>
        <v>4.8219993767282903E-4</v>
      </c>
      <c r="K102" s="403">
        <f ca="1"/>
        <v>0.251561167422858</v>
      </c>
      <c r="L102" s="403">
        <f ca="1"/>
        <v>0.251561167422858</v>
      </c>
      <c r="M102" s="403">
        <f ca="1"/>
        <v>-1.06244052428588E-4</v>
      </c>
      <c r="N102" s="403" t="str">
        <f ca="1"/>
        <v>STMICROELECTRONICS N.V.</v>
      </c>
      <c r="O102" s="403">
        <f ca="1"/>
        <v>0.68694619436469995</v>
      </c>
      <c r="P102" s="403">
        <f ca="1"/>
        <v>0.780510594001113</v>
      </c>
      <c r="Q102" s="403">
        <f ca="1"/>
        <v>0.88012411316959105</v>
      </c>
      <c r="R102" s="441">
        <f ca="1"/>
        <v>0.88012411316959105</v>
      </c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-3.2116414738013702E-2</v>
      </c>
      <c r="U102" s="413">
        <f ca="1"/>
        <v>1.52466815047824E-2</v>
      </c>
      <c r="V102" s="413">
        <f ca="1"/>
        <v>4.7363096242796103E-2</v>
      </c>
      <c r="W102" s="414">
        <f ca="1"/>
        <v>3.2191057414455702E-3</v>
      </c>
      <c r="X102" s="415">
        <f ca="1"/>
        <v>4.7363096242796097</v>
      </c>
      <c r="Y102" s="416">
        <f t="shared" ca="1" si="7"/>
        <v>9.8648926691713767E-2</v>
      </c>
      <c r="Z102" s="417">
        <f t="shared" ca="1" si="8"/>
        <v>-1.5040687660571874E-3</v>
      </c>
      <c r="AA102" s="416">
        <f t="shared" ca="1" si="9"/>
        <v>8.3853722474286005E-2</v>
      </c>
      <c r="AB102" s="418">
        <f t="shared" ca="1" si="10"/>
        <v>3.0581504543732915E-3</v>
      </c>
      <c r="AC102" s="417">
        <f t="shared" ca="1" si="11"/>
        <v>-6.3924549977792711E-5</v>
      </c>
      <c r="AD102" s="220"/>
      <c r="AE102" s="220">
        <f t="shared" ca="1" si="12"/>
        <v>4.3306960403219075E-3</v>
      </c>
    </row>
    <row r="103" spans="1:31" customFormat="1" ht="15">
      <c r="A103" s="220"/>
      <c r="B103" s="267">
        <v>65</v>
      </c>
      <c r="C103" s="68" t="s">
        <v>567</v>
      </c>
      <c r="D103" s="246">
        <f t="shared" ca="1" si="6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1.3977836147263599E-4</v>
      </c>
      <c r="J103" s="403">
        <f ca="1"/>
        <v>4.5749822516459501E-4</v>
      </c>
      <c r="K103" s="403">
        <f ca="1"/>
        <v>0.30552765843484497</v>
      </c>
      <c r="L103" s="403">
        <f ca="1"/>
        <v>0.30552765843484497</v>
      </c>
      <c r="M103" s="403">
        <f ca="1"/>
        <v>-2.2102994096309599E-4</v>
      </c>
      <c r="N103" s="403" t="str">
        <f ca="1"/>
        <v>TELEFONICA, S.A.</v>
      </c>
      <c r="O103" s="403">
        <f ca="1"/>
        <v>0.68474106278058</v>
      </c>
      <c r="P103" s="403">
        <f ca="1"/>
        <v>0.76330702631846303</v>
      </c>
      <c r="Q103" s="403">
        <f ca="1"/>
        <v>0.89707160968133903</v>
      </c>
      <c r="R103" s="441">
        <f ca="1"/>
        <v>0.89707160968133903</v>
      </c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-1.40073961246982E-2</v>
      </c>
      <c r="U103" s="413">
        <f ca="1"/>
        <v>3.2858685137863497E-2</v>
      </c>
      <c r="V103" s="413">
        <f ca="1"/>
        <v>4.6866081262561698E-2</v>
      </c>
      <c r="W103" s="414">
        <f ca="1"/>
        <v>7.0111868226781296E-3</v>
      </c>
      <c r="X103" s="415">
        <f ca="1"/>
        <v>4.6866081262561696</v>
      </c>
      <c r="Y103" s="416">
        <f t="shared" ca="1" si="7"/>
        <v>9.8648926691713767E-2</v>
      </c>
      <c r="Z103" s="417">
        <f t="shared" ca="1" si="8"/>
        <v>-3.2414740213512006E-3</v>
      </c>
      <c r="AA103" s="416">
        <f t="shared" ca="1" si="9"/>
        <v>0.10184255281161499</v>
      </c>
      <c r="AB103" s="418">
        <f t="shared" ca="1" si="10"/>
        <v>6.6606274815442226E-3</v>
      </c>
      <c r="AC103" s="417">
        <f t="shared" ca="1" si="11"/>
        <v>-1.6732061882365483E-4</v>
      </c>
      <c r="AD103" s="220"/>
      <c r="AE103" s="220">
        <f t="shared" ca="1" si="12"/>
        <v>8.9864229916841332E-3</v>
      </c>
    </row>
    <row r="104" spans="1:31" customFormat="1" ht="15">
      <c r="A104" s="220"/>
      <c r="B104" s="267">
        <v>66</v>
      </c>
      <c r="C104" s="68" t="s">
        <v>577</v>
      </c>
      <c r="D104" s="246">
        <f t="shared" ref="D104:D133" ca="1" si="13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1.1405193366595E-4</v>
      </c>
      <c r="J104" s="403">
        <f ca="1"/>
        <v>4.8531050197100602E-4</v>
      </c>
      <c r="K104" s="403">
        <f ca="1"/>
        <v>0.23500817147526701</v>
      </c>
      <c r="L104" s="403">
        <f ca="1"/>
        <v>0.23500817147526701</v>
      </c>
      <c r="M104" s="403">
        <f ca="1"/>
        <v>-8.0237169620747201E-5</v>
      </c>
      <c r="N104" s="403" t="str">
        <f ca="1"/>
        <v>TELEKOM AUSTRIA AKTIENGESELLSCHAFT</v>
      </c>
      <c r="O104" s="403">
        <f ca="1"/>
        <v>0.68735028559248001</v>
      </c>
      <c r="P104" s="403">
        <f ca="1"/>
        <v>0.78419585447907703</v>
      </c>
      <c r="Q104" s="403">
        <f ca="1"/>
        <v>0.87650333990744</v>
      </c>
      <c r="R104" s="441">
        <f ca="1"/>
        <v>0.87650333990744</v>
      </c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-3.5995636293765301E-2</v>
      </c>
      <c r="U104" s="413">
        <f ca="1"/>
        <v>1.14901402509935E-2</v>
      </c>
      <c r="V104" s="413">
        <f ca="1"/>
        <v>4.7485776544758801E-2</v>
      </c>
      <c r="W104" s="414">
        <f ca="1"/>
        <v>2.41970145316317E-3</v>
      </c>
      <c r="X104" s="415">
        <f ca="1"/>
        <v>4.7485776544758798</v>
      </c>
      <c r="Y104" s="416">
        <f t="shared" ca="1" si="7"/>
        <v>9.8648926691713767E-2</v>
      </c>
      <c r="Z104" s="417">
        <f t="shared" ca="1" si="8"/>
        <v>-1.1334900032977618E-3</v>
      </c>
      <c r="AA104" s="416">
        <f t="shared" ca="1" si="9"/>
        <v>7.8336057158422331E-2</v>
      </c>
      <c r="AB104" s="418">
        <f t="shared" ca="1" si="10"/>
        <v>2.2987163805050113E-3</v>
      </c>
      <c r="AC104" s="417">
        <f t="shared" ca="1" si="11"/>
        <v>-4.5004614173005637E-5</v>
      </c>
      <c r="AD104" s="220"/>
      <c r="AE104" s="220">
        <f t="shared" ca="1" si="12"/>
        <v>3.0469274122941516E-3</v>
      </c>
    </row>
    <row r="105" spans="1:31" customFormat="1" ht="15">
      <c r="A105" s="220"/>
      <c r="B105" s="267">
        <v>67</v>
      </c>
      <c r="C105" s="68" t="s">
        <v>568</v>
      </c>
      <c r="D105" s="246">
        <f t="shared" ca="1" si="13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1.16699615193116E-4</v>
      </c>
      <c r="J105" s="403">
        <f ca="1"/>
        <v>4.8422134211693999E-4</v>
      </c>
      <c r="K105" s="403">
        <f ca="1"/>
        <v>0.24100469153821999</v>
      </c>
      <c r="L105" s="403">
        <f ca="1"/>
        <v>0.24100469153821999</v>
      </c>
      <c r="M105" s="403">
        <f ca="1"/>
        <v>-8.9106243057153204E-5</v>
      </c>
      <c r="N105" s="403" t="str">
        <f ca="1"/>
        <v>TELENOR ASA</v>
      </c>
      <c r="O105" s="403">
        <f ca="1"/>
        <v>0.68721257083290999</v>
      </c>
      <c r="P105" s="403">
        <f ca="1"/>
        <v>0.78294727870366498</v>
      </c>
      <c r="Q105" s="403">
        <f ca="1"/>
        <v>0.87772521793643099</v>
      </c>
      <c r="R105" s="441">
        <f ca="1"/>
        <v>0.87772521793643099</v>
      </c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-3.4681346003858297E-2</v>
      </c>
      <c r="U105" s="413">
        <f ca="1"/>
        <v>1.27558937006273E-2</v>
      </c>
      <c r="V105" s="413">
        <f ca="1"/>
        <v>4.7437239704485601E-2</v>
      </c>
      <c r="W105" s="414">
        <f ca="1"/>
        <v>2.6890042043110499E-3</v>
      </c>
      <c r="X105" s="415">
        <f ca="1"/>
        <v>4.7437239704485599</v>
      </c>
      <c r="Y105" s="416">
        <f t="shared" ca="1" si="7"/>
        <v>9.8648926691713767E-2</v>
      </c>
      <c r="Z105" s="417">
        <f t="shared" ca="1" si="8"/>
        <v>-1.2583552225604745E-3</v>
      </c>
      <c r="AA105" s="416">
        <f t="shared" ca="1" si="9"/>
        <v>8.0334897179406659E-2</v>
      </c>
      <c r="AB105" s="418">
        <f t="shared" ca="1" si="10"/>
        <v>2.5545539940954971E-3</v>
      </c>
      <c r="AC105" s="417">
        <f t="shared" ca="1" si="11"/>
        <v>-5.123717044356681E-5</v>
      </c>
      <c r="AD105" s="220"/>
      <c r="AE105" s="220">
        <f t="shared" ca="1" si="12"/>
        <v>3.6043997981093688E-3</v>
      </c>
    </row>
    <row r="106" spans="1:31" customFormat="1" ht="15">
      <c r="A106" s="220"/>
      <c r="B106" s="267">
        <v>68</v>
      </c>
      <c r="C106" s="68" t="s">
        <v>569</v>
      </c>
      <c r="D106" s="246">
        <f t="shared" ca="1" si="13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1.17693199206137E-4</v>
      </c>
      <c r="J106" s="403">
        <f ca="1"/>
        <v>4.8381862471692398E-4</v>
      </c>
      <c r="K106" s="403">
        <f ca="1"/>
        <v>0.24325892636935501</v>
      </c>
      <c r="L106" s="403">
        <f ca="1"/>
        <v>0.24325892636935501</v>
      </c>
      <c r="M106" s="403">
        <f ca="1"/>
        <v>-9.2613239309797797E-5</v>
      </c>
      <c r="N106" s="403" t="str">
        <f ca="1"/>
        <v>TELIA COMPANY AB</v>
      </c>
      <c r="O106" s="403">
        <f ca="1"/>
        <v>0.68716003092795996</v>
      </c>
      <c r="P106" s="403">
        <f ca="1"/>
        <v>0.78245114480298095</v>
      </c>
      <c r="Q106" s="403">
        <f ca="1"/>
        <v>0.87821461504920495</v>
      </c>
      <c r="R106" s="441">
        <f ca="1"/>
        <v>0.87821461504920495</v>
      </c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-3.4159099792611801E-2</v>
      </c>
      <c r="U106" s="413">
        <f ca="1"/>
        <v>1.3263797098353999E-2</v>
      </c>
      <c r="V106" s="413">
        <f ca="1"/>
        <v>4.74228968909658E-2</v>
      </c>
      <c r="W106" s="414">
        <f ca="1"/>
        <v>2.7969183596797099E-3</v>
      </c>
      <c r="X106" s="415">
        <f ca="1"/>
        <v>4.7422896890965802</v>
      </c>
      <c r="Y106" s="416">
        <f t="shared" ca="1" si="7"/>
        <v>9.8648926691713767E-2</v>
      </c>
      <c r="Z106" s="417">
        <f t="shared" ca="1" si="8"/>
        <v>-1.3084593476092904E-3</v>
      </c>
      <c r="AA106" s="416">
        <f t="shared" ca="1" si="9"/>
        <v>8.1086308789784997E-2</v>
      </c>
      <c r="AB106" s="418">
        <f t="shared" ca="1" si="10"/>
        <v>2.6570724416957242E-3</v>
      </c>
      <c r="AC106" s="417">
        <f t="shared" ca="1" si="11"/>
        <v>-5.3775617362109445E-5</v>
      </c>
      <c r="AD106" s="220"/>
      <c r="AE106" s="220">
        <f t="shared" ca="1" si="12"/>
        <v>3.7390482866800868E-3</v>
      </c>
    </row>
    <row r="107" spans="1:31" customFormat="1" ht="15">
      <c r="A107" s="220"/>
      <c r="B107" s="267">
        <v>69</v>
      </c>
      <c r="C107" s="68" t="s">
        <v>578</v>
      </c>
      <c r="D107" s="246">
        <f t="shared" ca="1" si="13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1.3453089048272499E-4</v>
      </c>
      <c r="J107" s="403">
        <f ca="1"/>
        <v>4.6185520710684101E-4</v>
      </c>
      <c r="K107" s="403">
        <f ca="1"/>
        <v>0.29128369327143699</v>
      </c>
      <c r="L107" s="403">
        <f ca="1"/>
        <v>0.29128369327143699</v>
      </c>
      <c r="M107" s="403">
        <f ca="1"/>
        <v>-1.86239210093935E-4</v>
      </c>
      <c r="N107" s="403" t="str">
        <f ca="1"/>
        <v>VIVENDI SE</v>
      </c>
      <c r="O107" s="403">
        <f ca="1"/>
        <v>0.68550934434302002</v>
      </c>
      <c r="P107" s="403">
        <f ca="1"/>
        <v>0.76870399874214301</v>
      </c>
      <c r="Q107" s="403">
        <f ca="1"/>
        <v>0.89177283514167005</v>
      </c>
      <c r="R107" s="441">
        <f ca="1"/>
        <v>0.89177283514167005</v>
      </c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-1.9688419728571601E-2</v>
      </c>
      <c r="U107" s="413">
        <f ca="1"/>
        <v>2.7361036686663499E-2</v>
      </c>
      <c r="V107" s="413">
        <f ca="1"/>
        <v>4.70494564152351E-2</v>
      </c>
      <c r="W107" s="414">
        <f ca="1"/>
        <v>5.8153778537181301E-3</v>
      </c>
      <c r="X107" s="415">
        <f ca="1"/>
        <v>4.7049456415235102</v>
      </c>
      <c r="Y107" s="416">
        <f t="shared" ca="1" si="7"/>
        <v>9.8648926691713767E-2</v>
      </c>
      <c r="Z107" s="417">
        <f t="shared" ca="1" si="8"/>
        <v>-2.6991369023119547E-3</v>
      </c>
      <c r="AA107" s="416">
        <f t="shared" ca="1" si="9"/>
        <v>9.7094564423812327E-2</v>
      </c>
      <c r="AB107" s="418">
        <f t="shared" ca="1" si="10"/>
        <v>5.5246089610322237E-3</v>
      </c>
      <c r="AC107" s="417">
        <f t="shared" ca="1" si="11"/>
        <v>-1.3283039696377683E-4</v>
      </c>
      <c r="AD107" s="220"/>
      <c r="AE107" s="220">
        <f t="shared" ca="1" si="12"/>
        <v>7.0428294269594153E-3</v>
      </c>
    </row>
    <row r="108" spans="1:31" customFormat="1" ht="15">
      <c r="A108" s="220"/>
      <c r="B108" s="267">
        <v>70</v>
      </c>
      <c r="C108" s="68" t="s">
        <v>570</v>
      </c>
      <c r="D108" s="246">
        <f t="shared" ca="1" si="13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1.3947691263186199E-4</v>
      </c>
      <c r="J108" s="403">
        <f ca="1"/>
        <v>4.5775536526796698E-4</v>
      </c>
      <c r="K108" s="403">
        <f ca="1"/>
        <v>0.30469749393371498</v>
      </c>
      <c r="L108" s="403">
        <f ca="1"/>
        <v>0.30469749393371498</v>
      </c>
      <c r="M108" s="403">
        <f ca="1"/>
        <v>-2.18940598718978E-4</v>
      </c>
      <c r="N108" s="403" t="str">
        <f ca="1"/>
        <v>VODAFONE GROUP PUBLIC LIMITED COMPANY</v>
      </c>
      <c r="O108" s="403">
        <f ca="1"/>
        <v>0.68479755218840999</v>
      </c>
      <c r="P108" s="403">
        <f ca="1"/>
        <v>0.76363971531256503</v>
      </c>
      <c r="Q108" s="403">
        <f ca="1"/>
        <v>0.89675476334820503</v>
      </c>
      <c r="R108" s="441">
        <f ca="1"/>
        <v>0.89675476334820503</v>
      </c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-1.43575950658583E-2</v>
      </c>
      <c r="U108" s="413">
        <f ca="1"/>
        <v>3.2530731404931103E-2</v>
      </c>
      <c r="V108" s="413">
        <f ca="1"/>
        <v>4.6888326470789402E-2</v>
      </c>
      <c r="W108" s="414">
        <f ca="1"/>
        <v>6.9379169301760297E-3</v>
      </c>
      <c r="X108" s="415">
        <f ca="1"/>
        <v>4.6888326470789403</v>
      </c>
      <c r="Y108" s="416">
        <f t="shared" ca="1" si="7"/>
        <v>9.8648926691713767E-2</v>
      </c>
      <c r="Z108" s="417">
        <f t="shared" ca="1" si="8"/>
        <v>-3.2091217375928758E-3</v>
      </c>
      <c r="AA108" s="416">
        <f t="shared" ca="1" si="9"/>
        <v>0.10156583131123832</v>
      </c>
      <c r="AB108" s="418">
        <f t="shared" ca="1" si="10"/>
        <v>6.5910210836672275E-3</v>
      </c>
      <c r="AC108" s="417">
        <f t="shared" ca="1" si="11"/>
        <v>-1.6520053891522189E-4</v>
      </c>
      <c r="AD108" s="220"/>
      <c r="AE108" s="220">
        <f t="shared" ca="1" si="12"/>
        <v>8.6732714407551301E-3</v>
      </c>
    </row>
    <row r="109" spans="1:31" customFormat="1" ht="15">
      <c r="A109" s="220"/>
      <c r="B109" s="267">
        <v>71</v>
      </c>
      <c r="C109" s="68" t="s">
        <v>571</v>
      </c>
      <c r="D109" s="246">
        <f t="shared" ca="1" si="13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1.3879008863885401E-4</v>
      </c>
      <c r="J109" s="403">
        <f ca="1"/>
        <v>4.5839786028031398E-4</v>
      </c>
      <c r="K109" s="403">
        <f ca="1"/>
        <v>0.30277211275371702</v>
      </c>
      <c r="L109" s="403">
        <f ca="1"/>
        <v>0.30277211275371702</v>
      </c>
      <c r="M109" s="403">
        <f ca="1"/>
        <v>-2.1404570426158701E-4</v>
      </c>
      <c r="N109" s="403" t="str">
        <f ca="1"/>
        <v>WPP 2005 LIMITED</v>
      </c>
      <c r="O109" s="403">
        <f ca="1"/>
        <v>0.68488702460920003</v>
      </c>
      <c r="P109" s="403">
        <f ca="1"/>
        <v>0.76439747616667897</v>
      </c>
      <c r="Q109" s="403">
        <f ca="1"/>
        <v>0.89598284395677197</v>
      </c>
      <c r="R109" s="441">
        <f ca="1"/>
        <v>0.89598284395677197</v>
      </c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-1.5155238070188599E-2</v>
      </c>
      <c r="U109" s="413">
        <f ca="1"/>
        <v>3.17294439441159E-2</v>
      </c>
      <c r="V109" s="413">
        <f ca="1"/>
        <v>4.6884682014304499E-2</v>
      </c>
      <c r="W109" s="414">
        <f ca="1"/>
        <v>6.76755020636276E-3</v>
      </c>
      <c r="X109" s="415">
        <f ca="1"/>
        <v>4.6884682014304504</v>
      </c>
      <c r="Y109" s="416">
        <f t="shared" ca="1" si="7"/>
        <v>9.8648926691713767E-2</v>
      </c>
      <c r="Z109" s="417">
        <f t="shared" ca="1" si="8"/>
        <v>-3.1300755896119291E-3</v>
      </c>
      <c r="AA109" s="416">
        <f t="shared" ca="1" si="9"/>
        <v>0.10092403758457234</v>
      </c>
      <c r="AB109" s="418">
        <f t="shared" ca="1" si="10"/>
        <v>6.4291726960446216E-3</v>
      </c>
      <c r="AC109" s="417">
        <f t="shared" ca="1" si="11"/>
        <v>-1.6011317965767681E-4</v>
      </c>
      <c r="AD109" s="220"/>
      <c r="AE109" s="220">
        <f t="shared" ca="1" si="12"/>
        <v>8.9196610944298673E-3</v>
      </c>
    </row>
    <row r="110" spans="1:31" customFormat="1" ht="15">
      <c r="A110" s="220"/>
      <c r="B110" s="267">
        <v>72</v>
      </c>
      <c r="C110" s="68" t="s">
        <v>572</v>
      </c>
      <c r="D110" s="246">
        <f t="shared" ca="1" si="13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403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7"/>
        <v/>
      </c>
      <c r="Z110" s="417" t="str">
        <f t="shared" ca="1" si="8"/>
        <v/>
      </c>
      <c r="AA110" s="416" t="str">
        <f t="shared" ca="1" si="9"/>
        <v/>
      </c>
      <c r="AB110" s="418" t="str">
        <f t="shared" ca="1" si="10"/>
        <v/>
      </c>
      <c r="AC110" s="417" t="str">
        <f t="shared" ca="1" si="11"/>
        <v/>
      </c>
      <c r="AD110" s="220"/>
    </row>
    <row r="111" spans="1:31" customFormat="1" ht="15">
      <c r="A111" s="220"/>
      <c r="B111" s="267">
        <v>73</v>
      </c>
      <c r="C111" s="68" t="s">
        <v>573</v>
      </c>
      <c r="D111" s="246">
        <f t="shared" ca="1" si="13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403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7"/>
        <v/>
      </c>
      <c r="Z111" s="417" t="str">
        <f t="shared" ca="1" si="8"/>
        <v/>
      </c>
      <c r="AA111" s="416" t="str">
        <f t="shared" ca="1" si="9"/>
        <v/>
      </c>
      <c r="AB111" s="418" t="str">
        <f t="shared" ca="1" si="10"/>
        <v/>
      </c>
      <c r="AC111" s="417" t="str">
        <f t="shared" ca="1" si="11"/>
        <v/>
      </c>
      <c r="AD111" s="220"/>
    </row>
    <row r="112" spans="1:31" customFormat="1" ht="15">
      <c r="A112" s="220"/>
      <c r="B112" s="267">
        <v>74</v>
      </c>
      <c r="C112" s="68" t="s">
        <v>574</v>
      </c>
      <c r="D112" s="246">
        <f t="shared" ca="1" si="13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403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7"/>
        <v/>
      </c>
      <c r="Z112" s="417" t="str">
        <f t="shared" ca="1" si="8"/>
        <v/>
      </c>
      <c r="AA112" s="416" t="str">
        <f t="shared" ca="1" si="9"/>
        <v/>
      </c>
      <c r="AB112" s="418" t="str">
        <f t="shared" ca="1" si="10"/>
        <v/>
      </c>
      <c r="AC112" s="417" t="str">
        <f t="shared" ca="1" si="11"/>
        <v/>
      </c>
      <c r="AD112" s="220"/>
    </row>
    <row r="113" spans="1:30" customFormat="1" ht="15">
      <c r="A113" s="220"/>
      <c r="B113" s="267">
        <v>75</v>
      </c>
      <c r="C113" s="68" t="s">
        <v>579</v>
      </c>
      <c r="D113" s="246">
        <f t="shared" ca="1" si="13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403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7"/>
        <v/>
      </c>
      <c r="Z113" s="417" t="str">
        <f t="shared" ca="1" si="8"/>
        <v/>
      </c>
      <c r="AA113" s="416" t="str">
        <f t="shared" ca="1" si="9"/>
        <v/>
      </c>
      <c r="AB113" s="418" t="str">
        <f t="shared" ca="1" si="10"/>
        <v/>
      </c>
      <c r="AC113" s="417" t="str">
        <f t="shared" ca="1" si="11"/>
        <v/>
      </c>
      <c r="AD113" s="220"/>
    </row>
    <row r="114" spans="1:30" customFormat="1" ht="15">
      <c r="A114" s="220"/>
      <c r="B114" s="267">
        <v>76</v>
      </c>
      <c r="C114" s="68" t="s">
        <v>580</v>
      </c>
      <c r="D114" s="246">
        <f t="shared" ca="1" si="13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403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7"/>
        <v/>
      </c>
      <c r="Z114" s="417" t="str">
        <f t="shared" ca="1" si="8"/>
        <v/>
      </c>
      <c r="AA114" s="416" t="str">
        <f t="shared" ca="1" si="9"/>
        <v/>
      </c>
      <c r="AB114" s="418" t="str">
        <f t="shared" ca="1" si="10"/>
        <v/>
      </c>
      <c r="AC114" s="417" t="str">
        <f t="shared" ca="1" si="11"/>
        <v/>
      </c>
      <c r="AD114" s="220"/>
    </row>
    <row r="115" spans="1:30" customFormat="1" ht="15">
      <c r="A115" s="220"/>
      <c r="B115" s="267">
        <v>77</v>
      </c>
      <c r="C115" s="68" t="s">
        <v>575</v>
      </c>
      <c r="D115" s="246">
        <f t="shared" ca="1" si="13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403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7"/>
        <v/>
      </c>
      <c r="Z115" s="417" t="str">
        <f t="shared" ca="1" si="8"/>
        <v/>
      </c>
      <c r="AA115" s="416" t="str">
        <f t="shared" ca="1" si="9"/>
        <v/>
      </c>
      <c r="AB115" s="418" t="str">
        <f t="shared" ca="1" si="10"/>
        <v/>
      </c>
      <c r="AC115" s="417" t="str">
        <f t="shared" ca="1" si="11"/>
        <v/>
      </c>
      <c r="AD115" s="220"/>
    </row>
    <row r="116" spans="1:30" customFormat="1" ht="15">
      <c r="A116" s="220"/>
      <c r="B116" s="267">
        <v>78</v>
      </c>
      <c r="C116" s="68" t="s">
        <v>581</v>
      </c>
      <c r="D116" s="246">
        <f t="shared" ca="1" si="13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403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7"/>
        <v/>
      </c>
      <c r="Z116" s="417" t="str">
        <f t="shared" ca="1" si="8"/>
        <v/>
      </c>
      <c r="AA116" s="416" t="str">
        <f t="shared" ca="1" si="9"/>
        <v/>
      </c>
      <c r="AB116" s="418" t="str">
        <f t="shared" ca="1" si="10"/>
        <v/>
      </c>
      <c r="AC116" s="417" t="str">
        <f t="shared" ca="1" si="11"/>
        <v/>
      </c>
      <c r="AD116" s="220"/>
    </row>
    <row r="117" spans="1:30" customFormat="1" ht="15">
      <c r="A117" s="220"/>
      <c r="B117" s="267">
        <v>79</v>
      </c>
      <c r="C117" s="68" t="s">
        <v>582</v>
      </c>
      <c r="D117" s="246">
        <f t="shared" ca="1" si="13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403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7"/>
        <v/>
      </c>
      <c r="Z117" s="417" t="str">
        <f t="shared" ca="1" si="8"/>
        <v/>
      </c>
      <c r="AA117" s="416" t="str">
        <f t="shared" ca="1" si="9"/>
        <v/>
      </c>
      <c r="AB117" s="418" t="str">
        <f t="shared" ca="1" si="10"/>
        <v/>
      </c>
      <c r="AC117" s="417" t="str">
        <f t="shared" ca="1" si="11"/>
        <v/>
      </c>
      <c r="AD117" s="220"/>
    </row>
    <row r="118" spans="1:30" customFormat="1" ht="15">
      <c r="A118" s="220"/>
      <c r="B118" s="267">
        <v>80</v>
      </c>
      <c r="C118" s="68" t="s">
        <v>583</v>
      </c>
      <c r="D118" s="246">
        <f t="shared" ca="1" si="13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403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7"/>
        <v/>
      </c>
      <c r="Z118" s="417" t="str">
        <f t="shared" ca="1" si="8"/>
        <v/>
      </c>
      <c r="AA118" s="416" t="str">
        <f t="shared" ca="1" si="9"/>
        <v/>
      </c>
      <c r="AB118" s="418" t="str">
        <f t="shared" ca="1" si="10"/>
        <v/>
      </c>
      <c r="AC118" s="417" t="str">
        <f t="shared" ca="1" si="11"/>
        <v/>
      </c>
      <c r="AD118" s="220"/>
    </row>
    <row r="119" spans="1:30" customFormat="1" ht="15">
      <c r="A119" s="220"/>
      <c r="B119" s="267">
        <v>81</v>
      </c>
      <c r="C119" s="68" t="s">
        <v>584</v>
      </c>
      <c r="D119" s="246">
        <f t="shared" ca="1" si="13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403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7"/>
        <v/>
      </c>
      <c r="Z119" s="417" t="str">
        <f t="shared" ca="1" si="8"/>
        <v/>
      </c>
      <c r="AA119" s="416" t="str">
        <f t="shared" ca="1" si="9"/>
        <v/>
      </c>
      <c r="AB119" s="418" t="str">
        <f t="shared" ca="1" si="10"/>
        <v/>
      </c>
      <c r="AC119" s="417" t="str">
        <f t="shared" ca="1" si="11"/>
        <v/>
      </c>
      <c r="AD119" s="220"/>
    </row>
    <row r="120" spans="1:30" customFormat="1" ht="15">
      <c r="A120" s="220"/>
      <c r="B120" s="267">
        <v>82</v>
      </c>
      <c r="C120" s="68" t="s">
        <v>594</v>
      </c>
      <c r="D120" s="246">
        <f t="shared" ca="1" si="13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403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7"/>
        <v/>
      </c>
      <c r="Z120" s="417" t="str">
        <f t="shared" ca="1" si="8"/>
        <v/>
      </c>
      <c r="AA120" s="416" t="str">
        <f t="shared" ca="1" si="9"/>
        <v/>
      </c>
      <c r="AB120" s="418" t="str">
        <f t="shared" ca="1" si="10"/>
        <v/>
      </c>
      <c r="AC120" s="417" t="str">
        <f t="shared" ca="1" si="11"/>
        <v/>
      </c>
      <c r="AD120" s="220"/>
    </row>
    <row r="121" spans="1:30" customFormat="1" ht="15">
      <c r="A121" s="220"/>
      <c r="B121" s="267">
        <v>83</v>
      </c>
      <c r="C121" s="68" t="s">
        <v>585</v>
      </c>
      <c r="D121" s="246">
        <f t="shared" ca="1" si="13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403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7"/>
        <v/>
      </c>
      <c r="Z121" s="417" t="str">
        <f t="shared" ca="1" si="8"/>
        <v/>
      </c>
      <c r="AA121" s="416" t="str">
        <f t="shared" ca="1" si="9"/>
        <v/>
      </c>
      <c r="AB121" s="418" t="str">
        <f t="shared" ca="1" si="10"/>
        <v/>
      </c>
      <c r="AC121" s="417" t="str">
        <f t="shared" ca="1" si="11"/>
        <v/>
      </c>
      <c r="AD121" s="220"/>
    </row>
    <row r="122" spans="1:30" customFormat="1" ht="15">
      <c r="A122" s="220"/>
      <c r="B122" s="267">
        <v>84</v>
      </c>
      <c r="C122" s="68" t="s">
        <v>586</v>
      </c>
      <c r="D122" s="246">
        <f t="shared" ca="1" si="13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403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7"/>
        <v/>
      </c>
      <c r="Z122" s="417" t="str">
        <f t="shared" ca="1" si="8"/>
        <v/>
      </c>
      <c r="AA122" s="416" t="str">
        <f t="shared" ca="1" si="9"/>
        <v/>
      </c>
      <c r="AB122" s="418" t="str">
        <f t="shared" ca="1" si="10"/>
        <v/>
      </c>
      <c r="AC122" s="417" t="str">
        <f t="shared" ca="1" si="11"/>
        <v/>
      </c>
      <c r="AD122" s="220"/>
    </row>
    <row r="123" spans="1:30" customFormat="1" ht="15">
      <c r="A123" s="220"/>
      <c r="B123" s="267">
        <v>85</v>
      </c>
      <c r="C123" s="68" t="s">
        <v>595</v>
      </c>
      <c r="D123" s="246">
        <f t="shared" ca="1" si="13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403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7"/>
        <v/>
      </c>
      <c r="Z123" s="417" t="str">
        <f t="shared" ca="1" si="8"/>
        <v/>
      </c>
      <c r="AA123" s="416" t="str">
        <f t="shared" ca="1" si="9"/>
        <v/>
      </c>
      <c r="AB123" s="418" t="str">
        <f t="shared" ca="1" si="10"/>
        <v/>
      </c>
      <c r="AC123" s="417" t="str">
        <f t="shared" ca="1" si="11"/>
        <v/>
      </c>
      <c r="AD123" s="220"/>
    </row>
    <row r="124" spans="1:30" customFormat="1" ht="15">
      <c r="A124" s="220"/>
      <c r="B124" s="267">
        <v>86</v>
      </c>
      <c r="C124" s="68" t="s">
        <v>587</v>
      </c>
      <c r="D124" s="246">
        <f t="shared" ca="1" si="13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403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7"/>
        <v/>
      </c>
      <c r="Z124" s="417" t="str">
        <f t="shared" ca="1" si="8"/>
        <v/>
      </c>
      <c r="AA124" s="416" t="str">
        <f t="shared" ca="1" si="9"/>
        <v/>
      </c>
      <c r="AB124" s="418" t="str">
        <f t="shared" ca="1" si="10"/>
        <v/>
      </c>
      <c r="AC124" s="417" t="str">
        <f t="shared" ca="1" si="11"/>
        <v/>
      </c>
      <c r="AD124" s="220"/>
    </row>
    <row r="125" spans="1:30" customFormat="1" ht="15">
      <c r="A125" s="220"/>
      <c r="B125" s="267">
        <v>87</v>
      </c>
      <c r="C125" s="68" t="s">
        <v>616</v>
      </c>
      <c r="D125" s="246">
        <f t="shared" ca="1" si="13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403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7"/>
        <v/>
      </c>
      <c r="Z125" s="417" t="str">
        <f t="shared" ca="1" si="8"/>
        <v/>
      </c>
      <c r="AA125" s="416" t="str">
        <f t="shared" ca="1" si="9"/>
        <v/>
      </c>
      <c r="AB125" s="418" t="str">
        <f t="shared" ca="1" si="10"/>
        <v/>
      </c>
      <c r="AC125" s="417" t="str">
        <f t="shared" ca="1" si="11"/>
        <v/>
      </c>
      <c r="AD125" s="220"/>
    </row>
    <row r="126" spans="1:30" customFormat="1" ht="15">
      <c r="A126" s="220"/>
      <c r="B126" s="267">
        <v>88</v>
      </c>
      <c r="C126" s="68" t="s">
        <v>588</v>
      </c>
      <c r="D126" s="246">
        <f t="shared" ca="1" si="13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403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7"/>
        <v/>
      </c>
      <c r="Z126" s="417" t="str">
        <f t="shared" ca="1" si="8"/>
        <v/>
      </c>
      <c r="AA126" s="416" t="str">
        <f t="shared" ca="1" si="9"/>
        <v/>
      </c>
      <c r="AB126" s="418" t="str">
        <f t="shared" ca="1" si="10"/>
        <v/>
      </c>
      <c r="AC126" s="417" t="str">
        <f t="shared" ca="1" si="11"/>
        <v/>
      </c>
      <c r="AD126" s="220"/>
    </row>
    <row r="127" spans="1:30" customFormat="1" ht="15">
      <c r="A127" s="220"/>
      <c r="B127" s="267">
        <v>89</v>
      </c>
      <c r="C127" s="68" t="s">
        <v>596</v>
      </c>
      <c r="D127" s="246">
        <f t="shared" ca="1" si="13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403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7"/>
        <v/>
      </c>
      <c r="Z127" s="417" t="str">
        <f t="shared" ca="1" si="8"/>
        <v/>
      </c>
      <c r="AA127" s="416" t="str">
        <f t="shared" ca="1" si="9"/>
        <v/>
      </c>
      <c r="AB127" s="418" t="str">
        <f t="shared" ca="1" si="10"/>
        <v/>
      </c>
      <c r="AC127" s="417" t="str">
        <f t="shared" ca="1" si="11"/>
        <v/>
      </c>
      <c r="AD127" s="220"/>
    </row>
    <row r="128" spans="1:30" customFormat="1" ht="15">
      <c r="A128" s="220"/>
      <c r="B128" s="267">
        <v>90</v>
      </c>
      <c r="C128" s="68" t="s">
        <v>589</v>
      </c>
      <c r="D128" s="246">
        <f t="shared" ca="1" si="13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403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7"/>
        <v/>
      </c>
      <c r="Z128" s="417" t="str">
        <f t="shared" ca="1" si="8"/>
        <v/>
      </c>
      <c r="AA128" s="416" t="str">
        <f t="shared" ca="1" si="9"/>
        <v/>
      </c>
      <c r="AB128" s="418" t="str">
        <f t="shared" ca="1" si="10"/>
        <v/>
      </c>
      <c r="AC128" s="417" t="str">
        <f t="shared" ca="1" si="11"/>
        <v/>
      </c>
      <c r="AD128" s="220"/>
    </row>
    <row r="129" spans="1:30" customFormat="1" ht="15">
      <c r="A129" s="220"/>
      <c r="B129" s="267">
        <v>91</v>
      </c>
      <c r="C129" s="68" t="s">
        <v>597</v>
      </c>
      <c r="D129" s="246">
        <f t="shared" ca="1" si="13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403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7"/>
        <v/>
      </c>
      <c r="Z129" s="417" t="str">
        <f t="shared" ca="1" si="8"/>
        <v/>
      </c>
      <c r="AA129" s="416" t="str">
        <f t="shared" ca="1" si="9"/>
        <v/>
      </c>
      <c r="AB129" s="418" t="str">
        <f t="shared" ca="1" si="10"/>
        <v/>
      </c>
      <c r="AC129" s="417" t="str">
        <f t="shared" ca="1" si="11"/>
        <v/>
      </c>
      <c r="AD129" s="220"/>
    </row>
    <row r="130" spans="1:30" customFormat="1" ht="15">
      <c r="A130" s="220"/>
      <c r="B130" s="267">
        <v>92</v>
      </c>
      <c r="C130" s="68" t="s">
        <v>590</v>
      </c>
      <c r="D130" s="246">
        <f t="shared" ca="1" si="13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403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7"/>
        <v/>
      </c>
      <c r="Z130" s="417" t="str">
        <f t="shared" ca="1" si="8"/>
        <v/>
      </c>
      <c r="AA130" s="416" t="str">
        <f t="shared" ca="1" si="9"/>
        <v/>
      </c>
      <c r="AB130" s="418" t="str">
        <f t="shared" ca="1" si="10"/>
        <v/>
      </c>
      <c r="AC130" s="417" t="str">
        <f t="shared" ca="1" si="11"/>
        <v/>
      </c>
      <c r="AD130" s="220"/>
    </row>
    <row r="131" spans="1:30" customFormat="1" ht="15">
      <c r="A131" s="220"/>
      <c r="B131" s="267">
        <v>93</v>
      </c>
      <c r="C131" s="68" t="s">
        <v>591</v>
      </c>
      <c r="D131" s="246">
        <f t="shared" ca="1" si="13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403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7"/>
        <v/>
      </c>
      <c r="Z131" s="417" t="str">
        <f t="shared" ca="1" si="8"/>
        <v/>
      </c>
      <c r="AA131" s="416" t="str">
        <f t="shared" ca="1" si="9"/>
        <v/>
      </c>
      <c r="AB131" s="418" t="str">
        <f t="shared" ca="1" si="10"/>
        <v/>
      </c>
      <c r="AC131" s="417" t="str">
        <f t="shared" ca="1" si="11"/>
        <v/>
      </c>
      <c r="AD131" s="220"/>
    </row>
    <row r="132" spans="1:30" customFormat="1" ht="15">
      <c r="A132" s="220"/>
      <c r="B132" s="267">
        <v>94</v>
      </c>
      <c r="C132" s="68" t="s">
        <v>592</v>
      </c>
      <c r="D132" s="246">
        <f t="shared" ca="1" si="13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403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7"/>
        <v/>
      </c>
      <c r="Z132" s="417" t="str">
        <f t="shared" ca="1" si="8"/>
        <v/>
      </c>
      <c r="AA132" s="416" t="str">
        <f t="shared" ca="1" si="9"/>
        <v/>
      </c>
      <c r="AB132" s="418" t="str">
        <f t="shared" ca="1" si="10"/>
        <v/>
      </c>
      <c r="AC132" s="417" t="str">
        <f t="shared" ca="1" si="11"/>
        <v/>
      </c>
      <c r="AD132" s="220"/>
    </row>
    <row r="133" spans="1:30" customFormat="1" ht="15">
      <c r="A133" s="220"/>
      <c r="B133" s="267">
        <v>95</v>
      </c>
      <c r="C133" s="68" t="s">
        <v>593</v>
      </c>
      <c r="D133" s="246">
        <f t="shared" ca="1" si="13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403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7"/>
        <v/>
      </c>
      <c r="Z133" s="417" t="str">
        <f t="shared" ca="1" si="8"/>
        <v/>
      </c>
      <c r="AA133" s="416" t="str">
        <f t="shared" ca="1" si="9"/>
        <v/>
      </c>
      <c r="AB133" s="418" t="str">
        <f t="shared" ca="1" si="10"/>
        <v/>
      </c>
      <c r="AC133" s="417" t="str">
        <f t="shared" ca="1" si="11"/>
        <v/>
      </c>
      <c r="AD133" s="220"/>
    </row>
    <row r="134" spans="1:30" customFormat="1" ht="1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403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7"/>
        <v/>
      </c>
      <c r="Z134" s="417" t="str">
        <f t="shared" ca="1" si="8"/>
        <v/>
      </c>
      <c r="AA134" s="416" t="str">
        <f t="shared" ca="1" si="9"/>
        <v/>
      </c>
      <c r="AB134" s="418" t="str">
        <f t="shared" ca="1" si="10"/>
        <v/>
      </c>
      <c r="AC134" s="417" t="str">
        <f t="shared" ca="1" si="11"/>
        <v/>
      </c>
      <c r="AD134" s="220"/>
    </row>
    <row r="135" spans="1:30" customFormat="1" ht="1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403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7"/>
        <v/>
      </c>
      <c r="Z135" s="417" t="str">
        <f t="shared" ca="1" si="8"/>
        <v/>
      </c>
      <c r="AA135" s="416" t="str">
        <f t="shared" ca="1" si="9"/>
        <v/>
      </c>
      <c r="AB135" s="418" t="str">
        <f t="shared" ca="1" si="10"/>
        <v/>
      </c>
      <c r="AC135" s="417" t="str">
        <f t="shared" ca="1" si="11"/>
        <v/>
      </c>
      <c r="AD135" s="220"/>
    </row>
    <row r="136" spans="1:30" customFormat="1" ht="1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403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7"/>
        <v/>
      </c>
      <c r="Z136" s="417" t="str">
        <f t="shared" ca="1" si="8"/>
        <v/>
      </c>
      <c r="AA136" s="416" t="str">
        <f t="shared" ca="1" si="9"/>
        <v/>
      </c>
      <c r="AB136" s="418" t="str">
        <f t="shared" ca="1" si="10"/>
        <v/>
      </c>
      <c r="AC136" s="417" t="str">
        <f t="shared" ca="1" si="11"/>
        <v/>
      </c>
      <c r="AD136" s="220"/>
    </row>
    <row r="137" spans="1:30" customFormat="1" ht="1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403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7"/>
        <v/>
      </c>
      <c r="Z137" s="417" t="str">
        <f t="shared" ca="1" si="8"/>
        <v/>
      </c>
      <c r="AA137" s="416" t="str">
        <f t="shared" ca="1" si="9"/>
        <v/>
      </c>
      <c r="AB137" s="418" t="str">
        <f t="shared" ca="1" si="10"/>
        <v/>
      </c>
      <c r="AC137" s="417" t="str">
        <f t="shared" ca="1" si="11"/>
        <v/>
      </c>
      <c r="AD137" s="220"/>
    </row>
    <row r="138" spans="1:30" customFormat="1" ht="1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403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7"/>
        <v/>
      </c>
      <c r="Z138" s="417" t="str">
        <f t="shared" ca="1" si="8"/>
        <v/>
      </c>
      <c r="AA138" s="416" t="str">
        <f t="shared" ca="1" si="9"/>
        <v/>
      </c>
      <c r="AB138" s="418" t="str">
        <f t="shared" ca="1" si="10"/>
        <v/>
      </c>
      <c r="AC138" s="417" t="str">
        <f t="shared" ca="1" si="11"/>
        <v/>
      </c>
      <c r="AD138" s="220"/>
    </row>
    <row r="139" spans="1:30" customFormat="1" ht="1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403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7"/>
        <v/>
      </c>
      <c r="Z139" s="417" t="str">
        <f t="shared" ca="1" si="8"/>
        <v/>
      </c>
      <c r="AA139" s="416" t="str">
        <f t="shared" ca="1" si="9"/>
        <v/>
      </c>
      <c r="AB139" s="418" t="str">
        <f t="shared" ca="1" si="10"/>
        <v/>
      </c>
      <c r="AC139" s="417" t="str">
        <f t="shared" ca="1" si="11"/>
        <v/>
      </c>
      <c r="AD139" s="220"/>
    </row>
    <row r="140" spans="1:30" customFormat="1" ht="1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394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7"/>
        <v/>
      </c>
      <c r="Z140" s="417" t="str">
        <f t="shared" ca="1" si="8"/>
        <v/>
      </c>
      <c r="AA140" s="416" t="str">
        <f t="shared" ca="1" si="9"/>
        <v/>
      </c>
      <c r="AB140" s="418" t="str">
        <f t="shared" ca="1" si="10"/>
        <v/>
      </c>
      <c r="AC140" s="417" t="str">
        <f t="shared" ca="1" si="11"/>
        <v/>
      </c>
      <c r="AD140" s="220"/>
    </row>
    <row r="141" spans="1:30" customFormat="1" ht="1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394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7"/>
        <v/>
      </c>
      <c r="Z141" s="417" t="str">
        <f t="shared" ca="1" si="8"/>
        <v/>
      </c>
      <c r="AA141" s="416" t="str">
        <f t="shared" ca="1" si="9"/>
        <v/>
      </c>
      <c r="AB141" s="418" t="str">
        <f t="shared" ca="1" si="10"/>
        <v/>
      </c>
      <c r="AC141" s="417" t="str">
        <f t="shared" ca="1" si="11"/>
        <v/>
      </c>
      <c r="AD141" s="220"/>
    </row>
    <row r="142" spans="1:30" customFormat="1" ht="1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394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7"/>
        <v/>
      </c>
      <c r="Z142" s="417" t="str">
        <f t="shared" ca="1" si="8"/>
        <v/>
      </c>
      <c r="AA142" s="416" t="str">
        <f t="shared" ca="1" si="9"/>
        <v/>
      </c>
      <c r="AB142" s="418" t="str">
        <f t="shared" ca="1" si="10"/>
        <v/>
      </c>
      <c r="AC142" s="417" t="str">
        <f t="shared" ca="1" si="11"/>
        <v/>
      </c>
      <c r="AD142" s="220"/>
    </row>
    <row r="143" spans="1:30" customFormat="1" ht="1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394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7"/>
        <v/>
      </c>
      <c r="Z143" s="417" t="str">
        <f t="shared" ca="1" si="8"/>
        <v/>
      </c>
      <c r="AA143" s="416" t="str">
        <f t="shared" ca="1" si="9"/>
        <v/>
      </c>
      <c r="AB143" s="418" t="str">
        <f t="shared" ca="1" si="10"/>
        <v/>
      </c>
      <c r="AC143" s="417" t="str">
        <f t="shared" ca="1" si="11"/>
        <v/>
      </c>
      <c r="AD143" s="220"/>
    </row>
    <row r="144" spans="1:30" customFormat="1" ht="1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394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4">IF($U$12,IF(T144="","",$U$13*D168/$C$18),"")</f>
        <v/>
      </c>
      <c r="Z144" s="417" t="str">
        <f t="shared" ref="Z144:Z207" ca="1" si="15">IF($U$12,IF(Y144="","",Y144*($Z$10-W144)*X144),"")</f>
        <v/>
      </c>
      <c r="AA144" s="416" t="str">
        <f t="shared" ref="AA144:AA207" ca="1" si="16">IF($U$12,IF(OR(T144="",L144=""),"",L144/($C$20-$C$19)),"")</f>
        <v/>
      </c>
      <c r="AB144" s="418" t="str">
        <f t="shared" ref="AB144:AB207" ca="1" si="17">IF($U$12,IF(W144="","",W144*$AC$10),"")</f>
        <v/>
      </c>
      <c r="AC144" s="417" t="str">
        <f t="shared" ref="AC144:AC207" ca="1" si="18">IF($U$12,IF(AA144="","",AA144*(AB144-W144)*X144),"")</f>
        <v/>
      </c>
      <c r="AD144" s="220"/>
    </row>
    <row r="145" spans="1:30" customFormat="1" ht="1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394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4"/>
        <v/>
      </c>
      <c r="Z145" s="417" t="str">
        <f t="shared" ca="1" si="15"/>
        <v/>
      </c>
      <c r="AA145" s="416" t="str">
        <f t="shared" ca="1" si="16"/>
        <v/>
      </c>
      <c r="AB145" s="418" t="str">
        <f t="shared" ca="1" si="17"/>
        <v/>
      </c>
      <c r="AC145" s="417" t="str">
        <f t="shared" ca="1" si="18"/>
        <v/>
      </c>
      <c r="AD145" s="220"/>
    </row>
    <row r="146" spans="1:30" customFormat="1" ht="1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394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4"/>
        <v/>
      </c>
      <c r="Z146" s="417" t="str">
        <f t="shared" ca="1" si="15"/>
        <v/>
      </c>
      <c r="AA146" s="416" t="str">
        <f t="shared" ca="1" si="16"/>
        <v/>
      </c>
      <c r="AB146" s="418" t="str">
        <f t="shared" ca="1" si="17"/>
        <v/>
      </c>
      <c r="AC146" s="417" t="str">
        <f t="shared" ca="1" si="18"/>
        <v/>
      </c>
      <c r="AD146" s="220"/>
    </row>
    <row r="147" spans="1:30" customFormat="1" ht="1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394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4"/>
        <v/>
      </c>
      <c r="Z147" s="417" t="str">
        <f t="shared" ca="1" si="15"/>
        <v/>
      </c>
      <c r="AA147" s="416" t="str">
        <f t="shared" ca="1" si="16"/>
        <v/>
      </c>
      <c r="AB147" s="418" t="str">
        <f t="shared" ca="1" si="17"/>
        <v/>
      </c>
      <c r="AC147" s="417" t="str">
        <f t="shared" ca="1" si="18"/>
        <v/>
      </c>
      <c r="AD147" s="220"/>
    </row>
    <row r="148" spans="1:30" customFormat="1" ht="1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394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4"/>
        <v/>
      </c>
      <c r="Z148" s="417" t="str">
        <f t="shared" ca="1" si="15"/>
        <v/>
      </c>
      <c r="AA148" s="416" t="str">
        <f t="shared" ca="1" si="16"/>
        <v/>
      </c>
      <c r="AB148" s="418" t="str">
        <f t="shared" ca="1" si="17"/>
        <v/>
      </c>
      <c r="AC148" s="417" t="str">
        <f t="shared" ca="1" si="18"/>
        <v/>
      </c>
      <c r="AD148" s="220"/>
    </row>
    <row r="149" spans="1:30" customFormat="1" ht="1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394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4"/>
        <v/>
      </c>
      <c r="Z149" s="417" t="str">
        <f t="shared" ca="1" si="15"/>
        <v/>
      </c>
      <c r="AA149" s="416" t="str">
        <f t="shared" ca="1" si="16"/>
        <v/>
      </c>
      <c r="AB149" s="418" t="str">
        <f t="shared" ca="1" si="17"/>
        <v/>
      </c>
      <c r="AC149" s="417" t="str">
        <f t="shared" ca="1" si="18"/>
        <v/>
      </c>
      <c r="AD149" s="220"/>
    </row>
    <row r="150" spans="1:30" customFormat="1" ht="1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394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4"/>
        <v/>
      </c>
      <c r="Z150" s="417" t="str">
        <f t="shared" ca="1" si="15"/>
        <v/>
      </c>
      <c r="AA150" s="416" t="str">
        <f t="shared" ca="1" si="16"/>
        <v/>
      </c>
      <c r="AB150" s="418" t="str">
        <f t="shared" ca="1" si="17"/>
        <v/>
      </c>
      <c r="AC150" s="417" t="str">
        <f t="shared" ca="1" si="18"/>
        <v/>
      </c>
      <c r="AD150" s="220"/>
    </row>
    <row r="151" spans="1:30" customFormat="1" ht="1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394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4"/>
        <v/>
      </c>
      <c r="Z151" s="417" t="str">
        <f t="shared" ca="1" si="15"/>
        <v/>
      </c>
      <c r="AA151" s="416" t="str">
        <f t="shared" ca="1" si="16"/>
        <v/>
      </c>
      <c r="AB151" s="418" t="str">
        <f t="shared" ca="1" si="17"/>
        <v/>
      </c>
      <c r="AC151" s="417" t="str">
        <f t="shared" ca="1" si="18"/>
        <v/>
      </c>
      <c r="AD151" s="220"/>
    </row>
    <row r="152" spans="1:30" customFormat="1" ht="1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394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4"/>
        <v/>
      </c>
      <c r="Z152" s="417" t="str">
        <f t="shared" ca="1" si="15"/>
        <v/>
      </c>
      <c r="AA152" s="416" t="str">
        <f t="shared" ca="1" si="16"/>
        <v/>
      </c>
      <c r="AB152" s="418" t="str">
        <f t="shared" ca="1" si="17"/>
        <v/>
      </c>
      <c r="AC152" s="417" t="str">
        <f t="shared" ca="1" si="18"/>
        <v/>
      </c>
      <c r="AD152" s="220"/>
    </row>
    <row r="153" spans="1:30" customFormat="1" ht="1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394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4"/>
        <v/>
      </c>
      <c r="Z153" s="417" t="str">
        <f t="shared" ca="1" si="15"/>
        <v/>
      </c>
      <c r="AA153" s="416" t="str">
        <f t="shared" ca="1" si="16"/>
        <v/>
      </c>
      <c r="AB153" s="418" t="str">
        <f t="shared" ca="1" si="17"/>
        <v/>
      </c>
      <c r="AC153" s="417" t="str">
        <f t="shared" ca="1" si="18"/>
        <v/>
      </c>
      <c r="AD153" s="220"/>
    </row>
    <row r="154" spans="1:30" customFormat="1" ht="1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394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4"/>
        <v/>
      </c>
      <c r="Z154" s="417" t="str">
        <f t="shared" ca="1" si="15"/>
        <v/>
      </c>
      <c r="AA154" s="416" t="str">
        <f t="shared" ca="1" si="16"/>
        <v/>
      </c>
      <c r="AB154" s="418" t="str">
        <f t="shared" ca="1" si="17"/>
        <v/>
      </c>
      <c r="AC154" s="417" t="str">
        <f t="shared" ca="1" si="18"/>
        <v/>
      </c>
      <c r="AD154" s="220"/>
    </row>
    <row r="155" spans="1:30" customFormat="1" ht="1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394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4"/>
        <v/>
      </c>
      <c r="Z155" s="417" t="str">
        <f t="shared" ca="1" si="15"/>
        <v/>
      </c>
      <c r="AA155" s="416" t="str">
        <f t="shared" ca="1" si="16"/>
        <v/>
      </c>
      <c r="AB155" s="418" t="str">
        <f t="shared" ca="1" si="17"/>
        <v/>
      </c>
      <c r="AC155" s="417" t="str">
        <f t="shared" ca="1" si="18"/>
        <v/>
      </c>
      <c r="AD155" s="220"/>
    </row>
    <row r="156" spans="1:30" customFormat="1" ht="1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394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4"/>
        <v/>
      </c>
      <c r="Z156" s="417" t="str">
        <f t="shared" ca="1" si="15"/>
        <v/>
      </c>
      <c r="AA156" s="416" t="str">
        <f t="shared" ca="1" si="16"/>
        <v/>
      </c>
      <c r="AB156" s="418" t="str">
        <f t="shared" ca="1" si="17"/>
        <v/>
      </c>
      <c r="AC156" s="417" t="str">
        <f t="shared" ca="1" si="18"/>
        <v/>
      </c>
      <c r="AD156" s="220"/>
    </row>
    <row r="157" spans="1:30" customFormat="1" ht="1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394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4"/>
        <v/>
      </c>
      <c r="Z157" s="417" t="str">
        <f t="shared" ca="1" si="15"/>
        <v/>
      </c>
      <c r="AA157" s="416" t="str">
        <f t="shared" ca="1" si="16"/>
        <v/>
      </c>
      <c r="AB157" s="418" t="str">
        <f t="shared" ca="1" si="17"/>
        <v/>
      </c>
      <c r="AC157" s="417" t="str">
        <f t="shared" ca="1" si="18"/>
        <v/>
      </c>
      <c r="AD157" s="220"/>
    </row>
    <row r="158" spans="1:30" customFormat="1" ht="1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394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4"/>
        <v/>
      </c>
      <c r="Z158" s="417" t="str">
        <f t="shared" ca="1" si="15"/>
        <v/>
      </c>
      <c r="AA158" s="416" t="str">
        <f t="shared" ca="1" si="16"/>
        <v/>
      </c>
      <c r="AB158" s="418" t="str">
        <f t="shared" ca="1" si="17"/>
        <v/>
      </c>
      <c r="AC158" s="417" t="str">
        <f t="shared" ca="1" si="18"/>
        <v/>
      </c>
      <c r="AD158" s="220"/>
    </row>
    <row r="159" spans="1:30" customFormat="1" ht="1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394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4"/>
        <v/>
      </c>
      <c r="Z159" s="417" t="str">
        <f t="shared" ca="1" si="15"/>
        <v/>
      </c>
      <c r="AA159" s="416" t="str">
        <f t="shared" ca="1" si="16"/>
        <v/>
      </c>
      <c r="AB159" s="418" t="str">
        <f t="shared" ca="1" si="17"/>
        <v/>
      </c>
      <c r="AC159" s="417" t="str">
        <f t="shared" ca="1" si="18"/>
        <v/>
      </c>
      <c r="AD159" s="220"/>
    </row>
    <row r="160" spans="1:30" customFormat="1" ht="1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394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4"/>
        <v/>
      </c>
      <c r="Z160" s="417" t="str">
        <f t="shared" ca="1" si="15"/>
        <v/>
      </c>
      <c r="AA160" s="416" t="str">
        <f t="shared" ca="1" si="16"/>
        <v/>
      </c>
      <c r="AB160" s="418" t="str">
        <f t="shared" ca="1" si="17"/>
        <v/>
      </c>
      <c r="AC160" s="417" t="str">
        <f t="shared" ca="1" si="18"/>
        <v/>
      </c>
      <c r="AD160" s="220"/>
    </row>
    <row r="161" spans="1:30" customFormat="1" ht="1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394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4"/>
        <v/>
      </c>
      <c r="Z161" s="417" t="str">
        <f t="shared" ca="1" si="15"/>
        <v/>
      </c>
      <c r="AA161" s="416" t="str">
        <f t="shared" ca="1" si="16"/>
        <v/>
      </c>
      <c r="AB161" s="418" t="str">
        <f t="shared" ca="1" si="17"/>
        <v/>
      </c>
      <c r="AC161" s="417" t="str">
        <f t="shared" ca="1" si="18"/>
        <v/>
      </c>
      <c r="AD161" s="220"/>
    </row>
    <row r="162" spans="1:30" customFormat="1" ht="1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394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4"/>
        <v/>
      </c>
      <c r="Z162" s="417" t="str">
        <f t="shared" ca="1" si="15"/>
        <v/>
      </c>
      <c r="AA162" s="416" t="str">
        <f t="shared" ca="1" si="16"/>
        <v/>
      </c>
      <c r="AB162" s="418" t="str">
        <f t="shared" ca="1" si="17"/>
        <v/>
      </c>
      <c r="AC162" s="417" t="str">
        <f t="shared" ca="1" si="18"/>
        <v/>
      </c>
      <c r="AD162" s="220"/>
    </row>
    <row r="163" spans="1:30" customFormat="1" ht="1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403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4"/>
        <v/>
      </c>
      <c r="Z163" s="417" t="str">
        <f t="shared" ca="1" si="15"/>
        <v/>
      </c>
      <c r="AA163" s="416" t="str">
        <f t="shared" ca="1" si="16"/>
        <v/>
      </c>
      <c r="AB163" s="418" t="str">
        <f t="shared" ca="1" si="17"/>
        <v/>
      </c>
      <c r="AC163" s="417" t="str">
        <f t="shared" ca="1" si="18"/>
        <v/>
      </c>
      <c r="AD163" s="220"/>
    </row>
    <row r="164" spans="1:30" customFormat="1" ht="1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403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4"/>
        <v/>
      </c>
      <c r="Z164" s="417" t="str">
        <f t="shared" ca="1" si="15"/>
        <v/>
      </c>
      <c r="AA164" s="416" t="str">
        <f t="shared" ca="1" si="16"/>
        <v/>
      </c>
      <c r="AB164" s="418" t="str">
        <f t="shared" ca="1" si="17"/>
        <v/>
      </c>
      <c r="AC164" s="417" t="str">
        <f t="shared" ca="1" si="18"/>
        <v/>
      </c>
      <c r="AD164" s="220"/>
    </row>
    <row r="165" spans="1:30" customFormat="1" ht="1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403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4"/>
        <v/>
      </c>
      <c r="Z165" s="417" t="str">
        <f t="shared" ca="1" si="15"/>
        <v/>
      </c>
      <c r="AA165" s="416" t="str">
        <f t="shared" ca="1" si="16"/>
        <v/>
      </c>
      <c r="AB165" s="418" t="str">
        <f t="shared" ca="1" si="17"/>
        <v/>
      </c>
      <c r="AC165" s="417" t="str">
        <f t="shared" ca="1" si="18"/>
        <v/>
      </c>
      <c r="AD165" s="220"/>
    </row>
    <row r="166" spans="1:30" customFormat="1" ht="1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403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4"/>
        <v/>
      </c>
      <c r="Z166" s="417" t="str">
        <f t="shared" ca="1" si="15"/>
        <v/>
      </c>
      <c r="AA166" s="416" t="str">
        <f t="shared" ca="1" si="16"/>
        <v/>
      </c>
      <c r="AB166" s="418" t="str">
        <f t="shared" ca="1" si="17"/>
        <v/>
      </c>
      <c r="AC166" s="417" t="str">
        <f t="shared" ca="1" si="18"/>
        <v/>
      </c>
      <c r="AD166" s="220"/>
    </row>
    <row r="167" spans="1:30" customFormat="1" ht="1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403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4"/>
        <v/>
      </c>
      <c r="Z167" s="417" t="str">
        <f t="shared" ca="1" si="15"/>
        <v/>
      </c>
      <c r="AA167" s="416" t="str">
        <f t="shared" ca="1" si="16"/>
        <v/>
      </c>
      <c r="AB167" s="418" t="str">
        <f t="shared" ca="1" si="17"/>
        <v/>
      </c>
      <c r="AC167" s="417" t="str">
        <f t="shared" ca="1" si="18"/>
        <v/>
      </c>
      <c r="AD167" s="220"/>
    </row>
    <row r="168" spans="1:30" customFormat="1" ht="1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403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4"/>
        <v/>
      </c>
      <c r="Z168" s="417" t="str">
        <f t="shared" ca="1" si="15"/>
        <v/>
      </c>
      <c r="AA168" s="416" t="str">
        <f t="shared" ca="1" si="16"/>
        <v/>
      </c>
      <c r="AB168" s="418" t="str">
        <f t="shared" ca="1" si="17"/>
        <v/>
      </c>
      <c r="AC168" s="417" t="str">
        <f t="shared" ca="1" si="18"/>
        <v/>
      </c>
      <c r="AD168" s="220"/>
    </row>
    <row r="169" spans="1:30" customFormat="1" ht="1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403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4"/>
        <v/>
      </c>
      <c r="Z169" s="417" t="str">
        <f t="shared" ca="1" si="15"/>
        <v/>
      </c>
      <c r="AA169" s="416" t="str">
        <f t="shared" ca="1" si="16"/>
        <v/>
      </c>
      <c r="AB169" s="418" t="str">
        <f t="shared" ca="1" si="17"/>
        <v/>
      </c>
      <c r="AC169" s="417" t="str">
        <f t="shared" ca="1" si="18"/>
        <v/>
      </c>
      <c r="AD169" s="220"/>
    </row>
    <row r="170" spans="1:30" customFormat="1" ht="1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403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4"/>
        <v/>
      </c>
      <c r="Z170" s="417" t="str">
        <f t="shared" ca="1" si="15"/>
        <v/>
      </c>
      <c r="AA170" s="416" t="str">
        <f t="shared" ca="1" si="16"/>
        <v/>
      </c>
      <c r="AB170" s="418" t="str">
        <f t="shared" ca="1" si="17"/>
        <v/>
      </c>
      <c r="AC170" s="417" t="str">
        <f t="shared" ca="1" si="18"/>
        <v/>
      </c>
      <c r="AD170" s="220"/>
    </row>
    <row r="171" spans="1:30" customFormat="1" ht="1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403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4"/>
        <v/>
      </c>
      <c r="Z171" s="417" t="str">
        <f t="shared" ca="1" si="15"/>
        <v/>
      </c>
      <c r="AA171" s="416" t="str">
        <f t="shared" ca="1" si="16"/>
        <v/>
      </c>
      <c r="AB171" s="418" t="str">
        <f t="shared" ca="1" si="17"/>
        <v/>
      </c>
      <c r="AC171" s="417" t="str">
        <f t="shared" ca="1" si="18"/>
        <v/>
      </c>
      <c r="AD171" s="220"/>
    </row>
    <row r="172" spans="1:30" customFormat="1" ht="1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403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4"/>
        <v/>
      </c>
      <c r="Z172" s="417" t="str">
        <f t="shared" ca="1" si="15"/>
        <v/>
      </c>
      <c r="AA172" s="416" t="str">
        <f t="shared" ca="1" si="16"/>
        <v/>
      </c>
      <c r="AB172" s="418" t="str">
        <f t="shared" ca="1" si="17"/>
        <v/>
      </c>
      <c r="AC172" s="417" t="str">
        <f t="shared" ca="1" si="18"/>
        <v/>
      </c>
      <c r="AD172" s="220"/>
    </row>
    <row r="173" spans="1:30" customFormat="1" ht="1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403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4"/>
        <v/>
      </c>
      <c r="Z173" s="417" t="str">
        <f t="shared" ca="1" si="15"/>
        <v/>
      </c>
      <c r="AA173" s="416" t="str">
        <f t="shared" ca="1" si="16"/>
        <v/>
      </c>
      <c r="AB173" s="418" t="str">
        <f t="shared" ca="1" si="17"/>
        <v/>
      </c>
      <c r="AC173" s="417" t="str">
        <f t="shared" ca="1" si="18"/>
        <v/>
      </c>
      <c r="AD173" s="220"/>
    </row>
    <row r="174" spans="1:30" customFormat="1" ht="1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403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4"/>
        <v/>
      </c>
      <c r="Z174" s="417" t="str">
        <f t="shared" ca="1" si="15"/>
        <v/>
      </c>
      <c r="AA174" s="416" t="str">
        <f t="shared" ca="1" si="16"/>
        <v/>
      </c>
      <c r="AB174" s="418" t="str">
        <f t="shared" ca="1" si="17"/>
        <v/>
      </c>
      <c r="AC174" s="417" t="str">
        <f t="shared" ca="1" si="18"/>
        <v/>
      </c>
      <c r="AD174" s="220"/>
    </row>
    <row r="175" spans="1:30" customFormat="1" ht="1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403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4"/>
        <v/>
      </c>
      <c r="Z175" s="417" t="str">
        <f t="shared" ca="1" si="15"/>
        <v/>
      </c>
      <c r="AA175" s="416" t="str">
        <f t="shared" ca="1" si="16"/>
        <v/>
      </c>
      <c r="AB175" s="418" t="str">
        <f t="shared" ca="1" si="17"/>
        <v/>
      </c>
      <c r="AC175" s="417" t="str">
        <f t="shared" ca="1" si="18"/>
        <v/>
      </c>
      <c r="AD175" s="220"/>
    </row>
    <row r="176" spans="1:30" customFormat="1" ht="1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403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4"/>
        <v/>
      </c>
      <c r="Z176" s="417" t="str">
        <f t="shared" ca="1" si="15"/>
        <v/>
      </c>
      <c r="AA176" s="416" t="str">
        <f t="shared" ca="1" si="16"/>
        <v/>
      </c>
      <c r="AB176" s="418" t="str">
        <f t="shared" ca="1" si="17"/>
        <v/>
      </c>
      <c r="AC176" s="417" t="str">
        <f t="shared" ca="1" si="18"/>
        <v/>
      </c>
      <c r="AD176" s="220"/>
    </row>
    <row r="177" spans="1:30" customFormat="1" ht="1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403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4"/>
        <v/>
      </c>
      <c r="Z177" s="417" t="str">
        <f t="shared" ca="1" si="15"/>
        <v/>
      </c>
      <c r="AA177" s="416" t="str">
        <f t="shared" ca="1" si="16"/>
        <v/>
      </c>
      <c r="AB177" s="418" t="str">
        <f t="shared" ca="1" si="17"/>
        <v/>
      </c>
      <c r="AC177" s="417" t="str">
        <f t="shared" ca="1" si="18"/>
        <v/>
      </c>
      <c r="AD177" s="220"/>
    </row>
    <row r="178" spans="1:30" customFormat="1" ht="1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403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4"/>
        <v/>
      </c>
      <c r="Z178" s="417" t="str">
        <f t="shared" ca="1" si="15"/>
        <v/>
      </c>
      <c r="AA178" s="416" t="str">
        <f t="shared" ca="1" si="16"/>
        <v/>
      </c>
      <c r="AB178" s="418" t="str">
        <f t="shared" ca="1" si="17"/>
        <v/>
      </c>
      <c r="AC178" s="417" t="str">
        <f t="shared" ca="1" si="18"/>
        <v/>
      </c>
      <c r="AD178" s="220"/>
    </row>
    <row r="179" spans="1:30" customFormat="1" ht="1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403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4"/>
        <v/>
      </c>
      <c r="Z179" s="417" t="str">
        <f t="shared" ca="1" si="15"/>
        <v/>
      </c>
      <c r="AA179" s="416" t="str">
        <f t="shared" ca="1" si="16"/>
        <v/>
      </c>
      <c r="AB179" s="418" t="str">
        <f t="shared" ca="1" si="17"/>
        <v/>
      </c>
      <c r="AC179" s="417" t="str">
        <f t="shared" ca="1" si="18"/>
        <v/>
      </c>
      <c r="AD179" s="220"/>
    </row>
    <row r="180" spans="1:30" customFormat="1" ht="1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403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4"/>
        <v/>
      </c>
      <c r="Z180" s="417" t="str">
        <f t="shared" ca="1" si="15"/>
        <v/>
      </c>
      <c r="AA180" s="416" t="str">
        <f t="shared" ca="1" si="16"/>
        <v/>
      </c>
      <c r="AB180" s="418" t="str">
        <f t="shared" ca="1" si="17"/>
        <v/>
      </c>
      <c r="AC180" s="417" t="str">
        <f t="shared" ca="1" si="18"/>
        <v/>
      </c>
      <c r="AD180" s="220"/>
    </row>
    <row r="181" spans="1:30" customFormat="1" ht="1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403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4"/>
        <v/>
      </c>
      <c r="Z181" s="417" t="str">
        <f t="shared" ca="1" si="15"/>
        <v/>
      </c>
      <c r="AA181" s="416" t="str">
        <f t="shared" ca="1" si="16"/>
        <v/>
      </c>
      <c r="AB181" s="418" t="str">
        <f t="shared" ca="1" si="17"/>
        <v/>
      </c>
      <c r="AC181" s="417" t="str">
        <f t="shared" ca="1" si="18"/>
        <v/>
      </c>
      <c r="AD181" s="220"/>
    </row>
    <row r="182" spans="1:30" customFormat="1" ht="1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403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4"/>
        <v/>
      </c>
      <c r="Z182" s="417" t="str">
        <f t="shared" ca="1" si="15"/>
        <v/>
      </c>
      <c r="AA182" s="416" t="str">
        <f t="shared" ca="1" si="16"/>
        <v/>
      </c>
      <c r="AB182" s="418" t="str">
        <f t="shared" ca="1" si="17"/>
        <v/>
      </c>
      <c r="AC182" s="417" t="str">
        <f t="shared" ca="1" si="18"/>
        <v/>
      </c>
      <c r="AD182" s="220"/>
    </row>
    <row r="183" spans="1:30" customFormat="1" ht="1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403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4"/>
        <v/>
      </c>
      <c r="Z183" s="417" t="str">
        <f t="shared" ca="1" si="15"/>
        <v/>
      </c>
      <c r="AA183" s="416" t="str">
        <f t="shared" ca="1" si="16"/>
        <v/>
      </c>
      <c r="AB183" s="418" t="str">
        <f t="shared" ca="1" si="17"/>
        <v/>
      </c>
      <c r="AC183" s="417" t="str">
        <f t="shared" ca="1" si="18"/>
        <v/>
      </c>
      <c r="AD183" s="220"/>
    </row>
    <row r="184" spans="1:30" customFormat="1" ht="1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403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4"/>
        <v/>
      </c>
      <c r="Z184" s="417" t="str">
        <f t="shared" ca="1" si="15"/>
        <v/>
      </c>
      <c r="AA184" s="416" t="str">
        <f t="shared" ca="1" si="16"/>
        <v/>
      </c>
      <c r="AB184" s="418" t="str">
        <f t="shared" ca="1" si="17"/>
        <v/>
      </c>
      <c r="AC184" s="417" t="str">
        <f t="shared" ca="1" si="18"/>
        <v/>
      </c>
      <c r="AD184" s="220"/>
    </row>
    <row r="185" spans="1:30" customFormat="1" ht="1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403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4"/>
        <v/>
      </c>
      <c r="Z185" s="417" t="str">
        <f t="shared" ca="1" si="15"/>
        <v/>
      </c>
      <c r="AA185" s="416" t="str">
        <f t="shared" ca="1" si="16"/>
        <v/>
      </c>
      <c r="AB185" s="418" t="str">
        <f t="shared" ca="1" si="17"/>
        <v/>
      </c>
      <c r="AC185" s="417" t="str">
        <f t="shared" ca="1" si="18"/>
        <v/>
      </c>
      <c r="AD185" s="220"/>
    </row>
    <row r="186" spans="1:30" customFormat="1" ht="1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403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4"/>
        <v/>
      </c>
      <c r="Z186" s="417" t="str">
        <f t="shared" ca="1" si="15"/>
        <v/>
      </c>
      <c r="AA186" s="416" t="str">
        <f t="shared" ca="1" si="16"/>
        <v/>
      </c>
      <c r="AB186" s="418" t="str">
        <f t="shared" ca="1" si="17"/>
        <v/>
      </c>
      <c r="AC186" s="417" t="str">
        <f t="shared" ca="1" si="18"/>
        <v/>
      </c>
      <c r="AD186" s="220"/>
    </row>
    <row r="187" spans="1:30" customFormat="1" ht="1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403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4"/>
        <v/>
      </c>
      <c r="Z187" s="417" t="str">
        <f t="shared" ca="1" si="15"/>
        <v/>
      </c>
      <c r="AA187" s="416" t="str">
        <f t="shared" ca="1" si="16"/>
        <v/>
      </c>
      <c r="AB187" s="418" t="str">
        <f t="shared" ca="1" si="17"/>
        <v/>
      </c>
      <c r="AC187" s="417" t="str">
        <f t="shared" ca="1" si="18"/>
        <v/>
      </c>
      <c r="AD187" s="220"/>
    </row>
    <row r="188" spans="1:30" customFormat="1" ht="1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403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4"/>
        <v/>
      </c>
      <c r="Z188" s="417" t="str">
        <f t="shared" ca="1" si="15"/>
        <v/>
      </c>
      <c r="AA188" s="416" t="str">
        <f t="shared" ca="1" si="16"/>
        <v/>
      </c>
      <c r="AB188" s="418" t="str">
        <f t="shared" ca="1" si="17"/>
        <v/>
      </c>
      <c r="AC188" s="417" t="str">
        <f t="shared" ca="1" si="18"/>
        <v/>
      </c>
      <c r="AD188" s="220"/>
    </row>
    <row r="189" spans="1:30" customFormat="1" ht="1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403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4"/>
        <v/>
      </c>
      <c r="Z189" s="417" t="str">
        <f t="shared" ca="1" si="15"/>
        <v/>
      </c>
      <c r="AA189" s="416" t="str">
        <f t="shared" ca="1" si="16"/>
        <v/>
      </c>
      <c r="AB189" s="418" t="str">
        <f t="shared" ca="1" si="17"/>
        <v/>
      </c>
      <c r="AC189" s="417" t="str">
        <f t="shared" ca="1" si="18"/>
        <v/>
      </c>
      <c r="AD189" s="220"/>
    </row>
    <row r="190" spans="1:30" customFormat="1" ht="1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403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4"/>
        <v/>
      </c>
      <c r="Z190" s="417" t="str">
        <f t="shared" ca="1" si="15"/>
        <v/>
      </c>
      <c r="AA190" s="416" t="str">
        <f t="shared" ca="1" si="16"/>
        <v/>
      </c>
      <c r="AB190" s="418" t="str">
        <f t="shared" ca="1" si="17"/>
        <v/>
      </c>
      <c r="AC190" s="417" t="str">
        <f t="shared" ca="1" si="18"/>
        <v/>
      </c>
      <c r="AD190" s="220"/>
    </row>
    <row r="191" spans="1:30" customFormat="1" ht="1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403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4"/>
        <v/>
      </c>
      <c r="Z191" s="417" t="str">
        <f t="shared" ca="1" si="15"/>
        <v/>
      </c>
      <c r="AA191" s="416" t="str">
        <f t="shared" ca="1" si="16"/>
        <v/>
      </c>
      <c r="AB191" s="418" t="str">
        <f t="shared" ca="1" si="17"/>
        <v/>
      </c>
      <c r="AC191" s="417" t="str">
        <f t="shared" ca="1" si="18"/>
        <v/>
      </c>
      <c r="AD191" s="220"/>
    </row>
    <row r="192" spans="1:30" customFormat="1" ht="1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403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4"/>
        <v/>
      </c>
      <c r="Z192" s="417" t="str">
        <f t="shared" ca="1" si="15"/>
        <v/>
      </c>
      <c r="AA192" s="416" t="str">
        <f t="shared" ca="1" si="16"/>
        <v/>
      </c>
      <c r="AB192" s="418" t="str">
        <f t="shared" ca="1" si="17"/>
        <v/>
      </c>
      <c r="AC192" s="417" t="str">
        <f t="shared" ca="1" si="18"/>
        <v/>
      </c>
      <c r="AD192" s="220"/>
    </row>
    <row r="193" spans="1:30" customFormat="1" ht="1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403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4"/>
        <v/>
      </c>
      <c r="Z193" s="417" t="str">
        <f t="shared" ca="1" si="15"/>
        <v/>
      </c>
      <c r="AA193" s="416" t="str">
        <f t="shared" ca="1" si="16"/>
        <v/>
      </c>
      <c r="AB193" s="418" t="str">
        <f t="shared" ca="1" si="17"/>
        <v/>
      </c>
      <c r="AC193" s="417" t="str">
        <f t="shared" ca="1" si="18"/>
        <v/>
      </c>
      <c r="AD193" s="220"/>
    </row>
    <row r="194" spans="1:30" customFormat="1" ht="1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403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4"/>
        <v/>
      </c>
      <c r="Z194" s="417" t="str">
        <f t="shared" ca="1" si="15"/>
        <v/>
      </c>
      <c r="AA194" s="416" t="str">
        <f t="shared" ca="1" si="16"/>
        <v/>
      </c>
      <c r="AB194" s="418" t="str">
        <f t="shared" ca="1" si="17"/>
        <v/>
      </c>
      <c r="AC194" s="417" t="str">
        <f t="shared" ca="1" si="18"/>
        <v/>
      </c>
      <c r="AD194" s="220"/>
    </row>
    <row r="195" spans="1:30" customFormat="1" ht="1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403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4"/>
        <v/>
      </c>
      <c r="Z195" s="417" t="str">
        <f t="shared" ca="1" si="15"/>
        <v/>
      </c>
      <c r="AA195" s="416" t="str">
        <f t="shared" ca="1" si="16"/>
        <v/>
      </c>
      <c r="AB195" s="418" t="str">
        <f t="shared" ca="1" si="17"/>
        <v/>
      </c>
      <c r="AC195" s="417" t="str">
        <f t="shared" ca="1" si="18"/>
        <v/>
      </c>
      <c r="AD195" s="220"/>
    </row>
    <row r="196" spans="1:30" customFormat="1" ht="1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403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4"/>
        <v/>
      </c>
      <c r="Z196" s="417" t="str">
        <f t="shared" ca="1" si="15"/>
        <v/>
      </c>
      <c r="AA196" s="416" t="str">
        <f t="shared" ca="1" si="16"/>
        <v/>
      </c>
      <c r="AB196" s="418" t="str">
        <f t="shared" ca="1" si="17"/>
        <v/>
      </c>
      <c r="AC196" s="417" t="str">
        <f t="shared" ca="1" si="18"/>
        <v/>
      </c>
      <c r="AD196" s="220"/>
    </row>
    <row r="197" spans="1:30" customFormat="1" ht="1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403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4"/>
        <v/>
      </c>
      <c r="Z197" s="417" t="str">
        <f t="shared" ca="1" si="15"/>
        <v/>
      </c>
      <c r="AA197" s="416" t="str">
        <f t="shared" ca="1" si="16"/>
        <v/>
      </c>
      <c r="AB197" s="418" t="str">
        <f t="shared" ca="1" si="17"/>
        <v/>
      </c>
      <c r="AC197" s="417" t="str">
        <f t="shared" ca="1" si="18"/>
        <v/>
      </c>
      <c r="AD197" s="220"/>
    </row>
    <row r="198" spans="1:30" customFormat="1" ht="1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403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4"/>
        <v/>
      </c>
      <c r="Z198" s="417" t="str">
        <f t="shared" ca="1" si="15"/>
        <v/>
      </c>
      <c r="AA198" s="416" t="str">
        <f t="shared" ca="1" si="16"/>
        <v/>
      </c>
      <c r="AB198" s="418" t="str">
        <f t="shared" ca="1" si="17"/>
        <v/>
      </c>
      <c r="AC198" s="417" t="str">
        <f t="shared" ca="1" si="18"/>
        <v/>
      </c>
      <c r="AD198" s="220"/>
    </row>
    <row r="199" spans="1:30" customFormat="1" ht="1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403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4"/>
        <v/>
      </c>
      <c r="Z199" s="417" t="str">
        <f t="shared" ca="1" si="15"/>
        <v/>
      </c>
      <c r="AA199" s="416" t="str">
        <f t="shared" ca="1" si="16"/>
        <v/>
      </c>
      <c r="AB199" s="418" t="str">
        <f t="shared" ca="1" si="17"/>
        <v/>
      </c>
      <c r="AC199" s="417" t="str">
        <f t="shared" ca="1" si="18"/>
        <v/>
      </c>
      <c r="AD199" s="220"/>
    </row>
    <row r="200" spans="1:30" customFormat="1" ht="1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403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4"/>
        <v/>
      </c>
      <c r="Z200" s="417" t="str">
        <f t="shared" ca="1" si="15"/>
        <v/>
      </c>
      <c r="AA200" s="416" t="str">
        <f t="shared" ca="1" si="16"/>
        <v/>
      </c>
      <c r="AB200" s="418" t="str">
        <f t="shared" ca="1" si="17"/>
        <v/>
      </c>
      <c r="AC200" s="417" t="str">
        <f t="shared" ca="1" si="18"/>
        <v/>
      </c>
      <c r="AD200" s="220"/>
    </row>
    <row r="201" spans="1:30" customFormat="1" ht="1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403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4"/>
        <v/>
      </c>
      <c r="Z201" s="417" t="str">
        <f t="shared" ca="1" si="15"/>
        <v/>
      </c>
      <c r="AA201" s="416" t="str">
        <f t="shared" ca="1" si="16"/>
        <v/>
      </c>
      <c r="AB201" s="418" t="str">
        <f t="shared" ca="1" si="17"/>
        <v/>
      </c>
      <c r="AC201" s="417" t="str">
        <f t="shared" ca="1" si="18"/>
        <v/>
      </c>
      <c r="AD201" s="220"/>
    </row>
    <row r="202" spans="1:30" customFormat="1" ht="1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403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4"/>
        <v/>
      </c>
      <c r="Z202" s="417" t="str">
        <f t="shared" ca="1" si="15"/>
        <v/>
      </c>
      <c r="AA202" s="416" t="str">
        <f t="shared" ca="1" si="16"/>
        <v/>
      </c>
      <c r="AB202" s="418" t="str">
        <f t="shared" ca="1" si="17"/>
        <v/>
      </c>
      <c r="AC202" s="417" t="str">
        <f t="shared" ca="1" si="18"/>
        <v/>
      </c>
      <c r="AD202" s="220"/>
    </row>
    <row r="203" spans="1:30" customFormat="1" ht="1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403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4"/>
        <v/>
      </c>
      <c r="Z203" s="417" t="str">
        <f t="shared" ca="1" si="15"/>
        <v/>
      </c>
      <c r="AA203" s="416" t="str">
        <f t="shared" ca="1" si="16"/>
        <v/>
      </c>
      <c r="AB203" s="418" t="str">
        <f t="shared" ca="1" si="17"/>
        <v/>
      </c>
      <c r="AC203" s="417" t="str">
        <f t="shared" ca="1" si="18"/>
        <v/>
      </c>
      <c r="AD203" s="220"/>
    </row>
    <row r="204" spans="1:30" customFormat="1" ht="1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403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4"/>
        <v/>
      </c>
      <c r="Z204" s="417" t="str">
        <f t="shared" ca="1" si="15"/>
        <v/>
      </c>
      <c r="AA204" s="416" t="str">
        <f t="shared" ca="1" si="16"/>
        <v/>
      </c>
      <c r="AB204" s="418" t="str">
        <f t="shared" ca="1" si="17"/>
        <v/>
      </c>
      <c r="AC204" s="417" t="str">
        <f t="shared" ca="1" si="18"/>
        <v/>
      </c>
      <c r="AD204" s="220"/>
    </row>
    <row r="205" spans="1:30" customFormat="1" ht="1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403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4"/>
        <v/>
      </c>
      <c r="Z205" s="417" t="str">
        <f t="shared" ca="1" si="15"/>
        <v/>
      </c>
      <c r="AA205" s="416" t="str">
        <f t="shared" ca="1" si="16"/>
        <v/>
      </c>
      <c r="AB205" s="418" t="str">
        <f t="shared" ca="1" si="17"/>
        <v/>
      </c>
      <c r="AC205" s="417" t="str">
        <f t="shared" ca="1" si="18"/>
        <v/>
      </c>
      <c r="AD205" s="220"/>
    </row>
    <row r="206" spans="1:30" customFormat="1" ht="1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403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4"/>
        <v/>
      </c>
      <c r="Z206" s="417" t="str">
        <f t="shared" ca="1" si="15"/>
        <v/>
      </c>
      <c r="AA206" s="416" t="str">
        <f t="shared" ca="1" si="16"/>
        <v/>
      </c>
      <c r="AB206" s="418" t="str">
        <f t="shared" ca="1" si="17"/>
        <v/>
      </c>
      <c r="AC206" s="417" t="str">
        <f t="shared" ca="1" si="18"/>
        <v/>
      </c>
      <c r="AD206" s="220"/>
    </row>
    <row r="207" spans="1:30" customFormat="1" ht="1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403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4"/>
        <v/>
      </c>
      <c r="Z207" s="417" t="str">
        <f t="shared" ca="1" si="15"/>
        <v/>
      </c>
      <c r="AA207" s="416" t="str">
        <f t="shared" ca="1" si="16"/>
        <v/>
      </c>
      <c r="AB207" s="418" t="str">
        <f t="shared" ca="1" si="17"/>
        <v/>
      </c>
      <c r="AC207" s="417" t="str">
        <f t="shared" ca="1" si="18"/>
        <v/>
      </c>
      <c r="AD207" s="220"/>
    </row>
    <row r="208" spans="1:30" customFormat="1" ht="1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403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9">IF($U$12,IF(T208="","",$U$13*D232/$C$18),"")</f>
        <v/>
      </c>
      <c r="Z208" s="417" t="str">
        <f t="shared" ref="Z208:Z271" ca="1" si="20">IF($U$12,IF(Y208="","",Y208*($Z$10-W208)*X208),"")</f>
        <v/>
      </c>
      <c r="AA208" s="416" t="str">
        <f t="shared" ref="AA208:AA271" ca="1" si="21">IF($U$12,IF(OR(T208="",L208=""),"",L208/($C$20-$C$19)),"")</f>
        <v/>
      </c>
      <c r="AB208" s="418" t="str">
        <f t="shared" ref="AB208:AB271" ca="1" si="22">IF($U$12,IF(W208="","",W208*$AC$10),"")</f>
        <v/>
      </c>
      <c r="AC208" s="417" t="str">
        <f t="shared" ref="AC208:AC271" ca="1" si="23">IF($U$12,IF(AA208="","",AA208*(AB208-W208)*X208),"")</f>
        <v/>
      </c>
      <c r="AD208" s="220"/>
    </row>
    <row r="209" spans="1:30" customFormat="1" ht="1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403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9"/>
        <v/>
      </c>
      <c r="Z209" s="417" t="str">
        <f t="shared" ca="1" si="20"/>
        <v/>
      </c>
      <c r="AA209" s="416" t="str">
        <f t="shared" ca="1" si="21"/>
        <v/>
      </c>
      <c r="AB209" s="418" t="str">
        <f t="shared" ca="1" si="22"/>
        <v/>
      </c>
      <c r="AC209" s="417" t="str">
        <f t="shared" ca="1" si="23"/>
        <v/>
      </c>
      <c r="AD209" s="220"/>
    </row>
    <row r="210" spans="1:30" customFormat="1" ht="1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403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9"/>
        <v/>
      </c>
      <c r="Z210" s="417" t="str">
        <f t="shared" ca="1" si="20"/>
        <v/>
      </c>
      <c r="AA210" s="416" t="str">
        <f t="shared" ca="1" si="21"/>
        <v/>
      </c>
      <c r="AB210" s="418" t="str">
        <f t="shared" ca="1" si="22"/>
        <v/>
      </c>
      <c r="AC210" s="417" t="str">
        <f t="shared" ca="1" si="23"/>
        <v/>
      </c>
      <c r="AD210" s="220"/>
    </row>
    <row r="211" spans="1:30" customFormat="1" ht="1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403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9"/>
        <v/>
      </c>
      <c r="Z211" s="417" t="str">
        <f t="shared" ca="1" si="20"/>
        <v/>
      </c>
      <c r="AA211" s="416" t="str">
        <f t="shared" ca="1" si="21"/>
        <v/>
      </c>
      <c r="AB211" s="418" t="str">
        <f t="shared" ca="1" si="22"/>
        <v/>
      </c>
      <c r="AC211" s="417" t="str">
        <f t="shared" ca="1" si="23"/>
        <v/>
      </c>
      <c r="AD211" s="220"/>
    </row>
    <row r="212" spans="1:30" customFormat="1" ht="1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403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9"/>
        <v/>
      </c>
      <c r="Z212" s="417" t="str">
        <f t="shared" ca="1" si="20"/>
        <v/>
      </c>
      <c r="AA212" s="416" t="str">
        <f t="shared" ca="1" si="21"/>
        <v/>
      </c>
      <c r="AB212" s="418" t="str">
        <f t="shared" ca="1" si="22"/>
        <v/>
      </c>
      <c r="AC212" s="417" t="str">
        <f t="shared" ca="1" si="23"/>
        <v/>
      </c>
      <c r="AD212" s="220"/>
    </row>
    <row r="213" spans="1:30" customFormat="1" ht="1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403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9"/>
        <v/>
      </c>
      <c r="Z213" s="417" t="str">
        <f t="shared" ca="1" si="20"/>
        <v/>
      </c>
      <c r="AA213" s="416" t="str">
        <f t="shared" ca="1" si="21"/>
        <v/>
      </c>
      <c r="AB213" s="418" t="str">
        <f t="shared" ca="1" si="22"/>
        <v/>
      </c>
      <c r="AC213" s="417" t="str">
        <f t="shared" ca="1" si="23"/>
        <v/>
      </c>
      <c r="AD213" s="220"/>
    </row>
    <row r="214" spans="1:30" customFormat="1" ht="1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403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9"/>
        <v/>
      </c>
      <c r="Z214" s="417" t="str">
        <f t="shared" ca="1" si="20"/>
        <v/>
      </c>
      <c r="AA214" s="416" t="str">
        <f t="shared" ca="1" si="21"/>
        <v/>
      </c>
      <c r="AB214" s="418" t="str">
        <f t="shared" ca="1" si="22"/>
        <v/>
      </c>
      <c r="AC214" s="417" t="str">
        <f t="shared" ca="1" si="23"/>
        <v/>
      </c>
      <c r="AD214" s="220"/>
    </row>
    <row r="215" spans="1:30" customFormat="1" ht="1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403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9"/>
        <v/>
      </c>
      <c r="Z215" s="417" t="str">
        <f t="shared" ca="1" si="20"/>
        <v/>
      </c>
      <c r="AA215" s="416" t="str">
        <f t="shared" ca="1" si="21"/>
        <v/>
      </c>
      <c r="AB215" s="418" t="str">
        <f t="shared" ca="1" si="22"/>
        <v/>
      </c>
      <c r="AC215" s="417" t="str">
        <f t="shared" ca="1" si="23"/>
        <v/>
      </c>
      <c r="AD215" s="220"/>
    </row>
    <row r="216" spans="1:30" customFormat="1" ht="1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403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9"/>
        <v/>
      </c>
      <c r="Z216" s="417" t="str">
        <f t="shared" ca="1" si="20"/>
        <v/>
      </c>
      <c r="AA216" s="416" t="str">
        <f t="shared" ca="1" si="21"/>
        <v/>
      </c>
      <c r="AB216" s="418" t="str">
        <f t="shared" ca="1" si="22"/>
        <v/>
      </c>
      <c r="AC216" s="417" t="str">
        <f t="shared" ca="1" si="23"/>
        <v/>
      </c>
      <c r="AD216" s="220"/>
    </row>
    <row r="217" spans="1:30" customFormat="1" ht="1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403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9"/>
        <v/>
      </c>
      <c r="Z217" s="417" t="str">
        <f t="shared" ca="1" si="20"/>
        <v/>
      </c>
      <c r="AA217" s="416" t="str">
        <f t="shared" ca="1" si="21"/>
        <v/>
      </c>
      <c r="AB217" s="418" t="str">
        <f t="shared" ca="1" si="22"/>
        <v/>
      </c>
      <c r="AC217" s="417" t="str">
        <f t="shared" ca="1" si="23"/>
        <v/>
      </c>
      <c r="AD217" s="220"/>
    </row>
    <row r="218" spans="1:30" customFormat="1" ht="1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403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9"/>
        <v/>
      </c>
      <c r="Z218" s="417" t="str">
        <f t="shared" ca="1" si="20"/>
        <v/>
      </c>
      <c r="AA218" s="416" t="str">
        <f t="shared" ca="1" si="21"/>
        <v/>
      </c>
      <c r="AB218" s="418" t="str">
        <f t="shared" ca="1" si="22"/>
        <v/>
      </c>
      <c r="AC218" s="417" t="str">
        <f t="shared" ca="1" si="23"/>
        <v/>
      </c>
      <c r="AD218" s="220"/>
    </row>
    <row r="219" spans="1:30" customFormat="1" ht="1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403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9"/>
        <v/>
      </c>
      <c r="Z219" s="417" t="str">
        <f t="shared" ca="1" si="20"/>
        <v/>
      </c>
      <c r="AA219" s="416" t="str">
        <f t="shared" ca="1" si="21"/>
        <v/>
      </c>
      <c r="AB219" s="418" t="str">
        <f t="shared" ca="1" si="22"/>
        <v/>
      </c>
      <c r="AC219" s="417" t="str">
        <f t="shared" ca="1" si="23"/>
        <v/>
      </c>
      <c r="AD219" s="220"/>
    </row>
    <row r="220" spans="1:30" customFormat="1" ht="1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403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9"/>
        <v/>
      </c>
      <c r="Z220" s="417" t="str">
        <f t="shared" ca="1" si="20"/>
        <v/>
      </c>
      <c r="AA220" s="416" t="str">
        <f t="shared" ca="1" si="21"/>
        <v/>
      </c>
      <c r="AB220" s="418" t="str">
        <f t="shared" ca="1" si="22"/>
        <v/>
      </c>
      <c r="AC220" s="417" t="str">
        <f t="shared" ca="1" si="23"/>
        <v/>
      </c>
      <c r="AD220" s="220"/>
    </row>
    <row r="221" spans="1:30" customFormat="1" ht="1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403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9"/>
        <v/>
      </c>
      <c r="Z221" s="417" t="str">
        <f t="shared" ca="1" si="20"/>
        <v/>
      </c>
      <c r="AA221" s="416" t="str">
        <f t="shared" ca="1" si="21"/>
        <v/>
      </c>
      <c r="AB221" s="418" t="str">
        <f t="shared" ca="1" si="22"/>
        <v/>
      </c>
      <c r="AC221" s="417" t="str">
        <f t="shared" ca="1" si="23"/>
        <v/>
      </c>
      <c r="AD221" s="220"/>
    </row>
    <row r="222" spans="1:30" customFormat="1" ht="1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403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9"/>
        <v/>
      </c>
      <c r="Z222" s="417" t="str">
        <f t="shared" ca="1" si="20"/>
        <v/>
      </c>
      <c r="AA222" s="416" t="str">
        <f t="shared" ca="1" si="21"/>
        <v/>
      </c>
      <c r="AB222" s="418" t="str">
        <f t="shared" ca="1" si="22"/>
        <v/>
      </c>
      <c r="AC222" s="417" t="str">
        <f t="shared" ca="1" si="23"/>
        <v/>
      </c>
      <c r="AD222" s="220"/>
    </row>
    <row r="223" spans="1:30" customFormat="1" ht="1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403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9"/>
        <v/>
      </c>
      <c r="Z223" s="417" t="str">
        <f t="shared" ca="1" si="20"/>
        <v/>
      </c>
      <c r="AA223" s="416" t="str">
        <f t="shared" ca="1" si="21"/>
        <v/>
      </c>
      <c r="AB223" s="418" t="str">
        <f t="shared" ca="1" si="22"/>
        <v/>
      </c>
      <c r="AC223" s="417" t="str">
        <f t="shared" ca="1" si="23"/>
        <v/>
      </c>
      <c r="AD223" s="220"/>
    </row>
    <row r="224" spans="1:30" customFormat="1" ht="1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403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9"/>
        <v/>
      </c>
      <c r="Z224" s="417" t="str">
        <f t="shared" ca="1" si="20"/>
        <v/>
      </c>
      <c r="AA224" s="416" t="str">
        <f t="shared" ca="1" si="21"/>
        <v/>
      </c>
      <c r="AB224" s="418" t="str">
        <f t="shared" ca="1" si="22"/>
        <v/>
      </c>
      <c r="AC224" s="417" t="str">
        <f t="shared" ca="1" si="23"/>
        <v/>
      </c>
      <c r="AD224" s="220"/>
    </row>
    <row r="225" spans="1:30" customFormat="1" ht="1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403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9"/>
        <v/>
      </c>
      <c r="Z225" s="417" t="str">
        <f t="shared" ca="1" si="20"/>
        <v/>
      </c>
      <c r="AA225" s="416" t="str">
        <f t="shared" ca="1" si="21"/>
        <v/>
      </c>
      <c r="AB225" s="418" t="str">
        <f t="shared" ca="1" si="22"/>
        <v/>
      </c>
      <c r="AC225" s="417" t="str">
        <f t="shared" ca="1" si="23"/>
        <v/>
      </c>
      <c r="AD225" s="220"/>
    </row>
    <row r="226" spans="1:30" customFormat="1" ht="1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403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9"/>
        <v/>
      </c>
      <c r="Z226" s="417" t="str">
        <f t="shared" ca="1" si="20"/>
        <v/>
      </c>
      <c r="AA226" s="416" t="str">
        <f t="shared" ca="1" si="21"/>
        <v/>
      </c>
      <c r="AB226" s="418" t="str">
        <f t="shared" ca="1" si="22"/>
        <v/>
      </c>
      <c r="AC226" s="417" t="str">
        <f t="shared" ca="1" si="23"/>
        <v/>
      </c>
      <c r="AD226" s="220"/>
    </row>
    <row r="227" spans="1:30" customFormat="1" ht="1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403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9"/>
        <v/>
      </c>
      <c r="Z227" s="417" t="str">
        <f t="shared" ca="1" si="20"/>
        <v/>
      </c>
      <c r="AA227" s="416" t="str">
        <f t="shared" ca="1" si="21"/>
        <v/>
      </c>
      <c r="AB227" s="418" t="str">
        <f t="shared" ca="1" si="22"/>
        <v/>
      </c>
      <c r="AC227" s="417" t="str">
        <f t="shared" ca="1" si="23"/>
        <v/>
      </c>
      <c r="AD227" s="220"/>
    </row>
    <row r="228" spans="1:30" customFormat="1" ht="1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403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9"/>
        <v/>
      </c>
      <c r="Z228" s="417" t="str">
        <f t="shared" ca="1" si="20"/>
        <v/>
      </c>
      <c r="AA228" s="416" t="str">
        <f t="shared" ca="1" si="21"/>
        <v/>
      </c>
      <c r="AB228" s="418" t="str">
        <f t="shared" ca="1" si="22"/>
        <v/>
      </c>
      <c r="AC228" s="417" t="str">
        <f t="shared" ca="1" si="23"/>
        <v/>
      </c>
      <c r="AD228" s="220"/>
    </row>
    <row r="229" spans="1:30" customFormat="1" ht="1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403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9"/>
        <v/>
      </c>
      <c r="Z229" s="417" t="str">
        <f t="shared" ca="1" si="20"/>
        <v/>
      </c>
      <c r="AA229" s="416" t="str">
        <f t="shared" ca="1" si="21"/>
        <v/>
      </c>
      <c r="AB229" s="418" t="str">
        <f t="shared" ca="1" si="22"/>
        <v/>
      </c>
      <c r="AC229" s="417" t="str">
        <f t="shared" ca="1" si="23"/>
        <v/>
      </c>
      <c r="AD229" s="220"/>
    </row>
    <row r="230" spans="1:30" customFormat="1" ht="1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403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9"/>
        <v/>
      </c>
      <c r="Z230" s="417" t="str">
        <f t="shared" ca="1" si="20"/>
        <v/>
      </c>
      <c r="AA230" s="416" t="str">
        <f t="shared" ca="1" si="21"/>
        <v/>
      </c>
      <c r="AB230" s="418" t="str">
        <f t="shared" ca="1" si="22"/>
        <v/>
      </c>
      <c r="AC230" s="417" t="str">
        <f t="shared" ca="1" si="23"/>
        <v/>
      </c>
      <c r="AD230" s="220"/>
    </row>
    <row r="231" spans="1:30" customFormat="1" ht="1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403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9"/>
        <v/>
      </c>
      <c r="Z231" s="417" t="str">
        <f t="shared" ca="1" si="20"/>
        <v/>
      </c>
      <c r="AA231" s="416" t="str">
        <f t="shared" ca="1" si="21"/>
        <v/>
      </c>
      <c r="AB231" s="418" t="str">
        <f t="shared" ca="1" si="22"/>
        <v/>
      </c>
      <c r="AC231" s="417" t="str">
        <f t="shared" ca="1" si="23"/>
        <v/>
      </c>
      <c r="AD231" s="220"/>
    </row>
    <row r="232" spans="1:30" customFormat="1" ht="1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403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9"/>
        <v/>
      </c>
      <c r="Z232" s="417" t="str">
        <f t="shared" ca="1" si="20"/>
        <v/>
      </c>
      <c r="AA232" s="416" t="str">
        <f t="shared" ca="1" si="21"/>
        <v/>
      </c>
      <c r="AB232" s="418" t="str">
        <f t="shared" ca="1" si="22"/>
        <v/>
      </c>
      <c r="AC232" s="417" t="str">
        <f t="shared" ca="1" si="23"/>
        <v/>
      </c>
      <c r="AD232" s="220"/>
    </row>
    <row r="233" spans="1:30" customFormat="1" ht="1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403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9"/>
        <v/>
      </c>
      <c r="Z233" s="417" t="str">
        <f t="shared" ca="1" si="20"/>
        <v/>
      </c>
      <c r="AA233" s="416" t="str">
        <f t="shared" ca="1" si="21"/>
        <v/>
      </c>
      <c r="AB233" s="418" t="str">
        <f t="shared" ca="1" si="22"/>
        <v/>
      </c>
      <c r="AC233" s="417" t="str">
        <f t="shared" ca="1" si="23"/>
        <v/>
      </c>
      <c r="AD233" s="220"/>
    </row>
    <row r="234" spans="1:30" customFormat="1" ht="1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403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9"/>
        <v/>
      </c>
      <c r="Z234" s="417" t="str">
        <f t="shared" ca="1" si="20"/>
        <v/>
      </c>
      <c r="AA234" s="416" t="str">
        <f t="shared" ca="1" si="21"/>
        <v/>
      </c>
      <c r="AB234" s="418" t="str">
        <f t="shared" ca="1" si="22"/>
        <v/>
      </c>
      <c r="AC234" s="417" t="str">
        <f t="shared" ca="1" si="23"/>
        <v/>
      </c>
      <c r="AD234" s="220"/>
    </row>
    <row r="235" spans="1:30" customFormat="1" ht="1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403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9"/>
        <v/>
      </c>
      <c r="Z235" s="417" t="str">
        <f t="shared" ca="1" si="20"/>
        <v/>
      </c>
      <c r="AA235" s="416" t="str">
        <f t="shared" ca="1" si="21"/>
        <v/>
      </c>
      <c r="AB235" s="418" t="str">
        <f t="shared" ca="1" si="22"/>
        <v/>
      </c>
      <c r="AC235" s="417" t="str">
        <f t="shared" ca="1" si="23"/>
        <v/>
      </c>
      <c r="AD235" s="220"/>
    </row>
    <row r="236" spans="1:30" customFormat="1" ht="1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403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9"/>
        <v/>
      </c>
      <c r="Z236" s="417" t="str">
        <f t="shared" ca="1" si="20"/>
        <v/>
      </c>
      <c r="AA236" s="416" t="str">
        <f t="shared" ca="1" si="21"/>
        <v/>
      </c>
      <c r="AB236" s="418" t="str">
        <f t="shared" ca="1" si="22"/>
        <v/>
      </c>
      <c r="AC236" s="417" t="str">
        <f t="shared" ca="1" si="23"/>
        <v/>
      </c>
      <c r="AD236" s="220"/>
    </row>
    <row r="237" spans="1:30" customFormat="1" ht="1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403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9"/>
        <v/>
      </c>
      <c r="Z237" s="417" t="str">
        <f t="shared" ca="1" si="20"/>
        <v/>
      </c>
      <c r="AA237" s="416" t="str">
        <f t="shared" ca="1" si="21"/>
        <v/>
      </c>
      <c r="AB237" s="418" t="str">
        <f t="shared" ca="1" si="22"/>
        <v/>
      </c>
      <c r="AC237" s="417" t="str">
        <f t="shared" ca="1" si="23"/>
        <v/>
      </c>
      <c r="AD237" s="220"/>
    </row>
    <row r="238" spans="1:30" customFormat="1" ht="1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403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9"/>
        <v/>
      </c>
      <c r="Z238" s="417" t="str">
        <f t="shared" ca="1" si="20"/>
        <v/>
      </c>
      <c r="AA238" s="416" t="str">
        <f t="shared" ca="1" si="21"/>
        <v/>
      </c>
      <c r="AB238" s="418" t="str">
        <f t="shared" ca="1" si="22"/>
        <v/>
      </c>
      <c r="AC238" s="417" t="str">
        <f t="shared" ca="1" si="23"/>
        <v/>
      </c>
      <c r="AD238" s="220"/>
    </row>
    <row r="239" spans="1:30" customFormat="1" ht="1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403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9"/>
        <v/>
      </c>
      <c r="Z239" s="417" t="str">
        <f t="shared" ca="1" si="20"/>
        <v/>
      </c>
      <c r="AA239" s="416" t="str">
        <f t="shared" ca="1" si="21"/>
        <v/>
      </c>
      <c r="AB239" s="418" t="str">
        <f t="shared" ca="1" si="22"/>
        <v/>
      </c>
      <c r="AC239" s="417" t="str">
        <f t="shared" ca="1" si="23"/>
        <v/>
      </c>
      <c r="AD239" s="220"/>
    </row>
    <row r="240" spans="1:30" customFormat="1" ht="1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403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9"/>
        <v/>
      </c>
      <c r="Z240" s="417" t="str">
        <f t="shared" ca="1" si="20"/>
        <v/>
      </c>
      <c r="AA240" s="416" t="str">
        <f t="shared" ca="1" si="21"/>
        <v/>
      </c>
      <c r="AB240" s="418" t="str">
        <f t="shared" ca="1" si="22"/>
        <v/>
      </c>
      <c r="AC240" s="417" t="str">
        <f t="shared" ca="1" si="23"/>
        <v/>
      </c>
      <c r="AD240" s="220"/>
    </row>
    <row r="241" spans="1:30" customFormat="1" ht="1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403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9"/>
        <v/>
      </c>
      <c r="Z241" s="417" t="str">
        <f t="shared" ca="1" si="20"/>
        <v/>
      </c>
      <c r="AA241" s="416" t="str">
        <f t="shared" ca="1" si="21"/>
        <v/>
      </c>
      <c r="AB241" s="418" t="str">
        <f t="shared" ca="1" si="22"/>
        <v/>
      </c>
      <c r="AC241" s="417" t="str">
        <f t="shared" ca="1" si="23"/>
        <v/>
      </c>
      <c r="AD241" s="220"/>
    </row>
    <row r="242" spans="1:30" customFormat="1" ht="1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403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9"/>
        <v/>
      </c>
      <c r="Z242" s="417" t="str">
        <f t="shared" ca="1" si="20"/>
        <v/>
      </c>
      <c r="AA242" s="416" t="str">
        <f t="shared" ca="1" si="21"/>
        <v/>
      </c>
      <c r="AB242" s="418" t="str">
        <f t="shared" ca="1" si="22"/>
        <v/>
      </c>
      <c r="AC242" s="417" t="str">
        <f t="shared" ca="1" si="23"/>
        <v/>
      </c>
      <c r="AD242" s="220"/>
    </row>
    <row r="243" spans="1:30" customFormat="1" ht="1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403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9"/>
        <v/>
      </c>
      <c r="Z243" s="417" t="str">
        <f t="shared" ca="1" si="20"/>
        <v/>
      </c>
      <c r="AA243" s="416" t="str">
        <f t="shared" ca="1" si="21"/>
        <v/>
      </c>
      <c r="AB243" s="418" t="str">
        <f t="shared" ca="1" si="22"/>
        <v/>
      </c>
      <c r="AC243" s="417" t="str">
        <f t="shared" ca="1" si="23"/>
        <v/>
      </c>
      <c r="AD243" s="220"/>
    </row>
    <row r="244" spans="1:30" customFormat="1" ht="1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403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9"/>
        <v/>
      </c>
      <c r="Z244" s="417" t="str">
        <f t="shared" ca="1" si="20"/>
        <v/>
      </c>
      <c r="AA244" s="416" t="str">
        <f t="shared" ca="1" si="21"/>
        <v/>
      </c>
      <c r="AB244" s="418" t="str">
        <f t="shared" ca="1" si="22"/>
        <v/>
      </c>
      <c r="AC244" s="417" t="str">
        <f t="shared" ca="1" si="23"/>
        <v/>
      </c>
      <c r="AD244" s="220"/>
    </row>
    <row r="245" spans="1:30" customFormat="1" ht="1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403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9"/>
        <v/>
      </c>
      <c r="Z245" s="417" t="str">
        <f t="shared" ca="1" si="20"/>
        <v/>
      </c>
      <c r="AA245" s="416" t="str">
        <f t="shared" ca="1" si="21"/>
        <v/>
      </c>
      <c r="AB245" s="418" t="str">
        <f t="shared" ca="1" si="22"/>
        <v/>
      </c>
      <c r="AC245" s="417" t="str">
        <f t="shared" ca="1" si="23"/>
        <v/>
      </c>
      <c r="AD245" s="220"/>
    </row>
    <row r="246" spans="1:30" customFormat="1" ht="1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403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9"/>
        <v/>
      </c>
      <c r="Z246" s="417" t="str">
        <f t="shared" ca="1" si="20"/>
        <v/>
      </c>
      <c r="AA246" s="416" t="str">
        <f t="shared" ca="1" si="21"/>
        <v/>
      </c>
      <c r="AB246" s="418" t="str">
        <f t="shared" ca="1" si="22"/>
        <v/>
      </c>
      <c r="AC246" s="417" t="str">
        <f t="shared" ca="1" si="23"/>
        <v/>
      </c>
      <c r="AD246" s="220"/>
    </row>
    <row r="247" spans="1:30" customFormat="1" ht="1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403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9"/>
        <v/>
      </c>
      <c r="Z247" s="417" t="str">
        <f t="shared" ca="1" si="20"/>
        <v/>
      </c>
      <c r="AA247" s="416" t="str">
        <f t="shared" ca="1" si="21"/>
        <v/>
      </c>
      <c r="AB247" s="418" t="str">
        <f t="shared" ca="1" si="22"/>
        <v/>
      </c>
      <c r="AC247" s="417" t="str">
        <f t="shared" ca="1" si="23"/>
        <v/>
      </c>
      <c r="AD247" s="220"/>
    </row>
    <row r="248" spans="1:30" customFormat="1" ht="1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403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9"/>
        <v/>
      </c>
      <c r="Z248" s="417" t="str">
        <f t="shared" ca="1" si="20"/>
        <v/>
      </c>
      <c r="AA248" s="416" t="str">
        <f t="shared" ca="1" si="21"/>
        <v/>
      </c>
      <c r="AB248" s="418" t="str">
        <f t="shared" ca="1" si="22"/>
        <v/>
      </c>
      <c r="AC248" s="417" t="str">
        <f t="shared" ca="1" si="23"/>
        <v/>
      </c>
      <c r="AD248" s="220"/>
    </row>
    <row r="249" spans="1:30" customFormat="1" ht="1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403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9"/>
        <v/>
      </c>
      <c r="Z249" s="417" t="str">
        <f t="shared" ca="1" si="20"/>
        <v/>
      </c>
      <c r="AA249" s="416" t="str">
        <f t="shared" ca="1" si="21"/>
        <v/>
      </c>
      <c r="AB249" s="418" t="str">
        <f t="shared" ca="1" si="22"/>
        <v/>
      </c>
      <c r="AC249" s="417" t="str">
        <f t="shared" ca="1" si="23"/>
        <v/>
      </c>
      <c r="AD249" s="220"/>
    </row>
    <row r="250" spans="1:30" customFormat="1" ht="1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403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9"/>
        <v/>
      </c>
      <c r="Z250" s="417" t="str">
        <f t="shared" ca="1" si="20"/>
        <v/>
      </c>
      <c r="AA250" s="416" t="str">
        <f t="shared" ca="1" si="21"/>
        <v/>
      </c>
      <c r="AB250" s="418" t="str">
        <f t="shared" ca="1" si="22"/>
        <v/>
      </c>
      <c r="AC250" s="417" t="str">
        <f t="shared" ca="1" si="23"/>
        <v/>
      </c>
      <c r="AD250" s="220"/>
    </row>
    <row r="251" spans="1:30" customFormat="1" ht="1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403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9"/>
        <v/>
      </c>
      <c r="Z251" s="417" t="str">
        <f t="shared" ca="1" si="20"/>
        <v/>
      </c>
      <c r="AA251" s="416" t="str">
        <f t="shared" ca="1" si="21"/>
        <v/>
      </c>
      <c r="AB251" s="418" t="str">
        <f t="shared" ca="1" si="22"/>
        <v/>
      </c>
      <c r="AC251" s="417" t="str">
        <f t="shared" ca="1" si="23"/>
        <v/>
      </c>
      <c r="AD251" s="220"/>
    </row>
    <row r="252" spans="1:30" customFormat="1" ht="1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403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9"/>
        <v/>
      </c>
      <c r="Z252" s="417" t="str">
        <f t="shared" ca="1" si="20"/>
        <v/>
      </c>
      <c r="AA252" s="416" t="str">
        <f t="shared" ca="1" si="21"/>
        <v/>
      </c>
      <c r="AB252" s="418" t="str">
        <f t="shared" ca="1" si="22"/>
        <v/>
      </c>
      <c r="AC252" s="417" t="str">
        <f t="shared" ca="1" si="23"/>
        <v/>
      </c>
      <c r="AD252" s="220"/>
    </row>
    <row r="253" spans="1:30" customFormat="1" ht="1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403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9"/>
        <v/>
      </c>
      <c r="Z253" s="417" t="str">
        <f t="shared" ca="1" si="20"/>
        <v/>
      </c>
      <c r="AA253" s="416" t="str">
        <f t="shared" ca="1" si="21"/>
        <v/>
      </c>
      <c r="AB253" s="418" t="str">
        <f t="shared" ca="1" si="22"/>
        <v/>
      </c>
      <c r="AC253" s="417" t="str">
        <f t="shared" ca="1" si="23"/>
        <v/>
      </c>
      <c r="AD253" s="220"/>
    </row>
    <row r="254" spans="1:30" customFormat="1" ht="1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403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9"/>
        <v/>
      </c>
      <c r="Z254" s="417" t="str">
        <f t="shared" ca="1" si="20"/>
        <v/>
      </c>
      <c r="AA254" s="416" t="str">
        <f t="shared" ca="1" si="21"/>
        <v/>
      </c>
      <c r="AB254" s="418" t="str">
        <f t="shared" ca="1" si="22"/>
        <v/>
      </c>
      <c r="AC254" s="417" t="str">
        <f t="shared" ca="1" si="23"/>
        <v/>
      </c>
      <c r="AD254" s="220"/>
    </row>
    <row r="255" spans="1:30" customFormat="1" ht="1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403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9"/>
        <v/>
      </c>
      <c r="Z255" s="417" t="str">
        <f t="shared" ca="1" si="20"/>
        <v/>
      </c>
      <c r="AA255" s="416" t="str">
        <f t="shared" ca="1" si="21"/>
        <v/>
      </c>
      <c r="AB255" s="418" t="str">
        <f t="shared" ca="1" si="22"/>
        <v/>
      </c>
      <c r="AC255" s="417" t="str">
        <f t="shared" ca="1" si="23"/>
        <v/>
      </c>
      <c r="AD255" s="220"/>
    </row>
    <row r="256" spans="1:30" customFormat="1" ht="1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403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9"/>
        <v/>
      </c>
      <c r="Z256" s="417" t="str">
        <f t="shared" ca="1" si="20"/>
        <v/>
      </c>
      <c r="AA256" s="416" t="str">
        <f t="shared" ca="1" si="21"/>
        <v/>
      </c>
      <c r="AB256" s="418" t="str">
        <f t="shared" ca="1" si="22"/>
        <v/>
      </c>
      <c r="AC256" s="417" t="str">
        <f t="shared" ca="1" si="23"/>
        <v/>
      </c>
      <c r="AD256" s="220"/>
    </row>
    <row r="257" spans="1:30" customFormat="1" ht="1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403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9"/>
        <v/>
      </c>
      <c r="Z257" s="417" t="str">
        <f t="shared" ca="1" si="20"/>
        <v/>
      </c>
      <c r="AA257" s="416" t="str">
        <f t="shared" ca="1" si="21"/>
        <v/>
      </c>
      <c r="AB257" s="418" t="str">
        <f t="shared" ca="1" si="22"/>
        <v/>
      </c>
      <c r="AC257" s="417" t="str">
        <f t="shared" ca="1" si="23"/>
        <v/>
      </c>
      <c r="AD257" s="220"/>
    </row>
    <row r="258" spans="1:30" customFormat="1" ht="1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403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9"/>
        <v/>
      </c>
      <c r="Z258" s="417" t="str">
        <f t="shared" ca="1" si="20"/>
        <v/>
      </c>
      <c r="AA258" s="416" t="str">
        <f t="shared" ca="1" si="21"/>
        <v/>
      </c>
      <c r="AB258" s="418" t="str">
        <f t="shared" ca="1" si="22"/>
        <v/>
      </c>
      <c r="AC258" s="417" t="str">
        <f t="shared" ca="1" si="23"/>
        <v/>
      </c>
      <c r="AD258" s="220"/>
    </row>
    <row r="259" spans="1:30" customFormat="1" ht="1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403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9"/>
        <v/>
      </c>
      <c r="Z259" s="417" t="str">
        <f t="shared" ca="1" si="20"/>
        <v/>
      </c>
      <c r="AA259" s="416" t="str">
        <f t="shared" ca="1" si="21"/>
        <v/>
      </c>
      <c r="AB259" s="418" t="str">
        <f t="shared" ca="1" si="22"/>
        <v/>
      </c>
      <c r="AC259" s="417" t="str">
        <f t="shared" ca="1" si="23"/>
        <v/>
      </c>
      <c r="AD259" s="220"/>
    </row>
    <row r="260" spans="1:30" customFormat="1" ht="1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403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9"/>
        <v/>
      </c>
      <c r="Z260" s="417" t="str">
        <f t="shared" ca="1" si="20"/>
        <v/>
      </c>
      <c r="AA260" s="416" t="str">
        <f t="shared" ca="1" si="21"/>
        <v/>
      </c>
      <c r="AB260" s="418" t="str">
        <f t="shared" ca="1" si="22"/>
        <v/>
      </c>
      <c r="AC260" s="417" t="str">
        <f t="shared" ca="1" si="23"/>
        <v/>
      </c>
      <c r="AD260" s="220"/>
    </row>
    <row r="261" spans="1:30" customFormat="1" ht="1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403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9"/>
        <v/>
      </c>
      <c r="Z261" s="417" t="str">
        <f t="shared" ca="1" si="20"/>
        <v/>
      </c>
      <c r="AA261" s="416" t="str">
        <f t="shared" ca="1" si="21"/>
        <v/>
      </c>
      <c r="AB261" s="418" t="str">
        <f t="shared" ca="1" si="22"/>
        <v/>
      </c>
      <c r="AC261" s="417" t="str">
        <f t="shared" ca="1" si="23"/>
        <v/>
      </c>
      <c r="AD261" s="220"/>
    </row>
    <row r="262" spans="1:30" customFormat="1" ht="1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403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9"/>
        <v/>
      </c>
      <c r="Z262" s="417" t="str">
        <f t="shared" ca="1" si="20"/>
        <v/>
      </c>
      <c r="AA262" s="416" t="str">
        <f t="shared" ca="1" si="21"/>
        <v/>
      </c>
      <c r="AB262" s="418" t="str">
        <f t="shared" ca="1" si="22"/>
        <v/>
      </c>
      <c r="AC262" s="417" t="str">
        <f t="shared" ca="1" si="23"/>
        <v/>
      </c>
      <c r="AD262" s="220"/>
    </row>
    <row r="263" spans="1:30" customFormat="1" ht="1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403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9"/>
        <v/>
      </c>
      <c r="Z263" s="417" t="str">
        <f t="shared" ca="1" si="20"/>
        <v/>
      </c>
      <c r="AA263" s="416" t="str">
        <f t="shared" ca="1" si="21"/>
        <v/>
      </c>
      <c r="AB263" s="418" t="str">
        <f t="shared" ca="1" si="22"/>
        <v/>
      </c>
      <c r="AC263" s="417" t="str">
        <f t="shared" ca="1" si="23"/>
        <v/>
      </c>
      <c r="AD263" s="220"/>
    </row>
    <row r="264" spans="1:30" customFormat="1" ht="1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403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9"/>
        <v/>
      </c>
      <c r="Z264" s="417" t="str">
        <f t="shared" ca="1" si="20"/>
        <v/>
      </c>
      <c r="AA264" s="416" t="str">
        <f t="shared" ca="1" si="21"/>
        <v/>
      </c>
      <c r="AB264" s="418" t="str">
        <f t="shared" ca="1" si="22"/>
        <v/>
      </c>
      <c r="AC264" s="417" t="str">
        <f t="shared" ca="1" si="23"/>
        <v/>
      </c>
      <c r="AD264" s="220"/>
    </row>
    <row r="265" spans="1:30" customFormat="1" ht="1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403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9"/>
        <v/>
      </c>
      <c r="Z265" s="417" t="str">
        <f t="shared" ca="1" si="20"/>
        <v/>
      </c>
      <c r="AA265" s="416" t="str">
        <f t="shared" ca="1" si="21"/>
        <v/>
      </c>
      <c r="AB265" s="418" t="str">
        <f t="shared" ca="1" si="22"/>
        <v/>
      </c>
      <c r="AC265" s="417" t="str">
        <f t="shared" ca="1" si="23"/>
        <v/>
      </c>
      <c r="AD265" s="220"/>
    </row>
    <row r="266" spans="1:30" customFormat="1" ht="1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403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9"/>
        <v/>
      </c>
      <c r="Z266" s="417" t="str">
        <f t="shared" ca="1" si="20"/>
        <v/>
      </c>
      <c r="AA266" s="416" t="str">
        <f t="shared" ca="1" si="21"/>
        <v/>
      </c>
      <c r="AB266" s="418" t="str">
        <f t="shared" ca="1" si="22"/>
        <v/>
      </c>
      <c r="AC266" s="417" t="str">
        <f t="shared" ca="1" si="23"/>
        <v/>
      </c>
      <c r="AD266" s="220"/>
    </row>
    <row r="267" spans="1:30" customFormat="1" ht="1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403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9"/>
        <v/>
      </c>
      <c r="Z267" s="417" t="str">
        <f t="shared" ca="1" si="20"/>
        <v/>
      </c>
      <c r="AA267" s="416" t="str">
        <f t="shared" ca="1" si="21"/>
        <v/>
      </c>
      <c r="AB267" s="418" t="str">
        <f t="shared" ca="1" si="22"/>
        <v/>
      </c>
      <c r="AC267" s="417" t="str">
        <f t="shared" ca="1" si="23"/>
        <v/>
      </c>
      <c r="AD267" s="220"/>
    </row>
    <row r="268" spans="1:30" customFormat="1" ht="1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403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9"/>
        <v/>
      </c>
      <c r="Z268" s="417" t="str">
        <f t="shared" ca="1" si="20"/>
        <v/>
      </c>
      <c r="AA268" s="416" t="str">
        <f t="shared" ca="1" si="21"/>
        <v/>
      </c>
      <c r="AB268" s="418" t="str">
        <f t="shared" ca="1" si="22"/>
        <v/>
      </c>
      <c r="AC268" s="417" t="str">
        <f t="shared" ca="1" si="23"/>
        <v/>
      </c>
      <c r="AD268" s="220"/>
    </row>
    <row r="269" spans="1:30" customFormat="1" ht="1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403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9"/>
        <v/>
      </c>
      <c r="Z269" s="417" t="str">
        <f t="shared" ca="1" si="20"/>
        <v/>
      </c>
      <c r="AA269" s="416" t="str">
        <f t="shared" ca="1" si="21"/>
        <v/>
      </c>
      <c r="AB269" s="418" t="str">
        <f t="shared" ca="1" si="22"/>
        <v/>
      </c>
      <c r="AC269" s="417" t="str">
        <f t="shared" ca="1" si="23"/>
        <v/>
      </c>
      <c r="AD269" s="220"/>
    </row>
    <row r="270" spans="1:30" customFormat="1" ht="1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403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9"/>
        <v/>
      </c>
      <c r="Z270" s="417" t="str">
        <f t="shared" ca="1" si="20"/>
        <v/>
      </c>
      <c r="AA270" s="416" t="str">
        <f t="shared" ca="1" si="21"/>
        <v/>
      </c>
      <c r="AB270" s="418" t="str">
        <f t="shared" ca="1" si="22"/>
        <v/>
      </c>
      <c r="AC270" s="417" t="str">
        <f t="shared" ca="1" si="23"/>
        <v/>
      </c>
      <c r="AD270" s="220"/>
    </row>
    <row r="271" spans="1:30" customFormat="1" ht="1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403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9"/>
        <v/>
      </c>
      <c r="Z271" s="417" t="str">
        <f t="shared" ca="1" si="20"/>
        <v/>
      </c>
      <c r="AA271" s="416" t="str">
        <f t="shared" ca="1" si="21"/>
        <v/>
      </c>
      <c r="AB271" s="418" t="str">
        <f t="shared" ca="1" si="22"/>
        <v/>
      </c>
      <c r="AC271" s="417" t="str">
        <f t="shared" ca="1" si="23"/>
        <v/>
      </c>
      <c r="AD271" s="220"/>
    </row>
    <row r="272" spans="1:30" customFormat="1" ht="1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403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4">IF($U$12,IF(T272="","",$U$13*D296/$C$18),"")</f>
        <v/>
      </c>
      <c r="Z272" s="417" t="str">
        <f t="shared" ref="Z272:Z314" ca="1" si="25">IF($U$12,IF(Y272="","",Y272*($Z$10-W272)*X272),"")</f>
        <v/>
      </c>
      <c r="AA272" s="416" t="str">
        <f t="shared" ref="AA272:AA313" ca="1" si="26">IF($U$12,IF(OR(T272="",L272=""),"",L272/($C$20-$C$19)),"")</f>
        <v/>
      </c>
      <c r="AB272" s="418" t="str">
        <f t="shared" ref="AB272:AB313" ca="1" si="27">IF($U$12,IF(W272="","",W272*$AC$10),"")</f>
        <v/>
      </c>
      <c r="AC272" s="417" t="str">
        <f t="shared" ref="AC272:AC313" ca="1" si="28">IF($U$12,IF(AA272="","",AA272*(AB272-W272)*X272),"")</f>
        <v/>
      </c>
      <c r="AD272" s="220"/>
    </row>
    <row r="273" spans="1:30" customFormat="1" ht="1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403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4"/>
        <v/>
      </c>
      <c r="Z273" s="417" t="str">
        <f t="shared" ca="1" si="25"/>
        <v/>
      </c>
      <c r="AA273" s="416" t="str">
        <f t="shared" ca="1" si="26"/>
        <v/>
      </c>
      <c r="AB273" s="418" t="str">
        <f t="shared" ca="1" si="27"/>
        <v/>
      </c>
      <c r="AC273" s="417" t="str">
        <f t="shared" ca="1" si="28"/>
        <v/>
      </c>
      <c r="AD273" s="220"/>
    </row>
    <row r="274" spans="1:30" customFormat="1" ht="1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403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4"/>
        <v/>
      </c>
      <c r="Z274" s="417" t="str">
        <f t="shared" ca="1" si="25"/>
        <v/>
      </c>
      <c r="AA274" s="416" t="str">
        <f t="shared" ca="1" si="26"/>
        <v/>
      </c>
      <c r="AB274" s="418" t="str">
        <f t="shared" ca="1" si="27"/>
        <v/>
      </c>
      <c r="AC274" s="417" t="str">
        <f t="shared" ca="1" si="28"/>
        <v/>
      </c>
      <c r="AD274" s="220"/>
    </row>
    <row r="275" spans="1:30" customFormat="1" ht="1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403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4"/>
        <v/>
      </c>
      <c r="Z275" s="417" t="str">
        <f t="shared" ca="1" si="25"/>
        <v/>
      </c>
      <c r="AA275" s="416" t="str">
        <f t="shared" ca="1" si="26"/>
        <v/>
      </c>
      <c r="AB275" s="418" t="str">
        <f t="shared" ca="1" si="27"/>
        <v/>
      </c>
      <c r="AC275" s="417" t="str">
        <f t="shared" ca="1" si="28"/>
        <v/>
      </c>
      <c r="AD275" s="220"/>
    </row>
    <row r="276" spans="1:30" customFormat="1" ht="1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403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4"/>
        <v/>
      </c>
      <c r="Z276" s="417" t="str">
        <f t="shared" ca="1" si="25"/>
        <v/>
      </c>
      <c r="AA276" s="416" t="str">
        <f t="shared" ca="1" si="26"/>
        <v/>
      </c>
      <c r="AB276" s="418" t="str">
        <f t="shared" ca="1" si="27"/>
        <v/>
      </c>
      <c r="AC276" s="417" t="str">
        <f t="shared" ca="1" si="28"/>
        <v/>
      </c>
      <c r="AD276" s="220"/>
    </row>
    <row r="277" spans="1:30" customFormat="1" ht="1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403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4"/>
        <v/>
      </c>
      <c r="Z277" s="417" t="str">
        <f t="shared" ca="1" si="25"/>
        <v/>
      </c>
      <c r="AA277" s="416" t="str">
        <f t="shared" ca="1" si="26"/>
        <v/>
      </c>
      <c r="AB277" s="418" t="str">
        <f t="shared" ca="1" si="27"/>
        <v/>
      </c>
      <c r="AC277" s="417" t="str">
        <f t="shared" ca="1" si="28"/>
        <v/>
      </c>
      <c r="AD277" s="220"/>
    </row>
    <row r="278" spans="1:30" customFormat="1" ht="1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403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4"/>
        <v/>
      </c>
      <c r="Z278" s="417" t="str">
        <f t="shared" ca="1" si="25"/>
        <v/>
      </c>
      <c r="AA278" s="416" t="str">
        <f t="shared" ca="1" si="26"/>
        <v/>
      </c>
      <c r="AB278" s="418" t="str">
        <f t="shared" ca="1" si="27"/>
        <v/>
      </c>
      <c r="AC278" s="417" t="str">
        <f t="shared" ca="1" si="28"/>
        <v/>
      </c>
      <c r="AD278" s="220"/>
    </row>
    <row r="279" spans="1:30" customFormat="1" ht="1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403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4"/>
        <v/>
      </c>
      <c r="Z279" s="417" t="str">
        <f t="shared" ca="1" si="25"/>
        <v/>
      </c>
      <c r="AA279" s="416" t="str">
        <f t="shared" ca="1" si="26"/>
        <v/>
      </c>
      <c r="AB279" s="418" t="str">
        <f t="shared" ca="1" si="27"/>
        <v/>
      </c>
      <c r="AC279" s="417" t="str">
        <f t="shared" ca="1" si="28"/>
        <v/>
      </c>
      <c r="AD279" s="220"/>
    </row>
    <row r="280" spans="1:30" customFormat="1" ht="1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403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4"/>
        <v/>
      </c>
      <c r="Z280" s="417" t="str">
        <f t="shared" ca="1" si="25"/>
        <v/>
      </c>
      <c r="AA280" s="416" t="str">
        <f t="shared" ca="1" si="26"/>
        <v/>
      </c>
      <c r="AB280" s="418" t="str">
        <f t="shared" ca="1" si="27"/>
        <v/>
      </c>
      <c r="AC280" s="417" t="str">
        <f t="shared" ca="1" si="28"/>
        <v/>
      </c>
      <c r="AD280" s="220"/>
    </row>
    <row r="281" spans="1:30" customFormat="1" ht="1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403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4"/>
        <v/>
      </c>
      <c r="Z281" s="417" t="str">
        <f t="shared" ca="1" si="25"/>
        <v/>
      </c>
      <c r="AA281" s="416" t="str">
        <f t="shared" ca="1" si="26"/>
        <v/>
      </c>
      <c r="AB281" s="418" t="str">
        <f t="shared" ca="1" si="27"/>
        <v/>
      </c>
      <c r="AC281" s="417" t="str">
        <f t="shared" ca="1" si="28"/>
        <v/>
      </c>
      <c r="AD281" s="220"/>
    </row>
    <row r="282" spans="1:30" customFormat="1" ht="1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403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4"/>
        <v/>
      </c>
      <c r="Z282" s="417" t="str">
        <f t="shared" ca="1" si="25"/>
        <v/>
      </c>
      <c r="AA282" s="416" t="str">
        <f t="shared" ca="1" si="26"/>
        <v/>
      </c>
      <c r="AB282" s="418" t="str">
        <f t="shared" ca="1" si="27"/>
        <v/>
      </c>
      <c r="AC282" s="417" t="str">
        <f t="shared" ca="1" si="28"/>
        <v/>
      </c>
      <c r="AD282" s="220"/>
    </row>
    <row r="283" spans="1:30" customFormat="1" ht="1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403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4"/>
        <v/>
      </c>
      <c r="Z283" s="417" t="str">
        <f t="shared" ca="1" si="25"/>
        <v/>
      </c>
      <c r="AA283" s="416" t="str">
        <f t="shared" ca="1" si="26"/>
        <v/>
      </c>
      <c r="AB283" s="418" t="str">
        <f t="shared" ca="1" si="27"/>
        <v/>
      </c>
      <c r="AC283" s="417" t="str">
        <f t="shared" ca="1" si="28"/>
        <v/>
      </c>
      <c r="AD283" s="220"/>
    </row>
    <row r="284" spans="1:30" customFormat="1" ht="1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403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4"/>
        <v/>
      </c>
      <c r="Z284" s="417" t="str">
        <f t="shared" ca="1" si="25"/>
        <v/>
      </c>
      <c r="AA284" s="416" t="str">
        <f t="shared" ca="1" si="26"/>
        <v/>
      </c>
      <c r="AB284" s="418" t="str">
        <f t="shared" ca="1" si="27"/>
        <v/>
      </c>
      <c r="AC284" s="417" t="str">
        <f t="shared" ca="1" si="28"/>
        <v/>
      </c>
      <c r="AD284" s="220"/>
    </row>
    <row r="285" spans="1:30" customFormat="1" ht="1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403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4"/>
        <v/>
      </c>
      <c r="Z285" s="417" t="str">
        <f t="shared" ca="1" si="25"/>
        <v/>
      </c>
      <c r="AA285" s="416" t="str">
        <f t="shared" ca="1" si="26"/>
        <v/>
      </c>
      <c r="AB285" s="418" t="str">
        <f t="shared" ca="1" si="27"/>
        <v/>
      </c>
      <c r="AC285" s="417" t="str">
        <f t="shared" ca="1" si="28"/>
        <v/>
      </c>
      <c r="AD285" s="220"/>
    </row>
    <row r="286" spans="1:30" customFormat="1" ht="1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403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4"/>
        <v/>
      </c>
      <c r="Z286" s="417" t="str">
        <f t="shared" ca="1" si="25"/>
        <v/>
      </c>
      <c r="AA286" s="416" t="str">
        <f t="shared" ca="1" si="26"/>
        <v/>
      </c>
      <c r="AB286" s="418" t="str">
        <f t="shared" ca="1" si="27"/>
        <v/>
      </c>
      <c r="AC286" s="417" t="str">
        <f t="shared" ca="1" si="28"/>
        <v/>
      </c>
      <c r="AD286" s="220"/>
    </row>
    <row r="287" spans="1:30" customFormat="1" ht="1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403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4"/>
        <v/>
      </c>
      <c r="Z287" s="417" t="str">
        <f t="shared" ca="1" si="25"/>
        <v/>
      </c>
      <c r="AA287" s="416" t="str">
        <f t="shared" ca="1" si="26"/>
        <v/>
      </c>
      <c r="AB287" s="418" t="str">
        <f t="shared" ca="1" si="27"/>
        <v/>
      </c>
      <c r="AC287" s="417" t="str">
        <f t="shared" ca="1" si="28"/>
        <v/>
      </c>
      <c r="AD287" s="220"/>
    </row>
    <row r="288" spans="1:30" customFormat="1" ht="1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403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4"/>
        <v/>
      </c>
      <c r="Z288" s="417" t="str">
        <f t="shared" ca="1" si="25"/>
        <v/>
      </c>
      <c r="AA288" s="416" t="str">
        <f t="shared" ca="1" si="26"/>
        <v/>
      </c>
      <c r="AB288" s="418" t="str">
        <f t="shared" ca="1" si="27"/>
        <v/>
      </c>
      <c r="AC288" s="417" t="str">
        <f t="shared" ca="1" si="28"/>
        <v/>
      </c>
      <c r="AD288" s="220"/>
    </row>
    <row r="289" spans="1:30" customFormat="1" ht="1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403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4"/>
        <v/>
      </c>
      <c r="Z289" s="417" t="str">
        <f t="shared" ca="1" si="25"/>
        <v/>
      </c>
      <c r="AA289" s="416" t="str">
        <f t="shared" ca="1" si="26"/>
        <v/>
      </c>
      <c r="AB289" s="418" t="str">
        <f t="shared" ca="1" si="27"/>
        <v/>
      </c>
      <c r="AC289" s="417" t="str">
        <f t="shared" ca="1" si="28"/>
        <v/>
      </c>
      <c r="AD289" s="220"/>
    </row>
    <row r="290" spans="1:30" customFormat="1" ht="1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403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4"/>
        <v/>
      </c>
      <c r="Z290" s="417" t="str">
        <f t="shared" ca="1" si="25"/>
        <v/>
      </c>
      <c r="AA290" s="416" t="str">
        <f t="shared" ca="1" si="26"/>
        <v/>
      </c>
      <c r="AB290" s="418" t="str">
        <f t="shared" ca="1" si="27"/>
        <v/>
      </c>
      <c r="AC290" s="417" t="str">
        <f t="shared" ca="1" si="28"/>
        <v/>
      </c>
      <c r="AD290" s="220"/>
    </row>
    <row r="291" spans="1:30" customFormat="1" ht="1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403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4"/>
        <v/>
      </c>
      <c r="Z291" s="417" t="str">
        <f t="shared" ca="1" si="25"/>
        <v/>
      </c>
      <c r="AA291" s="416" t="str">
        <f t="shared" ca="1" si="26"/>
        <v/>
      </c>
      <c r="AB291" s="418" t="str">
        <f t="shared" ca="1" si="27"/>
        <v/>
      </c>
      <c r="AC291" s="417" t="str">
        <f t="shared" ca="1" si="28"/>
        <v/>
      </c>
      <c r="AD291" s="220"/>
    </row>
    <row r="292" spans="1:30" customFormat="1" ht="1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403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4"/>
        <v/>
      </c>
      <c r="Z292" s="417" t="str">
        <f t="shared" ca="1" si="25"/>
        <v/>
      </c>
      <c r="AA292" s="416" t="str">
        <f t="shared" ca="1" si="26"/>
        <v/>
      </c>
      <c r="AB292" s="418" t="str">
        <f t="shared" ca="1" si="27"/>
        <v/>
      </c>
      <c r="AC292" s="417" t="str">
        <f t="shared" ca="1" si="28"/>
        <v/>
      </c>
      <c r="AD292" s="220"/>
    </row>
    <row r="293" spans="1:30" customFormat="1" ht="1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403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4"/>
        <v/>
      </c>
      <c r="Z293" s="417" t="str">
        <f t="shared" ca="1" si="25"/>
        <v/>
      </c>
      <c r="AA293" s="416" t="str">
        <f t="shared" ca="1" si="26"/>
        <v/>
      </c>
      <c r="AB293" s="418" t="str">
        <f t="shared" ca="1" si="27"/>
        <v/>
      </c>
      <c r="AC293" s="417" t="str">
        <f t="shared" ca="1" si="28"/>
        <v/>
      </c>
      <c r="AD293" s="220"/>
    </row>
    <row r="294" spans="1:30" customFormat="1" ht="1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403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4"/>
        <v/>
      </c>
      <c r="Z294" s="417" t="str">
        <f t="shared" ca="1" si="25"/>
        <v/>
      </c>
      <c r="AA294" s="416" t="str">
        <f t="shared" ca="1" si="26"/>
        <v/>
      </c>
      <c r="AB294" s="418" t="str">
        <f t="shared" ca="1" si="27"/>
        <v/>
      </c>
      <c r="AC294" s="417" t="str">
        <f t="shared" ca="1" si="28"/>
        <v/>
      </c>
      <c r="AD294" s="220"/>
    </row>
    <row r="295" spans="1:30" customFormat="1" ht="1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403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4"/>
        <v/>
      </c>
      <c r="Z295" s="417" t="str">
        <f t="shared" ca="1" si="25"/>
        <v/>
      </c>
      <c r="AA295" s="416" t="str">
        <f t="shared" ca="1" si="26"/>
        <v/>
      </c>
      <c r="AB295" s="418" t="str">
        <f t="shared" ca="1" si="27"/>
        <v/>
      </c>
      <c r="AC295" s="417" t="str">
        <f t="shared" ca="1" si="28"/>
        <v/>
      </c>
      <c r="AD295" s="220"/>
    </row>
    <row r="296" spans="1:30" customFormat="1" ht="1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403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4"/>
        <v/>
      </c>
      <c r="Z296" s="417" t="str">
        <f t="shared" ca="1" si="25"/>
        <v/>
      </c>
      <c r="AA296" s="416" t="str">
        <f t="shared" ca="1" si="26"/>
        <v/>
      </c>
      <c r="AB296" s="418" t="str">
        <f t="shared" ca="1" si="27"/>
        <v/>
      </c>
      <c r="AC296" s="417" t="str">
        <f t="shared" ca="1" si="28"/>
        <v/>
      </c>
      <c r="AD296" s="220"/>
    </row>
    <row r="297" spans="1:30" customFormat="1" ht="1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403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4"/>
        <v/>
      </c>
      <c r="Z297" s="417" t="str">
        <f t="shared" ca="1" si="25"/>
        <v/>
      </c>
      <c r="AA297" s="416" t="str">
        <f t="shared" ca="1" si="26"/>
        <v/>
      </c>
      <c r="AB297" s="418" t="str">
        <f t="shared" ca="1" si="27"/>
        <v/>
      </c>
      <c r="AC297" s="417" t="str">
        <f t="shared" ca="1" si="28"/>
        <v/>
      </c>
      <c r="AD297" s="220"/>
    </row>
    <row r="298" spans="1:30" customFormat="1" ht="1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403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4"/>
        <v/>
      </c>
      <c r="Z298" s="417" t="str">
        <f t="shared" ca="1" si="25"/>
        <v/>
      </c>
      <c r="AA298" s="416" t="str">
        <f t="shared" ca="1" si="26"/>
        <v/>
      </c>
      <c r="AB298" s="418" t="str">
        <f t="shared" ca="1" si="27"/>
        <v/>
      </c>
      <c r="AC298" s="417" t="str">
        <f t="shared" ca="1" si="28"/>
        <v/>
      </c>
      <c r="AD298" s="220"/>
    </row>
    <row r="299" spans="1:30" customFormat="1" ht="1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403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4"/>
        <v/>
      </c>
      <c r="Z299" s="417" t="str">
        <f t="shared" ca="1" si="25"/>
        <v/>
      </c>
      <c r="AA299" s="416" t="str">
        <f t="shared" ca="1" si="26"/>
        <v/>
      </c>
      <c r="AB299" s="418" t="str">
        <f t="shared" ca="1" si="27"/>
        <v/>
      </c>
      <c r="AC299" s="417" t="str">
        <f t="shared" ca="1" si="28"/>
        <v/>
      </c>
      <c r="AD299" s="220"/>
    </row>
    <row r="300" spans="1:30" customFormat="1" ht="1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403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4"/>
        <v/>
      </c>
      <c r="Z300" s="417" t="str">
        <f t="shared" ca="1" si="25"/>
        <v/>
      </c>
      <c r="AA300" s="416" t="str">
        <f t="shared" ca="1" si="26"/>
        <v/>
      </c>
      <c r="AB300" s="418" t="str">
        <f t="shared" ca="1" si="27"/>
        <v/>
      </c>
      <c r="AC300" s="417" t="str">
        <f t="shared" ca="1" si="28"/>
        <v/>
      </c>
      <c r="AD300" s="220"/>
    </row>
    <row r="301" spans="1:30" customFormat="1" ht="1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403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4"/>
        <v/>
      </c>
      <c r="Z301" s="417" t="str">
        <f t="shared" ca="1" si="25"/>
        <v/>
      </c>
      <c r="AA301" s="416" t="str">
        <f t="shared" ca="1" si="26"/>
        <v/>
      </c>
      <c r="AB301" s="418" t="str">
        <f t="shared" ca="1" si="27"/>
        <v/>
      </c>
      <c r="AC301" s="417" t="str">
        <f t="shared" ca="1" si="28"/>
        <v/>
      </c>
      <c r="AD301" s="220"/>
    </row>
    <row r="302" spans="1:30" customFormat="1" ht="1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403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4"/>
        <v/>
      </c>
      <c r="Z302" s="417" t="str">
        <f t="shared" ca="1" si="25"/>
        <v/>
      </c>
      <c r="AA302" s="416" t="str">
        <f t="shared" ca="1" si="26"/>
        <v/>
      </c>
      <c r="AB302" s="418" t="str">
        <f t="shared" ca="1" si="27"/>
        <v/>
      </c>
      <c r="AC302" s="417" t="str">
        <f t="shared" ca="1" si="28"/>
        <v/>
      </c>
      <c r="AD302" s="220"/>
    </row>
    <row r="303" spans="1:30" customFormat="1" ht="1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403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4"/>
        <v/>
      </c>
      <c r="Z303" s="417" t="str">
        <f t="shared" ca="1" si="25"/>
        <v/>
      </c>
      <c r="AA303" s="416" t="str">
        <f t="shared" ca="1" si="26"/>
        <v/>
      </c>
      <c r="AB303" s="418" t="str">
        <f t="shared" ca="1" si="27"/>
        <v/>
      </c>
      <c r="AC303" s="417" t="str">
        <f t="shared" ca="1" si="28"/>
        <v/>
      </c>
      <c r="AD303" s="220"/>
    </row>
    <row r="304" spans="1:30" customFormat="1" ht="1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403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4"/>
        <v/>
      </c>
      <c r="Z304" s="417" t="str">
        <f t="shared" ca="1" si="25"/>
        <v/>
      </c>
      <c r="AA304" s="416" t="str">
        <f t="shared" ca="1" si="26"/>
        <v/>
      </c>
      <c r="AB304" s="418" t="str">
        <f t="shared" ca="1" si="27"/>
        <v/>
      </c>
      <c r="AC304" s="417" t="str">
        <f t="shared" ca="1" si="28"/>
        <v/>
      </c>
      <c r="AD304" s="220"/>
    </row>
    <row r="305" spans="1:30" customFormat="1" ht="1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403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4"/>
        <v/>
      </c>
      <c r="Z305" s="417" t="str">
        <f t="shared" ca="1" si="25"/>
        <v/>
      </c>
      <c r="AA305" s="416" t="str">
        <f t="shared" ca="1" si="26"/>
        <v/>
      </c>
      <c r="AB305" s="418" t="str">
        <f t="shared" ca="1" si="27"/>
        <v/>
      </c>
      <c r="AC305" s="417" t="str">
        <f t="shared" ca="1" si="28"/>
        <v/>
      </c>
      <c r="AD305" s="220"/>
    </row>
    <row r="306" spans="1:30" customFormat="1" ht="1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403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4"/>
        <v/>
      </c>
      <c r="Z306" s="417" t="str">
        <f t="shared" ca="1" si="25"/>
        <v/>
      </c>
      <c r="AA306" s="416" t="str">
        <f t="shared" ca="1" si="26"/>
        <v/>
      </c>
      <c r="AB306" s="418" t="str">
        <f t="shared" ca="1" si="27"/>
        <v/>
      </c>
      <c r="AC306" s="417" t="str">
        <f t="shared" ca="1" si="28"/>
        <v/>
      </c>
      <c r="AD306" s="220"/>
    </row>
    <row r="307" spans="1:30" customFormat="1" ht="1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403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4"/>
        <v/>
      </c>
      <c r="Z307" s="417" t="str">
        <f t="shared" ca="1" si="25"/>
        <v/>
      </c>
      <c r="AA307" s="416" t="str">
        <f t="shared" ca="1" si="26"/>
        <v/>
      </c>
      <c r="AB307" s="418" t="str">
        <f t="shared" ca="1" si="27"/>
        <v/>
      </c>
      <c r="AC307" s="417" t="str">
        <f t="shared" ca="1" si="28"/>
        <v/>
      </c>
      <c r="AD307" s="220"/>
    </row>
    <row r="308" spans="1:30" customFormat="1" ht="1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403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4"/>
        <v/>
      </c>
      <c r="Z308" s="417" t="str">
        <f t="shared" ca="1" si="25"/>
        <v/>
      </c>
      <c r="AA308" s="416" t="str">
        <f t="shared" ca="1" si="26"/>
        <v/>
      </c>
      <c r="AB308" s="418" t="str">
        <f t="shared" ca="1" si="27"/>
        <v/>
      </c>
      <c r="AC308" s="417" t="str">
        <f t="shared" ca="1" si="28"/>
        <v/>
      </c>
      <c r="AD308" s="220"/>
    </row>
    <row r="309" spans="1:30" customFormat="1" ht="1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403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4"/>
        <v/>
      </c>
      <c r="Z309" s="417" t="str">
        <f t="shared" ca="1" si="25"/>
        <v/>
      </c>
      <c r="AA309" s="416" t="str">
        <f t="shared" ca="1" si="26"/>
        <v/>
      </c>
      <c r="AB309" s="418" t="str">
        <f t="shared" ca="1" si="27"/>
        <v/>
      </c>
      <c r="AC309" s="417" t="str">
        <f t="shared" ca="1" si="28"/>
        <v/>
      </c>
      <c r="AD309" s="220"/>
    </row>
    <row r="310" spans="1:30" customFormat="1" ht="1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403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4"/>
        <v/>
      </c>
      <c r="Z310" s="417" t="str">
        <f t="shared" ca="1" si="25"/>
        <v/>
      </c>
      <c r="AA310" s="416" t="str">
        <f t="shared" ca="1" si="26"/>
        <v/>
      </c>
      <c r="AB310" s="418" t="str">
        <f t="shared" ca="1" si="27"/>
        <v/>
      </c>
      <c r="AC310" s="417" t="str">
        <f t="shared" ca="1" si="28"/>
        <v/>
      </c>
      <c r="AD310" s="220"/>
    </row>
    <row r="311" spans="1:30" customFormat="1" ht="1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403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4"/>
        <v/>
      </c>
      <c r="Z311" s="417" t="str">
        <f t="shared" ca="1" si="25"/>
        <v/>
      </c>
      <c r="AA311" s="416" t="str">
        <f t="shared" ca="1" si="26"/>
        <v/>
      </c>
      <c r="AB311" s="418" t="str">
        <f t="shared" ca="1" si="27"/>
        <v/>
      </c>
      <c r="AC311" s="417" t="str">
        <f t="shared" ca="1" si="28"/>
        <v/>
      </c>
      <c r="AD311" s="220"/>
    </row>
    <row r="312" spans="1:30" customFormat="1" ht="1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403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4"/>
        <v/>
      </c>
      <c r="Z312" s="417" t="str">
        <f t="shared" ca="1" si="25"/>
        <v/>
      </c>
      <c r="AA312" s="416" t="str">
        <f t="shared" ca="1" si="26"/>
        <v/>
      </c>
      <c r="AB312" s="418" t="str">
        <f t="shared" ca="1" si="27"/>
        <v/>
      </c>
      <c r="AC312" s="417" t="str">
        <f t="shared" ca="1" si="28"/>
        <v/>
      </c>
      <c r="AD312" s="220"/>
    </row>
    <row r="313" spans="1:30" customFormat="1" ht="1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403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4"/>
        <v/>
      </c>
      <c r="Z313" s="417" t="str">
        <f t="shared" ca="1" si="25"/>
        <v/>
      </c>
      <c r="AA313" s="416" t="str">
        <f t="shared" ca="1" si="26"/>
        <v/>
      </c>
      <c r="AB313" s="418" t="str">
        <f t="shared" ca="1" si="27"/>
        <v/>
      </c>
      <c r="AC313" s="417" t="str">
        <f t="shared" ca="1" si="28"/>
        <v/>
      </c>
      <c r="AD313" s="220"/>
    </row>
    <row r="314" spans="1:30" customFormat="1" ht="15.7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5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416" t="str">
        <f t="shared" ca="1" si="24"/>
        <v/>
      </c>
      <c r="Z314" s="417" t="str">
        <f t="shared" ca="1" si="25"/>
        <v/>
      </c>
      <c r="AA314" s="420"/>
      <c r="AB314" s="420"/>
      <c r="AC314" s="406"/>
      <c r="AD314" s="220"/>
    </row>
    <row r="315" spans="1:30" customFormat="1" ht="1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.7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5</xdr:col>
                    <xdr:colOff>438150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5</xdr:col>
                    <xdr:colOff>438150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U808"/>
  <sheetViews>
    <sheetView tabSelected="1" topLeftCell="AL2" zoomScale="115" zoomScaleNormal="115" workbookViewId="0">
      <selection activeCell="BC17" sqref="BC17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10.42578125" style="272" bestFit="1" customWidth="1"/>
    <col min="4" max="4" width="10.5703125" style="273" customWidth="1"/>
    <col min="5" max="5" width="9.85546875" style="273" customWidth="1"/>
    <col min="6" max="6" width="22.5703125" style="273" bestFit="1" customWidth="1"/>
    <col min="7" max="12" width="12.42578125" style="273" customWidth="1"/>
    <col min="13" max="13" width="36.28515625" style="273" bestFit="1" customWidth="1"/>
    <col min="14" max="14" width="12.42578125" style="273" customWidth="1"/>
    <col min="15" max="15" width="9.85546875" style="273" customWidth="1"/>
    <col min="16" max="16" width="9.85546875" style="79" bestFit="1" customWidth="1"/>
    <col min="17" max="17" width="9.140625" style="79"/>
    <col min="18" max="18" width="12.140625" style="79" bestFit="1" customWidth="1"/>
    <col min="19" max="19" width="12.28515625" style="79" bestFit="1" customWidth="1"/>
    <col min="20" max="21" width="10.28515625" style="79" bestFit="1" customWidth="1"/>
    <col min="22" max="22" width="12.140625" style="79" bestFit="1" customWidth="1"/>
    <col min="23" max="23" width="12.28515625" style="79" bestFit="1" customWidth="1"/>
    <col min="24" max="32" width="9" style="79" customWidth="1"/>
    <col min="33" max="35" width="9" style="272" customWidth="1"/>
    <col min="36" max="41" width="8.5703125" style="272" customWidth="1"/>
    <col min="42" max="42" width="21.85546875" style="272" customWidth="1"/>
    <col min="43" max="48" width="8.5703125" style="272" customWidth="1"/>
    <col min="49" max="54" width="9.140625" style="272"/>
    <col min="55" max="55" width="7.140625" style="272" bestFit="1" customWidth="1"/>
    <col min="56" max="58" width="9.140625" style="272"/>
    <col min="59" max="59" width="9.7109375" style="272" bestFit="1" customWidth="1"/>
    <col min="60" max="61" width="9.140625" style="272"/>
    <col min="62" max="62" width="9.7109375" style="272" bestFit="1" customWidth="1"/>
    <col min="63" max="63" width="9.140625" style="272"/>
    <col min="64" max="64" width="20.5703125" style="272" bestFit="1" customWidth="1"/>
    <col min="65" max="16384" width="9.140625" style="272"/>
  </cols>
  <sheetData>
    <row r="1" spans="1:229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  <c r="HT1" s="477"/>
      <c r="HU1" s="477"/>
    </row>
    <row r="2" spans="1:229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  <c r="HT2" s="477"/>
      <c r="HU2" s="477"/>
    </row>
    <row r="3" spans="1:229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80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  <c r="HT3" s="477"/>
      <c r="HU3" s="477"/>
    </row>
    <row r="4" spans="1:229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229">
      <c r="D5" s="272"/>
      <c r="E5" s="272"/>
      <c r="F5" s="272"/>
      <c r="G5" s="272"/>
      <c r="H5" s="607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  <c r="AF5" s="272"/>
      <c r="AW5" s="580"/>
      <c r="AX5" s="580"/>
      <c r="AY5" s="580"/>
      <c r="AZ5" s="580"/>
      <c r="BA5" s="580"/>
    </row>
    <row r="6" spans="1:229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  <c r="AW6" s="580"/>
      <c r="AX6" s="580"/>
      <c r="AY6" s="580"/>
      <c r="AZ6" s="580"/>
      <c r="BA6" s="580"/>
    </row>
    <row r="7" spans="1:229" ht="12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578"/>
      <c r="AJ7" s="79"/>
      <c r="AR7" s="580"/>
      <c r="AW7" s="580"/>
      <c r="AX7" s="580"/>
      <c r="AY7" s="580"/>
      <c r="AZ7" s="580"/>
      <c r="BA7" s="580"/>
    </row>
    <row r="8" spans="1:229" ht="12" thickBot="1">
      <c r="B8" s="468" t="s">
        <v>626</v>
      </c>
      <c r="C8" s="476" t="s">
        <v>627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273"/>
      <c r="T8" s="468" t="s">
        <v>665</v>
      </c>
      <c r="U8" s="476" t="s">
        <v>654</v>
      </c>
      <c r="V8" s="476" t="s">
        <v>666</v>
      </c>
      <c r="W8" s="476" t="s">
        <v>667</v>
      </c>
      <c r="X8" s="468" t="s">
        <v>607</v>
      </c>
      <c r="Y8" s="144" t="b">
        <v>1</v>
      </c>
      <c r="Z8" s="272"/>
      <c r="AA8" s="272"/>
      <c r="AB8" s="272"/>
      <c r="AC8" s="272"/>
      <c r="AD8" s="272"/>
      <c r="AE8" s="272"/>
      <c r="AF8" s="272"/>
      <c r="AM8" s="79"/>
      <c r="AW8" s="580"/>
      <c r="AX8" s="580"/>
      <c r="AY8" s="580"/>
      <c r="AZ8" s="580"/>
      <c r="BA8" s="580"/>
    </row>
    <row r="9" spans="1:229" ht="12" thickBot="1">
      <c r="B9" s="468" t="s">
        <v>628</v>
      </c>
      <c r="C9" s="524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273"/>
      <c r="T9" s="575" cm="1">
        <f t="array" aca="1" ref="T9:U133" ca="1">riskWeight(E25:E399)</f>
        <v>0.03</v>
      </c>
      <c r="U9" s="572">
        <f ca="1"/>
        <v>1</v>
      </c>
      <c r="V9" s="576">
        <f t="shared" ref="V9:V40" ca="1" si="0">AA14*T9</f>
        <v>0</v>
      </c>
      <c r="W9" s="576">
        <f t="shared" ref="W9:W40" ca="1" si="1">AE14*T9</f>
        <v>0</v>
      </c>
      <c r="X9" s="465" t="s">
        <v>601</v>
      </c>
      <c r="Y9" s="481"/>
      <c r="Z9" s="272"/>
      <c r="AA9" s="272"/>
      <c r="AB9" s="465" t="s">
        <v>602</v>
      </c>
      <c r="AC9" s="483"/>
      <c r="AD9" s="272"/>
      <c r="AE9" s="272"/>
      <c r="AF9" s="465" t="s">
        <v>602</v>
      </c>
      <c r="AG9" s="483"/>
      <c r="AW9" s="580"/>
      <c r="AX9" s="580"/>
      <c r="AY9" s="580"/>
      <c r="AZ9" s="580"/>
      <c r="BA9" s="580"/>
      <c r="BC9" s="272">
        <v>0.01</v>
      </c>
      <c r="BD9" s="272" t="s">
        <v>699</v>
      </c>
      <c r="BE9" s="272" t="s">
        <v>698</v>
      </c>
    </row>
    <row r="10" spans="1:229" ht="12" thickBot="1">
      <c r="B10" s="468" t="s">
        <v>629</v>
      </c>
      <c r="C10" s="468" t="s">
        <v>82</v>
      </c>
      <c r="D10" s="468" t="s">
        <v>432</v>
      </c>
      <c r="E10" s="468" t="s">
        <v>630</v>
      </c>
      <c r="F10" s="468" t="s">
        <v>631</v>
      </c>
      <c r="G10" s="468" t="s">
        <v>632</v>
      </c>
      <c r="H10" s="468" t="s">
        <v>633</v>
      </c>
      <c r="I10" s="468" t="s">
        <v>634</v>
      </c>
      <c r="J10" s="468" t="s">
        <v>635</v>
      </c>
      <c r="K10" s="476" t="s">
        <v>485</v>
      </c>
      <c r="L10" s="272" t="s">
        <v>693</v>
      </c>
      <c r="M10" s="468" t="s">
        <v>676</v>
      </c>
      <c r="N10" s="468" t="s">
        <v>690</v>
      </c>
      <c r="P10" s="273"/>
      <c r="Q10" s="273"/>
      <c r="R10" s="273"/>
      <c r="S10" s="273"/>
      <c r="T10" s="576">
        <f ca="1"/>
        <v>0.03</v>
      </c>
      <c r="U10" s="573">
        <f ca="1"/>
        <v>2</v>
      </c>
      <c r="V10" s="576">
        <f t="shared" ca="1" si="0"/>
        <v>0</v>
      </c>
      <c r="W10" s="576">
        <f t="shared" ca="1" si="1"/>
        <v>0</v>
      </c>
      <c r="X10" s="466" t="s">
        <v>604</v>
      </c>
      <c r="Y10" s="493">
        <f ca="1">MAX(MAX(Y11,0)+0.5*MIN(Y11,0),0)</f>
        <v>0.11394629369075855</v>
      </c>
      <c r="Z10" s="272"/>
      <c r="AA10" s="272"/>
      <c r="AB10" s="466" t="s">
        <v>604</v>
      </c>
      <c r="AC10" s="493">
        <f ca="1">MAX(MAX(AC11,0)+0.5*MIN(AC11,0),0)</f>
        <v>7.9924535991436327</v>
      </c>
      <c r="AD10" s="272"/>
      <c r="AE10" s="272"/>
      <c r="AF10" s="466" t="s">
        <v>604</v>
      </c>
      <c r="AG10" s="493" t="e">
        <f ca="1">MAX(MAX(AG11,0)+0.5*MIN(AG11,0),0)</f>
        <v>#DIV/0!</v>
      </c>
      <c r="AP10" s="79"/>
      <c r="AQ10" s="476" t="s">
        <v>697</v>
      </c>
      <c r="AR10" s="633"/>
      <c r="AS10" s="633"/>
      <c r="AT10" s="633"/>
      <c r="AU10" s="633"/>
      <c r="AV10" s="632"/>
      <c r="AW10" s="631"/>
      <c r="AX10" s="631"/>
      <c r="AY10" s="631"/>
      <c r="AZ10" s="631"/>
      <c r="BA10" s="631"/>
      <c r="BB10" s="194"/>
    </row>
    <row r="11" spans="1:229" ht="12" thickBot="1">
      <c r="B11" s="529" t="s">
        <v>636</v>
      </c>
      <c r="C11" s="530" t="s">
        <v>66</v>
      </c>
      <c r="D11" s="530" t="s">
        <v>55</v>
      </c>
      <c r="E11" s="530">
        <v>0.12</v>
      </c>
      <c r="F11" s="530">
        <v>1</v>
      </c>
      <c r="G11" s="530" t="s">
        <v>434</v>
      </c>
      <c r="H11" s="530">
        <v>100</v>
      </c>
      <c r="I11" s="530">
        <v>9.4748000000000001</v>
      </c>
      <c r="J11" s="544">
        <v>46376</v>
      </c>
      <c r="K11" s="608"/>
      <c r="L11" s="272"/>
      <c r="M11" s="588" t="s">
        <v>677</v>
      </c>
      <c r="N11" s="590">
        <v>1</v>
      </c>
      <c r="P11" s="273"/>
      <c r="Q11" s="273"/>
      <c r="R11" s="273"/>
      <c r="S11" s="273"/>
      <c r="T11" s="576">
        <f ca="1"/>
        <v>0.06</v>
      </c>
      <c r="U11" s="573">
        <f ca="1"/>
        <v>3</v>
      </c>
      <c r="V11" s="576">
        <f t="shared" ca="1" si="0"/>
        <v>0</v>
      </c>
      <c r="W11" s="576">
        <f t="shared" ca="1" si="1"/>
        <v>0</v>
      </c>
      <c r="X11" s="466" t="s">
        <v>603</v>
      </c>
      <c r="Y11" s="493">
        <f ca="1">15%*SUM(Z14:Z313)-Y12*SUM(V9:V133)</f>
        <v>0.11394629369075855</v>
      </c>
      <c r="Z11" s="272"/>
      <c r="AA11" s="272"/>
      <c r="AB11" s="466" t="s">
        <v>603</v>
      </c>
      <c r="AC11" s="493">
        <f ca="1">15%*SUM(AD14:AD313)-AC12*SUM(W9:W133)</f>
        <v>7.9924535991436327</v>
      </c>
      <c r="AD11" s="272"/>
      <c r="AE11" s="272"/>
      <c r="AF11" s="466" t="s">
        <v>603</v>
      </c>
      <c r="AG11" s="493">
        <f ca="1">15%*SUM(AF14:AF138)</f>
        <v>16.715472099269952</v>
      </c>
      <c r="AQ11" s="503" cm="1">
        <f t="array" ref="AQ11:AV11">GetDeltaCSRCDOProxy(A29:A313,D29:D313,I29:I313,'CDO Bespoke'!B10,'CDO Bespoke'!B23:B24,'CDO Bespoke'!B25:B26,'CDO Bespoke'!F43:F137,'CDO Bespoke'!B12,'CDO Bespoke'!B21,'CDO Bespoke'!B43:B137,'CDO Bespoke'!C43:C137,'CDO Bespoke'!B16,'CDO Bespoke'!B17,'CDO Bespoke'!B18,'CDO Bespoke'!B19,'CDO Bespoke'!B13,'CDO Bespoke'!B14,'CDO Bespoke'!D43:D137,'CDO Bespoke'!E43:E137,'CDO Bespoke'!B28,'CDO Bespoke'!B29,'CDO Bespoke'!K10,'CDO Bespoke'!B33:B35,'CDO Bespoke'!B40,'CDO Bespoke'!B37,'CDO Bespoke'!B39,'CDO Bespoke'!B38)</f>
        <v>-1.3180653499755834E-2</v>
      </c>
      <c r="AR11" s="504">
        <f ca="1"/>
        <v>-2.4480857698794267E-2</v>
      </c>
      <c r="AS11" s="504">
        <f ca="1"/>
        <v>-5.4004857998890543E-2</v>
      </c>
      <c r="AT11" s="504">
        <f ca="1"/>
        <v>-0.13567459050012332</v>
      </c>
      <c r="AU11" s="505">
        <f ca="1"/>
        <v>0</v>
      </c>
      <c r="AV11" s="629">
        <f ca="1"/>
        <v>1.0164712145070576E-2</v>
      </c>
      <c r="AW11" s="194"/>
      <c r="AX11" s="194"/>
      <c r="AY11" s="194"/>
      <c r="AZ11" s="194"/>
      <c r="BA11" s="194"/>
      <c r="BB11" s="194"/>
    </row>
    <row r="12" spans="1:229" ht="12" thickBot="1">
      <c r="B12" s="517" t="s">
        <v>636</v>
      </c>
      <c r="C12" s="518" t="s">
        <v>66</v>
      </c>
      <c r="D12" s="518" t="s">
        <v>57</v>
      </c>
      <c r="E12" s="518">
        <v>0.12</v>
      </c>
      <c r="F12" s="518">
        <v>1</v>
      </c>
      <c r="G12" s="518" t="s">
        <v>434</v>
      </c>
      <c r="H12" s="518">
        <v>100</v>
      </c>
      <c r="I12" s="518">
        <v>22.439800000000002</v>
      </c>
      <c r="J12" s="523">
        <v>47107</v>
      </c>
      <c r="K12" s="609"/>
      <c r="L12" s="272"/>
      <c r="M12" s="598" t="s">
        <v>678</v>
      </c>
      <c r="N12" s="599">
        <v>1</v>
      </c>
      <c r="P12" s="273"/>
      <c r="Q12" s="273"/>
      <c r="R12" s="273"/>
      <c r="S12" s="273"/>
      <c r="T12" s="576">
        <f ca="1"/>
        <v>0.06</v>
      </c>
      <c r="U12" s="573">
        <f ca="1"/>
        <v>4</v>
      </c>
      <c r="V12" s="576">
        <f t="shared" ca="1" si="0"/>
        <v>0</v>
      </c>
      <c r="W12" s="576">
        <f t="shared" ca="1" si="1"/>
        <v>0</v>
      </c>
      <c r="X12" s="466" t="s">
        <v>600</v>
      </c>
      <c r="Y12" s="493">
        <f ca="1">SUM(Z14:Z313)/(SUM(Z14:Z313)+SUM(AA14:AA313))</f>
        <v>1</v>
      </c>
      <c r="Z12" s="272"/>
      <c r="AA12" s="272"/>
      <c r="AB12" s="466" t="s">
        <v>600</v>
      </c>
      <c r="AC12" s="493">
        <f ca="1">SUM(AD14:AD313)/(SUM(AD14:AD313)+SUM(AE14:AE313))</f>
        <v>1</v>
      </c>
      <c r="AD12" s="272"/>
      <c r="AE12" s="272"/>
      <c r="AF12" s="619" t="s">
        <v>600</v>
      </c>
      <c r="AG12" s="617" t="e">
        <f ca="1">SUM(AH14:AH313)/(SUM(AH14:AH313)+SUM(AI14:AI313))</f>
        <v>#DIV/0!</v>
      </c>
      <c r="AQ12" s="476" t="s">
        <v>694</v>
      </c>
      <c r="AR12" s="630"/>
      <c r="AS12" s="630"/>
      <c r="AT12" s="630"/>
      <c r="AU12" s="630"/>
      <c r="AV12" s="634"/>
      <c r="AW12" s="476" t="s">
        <v>696</v>
      </c>
      <c r="AX12" s="630"/>
      <c r="AY12" s="630"/>
      <c r="AZ12" s="630"/>
      <c r="BA12" s="630"/>
      <c r="BB12" s="628"/>
      <c r="BC12" s="580"/>
      <c r="BD12" s="580"/>
      <c r="BP12" s="580"/>
      <c r="BQ12" s="580"/>
      <c r="BT12" s="547"/>
    </row>
    <row r="13" spans="1:229" ht="12" thickBot="1">
      <c r="B13" s="534" t="s">
        <v>636</v>
      </c>
      <c r="C13" s="535" t="s">
        <v>66</v>
      </c>
      <c r="D13" s="535" t="s">
        <v>59</v>
      </c>
      <c r="E13" s="535">
        <v>0.12</v>
      </c>
      <c r="F13" s="535">
        <v>1</v>
      </c>
      <c r="G13" s="535" t="s">
        <v>434</v>
      </c>
      <c r="H13" s="535">
        <v>100</v>
      </c>
      <c r="I13" s="535">
        <v>37.011200000000002</v>
      </c>
      <c r="J13" s="545">
        <v>47837</v>
      </c>
      <c r="K13" s="610"/>
      <c r="L13" s="272"/>
      <c r="M13" s="596" t="s">
        <v>679</v>
      </c>
      <c r="N13" s="597">
        <v>2</v>
      </c>
      <c r="P13" s="273"/>
      <c r="Q13" s="273"/>
      <c r="R13" s="273"/>
      <c r="S13" s="273"/>
      <c r="T13" s="576">
        <f ca="1"/>
        <v>0.06</v>
      </c>
      <c r="U13" s="573">
        <f ca="1"/>
        <v>5</v>
      </c>
      <c r="V13" s="576">
        <f ca="1">AA18*T13</f>
        <v>0</v>
      </c>
      <c r="W13" s="576">
        <f t="shared" ca="1" si="1"/>
        <v>0</v>
      </c>
      <c r="X13" s="468" t="s">
        <v>598</v>
      </c>
      <c r="Y13" s="476" t="s">
        <v>599</v>
      </c>
      <c r="Z13" s="482" t="s">
        <v>605</v>
      </c>
      <c r="AA13" s="476" t="s">
        <v>606</v>
      </c>
      <c r="AB13" s="482" t="s">
        <v>598</v>
      </c>
      <c r="AC13" s="476" t="s">
        <v>599</v>
      </c>
      <c r="AD13" s="482" t="s">
        <v>605</v>
      </c>
      <c r="AE13" s="476" t="s">
        <v>606</v>
      </c>
      <c r="AF13" s="618" t="s">
        <v>598</v>
      </c>
      <c r="AK13" s="621"/>
      <c r="AP13" s="476" t="s">
        <v>80</v>
      </c>
      <c r="AQ13" s="474" t="s">
        <v>84</v>
      </c>
      <c r="AR13" s="474" t="s">
        <v>53</v>
      </c>
      <c r="AS13" s="474" t="s">
        <v>55</v>
      </c>
      <c r="AT13" s="474" t="s">
        <v>57</v>
      </c>
      <c r="AU13" s="474" t="s">
        <v>62</v>
      </c>
      <c r="AV13" s="474" t="s">
        <v>695</v>
      </c>
      <c r="AW13" s="474" t="s">
        <v>84</v>
      </c>
      <c r="AX13" s="474" t="s">
        <v>53</v>
      </c>
      <c r="AY13" s="474" t="s">
        <v>55</v>
      </c>
      <c r="AZ13" s="474" t="s">
        <v>57</v>
      </c>
      <c r="BA13" s="474" t="s">
        <v>62</v>
      </c>
      <c r="BB13" s="474" t="s">
        <v>695</v>
      </c>
      <c r="BQ13" s="330" t="s">
        <v>83</v>
      </c>
      <c r="BR13" s="501" t="s">
        <v>84</v>
      </c>
      <c r="BS13" s="501" t="s">
        <v>53</v>
      </c>
      <c r="BT13" s="501" t="s">
        <v>54</v>
      </c>
      <c r="BU13" s="501" t="s">
        <v>55</v>
      </c>
      <c r="BV13" s="501" t="s">
        <v>57</v>
      </c>
      <c r="BW13" s="501" t="s">
        <v>62</v>
      </c>
      <c r="BX13" s="501" t="s">
        <v>63</v>
      </c>
      <c r="BY13" s="501" t="s">
        <v>64</v>
      </c>
      <c r="BZ13" s="501" t="s">
        <v>608</v>
      </c>
      <c r="CA13" s="581" t="s">
        <v>499</v>
      </c>
      <c r="CB13" s="476" t="s">
        <v>668</v>
      </c>
    </row>
    <row r="14" spans="1:229" ht="12" thickBot="1">
      <c r="B14" s="539" t="s">
        <v>637</v>
      </c>
      <c r="C14" s="540" t="s">
        <v>66</v>
      </c>
      <c r="D14" s="540" t="s">
        <v>55</v>
      </c>
      <c r="E14" s="540">
        <v>0.06</v>
      </c>
      <c r="F14" s="540">
        <v>0.12</v>
      </c>
      <c r="G14" s="540" t="s">
        <v>434</v>
      </c>
      <c r="H14" s="540">
        <v>100</v>
      </c>
      <c r="I14" s="540">
        <v>35.963500000000003</v>
      </c>
      <c r="J14" s="546">
        <v>46376</v>
      </c>
      <c r="K14" s="611">
        <v>0.93662999999999996</v>
      </c>
      <c r="L14" s="272"/>
      <c r="M14" s="587" t="s">
        <v>680</v>
      </c>
      <c r="N14" s="591">
        <v>2</v>
      </c>
      <c r="P14" s="273"/>
      <c r="Q14" s="273"/>
      <c r="R14" s="273"/>
      <c r="S14" s="273"/>
      <c r="T14" s="576">
        <f ca="1"/>
        <v>0.06</v>
      </c>
      <c r="U14" s="573">
        <f ca="1"/>
        <v>6</v>
      </c>
      <c r="V14" s="576">
        <f t="shared" ca="1" si="0"/>
        <v>0</v>
      </c>
      <c r="W14" s="576">
        <f t="shared" ca="1" si="1"/>
        <v>0</v>
      </c>
      <c r="X14" s="486">
        <f ca="1">IF('CDO Bespoke'!O15&lt;&gt;"",'CDO Bespoke'!O15,"")</f>
        <v>1.1741096410092999</v>
      </c>
      <c r="Y14" s="487">
        <f ca="1">IF(X14&lt;&gt;"",ABS(MIN(-0.75*('CDO Bespoke'!Q15)+'CDO Bespoke'!T15,0)),"")</f>
        <v>1.1655817466027454</v>
      </c>
      <c r="Z14" s="487">
        <f t="shared" ref="Z14:Z77" ca="1" si="2">IF(X14&lt;&gt;"",IF($Y$8,MAX(X14-Y14,0),X14),0)</f>
        <v>8.5278944065545481E-3</v>
      </c>
      <c r="AA14" s="487">
        <f t="shared" ref="AA14:AA77" ca="1" si="3">IF(X14&lt;&gt;"",IF($Y$8,0,Y14),0)</f>
        <v>0</v>
      </c>
      <c r="AB14" s="486">
        <f ca="1">IF('CDO Bespoke'!O15&lt;&gt;"",'CDO Bespoke'!O15,"")</f>
        <v>1.1741096410092999</v>
      </c>
      <c r="AC14" s="487">
        <f ca="1">IF(AB14&lt;&gt;"",ABS(MIN(-0.75*'CDO Bespoke'!K15+'CDO Bespoke'!T15,0)),"")</f>
        <v>0.61421311288828062</v>
      </c>
      <c r="AD14" s="487">
        <f t="shared" ref="AD14:AD77" ca="1" si="4">IF(AB14&lt;&gt;"",IF($Y$8,MAX(AB14-AC14,0),AB14),0)</f>
        <v>0.55989652812101931</v>
      </c>
      <c r="AE14" s="488">
        <f t="shared" ref="AE14:AE77" ca="1" si="5">IF(AB14&lt;&gt;"",IF($Y$8,0,AC14),0)</f>
        <v>0</v>
      </c>
      <c r="AF14" s="616">
        <f ca="1">IF('CDO Bespoke'!O15&lt;&gt;"",'CDO Bespoke'!O15,"")</f>
        <v>1.1741096410092999</v>
      </c>
      <c r="AP14" s="471" t="str">
        <f ca="1">IF('CDO Bespoke'!C39&lt;&gt;"",'CDO Bespoke'!C39,"")</f>
        <v>Airbus SE</v>
      </c>
      <c r="AQ14" s="503" cm="1">
        <f t="array" aca="1" ref="AQ14:AV108" ca="1">GetDeltaCSRCDO(B25:B309,E25:E309,J25:J309,'CDO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8.0173908001412997E-3</v>
      </c>
      <c r="AR14" s="504">
        <f ca="1"/>
        <v>2.6624973499256299E-2</v>
      </c>
      <c r="AS14" s="504">
        <f ca="1"/>
        <v>7.2686588599157886E-2</v>
      </c>
      <c r="AT14" s="504">
        <f ca="1"/>
        <v>1.2166951312986285</v>
      </c>
      <c r="AU14" s="505">
        <f ca="1"/>
        <v>0</v>
      </c>
      <c r="AV14" s="626">
        <f ca="1"/>
        <v>3.8088505998744249</v>
      </c>
      <c r="AW14" s="503" cm="1">
        <f t="array" aca="1" ref="AW14:BB108" ca="1">GetDeltaCSRCDS(B25:B309,E25:E309,J25:J309,'CDO Bespoke'!C5,CDSRollDate,'CDS Strip'!J4,'CDS Strip'!J6,'CDO Bespoke'!C6,'CDO Bespoke'!G39:G133,'CDO Bespoke'!C17,'CDO Bespoke'!C39:C133,'CDO Bespoke'!K15:K109,'CDO Bespoke'!F39:F133,'CDO Bespoke'!C13,'CDO Bespoke'!C14,'CDO Bespoke'!C15)</f>
        <v>6.3049639540541103E-4</v>
      </c>
      <c r="AX14" s="504">
        <f ca="1"/>
        <v>3.0864181384000072E-3</v>
      </c>
      <c r="AY14" s="504">
        <f ca="1"/>
        <v>1.3404565227699561E-2</v>
      </c>
      <c r="AZ14" s="504">
        <f ca="1"/>
        <v>1.3084424766167042</v>
      </c>
      <c r="BA14" s="505">
        <f ca="1"/>
        <v>0</v>
      </c>
      <c r="BB14" s="626">
        <f ca="1"/>
        <v>2.203412590373186</v>
      </c>
      <c r="BQ14" s="506" cm="1">
        <f t="array" aca="1" ref="BQ14:CA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Bespoke'!C25,FALSE,FALSE,'CDO Bespoke'!L6,'CDO Bespoke'!C29:C31,'CDO Bespoke'!C36,'CDO Bespoke'!C33,'CDO Bespoke'!C35,'CDO Bespoke'!C34)</f>
        <v>1.6663974106787813E-6</v>
      </c>
      <c r="BR14" s="580">
        <f ca="1"/>
        <v>9.3270504589714474E-6</v>
      </c>
      <c r="BS14" s="580">
        <f ca="1"/>
        <v>3.7746271490111168E-5</v>
      </c>
      <c r="BT14" s="580">
        <f ca="1"/>
        <v>1.1741811917241753E-4</v>
      </c>
      <c r="BU14" s="580">
        <f ca="1"/>
        <v>2.2392703860293022E-4</v>
      </c>
      <c r="BV14" s="580">
        <f ca="1"/>
        <v>2.2084996559528429E-3</v>
      </c>
      <c r="BW14" s="580">
        <f ca="1"/>
        <v>0</v>
      </c>
      <c r="BX14" s="580">
        <f ca="1"/>
        <v>0</v>
      </c>
      <c r="BY14" s="580">
        <f ca="1"/>
        <v>0</v>
      </c>
      <c r="BZ14" s="580">
        <f ca="1"/>
        <v>0</v>
      </c>
      <c r="CA14" s="583">
        <f ca="1"/>
        <v>0</v>
      </c>
      <c r="CB14" s="475" t="str">
        <f ca="1">IF('IRS Strip'!F21="","",'IRS Strip'!F21)</f>
        <v>6-month EURIBOR Swaps</v>
      </c>
      <c r="CC14" s="475" t="str">
        <f ca="1">IF('IRS Strip'!B21="","",'IRS Strip'!B21)</f>
        <v>EUR</v>
      </c>
    </row>
    <row r="15" spans="1:229" ht="12" thickBot="1">
      <c r="B15" s="517" t="s">
        <v>637</v>
      </c>
      <c r="C15" s="518" t="s">
        <v>66</v>
      </c>
      <c r="D15" s="518" t="s">
        <v>57</v>
      </c>
      <c r="E15" s="518">
        <v>0.06</v>
      </c>
      <c r="F15" s="518">
        <v>0.12</v>
      </c>
      <c r="G15" s="518" t="s">
        <v>434</v>
      </c>
      <c r="H15" s="518">
        <v>100</v>
      </c>
      <c r="I15" s="518">
        <v>92.850899999999996</v>
      </c>
      <c r="J15" s="523">
        <v>47107</v>
      </c>
      <c r="K15" s="609"/>
      <c r="L15" s="272"/>
      <c r="M15" s="587" t="s">
        <v>681</v>
      </c>
      <c r="N15" s="591">
        <v>2</v>
      </c>
      <c r="P15" s="273"/>
      <c r="Q15" s="273"/>
      <c r="R15" s="273"/>
      <c r="S15" s="273"/>
      <c r="T15" s="576">
        <f ca="1"/>
        <v>0.03</v>
      </c>
      <c r="U15" s="573">
        <f ca="1"/>
        <v>7</v>
      </c>
      <c r="V15" s="576">
        <f t="shared" ca="1" si="0"/>
        <v>0</v>
      </c>
      <c r="W15" s="576">
        <f t="shared" ca="1" si="1"/>
        <v>0</v>
      </c>
      <c r="X15" s="484">
        <f ca="1">IF('CDO Bespoke'!O16&lt;&gt;"",'CDO Bespoke'!O16,"")</f>
        <v>1.1743898307548499</v>
      </c>
      <c r="Y15" s="485">
        <f ca="1">IF(X15&lt;&gt;"",ABS(MIN(-0.75*('CDO Bespoke'!Q16)+'CDO Bespoke'!T16,0)),"")</f>
        <v>1.165661870628582</v>
      </c>
      <c r="Z15" s="485">
        <f t="shared" ca="1" si="2"/>
        <v>8.7279601262679751E-3</v>
      </c>
      <c r="AA15" s="485">
        <f t="shared" ca="1" si="3"/>
        <v>0</v>
      </c>
      <c r="AB15" s="484">
        <f ca="1">IF('CDO Bespoke'!O16&lt;&gt;"",'CDO Bespoke'!O16,"")</f>
        <v>1.1743898307548499</v>
      </c>
      <c r="AC15" s="485">
        <f ca="1">IF(AB15&lt;&gt;"",ABS(MIN(-0.75*('CDO Bespoke'!K16)+'CDO Bespoke'!T16,0)),"")</f>
        <v>0.61245055398403514</v>
      </c>
      <c r="AD15" s="485">
        <f t="shared" ca="1" si="4"/>
        <v>0.56193927677081479</v>
      </c>
      <c r="AE15" s="489">
        <f t="shared" ca="1" si="5"/>
        <v>0</v>
      </c>
      <c r="AF15" s="493">
        <f ca="1">IF('CDO Bespoke'!O16&lt;&gt;"",'CDO Bespoke'!O16,"")</f>
        <v>1.1743898307548499</v>
      </c>
      <c r="AP15" s="494" t="str">
        <f ca="1">IF('CDO Bespoke'!C40&lt;&gt;"",'CDO Bespoke'!C40,"")</f>
        <v>Aktiebolaget Volvo</v>
      </c>
      <c r="AQ15" s="496">
        <f ca="1"/>
        <v>7.9083771997723318E-3</v>
      </c>
      <c r="AR15" s="585">
        <f ca="1"/>
        <v>2.6109268900231797E-2</v>
      </c>
      <c r="AS15" s="585">
        <f ca="1"/>
        <v>7.0597107999503805E-2</v>
      </c>
      <c r="AT15" s="585">
        <f ca="1"/>
        <v>1.2413263520993922</v>
      </c>
      <c r="AU15" s="497">
        <f ca="1"/>
        <v>0</v>
      </c>
      <c r="AV15" s="627">
        <f ca="1"/>
        <v>0</v>
      </c>
      <c r="AW15" s="496">
        <f ca="1"/>
        <v>6.0132626360058505E-4</v>
      </c>
      <c r="AX15" s="585">
        <f ca="1"/>
        <v>2.9495390561993379E-3</v>
      </c>
      <c r="AY15" s="585">
        <f ca="1"/>
        <v>1.2675021782001736E-2</v>
      </c>
      <c r="AZ15" s="585">
        <f ca="1"/>
        <v>1.3317703406401022</v>
      </c>
      <c r="BA15" s="497">
        <f ca="1"/>
        <v>0</v>
      </c>
      <c r="BB15" s="627">
        <f ca="1"/>
        <v>0</v>
      </c>
      <c r="BQ15" s="506">
        <f ca="1"/>
        <v>1.6663974106787813E-6</v>
      </c>
      <c r="BR15" s="580">
        <f ca="1"/>
        <v>9.3270504589714474E-6</v>
      </c>
      <c r="BS15" s="580">
        <f ca="1"/>
        <v>3.7746271490111168E-5</v>
      </c>
      <c r="BT15" s="580">
        <f ca="1"/>
        <v>1.1741811917241753E-4</v>
      </c>
      <c r="BU15" s="580">
        <f ca="1"/>
        <v>2.2392703860293022E-4</v>
      </c>
      <c r="BV15" s="580">
        <f ca="1"/>
        <v>2.2084996559528429E-3</v>
      </c>
      <c r="BW15" s="580">
        <f ca="1"/>
        <v>0</v>
      </c>
      <c r="BX15" s="580">
        <f ca="1"/>
        <v>0</v>
      </c>
      <c r="BY15" s="580">
        <f ca="1"/>
        <v>0</v>
      </c>
      <c r="BZ15" s="580">
        <f ca="1"/>
        <v>0</v>
      </c>
      <c r="CA15" s="582">
        <f ca="1"/>
        <v>0</v>
      </c>
      <c r="CB15" s="475" t="str">
        <f ca="1">IF('IRS Strip'!F22="","",'IRS Strip'!F22)</f>
        <v>3-month EURIBOR Swaps</v>
      </c>
      <c r="CC15" s="475" t="str">
        <f ca="1">IF('IRS Strip'!B22="","",'IRS Strip'!B22)</f>
        <v>EUR</v>
      </c>
    </row>
    <row r="16" spans="1:229" ht="12" thickBot="1">
      <c r="B16" s="534" t="s">
        <v>637</v>
      </c>
      <c r="C16" s="535" t="s">
        <v>66</v>
      </c>
      <c r="D16" s="535" t="s">
        <v>59</v>
      </c>
      <c r="E16" s="535">
        <v>0.06</v>
      </c>
      <c r="F16" s="535">
        <v>0.12</v>
      </c>
      <c r="G16" s="535" t="s">
        <v>434</v>
      </c>
      <c r="H16" s="535">
        <v>100</v>
      </c>
      <c r="I16" s="535">
        <v>155.51650000000001</v>
      </c>
      <c r="J16" s="545">
        <v>47837</v>
      </c>
      <c r="K16" s="610"/>
      <c r="L16" s="272"/>
      <c r="M16" s="598" t="s">
        <v>682</v>
      </c>
      <c r="N16" s="599">
        <v>2</v>
      </c>
      <c r="P16" s="273"/>
      <c r="Q16" s="273"/>
      <c r="R16" s="273"/>
      <c r="S16" s="273"/>
      <c r="T16" s="576">
        <f ca="1"/>
        <v>0.06</v>
      </c>
      <c r="U16" s="573">
        <f ca="1"/>
        <v>8</v>
      </c>
      <c r="V16" s="576">
        <f t="shared" ca="1" si="0"/>
        <v>0</v>
      </c>
      <c r="W16" s="576">
        <f t="shared" ca="1" si="1"/>
        <v>0</v>
      </c>
      <c r="X16" s="484">
        <f ca="1">IF('CDO Bespoke'!O17&lt;&gt;"",'CDO Bespoke'!O17,"")</f>
        <v>1.17420255935502</v>
      </c>
      <c r="Y16" s="485">
        <f ca="1">IF(X16&lt;&gt;"",ABS(MIN(-0.75*('CDO Bespoke'!Q17)+'CDO Bespoke'!T17,0)),"")</f>
        <v>1.165608392905753</v>
      </c>
      <c r="Z16" s="485">
        <f t="shared" ca="1" si="2"/>
        <v>8.5941664492670267E-3</v>
      </c>
      <c r="AA16" s="485">
        <f t="shared" ca="1" si="3"/>
        <v>0</v>
      </c>
      <c r="AB16" s="484">
        <f ca="1">IF('CDO Bespoke'!O17&lt;&gt;"",'CDO Bespoke'!O17,"")</f>
        <v>1.17420255935502</v>
      </c>
      <c r="AC16" s="485">
        <f ca="1">IF(AB16&lt;&gt;"",ABS(MIN(-0.75*('CDO Bespoke'!K17)+'CDO Bespoke'!T17,0)),"")</f>
        <v>0.6136411343288628</v>
      </c>
      <c r="AD16" s="485">
        <f t="shared" ca="1" si="4"/>
        <v>0.56056142502615725</v>
      </c>
      <c r="AE16" s="489">
        <f t="shared" ca="1" si="5"/>
        <v>0</v>
      </c>
      <c r="AF16" s="493">
        <f ca="1">IF('CDO Bespoke'!O17&lt;&gt;"",'CDO Bespoke'!O17,"")</f>
        <v>1.17420255935502</v>
      </c>
      <c r="AP16" s="494" t="str">
        <f ca="1">IF('CDO Bespoke'!C41&lt;&gt;"",'CDO Bespoke'!C41,"")</f>
        <v>Akzo Nobel N.V.</v>
      </c>
      <c r="AQ16" s="496">
        <f ca="1"/>
        <v>7.8610719000948848E-3</v>
      </c>
      <c r="AR16" s="585">
        <f ca="1"/>
        <v>2.5943623398472226E-2</v>
      </c>
      <c r="AS16" s="585">
        <f ca="1"/>
        <v>6.998451649975479E-2</v>
      </c>
      <c r="AT16" s="585">
        <f ca="1"/>
        <v>1.253750797398645</v>
      </c>
      <c r="AU16" s="497">
        <f ca="1"/>
        <v>0</v>
      </c>
      <c r="AV16" s="627">
        <f ca="1"/>
        <v>0</v>
      </c>
      <c r="AW16" s="496">
        <f ca="1"/>
        <v>5.8368870260554206E-4</v>
      </c>
      <c r="AX16" s="585">
        <f ca="1"/>
        <v>2.8677073470040337E-3</v>
      </c>
      <c r="AY16" s="585">
        <f ca="1"/>
        <v>1.225470827780073E-2</v>
      </c>
      <c r="AZ16" s="585">
        <f ca="1"/>
        <v>1.3459981494397082</v>
      </c>
      <c r="BA16" s="497">
        <f ca="1"/>
        <v>0</v>
      </c>
      <c r="BB16" s="627">
        <f ca="1"/>
        <v>0</v>
      </c>
      <c r="BC16" s="578" cm="1">
        <f t="array" aca="1" ref="BC16" ca="1">GetCurvatureCSR(BC9,BD9,AQ14:AU108,B25:B309,E25:E309,J25:J309,'CDO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Bespoke'!F39:F133,FRTB!BE9,'CDO Bespoke'!C24,'CDO Bespoke'!C25,'CDO Bespoke'!L6)</f>
        <v>0</v>
      </c>
      <c r="BD16" s="578" cm="1">
        <f t="array" aca="1" ref="BD16" ca="1">GetCurvatureCSR(BC9,BD9,AW14:BA108,B25:B309,E25:E309,J25:J309,'CDO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Bespoke'!F39:F133,FRTB!BE9,'CDO Bespoke'!C24,'CDO Bespoke'!C25,'CDO Bespoke'!L6)</f>
        <v>0</v>
      </c>
      <c r="BE16" s="578"/>
      <c r="BF16" s="578"/>
      <c r="BG16" s="578"/>
      <c r="BQ16" s="506">
        <f ca="1"/>
        <v>0</v>
      </c>
      <c r="BR16" s="580">
        <f ca="1"/>
        <v>0</v>
      </c>
      <c r="BS16" s="580">
        <f ca="1"/>
        <v>0</v>
      </c>
      <c r="BT16" s="580">
        <f ca="1"/>
        <v>0</v>
      </c>
      <c r="BU16" s="580">
        <f ca="1"/>
        <v>0</v>
      </c>
      <c r="BV16" s="580">
        <f ca="1"/>
        <v>0</v>
      </c>
      <c r="BW16" s="580">
        <f ca="1"/>
        <v>0</v>
      </c>
      <c r="BX16" s="580">
        <f ca="1"/>
        <v>0</v>
      </c>
      <c r="BY16" s="580">
        <f ca="1"/>
        <v>0</v>
      </c>
      <c r="BZ16" s="580">
        <f ca="1"/>
        <v>0</v>
      </c>
      <c r="CA16" s="582">
        <f ca="1"/>
        <v>0</v>
      </c>
      <c r="CB16" s="475" t="str">
        <f ca="1">IF('IRS Strip'!F23="","",'IRS Strip'!F23)</f>
        <v>1-month Term SOFR Swaps</v>
      </c>
      <c r="CC16" s="475" t="str">
        <f ca="1">IF('IRS Strip'!B23="","",'IRS Strip'!B23)</f>
        <v>USD</v>
      </c>
    </row>
    <row r="17" spans="2:81" ht="12" thickBot="1">
      <c r="B17" s="539" t="s">
        <v>638</v>
      </c>
      <c r="C17" s="540" t="s">
        <v>66</v>
      </c>
      <c r="D17" s="540" t="s">
        <v>55</v>
      </c>
      <c r="E17" s="540">
        <v>0.03</v>
      </c>
      <c r="F17" s="540">
        <v>0.06</v>
      </c>
      <c r="G17" s="540" t="s">
        <v>639</v>
      </c>
      <c r="H17" s="540">
        <v>100</v>
      </c>
      <c r="I17" s="541">
        <v>-6.1151900000000004E-3</v>
      </c>
      <c r="J17" s="546">
        <v>46376</v>
      </c>
      <c r="K17" s="611">
        <v>0.82702600000000004</v>
      </c>
      <c r="L17" s="272"/>
      <c r="M17" s="600" t="s">
        <v>674</v>
      </c>
      <c r="N17" s="601">
        <v>3</v>
      </c>
      <c r="P17" s="273"/>
      <c r="Q17" s="273"/>
      <c r="R17" s="273"/>
      <c r="S17" s="273"/>
      <c r="T17" s="576">
        <f ca="1"/>
        <v>0.03</v>
      </c>
      <c r="U17" s="573">
        <f ca="1"/>
        <v>9</v>
      </c>
      <c r="V17" s="576">
        <f t="shared" ca="1" si="0"/>
        <v>0</v>
      </c>
      <c r="W17" s="576">
        <f t="shared" ca="1" si="1"/>
        <v>0</v>
      </c>
      <c r="X17" s="484">
        <f ca="1">IF('CDO Bespoke'!O18&lt;&gt;"",'CDO Bespoke'!O18,"")</f>
        <v>1.16048956874233</v>
      </c>
      <c r="Y17" s="485">
        <f ca="1">IF(X17&lt;&gt;"",ABS(MIN(-0.75*('CDO Bespoke'!Q18)+'CDO Bespoke'!T18,0)),"")</f>
        <v>1.1613443963263923</v>
      </c>
      <c r="Z17" s="485">
        <f t="shared" ca="1" si="2"/>
        <v>0</v>
      </c>
      <c r="AA17" s="485">
        <f t="shared" ca="1" si="3"/>
        <v>0</v>
      </c>
      <c r="AB17" s="484">
        <f ca="1">IF('CDO Bespoke'!O18&lt;&gt;"",'CDO Bespoke'!O18,"")</f>
        <v>1.16048956874233</v>
      </c>
      <c r="AC17" s="485">
        <f ca="1">IF(AB17&lt;&gt;"",ABS(MIN(-0.75*('CDO Bespoke'!K18)+'CDO Bespoke'!T18,0)),"")</f>
        <v>0.64689037404225724</v>
      </c>
      <c r="AD17" s="485">
        <f t="shared" ca="1" si="4"/>
        <v>0.51359919470007276</v>
      </c>
      <c r="AE17" s="489">
        <f t="shared" ca="1" si="5"/>
        <v>0</v>
      </c>
      <c r="AF17" s="493">
        <f ca="1">IF('CDO Bespoke'!O18&lt;&gt;"",'CDO Bespoke'!O18,"")</f>
        <v>1.16048956874233</v>
      </c>
      <c r="AP17" s="494" t="str">
        <f ca="1">IF('CDO Bespoke'!C42&lt;&gt;"",'CDO Bespoke'!C42,"")</f>
        <v>ALSTOM</v>
      </c>
      <c r="AQ17" s="496">
        <f ca="1"/>
        <v>5.6923795987984249E-3</v>
      </c>
      <c r="AR17" s="585">
        <f ca="1"/>
        <v>1.7836361099199394E-2</v>
      </c>
      <c r="AS17" s="585">
        <f ca="1"/>
        <v>3.8379442999225688E-2</v>
      </c>
      <c r="AT17" s="585">
        <f ca="1"/>
        <v>1.5966444273995961</v>
      </c>
      <c r="AU17" s="497">
        <f ca="1"/>
        <v>0</v>
      </c>
      <c r="AV17" s="627">
        <f ca="1"/>
        <v>0</v>
      </c>
      <c r="AW17" s="496">
        <f ca="1"/>
        <v>-6.3894693799748659E-4</v>
      </c>
      <c r="AX17" s="585">
        <f ca="1"/>
        <v>-2.9202502659954332E-3</v>
      </c>
      <c r="AY17" s="585">
        <f ca="1"/>
        <v>-1.552974873600399E-2</v>
      </c>
      <c r="AZ17" s="585">
        <f ca="1"/>
        <v>1.6836214488129968</v>
      </c>
      <c r="BA17" s="497">
        <f ca="1"/>
        <v>0</v>
      </c>
      <c r="BB17" s="627">
        <f ca="1"/>
        <v>0</v>
      </c>
      <c r="BC17" s="578"/>
      <c r="BD17" s="578"/>
      <c r="BE17" s="578"/>
      <c r="BF17" s="578"/>
      <c r="BG17" s="578"/>
      <c r="BQ17" s="506"/>
      <c r="BR17" s="580"/>
      <c r="BS17" s="580"/>
      <c r="BT17" s="580"/>
      <c r="BU17" s="580"/>
      <c r="BV17" s="580"/>
      <c r="BW17" s="579"/>
      <c r="BX17" s="579"/>
      <c r="BY17" s="579"/>
      <c r="BZ17" s="547"/>
      <c r="CB17" s="475" t="str">
        <f ca="1">IF('IRS Strip'!F24="","",'IRS Strip'!F24)</f>
        <v/>
      </c>
      <c r="CC17" s="475" t="str">
        <f ca="1">IF('IRS Strip'!B24="","",'IRS Strip'!B24)</f>
        <v/>
      </c>
    </row>
    <row r="18" spans="2:81" ht="12" thickBot="1">
      <c r="B18" s="517" t="s">
        <v>638</v>
      </c>
      <c r="C18" s="518" t="s">
        <v>66</v>
      </c>
      <c r="D18" s="518" t="s">
        <v>57</v>
      </c>
      <c r="E18" s="518">
        <v>0.03</v>
      </c>
      <c r="F18" s="518">
        <v>0.06</v>
      </c>
      <c r="G18" s="518" t="s">
        <v>639</v>
      </c>
      <c r="H18" s="518">
        <v>100</v>
      </c>
      <c r="I18" s="525">
        <v>3.497422E-2</v>
      </c>
      <c r="J18" s="523">
        <v>47107</v>
      </c>
      <c r="K18" s="609"/>
      <c r="L18" s="272"/>
      <c r="M18" s="596" t="s">
        <v>673</v>
      </c>
      <c r="N18" s="597">
        <v>4</v>
      </c>
      <c r="P18" s="273"/>
      <c r="Q18" s="273"/>
      <c r="R18" s="273"/>
      <c r="S18" s="273"/>
      <c r="T18" s="576">
        <f ca="1"/>
        <v>0.06</v>
      </c>
      <c r="U18" s="573">
        <f ca="1"/>
        <v>10</v>
      </c>
      <c r="V18" s="576">
        <f t="shared" ca="1" si="0"/>
        <v>0</v>
      </c>
      <c r="W18" s="576">
        <f t="shared" ca="1" si="1"/>
        <v>0</v>
      </c>
      <c r="X18" s="484">
        <f ca="1">IF('CDO Bespoke'!O19&lt;&gt;"",'CDO Bespoke'!O19,"")</f>
        <v>1.17085346092505</v>
      </c>
      <c r="Y18" s="485">
        <f ca="1">IF(X18&lt;&gt;"",ABS(MIN(-0.75*('CDO Bespoke'!Q19)+'CDO Bespoke'!T19,0)),"")</f>
        <v>1.1646129761543387</v>
      </c>
      <c r="Z18" s="485">
        <f t="shared" ca="1" si="2"/>
        <v>6.2404847707113742E-3</v>
      </c>
      <c r="AA18" s="485">
        <f t="shared" ca="1" si="3"/>
        <v>0</v>
      </c>
      <c r="AB18" s="484">
        <f ca="1">IF('CDO Bespoke'!O19&lt;&gt;"",'CDO Bespoke'!O19,"")</f>
        <v>1.17085346092505</v>
      </c>
      <c r="AC18" s="485">
        <f ca="1">IF(AB18&lt;&gt;"",ABS(MIN(-0.75*('CDO Bespoke'!K19)+'CDO Bespoke'!T19,0)),"")</f>
        <v>0.62880852874692617</v>
      </c>
      <c r="AD18" s="485">
        <f t="shared" ca="1" si="4"/>
        <v>0.54204493217812388</v>
      </c>
      <c r="AE18" s="489">
        <f t="shared" ca="1" si="5"/>
        <v>0</v>
      </c>
      <c r="AF18" s="493">
        <f ca="1">IF('CDO Bespoke'!O19&lt;&gt;"",'CDO Bespoke'!O19,"")</f>
        <v>1.17085346092505</v>
      </c>
      <c r="AP18" s="494" t="str">
        <f ca="1">IF('CDO Bespoke'!C43&lt;&gt;"",'CDO Bespoke'!C43,"")</f>
        <v>Anglo American plc</v>
      </c>
      <c r="AQ18" s="496">
        <f ca="1"/>
        <v>6.7089124988761739E-3</v>
      </c>
      <c r="AR18" s="585">
        <f ca="1"/>
        <v>2.1441454098880541E-2</v>
      </c>
      <c r="AS18" s="585">
        <f ca="1"/>
        <v>5.2531116898624219E-2</v>
      </c>
      <c r="AT18" s="585">
        <f ca="1"/>
        <v>1.4779213382998257</v>
      </c>
      <c r="AU18" s="497">
        <f ca="1"/>
        <v>0</v>
      </c>
      <c r="AV18" s="627">
        <f ca="1"/>
        <v>0</v>
      </c>
      <c r="AW18" s="496">
        <f ca="1"/>
        <v>1.6611772979315681E-5</v>
      </c>
      <c r="AX18" s="585">
        <f ca="1"/>
        <v>2.0298497897938347E-4</v>
      </c>
      <c r="AY18" s="585">
        <f ca="1"/>
        <v>-4.0845710501066258E-4</v>
      </c>
      <c r="AZ18" s="585">
        <f ca="1"/>
        <v>1.5638798532209899</v>
      </c>
      <c r="BA18" s="497">
        <f ca="1"/>
        <v>0</v>
      </c>
      <c r="BB18" s="627">
        <f ca="1"/>
        <v>0</v>
      </c>
      <c r="BC18" s="578"/>
      <c r="BD18" s="578"/>
      <c r="BE18" s="578"/>
      <c r="BF18" s="578"/>
      <c r="BG18" s="578"/>
      <c r="BQ18" s="506"/>
      <c r="BR18" s="580"/>
      <c r="BS18" s="580"/>
      <c r="BT18" s="580"/>
      <c r="BU18" s="580"/>
      <c r="BV18" s="580"/>
      <c r="BW18" s="579"/>
      <c r="BX18" s="579"/>
      <c r="BY18" s="579"/>
      <c r="BZ18" s="547"/>
      <c r="CB18" s="475" t="str">
        <f ca="1">IF('IRS Strip'!F25="","",'IRS Strip'!F25)</f>
        <v/>
      </c>
      <c r="CC18" s="475" t="str">
        <f ca="1">IF('IRS Strip'!B25="","",'IRS Strip'!B25)</f>
        <v/>
      </c>
    </row>
    <row r="19" spans="2:81" ht="12" thickBot="1">
      <c r="B19" s="534" t="s">
        <v>638</v>
      </c>
      <c r="C19" s="535" t="s">
        <v>66</v>
      </c>
      <c r="D19" s="535" t="s">
        <v>59</v>
      </c>
      <c r="E19" s="535">
        <v>0.03</v>
      </c>
      <c r="F19" s="535">
        <v>0.06</v>
      </c>
      <c r="G19" s="535" t="s">
        <v>639</v>
      </c>
      <c r="H19" s="535">
        <v>100</v>
      </c>
      <c r="I19" s="536">
        <v>0.10563547</v>
      </c>
      <c r="J19" s="545">
        <v>47837</v>
      </c>
      <c r="K19" s="610"/>
      <c r="L19" s="272"/>
      <c r="M19" s="587" t="s">
        <v>651</v>
      </c>
      <c r="N19" s="591">
        <v>4</v>
      </c>
      <c r="P19" s="273"/>
      <c r="Q19" s="273"/>
      <c r="R19" s="273"/>
      <c r="S19" s="273"/>
      <c r="T19" s="576">
        <f ca="1"/>
        <v>0.03</v>
      </c>
      <c r="U19" s="573">
        <f ca="1"/>
        <v>11</v>
      </c>
      <c r="V19" s="576">
        <f t="shared" ca="1" si="0"/>
        <v>0</v>
      </c>
      <c r="W19" s="576">
        <f t="shared" ca="1" si="1"/>
        <v>0</v>
      </c>
      <c r="X19" s="484">
        <f ca="1">IF('CDO Bespoke'!O20&lt;&gt;"",'CDO Bespoke'!O20,"")</f>
        <v>1.1667140988665501</v>
      </c>
      <c r="Y19" s="485">
        <f ca="1">IF(X19&lt;&gt;"",ABS(MIN(-0.75*('CDO Bespoke'!Q20)+'CDO Bespoke'!T20,0)),"")</f>
        <v>1.1633248371539187</v>
      </c>
      <c r="Z19" s="485">
        <f t="shared" ca="1" si="2"/>
        <v>3.3892617126314306E-3</v>
      </c>
      <c r="AA19" s="485">
        <f t="shared" ca="1" si="3"/>
        <v>0</v>
      </c>
      <c r="AB19" s="484">
        <f ca="1">IF('CDO Bespoke'!O20&lt;&gt;"",'CDO Bespoke'!O20,"")</f>
        <v>1.1667140988665501</v>
      </c>
      <c r="AC19" s="485">
        <f ca="1">IF(AB19&lt;&gt;"",ABS(MIN(-0.75*('CDO Bespoke'!K20)+'CDO Bespoke'!T20,0)),"")</f>
        <v>0.63904853833334496</v>
      </c>
      <c r="AD19" s="485">
        <f t="shared" ca="1" si="4"/>
        <v>0.52766556053320512</v>
      </c>
      <c r="AE19" s="489">
        <f t="shared" ca="1" si="5"/>
        <v>0</v>
      </c>
      <c r="AF19" s="493">
        <f ca="1">IF('CDO Bespoke'!O20&lt;&gt;"",'CDO Bespoke'!O20,"")</f>
        <v>1.1667140988665501</v>
      </c>
      <c r="AP19" s="494" t="str">
        <f ca="1">IF('CDO Bespoke'!C44&lt;&gt;"",'CDO Bespoke'!C44,"")</f>
        <v>ArcelorMittal</v>
      </c>
      <c r="AQ19" s="496">
        <f ca="1"/>
        <v>5.8168469996289218E-3</v>
      </c>
      <c r="AR19" s="585">
        <f ca="1"/>
        <v>1.790766489984108E-2</v>
      </c>
      <c r="AS19" s="585">
        <f ca="1"/>
        <v>3.8010698999446646E-2</v>
      </c>
      <c r="AT19" s="585">
        <f ca="1"/>
        <v>1.5950760854988033</v>
      </c>
      <c r="AU19" s="497">
        <f ca="1"/>
        <v>0</v>
      </c>
      <c r="AV19" s="627">
        <f ca="1"/>
        <v>0</v>
      </c>
      <c r="AW19" s="496">
        <f ca="1"/>
        <v>-5.4042518200098089E-4</v>
      </c>
      <c r="AX19" s="585">
        <f ca="1"/>
        <v>-2.4384646720061742E-3</v>
      </c>
      <c r="AY19" s="585">
        <f ca="1"/>
        <v>-1.3099239058005085E-2</v>
      </c>
      <c r="AZ19" s="585">
        <f ca="1"/>
        <v>1.679479471256998</v>
      </c>
      <c r="BA19" s="497">
        <f ca="1"/>
        <v>0</v>
      </c>
      <c r="BB19" s="627">
        <f ca="1"/>
        <v>0</v>
      </c>
      <c r="BC19" s="578"/>
      <c r="BD19" s="578"/>
      <c r="BE19" s="578"/>
      <c r="BF19" s="578"/>
      <c r="BG19" s="578"/>
      <c r="BQ19" s="506"/>
      <c r="BR19" s="580"/>
      <c r="BS19" s="580"/>
      <c r="BT19" s="580"/>
      <c r="BU19" s="580"/>
      <c r="BV19" s="580"/>
      <c r="BW19" s="579"/>
      <c r="BX19" s="579"/>
      <c r="BY19" s="579"/>
      <c r="BZ19" s="547"/>
      <c r="CB19" s="475" t="str">
        <f ca="1">IF('IRS Strip'!F26="","",'IRS Strip'!F26)</f>
        <v/>
      </c>
      <c r="CC19" s="475" t="str">
        <f ca="1">IF('IRS Strip'!B26="","",'IRS Strip'!B26)</f>
        <v/>
      </c>
    </row>
    <row r="20" spans="2:81" ht="12" thickBot="1">
      <c r="B20" s="517" t="s">
        <v>640</v>
      </c>
      <c r="C20" s="518" t="s">
        <v>66</v>
      </c>
      <c r="D20" s="518" t="s">
        <v>55</v>
      </c>
      <c r="E20" s="518">
        <v>0</v>
      </c>
      <c r="F20" s="518">
        <v>0.03</v>
      </c>
      <c r="G20" s="518" t="s">
        <v>639</v>
      </c>
      <c r="H20" s="518">
        <v>100</v>
      </c>
      <c r="I20" s="605">
        <v>0.1057844</v>
      </c>
      <c r="J20" s="523">
        <v>46376</v>
      </c>
      <c r="K20" s="609">
        <v>0.710345</v>
      </c>
      <c r="L20" s="272">
        <v>28</v>
      </c>
      <c r="M20" s="587" t="s">
        <v>647</v>
      </c>
      <c r="N20" s="591">
        <v>4</v>
      </c>
      <c r="P20" s="273"/>
      <c r="Q20" s="273"/>
      <c r="R20" s="273"/>
      <c r="S20" s="273"/>
      <c r="T20" s="576">
        <f ca="1"/>
        <v>0.03</v>
      </c>
      <c r="U20" s="573">
        <f ca="1"/>
        <v>12</v>
      </c>
      <c r="V20" s="576">
        <f t="shared" ca="1" si="0"/>
        <v>0</v>
      </c>
      <c r="W20" s="576">
        <f t="shared" ca="1" si="1"/>
        <v>0</v>
      </c>
      <c r="X20" s="484">
        <f ca="1">IF('CDO Bespoke'!O21&lt;&gt;"",'CDO Bespoke'!O21,"")</f>
        <v>1.17577879850928</v>
      </c>
      <c r="Y20" s="485">
        <f ca="1">IF(X20&lt;&gt;"",ABS(MIN(-0.75*('CDO Bespoke'!Q21)+'CDO Bespoke'!T21,0)),"")</f>
        <v>1.1660472288772479</v>
      </c>
      <c r="Z20" s="485">
        <f t="shared" ca="1" si="2"/>
        <v>9.7315696320321443E-3</v>
      </c>
      <c r="AA20" s="485">
        <f t="shared" ca="1" si="3"/>
        <v>0</v>
      </c>
      <c r="AB20" s="484">
        <f ca="1">IF('CDO Bespoke'!O21&lt;&gt;"",'CDO Bespoke'!O21,"")</f>
        <v>1.17577879850928</v>
      </c>
      <c r="AC20" s="485">
        <f ca="1">IF(AB20&lt;&gt;"",ABS(MIN(-0.75*('CDO Bespoke'!K21)+'CDO Bespoke'!T21,0)),"")</f>
        <v>0.60160929748792313</v>
      </c>
      <c r="AD20" s="485">
        <f t="shared" ca="1" si="4"/>
        <v>0.57416950102135689</v>
      </c>
      <c r="AE20" s="489">
        <f t="shared" ca="1" si="5"/>
        <v>0</v>
      </c>
      <c r="AF20" s="493">
        <f ca="1">IF('CDO Bespoke'!O21&lt;&gt;"",'CDO Bespoke'!O21,"")</f>
        <v>1.17577879850928</v>
      </c>
      <c r="AP20" s="494" t="str">
        <f ca="1">IF('CDO Bespoke'!C45&lt;&gt;"",'CDO Bespoke'!C45,"")</f>
        <v>ASTRAZENECA PLC</v>
      </c>
      <c r="AQ20" s="496">
        <f ca="1"/>
        <v>8.3528210992334095E-3</v>
      </c>
      <c r="AR20" s="585">
        <f ca="1"/>
        <v>2.7668059399132972E-2</v>
      </c>
      <c r="AS20" s="585">
        <f ca="1"/>
        <v>7.6132956898788962E-2</v>
      </c>
      <c r="AT20" s="585">
        <f ca="1"/>
        <v>1.1079347559994623</v>
      </c>
      <c r="AU20" s="497">
        <f ca="1"/>
        <v>0</v>
      </c>
      <c r="AV20" s="627">
        <f ca="1"/>
        <v>0</v>
      </c>
      <c r="AW20" s="496">
        <f ca="1"/>
        <v>7.324540058067236E-4</v>
      </c>
      <c r="AX20" s="585">
        <f ca="1"/>
        <v>3.5548179129051699E-3</v>
      </c>
      <c r="AY20" s="585">
        <f ca="1"/>
        <v>1.5822654814900625E-2</v>
      </c>
      <c r="AZ20" s="585">
        <f ca="1"/>
        <v>1.1993202806903027</v>
      </c>
      <c r="BA20" s="497">
        <f ca="1"/>
        <v>0</v>
      </c>
      <c r="BB20" s="627">
        <f ca="1"/>
        <v>0</v>
      </c>
      <c r="BC20" s="578"/>
      <c r="BD20" s="578"/>
      <c r="BE20" s="578"/>
      <c r="BF20" s="578"/>
      <c r="BG20" s="578"/>
      <c r="BQ20" s="506"/>
      <c r="BR20" s="580"/>
      <c r="BS20" s="580"/>
      <c r="BT20" s="580"/>
      <c r="BU20" s="580"/>
      <c r="BV20" s="580"/>
      <c r="BW20" s="579"/>
      <c r="BX20" s="579"/>
      <c r="BY20" s="579"/>
      <c r="BZ20" s="547"/>
      <c r="CB20" s="475" t="str">
        <f ca="1">IF('IRS Strip'!F27="","",'IRS Strip'!F27)</f>
        <v/>
      </c>
      <c r="CC20" s="475" t="str">
        <f ca="1">IF('IRS Strip'!B27="","",'IRS Strip'!B27)</f>
        <v/>
      </c>
    </row>
    <row r="21" spans="2:81" ht="12" thickBot="1">
      <c r="B21" s="517" t="s">
        <v>640</v>
      </c>
      <c r="C21" s="518" t="s">
        <v>66</v>
      </c>
      <c r="D21" s="518" t="s">
        <v>57</v>
      </c>
      <c r="E21" s="518">
        <v>0</v>
      </c>
      <c r="F21" s="518">
        <v>0.03</v>
      </c>
      <c r="G21" s="518" t="s">
        <v>639</v>
      </c>
      <c r="H21" s="518">
        <v>100</v>
      </c>
      <c r="I21" s="525">
        <v>0.25752876000000002</v>
      </c>
      <c r="J21" s="523">
        <v>47107</v>
      </c>
      <c r="K21" s="609" t="s">
        <v>75</v>
      </c>
      <c r="L21" s="565"/>
      <c r="M21" s="587" t="s">
        <v>683</v>
      </c>
      <c r="N21" s="591">
        <v>4</v>
      </c>
      <c r="P21" s="273"/>
      <c r="Q21" s="273"/>
      <c r="R21" s="273"/>
      <c r="S21" s="273"/>
      <c r="T21" s="576">
        <f ca="1"/>
        <v>0.06</v>
      </c>
      <c r="U21" s="573">
        <f ca="1"/>
        <v>13</v>
      </c>
      <c r="V21" s="576">
        <f t="shared" ca="1" si="0"/>
        <v>0</v>
      </c>
      <c r="W21" s="576">
        <f t="shared" ca="1" si="1"/>
        <v>0</v>
      </c>
      <c r="X21" s="484">
        <f ca="1">IF('CDO Bespoke'!O22&lt;&gt;"",'CDO Bespoke'!O22,"")</f>
        <v>1.17610721275706</v>
      </c>
      <c r="Y21" s="485">
        <f ca="1">IF(X21&lt;&gt;"",ABS(MIN(-0.75*('CDO Bespoke'!Q22)+'CDO Bespoke'!T22,0)),"")</f>
        <v>1.1661347458764391</v>
      </c>
      <c r="Z21" s="485">
        <f t="shared" ca="1" si="2"/>
        <v>9.9724668806209227E-3</v>
      </c>
      <c r="AA21" s="485">
        <f t="shared" ca="1" si="3"/>
        <v>0</v>
      </c>
      <c r="AB21" s="484">
        <f ca="1">IF('CDO Bespoke'!O22&lt;&gt;"",'CDO Bespoke'!O22,"")</f>
        <v>1.17610721275706</v>
      </c>
      <c r="AC21" s="485">
        <f ca="1">IF(AB21&lt;&gt;"",ABS(MIN(-0.75*('CDO Bespoke'!K22)+'CDO Bespoke'!T22,0)),"")</f>
        <v>0.59834739542568238</v>
      </c>
      <c r="AD21" s="485">
        <f t="shared" ca="1" si="4"/>
        <v>0.5777598173313776</v>
      </c>
      <c r="AE21" s="489">
        <f t="shared" ca="1" si="5"/>
        <v>0</v>
      </c>
      <c r="AF21" s="493">
        <f ca="1">IF('CDO Bespoke'!O22&lt;&gt;"",'CDO Bespoke'!O22,"")</f>
        <v>1.17610721275706</v>
      </c>
      <c r="AP21" s="494" t="str">
        <f ca="1">IF('CDO Bespoke'!C46&lt;&gt;"",'CDO Bespoke'!C46,"")</f>
        <v>BAE SYSTEMS PLC</v>
      </c>
      <c r="AQ21" s="496">
        <f ca="1"/>
        <v>8.2402821988125652E-3</v>
      </c>
      <c r="AR21" s="585">
        <f ca="1"/>
        <v>2.7113513099141784E-2</v>
      </c>
      <c r="AS21" s="585">
        <f ca="1"/>
        <v>7.3976093999394976E-2</v>
      </c>
      <c r="AT21" s="585">
        <f ca="1"/>
        <v>1.1349661595994043</v>
      </c>
      <c r="AU21" s="497">
        <f ca="1"/>
        <v>0</v>
      </c>
      <c r="AV21" s="627">
        <f ca="1"/>
        <v>0</v>
      </c>
      <c r="AW21" s="496">
        <f ca="1"/>
        <v>7.1730906319768251E-4</v>
      </c>
      <c r="AX21" s="585">
        <f ca="1"/>
        <v>3.4841315988982241E-3</v>
      </c>
      <c r="AY21" s="585">
        <f ca="1"/>
        <v>1.5416767908602025E-2</v>
      </c>
      <c r="AZ21" s="585">
        <f ca="1"/>
        <v>1.2246190290235002</v>
      </c>
      <c r="BA21" s="497">
        <f ca="1"/>
        <v>0</v>
      </c>
      <c r="BB21" s="627">
        <f ca="1"/>
        <v>0</v>
      </c>
      <c r="BC21" s="578"/>
      <c r="BD21" s="578"/>
      <c r="BE21" s="578"/>
      <c r="BF21" s="578"/>
      <c r="BG21" s="578"/>
      <c r="BQ21" s="506"/>
      <c r="BR21" s="580"/>
      <c r="BS21" s="580"/>
      <c r="BT21" s="580"/>
      <c r="BU21" s="580"/>
      <c r="BV21" s="580"/>
      <c r="BW21" s="579"/>
      <c r="BX21" s="579"/>
      <c r="BY21" s="579"/>
      <c r="BZ21" s="547"/>
      <c r="CB21" s="475" t="str">
        <f ca="1">IF('IRS Strip'!F28="","",'IRS Strip'!F28)</f>
        <v/>
      </c>
      <c r="CC21" s="475" t="str">
        <f ca="1">IF('IRS Strip'!B28="","",'IRS Strip'!B28)</f>
        <v/>
      </c>
    </row>
    <row r="22" spans="2:81" ht="12" thickBot="1">
      <c r="B22" s="520" t="s">
        <v>640</v>
      </c>
      <c r="C22" s="521" t="s">
        <v>66</v>
      </c>
      <c r="D22" s="521" t="s">
        <v>59</v>
      </c>
      <c r="E22" s="521">
        <v>0</v>
      </c>
      <c r="F22" s="521">
        <v>0.03</v>
      </c>
      <c r="G22" s="521" t="s">
        <v>639</v>
      </c>
      <c r="H22" s="521">
        <v>100</v>
      </c>
      <c r="I22" s="526">
        <v>0.38828527000000002</v>
      </c>
      <c r="J22" s="524">
        <v>47837</v>
      </c>
      <c r="K22" s="612"/>
      <c r="L22" s="565"/>
      <c r="M22" s="587" t="s">
        <v>684</v>
      </c>
      <c r="N22" s="591">
        <v>4</v>
      </c>
      <c r="P22" s="273"/>
      <c r="Q22" s="273"/>
      <c r="R22" s="273"/>
      <c r="S22" s="273"/>
      <c r="T22" s="576">
        <f ca="1"/>
        <v>0.06</v>
      </c>
      <c r="U22" s="573">
        <f ca="1"/>
        <v>14</v>
      </c>
      <c r="V22" s="576">
        <f t="shared" ca="1" si="0"/>
        <v>0</v>
      </c>
      <c r="W22" s="576">
        <f t="shared" ca="1" si="1"/>
        <v>0</v>
      </c>
      <c r="X22" s="484">
        <f ca="1">IF('CDO Bespoke'!O23&lt;&gt;"",'CDO Bespoke'!O23,"")</f>
        <v>1.1757311222317399</v>
      </c>
      <c r="Y22" s="485">
        <f ca="1">IF(X22&lt;&gt;"",ABS(MIN(-0.75*('CDO Bespoke'!Q23)+'CDO Bespoke'!T23,0)),"")</f>
        <v>1.1660343906774855</v>
      </c>
      <c r="Z22" s="485">
        <f t="shared" ca="1" si="2"/>
        <v>9.6967315542544341E-3</v>
      </c>
      <c r="AA22" s="485">
        <f t="shared" ca="1" si="3"/>
        <v>0</v>
      </c>
      <c r="AB22" s="484">
        <f ca="1">IF('CDO Bespoke'!O23&lt;&gt;"",'CDO Bespoke'!O23,"")</f>
        <v>1.1757311222317399</v>
      </c>
      <c r="AC22" s="485">
        <f ca="1">IF(AB22&lt;&gt;"",ABS(MIN(-0.75*('CDO Bespoke'!K23)+'CDO Bespoke'!T23,0)),"")</f>
        <v>0.60205536900435808</v>
      </c>
      <c r="AD22" s="485">
        <f t="shared" ca="1" si="4"/>
        <v>0.57367575322738185</v>
      </c>
      <c r="AE22" s="489">
        <f t="shared" ca="1" si="5"/>
        <v>0</v>
      </c>
      <c r="AF22" s="493">
        <f ca="1">IF('CDO Bespoke'!O23&lt;&gt;"",'CDO Bespoke'!O23,"")</f>
        <v>1.1757311222317399</v>
      </c>
      <c r="AP22" s="494" t="str">
        <f ca="1">IF('CDO Bespoke'!C47&lt;&gt;"",'CDO Bespoke'!C47,"")</f>
        <v>BASF SE</v>
      </c>
      <c r="AQ22" s="496">
        <f ca="1"/>
        <v>8.0262212986959014E-3</v>
      </c>
      <c r="AR22" s="585">
        <f ca="1"/>
        <v>2.631506659911409E-2</v>
      </c>
      <c r="AS22" s="585">
        <f ca="1"/>
        <v>7.1091268698530996E-2</v>
      </c>
      <c r="AT22" s="585">
        <f ca="1"/>
        <v>1.1987723192996569</v>
      </c>
      <c r="AU22" s="497">
        <f ca="1"/>
        <v>0</v>
      </c>
      <c r="AV22" s="627">
        <f ca="1"/>
        <v>0</v>
      </c>
      <c r="AW22" s="496">
        <f ca="1"/>
        <v>6.6045264020785088E-4</v>
      </c>
      <c r="AX22" s="585">
        <f ca="1"/>
        <v>3.2216083419023267E-3</v>
      </c>
      <c r="AY22" s="585">
        <f ca="1"/>
        <v>1.4033325155607401E-2</v>
      </c>
      <c r="AZ22" s="585">
        <f ca="1"/>
        <v>1.2875508070632999</v>
      </c>
      <c r="BA22" s="497">
        <f ca="1"/>
        <v>0</v>
      </c>
      <c r="BB22" s="627">
        <f ca="1"/>
        <v>0</v>
      </c>
      <c r="BC22" s="578"/>
      <c r="BD22" s="578"/>
      <c r="BE22" s="578"/>
      <c r="BF22" s="578"/>
      <c r="BG22" s="578"/>
      <c r="BQ22" s="506"/>
      <c r="BR22" s="580"/>
      <c r="BS22" s="580"/>
      <c r="BT22" s="580"/>
      <c r="BU22" s="580"/>
      <c r="BV22" s="580"/>
      <c r="BW22" s="579"/>
      <c r="BX22" s="579"/>
      <c r="BY22" s="579"/>
      <c r="BZ22" s="547"/>
      <c r="CB22" s="475" t="str">
        <f ca="1">IF('IRS Strip'!F29="","",'IRS Strip'!F29)</f>
        <v/>
      </c>
      <c r="CC22" s="475" t="str">
        <f ca="1">IF('IRS Strip'!B29="","",'IRS Strip'!B29)</f>
        <v/>
      </c>
    </row>
    <row r="23" spans="2:81" ht="12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8" t="s">
        <v>685</v>
      </c>
      <c r="N23" s="599">
        <v>4</v>
      </c>
      <c r="P23" s="273"/>
      <c r="Q23" s="273"/>
      <c r="R23" s="273"/>
      <c r="S23" s="273"/>
      <c r="T23" s="576">
        <f ca="1"/>
        <v>0.06</v>
      </c>
      <c r="U23" s="573">
        <f ca="1"/>
        <v>15</v>
      </c>
      <c r="V23" s="576">
        <f t="shared" ca="1" si="0"/>
        <v>0</v>
      </c>
      <c r="W23" s="576">
        <f t="shared" ca="1" si="1"/>
        <v>0</v>
      </c>
      <c r="X23" s="484">
        <f ca="1">IF('CDO Bespoke'!O24&lt;&gt;"",'CDO Bespoke'!O24,"")</f>
        <v>1.1650516491507601</v>
      </c>
      <c r="Y23" s="485">
        <f ca="1">IF(X23&lt;&gt;"",ABS(MIN(-0.75*('CDO Bespoke'!Q24)+'CDO Bespoke'!T24,0)),"")</f>
        <v>1.1627986887124535</v>
      </c>
      <c r="Z23" s="485">
        <f t="shared" ca="1" si="2"/>
        <v>2.2529604383065838E-3</v>
      </c>
      <c r="AA23" s="485">
        <f t="shared" ca="1" si="3"/>
        <v>0</v>
      </c>
      <c r="AB23" s="484">
        <f ca="1">IF('CDO Bespoke'!O24&lt;&gt;"",'CDO Bespoke'!O24,"")</f>
        <v>1.1650516491507601</v>
      </c>
      <c r="AC23" s="485">
        <f ca="1">IF(AB23&lt;&gt;"",ABS(MIN(-0.75*('CDO Bespoke'!K24)+'CDO Bespoke'!T24,0)),"")</f>
        <v>0.64177643925892169</v>
      </c>
      <c r="AD23" s="485">
        <f t="shared" ca="1" si="4"/>
        <v>0.5232752098918384</v>
      </c>
      <c r="AE23" s="489">
        <f t="shared" ca="1" si="5"/>
        <v>0</v>
      </c>
      <c r="AF23" s="493">
        <f ca="1">IF('CDO Bespoke'!O24&lt;&gt;"",'CDO Bespoke'!O24,"")</f>
        <v>1.1650516491507601</v>
      </c>
      <c r="AP23" s="494" t="str">
        <f ca="1">IF('CDO Bespoke'!C48&lt;&gt;"",'CDO Bespoke'!C48,"")</f>
        <v>Bayer Aktiengesellschaft</v>
      </c>
      <c r="AQ23" s="496">
        <f ca="1"/>
        <v>6.4553318002147364E-3</v>
      </c>
      <c r="AR23" s="585">
        <f ca="1"/>
        <v>2.0907186399909961E-2</v>
      </c>
      <c r="AS23" s="585">
        <f ca="1"/>
        <v>5.1019370399529862E-2</v>
      </c>
      <c r="AT23" s="585">
        <f ca="1"/>
        <v>1.5085350482002546</v>
      </c>
      <c r="AU23" s="497">
        <f ca="1"/>
        <v>0</v>
      </c>
      <c r="AV23" s="627">
        <f ca="1"/>
        <v>0</v>
      </c>
      <c r="AW23" s="496">
        <f ca="1"/>
        <v>-1.6685422699752595E-4</v>
      </c>
      <c r="AX23" s="585">
        <f ca="1"/>
        <v>-6.6697479299965279E-4</v>
      </c>
      <c r="AY23" s="585">
        <f ca="1"/>
        <v>-4.6175927609966999E-3</v>
      </c>
      <c r="AZ23" s="585">
        <f ca="1"/>
        <v>1.5971608988479997</v>
      </c>
      <c r="BA23" s="497">
        <f ca="1"/>
        <v>0</v>
      </c>
      <c r="BB23" s="627">
        <f ca="1"/>
        <v>0</v>
      </c>
      <c r="BQ23" s="507"/>
      <c r="BR23" s="508"/>
      <c r="BS23" s="508"/>
      <c r="BT23" s="508"/>
      <c r="BU23" s="508"/>
      <c r="BV23" s="508"/>
      <c r="BW23" s="584"/>
      <c r="BX23" s="584"/>
      <c r="BY23" s="584"/>
      <c r="BZ23" s="586"/>
      <c r="CA23" s="348"/>
      <c r="CB23" s="474" t="str">
        <f ca="1">IF('IRS Strip'!F30="","",'IRS Strip'!F30)</f>
        <v/>
      </c>
      <c r="CC23" s="474" t="str">
        <f ca="1">IF('IRS Strip'!B30="","",'IRS Strip'!B30)</f>
        <v/>
      </c>
    </row>
    <row r="24" spans="2:81" ht="12" thickBot="1">
      <c r="B24" s="468" t="s">
        <v>641</v>
      </c>
      <c r="C24" s="468" t="s">
        <v>82</v>
      </c>
      <c r="D24" s="468" t="s">
        <v>432</v>
      </c>
      <c r="E24" s="468" t="s">
        <v>642</v>
      </c>
      <c r="F24" s="468" t="s">
        <v>643</v>
      </c>
      <c r="G24" s="468" t="s">
        <v>644</v>
      </c>
      <c r="H24" s="468" t="s">
        <v>645</v>
      </c>
      <c r="I24" s="468" t="s">
        <v>85</v>
      </c>
      <c r="J24" s="468" t="s">
        <v>692</v>
      </c>
      <c r="K24" s="476" t="s">
        <v>654</v>
      </c>
      <c r="L24" s="272"/>
      <c r="M24" s="596" t="s">
        <v>671</v>
      </c>
      <c r="N24" s="597">
        <v>5</v>
      </c>
      <c r="P24" s="273"/>
      <c r="Q24" s="273"/>
      <c r="R24" s="273"/>
      <c r="S24" s="273"/>
      <c r="T24" s="576">
        <f ca="1"/>
        <v>0.06</v>
      </c>
      <c r="U24" s="573">
        <f ca="1"/>
        <v>16</v>
      </c>
      <c r="V24" s="576">
        <f t="shared" ca="1" si="0"/>
        <v>0</v>
      </c>
      <c r="W24" s="576">
        <f t="shared" ca="1" si="1"/>
        <v>0</v>
      </c>
      <c r="X24" s="484">
        <f ca="1">IF('CDO Bespoke'!O25&lt;&gt;"",'CDO Bespoke'!O25,"")</f>
        <v>1.17458963861287</v>
      </c>
      <c r="Y24" s="485">
        <f ca="1">IF(X24&lt;&gt;"",ABS(MIN(-0.75*('CDO Bespoke'!Q25)+'CDO Bespoke'!T25,0)),"")</f>
        <v>1.1657185785731579</v>
      </c>
      <c r="Z24" s="485">
        <f t="shared" ca="1" si="2"/>
        <v>8.8710600397121642E-3</v>
      </c>
      <c r="AA24" s="485">
        <f t="shared" ca="1" si="3"/>
        <v>0</v>
      </c>
      <c r="AB24" s="484">
        <f ca="1">IF('CDO Bespoke'!O25&lt;&gt;"",'CDO Bespoke'!O25,"")</f>
        <v>1.17458963861287</v>
      </c>
      <c r="AC24" s="485">
        <f ca="1">IF(AB24&lt;&gt;"",ABS(MIN(-0.75*('CDO Bespoke'!K25)+'CDO Bespoke'!T25,0)),"")</f>
        <v>0.61112097198634618</v>
      </c>
      <c r="AD24" s="485">
        <f t="shared" ca="1" si="4"/>
        <v>0.56346866662652384</v>
      </c>
      <c r="AE24" s="489">
        <f t="shared" ca="1" si="5"/>
        <v>0</v>
      </c>
      <c r="AF24" s="493">
        <f ca="1">IF('CDO Bespoke'!O25&lt;&gt;"",'CDO Bespoke'!O25,"")</f>
        <v>1.17458963861287</v>
      </c>
      <c r="AP24" s="494" t="str">
        <f ca="1">IF('CDO Bespoke'!C49&lt;&gt;"",'CDO Bespoke'!C49,"")</f>
        <v>Bayerische Motoren Werke Aktiengesellschaft</v>
      </c>
      <c r="AQ24" s="496">
        <f ca="1"/>
        <v>7.8798860991824426E-3</v>
      </c>
      <c r="AR24" s="585">
        <f ca="1"/>
        <v>2.5948851398727157E-2</v>
      </c>
      <c r="AS24" s="585">
        <f ca="1"/>
        <v>6.9923525498616357E-2</v>
      </c>
      <c r="AT24" s="585">
        <f ca="1"/>
        <v>1.2466240396991068</v>
      </c>
      <c r="AU24" s="497">
        <f ca="1"/>
        <v>0</v>
      </c>
      <c r="AV24" s="627">
        <f ca="1"/>
        <v>0</v>
      </c>
      <c r="AW24" s="496">
        <f ca="1"/>
        <v>5.9551613250038993E-4</v>
      </c>
      <c r="AX24" s="585">
        <f ca="1"/>
        <v>2.9218818927041756E-3</v>
      </c>
      <c r="AY24" s="585">
        <f ca="1"/>
        <v>1.2521106130605753E-2</v>
      </c>
      <c r="AZ24" s="585">
        <f ca="1"/>
        <v>1.3365136820019021</v>
      </c>
      <c r="BA24" s="497">
        <f ca="1"/>
        <v>0</v>
      </c>
      <c r="BB24" s="627">
        <f ca="1"/>
        <v>0</v>
      </c>
      <c r="BC24" s="580"/>
      <c r="BD24" s="580"/>
      <c r="BP24" s="580"/>
      <c r="BQ24" s="580"/>
      <c r="BR24" s="579"/>
      <c r="BS24" s="579"/>
      <c r="BT24" s="579"/>
    </row>
    <row r="25" spans="2:81">
      <c r="B25" s="529" t="s">
        <v>510</v>
      </c>
      <c r="C25" s="530" t="s">
        <v>66</v>
      </c>
      <c r="D25" s="530" t="s">
        <v>55</v>
      </c>
      <c r="E25" s="530" t="s">
        <v>646</v>
      </c>
      <c r="F25" s="530" t="s">
        <v>647</v>
      </c>
      <c r="G25" s="531">
        <v>0.01</v>
      </c>
      <c r="H25" s="531">
        <v>3.0899999999999999E-3</v>
      </c>
      <c r="I25" s="532">
        <v>0.4</v>
      </c>
      <c r="J25" s="593">
        <v>4</v>
      </c>
      <c r="K25" s="533">
        <v>1</v>
      </c>
      <c r="L25" s="272"/>
      <c r="M25" s="587" t="s">
        <v>687</v>
      </c>
      <c r="N25" s="591">
        <v>5</v>
      </c>
      <c r="P25" s="273"/>
      <c r="Q25" s="273"/>
      <c r="R25" s="273"/>
      <c r="S25" s="273"/>
      <c r="T25" s="576">
        <f ca="1"/>
        <v>0.03</v>
      </c>
      <c r="U25" s="573">
        <f ca="1"/>
        <v>17</v>
      </c>
      <c r="V25" s="576">
        <f t="shared" ca="1" si="0"/>
        <v>0</v>
      </c>
      <c r="W25" s="576">
        <f t="shared" ca="1" si="1"/>
        <v>0</v>
      </c>
      <c r="X25" s="484">
        <f ca="1">IF('CDO Bespoke'!O26&lt;&gt;"",'CDO Bespoke'!O26,"")</f>
        <v>1.17576596834627</v>
      </c>
      <c r="Y25" s="485">
        <f ca="1">IF(X25&lt;&gt;"",ABS(MIN(-0.75*('CDO Bespoke'!Q26)+'CDO Bespoke'!T26,0)),"")</f>
        <v>1.1660437771684908</v>
      </c>
      <c r="Z25" s="485">
        <f t="shared" ca="1" si="2"/>
        <v>9.7221911777791714E-3</v>
      </c>
      <c r="AA25" s="485">
        <f t="shared" ca="1" si="3"/>
        <v>0</v>
      </c>
      <c r="AB25" s="484">
        <f ca="1">IF('CDO Bespoke'!O26&lt;&gt;"",'CDO Bespoke'!O26,"")</f>
        <v>1.17576596834627</v>
      </c>
      <c r="AC25" s="485">
        <f ca="1">IF(AB25&lt;&gt;"",ABS(MIN(-0.75*('CDO Bespoke'!K26)+'CDO Bespoke'!T26,0)),"")</f>
        <v>0.60172998195316163</v>
      </c>
      <c r="AD25" s="485">
        <f t="shared" ca="1" si="4"/>
        <v>0.57403598639310838</v>
      </c>
      <c r="AE25" s="489">
        <f t="shared" ca="1" si="5"/>
        <v>0</v>
      </c>
      <c r="AF25" s="493">
        <f ca="1">IF('CDO Bespoke'!O26&lt;&gt;"",'CDO Bespoke'!O26,"")</f>
        <v>1.17576596834627</v>
      </c>
      <c r="AP25" s="494" t="str">
        <f ca="1">IF('CDO Bespoke'!C50&lt;&gt;"",'CDO Bespoke'!C50,"")</f>
        <v>BOUYGUES</v>
      </c>
      <c r="AQ25" s="496">
        <f ca="1"/>
        <v>8.2798578993070748E-3</v>
      </c>
      <c r="AR25" s="585">
        <f ca="1"/>
        <v>2.7368443400455078E-2</v>
      </c>
      <c r="AS25" s="585">
        <f ca="1"/>
        <v>7.5033707600535848E-2</v>
      </c>
      <c r="AT25" s="585">
        <f ca="1"/>
        <v>1.1294193900002192</v>
      </c>
      <c r="AU25" s="497">
        <f ca="1"/>
        <v>0</v>
      </c>
      <c r="AV25" s="627">
        <f ca="1"/>
        <v>0</v>
      </c>
      <c r="AW25" s="496">
        <f ca="1"/>
        <v>7.1938881040546632E-4</v>
      </c>
      <c r="AX25" s="585">
        <f ca="1"/>
        <v>3.4947547132048451E-3</v>
      </c>
      <c r="AY25" s="585">
        <f ca="1"/>
        <v>1.5492720187798917E-2</v>
      </c>
      <c r="AZ25" s="585">
        <f ca="1"/>
        <v>1.2202034159118982</v>
      </c>
      <c r="BA25" s="497">
        <f ca="1"/>
        <v>0</v>
      </c>
      <c r="BB25" s="627">
        <f ca="1"/>
        <v>0</v>
      </c>
      <c r="BC25" s="580"/>
      <c r="BD25" s="580"/>
      <c r="BP25" s="580"/>
      <c r="BQ25" s="580"/>
      <c r="BR25" s="579"/>
      <c r="BS25" s="579"/>
      <c r="BT25" s="579"/>
    </row>
    <row r="26" spans="2:81">
      <c r="B26" s="517" t="s">
        <v>510</v>
      </c>
      <c r="C26" s="518" t="s">
        <v>66</v>
      </c>
      <c r="D26" s="518" t="s">
        <v>57</v>
      </c>
      <c r="E26" s="518" t="s">
        <v>646</v>
      </c>
      <c r="F26" s="518" t="s">
        <v>647</v>
      </c>
      <c r="G26" s="525">
        <v>0.01</v>
      </c>
      <c r="H26" s="525">
        <v>4.5950000000000001E-3</v>
      </c>
      <c r="I26" s="527">
        <v>0.4</v>
      </c>
      <c r="J26" s="594">
        <v>4</v>
      </c>
      <c r="K26" s="519">
        <v>1</v>
      </c>
      <c r="L26" s="272"/>
      <c r="M26" s="598" t="s">
        <v>686</v>
      </c>
      <c r="N26" s="599">
        <v>5</v>
      </c>
      <c r="P26" s="273"/>
      <c r="Q26" s="273"/>
      <c r="R26" s="273"/>
      <c r="S26" s="273"/>
      <c r="T26" s="576">
        <f ca="1"/>
        <v>0.06</v>
      </c>
      <c r="U26" s="573">
        <f ca="1"/>
        <v>18</v>
      </c>
      <c r="V26" s="576">
        <f t="shared" ca="1" si="0"/>
        <v>0</v>
      </c>
      <c r="W26" s="576">
        <f t="shared" ca="1" si="1"/>
        <v>0</v>
      </c>
      <c r="X26" s="484">
        <f ca="1">IF('CDO Bespoke'!O27&lt;&gt;"",'CDO Bespoke'!O27,"")</f>
        <v>1.1696293209625801</v>
      </c>
      <c r="Y26" s="485">
        <f ca="1">IF(X26&lt;&gt;"",ABS(MIN(-0.75*('CDO Bespoke'!Q27)+'CDO Bespoke'!T27,0)),"")</f>
        <v>1.1642365485953223</v>
      </c>
      <c r="Z26" s="485">
        <f t="shared" ca="1" si="2"/>
        <v>5.3927723672577699E-3</v>
      </c>
      <c r="AA26" s="485">
        <f t="shared" ca="1" si="3"/>
        <v>0</v>
      </c>
      <c r="AB26" s="484">
        <f ca="1">IF('CDO Bespoke'!O27&lt;&gt;"",'CDO Bespoke'!O27,"")</f>
        <v>1.1696293209625801</v>
      </c>
      <c r="AC26" s="485">
        <f ca="1">IF(AB26&lt;&gt;"",ABS(MIN(-0.75*('CDO Bespoke'!K27)+'CDO Bespoke'!T27,0)),"")</f>
        <v>0.63249852614330049</v>
      </c>
      <c r="AD26" s="485">
        <f t="shared" ca="1" si="4"/>
        <v>0.53713079481927961</v>
      </c>
      <c r="AE26" s="489">
        <f t="shared" ca="1" si="5"/>
        <v>0</v>
      </c>
      <c r="AF26" s="493">
        <f ca="1">IF('CDO Bespoke'!O27&lt;&gt;"",'CDO Bespoke'!O27,"")</f>
        <v>1.1696293209625801</v>
      </c>
      <c r="AP26" s="494" t="str">
        <f ca="1">IF('CDO Bespoke'!C51&lt;&gt;"",'CDO Bespoke'!C51,"")</f>
        <v>CNH Industrial N.V</v>
      </c>
      <c r="AQ26" s="496">
        <f ca="1"/>
        <v>7.0391819995130334E-3</v>
      </c>
      <c r="AR26" s="585">
        <f ca="1"/>
        <v>2.3040313099631504E-2</v>
      </c>
      <c r="AS26" s="585">
        <f ca="1"/>
        <v>5.8781712699573774E-2</v>
      </c>
      <c r="AT26" s="585">
        <f ca="1"/>
        <v>1.4255533572993251</v>
      </c>
      <c r="AU26" s="497">
        <f ca="1"/>
        <v>0</v>
      </c>
      <c r="AV26" s="627">
        <f ca="1"/>
        <v>0</v>
      </c>
      <c r="AW26" s="496">
        <f ca="1"/>
        <v>1.7609691499919852E-4</v>
      </c>
      <c r="AX26" s="585">
        <f ca="1"/>
        <v>9.5719544199917087E-4</v>
      </c>
      <c r="AY26" s="585">
        <f ca="1"/>
        <v>2.6531227189990556E-3</v>
      </c>
      <c r="AZ26" s="585">
        <f ca="1"/>
        <v>1.5175129178079991</v>
      </c>
      <c r="BA26" s="497">
        <f ca="1"/>
        <v>0</v>
      </c>
      <c r="BB26" s="627">
        <f ca="1"/>
        <v>0</v>
      </c>
      <c r="BC26" s="580"/>
      <c r="BD26" s="580"/>
      <c r="BE26" s="580"/>
      <c r="BF26" s="580"/>
      <c r="BG26" s="580"/>
      <c r="BM26" s="578"/>
    </row>
    <row r="27" spans="2:81">
      <c r="B27" s="534" t="s">
        <v>510</v>
      </c>
      <c r="C27" s="535" t="s">
        <v>66</v>
      </c>
      <c r="D27" s="535" t="s">
        <v>59</v>
      </c>
      <c r="E27" s="535" t="s">
        <v>646</v>
      </c>
      <c r="F27" s="535" t="s">
        <v>647</v>
      </c>
      <c r="G27" s="536">
        <v>0.01</v>
      </c>
      <c r="H27" s="536">
        <v>6.3160000000000004E-3</v>
      </c>
      <c r="I27" s="537">
        <v>0.4</v>
      </c>
      <c r="J27" s="595">
        <v>4</v>
      </c>
      <c r="K27" s="538">
        <v>1</v>
      </c>
      <c r="L27" s="272"/>
      <c r="M27" s="596" t="s">
        <v>653</v>
      </c>
      <c r="N27" s="597">
        <v>6</v>
      </c>
      <c r="P27" s="273"/>
      <c r="Q27" s="273"/>
      <c r="R27" s="273"/>
      <c r="S27" s="273"/>
      <c r="T27" s="576">
        <f ca="1"/>
        <v>0.06</v>
      </c>
      <c r="U27" s="573">
        <f ca="1"/>
        <v>19</v>
      </c>
      <c r="V27" s="576">
        <f t="shared" ca="1" si="0"/>
        <v>0</v>
      </c>
      <c r="W27" s="576">
        <f t="shared" ca="1" si="1"/>
        <v>0</v>
      </c>
      <c r="X27" s="484">
        <f ca="1">IF('CDO Bespoke'!O28&lt;&gt;"",'CDO Bespoke'!O28,"")</f>
        <v>1.17445965915146</v>
      </c>
      <c r="Y27" s="485">
        <f ca="1">IF(X27&lt;&gt;"",ABS(MIN(-0.75*('CDO Bespoke'!Q28)+'CDO Bespoke'!T28,0)),"")</f>
        <v>1.1656817308863949</v>
      </c>
      <c r="Z27" s="485">
        <f t="shared" ca="1" si="2"/>
        <v>8.7779282650650714E-3</v>
      </c>
      <c r="AA27" s="485">
        <f t="shared" ca="1" si="3"/>
        <v>0</v>
      </c>
      <c r="AB27" s="484">
        <f ca="1">IF('CDO Bespoke'!O28&lt;&gt;"",'CDO Bespoke'!O28,"")</f>
        <v>1.17445965915146</v>
      </c>
      <c r="AC27" s="485">
        <f ca="1">IF(AB27&lt;&gt;"",ABS(MIN(-0.75*('CDO Bespoke'!K28)+'CDO Bespoke'!T28,0)),"")</f>
        <v>0.61199309177608163</v>
      </c>
      <c r="AD27" s="485">
        <f t="shared" ca="1" si="4"/>
        <v>0.56246656737537837</v>
      </c>
      <c r="AE27" s="489">
        <f t="shared" ca="1" si="5"/>
        <v>0</v>
      </c>
      <c r="AF27" s="493">
        <f ca="1">IF('CDO Bespoke'!O28&lt;&gt;"",'CDO Bespoke'!O28,"")</f>
        <v>1.17445965915146</v>
      </c>
      <c r="AP27" s="494" t="str">
        <f ca="1">IF('CDO Bespoke'!C52&lt;&gt;"",'CDO Bespoke'!C52,"")</f>
        <v>COMPAGNIE DE SAINT-GOBAIN</v>
      </c>
      <c r="AQ27" s="496">
        <f ca="1"/>
        <v>-3.7593378010569722E-3</v>
      </c>
      <c r="AR27" s="585">
        <f ca="1"/>
        <v>-2.667969650094193E-2</v>
      </c>
      <c r="AS27" s="585">
        <f ca="1"/>
        <v>-0.14761039309973967</v>
      </c>
      <c r="AT27" s="585">
        <f ca="1"/>
        <v>2.1822908963997634</v>
      </c>
      <c r="AU27" s="497">
        <f ca="1"/>
        <v>0</v>
      </c>
      <c r="AV27" s="627">
        <f ca="1"/>
        <v>0</v>
      </c>
      <c r="AW27" s="496">
        <f ca="1"/>
        <v>-7.6031553279676256E-3</v>
      </c>
      <c r="AX27" s="585">
        <f ca="1"/>
        <v>-3.579897751487815E-2</v>
      </c>
      <c r="AY27" s="585">
        <f ca="1"/>
        <v>-0.16141533776298234</v>
      </c>
      <c r="AZ27" s="585">
        <f ca="1"/>
        <v>2.2231680716690292</v>
      </c>
      <c r="BA27" s="497">
        <f ca="1"/>
        <v>0</v>
      </c>
      <c r="BB27" s="627">
        <f ca="1"/>
        <v>0</v>
      </c>
      <c r="BC27" s="580"/>
      <c r="BD27" s="580"/>
      <c r="BE27" s="580"/>
      <c r="BF27" s="580"/>
      <c r="BG27" s="625"/>
    </row>
    <row r="28" spans="2:81">
      <c r="B28" s="539" t="s">
        <v>511</v>
      </c>
      <c r="C28" s="540" t="s">
        <v>66</v>
      </c>
      <c r="D28" s="540" t="s">
        <v>55</v>
      </c>
      <c r="E28" s="540" t="s">
        <v>646</v>
      </c>
      <c r="F28" s="540" t="s">
        <v>647</v>
      </c>
      <c r="G28" s="541">
        <v>0.01</v>
      </c>
      <c r="H28" s="541">
        <v>2.9420000000000002E-3</v>
      </c>
      <c r="I28" s="542">
        <v>0.4</v>
      </c>
      <c r="J28" s="602">
        <v>4</v>
      </c>
      <c r="K28" s="543">
        <v>2</v>
      </c>
      <c r="L28" s="272"/>
      <c r="M28" s="598" t="s">
        <v>675</v>
      </c>
      <c r="N28" s="599">
        <v>6</v>
      </c>
      <c r="P28" s="273"/>
      <c r="Q28" s="273"/>
      <c r="R28" s="273"/>
      <c r="S28" s="273"/>
      <c r="T28" s="576">
        <f ca="1"/>
        <v>5.0000000000000001E-3</v>
      </c>
      <c r="U28" s="573">
        <f ca="1"/>
        <v>20</v>
      </c>
      <c r="V28" s="576">
        <f t="shared" ca="1" si="0"/>
        <v>0</v>
      </c>
      <c r="W28" s="576">
        <f t="shared" ca="1" si="1"/>
        <v>0</v>
      </c>
      <c r="X28" s="484">
        <f ca="1">IF('CDO Bespoke'!O29&lt;&gt;"",'CDO Bespoke'!O29,"")</f>
        <v>1.1700787403608901</v>
      </c>
      <c r="Y28" s="485">
        <f ca="1">IF(X28&lt;&gt;"",ABS(MIN(-0.75*('CDO Bespoke'!Q29)+'CDO Bespoke'!T29,0)),"")</f>
        <v>1.1643753026546146</v>
      </c>
      <c r="Z28" s="485">
        <f t="shared" ca="1" si="2"/>
        <v>5.7034377062754604E-3</v>
      </c>
      <c r="AA28" s="485">
        <f t="shared" ca="1" si="3"/>
        <v>0</v>
      </c>
      <c r="AB28" s="484">
        <f ca="1">IF('CDO Bespoke'!O29&lt;&gt;"",'CDO Bespoke'!O29,"")</f>
        <v>1.1700787403608901</v>
      </c>
      <c r="AC28" s="485">
        <f ca="1">IF(AB28&lt;&gt;"",ABS(MIN(-0.75*('CDO Bespoke'!K29)+'CDO Bespoke'!T29,0)),"")</f>
        <v>0.63122352261287651</v>
      </c>
      <c r="AD28" s="485">
        <f t="shared" ca="1" si="4"/>
        <v>0.53885521774801359</v>
      </c>
      <c r="AE28" s="489">
        <f t="shared" ca="1" si="5"/>
        <v>0</v>
      </c>
      <c r="AF28" s="493">
        <f ca="1">IF('CDO Bespoke'!O29&lt;&gt;"",'CDO Bespoke'!O29,"")</f>
        <v>1.1700787403608901</v>
      </c>
      <c r="AP28" s="494" t="str">
        <f ca="1">IF('CDO Bespoke'!C53&lt;&gt;"",'CDO Bespoke'!C53,"")</f>
        <v>Continental Aktiengesellschaft</v>
      </c>
      <c r="AQ28" s="496">
        <f ca="1"/>
        <v>6.8018674004299839E-3</v>
      </c>
      <c r="AR28" s="585">
        <f ca="1"/>
        <v>2.1944560599784779E-2</v>
      </c>
      <c r="AS28" s="585">
        <f ca="1"/>
        <v>5.4713223098801222E-2</v>
      </c>
      <c r="AT28" s="585">
        <f ca="1"/>
        <v>1.463412345399373</v>
      </c>
      <c r="AU28" s="497">
        <f ca="1"/>
        <v>0</v>
      </c>
      <c r="AV28" s="627">
        <f ca="1"/>
        <v>0</v>
      </c>
      <c r="AW28" s="496">
        <f ca="1"/>
        <v>5.7714870990016598E-5</v>
      </c>
      <c r="AX28" s="585">
        <f ca="1"/>
        <v>3.9738549398955682E-4</v>
      </c>
      <c r="AY28" s="585">
        <f ca="1"/>
        <v>5.2929853698981469E-4</v>
      </c>
      <c r="AZ28" s="585">
        <f ca="1"/>
        <v>1.5507847053579897</v>
      </c>
      <c r="BA28" s="497">
        <f ca="1"/>
        <v>0</v>
      </c>
      <c r="BB28" s="627">
        <f ca="1"/>
        <v>0</v>
      </c>
      <c r="BC28" s="604"/>
      <c r="BD28" s="580"/>
      <c r="BE28" s="580"/>
      <c r="BF28" s="580"/>
      <c r="BG28" s="579"/>
      <c r="BJ28" s="578"/>
    </row>
    <row r="29" spans="2:81">
      <c r="B29" s="517" t="s">
        <v>511</v>
      </c>
      <c r="C29" s="518" t="s">
        <v>66</v>
      </c>
      <c r="D29" s="518" t="s">
        <v>57</v>
      </c>
      <c r="E29" s="518" t="s">
        <v>646</v>
      </c>
      <c r="F29" s="518" t="s">
        <v>647</v>
      </c>
      <c r="G29" s="525">
        <v>0.01</v>
      </c>
      <c r="H29" s="525">
        <v>4.9529999999999999E-3</v>
      </c>
      <c r="I29" s="527">
        <v>0.4</v>
      </c>
      <c r="J29" s="594">
        <v>4</v>
      </c>
      <c r="K29" s="519">
        <v>2</v>
      </c>
      <c r="L29" s="272"/>
      <c r="M29" s="596" t="s">
        <v>672</v>
      </c>
      <c r="N29" s="597">
        <v>7</v>
      </c>
      <c r="P29" s="273"/>
      <c r="Q29" s="273"/>
      <c r="R29" s="273"/>
      <c r="S29" s="273"/>
      <c r="T29" s="576">
        <f ca="1"/>
        <v>0.03</v>
      </c>
      <c r="U29" s="573">
        <f ca="1"/>
        <v>21</v>
      </c>
      <c r="V29" s="576">
        <f t="shared" ca="1" si="0"/>
        <v>0</v>
      </c>
      <c r="W29" s="576">
        <f t="shared" ca="1" si="1"/>
        <v>0</v>
      </c>
      <c r="X29" s="484">
        <f ca="1">IF('CDO Bespoke'!O30&lt;&gt;"",'CDO Bespoke'!O30,"")</f>
        <v>1.17015446902922</v>
      </c>
      <c r="Y29" s="485">
        <f ca="1">IF(X29&lt;&gt;"",ABS(MIN(-0.75*('CDO Bespoke'!Q30)+'CDO Bespoke'!T30,0)),"")</f>
        <v>1.1643986229607224</v>
      </c>
      <c r="Z29" s="485">
        <f t="shared" ca="1" si="2"/>
        <v>5.7558460684976609E-3</v>
      </c>
      <c r="AA29" s="485">
        <f t="shared" ca="1" si="3"/>
        <v>0</v>
      </c>
      <c r="AB29" s="484">
        <f ca="1">IF('CDO Bespoke'!O30&lt;&gt;"",'CDO Bespoke'!O30,"")</f>
        <v>1.17015446902922</v>
      </c>
      <c r="AC29" s="485">
        <f ca="1">IF(AB29&lt;&gt;"",ABS(MIN(-0.75*('CDO Bespoke'!K30)+'CDO Bespoke'!T30,0)),"")</f>
        <v>0.63100003355992362</v>
      </c>
      <c r="AD29" s="485">
        <f t="shared" ca="1" si="4"/>
        <v>0.53915443546929642</v>
      </c>
      <c r="AE29" s="489">
        <f t="shared" ca="1" si="5"/>
        <v>0</v>
      </c>
      <c r="AF29" s="493">
        <f ca="1">IF('CDO Bespoke'!O30&lt;&gt;"",'CDO Bespoke'!O30,"")</f>
        <v>1.17015446902922</v>
      </c>
      <c r="AP29" s="494" t="str">
        <f ca="1">IF('CDO Bespoke'!C54&lt;&gt;"",'CDO Bespoke'!C54,"")</f>
        <v>Glencore International AG</v>
      </c>
      <c r="AQ29" s="496">
        <f ca="1"/>
        <v>6.5285270989257072E-3</v>
      </c>
      <c r="AR29" s="585">
        <f ca="1"/>
        <v>2.0727938898623677E-2</v>
      </c>
      <c r="AS29" s="585">
        <f ca="1"/>
        <v>4.9625380500462057E-2</v>
      </c>
      <c r="AT29" s="585">
        <f ca="1"/>
        <v>1.5047564801995428</v>
      </c>
      <c r="AU29" s="497">
        <f ca="1"/>
        <v>0</v>
      </c>
      <c r="AV29" s="627">
        <f ca="1"/>
        <v>0</v>
      </c>
      <c r="AW29" s="496">
        <f ca="1"/>
        <v>-9.0279302002865824E-5</v>
      </c>
      <c r="AX29" s="585">
        <f ca="1"/>
        <v>-3.0216581100098172E-4</v>
      </c>
      <c r="AY29" s="585">
        <f ca="1"/>
        <v>-2.8381990030022439E-3</v>
      </c>
      <c r="AZ29" s="585">
        <f ca="1"/>
        <v>1.5903074140659985</v>
      </c>
      <c r="BA29" s="497">
        <f ca="1"/>
        <v>0</v>
      </c>
      <c r="BB29" s="627">
        <f ca="1"/>
        <v>0</v>
      </c>
      <c r="BC29" s="580"/>
      <c r="BD29" s="580"/>
      <c r="BE29" s="580"/>
      <c r="BF29" s="580"/>
      <c r="BG29" s="579"/>
    </row>
    <row r="30" spans="2:81">
      <c r="B30" s="534" t="s">
        <v>511</v>
      </c>
      <c r="C30" s="535" t="s">
        <v>66</v>
      </c>
      <c r="D30" s="535" t="s">
        <v>59</v>
      </c>
      <c r="E30" s="535" t="s">
        <v>646</v>
      </c>
      <c r="F30" s="535" t="s">
        <v>647</v>
      </c>
      <c r="G30" s="536">
        <v>0.01</v>
      </c>
      <c r="H30" s="536">
        <v>7.0489999999999997E-3</v>
      </c>
      <c r="I30" s="537">
        <v>0.4</v>
      </c>
      <c r="J30" s="595">
        <v>4</v>
      </c>
      <c r="K30" s="538">
        <v>2</v>
      </c>
      <c r="L30" s="272"/>
      <c r="M30" s="587" t="s">
        <v>652</v>
      </c>
      <c r="N30" s="591">
        <v>7</v>
      </c>
      <c r="P30" s="273"/>
      <c r="Q30" s="273"/>
      <c r="R30" s="273"/>
      <c r="S30" s="273"/>
      <c r="T30" s="576">
        <f ca="1"/>
        <v>0.06</v>
      </c>
      <c r="U30" s="573">
        <f ca="1"/>
        <v>22</v>
      </c>
      <c r="V30" s="576">
        <f t="shared" ca="1" si="0"/>
        <v>0</v>
      </c>
      <c r="W30" s="576">
        <f t="shared" ca="1" si="1"/>
        <v>0</v>
      </c>
      <c r="X30" s="484">
        <f ca="1">IF('CDO Bespoke'!O31&lt;&gt;"",'CDO Bespoke'!O31,"")</f>
        <v>1.1769830199064699</v>
      </c>
      <c r="Y30" s="485">
        <f ca="1">IF(X30&lt;&gt;"",ABS(MIN(-0.75*('CDO Bespoke'!Q31)+'CDO Bespoke'!T31,0)),"")</f>
        <v>1.1663587668921849</v>
      </c>
      <c r="Z30" s="485">
        <f t="shared" ca="1" si="2"/>
        <v>1.0624253014285046E-2</v>
      </c>
      <c r="AA30" s="485">
        <f t="shared" ca="1" si="3"/>
        <v>0</v>
      </c>
      <c r="AB30" s="484">
        <f ca="1">IF('CDO Bespoke'!O31&lt;&gt;"",'CDO Bespoke'!O31,"")</f>
        <v>1.1769830199064699</v>
      </c>
      <c r="AC30" s="485">
        <f ca="1">IF(AB30&lt;&gt;"",ABS(MIN(-0.75*('CDO Bespoke'!K31)+'CDO Bespoke'!T31,0)),"")</f>
        <v>0.58753898798976889</v>
      </c>
      <c r="AD30" s="485">
        <f t="shared" ca="1" si="4"/>
        <v>0.58944403191670103</v>
      </c>
      <c r="AE30" s="489">
        <f t="shared" ca="1" si="5"/>
        <v>0</v>
      </c>
      <c r="AF30" s="493">
        <f ca="1">IF('CDO Bespoke'!O31&lt;&gt;"",'CDO Bespoke'!O31,"")</f>
        <v>1.1769830199064699</v>
      </c>
      <c r="AP30" s="494" t="str">
        <f ca="1">IF('CDO Bespoke'!C55&lt;&gt;"",'CDO Bespoke'!C55,"")</f>
        <v>GSK PLC</v>
      </c>
      <c r="AQ30" s="496">
        <f ca="1"/>
        <v>8.4447899983963737E-3</v>
      </c>
      <c r="AR30" s="585">
        <f ca="1"/>
        <v>2.7683712899850832E-2</v>
      </c>
      <c r="AS30" s="585">
        <f ca="1"/>
        <v>7.5662977598867087E-2</v>
      </c>
      <c r="AT30" s="585">
        <f ca="1"/>
        <v>1.0518064779985181</v>
      </c>
      <c r="AU30" s="497">
        <f ca="1"/>
        <v>0</v>
      </c>
      <c r="AV30" s="627">
        <f ca="1"/>
        <v>0</v>
      </c>
      <c r="AW30" s="496">
        <f ca="1"/>
        <v>7.6033074530856837E-4</v>
      </c>
      <c r="AX30" s="585">
        <f ca="1"/>
        <v>3.677682697197926E-3</v>
      </c>
      <c r="AY30" s="585">
        <f ca="1"/>
        <v>1.6465879654602861E-2</v>
      </c>
      <c r="AZ30" s="585">
        <f ca="1"/>
        <v>1.1407644785492963</v>
      </c>
      <c r="BA30" s="497">
        <f ca="1"/>
        <v>0</v>
      </c>
      <c r="BB30" s="627">
        <f ca="1"/>
        <v>0</v>
      </c>
      <c r="BC30" s="580"/>
      <c r="BD30" s="580"/>
      <c r="BE30" s="580"/>
      <c r="BF30" s="580"/>
      <c r="BG30" s="579"/>
    </row>
    <row r="31" spans="2:81">
      <c r="B31" s="539" t="s">
        <v>529</v>
      </c>
      <c r="C31" s="540" t="s">
        <v>66</v>
      </c>
      <c r="D31" s="540" t="s">
        <v>55</v>
      </c>
      <c r="E31" s="540" t="s">
        <v>648</v>
      </c>
      <c r="F31" s="540" t="s">
        <v>673</v>
      </c>
      <c r="G31" s="541">
        <v>0.01</v>
      </c>
      <c r="H31" s="541">
        <v>3.0409999999999999E-3</v>
      </c>
      <c r="I31" s="542">
        <v>0.4</v>
      </c>
      <c r="J31" s="602">
        <v>4</v>
      </c>
      <c r="K31" s="543">
        <v>3</v>
      </c>
      <c r="L31" s="272"/>
      <c r="M31" s="598" t="s">
        <v>688</v>
      </c>
      <c r="N31" s="599">
        <v>7</v>
      </c>
      <c r="P31" s="273"/>
      <c r="Q31" s="273"/>
      <c r="R31" s="273"/>
      <c r="S31" s="273"/>
      <c r="T31" s="576">
        <f ca="1"/>
        <v>0.06</v>
      </c>
      <c r="U31" s="573">
        <f ca="1"/>
        <v>23</v>
      </c>
      <c r="V31" s="576">
        <f t="shared" ca="1" si="0"/>
        <v>0</v>
      </c>
      <c r="W31" s="576">
        <f t="shared" ca="1" si="1"/>
        <v>0</v>
      </c>
      <c r="X31" s="484">
        <f ca="1">IF('CDO Bespoke'!O32&lt;&gt;"",'CDO Bespoke'!O32,"")</f>
        <v>1.1702420908354201</v>
      </c>
      <c r="Y31" s="485">
        <f ca="1">IF(X31&lt;&gt;"",ABS(MIN(-0.75*('CDO Bespoke'!Q32)+'CDO Bespoke'!T32,0)),"")</f>
        <v>1.164425583035503</v>
      </c>
      <c r="Z31" s="485">
        <f t="shared" ca="1" si="2"/>
        <v>5.8165077999170478E-3</v>
      </c>
      <c r="AA31" s="485">
        <f t="shared" ca="1" si="3"/>
        <v>0</v>
      </c>
      <c r="AB31" s="484">
        <f ca="1">IF('CDO Bespoke'!O32&lt;&gt;"",'CDO Bespoke'!O32,"")</f>
        <v>1.1702420908354201</v>
      </c>
      <c r="AC31" s="485">
        <f ca="1">IF(AB31&lt;&gt;"",ABS(MIN(-0.75*('CDO Bespoke'!K32)+'CDO Bespoke'!T32,0)),"")</f>
        <v>0.63073819646954932</v>
      </c>
      <c r="AD31" s="485">
        <f t="shared" ca="1" si="4"/>
        <v>0.53950389436587076</v>
      </c>
      <c r="AE31" s="489">
        <f t="shared" ca="1" si="5"/>
        <v>0</v>
      </c>
      <c r="AF31" s="493">
        <f ca="1">IF('CDO Bespoke'!O32&lt;&gt;"",'CDO Bespoke'!O32,"")</f>
        <v>1.1702420908354201</v>
      </c>
      <c r="AP31" s="494" t="str">
        <f ca="1">IF('CDO Bespoke'!C56&lt;&gt;"",'CDO Bespoke'!C56,"")</f>
        <v>Heidelberg Materials AG</v>
      </c>
      <c r="AQ31" s="496">
        <f ca="1"/>
        <v>7.0260187001736085E-3</v>
      </c>
      <c r="AR31" s="585">
        <f ca="1"/>
        <v>2.29112422989175E-2</v>
      </c>
      <c r="AS31" s="585">
        <f ca="1"/>
        <v>5.813408940014142E-2</v>
      </c>
      <c r="AT31" s="585">
        <f ca="1"/>
        <v>1.4279978066000787</v>
      </c>
      <c r="AU31" s="497">
        <f ca="1"/>
        <v>0</v>
      </c>
      <c r="AV31" s="627">
        <f ca="1"/>
        <v>0</v>
      </c>
      <c r="AW31" s="496">
        <f ca="1"/>
        <v>1.7520259700063573E-4</v>
      </c>
      <c r="AX31" s="585">
        <f ca="1"/>
        <v>9.526018650003569E-4</v>
      </c>
      <c r="AY31" s="585">
        <f ca="1"/>
        <v>2.6045379120012008E-3</v>
      </c>
      <c r="AZ31" s="585">
        <f ca="1"/>
        <v>1.5193093758860103</v>
      </c>
      <c r="BA31" s="497">
        <f ca="1"/>
        <v>0</v>
      </c>
      <c r="BB31" s="627">
        <f ca="1"/>
        <v>0</v>
      </c>
      <c r="BC31" s="580"/>
      <c r="BD31" s="580"/>
      <c r="BE31" s="580"/>
      <c r="BF31" s="580"/>
      <c r="BG31" s="579"/>
    </row>
    <row r="32" spans="2:81">
      <c r="B32" s="517" t="s">
        <v>529</v>
      </c>
      <c r="C32" s="518" t="s">
        <v>66</v>
      </c>
      <c r="D32" s="518" t="s">
        <v>57</v>
      </c>
      <c r="E32" s="518" t="s">
        <v>648</v>
      </c>
      <c r="F32" s="518" t="s">
        <v>673</v>
      </c>
      <c r="G32" s="525">
        <v>0.01</v>
      </c>
      <c r="H32" s="525">
        <v>5.1590000000000004E-3</v>
      </c>
      <c r="I32" s="527">
        <v>0.4</v>
      </c>
      <c r="J32" s="594">
        <v>4</v>
      </c>
      <c r="K32" s="519">
        <v>3</v>
      </c>
      <c r="L32" s="272"/>
      <c r="M32" s="600" t="s">
        <v>689</v>
      </c>
      <c r="N32" s="601">
        <v>8</v>
      </c>
      <c r="P32" s="273"/>
      <c r="Q32" s="273"/>
      <c r="R32" s="273"/>
      <c r="S32" s="273"/>
      <c r="T32" s="576">
        <f ca="1"/>
        <v>0.03</v>
      </c>
      <c r="U32" s="573">
        <f ca="1"/>
        <v>24</v>
      </c>
      <c r="V32" s="576">
        <f t="shared" ca="1" si="0"/>
        <v>0</v>
      </c>
      <c r="W32" s="576">
        <f t="shared" ca="1" si="1"/>
        <v>0</v>
      </c>
      <c r="X32" s="484">
        <f ca="1">IF('CDO Bespoke'!O33&lt;&gt;"",'CDO Bespoke'!O33,"")</f>
        <v>1.17225032791846</v>
      </c>
      <c r="Y32" s="485">
        <f ca="1">IF(X32&lt;&gt;"",ABS(MIN(-0.75*('CDO Bespoke'!Q33)+'CDO Bespoke'!T33,0)),"")</f>
        <v>1.1650355955410252</v>
      </c>
      <c r="Z32" s="485">
        <f t="shared" ca="1" si="2"/>
        <v>7.2147323774347516E-3</v>
      </c>
      <c r="AA32" s="485">
        <f t="shared" ca="1" si="3"/>
        <v>0</v>
      </c>
      <c r="AB32" s="484">
        <f ca="1">IF('CDO Bespoke'!O33&lt;&gt;"",'CDO Bespoke'!O33,"")</f>
        <v>1.17225032791846</v>
      </c>
      <c r="AC32" s="485">
        <f ca="1">IF(AB32&lt;&gt;"",ABS(MIN(-0.75*('CDO Bespoke'!K33)+'CDO Bespoke'!T33,0)),"")</f>
        <v>0.62360181710717555</v>
      </c>
      <c r="AD32" s="485">
        <f t="shared" ca="1" si="4"/>
        <v>0.54864851081128441</v>
      </c>
      <c r="AE32" s="489">
        <f t="shared" ca="1" si="5"/>
        <v>0</v>
      </c>
      <c r="AF32" s="493">
        <f ca="1">IF('CDO Bespoke'!O33&lt;&gt;"",'CDO Bespoke'!O33,"")</f>
        <v>1.17225032791846</v>
      </c>
      <c r="AP32" s="494" t="str">
        <f ca="1">IF('CDO Bespoke'!C57&lt;&gt;"",'CDO Bespoke'!C57,"")</f>
        <v>Holcim AG</v>
      </c>
      <c r="AQ32" s="496">
        <f ca="1"/>
        <v>7.4031248997741272E-3</v>
      </c>
      <c r="AR32" s="585">
        <f ca="1"/>
        <v>2.4293786200502154E-2</v>
      </c>
      <c r="AS32" s="585">
        <f ca="1"/>
        <v>6.3644173100563251E-2</v>
      </c>
      <c r="AT32" s="585">
        <f ca="1"/>
        <v>1.3583062610988961</v>
      </c>
      <c r="AU32" s="497">
        <f ca="1"/>
        <v>0</v>
      </c>
      <c r="AV32" s="627">
        <f ca="1"/>
        <v>0</v>
      </c>
      <c r="AW32" s="496">
        <f ca="1"/>
        <v>3.7644702499759625E-4</v>
      </c>
      <c r="AX32" s="585">
        <f ca="1"/>
        <v>1.8987871899973918E-3</v>
      </c>
      <c r="AY32" s="585">
        <f ca="1"/>
        <v>7.3546664349985469E-3</v>
      </c>
      <c r="AZ32" s="585">
        <f ca="1"/>
        <v>1.4499208092949967</v>
      </c>
      <c r="BA32" s="497">
        <f ca="1"/>
        <v>0</v>
      </c>
      <c r="BB32" s="627">
        <f ca="1"/>
        <v>0</v>
      </c>
      <c r="BC32" s="580"/>
      <c r="BD32" s="580"/>
      <c r="BE32" s="580"/>
      <c r="BF32" s="580"/>
      <c r="BG32" s="579"/>
    </row>
    <row r="33" spans="2:59" ht="12" thickBot="1">
      <c r="B33" s="534" t="s">
        <v>529</v>
      </c>
      <c r="C33" s="535" t="s">
        <v>66</v>
      </c>
      <c r="D33" s="535" t="s">
        <v>59</v>
      </c>
      <c r="E33" s="535" t="s">
        <v>648</v>
      </c>
      <c r="F33" s="535" t="s">
        <v>673</v>
      </c>
      <c r="G33" s="536">
        <v>0.01</v>
      </c>
      <c r="H33" s="536">
        <v>6.8450000000000004E-3</v>
      </c>
      <c r="I33" s="537">
        <v>0.4</v>
      </c>
      <c r="J33" s="595">
        <v>4</v>
      </c>
      <c r="K33" s="538">
        <v>3</v>
      </c>
      <c r="L33" s="272"/>
      <c r="M33" s="589" t="s">
        <v>691</v>
      </c>
      <c r="N33" s="592">
        <v>16</v>
      </c>
      <c r="P33" s="273"/>
      <c r="Q33" s="273"/>
      <c r="R33" s="273"/>
      <c r="S33" s="273"/>
      <c r="T33" s="576">
        <f ca="1"/>
        <v>0.06</v>
      </c>
      <c r="U33" s="573">
        <f ca="1"/>
        <v>25</v>
      </c>
      <c r="V33" s="576">
        <f t="shared" ca="1" si="0"/>
        <v>0</v>
      </c>
      <c r="W33" s="576">
        <f t="shared" ca="1" si="1"/>
        <v>0</v>
      </c>
      <c r="X33" s="484">
        <f ca="1">IF('CDO Bespoke'!O34&lt;&gt;"",'CDO Bespoke'!O34,"")</f>
        <v>1.1775679887053601</v>
      </c>
      <c r="Y33" s="485">
        <f ca="1">IF(X33&lt;&gt;"",ABS(MIN(-0.75*('CDO Bespoke'!Q34)+'CDO Bespoke'!T34,0)),"")</f>
        <v>1.166498279423662</v>
      </c>
      <c r="Z33" s="485">
        <f t="shared" ca="1" si="2"/>
        <v>1.1069709281698037E-2</v>
      </c>
      <c r="AA33" s="485">
        <f t="shared" ca="1" si="3"/>
        <v>0</v>
      </c>
      <c r="AB33" s="484">
        <f ca="1">IF('CDO Bespoke'!O34&lt;&gt;"",'CDO Bespoke'!O34,"")</f>
        <v>1.1775679887053601</v>
      </c>
      <c r="AC33" s="485">
        <f ca="1">IF(AB33&lt;&gt;"",ABS(MIN(-0.75*('CDO Bespoke'!K34)+'CDO Bespoke'!T34,0)),"")</f>
        <v>0.57766660615625809</v>
      </c>
      <c r="AD33" s="485">
        <f t="shared" ca="1" si="4"/>
        <v>0.59990138254910197</v>
      </c>
      <c r="AE33" s="489">
        <f t="shared" ca="1" si="5"/>
        <v>0</v>
      </c>
      <c r="AF33" s="493">
        <f ca="1">IF('CDO Bespoke'!O34&lt;&gt;"",'CDO Bespoke'!O34,"")</f>
        <v>1.1775679887053601</v>
      </c>
      <c r="AP33" s="494" t="str">
        <f ca="1">IF('CDO Bespoke'!C58&lt;&gt;"",'CDO Bespoke'!C58,"")</f>
        <v>DSM B.V</v>
      </c>
      <c r="AQ33" s="496">
        <f ca="1"/>
        <v>8.5669066995919252E-3</v>
      </c>
      <c r="AR33" s="585">
        <f ca="1"/>
        <v>2.7943352598480686E-2</v>
      </c>
      <c r="AS33" s="585">
        <f ca="1"/>
        <v>7.6186169899461476E-2</v>
      </c>
      <c r="AT33" s="585">
        <f ca="1"/>
        <v>0.98724038170017181</v>
      </c>
      <c r="AU33" s="497">
        <f ca="1"/>
        <v>0</v>
      </c>
      <c r="AV33" s="627">
        <f ca="1"/>
        <v>0</v>
      </c>
      <c r="AW33" s="496">
        <f ca="1"/>
        <v>7.7137924029205274E-4</v>
      </c>
      <c r="AX33" s="585">
        <f ca="1"/>
        <v>3.7224647322919857E-3</v>
      </c>
      <c r="AY33" s="585">
        <f ca="1"/>
        <v>1.67627884324964E-2</v>
      </c>
      <c r="AZ33" s="585">
        <f ca="1"/>
        <v>1.0750504529396903</v>
      </c>
      <c r="BA33" s="497">
        <f ca="1"/>
        <v>0</v>
      </c>
      <c r="BB33" s="627">
        <f ca="1"/>
        <v>0</v>
      </c>
      <c r="BC33" s="580"/>
      <c r="BD33" s="580"/>
      <c r="BE33" s="580"/>
      <c r="BF33" s="580"/>
      <c r="BG33" s="579"/>
    </row>
    <row r="34" spans="2:59">
      <c r="B34" s="539" t="s">
        <v>610</v>
      </c>
      <c r="C34" s="540" t="s">
        <v>66</v>
      </c>
      <c r="D34" s="540" t="s">
        <v>55</v>
      </c>
      <c r="E34" s="540" t="s">
        <v>648</v>
      </c>
      <c r="F34" s="540" t="s">
        <v>647</v>
      </c>
      <c r="G34" s="541">
        <v>0.01</v>
      </c>
      <c r="H34" s="541">
        <v>9.8239999999999994E-3</v>
      </c>
      <c r="I34" s="542">
        <v>0.4</v>
      </c>
      <c r="J34" s="602">
        <v>4</v>
      </c>
      <c r="K34" s="543">
        <v>4</v>
      </c>
      <c r="L34" s="272"/>
      <c r="M34" s="272" t="s">
        <v>75</v>
      </c>
      <c r="P34" s="273"/>
      <c r="Q34" s="273"/>
      <c r="R34" s="273"/>
      <c r="S34" s="273"/>
      <c r="T34" s="576">
        <f ca="1"/>
        <v>0.06</v>
      </c>
      <c r="U34" s="573">
        <f ca="1"/>
        <v>26</v>
      </c>
      <c r="V34" s="576">
        <f t="shared" ca="1" si="0"/>
        <v>0</v>
      </c>
      <c r="W34" s="576">
        <f t="shared" ca="1" si="1"/>
        <v>0</v>
      </c>
      <c r="X34" s="484">
        <f ca="1">IF('CDO Bespoke'!O35&lt;&gt;"",'CDO Bespoke'!O35,"")</f>
        <v>1.17754393967612</v>
      </c>
      <c r="Y34" s="485">
        <f ca="1">IF(X34&lt;&gt;"",ABS(MIN(-0.75*('CDO Bespoke'!Q35)+'CDO Bespoke'!T35,0)),"")</f>
        <v>1.166492749591266</v>
      </c>
      <c r="Z34" s="485">
        <f t="shared" ca="1" si="2"/>
        <v>1.1051190084854001E-2</v>
      </c>
      <c r="AA34" s="485">
        <f t="shared" ca="1" si="3"/>
        <v>0</v>
      </c>
      <c r="AB34" s="484">
        <f ca="1">IF('CDO Bespoke'!O35&lt;&gt;"",'CDO Bespoke'!O35,"")</f>
        <v>1.17754393967612</v>
      </c>
      <c r="AC34" s="485">
        <f ca="1">IF(AB34&lt;&gt;"",ABS(MIN(-0.75*('CDO Bespoke'!K35)+'CDO Bespoke'!T35,0)),"")</f>
        <v>0.57813407037314324</v>
      </c>
      <c r="AD34" s="485">
        <f t="shared" ca="1" si="4"/>
        <v>0.59940986930297679</v>
      </c>
      <c r="AE34" s="489">
        <f t="shared" ca="1" si="5"/>
        <v>0</v>
      </c>
      <c r="AF34" s="493">
        <f ca="1">IF('CDO Bespoke'!O35&lt;&gt;"",'CDO Bespoke'!O35,"")</f>
        <v>1.17754393967612</v>
      </c>
      <c r="AP34" s="494" t="str">
        <f ca="1">IF('CDO Bespoke'!C59&lt;&gt;"",'CDO Bespoke'!C59,"")</f>
        <v>L'AIR LIQUIDE SOCIETE ANONYME POUR L'ETUDE ET L'EXPLOITATION DES PROCEDES GEORGES CLAUDE</v>
      </c>
      <c r="AQ34" s="496">
        <f ca="1"/>
        <v>8.5469250987735279E-3</v>
      </c>
      <c r="AR34" s="585">
        <f ca="1"/>
        <v>2.787362019862627E-2</v>
      </c>
      <c r="AS34" s="585">
        <f ca="1"/>
        <v>7.5972764799203674E-2</v>
      </c>
      <c r="AT34" s="585">
        <f ca="1"/>
        <v>0.99540217209925785</v>
      </c>
      <c r="AU34" s="497">
        <f ca="1"/>
        <v>0</v>
      </c>
      <c r="AV34" s="627">
        <f ca="1"/>
        <v>0</v>
      </c>
      <c r="AW34" s="496">
        <f ca="1"/>
        <v>7.7101169140142423E-4</v>
      </c>
      <c r="AX34" s="585">
        <f ca="1"/>
        <v>3.721484357500221E-3</v>
      </c>
      <c r="AY34" s="585">
        <f ca="1"/>
        <v>1.6746339089809825E-2</v>
      </c>
      <c r="AZ34" s="585">
        <f ca="1"/>
        <v>1.0831574055262041</v>
      </c>
      <c r="BA34" s="497">
        <f ca="1"/>
        <v>0</v>
      </c>
      <c r="BB34" s="627">
        <f ca="1"/>
        <v>0</v>
      </c>
      <c r="BC34" s="580"/>
      <c r="BD34" s="580"/>
      <c r="BE34" s="580"/>
      <c r="BF34" s="580"/>
      <c r="BG34" s="579"/>
    </row>
    <row r="35" spans="2:59">
      <c r="B35" s="517" t="s">
        <v>610</v>
      </c>
      <c r="C35" s="518" t="s">
        <v>66</v>
      </c>
      <c r="D35" s="518" t="s">
        <v>57</v>
      </c>
      <c r="E35" s="518" t="s">
        <v>648</v>
      </c>
      <c r="F35" s="518" t="s">
        <v>647</v>
      </c>
      <c r="G35" s="525">
        <v>0.01</v>
      </c>
      <c r="H35" s="525">
        <v>1.4659E-2</v>
      </c>
      <c r="I35" s="527">
        <v>0.4</v>
      </c>
      <c r="J35" s="594">
        <v>4</v>
      </c>
      <c r="K35" s="519">
        <v>4</v>
      </c>
      <c r="L35" s="272"/>
      <c r="M35" s="272"/>
      <c r="P35" s="273"/>
      <c r="Q35" s="273"/>
      <c r="R35" s="273"/>
      <c r="S35" s="273"/>
      <c r="T35" s="576">
        <f ca="1"/>
        <v>0.02</v>
      </c>
      <c r="U35" s="573">
        <f ca="1"/>
        <v>27</v>
      </c>
      <c r="V35" s="576">
        <f t="shared" ca="1" si="0"/>
        <v>0</v>
      </c>
      <c r="W35" s="576">
        <f t="shared" ca="1" si="1"/>
        <v>0</v>
      </c>
      <c r="X35" s="484">
        <f ca="1">IF('CDO Bespoke'!O36&lt;&gt;"",'CDO Bespoke'!O36,"")</f>
        <v>1.15682954739203</v>
      </c>
      <c r="Y35" s="485">
        <f ca="1">IF(X35&lt;&gt;"",ABS(MIN(-0.75*('CDO Bespoke'!Q36)+'CDO Bespoke'!T36,0)),"")</f>
        <v>1.1601758306016703</v>
      </c>
      <c r="Z35" s="485">
        <f t="shared" ca="1" si="2"/>
        <v>0</v>
      </c>
      <c r="AA35" s="485">
        <f t="shared" ca="1" si="3"/>
        <v>0</v>
      </c>
      <c r="AB35" s="484">
        <f ca="1">IF('CDO Bespoke'!O36&lt;&gt;"",'CDO Bespoke'!O36,"")</f>
        <v>1.15682954739203</v>
      </c>
      <c r="AC35" s="485">
        <f ca="1">IF(AB35&lt;&gt;"",ABS(MIN(-0.75*('CDO Bespoke'!K36)+'CDO Bespoke'!T36,0)),"")</f>
        <v>0.64926869949367261</v>
      </c>
      <c r="AD35" s="485">
        <f t="shared" ca="1" si="4"/>
        <v>0.50756084789835743</v>
      </c>
      <c r="AE35" s="489">
        <f t="shared" ca="1" si="5"/>
        <v>0</v>
      </c>
      <c r="AF35" s="493">
        <f ca="1">IF('CDO Bespoke'!O36&lt;&gt;"",'CDO Bespoke'!O36,"")</f>
        <v>1.15682954739203</v>
      </c>
      <c r="AP35" s="494" t="str">
        <f ca="1">IF('CDO Bespoke'!C60&lt;&gt;"",'CDO Bespoke'!C60,"")</f>
        <v>LANXESS Aktiengesellschaft</v>
      </c>
      <c r="AQ35" s="496">
        <f ca="1"/>
        <v>5.0683314989363737E-3</v>
      </c>
      <c r="AR35" s="585">
        <f ca="1"/>
        <v>1.5244307098871701E-2</v>
      </c>
      <c r="AS35" s="585">
        <f ca="1"/>
        <v>2.7457093398908228E-2</v>
      </c>
      <c r="AT35" s="585">
        <f ca="1"/>
        <v>1.6559853050002182</v>
      </c>
      <c r="AU35" s="497">
        <f ca="1"/>
        <v>0</v>
      </c>
      <c r="AV35" s="627">
        <f ca="1"/>
        <v>0</v>
      </c>
      <c r="AW35" s="496">
        <f ca="1"/>
        <v>-1.0467793389902502E-3</v>
      </c>
      <c r="AX35" s="585">
        <f ca="1"/>
        <v>-4.8798311089864876E-3</v>
      </c>
      <c r="AY35" s="585">
        <f ca="1"/>
        <v>-2.5027706158000512E-2</v>
      </c>
      <c r="AZ35" s="585">
        <f ca="1"/>
        <v>1.7414829396420091</v>
      </c>
      <c r="BA35" s="497">
        <f ca="1"/>
        <v>0</v>
      </c>
      <c r="BB35" s="627">
        <f ca="1"/>
        <v>0</v>
      </c>
      <c r="BC35" s="580"/>
      <c r="BD35" s="580"/>
      <c r="BE35" s="580"/>
      <c r="BF35" s="580"/>
      <c r="BG35" s="579"/>
    </row>
    <row r="36" spans="2:59">
      <c r="B36" s="534" t="s">
        <v>610</v>
      </c>
      <c r="C36" s="535" t="s">
        <v>66</v>
      </c>
      <c r="D36" s="535" t="s">
        <v>59</v>
      </c>
      <c r="E36" s="535" t="s">
        <v>648</v>
      </c>
      <c r="F36" s="535" t="s">
        <v>647</v>
      </c>
      <c r="G36" s="536">
        <v>0.01</v>
      </c>
      <c r="H36" s="536">
        <v>1.8731999999999999E-2</v>
      </c>
      <c r="I36" s="537">
        <v>0.4</v>
      </c>
      <c r="J36" s="595">
        <v>4</v>
      </c>
      <c r="K36" s="538">
        <v>4</v>
      </c>
      <c r="L36" s="272"/>
      <c r="M36" s="272"/>
      <c r="P36" s="273"/>
      <c r="Q36" s="273"/>
      <c r="R36" s="273"/>
      <c r="S36" s="273"/>
      <c r="T36" s="576">
        <f ca="1"/>
        <v>0.02</v>
      </c>
      <c r="U36" s="573">
        <f ca="1"/>
        <v>28</v>
      </c>
      <c r="V36" s="576">
        <f t="shared" ca="1" si="0"/>
        <v>0</v>
      </c>
      <c r="W36" s="576">
        <f t="shared" ca="1" si="1"/>
        <v>0</v>
      </c>
      <c r="X36" s="484">
        <f ca="1">IF('CDO Bespoke'!O37&lt;&gt;"",'CDO Bespoke'!O37,"")</f>
        <v>1.17333234780656</v>
      </c>
      <c r="Y36" s="485">
        <f ca="1">IF(X36&lt;&gt;"",ABS(MIN(-0.75*('CDO Bespoke'!Q37)+'CDO Bespoke'!T37,0)),"")</f>
        <v>1.1653561976056999</v>
      </c>
      <c r="Z36" s="485">
        <f t="shared" ca="1" si="2"/>
        <v>7.976150200860177E-3</v>
      </c>
      <c r="AA36" s="485">
        <f t="shared" ca="1" si="3"/>
        <v>0</v>
      </c>
      <c r="AB36" s="484">
        <f ca="1">IF('CDO Bespoke'!O37&lt;&gt;"",'CDO Bespoke'!O37,"")</f>
        <v>1.17333234780656</v>
      </c>
      <c r="AC36" s="485">
        <f ca="1">IF(AB36&lt;&gt;"",ABS(MIN(-0.75*('CDO Bespoke'!K37)+'CDO Bespoke'!T37,0)),"")</f>
        <v>0.61856900815839921</v>
      </c>
      <c r="AD36" s="485">
        <f t="shared" ca="1" si="4"/>
        <v>0.55476333964816082</v>
      </c>
      <c r="AE36" s="489">
        <f t="shared" ca="1" si="5"/>
        <v>0</v>
      </c>
      <c r="AF36" s="493">
        <f ca="1">IF('CDO Bespoke'!O37&lt;&gt;"",'CDO Bespoke'!O37,"")</f>
        <v>1.17333234780656</v>
      </c>
      <c r="AP36" s="494" t="str">
        <f ca="1">IF('CDO Bespoke'!C61&lt;&gt;"",'CDO Bespoke'!C61,"")</f>
        <v>LEONARDO SOCIETA' PER AZIONI</v>
      </c>
      <c r="AQ36" s="496">
        <f ca="1"/>
        <v>7.4897533997031474E-3</v>
      </c>
      <c r="AR36" s="585">
        <f ca="1"/>
        <v>2.4502420998828711E-2</v>
      </c>
      <c r="AS36" s="585">
        <f ca="1"/>
        <v>6.433430999930323E-2</v>
      </c>
      <c r="AT36" s="585">
        <f ca="1"/>
        <v>1.3383589502002913</v>
      </c>
      <c r="AU36" s="497">
        <f ca="1"/>
        <v>0</v>
      </c>
      <c r="AV36" s="627">
        <f ca="1"/>
        <v>0</v>
      </c>
      <c r="AW36" s="496">
        <f ca="1"/>
        <v>4.2931273020081762E-4</v>
      </c>
      <c r="AX36" s="585">
        <f ca="1"/>
        <v>2.1456694999054393E-3</v>
      </c>
      <c r="AY36" s="585">
        <f ca="1"/>
        <v>8.5712633361018087E-3</v>
      </c>
      <c r="AZ36" s="585">
        <f ca="1"/>
        <v>1.4291688492068</v>
      </c>
      <c r="BA36" s="497">
        <f ca="1"/>
        <v>0</v>
      </c>
      <c r="BB36" s="627">
        <f ca="1"/>
        <v>0</v>
      </c>
      <c r="BC36" s="580"/>
      <c r="BD36" s="580"/>
      <c r="BE36" s="580"/>
      <c r="BF36" s="580"/>
      <c r="BG36" s="579"/>
    </row>
    <row r="37" spans="2:59">
      <c r="B37" s="539" t="s">
        <v>512</v>
      </c>
      <c r="C37" s="540" t="s">
        <v>66</v>
      </c>
      <c r="D37" s="540" t="s">
        <v>55</v>
      </c>
      <c r="E37" s="540" t="s">
        <v>648</v>
      </c>
      <c r="F37" s="540" t="s">
        <v>673</v>
      </c>
      <c r="G37" s="541">
        <v>0.01</v>
      </c>
      <c r="H37" s="541">
        <v>4.7670000000000004E-3</v>
      </c>
      <c r="I37" s="542">
        <v>0.4</v>
      </c>
      <c r="J37" s="602">
        <v>4</v>
      </c>
      <c r="K37" s="543">
        <v>5</v>
      </c>
      <c r="L37" s="272"/>
      <c r="M37" s="272"/>
      <c r="P37" s="273"/>
      <c r="Q37" s="273"/>
      <c r="R37" s="273"/>
      <c r="S37" s="273"/>
      <c r="T37" s="576">
        <f ca="1"/>
        <v>0.06</v>
      </c>
      <c r="U37" s="573">
        <f ca="1"/>
        <v>29</v>
      </c>
      <c r="V37" s="576">
        <f t="shared" ca="1" si="0"/>
        <v>0</v>
      </c>
      <c r="W37" s="576">
        <f t="shared" ca="1" si="1"/>
        <v>0</v>
      </c>
      <c r="X37" s="484">
        <f ca="1">IF('CDO Bespoke'!O38&lt;&gt;"",'CDO Bespoke'!O38,"")</f>
        <v>1.17473243320587</v>
      </c>
      <c r="Y37" s="485">
        <f ca="1">IF(X37&lt;&gt;"",ABS(MIN(-0.75*('CDO Bespoke'!Q38)+'CDO Bespoke'!T38,0)),"")</f>
        <v>1.1657588721724137</v>
      </c>
      <c r="Z37" s="485">
        <f t="shared" ca="1" si="2"/>
        <v>8.9735610334562566E-3</v>
      </c>
      <c r="AA37" s="485">
        <f t="shared" ca="1" si="3"/>
        <v>0</v>
      </c>
      <c r="AB37" s="484">
        <f ca="1">IF('CDO Bespoke'!O38&lt;&gt;"",'CDO Bespoke'!O38,"")</f>
        <v>1.17473243320587</v>
      </c>
      <c r="AC37" s="485">
        <f ca="1">IF(AB37&lt;&gt;"",ABS(MIN(-0.75*('CDO Bespoke'!K38)+'CDO Bespoke'!T38,0)),"")</f>
        <v>0.61013050688279757</v>
      </c>
      <c r="AD37" s="485">
        <f t="shared" ca="1" si="4"/>
        <v>0.56460192632307238</v>
      </c>
      <c r="AE37" s="489">
        <f t="shared" ca="1" si="5"/>
        <v>0</v>
      </c>
      <c r="AF37" s="493">
        <f ca="1">IF('CDO Bespoke'!O38&lt;&gt;"",'CDO Bespoke'!O38,"")</f>
        <v>1.17473243320587</v>
      </c>
      <c r="AP37" s="494" t="str">
        <f ca="1">IF('CDO Bespoke'!C62&lt;&gt;"",'CDO Bespoke'!C62,"")</f>
        <v>Mercedes-Benz Group AG</v>
      </c>
      <c r="AQ37" s="496">
        <f ca="1"/>
        <v>7.9320085988321409E-3</v>
      </c>
      <c r="AR37" s="585">
        <f ca="1"/>
        <v>2.6141455200523467E-2</v>
      </c>
      <c r="AS37" s="585">
        <f ca="1"/>
        <v>7.0647343000107554E-2</v>
      </c>
      <c r="AT37" s="585">
        <f ca="1"/>
        <v>1.2330103774993439</v>
      </c>
      <c r="AU37" s="497">
        <f ca="1"/>
        <v>0</v>
      </c>
      <c r="AV37" s="627">
        <f ca="1"/>
        <v>0</v>
      </c>
      <c r="AW37" s="496">
        <f ca="1"/>
        <v>6.1447921809870687E-4</v>
      </c>
      <c r="AX37" s="585">
        <f ca="1"/>
        <v>3.0101187622946085E-3</v>
      </c>
      <c r="AY37" s="585">
        <f ca="1"/>
        <v>1.2974127595998669E-2</v>
      </c>
      <c r="AZ37" s="585">
        <f ca="1"/>
        <v>1.3230384240545989</v>
      </c>
      <c r="BA37" s="497">
        <f ca="1"/>
        <v>0</v>
      </c>
      <c r="BB37" s="627">
        <f ca="1"/>
        <v>0</v>
      </c>
      <c r="BC37" s="580"/>
      <c r="BD37" s="580"/>
      <c r="BE37" s="580"/>
      <c r="BF37" s="580"/>
      <c r="BG37" s="579"/>
    </row>
    <row r="38" spans="2:59">
      <c r="B38" s="517" t="s">
        <v>512</v>
      </c>
      <c r="C38" s="518" t="s">
        <v>66</v>
      </c>
      <c r="D38" s="518" t="s">
        <v>57</v>
      </c>
      <c r="E38" s="518" t="s">
        <v>648</v>
      </c>
      <c r="F38" s="518" t="s">
        <v>673</v>
      </c>
      <c r="G38" s="525">
        <v>0.01</v>
      </c>
      <c r="H38" s="525">
        <v>1.0057999999999999E-2</v>
      </c>
      <c r="I38" s="527">
        <v>0.4</v>
      </c>
      <c r="J38" s="594">
        <v>4</v>
      </c>
      <c r="K38" s="519">
        <v>5</v>
      </c>
      <c r="L38" s="272"/>
      <c r="M38" s="272"/>
      <c r="P38" s="273"/>
      <c r="Q38" s="273"/>
      <c r="R38" s="273"/>
      <c r="S38" s="273"/>
      <c r="T38" s="576">
        <f ca="1"/>
        <v>0.06</v>
      </c>
      <c r="U38" s="573">
        <f ca="1"/>
        <v>30</v>
      </c>
      <c r="V38" s="576">
        <f t="shared" ca="1" si="0"/>
        <v>0</v>
      </c>
      <c r="W38" s="576">
        <f t="shared" ca="1" si="1"/>
        <v>0</v>
      </c>
      <c r="X38" s="484">
        <f ca="1">IF('CDO Bespoke'!O39&lt;&gt;"",'CDO Bespoke'!O39,"")</f>
        <v>1.1641798572131199</v>
      </c>
      <c r="Y38" s="485">
        <f ca="1">IF(X38&lt;&gt;"",ABS(MIN(-0.75*('CDO Bespoke'!Q39)+'CDO Bespoke'!T39,0)),"")</f>
        <v>1.1625216503122089</v>
      </c>
      <c r="Z38" s="485">
        <f t="shared" ca="1" si="2"/>
        <v>1.6582069009110079E-3</v>
      </c>
      <c r="AA38" s="485">
        <f t="shared" ca="1" si="3"/>
        <v>0</v>
      </c>
      <c r="AB38" s="484">
        <f ca="1">IF('CDO Bespoke'!O39&lt;&gt;"",'CDO Bespoke'!O39,"")</f>
        <v>1.1641798572131199</v>
      </c>
      <c r="AC38" s="485">
        <f ca="1">IF(AB38&lt;&gt;"",ABS(MIN(-0.75*('CDO Bespoke'!K39)+'CDO Bespoke'!T39,0)),"")</f>
        <v>0.64299545111773282</v>
      </c>
      <c r="AD38" s="485">
        <f t="shared" ca="1" si="4"/>
        <v>0.52118440609538708</v>
      </c>
      <c r="AE38" s="489">
        <f t="shared" ca="1" si="5"/>
        <v>0</v>
      </c>
      <c r="AF38" s="493">
        <f ca="1">IF('CDO Bespoke'!O39&lt;&gt;"",'CDO Bespoke'!O39,"")</f>
        <v>1.1641798572131199</v>
      </c>
      <c r="AP38" s="494" t="str">
        <f ca="1">IF('CDO Bespoke'!C63&lt;&gt;"",'CDO Bespoke'!C63,"")</f>
        <v>PostNL N.V.</v>
      </c>
      <c r="AQ38" s="496">
        <f ca="1"/>
        <v>6.1924764005460986E-3</v>
      </c>
      <c r="AR38" s="585">
        <f ca="1"/>
        <v>1.9806778299713557E-2</v>
      </c>
      <c r="AS38" s="585">
        <f ca="1"/>
        <v>4.6431018498882537E-2</v>
      </c>
      <c r="AT38" s="585">
        <f ca="1"/>
        <v>1.5427996272987521</v>
      </c>
      <c r="AU38" s="497">
        <f ca="1"/>
        <v>0</v>
      </c>
      <c r="AV38" s="627">
        <f ca="1"/>
        <v>0</v>
      </c>
      <c r="AW38" s="496">
        <f ca="1"/>
        <v>-3.2341926700131529E-4</v>
      </c>
      <c r="AX38" s="585">
        <f ca="1"/>
        <v>-1.4115257949975923E-3</v>
      </c>
      <c r="AY38" s="585">
        <f ca="1"/>
        <v>-8.2148059089934972E-3</v>
      </c>
      <c r="AZ38" s="585">
        <f ca="1"/>
        <v>1.6304281268859997</v>
      </c>
      <c r="BA38" s="497">
        <f ca="1"/>
        <v>0</v>
      </c>
      <c r="BB38" s="627">
        <f ca="1"/>
        <v>0</v>
      </c>
      <c r="BC38" s="580"/>
      <c r="BD38" s="580"/>
      <c r="BE38" s="580"/>
      <c r="BF38" s="580"/>
      <c r="BG38" s="579"/>
    </row>
    <row r="39" spans="2:59">
      <c r="B39" s="534" t="s">
        <v>512</v>
      </c>
      <c r="C39" s="535" t="s">
        <v>66</v>
      </c>
      <c r="D39" s="535" t="s">
        <v>59</v>
      </c>
      <c r="E39" s="535" t="s">
        <v>648</v>
      </c>
      <c r="F39" s="535" t="s">
        <v>673</v>
      </c>
      <c r="G39" s="536">
        <v>0.01</v>
      </c>
      <c r="H39" s="536">
        <v>1.5502E-2</v>
      </c>
      <c r="I39" s="537">
        <v>0.4</v>
      </c>
      <c r="J39" s="595">
        <v>4</v>
      </c>
      <c r="K39" s="538">
        <v>5</v>
      </c>
      <c r="L39" s="272"/>
      <c r="M39" s="272"/>
      <c r="P39" s="273"/>
      <c r="Q39" s="273"/>
      <c r="R39" s="273"/>
      <c r="S39" s="273"/>
      <c r="T39" s="576">
        <f ca="1"/>
        <v>0.06</v>
      </c>
      <c r="U39" s="573">
        <f ca="1"/>
        <v>31</v>
      </c>
      <c r="V39" s="576">
        <f t="shared" ca="1" si="0"/>
        <v>0</v>
      </c>
      <c r="W39" s="576">
        <f t="shared" ca="1" si="1"/>
        <v>0</v>
      </c>
      <c r="X39" s="484">
        <f ca="1">IF('CDO Bespoke'!O40&lt;&gt;"",'CDO Bespoke'!O40,"")</f>
        <v>1.1734571174995101</v>
      </c>
      <c r="Y39" s="485">
        <f ca="1">IF(X39&lt;&gt;"",ABS(MIN(-0.75*('CDO Bespoke'!Q40)+'CDO Bespoke'!T40,0)),"")</f>
        <v>1.1653926993561177</v>
      </c>
      <c r="Z39" s="485">
        <f t="shared" ca="1" si="2"/>
        <v>8.0644181433924267E-3</v>
      </c>
      <c r="AA39" s="485">
        <f t="shared" ca="1" si="3"/>
        <v>0</v>
      </c>
      <c r="AB39" s="484">
        <f ca="1">IF('CDO Bespoke'!O40&lt;&gt;"",'CDO Bespoke'!O40,"")</f>
        <v>1.1734571174995101</v>
      </c>
      <c r="AC39" s="485">
        <f ca="1">IF(AB39&lt;&gt;"",ABS(MIN(-0.75*('CDO Bespoke'!K40)+'CDO Bespoke'!T40,0)),"")</f>
        <v>0.61791707497980775</v>
      </c>
      <c r="AD39" s="485">
        <f t="shared" ca="1" si="4"/>
        <v>0.55554004251970235</v>
      </c>
      <c r="AE39" s="489">
        <f t="shared" ca="1" si="5"/>
        <v>0</v>
      </c>
      <c r="AF39" s="493">
        <f ca="1">IF('CDO Bespoke'!O40&lt;&gt;"",'CDO Bespoke'!O40,"")</f>
        <v>1.1734571174995101</v>
      </c>
      <c r="AP39" s="494" t="str">
        <f ca="1">IF('CDO Bespoke'!C64&lt;&gt;"",'CDO Bespoke'!C64,"")</f>
        <v>RENTOKIL INITIAL PLC</v>
      </c>
      <c r="AQ39" s="496">
        <f ca="1"/>
        <v>7.7585817992442685E-3</v>
      </c>
      <c r="AR39" s="585">
        <f ca="1"/>
        <v>2.5638308098763218E-2</v>
      </c>
      <c r="AS39" s="585">
        <f ca="1"/>
        <v>6.8921545899325309E-2</v>
      </c>
      <c r="AT39" s="585">
        <f ca="1"/>
        <v>1.2810394781004319</v>
      </c>
      <c r="AU39" s="497">
        <f ca="1"/>
        <v>0</v>
      </c>
      <c r="AV39" s="627">
        <f ca="1"/>
        <v>0</v>
      </c>
      <c r="AW39" s="496">
        <f ca="1"/>
        <v>5.3652873849459326E-4</v>
      </c>
      <c r="AX39" s="585">
        <f ca="1"/>
        <v>2.6485764288968622E-3</v>
      </c>
      <c r="AY39" s="585">
        <f ca="1"/>
        <v>1.1155337657896974E-2</v>
      </c>
      <c r="AZ39" s="585">
        <f ca="1"/>
        <v>1.3736291454250966</v>
      </c>
      <c r="BA39" s="497">
        <f ca="1"/>
        <v>0</v>
      </c>
      <c r="BB39" s="627">
        <f ca="1"/>
        <v>0</v>
      </c>
      <c r="BC39" s="580"/>
      <c r="BD39" s="580"/>
      <c r="BE39" s="580"/>
      <c r="BF39" s="580"/>
      <c r="BG39" s="579"/>
    </row>
    <row r="40" spans="2:59">
      <c r="B40" s="539" t="s">
        <v>513</v>
      </c>
      <c r="C40" s="540" t="s">
        <v>66</v>
      </c>
      <c r="D40" s="540" t="s">
        <v>55</v>
      </c>
      <c r="E40" s="540" t="s">
        <v>648</v>
      </c>
      <c r="F40" s="540" t="s">
        <v>673</v>
      </c>
      <c r="G40" s="541">
        <v>0.01</v>
      </c>
      <c r="H40" s="541">
        <v>6.8230000000000001E-3</v>
      </c>
      <c r="I40" s="542">
        <v>0.4</v>
      </c>
      <c r="J40" s="602">
        <v>4</v>
      </c>
      <c r="K40" s="543">
        <v>6</v>
      </c>
      <c r="L40" s="272"/>
      <c r="M40" s="272"/>
      <c r="P40" s="273"/>
      <c r="Q40" s="273"/>
      <c r="R40" s="273"/>
      <c r="S40" s="273"/>
      <c r="T40" s="576">
        <f ca="1"/>
        <v>0.06</v>
      </c>
      <c r="U40" s="573">
        <f ca="1"/>
        <v>32</v>
      </c>
      <c r="V40" s="576">
        <f t="shared" ca="1" si="0"/>
        <v>0</v>
      </c>
      <c r="W40" s="576">
        <f t="shared" ca="1" si="1"/>
        <v>0</v>
      </c>
      <c r="X40" s="484">
        <f ca="1">IF('CDO Bespoke'!O41&lt;&gt;"",'CDO Bespoke'!O41,"")</f>
        <v>1.17600899885389</v>
      </c>
      <c r="Y40" s="485">
        <f ca="1">IF(X40&lt;&gt;"",ABS(MIN(-0.75*('CDO Bespoke'!Q41)+'CDO Bespoke'!T41,0)),"")</f>
        <v>1.1661087476380421</v>
      </c>
      <c r="Z40" s="485">
        <f t="shared" ca="1" si="2"/>
        <v>9.9002512158479217E-3</v>
      </c>
      <c r="AA40" s="485">
        <f t="shared" ca="1" si="3"/>
        <v>0</v>
      </c>
      <c r="AB40" s="484">
        <f ca="1">IF('CDO Bespoke'!O41&lt;&gt;"",'CDO Bespoke'!O41,"")</f>
        <v>1.17600899885389</v>
      </c>
      <c r="AC40" s="485">
        <f ca="1">IF(AB40&lt;&gt;"",ABS(MIN(-0.75*('CDO Bespoke'!K41)+'CDO Bespoke'!T41,0)),"")</f>
        <v>0.59935935699320964</v>
      </c>
      <c r="AD40" s="485">
        <f t="shared" ca="1" si="4"/>
        <v>0.57664964186068035</v>
      </c>
      <c r="AE40" s="489">
        <f t="shared" ca="1" si="5"/>
        <v>0</v>
      </c>
      <c r="AF40" s="493">
        <f ca="1">IF('CDO Bespoke'!O41&lt;&gt;"",'CDO Bespoke'!O41,"")</f>
        <v>1.17600899885389</v>
      </c>
      <c r="AP40" s="494" t="str">
        <f ca="1">IF('CDO Bespoke'!C65&lt;&gt;"",'CDO Bespoke'!C65,"")</f>
        <v>SANOFI</v>
      </c>
      <c r="AQ40" s="496">
        <f ca="1"/>
        <v>8.2826163994020874E-3</v>
      </c>
      <c r="AR40" s="585">
        <f ca="1"/>
        <v>2.7316291699719386E-2</v>
      </c>
      <c r="AS40" s="585">
        <f ca="1"/>
        <v>7.4755848800123204E-2</v>
      </c>
      <c r="AT40" s="585">
        <f ca="1"/>
        <v>1.1245836662987507</v>
      </c>
      <c r="AU40" s="497">
        <f ca="1"/>
        <v>0</v>
      </c>
      <c r="AV40" s="627">
        <f ca="1"/>
        <v>0</v>
      </c>
      <c r="AW40" s="496">
        <f ca="1"/>
        <v>7.2366811570100109E-4</v>
      </c>
      <c r="AX40" s="585">
        <f ca="1"/>
        <v>3.5137361985033283E-3</v>
      </c>
      <c r="AY40" s="585">
        <f ca="1"/>
        <v>1.5583640624499198E-2</v>
      </c>
      <c r="AZ40" s="585">
        <f ca="1"/>
        <v>1.2148307508696998</v>
      </c>
      <c r="BA40" s="497">
        <f ca="1"/>
        <v>0</v>
      </c>
      <c r="BB40" s="627">
        <f ca="1"/>
        <v>0</v>
      </c>
      <c r="BC40" s="580"/>
      <c r="BD40" s="580"/>
      <c r="BE40" s="580"/>
      <c r="BF40" s="580"/>
      <c r="BG40" s="579"/>
    </row>
    <row r="41" spans="2:59">
      <c r="B41" s="517" t="s">
        <v>513</v>
      </c>
      <c r="C41" s="518" t="s">
        <v>66</v>
      </c>
      <c r="D41" s="518" t="s">
        <v>57</v>
      </c>
      <c r="E41" s="518" t="s">
        <v>648</v>
      </c>
      <c r="F41" s="518" t="s">
        <v>673</v>
      </c>
      <c r="G41" s="525">
        <v>0.01</v>
      </c>
      <c r="H41" s="525">
        <v>1.3924000000000001E-2</v>
      </c>
      <c r="I41" s="527">
        <v>0.4</v>
      </c>
      <c r="J41" s="594">
        <v>4</v>
      </c>
      <c r="K41" s="519">
        <v>6</v>
      </c>
      <c r="L41" s="272"/>
      <c r="M41" s="272"/>
      <c r="P41" s="273"/>
      <c r="Q41" s="273"/>
      <c r="R41" s="273"/>
      <c r="S41" s="273"/>
      <c r="T41" s="576">
        <f ca="1"/>
        <v>0.06</v>
      </c>
      <c r="U41" s="573">
        <f ca="1"/>
        <v>33</v>
      </c>
      <c r="V41" s="576">
        <f t="shared" ref="V41:V72" ca="1" si="6">AA46*T41</f>
        <v>0</v>
      </c>
      <c r="W41" s="576">
        <f t="shared" ref="W41:W72" ca="1" si="7">AE46*T41</f>
        <v>0</v>
      </c>
      <c r="X41" s="484">
        <f ca="1">IF('CDO Bespoke'!O42&lt;&gt;"",'CDO Bespoke'!O42,"")</f>
        <v>1.1754678808469901</v>
      </c>
      <c r="Y41" s="485">
        <f ca="1">IF(X41&lt;&gt;"",ABS(MIN(-0.75*('CDO Bespoke'!Q42)+'CDO Bespoke'!T42,0)),"")</f>
        <v>1.1659629442561801</v>
      </c>
      <c r="Z41" s="485">
        <f t="shared" ca="1" si="2"/>
        <v>9.5049365908099759E-3</v>
      </c>
      <c r="AA41" s="485">
        <f t="shared" ca="1" si="3"/>
        <v>0</v>
      </c>
      <c r="AB41" s="484">
        <f ca="1">IF('CDO Bespoke'!O42&lt;&gt;"",'CDO Bespoke'!O42,"")</f>
        <v>1.1754678808469901</v>
      </c>
      <c r="AC41" s="485">
        <f ca="1">IF(AB41&lt;&gt;"",ABS(MIN(-0.75*('CDO Bespoke'!K42)+'CDO Bespoke'!T42,0)),"")</f>
        <v>0.60440673546823287</v>
      </c>
      <c r="AD41" s="485">
        <f t="shared" ca="1" si="4"/>
        <v>0.57106114537875718</v>
      </c>
      <c r="AE41" s="489">
        <f t="shared" ca="1" si="5"/>
        <v>0</v>
      </c>
      <c r="AF41" s="493">
        <f ca="1">IF('CDO Bespoke'!O42&lt;&gt;"",'CDO Bespoke'!O42,"")</f>
        <v>1.1754678808469901</v>
      </c>
      <c r="AP41" s="494" t="str">
        <f ca="1">IF('CDO Bespoke'!C66&lt;&gt;"",'CDO Bespoke'!C66,"")</f>
        <v>Siemens Aktiengesellschaft</v>
      </c>
      <c r="AQ41" s="496">
        <f ca="1"/>
        <v>8.273559499727412E-3</v>
      </c>
      <c r="AR41" s="585">
        <f ca="1"/>
        <v>2.7415735799340979E-2</v>
      </c>
      <c r="AS41" s="585">
        <f ca="1"/>
        <v>7.5312591298892784E-2</v>
      </c>
      <c r="AT41" s="585">
        <f ca="1"/>
        <v>1.135570117298812</v>
      </c>
      <c r="AU41" s="497">
        <f ca="1"/>
        <v>0</v>
      </c>
      <c r="AV41" s="627">
        <f ca="1"/>
        <v>0</v>
      </c>
      <c r="AW41" s="496">
        <f ca="1"/>
        <v>7.1375824700278812E-4</v>
      </c>
      <c r="AX41" s="585">
        <f ca="1"/>
        <v>3.4696617472011748E-3</v>
      </c>
      <c r="AY41" s="585">
        <f ca="1"/>
        <v>1.5371779565403684E-2</v>
      </c>
      <c r="AZ41" s="585">
        <f ca="1"/>
        <v>1.2269463225210007</v>
      </c>
      <c r="BA41" s="497">
        <f ca="1"/>
        <v>0</v>
      </c>
      <c r="BB41" s="627">
        <f ca="1"/>
        <v>0</v>
      </c>
      <c r="BC41" s="580"/>
      <c r="BD41" s="580"/>
      <c r="BE41" s="580"/>
      <c r="BF41" s="580"/>
      <c r="BG41" s="579"/>
    </row>
    <row r="42" spans="2:59">
      <c r="B42" s="534" t="s">
        <v>513</v>
      </c>
      <c r="C42" s="535" t="s">
        <v>66</v>
      </c>
      <c r="D42" s="535" t="s">
        <v>59</v>
      </c>
      <c r="E42" s="535" t="s">
        <v>648</v>
      </c>
      <c r="F42" s="535" t="s">
        <v>673</v>
      </c>
      <c r="G42" s="536">
        <v>0.01</v>
      </c>
      <c r="H42" s="536">
        <v>2.0253E-2</v>
      </c>
      <c r="I42" s="537">
        <v>0.4</v>
      </c>
      <c r="J42" s="595">
        <v>4</v>
      </c>
      <c r="K42" s="538">
        <v>6</v>
      </c>
      <c r="L42" s="272"/>
      <c r="M42" s="272"/>
      <c r="P42" s="273"/>
      <c r="Q42" s="273"/>
      <c r="R42" s="273"/>
      <c r="S42" s="273"/>
      <c r="T42" s="576">
        <f ca="1"/>
        <v>0.03</v>
      </c>
      <c r="U42" s="573">
        <f ca="1"/>
        <v>34</v>
      </c>
      <c r="V42" s="576">
        <f t="shared" ca="1" si="6"/>
        <v>0</v>
      </c>
      <c r="W42" s="576">
        <f t="shared" ca="1" si="7"/>
        <v>0</v>
      </c>
      <c r="X42" s="484">
        <f ca="1">IF('CDO Bespoke'!O43&lt;&gt;"",'CDO Bespoke'!O43,"")</f>
        <v>1.17434070899859</v>
      </c>
      <c r="Y42" s="485">
        <f ca="1">IF(X42&lt;&gt;"",ABS(MIN(-0.75*('CDO Bespoke'!Q43)+'CDO Bespoke'!T43,0)),"")</f>
        <v>1.1656478732212618</v>
      </c>
      <c r="Z42" s="485">
        <f t="shared" ca="1" si="2"/>
        <v>8.6928357773281562E-3</v>
      </c>
      <c r="AA42" s="485">
        <f t="shared" ca="1" si="3"/>
        <v>0</v>
      </c>
      <c r="AB42" s="484">
        <f ca="1">IF('CDO Bespoke'!O43&lt;&gt;"",'CDO Bespoke'!O43,"")</f>
        <v>1.17434070899859</v>
      </c>
      <c r="AC42" s="485">
        <f ca="1">IF(AB42&lt;&gt;"",ABS(MIN(-0.75*('CDO Bespoke'!K43)+'CDO Bespoke'!T43,0)),"")</f>
        <v>0.61276788018345274</v>
      </c>
      <c r="AD42" s="485">
        <f t="shared" ca="1" si="4"/>
        <v>0.56157282881513726</v>
      </c>
      <c r="AE42" s="489">
        <f t="shared" ca="1" si="5"/>
        <v>0</v>
      </c>
      <c r="AF42" s="493">
        <f ca="1">IF('CDO Bespoke'!O43&lt;&gt;"",'CDO Bespoke'!O43,"")</f>
        <v>1.17434070899859</v>
      </c>
      <c r="AP42" s="494" t="str">
        <f ca="1">IF('CDO Bespoke'!C67&lt;&gt;"",'CDO Bespoke'!C67,"")</f>
        <v>SMURFIT KAPPA ACQUISITIONS UNLIMITED COMPANY</v>
      </c>
      <c r="AQ42" s="496">
        <f ca="1"/>
        <v>7.9473166003651841E-3</v>
      </c>
      <c r="AR42" s="585">
        <f ca="1"/>
        <v>2.628409299987311E-2</v>
      </c>
      <c r="AS42" s="585">
        <f ca="1"/>
        <v>7.1294759098616822E-2</v>
      </c>
      <c r="AT42" s="585">
        <f ca="1"/>
        <v>1.2323161590988008</v>
      </c>
      <c r="AU42" s="497">
        <f ca="1"/>
        <v>0</v>
      </c>
      <c r="AV42" s="627">
        <f ca="1"/>
        <v>0</v>
      </c>
      <c r="AW42" s="496">
        <f ca="1"/>
        <v>6.127948558049684E-4</v>
      </c>
      <c r="AX42" s="585">
        <f ca="1"/>
        <v>3.0031711352029172E-3</v>
      </c>
      <c r="AY42" s="585">
        <f ca="1"/>
        <v>1.2957300645106973E-2</v>
      </c>
      <c r="AZ42" s="585">
        <f ca="1"/>
        <v>1.3231378114107044</v>
      </c>
      <c r="BA42" s="497">
        <f ca="1"/>
        <v>0</v>
      </c>
      <c r="BB42" s="627">
        <f ca="1"/>
        <v>0</v>
      </c>
      <c r="BC42" s="580"/>
      <c r="BD42" s="580"/>
      <c r="BE42" s="580"/>
      <c r="BF42" s="580"/>
      <c r="BG42" s="579"/>
    </row>
    <row r="43" spans="2:59">
      <c r="B43" s="539" t="s">
        <v>514</v>
      </c>
      <c r="C43" s="540" t="s">
        <v>66</v>
      </c>
      <c r="D43" s="540" t="s">
        <v>55</v>
      </c>
      <c r="E43" s="540" t="s">
        <v>646</v>
      </c>
      <c r="F43" s="540" t="s">
        <v>672</v>
      </c>
      <c r="G43" s="541">
        <v>0.01</v>
      </c>
      <c r="H43" s="541">
        <v>2.196E-3</v>
      </c>
      <c r="I43" s="542">
        <v>0.4</v>
      </c>
      <c r="J43" s="602">
        <v>7</v>
      </c>
      <c r="K43" s="543">
        <v>7</v>
      </c>
      <c r="L43" s="272"/>
      <c r="M43" s="272"/>
      <c r="P43" s="273"/>
      <c r="Q43" s="273"/>
      <c r="R43" s="273"/>
      <c r="S43" s="273"/>
      <c r="T43" s="576">
        <f ca="1"/>
        <v>0.03</v>
      </c>
      <c r="U43" s="573">
        <f ca="1"/>
        <v>35</v>
      </c>
      <c r="V43" s="576">
        <f t="shared" ca="1" si="6"/>
        <v>0</v>
      </c>
      <c r="W43" s="576">
        <f t="shared" ca="1" si="7"/>
        <v>0</v>
      </c>
      <c r="X43" s="484">
        <f ca="1">IF('CDO Bespoke'!O44&lt;&gt;"",'CDO Bespoke'!O44,"")</f>
        <v>1.17007674681215</v>
      </c>
      <c r="Y43" s="485">
        <f ca="1">IF(X43&lt;&gt;"",ABS(MIN(-0.75*('CDO Bespoke'!Q44)+'CDO Bespoke'!T44,0)),"")</f>
        <v>1.1643746885077646</v>
      </c>
      <c r="Z43" s="485">
        <f t="shared" ca="1" si="2"/>
        <v>5.7020583043854156E-3</v>
      </c>
      <c r="AA43" s="485">
        <f t="shared" ca="1" si="3"/>
        <v>0</v>
      </c>
      <c r="AB43" s="484">
        <f ca="1">IF('CDO Bespoke'!O44&lt;&gt;"",'CDO Bespoke'!O44,"")</f>
        <v>1.17007674681215</v>
      </c>
      <c r="AC43" s="485">
        <f ca="1">IF(AB43&lt;&gt;"",ABS(MIN(-0.75*('CDO Bespoke'!K44)+'CDO Bespoke'!T44,0)),"")</f>
        <v>0.6312293711846787</v>
      </c>
      <c r="AD43" s="485">
        <f t="shared" ca="1" si="4"/>
        <v>0.53884737562747131</v>
      </c>
      <c r="AE43" s="489">
        <f t="shared" ca="1" si="5"/>
        <v>0</v>
      </c>
      <c r="AF43" s="493">
        <f ca="1">IF('CDO Bespoke'!O44&lt;&gt;"",'CDO Bespoke'!O44,"")</f>
        <v>1.17007674681215</v>
      </c>
      <c r="AP43" s="494" t="str">
        <f ca="1">IF('CDO Bespoke'!C68&lt;&gt;"",'CDO Bespoke'!C68,"")</f>
        <v>Solvay</v>
      </c>
      <c r="AQ43" s="496">
        <f ca="1"/>
        <v>7.1926418998558006E-3</v>
      </c>
      <c r="AR43" s="585">
        <f ca="1"/>
        <v>2.3660715799955767E-2</v>
      </c>
      <c r="AS43" s="585">
        <f ca="1"/>
        <v>6.1350578299812497E-2</v>
      </c>
      <c r="AT43" s="585">
        <f ca="1"/>
        <v>1.3989606483999495</v>
      </c>
      <c r="AU43" s="497">
        <f ca="1"/>
        <v>0</v>
      </c>
      <c r="AV43" s="627">
        <f ca="1"/>
        <v>0</v>
      </c>
      <c r="AW43" s="496">
        <f ca="1"/>
        <v>2.5547746699845081E-4</v>
      </c>
      <c r="AX43" s="585">
        <f ca="1"/>
        <v>1.3316732070008108E-3</v>
      </c>
      <c r="AY43" s="585">
        <f ca="1"/>
        <v>4.5474530190004955E-3</v>
      </c>
      <c r="AZ43" s="585">
        <f ca="1"/>
        <v>1.491483299252</v>
      </c>
      <c r="BA43" s="497">
        <f ca="1"/>
        <v>0</v>
      </c>
      <c r="BB43" s="627">
        <f ca="1"/>
        <v>0</v>
      </c>
      <c r="BC43" s="580"/>
      <c r="BD43" s="580"/>
      <c r="BE43" s="580"/>
      <c r="BF43" s="580"/>
      <c r="BG43" s="579"/>
    </row>
    <row r="44" spans="2:59">
      <c r="B44" s="517" t="s">
        <v>514</v>
      </c>
      <c r="C44" s="518" t="s">
        <v>66</v>
      </c>
      <c r="D44" s="518" t="s">
        <v>57</v>
      </c>
      <c r="E44" s="518" t="s">
        <v>646</v>
      </c>
      <c r="F44" s="518" t="s">
        <v>672</v>
      </c>
      <c r="G44" s="525">
        <v>0.01</v>
      </c>
      <c r="H44" s="525">
        <v>3.117E-3</v>
      </c>
      <c r="I44" s="527">
        <v>0.4</v>
      </c>
      <c r="J44" s="594">
        <v>7</v>
      </c>
      <c r="K44" s="519">
        <v>7</v>
      </c>
      <c r="L44" s="272"/>
      <c r="M44" s="272"/>
      <c r="P44" s="273"/>
      <c r="Q44" s="273"/>
      <c r="R44" s="273"/>
      <c r="S44" s="273"/>
      <c r="T44" s="576">
        <f ca="1"/>
        <v>0.06</v>
      </c>
      <c r="U44" s="573">
        <f ca="1"/>
        <v>36</v>
      </c>
      <c r="V44" s="576">
        <f t="shared" ca="1" si="6"/>
        <v>0</v>
      </c>
      <c r="W44" s="576">
        <f t="shared" ca="1" si="7"/>
        <v>0</v>
      </c>
      <c r="X44" s="484">
        <f ca="1">IF('CDO Bespoke'!O45&lt;&gt;"",'CDO Bespoke'!O45,"")</f>
        <v>1.1686145807691599</v>
      </c>
      <c r="Y44" s="485">
        <f ca="1">IF(X44&lt;&gt;"",ABS(MIN(-0.75*('CDO Bespoke'!Q45)+'CDO Bespoke'!T45,0)),"")</f>
        <v>1.1639212449646574</v>
      </c>
      <c r="Z44" s="485">
        <f t="shared" ca="1" si="2"/>
        <v>4.6933358045024853E-3</v>
      </c>
      <c r="AA44" s="485">
        <f t="shared" ca="1" si="3"/>
        <v>0</v>
      </c>
      <c r="AB44" s="484">
        <f ca="1">IF('CDO Bespoke'!O45&lt;&gt;"",'CDO Bespoke'!O45,"")</f>
        <v>1.1686145807691599</v>
      </c>
      <c r="AC44" s="485">
        <f ca="1">IF(AB44&lt;&gt;"",ABS(MIN(-0.75*('CDO Bespoke'!K45)+'CDO Bespoke'!T45,0)),"")</f>
        <v>0.63508596679591789</v>
      </c>
      <c r="AD44" s="485">
        <f t="shared" ca="1" si="4"/>
        <v>0.53352861397324203</v>
      </c>
      <c r="AE44" s="489">
        <f t="shared" ca="1" si="5"/>
        <v>0</v>
      </c>
      <c r="AF44" s="493">
        <f ca="1">IF('CDO Bespoke'!O45&lt;&gt;"",'CDO Bespoke'!O45,"")</f>
        <v>1.1686145807691599</v>
      </c>
      <c r="AP44" s="494" t="str">
        <f ca="1">IF('CDO Bespoke'!C69&lt;&gt;"",'CDO Bespoke'!C69,"")</f>
        <v>Stellantis N.V.</v>
      </c>
      <c r="AQ44" s="496">
        <f ca="1"/>
        <v>6.7026148986570888E-3</v>
      </c>
      <c r="AR44" s="585">
        <f ca="1"/>
        <v>2.1668290899334863E-2</v>
      </c>
      <c r="AS44" s="585">
        <f ca="1"/>
        <v>5.3747927000191709E-2</v>
      </c>
      <c r="AT44" s="585">
        <f ca="1"/>
        <v>1.4777746991989638</v>
      </c>
      <c r="AU44" s="497">
        <f ca="1"/>
        <v>0</v>
      </c>
      <c r="AV44" s="627">
        <f ca="1"/>
        <v>0</v>
      </c>
      <c r="AW44" s="496">
        <f ca="1"/>
        <v>-8.5572619996920896E-6</v>
      </c>
      <c r="AX44" s="585">
        <f ca="1"/>
        <v>8.4292389999386652E-5</v>
      </c>
      <c r="AY44" s="585">
        <f ca="1"/>
        <v>-9.8063465599988048E-4</v>
      </c>
      <c r="AZ44" s="585">
        <f ca="1"/>
        <v>1.5658881461930001</v>
      </c>
      <c r="BA44" s="497">
        <f ca="1"/>
        <v>0</v>
      </c>
      <c r="BB44" s="627">
        <f ca="1"/>
        <v>0</v>
      </c>
      <c r="BC44" s="580"/>
      <c r="BD44" s="580"/>
      <c r="BE44" s="580"/>
      <c r="BF44" s="580"/>
      <c r="BG44" s="579"/>
    </row>
    <row r="45" spans="2:59">
      <c r="B45" s="534" t="s">
        <v>514</v>
      </c>
      <c r="C45" s="535" t="s">
        <v>66</v>
      </c>
      <c r="D45" s="535" t="s">
        <v>59</v>
      </c>
      <c r="E45" s="535" t="s">
        <v>646</v>
      </c>
      <c r="F45" s="535" t="s">
        <v>672</v>
      </c>
      <c r="G45" s="536">
        <v>0.01</v>
      </c>
      <c r="H45" s="536">
        <v>4.3610000000000003E-3</v>
      </c>
      <c r="I45" s="537">
        <v>0.4</v>
      </c>
      <c r="J45" s="595">
        <v>7</v>
      </c>
      <c r="K45" s="538">
        <v>7</v>
      </c>
      <c r="L45" s="272"/>
      <c r="M45" s="272"/>
      <c r="P45" s="273"/>
      <c r="Q45" s="273"/>
      <c r="R45" s="273"/>
      <c r="S45" s="273"/>
      <c r="T45" s="576">
        <f ca="1"/>
        <v>0.06</v>
      </c>
      <c r="U45" s="573">
        <f ca="1"/>
        <v>37</v>
      </c>
      <c r="V45" s="576">
        <f t="shared" ca="1" si="6"/>
        <v>0</v>
      </c>
      <c r="W45" s="576">
        <f t="shared" ca="1" si="7"/>
        <v>0</v>
      </c>
      <c r="X45" s="484">
        <f ca="1">IF('CDO Bespoke'!O46&lt;&gt;"",'CDO Bespoke'!O46,"")</f>
        <v>1.17046084034181</v>
      </c>
      <c r="Y45" s="485">
        <f ca="1">IF(X45&lt;&gt;"",ABS(MIN(-0.75*('CDO Bespoke'!Q46)+'CDO Bespoke'!T46,0)),"")</f>
        <v>1.1644927801657252</v>
      </c>
      <c r="Z45" s="485">
        <f t="shared" ca="1" si="2"/>
        <v>5.9680601760847551E-3</v>
      </c>
      <c r="AA45" s="485">
        <f t="shared" ca="1" si="3"/>
        <v>0</v>
      </c>
      <c r="AB45" s="484">
        <f ca="1">IF('CDO Bespoke'!O46&lt;&gt;"",'CDO Bespoke'!O46,"")</f>
        <v>1.17046084034181</v>
      </c>
      <c r="AC45" s="485">
        <f ca="1">IF(AB45&lt;&gt;"",ABS(MIN(-0.75*('CDO Bespoke'!K46)+'CDO Bespoke'!T46,0)),"")</f>
        <v>0.63006887316582594</v>
      </c>
      <c r="AD45" s="485">
        <f t="shared" ca="1" si="4"/>
        <v>0.54039196717598403</v>
      </c>
      <c r="AE45" s="489">
        <f t="shared" ca="1" si="5"/>
        <v>0</v>
      </c>
      <c r="AF45" s="493">
        <f ca="1">IF('CDO Bespoke'!O46&lt;&gt;"",'CDO Bespoke'!O46,"")</f>
        <v>1.17046084034181</v>
      </c>
      <c r="AP45" s="494" t="str">
        <f ca="1">IF('CDO Bespoke'!C70&lt;&gt;"",'CDO Bespoke'!C70,"")</f>
        <v>Stora Enso Oyj</v>
      </c>
      <c r="AQ45" s="496">
        <f ca="1"/>
        <v>7.1998412987106519E-3</v>
      </c>
      <c r="AR45" s="585">
        <f ca="1"/>
        <v>2.3645886799705806E-2</v>
      </c>
      <c r="AS45" s="585">
        <f ca="1"/>
        <v>6.1222717999687148E-2</v>
      </c>
      <c r="AT45" s="585">
        <f ca="1"/>
        <v>1.3977051238001081</v>
      </c>
      <c r="AU45" s="497">
        <f ca="1"/>
        <v>0</v>
      </c>
      <c r="AV45" s="627">
        <f ca="1"/>
        <v>0</v>
      </c>
      <c r="AW45" s="496">
        <f ca="1"/>
        <v>2.6261061299940464E-4</v>
      </c>
      <c r="AX45" s="585">
        <f ca="1"/>
        <v>1.364773002002044E-3</v>
      </c>
      <c r="AY45" s="585">
        <f ca="1"/>
        <v>4.7004004630028795E-3</v>
      </c>
      <c r="AZ45" s="585">
        <f ca="1"/>
        <v>1.489906360856003</v>
      </c>
      <c r="BA45" s="497">
        <f ca="1"/>
        <v>0</v>
      </c>
      <c r="BB45" s="627">
        <f ca="1"/>
        <v>0</v>
      </c>
      <c r="BC45" s="580"/>
      <c r="BD45" s="580"/>
      <c r="BE45" s="580"/>
      <c r="BF45" s="580"/>
      <c r="BG45" s="579"/>
    </row>
    <row r="46" spans="2:59">
      <c r="B46" s="539" t="s">
        <v>515</v>
      </c>
      <c r="C46" s="540" t="s">
        <v>66</v>
      </c>
      <c r="D46" s="540" t="s">
        <v>55</v>
      </c>
      <c r="E46" s="540" t="s">
        <v>648</v>
      </c>
      <c r="F46" s="540" t="s">
        <v>647</v>
      </c>
      <c r="G46" s="541">
        <v>0.01</v>
      </c>
      <c r="H46" s="541">
        <v>2.016E-3</v>
      </c>
      <c r="I46" s="542">
        <v>0.4</v>
      </c>
      <c r="J46" s="602">
        <v>4</v>
      </c>
      <c r="K46" s="543">
        <v>8</v>
      </c>
      <c r="L46" s="272"/>
      <c r="M46" s="272"/>
      <c r="P46" s="273"/>
      <c r="Q46" s="273"/>
      <c r="R46" s="273"/>
      <c r="S46" s="273"/>
      <c r="T46" s="576">
        <f ca="1"/>
        <v>0.03</v>
      </c>
      <c r="U46" s="573">
        <f ca="1"/>
        <v>38</v>
      </c>
      <c r="V46" s="576">
        <f t="shared" ca="1" si="6"/>
        <v>0</v>
      </c>
      <c r="W46" s="576">
        <f t="shared" ca="1" si="7"/>
        <v>0</v>
      </c>
      <c r="X46" s="484">
        <f ca="1">IF('CDO Bespoke'!O47&lt;&gt;"",'CDO Bespoke'!O47,"")</f>
        <v>1.16687336293371</v>
      </c>
      <c r="Y46" s="485">
        <f ca="1">IF(X46&lt;&gt;"",ABS(MIN(-0.75*('CDO Bespoke'!Q47)+'CDO Bespoke'!T47,0)),"")</f>
        <v>1.1633750553276856</v>
      </c>
      <c r="Z46" s="485">
        <f t="shared" ca="1" si="2"/>
        <v>3.4983076060244311E-3</v>
      </c>
      <c r="AA46" s="485">
        <f t="shared" ca="1" si="3"/>
        <v>0</v>
      </c>
      <c r="AB46" s="484">
        <f ca="1">IF('CDO Bespoke'!O47&lt;&gt;"",'CDO Bespoke'!O47,"")</f>
        <v>1.16687336293371</v>
      </c>
      <c r="AC46" s="485">
        <f ca="1">IF(AB46&lt;&gt;"",ABS(MIN(-0.75*('CDO Bespoke'!K47)+'CDO Bespoke'!T47,0)),"")</f>
        <v>0.63875399649512565</v>
      </c>
      <c r="AD46" s="485">
        <f t="shared" ca="1" si="4"/>
        <v>0.52811936643858437</v>
      </c>
      <c r="AE46" s="489">
        <f t="shared" ca="1" si="5"/>
        <v>0</v>
      </c>
      <c r="AF46" s="493">
        <f ca="1">IF('CDO Bespoke'!O47&lt;&gt;"",'CDO Bespoke'!O47,"")</f>
        <v>1.16687336293371</v>
      </c>
      <c r="AP46" s="494" t="str">
        <f ca="1">IF('CDO Bespoke'!C71&lt;&gt;"",'CDO Bespoke'!C71,"")</f>
        <v>UNIBAIL-RODAMCO-WESTFIELD SE</v>
      </c>
      <c r="AQ46" s="496">
        <f ca="1"/>
        <v>6.2963021996154112E-3</v>
      </c>
      <c r="AR46" s="585">
        <f ca="1"/>
        <v>2.0036442098803064E-2</v>
      </c>
      <c r="AS46" s="585">
        <f ca="1"/>
        <v>4.7071291200406762E-2</v>
      </c>
      <c r="AT46" s="585">
        <f ca="1"/>
        <v>1.533932820299011</v>
      </c>
      <c r="AU46" s="497">
        <f ca="1"/>
        <v>0</v>
      </c>
      <c r="AV46" s="627">
        <f ca="1"/>
        <v>0</v>
      </c>
      <c r="AW46" s="496">
        <f ca="1"/>
        <v>-2.4994682199831753E-4</v>
      </c>
      <c r="AX46" s="585">
        <f ca="1"/>
        <v>-1.0600109029944293E-3</v>
      </c>
      <c r="AY46" s="585">
        <f ca="1"/>
        <v>-6.498206366993553E-3</v>
      </c>
      <c r="AZ46" s="585">
        <f ca="1"/>
        <v>1.6209654732870018</v>
      </c>
      <c r="BA46" s="497">
        <f ca="1"/>
        <v>0</v>
      </c>
      <c r="BB46" s="627">
        <f ca="1"/>
        <v>0</v>
      </c>
      <c r="BC46" s="580"/>
      <c r="BD46" s="580"/>
      <c r="BE46" s="580"/>
      <c r="BF46" s="580"/>
      <c r="BG46" s="579"/>
    </row>
    <row r="47" spans="2:59">
      <c r="B47" s="517" t="s">
        <v>515</v>
      </c>
      <c r="C47" s="518" t="s">
        <v>66</v>
      </c>
      <c r="D47" s="518" t="s">
        <v>57</v>
      </c>
      <c r="E47" s="518" t="s">
        <v>648</v>
      </c>
      <c r="F47" s="518" t="s">
        <v>647</v>
      </c>
      <c r="G47" s="525">
        <v>0.01</v>
      </c>
      <c r="H47" s="525">
        <v>3.4150000000000001E-3</v>
      </c>
      <c r="I47" s="527">
        <v>0.4</v>
      </c>
      <c r="J47" s="594">
        <v>4</v>
      </c>
      <c r="K47" s="519">
        <v>8</v>
      </c>
      <c r="L47" s="272"/>
      <c r="M47" s="272"/>
      <c r="P47" s="273"/>
      <c r="Q47" s="273"/>
      <c r="R47" s="273"/>
      <c r="S47" s="273"/>
      <c r="T47" s="576">
        <f ca="1"/>
        <v>0.06</v>
      </c>
      <c r="U47" s="573">
        <f ca="1"/>
        <v>39</v>
      </c>
      <c r="V47" s="576">
        <f t="shared" ca="1" si="6"/>
        <v>0</v>
      </c>
      <c r="W47" s="576">
        <f t="shared" ca="1" si="7"/>
        <v>0</v>
      </c>
      <c r="X47" s="484">
        <f ca="1">IF('CDO Bespoke'!O48&lt;&gt;"",'CDO Bespoke'!O48,"")</f>
        <v>1.1762503966023601</v>
      </c>
      <c r="Y47" s="485">
        <f ca="1">IF(X47&lt;&gt;"",ABS(MIN(-0.75*('CDO Bespoke'!Q48)+'CDO Bespoke'!T48,0)),"")</f>
        <v>1.1661723646213698</v>
      </c>
      <c r="Z47" s="485">
        <f t="shared" ca="1" si="2"/>
        <v>1.0078031980990332E-2</v>
      </c>
      <c r="AA47" s="485">
        <f t="shared" ca="1" si="3"/>
        <v>0</v>
      </c>
      <c r="AB47" s="484">
        <f ca="1">IF('CDO Bespoke'!O48&lt;&gt;"",'CDO Bespoke'!O48,"")</f>
        <v>1.1762503966023601</v>
      </c>
      <c r="AC47" s="485">
        <f ca="1">IF(AB47&lt;&gt;"",ABS(MIN(-0.75*('CDO Bespoke'!K48)+'CDO Bespoke'!T48,0)),"")</f>
        <v>0.59681095771406034</v>
      </c>
      <c r="AD47" s="485">
        <f t="shared" ca="1" si="4"/>
        <v>0.57943943888829974</v>
      </c>
      <c r="AE47" s="489">
        <f t="shared" ca="1" si="5"/>
        <v>0</v>
      </c>
      <c r="AF47" s="493">
        <f ca="1">IF('CDO Bespoke'!O48&lt;&gt;"",'CDO Bespoke'!O48,"")</f>
        <v>1.1762503966023601</v>
      </c>
      <c r="AP47" s="494" t="str">
        <f ca="1">IF('CDO Bespoke'!C72&lt;&gt;"",'CDO Bespoke'!C72,"")</f>
        <v>VINCI</v>
      </c>
      <c r="AQ47" s="496">
        <f ca="1"/>
        <v>8.3228265990165085E-3</v>
      </c>
      <c r="AR47" s="585">
        <f ca="1"/>
        <v>2.7416003298696978E-2</v>
      </c>
      <c r="AS47" s="585">
        <f ca="1"/>
        <v>7.5031544199966049E-2</v>
      </c>
      <c r="AT47" s="585">
        <f ca="1"/>
        <v>1.1082445327992296</v>
      </c>
      <c r="AU47" s="497">
        <f ca="1"/>
        <v>0</v>
      </c>
      <c r="AV47" s="627">
        <f ca="1"/>
        <v>0</v>
      </c>
      <c r="AW47" s="496">
        <f ca="1"/>
        <v>7.3438358999880493E-4</v>
      </c>
      <c r="AX47" s="585">
        <f ca="1"/>
        <v>3.5621970155032268E-3</v>
      </c>
      <c r="AY47" s="585">
        <f ca="1"/>
        <v>1.5838508041097696E-2</v>
      </c>
      <c r="AZ47" s="585">
        <f ca="1"/>
        <v>1.1982433823385947</v>
      </c>
      <c r="BA47" s="497">
        <f ca="1"/>
        <v>0</v>
      </c>
      <c r="BB47" s="627">
        <f ca="1"/>
        <v>0</v>
      </c>
      <c r="BC47" s="580"/>
      <c r="BD47" s="580"/>
      <c r="BE47" s="580"/>
      <c r="BF47" s="580"/>
      <c r="BG47" s="579"/>
    </row>
    <row r="48" spans="2:59">
      <c r="B48" s="534" t="s">
        <v>515</v>
      </c>
      <c r="C48" s="535" t="s">
        <v>66</v>
      </c>
      <c r="D48" s="535" t="s">
        <v>59</v>
      </c>
      <c r="E48" s="535" t="s">
        <v>648</v>
      </c>
      <c r="F48" s="535" t="s">
        <v>647</v>
      </c>
      <c r="G48" s="536">
        <v>0.01</v>
      </c>
      <c r="H48" s="536">
        <v>5.3829999999999998E-3</v>
      </c>
      <c r="I48" s="537">
        <v>0.4</v>
      </c>
      <c r="J48" s="595">
        <v>4</v>
      </c>
      <c r="K48" s="538">
        <v>8</v>
      </c>
      <c r="L48" s="272"/>
      <c r="M48" s="272"/>
      <c r="P48" s="273"/>
      <c r="Q48" s="273"/>
      <c r="R48" s="273"/>
      <c r="S48" s="273"/>
      <c r="T48" s="576">
        <f ca="1"/>
        <v>0.02</v>
      </c>
      <c r="U48" s="573">
        <f ca="1"/>
        <v>40</v>
      </c>
      <c r="V48" s="576">
        <f t="shared" ca="1" si="6"/>
        <v>0</v>
      </c>
      <c r="W48" s="576">
        <f t="shared" ca="1" si="7"/>
        <v>0</v>
      </c>
      <c r="X48" s="484">
        <f ca="1">IF('CDO Bespoke'!O49&lt;&gt;"",'CDO Bespoke'!O49,"")</f>
        <v>1.17079010753718</v>
      </c>
      <c r="Y48" s="485">
        <f ca="1">IF(X48&lt;&gt;"",ABS(MIN(-0.75*('CDO Bespoke'!Q49)+'CDO Bespoke'!T49,0)),"")</f>
        <v>1.1645936185993861</v>
      </c>
      <c r="Z48" s="485">
        <f t="shared" ca="1" si="2"/>
        <v>6.1964889377938981E-3</v>
      </c>
      <c r="AA48" s="485">
        <f t="shared" ca="1" si="3"/>
        <v>0</v>
      </c>
      <c r="AB48" s="484">
        <f ca="1">IF('CDO Bespoke'!O49&lt;&gt;"",'CDO Bespoke'!O49,"")</f>
        <v>1.17079010753718</v>
      </c>
      <c r="AC48" s="485">
        <f ca="1">IF(AB48&lt;&gt;"",ABS(MIN(-0.75*('CDO Bespoke'!K49)+'CDO Bespoke'!T49,0)),"")</f>
        <v>0.62901724196056685</v>
      </c>
      <c r="AD48" s="485">
        <f t="shared" ca="1" si="4"/>
        <v>0.54177286557661319</v>
      </c>
      <c r="AE48" s="489">
        <f t="shared" ca="1" si="5"/>
        <v>0</v>
      </c>
      <c r="AF48" s="493">
        <f ca="1">IF('CDO Bespoke'!O49&lt;&gt;"",'CDO Bespoke'!O49,"")</f>
        <v>1.17079010753718</v>
      </c>
      <c r="AP48" s="494" t="str">
        <f ca="1">IF('CDO Bespoke'!C73&lt;&gt;"",'CDO Bespoke'!C73,"")</f>
        <v>VOLKSWAGEN AKTIENGESELLSCHAFT</v>
      </c>
      <c r="AQ48" s="496">
        <f ca="1"/>
        <v>7.0375775984565792E-3</v>
      </c>
      <c r="AR48" s="585">
        <f ca="1"/>
        <v>2.2895206099882159E-2</v>
      </c>
      <c r="AS48" s="585">
        <f ca="1"/>
        <v>5.7985182899678023E-2</v>
      </c>
      <c r="AT48" s="585">
        <f ca="1"/>
        <v>1.426020603099154</v>
      </c>
      <c r="AU48" s="497">
        <f ca="1"/>
        <v>0</v>
      </c>
      <c r="AV48" s="627">
        <f ca="1"/>
        <v>0</v>
      </c>
      <c r="AW48" s="496">
        <f ca="1"/>
        <v>1.8669711299938024E-4</v>
      </c>
      <c r="AX48" s="585">
        <f ca="1"/>
        <v>1.0065098470001324E-3</v>
      </c>
      <c r="AY48" s="585">
        <f ca="1"/>
        <v>2.857339930001021E-3</v>
      </c>
      <c r="AZ48" s="585">
        <f ca="1"/>
        <v>1.5168656666710001</v>
      </c>
      <c r="BA48" s="497">
        <f ca="1"/>
        <v>0</v>
      </c>
      <c r="BB48" s="627">
        <f ca="1"/>
        <v>0</v>
      </c>
      <c r="BC48" s="580"/>
      <c r="BD48" s="580"/>
      <c r="BE48" s="580"/>
      <c r="BF48" s="580"/>
      <c r="BG48" s="579"/>
    </row>
    <row r="49" spans="2:59">
      <c r="B49" s="539" t="s">
        <v>530</v>
      </c>
      <c r="C49" s="540" t="s">
        <v>66</v>
      </c>
      <c r="D49" s="540" t="s">
        <v>55</v>
      </c>
      <c r="E49" s="540" t="s">
        <v>646</v>
      </c>
      <c r="F49" s="540" t="s">
        <v>673</v>
      </c>
      <c r="G49" s="541">
        <v>0.01</v>
      </c>
      <c r="H49" s="541">
        <v>2.222E-3</v>
      </c>
      <c r="I49" s="542">
        <v>0.4</v>
      </c>
      <c r="J49" s="602">
        <v>4</v>
      </c>
      <c r="K49" s="543">
        <v>9</v>
      </c>
      <c r="L49" s="272"/>
      <c r="M49" s="272"/>
      <c r="P49" s="273"/>
      <c r="Q49" s="273"/>
      <c r="R49" s="273"/>
      <c r="S49" s="273"/>
      <c r="T49" s="576">
        <f ca="1"/>
        <v>0.06</v>
      </c>
      <c r="U49" s="573">
        <f ca="1"/>
        <v>41</v>
      </c>
      <c r="V49" s="576">
        <f t="shared" ca="1" si="6"/>
        <v>0</v>
      </c>
      <c r="W49" s="576">
        <f t="shared" ca="1" si="7"/>
        <v>0</v>
      </c>
      <c r="X49" s="484">
        <f ca="1">IF('CDO Bespoke'!O50&lt;&gt;"",'CDO Bespoke'!O50,"")</f>
        <v>1.1717812137944801</v>
      </c>
      <c r="Y49" s="485">
        <f ca="1">IF(X49&lt;&gt;"",ABS(MIN(-0.75*('CDO Bespoke'!Q50)+'CDO Bespoke'!T50,0)),"")</f>
        <v>1.1648946305270766</v>
      </c>
      <c r="Z49" s="485">
        <f t="shared" ca="1" si="2"/>
        <v>6.8865832674034344E-3</v>
      </c>
      <c r="AA49" s="485">
        <f t="shared" ca="1" si="3"/>
        <v>0</v>
      </c>
      <c r="AB49" s="484">
        <f ca="1">IF('CDO Bespoke'!O50&lt;&gt;"",'CDO Bespoke'!O50,"")</f>
        <v>1.1717812137944801</v>
      </c>
      <c r="AC49" s="485">
        <f ca="1">IF(AB49&lt;&gt;"",ABS(MIN(-0.75*('CDO Bespoke'!K50)+'CDO Bespoke'!T50,0)),"")</f>
        <v>0.62549041948517836</v>
      </c>
      <c r="AD49" s="485">
        <f t="shared" ca="1" si="4"/>
        <v>0.54629079430930172</v>
      </c>
      <c r="AE49" s="489">
        <f t="shared" ca="1" si="5"/>
        <v>0</v>
      </c>
      <c r="AF49" s="493">
        <f ca="1">IF('CDO Bespoke'!O50&lt;&gt;"",'CDO Bespoke'!O50,"")</f>
        <v>1.1717812137944801</v>
      </c>
      <c r="AP49" s="494" t="str">
        <f ca="1">IF('CDO Bespoke'!C74&lt;&gt;"",'CDO Bespoke'!C74,"")</f>
        <v>WENDEL</v>
      </c>
      <c r="AQ49" s="496">
        <f ca="1"/>
        <v>7.5113405983984194E-3</v>
      </c>
      <c r="AR49" s="585">
        <f ca="1"/>
        <v>2.4829166298534489E-2</v>
      </c>
      <c r="AS49" s="585">
        <f ca="1"/>
        <v>6.594460060016516E-2</v>
      </c>
      <c r="AT49" s="585">
        <f ca="1"/>
        <v>1.3377630338995417</v>
      </c>
      <c r="AU49" s="497">
        <f ca="1"/>
        <v>0</v>
      </c>
      <c r="AV49" s="627">
        <f ca="1"/>
        <v>0</v>
      </c>
      <c r="AW49" s="496">
        <f ca="1"/>
        <v>4.1728892229662973E-4</v>
      </c>
      <c r="AX49" s="585">
        <f ca="1"/>
        <v>2.0917161715032495E-3</v>
      </c>
      <c r="AY49" s="585">
        <f ca="1"/>
        <v>8.3654978918958761E-3</v>
      </c>
      <c r="AZ49" s="585">
        <f ca="1"/>
        <v>1.4306782766768977</v>
      </c>
      <c r="BA49" s="497">
        <f ca="1"/>
        <v>0</v>
      </c>
      <c r="BB49" s="627">
        <f ca="1"/>
        <v>0</v>
      </c>
      <c r="BC49" s="580"/>
      <c r="BD49" s="580"/>
      <c r="BE49" s="580"/>
      <c r="BF49" s="580"/>
      <c r="BG49" s="579"/>
    </row>
    <row r="50" spans="2:59">
      <c r="B50" s="517" t="s">
        <v>530</v>
      </c>
      <c r="C50" s="518" t="s">
        <v>66</v>
      </c>
      <c r="D50" s="518" t="s">
        <v>57</v>
      </c>
      <c r="E50" s="518" t="s">
        <v>646</v>
      </c>
      <c r="F50" s="518" t="s">
        <v>673</v>
      </c>
      <c r="G50" s="525">
        <v>0.01</v>
      </c>
      <c r="H50" s="525">
        <v>4.2570000000000004E-3</v>
      </c>
      <c r="I50" s="527">
        <v>0.4</v>
      </c>
      <c r="J50" s="594">
        <v>4</v>
      </c>
      <c r="K50" s="519">
        <v>9</v>
      </c>
      <c r="L50" s="272"/>
      <c r="M50" s="272"/>
      <c r="P50" s="273"/>
      <c r="Q50" s="273"/>
      <c r="R50" s="273"/>
      <c r="S50" s="273"/>
      <c r="T50" s="576">
        <f ca="1"/>
        <v>0.02</v>
      </c>
      <c r="U50" s="573">
        <f ca="1"/>
        <v>42</v>
      </c>
      <c r="V50" s="576">
        <f t="shared" ca="1" si="6"/>
        <v>0</v>
      </c>
      <c r="W50" s="576">
        <f t="shared" ca="1" si="7"/>
        <v>0</v>
      </c>
      <c r="X50" s="484">
        <f ca="1">IF('CDO Bespoke'!O51&lt;&gt;"",'CDO Bespoke'!O51,"")</f>
        <v>1.15933851295617</v>
      </c>
      <c r="Y50" s="485">
        <f ca="1">IF(X50&lt;&gt;"",ABS(MIN(-0.75*('CDO Bespoke'!Q51)+'CDO Bespoke'!T51,0)),"")</f>
        <v>1.1609766623701931</v>
      </c>
      <c r="Z50" s="485">
        <f t="shared" ca="1" si="2"/>
        <v>0</v>
      </c>
      <c r="AA50" s="485">
        <f t="shared" ca="1" si="3"/>
        <v>0</v>
      </c>
      <c r="AB50" s="484">
        <f ca="1">IF('CDO Bespoke'!O51&lt;&gt;"",'CDO Bespoke'!O51,"")</f>
        <v>1.15933851295617</v>
      </c>
      <c r="AC50" s="485">
        <f ca="1">IF(AB50&lt;&gt;"",ABS(MIN(-0.75*('CDO Bespoke'!K51)+'CDO Bespoke'!T51,0)),"")</f>
        <v>0.6477713518368492</v>
      </c>
      <c r="AD50" s="485">
        <f t="shared" ca="1" si="4"/>
        <v>0.51156716111932077</v>
      </c>
      <c r="AE50" s="489">
        <f t="shared" ca="1" si="5"/>
        <v>0</v>
      </c>
      <c r="AF50" s="493">
        <f ca="1">IF('CDO Bespoke'!O51&lt;&gt;"",'CDO Bespoke'!O51,"")</f>
        <v>1.15933851295617</v>
      </c>
      <c r="AP50" s="494" t="str">
        <f ca="1">IF('CDO Bespoke'!C75&lt;&gt;"",'CDO Bespoke'!C75,"")</f>
        <v>Aktiebolaget Electrolux</v>
      </c>
      <c r="AQ50" s="496">
        <f ca="1"/>
        <v>5.2204344003214942E-3</v>
      </c>
      <c r="AR50" s="585">
        <f ca="1"/>
        <v>1.577905359928522E-2</v>
      </c>
      <c r="AS50" s="585">
        <f ca="1"/>
        <v>2.9540602899391644E-2</v>
      </c>
      <c r="AT50" s="585">
        <f ca="1"/>
        <v>1.6465132673992855</v>
      </c>
      <c r="AU50" s="497">
        <f ca="1"/>
        <v>0</v>
      </c>
      <c r="AV50" s="627">
        <f ca="1"/>
        <v>0</v>
      </c>
      <c r="AW50" s="496">
        <f ca="1"/>
        <v>-9.4559442701327989E-4</v>
      </c>
      <c r="AX50" s="585">
        <f ca="1"/>
        <v>-4.3872158980023945E-3</v>
      </c>
      <c r="AY50" s="585">
        <f ca="1"/>
        <v>-2.2587909129997974E-2</v>
      </c>
      <c r="AZ50" s="585">
        <f ca="1"/>
        <v>1.7315968804999977</v>
      </c>
      <c r="BA50" s="497">
        <f ca="1"/>
        <v>0</v>
      </c>
      <c r="BB50" s="627">
        <f ca="1"/>
        <v>0</v>
      </c>
      <c r="BC50" s="580"/>
      <c r="BD50" s="580"/>
      <c r="BE50" s="580"/>
      <c r="BF50" s="580"/>
      <c r="BG50" s="579"/>
    </row>
    <row r="51" spans="2:59">
      <c r="B51" s="534" t="s">
        <v>530</v>
      </c>
      <c r="C51" s="535" t="s">
        <v>66</v>
      </c>
      <c r="D51" s="535" t="s">
        <v>59</v>
      </c>
      <c r="E51" s="535" t="s">
        <v>646</v>
      </c>
      <c r="F51" s="535" t="s">
        <v>673</v>
      </c>
      <c r="G51" s="536">
        <v>0.01</v>
      </c>
      <c r="H51" s="536">
        <v>6.2550000000000001E-3</v>
      </c>
      <c r="I51" s="537">
        <v>0.4</v>
      </c>
      <c r="J51" s="595">
        <v>4</v>
      </c>
      <c r="K51" s="538">
        <v>9</v>
      </c>
      <c r="L51" s="272"/>
      <c r="M51" s="272"/>
      <c r="P51" s="273"/>
      <c r="Q51" s="273"/>
      <c r="R51" s="273"/>
      <c r="S51" s="273"/>
      <c r="T51" s="576">
        <f ca="1"/>
        <v>0.03</v>
      </c>
      <c r="U51" s="573">
        <f ca="1"/>
        <v>43</v>
      </c>
      <c r="V51" s="576">
        <f t="shared" ca="1" si="6"/>
        <v>0</v>
      </c>
      <c r="W51" s="576">
        <f t="shared" ca="1" si="7"/>
        <v>0</v>
      </c>
      <c r="X51" s="484">
        <f ca="1">IF('CDO Bespoke'!O52&lt;&gt;"",'CDO Bespoke'!O52,"")</f>
        <v>1.1751620914704699</v>
      </c>
      <c r="Y51" s="485">
        <f ca="1">IF(X51&lt;&gt;"",ABS(MIN(-0.75*('CDO Bespoke'!Q52)+'CDO Bespoke'!T52,0)),"")</f>
        <v>1.1658788411782504</v>
      </c>
      <c r="Z51" s="485">
        <f t="shared" ca="1" si="2"/>
        <v>9.283250292219547E-3</v>
      </c>
      <c r="AA51" s="485">
        <f t="shared" ca="1" si="3"/>
        <v>0</v>
      </c>
      <c r="AB51" s="484">
        <f ca="1">IF('CDO Bespoke'!O52&lt;&gt;"",'CDO Bespoke'!O52,"")</f>
        <v>1.1751620914704699</v>
      </c>
      <c r="AC51" s="485">
        <f ca="1">IF(AB51&lt;&gt;"",ABS(MIN(-0.75*('CDO Bespoke'!K52)+'CDO Bespoke'!T52,0)),"")</f>
        <v>0.60692434567151199</v>
      </c>
      <c r="AD51" s="485">
        <f t="shared" ca="1" si="4"/>
        <v>0.56823774579895792</v>
      </c>
      <c r="AE51" s="489">
        <f t="shared" ca="1" si="5"/>
        <v>0</v>
      </c>
      <c r="AF51" s="493">
        <f ca="1">IF('CDO Bespoke'!O52&lt;&gt;"",'CDO Bespoke'!O52,"")</f>
        <v>1.1751620914704699</v>
      </c>
      <c r="AP51" s="494" t="str">
        <f ca="1">IF('CDO Bespoke'!C76&lt;&gt;"",'CDO Bespoke'!C76,"")</f>
        <v>Anheuser-Busch InBev</v>
      </c>
      <c r="AQ51" s="496">
        <f ca="1"/>
        <v>8.1414762997944479E-3</v>
      </c>
      <c r="AR51" s="585">
        <f ca="1"/>
        <v>2.693393879926731E-2</v>
      </c>
      <c r="AS51" s="585">
        <f ca="1"/>
        <v>7.3593975200569872E-2</v>
      </c>
      <c r="AT51" s="585">
        <f ca="1"/>
        <v>1.1756675521001902</v>
      </c>
      <c r="AU51" s="497">
        <f ca="1"/>
        <v>0</v>
      </c>
      <c r="AV51" s="627">
        <f ca="1"/>
        <v>0</v>
      </c>
      <c r="AW51" s="496">
        <f ca="1"/>
        <v>6.7982877730021762E-4</v>
      </c>
      <c r="AX51" s="585">
        <f ca="1"/>
        <v>3.3134095996003449E-3</v>
      </c>
      <c r="AY51" s="585">
        <f ca="1"/>
        <v>1.4548783815997862E-2</v>
      </c>
      <c r="AZ51" s="585">
        <f ca="1"/>
        <v>1.2665507120329047</v>
      </c>
      <c r="BA51" s="497">
        <f ca="1"/>
        <v>0</v>
      </c>
      <c r="BB51" s="627">
        <f ca="1"/>
        <v>0</v>
      </c>
      <c r="BC51" s="580"/>
      <c r="BD51" s="580"/>
      <c r="BE51" s="580"/>
      <c r="BF51" s="580"/>
      <c r="BG51" s="579"/>
    </row>
    <row r="52" spans="2:59">
      <c r="B52" s="539" t="s">
        <v>531</v>
      </c>
      <c r="C52" s="540" t="s">
        <v>66</v>
      </c>
      <c r="D52" s="540" t="s">
        <v>55</v>
      </c>
      <c r="E52" s="540" t="s">
        <v>648</v>
      </c>
      <c r="F52" s="540" t="s">
        <v>672</v>
      </c>
      <c r="G52" s="541">
        <v>0.01</v>
      </c>
      <c r="H52" s="541">
        <v>7.633E-3</v>
      </c>
      <c r="I52" s="542">
        <v>0.4</v>
      </c>
      <c r="J52" s="602">
        <v>7</v>
      </c>
      <c r="K52" s="543">
        <v>10</v>
      </c>
      <c r="L52" s="272"/>
      <c r="M52" s="272"/>
      <c r="P52" s="273"/>
      <c r="Q52" s="273"/>
      <c r="R52" s="273"/>
      <c r="S52" s="273"/>
      <c r="T52" s="576">
        <f ca="1"/>
        <v>0.02</v>
      </c>
      <c r="U52" s="573">
        <f ca="1"/>
        <v>44</v>
      </c>
      <c r="V52" s="576">
        <f t="shared" ca="1" si="6"/>
        <v>0</v>
      </c>
      <c r="W52" s="576">
        <f t="shared" ca="1" si="7"/>
        <v>0</v>
      </c>
      <c r="X52" s="484">
        <f ca="1">IF('CDO Bespoke'!O53&lt;&gt;"",'CDO Bespoke'!O53,"")</f>
        <v>1.17246640455383</v>
      </c>
      <c r="Y52" s="485">
        <f ca="1">IF(X52&lt;&gt;"",ABS(MIN(-0.75*('CDO Bespoke'!Q53)+'CDO Bespoke'!T53,0)),"")</f>
        <v>1.1651001529821015</v>
      </c>
      <c r="Z52" s="485">
        <f t="shared" ca="1" si="2"/>
        <v>7.3662515717285437E-3</v>
      </c>
      <c r="AA52" s="485">
        <f t="shared" ca="1" si="3"/>
        <v>0</v>
      </c>
      <c r="AB52" s="484">
        <f ca="1">IF('CDO Bespoke'!O53&lt;&gt;"",'CDO Bespoke'!O53,"")</f>
        <v>1.17246640455383</v>
      </c>
      <c r="AC52" s="485">
        <f ca="1">IF(AB52&lt;&gt;"",ABS(MIN(-0.75*('CDO Bespoke'!K53)+'CDO Bespoke'!T53,0)),"")</f>
        <v>0.62267715682337299</v>
      </c>
      <c r="AD52" s="485">
        <f t="shared" ca="1" si="4"/>
        <v>0.54978924773045701</v>
      </c>
      <c r="AE52" s="489">
        <f t="shared" ca="1" si="5"/>
        <v>0</v>
      </c>
      <c r="AF52" s="493">
        <f ca="1">IF('CDO Bespoke'!O53&lt;&gt;"",'CDO Bespoke'!O53,"")</f>
        <v>1.17246640455383</v>
      </c>
      <c r="AP52" s="494" t="str">
        <f ca="1">IF('CDO Bespoke'!C77&lt;&gt;"",'CDO Bespoke'!C77,"")</f>
        <v>BRITISH AMERICAN TOBACCO p.l.c.</v>
      </c>
      <c r="AQ52" s="496">
        <f ca="1"/>
        <v>7.5068060989558205E-3</v>
      </c>
      <c r="AR52" s="585">
        <f ca="1"/>
        <v>2.4711297799129284E-2</v>
      </c>
      <c r="AS52" s="585">
        <f ca="1"/>
        <v>6.5333676699808052E-2</v>
      </c>
      <c r="AT52" s="585">
        <f ca="1"/>
        <v>1.3374172593993983</v>
      </c>
      <c r="AU52" s="497">
        <f ca="1"/>
        <v>0</v>
      </c>
      <c r="AV52" s="627">
        <f ca="1"/>
        <v>0</v>
      </c>
      <c r="AW52" s="496">
        <f ca="1"/>
        <v>4.2385405749426064E-4</v>
      </c>
      <c r="AX52" s="585">
        <f ca="1"/>
        <v>2.1215363887015781E-3</v>
      </c>
      <c r="AY52" s="585">
        <f ca="1"/>
        <v>8.4872768304003476E-3</v>
      </c>
      <c r="AZ52" s="585">
        <f ca="1"/>
        <v>1.4294870485296978</v>
      </c>
      <c r="BA52" s="497">
        <f ca="1"/>
        <v>0</v>
      </c>
      <c r="BB52" s="627">
        <f ca="1"/>
        <v>0</v>
      </c>
      <c r="BC52" s="580"/>
      <c r="BD52" s="580"/>
      <c r="BE52" s="580"/>
      <c r="BF52" s="580"/>
      <c r="BG52" s="579"/>
    </row>
    <row r="53" spans="2:59">
      <c r="B53" s="517" t="s">
        <v>531</v>
      </c>
      <c r="C53" s="518" t="s">
        <v>66</v>
      </c>
      <c r="D53" s="518" t="s">
        <v>57</v>
      </c>
      <c r="E53" s="518" t="s">
        <v>648</v>
      </c>
      <c r="F53" s="518" t="s">
        <v>672</v>
      </c>
      <c r="G53" s="525">
        <v>0.01</v>
      </c>
      <c r="H53" s="525">
        <v>1.1407E-2</v>
      </c>
      <c r="I53" s="527">
        <v>0.4</v>
      </c>
      <c r="J53" s="594">
        <v>7</v>
      </c>
      <c r="K53" s="519">
        <v>10</v>
      </c>
      <c r="L53" s="272"/>
      <c r="M53" s="272"/>
      <c r="P53" s="273"/>
      <c r="Q53" s="273"/>
      <c r="R53" s="273"/>
      <c r="S53" s="273"/>
      <c r="T53" s="576">
        <f ca="1"/>
        <v>0.06</v>
      </c>
      <c r="U53" s="573">
        <f ca="1"/>
        <v>45</v>
      </c>
      <c r="V53" s="576">
        <f t="shared" ca="1" si="6"/>
        <v>0</v>
      </c>
      <c r="W53" s="576">
        <f t="shared" ca="1" si="7"/>
        <v>0</v>
      </c>
      <c r="X53" s="484">
        <f ca="1">IF('CDO Bespoke'!O54&lt;&gt;"",'CDO Bespoke'!O54,"")</f>
        <v>1.1766082933555899</v>
      </c>
      <c r="Y53" s="485">
        <f ca="1">IF(X53&lt;&gt;"",ABS(MIN(-0.75*('CDO Bespoke'!Q54)+'CDO Bespoke'!T54,0)),"")</f>
        <v>1.1662647932900125</v>
      </c>
      <c r="Z53" s="485">
        <f t="shared" ca="1" si="2"/>
        <v>1.0343500065577382E-2</v>
      </c>
      <c r="AA53" s="485">
        <f t="shared" ca="1" si="3"/>
        <v>0</v>
      </c>
      <c r="AB53" s="484">
        <f ca="1">IF('CDO Bespoke'!O54&lt;&gt;"",'CDO Bespoke'!O54,"")</f>
        <v>1.1766082933555899</v>
      </c>
      <c r="AC53" s="485">
        <f ca="1">IF(AB53&lt;&gt;"",ABS(MIN(-0.75*('CDO Bespoke'!K54)+'CDO Bespoke'!T54,0)),"")</f>
        <v>0.59261059635120417</v>
      </c>
      <c r="AD53" s="485">
        <f t="shared" ca="1" si="4"/>
        <v>0.58399769700438575</v>
      </c>
      <c r="AE53" s="489">
        <f t="shared" ca="1" si="5"/>
        <v>0</v>
      </c>
      <c r="AF53" s="493">
        <f ca="1">IF('CDO Bespoke'!O54&lt;&gt;"",'CDO Bespoke'!O54,"")</f>
        <v>1.1766082933555899</v>
      </c>
      <c r="AP53" s="494" t="str">
        <f ca="1">IF('CDO Bespoke'!C78&lt;&gt;"",'CDO Bespoke'!C78,"")</f>
        <v>CARLSBERG BREWERIES A/S</v>
      </c>
      <c r="AQ53" s="496">
        <f ca="1"/>
        <v>8.3343168988392335E-3</v>
      </c>
      <c r="AR53" s="585">
        <f ca="1"/>
        <v>2.7355826799357885E-2</v>
      </c>
      <c r="AS53" s="585">
        <f ca="1"/>
        <v>7.4674477898994951E-2</v>
      </c>
      <c r="AT53" s="585">
        <f ca="1"/>
        <v>1.0968008057998802</v>
      </c>
      <c r="AU53" s="497">
        <f ca="1"/>
        <v>0</v>
      </c>
      <c r="AV53" s="627">
        <f ca="1"/>
        <v>0</v>
      </c>
      <c r="AW53" s="496">
        <f ca="1"/>
        <v>7.417893711954282E-4</v>
      </c>
      <c r="AX53" s="585">
        <f ca="1"/>
        <v>3.5949973802018587E-3</v>
      </c>
      <c r="AY53" s="585">
        <f ca="1"/>
        <v>1.6003136348698502E-2</v>
      </c>
      <c r="AZ53" s="585">
        <f ca="1"/>
        <v>1.1859440817482951</v>
      </c>
      <c r="BA53" s="497">
        <f ca="1"/>
        <v>0</v>
      </c>
      <c r="BB53" s="627">
        <f ca="1"/>
        <v>0</v>
      </c>
      <c r="BC53" s="580"/>
      <c r="BD53" s="580"/>
      <c r="BE53" s="580"/>
      <c r="BF53" s="580"/>
      <c r="BG53" s="579"/>
    </row>
    <row r="54" spans="2:59">
      <c r="B54" s="534" t="s">
        <v>531</v>
      </c>
      <c r="C54" s="535" t="s">
        <v>66</v>
      </c>
      <c r="D54" s="535" t="s">
        <v>59</v>
      </c>
      <c r="E54" s="535" t="s">
        <v>648</v>
      </c>
      <c r="F54" s="535" t="s">
        <v>672</v>
      </c>
      <c r="G54" s="536">
        <v>0.01</v>
      </c>
      <c r="H54" s="536">
        <v>1.4759E-2</v>
      </c>
      <c r="I54" s="537">
        <v>0.4</v>
      </c>
      <c r="J54" s="595">
        <v>7</v>
      </c>
      <c r="K54" s="538">
        <v>10</v>
      </c>
      <c r="L54" s="272"/>
      <c r="M54" s="272"/>
      <c r="P54" s="273"/>
      <c r="Q54" s="273"/>
      <c r="R54" s="273"/>
      <c r="S54" s="273"/>
      <c r="T54" s="576">
        <f ca="1"/>
        <v>0.06</v>
      </c>
      <c r="U54" s="573">
        <f ca="1"/>
        <v>46</v>
      </c>
      <c r="V54" s="576">
        <f t="shared" ca="1" si="6"/>
        <v>0</v>
      </c>
      <c r="W54" s="576">
        <f t="shared" ca="1" si="7"/>
        <v>0</v>
      </c>
      <c r="X54" s="484">
        <f ca="1">IF('CDO Bespoke'!O55&lt;&gt;"",'CDO Bespoke'!O55,"")</f>
        <v>1.17448040166265</v>
      </c>
      <c r="Y54" s="485">
        <f ca="1">IF(X54&lt;&gt;"",ABS(MIN(-0.75*('CDO Bespoke'!Q55)+'CDO Bespoke'!T55,0)),"")</f>
        <v>1.1656876217545238</v>
      </c>
      <c r="Z54" s="485">
        <f t="shared" ca="1" si="2"/>
        <v>8.7927799081262137E-3</v>
      </c>
      <c r="AA54" s="485">
        <f t="shared" ca="1" si="3"/>
        <v>0</v>
      </c>
      <c r="AB54" s="484">
        <f ca="1">IF('CDO Bespoke'!O55&lt;&gt;"",'CDO Bespoke'!O55,"")</f>
        <v>1.17448040166265</v>
      </c>
      <c r="AC54" s="485">
        <f ca="1">IF(AB54&lt;&gt;"",ABS(MIN(-0.75*('CDO Bespoke'!K55)+'CDO Bespoke'!T55,0)),"")</f>
        <v>0.61185573481673328</v>
      </c>
      <c r="AD54" s="485">
        <f t="shared" ca="1" si="4"/>
        <v>0.56262466684591672</v>
      </c>
      <c r="AE54" s="489">
        <f t="shared" ca="1" si="5"/>
        <v>0</v>
      </c>
      <c r="AF54" s="493">
        <f ca="1">IF('CDO Bespoke'!O55&lt;&gt;"",'CDO Bespoke'!O55,"")</f>
        <v>1.17448040166265</v>
      </c>
      <c r="AP54" s="494" t="str">
        <f ca="1">IF('CDO Bespoke'!C79&lt;&gt;"",'CDO Bespoke'!C79,"")</f>
        <v>Carrefour</v>
      </c>
      <c r="AQ54" s="496">
        <f ca="1"/>
        <v>7.8808968995147666E-3</v>
      </c>
      <c r="AR54" s="585">
        <f ca="1"/>
        <v>2.5974708499632015E-2</v>
      </c>
      <c r="AS54" s="585">
        <f ca="1"/>
        <v>7.0048209199757849E-2</v>
      </c>
      <c r="AT54" s="585">
        <f ca="1"/>
        <v>1.2472024873999565</v>
      </c>
      <c r="AU54" s="497">
        <f ca="1"/>
        <v>0</v>
      </c>
      <c r="AV54" s="627">
        <f ca="1"/>
        <v>0</v>
      </c>
      <c r="AW54" s="496">
        <f ca="1"/>
        <v>5.9398598060110552E-4</v>
      </c>
      <c r="AX54" s="585">
        <f ca="1"/>
        <v>2.9149496458963364E-3</v>
      </c>
      <c r="AY54" s="585">
        <f ca="1"/>
        <v>1.2490419208600542E-2</v>
      </c>
      <c r="AZ54" s="585">
        <f ca="1"/>
        <v>1.3372878142085993</v>
      </c>
      <c r="BA54" s="497">
        <f ca="1"/>
        <v>0</v>
      </c>
      <c r="BB54" s="627">
        <f ca="1"/>
        <v>0</v>
      </c>
      <c r="BC54" s="580"/>
      <c r="BD54" s="580"/>
      <c r="BE54" s="580"/>
      <c r="BF54" s="580"/>
      <c r="BG54" s="579"/>
    </row>
    <row r="55" spans="2:59">
      <c r="B55" s="539" t="s">
        <v>532</v>
      </c>
      <c r="C55" s="540" t="s">
        <v>66</v>
      </c>
      <c r="D55" s="540" t="s">
        <v>55</v>
      </c>
      <c r="E55" s="540" t="s">
        <v>646</v>
      </c>
      <c r="F55" s="540" t="s">
        <v>671</v>
      </c>
      <c r="G55" s="541">
        <v>0.01</v>
      </c>
      <c r="H55" s="541">
        <v>2.836E-3</v>
      </c>
      <c r="I55" s="542">
        <v>0.4</v>
      </c>
      <c r="J55" s="602">
        <v>5</v>
      </c>
      <c r="K55" s="543">
        <v>11</v>
      </c>
      <c r="L55" s="272"/>
      <c r="M55" s="272"/>
      <c r="P55" s="273"/>
      <c r="Q55" s="273"/>
      <c r="R55" s="273"/>
      <c r="S55" s="273"/>
      <c r="T55" s="576">
        <f ca="1"/>
        <v>0.03</v>
      </c>
      <c r="U55" s="573">
        <f ca="1"/>
        <v>47</v>
      </c>
      <c r="V55" s="576">
        <f t="shared" ca="1" si="6"/>
        <v>0</v>
      </c>
      <c r="W55" s="576">
        <f t="shared" ca="1" si="7"/>
        <v>0</v>
      </c>
      <c r="X55" s="484">
        <f ca="1">IF('CDO Bespoke'!O56&lt;&gt;"",'CDO Bespoke'!O56,"")</f>
        <v>1.1773626247959701</v>
      </c>
      <c r="Y55" s="485">
        <f ca="1">IF(X55&lt;&gt;"",ABS(MIN(-0.75*('CDO Bespoke'!Q56)+'CDO Bespoke'!T56,0)),"")</f>
        <v>1.1664504458970757</v>
      </c>
      <c r="Z55" s="485">
        <f t="shared" ca="1" si="2"/>
        <v>1.0912178898894398E-2</v>
      </c>
      <c r="AA55" s="485">
        <f t="shared" ca="1" si="3"/>
        <v>0</v>
      </c>
      <c r="AB55" s="484">
        <f ca="1">IF('CDO Bespoke'!O56&lt;&gt;"",'CDO Bespoke'!O56,"")</f>
        <v>1.1773626247959701</v>
      </c>
      <c r="AC55" s="485">
        <f ca="1">IF(AB55&lt;&gt;"",ABS(MIN(-0.75*('CDO Bespoke'!K56)+'CDO Bespoke'!T56,0)),"")</f>
        <v>0.58146766936551064</v>
      </c>
      <c r="AD55" s="485">
        <f t="shared" ca="1" si="4"/>
        <v>0.59589495543045945</v>
      </c>
      <c r="AE55" s="489">
        <f t="shared" ca="1" si="5"/>
        <v>0</v>
      </c>
      <c r="AF55" s="493">
        <f ca="1">IF('CDO Bespoke'!O56&lt;&gt;"",'CDO Bespoke'!O56,"")</f>
        <v>1.1773626247959701</v>
      </c>
      <c r="AP55" s="494" t="str">
        <f ca="1">IF('CDO Bespoke'!C80&lt;&gt;"",'CDO Bespoke'!C80,"")</f>
        <v>COMPASS GROUP PLC</v>
      </c>
      <c r="AQ55" s="496">
        <f ca="1"/>
        <v>8.4842020986464206E-3</v>
      </c>
      <c r="AR55" s="585">
        <f ca="1"/>
        <v>2.7697875100152203E-2</v>
      </c>
      <c r="AS55" s="585">
        <f ca="1"/>
        <v>7.5501860898885553E-2</v>
      </c>
      <c r="AT55" s="585">
        <f ca="1"/>
        <v>1.0249624161984272</v>
      </c>
      <c r="AU55" s="497">
        <f ca="1"/>
        <v>0</v>
      </c>
      <c r="AV55" s="627">
        <f ca="1"/>
        <v>0</v>
      </c>
      <c r="AW55" s="496">
        <f ca="1"/>
        <v>7.6739366149797261E-4</v>
      </c>
      <c r="AX55" s="585">
        <f ca="1"/>
        <v>3.7074012330939876E-3</v>
      </c>
      <c r="AY55" s="585">
        <f ca="1"/>
        <v>1.6638444632188082E-2</v>
      </c>
      <c r="AZ55" s="585">
        <f ca="1"/>
        <v>1.1129303143467966</v>
      </c>
      <c r="BA55" s="497">
        <f ca="1"/>
        <v>0</v>
      </c>
      <c r="BB55" s="627">
        <f ca="1"/>
        <v>0</v>
      </c>
      <c r="BC55" s="580"/>
      <c r="BD55" s="580"/>
      <c r="BE55" s="580"/>
      <c r="BF55" s="580"/>
      <c r="BG55" s="579"/>
    </row>
    <row r="56" spans="2:59">
      <c r="B56" s="517" t="s">
        <v>532</v>
      </c>
      <c r="C56" s="518" t="s">
        <v>66</v>
      </c>
      <c r="D56" s="518" t="s">
        <v>57</v>
      </c>
      <c r="E56" s="518" t="s">
        <v>646</v>
      </c>
      <c r="F56" s="518" t="s">
        <v>671</v>
      </c>
      <c r="G56" s="525">
        <v>0.01</v>
      </c>
      <c r="H56" s="525">
        <v>5.025E-3</v>
      </c>
      <c r="I56" s="527">
        <v>0.4</v>
      </c>
      <c r="J56" s="594">
        <v>5</v>
      </c>
      <c r="K56" s="519">
        <v>11</v>
      </c>
      <c r="L56" s="272"/>
      <c r="M56" s="272"/>
      <c r="P56" s="273"/>
      <c r="Q56" s="273"/>
      <c r="R56" s="273"/>
      <c r="S56" s="273"/>
      <c r="T56" s="576">
        <f ca="1"/>
        <v>0.06</v>
      </c>
      <c r="U56" s="573">
        <f ca="1"/>
        <v>48</v>
      </c>
      <c r="V56" s="576">
        <f t="shared" ca="1" si="6"/>
        <v>0</v>
      </c>
      <c r="W56" s="576">
        <f t="shared" ca="1" si="7"/>
        <v>0</v>
      </c>
      <c r="X56" s="484">
        <f ca="1">IF('CDO Bespoke'!O57&lt;&gt;"",'CDO Bespoke'!O57,"")</f>
        <v>1.17581726335517</v>
      </c>
      <c r="Y56" s="485">
        <f ca="1">IF(X56&lt;&gt;"",ABS(MIN(-0.75*('CDO Bespoke'!Q57)+'CDO Bespoke'!T57,0)),"")</f>
        <v>1.1660575629215773</v>
      </c>
      <c r="Z56" s="485">
        <f t="shared" ca="1" si="2"/>
        <v>9.7597004335927551E-3</v>
      </c>
      <c r="AA56" s="485">
        <f t="shared" ca="1" si="3"/>
        <v>0</v>
      </c>
      <c r="AB56" s="484">
        <f ca="1">IF('CDO Bespoke'!O57&lt;&gt;"",'CDO Bespoke'!O57,"")</f>
        <v>1.17581726335517</v>
      </c>
      <c r="AC56" s="485">
        <f ca="1">IF(AB56&lt;&gt;"",ABS(MIN(-0.75*('CDO Bespoke'!K57)+'CDO Bespoke'!T57,0)),"")</f>
        <v>0.6012446066725603</v>
      </c>
      <c r="AD56" s="485">
        <f t="shared" ca="1" si="4"/>
        <v>0.57457265668260971</v>
      </c>
      <c r="AE56" s="489">
        <f t="shared" ca="1" si="5"/>
        <v>0</v>
      </c>
      <c r="AF56" s="493">
        <f ca="1">IF('CDO Bespoke'!O57&lt;&gt;"",'CDO Bespoke'!O57,"")</f>
        <v>1.17581726335517</v>
      </c>
      <c r="AP56" s="494" t="str">
        <f ca="1">IF('CDO Bespoke'!C81&lt;&gt;"",'CDO Bespoke'!C81,"")</f>
        <v>DANONE</v>
      </c>
      <c r="AQ56" s="496">
        <f ca="1"/>
        <v>8.2249649002719138E-3</v>
      </c>
      <c r="AR56" s="585">
        <f ca="1"/>
        <v>2.712669729953987E-2</v>
      </c>
      <c r="AS56" s="585">
        <f ca="1"/>
        <v>7.4119884898582455E-2</v>
      </c>
      <c r="AT56" s="585">
        <f ca="1"/>
        <v>1.1441816997992404</v>
      </c>
      <c r="AU56" s="497">
        <f ca="1"/>
        <v>0</v>
      </c>
      <c r="AV56" s="627">
        <f ca="1"/>
        <v>0</v>
      </c>
      <c r="AW56" s="496">
        <f ca="1"/>
        <v>7.0933925610042192E-4</v>
      </c>
      <c r="AX56" s="585">
        <f ca="1"/>
        <v>3.4482470794971326E-3</v>
      </c>
      <c r="AY56" s="585">
        <f ca="1"/>
        <v>1.5237361758700663E-2</v>
      </c>
      <c r="AZ56" s="585">
        <f ca="1"/>
        <v>1.234384562581901</v>
      </c>
      <c r="BA56" s="497">
        <f ca="1"/>
        <v>0</v>
      </c>
      <c r="BB56" s="627">
        <f ca="1"/>
        <v>0</v>
      </c>
      <c r="BC56" s="580"/>
      <c r="BD56" s="580"/>
      <c r="BE56" s="580"/>
      <c r="BF56" s="580"/>
      <c r="BG56" s="579"/>
    </row>
    <row r="57" spans="2:59">
      <c r="B57" s="534" t="s">
        <v>532</v>
      </c>
      <c r="C57" s="535" t="s">
        <v>66</v>
      </c>
      <c r="D57" s="535" t="s">
        <v>59</v>
      </c>
      <c r="E57" s="535" t="s">
        <v>646</v>
      </c>
      <c r="F57" s="535" t="s">
        <v>671</v>
      </c>
      <c r="G57" s="536">
        <v>0.01</v>
      </c>
      <c r="H57" s="536">
        <v>7.2620000000000002E-3</v>
      </c>
      <c r="I57" s="537">
        <v>0.4</v>
      </c>
      <c r="J57" s="595">
        <v>5</v>
      </c>
      <c r="K57" s="538">
        <v>11</v>
      </c>
      <c r="L57" s="272"/>
      <c r="M57" s="272"/>
      <c r="P57" s="273"/>
      <c r="Q57" s="273"/>
      <c r="R57" s="273"/>
      <c r="S57" s="273"/>
      <c r="T57" s="576">
        <f ca="1"/>
        <v>0.03</v>
      </c>
      <c r="U57" s="573">
        <f ca="1"/>
        <v>49</v>
      </c>
      <c r="V57" s="576">
        <f t="shared" ca="1" si="6"/>
        <v>0</v>
      </c>
      <c r="W57" s="576">
        <f t="shared" ca="1" si="7"/>
        <v>0</v>
      </c>
      <c r="X57" s="484">
        <f ca="1">IF('CDO Bespoke'!O58&lt;&gt;"",'CDO Bespoke'!O58,"")</f>
        <v>1.17667615684052</v>
      </c>
      <c r="Y57" s="485">
        <f ca="1">IF(X57&lt;&gt;"",ABS(MIN(-0.75*('CDO Bespoke'!Q58)+'CDO Bespoke'!T58,0)),"")</f>
        <v>1.1662820388424997</v>
      </c>
      <c r="Z57" s="485">
        <f t="shared" ca="1" si="2"/>
        <v>1.0394117998020258E-2</v>
      </c>
      <c r="AA57" s="485">
        <f t="shared" ca="1" si="3"/>
        <v>0</v>
      </c>
      <c r="AB57" s="484">
        <f ca="1">IF('CDO Bespoke'!O58&lt;&gt;"",'CDO Bespoke'!O58,"")</f>
        <v>1.17667615684052</v>
      </c>
      <c r="AC57" s="485">
        <f ca="1">IF(AB57&lt;&gt;"",ABS(MIN(-0.75*('CDO Bespoke'!K58)+'CDO Bespoke'!T58,0)),"")</f>
        <v>0.59174844300866214</v>
      </c>
      <c r="AD57" s="485">
        <f t="shared" ca="1" si="4"/>
        <v>0.58492771383185782</v>
      </c>
      <c r="AE57" s="489">
        <f t="shared" ca="1" si="5"/>
        <v>0</v>
      </c>
      <c r="AF57" s="493">
        <f ca="1">IF('CDO Bespoke'!O58&lt;&gt;"",'CDO Bespoke'!O58,"")</f>
        <v>1.17667615684052</v>
      </c>
      <c r="AP57" s="494" t="str">
        <f ca="1">IF('CDO Bespoke'!C82&lt;&gt;"",'CDO Bespoke'!C82,"")</f>
        <v>DIAGEO PLC</v>
      </c>
      <c r="AQ57" s="496">
        <f ca="1"/>
        <v>2.0864595984271261E-3</v>
      </c>
      <c r="AR57" s="585">
        <f ca="1"/>
        <v>-3.2358330015469505E-4</v>
      </c>
      <c r="AS57" s="585">
        <f ca="1"/>
        <v>-3.7362924201200798E-2</v>
      </c>
      <c r="AT57" s="585">
        <f ca="1"/>
        <v>1.9183851391990636</v>
      </c>
      <c r="AU57" s="497">
        <f ca="1"/>
        <v>0</v>
      </c>
      <c r="AV57" s="627">
        <f ca="1"/>
        <v>0</v>
      </c>
      <c r="AW57" s="496">
        <f ca="1"/>
        <v>-2.8754338499831222E-3</v>
      </c>
      <c r="AX57" s="585">
        <f ca="1"/>
        <v>-1.3421016272982533E-2</v>
      </c>
      <c r="AY57" s="585">
        <f ca="1"/>
        <v>-6.3397830248959619E-2</v>
      </c>
      <c r="AZ57" s="585">
        <f ca="1"/>
        <v>1.9731326840149999</v>
      </c>
      <c r="BA57" s="497">
        <f ca="1"/>
        <v>0</v>
      </c>
      <c r="BB57" s="627">
        <f ca="1"/>
        <v>0</v>
      </c>
      <c r="BC57" s="580"/>
      <c r="BD57" s="580"/>
      <c r="BE57" s="580"/>
      <c r="BF57" s="580"/>
      <c r="BG57" s="579"/>
    </row>
    <row r="58" spans="2:59">
      <c r="B58" s="539" t="s">
        <v>516</v>
      </c>
      <c r="C58" s="540" t="s">
        <v>66</v>
      </c>
      <c r="D58" s="540" t="s">
        <v>55</v>
      </c>
      <c r="E58" s="540" t="s">
        <v>646</v>
      </c>
      <c r="F58" s="540" t="s">
        <v>647</v>
      </c>
      <c r="G58" s="541">
        <v>0.01</v>
      </c>
      <c r="H58" s="541">
        <v>2.2030000000000001E-3</v>
      </c>
      <c r="I58" s="542">
        <v>0.4</v>
      </c>
      <c r="J58" s="602">
        <v>4</v>
      </c>
      <c r="K58" s="543">
        <v>12</v>
      </c>
      <c r="L58" s="272"/>
      <c r="M58" s="272"/>
      <c r="P58" s="273"/>
      <c r="Q58" s="273"/>
      <c r="R58" s="273"/>
      <c r="S58" s="273"/>
      <c r="T58" s="576">
        <f ca="1"/>
        <v>0.06</v>
      </c>
      <c r="U58" s="573">
        <f ca="1"/>
        <v>50</v>
      </c>
      <c r="V58" s="576">
        <f t="shared" ca="1" si="6"/>
        <v>0</v>
      </c>
      <c r="W58" s="576">
        <f t="shared" ca="1" si="7"/>
        <v>0</v>
      </c>
      <c r="X58" s="484">
        <f ca="1">IF('CDO Bespoke'!O59&lt;&gt;"",'CDO Bespoke'!O59,"")</f>
        <v>1.1436952933898701</v>
      </c>
      <c r="Y58" s="485">
        <f ca="1">IF(X58&lt;&gt;"",ABS(MIN(-0.75*('CDO Bespoke'!Q59)+'CDO Bespoke'!T59,0)),"")</f>
        <v>1.1560500794861663</v>
      </c>
      <c r="Z58" s="485">
        <f t="shared" ca="1" si="2"/>
        <v>0</v>
      </c>
      <c r="AA58" s="485">
        <f t="shared" ca="1" si="3"/>
        <v>0</v>
      </c>
      <c r="AB58" s="484">
        <f ca="1">IF('CDO Bespoke'!O59&lt;&gt;"",'CDO Bespoke'!O59,"")</f>
        <v>1.1436952933898701</v>
      </c>
      <c r="AC58" s="485">
        <f ca="1">IF(AB58&lt;&gt;"",ABS(MIN(-0.75*('CDO Bespoke'!K59)+'CDO Bespoke'!T59,0)),"")</f>
        <v>0.65103878625441602</v>
      </c>
      <c r="AD58" s="485">
        <f t="shared" ca="1" si="4"/>
        <v>0.49265650713545406</v>
      </c>
      <c r="AE58" s="489">
        <f t="shared" ca="1" si="5"/>
        <v>0</v>
      </c>
      <c r="AF58" s="493">
        <f ca="1">IF('CDO Bespoke'!O59&lt;&gt;"",'CDO Bespoke'!O59,"")</f>
        <v>1.1436952933898701</v>
      </c>
      <c r="AP58" s="494" t="str">
        <f ca="1">IF('CDO Bespoke'!C83&lt;&gt;"",'CDO Bespoke'!C83,"")</f>
        <v>ELO</v>
      </c>
      <c r="AQ58" s="496">
        <f ca="1"/>
        <v>3.2312004005774497E-3</v>
      </c>
      <c r="AR58" s="585">
        <f ca="1"/>
        <v>7.4360794988237444E-3</v>
      </c>
      <c r="AS58" s="585">
        <f ca="1"/>
        <v>-6.1502282000525099E-3</v>
      </c>
      <c r="AT58" s="585">
        <f ca="1"/>
        <v>1.7816297532990966</v>
      </c>
      <c r="AU58" s="497">
        <f ca="1"/>
        <v>0</v>
      </c>
      <c r="AV58" s="627">
        <f ca="1"/>
        <v>0</v>
      </c>
      <c r="AW58" s="496">
        <f ca="1"/>
        <v>-2.3146561289877354E-3</v>
      </c>
      <c r="AX58" s="585">
        <f ca="1"/>
        <v>-1.1076938561012384E-2</v>
      </c>
      <c r="AY58" s="585">
        <f ca="1"/>
        <v>-5.5182689066013424E-2</v>
      </c>
      <c r="AZ58" s="585">
        <f ca="1"/>
        <v>1.8632813916250046</v>
      </c>
      <c r="BA58" s="497">
        <f ca="1"/>
        <v>0</v>
      </c>
      <c r="BB58" s="627">
        <f ca="1"/>
        <v>0</v>
      </c>
      <c r="BC58" s="580"/>
      <c r="BD58" s="580"/>
      <c r="BE58" s="580"/>
      <c r="BF58" s="580"/>
      <c r="BG58" s="579"/>
    </row>
    <row r="59" spans="2:59">
      <c r="B59" s="517" t="s">
        <v>516</v>
      </c>
      <c r="C59" s="518" t="s">
        <v>66</v>
      </c>
      <c r="D59" s="518" t="s">
        <v>57</v>
      </c>
      <c r="E59" s="518" t="s">
        <v>646</v>
      </c>
      <c r="F59" s="518" t="s">
        <v>647</v>
      </c>
      <c r="G59" s="525">
        <v>0.01</v>
      </c>
      <c r="H59" s="525">
        <v>3.3639999999999998E-3</v>
      </c>
      <c r="I59" s="527">
        <v>0.4</v>
      </c>
      <c r="J59" s="594">
        <v>4</v>
      </c>
      <c r="K59" s="519">
        <v>12</v>
      </c>
      <c r="L59" s="272"/>
      <c r="M59" s="272"/>
      <c r="P59" s="273"/>
      <c r="Q59" s="273"/>
      <c r="R59" s="273"/>
      <c r="S59" s="273"/>
      <c r="T59" s="576">
        <f ca="1"/>
        <v>0.06</v>
      </c>
      <c r="U59" s="573">
        <f ca="1"/>
        <v>51</v>
      </c>
      <c r="V59" s="576">
        <f t="shared" ca="1" si="6"/>
        <v>0</v>
      </c>
      <c r="W59" s="576">
        <f t="shared" ca="1" si="7"/>
        <v>0</v>
      </c>
      <c r="X59" s="484">
        <f ca="1">IF('CDO Bespoke'!O60&lt;&gt;"",'CDO Bespoke'!O60,"")</f>
        <v>1.17644693990912</v>
      </c>
      <c r="Y59" s="485">
        <f ca="1">IF(X59&lt;&gt;"",ABS(MIN(-0.75*('CDO Bespoke'!Q60)+'CDO Bespoke'!T60,0)),"")</f>
        <v>1.1662234202958783</v>
      </c>
      <c r="Z59" s="485">
        <f t="shared" ca="1" si="2"/>
        <v>1.0223519613241638E-2</v>
      </c>
      <c r="AA59" s="485">
        <f t="shared" ca="1" si="3"/>
        <v>0</v>
      </c>
      <c r="AB59" s="484">
        <f ca="1">IF('CDO Bespoke'!O60&lt;&gt;"",'CDO Bespoke'!O60,"")</f>
        <v>1.17644693990912</v>
      </c>
      <c r="AC59" s="485">
        <f ca="1">IF(AB59&lt;&gt;"",ABS(MIN(-0.75*('CDO Bespoke'!K60)+'CDO Bespoke'!T60,0)),"")</f>
        <v>0.59457268619374992</v>
      </c>
      <c r="AD59" s="485">
        <f t="shared" ca="1" si="4"/>
        <v>0.58187425371537005</v>
      </c>
      <c r="AE59" s="489">
        <f t="shared" ca="1" si="5"/>
        <v>0</v>
      </c>
      <c r="AF59" s="493">
        <f ca="1">IF('CDO Bespoke'!O60&lt;&gt;"",'CDO Bespoke'!O60,"")</f>
        <v>1.17644693990912</v>
      </c>
      <c r="AP59" s="494" t="str">
        <f ca="1">IF('CDO Bespoke'!C84&lt;&gt;"",'CDO Bespoke'!C84,"")</f>
        <v>Heineken N.V.</v>
      </c>
      <c r="AQ59" s="496">
        <f ca="1"/>
        <v>8.3153579999439842E-3</v>
      </c>
      <c r="AR59" s="585">
        <f ca="1"/>
        <v>2.7327282199340885E-2</v>
      </c>
      <c r="AS59" s="585">
        <f ca="1"/>
        <v>7.4635010398615975E-2</v>
      </c>
      <c r="AT59" s="585">
        <f ca="1"/>
        <v>1.1062726164001724</v>
      </c>
      <c r="AU59" s="497">
        <f ca="1"/>
        <v>0</v>
      </c>
      <c r="AV59" s="627">
        <f ca="1"/>
        <v>0</v>
      </c>
      <c r="AW59" s="496">
        <f ca="1"/>
        <v>7.3629313570612587E-4</v>
      </c>
      <c r="AX59" s="585">
        <f ca="1"/>
        <v>3.5703319414999435E-3</v>
      </c>
      <c r="AY59" s="585">
        <f ca="1"/>
        <v>1.5873381765205835E-2</v>
      </c>
      <c r="AZ59" s="585">
        <f ca="1"/>
        <v>1.1956964092650015</v>
      </c>
      <c r="BA59" s="497">
        <f ca="1"/>
        <v>0</v>
      </c>
      <c r="BB59" s="627">
        <f ca="1"/>
        <v>0</v>
      </c>
      <c r="BC59" s="580"/>
      <c r="BD59" s="580"/>
      <c r="BE59" s="580"/>
      <c r="BF59" s="580"/>
      <c r="BG59" s="579"/>
    </row>
    <row r="60" spans="2:59">
      <c r="B60" s="534" t="s">
        <v>516</v>
      </c>
      <c r="C60" s="535" t="s">
        <v>66</v>
      </c>
      <c r="D60" s="535" t="s">
        <v>59</v>
      </c>
      <c r="E60" s="535" t="s">
        <v>646</v>
      </c>
      <c r="F60" s="535" t="s">
        <v>647</v>
      </c>
      <c r="G60" s="536">
        <v>0.01</v>
      </c>
      <c r="H60" s="536">
        <v>4.9129999999999998E-3</v>
      </c>
      <c r="I60" s="537">
        <v>0.4</v>
      </c>
      <c r="J60" s="595">
        <v>4</v>
      </c>
      <c r="K60" s="538">
        <v>12</v>
      </c>
      <c r="L60" s="272"/>
      <c r="M60" s="272"/>
      <c r="P60" s="273"/>
      <c r="Q60" s="273"/>
      <c r="R60" s="273"/>
      <c r="S60" s="273"/>
      <c r="T60" s="576">
        <f ca="1"/>
        <v>0.06</v>
      </c>
      <c r="U60" s="573">
        <f ca="1"/>
        <v>52</v>
      </c>
      <c r="V60" s="576">
        <f t="shared" ca="1" si="6"/>
        <v>0</v>
      </c>
      <c r="W60" s="576">
        <f t="shared" ca="1" si="7"/>
        <v>0</v>
      </c>
      <c r="X60" s="484">
        <f ca="1">IF('CDO Bespoke'!O61&lt;&gt;"",'CDO Bespoke'!O61,"")</f>
        <v>1.1773140020548001</v>
      </c>
      <c r="Y60" s="485">
        <f ca="1">IF(X60&lt;&gt;"",ABS(MIN(-0.75*('CDO Bespoke'!Q61)+'CDO Bespoke'!T61,0)),"")</f>
        <v>1.1664389272614679</v>
      </c>
      <c r="Z60" s="485">
        <f t="shared" ca="1" si="2"/>
        <v>1.0875074793332162E-2</v>
      </c>
      <c r="AA60" s="485">
        <f t="shared" ca="1" si="3"/>
        <v>0</v>
      </c>
      <c r="AB60" s="484">
        <f ca="1">IF('CDO Bespoke'!O61&lt;&gt;"",'CDO Bespoke'!O61,"")</f>
        <v>1.1773140020548001</v>
      </c>
      <c r="AC60" s="485">
        <f ca="1">IF(AB60&lt;&gt;"",ABS(MIN(-0.75*('CDO Bespoke'!K61)+'CDO Bespoke'!T61,0)),"")</f>
        <v>0.58230901054601891</v>
      </c>
      <c r="AD60" s="485">
        <f t="shared" ca="1" si="4"/>
        <v>0.59500499150878117</v>
      </c>
      <c r="AE60" s="489">
        <f t="shared" ca="1" si="5"/>
        <v>0</v>
      </c>
      <c r="AF60" s="493">
        <f ca="1">IF('CDO Bespoke'!O61&lt;&gt;"",'CDO Bespoke'!O61,"")</f>
        <v>1.1773140020548001</v>
      </c>
      <c r="AP60" s="494" t="str">
        <f ca="1">IF('CDO Bespoke'!C85&lt;&gt;"",'CDO Bespoke'!C85,"")</f>
        <v>Henkel AG &amp; Co. KGaA</v>
      </c>
      <c r="AQ60" s="496">
        <f ca="1"/>
        <v>8.5581621989128109E-3</v>
      </c>
      <c r="AR60" s="585">
        <f ca="1"/>
        <v>2.801812490016431E-2</v>
      </c>
      <c r="AS60" s="585">
        <f ca="1"/>
        <v>7.6613847199702434E-2</v>
      </c>
      <c r="AT60" s="585">
        <f ca="1"/>
        <v>1.001907994500062</v>
      </c>
      <c r="AU60" s="497">
        <f ca="1"/>
        <v>0</v>
      </c>
      <c r="AV60" s="627">
        <f ca="1"/>
        <v>0</v>
      </c>
      <c r="AW60" s="496">
        <f ca="1"/>
        <v>7.7014278889939169E-4</v>
      </c>
      <c r="AX60" s="585">
        <f ca="1"/>
        <v>3.7188343837875337E-3</v>
      </c>
      <c r="AY60" s="585">
        <f ca="1"/>
        <v>1.6732503815893723E-2</v>
      </c>
      <c r="AZ60" s="585">
        <f ca="1"/>
        <v>1.0906594377532892</v>
      </c>
      <c r="BA60" s="497">
        <f ca="1"/>
        <v>0</v>
      </c>
      <c r="BB60" s="627">
        <f ca="1"/>
        <v>0</v>
      </c>
      <c r="BC60" s="580"/>
      <c r="BD60" s="580"/>
      <c r="BE60" s="580"/>
      <c r="BF60" s="580"/>
      <c r="BG60" s="579"/>
    </row>
    <row r="61" spans="2:59">
      <c r="B61" s="539" t="s">
        <v>611</v>
      </c>
      <c r="C61" s="540" t="s">
        <v>66</v>
      </c>
      <c r="D61" s="540" t="s">
        <v>55</v>
      </c>
      <c r="E61" s="540" t="s">
        <v>648</v>
      </c>
      <c r="F61" s="540" t="s">
        <v>647</v>
      </c>
      <c r="G61" s="541">
        <v>0.01</v>
      </c>
      <c r="H61" s="541">
        <v>5.3819999999999996E-3</v>
      </c>
      <c r="I61" s="542">
        <v>0.4</v>
      </c>
      <c r="J61" s="602">
        <v>4</v>
      </c>
      <c r="K61" s="543">
        <v>13</v>
      </c>
      <c r="L61" s="272"/>
      <c r="M61" s="272"/>
      <c r="P61" s="273"/>
      <c r="Q61" s="273"/>
      <c r="R61" s="273"/>
      <c r="S61" s="273"/>
      <c r="T61" s="576">
        <f ca="1"/>
        <v>0.02</v>
      </c>
      <c r="U61" s="573">
        <f ca="1"/>
        <v>53</v>
      </c>
      <c r="V61" s="576">
        <f t="shared" ca="1" si="6"/>
        <v>0</v>
      </c>
      <c r="W61" s="576">
        <f t="shared" ca="1" si="7"/>
        <v>0</v>
      </c>
      <c r="X61" s="484">
        <f ca="1">IF('CDO Bespoke'!O62&lt;&gt;"",'CDO Bespoke'!O62,"")</f>
        <v>1.1712583698144601</v>
      </c>
      <c r="Y61" s="485">
        <f ca="1">IF(X61&lt;&gt;"",ABS(MIN(-0.75*('CDO Bespoke'!Q62)+'CDO Bespoke'!T62,0)),"")</f>
        <v>1.1647363354621052</v>
      </c>
      <c r="Z61" s="485">
        <f t="shared" ca="1" si="2"/>
        <v>6.5220343523548774E-3</v>
      </c>
      <c r="AA61" s="485">
        <f t="shared" ca="1" si="3"/>
        <v>0</v>
      </c>
      <c r="AB61" s="484">
        <f ca="1">IF('CDO Bespoke'!O62&lt;&gt;"",'CDO Bespoke'!O62,"")</f>
        <v>1.1712583698144601</v>
      </c>
      <c r="AC61" s="485">
        <f ca="1">IF(AB61&lt;&gt;"",ABS(MIN(-0.75*('CDO Bespoke'!K62)+'CDO Bespoke'!T62,0)),"")</f>
        <v>0.62742291332876654</v>
      </c>
      <c r="AD61" s="485">
        <f t="shared" ca="1" si="4"/>
        <v>0.54383545648569354</v>
      </c>
      <c r="AE61" s="489">
        <f t="shared" ca="1" si="5"/>
        <v>0</v>
      </c>
      <c r="AF61" s="493">
        <f ca="1">IF('CDO Bespoke'!O62&lt;&gt;"",'CDO Bespoke'!O62,"")</f>
        <v>1.1712583698144601</v>
      </c>
      <c r="AP61" s="494" t="str">
        <f ca="1">IF('CDO Bespoke'!C86&lt;&gt;"",'CDO Bespoke'!C86,"")</f>
        <v>IMPERIAL BRANDS PLC</v>
      </c>
      <c r="AQ61" s="496">
        <f ca="1"/>
        <v>7.333169198542322E-3</v>
      </c>
      <c r="AR61" s="585">
        <f ca="1"/>
        <v>2.4126561899429078E-2</v>
      </c>
      <c r="AS61" s="585">
        <f ca="1"/>
        <v>6.3112599399950398E-2</v>
      </c>
      <c r="AT61" s="585">
        <f ca="1"/>
        <v>1.3729072380996854</v>
      </c>
      <c r="AU61" s="497">
        <f ca="1"/>
        <v>0</v>
      </c>
      <c r="AV61" s="627">
        <f ca="1"/>
        <v>0</v>
      </c>
      <c r="AW61" s="496">
        <f ca="1"/>
        <v>3.3314013000041581E-4</v>
      </c>
      <c r="AX61" s="585">
        <f ca="1"/>
        <v>1.6964829430013775E-3</v>
      </c>
      <c r="AY61" s="585">
        <f ca="1"/>
        <v>6.3627376710017475E-3</v>
      </c>
      <c r="AZ61" s="585">
        <f ca="1"/>
        <v>1.4651732271699991</v>
      </c>
      <c r="BA61" s="497">
        <f ca="1"/>
        <v>0</v>
      </c>
      <c r="BB61" s="627">
        <f ca="1"/>
        <v>0</v>
      </c>
      <c r="BC61" s="580"/>
      <c r="BD61" s="580"/>
      <c r="BE61" s="580"/>
      <c r="BF61" s="580"/>
      <c r="BG61" s="579"/>
    </row>
    <row r="62" spans="2:59">
      <c r="B62" s="517" t="s">
        <v>611</v>
      </c>
      <c r="C62" s="518" t="s">
        <v>66</v>
      </c>
      <c r="D62" s="518" t="s">
        <v>57</v>
      </c>
      <c r="E62" s="518" t="s">
        <v>648</v>
      </c>
      <c r="F62" s="518" t="s">
        <v>647</v>
      </c>
      <c r="G62" s="525">
        <v>0.01</v>
      </c>
      <c r="H62" s="525">
        <v>8.8269999999999998E-3</v>
      </c>
      <c r="I62" s="527">
        <v>0.4</v>
      </c>
      <c r="J62" s="594">
        <v>4</v>
      </c>
      <c r="K62" s="519">
        <v>13</v>
      </c>
      <c r="L62" s="272"/>
      <c r="M62" s="272"/>
      <c r="P62" s="273"/>
      <c r="Q62" s="273"/>
      <c r="R62" s="273"/>
      <c r="S62" s="273"/>
      <c r="T62" s="576">
        <f ca="1"/>
        <v>0.02</v>
      </c>
      <c r="U62" s="573">
        <f ca="1"/>
        <v>54</v>
      </c>
      <c r="V62" s="576">
        <f t="shared" ca="1" si="6"/>
        <v>0</v>
      </c>
      <c r="W62" s="576">
        <f t="shared" ca="1" si="7"/>
        <v>0</v>
      </c>
      <c r="X62" s="484">
        <f ca="1">IF('CDO Bespoke'!O63&lt;&gt;"",'CDO Bespoke'!O63,"")</f>
        <v>1.17492157920087</v>
      </c>
      <c r="Y62" s="485">
        <f ca="1">IF(X62&lt;&gt;"",ABS(MIN(-0.75*('CDO Bespoke'!Q63)+'CDO Bespoke'!T63,0)),"")</f>
        <v>1.1658119289352844</v>
      </c>
      <c r="Z62" s="485">
        <f t="shared" ca="1" si="2"/>
        <v>9.1096502655856337E-3</v>
      </c>
      <c r="AA62" s="485">
        <f t="shared" ca="1" si="3"/>
        <v>0</v>
      </c>
      <c r="AB62" s="484">
        <f ca="1">IF('CDO Bespoke'!O63&lt;&gt;"",'CDO Bespoke'!O63,"")</f>
        <v>1.17492157920087</v>
      </c>
      <c r="AC62" s="485">
        <f ca="1">IF(AB62&lt;&gt;"",ABS(MIN(-0.75*('CDO Bespoke'!K63)+'CDO Bespoke'!T63,0)),"")</f>
        <v>0.60876289323142196</v>
      </c>
      <c r="AD62" s="485">
        <f t="shared" ca="1" si="4"/>
        <v>0.56615868596944807</v>
      </c>
      <c r="AE62" s="489">
        <f t="shared" ca="1" si="5"/>
        <v>0</v>
      </c>
      <c r="AF62" s="493">
        <f ca="1">IF('CDO Bespoke'!O63&lt;&gt;"",'CDO Bespoke'!O63,"")</f>
        <v>1.17492157920087</v>
      </c>
      <c r="AP62" s="494" t="str">
        <f ca="1">IF('CDO Bespoke'!C87&lt;&gt;"",'CDO Bespoke'!C87,"")</f>
        <v>Kering</v>
      </c>
      <c r="AQ62" s="496">
        <f ca="1"/>
        <v>8.0778822986182774E-3</v>
      </c>
      <c r="AR62" s="585">
        <f ca="1"/>
        <v>2.6718867598418683E-2</v>
      </c>
      <c r="AS62" s="585">
        <f ca="1"/>
        <v>7.2838358500249001E-2</v>
      </c>
      <c r="AT62" s="585">
        <f ca="1"/>
        <v>1.1948444006004699</v>
      </c>
      <c r="AU62" s="497">
        <f ca="1"/>
        <v>0</v>
      </c>
      <c r="AV62" s="627">
        <f ca="1"/>
        <v>0</v>
      </c>
      <c r="AW62" s="496">
        <f ca="1"/>
        <v>6.5971224229993686E-4</v>
      </c>
      <c r="AX62" s="585">
        <f ca="1"/>
        <v>3.2205131514015384E-3</v>
      </c>
      <c r="AY62" s="585">
        <f ca="1"/>
        <v>1.4068890906299147E-2</v>
      </c>
      <c r="AZ62" s="585">
        <f ca="1"/>
        <v>1.2856681063893975</v>
      </c>
      <c r="BA62" s="497">
        <f ca="1"/>
        <v>0</v>
      </c>
      <c r="BB62" s="627">
        <f ca="1"/>
        <v>0</v>
      </c>
      <c r="BC62" s="580"/>
      <c r="BD62" s="580"/>
      <c r="BE62" s="580"/>
      <c r="BF62" s="580"/>
      <c r="BG62" s="579"/>
    </row>
    <row r="63" spans="2:59">
      <c r="B63" s="534" t="s">
        <v>611</v>
      </c>
      <c r="C63" s="535" t="s">
        <v>66</v>
      </c>
      <c r="D63" s="535" t="s">
        <v>59</v>
      </c>
      <c r="E63" s="535" t="s">
        <v>648</v>
      </c>
      <c r="F63" s="535" t="s">
        <v>647</v>
      </c>
      <c r="G63" s="536">
        <v>0.01</v>
      </c>
      <c r="H63" s="536">
        <v>1.2491E-2</v>
      </c>
      <c r="I63" s="537">
        <v>0.4</v>
      </c>
      <c r="J63" s="595">
        <v>4</v>
      </c>
      <c r="K63" s="538">
        <v>13</v>
      </c>
      <c r="L63" s="272"/>
      <c r="M63" s="272"/>
      <c r="P63" s="273"/>
      <c r="Q63" s="273"/>
      <c r="R63" s="273"/>
      <c r="S63" s="273"/>
      <c r="T63" s="576">
        <f ca="1"/>
        <v>0.06</v>
      </c>
      <c r="U63" s="573">
        <f ca="1"/>
        <v>55</v>
      </c>
      <c r="V63" s="576">
        <f t="shared" ca="1" si="6"/>
        <v>0</v>
      </c>
      <c r="W63" s="576">
        <f t="shared" ca="1" si="7"/>
        <v>0</v>
      </c>
      <c r="X63" s="484">
        <f ca="1">IF('CDO Bespoke'!O64&lt;&gt;"",'CDO Bespoke'!O64,"")</f>
        <v>1.1763785571815399</v>
      </c>
      <c r="Y63" s="485">
        <f ca="1">IF(X63&lt;&gt;"",ABS(MIN(-0.75*('CDO Bespoke'!Q64)+'CDO Bespoke'!T64,0)),"")</f>
        <v>1.1662057360566354</v>
      </c>
      <c r="Z63" s="485">
        <f t="shared" ca="1" si="2"/>
        <v>1.0172821124904585E-2</v>
      </c>
      <c r="AA63" s="485">
        <f t="shared" ca="1" si="3"/>
        <v>0</v>
      </c>
      <c r="AB63" s="484">
        <f ca="1">IF('CDO Bespoke'!O64&lt;&gt;"",'CDO Bespoke'!O64,"")</f>
        <v>1.1763785571815399</v>
      </c>
      <c r="AC63" s="485">
        <f ca="1">IF(AB63&lt;&gt;"",ABS(MIN(-0.75*('CDO Bespoke'!K64)+'CDO Bespoke'!T64,0)),"")</f>
        <v>0.5953693980073419</v>
      </c>
      <c r="AD63" s="485">
        <f t="shared" ca="1" si="4"/>
        <v>0.58100915917419804</v>
      </c>
      <c r="AE63" s="489">
        <f t="shared" ca="1" si="5"/>
        <v>0</v>
      </c>
      <c r="AF63" s="493">
        <f ca="1">IF('CDO Bespoke'!O64&lt;&gt;"",'CDO Bespoke'!O64,"")</f>
        <v>1.1763785571815399</v>
      </c>
      <c r="AP63" s="494" t="str">
        <f ca="1">IF('CDO Bespoke'!C88&lt;&gt;"",'CDO Bespoke'!C88,"")</f>
        <v>Koninklijke Ahold Delhaize N.V.</v>
      </c>
      <c r="AQ63" s="496">
        <f ca="1"/>
        <v>1.0204263989344042E-3</v>
      </c>
      <c r="AR63" s="585">
        <f ca="1"/>
        <v>-5.1020223001962961E-3</v>
      </c>
      <c r="AS63" s="585">
        <f ca="1"/>
        <v>-5.7562021100743266E-2</v>
      </c>
      <c r="AT63" s="585">
        <f ca="1"/>
        <v>1.9833239196986874</v>
      </c>
      <c r="AU63" s="497">
        <f ca="1"/>
        <v>0</v>
      </c>
      <c r="AV63" s="627">
        <f ca="1"/>
        <v>0</v>
      </c>
      <c r="AW63" s="496">
        <f ca="1"/>
        <v>-3.7012270430458738E-3</v>
      </c>
      <c r="AX63" s="585">
        <f ca="1"/>
        <v>-1.7319967485010523E-2</v>
      </c>
      <c r="AY63" s="585">
        <f ca="1"/>
        <v>-8.0906589993989808E-2</v>
      </c>
      <c r="AZ63" s="585">
        <f ca="1"/>
        <v>2.0350675209149931</v>
      </c>
      <c r="BA63" s="497">
        <f ca="1"/>
        <v>0</v>
      </c>
      <c r="BB63" s="627">
        <f ca="1"/>
        <v>0</v>
      </c>
      <c r="BC63" s="580"/>
      <c r="BD63" s="580"/>
      <c r="BE63" s="580"/>
      <c r="BF63" s="580"/>
      <c r="BG63" s="579"/>
    </row>
    <row r="64" spans="2:59">
      <c r="B64" s="539" t="s">
        <v>517</v>
      </c>
      <c r="C64" s="540" t="s">
        <v>66</v>
      </c>
      <c r="D64" s="540" t="s">
        <v>55</v>
      </c>
      <c r="E64" s="540" t="s">
        <v>648</v>
      </c>
      <c r="F64" s="540" t="s">
        <v>647</v>
      </c>
      <c r="G64" s="541">
        <v>0.01</v>
      </c>
      <c r="H64" s="541">
        <v>2.905E-3</v>
      </c>
      <c r="I64" s="542">
        <v>0.4</v>
      </c>
      <c r="J64" s="602">
        <v>4</v>
      </c>
      <c r="K64" s="543">
        <v>14</v>
      </c>
      <c r="L64" s="272"/>
      <c r="M64" s="272"/>
      <c r="P64" s="273"/>
      <c r="Q64" s="273"/>
      <c r="R64" s="273"/>
      <c r="S64" s="273"/>
      <c r="T64" s="576">
        <f ca="1"/>
        <v>0.06</v>
      </c>
      <c r="U64" s="573">
        <f ca="1"/>
        <v>56</v>
      </c>
      <c r="V64" s="576">
        <f t="shared" ca="1" si="6"/>
        <v>0</v>
      </c>
      <c r="W64" s="576">
        <f t="shared" ca="1" si="7"/>
        <v>0</v>
      </c>
      <c r="X64" s="484">
        <f ca="1">IF('CDO Bespoke'!O65&lt;&gt;"",'CDO Bespoke'!O65,"")</f>
        <v>1.17398995751568</v>
      </c>
      <c r="Y64" s="485">
        <f ca="1">IF(X64&lt;&gt;"",ABS(MIN(-0.75*('CDO Bespoke'!Q65)+'CDO Bespoke'!T65,0)),"")</f>
        <v>1.1655473192310168</v>
      </c>
      <c r="Z64" s="485">
        <f t="shared" ca="1" si="2"/>
        <v>8.4426382846631842E-3</v>
      </c>
      <c r="AA64" s="485">
        <f t="shared" ca="1" si="3"/>
        <v>0</v>
      </c>
      <c r="AB64" s="484">
        <f ca="1">IF('CDO Bespoke'!O65&lt;&gt;"",'CDO Bespoke'!O65,"")</f>
        <v>1.17398995751568</v>
      </c>
      <c r="AC64" s="485">
        <f ca="1">IF(AB64&lt;&gt;"",ABS(MIN(-0.75*('CDO Bespoke'!K65)+'CDO Bespoke'!T65,0)),"")</f>
        <v>0.61493242756817057</v>
      </c>
      <c r="AD64" s="485">
        <f t="shared" ca="1" si="4"/>
        <v>0.55905752994750946</v>
      </c>
      <c r="AE64" s="489">
        <f t="shared" ca="1" si="5"/>
        <v>0</v>
      </c>
      <c r="AF64" s="493">
        <f ca="1">IF('CDO Bespoke'!O65&lt;&gt;"",'CDO Bespoke'!O65,"")</f>
        <v>1.17398995751568</v>
      </c>
      <c r="AP64" s="494" t="str">
        <f ca="1">IF('CDO Bespoke'!C89&lt;&gt;"",'CDO Bespoke'!C89,"")</f>
        <v>Koninklijke Philips N.V.</v>
      </c>
      <c r="AQ64" s="496">
        <f ca="1"/>
        <v>7.934734298498114E-3</v>
      </c>
      <c r="AR64" s="585">
        <f ca="1"/>
        <v>2.6296427000360723E-2</v>
      </c>
      <c r="AS64" s="585">
        <f ca="1"/>
        <v>7.1425753900289379E-2</v>
      </c>
      <c r="AT64" s="585">
        <f ca="1"/>
        <v>1.2376320817986119</v>
      </c>
      <c r="AU64" s="497">
        <f ca="1"/>
        <v>0</v>
      </c>
      <c r="AV64" s="627">
        <f ca="1"/>
        <v>0</v>
      </c>
      <c r="AW64" s="496">
        <f ca="1"/>
        <v>6.0438556139831567E-4</v>
      </c>
      <c r="AX64" s="585">
        <f ca="1"/>
        <v>2.9649736341987032E-3</v>
      </c>
      <c r="AY64" s="585">
        <f ca="1"/>
        <v>1.277164952660087E-2</v>
      </c>
      <c r="AZ64" s="585">
        <f ca="1"/>
        <v>1.3307946871381031</v>
      </c>
      <c r="BA64" s="497">
        <f ca="1"/>
        <v>0</v>
      </c>
      <c r="BB64" s="627">
        <f ca="1"/>
        <v>0</v>
      </c>
      <c r="BC64" s="580"/>
      <c r="BD64" s="580"/>
      <c r="BE64" s="580"/>
      <c r="BF64" s="580"/>
      <c r="BG64" s="579"/>
    </row>
    <row r="65" spans="2:59">
      <c r="B65" s="517" t="s">
        <v>517</v>
      </c>
      <c r="C65" s="518" t="s">
        <v>66</v>
      </c>
      <c r="D65" s="518" t="s">
        <v>57</v>
      </c>
      <c r="E65" s="518" t="s">
        <v>648</v>
      </c>
      <c r="F65" s="518" t="s">
        <v>647</v>
      </c>
      <c r="G65" s="525">
        <v>0.01</v>
      </c>
      <c r="H65" s="525">
        <v>4.709E-2</v>
      </c>
      <c r="I65" s="527">
        <v>0.4</v>
      </c>
      <c r="J65" s="594">
        <v>4</v>
      </c>
      <c r="K65" s="519">
        <v>14</v>
      </c>
      <c r="L65" s="272"/>
      <c r="M65" s="272"/>
      <c r="P65" s="273"/>
      <c r="Q65" s="273"/>
      <c r="R65" s="273"/>
      <c r="S65" s="273"/>
      <c r="T65" s="576">
        <f ca="1"/>
        <v>0.06</v>
      </c>
      <c r="U65" s="573">
        <f ca="1"/>
        <v>57</v>
      </c>
      <c r="V65" s="576">
        <f t="shared" ca="1" si="6"/>
        <v>0</v>
      </c>
      <c r="W65" s="576">
        <f t="shared" ca="1" si="7"/>
        <v>0</v>
      </c>
      <c r="X65" s="484">
        <f ca="1">IF('CDO Bespoke'!O66&lt;&gt;"",'CDO Bespoke'!O66,"")</f>
        <v>1.1667610771927499</v>
      </c>
      <c r="Y65" s="485">
        <f ca="1">IF(X65&lt;&gt;"",ABS(MIN(-0.75*('CDO Bespoke'!Q66)+'CDO Bespoke'!T66,0)),"")</f>
        <v>1.1633396539730112</v>
      </c>
      <c r="Z65" s="485">
        <f t="shared" ca="1" si="2"/>
        <v>3.4214232197387062E-3</v>
      </c>
      <c r="AA65" s="485">
        <f t="shared" ca="1" si="3"/>
        <v>0</v>
      </c>
      <c r="AB65" s="484">
        <f ca="1">IF('CDO Bespoke'!O66&lt;&gt;"",'CDO Bespoke'!O66,"")</f>
        <v>1.1667610771927499</v>
      </c>
      <c r="AC65" s="485">
        <f ca="1">IF(AB65&lt;&gt;"",ABS(MIN(-0.75*('CDO Bespoke'!K66)+'CDO Bespoke'!T66,0)),"")</f>
        <v>0.63896230006205601</v>
      </c>
      <c r="AD65" s="485">
        <f t="shared" ca="1" si="4"/>
        <v>0.5277987771306939</v>
      </c>
      <c r="AE65" s="489">
        <f t="shared" ca="1" si="5"/>
        <v>0</v>
      </c>
      <c r="AF65" s="493">
        <f ca="1">IF('CDO Bespoke'!O66&lt;&gt;"",'CDO Bespoke'!O66,"")</f>
        <v>1.1667610771927499</v>
      </c>
      <c r="AP65" s="494" t="str">
        <f ca="1">IF('CDO Bespoke'!C90&lt;&gt;"",'CDO Bespoke'!C90,"")</f>
        <v>Louis Dreyfus Company B.V.</v>
      </c>
      <c r="AQ65" s="496">
        <f ca="1"/>
        <v>6.3561049001847891E-3</v>
      </c>
      <c r="AR65" s="585">
        <f ca="1"/>
        <v>2.0313289299522808E-2</v>
      </c>
      <c r="AS65" s="585">
        <f ca="1"/>
        <v>4.826179069938874E-2</v>
      </c>
      <c r="AT65" s="585">
        <f ca="1"/>
        <v>1.5255518053991501</v>
      </c>
      <c r="AU65" s="497">
        <f ca="1"/>
        <v>0</v>
      </c>
      <c r="AV65" s="627">
        <f ca="1"/>
        <v>0</v>
      </c>
      <c r="AW65" s="496">
        <f ca="1"/>
        <v>-2.1579787399736428E-4</v>
      </c>
      <c r="AX65" s="585">
        <f ca="1"/>
        <v>-8.9813730500074712E-4</v>
      </c>
      <c r="AY65" s="585">
        <f ca="1"/>
        <v>-5.720960359000514E-3</v>
      </c>
      <c r="AZ65" s="585">
        <f ca="1"/>
        <v>1.6130319977650025</v>
      </c>
      <c r="BA65" s="497">
        <f ca="1"/>
        <v>0</v>
      </c>
      <c r="BB65" s="627">
        <f ca="1"/>
        <v>0</v>
      </c>
      <c r="BC65" s="580"/>
      <c r="BD65" s="580"/>
      <c r="BE65" s="580"/>
      <c r="BF65" s="580"/>
      <c r="BG65" s="579"/>
    </row>
    <row r="66" spans="2:59">
      <c r="B66" s="534" t="s">
        <v>517</v>
      </c>
      <c r="C66" s="535" t="s">
        <v>66</v>
      </c>
      <c r="D66" s="535" t="s">
        <v>59</v>
      </c>
      <c r="E66" s="535" t="s">
        <v>648</v>
      </c>
      <c r="F66" s="535" t="s">
        <v>647</v>
      </c>
      <c r="G66" s="536">
        <v>0.01</v>
      </c>
      <c r="H66" s="536">
        <v>6.6230000000000004E-3</v>
      </c>
      <c r="I66" s="537">
        <v>0.4</v>
      </c>
      <c r="J66" s="595">
        <v>4</v>
      </c>
      <c r="K66" s="538">
        <v>14</v>
      </c>
      <c r="L66" s="272"/>
      <c r="M66" s="272"/>
      <c r="P66" s="273"/>
      <c r="Q66" s="273"/>
      <c r="R66" s="273"/>
      <c r="S66" s="273"/>
      <c r="T66" s="576">
        <f ca="1"/>
        <v>0.06</v>
      </c>
      <c r="U66" s="573">
        <f ca="1"/>
        <v>58</v>
      </c>
      <c r="V66" s="576">
        <f t="shared" ca="1" si="6"/>
        <v>0</v>
      </c>
      <c r="W66" s="576">
        <f t="shared" ca="1" si="7"/>
        <v>0</v>
      </c>
      <c r="X66" s="484">
        <f ca="1">IF('CDO Bespoke'!O67&lt;&gt;"",'CDO Bespoke'!O67,"")</f>
        <v>1.17648287059653</v>
      </c>
      <c r="Y66" s="485">
        <f ca="1">IF(X66&lt;&gt;"",ABS(MIN(-0.75*('CDO Bespoke'!Q67)+'CDO Bespoke'!T67,0)),"")</f>
        <v>1.1662326770858142</v>
      </c>
      <c r="Z66" s="485">
        <f t="shared" ca="1" si="2"/>
        <v>1.0250193510715766E-2</v>
      </c>
      <c r="AA66" s="485">
        <f t="shared" ca="1" si="3"/>
        <v>0</v>
      </c>
      <c r="AB66" s="484">
        <f ca="1">IF('CDO Bespoke'!O67&lt;&gt;"",'CDO Bespoke'!O67,"")</f>
        <v>1.17648287059653</v>
      </c>
      <c r="AC66" s="485">
        <f ca="1">IF(AB66&lt;&gt;"",ABS(MIN(-0.75*('CDO Bespoke'!K67)+'CDO Bespoke'!T67,0)),"")</f>
        <v>0.59414598913287953</v>
      </c>
      <c r="AD66" s="485">
        <f t="shared" ca="1" si="4"/>
        <v>0.58233688146365048</v>
      </c>
      <c r="AE66" s="489">
        <f t="shared" ca="1" si="5"/>
        <v>0</v>
      </c>
      <c r="AF66" s="493">
        <f ca="1">IF('CDO Bespoke'!O67&lt;&gt;"",'CDO Bespoke'!O67,"")</f>
        <v>1.17648287059653</v>
      </c>
      <c r="AP66" s="494" t="str">
        <f ca="1">IF('CDO Bespoke'!C91&lt;&gt;"",'CDO Bespoke'!C91,"")</f>
        <v>LVMH MOET HENNESSY LOUIS VUITTON</v>
      </c>
      <c r="AQ66" s="496">
        <f ca="1"/>
        <v>8.3222233993041073E-3</v>
      </c>
      <c r="AR66" s="585">
        <f ca="1"/>
        <v>2.7344809598872644E-2</v>
      </c>
      <c r="AS66" s="585">
        <f ca="1"/>
        <v>7.4684398299051935E-2</v>
      </c>
      <c r="AT66" s="585">
        <f ca="1"/>
        <v>1.1034109132990189</v>
      </c>
      <c r="AU66" s="497">
        <f ca="1"/>
        <v>0</v>
      </c>
      <c r="AV66" s="627">
        <f ca="1"/>
        <v>0</v>
      </c>
      <c r="AW66" s="496">
        <f ca="1"/>
        <v>7.3794680689916181E-4</v>
      </c>
      <c r="AX66" s="585">
        <f ca="1"/>
        <v>3.577823705002911E-3</v>
      </c>
      <c r="AY66" s="585">
        <f ca="1"/>
        <v>1.5913335315803981E-2</v>
      </c>
      <c r="AZ66" s="585">
        <f ca="1"/>
        <v>1.1927966438212041</v>
      </c>
      <c r="BA66" s="497">
        <f ca="1"/>
        <v>0</v>
      </c>
      <c r="BB66" s="627">
        <f ca="1"/>
        <v>0</v>
      </c>
      <c r="BC66" s="580"/>
      <c r="BD66" s="580"/>
      <c r="BE66" s="580"/>
      <c r="BF66" s="580"/>
      <c r="BG66" s="579"/>
    </row>
    <row r="67" spans="2:59">
      <c r="B67" s="539" t="s">
        <v>518</v>
      </c>
      <c r="C67" s="540" t="s">
        <v>66</v>
      </c>
      <c r="D67" s="540" t="s">
        <v>55</v>
      </c>
      <c r="E67" s="540" t="s">
        <v>648</v>
      </c>
      <c r="F67" s="540" t="s">
        <v>671</v>
      </c>
      <c r="G67" s="541">
        <v>0.01</v>
      </c>
      <c r="H67" s="541">
        <v>5.1570000000000001E-3</v>
      </c>
      <c r="I67" s="542">
        <v>0.4</v>
      </c>
      <c r="J67" s="602">
        <v>5</v>
      </c>
      <c r="K67" s="543">
        <v>15</v>
      </c>
      <c r="L67" s="272"/>
      <c r="M67" s="272"/>
      <c r="P67" s="273"/>
      <c r="Q67" s="273"/>
      <c r="R67" s="273"/>
      <c r="S67" s="273"/>
      <c r="T67" s="576">
        <f ca="1"/>
        <v>0.06</v>
      </c>
      <c r="U67" s="573">
        <f ca="1"/>
        <v>59</v>
      </c>
      <c r="V67" s="576">
        <f t="shared" ca="1" si="6"/>
        <v>0</v>
      </c>
      <c r="W67" s="576">
        <f t="shared" ca="1" si="7"/>
        <v>0</v>
      </c>
      <c r="X67" s="484">
        <f ca="1">IF('CDO Bespoke'!O68&lt;&gt;"",'CDO Bespoke'!O68,"")</f>
        <v>1.17621420466292</v>
      </c>
      <c r="Y67" s="485">
        <f ca="1">IF(X67&lt;&gt;"",ABS(MIN(-0.75*('CDO Bespoke'!Q68)+'CDO Bespoke'!T68,0)),"")</f>
        <v>1.1661628885626796</v>
      </c>
      <c r="Z67" s="485">
        <f t="shared" ca="1" si="2"/>
        <v>1.0051316100240459E-2</v>
      </c>
      <c r="AA67" s="485">
        <f t="shared" ca="1" si="3"/>
        <v>0</v>
      </c>
      <c r="AB67" s="484">
        <f ca="1">IF('CDO Bespoke'!O68&lt;&gt;"",'CDO Bespoke'!O68,"")</f>
        <v>1.17621420466292</v>
      </c>
      <c r="AC67" s="485">
        <f ca="1">IF(AB67&lt;&gt;"",ABS(MIN(-0.75*('CDO Bespoke'!K68)+'CDO Bespoke'!T68,0)),"")</f>
        <v>0.5972064511513987</v>
      </c>
      <c r="AD67" s="485">
        <f t="shared" ca="1" si="4"/>
        <v>0.57900775351152134</v>
      </c>
      <c r="AE67" s="489">
        <f t="shared" ca="1" si="5"/>
        <v>0</v>
      </c>
      <c r="AF67" s="493">
        <f ca="1">IF('CDO Bespoke'!O68&lt;&gt;"",'CDO Bespoke'!O68,"")</f>
        <v>1.17621420466292</v>
      </c>
      <c r="AP67" s="494" t="str">
        <f ca="1">IF('CDO Bespoke'!C92&lt;&gt;"",'CDO Bespoke'!C92,"")</f>
        <v>Nestle S.A.</v>
      </c>
      <c r="AQ67" s="496">
        <f ca="1"/>
        <v>8.4495167995690679E-3</v>
      </c>
      <c r="AR67" s="585">
        <f ca="1"/>
        <v>2.7949090299905777E-2</v>
      </c>
      <c r="AS67" s="585">
        <f ca="1"/>
        <v>7.6969692099915221E-2</v>
      </c>
      <c r="AT67" s="585">
        <f ca="1"/>
        <v>1.0703637928988208</v>
      </c>
      <c r="AU67" s="497">
        <f ca="1"/>
        <v>0</v>
      </c>
      <c r="AV67" s="627">
        <f ca="1"/>
        <v>0</v>
      </c>
      <c r="AW67" s="496">
        <f ca="1"/>
        <v>7.5158736879965549E-4</v>
      </c>
      <c r="AX67" s="585">
        <f ca="1"/>
        <v>3.6407563522994346E-3</v>
      </c>
      <c r="AY67" s="585">
        <f ca="1"/>
        <v>1.6287070057300485E-2</v>
      </c>
      <c r="AZ67" s="585">
        <f ca="1"/>
        <v>1.1615524979416945</v>
      </c>
      <c r="BA67" s="497">
        <f ca="1"/>
        <v>0</v>
      </c>
      <c r="BB67" s="627">
        <f ca="1"/>
        <v>0</v>
      </c>
      <c r="BC67" s="580"/>
      <c r="BD67" s="580"/>
      <c r="BE67" s="580"/>
      <c r="BF67" s="580"/>
      <c r="BG67" s="579"/>
    </row>
    <row r="68" spans="2:59">
      <c r="B68" s="517" t="s">
        <v>518</v>
      </c>
      <c r="C68" s="518" t="s">
        <v>66</v>
      </c>
      <c r="D68" s="518" t="s">
        <v>57</v>
      </c>
      <c r="E68" s="518" t="s">
        <v>648</v>
      </c>
      <c r="F68" s="518" t="s">
        <v>671</v>
      </c>
      <c r="G68" s="525">
        <v>0.01</v>
      </c>
      <c r="H68" s="525">
        <v>9.7490000000000007E-3</v>
      </c>
      <c r="I68" s="527">
        <v>0.4</v>
      </c>
      <c r="J68" s="594">
        <v>5</v>
      </c>
      <c r="K68" s="519">
        <v>15</v>
      </c>
      <c r="L68" s="272"/>
      <c r="M68" s="272"/>
      <c r="P68" s="273"/>
      <c r="Q68" s="273"/>
      <c r="R68" s="273"/>
      <c r="S68" s="273"/>
      <c r="T68" s="576">
        <f ca="1"/>
        <v>0.03</v>
      </c>
      <c r="U68" s="573">
        <f ca="1"/>
        <v>60</v>
      </c>
      <c r="V68" s="576">
        <f t="shared" ca="1" si="6"/>
        <v>0</v>
      </c>
      <c r="W68" s="576">
        <f t="shared" ca="1" si="7"/>
        <v>0</v>
      </c>
      <c r="X68" s="484">
        <f ca="1">IF('CDO Bespoke'!O69&lt;&gt;"",'CDO Bespoke'!O69,"")</f>
        <v>1.1754808061070601</v>
      </c>
      <c r="Y68" s="485">
        <f ca="1">IF(X68&lt;&gt;"",ABS(MIN(-0.75*('CDO Bespoke'!Q69)+'CDO Bespoke'!T69,0)),"")</f>
        <v>1.1659664736965214</v>
      </c>
      <c r="Z68" s="485">
        <f t="shared" ca="1" si="2"/>
        <v>9.5143324105386728E-3</v>
      </c>
      <c r="AA68" s="485">
        <f t="shared" ca="1" si="3"/>
        <v>0</v>
      </c>
      <c r="AB68" s="484">
        <f ca="1">IF('CDO Bespoke'!O69&lt;&gt;"",'CDO Bespoke'!O69,"")</f>
        <v>1.1754808061070601</v>
      </c>
      <c r="AC68" s="485">
        <f ca="1">IF(AB68&lt;&gt;"",ABS(MIN(-0.75*('CDO Bespoke'!K69)+'CDO Bespoke'!T69,0)),"")</f>
        <v>0.60429547032012554</v>
      </c>
      <c r="AD68" s="485">
        <f t="shared" ca="1" si="4"/>
        <v>0.57118533578693453</v>
      </c>
      <c r="AE68" s="489">
        <f t="shared" ca="1" si="5"/>
        <v>0</v>
      </c>
      <c r="AF68" s="493">
        <f ca="1">IF('CDO Bespoke'!O69&lt;&gt;"",'CDO Bespoke'!O69,"")</f>
        <v>1.1754808061070601</v>
      </c>
      <c r="AP68" s="494" t="str">
        <f ca="1">IF('CDO Bespoke'!C93&lt;&gt;"",'CDO Bespoke'!C93,"")</f>
        <v>NEXT PLC</v>
      </c>
      <c r="AQ68" s="496">
        <f ca="1"/>
        <v>7.8883888998682039E-3</v>
      </c>
      <c r="AR68" s="585">
        <f ca="1"/>
        <v>2.579273020053563E-2</v>
      </c>
      <c r="AS68" s="585">
        <f ca="1"/>
        <v>6.9138240499366788E-2</v>
      </c>
      <c r="AT68" s="585">
        <f ca="1"/>
        <v>1.2362065532989241</v>
      </c>
      <c r="AU68" s="497">
        <f ca="1"/>
        <v>0</v>
      </c>
      <c r="AV68" s="627">
        <f ca="1"/>
        <v>0</v>
      </c>
      <c r="AW68" s="496">
        <f ca="1"/>
        <v>6.1532866029931355E-4</v>
      </c>
      <c r="AX68" s="585">
        <f ca="1"/>
        <v>3.0120882833946372E-3</v>
      </c>
      <c r="AY68" s="585">
        <f ca="1"/>
        <v>1.2946871578095945E-2</v>
      </c>
      <c r="AZ68" s="585">
        <f ca="1"/>
        <v>1.3244698762000013</v>
      </c>
      <c r="BA68" s="497">
        <f ca="1"/>
        <v>0</v>
      </c>
      <c r="BB68" s="627">
        <f ca="1"/>
        <v>0</v>
      </c>
      <c r="BC68" s="580"/>
      <c r="BD68" s="580"/>
      <c r="BE68" s="580"/>
      <c r="BF68" s="580"/>
      <c r="BG68" s="579"/>
    </row>
    <row r="69" spans="2:59">
      <c r="B69" s="534" t="s">
        <v>518</v>
      </c>
      <c r="C69" s="535" t="s">
        <v>66</v>
      </c>
      <c r="D69" s="535" t="s">
        <v>59</v>
      </c>
      <c r="E69" s="535" t="s">
        <v>648</v>
      </c>
      <c r="F69" s="535" t="s">
        <v>671</v>
      </c>
      <c r="G69" s="536">
        <v>0.01</v>
      </c>
      <c r="H69" s="536">
        <v>1.2806E-2</v>
      </c>
      <c r="I69" s="537">
        <v>0.4</v>
      </c>
      <c r="J69" s="595">
        <v>5</v>
      </c>
      <c r="K69" s="538">
        <v>15</v>
      </c>
      <c r="L69" s="272"/>
      <c r="M69" s="272"/>
      <c r="P69" s="273"/>
      <c r="Q69" s="273"/>
      <c r="R69" s="273"/>
      <c r="S69" s="273"/>
      <c r="T69" s="576">
        <f ca="1"/>
        <v>0.03</v>
      </c>
      <c r="U69" s="573">
        <f ca="1"/>
        <v>61</v>
      </c>
      <c r="V69" s="576">
        <f t="shared" ca="1" si="6"/>
        <v>0</v>
      </c>
      <c r="W69" s="576">
        <f t="shared" ca="1" si="7"/>
        <v>0</v>
      </c>
      <c r="X69" s="484">
        <f ca="1">IF('CDO Bespoke'!O70&lt;&gt;"",'CDO Bespoke'!O70,"")</f>
        <v>1.1756024758655399</v>
      </c>
      <c r="Y69" s="485">
        <f ca="1">IF(X69&lt;&gt;"",ABS(MIN(-0.75*('CDO Bespoke'!Q70)+'CDO Bespoke'!T70,0)),"")</f>
        <v>1.1659995908983349</v>
      </c>
      <c r="Z69" s="485">
        <f t="shared" ca="1" si="2"/>
        <v>9.602884967204961E-3</v>
      </c>
      <c r="AA69" s="485">
        <f t="shared" ca="1" si="3"/>
        <v>0</v>
      </c>
      <c r="AB69" s="484">
        <f ca="1">IF('CDO Bespoke'!O70&lt;&gt;"",'CDO Bespoke'!O70,"")</f>
        <v>1.1756024758655399</v>
      </c>
      <c r="AC69" s="485">
        <f ca="1">IF(AB69&lt;&gt;"",ABS(MIN(-0.75*('CDO Bespoke'!K70)+'CDO Bespoke'!T70,0)),"")</f>
        <v>0.6032273681476199</v>
      </c>
      <c r="AD69" s="485">
        <f t="shared" ca="1" si="4"/>
        <v>0.57237510771792</v>
      </c>
      <c r="AE69" s="489">
        <f t="shared" ca="1" si="5"/>
        <v>0</v>
      </c>
      <c r="AF69" s="493">
        <f ca="1">IF('CDO Bespoke'!O70&lt;&gt;"",'CDO Bespoke'!O70,"")</f>
        <v>1.1756024758655399</v>
      </c>
      <c r="AP69" s="494" t="str">
        <f ca="1">IF('CDO Bespoke'!C94&lt;&gt;"",'CDO Bespoke'!C94,"")</f>
        <v>PERNOD RICARD</v>
      </c>
      <c r="AQ69" s="496">
        <f ca="1"/>
        <v>8.1971092003030321E-3</v>
      </c>
      <c r="AR69" s="585">
        <f ca="1"/>
        <v>2.7064187400061002E-2</v>
      </c>
      <c r="AS69" s="585">
        <f ca="1"/>
        <v>7.3954411399235198E-2</v>
      </c>
      <c r="AT69" s="585">
        <f ca="1"/>
        <v>1.1550994274989179</v>
      </c>
      <c r="AU69" s="497">
        <f ca="1"/>
        <v>0</v>
      </c>
      <c r="AV69" s="627">
        <f ca="1"/>
        <v>0</v>
      </c>
      <c r="AW69" s="496">
        <f ca="1"/>
        <v>6.9986604629701521E-4</v>
      </c>
      <c r="AX69" s="585">
        <f ca="1"/>
        <v>3.4050880589990562E-3</v>
      </c>
      <c r="AY69" s="585">
        <f ca="1"/>
        <v>1.5015887019900406E-2</v>
      </c>
      <c r="AZ69" s="585">
        <f ca="1"/>
        <v>1.2455419711391962</v>
      </c>
      <c r="BA69" s="497">
        <f ca="1"/>
        <v>0</v>
      </c>
      <c r="BB69" s="627">
        <f ca="1"/>
        <v>0</v>
      </c>
      <c r="BC69" s="580"/>
      <c r="BD69" s="580"/>
      <c r="BE69" s="580"/>
      <c r="BF69" s="580"/>
      <c r="BG69" s="579"/>
    </row>
    <row r="70" spans="2:59">
      <c r="B70" s="539" t="s">
        <v>533</v>
      </c>
      <c r="C70" s="540" t="s">
        <v>66</v>
      </c>
      <c r="D70" s="540" t="s">
        <v>55</v>
      </c>
      <c r="E70" s="540" t="s">
        <v>648</v>
      </c>
      <c r="F70" s="540" t="s">
        <v>673</v>
      </c>
      <c r="G70" s="541">
        <v>0.01</v>
      </c>
      <c r="H70" s="541">
        <v>5.1190000000000003E-3</v>
      </c>
      <c r="I70" s="542">
        <v>0.4</v>
      </c>
      <c r="J70" s="602">
        <v>4</v>
      </c>
      <c r="K70" s="543">
        <v>16</v>
      </c>
      <c r="L70" s="272"/>
      <c r="M70" s="272"/>
      <c r="P70" s="273"/>
      <c r="Q70" s="273"/>
      <c r="R70" s="273"/>
      <c r="S70" s="273"/>
      <c r="T70" s="576">
        <f ca="1"/>
        <v>0.06</v>
      </c>
      <c r="U70" s="573">
        <f ca="1"/>
        <v>62</v>
      </c>
      <c r="V70" s="576">
        <f t="shared" ca="1" si="6"/>
        <v>0</v>
      </c>
      <c r="W70" s="576">
        <f t="shared" ca="1" si="7"/>
        <v>0</v>
      </c>
      <c r="X70" s="484">
        <f ca="1">IF('CDO Bespoke'!O71&lt;&gt;"",'CDO Bespoke'!O71,"")</f>
        <v>1.1768575088767499</v>
      </c>
      <c r="Y70" s="485">
        <f ca="1">IF(X70&lt;&gt;"",ABS(MIN(-0.75*('CDO Bespoke'!Q71)+'CDO Bespoke'!T71,0)),"")</f>
        <v>1.166327642297315</v>
      </c>
      <c r="Z70" s="485">
        <f t="shared" ca="1" si="2"/>
        <v>1.0529866579434888E-2</v>
      </c>
      <c r="AA70" s="485">
        <f t="shared" ca="1" si="3"/>
        <v>0</v>
      </c>
      <c r="AB70" s="484">
        <f ca="1">IF('CDO Bespoke'!O71&lt;&gt;"",'CDO Bespoke'!O71,"")</f>
        <v>1.1768575088767499</v>
      </c>
      <c r="AC70" s="485">
        <f ca="1">IF(AB70&lt;&gt;"",ABS(MIN(-0.75*('CDO Bespoke'!K71)+'CDO Bespoke'!T71,0)),"")</f>
        <v>0.58932618705773743</v>
      </c>
      <c r="AD70" s="485">
        <f t="shared" ca="1" si="4"/>
        <v>0.58753132181901246</v>
      </c>
      <c r="AE70" s="489">
        <f t="shared" ca="1" si="5"/>
        <v>0</v>
      </c>
      <c r="AF70" s="493">
        <f ca="1">IF('CDO Bespoke'!O71&lt;&gt;"",'CDO Bespoke'!O71,"")</f>
        <v>1.1768575088767499</v>
      </c>
      <c r="AP70" s="494" t="str">
        <f ca="1">IF('CDO Bespoke'!C95&lt;&gt;"",'CDO Bespoke'!C95,"")</f>
        <v>SODEXO</v>
      </c>
      <c r="AQ70" s="496">
        <f ca="1"/>
        <v>8.4141940992488173E-3</v>
      </c>
      <c r="AR70" s="585">
        <f ca="1"/>
        <v>2.7602495300538266E-2</v>
      </c>
      <c r="AS70" s="585">
        <f ca="1"/>
        <v>7.5440989599773189E-2</v>
      </c>
      <c r="AT70" s="585">
        <f ca="1"/>
        <v>1.0654252646991047</v>
      </c>
      <c r="AU70" s="497">
        <f ca="1"/>
        <v>0</v>
      </c>
      <c r="AV70" s="627">
        <f ca="1"/>
        <v>0</v>
      </c>
      <c r="AW70" s="496">
        <f ca="1"/>
        <v>7.5567613709928705E-4</v>
      </c>
      <c r="AX70" s="585">
        <f ca="1"/>
        <v>3.6572544149897357E-3</v>
      </c>
      <c r="AY70" s="585">
        <f ca="1"/>
        <v>1.6349117933495139E-2</v>
      </c>
      <c r="AZ70" s="585">
        <f ca="1"/>
        <v>1.1545179373280943</v>
      </c>
      <c r="BA70" s="497">
        <f ca="1"/>
        <v>0</v>
      </c>
      <c r="BB70" s="627">
        <f ca="1"/>
        <v>0</v>
      </c>
      <c r="BC70" s="580"/>
      <c r="BD70" s="580"/>
      <c r="BE70" s="580"/>
      <c r="BF70" s="580"/>
      <c r="BG70" s="579"/>
    </row>
    <row r="71" spans="2:59">
      <c r="B71" s="517" t="s">
        <v>533</v>
      </c>
      <c r="C71" s="518" t="s">
        <v>66</v>
      </c>
      <c r="D71" s="518" t="s">
        <v>57</v>
      </c>
      <c r="E71" s="518" t="s">
        <v>648</v>
      </c>
      <c r="F71" s="518" t="s">
        <v>673</v>
      </c>
      <c r="G71" s="525">
        <v>0.01</v>
      </c>
      <c r="H71" s="525">
        <v>1.0839E-2</v>
      </c>
      <c r="I71" s="527">
        <v>0.4</v>
      </c>
      <c r="J71" s="594">
        <v>4</v>
      </c>
      <c r="K71" s="519">
        <v>16</v>
      </c>
      <c r="L71" s="272"/>
      <c r="M71" s="272"/>
      <c r="P71" s="273"/>
      <c r="Q71" s="273"/>
      <c r="R71" s="273"/>
      <c r="S71" s="273"/>
      <c r="T71" s="576">
        <f ca="1"/>
        <v>0.06</v>
      </c>
      <c r="U71" s="573">
        <f ca="1"/>
        <v>63</v>
      </c>
      <c r="V71" s="576">
        <f t="shared" ca="1" si="6"/>
        <v>0</v>
      </c>
      <c r="W71" s="576">
        <f t="shared" ca="1" si="7"/>
        <v>0</v>
      </c>
      <c r="X71" s="484">
        <f ca="1">IF('CDO Bespoke'!O72&lt;&gt;"",'CDO Bespoke'!O72,"")</f>
        <v>1.17224448004138</v>
      </c>
      <c r="Y71" s="485">
        <f ca="1">IF(X71&lt;&gt;"",ABS(MIN(-0.75*('CDO Bespoke'!Q72)+'CDO Bespoke'!T72,0)),"")</f>
        <v>1.1650338449836337</v>
      </c>
      <c r="Z71" s="485">
        <f t="shared" ca="1" si="2"/>
        <v>7.2106350577463285E-3</v>
      </c>
      <c r="AA71" s="485">
        <f t="shared" ca="1" si="3"/>
        <v>0</v>
      </c>
      <c r="AB71" s="484">
        <f ca="1">IF('CDO Bespoke'!O72&lt;&gt;"",'CDO Bespoke'!O72,"")</f>
        <v>1.17224448004138</v>
      </c>
      <c r="AC71" s="485">
        <f ca="1">IF(AB71&lt;&gt;"",ABS(MIN(-0.75*('CDO Bespoke'!K72)+'CDO Bespoke'!T72,0)),"")</f>
        <v>0.62362634150961183</v>
      </c>
      <c r="AD71" s="485">
        <f t="shared" ca="1" si="4"/>
        <v>0.54861813853176822</v>
      </c>
      <c r="AE71" s="489">
        <f t="shared" ca="1" si="5"/>
        <v>0</v>
      </c>
      <c r="AF71" s="493">
        <f ca="1">IF('CDO Bespoke'!O72&lt;&gt;"",'CDO Bespoke'!O72,"")</f>
        <v>1.17224448004138</v>
      </c>
      <c r="AP71" s="494" t="str">
        <f ca="1">IF('CDO Bespoke'!C96&lt;&gt;"",'CDO Bespoke'!C96,"")</f>
        <v>Suedzucker AG</v>
      </c>
      <c r="AQ71" s="496">
        <f ca="1"/>
        <v>7.4579640996219609E-3</v>
      </c>
      <c r="AR71" s="585">
        <f ca="1"/>
        <v>2.4532462798987353E-2</v>
      </c>
      <c r="AS71" s="585">
        <f ca="1"/>
        <v>6.4633937300051514E-2</v>
      </c>
      <c r="AT71" s="585">
        <f ca="1"/>
        <v>1.3476011104995855</v>
      </c>
      <c r="AU71" s="497">
        <f ca="1"/>
        <v>0</v>
      </c>
      <c r="AV71" s="627">
        <f ca="1"/>
        <v>0</v>
      </c>
      <c r="AW71" s="496">
        <f ca="1"/>
        <v>4.0019353479952419E-4</v>
      </c>
      <c r="AX71" s="585">
        <f ca="1"/>
        <v>2.0106241374997016E-3</v>
      </c>
      <c r="AY71" s="585">
        <f ca="1"/>
        <v>7.9282945633987745E-3</v>
      </c>
      <c r="AZ71" s="585">
        <f ca="1"/>
        <v>1.439600713193101</v>
      </c>
      <c r="BA71" s="497">
        <f ca="1"/>
        <v>0</v>
      </c>
      <c r="BB71" s="627">
        <f ca="1"/>
        <v>0</v>
      </c>
      <c r="BC71" s="580"/>
      <c r="BD71" s="580"/>
      <c r="BE71" s="580"/>
      <c r="BF71" s="580"/>
      <c r="BG71" s="579"/>
    </row>
    <row r="72" spans="2:59">
      <c r="B72" s="534" t="s">
        <v>533</v>
      </c>
      <c r="C72" s="535" t="s">
        <v>66</v>
      </c>
      <c r="D72" s="535" t="s">
        <v>59</v>
      </c>
      <c r="E72" s="535" t="s">
        <v>648</v>
      </c>
      <c r="F72" s="535" t="s">
        <v>673</v>
      </c>
      <c r="G72" s="536">
        <v>0.01</v>
      </c>
      <c r="H72" s="536">
        <v>1.6057999999999999E-2</v>
      </c>
      <c r="I72" s="537">
        <v>0.4</v>
      </c>
      <c r="J72" s="595">
        <v>4</v>
      </c>
      <c r="K72" s="538">
        <v>16</v>
      </c>
      <c r="L72" s="272"/>
      <c r="M72" s="272"/>
      <c r="P72" s="273"/>
      <c r="Q72" s="273"/>
      <c r="R72" s="273"/>
      <c r="S72" s="273"/>
      <c r="T72" s="576">
        <f ca="1"/>
        <v>0.06</v>
      </c>
      <c r="U72" s="573">
        <f ca="1"/>
        <v>64</v>
      </c>
      <c r="V72" s="576">
        <f t="shared" ca="1" si="6"/>
        <v>0</v>
      </c>
      <c r="W72" s="576">
        <f t="shared" ca="1" si="7"/>
        <v>0</v>
      </c>
      <c r="X72" s="484">
        <f ca="1">IF('CDO Bespoke'!O73&lt;&gt;"",'CDO Bespoke'!O73,"")</f>
        <v>1.17406407585592</v>
      </c>
      <c r="Y72" s="485">
        <f ca="1">IF(X72&lt;&gt;"",ABS(MIN(-0.75*('CDO Bespoke'!Q73)+'CDO Bespoke'!T73,0)),"")</f>
        <v>1.165568653459357</v>
      </c>
      <c r="Z72" s="485">
        <f t="shared" ca="1" si="2"/>
        <v>8.4954223965629794E-3</v>
      </c>
      <c r="AA72" s="485">
        <f t="shared" ca="1" si="3"/>
        <v>0</v>
      </c>
      <c r="AB72" s="484">
        <f ca="1">IF('CDO Bespoke'!O73&lt;&gt;"",'CDO Bespoke'!O73,"")</f>
        <v>1.17406407585592</v>
      </c>
      <c r="AC72" s="485">
        <f ca="1">IF(AB72&lt;&gt;"",ABS(MIN(-0.75*('CDO Bespoke'!K73)+'CDO Bespoke'!T73,0)),"")</f>
        <v>0.614489238649081</v>
      </c>
      <c r="AD72" s="485">
        <f t="shared" ca="1" si="4"/>
        <v>0.55957483720683898</v>
      </c>
      <c r="AE72" s="489">
        <f t="shared" ca="1" si="5"/>
        <v>0</v>
      </c>
      <c r="AF72" s="493">
        <f ca="1">IF('CDO Bespoke'!O73&lt;&gt;"",'CDO Bespoke'!O73,"")</f>
        <v>1.17406407585592</v>
      </c>
      <c r="AP72" s="494" t="str">
        <f ca="1">IF('CDO Bespoke'!C97&lt;&gt;"",'CDO Bespoke'!C97,"")</f>
        <v>TESCO PLC</v>
      </c>
      <c r="AQ72" s="496">
        <f ca="1"/>
        <v>7.8576556994391922E-3</v>
      </c>
      <c r="AR72" s="585">
        <f ca="1"/>
        <v>2.5954836899710898E-2</v>
      </c>
      <c r="AS72" s="585">
        <f ca="1"/>
        <v>7.0058596099986659E-2</v>
      </c>
      <c r="AT72" s="585">
        <f ca="1"/>
        <v>1.2553980511986751</v>
      </c>
      <c r="AU72" s="497">
        <f ca="1"/>
        <v>0</v>
      </c>
      <c r="AV72" s="627">
        <f ca="1"/>
        <v>0</v>
      </c>
      <c r="AW72" s="496">
        <f ca="1"/>
        <v>5.803345159982598E-4</v>
      </c>
      <c r="AX72" s="585">
        <f ca="1"/>
        <v>2.8523965000994828E-3</v>
      </c>
      <c r="AY72" s="585">
        <f ca="1"/>
        <v>1.2182110850694414E-2</v>
      </c>
      <c r="AZ72" s="585">
        <f ca="1"/>
        <v>1.3478390563894</v>
      </c>
      <c r="BA72" s="497">
        <f ca="1"/>
        <v>0</v>
      </c>
      <c r="BB72" s="627">
        <f ca="1"/>
        <v>0</v>
      </c>
      <c r="BC72" s="580"/>
      <c r="BD72" s="580"/>
      <c r="BE72" s="580"/>
      <c r="BF72" s="580"/>
      <c r="BG72" s="579"/>
    </row>
    <row r="73" spans="2:59">
      <c r="B73" s="539" t="s">
        <v>519</v>
      </c>
      <c r="C73" s="540" t="s">
        <v>66</v>
      </c>
      <c r="D73" s="540" t="s">
        <v>55</v>
      </c>
      <c r="E73" s="540" t="s">
        <v>646</v>
      </c>
      <c r="F73" s="540" t="s">
        <v>672</v>
      </c>
      <c r="G73" s="541">
        <v>0.01</v>
      </c>
      <c r="H73" s="541">
        <v>1.5269999999999999E-3</v>
      </c>
      <c r="I73" s="542">
        <v>0.4</v>
      </c>
      <c r="J73" s="602">
        <v>7</v>
      </c>
      <c r="K73" s="543">
        <v>17</v>
      </c>
      <c r="L73" s="272"/>
      <c r="M73" s="272"/>
      <c r="P73" s="273"/>
      <c r="Q73" s="273"/>
      <c r="R73" s="273"/>
      <c r="S73" s="273"/>
      <c r="T73" s="576">
        <f ca="1"/>
        <v>0.06</v>
      </c>
      <c r="U73" s="573">
        <f ca="1"/>
        <v>65</v>
      </c>
      <c r="V73" s="576">
        <f t="shared" ref="V73:V104" ca="1" si="8">AA78*T73</f>
        <v>0</v>
      </c>
      <c r="W73" s="576">
        <f t="shared" ref="W73:W104" ca="1" si="9">AE78*T73</f>
        <v>0</v>
      </c>
      <c r="X73" s="484">
        <f ca="1">IF('CDO Bespoke'!O74&lt;&gt;"",'CDO Bespoke'!O74,"")</f>
        <v>1.17641816533985</v>
      </c>
      <c r="Y73" s="485">
        <f ca="1">IF(X73&lt;&gt;"",ABS(MIN(-0.75*('CDO Bespoke'!Q74)+'CDO Bespoke'!T74,0)),"")</f>
        <v>1.1662159895767421</v>
      </c>
      <c r="Z73" s="485">
        <f t="shared" ca="1" si="2"/>
        <v>1.020217576310789E-2</v>
      </c>
      <c r="AA73" s="485">
        <f t="shared" ca="1" si="3"/>
        <v>0</v>
      </c>
      <c r="AB73" s="484">
        <f ca="1">IF('CDO Bespoke'!O74&lt;&gt;"",'CDO Bespoke'!O74,"")</f>
        <v>1.17641816533985</v>
      </c>
      <c r="AC73" s="485">
        <f ca="1">IF(AB73&lt;&gt;"",ABS(MIN(-0.75*('CDO Bespoke'!K74)+'CDO Bespoke'!T74,0)),"")</f>
        <v>0.59491035318226015</v>
      </c>
      <c r="AD73" s="485">
        <f t="shared" ca="1" si="4"/>
        <v>0.58150781215758984</v>
      </c>
      <c r="AE73" s="489">
        <f t="shared" ca="1" si="5"/>
        <v>0</v>
      </c>
      <c r="AF73" s="493">
        <f ca="1">IF('CDO Bespoke'!O74&lt;&gt;"",'CDO Bespoke'!O74,"")</f>
        <v>1.17641816533985</v>
      </c>
      <c r="AP73" s="494" t="str">
        <f ca="1">IF('CDO Bespoke'!C98&lt;&gt;"",'CDO Bespoke'!C98,"")</f>
        <v>UNILEVER PLC</v>
      </c>
      <c r="AQ73" s="496">
        <f ca="1"/>
        <v>8.4631865004958229E-3</v>
      </c>
      <c r="AR73" s="585">
        <f ca="1"/>
        <v>2.7945136600315834E-2</v>
      </c>
      <c r="AS73" s="585">
        <f ca="1"/>
        <v>7.6860399600420237E-2</v>
      </c>
      <c r="AT73" s="585">
        <f ca="1"/>
        <v>1.061496222798386</v>
      </c>
      <c r="AU73" s="497">
        <f ca="1"/>
        <v>0</v>
      </c>
      <c r="AV73" s="627">
        <f ca="1"/>
        <v>0</v>
      </c>
      <c r="AW73" s="496">
        <f ca="1"/>
        <v>7.5546034910417559E-4</v>
      </c>
      <c r="AX73" s="585">
        <f ca="1"/>
        <v>3.6576199186066916E-3</v>
      </c>
      <c r="AY73" s="585">
        <f ca="1"/>
        <v>1.6375476433912184E-2</v>
      </c>
      <c r="AZ73" s="585">
        <f ca="1"/>
        <v>1.1522707185834031</v>
      </c>
      <c r="BA73" s="497">
        <f ca="1"/>
        <v>0</v>
      </c>
      <c r="BB73" s="627">
        <f ca="1"/>
        <v>0</v>
      </c>
      <c r="BC73" s="580"/>
      <c r="BD73" s="580"/>
      <c r="BE73" s="580"/>
      <c r="BF73" s="580"/>
      <c r="BG73" s="579"/>
    </row>
    <row r="74" spans="2:59">
      <c r="B74" s="517" t="s">
        <v>519</v>
      </c>
      <c r="C74" s="518" t="s">
        <v>66</v>
      </c>
      <c r="D74" s="518" t="s">
        <v>57</v>
      </c>
      <c r="E74" s="518" t="s">
        <v>646</v>
      </c>
      <c r="F74" s="518" t="s">
        <v>672</v>
      </c>
      <c r="G74" s="525">
        <v>0.01</v>
      </c>
      <c r="H74" s="525">
        <v>2.49E-3</v>
      </c>
      <c r="I74" s="527">
        <v>0.4</v>
      </c>
      <c r="J74" s="594">
        <v>7</v>
      </c>
      <c r="K74" s="519">
        <v>17</v>
      </c>
      <c r="L74" s="272"/>
      <c r="M74" s="272"/>
      <c r="P74" s="273"/>
      <c r="Q74" s="273"/>
      <c r="R74" s="273"/>
      <c r="S74" s="273"/>
      <c r="T74" s="576">
        <f ca="1"/>
        <v>0.06</v>
      </c>
      <c r="U74" s="573">
        <f ca="1"/>
        <v>66</v>
      </c>
      <c r="V74" s="576">
        <f t="shared" ca="1" si="8"/>
        <v>0</v>
      </c>
      <c r="W74" s="576">
        <f t="shared" ca="1" si="9"/>
        <v>0</v>
      </c>
      <c r="X74" s="484">
        <f ca="1">IF('CDO Bespoke'!O75&lt;&gt;"",'CDO Bespoke'!O75,"")</f>
        <v>1.17439360754151</v>
      </c>
      <c r="Y74" s="485">
        <f ca="1">IF(X74&lt;&gt;"",ABS(MIN(-0.75*('CDO Bespoke'!Q75)+'CDO Bespoke'!T75,0)),"")</f>
        <v>1.165662945938567</v>
      </c>
      <c r="Z74" s="485">
        <f t="shared" ca="1" si="2"/>
        <v>8.7306616029430018E-3</v>
      </c>
      <c r="AA74" s="485">
        <f t="shared" ca="1" si="3"/>
        <v>0</v>
      </c>
      <c r="AB74" s="484">
        <f ca="1">IF('CDO Bespoke'!O75&lt;&gt;"",'CDO Bespoke'!O75,"")</f>
        <v>1.17439360754151</v>
      </c>
      <c r="AC74" s="485">
        <f ca="1">IF(AB74&lt;&gt;"",ABS(MIN(-0.75*('CDO Bespoke'!K75)+'CDO Bespoke'!T75,0)),"")</f>
        <v>0.61242600406398795</v>
      </c>
      <c r="AD74" s="485">
        <f t="shared" ca="1" si="4"/>
        <v>0.56196760347752206</v>
      </c>
      <c r="AE74" s="489">
        <f t="shared" ca="1" si="5"/>
        <v>0</v>
      </c>
      <c r="AF74" s="493">
        <f ca="1">IF('CDO Bespoke'!O75&lt;&gt;"",'CDO Bespoke'!O75,"")</f>
        <v>1.17439360754151</v>
      </c>
      <c r="AP74" s="494" t="str">
        <f ca="1">IF('CDO Bespoke'!C99&lt;&gt;"",'CDO Bespoke'!C99,"")</f>
        <v>BP P.L.C.</v>
      </c>
      <c r="AQ74" s="496">
        <f ca="1"/>
        <v>7.8584679985560513E-3</v>
      </c>
      <c r="AR74" s="585">
        <f ca="1"/>
        <v>2.5896106199407853E-2</v>
      </c>
      <c r="AS74" s="585">
        <f ca="1"/>
        <v>6.9756648399810217E-2</v>
      </c>
      <c r="AT74" s="585">
        <f ca="1"/>
        <v>1.253090809398838</v>
      </c>
      <c r="AU74" s="497">
        <f ca="1"/>
        <v>0</v>
      </c>
      <c r="AV74" s="627">
        <f ca="1"/>
        <v>0</v>
      </c>
      <c r="AW74" s="496">
        <f ca="1"/>
        <v>5.8516772000020978E-4</v>
      </c>
      <c r="AX74" s="585">
        <f ca="1"/>
        <v>2.873919633392466E-3</v>
      </c>
      <c r="AY74" s="585">
        <f ca="1"/>
        <v>1.2281299617295655E-2</v>
      </c>
      <c r="AZ74" s="585">
        <f ca="1"/>
        <v>1.3431578040591987</v>
      </c>
      <c r="BA74" s="497">
        <f ca="1"/>
        <v>0</v>
      </c>
      <c r="BB74" s="627">
        <f ca="1"/>
        <v>0</v>
      </c>
      <c r="BC74" s="580"/>
      <c r="BD74" s="580"/>
      <c r="BE74" s="580"/>
      <c r="BF74" s="580"/>
      <c r="BG74" s="579"/>
    </row>
    <row r="75" spans="2:59">
      <c r="B75" s="534" t="s">
        <v>519</v>
      </c>
      <c r="C75" s="535" t="s">
        <v>66</v>
      </c>
      <c r="D75" s="535" t="s">
        <v>59</v>
      </c>
      <c r="E75" s="535" t="s">
        <v>646</v>
      </c>
      <c r="F75" s="535" t="s">
        <v>672</v>
      </c>
      <c r="G75" s="536">
        <v>0.01</v>
      </c>
      <c r="H75" s="536">
        <v>3.63E-3</v>
      </c>
      <c r="I75" s="537">
        <v>0.4</v>
      </c>
      <c r="J75" s="595">
        <v>7</v>
      </c>
      <c r="K75" s="538">
        <v>17</v>
      </c>
      <c r="L75" s="272"/>
      <c r="M75" s="272"/>
      <c r="P75" s="273"/>
      <c r="Q75" s="273"/>
      <c r="R75" s="273"/>
      <c r="S75" s="273"/>
      <c r="T75" s="576">
        <f ca="1"/>
        <v>0.06</v>
      </c>
      <c r="U75" s="573">
        <f ca="1"/>
        <v>67</v>
      </c>
      <c r="V75" s="576">
        <f t="shared" ca="1" si="8"/>
        <v>0</v>
      </c>
      <c r="W75" s="576">
        <f t="shared" ca="1" si="9"/>
        <v>0</v>
      </c>
      <c r="X75" s="484">
        <f ca="1">IF('CDO Bespoke'!O76&lt;&gt;"",'CDO Bespoke'!O76,"")</f>
        <v>1.1731264617330801</v>
      </c>
      <c r="Y75" s="485">
        <f ca="1">IF(X75&lt;&gt;"",ABS(MIN(-0.75*('CDO Bespoke'!Q76)+'CDO Bespoke'!T76,0)),"")</f>
        <v>1.1652957377224402</v>
      </c>
      <c r="Z75" s="485">
        <f t="shared" ca="1" si="2"/>
        <v>7.830724010639889E-3</v>
      </c>
      <c r="AA75" s="485">
        <f t="shared" ca="1" si="3"/>
        <v>0</v>
      </c>
      <c r="AB75" s="484">
        <f ca="1">IF('CDO Bespoke'!O76&lt;&gt;"",'CDO Bespoke'!O76,"")</f>
        <v>1.1731264617330801</v>
      </c>
      <c r="AC75" s="485">
        <f ca="1">IF(AB75&lt;&gt;"",ABS(MIN(-0.75*('CDO Bespoke'!K76)+'CDO Bespoke'!T76,0)),"")</f>
        <v>0.61960943704743809</v>
      </c>
      <c r="AD75" s="485">
        <f t="shared" ca="1" si="4"/>
        <v>0.55351702468564201</v>
      </c>
      <c r="AE75" s="489">
        <f t="shared" ca="1" si="5"/>
        <v>0</v>
      </c>
      <c r="AF75" s="493">
        <f ca="1">IF('CDO Bespoke'!O76&lt;&gt;"",'CDO Bespoke'!O76,"")</f>
        <v>1.1731264617330801</v>
      </c>
      <c r="AP75" s="494" t="str">
        <f ca="1">IF('CDO Bespoke'!C100&lt;&gt;"",'CDO Bespoke'!C100,"")</f>
        <v>Centrica plc</v>
      </c>
      <c r="AQ75" s="496">
        <f ca="1"/>
        <v>7.5987671999122597E-3</v>
      </c>
      <c r="AR75" s="585">
        <f ca="1"/>
        <v>2.5006288699724877E-2</v>
      </c>
      <c r="AS75" s="585">
        <f ca="1"/>
        <v>6.6426124498697448E-2</v>
      </c>
      <c r="AT75" s="585">
        <f ca="1"/>
        <v>1.3167389059987045</v>
      </c>
      <c r="AU75" s="497">
        <f ca="1"/>
        <v>0</v>
      </c>
      <c r="AV75" s="627">
        <f ca="1"/>
        <v>0</v>
      </c>
      <c r="AW75" s="496">
        <f ca="1"/>
        <v>4.7071963949971152E-4</v>
      </c>
      <c r="AX75" s="585">
        <f ca="1"/>
        <v>2.340586429004296E-3</v>
      </c>
      <c r="AY75" s="585">
        <f ca="1"/>
        <v>9.5824034291019239E-3</v>
      </c>
      <c r="AZ75" s="585">
        <f ca="1"/>
        <v>1.4086079309754036</v>
      </c>
      <c r="BA75" s="497">
        <f ca="1"/>
        <v>0</v>
      </c>
      <c r="BB75" s="627">
        <f ca="1"/>
        <v>0</v>
      </c>
      <c r="BC75" s="580"/>
      <c r="BD75" s="580"/>
      <c r="BE75" s="580"/>
      <c r="BF75" s="580"/>
      <c r="BG75" s="579"/>
    </row>
    <row r="76" spans="2:59">
      <c r="B76" s="539" t="s">
        <v>534</v>
      </c>
      <c r="C76" s="540" t="s">
        <v>66</v>
      </c>
      <c r="D76" s="540" t="s">
        <v>55</v>
      </c>
      <c r="E76" s="540" t="s">
        <v>648</v>
      </c>
      <c r="F76" s="540" t="s">
        <v>647</v>
      </c>
      <c r="G76" s="541">
        <v>0.01</v>
      </c>
      <c r="H76" s="541">
        <v>5.0749999999999997E-3</v>
      </c>
      <c r="I76" s="542">
        <v>0.4</v>
      </c>
      <c r="J76" s="602">
        <v>4</v>
      </c>
      <c r="K76" s="543">
        <v>18</v>
      </c>
      <c r="L76" s="272"/>
      <c r="M76" s="272"/>
      <c r="P76" s="273"/>
      <c r="Q76" s="273"/>
      <c r="R76" s="273"/>
      <c r="S76" s="273"/>
      <c r="T76" s="576">
        <f ca="1"/>
        <v>0.03</v>
      </c>
      <c r="U76" s="573">
        <f ca="1"/>
        <v>68</v>
      </c>
      <c r="V76" s="576">
        <f t="shared" ca="1" si="8"/>
        <v>0</v>
      </c>
      <c r="W76" s="576">
        <f t="shared" ca="1" si="9"/>
        <v>0</v>
      </c>
      <c r="X76" s="484">
        <f ca="1">IF('CDO Bespoke'!O77&lt;&gt;"",'CDO Bespoke'!O77,"")</f>
        <v>1.1753606345179799</v>
      </c>
      <c r="Y76" s="485">
        <f ca="1">IF(X76&lt;&gt;"",ABS(MIN(-0.75*('CDO Bespoke'!Q77)+'CDO Bespoke'!T77,0)),"")</f>
        <v>1.1659335774836996</v>
      </c>
      <c r="Z76" s="485">
        <f t="shared" ca="1" si="2"/>
        <v>9.4270570342802618E-3</v>
      </c>
      <c r="AA76" s="485">
        <f t="shared" ca="1" si="3"/>
        <v>0</v>
      </c>
      <c r="AB76" s="484">
        <f ca="1">IF('CDO Bespoke'!O77&lt;&gt;"",'CDO Bespoke'!O77,"")</f>
        <v>1.1753606345179799</v>
      </c>
      <c r="AC76" s="485">
        <f ca="1">IF(AB76&lt;&gt;"",ABS(MIN(-0.75*('CDO Bespoke'!K77)+'CDO Bespoke'!T77,0)),"")</f>
        <v>0.60531428635515871</v>
      </c>
      <c r="AD76" s="485">
        <f t="shared" ca="1" si="4"/>
        <v>0.57004634816282118</v>
      </c>
      <c r="AE76" s="489">
        <f t="shared" ca="1" si="5"/>
        <v>0</v>
      </c>
      <c r="AF76" s="493">
        <f ca="1">IF('CDO Bespoke'!O77&lt;&gt;"",'CDO Bespoke'!O77,"")</f>
        <v>1.1753606345179799</v>
      </c>
      <c r="AP76" s="494" t="str">
        <f ca="1">IF('CDO Bespoke'!C101&lt;&gt;"",'CDO Bespoke'!C101,"")</f>
        <v>E.ON SE</v>
      </c>
      <c r="AQ76" s="496">
        <f ca="1"/>
        <v>8.1264985984930149E-3</v>
      </c>
      <c r="AR76" s="585">
        <f ca="1"/>
        <v>2.6825892598392187E-2</v>
      </c>
      <c r="AS76" s="585">
        <f ca="1"/>
        <v>7.3127013100471316E-2</v>
      </c>
      <c r="AT76" s="585">
        <f ca="1"/>
        <v>1.1773489779987045</v>
      </c>
      <c r="AU76" s="497">
        <f ca="1"/>
        <v>0</v>
      </c>
      <c r="AV76" s="627">
        <f ca="1"/>
        <v>0</v>
      </c>
      <c r="AW76" s="496">
        <f ca="1"/>
        <v>6.7939515709450338E-4</v>
      </c>
      <c r="AX76" s="585">
        <f ca="1"/>
        <v>3.3108535766029207E-3</v>
      </c>
      <c r="AY76" s="585">
        <f ca="1"/>
        <v>1.4524899131394473E-2</v>
      </c>
      <c r="AZ76" s="585">
        <f ca="1"/>
        <v>1.2677131026618982</v>
      </c>
      <c r="BA76" s="497">
        <f ca="1"/>
        <v>0</v>
      </c>
      <c r="BB76" s="627">
        <f ca="1"/>
        <v>0</v>
      </c>
      <c r="BC76" s="580"/>
      <c r="BD76" s="580"/>
      <c r="BE76" s="580"/>
      <c r="BF76" s="580"/>
      <c r="BG76" s="579"/>
    </row>
    <row r="77" spans="2:59">
      <c r="B77" s="517" t="s">
        <v>534</v>
      </c>
      <c r="C77" s="518" t="s">
        <v>66</v>
      </c>
      <c r="D77" s="518" t="s">
        <v>57</v>
      </c>
      <c r="E77" s="518" t="s">
        <v>648</v>
      </c>
      <c r="F77" s="518" t="s">
        <v>647</v>
      </c>
      <c r="G77" s="525">
        <v>0.01</v>
      </c>
      <c r="H77" s="525">
        <v>8.8369999999999994E-3</v>
      </c>
      <c r="I77" s="527">
        <v>0.4</v>
      </c>
      <c r="J77" s="594">
        <v>4</v>
      </c>
      <c r="K77" s="519">
        <v>18</v>
      </c>
      <c r="L77" s="272"/>
      <c r="M77" s="272"/>
      <c r="P77" s="273"/>
      <c r="Q77" s="273"/>
      <c r="R77" s="273"/>
      <c r="S77" s="273"/>
      <c r="T77" s="576">
        <f ca="1"/>
        <v>0.02</v>
      </c>
      <c r="U77" s="573">
        <f ca="1"/>
        <v>69</v>
      </c>
      <c r="V77" s="576">
        <f t="shared" ca="1" si="8"/>
        <v>0</v>
      </c>
      <c r="W77" s="576">
        <f t="shared" ca="1" si="9"/>
        <v>0</v>
      </c>
      <c r="X77" s="484">
        <f ca="1">IF('CDO Bespoke'!O78&lt;&gt;"",'CDO Bespoke'!O78,"")</f>
        <v>1.17212743585806</v>
      </c>
      <c r="Y77" s="485">
        <f ca="1">IF(X77&lt;&gt;"",ABS(MIN(-0.75*('CDO Bespoke'!Q78)+'CDO Bespoke'!T78,0)),"")</f>
        <v>1.1649987714383165</v>
      </c>
      <c r="Z77" s="485">
        <f t="shared" ca="1" si="2"/>
        <v>7.128664419743469E-3</v>
      </c>
      <c r="AA77" s="485">
        <f t="shared" ca="1" si="3"/>
        <v>0</v>
      </c>
      <c r="AB77" s="484">
        <f ca="1">IF('CDO Bespoke'!O78&lt;&gt;"",'CDO Bespoke'!O78,"")</f>
        <v>1.17212743585806</v>
      </c>
      <c r="AC77" s="485">
        <f ca="1">IF(AB77&lt;&gt;"",ABS(MIN(-0.75*('CDO Bespoke'!K78)+'CDO Bespoke'!T78,0)),"")</f>
        <v>0.62411181778535663</v>
      </c>
      <c r="AD77" s="485">
        <f t="shared" ca="1" si="4"/>
        <v>0.54801561807270338</v>
      </c>
      <c r="AE77" s="489">
        <f t="shared" ca="1" si="5"/>
        <v>0</v>
      </c>
      <c r="AF77" s="493">
        <f ca="1">IF('CDO Bespoke'!O78&lt;&gt;"",'CDO Bespoke'!O78,"")</f>
        <v>1.17212743585806</v>
      </c>
      <c r="AP77" s="494" t="str">
        <f ca="1">IF('CDO Bespoke'!C102&lt;&gt;"",'CDO Bespoke'!C102,"")</f>
        <v>EDP - ENERGIAS DE PORTUGAL S.A.</v>
      </c>
      <c r="AQ77" s="496">
        <f ca="1"/>
        <v>7.6684793004488938E-3</v>
      </c>
      <c r="AR77" s="585">
        <f ca="1"/>
        <v>2.5458553498669545E-2</v>
      </c>
      <c r="AS77" s="585">
        <f ca="1"/>
        <v>6.8465832199215981E-2</v>
      </c>
      <c r="AT77" s="585">
        <f ca="1"/>
        <v>1.3047101287000373</v>
      </c>
      <c r="AU77" s="497">
        <f ca="1"/>
        <v>0</v>
      </c>
      <c r="AV77" s="627">
        <f ca="1"/>
        <v>0</v>
      </c>
      <c r="AW77" s="496">
        <f ca="1"/>
        <v>4.8519264050049526E-4</v>
      </c>
      <c r="AX77" s="585">
        <f ca="1"/>
        <v>2.4104410117041508E-3</v>
      </c>
      <c r="AY77" s="585">
        <f ca="1"/>
        <v>9.9894190485044082E-3</v>
      </c>
      <c r="AZ77" s="585">
        <f ca="1"/>
        <v>1.3983565696761013</v>
      </c>
      <c r="BA77" s="497">
        <f ca="1"/>
        <v>0</v>
      </c>
      <c r="BB77" s="627">
        <f ca="1"/>
        <v>0</v>
      </c>
      <c r="BC77" s="580"/>
      <c r="BD77" s="580"/>
      <c r="BE77" s="580"/>
      <c r="BF77" s="580"/>
      <c r="BG77" s="579"/>
    </row>
    <row r="78" spans="2:59">
      <c r="B78" s="534" t="s">
        <v>534</v>
      </c>
      <c r="C78" s="535" t="s">
        <v>66</v>
      </c>
      <c r="D78" s="535" t="s">
        <v>59</v>
      </c>
      <c r="E78" s="535" t="s">
        <v>648</v>
      </c>
      <c r="F78" s="535" t="s">
        <v>647</v>
      </c>
      <c r="G78" s="536">
        <v>0.01</v>
      </c>
      <c r="H78" s="536">
        <v>1.3018E-2</v>
      </c>
      <c r="I78" s="537">
        <v>0.4</v>
      </c>
      <c r="J78" s="595">
        <v>4</v>
      </c>
      <c r="K78" s="538">
        <v>18</v>
      </c>
      <c r="L78" s="272"/>
      <c r="M78" s="272"/>
      <c r="P78" s="273"/>
      <c r="Q78" s="273"/>
      <c r="R78" s="273"/>
      <c r="S78" s="273"/>
      <c r="T78" s="576">
        <f ca="1"/>
        <v>0.06</v>
      </c>
      <c r="U78" s="573">
        <f ca="1"/>
        <v>70</v>
      </c>
      <c r="V78" s="576">
        <f t="shared" ca="1" si="8"/>
        <v>0</v>
      </c>
      <c r="W78" s="576">
        <f t="shared" ca="1" si="9"/>
        <v>0</v>
      </c>
      <c r="X78" s="484">
        <f ca="1">IF('CDO Bespoke'!O79&lt;&gt;"",'CDO Bespoke'!O79,"")</f>
        <v>1.17213914766722</v>
      </c>
      <c r="Y78" s="485">
        <f ca="1">IF(X78&lt;&gt;"",ABS(MIN(-0.75*('CDO Bespoke'!Q79)+'CDO Bespoke'!T79,0)),"")</f>
        <v>1.1650022841069581</v>
      </c>
      <c r="Z78" s="485">
        <f t="shared" ref="Z78:Z138" ca="1" si="10">IF(X78&lt;&gt;"",IF($Y$8,MAX(X78-Y78,0),X78),0)</f>
        <v>7.1368635602619968E-3</v>
      </c>
      <c r="AA78" s="485">
        <f t="shared" ref="AA78:AA138" ca="1" si="11">IF(X78&lt;&gt;"",IF($Y$8,0,Y78),0)</f>
        <v>0</v>
      </c>
      <c r="AB78" s="484">
        <f ca="1">IF('CDO Bespoke'!O79&lt;&gt;"",'CDO Bespoke'!O79,"")</f>
        <v>1.17213914766722</v>
      </c>
      <c r="AC78" s="485">
        <f ca="1">IF(AB78&lt;&gt;"",ABS(MIN(-0.75*('CDO Bespoke'!K79)+'CDO Bespoke'!T79,0)),"")</f>
        <v>0.62406369581527754</v>
      </c>
      <c r="AD78" s="485">
        <f t="shared" ref="AD78:AD138" ca="1" si="12">IF(AB78&lt;&gt;"",IF($Y$8,MAX(AB78-AC78,0),AB78),0)</f>
        <v>0.54807545185194251</v>
      </c>
      <c r="AE78" s="489">
        <f t="shared" ref="AE78:AE138" ca="1" si="13">IF(AB78&lt;&gt;"",IF($Y$8,0,AC78),0)</f>
        <v>0</v>
      </c>
      <c r="AF78" s="493">
        <f ca="1">IF('CDO Bespoke'!O79&lt;&gt;"",'CDO Bespoke'!O79,"")</f>
        <v>1.17213914766722</v>
      </c>
      <c r="AP78" s="494" t="str">
        <f ca="1">IF('CDO Bespoke'!C103&lt;&gt;"",'CDO Bespoke'!C103,"")</f>
        <v>Electricite de France</v>
      </c>
      <c r="AQ78" s="496">
        <f ca="1"/>
        <v>7.5533120003079546E-3</v>
      </c>
      <c r="AR78" s="585">
        <f ca="1"/>
        <v>2.4960217399616624E-2</v>
      </c>
      <c r="AS78" s="585">
        <f ca="1"/>
        <v>6.6418259199174656E-2</v>
      </c>
      <c r="AT78" s="585">
        <f ca="1"/>
        <v>1.3286773333986979</v>
      </c>
      <c r="AU78" s="497">
        <f ca="1"/>
        <v>0</v>
      </c>
      <c r="AV78" s="627">
        <f ca="1"/>
        <v>0</v>
      </c>
      <c r="AW78" s="496">
        <f ca="1"/>
        <v>4.3905298460246434E-4</v>
      </c>
      <c r="AX78" s="585">
        <f ca="1"/>
        <v>2.1936089252081598E-3</v>
      </c>
      <c r="AY78" s="585">
        <f ca="1"/>
        <v>8.8726195340057407E-3</v>
      </c>
      <c r="AZ78" s="585">
        <f ca="1"/>
        <v>1.4214742108233005</v>
      </c>
      <c r="BA78" s="497">
        <f ca="1"/>
        <v>0</v>
      </c>
      <c r="BB78" s="627">
        <f ca="1"/>
        <v>0</v>
      </c>
      <c r="BC78" s="580"/>
      <c r="BD78" s="580"/>
      <c r="BE78" s="580"/>
      <c r="BF78" s="580"/>
      <c r="BG78" s="579"/>
    </row>
    <row r="79" spans="2:59">
      <c r="B79" s="539" t="s">
        <v>535</v>
      </c>
      <c r="C79" s="540" t="s">
        <v>66</v>
      </c>
      <c r="D79" s="540" t="s">
        <v>55</v>
      </c>
      <c r="E79" s="540" t="s">
        <v>648</v>
      </c>
      <c r="F79" s="540" t="s">
        <v>647</v>
      </c>
      <c r="G79" s="541">
        <v>0.01</v>
      </c>
      <c r="H79" s="541">
        <v>4.0559999999999997E-3</v>
      </c>
      <c r="I79" s="542">
        <v>0.4</v>
      </c>
      <c r="J79" s="602">
        <v>4</v>
      </c>
      <c r="K79" s="543">
        <v>19</v>
      </c>
      <c r="L79" s="272"/>
      <c r="M79" s="272"/>
      <c r="P79" s="273"/>
      <c r="Q79" s="273"/>
      <c r="R79" s="273"/>
      <c r="S79" s="273"/>
      <c r="T79" s="576">
        <f ca="1"/>
        <v>0.06</v>
      </c>
      <c r="U79" s="573">
        <f ca="1"/>
        <v>71</v>
      </c>
      <c r="V79" s="576">
        <f t="shared" ca="1" si="8"/>
        <v>0</v>
      </c>
      <c r="W79" s="576">
        <f t="shared" ca="1" si="9"/>
        <v>0</v>
      </c>
      <c r="X79" s="484">
        <f ca="1">IF('CDO Bespoke'!O80&lt;&gt;"",'CDO Bespoke'!O80,"")</f>
        <v>1.1736619973460201</v>
      </c>
      <c r="Y79" s="485">
        <f ca="1">IF(X79&lt;&gt;"",ABS(MIN(-0.75*('CDO Bespoke'!Q80)+'CDO Bespoke'!T80,0)),"")</f>
        <v>1.1654524011685485</v>
      </c>
      <c r="Z79" s="485">
        <f t="shared" ca="1" si="10"/>
        <v>8.2095961774715231E-3</v>
      </c>
      <c r="AA79" s="485">
        <f t="shared" ca="1" si="11"/>
        <v>0</v>
      </c>
      <c r="AB79" s="484">
        <f ca="1">IF('CDO Bespoke'!O80&lt;&gt;"",'CDO Bespoke'!O80,"")</f>
        <v>1.1736619973460201</v>
      </c>
      <c r="AC79" s="485">
        <f ca="1">IF(AB79&lt;&gt;"",ABS(MIN(-0.75*('CDO Bespoke'!K80)+'CDO Bespoke'!T80,0)),"")</f>
        <v>0.61680936569273914</v>
      </c>
      <c r="AD79" s="485">
        <f t="shared" ca="1" si="12"/>
        <v>0.55685263165328092</v>
      </c>
      <c r="AE79" s="489">
        <f t="shared" ca="1" si="13"/>
        <v>0</v>
      </c>
      <c r="AF79" s="493">
        <f ca="1">IF('CDO Bespoke'!O80&lt;&gt;"",'CDO Bespoke'!O80,"")</f>
        <v>1.1736619973460201</v>
      </c>
      <c r="AP79" s="494" t="str">
        <f ca="1">IF('CDO Bespoke'!C104&lt;&gt;"",'CDO Bespoke'!C104,"")</f>
        <v>ENEL S.P.A.</v>
      </c>
      <c r="AQ79" s="496">
        <f ca="1"/>
        <v>7.6090681999652077E-3</v>
      </c>
      <c r="AR79" s="585">
        <f ca="1"/>
        <v>2.4961614599749993E-2</v>
      </c>
      <c r="AS79" s="585">
        <f ca="1"/>
        <v>6.6152790398898986E-2</v>
      </c>
      <c r="AT79" s="585">
        <f ca="1"/>
        <v>1.3124975485001578</v>
      </c>
      <c r="AU79" s="497">
        <f ca="1"/>
        <v>0</v>
      </c>
      <c r="AV79" s="627">
        <f ca="1"/>
        <v>0</v>
      </c>
      <c r="AW79" s="496">
        <f ca="1"/>
        <v>4.8306912300150051E-4</v>
      </c>
      <c r="AX79" s="585">
        <f ca="1"/>
        <v>2.3975329222023639E-3</v>
      </c>
      <c r="AY79" s="585">
        <f ca="1"/>
        <v>9.8504153964000529E-3</v>
      </c>
      <c r="AZ79" s="585">
        <f ca="1"/>
        <v>1.4036842007463055</v>
      </c>
      <c r="BA79" s="497">
        <f ca="1"/>
        <v>0</v>
      </c>
      <c r="BB79" s="627">
        <f ca="1"/>
        <v>0</v>
      </c>
      <c r="BC79" s="580"/>
      <c r="BD79" s="580"/>
      <c r="BE79" s="580"/>
      <c r="BF79" s="580"/>
      <c r="BG79" s="579"/>
    </row>
    <row r="80" spans="2:59">
      <c r="B80" s="517" t="s">
        <v>535</v>
      </c>
      <c r="C80" s="518" t="s">
        <v>66</v>
      </c>
      <c r="D80" s="518" t="s">
        <v>57</v>
      </c>
      <c r="E80" s="518" t="s">
        <v>648</v>
      </c>
      <c r="F80" s="518" t="s">
        <v>647</v>
      </c>
      <c r="G80" s="525">
        <v>0.01</v>
      </c>
      <c r="H80" s="525">
        <v>7.1669999999999998E-3</v>
      </c>
      <c r="I80" s="527">
        <v>0.4</v>
      </c>
      <c r="J80" s="594">
        <v>4</v>
      </c>
      <c r="K80" s="519">
        <v>19</v>
      </c>
      <c r="L80" s="272"/>
      <c r="M80" s="272"/>
      <c r="P80" s="273"/>
      <c r="Q80" s="273"/>
      <c r="R80" s="273"/>
      <c r="S80" s="273"/>
      <c r="T80" s="576">
        <f ca="1"/>
        <v>0.06</v>
      </c>
      <c r="U80" s="573">
        <f ca="1"/>
        <v>72</v>
      </c>
      <c r="V80" s="576">
        <f t="shared" ca="1" si="8"/>
        <v>0</v>
      </c>
      <c r="W80" s="576">
        <f t="shared" ca="1" si="9"/>
        <v>0</v>
      </c>
      <c r="X80" s="484">
        <f ca="1">IF('CDO Bespoke'!O81&lt;&gt;"",'CDO Bespoke'!O81,"")</f>
        <v>1.1748673437650199</v>
      </c>
      <c r="Y80" s="485">
        <f ca="1">IF(X80&lt;&gt;"",ABS(MIN(-0.75*('CDO Bespoke'!Q81)+'CDO Bespoke'!T81,0)),"")</f>
        <v>1.1657967534533853</v>
      </c>
      <c r="Z80" s="485">
        <f t="shared" ca="1" si="10"/>
        <v>9.0705903116345965E-3</v>
      </c>
      <c r="AA80" s="485">
        <f t="shared" ca="1" si="11"/>
        <v>0</v>
      </c>
      <c r="AB80" s="484">
        <f ca="1">IF('CDO Bespoke'!O81&lt;&gt;"",'CDO Bespoke'!O81,"")</f>
        <v>1.1748673437650199</v>
      </c>
      <c r="AC80" s="485">
        <f ca="1">IF(AB80&lt;&gt;"",ABS(MIN(-0.75*('CDO Bespoke'!K81)+'CDO Bespoke'!T81,0)),"")</f>
        <v>0.60916178508194962</v>
      </c>
      <c r="AD80" s="485">
        <f t="shared" ca="1" si="12"/>
        <v>0.56570555868307026</v>
      </c>
      <c r="AE80" s="489">
        <f t="shared" ca="1" si="13"/>
        <v>0</v>
      </c>
      <c r="AF80" s="493">
        <f ca="1">IF('CDO Bespoke'!O81&lt;&gt;"",'CDO Bespoke'!O81,"")</f>
        <v>1.1748673437650199</v>
      </c>
      <c r="AP80" s="494" t="str">
        <f ca="1">IF('CDO Bespoke'!C105&lt;&gt;"",'CDO Bespoke'!C105,"")</f>
        <v>ENGIE</v>
      </c>
      <c r="AQ80" s="496">
        <f ca="1"/>
        <v>8.0185876005778312E-3</v>
      </c>
      <c r="AR80" s="585">
        <f ca="1"/>
        <v>2.6480085300040201E-2</v>
      </c>
      <c r="AS80" s="585">
        <f ca="1"/>
        <v>7.1931733298669087E-2</v>
      </c>
      <c r="AT80" s="585">
        <f ca="1"/>
        <v>1.210465639298608</v>
      </c>
      <c r="AU80" s="497">
        <f ca="1"/>
        <v>0</v>
      </c>
      <c r="AV80" s="627">
        <f ca="1"/>
        <v>0</v>
      </c>
      <c r="AW80" s="496">
        <f ca="1"/>
        <v>6.4247709020102961E-4</v>
      </c>
      <c r="AX80" s="585">
        <f ca="1"/>
        <v>3.1403519893009879E-3</v>
      </c>
      <c r="AY80" s="585">
        <f ca="1"/>
        <v>1.3649430623098938E-2</v>
      </c>
      <c r="AZ80" s="585">
        <f ca="1"/>
        <v>1.3009174705828039</v>
      </c>
      <c r="BA80" s="497">
        <f ca="1"/>
        <v>0</v>
      </c>
      <c r="BB80" s="627">
        <f ca="1"/>
        <v>0</v>
      </c>
      <c r="BC80" s="580"/>
      <c r="BD80" s="580"/>
      <c r="BE80" s="580"/>
      <c r="BF80" s="580"/>
      <c r="BG80" s="579"/>
    </row>
    <row r="81" spans="2:59">
      <c r="B81" s="534" t="s">
        <v>535</v>
      </c>
      <c r="C81" s="535" t="s">
        <v>66</v>
      </c>
      <c r="D81" s="535" t="s">
        <v>59</v>
      </c>
      <c r="E81" s="535" t="s">
        <v>648</v>
      </c>
      <c r="F81" s="535" t="s">
        <v>647</v>
      </c>
      <c r="G81" s="536">
        <v>0.01</v>
      </c>
      <c r="H81" s="536">
        <v>1.0695E-2</v>
      </c>
      <c r="I81" s="537">
        <v>0.4</v>
      </c>
      <c r="J81" s="595">
        <v>4</v>
      </c>
      <c r="K81" s="538">
        <v>19</v>
      </c>
      <c r="L81" s="272"/>
      <c r="M81" s="272"/>
      <c r="P81" s="273"/>
      <c r="Q81" s="273"/>
      <c r="R81" s="273"/>
      <c r="S81" s="273"/>
      <c r="T81" s="576">
        <f ca="1"/>
        <v>0.06</v>
      </c>
      <c r="U81" s="573">
        <f ca="1"/>
        <v>73</v>
      </c>
      <c r="V81" s="576">
        <f t="shared" ca="1" si="8"/>
        <v>0</v>
      </c>
      <c r="W81" s="576">
        <f t="shared" ca="1" si="9"/>
        <v>0</v>
      </c>
      <c r="X81" s="484">
        <f ca="1">IF('CDO Bespoke'!O82&lt;&gt;"",'CDO Bespoke'!O82,"")</f>
        <v>1.17338036345889</v>
      </c>
      <c r="Y81" s="485">
        <f ca="1">IF(X81&lt;&gt;"",ABS(MIN(-0.75*('CDO Bespoke'!Q82)+'CDO Bespoke'!T82,0)),"")</f>
        <v>1.1653702573093641</v>
      </c>
      <c r="Z81" s="485">
        <f t="shared" ca="1" si="10"/>
        <v>8.0101061495259085E-3</v>
      </c>
      <c r="AA81" s="485">
        <f t="shared" ca="1" si="11"/>
        <v>0</v>
      </c>
      <c r="AB81" s="484">
        <f ca="1">IF('CDO Bespoke'!O82&lt;&gt;"",'CDO Bespoke'!O82,"")</f>
        <v>1.17338036345889</v>
      </c>
      <c r="AC81" s="485">
        <f ca="1">IF(AB81&lt;&gt;"",ABS(MIN(-0.75*('CDO Bespoke'!K82)+'CDO Bespoke'!T82,0)),"")</f>
        <v>0.61832008848038411</v>
      </c>
      <c r="AD81" s="485">
        <f t="shared" ca="1" si="12"/>
        <v>0.55506027497850585</v>
      </c>
      <c r="AE81" s="489">
        <f t="shared" ca="1" si="13"/>
        <v>0</v>
      </c>
      <c r="AF81" s="493">
        <f ca="1">IF('CDO Bespoke'!O82&lt;&gt;"",'CDO Bespoke'!O82,"")</f>
        <v>1.17338036345889</v>
      </c>
      <c r="AP81" s="494" t="str">
        <f ca="1">IF('CDO Bespoke'!C106&lt;&gt;"",'CDO Bespoke'!C106,"")</f>
        <v>ENI S.P.A.</v>
      </c>
      <c r="AQ81" s="496">
        <f ca="1"/>
        <v>7.774632999613118E-3</v>
      </c>
      <c r="AR81" s="585">
        <f ca="1"/>
        <v>2.5719970699888961E-2</v>
      </c>
      <c r="AS81" s="585">
        <f ca="1"/>
        <v>6.926546120000765E-2</v>
      </c>
      <c r="AT81" s="585">
        <f ca="1"/>
        <v>1.2777833749000322</v>
      </c>
      <c r="AU81" s="497">
        <f ca="1"/>
        <v>0</v>
      </c>
      <c r="AV81" s="627">
        <f ca="1"/>
        <v>0</v>
      </c>
      <c r="AW81" s="496">
        <f ca="1"/>
        <v>5.412266048960418E-4</v>
      </c>
      <c r="AX81" s="585">
        <f ca="1"/>
        <v>2.6708158859956727E-3</v>
      </c>
      <c r="AY81" s="585">
        <f ca="1"/>
        <v>1.1274054507095371E-2</v>
      </c>
      <c r="AZ81" s="585">
        <f ca="1"/>
        <v>1.3706036850691989</v>
      </c>
      <c r="BA81" s="497">
        <f ca="1"/>
        <v>0</v>
      </c>
      <c r="BB81" s="627">
        <f ca="1"/>
        <v>0</v>
      </c>
      <c r="BC81" s="580"/>
      <c r="BD81" s="580"/>
      <c r="BE81" s="580"/>
      <c r="BF81" s="580"/>
      <c r="BG81" s="579"/>
    </row>
    <row r="82" spans="2:59">
      <c r="B82" s="539" t="s">
        <v>612</v>
      </c>
      <c r="C82" s="540" t="s">
        <v>66</v>
      </c>
      <c r="D82" s="540" t="s">
        <v>55</v>
      </c>
      <c r="E82" s="540" t="s">
        <v>649</v>
      </c>
      <c r="F82" s="540" t="s">
        <v>673</v>
      </c>
      <c r="G82" s="541">
        <v>0.01</v>
      </c>
      <c r="H82" s="541">
        <v>1.191E-3</v>
      </c>
      <c r="I82" s="542">
        <v>0.4</v>
      </c>
      <c r="J82" s="602">
        <v>4</v>
      </c>
      <c r="K82" s="543">
        <v>20</v>
      </c>
      <c r="L82" s="272"/>
      <c r="M82" s="272"/>
      <c r="P82" s="273"/>
      <c r="Q82" s="273"/>
      <c r="R82" s="273"/>
      <c r="S82" s="273"/>
      <c r="T82" s="576">
        <f ca="1"/>
        <v>0.06</v>
      </c>
      <c r="U82" s="573">
        <f ca="1"/>
        <v>74</v>
      </c>
      <c r="V82" s="576">
        <f t="shared" ca="1" si="8"/>
        <v>0</v>
      </c>
      <c r="W82" s="576">
        <f t="shared" ca="1" si="9"/>
        <v>0</v>
      </c>
      <c r="X82" s="484">
        <f ca="1">IF('CDO Bespoke'!O83&lt;&gt;"",'CDO Bespoke'!O83,"")</f>
        <v>1.1765241387990899</v>
      </c>
      <c r="Y82" s="485">
        <f ca="1">IF(X82&lt;&gt;"",ABS(MIN(-0.75*('CDO Bespoke'!Q83)+'CDO Bespoke'!T83,0)),"")</f>
        <v>1.1662432784596195</v>
      </c>
      <c r="Z82" s="485">
        <f t="shared" ca="1" si="10"/>
        <v>1.0280860339470399E-2</v>
      </c>
      <c r="AA82" s="485">
        <f t="shared" ca="1" si="11"/>
        <v>0</v>
      </c>
      <c r="AB82" s="484">
        <f ca="1">IF('CDO Bespoke'!O83&lt;&gt;"",'CDO Bespoke'!O83,"")</f>
        <v>1.1765241387990899</v>
      </c>
      <c r="AC82" s="485">
        <f ca="1">IF(AB82&lt;&gt;"",ABS(MIN(-0.75*('CDO Bespoke'!K83)+'CDO Bespoke'!T83,0)),"")</f>
        <v>0.5936488146389175</v>
      </c>
      <c r="AD82" s="485">
        <f t="shared" ca="1" si="12"/>
        <v>0.5828753241601724</v>
      </c>
      <c r="AE82" s="489">
        <f t="shared" ca="1" si="13"/>
        <v>0</v>
      </c>
      <c r="AF82" s="493">
        <f ca="1">IF('CDO Bespoke'!O83&lt;&gt;"",'CDO Bespoke'!O83,"")</f>
        <v>1.1765241387990899</v>
      </c>
      <c r="AP82" s="494" t="str">
        <f ca="1">IF('CDO Bespoke'!C107&lt;&gt;"",'CDO Bespoke'!C107,"")</f>
        <v>EQUINOR ASA</v>
      </c>
      <c r="AQ82" s="496">
        <f ca="1"/>
        <v>8.4058633986749953E-3</v>
      </c>
      <c r="AR82" s="585">
        <f ca="1"/>
        <v>2.767711599904743E-2</v>
      </c>
      <c r="AS82" s="585">
        <f ca="1"/>
        <v>7.5858084900293221E-2</v>
      </c>
      <c r="AT82" s="585">
        <f ca="1"/>
        <v>1.0769621445994026</v>
      </c>
      <c r="AU82" s="497">
        <f ca="1"/>
        <v>0</v>
      </c>
      <c r="AV82" s="627">
        <f ca="1"/>
        <v>0</v>
      </c>
      <c r="AW82" s="496">
        <f ca="1"/>
        <v>7.502320508064042E-4</v>
      </c>
      <c r="AX82" s="585">
        <f ca="1"/>
        <v>3.633667201800167E-3</v>
      </c>
      <c r="AY82" s="585">
        <f ca="1"/>
        <v>1.6228709085915061E-2</v>
      </c>
      <c r="AZ82" s="585">
        <f ca="1"/>
        <v>1.1669518924311075</v>
      </c>
      <c r="BA82" s="497">
        <f ca="1"/>
        <v>0</v>
      </c>
      <c r="BB82" s="627">
        <f ca="1"/>
        <v>0</v>
      </c>
      <c r="BC82" s="580"/>
      <c r="BD82" s="580"/>
      <c r="BE82" s="580"/>
      <c r="BF82" s="580"/>
      <c r="BG82" s="579"/>
    </row>
    <row r="83" spans="2:59">
      <c r="B83" s="517" t="s">
        <v>612</v>
      </c>
      <c r="C83" s="518" t="s">
        <v>66</v>
      </c>
      <c r="D83" s="518" t="s">
        <v>57</v>
      </c>
      <c r="E83" s="518" t="s">
        <v>649</v>
      </c>
      <c r="F83" s="518" t="s">
        <v>673</v>
      </c>
      <c r="G83" s="525">
        <v>0.01</v>
      </c>
      <c r="H83" s="525">
        <v>1.908E-3</v>
      </c>
      <c r="I83" s="527">
        <v>0.4</v>
      </c>
      <c r="J83" s="594">
        <v>4</v>
      </c>
      <c r="K83" s="519">
        <v>20</v>
      </c>
      <c r="L83" s="272"/>
      <c r="M83" s="272"/>
      <c r="P83" s="273"/>
      <c r="Q83" s="273"/>
      <c r="R83" s="273"/>
      <c r="S83" s="273"/>
      <c r="T83" s="576">
        <f ca="1"/>
        <v>0.02</v>
      </c>
      <c r="U83" s="573">
        <f ca="1"/>
        <v>75</v>
      </c>
      <c r="V83" s="576">
        <f t="shared" ca="1" si="8"/>
        <v>0</v>
      </c>
      <c r="W83" s="576">
        <f t="shared" ca="1" si="9"/>
        <v>0</v>
      </c>
      <c r="X83" s="484">
        <f ca="1">IF('CDO Bespoke'!O84&lt;&gt;"",'CDO Bespoke'!O84,"")</f>
        <v>1.17504664950641</v>
      </c>
      <c r="Y83" s="485">
        <f ca="1">IF(X83&lt;&gt;"",ABS(MIN(-0.75*('CDO Bespoke'!Q84)+'CDO Bespoke'!T84,0)),"")</f>
        <v>1.1658468043192065</v>
      </c>
      <c r="Z83" s="485">
        <f t="shared" ca="1" si="10"/>
        <v>9.1998451872035147E-3</v>
      </c>
      <c r="AA83" s="485">
        <f t="shared" ca="1" si="11"/>
        <v>0</v>
      </c>
      <c r="AB83" s="484">
        <f ca="1">IF('CDO Bespoke'!O84&lt;&gt;"",'CDO Bespoke'!O84,"")</f>
        <v>1.17504664950641</v>
      </c>
      <c r="AC83" s="485">
        <f ca="1">IF(AB83&lt;&gt;"",ABS(MIN(-0.75*('CDO Bespoke'!K84)+'CDO Bespoke'!T84,0)),"")</f>
        <v>0.60782138189133539</v>
      </c>
      <c r="AD83" s="485">
        <f t="shared" ca="1" si="12"/>
        <v>0.56722526761507464</v>
      </c>
      <c r="AE83" s="489">
        <f t="shared" ca="1" si="13"/>
        <v>0</v>
      </c>
      <c r="AF83" s="493">
        <f ca="1">IF('CDO Bespoke'!O84&lt;&gt;"",'CDO Bespoke'!O84,"")</f>
        <v>1.17504664950641</v>
      </c>
      <c r="AP83" s="494" t="str">
        <f ca="1">IF('CDO Bespoke'!C108&lt;&gt;"",'CDO Bespoke'!C108,"")</f>
        <v>Fortum Oyj</v>
      </c>
      <c r="AQ83" s="496">
        <f ca="1"/>
        <v>7.9768118999012927E-3</v>
      </c>
      <c r="AR83" s="585">
        <f ca="1"/>
        <v>2.6265174000172919E-2</v>
      </c>
      <c r="AS83" s="585">
        <f ca="1"/>
        <v>7.1057519299699834E-2</v>
      </c>
      <c r="AT83" s="585">
        <f ca="1"/>
        <v>1.219191104999684</v>
      </c>
      <c r="AU83" s="497">
        <f ca="1"/>
        <v>0</v>
      </c>
      <c r="AV83" s="627">
        <f ca="1"/>
        <v>0</v>
      </c>
      <c r="AW83" s="496">
        <f ca="1"/>
        <v>6.3349948410326706E-4</v>
      </c>
      <c r="AX83" s="585">
        <f ca="1"/>
        <v>3.0980700843011993E-3</v>
      </c>
      <c r="AY83" s="585">
        <f ca="1"/>
        <v>1.3418483351202229E-2</v>
      </c>
      <c r="AZ83" s="585">
        <f ca="1"/>
        <v>1.3089825265292023</v>
      </c>
      <c r="BA83" s="497">
        <f ca="1"/>
        <v>0</v>
      </c>
      <c r="BB83" s="627">
        <f ca="1"/>
        <v>0</v>
      </c>
      <c r="BC83" s="580"/>
      <c r="BD83" s="580"/>
      <c r="BE83" s="580"/>
      <c r="BF83" s="580"/>
      <c r="BG83" s="579"/>
    </row>
    <row r="84" spans="2:59">
      <c r="B84" s="534" t="s">
        <v>612</v>
      </c>
      <c r="C84" s="535" t="s">
        <v>66</v>
      </c>
      <c r="D84" s="535" t="s">
        <v>59</v>
      </c>
      <c r="E84" s="535" t="s">
        <v>649</v>
      </c>
      <c r="F84" s="535" t="s">
        <v>673</v>
      </c>
      <c r="G84" s="536">
        <v>0.01</v>
      </c>
      <c r="H84" s="536">
        <v>2.9069999999999999E-3</v>
      </c>
      <c r="I84" s="537">
        <v>0.4</v>
      </c>
      <c r="J84" s="595">
        <v>4</v>
      </c>
      <c r="K84" s="538">
        <v>20</v>
      </c>
      <c r="L84" s="272"/>
      <c r="M84" s="272"/>
      <c r="P84" s="273"/>
      <c r="Q84" s="273"/>
      <c r="R84" s="273"/>
      <c r="S84" s="273"/>
      <c r="T84" s="576">
        <f ca="1"/>
        <v>0.03</v>
      </c>
      <c r="U84" s="573">
        <f ca="1"/>
        <v>76</v>
      </c>
      <c r="V84" s="576">
        <f t="shared" ca="1" si="8"/>
        <v>0</v>
      </c>
      <c r="W84" s="576">
        <f t="shared" ca="1" si="9"/>
        <v>0</v>
      </c>
      <c r="X84" s="484">
        <f ca="1">IF('CDO Bespoke'!O85&lt;&gt;"",'CDO Bespoke'!O85,"")</f>
        <v>1.1755748551826799</v>
      </c>
      <c r="Y84" s="485">
        <f ca="1">IF(X84&lt;&gt;"",ABS(MIN(-0.75*('CDO Bespoke'!Q85)+'CDO Bespoke'!T85,0)),"")</f>
        <v>1.1659920899704974</v>
      </c>
      <c r="Z84" s="485">
        <f t="shared" ca="1" si="10"/>
        <v>9.5827652121824869E-3</v>
      </c>
      <c r="AA84" s="485">
        <f t="shared" ca="1" si="11"/>
        <v>0</v>
      </c>
      <c r="AB84" s="484">
        <f ca="1">IF('CDO Bespoke'!O85&lt;&gt;"",'CDO Bespoke'!O85,"")</f>
        <v>1.1755748551826799</v>
      </c>
      <c r="AC84" s="485">
        <f ca="1">IF(AB84&lt;&gt;"",ABS(MIN(-0.75*('CDO Bespoke'!K85)+'CDO Bespoke'!T85,0)),"")</f>
        <v>0.6034731898228044</v>
      </c>
      <c r="AD84" s="485">
        <f t="shared" ca="1" si="12"/>
        <v>0.5721016653598755</v>
      </c>
      <c r="AE84" s="489">
        <f t="shared" ca="1" si="13"/>
        <v>0</v>
      </c>
      <c r="AF84" s="493">
        <f ca="1">IF('CDO Bespoke'!O85&lt;&gt;"",'CDO Bespoke'!O85,"")</f>
        <v>1.1755748551826799</v>
      </c>
      <c r="AP84" s="494" t="str">
        <f ca="1">IF('CDO Bespoke'!C109&lt;&gt;"",'CDO Bespoke'!C109,"")</f>
        <v>Iberdrola, S.A.</v>
      </c>
      <c r="AQ84" s="496">
        <f ca="1"/>
        <v>8.1369778004436455E-3</v>
      </c>
      <c r="AR84" s="585">
        <f ca="1"/>
        <v>2.681911239976742E-2</v>
      </c>
      <c r="AS84" s="585">
        <f ca="1"/>
        <v>7.304098149862881E-2</v>
      </c>
      <c r="AT84" s="585">
        <f ca="1"/>
        <v>1.1718229384993784</v>
      </c>
      <c r="AU84" s="497">
        <f ca="1"/>
        <v>0</v>
      </c>
      <c r="AV84" s="627">
        <f ca="1"/>
        <v>0</v>
      </c>
      <c r="AW84" s="496">
        <f ca="1"/>
        <v>6.8560657480280784E-4</v>
      </c>
      <c r="AX84" s="585">
        <f ca="1"/>
        <v>3.3390648688028102E-3</v>
      </c>
      <c r="AY84" s="585">
        <f ca="1"/>
        <v>1.4664033686304784E-2</v>
      </c>
      <c r="AZ84" s="585">
        <f ca="1"/>
        <v>1.2618268940925002</v>
      </c>
      <c r="BA84" s="497">
        <f ca="1"/>
        <v>0</v>
      </c>
      <c r="BB84" s="627">
        <f ca="1"/>
        <v>0</v>
      </c>
      <c r="BC84" s="580"/>
      <c r="BD84" s="580"/>
      <c r="BE84" s="580"/>
      <c r="BF84" s="580"/>
      <c r="BG84" s="579"/>
    </row>
    <row r="85" spans="2:59">
      <c r="B85" s="539" t="s">
        <v>520</v>
      </c>
      <c r="C85" s="540" t="s">
        <v>66</v>
      </c>
      <c r="D85" s="540" t="s">
        <v>55</v>
      </c>
      <c r="E85" s="540" t="s">
        <v>646</v>
      </c>
      <c r="F85" s="540" t="s">
        <v>673</v>
      </c>
      <c r="G85" s="541">
        <v>0.01</v>
      </c>
      <c r="H85" s="541">
        <v>1.2049999999999999E-3</v>
      </c>
      <c r="I85" s="542">
        <v>0.4</v>
      </c>
      <c r="J85" s="602">
        <v>4</v>
      </c>
      <c r="K85" s="543">
        <v>21</v>
      </c>
      <c r="L85" s="272"/>
      <c r="M85" s="272"/>
      <c r="P85" s="273"/>
      <c r="Q85" s="273"/>
      <c r="R85" s="273"/>
      <c r="S85" s="273"/>
      <c r="T85" s="576">
        <f ca="1"/>
        <v>0.06</v>
      </c>
      <c r="U85" s="573">
        <f ca="1"/>
        <v>77</v>
      </c>
      <c r="V85" s="576">
        <f t="shared" ca="1" si="8"/>
        <v>0</v>
      </c>
      <c r="W85" s="576">
        <f t="shared" ca="1" si="9"/>
        <v>0</v>
      </c>
      <c r="X85" s="484">
        <f ca="1">IF('CDO Bespoke'!O86&lt;&gt;"",'CDO Bespoke'!O86,"")</f>
        <v>1.1728426340384801</v>
      </c>
      <c r="Y85" s="485">
        <f ca="1">IF(X85&lt;&gt;"",ABS(MIN(-0.75*('CDO Bespoke'!Q86)+'CDO Bespoke'!T86,0)),"")</f>
        <v>1.16521194963721</v>
      </c>
      <c r="Z85" s="485">
        <f t="shared" ca="1" si="10"/>
        <v>7.6306844012701269E-3</v>
      </c>
      <c r="AA85" s="485">
        <f t="shared" ca="1" si="11"/>
        <v>0</v>
      </c>
      <c r="AB85" s="484">
        <f ca="1">IF('CDO Bespoke'!O86&lt;&gt;"",'CDO Bespoke'!O86,"")</f>
        <v>1.1728426340384801</v>
      </c>
      <c r="AC85" s="485">
        <f ca="1">IF(AB85&lt;&gt;"",ABS(MIN(-0.75*('CDO Bespoke'!K86)+'CDO Bespoke'!T86,0)),"")</f>
        <v>0.62097612415094061</v>
      </c>
      <c r="AD85" s="485">
        <f t="shared" ca="1" si="12"/>
        <v>0.55186650988753949</v>
      </c>
      <c r="AE85" s="489">
        <f t="shared" ca="1" si="13"/>
        <v>0</v>
      </c>
      <c r="AF85" s="493">
        <f ca="1">IF('CDO Bespoke'!O86&lt;&gt;"",'CDO Bespoke'!O86,"")</f>
        <v>1.1728426340384801</v>
      </c>
      <c r="AP85" s="494" t="str">
        <f ca="1">IF('CDO Bespoke'!C110&lt;&gt;"",'CDO Bespoke'!C110,"")</f>
        <v>NATIONAL GRID PLC</v>
      </c>
      <c r="AQ85" s="496">
        <f ca="1"/>
        <v>7.7359836003765281E-3</v>
      </c>
      <c r="AR85" s="585">
        <f ca="1"/>
        <v>2.5641181500279941E-2</v>
      </c>
      <c r="AS85" s="585">
        <f ca="1"/>
        <v>6.9059940099869266E-2</v>
      </c>
      <c r="AT85" s="585">
        <f ca="1"/>
        <v>1.2883065539992522</v>
      </c>
      <c r="AU85" s="497">
        <f ca="1"/>
        <v>0</v>
      </c>
      <c r="AV85" s="627">
        <f ca="1"/>
        <v>0</v>
      </c>
      <c r="AW85" s="496">
        <f ca="1"/>
        <v>5.19761941394567E-4</v>
      </c>
      <c r="AX85" s="585">
        <f ca="1"/>
        <v>2.5712453775948024E-3</v>
      </c>
      <c r="AY85" s="585">
        <f ca="1"/>
        <v>1.0785204117898933E-2</v>
      </c>
      <c r="AZ85" s="585">
        <f ca="1"/>
        <v>1.381564594309199</v>
      </c>
      <c r="BA85" s="497">
        <f ca="1"/>
        <v>0</v>
      </c>
      <c r="BB85" s="627">
        <f ca="1"/>
        <v>0</v>
      </c>
      <c r="BC85" s="580"/>
      <c r="BD85" s="580"/>
      <c r="BE85" s="580"/>
      <c r="BF85" s="580"/>
      <c r="BG85" s="579"/>
    </row>
    <row r="86" spans="2:59">
      <c r="B86" s="517" t="s">
        <v>520</v>
      </c>
      <c r="C86" s="518" t="s">
        <v>66</v>
      </c>
      <c r="D86" s="518" t="s">
        <v>57</v>
      </c>
      <c r="E86" s="518" t="s">
        <v>646</v>
      </c>
      <c r="F86" s="518" t="s">
        <v>673</v>
      </c>
      <c r="G86" s="525">
        <v>0.01</v>
      </c>
      <c r="H86" s="525">
        <v>1.9740000000000001E-3</v>
      </c>
      <c r="I86" s="527">
        <v>0.4</v>
      </c>
      <c r="J86" s="594">
        <v>4</v>
      </c>
      <c r="K86" s="519">
        <v>21</v>
      </c>
      <c r="L86" s="272"/>
      <c r="M86" s="272"/>
      <c r="P86" s="273"/>
      <c r="Q86" s="273"/>
      <c r="R86" s="273"/>
      <c r="S86" s="273"/>
      <c r="T86" s="576">
        <f ca="1"/>
        <v>0.06</v>
      </c>
      <c r="U86" s="573">
        <f ca="1"/>
        <v>78</v>
      </c>
      <c r="V86" s="576">
        <f t="shared" ca="1" si="8"/>
        <v>0</v>
      </c>
      <c r="W86" s="576">
        <f t="shared" ca="1" si="9"/>
        <v>0</v>
      </c>
      <c r="X86" s="484">
        <f ca="1">IF('CDO Bespoke'!O87&lt;&gt;"",'CDO Bespoke'!O87,"")</f>
        <v>1.17429343558461</v>
      </c>
      <c r="Y86" s="485">
        <f ca="1">IF(X86&lt;&gt;"",ABS(MIN(-0.75*('CDO Bespoke'!Q87)+'CDO Bespoke'!T87,0)),"")</f>
        <v>1.1656343822263988</v>
      </c>
      <c r="Z86" s="485">
        <f t="shared" ca="1" si="10"/>
        <v>8.6590533582111551E-3</v>
      </c>
      <c r="AA86" s="485">
        <f t="shared" ca="1" si="11"/>
        <v>0</v>
      </c>
      <c r="AB86" s="484">
        <f ca="1">IF('CDO Bespoke'!O87&lt;&gt;"",'CDO Bespoke'!O87,"")</f>
        <v>1.17429343558461</v>
      </c>
      <c r="AC86" s="485">
        <f ca="1">IF(AB86&lt;&gt;"",ABS(MIN(-0.75*('CDO Bespoke'!K87)+'CDO Bespoke'!T87,0)),"")</f>
        <v>0.61306984604222048</v>
      </c>
      <c r="AD86" s="485">
        <f t="shared" ca="1" si="12"/>
        <v>0.56122358954238949</v>
      </c>
      <c r="AE86" s="489">
        <f t="shared" ca="1" si="13"/>
        <v>0</v>
      </c>
      <c r="AF86" s="493">
        <f ca="1">IF('CDO Bespoke'!O87&lt;&gt;"",'CDO Bespoke'!O87,"")</f>
        <v>1.17429343558461</v>
      </c>
      <c r="AP86" s="494" t="str">
        <f ca="1">IF('CDO Bespoke'!C111&lt;&gt;"",'CDO Bespoke'!C111,"")</f>
        <v>NATURGY ENERGY GROUP, S.A.</v>
      </c>
      <c r="AQ86" s="496">
        <f ca="1"/>
        <v>7.9770170002824159E-3</v>
      </c>
      <c r="AR86" s="585">
        <f ca="1"/>
        <v>2.6419295700019774E-2</v>
      </c>
      <c r="AS86" s="585">
        <f ca="1"/>
        <v>7.1835806398912183E-2</v>
      </c>
      <c r="AT86" s="585">
        <f ca="1"/>
        <v>1.2254041058001874</v>
      </c>
      <c r="AU86" s="497">
        <f ca="1"/>
        <v>0</v>
      </c>
      <c r="AV86" s="627">
        <f ca="1"/>
        <v>0</v>
      </c>
      <c r="AW86" s="496">
        <f ca="1"/>
        <v>6.2113227200510934E-4</v>
      </c>
      <c r="AX86" s="585">
        <f ca="1"/>
        <v>3.0423816261074266E-3</v>
      </c>
      <c r="AY86" s="585">
        <f ca="1"/>
        <v>1.3164686515207066E-2</v>
      </c>
      <c r="AZ86" s="585">
        <f ca="1"/>
        <v>1.3165338369497055</v>
      </c>
      <c r="BA86" s="497">
        <f ca="1"/>
        <v>0</v>
      </c>
      <c r="BB86" s="627">
        <f ca="1"/>
        <v>0</v>
      </c>
      <c r="BC86" s="580"/>
      <c r="BD86" s="580"/>
      <c r="BE86" s="580"/>
      <c r="BF86" s="580"/>
      <c r="BG86" s="579"/>
    </row>
    <row r="87" spans="2:59">
      <c r="B87" s="534" t="s">
        <v>520</v>
      </c>
      <c r="C87" s="535" t="s">
        <v>66</v>
      </c>
      <c r="D87" s="535" t="s">
        <v>59</v>
      </c>
      <c r="E87" s="535" t="s">
        <v>646</v>
      </c>
      <c r="F87" s="535" t="s">
        <v>673</v>
      </c>
      <c r="G87" s="536">
        <v>0.01</v>
      </c>
      <c r="H87" s="536">
        <v>3.055E-3</v>
      </c>
      <c r="I87" s="537">
        <v>0.4</v>
      </c>
      <c r="J87" s="595">
        <v>4</v>
      </c>
      <c r="K87" s="538">
        <v>21</v>
      </c>
      <c r="L87" s="272"/>
      <c r="M87" s="272"/>
      <c r="P87" s="273"/>
      <c r="Q87" s="273"/>
      <c r="R87" s="273"/>
      <c r="S87" s="273"/>
      <c r="T87" s="576">
        <f ca="1"/>
        <v>0.06</v>
      </c>
      <c r="U87" s="573">
        <f ca="1"/>
        <v>79</v>
      </c>
      <c r="V87" s="576">
        <f t="shared" ca="1" si="8"/>
        <v>0</v>
      </c>
      <c r="W87" s="576">
        <f t="shared" ca="1" si="9"/>
        <v>0</v>
      </c>
      <c r="X87" s="484">
        <f ca="1">IF('CDO Bespoke'!O88&lt;&gt;"",'CDO Bespoke'!O88,"")</f>
        <v>1.1723555183508301</v>
      </c>
      <c r="Y87" s="485">
        <f ca="1">IF(X87&lt;&gt;"",ABS(MIN(-0.75*('CDO Bespoke'!Q88)+'CDO Bespoke'!T88,0)),"")</f>
        <v>1.1650670540574606</v>
      </c>
      <c r="Z87" s="485">
        <f t="shared" ca="1" si="10"/>
        <v>7.2884642933694899E-3</v>
      </c>
      <c r="AA87" s="485">
        <f t="shared" ca="1" si="11"/>
        <v>0</v>
      </c>
      <c r="AB87" s="484">
        <f ca="1">IF('CDO Bespoke'!O88&lt;&gt;"",'CDO Bespoke'!O88,"")</f>
        <v>1.1723555183508301</v>
      </c>
      <c r="AC87" s="485">
        <f ca="1">IF(AB87&lt;&gt;"",ABS(MIN(-0.75*('CDO Bespoke'!K88)+'CDO Bespoke'!T88,0)),"")</f>
        <v>0.62315621931008403</v>
      </c>
      <c r="AD87" s="485">
        <f t="shared" ca="1" si="12"/>
        <v>0.54919929904074605</v>
      </c>
      <c r="AE87" s="489">
        <f t="shared" ca="1" si="13"/>
        <v>0</v>
      </c>
      <c r="AF87" s="493">
        <f ca="1">IF('CDO Bespoke'!O88&lt;&gt;"",'CDO Bespoke'!O88,"")</f>
        <v>1.1723555183508301</v>
      </c>
      <c r="AP87" s="494" t="str">
        <f ca="1">IF('CDO Bespoke'!C112&lt;&gt;"",'CDO Bespoke'!C112,"")</f>
        <v>REPSOL, S.A.</v>
      </c>
      <c r="AQ87" s="496">
        <f ca="1"/>
        <v>7.6844191987390786E-3</v>
      </c>
      <c r="AR87" s="585">
        <f ca="1"/>
        <v>2.549378300020777E-2</v>
      </c>
      <c r="AS87" s="585">
        <f ca="1"/>
        <v>6.8562272299566018E-2</v>
      </c>
      <c r="AT87" s="585">
        <f ca="1"/>
        <v>1.3008138192005525</v>
      </c>
      <c r="AU87" s="497">
        <f ca="1"/>
        <v>0</v>
      </c>
      <c r="AV87" s="627">
        <f ca="1"/>
        <v>0</v>
      </c>
      <c r="AW87" s="496">
        <f ca="1"/>
        <v>4.9409710980649613E-4</v>
      </c>
      <c r="AX87" s="585">
        <f ca="1"/>
        <v>2.4517902635044775E-3</v>
      </c>
      <c r="AY87" s="585">
        <f ca="1"/>
        <v>1.0191685863303324E-2</v>
      </c>
      <c r="AZ87" s="585">
        <f ca="1"/>
        <v>1.3943028996273985</v>
      </c>
      <c r="BA87" s="497">
        <f ca="1"/>
        <v>0</v>
      </c>
      <c r="BB87" s="627">
        <f ca="1"/>
        <v>0</v>
      </c>
      <c r="BC87" s="580"/>
      <c r="BD87" s="580"/>
      <c r="BE87" s="580"/>
      <c r="BF87" s="580"/>
      <c r="BG87" s="579"/>
    </row>
    <row r="88" spans="2:59">
      <c r="B88" s="539" t="s">
        <v>613</v>
      </c>
      <c r="C88" s="540" t="s">
        <v>66</v>
      </c>
      <c r="D88" s="540" t="s">
        <v>55</v>
      </c>
      <c r="E88" s="540" t="s">
        <v>648</v>
      </c>
      <c r="F88" s="540" t="s">
        <v>673</v>
      </c>
      <c r="G88" s="541">
        <v>0.01</v>
      </c>
      <c r="H88" s="541">
        <v>1.1557E-2</v>
      </c>
      <c r="I88" s="542">
        <v>0.4</v>
      </c>
      <c r="J88" s="602">
        <v>4</v>
      </c>
      <c r="K88" s="543">
        <v>22</v>
      </c>
      <c r="L88" s="272"/>
      <c r="M88" s="272"/>
      <c r="P88" s="273"/>
      <c r="Q88" s="273"/>
      <c r="R88" s="273"/>
      <c r="S88" s="273"/>
      <c r="T88" s="576">
        <f ca="1"/>
        <v>0.06</v>
      </c>
      <c r="U88" s="573">
        <f ca="1"/>
        <v>80</v>
      </c>
      <c r="V88" s="576">
        <f t="shared" ca="1" si="8"/>
        <v>0</v>
      </c>
      <c r="W88" s="576">
        <f t="shared" ca="1" si="9"/>
        <v>0</v>
      </c>
      <c r="X88" s="484">
        <f ca="1">IF('CDO Bespoke'!O89&lt;&gt;"",'CDO Bespoke'!O89,"")</f>
        <v>1.17624858793831</v>
      </c>
      <c r="Y88" s="485">
        <f ca="1">IF(X88&lt;&gt;"",ABS(MIN(-0.75*('CDO Bespoke'!Q89)+'CDO Bespoke'!T89,0)),"")</f>
        <v>1.1661718915976607</v>
      </c>
      <c r="Z88" s="485">
        <f t="shared" ca="1" si="10"/>
        <v>1.0076696340649338E-2</v>
      </c>
      <c r="AA88" s="485">
        <f t="shared" ca="1" si="11"/>
        <v>0</v>
      </c>
      <c r="AB88" s="484">
        <f ca="1">IF('CDO Bespoke'!O89&lt;&gt;"",'CDO Bespoke'!O89,"")</f>
        <v>1.17624858793831</v>
      </c>
      <c r="AC88" s="485">
        <f ca="1">IF(AB88&lt;&gt;"",ABS(MIN(-0.75*('CDO Bespoke'!K89)+'CDO Bespoke'!T89,0)),"")</f>
        <v>0.59683084013632992</v>
      </c>
      <c r="AD88" s="485">
        <f t="shared" ca="1" si="12"/>
        <v>0.57941774780198008</v>
      </c>
      <c r="AE88" s="489">
        <f t="shared" ca="1" si="13"/>
        <v>0</v>
      </c>
      <c r="AF88" s="493">
        <f ca="1">IF('CDO Bespoke'!O89&lt;&gt;"",'CDO Bespoke'!O89,"")</f>
        <v>1.17624858793831</v>
      </c>
      <c r="AP88" s="494" t="str">
        <f ca="1">IF('CDO Bespoke'!C113&lt;&gt;"",'CDO Bespoke'!C113,"")</f>
        <v>SHELL PLC</v>
      </c>
      <c r="AQ88" s="496">
        <f ca="1"/>
        <v>8.3108551995891844E-3</v>
      </c>
      <c r="AR88" s="585">
        <f ca="1"/>
        <v>2.7367009800549624E-2</v>
      </c>
      <c r="AS88" s="585">
        <f ca="1"/>
        <v>7.4854105398536319E-2</v>
      </c>
      <c r="AT88" s="585">
        <f ca="1"/>
        <v>1.1118155209999259</v>
      </c>
      <c r="AU88" s="497">
        <f ca="1"/>
        <v>0</v>
      </c>
      <c r="AV88" s="627">
        <f ca="1"/>
        <v>0</v>
      </c>
      <c r="AW88" s="496">
        <f ca="1"/>
        <v>7.3237244250026756E-4</v>
      </c>
      <c r="AX88" s="585">
        <f ca="1"/>
        <v>3.5530692775020273E-3</v>
      </c>
      <c r="AY88" s="585">
        <f ca="1"/>
        <v>1.5787843162294937E-2</v>
      </c>
      <c r="AZ88" s="585">
        <f ca="1"/>
        <v>1.2017167046157999</v>
      </c>
      <c r="BA88" s="497">
        <f ca="1"/>
        <v>0</v>
      </c>
      <c r="BB88" s="627">
        <f ca="1"/>
        <v>0</v>
      </c>
      <c r="BC88" s="580"/>
      <c r="BD88" s="580"/>
      <c r="BE88" s="580"/>
      <c r="BF88" s="580"/>
      <c r="BG88" s="579"/>
    </row>
    <row r="89" spans="2:59">
      <c r="B89" s="517" t="s">
        <v>613</v>
      </c>
      <c r="C89" s="518" t="s">
        <v>66</v>
      </c>
      <c r="D89" s="518" t="s">
        <v>57</v>
      </c>
      <c r="E89" s="518" t="s">
        <v>648</v>
      </c>
      <c r="F89" s="518" t="s">
        <v>673</v>
      </c>
      <c r="G89" s="525">
        <v>0.01</v>
      </c>
      <c r="H89" s="525">
        <v>1.7305000000000001E-2</v>
      </c>
      <c r="I89" s="527">
        <v>0.4</v>
      </c>
      <c r="J89" s="594">
        <v>4</v>
      </c>
      <c r="K89" s="519">
        <v>22</v>
      </c>
      <c r="L89" s="272"/>
      <c r="M89" s="272"/>
      <c r="P89" s="273"/>
      <c r="Q89" s="273"/>
      <c r="R89" s="273"/>
      <c r="S89" s="273"/>
      <c r="T89" s="576">
        <f ca="1"/>
        <v>0.06</v>
      </c>
      <c r="U89" s="573">
        <f ca="1"/>
        <v>81</v>
      </c>
      <c r="V89" s="576">
        <f t="shared" ca="1" si="8"/>
        <v>0</v>
      </c>
      <c r="W89" s="576">
        <f t="shared" ca="1" si="9"/>
        <v>0</v>
      </c>
      <c r="X89" s="484">
        <f ca="1">IF('CDO Bespoke'!O90&lt;&gt;"",'CDO Bespoke'!O90,"")</f>
        <v>1.17655997838144</v>
      </c>
      <c r="Y89" s="485">
        <f ca="1">IF(X89&lt;&gt;"",ABS(MIN(-0.75*('CDO Bespoke'!Q90)+'CDO Bespoke'!T90,0)),"")</f>
        <v>1.166252458352</v>
      </c>
      <c r="Z89" s="485">
        <f t="shared" ca="1" si="10"/>
        <v>1.030752002944002E-2</v>
      </c>
      <c r="AA89" s="485">
        <f t="shared" ca="1" si="11"/>
        <v>0</v>
      </c>
      <c r="AB89" s="484">
        <f ca="1">IF('CDO Bespoke'!O90&lt;&gt;"",'CDO Bespoke'!O90,"")</f>
        <v>1.17655997838144</v>
      </c>
      <c r="AC89" s="485">
        <f ca="1">IF(AB89&lt;&gt;"",ABS(MIN(-0.75*('CDO Bespoke'!K90)+'CDO Bespoke'!T90,0)),"")</f>
        <v>0.59321073010195791</v>
      </c>
      <c r="AD89" s="485">
        <f t="shared" ca="1" si="12"/>
        <v>0.58334924827948209</v>
      </c>
      <c r="AE89" s="489">
        <f t="shared" ca="1" si="13"/>
        <v>0</v>
      </c>
      <c r="AF89" s="493">
        <f ca="1">IF('CDO Bespoke'!O90&lt;&gt;"",'CDO Bespoke'!O90,"")</f>
        <v>1.17655997838144</v>
      </c>
      <c r="AP89" s="494" t="str">
        <f ca="1">IF('CDO Bespoke'!C114&lt;&gt;"",'CDO Bespoke'!C114,"")</f>
        <v>TotalEnergies SE</v>
      </c>
      <c r="AQ89" s="496">
        <f ca="1"/>
        <v>8.3345103996101955E-3</v>
      </c>
      <c r="AR89" s="585">
        <f ca="1"/>
        <v>2.7371817699073375E-2</v>
      </c>
      <c r="AS89" s="585">
        <f ca="1"/>
        <v>7.4751221699198567E-2</v>
      </c>
      <c r="AT89" s="585">
        <f ca="1"/>
        <v>1.0979159169988151</v>
      </c>
      <c r="AU89" s="497">
        <f ca="1"/>
        <v>0</v>
      </c>
      <c r="AV89" s="627">
        <f ca="1"/>
        <v>0</v>
      </c>
      <c r="AW89" s="496">
        <f ca="1"/>
        <v>7.410411062037936E-4</v>
      </c>
      <c r="AX89" s="585">
        <f ca="1"/>
        <v>3.5917459486993486E-3</v>
      </c>
      <c r="AY89" s="585">
        <f ca="1"/>
        <v>1.5987482055203339E-2</v>
      </c>
      <c r="AZ89" s="585">
        <f ca="1"/>
        <v>1.1871955179237978</v>
      </c>
      <c r="BA89" s="497">
        <f ca="1"/>
        <v>0</v>
      </c>
      <c r="BB89" s="627">
        <f ca="1"/>
        <v>0</v>
      </c>
      <c r="BC89" s="580"/>
      <c r="BD89" s="580"/>
      <c r="BE89" s="580"/>
      <c r="BF89" s="580"/>
      <c r="BG89" s="579"/>
    </row>
    <row r="90" spans="2:59">
      <c r="B90" s="534" t="s">
        <v>613</v>
      </c>
      <c r="C90" s="535" t="s">
        <v>66</v>
      </c>
      <c r="D90" s="535" t="s">
        <v>59</v>
      </c>
      <c r="E90" s="535" t="s">
        <v>648</v>
      </c>
      <c r="F90" s="535" t="s">
        <v>673</v>
      </c>
      <c r="G90" s="536">
        <v>0.01</v>
      </c>
      <c r="H90" s="536">
        <v>2.0903000000000001E-2</v>
      </c>
      <c r="I90" s="537">
        <v>0.4</v>
      </c>
      <c r="J90" s="595">
        <v>4</v>
      </c>
      <c r="K90" s="538">
        <v>22</v>
      </c>
      <c r="L90" s="272"/>
      <c r="M90" s="272"/>
      <c r="P90" s="273"/>
      <c r="Q90" s="273"/>
      <c r="R90" s="273"/>
      <c r="S90" s="273"/>
      <c r="T90" s="576">
        <f ca="1"/>
        <v>0.06</v>
      </c>
      <c r="U90" s="573">
        <f ca="1"/>
        <v>82</v>
      </c>
      <c r="V90" s="576">
        <f t="shared" ca="1" si="8"/>
        <v>0</v>
      </c>
      <c r="W90" s="576">
        <f t="shared" ca="1" si="9"/>
        <v>0</v>
      </c>
      <c r="X90" s="484">
        <f ca="1">IF('CDO Bespoke'!O91&lt;&gt;"",'CDO Bespoke'!O91,"")</f>
        <v>1.17520298529152</v>
      </c>
      <c r="Y90" s="485">
        <f ca="1">IF(X90&lt;&gt;"",ABS(MIN(-0.75*('CDO Bespoke'!Q91)+'CDO Bespoke'!T91,0)),"")</f>
        <v>1.1658901533195507</v>
      </c>
      <c r="Z90" s="485">
        <f t="shared" ca="1" si="10"/>
        <v>9.3128319719693042E-3</v>
      </c>
      <c r="AA90" s="485">
        <f t="shared" ca="1" si="11"/>
        <v>0</v>
      </c>
      <c r="AB90" s="484">
        <f ca="1">IF('CDO Bespoke'!O91&lt;&gt;"",'CDO Bespoke'!O91,"")</f>
        <v>1.17520298529152</v>
      </c>
      <c r="AC90" s="485">
        <f ca="1">IF(AB90&lt;&gt;"",ABS(MIN(-0.75*('CDO Bespoke'!K91)+'CDO Bespoke'!T91,0)),"")</f>
        <v>0.60659985181509879</v>
      </c>
      <c r="AD90" s="485">
        <f t="shared" ca="1" si="12"/>
        <v>0.56860313347642122</v>
      </c>
      <c r="AE90" s="489">
        <f t="shared" ca="1" si="13"/>
        <v>0</v>
      </c>
      <c r="AF90" s="493">
        <f ca="1">IF('CDO Bespoke'!O91&lt;&gt;"",'CDO Bespoke'!O91,"")</f>
        <v>1.17520298529152</v>
      </c>
      <c r="AP90" s="494" t="str">
        <f ca="1">IF('CDO Bespoke'!C115&lt;&gt;"",'CDO Bespoke'!C115,"")</f>
        <v>VEOLIA ENVIRONNEMENT</v>
      </c>
      <c r="AQ90" s="496">
        <f ca="1"/>
        <v>8.0525247003748746E-3</v>
      </c>
      <c r="AR90" s="585">
        <f ca="1"/>
        <v>2.6550469800490362E-2</v>
      </c>
      <c r="AS90" s="585">
        <f ca="1"/>
        <v>7.2118682299393555E-2</v>
      </c>
      <c r="AT90" s="585">
        <f ca="1"/>
        <v>1.1984827694000444</v>
      </c>
      <c r="AU90" s="497">
        <f ca="1"/>
        <v>0</v>
      </c>
      <c r="AV90" s="627">
        <f ca="1"/>
        <v>0</v>
      </c>
      <c r="AW90" s="496">
        <f ca="1"/>
        <v>6.5761506269981784E-4</v>
      </c>
      <c r="AX90" s="585">
        <f ca="1"/>
        <v>3.2099139882051098E-3</v>
      </c>
      <c r="AY90" s="585">
        <f ca="1"/>
        <v>1.3998525201404377E-2</v>
      </c>
      <c r="AZ90" s="585">
        <f ca="1"/>
        <v>1.2885651149447015</v>
      </c>
      <c r="BA90" s="497">
        <f ca="1"/>
        <v>0</v>
      </c>
      <c r="BB90" s="627">
        <f ca="1"/>
        <v>0</v>
      </c>
      <c r="BC90" s="580"/>
      <c r="BD90" s="580"/>
      <c r="BE90" s="580"/>
      <c r="BF90" s="580"/>
      <c r="BG90" s="579"/>
    </row>
    <row r="91" spans="2:59">
      <c r="B91" s="539" t="s">
        <v>536</v>
      </c>
      <c r="C91" s="540" t="s">
        <v>66</v>
      </c>
      <c r="D91" s="540" t="s">
        <v>55</v>
      </c>
      <c r="E91" s="540" t="s">
        <v>648</v>
      </c>
      <c r="F91" s="540" t="s">
        <v>647</v>
      </c>
      <c r="G91" s="541">
        <v>0.01</v>
      </c>
      <c r="H91" s="541">
        <v>3.4970000000000001E-3</v>
      </c>
      <c r="I91" s="542">
        <v>0.4</v>
      </c>
      <c r="J91" s="602">
        <v>4</v>
      </c>
      <c r="K91" s="543">
        <v>23</v>
      </c>
      <c r="L91" s="272"/>
      <c r="M91" s="272"/>
      <c r="P91" s="273"/>
      <c r="Q91" s="273"/>
      <c r="R91" s="273"/>
      <c r="S91" s="273"/>
      <c r="T91" s="576">
        <f ca="1"/>
        <v>0.06</v>
      </c>
      <c r="U91" s="573">
        <f ca="1"/>
        <v>83</v>
      </c>
      <c r="V91" s="576">
        <f t="shared" ca="1" si="8"/>
        <v>0</v>
      </c>
      <c r="W91" s="576">
        <f t="shared" ca="1" si="9"/>
        <v>0</v>
      </c>
      <c r="X91" s="484">
        <f ca="1">IF('CDO Bespoke'!O92&lt;&gt;"",'CDO Bespoke'!O92,"")</f>
        <v>1.1758776296906901</v>
      </c>
      <c r="Y91" s="485">
        <f ca="1">IF(X91&lt;&gt;"",ABS(MIN(-0.75*('CDO Bespoke'!Q92)+'CDO Bespoke'!T92,0)),"")</f>
        <v>1.1660737375663941</v>
      </c>
      <c r="Z91" s="485">
        <f t="shared" ca="1" si="10"/>
        <v>9.8038921242959987E-3</v>
      </c>
      <c r="AA91" s="485">
        <f t="shared" ca="1" si="11"/>
        <v>0</v>
      </c>
      <c r="AB91" s="484">
        <f ca="1">IF('CDO Bespoke'!O92&lt;&gt;"",'CDO Bespoke'!O92,"")</f>
        <v>1.1758776296906901</v>
      </c>
      <c r="AC91" s="485">
        <f ca="1">IF(AB91&lt;&gt;"",ABS(MIN(-0.75*('CDO Bespoke'!K92)+'CDO Bespoke'!T92,0)),"")</f>
        <v>0.60066338027302857</v>
      </c>
      <c r="AD91" s="485">
        <f t="shared" ca="1" si="12"/>
        <v>0.57521424941766153</v>
      </c>
      <c r="AE91" s="489">
        <f t="shared" ca="1" si="13"/>
        <v>0</v>
      </c>
      <c r="AF91" s="493">
        <f ca="1">IF('CDO Bespoke'!O92&lt;&gt;"",'CDO Bespoke'!O92,"")</f>
        <v>1.1758776296906901</v>
      </c>
      <c r="AP91" s="494" t="str">
        <f ca="1">IF('CDO Bespoke'!C116&lt;&gt;"",'CDO Bespoke'!C116,"")</f>
        <v>Bertelsmann SE &amp; Co. KGaA</v>
      </c>
      <c r="AQ91" s="496">
        <f ca="1"/>
        <v>8.2813637991563382E-3</v>
      </c>
      <c r="AR91" s="585">
        <f ca="1"/>
        <v>2.7345922899435493E-2</v>
      </c>
      <c r="AS91" s="585">
        <f ca="1"/>
        <v>7.4911360399276816E-2</v>
      </c>
      <c r="AT91" s="585">
        <f ca="1"/>
        <v>1.1271882769992025</v>
      </c>
      <c r="AU91" s="497">
        <f ca="1"/>
        <v>0</v>
      </c>
      <c r="AV91" s="627">
        <f ca="1"/>
        <v>0</v>
      </c>
      <c r="AW91" s="496">
        <f ca="1"/>
        <v>7.2137903580314633E-4</v>
      </c>
      <c r="AX91" s="585">
        <f ca="1"/>
        <v>3.5036019740974922E-3</v>
      </c>
      <c r="AY91" s="585">
        <f ca="1"/>
        <v>1.5535160172901533E-2</v>
      </c>
      <c r="AZ91" s="585">
        <f ca="1"/>
        <v>1.2177316941024054</v>
      </c>
      <c r="BA91" s="497">
        <f ca="1"/>
        <v>0</v>
      </c>
      <c r="BB91" s="627">
        <f ca="1"/>
        <v>0</v>
      </c>
      <c r="BC91" s="580"/>
      <c r="BD91" s="580"/>
      <c r="BE91" s="580"/>
      <c r="BF91" s="580"/>
      <c r="BG91" s="579"/>
    </row>
    <row r="92" spans="2:59">
      <c r="B92" s="517" t="s">
        <v>536</v>
      </c>
      <c r="C92" s="518" t="s">
        <v>66</v>
      </c>
      <c r="D92" s="518" t="s">
        <v>57</v>
      </c>
      <c r="E92" s="518" t="s">
        <v>648</v>
      </c>
      <c r="F92" s="518" t="s">
        <v>647</v>
      </c>
      <c r="G92" s="525">
        <v>0.01</v>
      </c>
      <c r="H92" s="525">
        <v>6.7010000000000004E-3</v>
      </c>
      <c r="I92" s="527">
        <v>0.4</v>
      </c>
      <c r="J92" s="594">
        <v>4</v>
      </c>
      <c r="K92" s="519">
        <v>23</v>
      </c>
      <c r="L92" s="272"/>
      <c r="M92" s="272"/>
      <c r="P92" s="273"/>
      <c r="Q92" s="273"/>
      <c r="R92" s="273"/>
      <c r="S92" s="273"/>
      <c r="T92" s="576">
        <f ca="1"/>
        <v>0.06</v>
      </c>
      <c r="U92" s="573">
        <f ca="1"/>
        <v>84</v>
      </c>
      <c r="V92" s="576">
        <f t="shared" ca="1" si="8"/>
        <v>0</v>
      </c>
      <c r="W92" s="576">
        <f t="shared" ca="1" si="9"/>
        <v>0</v>
      </c>
      <c r="X92" s="484">
        <f ca="1">IF('CDO Bespoke'!O93&lt;&gt;"",'CDO Bespoke'!O93,"")</f>
        <v>1.1727884471610199</v>
      </c>
      <c r="Y92" s="485">
        <f ca="1">IF(X92&lt;&gt;"",ABS(MIN(-0.75*('CDO Bespoke'!Q93)+'CDO Bespoke'!T93,0)),"")</f>
        <v>1.1651958979035346</v>
      </c>
      <c r="Z92" s="485">
        <f t="shared" ca="1" si="10"/>
        <v>7.5925492574853148E-3</v>
      </c>
      <c r="AA92" s="485">
        <f t="shared" ca="1" si="11"/>
        <v>0</v>
      </c>
      <c r="AB92" s="484">
        <f ca="1">IF('CDO Bespoke'!O93&lt;&gt;"",'CDO Bespoke'!O93,"")</f>
        <v>1.1727884471610199</v>
      </c>
      <c r="AC92" s="485">
        <f ca="1">IF(AB92&lt;&gt;"",ABS(MIN(-0.75*('CDO Bespoke'!K93)+'CDO Bespoke'!T93,0)),"")</f>
        <v>0.62122862540354784</v>
      </c>
      <c r="AD92" s="485">
        <f t="shared" ca="1" si="12"/>
        <v>0.55155982175747209</v>
      </c>
      <c r="AE92" s="489">
        <f t="shared" ca="1" si="13"/>
        <v>0</v>
      </c>
      <c r="AF92" s="493">
        <f ca="1">IF('CDO Bespoke'!O93&lt;&gt;"",'CDO Bespoke'!O93,"")</f>
        <v>1.1727884471610199</v>
      </c>
      <c r="AP92" s="494" t="str">
        <f ca="1">IF('CDO Bespoke'!C117&lt;&gt;"",'CDO Bespoke'!C117,"")</f>
        <v>BRITISH TELECOMMUNICATIONS public limited company</v>
      </c>
      <c r="AQ92" s="496">
        <f ca="1"/>
        <v>7.3422099000630681E-3</v>
      </c>
      <c r="AR92" s="585">
        <f ca="1"/>
        <v>2.3949406400269879E-2</v>
      </c>
      <c r="AS92" s="585">
        <f ca="1"/>
        <v>6.2134298899341189E-2</v>
      </c>
      <c r="AT92" s="585">
        <f ca="1"/>
        <v>1.3688250689991577</v>
      </c>
      <c r="AU92" s="497">
        <f ca="1"/>
        <v>0</v>
      </c>
      <c r="AV92" s="627">
        <f ca="1"/>
        <v>0</v>
      </c>
      <c r="AW92" s="496">
        <f ca="1"/>
        <v>3.570020570007118E-4</v>
      </c>
      <c r="AX92" s="585">
        <f ca="1"/>
        <v>1.8065769929976813E-3</v>
      </c>
      <c r="AY92" s="585">
        <f ca="1"/>
        <v>6.8583819180009081E-3</v>
      </c>
      <c r="AZ92" s="585">
        <f ca="1"/>
        <v>1.4593546447720001</v>
      </c>
      <c r="BA92" s="497">
        <f ca="1"/>
        <v>0</v>
      </c>
      <c r="BB92" s="627">
        <f ca="1"/>
        <v>0</v>
      </c>
      <c r="BC92" s="580"/>
      <c r="BD92" s="580"/>
      <c r="BE92" s="580"/>
      <c r="BF92" s="580"/>
      <c r="BG92" s="579"/>
    </row>
    <row r="93" spans="2:59">
      <c r="B93" s="534" t="s">
        <v>536</v>
      </c>
      <c r="C93" s="535" t="s">
        <v>66</v>
      </c>
      <c r="D93" s="535" t="s">
        <v>59</v>
      </c>
      <c r="E93" s="535" t="s">
        <v>648</v>
      </c>
      <c r="F93" s="535" t="s">
        <v>647</v>
      </c>
      <c r="G93" s="536">
        <v>0.01</v>
      </c>
      <c r="H93" s="536">
        <v>1.042E-2</v>
      </c>
      <c r="I93" s="537">
        <v>0.4</v>
      </c>
      <c r="J93" s="595">
        <v>4</v>
      </c>
      <c r="K93" s="538">
        <v>23</v>
      </c>
      <c r="L93" s="272"/>
      <c r="M93" s="272"/>
      <c r="P93" s="273"/>
      <c r="Q93" s="273"/>
      <c r="R93" s="273"/>
      <c r="S93" s="273"/>
      <c r="T93" s="576">
        <f ca="1"/>
        <v>0.06</v>
      </c>
      <c r="U93" s="573">
        <f ca="1"/>
        <v>85</v>
      </c>
      <c r="V93" s="576">
        <f t="shared" ca="1" si="8"/>
        <v>0</v>
      </c>
      <c r="W93" s="576">
        <f t="shared" ca="1" si="9"/>
        <v>0</v>
      </c>
      <c r="X93" s="484">
        <f ca="1">IF('CDO Bespoke'!O94&lt;&gt;"",'CDO Bespoke'!O94,"")</f>
        <v>1.1758867676685201</v>
      </c>
      <c r="Y93" s="485">
        <f ca="1">IF(X93&lt;&gt;"",ABS(MIN(-0.75*('CDO Bespoke'!Q94)+'CDO Bespoke'!T94,0)),"")</f>
        <v>1.1660761813147622</v>
      </c>
      <c r="Z93" s="485">
        <f t="shared" ca="1" si="10"/>
        <v>9.8105863537578664E-3</v>
      </c>
      <c r="AA93" s="485">
        <f t="shared" ca="1" si="11"/>
        <v>0</v>
      </c>
      <c r="AB93" s="484">
        <f ca="1">IF('CDO Bespoke'!O94&lt;&gt;"",'CDO Bespoke'!O94,"")</f>
        <v>1.1758867676685201</v>
      </c>
      <c r="AC93" s="485">
        <f ca="1">IF(AB93&lt;&gt;"",ABS(MIN(-0.75*('CDO Bespoke'!K94)+'CDO Bespoke'!T94,0)),"")</f>
        <v>0.60057443208419936</v>
      </c>
      <c r="AD93" s="485">
        <f t="shared" ca="1" si="12"/>
        <v>0.57531233558432071</v>
      </c>
      <c r="AE93" s="489">
        <f t="shared" ca="1" si="13"/>
        <v>0</v>
      </c>
      <c r="AF93" s="493">
        <f ca="1">IF('CDO Bespoke'!O94&lt;&gt;"",'CDO Bespoke'!O94,"")</f>
        <v>1.1758867676685201</v>
      </c>
      <c r="AP93" s="494" t="str">
        <f ca="1">IF('CDO Bespoke'!C118&lt;&gt;"",'CDO Bespoke'!C118,"")</f>
        <v>Deutsche Telekom AG</v>
      </c>
      <c r="AQ93" s="496">
        <f ca="1"/>
        <v>8.3171037990048546E-3</v>
      </c>
      <c r="AR93" s="585">
        <f ca="1"/>
        <v>2.7491947498514691E-2</v>
      </c>
      <c r="AS93" s="585">
        <f ca="1"/>
        <v>7.5445521099393176E-2</v>
      </c>
      <c r="AT93" s="585">
        <f ca="1"/>
        <v>1.1166651541993922</v>
      </c>
      <c r="AU93" s="497">
        <f ca="1"/>
        <v>0</v>
      </c>
      <c r="AV93" s="627">
        <f ca="1"/>
        <v>0</v>
      </c>
      <c r="AW93" s="496">
        <f ca="1"/>
        <v>7.2795601150331402E-4</v>
      </c>
      <c r="AX93" s="585">
        <f ca="1"/>
        <v>3.5338097302030358E-3</v>
      </c>
      <c r="AY93" s="585">
        <f ca="1"/>
        <v>1.5700489967400422E-2</v>
      </c>
      <c r="AZ93" s="585">
        <f ca="1"/>
        <v>1.2074941964271972</v>
      </c>
      <c r="BA93" s="497">
        <f ca="1"/>
        <v>0</v>
      </c>
      <c r="BB93" s="627">
        <f ca="1"/>
        <v>0</v>
      </c>
      <c r="BC93" s="580"/>
      <c r="BD93" s="580"/>
      <c r="BE93" s="580"/>
      <c r="BF93" s="580"/>
      <c r="BG93" s="579"/>
    </row>
    <row r="94" spans="2:59">
      <c r="B94" s="539" t="s">
        <v>521</v>
      </c>
      <c r="C94" s="540" t="s">
        <v>66</v>
      </c>
      <c r="D94" s="540" t="s">
        <v>55</v>
      </c>
      <c r="E94" s="540" t="s">
        <v>646</v>
      </c>
      <c r="F94" s="540" t="s">
        <v>671</v>
      </c>
      <c r="G94" s="541">
        <v>0.01</v>
      </c>
      <c r="H94" s="541">
        <v>2.7599999999999999E-3</v>
      </c>
      <c r="I94" s="542">
        <v>0.4</v>
      </c>
      <c r="J94" s="602">
        <v>5</v>
      </c>
      <c r="K94" s="543">
        <v>24</v>
      </c>
      <c r="L94" s="272"/>
      <c r="M94" s="272"/>
      <c r="P94" s="273"/>
      <c r="Q94" s="273"/>
      <c r="R94" s="273"/>
      <c r="S94" s="273"/>
      <c r="T94" s="576">
        <f ca="1"/>
        <v>0.06</v>
      </c>
      <c r="U94" s="573">
        <f ca="1"/>
        <v>86</v>
      </c>
      <c r="V94" s="576">
        <f t="shared" ca="1" si="8"/>
        <v>0</v>
      </c>
      <c r="W94" s="576">
        <f t="shared" ca="1" si="9"/>
        <v>0</v>
      </c>
      <c r="X94" s="484">
        <f ca="1">IF('CDO Bespoke'!O95&lt;&gt;"",'CDO Bespoke'!O95,"")</f>
        <v>1.17041315071299</v>
      </c>
      <c r="Y94" s="485">
        <f ca="1">IF(X94&lt;&gt;"",ABS(MIN(-0.75*('CDO Bespoke'!Q95)+'CDO Bespoke'!T95,0)),"")</f>
        <v>1.1644781440550773</v>
      </c>
      <c r="Z94" s="485">
        <f t="shared" ca="1" si="10"/>
        <v>5.9350066579126892E-3</v>
      </c>
      <c r="AA94" s="485">
        <f t="shared" ca="1" si="11"/>
        <v>0</v>
      </c>
      <c r="AB94" s="484">
        <f ca="1">IF('CDO Bespoke'!O95&lt;&gt;"",'CDO Bespoke'!O95,"")</f>
        <v>1.17041315071299</v>
      </c>
      <c r="AC94" s="485">
        <f ca="1">IF(AB94&lt;&gt;"",ABS(MIN(-0.75*('CDO Bespoke'!K95)+'CDO Bespoke'!T95,0)),"")</f>
        <v>0.63021673274732826</v>
      </c>
      <c r="AD94" s="485">
        <f t="shared" ca="1" si="12"/>
        <v>0.54019641796566176</v>
      </c>
      <c r="AE94" s="489">
        <f t="shared" ca="1" si="13"/>
        <v>0</v>
      </c>
      <c r="AF94" s="493">
        <f ca="1">IF('CDO Bespoke'!O95&lt;&gt;"",'CDO Bespoke'!O95,"")</f>
        <v>1.17041315071299</v>
      </c>
      <c r="AP94" s="494" t="str">
        <f ca="1">IF('CDO Bespoke'!C119&lt;&gt;"",'CDO Bespoke'!C119,"")</f>
        <v>ITV PLC</v>
      </c>
      <c r="AQ94" s="496">
        <f ca="1"/>
        <v>6.7077580001573267E-3</v>
      </c>
      <c r="AR94" s="585">
        <f ca="1"/>
        <v>2.1489917898520616E-2</v>
      </c>
      <c r="AS94" s="585">
        <f ca="1"/>
        <v>5.278021879995265E-2</v>
      </c>
      <c r="AT94" s="585">
        <f ca="1"/>
        <v>1.4780894968002833</v>
      </c>
      <c r="AU94" s="497">
        <f ca="1"/>
        <v>0</v>
      </c>
      <c r="AV94" s="627">
        <f ca="1"/>
        <v>0</v>
      </c>
      <c r="AW94" s="496">
        <f ca="1"/>
        <v>1.0942498990251792E-5</v>
      </c>
      <c r="AX94" s="585">
        <f ca="1"/>
        <v>1.7628176601064936E-4</v>
      </c>
      <c r="AY94" s="585">
        <f ca="1"/>
        <v>-5.3692566900930862E-4</v>
      </c>
      <c r="AZ94" s="585">
        <f ca="1"/>
        <v>1.5645074906130096</v>
      </c>
      <c r="BA94" s="497">
        <f ca="1"/>
        <v>0</v>
      </c>
      <c r="BB94" s="627">
        <f ca="1"/>
        <v>0</v>
      </c>
      <c r="BC94" s="580"/>
      <c r="BD94" s="580"/>
      <c r="BE94" s="580"/>
      <c r="BF94" s="580"/>
      <c r="BG94" s="579"/>
    </row>
    <row r="95" spans="2:59">
      <c r="B95" s="517" t="s">
        <v>521</v>
      </c>
      <c r="C95" s="518" t="s">
        <v>66</v>
      </c>
      <c r="D95" s="518" t="s">
        <v>57</v>
      </c>
      <c r="E95" s="518" t="s">
        <v>646</v>
      </c>
      <c r="F95" s="518" t="s">
        <v>671</v>
      </c>
      <c r="G95" s="525">
        <v>0.01</v>
      </c>
      <c r="H95" s="525">
        <v>4.8069999999999996E-3</v>
      </c>
      <c r="I95" s="527">
        <v>0.4</v>
      </c>
      <c r="J95" s="594">
        <v>5</v>
      </c>
      <c r="K95" s="519">
        <v>24</v>
      </c>
      <c r="L95" s="272"/>
      <c r="M95" s="272"/>
      <c r="P95" s="273"/>
      <c r="Q95" s="273"/>
      <c r="R95" s="273"/>
      <c r="S95" s="273"/>
      <c r="T95" s="576">
        <f ca="1"/>
        <v>0.03</v>
      </c>
      <c r="U95" s="573">
        <f ca="1"/>
        <v>87</v>
      </c>
      <c r="V95" s="576">
        <f t="shared" ca="1" si="8"/>
        <v>0</v>
      </c>
      <c r="W95" s="576">
        <f t="shared" ca="1" si="9"/>
        <v>0</v>
      </c>
      <c r="X95" s="484">
        <f ca="1">IF('CDO Bespoke'!O96&lt;&gt;"",'CDO Bespoke'!O96,"")</f>
        <v>1.17480742841958</v>
      </c>
      <c r="Y95" s="485">
        <f ca="1">IF(X95&lt;&gt;"",ABS(MIN(-0.75*('CDO Bespoke'!Q96)+'CDO Bespoke'!T96,0)),"")</f>
        <v>1.1657799529519601</v>
      </c>
      <c r="Z95" s="485">
        <f t="shared" ca="1" si="10"/>
        <v>9.0274754676198388E-3</v>
      </c>
      <c r="AA95" s="485">
        <f t="shared" ca="1" si="11"/>
        <v>0</v>
      </c>
      <c r="AB95" s="484">
        <f ca="1">IF('CDO Bespoke'!O96&lt;&gt;"",'CDO Bespoke'!O96,"")</f>
        <v>1.17480742841958</v>
      </c>
      <c r="AC95" s="485">
        <f ca="1">IF(AB95&lt;&gt;"",ABS(MIN(-0.75*('CDO Bespoke'!K96)+'CDO Bespoke'!T96,0)),"")</f>
        <v>0.60959607951401817</v>
      </c>
      <c r="AD95" s="485">
        <f t="shared" ca="1" si="12"/>
        <v>0.56521134890556179</v>
      </c>
      <c r="AE95" s="489">
        <f t="shared" ca="1" si="13"/>
        <v>0</v>
      </c>
      <c r="AF95" s="493">
        <f ca="1">IF('CDO Bespoke'!O96&lt;&gt;"",'CDO Bespoke'!O96,"")</f>
        <v>1.17480742841958</v>
      </c>
      <c r="AP95" s="494" t="str">
        <f ca="1">IF('CDO Bespoke'!C120&lt;&gt;"",'CDO Bespoke'!C120,"")</f>
        <v>Koninklijke KPN N.V.</v>
      </c>
      <c r="AQ95" s="496">
        <f ca="1"/>
        <v>7.9790239992938439E-3</v>
      </c>
      <c r="AR95" s="585">
        <f ca="1"/>
        <v>2.6325271800242689E-2</v>
      </c>
      <c r="AS95" s="585">
        <f ca="1"/>
        <v>7.1346093799551369E-2</v>
      </c>
      <c r="AT95" s="585">
        <f ca="1"/>
        <v>1.2208681678993472</v>
      </c>
      <c r="AU95" s="497">
        <f ca="1"/>
        <v>0</v>
      </c>
      <c r="AV95" s="627">
        <f ca="1"/>
        <v>0</v>
      </c>
      <c r="AW95" s="496">
        <f ca="1"/>
        <v>6.2998801809814597E-4</v>
      </c>
      <c r="AX95" s="585">
        <f ca="1"/>
        <v>3.082298551193921E-3</v>
      </c>
      <c r="AY95" s="585">
        <f ca="1"/>
        <v>1.3347831176900235E-2</v>
      </c>
      <c r="AZ95" s="585">
        <f ca="1"/>
        <v>1.3111209234499976</v>
      </c>
      <c r="BA95" s="497">
        <f ca="1"/>
        <v>0</v>
      </c>
      <c r="BB95" s="627">
        <f ca="1"/>
        <v>0</v>
      </c>
      <c r="BC95" s="580"/>
      <c r="BD95" s="580"/>
      <c r="BE95" s="580"/>
      <c r="BF95" s="580"/>
      <c r="BG95" s="579"/>
    </row>
    <row r="96" spans="2:59">
      <c r="B96" s="534" t="s">
        <v>521</v>
      </c>
      <c r="C96" s="535" t="s">
        <v>66</v>
      </c>
      <c r="D96" s="535" t="s">
        <v>59</v>
      </c>
      <c r="E96" s="535" t="s">
        <v>646</v>
      </c>
      <c r="F96" s="535" t="s">
        <v>671</v>
      </c>
      <c r="G96" s="536">
        <v>0.01</v>
      </c>
      <c r="H96" s="536">
        <v>6.9220000000000002E-3</v>
      </c>
      <c r="I96" s="537">
        <v>0.4</v>
      </c>
      <c r="J96" s="595">
        <v>5</v>
      </c>
      <c r="K96" s="538">
        <v>24</v>
      </c>
      <c r="L96" s="272"/>
      <c r="M96" s="272"/>
      <c r="P96" s="273"/>
      <c r="Q96" s="273"/>
      <c r="R96" s="273"/>
      <c r="S96" s="273"/>
      <c r="T96" s="576">
        <f ca="1"/>
        <v>0.06</v>
      </c>
      <c r="U96" s="573">
        <f ca="1"/>
        <v>88</v>
      </c>
      <c r="V96" s="576">
        <f t="shared" ca="1" si="8"/>
        <v>0</v>
      </c>
      <c r="W96" s="576">
        <f t="shared" ca="1" si="9"/>
        <v>0</v>
      </c>
      <c r="X96" s="484">
        <f ca="1">IF('CDO Bespoke'!O97&lt;&gt;"",'CDO Bespoke'!O97,"")</f>
        <v>1.17658146147237</v>
      </c>
      <c r="Y96" s="485">
        <f ca="1">IF(X96&lt;&gt;"",ABS(MIN(-0.75*('CDO Bespoke'!Q97)+'CDO Bespoke'!T97,0)),"")</f>
        <v>1.1662579488161471</v>
      </c>
      <c r="Z96" s="485">
        <f t="shared" ca="1" si="10"/>
        <v>1.0323512656222888E-2</v>
      </c>
      <c r="AA96" s="485">
        <f t="shared" ca="1" si="11"/>
        <v>0</v>
      </c>
      <c r="AB96" s="484">
        <f ca="1">IF('CDO Bespoke'!O97&lt;&gt;"",'CDO Bespoke'!O97,"")</f>
        <v>1.17658146147237</v>
      </c>
      <c r="AC96" s="485">
        <f ca="1">IF(AB96&lt;&gt;"",ABS(MIN(-0.75*('CDO Bespoke'!K97)+'CDO Bespoke'!T97,0)),"")</f>
        <v>0.59294525552376776</v>
      </c>
      <c r="AD96" s="485">
        <f t="shared" ca="1" si="12"/>
        <v>0.58363620594860222</v>
      </c>
      <c r="AE96" s="489">
        <f t="shared" ca="1" si="13"/>
        <v>0</v>
      </c>
      <c r="AF96" s="493">
        <f ca="1">IF('CDO Bespoke'!O97&lt;&gt;"",'CDO Bespoke'!O97,"")</f>
        <v>1.17658146147237</v>
      </c>
      <c r="AP96" s="494" t="str">
        <f ca="1">IF('CDO Bespoke'!C121&lt;&gt;"",'CDO Bespoke'!C121,"")</f>
        <v>Orange</v>
      </c>
      <c r="AQ96" s="496">
        <f ca="1"/>
        <v>8.2940644996476465E-3</v>
      </c>
      <c r="AR96" s="585">
        <f ca="1"/>
        <v>2.7197806700129945E-2</v>
      </c>
      <c r="AS96" s="585">
        <f ca="1"/>
        <v>7.4116965600445894E-2</v>
      </c>
      <c r="AT96" s="585">
        <f ca="1"/>
        <v>1.1094791052990161</v>
      </c>
      <c r="AU96" s="497">
        <f ca="1"/>
        <v>0</v>
      </c>
      <c r="AV96" s="627">
        <f ca="1"/>
        <v>0</v>
      </c>
      <c r="AW96" s="496">
        <f ca="1"/>
        <v>7.3511658039461525E-4</v>
      </c>
      <c r="AX96" s="585">
        <f ca="1"/>
        <v>3.5645325867014743E-3</v>
      </c>
      <c r="AY96" s="585">
        <f ca="1"/>
        <v>1.583398276959469E-2</v>
      </c>
      <c r="AZ96" s="585">
        <f ca="1"/>
        <v>1.1983562138712014</v>
      </c>
      <c r="BA96" s="497">
        <f ca="1"/>
        <v>0</v>
      </c>
      <c r="BB96" s="627">
        <f ca="1"/>
        <v>0</v>
      </c>
      <c r="BC96" s="580"/>
      <c r="BD96" s="580"/>
      <c r="BE96" s="580"/>
      <c r="BF96" s="580"/>
      <c r="BG96" s="579"/>
    </row>
    <row r="97" spans="2:59">
      <c r="B97" s="539" t="s">
        <v>537</v>
      </c>
      <c r="C97" s="540" t="s">
        <v>66</v>
      </c>
      <c r="D97" s="540" t="s">
        <v>55</v>
      </c>
      <c r="E97" s="540" t="s">
        <v>648</v>
      </c>
      <c r="F97" s="540" t="s">
        <v>647</v>
      </c>
      <c r="G97" s="541">
        <v>0.01</v>
      </c>
      <c r="H97" s="541">
        <v>8.0549999999999997E-3</v>
      </c>
      <c r="I97" s="542">
        <v>0.4</v>
      </c>
      <c r="J97" s="602">
        <v>4</v>
      </c>
      <c r="K97" s="543">
        <v>25</v>
      </c>
      <c r="L97" s="272"/>
      <c r="M97" s="272"/>
      <c r="P97" s="273"/>
      <c r="Q97" s="273"/>
      <c r="R97" s="273"/>
      <c r="S97" s="273"/>
      <c r="T97" s="576">
        <f ca="1"/>
        <v>0.06</v>
      </c>
      <c r="U97" s="573">
        <f ca="1"/>
        <v>89</v>
      </c>
      <c r="V97" s="576">
        <f t="shared" ca="1" si="8"/>
        <v>0</v>
      </c>
      <c r="W97" s="576">
        <f t="shared" ca="1" si="9"/>
        <v>0</v>
      </c>
      <c r="X97" s="484">
        <f ca="1">IF('CDO Bespoke'!O98&lt;&gt;"",'CDO Bespoke'!O98,"")</f>
        <v>1.1740754704548</v>
      </c>
      <c r="Y97" s="485">
        <f ca="1">IF(X97&lt;&gt;"",ABS(MIN(-0.75*('CDO Bespoke'!Q98)+'CDO Bespoke'!T98,0)),"")</f>
        <v>1.1655719293040352</v>
      </c>
      <c r="Z97" s="485">
        <f t="shared" ca="1" si="10"/>
        <v>8.5035411507647929E-3</v>
      </c>
      <c r="AA97" s="485">
        <f t="shared" ca="1" si="11"/>
        <v>0</v>
      </c>
      <c r="AB97" s="484">
        <f ca="1">IF('CDO Bespoke'!O98&lt;&gt;"",'CDO Bespoke'!O98,"")</f>
        <v>1.1740754704548</v>
      </c>
      <c r="AC97" s="485">
        <f ca="1">IF(AB97&lt;&gt;"",ABS(MIN(-0.75*('CDO Bespoke'!K98)+'CDO Bespoke'!T98,0)),"")</f>
        <v>0.61442045194748973</v>
      </c>
      <c r="AD97" s="485">
        <f t="shared" ca="1" si="12"/>
        <v>0.55965501850731025</v>
      </c>
      <c r="AE97" s="489">
        <f t="shared" ca="1" si="13"/>
        <v>0</v>
      </c>
      <c r="AF97" s="493">
        <f ca="1">IF('CDO Bespoke'!O98&lt;&gt;"",'CDO Bespoke'!O98,"")</f>
        <v>1.1740754704548</v>
      </c>
      <c r="AP97" s="494" t="str">
        <f ca="1">IF('CDO Bespoke'!C122&lt;&gt;"",'CDO Bespoke'!C122,"")</f>
        <v>PEARSON plc</v>
      </c>
      <c r="AQ97" s="496">
        <f ca="1"/>
        <v>7.797541499154903E-3</v>
      </c>
      <c r="AR97" s="585">
        <f ca="1"/>
        <v>2.5696129799523959E-2</v>
      </c>
      <c r="AS97" s="585">
        <f ca="1"/>
        <v>6.9028448499430795E-2</v>
      </c>
      <c r="AT97" s="585">
        <f ca="1"/>
        <v>1.2691655128005408</v>
      </c>
      <c r="AU97" s="497">
        <f ca="1"/>
        <v>0</v>
      </c>
      <c r="AV97" s="627">
        <f ca="1"/>
        <v>0</v>
      </c>
      <c r="AW97" s="496">
        <f ca="1"/>
        <v>5.5994473190101868E-4</v>
      </c>
      <c r="AX97" s="585">
        <f ca="1"/>
        <v>2.7568282048948817E-3</v>
      </c>
      <c r="AY97" s="585">
        <f ca="1"/>
        <v>1.1685571484195897E-2</v>
      </c>
      <c r="AZ97" s="585">
        <f ca="1"/>
        <v>1.3611250334407028</v>
      </c>
      <c r="BA97" s="497">
        <f ca="1"/>
        <v>0</v>
      </c>
      <c r="BB97" s="627">
        <f ca="1"/>
        <v>0</v>
      </c>
      <c r="BC97" s="580"/>
      <c r="BD97" s="580"/>
      <c r="BE97" s="580"/>
      <c r="BF97" s="580"/>
      <c r="BG97" s="579"/>
    </row>
    <row r="98" spans="2:59">
      <c r="B98" s="517" t="s">
        <v>537</v>
      </c>
      <c r="C98" s="518" t="s">
        <v>66</v>
      </c>
      <c r="D98" s="518" t="s">
        <v>57</v>
      </c>
      <c r="E98" s="518" t="s">
        <v>648</v>
      </c>
      <c r="F98" s="518" t="s">
        <v>647</v>
      </c>
      <c r="G98" s="525">
        <v>0.01</v>
      </c>
      <c r="H98" s="525">
        <v>1.2508999999999999E-2</v>
      </c>
      <c r="I98" s="527">
        <v>0.4</v>
      </c>
      <c r="J98" s="594">
        <v>4</v>
      </c>
      <c r="K98" s="519">
        <v>25</v>
      </c>
      <c r="L98" s="272"/>
      <c r="M98" s="272"/>
      <c r="P98" s="273"/>
      <c r="Q98" s="273"/>
      <c r="R98" s="273"/>
      <c r="S98" s="273"/>
      <c r="T98" s="576">
        <f ca="1"/>
        <v>0.03</v>
      </c>
      <c r="U98" s="573">
        <f ca="1"/>
        <v>90</v>
      </c>
      <c r="V98" s="576">
        <f t="shared" ca="1" si="8"/>
        <v>0</v>
      </c>
      <c r="W98" s="576">
        <f t="shared" ca="1" si="9"/>
        <v>0</v>
      </c>
      <c r="X98" s="484">
        <f ca="1">IF('CDO Bespoke'!O99&lt;&gt;"",'CDO Bespoke'!O99,"")</f>
        <v>1.17523827300243</v>
      </c>
      <c r="Y98" s="485">
        <f ca="1">IF(X98&lt;&gt;"",ABS(MIN(-0.75*('CDO Bespoke'!Q99)+'CDO Bespoke'!T99,0)),"")</f>
        <v>1.165899899006583</v>
      </c>
      <c r="Z98" s="485">
        <f t="shared" ca="1" si="10"/>
        <v>9.3383739958470269E-3</v>
      </c>
      <c r="AA98" s="485">
        <f t="shared" ca="1" si="11"/>
        <v>0</v>
      </c>
      <c r="AB98" s="484">
        <f ca="1">IF('CDO Bespoke'!O99&lt;&gt;"",'CDO Bespoke'!O99,"")</f>
        <v>1.17523827300243</v>
      </c>
      <c r="AC98" s="485">
        <f ca="1">IF(AB98&lt;&gt;"",ABS(MIN(-0.75*('CDO Bespoke'!K99)+'CDO Bespoke'!T99,0)),"")</f>
        <v>0.60631692730190334</v>
      </c>
      <c r="AD98" s="485">
        <f t="shared" ca="1" si="12"/>
        <v>0.56892134570052666</v>
      </c>
      <c r="AE98" s="489">
        <f t="shared" ca="1" si="13"/>
        <v>0</v>
      </c>
      <c r="AF98" s="493">
        <f ca="1">IF('CDO Bespoke'!O99&lt;&gt;"",'CDO Bespoke'!O99,"")</f>
        <v>1.17523827300243</v>
      </c>
      <c r="AP98" s="494" t="str">
        <f ca="1">IF('CDO Bespoke'!C123&lt;&gt;"",'CDO Bespoke'!C123,"")</f>
        <v>PUBLICIS GROUPE SA</v>
      </c>
      <c r="AQ98" s="496">
        <f ca="1"/>
        <v>7.979970200189257E-3</v>
      </c>
      <c r="AR98" s="585">
        <f ca="1"/>
        <v>2.6236265300294548E-2</v>
      </c>
      <c r="AS98" s="585">
        <f ca="1"/>
        <v>7.0902067399458701E-2</v>
      </c>
      <c r="AT98" s="585">
        <f ca="1"/>
        <v>1.2164468834985342</v>
      </c>
      <c r="AU98" s="497">
        <f ca="1"/>
        <v>0</v>
      </c>
      <c r="AV98" s="627">
        <f ca="1"/>
        <v>0</v>
      </c>
      <c r="AW98" s="496">
        <f ca="1"/>
        <v>6.3793579179599602E-4</v>
      </c>
      <c r="AX98" s="585">
        <f ca="1"/>
        <v>3.1182198426994712E-3</v>
      </c>
      <c r="AY98" s="585">
        <f ca="1"/>
        <v>1.3514307182199009E-2</v>
      </c>
      <c r="AZ98" s="585">
        <f ca="1"/>
        <v>1.3058915939492994</v>
      </c>
      <c r="BA98" s="497">
        <f ca="1"/>
        <v>0</v>
      </c>
      <c r="BB98" s="627">
        <f ca="1"/>
        <v>0</v>
      </c>
      <c r="BC98" s="580"/>
      <c r="BD98" s="580"/>
      <c r="BE98" s="580"/>
      <c r="BF98" s="580"/>
      <c r="BG98" s="579"/>
    </row>
    <row r="99" spans="2:59">
      <c r="B99" s="534" t="s">
        <v>537</v>
      </c>
      <c r="C99" s="535" t="s">
        <v>66</v>
      </c>
      <c r="D99" s="535" t="s">
        <v>59</v>
      </c>
      <c r="E99" s="535" t="s">
        <v>648</v>
      </c>
      <c r="F99" s="535" t="s">
        <v>647</v>
      </c>
      <c r="G99" s="536">
        <v>0.01</v>
      </c>
      <c r="H99" s="536">
        <v>1.5117E-2</v>
      </c>
      <c r="I99" s="537">
        <v>0.4</v>
      </c>
      <c r="J99" s="595">
        <v>4</v>
      </c>
      <c r="K99" s="538">
        <v>25</v>
      </c>
      <c r="L99" s="272"/>
      <c r="M99" s="272"/>
      <c r="P99" s="273"/>
      <c r="Q99" s="273"/>
      <c r="R99" s="273"/>
      <c r="S99" s="273"/>
      <c r="T99" s="576">
        <f ca="1"/>
        <v>0.06</v>
      </c>
      <c r="U99" s="573">
        <f ca="1"/>
        <v>91</v>
      </c>
      <c r="V99" s="576">
        <f t="shared" ca="1" si="8"/>
        <v>0</v>
      </c>
      <c r="W99" s="576">
        <f t="shared" ca="1" si="9"/>
        <v>0</v>
      </c>
      <c r="X99" s="484">
        <f ca="1">IF('CDO Bespoke'!O100&lt;&gt;"",'CDO Bespoke'!O100,"")</f>
        <v>1.1610477567716599</v>
      </c>
      <c r="Y99" s="485">
        <f ca="1">IF(X99&lt;&gt;"",ABS(MIN(-0.75*('CDO Bespoke'!Q100)+'CDO Bespoke'!T100,0)),"")</f>
        <v>1.1615227122379252</v>
      </c>
      <c r="Z99" s="485">
        <f t="shared" ca="1" si="10"/>
        <v>0</v>
      </c>
      <c r="AA99" s="485">
        <f t="shared" ca="1" si="11"/>
        <v>0</v>
      </c>
      <c r="AB99" s="484">
        <f ca="1">IF('CDO Bespoke'!O100&lt;&gt;"",'CDO Bespoke'!O100,"")</f>
        <v>1.1610477567716599</v>
      </c>
      <c r="AC99" s="485">
        <f ca="1">IF(AB99&lt;&gt;"",ABS(MIN(-0.75*('CDO Bespoke'!K100)+'CDO Bespoke'!T100,0)),"")</f>
        <v>0.64641258831292492</v>
      </c>
      <c r="AD99" s="485">
        <f t="shared" ca="1" si="12"/>
        <v>0.51463516845873503</v>
      </c>
      <c r="AE99" s="489">
        <f t="shared" ca="1" si="13"/>
        <v>0</v>
      </c>
      <c r="AF99" s="493">
        <f ca="1">IF('CDO Bespoke'!O100&lt;&gt;"",'CDO Bespoke'!O100,"")</f>
        <v>1.1610477567716599</v>
      </c>
      <c r="AP99" s="494" t="str">
        <f ca="1">IF('CDO Bespoke'!C124&lt;&gt;"",'CDO Bespoke'!C124,"")</f>
        <v>SES</v>
      </c>
      <c r="AQ99" s="496">
        <f ca="1"/>
        <v>5.394382398549169E-3</v>
      </c>
      <c r="AR99" s="585">
        <f ca="1"/>
        <v>1.6452067399530534E-2</v>
      </c>
      <c r="AS99" s="585">
        <f ca="1"/>
        <v>3.2296924199481936E-2</v>
      </c>
      <c r="AT99" s="585">
        <f ca="1"/>
        <v>1.6319119698993134</v>
      </c>
      <c r="AU99" s="497">
        <f ca="1"/>
        <v>0</v>
      </c>
      <c r="AV99" s="627">
        <f ca="1"/>
        <v>0</v>
      </c>
      <c r="AW99" s="496">
        <f ca="1"/>
        <v>-8.2967645999992845E-4</v>
      </c>
      <c r="AX99" s="585">
        <f ca="1"/>
        <v>-3.8285651060045167E-3</v>
      </c>
      <c r="AY99" s="585">
        <f ca="1"/>
        <v>-1.9867284565995569E-2</v>
      </c>
      <c r="AZ99" s="585">
        <f ca="1"/>
        <v>1.7170001994100055</v>
      </c>
      <c r="BA99" s="497">
        <f ca="1"/>
        <v>0</v>
      </c>
      <c r="BB99" s="627">
        <f ca="1"/>
        <v>0</v>
      </c>
      <c r="BC99" s="580"/>
      <c r="BD99" s="580"/>
      <c r="BE99" s="580"/>
      <c r="BF99" s="580"/>
      <c r="BG99" s="579"/>
    </row>
    <row r="100" spans="2:59">
      <c r="B100" s="539" t="s">
        <v>522</v>
      </c>
      <c r="C100" s="540" t="s">
        <v>66</v>
      </c>
      <c r="D100" s="540" t="s">
        <v>55</v>
      </c>
      <c r="E100" s="540" t="s">
        <v>648</v>
      </c>
      <c r="F100" s="540" t="s">
        <v>647</v>
      </c>
      <c r="G100" s="541">
        <v>0.01</v>
      </c>
      <c r="H100" s="541">
        <v>3.4320000000000002E-3</v>
      </c>
      <c r="I100" s="542">
        <v>0.4</v>
      </c>
      <c r="J100" s="602">
        <v>4</v>
      </c>
      <c r="K100" s="543">
        <v>26</v>
      </c>
      <c r="L100" s="272"/>
      <c r="M100" s="272"/>
      <c r="P100" s="273"/>
      <c r="Q100" s="273"/>
      <c r="R100" s="273"/>
      <c r="S100" s="273"/>
      <c r="T100" s="576">
        <f ca="1"/>
        <v>0.06</v>
      </c>
      <c r="U100" s="573">
        <f ca="1"/>
        <v>92</v>
      </c>
      <c r="V100" s="576">
        <f t="shared" ca="1" si="8"/>
        <v>0</v>
      </c>
      <c r="W100" s="576">
        <f t="shared" ca="1" si="9"/>
        <v>0</v>
      </c>
      <c r="X100" s="484">
        <f ca="1">IF('CDO Bespoke'!O101&lt;&gt;"",'CDO Bespoke'!O101,"")</f>
        <v>1.17824545271124</v>
      </c>
      <c r="Y100" s="485">
        <f ca="1">IF(X100&lt;&gt;"",ABS(MIN(-0.75*('CDO Bespoke'!Q101)+'CDO Bespoke'!T101,0)),"")</f>
        <v>1.1666443251978376</v>
      </c>
      <c r="Z100" s="485">
        <f t="shared" ca="1" si="10"/>
        <v>1.1601127513402476E-2</v>
      </c>
      <c r="AA100" s="485">
        <f t="shared" ca="1" si="11"/>
        <v>0</v>
      </c>
      <c r="AB100" s="484">
        <f ca="1">IF('CDO Bespoke'!O101&lt;&gt;"",'CDO Bespoke'!O101,"")</f>
        <v>1.17824545271124</v>
      </c>
      <c r="AC100" s="485">
        <f ca="1">IF(AB100&lt;&gt;"",ABS(MIN(-0.75*('CDO Bespoke'!K101)+'CDO Bespoke'!T101,0)),"")</f>
        <v>0.56101180352202817</v>
      </c>
      <c r="AD100" s="485">
        <f t="shared" ca="1" si="12"/>
        <v>0.61723364918921186</v>
      </c>
      <c r="AE100" s="489">
        <f t="shared" ca="1" si="13"/>
        <v>0</v>
      </c>
      <c r="AF100" s="493">
        <f ca="1">IF('CDO Bespoke'!O101&lt;&gt;"",'CDO Bespoke'!O101,"")</f>
        <v>1.17824545271124</v>
      </c>
      <c r="AP100" s="494" t="str">
        <f ca="1">IF('CDO Bespoke'!C125&lt;&gt;"",'CDO Bespoke'!C125,"")</f>
        <v>SKY LIMITED</v>
      </c>
      <c r="AQ100" s="496">
        <f ca="1"/>
        <v>8.6420898992578543E-3</v>
      </c>
      <c r="AR100" s="585">
        <f ca="1"/>
        <v>2.7868793299745676E-2</v>
      </c>
      <c r="AS100" s="585">
        <f ca="1"/>
        <v>7.5310358298441571E-2</v>
      </c>
      <c r="AT100" s="585">
        <f ca="1"/>
        <v>0.91321137339894776</v>
      </c>
      <c r="AU100" s="497">
        <f ca="1"/>
        <v>0</v>
      </c>
      <c r="AV100" s="627">
        <f ca="1"/>
        <v>0</v>
      </c>
      <c r="AW100" s="496">
        <f ca="1"/>
        <v>7.6393484250286692E-4</v>
      </c>
      <c r="AX100" s="585">
        <f ca="1"/>
        <v>3.6787729898977994E-3</v>
      </c>
      <c r="AY100" s="585">
        <f ca="1"/>
        <v>1.6635702447895945E-2</v>
      </c>
      <c r="AZ100" s="585">
        <f ca="1"/>
        <v>0.99792470731349314</v>
      </c>
      <c r="BA100" s="497">
        <f ca="1"/>
        <v>0</v>
      </c>
      <c r="BB100" s="627">
        <f ca="1"/>
        <v>0</v>
      </c>
      <c r="BC100" s="580"/>
      <c r="BD100" s="580"/>
      <c r="BE100" s="580"/>
      <c r="BF100" s="580"/>
      <c r="BG100" s="579"/>
    </row>
    <row r="101" spans="2:59">
      <c r="B101" s="517" t="s">
        <v>522</v>
      </c>
      <c r="C101" s="518" t="s">
        <v>66</v>
      </c>
      <c r="D101" s="518" t="s">
        <v>57</v>
      </c>
      <c r="E101" s="518" t="s">
        <v>648</v>
      </c>
      <c r="F101" s="518" t="s">
        <v>647</v>
      </c>
      <c r="G101" s="525">
        <v>0.01</v>
      </c>
      <c r="H101" s="525">
        <v>5.6519999999999999E-3</v>
      </c>
      <c r="I101" s="527">
        <v>0.4</v>
      </c>
      <c r="J101" s="594">
        <v>4</v>
      </c>
      <c r="K101" s="519">
        <v>26</v>
      </c>
      <c r="L101" s="272"/>
      <c r="M101" s="272"/>
      <c r="P101" s="273"/>
      <c r="Q101" s="273"/>
      <c r="R101" s="273"/>
      <c r="S101" s="273"/>
      <c r="T101" s="576">
        <f ca="1"/>
        <v>0.06</v>
      </c>
      <c r="U101" s="573">
        <f ca="1"/>
        <v>93</v>
      </c>
      <c r="V101" s="576">
        <f t="shared" ca="1" si="8"/>
        <v>0</v>
      </c>
      <c r="W101" s="576">
        <f t="shared" ca="1" si="9"/>
        <v>0</v>
      </c>
      <c r="X101" s="484">
        <f ca="1">IF('CDO Bespoke'!O102&lt;&gt;"",'CDO Bespoke'!O102,"")</f>
        <v>1.17638756339618</v>
      </c>
      <c r="Y101" s="485">
        <f ca="1">IF(X101&lt;&gt;"",ABS(MIN(-0.75*('CDO Bespoke'!Q102)+'CDO Bespoke'!T102,0)),"")</f>
        <v>1.1662080700672888</v>
      </c>
      <c r="Z101" s="485">
        <f t="shared" ca="1" si="10"/>
        <v>1.0179493328891231E-2</v>
      </c>
      <c r="AA101" s="485">
        <f t="shared" ca="1" si="11"/>
        <v>0</v>
      </c>
      <c r="AB101" s="484">
        <f ca="1">IF('CDO Bespoke'!O102&lt;&gt;"",'CDO Bespoke'!O102,"")</f>
        <v>1.17638756339618</v>
      </c>
      <c r="AC101" s="485">
        <f ca="1">IF(AB101&lt;&gt;"",ABS(MIN(-0.75*('CDO Bespoke'!K102)+'CDO Bespoke'!T102,0)),"")</f>
        <v>0.59526559696027681</v>
      </c>
      <c r="AD101" s="485">
        <f t="shared" ca="1" si="12"/>
        <v>0.58112196643590319</v>
      </c>
      <c r="AE101" s="489">
        <f t="shared" ca="1" si="13"/>
        <v>0</v>
      </c>
      <c r="AF101" s="493">
        <f ca="1">IF('CDO Bespoke'!O102&lt;&gt;"",'CDO Bespoke'!O102,"")</f>
        <v>1.17638756339618</v>
      </c>
      <c r="AP101" s="494" t="str">
        <f ca="1">IF('CDO Bespoke'!C126&lt;&gt;"",'CDO Bespoke'!C126,"")</f>
        <v>STMicroelectronics N.V.</v>
      </c>
      <c r="AQ101" s="496">
        <f ca="1"/>
        <v>8.3205071987890733E-3</v>
      </c>
      <c r="AR101" s="585">
        <f ca="1"/>
        <v>2.7366387298499717E-2</v>
      </c>
      <c r="AS101" s="585">
        <f ca="1"/>
        <v>7.479913880059641E-2</v>
      </c>
      <c r="AT101" s="585">
        <f ca="1"/>
        <v>1.1060508487004128</v>
      </c>
      <c r="AU101" s="497">
        <f ca="1"/>
        <v>0</v>
      </c>
      <c r="AV101" s="627">
        <f ca="1"/>
        <v>0</v>
      </c>
      <c r="AW101" s="496">
        <f ca="1"/>
        <v>7.3615623870197655E-4</v>
      </c>
      <c r="AX101" s="585">
        <f ca="1"/>
        <v>3.5699098106974081E-3</v>
      </c>
      <c r="AY101" s="585">
        <f ca="1"/>
        <v>1.5874174272897251E-2</v>
      </c>
      <c r="AZ101" s="585">
        <f ca="1"/>
        <v>1.1956759270535018</v>
      </c>
      <c r="BA101" s="497">
        <f ca="1"/>
        <v>0</v>
      </c>
      <c r="BB101" s="627">
        <f ca="1"/>
        <v>0</v>
      </c>
      <c r="BC101" s="580"/>
      <c r="BD101" s="580"/>
      <c r="BE101" s="580"/>
      <c r="BF101" s="580"/>
      <c r="BG101" s="579"/>
    </row>
    <row r="102" spans="2:59">
      <c r="B102" s="534" t="s">
        <v>522</v>
      </c>
      <c r="C102" s="535" t="s">
        <v>66</v>
      </c>
      <c r="D102" s="535" t="s">
        <v>59</v>
      </c>
      <c r="E102" s="535" t="s">
        <v>648</v>
      </c>
      <c r="F102" s="535" t="s">
        <v>647</v>
      </c>
      <c r="G102" s="536">
        <v>0.01</v>
      </c>
      <c r="H102" s="536">
        <v>8.0560000000000007E-3</v>
      </c>
      <c r="I102" s="537">
        <v>0.4</v>
      </c>
      <c r="J102" s="595">
        <v>4</v>
      </c>
      <c r="K102" s="538">
        <v>26</v>
      </c>
      <c r="L102" s="272"/>
      <c r="M102" s="272"/>
      <c r="P102" s="273"/>
      <c r="Q102" s="273"/>
      <c r="R102" s="273"/>
      <c r="S102" s="273"/>
      <c r="T102" s="576">
        <f ca="1"/>
        <v>0.06</v>
      </c>
      <c r="U102" s="573">
        <f ca="1"/>
        <v>94</v>
      </c>
      <c r="V102" s="576">
        <f t="shared" ca="1" si="8"/>
        <v>0</v>
      </c>
      <c r="W102" s="576">
        <f t="shared" ca="1" si="9"/>
        <v>0</v>
      </c>
      <c r="X102" s="484">
        <f ca="1">IF('CDO Bespoke'!O103&lt;&gt;"",'CDO Bespoke'!O103,"")</f>
        <v>1.17260042828224</v>
      </c>
      <c r="Y102" s="485">
        <f ca="1">IF(X102&lt;&gt;"",ABS(MIN(-0.75*('CDO Bespoke'!Q103)+'CDO Bespoke'!T103,0)),"")</f>
        <v>1.1651400695527994</v>
      </c>
      <c r="Z102" s="485">
        <f t="shared" ca="1" si="10"/>
        <v>7.4603587294406193E-3</v>
      </c>
      <c r="AA102" s="485">
        <f t="shared" ca="1" si="11"/>
        <v>0</v>
      </c>
      <c r="AB102" s="484">
        <f ca="1">IF('CDO Bespoke'!O103&lt;&gt;"",'CDO Bespoke'!O103,"")</f>
        <v>1.17260042828224</v>
      </c>
      <c r="AC102" s="485">
        <f ca="1">IF(AB102&lt;&gt;"",ABS(MIN(-0.75*('CDO Bespoke'!K103)+'CDO Bespoke'!T103,0)),"")</f>
        <v>0.62208491039847369</v>
      </c>
      <c r="AD102" s="485">
        <f t="shared" ca="1" si="12"/>
        <v>0.55051551788376629</v>
      </c>
      <c r="AE102" s="489">
        <f t="shared" ca="1" si="13"/>
        <v>0</v>
      </c>
      <c r="AF102" s="493">
        <f ca="1">IF('CDO Bespoke'!O103&lt;&gt;"",'CDO Bespoke'!O103,"")</f>
        <v>1.17260042828224</v>
      </c>
      <c r="AP102" s="494" t="str">
        <f ca="1">IF('CDO Bespoke'!C127&lt;&gt;"",'CDO Bespoke'!C127,"")</f>
        <v>TELEFONICA, S.A.</v>
      </c>
      <c r="AQ102" s="496">
        <f ca="1"/>
        <v>7.5145921996089271E-3</v>
      </c>
      <c r="AR102" s="585">
        <f ca="1"/>
        <v>2.4724873399772918E-2</v>
      </c>
      <c r="AS102" s="585">
        <f ca="1"/>
        <v>6.5366249599740911E-2</v>
      </c>
      <c r="AT102" s="585">
        <f ca="1"/>
        <v>1.3355363962985756</v>
      </c>
      <c r="AU102" s="497">
        <f ca="1"/>
        <v>0</v>
      </c>
      <c r="AV102" s="627">
        <f ca="1"/>
        <v>0</v>
      </c>
      <c r="AW102" s="496">
        <f ca="1"/>
        <v>4.2891768450327439E-4</v>
      </c>
      <c r="AX102" s="585">
        <f ca="1"/>
        <v>2.1450910531965045E-3</v>
      </c>
      <c r="AY102" s="585">
        <f ca="1"/>
        <v>8.6020850920045383E-3</v>
      </c>
      <c r="AZ102" s="585">
        <f ca="1"/>
        <v>1.4274933054652001</v>
      </c>
      <c r="BA102" s="497">
        <f ca="1"/>
        <v>0</v>
      </c>
      <c r="BB102" s="627">
        <f ca="1"/>
        <v>0</v>
      </c>
      <c r="BC102" s="580"/>
      <c r="BD102" s="580"/>
      <c r="BE102" s="580"/>
      <c r="BF102" s="580"/>
      <c r="BG102" s="579"/>
    </row>
    <row r="103" spans="2:59">
      <c r="B103" s="539" t="s">
        <v>523</v>
      </c>
      <c r="C103" s="540" t="s">
        <v>66</v>
      </c>
      <c r="D103" s="540" t="s">
        <v>55</v>
      </c>
      <c r="E103" s="540" t="s">
        <v>650</v>
      </c>
      <c r="F103" s="540" t="s">
        <v>672</v>
      </c>
      <c r="G103" s="541">
        <v>0.01</v>
      </c>
      <c r="H103" s="541">
        <v>2.0699999999999998E-3</v>
      </c>
      <c r="I103" s="542">
        <v>0.4</v>
      </c>
      <c r="J103" s="602">
        <v>7</v>
      </c>
      <c r="K103" s="543">
        <v>27</v>
      </c>
      <c r="L103" s="272"/>
      <c r="M103" s="272"/>
      <c r="P103" s="273"/>
      <c r="Q103" s="273"/>
      <c r="R103" s="273"/>
      <c r="S103" s="273"/>
      <c r="T103" s="576">
        <f ca="1"/>
        <v>0.06</v>
      </c>
      <c r="U103" s="573">
        <f ca="1"/>
        <v>95</v>
      </c>
      <c r="V103" s="576">
        <f t="shared" ca="1" si="8"/>
        <v>0</v>
      </c>
      <c r="W103" s="576">
        <f t="shared" ca="1" si="9"/>
        <v>0</v>
      </c>
      <c r="X103" s="484">
        <f ca="1">IF('CDO Bespoke'!O104&lt;&gt;"",'CDO Bespoke'!O104,"")</f>
        <v>1.1773660935746499</v>
      </c>
      <c r="Y103" s="485">
        <f ca="1">IF(X103&lt;&gt;"",ABS(MIN(-0.75*('CDO Bespoke'!Q104)+'CDO Bespoke'!T104,0)),"")</f>
        <v>1.1664512649326007</v>
      </c>
      <c r="Z103" s="485">
        <f t="shared" ca="1" si="10"/>
        <v>1.091482864204929E-2</v>
      </c>
      <c r="AA103" s="485">
        <f t="shared" ca="1" si="11"/>
        <v>0</v>
      </c>
      <c r="AB103" s="484">
        <f ca="1">IF('CDO Bespoke'!O104&lt;&gt;"",'CDO Bespoke'!O104,"")</f>
        <v>1.1773660935746499</v>
      </c>
      <c r="AC103" s="485">
        <f ca="1">IF(AB103&lt;&gt;"",ABS(MIN(-0.75*('CDO Bespoke'!K104)+'CDO Bespoke'!T104,0)),"")</f>
        <v>0.58140684594699632</v>
      </c>
      <c r="AD103" s="485">
        <f t="shared" ca="1" si="12"/>
        <v>0.59595924762765362</v>
      </c>
      <c r="AE103" s="489">
        <f t="shared" ca="1" si="13"/>
        <v>0</v>
      </c>
      <c r="AF103" s="493">
        <f ca="1">IF('CDO Bespoke'!O104&lt;&gt;"",'CDO Bespoke'!O104,"")</f>
        <v>1.1773660935746499</v>
      </c>
      <c r="AP103" s="494" t="str">
        <f ca="1">IF('CDO Bespoke'!C128&lt;&gt;"",'CDO Bespoke'!C128,"")</f>
        <v>Telekom Austria Aktiengesellschaft</v>
      </c>
      <c r="AQ103" s="496">
        <f ca="1"/>
        <v>8.4574068992537832E-3</v>
      </c>
      <c r="AR103" s="585">
        <f ca="1"/>
        <v>2.758733820051873E-2</v>
      </c>
      <c r="AS103" s="585">
        <f ca="1"/>
        <v>7.5124612699539739E-2</v>
      </c>
      <c r="AT103" s="585">
        <f ca="1"/>
        <v>1.0337166984997204</v>
      </c>
      <c r="AU103" s="497">
        <f ca="1"/>
        <v>0</v>
      </c>
      <c r="AV103" s="627">
        <f ca="1"/>
        <v>0</v>
      </c>
      <c r="AW103" s="496">
        <f ca="1"/>
        <v>7.6578357120771212E-4</v>
      </c>
      <c r="AX103" s="585">
        <f ca="1"/>
        <v>3.7004446751948139E-3</v>
      </c>
      <c r="AY103" s="585">
        <f ca="1"/>
        <v>1.6590369513597159E-2</v>
      </c>
      <c r="AZ103" s="585">
        <f ca="1"/>
        <v>1.1214518355230976</v>
      </c>
      <c r="BA103" s="497">
        <f ca="1"/>
        <v>0</v>
      </c>
      <c r="BB103" s="627">
        <f ca="1"/>
        <v>0</v>
      </c>
      <c r="BC103" s="580"/>
      <c r="BD103" s="580"/>
      <c r="BE103" s="580"/>
      <c r="BF103" s="580"/>
      <c r="BG103" s="579"/>
    </row>
    <row r="104" spans="2:59">
      <c r="B104" s="517" t="s">
        <v>523</v>
      </c>
      <c r="C104" s="518" t="s">
        <v>66</v>
      </c>
      <c r="D104" s="518" t="s">
        <v>57</v>
      </c>
      <c r="E104" s="518" t="s">
        <v>650</v>
      </c>
      <c r="F104" s="518" t="s">
        <v>672</v>
      </c>
      <c r="G104" s="525">
        <v>0.01</v>
      </c>
      <c r="H104" s="525">
        <v>3.297E-3</v>
      </c>
      <c r="I104" s="527">
        <v>0.4</v>
      </c>
      <c r="J104" s="594">
        <v>7</v>
      </c>
      <c r="K104" s="519">
        <v>27</v>
      </c>
      <c r="L104" s="272"/>
      <c r="M104" s="272"/>
      <c r="P104" s="273"/>
      <c r="Q104" s="273"/>
      <c r="R104" s="273"/>
      <c r="S104" s="273"/>
      <c r="T104" s="576">
        <f ca="1"/>
        <v>0.15</v>
      </c>
      <c r="U104" s="573">
        <f ca="1"/>
        <v>96</v>
      </c>
      <c r="V104" s="576">
        <f t="shared" ca="1" si="8"/>
        <v>0</v>
      </c>
      <c r="W104" s="576">
        <f t="shared" ca="1" si="9"/>
        <v>0</v>
      </c>
      <c r="X104" s="484">
        <f ca="1">IF('CDO Bespoke'!O105&lt;&gt;"",'CDO Bespoke'!O105,"")</f>
        <v>1.1769459607436299</v>
      </c>
      <c r="Y104" s="485">
        <f ca="1">IF(X104&lt;&gt;"",ABS(MIN(-0.75*('CDO Bespoke'!Q105)+'CDO Bespoke'!T105,0)),"")</f>
        <v>1.1663496157527764</v>
      </c>
      <c r="Z104" s="485">
        <f t="shared" ca="1" si="10"/>
        <v>1.059634499085349E-2</v>
      </c>
      <c r="AA104" s="485">
        <f t="shared" ca="1" si="11"/>
        <v>0</v>
      </c>
      <c r="AB104" s="484">
        <f ca="1">IF('CDO Bespoke'!O105&lt;&gt;"",'CDO Bespoke'!O105,"")</f>
        <v>1.1769459607436299</v>
      </c>
      <c r="AC104" s="485">
        <f ca="1">IF(AB104&lt;&gt;"",ABS(MIN(-0.75*('CDO Bespoke'!K105)+'CDO Bespoke'!T105,0)),"")</f>
        <v>0.58807678874514058</v>
      </c>
      <c r="AD104" s="485">
        <f t="shared" ca="1" si="12"/>
        <v>0.58886917199848932</v>
      </c>
      <c r="AE104" s="489">
        <f t="shared" ca="1" si="13"/>
        <v>0</v>
      </c>
      <c r="AF104" s="493">
        <f ca="1">IF('CDO Bespoke'!O105&lt;&gt;"",'CDO Bespoke'!O105,"")</f>
        <v>1.1769459607436299</v>
      </c>
      <c r="AP104" s="494" t="str">
        <f ca="1">IF('CDO Bespoke'!C129&lt;&gt;"",'CDO Bespoke'!C129,"")</f>
        <v>TELENOR ASA</v>
      </c>
      <c r="AQ104" s="496">
        <f ca="1"/>
        <v>8.4245864995224906E-3</v>
      </c>
      <c r="AR104" s="585">
        <f ca="1"/>
        <v>2.7614209698878511E-2</v>
      </c>
      <c r="AS104" s="585">
        <f ca="1"/>
        <v>7.543932770026629E-2</v>
      </c>
      <c r="AT104" s="585">
        <f ca="1"/>
        <v>1.0594509970984767</v>
      </c>
      <c r="AU104" s="497">
        <f ca="1"/>
        <v>0</v>
      </c>
      <c r="AV104" s="627">
        <f ca="1"/>
        <v>0</v>
      </c>
      <c r="AW104" s="496">
        <f ca="1"/>
        <v>7.5793608609805996E-4</v>
      </c>
      <c r="AX104" s="585">
        <f ca="1"/>
        <v>3.6670955919082537E-3</v>
      </c>
      <c r="AY104" s="585">
        <f ca="1"/>
        <v>1.6403275957810326E-2</v>
      </c>
      <c r="AZ104" s="585">
        <f ca="1"/>
        <v>1.1483563064744116</v>
      </c>
      <c r="BA104" s="497">
        <f ca="1"/>
        <v>0</v>
      </c>
      <c r="BB104" s="627">
        <f ca="1"/>
        <v>0</v>
      </c>
      <c r="BC104" s="580"/>
      <c r="BD104" s="580"/>
      <c r="BE104" s="580"/>
      <c r="BF104" s="580"/>
      <c r="BG104" s="579"/>
    </row>
    <row r="105" spans="2:59">
      <c r="B105" s="534" t="s">
        <v>523</v>
      </c>
      <c r="C105" s="535" t="s">
        <v>66</v>
      </c>
      <c r="D105" s="535" t="s">
        <v>59</v>
      </c>
      <c r="E105" s="535" t="s">
        <v>650</v>
      </c>
      <c r="F105" s="535" t="s">
        <v>672</v>
      </c>
      <c r="G105" s="536">
        <v>0.01</v>
      </c>
      <c r="H105" s="536">
        <v>4.411E-3</v>
      </c>
      <c r="I105" s="537">
        <v>0.4</v>
      </c>
      <c r="J105" s="595">
        <v>7</v>
      </c>
      <c r="K105" s="538">
        <v>27</v>
      </c>
      <c r="L105" s="272"/>
      <c r="M105" s="272"/>
      <c r="P105" s="273"/>
      <c r="Q105" s="273"/>
      <c r="R105" s="273"/>
      <c r="S105" s="273"/>
      <c r="T105" s="576">
        <f ca="1"/>
        <v>0.15</v>
      </c>
      <c r="U105" s="573">
        <f ca="1"/>
        <v>97</v>
      </c>
      <c r="V105" s="576">
        <f t="shared" ref="V105:V133" ca="1" si="14">AA110*T105</f>
        <v>0</v>
      </c>
      <c r="W105" s="576">
        <f t="shared" ref="W105:W133" ca="1" si="15">AE110*T105</f>
        <v>0</v>
      </c>
      <c r="X105" s="484">
        <f ca="1">IF('CDO Bespoke'!O106&lt;&gt;"",'CDO Bespoke'!O106,"")</f>
        <v>1.1768433288273901</v>
      </c>
      <c r="Y105" s="485">
        <f ca="1">IF(X105&lt;&gt;"",ABS(MIN(-0.75*('CDO Bespoke'!Q106)+'CDO Bespoke'!T106,0)),"")</f>
        <v>1.1663241027885873</v>
      </c>
      <c r="Z105" s="485">
        <f t="shared" ca="1" si="10"/>
        <v>1.0519226038802731E-2</v>
      </c>
      <c r="AA105" s="485">
        <f t="shared" ca="1" si="11"/>
        <v>0</v>
      </c>
      <c r="AB105" s="484">
        <f ca="1">IF('CDO Bespoke'!O106&lt;&gt;"",'CDO Bespoke'!O106,"")</f>
        <v>1.1768433288273901</v>
      </c>
      <c r="AC105" s="485">
        <f ca="1">IF(AB105&lt;&gt;"",ABS(MIN(-0.75*('CDO Bespoke'!K106)+'CDO Bespoke'!T106,0)),"")</f>
        <v>0.58952215998681767</v>
      </c>
      <c r="AD105" s="485">
        <f t="shared" ca="1" si="12"/>
        <v>0.58732116884057239</v>
      </c>
      <c r="AE105" s="489">
        <f t="shared" ca="1" si="13"/>
        <v>0</v>
      </c>
      <c r="AF105" s="493">
        <f ca="1">IF('CDO Bespoke'!O106&lt;&gt;"",'CDO Bespoke'!O106,"")</f>
        <v>1.1768433288273901</v>
      </c>
      <c r="AP105" s="494" t="str">
        <f ca="1">IF('CDO Bespoke'!C130&lt;&gt;"",'CDO Bespoke'!C130,"")</f>
        <v>Telia Company AB</v>
      </c>
      <c r="AQ105" s="496">
        <f ca="1"/>
        <v>8.4026122992852947E-3</v>
      </c>
      <c r="AR105" s="585">
        <f ca="1"/>
        <v>2.7559784498976114E-2</v>
      </c>
      <c r="AS105" s="585">
        <f ca="1"/>
        <v>7.5297472399427079E-2</v>
      </c>
      <c r="AT105" s="585">
        <f ca="1"/>
        <v>1.069490736398393</v>
      </c>
      <c r="AU105" s="497">
        <f ca="1"/>
        <v>0</v>
      </c>
      <c r="AV105" s="627">
        <f ca="1"/>
        <v>0</v>
      </c>
      <c r="AW105" s="496">
        <f ca="1"/>
        <v>7.5421419280102819E-4</v>
      </c>
      <c r="AX105" s="585">
        <f ca="1"/>
        <v>3.6506725472999768E-3</v>
      </c>
      <c r="AY105" s="585">
        <f ca="1"/>
        <v>1.6310815227089243E-2</v>
      </c>
      <c r="AZ105" s="585">
        <f ca="1"/>
        <v>1.1585281937735898</v>
      </c>
      <c r="BA105" s="497">
        <f ca="1"/>
        <v>0</v>
      </c>
      <c r="BB105" s="627">
        <f ca="1"/>
        <v>0</v>
      </c>
      <c r="BC105" s="580"/>
      <c r="BD105" s="580"/>
      <c r="BE105" s="580"/>
      <c r="BF105" s="580"/>
      <c r="BG105" s="579"/>
    </row>
    <row r="106" spans="2:59">
      <c r="B106" s="539" t="s">
        <v>524</v>
      </c>
      <c r="C106" s="540" t="s">
        <v>66</v>
      </c>
      <c r="D106" s="540" t="s">
        <v>55</v>
      </c>
      <c r="E106" s="540" t="s">
        <v>650</v>
      </c>
      <c r="F106" s="540" t="s">
        <v>672</v>
      </c>
      <c r="G106" s="541">
        <v>0.01</v>
      </c>
      <c r="H106" s="541">
        <v>2.3649999999999999E-3</v>
      </c>
      <c r="I106" s="542">
        <v>0.4</v>
      </c>
      <c r="J106" s="602">
        <v>7</v>
      </c>
      <c r="K106" s="543">
        <v>28</v>
      </c>
      <c r="L106" s="272"/>
      <c r="M106" s="272"/>
      <c r="P106" s="273"/>
      <c r="Q106" s="273"/>
      <c r="R106" s="273"/>
      <c r="S106" s="273"/>
      <c r="T106" s="576">
        <f ca="1"/>
        <v>0.15</v>
      </c>
      <c r="U106" s="573">
        <f ca="1"/>
        <v>98</v>
      </c>
      <c r="V106" s="576">
        <f t="shared" ca="1" si="14"/>
        <v>0</v>
      </c>
      <c r="W106" s="576">
        <f t="shared" ca="1" si="15"/>
        <v>0</v>
      </c>
      <c r="X106" s="484">
        <f ca="1">IF('CDO Bespoke'!O107&lt;&gt;"",'CDO Bespoke'!O107,"")</f>
        <v>1.17421771548081</v>
      </c>
      <c r="Y106" s="485">
        <f ca="1">IF(X106&lt;&gt;"",ABS(MIN(-0.75*('CDO Bespoke'!Q107)+'CDO Bespoke'!T107,0)),"")</f>
        <v>1.165612732298615</v>
      </c>
      <c r="Z106" s="485">
        <f t="shared" ca="1" si="10"/>
        <v>8.6049831821950473E-3</v>
      </c>
      <c r="AA106" s="485">
        <f t="shared" ca="1" si="11"/>
        <v>0</v>
      </c>
      <c r="AB106" s="484">
        <f ca="1">IF('CDO Bespoke'!O107&lt;&gt;"",'CDO Bespoke'!O107,"")</f>
        <v>1.17421771548081</v>
      </c>
      <c r="AC106" s="485">
        <f ca="1">IF(AB106&lt;&gt;"",ABS(MIN(-0.75*('CDO Bespoke'!K107)+'CDO Bespoke'!T107,0)),"")</f>
        <v>0.61354668370285925</v>
      </c>
      <c r="AD106" s="485">
        <f t="shared" ca="1" si="12"/>
        <v>0.56067103177795075</v>
      </c>
      <c r="AE106" s="489">
        <f t="shared" ca="1" si="13"/>
        <v>0</v>
      </c>
      <c r="AF106" s="493">
        <f ca="1">IF('CDO Bespoke'!O107&lt;&gt;"",'CDO Bespoke'!O107,"")</f>
        <v>1.17421771548081</v>
      </c>
      <c r="AP106" s="494" t="str">
        <f ca="1">IF('CDO Bespoke'!C131&lt;&gt;"",'CDO Bespoke'!C131,"")</f>
        <v>Vivendi SE</v>
      </c>
      <c r="AQ106" s="496">
        <f ca="1"/>
        <v>7.7560935984877233E-3</v>
      </c>
      <c r="AR106" s="585">
        <f ca="1"/>
        <v>2.5492569100116214E-2</v>
      </c>
      <c r="AS106" s="585">
        <f ca="1"/>
        <v>6.8190220798847179E-2</v>
      </c>
      <c r="AT106" s="585">
        <f ca="1"/>
        <v>1.2776701532990486</v>
      </c>
      <c r="AU106" s="497">
        <f ca="1"/>
        <v>0</v>
      </c>
      <c r="AV106" s="627">
        <f ca="1"/>
        <v>0</v>
      </c>
      <c r="AW106" s="496">
        <f ca="1"/>
        <v>5.4766585880043628E-4</v>
      </c>
      <c r="AX106" s="585">
        <f ca="1"/>
        <v>2.698995786500763E-3</v>
      </c>
      <c r="AY106" s="585">
        <f ca="1"/>
        <v>1.1379275680206691E-2</v>
      </c>
      <c r="AZ106" s="585">
        <f ca="1"/>
        <v>1.3690883940179008</v>
      </c>
      <c r="BA106" s="497">
        <f ca="1"/>
        <v>0</v>
      </c>
      <c r="BB106" s="627">
        <f ca="1"/>
        <v>0</v>
      </c>
      <c r="BC106" s="580"/>
      <c r="BD106" s="580"/>
      <c r="BE106" s="580"/>
      <c r="BF106" s="580"/>
      <c r="BG106" s="579"/>
    </row>
    <row r="107" spans="2:59">
      <c r="B107" s="517" t="s">
        <v>524</v>
      </c>
      <c r="C107" s="518" t="s">
        <v>66</v>
      </c>
      <c r="D107" s="518" t="s">
        <v>57</v>
      </c>
      <c r="E107" s="518" t="s">
        <v>650</v>
      </c>
      <c r="F107" s="518" t="s">
        <v>672</v>
      </c>
      <c r="G107" s="525">
        <v>0.01</v>
      </c>
      <c r="H107" s="525">
        <v>3.4499999999999999E-3</v>
      </c>
      <c r="I107" s="527">
        <v>0.4</v>
      </c>
      <c r="J107" s="594">
        <v>7</v>
      </c>
      <c r="K107" s="519">
        <v>28</v>
      </c>
      <c r="L107" s="272"/>
      <c r="M107" s="272"/>
      <c r="P107" s="273"/>
      <c r="Q107" s="273"/>
      <c r="R107" s="273"/>
      <c r="S107" s="273"/>
      <c r="T107" s="576">
        <f ca="1"/>
        <v>0.15</v>
      </c>
      <c r="U107" s="573">
        <f ca="1"/>
        <v>99</v>
      </c>
      <c r="V107" s="576">
        <f t="shared" ca="1" si="14"/>
        <v>0</v>
      </c>
      <c r="W107" s="576">
        <f t="shared" ca="1" si="15"/>
        <v>0</v>
      </c>
      <c r="X107" s="484">
        <f ca="1">IF('CDO Bespoke'!O108&lt;&gt;"",'CDO Bespoke'!O108,"")</f>
        <v>1.1728639109852099</v>
      </c>
      <c r="Y107" s="485">
        <f ca="1">IF(X107&lt;&gt;"",ABS(MIN(-0.75*('CDO Bespoke'!Q108)+'CDO Bespoke'!T108,0)),"")</f>
        <v>1.1652182477438466</v>
      </c>
      <c r="Z107" s="485">
        <f t="shared" ca="1" si="10"/>
        <v>7.6456632413632875E-3</v>
      </c>
      <c r="AA107" s="485">
        <f t="shared" ca="1" si="11"/>
        <v>0</v>
      </c>
      <c r="AB107" s="484">
        <f ca="1">IF('CDO Bespoke'!O108&lt;&gt;"",'CDO Bespoke'!O108,"")</f>
        <v>1.1728639109852099</v>
      </c>
      <c r="AC107" s="485">
        <f ca="1">IF(AB107&lt;&gt;"",ABS(MIN(-0.75*('CDO Bespoke'!K108)+'CDO Bespoke'!T108,0)),"")</f>
        <v>0.62087625891637277</v>
      </c>
      <c r="AD107" s="485">
        <f t="shared" ca="1" si="12"/>
        <v>0.55198765206883715</v>
      </c>
      <c r="AE107" s="489">
        <f t="shared" ca="1" si="13"/>
        <v>0</v>
      </c>
      <c r="AF107" s="493">
        <f ca="1">IF('CDO Bespoke'!O108&lt;&gt;"",'CDO Bespoke'!O108,"")</f>
        <v>1.1728639109852099</v>
      </c>
      <c r="AP107" s="494" t="str">
        <f ca="1">IF('CDO Bespoke'!C132&lt;&gt;"",'CDO Bespoke'!C132,"")</f>
        <v>VODAFONE GROUP PUBLIC LIMITED COMPANY</v>
      </c>
      <c r="AQ107" s="496">
        <f ca="1"/>
        <v>7.5248112985093485E-3</v>
      </c>
      <c r="AR107" s="585">
        <f ca="1"/>
        <v>2.4728687599839816E-2</v>
      </c>
      <c r="AS107" s="585">
        <f ca="1"/>
        <v>6.5336745298516519E-2</v>
      </c>
      <c r="AT107" s="585">
        <f ca="1"/>
        <v>1.3327738625990015</v>
      </c>
      <c r="AU107" s="497">
        <f ca="1"/>
        <v>0</v>
      </c>
      <c r="AV107" s="627">
        <f ca="1"/>
        <v>0</v>
      </c>
      <c r="AW107" s="496">
        <f ca="1"/>
        <v>4.3683916929951327E-4</v>
      </c>
      <c r="AX107" s="585">
        <f ca="1"/>
        <v>2.1818635522006385E-3</v>
      </c>
      <c r="AY107" s="585">
        <f ca="1"/>
        <v>8.7787702413022473E-3</v>
      </c>
      <c r="AZ107" s="585">
        <f ca="1"/>
        <v>1.4244643002966992</v>
      </c>
      <c r="BA107" s="497">
        <f ca="1"/>
        <v>0</v>
      </c>
      <c r="BB107" s="627">
        <f ca="1"/>
        <v>0</v>
      </c>
      <c r="BC107" s="580"/>
      <c r="BD107" s="580"/>
      <c r="BE107" s="580"/>
      <c r="BF107" s="580"/>
      <c r="BG107" s="579"/>
    </row>
    <row r="108" spans="2:59">
      <c r="B108" s="534" t="s">
        <v>524</v>
      </c>
      <c r="C108" s="535" t="s">
        <v>66</v>
      </c>
      <c r="D108" s="535" t="s">
        <v>59</v>
      </c>
      <c r="E108" s="535" t="s">
        <v>650</v>
      </c>
      <c r="F108" s="535" t="s">
        <v>672</v>
      </c>
      <c r="G108" s="536">
        <v>0.01</v>
      </c>
      <c r="H108" s="536">
        <v>4.6579999999999998E-3</v>
      </c>
      <c r="I108" s="537">
        <v>0.4</v>
      </c>
      <c r="J108" s="595">
        <v>7</v>
      </c>
      <c r="K108" s="538">
        <v>28</v>
      </c>
      <c r="L108" s="272"/>
      <c r="M108" s="272"/>
      <c r="P108" s="273"/>
      <c r="Q108" s="273"/>
      <c r="R108" s="273"/>
      <c r="S108" s="273"/>
      <c r="T108" s="576">
        <f ca="1"/>
        <v>0.15</v>
      </c>
      <c r="U108" s="573">
        <f ca="1"/>
        <v>100</v>
      </c>
      <c r="V108" s="576">
        <f t="shared" ca="1" si="14"/>
        <v>0</v>
      </c>
      <c r="W108" s="576">
        <f t="shared" ca="1" si="15"/>
        <v>0</v>
      </c>
      <c r="X108" s="484">
        <f ca="1">IF('CDO Bespoke'!O109&lt;&gt;"",'CDO Bespoke'!O109,"")</f>
        <v>1.1726566884732701</v>
      </c>
      <c r="Y108" s="485">
        <f ca="1">IF(X108&lt;&gt;"",ABS(MIN(-0.75*('CDO Bespoke'!Q109)+'CDO Bespoke'!T109,0)),"")</f>
        <v>1.1651567959667959</v>
      </c>
      <c r="Z108" s="485">
        <f t="shared" ca="1" si="10"/>
        <v>7.4998925064742039E-3</v>
      </c>
      <c r="AA108" s="485">
        <f t="shared" ca="1" si="11"/>
        <v>0</v>
      </c>
      <c r="AB108" s="484">
        <f ca="1">IF('CDO Bespoke'!O109&lt;&gt;"",'CDO Bespoke'!O109,"")</f>
        <v>1.1726566884732701</v>
      </c>
      <c r="AC108" s="485">
        <f ca="1">IF(AB108&lt;&gt;"",ABS(MIN(-0.75*('CDO Bespoke'!K109)+'CDO Bespoke'!T109,0)),"")</f>
        <v>0.62183185939374797</v>
      </c>
      <c r="AD108" s="485">
        <f t="shared" ca="1" si="12"/>
        <v>0.55082482907952213</v>
      </c>
      <c r="AE108" s="489">
        <f t="shared" ca="1" si="13"/>
        <v>0</v>
      </c>
      <c r="AF108" s="493">
        <f ca="1">IF('CDO Bespoke'!O109&lt;&gt;"",'CDO Bespoke'!O109,"")</f>
        <v>1.1726566884732701</v>
      </c>
      <c r="AP108" s="494" t="str">
        <f ca="1">IF('CDO Bespoke'!C133&lt;&gt;"",'CDO Bespoke'!C133,"")</f>
        <v>WPP 2005 LIMITED</v>
      </c>
      <c r="AQ108" s="496">
        <f ca="1"/>
        <v>7.5730082005343036E-3</v>
      </c>
      <c r="AR108" s="585">
        <f ca="1"/>
        <v>2.4968676799463907E-2</v>
      </c>
      <c r="AS108" s="585">
        <f ca="1"/>
        <v>6.6356971000214315E-2</v>
      </c>
      <c r="AT108" s="585">
        <f ca="1"/>
        <v>1.3234831798003555</v>
      </c>
      <c r="AU108" s="497">
        <f ca="1"/>
        <v>0</v>
      </c>
      <c r="AV108" s="627">
        <f ca="1"/>
        <v>0</v>
      </c>
      <c r="AW108" s="496">
        <f ca="1"/>
        <v>4.5375723280345615E-4</v>
      </c>
      <c r="AX108" s="585">
        <f ca="1"/>
        <v>2.2617802479009408E-3</v>
      </c>
      <c r="AY108" s="585">
        <f ca="1"/>
        <v>9.1990567979011173E-3</v>
      </c>
      <c r="AZ108" s="585">
        <f ca="1"/>
        <v>1.4157843340178045</v>
      </c>
      <c r="BA108" s="497">
        <f ca="1"/>
        <v>0</v>
      </c>
      <c r="BB108" s="627">
        <f ca="1"/>
        <v>0</v>
      </c>
      <c r="BC108" s="580"/>
      <c r="BD108" s="580"/>
      <c r="BE108" s="580"/>
      <c r="BF108" s="580"/>
      <c r="BG108" s="579"/>
    </row>
    <row r="109" spans="2:59">
      <c r="B109" s="539" t="s">
        <v>538</v>
      </c>
      <c r="C109" s="540" t="s">
        <v>66</v>
      </c>
      <c r="D109" s="540" t="s">
        <v>55</v>
      </c>
      <c r="E109" s="540" t="s">
        <v>648</v>
      </c>
      <c r="F109" s="540" t="s">
        <v>647</v>
      </c>
      <c r="G109" s="541">
        <v>0.01</v>
      </c>
      <c r="H109" s="541">
        <v>2.9680000000000002E-3</v>
      </c>
      <c r="I109" s="542">
        <v>0.4</v>
      </c>
      <c r="J109" s="602">
        <v>4</v>
      </c>
      <c r="K109" s="543">
        <v>29</v>
      </c>
      <c r="L109" s="272"/>
      <c r="M109" s="272"/>
      <c r="P109" s="273"/>
      <c r="Q109" s="273"/>
      <c r="R109" s="273"/>
      <c r="S109" s="273"/>
      <c r="T109" s="576">
        <f ca="1"/>
        <v>0.15</v>
      </c>
      <c r="U109" s="573">
        <f ca="1"/>
        <v>101</v>
      </c>
      <c r="V109" s="576">
        <f t="shared" ca="1" si="14"/>
        <v>0</v>
      </c>
      <c r="W109" s="576">
        <f t="shared" ca="1" si="15"/>
        <v>0</v>
      </c>
      <c r="X109" s="484" t="str">
        <f ca="1">IF('CDO Bespoke'!O110&lt;&gt;"",'CDO Bespoke'!O110,"")</f>
        <v/>
      </c>
      <c r="Y109" s="485" t="str">
        <f ca="1">IF(X109&lt;&gt;"",ABS(MIN(-0.75*('CDO Bespoke'!Q110)+'CDO Bespoke'!T110,0)),"")</f>
        <v/>
      </c>
      <c r="Z109" s="485">
        <f ca="1">IF(X109&lt;&gt;"",IF($Y$8,MAX(X109-Y109,0),X109),0)</f>
        <v>0</v>
      </c>
      <c r="AA109" s="485">
        <f t="shared" ca="1" si="11"/>
        <v>0</v>
      </c>
      <c r="AB109" s="484" t="str">
        <f ca="1">IF('CDO Bespoke'!O110&lt;&gt;"",'CDO Bespoke'!O110,"")</f>
        <v/>
      </c>
      <c r="AC109" s="485" t="str">
        <f ca="1">IF(AB109&lt;&gt;"",ABS(MIN(-0.75*('CDO Bespoke'!K110)+'CDO Bespoke'!T110,0)),"")</f>
        <v/>
      </c>
      <c r="AD109" s="485">
        <f t="shared" ca="1" si="12"/>
        <v>0</v>
      </c>
      <c r="AE109" s="489">
        <f t="shared" ca="1" si="13"/>
        <v>0</v>
      </c>
      <c r="AF109" s="493" t="str">
        <f ca="1">IF('CDO Bespoke'!O110&lt;&gt;"",'CDO Bespoke'!O110,"")</f>
        <v/>
      </c>
      <c r="AP109" s="494" t="str">
        <f ca="1">IF('CDO Bespoke'!C134&lt;&gt;"",'CDO Bespoke'!C134,"")</f>
        <v/>
      </c>
      <c r="AQ109" s="496"/>
      <c r="AR109" s="585"/>
      <c r="AS109" s="585"/>
      <c r="AT109" s="585"/>
      <c r="AU109" s="497"/>
      <c r="AV109" s="627"/>
      <c r="AW109" s="496"/>
      <c r="AX109" s="585"/>
      <c r="AY109" s="585"/>
      <c r="AZ109" s="585"/>
      <c r="BA109" s="497"/>
      <c r="BB109" s="627"/>
      <c r="BC109" s="580"/>
      <c r="BD109" s="580"/>
      <c r="BE109" s="580"/>
      <c r="BF109" s="580"/>
      <c r="BG109" s="579"/>
    </row>
    <row r="110" spans="2:59">
      <c r="B110" s="517" t="s">
        <v>538</v>
      </c>
      <c r="C110" s="518" t="s">
        <v>66</v>
      </c>
      <c r="D110" s="518" t="s">
        <v>57</v>
      </c>
      <c r="E110" s="518" t="s">
        <v>648</v>
      </c>
      <c r="F110" s="518" t="s">
        <v>647</v>
      </c>
      <c r="G110" s="525">
        <v>0.01</v>
      </c>
      <c r="H110" s="525">
        <v>4.8170000000000001E-3</v>
      </c>
      <c r="I110" s="527">
        <v>0.4</v>
      </c>
      <c r="J110" s="594">
        <v>4</v>
      </c>
      <c r="K110" s="519">
        <v>29</v>
      </c>
      <c r="L110" s="272"/>
      <c r="M110" s="272"/>
      <c r="P110" s="273"/>
      <c r="Q110" s="273"/>
      <c r="R110" s="273"/>
      <c r="S110" s="273"/>
      <c r="T110" s="576">
        <f ca="1"/>
        <v>0.15</v>
      </c>
      <c r="U110" s="573">
        <f ca="1"/>
        <v>102</v>
      </c>
      <c r="V110" s="576">
        <f t="shared" ca="1" si="14"/>
        <v>0</v>
      </c>
      <c r="W110" s="576">
        <f t="shared" ca="1" si="15"/>
        <v>0</v>
      </c>
      <c r="X110" s="484" t="str">
        <f ca="1">IF('CDO Bespoke'!O111&lt;&gt;"",'CDO Bespoke'!O111,"")</f>
        <v/>
      </c>
      <c r="Y110" s="485" t="str">
        <f ca="1">IF(X110&lt;&gt;"",ABS(MIN(-0.75*('CDO Bespoke'!Q111)+'CDO Bespoke'!T111,0)),"")</f>
        <v/>
      </c>
      <c r="Z110" s="485">
        <f t="shared" ca="1" si="10"/>
        <v>0</v>
      </c>
      <c r="AA110" s="485">
        <f t="shared" ca="1" si="11"/>
        <v>0</v>
      </c>
      <c r="AB110" s="484" t="str">
        <f ca="1">IF('CDO Bespoke'!O111&lt;&gt;"",'CDO Bespoke'!O111,"")</f>
        <v/>
      </c>
      <c r="AC110" s="485" t="str">
        <f ca="1">IF(AB110&lt;&gt;"",ABS(MIN(-0.75*('CDO Bespoke'!K111)+'CDO Bespoke'!T111,0)),"")</f>
        <v/>
      </c>
      <c r="AD110" s="485">
        <f t="shared" ca="1" si="12"/>
        <v>0</v>
      </c>
      <c r="AE110" s="489">
        <f t="shared" ca="1" si="13"/>
        <v>0</v>
      </c>
      <c r="AF110" s="493" t="str">
        <f ca="1">IF('CDO Bespoke'!O111&lt;&gt;"",'CDO Bespoke'!O111,"")</f>
        <v/>
      </c>
      <c r="AP110" s="494" t="str">
        <f ca="1">IF('CDO Bespoke'!C135&lt;&gt;"",'CDO Bespoke'!C135,"")</f>
        <v/>
      </c>
      <c r="AQ110" s="496"/>
      <c r="AR110" s="585"/>
      <c r="AS110" s="585"/>
      <c r="AT110" s="585"/>
      <c r="AU110" s="497"/>
      <c r="AV110" s="627"/>
      <c r="AW110" s="496"/>
      <c r="AX110" s="585"/>
      <c r="AY110" s="585"/>
      <c r="AZ110" s="585"/>
      <c r="BA110" s="497"/>
      <c r="BB110" s="627"/>
      <c r="BC110" s="580"/>
      <c r="BD110" s="580"/>
      <c r="BE110" s="580"/>
      <c r="BF110" s="580"/>
      <c r="BG110" s="579"/>
    </row>
    <row r="111" spans="2:59">
      <c r="B111" s="534" t="s">
        <v>538</v>
      </c>
      <c r="C111" s="535" t="s">
        <v>66</v>
      </c>
      <c r="D111" s="535" t="s">
        <v>59</v>
      </c>
      <c r="E111" s="535" t="s">
        <v>648</v>
      </c>
      <c r="F111" s="535" t="s">
        <v>647</v>
      </c>
      <c r="G111" s="536">
        <v>0.01</v>
      </c>
      <c r="H111" s="536">
        <v>7.1079999999999997E-3</v>
      </c>
      <c r="I111" s="537">
        <v>0.4</v>
      </c>
      <c r="J111" s="595">
        <v>4</v>
      </c>
      <c r="K111" s="538">
        <v>29</v>
      </c>
      <c r="L111" s="272"/>
      <c r="M111" s="272"/>
      <c r="P111" s="273"/>
      <c r="Q111" s="273"/>
      <c r="R111" s="273"/>
      <c r="S111" s="273"/>
      <c r="T111" s="576">
        <f ca="1"/>
        <v>0.15</v>
      </c>
      <c r="U111" s="573">
        <f ca="1"/>
        <v>103</v>
      </c>
      <c r="V111" s="576">
        <f t="shared" ca="1" si="14"/>
        <v>0</v>
      </c>
      <c r="W111" s="576">
        <f t="shared" ca="1" si="15"/>
        <v>0</v>
      </c>
      <c r="X111" s="484" t="str">
        <f ca="1">IF('CDO Bespoke'!O112&lt;&gt;"",'CDO Bespoke'!O112,"")</f>
        <v/>
      </c>
      <c r="Y111" s="485" t="str">
        <f ca="1">IF(X111&lt;&gt;"",ABS(MIN(-0.75*('CDO Bespoke'!Q112)+'CDO Bespoke'!T112,0)),"")</f>
        <v/>
      </c>
      <c r="Z111" s="485">
        <f t="shared" ca="1" si="10"/>
        <v>0</v>
      </c>
      <c r="AA111" s="485">
        <f t="shared" ca="1" si="11"/>
        <v>0</v>
      </c>
      <c r="AB111" s="484" t="str">
        <f ca="1">IF('CDO Bespoke'!O112&lt;&gt;"",'CDO Bespoke'!O112,"")</f>
        <v/>
      </c>
      <c r="AC111" s="485" t="str">
        <f ca="1">IF(AB111&lt;&gt;"",ABS(MIN(-0.75*('CDO Bespoke'!K112)+'CDO Bespoke'!T112,0)),"")</f>
        <v/>
      </c>
      <c r="AD111" s="485">
        <f t="shared" ca="1" si="12"/>
        <v>0</v>
      </c>
      <c r="AE111" s="489">
        <f t="shared" ca="1" si="13"/>
        <v>0</v>
      </c>
      <c r="AF111" s="493" t="str">
        <f ca="1">IF('CDO Bespoke'!O112&lt;&gt;"",'CDO Bespoke'!O112,"")</f>
        <v/>
      </c>
      <c r="AP111" s="494" t="str">
        <f ca="1">IF('CDO Bespoke'!C136&lt;&gt;"",'CDO Bespoke'!C136,"")</f>
        <v/>
      </c>
      <c r="AQ111" s="496"/>
      <c r="AR111" s="585"/>
      <c r="AS111" s="585"/>
      <c r="AT111" s="585"/>
      <c r="AU111" s="497"/>
      <c r="AV111" s="627"/>
      <c r="AW111" s="496"/>
      <c r="AX111" s="585"/>
      <c r="AY111" s="585"/>
      <c r="AZ111" s="585"/>
      <c r="BA111" s="497"/>
      <c r="BB111" s="627"/>
      <c r="BC111" s="580"/>
      <c r="BD111" s="580"/>
      <c r="BE111" s="580"/>
      <c r="BF111" s="580"/>
      <c r="BG111" s="579"/>
    </row>
    <row r="112" spans="2:59">
      <c r="B112" s="539" t="s">
        <v>539</v>
      </c>
      <c r="C112" s="540" t="s">
        <v>66</v>
      </c>
      <c r="D112" s="540" t="s">
        <v>55</v>
      </c>
      <c r="E112" s="540" t="s">
        <v>648</v>
      </c>
      <c r="F112" s="540" t="s">
        <v>673</v>
      </c>
      <c r="G112" s="541">
        <v>0.01</v>
      </c>
      <c r="H112" s="541">
        <v>5.1580000000000003E-3</v>
      </c>
      <c r="I112" s="542">
        <v>0.4</v>
      </c>
      <c r="J112" s="602">
        <v>4</v>
      </c>
      <c r="K112" s="543">
        <v>30</v>
      </c>
      <c r="L112" s="272"/>
      <c r="M112" s="272"/>
      <c r="P112" s="273"/>
      <c r="Q112" s="273"/>
      <c r="R112" s="273"/>
      <c r="S112" s="273"/>
      <c r="T112" s="576">
        <f ca="1"/>
        <v>0.15</v>
      </c>
      <c r="U112" s="573">
        <f ca="1"/>
        <v>104</v>
      </c>
      <c r="V112" s="576">
        <f t="shared" ca="1" si="14"/>
        <v>0</v>
      </c>
      <c r="W112" s="576">
        <f t="shared" ca="1" si="15"/>
        <v>0</v>
      </c>
      <c r="X112" s="484" t="str">
        <f ca="1">IF('CDO Bespoke'!O113&lt;&gt;"",'CDO Bespoke'!O113,"")</f>
        <v/>
      </c>
      <c r="Y112" s="485" t="str">
        <f ca="1">IF(X112&lt;&gt;"",ABS(MIN(-0.75*('CDO Bespoke'!Q113)+'CDO Bespoke'!T113,0)),"")</f>
        <v/>
      </c>
      <c r="Z112" s="485">
        <f t="shared" ca="1" si="10"/>
        <v>0</v>
      </c>
      <c r="AA112" s="485">
        <f t="shared" ca="1" si="11"/>
        <v>0</v>
      </c>
      <c r="AB112" s="484" t="str">
        <f ca="1">IF('CDO Bespoke'!O113&lt;&gt;"",'CDO Bespoke'!O113,"")</f>
        <v/>
      </c>
      <c r="AC112" s="485" t="str">
        <f ca="1">IF(AB112&lt;&gt;"",ABS(MIN(-0.75*('CDO Bespoke'!K113)+'CDO Bespoke'!T113,0)),"")</f>
        <v/>
      </c>
      <c r="AD112" s="485">
        <f t="shared" ca="1" si="12"/>
        <v>0</v>
      </c>
      <c r="AE112" s="489">
        <f t="shared" ca="1" si="13"/>
        <v>0</v>
      </c>
      <c r="AF112" s="493" t="str">
        <f ca="1">IF('CDO Bespoke'!O113&lt;&gt;"",'CDO Bespoke'!O113,"")</f>
        <v/>
      </c>
      <c r="AP112" s="494" t="str">
        <f ca="1">IF('CDO Bespoke'!C137&lt;&gt;"",'CDO Bespoke'!C137,"")</f>
        <v/>
      </c>
      <c r="AQ112" s="496"/>
      <c r="AR112" s="585"/>
      <c r="AS112" s="585"/>
      <c r="AT112" s="585"/>
      <c r="AU112" s="497"/>
      <c r="AV112" s="627"/>
      <c r="AW112" s="496"/>
      <c r="AX112" s="585"/>
      <c r="AY112" s="585"/>
      <c r="AZ112" s="585"/>
      <c r="BA112" s="497"/>
      <c r="BB112" s="627"/>
      <c r="BC112" s="580"/>
      <c r="BD112" s="580"/>
      <c r="BE112" s="580"/>
      <c r="BF112" s="580"/>
      <c r="BG112" s="579"/>
    </row>
    <row r="113" spans="2:59">
      <c r="B113" s="517" t="s">
        <v>539</v>
      </c>
      <c r="C113" s="518" t="s">
        <v>66</v>
      </c>
      <c r="D113" s="518" t="s">
        <v>57</v>
      </c>
      <c r="E113" s="518" t="s">
        <v>648</v>
      </c>
      <c r="F113" s="518" t="s">
        <v>673</v>
      </c>
      <c r="G113" s="525">
        <v>0.01</v>
      </c>
      <c r="H113" s="525">
        <v>8.1840000000000003E-3</v>
      </c>
      <c r="I113" s="527">
        <v>0.4</v>
      </c>
      <c r="J113" s="594">
        <v>4</v>
      </c>
      <c r="K113" s="519">
        <v>30</v>
      </c>
      <c r="L113" s="272"/>
      <c r="M113" s="272"/>
      <c r="P113" s="273"/>
      <c r="Q113" s="273"/>
      <c r="R113" s="273"/>
      <c r="S113" s="273"/>
      <c r="T113" s="576">
        <f ca="1"/>
        <v>0.15</v>
      </c>
      <c r="U113" s="573">
        <f ca="1"/>
        <v>105</v>
      </c>
      <c r="V113" s="576">
        <f t="shared" ca="1" si="14"/>
        <v>0</v>
      </c>
      <c r="W113" s="576">
        <f t="shared" ca="1" si="15"/>
        <v>0</v>
      </c>
      <c r="X113" s="484" t="str">
        <f ca="1">IF('CDO Bespoke'!O114&lt;&gt;"",'CDO Bespoke'!O114,"")</f>
        <v/>
      </c>
      <c r="Y113" s="485" t="str">
        <f ca="1">IF(X113&lt;&gt;"",ABS(MIN(-0.75*('CDO Bespoke'!Q114)+'CDO Bespoke'!T114,0)),"")</f>
        <v/>
      </c>
      <c r="Z113" s="485">
        <f t="shared" ca="1" si="10"/>
        <v>0</v>
      </c>
      <c r="AA113" s="485">
        <f t="shared" ca="1" si="11"/>
        <v>0</v>
      </c>
      <c r="AB113" s="484" t="str">
        <f ca="1">IF('CDO Bespoke'!O114&lt;&gt;"",'CDO Bespoke'!O114,"")</f>
        <v/>
      </c>
      <c r="AC113" s="485" t="str">
        <f ca="1">IF(AB113&lt;&gt;"",ABS(MIN(-0.75*('CDO Bespoke'!K114)+'CDO Bespoke'!T114,0)),"")</f>
        <v/>
      </c>
      <c r="AD113" s="485">
        <f t="shared" ca="1" si="12"/>
        <v>0</v>
      </c>
      <c r="AE113" s="489">
        <f t="shared" ca="1" si="13"/>
        <v>0</v>
      </c>
      <c r="AF113" s="493" t="str">
        <f ca="1">IF('CDO Bespoke'!O114&lt;&gt;"",'CDO Bespoke'!O114,"")</f>
        <v/>
      </c>
      <c r="AP113" s="494" t="str">
        <f ca="1">IF('CDO Bespoke'!C138&lt;&gt;"",'CDO Bespoke'!C138,"")</f>
        <v/>
      </c>
      <c r="AQ113" s="496"/>
      <c r="AR113" s="585"/>
      <c r="AS113" s="585"/>
      <c r="AT113" s="585"/>
      <c r="AU113" s="497"/>
      <c r="AV113" s="627"/>
      <c r="AW113" s="496"/>
      <c r="AX113" s="585"/>
      <c r="AY113" s="585"/>
      <c r="AZ113" s="585"/>
      <c r="BA113" s="497"/>
      <c r="BB113" s="627"/>
      <c r="BC113" s="580"/>
      <c r="BD113" s="580"/>
      <c r="BE113" s="580"/>
      <c r="BF113" s="580"/>
      <c r="BG113" s="579"/>
    </row>
    <row r="114" spans="2:59">
      <c r="B114" s="534" t="s">
        <v>539</v>
      </c>
      <c r="C114" s="535" t="s">
        <v>66</v>
      </c>
      <c r="D114" s="535" t="s">
        <v>59</v>
      </c>
      <c r="E114" s="535" t="s">
        <v>648</v>
      </c>
      <c r="F114" s="535" t="s">
        <v>673</v>
      </c>
      <c r="G114" s="536">
        <v>0.01</v>
      </c>
      <c r="H114" s="536">
        <v>1.0449999999999999E-2</v>
      </c>
      <c r="I114" s="537">
        <v>0.4</v>
      </c>
      <c r="J114" s="595">
        <v>4</v>
      </c>
      <c r="K114" s="538">
        <v>30</v>
      </c>
      <c r="L114" s="272"/>
      <c r="M114" s="272"/>
      <c r="P114" s="273"/>
      <c r="Q114" s="273"/>
      <c r="R114" s="273"/>
      <c r="S114" s="273"/>
      <c r="T114" s="576">
        <f ca="1"/>
        <v>0.15</v>
      </c>
      <c r="U114" s="573">
        <f ca="1"/>
        <v>106</v>
      </c>
      <c r="V114" s="576">
        <f t="shared" ca="1" si="14"/>
        <v>0</v>
      </c>
      <c r="W114" s="576">
        <f t="shared" ca="1" si="15"/>
        <v>0</v>
      </c>
      <c r="X114" s="484" t="str">
        <f ca="1">IF('CDO Bespoke'!O115&lt;&gt;"",'CDO Bespoke'!O115,"")</f>
        <v/>
      </c>
      <c r="Y114" s="485" t="str">
        <f ca="1">IF(X114&lt;&gt;"",ABS(MIN(-0.75*('CDO Bespoke'!Q115)+'CDO Bespoke'!T115,0)),"")</f>
        <v/>
      </c>
      <c r="Z114" s="485">
        <f t="shared" ca="1" si="10"/>
        <v>0</v>
      </c>
      <c r="AA114" s="485">
        <f t="shared" ca="1" si="11"/>
        <v>0</v>
      </c>
      <c r="AB114" s="484" t="str">
        <f ca="1">IF('CDO Bespoke'!O115&lt;&gt;"",'CDO Bespoke'!O115,"")</f>
        <v/>
      </c>
      <c r="AC114" s="485" t="str">
        <f ca="1">IF(AB114&lt;&gt;"",ABS(MIN(-0.75*('CDO Bespoke'!K115)+'CDO Bespoke'!T115,0)),"")</f>
        <v/>
      </c>
      <c r="AD114" s="485">
        <f t="shared" ca="1" si="12"/>
        <v>0</v>
      </c>
      <c r="AE114" s="489">
        <f t="shared" ca="1" si="13"/>
        <v>0</v>
      </c>
      <c r="AF114" s="493" t="str">
        <f ca="1">IF('CDO Bespoke'!O115&lt;&gt;"",'CDO Bespoke'!O115,"")</f>
        <v/>
      </c>
      <c r="AP114" s="494" t="str">
        <f ca="1">IF('CDO Bespoke'!C139&lt;&gt;"",'CDO Bespoke'!C139,"")</f>
        <v/>
      </c>
      <c r="AQ114" s="496"/>
      <c r="AR114" s="585"/>
      <c r="AS114" s="585"/>
      <c r="AT114" s="585"/>
      <c r="AU114" s="497"/>
      <c r="AV114" s="627"/>
      <c r="AW114" s="496"/>
      <c r="AX114" s="585"/>
      <c r="AY114" s="585"/>
      <c r="AZ114" s="585"/>
      <c r="BA114" s="497"/>
      <c r="BB114" s="627"/>
      <c r="BC114" s="580"/>
      <c r="BD114" s="580"/>
      <c r="BE114" s="580"/>
      <c r="BF114" s="580"/>
      <c r="BG114" s="579"/>
    </row>
    <row r="115" spans="2:59">
      <c r="B115" s="539" t="s">
        <v>540</v>
      </c>
      <c r="C115" s="540" t="s">
        <v>66</v>
      </c>
      <c r="D115" s="540" t="s">
        <v>55</v>
      </c>
      <c r="E115" s="540" t="s">
        <v>648</v>
      </c>
      <c r="F115" s="540" t="s">
        <v>671</v>
      </c>
      <c r="G115" s="541">
        <v>0.01</v>
      </c>
      <c r="H115" s="541">
        <v>5.8869999999999999E-3</v>
      </c>
      <c r="I115" s="542">
        <v>0.4</v>
      </c>
      <c r="J115" s="602">
        <v>5</v>
      </c>
      <c r="K115" s="543">
        <v>31</v>
      </c>
      <c r="L115" s="272"/>
      <c r="M115" s="272"/>
      <c r="P115" s="273"/>
      <c r="Q115" s="273"/>
      <c r="R115" s="273"/>
      <c r="S115" s="273"/>
      <c r="T115" s="576">
        <f ca="1"/>
        <v>0.15</v>
      </c>
      <c r="U115" s="573">
        <f ca="1"/>
        <v>107</v>
      </c>
      <c r="V115" s="576">
        <f t="shared" ca="1" si="14"/>
        <v>0</v>
      </c>
      <c r="W115" s="576">
        <f t="shared" ca="1" si="15"/>
        <v>0</v>
      </c>
      <c r="X115" s="484" t="str">
        <f ca="1">IF('CDO Bespoke'!O116&lt;&gt;"",'CDO Bespoke'!O116,"")</f>
        <v/>
      </c>
      <c r="Y115" s="485" t="str">
        <f ca="1">IF(X115&lt;&gt;"",ABS(MIN(-0.75*('CDO Bespoke'!Q116)+'CDO Bespoke'!T116,0)),"")</f>
        <v/>
      </c>
      <c r="Z115" s="485">
        <f t="shared" ca="1" si="10"/>
        <v>0</v>
      </c>
      <c r="AA115" s="485">
        <f t="shared" ca="1" si="11"/>
        <v>0</v>
      </c>
      <c r="AB115" s="484" t="str">
        <f ca="1">IF('CDO Bespoke'!O116&lt;&gt;"",'CDO Bespoke'!O116,"")</f>
        <v/>
      </c>
      <c r="AC115" s="485" t="str">
        <f ca="1">IF(AB115&lt;&gt;"",ABS(MIN(-0.75*('CDO Bespoke'!K116)+'CDO Bespoke'!T116,0)),"")</f>
        <v/>
      </c>
      <c r="AD115" s="485">
        <f t="shared" ca="1" si="12"/>
        <v>0</v>
      </c>
      <c r="AE115" s="489">
        <f t="shared" ca="1" si="13"/>
        <v>0</v>
      </c>
      <c r="AF115" s="493" t="str">
        <f ca="1">IF('CDO Bespoke'!O116&lt;&gt;"",'CDO Bespoke'!O116,"")</f>
        <v/>
      </c>
      <c r="AP115" s="494" t="str">
        <f ca="1">IF('CDO Bespoke'!C140&lt;&gt;"",'CDO Bespoke'!C140,"")</f>
        <v/>
      </c>
      <c r="AQ115" s="496"/>
      <c r="AR115" s="585"/>
      <c r="AS115" s="585"/>
      <c r="AT115" s="585"/>
      <c r="AU115" s="497"/>
      <c r="AV115" s="627"/>
      <c r="AW115" s="496"/>
      <c r="AX115" s="585"/>
      <c r="AY115" s="585"/>
      <c r="AZ115" s="585"/>
      <c r="BA115" s="497"/>
      <c r="BB115" s="627"/>
      <c r="BC115" s="580"/>
      <c r="BD115" s="580"/>
      <c r="BE115" s="580"/>
      <c r="BF115" s="580"/>
      <c r="BG115" s="579"/>
    </row>
    <row r="116" spans="2:59">
      <c r="B116" s="517" t="s">
        <v>540</v>
      </c>
      <c r="C116" s="518" t="s">
        <v>66</v>
      </c>
      <c r="D116" s="518" t="s">
        <v>57</v>
      </c>
      <c r="E116" s="518" t="s">
        <v>648</v>
      </c>
      <c r="F116" s="518" t="s">
        <v>671</v>
      </c>
      <c r="G116" s="525">
        <v>0.01</v>
      </c>
      <c r="H116" s="525">
        <v>1.0245000000000001E-2</v>
      </c>
      <c r="I116" s="527">
        <v>0.4</v>
      </c>
      <c r="J116" s="594">
        <v>5</v>
      </c>
      <c r="K116" s="519">
        <v>31</v>
      </c>
      <c r="L116" s="272"/>
      <c r="M116" s="272"/>
      <c r="P116" s="273"/>
      <c r="Q116" s="273"/>
      <c r="R116" s="273"/>
      <c r="S116" s="273"/>
      <c r="T116" s="576">
        <f ca="1"/>
        <v>0.15</v>
      </c>
      <c r="U116" s="573">
        <f ca="1"/>
        <v>108</v>
      </c>
      <c r="V116" s="576">
        <f t="shared" ca="1" si="14"/>
        <v>0</v>
      </c>
      <c r="W116" s="576">
        <f t="shared" ca="1" si="15"/>
        <v>0</v>
      </c>
      <c r="X116" s="484" t="str">
        <f ca="1">IF('CDO Bespoke'!O117&lt;&gt;"",'CDO Bespoke'!O117,"")</f>
        <v/>
      </c>
      <c r="Y116" s="485" t="str">
        <f ca="1">IF(X116&lt;&gt;"",ABS(MIN(-0.75*('CDO Bespoke'!Q117)+'CDO Bespoke'!T117,0)),"")</f>
        <v/>
      </c>
      <c r="Z116" s="485">
        <f t="shared" ca="1" si="10"/>
        <v>0</v>
      </c>
      <c r="AA116" s="485">
        <f t="shared" ca="1" si="11"/>
        <v>0</v>
      </c>
      <c r="AB116" s="484" t="str">
        <f ca="1">IF('CDO Bespoke'!O117&lt;&gt;"",'CDO Bespoke'!O117,"")</f>
        <v/>
      </c>
      <c r="AC116" s="485" t="str">
        <f ca="1">IF(AB116&lt;&gt;"",ABS(MIN(-0.75*('CDO Bespoke'!K117)+'CDO Bespoke'!T117,0)),"")</f>
        <v/>
      </c>
      <c r="AD116" s="485">
        <f t="shared" ca="1" si="12"/>
        <v>0</v>
      </c>
      <c r="AE116" s="489">
        <f t="shared" ca="1" si="13"/>
        <v>0</v>
      </c>
      <c r="AF116" s="493" t="str">
        <f ca="1">IF('CDO Bespoke'!O117&lt;&gt;"",'CDO Bespoke'!O117,"")</f>
        <v/>
      </c>
      <c r="AP116" s="494" t="str">
        <f ca="1">IF('CDO Bespoke'!C141&lt;&gt;"",'CDO Bespoke'!C141,"")</f>
        <v/>
      </c>
      <c r="AQ116" s="496"/>
      <c r="AR116" s="585"/>
      <c r="AS116" s="585"/>
      <c r="AT116" s="585"/>
      <c r="AU116" s="497"/>
      <c r="AV116" s="627"/>
      <c r="AW116" s="496"/>
      <c r="AX116" s="585"/>
      <c r="AY116" s="585"/>
      <c r="AZ116" s="585"/>
      <c r="BA116" s="497"/>
      <c r="BB116" s="627"/>
      <c r="BC116" s="580"/>
      <c r="BD116" s="580"/>
      <c r="BE116" s="580"/>
      <c r="BF116" s="580"/>
      <c r="BG116" s="579"/>
    </row>
    <row r="117" spans="2:59">
      <c r="B117" s="534" t="s">
        <v>540</v>
      </c>
      <c r="C117" s="535" t="s">
        <v>66</v>
      </c>
      <c r="D117" s="535" t="s">
        <v>59</v>
      </c>
      <c r="E117" s="535" t="s">
        <v>648</v>
      </c>
      <c r="F117" s="535" t="s">
        <v>671</v>
      </c>
      <c r="G117" s="536">
        <v>0.01</v>
      </c>
      <c r="H117" s="536">
        <v>1.4839E-2</v>
      </c>
      <c r="I117" s="537">
        <v>0.4</v>
      </c>
      <c r="J117" s="595">
        <v>5</v>
      </c>
      <c r="K117" s="538">
        <v>31</v>
      </c>
      <c r="L117" s="272"/>
      <c r="M117" s="272"/>
      <c r="P117" s="273"/>
      <c r="Q117" s="273"/>
      <c r="R117" s="273"/>
      <c r="S117" s="273"/>
      <c r="T117" s="576">
        <f ca="1"/>
        <v>0.15</v>
      </c>
      <c r="U117" s="573">
        <f ca="1"/>
        <v>109</v>
      </c>
      <c r="V117" s="576">
        <f t="shared" ca="1" si="14"/>
        <v>0</v>
      </c>
      <c r="W117" s="576">
        <f t="shared" ca="1" si="15"/>
        <v>0</v>
      </c>
      <c r="X117" s="484" t="str">
        <f ca="1">IF('CDO Bespoke'!O118&lt;&gt;"",'CDO Bespoke'!O118,"")</f>
        <v/>
      </c>
      <c r="Y117" s="485" t="str">
        <f ca="1">IF(X117&lt;&gt;"",ABS(MIN(-0.75*('CDO Bespoke'!Q118)+'CDO Bespoke'!T118,0)),"")</f>
        <v/>
      </c>
      <c r="Z117" s="485">
        <f t="shared" ca="1" si="10"/>
        <v>0</v>
      </c>
      <c r="AA117" s="485">
        <f t="shared" ca="1" si="11"/>
        <v>0</v>
      </c>
      <c r="AB117" s="484" t="str">
        <f ca="1">IF('CDO Bespoke'!O118&lt;&gt;"",'CDO Bespoke'!O118,"")</f>
        <v/>
      </c>
      <c r="AC117" s="485" t="str">
        <f ca="1">IF(AB117&lt;&gt;"",ABS(MIN(-0.75*('CDO Bespoke'!K118)+'CDO Bespoke'!T118,0)),"")</f>
        <v/>
      </c>
      <c r="AD117" s="485">
        <f t="shared" ca="1" si="12"/>
        <v>0</v>
      </c>
      <c r="AE117" s="489">
        <f t="shared" ca="1" si="13"/>
        <v>0</v>
      </c>
      <c r="AF117" s="493" t="str">
        <f ca="1">IF('CDO Bespoke'!O118&lt;&gt;"",'CDO Bespoke'!O118,"")</f>
        <v/>
      </c>
      <c r="AP117" s="494" t="str">
        <f ca="1">IF('CDO Bespoke'!C142&lt;&gt;"",'CDO Bespoke'!C142,"")</f>
        <v/>
      </c>
      <c r="AQ117" s="496"/>
      <c r="AR117" s="585"/>
      <c r="AS117" s="585"/>
      <c r="AT117" s="585"/>
      <c r="AU117" s="497"/>
      <c r="AV117" s="627"/>
      <c r="AW117" s="496"/>
      <c r="AX117" s="585"/>
      <c r="AY117" s="585"/>
      <c r="AZ117" s="585"/>
      <c r="BA117" s="497"/>
      <c r="BB117" s="627"/>
      <c r="BC117" s="580"/>
      <c r="BD117" s="580"/>
      <c r="BE117" s="580"/>
      <c r="BF117" s="580"/>
      <c r="BG117" s="579"/>
    </row>
    <row r="118" spans="2:59">
      <c r="B118" s="539" t="s">
        <v>525</v>
      </c>
      <c r="C118" s="540" t="s">
        <v>66</v>
      </c>
      <c r="D118" s="540" t="s">
        <v>55</v>
      </c>
      <c r="E118" s="540" t="s">
        <v>648</v>
      </c>
      <c r="F118" s="540" t="s">
        <v>673</v>
      </c>
      <c r="G118" s="541">
        <v>0.01</v>
      </c>
      <c r="H118" s="541">
        <v>4.9649999999999998E-3</v>
      </c>
      <c r="I118" s="542">
        <v>0.4</v>
      </c>
      <c r="J118" s="602">
        <v>4</v>
      </c>
      <c r="K118" s="543">
        <v>32</v>
      </c>
      <c r="L118" s="272"/>
      <c r="M118" s="272"/>
      <c r="P118" s="273"/>
      <c r="Q118" s="273"/>
      <c r="R118" s="273"/>
      <c r="S118" s="273"/>
      <c r="T118" s="576">
        <f ca="1"/>
        <v>0.15</v>
      </c>
      <c r="U118" s="573">
        <f ca="1"/>
        <v>110</v>
      </c>
      <c r="V118" s="576">
        <f t="shared" ca="1" si="14"/>
        <v>0</v>
      </c>
      <c r="W118" s="576">
        <f t="shared" ca="1" si="15"/>
        <v>0</v>
      </c>
      <c r="X118" s="484" t="str">
        <f ca="1">IF('CDO Bespoke'!O119&lt;&gt;"",'CDO Bespoke'!O119,"")</f>
        <v/>
      </c>
      <c r="Y118" s="485" t="str">
        <f ca="1">IF(X118&lt;&gt;"",ABS(MIN(-0.75*('CDO Bespoke'!Q119)+'CDO Bespoke'!T119,0)),"")</f>
        <v/>
      </c>
      <c r="Z118" s="485">
        <f t="shared" ca="1" si="10"/>
        <v>0</v>
      </c>
      <c r="AA118" s="485">
        <f t="shared" ca="1" si="11"/>
        <v>0</v>
      </c>
      <c r="AB118" s="484" t="str">
        <f ca="1">IF('CDO Bespoke'!O119&lt;&gt;"",'CDO Bespoke'!O119,"")</f>
        <v/>
      </c>
      <c r="AC118" s="485" t="str">
        <f ca="1">IF(AB118&lt;&gt;"",ABS(MIN(-0.75*('CDO Bespoke'!K119)+'CDO Bespoke'!T119,0)),"")</f>
        <v/>
      </c>
      <c r="AD118" s="485">
        <f t="shared" ca="1" si="12"/>
        <v>0</v>
      </c>
      <c r="AE118" s="489">
        <f t="shared" ca="1" si="13"/>
        <v>0</v>
      </c>
      <c r="AF118" s="493" t="str">
        <f ca="1">IF('CDO Bespoke'!O119&lt;&gt;"",'CDO Bespoke'!O119,"")</f>
        <v/>
      </c>
      <c r="AP118" s="494" t="str">
        <f ca="1">IF('CDO Bespoke'!C143&lt;&gt;"",'CDO Bespoke'!C143,"")</f>
        <v/>
      </c>
      <c r="AQ118" s="496"/>
      <c r="AR118" s="585"/>
      <c r="AS118" s="585"/>
      <c r="AT118" s="585"/>
      <c r="AU118" s="497"/>
      <c r="AV118" s="627"/>
      <c r="AW118" s="496"/>
      <c r="AX118" s="585"/>
      <c r="AY118" s="585"/>
      <c r="AZ118" s="585"/>
      <c r="BA118" s="497"/>
      <c r="BB118" s="627"/>
      <c r="BC118" s="580"/>
      <c r="BD118" s="580"/>
      <c r="BE118" s="580"/>
      <c r="BF118" s="580"/>
      <c r="BG118" s="579"/>
    </row>
    <row r="119" spans="2:59">
      <c r="B119" s="517" t="s">
        <v>525</v>
      </c>
      <c r="C119" s="518" t="s">
        <v>66</v>
      </c>
      <c r="D119" s="518" t="s">
        <v>57</v>
      </c>
      <c r="E119" s="518" t="s">
        <v>648</v>
      </c>
      <c r="F119" s="518" t="s">
        <v>673</v>
      </c>
      <c r="G119" s="525">
        <v>0.01</v>
      </c>
      <c r="H119" s="525">
        <v>8.1279999999999998E-3</v>
      </c>
      <c r="I119" s="527">
        <v>0.4</v>
      </c>
      <c r="J119" s="594">
        <v>4</v>
      </c>
      <c r="K119" s="519">
        <v>32</v>
      </c>
      <c r="L119" s="272"/>
      <c r="M119" s="272"/>
      <c r="P119" s="273"/>
      <c r="Q119" s="273"/>
      <c r="R119" s="273"/>
      <c r="S119" s="273"/>
      <c r="T119" s="576">
        <f ca="1"/>
        <v>0.15</v>
      </c>
      <c r="U119" s="573">
        <f ca="1"/>
        <v>111</v>
      </c>
      <c r="V119" s="576">
        <f t="shared" ca="1" si="14"/>
        <v>0</v>
      </c>
      <c r="W119" s="576">
        <f t="shared" ca="1" si="15"/>
        <v>0</v>
      </c>
      <c r="X119" s="484" t="str">
        <f ca="1">IF('CDO Bespoke'!O120&lt;&gt;"",'CDO Bespoke'!O120,"")</f>
        <v/>
      </c>
      <c r="Y119" s="485" t="str">
        <f ca="1">IF(X119&lt;&gt;"",ABS(MIN(-0.75*('CDO Bespoke'!Q120)+'CDO Bespoke'!T120,0)),"")</f>
        <v/>
      </c>
      <c r="Z119" s="485">
        <f t="shared" ca="1" si="10"/>
        <v>0</v>
      </c>
      <c r="AA119" s="485">
        <f t="shared" ca="1" si="11"/>
        <v>0</v>
      </c>
      <c r="AB119" s="484" t="str">
        <f ca="1">IF('CDO Bespoke'!O120&lt;&gt;"",'CDO Bespoke'!O120,"")</f>
        <v/>
      </c>
      <c r="AC119" s="485" t="str">
        <f ca="1">IF(AB119&lt;&gt;"",ABS(MIN(-0.75*('CDO Bespoke'!K120)+'CDO Bespoke'!T120,0)),"")</f>
        <v/>
      </c>
      <c r="AD119" s="485">
        <f t="shared" ca="1" si="12"/>
        <v>0</v>
      </c>
      <c r="AE119" s="489">
        <f t="shared" ca="1" si="13"/>
        <v>0</v>
      </c>
      <c r="AF119" s="493" t="str">
        <f ca="1">IF('CDO Bespoke'!O120&lt;&gt;"",'CDO Bespoke'!O120,"")</f>
        <v/>
      </c>
      <c r="AP119" s="494" t="str">
        <f ca="1">IF('CDO Bespoke'!C144&lt;&gt;"",'CDO Bespoke'!C144,"")</f>
        <v/>
      </c>
      <c r="AQ119" s="496"/>
      <c r="AR119" s="585"/>
      <c r="AS119" s="585"/>
      <c r="AT119" s="585"/>
      <c r="AU119" s="497"/>
      <c r="AV119" s="627"/>
      <c r="AW119" s="496"/>
      <c r="AX119" s="585"/>
      <c r="AY119" s="585"/>
      <c r="AZ119" s="585"/>
      <c r="BA119" s="497"/>
      <c r="BB119" s="627"/>
      <c r="BC119" s="580"/>
      <c r="BD119" s="580"/>
      <c r="BE119" s="580"/>
      <c r="BF119" s="580"/>
      <c r="BG119" s="579"/>
    </row>
    <row r="120" spans="2:59">
      <c r="B120" s="534" t="s">
        <v>525</v>
      </c>
      <c r="C120" s="535" t="s">
        <v>66</v>
      </c>
      <c r="D120" s="535" t="s">
        <v>59</v>
      </c>
      <c r="E120" s="535" t="s">
        <v>648</v>
      </c>
      <c r="F120" s="535" t="s">
        <v>673</v>
      </c>
      <c r="G120" s="536">
        <v>0.01</v>
      </c>
      <c r="H120" s="536">
        <v>1.1227000000000001E-2</v>
      </c>
      <c r="I120" s="537">
        <v>0.4</v>
      </c>
      <c r="J120" s="595">
        <v>4</v>
      </c>
      <c r="K120" s="538">
        <v>32</v>
      </c>
      <c r="L120" s="272"/>
      <c r="M120" s="272"/>
      <c r="P120" s="273"/>
      <c r="Q120" s="273"/>
      <c r="R120" s="273"/>
      <c r="S120" s="273"/>
      <c r="T120" s="576">
        <f ca="1"/>
        <v>0.15</v>
      </c>
      <c r="U120" s="573">
        <f ca="1"/>
        <v>112</v>
      </c>
      <c r="V120" s="576">
        <f t="shared" ca="1" si="14"/>
        <v>0</v>
      </c>
      <c r="W120" s="576">
        <f t="shared" ca="1" si="15"/>
        <v>0</v>
      </c>
      <c r="X120" s="484" t="str">
        <f ca="1">IF('CDO Bespoke'!O121&lt;&gt;"",'CDO Bespoke'!O121,"")</f>
        <v/>
      </c>
      <c r="Y120" s="485" t="str">
        <f ca="1">IF(X120&lt;&gt;"",ABS(MIN(-0.75*('CDO Bespoke'!Q121)+'CDO Bespoke'!T121,0)),"")</f>
        <v/>
      </c>
      <c r="Z120" s="485">
        <f t="shared" ca="1" si="10"/>
        <v>0</v>
      </c>
      <c r="AA120" s="485">
        <f t="shared" ca="1" si="11"/>
        <v>0</v>
      </c>
      <c r="AB120" s="484" t="str">
        <f ca="1">IF('CDO Bespoke'!O121&lt;&gt;"",'CDO Bespoke'!O121,"")</f>
        <v/>
      </c>
      <c r="AC120" s="485" t="str">
        <f ca="1">IF(AB120&lt;&gt;"",ABS(MIN(-0.75*('CDO Bespoke'!K121)+'CDO Bespoke'!T121,0)),"")</f>
        <v/>
      </c>
      <c r="AD120" s="485">
        <f t="shared" ca="1" si="12"/>
        <v>0</v>
      </c>
      <c r="AE120" s="489">
        <f t="shared" ca="1" si="13"/>
        <v>0</v>
      </c>
      <c r="AF120" s="493" t="str">
        <f ca="1">IF('CDO Bespoke'!O121&lt;&gt;"",'CDO Bespoke'!O121,"")</f>
        <v/>
      </c>
      <c r="AP120" s="494" t="str">
        <f ca="1">IF('CDO Bespoke'!C145&lt;&gt;"",'CDO Bespoke'!C145,"")</f>
        <v/>
      </c>
      <c r="AQ120" s="496"/>
      <c r="AR120" s="585"/>
      <c r="AS120" s="585"/>
      <c r="AT120" s="585"/>
      <c r="AU120" s="497"/>
      <c r="AV120" s="627"/>
      <c r="AW120" s="496"/>
      <c r="AX120" s="585"/>
      <c r="AY120" s="585"/>
      <c r="AZ120" s="585"/>
      <c r="BA120" s="497"/>
      <c r="BB120" s="627"/>
      <c r="BC120" s="580"/>
      <c r="BD120" s="580"/>
      <c r="BE120" s="580"/>
      <c r="BF120" s="580"/>
      <c r="BG120" s="579"/>
    </row>
    <row r="121" spans="2:59">
      <c r="B121" s="539" t="s">
        <v>526</v>
      </c>
      <c r="C121" s="540" t="s">
        <v>66</v>
      </c>
      <c r="D121" s="540" t="s">
        <v>55</v>
      </c>
      <c r="E121" s="540" t="s">
        <v>648</v>
      </c>
      <c r="F121" s="540" t="s">
        <v>674</v>
      </c>
      <c r="G121" s="541">
        <v>0.01</v>
      </c>
      <c r="H121" s="541">
        <v>6.7450000000000001E-3</v>
      </c>
      <c r="I121" s="542">
        <v>0.4</v>
      </c>
      <c r="J121" s="602">
        <v>3</v>
      </c>
      <c r="K121" s="543">
        <v>33</v>
      </c>
      <c r="L121" s="272"/>
      <c r="M121" s="272"/>
      <c r="P121" s="273"/>
      <c r="Q121" s="273"/>
      <c r="R121" s="273"/>
      <c r="S121" s="273"/>
      <c r="T121" s="576">
        <f ca="1"/>
        <v>0.15</v>
      </c>
      <c r="U121" s="573">
        <f ca="1"/>
        <v>113</v>
      </c>
      <c r="V121" s="576">
        <f t="shared" ca="1" si="14"/>
        <v>0</v>
      </c>
      <c r="W121" s="576">
        <f t="shared" ca="1" si="15"/>
        <v>0</v>
      </c>
      <c r="X121" s="484" t="str">
        <f ca="1">IF('CDO Bespoke'!O122&lt;&gt;"",'CDO Bespoke'!O122,"")</f>
        <v/>
      </c>
      <c r="Y121" s="485" t="str">
        <f ca="1">IF(X121&lt;&gt;"",ABS(MIN(-0.75*('CDO Bespoke'!Q122)+'CDO Bespoke'!T122,0)),"")</f>
        <v/>
      </c>
      <c r="Z121" s="485">
        <f t="shared" ca="1" si="10"/>
        <v>0</v>
      </c>
      <c r="AA121" s="485">
        <f t="shared" ca="1" si="11"/>
        <v>0</v>
      </c>
      <c r="AB121" s="484" t="str">
        <f ca="1">IF('CDO Bespoke'!O122&lt;&gt;"",'CDO Bespoke'!O122,"")</f>
        <v/>
      </c>
      <c r="AC121" s="485" t="str">
        <f ca="1">IF(AB121&lt;&gt;"",ABS(MIN(-0.75*('CDO Bespoke'!K122)+'CDO Bespoke'!T122,0)),"")</f>
        <v/>
      </c>
      <c r="AD121" s="485">
        <f t="shared" ca="1" si="12"/>
        <v>0</v>
      </c>
      <c r="AE121" s="489">
        <f t="shared" ca="1" si="13"/>
        <v>0</v>
      </c>
      <c r="AF121" s="493" t="str">
        <f ca="1">IF('CDO Bespoke'!O122&lt;&gt;"",'CDO Bespoke'!O122,"")</f>
        <v/>
      </c>
      <c r="AP121" s="494" t="str">
        <f ca="1">IF('CDO Bespoke'!C146&lt;&gt;"",'CDO Bespoke'!C146,"")</f>
        <v/>
      </c>
      <c r="AQ121" s="496"/>
      <c r="AR121" s="585"/>
      <c r="AS121" s="585"/>
      <c r="AT121" s="585"/>
      <c r="AU121" s="497"/>
      <c r="AV121" s="627"/>
      <c r="AW121" s="496"/>
      <c r="AX121" s="585"/>
      <c r="AY121" s="585"/>
      <c r="AZ121" s="585"/>
      <c r="BA121" s="497"/>
      <c r="BB121" s="627"/>
      <c r="BC121" s="580"/>
      <c r="BD121" s="580"/>
      <c r="BE121" s="580"/>
      <c r="BF121" s="580"/>
      <c r="BG121" s="579"/>
    </row>
    <row r="122" spans="2:59">
      <c r="B122" s="517" t="s">
        <v>526</v>
      </c>
      <c r="C122" s="518" t="s">
        <v>66</v>
      </c>
      <c r="D122" s="518" t="s">
        <v>57</v>
      </c>
      <c r="E122" s="518" t="s">
        <v>648</v>
      </c>
      <c r="F122" s="518" t="s">
        <v>674</v>
      </c>
      <c r="G122" s="525">
        <v>0.01</v>
      </c>
      <c r="H122" s="525">
        <v>1.1979999999999999E-2</v>
      </c>
      <c r="I122" s="527">
        <v>0.4</v>
      </c>
      <c r="J122" s="594">
        <v>3</v>
      </c>
      <c r="K122" s="519">
        <v>33</v>
      </c>
      <c r="L122" s="272"/>
      <c r="M122" s="272"/>
      <c r="P122" s="273"/>
      <c r="Q122" s="273"/>
      <c r="R122" s="273"/>
      <c r="S122" s="273"/>
      <c r="T122" s="576">
        <f ca="1"/>
        <v>0.15</v>
      </c>
      <c r="U122" s="573">
        <f ca="1"/>
        <v>114</v>
      </c>
      <c r="V122" s="576">
        <f t="shared" ca="1" si="14"/>
        <v>0</v>
      </c>
      <c r="W122" s="576">
        <f t="shared" ca="1" si="15"/>
        <v>0</v>
      </c>
      <c r="X122" s="484" t="str">
        <f ca="1">IF('CDO Bespoke'!O123&lt;&gt;"",'CDO Bespoke'!O123,"")</f>
        <v/>
      </c>
      <c r="Y122" s="485" t="str">
        <f ca="1">IF(X122&lt;&gt;"",ABS(MIN(-0.75*('CDO Bespoke'!Q123)+'CDO Bespoke'!T123,0)),"")</f>
        <v/>
      </c>
      <c r="Z122" s="485">
        <f t="shared" ca="1" si="10"/>
        <v>0</v>
      </c>
      <c r="AA122" s="485">
        <f t="shared" ca="1" si="11"/>
        <v>0</v>
      </c>
      <c r="AB122" s="484" t="str">
        <f ca="1">IF('CDO Bespoke'!O123&lt;&gt;"",'CDO Bespoke'!O123,"")</f>
        <v/>
      </c>
      <c r="AC122" s="485" t="str">
        <f ca="1">IF(AB122&lt;&gt;"",ABS(MIN(-0.75*('CDO Bespoke'!K123)+'CDO Bespoke'!T123,0)),"")</f>
        <v/>
      </c>
      <c r="AD122" s="485">
        <f t="shared" ca="1" si="12"/>
        <v>0</v>
      </c>
      <c r="AE122" s="489">
        <f t="shared" ca="1" si="13"/>
        <v>0</v>
      </c>
      <c r="AF122" s="493" t="str">
        <f ca="1">IF('CDO Bespoke'!O123&lt;&gt;"",'CDO Bespoke'!O123,"")</f>
        <v/>
      </c>
      <c r="AP122" s="494" t="str">
        <f ca="1">IF('CDO Bespoke'!C147&lt;&gt;"",'CDO Bespoke'!C147,"")</f>
        <v/>
      </c>
      <c r="AQ122" s="496"/>
      <c r="AR122" s="585"/>
      <c r="AS122" s="585"/>
      <c r="AT122" s="585"/>
      <c r="AU122" s="497"/>
      <c r="AV122" s="627"/>
      <c r="AW122" s="496"/>
      <c r="AX122" s="585"/>
      <c r="AY122" s="585"/>
      <c r="AZ122" s="585"/>
      <c r="BA122" s="497"/>
      <c r="BB122" s="627"/>
      <c r="BC122" s="580"/>
      <c r="BD122" s="580"/>
      <c r="BE122" s="580"/>
      <c r="BF122" s="580"/>
      <c r="BG122" s="579"/>
    </row>
    <row r="123" spans="2:59">
      <c r="B123" s="534" t="s">
        <v>526</v>
      </c>
      <c r="C123" s="535" t="s">
        <v>66</v>
      </c>
      <c r="D123" s="535" t="s">
        <v>59</v>
      </c>
      <c r="E123" s="535" t="s">
        <v>648</v>
      </c>
      <c r="F123" s="535" t="s">
        <v>674</v>
      </c>
      <c r="G123" s="536">
        <v>0.01</v>
      </c>
      <c r="H123" s="536">
        <v>1.6924999999999999E-2</v>
      </c>
      <c r="I123" s="537">
        <v>0.4</v>
      </c>
      <c r="J123" s="595">
        <v>3</v>
      </c>
      <c r="K123" s="538">
        <v>33</v>
      </c>
      <c r="L123" s="272"/>
      <c r="M123" s="272"/>
      <c r="P123" s="273"/>
      <c r="Q123" s="273"/>
      <c r="R123" s="273"/>
      <c r="S123" s="273"/>
      <c r="T123" s="576">
        <f ca="1"/>
        <v>0.15</v>
      </c>
      <c r="U123" s="573">
        <f ca="1"/>
        <v>115</v>
      </c>
      <c r="V123" s="576">
        <f t="shared" ca="1" si="14"/>
        <v>0</v>
      </c>
      <c r="W123" s="576">
        <f t="shared" ca="1" si="15"/>
        <v>0</v>
      </c>
      <c r="X123" s="484" t="str">
        <f ca="1">IF('CDO Bespoke'!O124&lt;&gt;"",'CDO Bespoke'!O124,"")</f>
        <v/>
      </c>
      <c r="Y123" s="485" t="str">
        <f ca="1">IF(X123&lt;&gt;"",ABS(MIN(-0.75*('CDO Bespoke'!Q124)+'CDO Bespoke'!T124,0)),"")</f>
        <v/>
      </c>
      <c r="Z123" s="485">
        <f t="shared" ca="1" si="10"/>
        <v>0</v>
      </c>
      <c r="AA123" s="485">
        <f t="shared" ca="1" si="11"/>
        <v>0</v>
      </c>
      <c r="AB123" s="484" t="str">
        <f ca="1">IF('CDO Bespoke'!O124&lt;&gt;"",'CDO Bespoke'!O124,"")</f>
        <v/>
      </c>
      <c r="AC123" s="485" t="str">
        <f ca="1">IF(AB123&lt;&gt;"",ABS(MIN(-0.75*('CDO Bespoke'!K124)+'CDO Bespoke'!T124,0)),"")</f>
        <v/>
      </c>
      <c r="AD123" s="485">
        <f t="shared" ca="1" si="12"/>
        <v>0</v>
      </c>
      <c r="AE123" s="489">
        <f t="shared" ca="1" si="13"/>
        <v>0</v>
      </c>
      <c r="AF123" s="493" t="str">
        <f ca="1">IF('CDO Bespoke'!O124&lt;&gt;"",'CDO Bespoke'!O124,"")</f>
        <v/>
      </c>
      <c r="AP123" s="494" t="str">
        <f ca="1">IF('CDO Bespoke'!C148&lt;&gt;"",'CDO Bespoke'!C148,"")</f>
        <v/>
      </c>
      <c r="AQ123" s="496"/>
      <c r="AR123" s="585"/>
      <c r="AS123" s="585"/>
      <c r="AT123" s="585"/>
      <c r="AU123" s="497"/>
      <c r="AV123" s="627"/>
      <c r="AW123" s="496"/>
      <c r="AX123" s="585"/>
      <c r="AY123" s="585"/>
      <c r="AZ123" s="585"/>
      <c r="BA123" s="497"/>
      <c r="BB123" s="627"/>
      <c r="BC123" s="580"/>
      <c r="BD123" s="580"/>
      <c r="BE123" s="580"/>
      <c r="BF123" s="580"/>
      <c r="BG123" s="579"/>
    </row>
    <row r="124" spans="2:59">
      <c r="B124" s="539" t="s">
        <v>527</v>
      </c>
      <c r="C124" s="540" t="s">
        <v>66</v>
      </c>
      <c r="D124" s="540" t="s">
        <v>55</v>
      </c>
      <c r="E124" s="540" t="s">
        <v>646</v>
      </c>
      <c r="F124" s="540" t="s">
        <v>647</v>
      </c>
      <c r="G124" s="541">
        <v>0.01</v>
      </c>
      <c r="H124" s="541">
        <v>1.9369999999999999E-3</v>
      </c>
      <c r="I124" s="542">
        <v>0.4</v>
      </c>
      <c r="J124" s="602">
        <v>4</v>
      </c>
      <c r="K124" s="543">
        <v>34</v>
      </c>
      <c r="L124" s="272"/>
      <c r="M124" s="272"/>
      <c r="P124" s="273"/>
      <c r="Q124" s="273"/>
      <c r="R124" s="273"/>
      <c r="S124" s="273"/>
      <c r="T124" s="576">
        <f ca="1"/>
        <v>0.15</v>
      </c>
      <c r="U124" s="573">
        <f ca="1"/>
        <v>116</v>
      </c>
      <c r="V124" s="576">
        <f t="shared" ca="1" si="14"/>
        <v>0</v>
      </c>
      <c r="W124" s="576">
        <f t="shared" ca="1" si="15"/>
        <v>0</v>
      </c>
      <c r="X124" s="484" t="str">
        <f ca="1">IF('CDO Bespoke'!O125&lt;&gt;"",'CDO Bespoke'!O125,"")</f>
        <v/>
      </c>
      <c r="Y124" s="485" t="str">
        <f ca="1">IF(X124&lt;&gt;"",ABS(MIN(-0.75*('CDO Bespoke'!Q125)+'CDO Bespoke'!T125,0)),"")</f>
        <v/>
      </c>
      <c r="Z124" s="485">
        <f t="shared" ca="1" si="10"/>
        <v>0</v>
      </c>
      <c r="AA124" s="485">
        <f t="shared" ca="1" si="11"/>
        <v>0</v>
      </c>
      <c r="AB124" s="484" t="str">
        <f ca="1">IF('CDO Bespoke'!O125&lt;&gt;"",'CDO Bespoke'!O125,"")</f>
        <v/>
      </c>
      <c r="AC124" s="485" t="str">
        <f ca="1">IF(AB124&lt;&gt;"",ABS(MIN(-0.75*('CDO Bespoke'!K125)+'CDO Bespoke'!T125,0)),"")</f>
        <v/>
      </c>
      <c r="AD124" s="485">
        <f t="shared" ca="1" si="12"/>
        <v>0</v>
      </c>
      <c r="AE124" s="489">
        <f t="shared" ca="1" si="13"/>
        <v>0</v>
      </c>
      <c r="AF124" s="493" t="str">
        <f ca="1">IF('CDO Bespoke'!O125&lt;&gt;"",'CDO Bespoke'!O125,"")</f>
        <v/>
      </c>
      <c r="AP124" s="494" t="str">
        <f ca="1">IF('CDO Bespoke'!C149&lt;&gt;"",'CDO Bespoke'!C149,"")</f>
        <v/>
      </c>
      <c r="AQ124" s="496"/>
      <c r="AR124" s="585"/>
      <c r="AS124" s="585"/>
      <c r="AT124" s="585"/>
      <c r="AU124" s="497"/>
      <c r="AV124" s="627"/>
      <c r="AW124" s="496"/>
      <c r="AX124" s="585"/>
      <c r="AY124" s="585"/>
      <c r="AZ124" s="585"/>
      <c r="BA124" s="497"/>
      <c r="BB124" s="627"/>
      <c r="BC124" s="580"/>
      <c r="BD124" s="580"/>
      <c r="BE124" s="580"/>
      <c r="BF124" s="580"/>
      <c r="BG124" s="579"/>
    </row>
    <row r="125" spans="2:59">
      <c r="B125" s="517" t="s">
        <v>527</v>
      </c>
      <c r="C125" s="518" t="s">
        <v>66</v>
      </c>
      <c r="D125" s="518" t="s">
        <v>57</v>
      </c>
      <c r="E125" s="518" t="s">
        <v>646</v>
      </c>
      <c r="F125" s="518" t="s">
        <v>647</v>
      </c>
      <c r="G125" s="525">
        <v>0.01</v>
      </c>
      <c r="H125" s="525">
        <v>3.101E-3</v>
      </c>
      <c r="I125" s="527">
        <v>0.4</v>
      </c>
      <c r="J125" s="594">
        <v>4</v>
      </c>
      <c r="K125" s="519">
        <v>34</v>
      </c>
      <c r="L125" s="272"/>
      <c r="M125" s="272"/>
      <c r="P125" s="273"/>
      <c r="Q125" s="273"/>
      <c r="R125" s="273"/>
      <c r="S125" s="273"/>
      <c r="T125" s="576">
        <f ca="1"/>
        <v>0.15</v>
      </c>
      <c r="U125" s="573">
        <f ca="1"/>
        <v>117</v>
      </c>
      <c r="V125" s="576">
        <f t="shared" ca="1" si="14"/>
        <v>0</v>
      </c>
      <c r="W125" s="576">
        <f t="shared" ca="1" si="15"/>
        <v>0</v>
      </c>
      <c r="X125" s="484" t="str">
        <f ca="1">IF('CDO Bespoke'!O126&lt;&gt;"",'CDO Bespoke'!O126,"")</f>
        <v/>
      </c>
      <c r="Y125" s="485" t="str">
        <f ca="1">IF(X125&lt;&gt;"",ABS(MIN(-0.75*('CDO Bespoke'!Q126)+'CDO Bespoke'!T126,0)),"")</f>
        <v/>
      </c>
      <c r="Z125" s="485">
        <f t="shared" ca="1" si="10"/>
        <v>0</v>
      </c>
      <c r="AA125" s="485">
        <f t="shared" ca="1" si="11"/>
        <v>0</v>
      </c>
      <c r="AB125" s="484" t="str">
        <f ca="1">IF('CDO Bespoke'!O126&lt;&gt;"",'CDO Bespoke'!O126,"")</f>
        <v/>
      </c>
      <c r="AC125" s="485" t="str">
        <f ca="1">IF(AB125&lt;&gt;"",ABS(MIN(-0.75*('CDO Bespoke'!K126)+'CDO Bespoke'!T126,0)),"")</f>
        <v/>
      </c>
      <c r="AD125" s="485">
        <f t="shared" ca="1" si="12"/>
        <v>0</v>
      </c>
      <c r="AE125" s="489">
        <f t="shared" ca="1" si="13"/>
        <v>0</v>
      </c>
      <c r="AF125" s="493" t="str">
        <f ca="1">IF('CDO Bespoke'!O126&lt;&gt;"",'CDO Bespoke'!O126,"")</f>
        <v/>
      </c>
      <c r="AP125" s="494" t="str">
        <f ca="1">IF('CDO Bespoke'!C150&lt;&gt;"",'CDO Bespoke'!C150,"")</f>
        <v/>
      </c>
      <c r="AQ125" s="496"/>
      <c r="AR125" s="585"/>
      <c r="AS125" s="585"/>
      <c r="AT125" s="585"/>
      <c r="AU125" s="497"/>
      <c r="AV125" s="627"/>
      <c r="AW125" s="496"/>
      <c r="AX125" s="585"/>
      <c r="AY125" s="585"/>
      <c r="AZ125" s="585"/>
      <c r="BA125" s="497"/>
      <c r="BB125" s="627"/>
      <c r="BC125" s="580"/>
      <c r="BD125" s="580"/>
      <c r="BE125" s="580"/>
      <c r="BF125" s="580"/>
      <c r="BG125" s="579"/>
    </row>
    <row r="126" spans="2:59">
      <c r="B126" s="534" t="s">
        <v>527</v>
      </c>
      <c r="C126" s="535" t="s">
        <v>66</v>
      </c>
      <c r="D126" s="535" t="s">
        <v>59</v>
      </c>
      <c r="E126" s="535" t="s">
        <v>646</v>
      </c>
      <c r="F126" s="535" t="s">
        <v>647</v>
      </c>
      <c r="G126" s="536">
        <v>0.01</v>
      </c>
      <c r="H126" s="536">
        <v>4.6010000000000001E-3</v>
      </c>
      <c r="I126" s="537">
        <v>0.4</v>
      </c>
      <c r="J126" s="595">
        <v>4</v>
      </c>
      <c r="K126" s="538">
        <v>34</v>
      </c>
      <c r="L126" s="272"/>
      <c r="M126" s="272"/>
      <c r="P126" s="273"/>
      <c r="Q126" s="273"/>
      <c r="R126" s="273"/>
      <c r="S126" s="273"/>
      <c r="T126" s="576">
        <f ca="1"/>
        <v>0.15</v>
      </c>
      <c r="U126" s="573">
        <f ca="1"/>
        <v>118</v>
      </c>
      <c r="V126" s="576">
        <f t="shared" ca="1" si="14"/>
        <v>0</v>
      </c>
      <c r="W126" s="576">
        <f t="shared" ca="1" si="15"/>
        <v>0</v>
      </c>
      <c r="X126" s="484" t="str">
        <f ca="1">IF('CDO Bespoke'!O127&lt;&gt;"",'CDO Bespoke'!O127,"")</f>
        <v/>
      </c>
      <c r="Y126" s="485" t="str">
        <f ca="1">IF(X126&lt;&gt;"",ABS(MIN(-0.75*('CDO Bespoke'!Q127)+'CDO Bespoke'!T127,0)),"")</f>
        <v/>
      </c>
      <c r="Z126" s="485">
        <f t="shared" ca="1" si="10"/>
        <v>0</v>
      </c>
      <c r="AA126" s="485">
        <f t="shared" ca="1" si="11"/>
        <v>0</v>
      </c>
      <c r="AB126" s="484" t="str">
        <f ca="1">IF('CDO Bespoke'!O127&lt;&gt;"",'CDO Bespoke'!O127,"")</f>
        <v/>
      </c>
      <c r="AC126" s="485" t="str">
        <f ca="1">IF(AB126&lt;&gt;"",ABS(MIN(-0.75*('CDO Bespoke'!K127)+'CDO Bespoke'!T127,0)),"")</f>
        <v/>
      </c>
      <c r="AD126" s="485">
        <f t="shared" ca="1" si="12"/>
        <v>0</v>
      </c>
      <c r="AE126" s="489">
        <f t="shared" ca="1" si="13"/>
        <v>0</v>
      </c>
      <c r="AF126" s="493" t="str">
        <f ca="1">IF('CDO Bespoke'!O127&lt;&gt;"",'CDO Bespoke'!O127,"")</f>
        <v/>
      </c>
      <c r="AP126" s="494" t="str">
        <f ca="1">IF('CDO Bespoke'!C151&lt;&gt;"",'CDO Bespoke'!C151,"")</f>
        <v/>
      </c>
      <c r="AQ126" s="496"/>
      <c r="AR126" s="585"/>
      <c r="AS126" s="585"/>
      <c r="AT126" s="585"/>
      <c r="AU126" s="497"/>
      <c r="AV126" s="627"/>
      <c r="AW126" s="496"/>
      <c r="AX126" s="585"/>
      <c r="AY126" s="585"/>
      <c r="AZ126" s="585"/>
      <c r="BA126" s="497"/>
      <c r="BB126" s="627"/>
      <c r="BC126" s="580"/>
      <c r="BD126" s="580"/>
      <c r="BE126" s="580"/>
      <c r="BF126" s="580"/>
      <c r="BG126" s="579"/>
    </row>
    <row r="127" spans="2:59">
      <c r="B127" s="539" t="s">
        <v>541</v>
      </c>
      <c r="C127" s="540" t="s">
        <v>66</v>
      </c>
      <c r="D127" s="540" t="s">
        <v>55</v>
      </c>
      <c r="E127" s="540" t="s">
        <v>646</v>
      </c>
      <c r="F127" s="540" t="s">
        <v>671</v>
      </c>
      <c r="G127" s="541">
        <v>0.01</v>
      </c>
      <c r="H127" s="541">
        <v>4.7990000000000003E-3</v>
      </c>
      <c r="I127" s="542">
        <v>0.4</v>
      </c>
      <c r="J127" s="602">
        <v>5</v>
      </c>
      <c r="K127" s="543">
        <v>35</v>
      </c>
      <c r="L127" s="272"/>
      <c r="M127" s="272"/>
      <c r="P127" s="273"/>
      <c r="Q127" s="273"/>
      <c r="R127" s="273"/>
      <c r="S127" s="273"/>
      <c r="T127" s="576">
        <f ca="1"/>
        <v>0.15</v>
      </c>
      <c r="U127" s="573">
        <f ca="1"/>
        <v>119</v>
      </c>
      <c r="V127" s="576">
        <f t="shared" ca="1" si="14"/>
        <v>0</v>
      </c>
      <c r="W127" s="576">
        <f t="shared" ca="1" si="15"/>
        <v>0</v>
      </c>
      <c r="X127" s="484" t="str">
        <f ca="1">IF('CDO Bespoke'!O128&lt;&gt;"",'CDO Bespoke'!O128,"")</f>
        <v/>
      </c>
      <c r="Y127" s="485" t="str">
        <f ca="1">IF(X127&lt;&gt;"",ABS(MIN(-0.75*('CDO Bespoke'!Q128)+'CDO Bespoke'!T128,0)),"")</f>
        <v/>
      </c>
      <c r="Z127" s="485">
        <f t="shared" ca="1" si="10"/>
        <v>0</v>
      </c>
      <c r="AA127" s="485">
        <f t="shared" ca="1" si="11"/>
        <v>0</v>
      </c>
      <c r="AB127" s="484" t="str">
        <f ca="1">IF('CDO Bespoke'!O128&lt;&gt;"",'CDO Bespoke'!O128,"")</f>
        <v/>
      </c>
      <c r="AC127" s="485" t="str">
        <f ca="1">IF(AB127&lt;&gt;"",ABS(MIN(-0.75*('CDO Bespoke'!K128)+'CDO Bespoke'!T128,0)),"")</f>
        <v/>
      </c>
      <c r="AD127" s="485">
        <f t="shared" ca="1" si="12"/>
        <v>0</v>
      </c>
      <c r="AE127" s="489">
        <f t="shared" ca="1" si="13"/>
        <v>0</v>
      </c>
      <c r="AF127" s="493" t="str">
        <f ca="1">IF('CDO Bespoke'!O128&lt;&gt;"",'CDO Bespoke'!O128,"")</f>
        <v/>
      </c>
      <c r="AP127" s="494" t="str">
        <f ca="1">IF('CDO Bespoke'!C152&lt;&gt;"",'CDO Bespoke'!C152,"")</f>
        <v/>
      </c>
      <c r="AQ127" s="496"/>
      <c r="AR127" s="585"/>
      <c r="AS127" s="585"/>
      <c r="AT127" s="585"/>
      <c r="AU127" s="497"/>
      <c r="AV127" s="627"/>
      <c r="AW127" s="496"/>
      <c r="AX127" s="585"/>
      <c r="AY127" s="585"/>
      <c r="AZ127" s="585"/>
      <c r="BA127" s="497"/>
      <c r="BB127" s="627"/>
      <c r="BC127" s="580"/>
      <c r="BD127" s="580"/>
      <c r="BE127" s="580"/>
      <c r="BF127" s="580"/>
      <c r="BG127" s="579"/>
    </row>
    <row r="128" spans="2:59">
      <c r="B128" s="517" t="s">
        <v>541</v>
      </c>
      <c r="C128" s="518" t="s">
        <v>66</v>
      </c>
      <c r="D128" s="518" t="s">
        <v>57</v>
      </c>
      <c r="E128" s="518" t="s">
        <v>646</v>
      </c>
      <c r="F128" s="518" t="s">
        <v>671</v>
      </c>
      <c r="G128" s="525">
        <v>0.01</v>
      </c>
      <c r="H128" s="525">
        <v>8.7480000000000006E-3</v>
      </c>
      <c r="I128" s="527">
        <v>0.4</v>
      </c>
      <c r="J128" s="594">
        <v>5</v>
      </c>
      <c r="K128" s="519">
        <v>35</v>
      </c>
      <c r="L128" s="272"/>
      <c r="M128" s="272"/>
      <c r="P128" s="273"/>
      <c r="Q128" s="273"/>
      <c r="R128" s="273"/>
      <c r="S128" s="273"/>
      <c r="T128" s="576">
        <f ca="1"/>
        <v>0.15</v>
      </c>
      <c r="U128" s="573">
        <f ca="1"/>
        <v>120</v>
      </c>
      <c r="V128" s="576">
        <f t="shared" ca="1" si="14"/>
        <v>0</v>
      </c>
      <c r="W128" s="576">
        <f t="shared" ca="1" si="15"/>
        <v>0</v>
      </c>
      <c r="X128" s="484" t="str">
        <f ca="1">IF('CDO Bespoke'!O129&lt;&gt;"",'CDO Bespoke'!O129,"")</f>
        <v/>
      </c>
      <c r="Y128" s="485" t="str">
        <f ca="1">IF(X128&lt;&gt;"",ABS(MIN(-0.75*('CDO Bespoke'!Q129)+'CDO Bespoke'!T129,0)),"")</f>
        <v/>
      </c>
      <c r="Z128" s="485">
        <f t="shared" ca="1" si="10"/>
        <v>0</v>
      </c>
      <c r="AA128" s="485">
        <f t="shared" ca="1" si="11"/>
        <v>0</v>
      </c>
      <c r="AB128" s="484" t="str">
        <f ca="1">IF('CDO Bespoke'!O129&lt;&gt;"",'CDO Bespoke'!O129,"")</f>
        <v/>
      </c>
      <c r="AC128" s="485" t="str">
        <f ca="1">IF(AB128&lt;&gt;"",ABS(MIN(-0.75*('CDO Bespoke'!K129)+'CDO Bespoke'!T129,0)),"")</f>
        <v/>
      </c>
      <c r="AD128" s="485">
        <f t="shared" ca="1" si="12"/>
        <v>0</v>
      </c>
      <c r="AE128" s="489">
        <f t="shared" ca="1" si="13"/>
        <v>0</v>
      </c>
      <c r="AF128" s="493" t="str">
        <f ca="1">IF('CDO Bespoke'!O129&lt;&gt;"",'CDO Bespoke'!O129,"")</f>
        <v/>
      </c>
      <c r="AP128" s="494" t="str">
        <f ca="1">IF('CDO Bespoke'!C153&lt;&gt;"",'CDO Bespoke'!C153,"")</f>
        <v/>
      </c>
      <c r="AQ128" s="496"/>
      <c r="AR128" s="585"/>
      <c r="AS128" s="585"/>
      <c r="AT128" s="585"/>
      <c r="AU128" s="497"/>
      <c r="AV128" s="627"/>
      <c r="AW128" s="496"/>
      <c r="AX128" s="585"/>
      <c r="AY128" s="585"/>
      <c r="AZ128" s="585"/>
      <c r="BA128" s="497"/>
      <c r="BB128" s="627"/>
      <c r="BC128" s="580"/>
      <c r="BD128" s="580"/>
      <c r="BE128" s="580"/>
      <c r="BF128" s="580"/>
      <c r="BG128" s="579"/>
    </row>
    <row r="129" spans="2:59">
      <c r="B129" s="534" t="s">
        <v>541</v>
      </c>
      <c r="C129" s="535" t="s">
        <v>66</v>
      </c>
      <c r="D129" s="535" t="s">
        <v>59</v>
      </c>
      <c r="E129" s="535" t="s">
        <v>646</v>
      </c>
      <c r="F129" s="535" t="s">
        <v>671</v>
      </c>
      <c r="G129" s="536">
        <v>0.01</v>
      </c>
      <c r="H129" s="536">
        <v>1.2120000000000001E-2</v>
      </c>
      <c r="I129" s="537">
        <v>0.4</v>
      </c>
      <c r="J129" s="595">
        <v>5</v>
      </c>
      <c r="K129" s="538">
        <v>35</v>
      </c>
      <c r="L129" s="272"/>
      <c r="M129" s="272"/>
      <c r="P129" s="273"/>
      <c r="Q129" s="273"/>
      <c r="R129" s="273"/>
      <c r="S129" s="273"/>
      <c r="T129" s="576">
        <f ca="1"/>
        <v>0.15</v>
      </c>
      <c r="U129" s="573">
        <f ca="1"/>
        <v>121</v>
      </c>
      <c r="V129" s="576">
        <f t="shared" ca="1" si="14"/>
        <v>0</v>
      </c>
      <c r="W129" s="576">
        <f t="shared" ca="1" si="15"/>
        <v>0</v>
      </c>
      <c r="X129" s="484" t="str">
        <f ca="1">IF('CDO Bespoke'!O130&lt;&gt;"",'CDO Bespoke'!O130,"")</f>
        <v/>
      </c>
      <c r="Y129" s="485" t="str">
        <f ca="1">IF(X129&lt;&gt;"",ABS(MIN(-0.75*('CDO Bespoke'!Q130)+'CDO Bespoke'!T130,0)),"")</f>
        <v/>
      </c>
      <c r="Z129" s="485">
        <f t="shared" ca="1" si="10"/>
        <v>0</v>
      </c>
      <c r="AA129" s="485">
        <f t="shared" ca="1" si="11"/>
        <v>0</v>
      </c>
      <c r="AB129" s="484" t="str">
        <f ca="1">IF('CDO Bespoke'!O130&lt;&gt;"",'CDO Bespoke'!O130,"")</f>
        <v/>
      </c>
      <c r="AC129" s="485" t="str">
        <f ca="1">IF(AB129&lt;&gt;"",ABS(MIN(-0.75*('CDO Bespoke'!K130)+'CDO Bespoke'!T130,0)),"")</f>
        <v/>
      </c>
      <c r="AD129" s="485">
        <f t="shared" ca="1" si="12"/>
        <v>0</v>
      </c>
      <c r="AE129" s="489">
        <f t="shared" ca="1" si="13"/>
        <v>0</v>
      </c>
      <c r="AF129" s="493" t="str">
        <f ca="1">IF('CDO Bespoke'!O130&lt;&gt;"",'CDO Bespoke'!O130,"")</f>
        <v/>
      </c>
      <c r="AP129" s="494" t="str">
        <f ca="1">IF('CDO Bespoke'!C154&lt;&gt;"",'CDO Bespoke'!C154,"")</f>
        <v/>
      </c>
      <c r="AQ129" s="496"/>
      <c r="AR129" s="585"/>
      <c r="AS129" s="585"/>
      <c r="AT129" s="585"/>
      <c r="AU129" s="497"/>
      <c r="AV129" s="627"/>
      <c r="AW129" s="496"/>
      <c r="AX129" s="585"/>
      <c r="AY129" s="585"/>
      <c r="AZ129" s="585"/>
      <c r="BA129" s="497"/>
      <c r="BB129" s="627"/>
      <c r="BC129" s="580"/>
      <c r="BD129" s="580"/>
      <c r="BE129" s="580"/>
      <c r="BF129" s="580"/>
      <c r="BG129" s="579"/>
    </row>
    <row r="130" spans="2:59">
      <c r="B130" s="539" t="s">
        <v>528</v>
      </c>
      <c r="C130" s="540" t="s">
        <v>66</v>
      </c>
      <c r="D130" s="540" t="s">
        <v>55</v>
      </c>
      <c r="E130" s="540" t="s">
        <v>648</v>
      </c>
      <c r="F130" s="540" t="s">
        <v>674</v>
      </c>
      <c r="G130" s="541">
        <v>0.01</v>
      </c>
      <c r="H130" s="541">
        <v>4.2960000000000003E-3</v>
      </c>
      <c r="I130" s="542">
        <v>0.4</v>
      </c>
      <c r="J130" s="602">
        <v>3</v>
      </c>
      <c r="K130" s="543">
        <v>36</v>
      </c>
      <c r="L130" s="272"/>
      <c r="M130" s="272"/>
      <c r="P130" s="273"/>
      <c r="Q130" s="273"/>
      <c r="R130" s="273"/>
      <c r="S130" s="273"/>
      <c r="T130" s="576">
        <f ca="1"/>
        <v>0.15</v>
      </c>
      <c r="U130" s="573">
        <f ca="1"/>
        <v>122</v>
      </c>
      <c r="V130" s="576">
        <f t="shared" ca="1" si="14"/>
        <v>0</v>
      </c>
      <c r="W130" s="576">
        <f t="shared" ca="1" si="15"/>
        <v>0</v>
      </c>
      <c r="X130" s="484" t="str">
        <f ca="1">IF('CDO Bespoke'!O131&lt;&gt;"",'CDO Bespoke'!O131,"")</f>
        <v/>
      </c>
      <c r="Y130" s="485" t="str">
        <f ca="1">IF(X130&lt;&gt;"",ABS(MIN(-0.75*('CDO Bespoke'!Q131)+'CDO Bespoke'!T131,0)),"")</f>
        <v/>
      </c>
      <c r="Z130" s="485">
        <f t="shared" ca="1" si="10"/>
        <v>0</v>
      </c>
      <c r="AA130" s="485">
        <f t="shared" ca="1" si="11"/>
        <v>0</v>
      </c>
      <c r="AB130" s="484" t="str">
        <f ca="1">IF('CDO Bespoke'!O131&lt;&gt;"",'CDO Bespoke'!O131,"")</f>
        <v/>
      </c>
      <c r="AC130" s="485" t="str">
        <f ca="1">IF(AB130&lt;&gt;"",ABS(MIN(-0.75*('CDO Bespoke'!K131)+'CDO Bespoke'!T131,0)),"")</f>
        <v/>
      </c>
      <c r="AD130" s="485">
        <f t="shared" ca="1" si="12"/>
        <v>0</v>
      </c>
      <c r="AE130" s="489">
        <f t="shared" ca="1" si="13"/>
        <v>0</v>
      </c>
      <c r="AF130" s="493" t="str">
        <f ca="1">IF('CDO Bespoke'!O131&lt;&gt;"",'CDO Bespoke'!O131,"")</f>
        <v/>
      </c>
      <c r="AP130" s="494" t="str">
        <f ca="1">IF('CDO Bespoke'!C155&lt;&gt;"",'CDO Bespoke'!C155,"")</f>
        <v/>
      </c>
      <c r="AQ130" s="496"/>
      <c r="AR130" s="585"/>
      <c r="AS130" s="585"/>
      <c r="AT130" s="585"/>
      <c r="AU130" s="497"/>
      <c r="AV130" s="627"/>
      <c r="AW130" s="496"/>
      <c r="AX130" s="585"/>
      <c r="AY130" s="585"/>
      <c r="AZ130" s="585"/>
      <c r="BA130" s="497"/>
      <c r="BB130" s="627"/>
      <c r="BC130" s="580"/>
      <c r="BD130" s="580"/>
      <c r="BE130" s="580"/>
      <c r="BF130" s="580"/>
      <c r="BG130" s="579"/>
    </row>
    <row r="131" spans="2:59">
      <c r="B131" s="517" t="s">
        <v>528</v>
      </c>
      <c r="C131" s="518" t="s">
        <v>66</v>
      </c>
      <c r="D131" s="518" t="s">
        <v>57</v>
      </c>
      <c r="E131" s="518" t="s">
        <v>648</v>
      </c>
      <c r="F131" s="518" t="s">
        <v>674</v>
      </c>
      <c r="G131" s="525">
        <v>0.01</v>
      </c>
      <c r="H131" s="525">
        <v>6.79E-3</v>
      </c>
      <c r="I131" s="527">
        <v>0.4</v>
      </c>
      <c r="J131" s="594">
        <v>3</v>
      </c>
      <c r="K131" s="519">
        <v>36</v>
      </c>
      <c r="L131" s="272"/>
      <c r="M131" s="272"/>
      <c r="P131" s="273"/>
      <c r="Q131" s="273"/>
      <c r="R131" s="273"/>
      <c r="S131" s="273"/>
      <c r="T131" s="576">
        <f ca="1"/>
        <v>0.15</v>
      </c>
      <c r="U131" s="573">
        <f ca="1"/>
        <v>123</v>
      </c>
      <c r="V131" s="576">
        <f t="shared" ca="1" si="14"/>
        <v>0</v>
      </c>
      <c r="W131" s="576">
        <f t="shared" ca="1" si="15"/>
        <v>0</v>
      </c>
      <c r="X131" s="484" t="str">
        <f ca="1">IF('CDO Bespoke'!O132&lt;&gt;"",'CDO Bespoke'!O132,"")</f>
        <v/>
      </c>
      <c r="Y131" s="485" t="str">
        <f ca="1">IF(X131&lt;&gt;"",ABS(MIN(-0.75*('CDO Bespoke'!Q132)+'CDO Bespoke'!T132,0)),"")</f>
        <v/>
      </c>
      <c r="Z131" s="485">
        <f t="shared" ca="1" si="10"/>
        <v>0</v>
      </c>
      <c r="AA131" s="485">
        <f t="shared" ca="1" si="11"/>
        <v>0</v>
      </c>
      <c r="AB131" s="484" t="str">
        <f ca="1">IF('CDO Bespoke'!O132&lt;&gt;"",'CDO Bespoke'!O132,"")</f>
        <v/>
      </c>
      <c r="AC131" s="485" t="str">
        <f ca="1">IF(AB131&lt;&gt;"",ABS(MIN(-0.75*('CDO Bespoke'!K132)+'CDO Bespoke'!T132,0)),"")</f>
        <v/>
      </c>
      <c r="AD131" s="485">
        <f t="shared" ca="1" si="12"/>
        <v>0</v>
      </c>
      <c r="AE131" s="489">
        <f t="shared" ca="1" si="13"/>
        <v>0</v>
      </c>
      <c r="AF131" s="493" t="str">
        <f ca="1">IF('CDO Bespoke'!O132&lt;&gt;"",'CDO Bespoke'!O132,"")</f>
        <v/>
      </c>
      <c r="AP131" s="494" t="str">
        <f ca="1">IF('CDO Bespoke'!C156&lt;&gt;"",'CDO Bespoke'!C156,"")</f>
        <v/>
      </c>
      <c r="AQ131" s="496"/>
      <c r="AR131" s="585"/>
      <c r="AS131" s="585"/>
      <c r="AT131" s="585"/>
      <c r="AU131" s="497"/>
      <c r="AV131" s="627"/>
      <c r="AW131" s="496"/>
      <c r="AX131" s="585"/>
      <c r="AY131" s="585"/>
      <c r="AZ131" s="585"/>
      <c r="BA131" s="497"/>
      <c r="BB131" s="627"/>
      <c r="BC131" s="580"/>
      <c r="BD131" s="580"/>
      <c r="BE131" s="580"/>
      <c r="BF131" s="580"/>
      <c r="BG131" s="579"/>
    </row>
    <row r="132" spans="2:59">
      <c r="B132" s="534" t="s">
        <v>528</v>
      </c>
      <c r="C132" s="535" t="s">
        <v>66</v>
      </c>
      <c r="D132" s="535" t="s">
        <v>59</v>
      </c>
      <c r="E132" s="535" t="s">
        <v>648</v>
      </c>
      <c r="F132" s="535" t="s">
        <v>674</v>
      </c>
      <c r="G132" s="536">
        <v>0.01</v>
      </c>
      <c r="H132" s="536">
        <v>9.9900000000000006E-3</v>
      </c>
      <c r="I132" s="537">
        <v>0.4</v>
      </c>
      <c r="J132" s="595">
        <v>3</v>
      </c>
      <c r="K132" s="538">
        <v>36</v>
      </c>
      <c r="L132" s="272"/>
      <c r="M132" s="272"/>
      <c r="P132" s="273"/>
      <c r="Q132" s="273"/>
      <c r="R132" s="273"/>
      <c r="S132" s="273"/>
      <c r="T132" s="576">
        <f ca="1"/>
        <v>0.15</v>
      </c>
      <c r="U132" s="573">
        <f ca="1"/>
        <v>124</v>
      </c>
      <c r="V132" s="576">
        <f t="shared" ca="1" si="14"/>
        <v>0</v>
      </c>
      <c r="W132" s="576">
        <f t="shared" ca="1" si="15"/>
        <v>0</v>
      </c>
      <c r="X132" s="484" t="str">
        <f ca="1">IF('CDO Bespoke'!O133&lt;&gt;"",'CDO Bespoke'!O133,"")</f>
        <v/>
      </c>
      <c r="Y132" s="485" t="str">
        <f ca="1">IF(X132&lt;&gt;"",ABS(MIN(-0.75*('CDO Bespoke'!Q133)+'CDO Bespoke'!T133,0)),"")</f>
        <v/>
      </c>
      <c r="Z132" s="485">
        <f t="shared" ca="1" si="10"/>
        <v>0</v>
      </c>
      <c r="AA132" s="485">
        <f t="shared" ca="1" si="11"/>
        <v>0</v>
      </c>
      <c r="AB132" s="484" t="str">
        <f ca="1">IF('CDO Bespoke'!O133&lt;&gt;"",'CDO Bespoke'!O133,"")</f>
        <v/>
      </c>
      <c r="AC132" s="485" t="str">
        <f ca="1">IF(AB132&lt;&gt;"",ABS(MIN(-0.75*('CDO Bespoke'!K133)+'CDO Bespoke'!T133,0)),"")</f>
        <v/>
      </c>
      <c r="AD132" s="485">
        <f t="shared" ca="1" si="12"/>
        <v>0</v>
      </c>
      <c r="AE132" s="489">
        <f t="shared" ca="1" si="13"/>
        <v>0</v>
      </c>
      <c r="AF132" s="493" t="str">
        <f ca="1">IF('CDO Bespoke'!O133&lt;&gt;"",'CDO Bespoke'!O133,"")</f>
        <v/>
      </c>
      <c r="AP132" s="494" t="str">
        <f ca="1">IF('CDO Bespoke'!C157&lt;&gt;"",'CDO Bespoke'!C157,"")</f>
        <v/>
      </c>
      <c r="AQ132" s="496"/>
      <c r="AR132" s="585"/>
      <c r="AS132" s="585"/>
      <c r="AT132" s="585"/>
      <c r="AU132" s="497"/>
      <c r="AV132" s="627"/>
      <c r="AW132" s="496"/>
      <c r="AX132" s="585"/>
      <c r="AY132" s="585"/>
      <c r="AZ132" s="585"/>
      <c r="BA132" s="497"/>
      <c r="BB132" s="627"/>
      <c r="BC132" s="580"/>
      <c r="BD132" s="580"/>
      <c r="BE132" s="580"/>
      <c r="BF132" s="580"/>
      <c r="BG132" s="579"/>
    </row>
    <row r="133" spans="2:59" ht="12" thickBot="1">
      <c r="B133" s="539" t="s">
        <v>542</v>
      </c>
      <c r="C133" s="540" t="s">
        <v>66</v>
      </c>
      <c r="D133" s="540" t="s">
        <v>55</v>
      </c>
      <c r="E133" s="540" t="s">
        <v>648</v>
      </c>
      <c r="F133" s="540" t="s">
        <v>671</v>
      </c>
      <c r="G133" s="541">
        <v>0.01</v>
      </c>
      <c r="H133" s="541">
        <v>1.0371E-2</v>
      </c>
      <c r="I133" s="542">
        <v>0.4</v>
      </c>
      <c r="J133" s="602">
        <v>5</v>
      </c>
      <c r="K133" s="543">
        <v>37</v>
      </c>
      <c r="L133" s="272"/>
      <c r="M133" s="272"/>
      <c r="P133" s="273"/>
      <c r="Q133" s="273"/>
      <c r="R133" s="273"/>
      <c r="S133" s="273"/>
      <c r="T133" s="577">
        <f ca="1"/>
        <v>0.15</v>
      </c>
      <c r="U133" s="574">
        <f ca="1"/>
        <v>125</v>
      </c>
      <c r="V133" s="577">
        <f t="shared" ca="1" si="14"/>
        <v>0</v>
      </c>
      <c r="W133" s="576">
        <f t="shared" ca="1" si="15"/>
        <v>0</v>
      </c>
      <c r="X133" s="484" t="str">
        <f ca="1">IF('CDO Bespoke'!O134&lt;&gt;"",'CDO Bespoke'!O134,"")</f>
        <v/>
      </c>
      <c r="Y133" s="485" t="str">
        <f ca="1">IF(X133&lt;&gt;"",ABS(MIN(-0.75*('CDO Bespoke'!Q134)+'CDO Bespoke'!T134,0)),"")</f>
        <v/>
      </c>
      <c r="Z133" s="485">
        <f t="shared" ca="1" si="10"/>
        <v>0</v>
      </c>
      <c r="AA133" s="485">
        <f t="shared" ca="1" si="11"/>
        <v>0</v>
      </c>
      <c r="AB133" s="484" t="str">
        <f ca="1">IF('CDO Bespoke'!O134&lt;&gt;"",'CDO Bespoke'!O134,"")</f>
        <v/>
      </c>
      <c r="AC133" s="485" t="str">
        <f ca="1">IF(AB133&lt;&gt;"",ABS(MIN(-0.75*('CDO Bespoke'!K134)+'CDO Bespoke'!T134,0)),"")</f>
        <v/>
      </c>
      <c r="AD133" s="485">
        <f t="shared" ca="1" si="12"/>
        <v>0</v>
      </c>
      <c r="AE133" s="489">
        <f t="shared" ca="1" si="13"/>
        <v>0</v>
      </c>
      <c r="AF133" s="493" t="str">
        <f ca="1">IF('CDO Bespoke'!O134&lt;&gt;"",'CDO Bespoke'!O134,"")</f>
        <v/>
      </c>
      <c r="AP133" s="494" t="str">
        <f ca="1">IF('CDO Bespoke'!C158&lt;&gt;"",'CDO Bespoke'!C158,"")</f>
        <v/>
      </c>
      <c r="AQ133" s="496"/>
      <c r="AR133" s="585"/>
      <c r="AS133" s="585"/>
      <c r="AT133" s="585"/>
      <c r="AU133" s="497"/>
      <c r="AV133" s="627"/>
      <c r="AW133" s="496"/>
      <c r="AX133" s="585"/>
      <c r="AY133" s="585"/>
      <c r="AZ133" s="585"/>
      <c r="BA133" s="497"/>
      <c r="BB133" s="627"/>
      <c r="BC133" s="580"/>
      <c r="BD133" s="580"/>
      <c r="BE133" s="580"/>
      <c r="BF133" s="580"/>
      <c r="BG133" s="579"/>
    </row>
    <row r="134" spans="2:59">
      <c r="B134" s="517" t="s">
        <v>542</v>
      </c>
      <c r="C134" s="518" t="s">
        <v>66</v>
      </c>
      <c r="D134" s="518" t="s">
        <v>57</v>
      </c>
      <c r="E134" s="518" t="s">
        <v>648</v>
      </c>
      <c r="F134" s="518" t="s">
        <v>671</v>
      </c>
      <c r="G134" s="525">
        <v>0.01</v>
      </c>
      <c r="H134" s="525">
        <v>1.6621E-2</v>
      </c>
      <c r="I134" s="527">
        <v>0.4</v>
      </c>
      <c r="J134" s="594">
        <v>5</v>
      </c>
      <c r="K134" s="519">
        <v>37</v>
      </c>
      <c r="L134" s="272"/>
      <c r="M134" s="272"/>
      <c r="P134" s="273"/>
      <c r="Q134" s="273"/>
      <c r="R134" s="273"/>
      <c r="S134" s="273"/>
      <c r="T134" s="273"/>
      <c r="U134" s="273"/>
      <c r="V134" s="273"/>
      <c r="W134" s="273"/>
      <c r="X134" s="484" t="str">
        <f ca="1">IF('CDO Bespoke'!O135&lt;&gt;"",'CDO Bespoke'!O135,"")</f>
        <v/>
      </c>
      <c r="Y134" s="485" t="str">
        <f ca="1">IF(X134&lt;&gt;"",ABS(MIN(-0.75*('CDO Bespoke'!Q135)+'CDO Bespoke'!T135,0)),"")</f>
        <v/>
      </c>
      <c r="Z134" s="485">
        <f t="shared" ca="1" si="10"/>
        <v>0</v>
      </c>
      <c r="AA134" s="485">
        <f t="shared" ca="1" si="11"/>
        <v>0</v>
      </c>
      <c r="AB134" s="484" t="str">
        <f ca="1">IF('CDO Bespoke'!O135&lt;&gt;"",'CDO Bespoke'!O135,"")</f>
        <v/>
      </c>
      <c r="AC134" s="485" t="str">
        <f ca="1">IF(AB134&lt;&gt;"",ABS(MIN(-0.75*('CDO Bespoke'!K135)+'CDO Bespoke'!T135,0)),"")</f>
        <v/>
      </c>
      <c r="AD134" s="485">
        <f t="shared" ca="1" si="12"/>
        <v>0</v>
      </c>
      <c r="AE134" s="489">
        <f t="shared" ca="1" si="13"/>
        <v>0</v>
      </c>
      <c r="AF134" s="493" t="str">
        <f ca="1">IF('CDO Bespoke'!O135&lt;&gt;"",'CDO Bespoke'!O135,"")</f>
        <v/>
      </c>
      <c r="AP134" s="494" t="str">
        <f ca="1">IF('CDO Bespoke'!C159&lt;&gt;"",'CDO Bespoke'!C159,"")</f>
        <v/>
      </c>
      <c r="AQ134" s="496"/>
      <c r="AR134" s="585"/>
      <c r="AS134" s="585"/>
      <c r="AT134" s="585"/>
      <c r="AU134" s="497"/>
      <c r="AV134" s="627"/>
      <c r="AW134" s="496"/>
      <c r="AX134" s="585"/>
      <c r="AY134" s="585"/>
      <c r="AZ134" s="585"/>
      <c r="BA134" s="497"/>
      <c r="BB134" s="627"/>
      <c r="BC134" s="580"/>
      <c r="BD134" s="580"/>
      <c r="BE134" s="580"/>
      <c r="BF134" s="580"/>
      <c r="BG134" s="579"/>
    </row>
    <row r="135" spans="2:59">
      <c r="B135" s="534" t="s">
        <v>542</v>
      </c>
      <c r="C135" s="535" t="s">
        <v>66</v>
      </c>
      <c r="D135" s="535" t="s">
        <v>59</v>
      </c>
      <c r="E135" s="535" t="s">
        <v>648</v>
      </c>
      <c r="F135" s="535" t="s">
        <v>671</v>
      </c>
      <c r="G135" s="536">
        <v>0.01</v>
      </c>
      <c r="H135" s="536">
        <v>1.9375E-2</v>
      </c>
      <c r="I135" s="537">
        <v>0.4</v>
      </c>
      <c r="J135" s="595">
        <v>5</v>
      </c>
      <c r="K135" s="538">
        <v>37</v>
      </c>
      <c r="L135" s="272"/>
      <c r="M135" s="272"/>
      <c r="P135" s="273"/>
      <c r="Q135" s="273"/>
      <c r="R135" s="273"/>
      <c r="S135" s="273"/>
      <c r="T135" s="273"/>
      <c r="U135" s="273"/>
      <c r="V135" s="273"/>
      <c r="W135" s="273"/>
      <c r="X135" s="484" t="str">
        <f ca="1">IF('CDO Bespoke'!O136&lt;&gt;"",'CDO Bespoke'!O136,"")</f>
        <v/>
      </c>
      <c r="Y135" s="485" t="str">
        <f ca="1">IF(X135&lt;&gt;"",ABS(MIN(-0.75*('CDO Bespoke'!Q136)+'CDO Bespoke'!T136,0)),"")</f>
        <v/>
      </c>
      <c r="Z135" s="485">
        <f t="shared" ca="1" si="10"/>
        <v>0</v>
      </c>
      <c r="AA135" s="485">
        <f t="shared" ca="1" si="11"/>
        <v>0</v>
      </c>
      <c r="AB135" s="484" t="str">
        <f ca="1">IF('CDO Bespoke'!O136&lt;&gt;"",'CDO Bespoke'!O136,"")</f>
        <v/>
      </c>
      <c r="AC135" s="485" t="str">
        <f ca="1">IF(AB135&lt;&gt;"",ABS(MIN(-0.75*('CDO Bespoke'!K136)+'CDO Bespoke'!T136,0)),"")</f>
        <v/>
      </c>
      <c r="AD135" s="485">
        <f t="shared" ca="1" si="12"/>
        <v>0</v>
      </c>
      <c r="AE135" s="489">
        <f t="shared" ca="1" si="13"/>
        <v>0</v>
      </c>
      <c r="AF135" s="493" t="str">
        <f ca="1">IF('CDO Bespoke'!O136&lt;&gt;"",'CDO Bespoke'!O136,"")</f>
        <v/>
      </c>
      <c r="AP135" s="494" t="str">
        <f ca="1">IF('CDO Bespoke'!C160&lt;&gt;"",'CDO Bespoke'!C160,"")</f>
        <v/>
      </c>
      <c r="AQ135" s="496"/>
      <c r="AR135" s="585"/>
      <c r="AS135" s="585"/>
      <c r="AT135" s="585"/>
      <c r="AU135" s="497"/>
      <c r="AV135" s="627"/>
      <c r="AW135" s="496"/>
      <c r="AX135" s="585"/>
      <c r="AY135" s="585"/>
      <c r="AZ135" s="585"/>
      <c r="BA135" s="497"/>
      <c r="BB135" s="627"/>
      <c r="BC135" s="580"/>
      <c r="BD135" s="580"/>
      <c r="BE135" s="580"/>
      <c r="BF135" s="580"/>
      <c r="BG135" s="579"/>
    </row>
    <row r="136" spans="2:59">
      <c r="B136" s="539" t="s">
        <v>543</v>
      </c>
      <c r="C136" s="540" t="s">
        <v>66</v>
      </c>
      <c r="D136" s="540" t="s">
        <v>55</v>
      </c>
      <c r="E136" s="540" t="s">
        <v>646</v>
      </c>
      <c r="F136" s="540" t="s">
        <v>671</v>
      </c>
      <c r="G136" s="541">
        <v>0.01</v>
      </c>
      <c r="H136" s="541">
        <v>2.5300000000000001E-3</v>
      </c>
      <c r="I136" s="542">
        <v>0.4</v>
      </c>
      <c r="J136" s="602">
        <v>5</v>
      </c>
      <c r="K136" s="543">
        <v>38</v>
      </c>
      <c r="L136" s="272"/>
      <c r="M136" s="272"/>
      <c r="P136" s="273"/>
      <c r="Q136" s="273"/>
      <c r="R136" s="273"/>
      <c r="S136" s="273"/>
      <c r="T136" s="273"/>
      <c r="U136" s="273"/>
      <c r="V136" s="273"/>
      <c r="W136" s="273"/>
      <c r="X136" s="484" t="str">
        <f ca="1">IF('CDO Bespoke'!O137&lt;&gt;"",'CDO Bespoke'!O137,"")</f>
        <v/>
      </c>
      <c r="Y136" s="485" t="str">
        <f ca="1">IF(X136&lt;&gt;"",ABS(MIN(-0.75*('CDO Bespoke'!Q137)+'CDO Bespoke'!T137,0)),"")</f>
        <v/>
      </c>
      <c r="Z136" s="485">
        <f t="shared" ca="1" si="10"/>
        <v>0</v>
      </c>
      <c r="AA136" s="485">
        <f t="shared" ca="1" si="11"/>
        <v>0</v>
      </c>
      <c r="AB136" s="484" t="str">
        <f ca="1">IF('CDO Bespoke'!O137&lt;&gt;"",'CDO Bespoke'!O137,"")</f>
        <v/>
      </c>
      <c r="AC136" s="485" t="str">
        <f ca="1">IF(AB136&lt;&gt;"",ABS(MIN(-0.75*('CDO Bespoke'!K137)+'CDO Bespoke'!T137,0)),"")</f>
        <v/>
      </c>
      <c r="AD136" s="485">
        <f t="shared" ca="1" si="12"/>
        <v>0</v>
      </c>
      <c r="AE136" s="489">
        <f t="shared" ca="1" si="13"/>
        <v>0</v>
      </c>
      <c r="AF136" s="493" t="str">
        <f ca="1">IF('CDO Bespoke'!O137&lt;&gt;"",'CDO Bespoke'!O137,"")</f>
        <v/>
      </c>
      <c r="AP136" s="494" t="str">
        <f ca="1">IF('CDO Bespoke'!C161&lt;&gt;"",'CDO Bespoke'!C161,"")</f>
        <v/>
      </c>
      <c r="AQ136" s="496"/>
      <c r="AR136" s="585"/>
      <c r="AS136" s="585"/>
      <c r="AT136" s="585"/>
      <c r="AU136" s="497"/>
      <c r="AV136" s="627"/>
      <c r="AW136" s="496"/>
      <c r="AX136" s="585"/>
      <c r="AY136" s="585"/>
      <c r="AZ136" s="585"/>
      <c r="BA136" s="497"/>
      <c r="BB136" s="627"/>
      <c r="BC136" s="580"/>
      <c r="BD136" s="580"/>
      <c r="BE136" s="580"/>
      <c r="BF136" s="580"/>
      <c r="BG136" s="579"/>
    </row>
    <row r="137" spans="2:59">
      <c r="B137" s="517" t="s">
        <v>543</v>
      </c>
      <c r="C137" s="518" t="s">
        <v>66</v>
      </c>
      <c r="D137" s="518" t="s">
        <v>57</v>
      </c>
      <c r="E137" s="518" t="s">
        <v>646</v>
      </c>
      <c r="F137" s="518" t="s">
        <v>671</v>
      </c>
      <c r="G137" s="525">
        <v>0.01</v>
      </c>
      <c r="H137" s="525">
        <v>3.9699999999999996E-3</v>
      </c>
      <c r="I137" s="527">
        <v>0.4</v>
      </c>
      <c r="J137" s="594">
        <v>5</v>
      </c>
      <c r="K137" s="519">
        <v>38</v>
      </c>
      <c r="L137" s="272"/>
      <c r="M137" s="272"/>
      <c r="P137" s="273"/>
      <c r="Q137" s="273"/>
      <c r="R137" s="273"/>
      <c r="S137" s="273"/>
      <c r="T137" s="273"/>
      <c r="U137" s="273"/>
      <c r="V137" s="273"/>
      <c r="W137" s="273"/>
      <c r="X137" s="484" t="str">
        <f ca="1">IF('CDO Bespoke'!O138&lt;&gt;"",'CDO Bespoke'!O138,"")</f>
        <v/>
      </c>
      <c r="Y137" s="485" t="str">
        <f ca="1">IF(X137&lt;&gt;"",ABS(MIN(-0.75*('CDO Bespoke'!Q138)+'CDO Bespoke'!T138,0)),"")</f>
        <v/>
      </c>
      <c r="Z137" s="485">
        <f t="shared" ca="1" si="10"/>
        <v>0</v>
      </c>
      <c r="AA137" s="485">
        <f t="shared" ca="1" si="11"/>
        <v>0</v>
      </c>
      <c r="AB137" s="484" t="str">
        <f ca="1">IF('CDO Bespoke'!O138&lt;&gt;"",'CDO Bespoke'!O138,"")</f>
        <v/>
      </c>
      <c r="AC137" s="485" t="str">
        <f ca="1">IF(AB137&lt;&gt;"",ABS(MIN(-0.75*('CDO Bespoke'!K138)+'CDO Bespoke'!T138,0)),"")</f>
        <v/>
      </c>
      <c r="AD137" s="485">
        <f t="shared" ca="1" si="12"/>
        <v>0</v>
      </c>
      <c r="AE137" s="489">
        <f t="shared" ca="1" si="13"/>
        <v>0</v>
      </c>
      <c r="AF137" s="493" t="str">
        <f ca="1">IF('CDO Bespoke'!O138&lt;&gt;"",'CDO Bespoke'!O138,"")</f>
        <v/>
      </c>
      <c r="AP137" s="494" t="str">
        <f ca="1">IF('CDO Bespoke'!C162&lt;&gt;"",'CDO Bespoke'!C162,"")</f>
        <v/>
      </c>
      <c r="AQ137" s="496"/>
      <c r="AR137" s="585"/>
      <c r="AS137" s="585"/>
      <c r="AT137" s="585"/>
      <c r="AU137" s="497"/>
      <c r="AV137" s="627"/>
      <c r="AW137" s="496"/>
      <c r="AX137" s="585"/>
      <c r="AY137" s="585"/>
      <c r="AZ137" s="585"/>
      <c r="BA137" s="497"/>
      <c r="BB137" s="627"/>
      <c r="BC137" s="580"/>
      <c r="BD137" s="580"/>
      <c r="BE137" s="580"/>
      <c r="BF137" s="580"/>
      <c r="BG137" s="579"/>
    </row>
    <row r="138" spans="2:59" ht="12" thickBot="1">
      <c r="B138" s="534" t="s">
        <v>543</v>
      </c>
      <c r="C138" s="535" t="s">
        <v>66</v>
      </c>
      <c r="D138" s="535" t="s">
        <v>59</v>
      </c>
      <c r="E138" s="535" t="s">
        <v>646</v>
      </c>
      <c r="F138" s="535" t="s">
        <v>671</v>
      </c>
      <c r="G138" s="536">
        <v>0.01</v>
      </c>
      <c r="H138" s="536">
        <v>5.692E-3</v>
      </c>
      <c r="I138" s="537">
        <v>0.4</v>
      </c>
      <c r="J138" s="595">
        <v>5</v>
      </c>
      <c r="K138" s="538">
        <v>38</v>
      </c>
      <c r="L138" s="272"/>
      <c r="M138" s="272"/>
      <c r="P138" s="273"/>
      <c r="Q138" s="273"/>
      <c r="R138" s="273"/>
      <c r="S138" s="273"/>
      <c r="T138" s="273"/>
      <c r="U138" s="273"/>
      <c r="V138" s="273"/>
      <c r="W138" s="273"/>
      <c r="X138" s="490" t="str">
        <f ca="1">IF('CDO Bespoke'!O139&lt;&gt;"",'CDO Bespoke'!O139,"")</f>
        <v/>
      </c>
      <c r="Y138" s="491" t="str">
        <f ca="1">IF(X138&lt;&gt;"",ABS(MIN(-0.75*('CDO Bespoke'!Q139)+'CDO Bespoke'!T139,0)),"")</f>
        <v/>
      </c>
      <c r="Z138" s="491">
        <f t="shared" ca="1" si="10"/>
        <v>0</v>
      </c>
      <c r="AA138" s="491">
        <f t="shared" ca="1" si="11"/>
        <v>0</v>
      </c>
      <c r="AB138" s="490" t="str">
        <f ca="1">IF('CDO Bespoke'!O139&lt;&gt;"",'CDO Bespoke'!O139,"")</f>
        <v/>
      </c>
      <c r="AC138" s="491" t="str">
        <f ca="1">IF(AB138&lt;&gt;"",ABS(MIN(-0.75*('CDO Bespoke'!K139)+'CDO Bespoke'!T139,0)),"")</f>
        <v/>
      </c>
      <c r="AD138" s="491">
        <f t="shared" ca="1" si="12"/>
        <v>0</v>
      </c>
      <c r="AE138" s="492">
        <f t="shared" ca="1" si="13"/>
        <v>0</v>
      </c>
      <c r="AF138" s="617" t="str">
        <f ca="1">IF('CDO Bespoke'!O139&lt;&gt;"",'CDO Bespoke'!O139,"")</f>
        <v/>
      </c>
      <c r="AP138" s="494" t="str">
        <f ca="1">IF('CDO Bespoke'!C163&lt;&gt;"",'CDO Bespoke'!C163,"")</f>
        <v/>
      </c>
      <c r="AQ138" s="496"/>
      <c r="AR138" s="585"/>
      <c r="AS138" s="585"/>
      <c r="AT138" s="585"/>
      <c r="AU138" s="497"/>
      <c r="AV138" s="627"/>
      <c r="AW138" s="496"/>
      <c r="AX138" s="585"/>
      <c r="AY138" s="585"/>
      <c r="AZ138" s="585"/>
      <c r="BA138" s="497"/>
      <c r="BB138" s="627"/>
      <c r="BC138" s="580"/>
      <c r="BD138" s="580"/>
      <c r="BE138" s="580"/>
      <c r="BF138" s="580"/>
      <c r="BG138" s="579"/>
    </row>
    <row r="139" spans="2:59">
      <c r="B139" s="539" t="s">
        <v>544</v>
      </c>
      <c r="C139" s="540" t="s">
        <v>66</v>
      </c>
      <c r="D139" s="540" t="s">
        <v>55</v>
      </c>
      <c r="E139" s="540" t="s">
        <v>648</v>
      </c>
      <c r="F139" s="540" t="s">
        <v>671</v>
      </c>
      <c r="G139" s="541">
        <v>0.01</v>
      </c>
      <c r="H139" s="541">
        <v>3.9449999999999997E-3</v>
      </c>
      <c r="I139" s="542">
        <v>0.4</v>
      </c>
      <c r="J139" s="602">
        <v>5</v>
      </c>
      <c r="K139" s="543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  <c r="AF139" s="272"/>
      <c r="AP139" s="494" t="str">
        <f ca="1">IF('CDO Bespoke'!C164&lt;&gt;"",'CDO Bespoke'!C164,"")</f>
        <v/>
      </c>
      <c r="AQ139" s="496"/>
      <c r="AR139" s="585"/>
      <c r="AS139" s="585"/>
      <c r="AT139" s="585"/>
      <c r="AU139" s="497"/>
      <c r="AV139" s="627"/>
      <c r="AW139" s="496"/>
      <c r="AX139" s="585"/>
      <c r="AY139" s="585"/>
      <c r="AZ139" s="585"/>
      <c r="BA139" s="497"/>
      <c r="BB139" s="627"/>
      <c r="BC139" s="580"/>
      <c r="BD139" s="580"/>
      <c r="BE139" s="580"/>
      <c r="BF139" s="580"/>
      <c r="BG139" s="579"/>
    </row>
    <row r="140" spans="2:59">
      <c r="B140" s="517" t="s">
        <v>544</v>
      </c>
      <c r="C140" s="518" t="s">
        <v>66</v>
      </c>
      <c r="D140" s="518" t="s">
        <v>57</v>
      </c>
      <c r="E140" s="518" t="s">
        <v>648</v>
      </c>
      <c r="F140" s="518" t="s">
        <v>671</v>
      </c>
      <c r="G140" s="525">
        <v>0.01</v>
      </c>
      <c r="H140" s="525">
        <v>6.7390000000000002E-3</v>
      </c>
      <c r="I140" s="527">
        <v>0.4</v>
      </c>
      <c r="J140" s="594">
        <v>5</v>
      </c>
      <c r="K140" s="519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  <c r="AF140" s="272"/>
      <c r="AP140" s="494" t="str">
        <f ca="1">IF('CDO Bespoke'!C165&lt;&gt;"",'CDO Bespoke'!C165,"")</f>
        <v/>
      </c>
      <c r="AQ140" s="496"/>
      <c r="AR140" s="585"/>
      <c r="AS140" s="585"/>
      <c r="AT140" s="585"/>
      <c r="AU140" s="497"/>
      <c r="AV140" s="627"/>
      <c r="AW140" s="496"/>
      <c r="AX140" s="585"/>
      <c r="AY140" s="585"/>
      <c r="AZ140" s="585"/>
      <c r="BA140" s="497"/>
      <c r="BB140" s="627"/>
      <c r="BC140" s="580"/>
      <c r="BD140" s="580"/>
      <c r="BE140" s="580"/>
      <c r="BF140" s="580"/>
      <c r="BG140" s="579"/>
    </row>
    <row r="141" spans="2:59">
      <c r="B141" s="534" t="s">
        <v>544</v>
      </c>
      <c r="C141" s="535" t="s">
        <v>66</v>
      </c>
      <c r="D141" s="535" t="s">
        <v>59</v>
      </c>
      <c r="E141" s="535" t="s">
        <v>648</v>
      </c>
      <c r="F141" s="535" t="s">
        <v>671</v>
      </c>
      <c r="G141" s="536">
        <v>0.01</v>
      </c>
      <c r="H141" s="536">
        <v>9.7630000000000008E-3</v>
      </c>
      <c r="I141" s="537">
        <v>0.4</v>
      </c>
      <c r="J141" s="595">
        <v>5</v>
      </c>
      <c r="K141" s="538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3"/>
      <c r="AE141" s="273"/>
      <c r="AF141" s="272"/>
      <c r="AP141" s="494" t="str">
        <f ca="1">IF('CDO Bespoke'!C166&lt;&gt;"",'CDO Bespoke'!C166,"")</f>
        <v/>
      </c>
      <c r="AQ141" s="496"/>
      <c r="AR141" s="585"/>
      <c r="AS141" s="585"/>
      <c r="AT141" s="585"/>
      <c r="AU141" s="497"/>
      <c r="AV141" s="627"/>
      <c r="AW141" s="496"/>
      <c r="AX141" s="585"/>
      <c r="AY141" s="585"/>
      <c r="AZ141" s="585"/>
      <c r="BA141" s="497"/>
      <c r="BB141" s="627"/>
      <c r="BC141" s="580"/>
      <c r="BD141" s="580"/>
      <c r="BE141" s="580"/>
      <c r="BF141" s="580"/>
      <c r="BG141" s="579"/>
    </row>
    <row r="142" spans="2:59">
      <c r="B142" s="539" t="s">
        <v>560</v>
      </c>
      <c r="C142" s="540" t="s">
        <v>66</v>
      </c>
      <c r="D142" s="540" t="s">
        <v>55</v>
      </c>
      <c r="E142" s="540" t="s">
        <v>650</v>
      </c>
      <c r="F142" s="540" t="s">
        <v>671</v>
      </c>
      <c r="G142" s="541">
        <v>0.01</v>
      </c>
      <c r="H142" s="541">
        <v>1.738E-3</v>
      </c>
      <c r="I142" s="542">
        <v>0.4</v>
      </c>
      <c r="J142" s="602">
        <v>5</v>
      </c>
      <c r="K142" s="543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3"/>
      <c r="AE142" s="273"/>
      <c r="AF142" s="272"/>
      <c r="AP142" s="494" t="str">
        <f ca="1">IF('CDO Bespoke'!C167&lt;&gt;"",'CDO Bespoke'!C167,"")</f>
        <v/>
      </c>
      <c r="AQ142" s="496"/>
      <c r="AR142" s="585"/>
      <c r="AS142" s="585"/>
      <c r="AT142" s="585"/>
      <c r="AU142" s="497"/>
      <c r="AV142" s="627"/>
      <c r="AW142" s="496"/>
      <c r="AX142" s="585"/>
      <c r="AY142" s="585"/>
      <c r="AZ142" s="585"/>
      <c r="BA142" s="497"/>
      <c r="BB142" s="627"/>
      <c r="BC142" s="580"/>
      <c r="BD142" s="580"/>
      <c r="BE142" s="580"/>
      <c r="BF142" s="580"/>
      <c r="BG142" s="579"/>
    </row>
    <row r="143" spans="2:59">
      <c r="B143" s="517" t="s">
        <v>560</v>
      </c>
      <c r="C143" s="518" t="s">
        <v>66</v>
      </c>
      <c r="D143" s="518" t="s">
        <v>57</v>
      </c>
      <c r="E143" s="518" t="s">
        <v>650</v>
      </c>
      <c r="F143" s="518" t="s">
        <v>671</v>
      </c>
      <c r="G143" s="525">
        <v>0.01</v>
      </c>
      <c r="H143" s="525">
        <v>2.9610000000000001E-3</v>
      </c>
      <c r="I143" s="527">
        <v>0.4</v>
      </c>
      <c r="J143" s="594">
        <v>5</v>
      </c>
      <c r="K143" s="519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  <c r="AF143" s="272"/>
      <c r="AP143" s="494" t="str">
        <f ca="1">IF('CDO Bespoke'!C168&lt;&gt;"",'CDO Bespoke'!C168,"")</f>
        <v/>
      </c>
      <c r="AQ143" s="496"/>
      <c r="AR143" s="585"/>
      <c r="AS143" s="585"/>
      <c r="AT143" s="585"/>
      <c r="AU143" s="497"/>
      <c r="AV143" s="627"/>
      <c r="AW143" s="496"/>
      <c r="AX143" s="585"/>
      <c r="AY143" s="585"/>
      <c r="AZ143" s="585"/>
      <c r="BA143" s="497"/>
      <c r="BB143" s="627"/>
      <c r="BC143" s="580"/>
      <c r="BD143" s="580"/>
      <c r="BE143" s="580"/>
      <c r="BF143" s="580"/>
      <c r="BG143" s="579"/>
    </row>
    <row r="144" spans="2:59">
      <c r="B144" s="534" t="s">
        <v>560</v>
      </c>
      <c r="C144" s="535" t="s">
        <v>66</v>
      </c>
      <c r="D144" s="535" t="s">
        <v>59</v>
      </c>
      <c r="E144" s="535" t="s">
        <v>650</v>
      </c>
      <c r="F144" s="535" t="s">
        <v>671</v>
      </c>
      <c r="G144" s="536">
        <v>0.01</v>
      </c>
      <c r="H144" s="536">
        <v>4.1469999999999996E-3</v>
      </c>
      <c r="I144" s="537">
        <v>0.4</v>
      </c>
      <c r="J144" s="595">
        <v>5</v>
      </c>
      <c r="K144" s="538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  <c r="AF144" s="272"/>
      <c r="AP144" s="494" t="str">
        <f ca="1">IF('CDO Bespoke'!C169&lt;&gt;"",'CDO Bespoke'!C169,"")</f>
        <v/>
      </c>
      <c r="AQ144" s="496"/>
      <c r="AR144" s="585"/>
      <c r="AS144" s="585"/>
      <c r="AT144" s="585"/>
      <c r="AU144" s="497"/>
      <c r="AV144" s="627"/>
      <c r="AW144" s="496"/>
      <c r="AX144" s="585"/>
      <c r="AY144" s="585"/>
      <c r="AZ144" s="585"/>
      <c r="BA144" s="497"/>
      <c r="BB144" s="627"/>
      <c r="BC144" s="580"/>
      <c r="BD144" s="580"/>
      <c r="BE144" s="580"/>
      <c r="BF144" s="580"/>
      <c r="BG144" s="579"/>
    </row>
    <row r="145" spans="2:59">
      <c r="B145" s="539" t="s">
        <v>545</v>
      </c>
      <c r="C145" s="540" t="s">
        <v>66</v>
      </c>
      <c r="D145" s="540" t="s">
        <v>55</v>
      </c>
      <c r="E145" s="540" t="s">
        <v>648</v>
      </c>
      <c r="F145" s="540" t="s">
        <v>671</v>
      </c>
      <c r="G145" s="541">
        <v>0.01</v>
      </c>
      <c r="H145" s="541">
        <v>2.8939999999999999E-3</v>
      </c>
      <c r="I145" s="542">
        <v>0.4</v>
      </c>
      <c r="J145" s="602">
        <v>5</v>
      </c>
      <c r="K145" s="543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  <c r="AF145" s="272"/>
      <c r="AP145" s="494" t="str">
        <f ca="1">IF('CDO Bespoke'!C170&lt;&gt;"",'CDO Bespoke'!C170,"")</f>
        <v/>
      </c>
      <c r="AQ145" s="496"/>
      <c r="AR145" s="585"/>
      <c r="AS145" s="585"/>
      <c r="AT145" s="585"/>
      <c r="AU145" s="497"/>
      <c r="AV145" s="627"/>
      <c r="AW145" s="496"/>
      <c r="AX145" s="585"/>
      <c r="AY145" s="585"/>
      <c r="AZ145" s="585"/>
      <c r="BA145" s="497"/>
      <c r="BB145" s="627"/>
      <c r="BC145" s="580"/>
      <c r="BD145" s="580"/>
      <c r="BE145" s="580"/>
      <c r="BF145" s="580"/>
      <c r="BG145" s="579"/>
    </row>
    <row r="146" spans="2:59">
      <c r="B146" s="517" t="s">
        <v>545</v>
      </c>
      <c r="C146" s="518" t="s">
        <v>66</v>
      </c>
      <c r="D146" s="518" t="s">
        <v>57</v>
      </c>
      <c r="E146" s="518" t="s">
        <v>648</v>
      </c>
      <c r="F146" s="518" t="s">
        <v>671</v>
      </c>
      <c r="G146" s="525">
        <v>0.01</v>
      </c>
      <c r="H146" s="525">
        <v>5.0400000000000002E-3</v>
      </c>
      <c r="I146" s="527">
        <v>0.4</v>
      </c>
      <c r="J146" s="594">
        <v>5</v>
      </c>
      <c r="K146" s="519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3"/>
      <c r="AE146" s="273"/>
      <c r="AF146" s="272"/>
      <c r="AP146" s="494" t="str">
        <f ca="1">IF('CDO Bespoke'!C171&lt;&gt;"",'CDO Bespoke'!C171,"")</f>
        <v/>
      </c>
      <c r="AQ146" s="496"/>
      <c r="AR146" s="585"/>
      <c r="AS146" s="585"/>
      <c r="AT146" s="585"/>
      <c r="AU146" s="497"/>
      <c r="AV146" s="627"/>
      <c r="AW146" s="496"/>
      <c r="AX146" s="585"/>
      <c r="AY146" s="585"/>
      <c r="AZ146" s="585"/>
      <c r="BA146" s="497"/>
      <c r="BB146" s="627"/>
      <c r="BC146" s="580"/>
      <c r="BD146" s="580"/>
      <c r="BE146" s="580"/>
      <c r="BF146" s="580"/>
      <c r="BG146" s="579"/>
    </row>
    <row r="147" spans="2:59">
      <c r="B147" s="534" t="s">
        <v>545</v>
      </c>
      <c r="C147" s="535" t="s">
        <v>66</v>
      </c>
      <c r="D147" s="535" t="s">
        <v>59</v>
      </c>
      <c r="E147" s="535" t="s">
        <v>648</v>
      </c>
      <c r="F147" s="535" t="s">
        <v>671</v>
      </c>
      <c r="G147" s="536">
        <v>0.01</v>
      </c>
      <c r="H147" s="536">
        <v>7.5799999999999999E-3</v>
      </c>
      <c r="I147" s="537">
        <v>0.4</v>
      </c>
      <c r="J147" s="595">
        <v>5</v>
      </c>
      <c r="K147" s="538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3"/>
      <c r="AE147" s="273"/>
      <c r="AF147" s="272"/>
      <c r="AP147" s="494" t="str">
        <f ca="1">IF('CDO Bespoke'!C172&lt;&gt;"",'CDO Bespoke'!C172,"")</f>
        <v/>
      </c>
      <c r="AQ147" s="496"/>
      <c r="AR147" s="585"/>
      <c r="AS147" s="585"/>
      <c r="AT147" s="585"/>
      <c r="AU147" s="497"/>
      <c r="AV147" s="627"/>
      <c r="AW147" s="496"/>
      <c r="AX147" s="585"/>
      <c r="AY147" s="585"/>
      <c r="AZ147" s="585"/>
      <c r="BA147" s="497"/>
      <c r="BB147" s="627"/>
      <c r="BC147" s="580"/>
      <c r="BD147" s="580"/>
      <c r="BE147" s="580"/>
      <c r="BF147" s="580"/>
      <c r="BG147" s="579"/>
    </row>
    <row r="148" spans="2:59">
      <c r="B148" s="539" t="s">
        <v>546</v>
      </c>
      <c r="C148" s="540" t="s">
        <v>66</v>
      </c>
      <c r="D148" s="540" t="s">
        <v>55</v>
      </c>
      <c r="E148" s="540" t="s">
        <v>650</v>
      </c>
      <c r="F148" s="540" t="s">
        <v>671</v>
      </c>
      <c r="G148" s="541">
        <v>0.01</v>
      </c>
      <c r="H148" s="541">
        <v>1.31E-3</v>
      </c>
      <c r="I148" s="542">
        <v>0.4</v>
      </c>
      <c r="J148" s="602">
        <v>5</v>
      </c>
      <c r="K148" s="543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3"/>
      <c r="AE148" s="273"/>
      <c r="AF148" s="272"/>
      <c r="AP148" s="494" t="str">
        <f ca="1">IF('CDO Bespoke'!C173&lt;&gt;"",'CDO Bespoke'!C173,"")</f>
        <v/>
      </c>
      <c r="AQ148" s="496"/>
      <c r="AR148" s="585"/>
      <c r="AS148" s="585"/>
      <c r="AT148" s="585"/>
      <c r="AU148" s="497"/>
      <c r="AV148" s="627"/>
      <c r="AW148" s="496"/>
      <c r="AX148" s="585"/>
      <c r="AY148" s="585"/>
      <c r="AZ148" s="585"/>
      <c r="BA148" s="497"/>
      <c r="BB148" s="627"/>
      <c r="BC148" s="580"/>
      <c r="BD148" s="580"/>
      <c r="BE148" s="580"/>
      <c r="BF148" s="580"/>
      <c r="BG148" s="579"/>
    </row>
    <row r="149" spans="2:59">
      <c r="B149" s="517" t="s">
        <v>546</v>
      </c>
      <c r="C149" s="518" t="s">
        <v>66</v>
      </c>
      <c r="D149" s="518" t="s">
        <v>57</v>
      </c>
      <c r="E149" s="518" t="s">
        <v>650</v>
      </c>
      <c r="F149" s="518" t="s">
        <v>671</v>
      </c>
      <c r="G149" s="525">
        <v>0.01</v>
      </c>
      <c r="H149" s="525">
        <v>2.2300000000000002E-3</v>
      </c>
      <c r="I149" s="527">
        <v>0.4</v>
      </c>
      <c r="J149" s="594">
        <v>5</v>
      </c>
      <c r="K149" s="519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3"/>
      <c r="AE149" s="273"/>
      <c r="AF149" s="272"/>
      <c r="AP149" s="494" t="str">
        <f ca="1">IF('CDO Bespoke'!C174&lt;&gt;"",'CDO Bespoke'!C174,"")</f>
        <v/>
      </c>
      <c r="AQ149" s="496"/>
      <c r="AR149" s="585"/>
      <c r="AS149" s="585"/>
      <c r="AT149" s="585"/>
      <c r="AU149" s="497"/>
      <c r="AV149" s="627"/>
      <c r="AW149" s="496"/>
      <c r="AX149" s="585"/>
      <c r="AY149" s="585"/>
      <c r="AZ149" s="585"/>
      <c r="BA149" s="497"/>
      <c r="BB149" s="627"/>
      <c r="BC149" s="580"/>
      <c r="BD149" s="580"/>
      <c r="BE149" s="580"/>
      <c r="BF149" s="580"/>
      <c r="BG149" s="579"/>
    </row>
    <row r="150" spans="2:59">
      <c r="B150" s="534" t="s">
        <v>546</v>
      </c>
      <c r="C150" s="535" t="s">
        <v>66</v>
      </c>
      <c r="D150" s="535" t="s">
        <v>59</v>
      </c>
      <c r="E150" s="535" t="s">
        <v>650</v>
      </c>
      <c r="F150" s="535" t="s">
        <v>671</v>
      </c>
      <c r="G150" s="536">
        <v>0.01</v>
      </c>
      <c r="H150" s="536">
        <v>3.3579999999999999E-3</v>
      </c>
      <c r="I150" s="537">
        <v>0.4</v>
      </c>
      <c r="J150" s="595">
        <v>5</v>
      </c>
      <c r="K150" s="538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3"/>
      <c r="AE150" s="273"/>
      <c r="AF150" s="272"/>
      <c r="AP150" s="494" t="str">
        <f ca="1">IF('CDO Bespoke'!C175&lt;&gt;"",'CDO Bespoke'!C175,"")</f>
        <v/>
      </c>
      <c r="AQ150" s="496"/>
      <c r="AR150" s="585"/>
      <c r="AS150" s="585"/>
      <c r="AT150" s="585"/>
      <c r="AU150" s="497"/>
      <c r="AV150" s="627"/>
      <c r="AW150" s="496"/>
      <c r="AX150" s="585"/>
      <c r="AY150" s="585"/>
      <c r="AZ150" s="585"/>
      <c r="BA150" s="497"/>
      <c r="BB150" s="627"/>
      <c r="BC150" s="580"/>
      <c r="BD150" s="580"/>
      <c r="BE150" s="580"/>
      <c r="BF150" s="580"/>
      <c r="BG150" s="579"/>
    </row>
    <row r="151" spans="2:59">
      <c r="B151" s="539" t="s">
        <v>561</v>
      </c>
      <c r="C151" s="540" t="s">
        <v>66</v>
      </c>
      <c r="D151" s="540" t="s">
        <v>55</v>
      </c>
      <c r="E151" s="540" t="s">
        <v>646</v>
      </c>
      <c r="F151" s="540" t="s">
        <v>671</v>
      </c>
      <c r="G151" s="541">
        <v>0.01</v>
      </c>
      <c r="H151" s="541">
        <v>2.1749999999999999E-3</v>
      </c>
      <c r="I151" s="542">
        <v>0.4</v>
      </c>
      <c r="J151" s="602">
        <v>5</v>
      </c>
      <c r="K151" s="543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3"/>
      <c r="AE151" s="273"/>
      <c r="AF151" s="272"/>
      <c r="AP151" s="494" t="str">
        <f ca="1">IF('CDO Bespoke'!C176&lt;&gt;"",'CDO Bespoke'!C176,"")</f>
        <v/>
      </c>
      <c r="AQ151" s="496"/>
      <c r="AR151" s="585"/>
      <c r="AS151" s="585"/>
      <c r="AT151" s="585"/>
      <c r="AU151" s="497"/>
      <c r="AV151" s="627"/>
      <c r="AW151" s="496"/>
      <c r="AX151" s="585"/>
      <c r="AY151" s="585"/>
      <c r="AZ151" s="585"/>
      <c r="BA151" s="497"/>
      <c r="BB151" s="627"/>
      <c r="BC151" s="580"/>
      <c r="BD151" s="580"/>
      <c r="BE151" s="580"/>
      <c r="BF151" s="580"/>
      <c r="BG151" s="579"/>
    </row>
    <row r="152" spans="2:59">
      <c r="B152" s="517" t="s">
        <v>561</v>
      </c>
      <c r="C152" s="518" t="s">
        <v>66</v>
      </c>
      <c r="D152" s="518" t="s">
        <v>57</v>
      </c>
      <c r="E152" s="518" t="s">
        <v>646</v>
      </c>
      <c r="F152" s="518" t="s">
        <v>671</v>
      </c>
      <c r="G152" s="525">
        <v>0.01</v>
      </c>
      <c r="H152" s="525">
        <v>3.539E-3</v>
      </c>
      <c r="I152" s="527">
        <v>0.4</v>
      </c>
      <c r="J152" s="594">
        <v>5</v>
      </c>
      <c r="K152" s="519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3"/>
      <c r="AE152" s="273"/>
      <c r="AF152" s="272"/>
      <c r="AP152" s="494" t="str">
        <f ca="1">IF('CDO Bespoke'!C177&lt;&gt;"",'CDO Bespoke'!C177,"")</f>
        <v/>
      </c>
      <c r="AQ152" s="496"/>
      <c r="AR152" s="585"/>
      <c r="AS152" s="585"/>
      <c r="AT152" s="585"/>
      <c r="AU152" s="497"/>
      <c r="AV152" s="627"/>
      <c r="AW152" s="496"/>
      <c r="AX152" s="585"/>
      <c r="AY152" s="585"/>
      <c r="AZ152" s="585"/>
      <c r="BA152" s="497"/>
      <c r="BB152" s="627"/>
      <c r="BC152" s="580"/>
      <c r="BD152" s="580"/>
      <c r="BE152" s="580"/>
      <c r="BF152" s="580"/>
      <c r="BG152" s="579"/>
    </row>
    <row r="153" spans="2:59">
      <c r="B153" s="534" t="s">
        <v>561</v>
      </c>
      <c r="C153" s="535" t="s">
        <v>66</v>
      </c>
      <c r="D153" s="535" t="s">
        <v>59</v>
      </c>
      <c r="E153" s="535" t="s">
        <v>646</v>
      </c>
      <c r="F153" s="535" t="s">
        <v>671</v>
      </c>
      <c r="G153" s="536">
        <v>0.01</v>
      </c>
      <c r="H153" s="536">
        <v>4.816E-3</v>
      </c>
      <c r="I153" s="537">
        <v>0.4</v>
      </c>
      <c r="J153" s="595">
        <v>5</v>
      </c>
      <c r="K153" s="538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3"/>
      <c r="AE153" s="273"/>
      <c r="AF153" s="272"/>
      <c r="AP153" s="494" t="str">
        <f ca="1">IF('CDO Bespoke'!C178&lt;&gt;"",'CDO Bespoke'!C178,"")</f>
        <v/>
      </c>
      <c r="AQ153" s="496"/>
      <c r="AR153" s="585"/>
      <c r="AS153" s="585"/>
      <c r="AT153" s="585"/>
      <c r="AU153" s="497"/>
      <c r="AV153" s="627"/>
      <c r="AW153" s="496"/>
      <c r="AX153" s="585"/>
      <c r="AY153" s="585"/>
      <c r="AZ153" s="585"/>
      <c r="BA153" s="497"/>
      <c r="BB153" s="627"/>
      <c r="BC153" s="580"/>
      <c r="BD153" s="580"/>
      <c r="BE153" s="580"/>
      <c r="BF153" s="580"/>
      <c r="BG153" s="579"/>
    </row>
    <row r="154" spans="2:59">
      <c r="B154" s="539" t="s">
        <v>547</v>
      </c>
      <c r="C154" s="540" t="s">
        <v>66</v>
      </c>
      <c r="D154" s="540" t="s">
        <v>55</v>
      </c>
      <c r="E154" s="540" t="s">
        <v>650</v>
      </c>
      <c r="F154" s="540" t="s">
        <v>671</v>
      </c>
      <c r="G154" s="541">
        <v>0.01</v>
      </c>
      <c r="H154" s="541">
        <v>1.6999999999999999E-3</v>
      </c>
      <c r="I154" s="542">
        <v>0.4</v>
      </c>
      <c r="J154" s="602">
        <v>5</v>
      </c>
      <c r="K154" s="543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3"/>
      <c r="AE154" s="273"/>
      <c r="AF154" s="272"/>
      <c r="AP154" s="494" t="str">
        <f ca="1">IF('CDO Bespoke'!C179&lt;&gt;"",'CDO Bespoke'!C179,"")</f>
        <v/>
      </c>
      <c r="AQ154" s="496"/>
      <c r="AR154" s="585"/>
      <c r="AS154" s="585"/>
      <c r="AT154" s="585"/>
      <c r="AU154" s="497"/>
      <c r="AV154" s="627"/>
      <c r="AW154" s="496"/>
      <c r="AX154" s="585"/>
      <c r="AY154" s="585"/>
      <c r="AZ154" s="585"/>
      <c r="BA154" s="497"/>
      <c r="BB154" s="627"/>
      <c r="BC154" s="580"/>
      <c r="BD154" s="580"/>
      <c r="BE154" s="580"/>
      <c r="BF154" s="580"/>
      <c r="BG154" s="579"/>
    </row>
    <row r="155" spans="2:59">
      <c r="B155" s="517" t="s">
        <v>547</v>
      </c>
      <c r="C155" s="518" t="s">
        <v>66</v>
      </c>
      <c r="D155" s="518" t="s">
        <v>57</v>
      </c>
      <c r="E155" s="518" t="s">
        <v>650</v>
      </c>
      <c r="F155" s="518" t="s">
        <v>671</v>
      </c>
      <c r="G155" s="525">
        <v>0.01</v>
      </c>
      <c r="H155" s="525">
        <v>2.6360000000000001E-2</v>
      </c>
      <c r="I155" s="527">
        <v>0.4</v>
      </c>
      <c r="J155" s="594">
        <v>5</v>
      </c>
      <c r="K155" s="519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2"/>
      <c r="AP155" s="494" t="str">
        <f ca="1">IF('CDO Bespoke'!C180&lt;&gt;"",'CDO Bespoke'!C180,"")</f>
        <v/>
      </c>
      <c r="AQ155" s="496"/>
      <c r="AR155" s="585"/>
      <c r="AS155" s="585"/>
      <c r="AT155" s="585"/>
      <c r="AU155" s="497"/>
      <c r="AV155" s="627"/>
      <c r="AW155" s="496"/>
      <c r="AX155" s="585"/>
      <c r="AY155" s="585"/>
      <c r="AZ155" s="585"/>
      <c r="BA155" s="497"/>
      <c r="BB155" s="627"/>
      <c r="BC155" s="580"/>
      <c r="BD155" s="580"/>
      <c r="BE155" s="580"/>
      <c r="BF155" s="580"/>
      <c r="BG155" s="579"/>
    </row>
    <row r="156" spans="2:59">
      <c r="B156" s="534" t="s">
        <v>547</v>
      </c>
      <c r="C156" s="535" t="s">
        <v>66</v>
      </c>
      <c r="D156" s="535" t="s">
        <v>59</v>
      </c>
      <c r="E156" s="535" t="s">
        <v>650</v>
      </c>
      <c r="F156" s="535" t="s">
        <v>671</v>
      </c>
      <c r="G156" s="536">
        <v>0.01</v>
      </c>
      <c r="H156" s="536">
        <v>3.9090000000000001E-3</v>
      </c>
      <c r="I156" s="537">
        <v>0.4</v>
      </c>
      <c r="J156" s="595">
        <v>5</v>
      </c>
      <c r="K156" s="538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2"/>
      <c r="AP156" s="494" t="str">
        <f ca="1">IF('CDO Bespoke'!C181&lt;&gt;"",'CDO Bespoke'!C181,"")</f>
        <v/>
      </c>
      <c r="AQ156" s="496"/>
      <c r="AR156" s="585"/>
      <c r="AS156" s="585"/>
      <c r="AT156" s="585"/>
      <c r="AU156" s="497"/>
      <c r="AV156" s="627"/>
      <c r="AW156" s="496"/>
      <c r="AX156" s="585"/>
      <c r="AY156" s="585"/>
      <c r="AZ156" s="585"/>
      <c r="BA156" s="497"/>
      <c r="BB156" s="627"/>
      <c r="BC156" s="580"/>
      <c r="BD156" s="580"/>
      <c r="BE156" s="580"/>
      <c r="BF156" s="580"/>
      <c r="BG156" s="579"/>
    </row>
    <row r="157" spans="2:59">
      <c r="B157" s="539" t="s">
        <v>614</v>
      </c>
      <c r="C157" s="540" t="s">
        <v>66</v>
      </c>
      <c r="D157" s="540" t="s">
        <v>55</v>
      </c>
      <c r="E157" s="540" t="s">
        <v>648</v>
      </c>
      <c r="F157" s="540" t="s">
        <v>671</v>
      </c>
      <c r="G157" s="541">
        <v>0.01</v>
      </c>
      <c r="H157" s="541">
        <v>1.7680000000000001E-2</v>
      </c>
      <c r="I157" s="542">
        <v>0.4</v>
      </c>
      <c r="J157" s="602">
        <v>5</v>
      </c>
      <c r="K157" s="543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2"/>
      <c r="AP157" s="494" t="str">
        <f ca="1">IF('CDO Bespoke'!C182&lt;&gt;"",'CDO Bespoke'!C182,"")</f>
        <v/>
      </c>
      <c r="AQ157" s="496"/>
      <c r="AR157" s="585"/>
      <c r="AS157" s="585"/>
      <c r="AT157" s="585"/>
      <c r="AU157" s="497"/>
      <c r="AV157" s="627"/>
      <c r="AW157" s="496"/>
      <c r="AX157" s="585"/>
      <c r="AY157" s="585"/>
      <c r="AZ157" s="585"/>
      <c r="BA157" s="497"/>
      <c r="BB157" s="627"/>
      <c r="BC157" s="580"/>
      <c r="BD157" s="580"/>
      <c r="BE157" s="580"/>
      <c r="BF157" s="580"/>
      <c r="BG157" s="579"/>
    </row>
    <row r="158" spans="2:59">
      <c r="B158" s="517" t="s">
        <v>614</v>
      </c>
      <c r="C158" s="518" t="s">
        <v>66</v>
      </c>
      <c r="D158" s="518" t="s">
        <v>57</v>
      </c>
      <c r="E158" s="518" t="s">
        <v>648</v>
      </c>
      <c r="F158" s="518" t="s">
        <v>671</v>
      </c>
      <c r="G158" s="525">
        <v>0.01</v>
      </c>
      <c r="H158" s="525">
        <v>2.5177000000000001E-2</v>
      </c>
      <c r="I158" s="527">
        <v>0.4</v>
      </c>
      <c r="J158" s="594">
        <v>5</v>
      </c>
      <c r="K158" s="519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2"/>
      <c r="AP158" s="494" t="str">
        <f ca="1">IF('CDO Bespoke'!C183&lt;&gt;"",'CDO Bespoke'!C183,"")</f>
        <v/>
      </c>
      <c r="AQ158" s="496"/>
      <c r="AR158" s="585"/>
      <c r="AS158" s="585"/>
      <c r="AT158" s="585"/>
      <c r="AU158" s="497"/>
      <c r="AV158" s="627"/>
      <c r="AW158" s="496"/>
      <c r="AX158" s="585"/>
      <c r="AY158" s="585"/>
      <c r="AZ158" s="585"/>
      <c r="BA158" s="497"/>
      <c r="BB158" s="627"/>
      <c r="BC158" s="580"/>
      <c r="BD158" s="580"/>
      <c r="BE158" s="580"/>
      <c r="BF158" s="580"/>
      <c r="BG158" s="579"/>
    </row>
    <row r="159" spans="2:59">
      <c r="B159" s="534" t="s">
        <v>614</v>
      </c>
      <c r="C159" s="535" t="s">
        <v>66</v>
      </c>
      <c r="D159" s="535" t="s">
        <v>59</v>
      </c>
      <c r="E159" s="535" t="s">
        <v>648</v>
      </c>
      <c r="F159" s="535" t="s">
        <v>671</v>
      </c>
      <c r="G159" s="536">
        <v>0.01</v>
      </c>
      <c r="H159" s="536">
        <v>3.0232999999999999E-2</v>
      </c>
      <c r="I159" s="537">
        <v>0.4</v>
      </c>
      <c r="J159" s="595">
        <v>5</v>
      </c>
      <c r="K159" s="538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2"/>
      <c r="AP159" s="494" t="str">
        <f ca="1">IF('CDO Bespoke'!C184&lt;&gt;"",'CDO Bespoke'!C184,"")</f>
        <v/>
      </c>
      <c r="AQ159" s="496"/>
      <c r="AR159" s="585"/>
      <c r="AS159" s="585"/>
      <c r="AT159" s="585"/>
      <c r="AU159" s="497"/>
      <c r="AV159" s="627"/>
      <c r="AW159" s="496"/>
      <c r="AX159" s="585"/>
      <c r="AY159" s="585"/>
      <c r="AZ159" s="585"/>
      <c r="BA159" s="497"/>
      <c r="BB159" s="627"/>
      <c r="BC159" s="580"/>
      <c r="BD159" s="580"/>
      <c r="BE159" s="580"/>
      <c r="BF159" s="580"/>
      <c r="BG159" s="579"/>
    </row>
    <row r="160" spans="2:59">
      <c r="B160" s="539" t="s">
        <v>562</v>
      </c>
      <c r="C160" s="540" t="s">
        <v>66</v>
      </c>
      <c r="D160" s="540" t="s">
        <v>55</v>
      </c>
      <c r="E160" s="540" t="s">
        <v>648</v>
      </c>
      <c r="F160" s="540" t="s">
        <v>671</v>
      </c>
      <c r="G160" s="541">
        <v>0.01</v>
      </c>
      <c r="H160" s="541">
        <v>1.828E-3</v>
      </c>
      <c r="I160" s="542">
        <v>0.4</v>
      </c>
      <c r="J160" s="602">
        <v>5</v>
      </c>
      <c r="K160" s="543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2"/>
      <c r="AP160" s="494" t="str">
        <f ca="1">IF('CDO Bespoke'!C185&lt;&gt;"",'CDO Bespoke'!C185,"")</f>
        <v/>
      </c>
      <c r="AQ160" s="496"/>
      <c r="AR160" s="585"/>
      <c r="AS160" s="585"/>
      <c r="AT160" s="585"/>
      <c r="AU160" s="497"/>
      <c r="AV160" s="627"/>
      <c r="AW160" s="496"/>
      <c r="AX160" s="585"/>
      <c r="AY160" s="585"/>
      <c r="AZ160" s="585"/>
      <c r="BA160" s="497"/>
      <c r="BB160" s="627"/>
      <c r="BC160" s="580"/>
      <c r="BD160" s="580"/>
      <c r="BE160" s="580"/>
      <c r="BF160" s="580"/>
      <c r="BG160" s="579"/>
    </row>
    <row r="161" spans="2:59">
      <c r="B161" s="517" t="s">
        <v>562</v>
      </c>
      <c r="C161" s="518" t="s">
        <v>66</v>
      </c>
      <c r="D161" s="518" t="s">
        <v>57</v>
      </c>
      <c r="E161" s="518" t="s">
        <v>648</v>
      </c>
      <c r="F161" s="518" t="s">
        <v>671</v>
      </c>
      <c r="G161" s="525">
        <v>0.01</v>
      </c>
      <c r="H161" s="525">
        <v>3.0709999999999999E-3</v>
      </c>
      <c r="I161" s="527">
        <v>0.4</v>
      </c>
      <c r="J161" s="594">
        <v>5</v>
      </c>
      <c r="K161" s="519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2"/>
      <c r="AP161" s="494" t="str">
        <f ca="1">IF('CDO Bespoke'!C186&lt;&gt;"",'CDO Bespoke'!C186,"")</f>
        <v/>
      </c>
      <c r="AQ161" s="496"/>
      <c r="AR161" s="585"/>
      <c r="AS161" s="585"/>
      <c r="AT161" s="585"/>
      <c r="AU161" s="497"/>
      <c r="AV161" s="627"/>
      <c r="AW161" s="496"/>
      <c r="AX161" s="585"/>
      <c r="AY161" s="585"/>
      <c r="AZ161" s="585"/>
      <c r="BA161" s="497"/>
      <c r="BB161" s="627"/>
      <c r="BC161" s="580"/>
      <c r="BD161" s="580"/>
      <c r="BE161" s="580"/>
      <c r="BF161" s="580"/>
      <c r="BG161" s="579"/>
    </row>
    <row r="162" spans="2:59">
      <c r="B162" s="534" t="s">
        <v>562</v>
      </c>
      <c r="C162" s="535" t="s">
        <v>66</v>
      </c>
      <c r="D162" s="535" t="s">
        <v>59</v>
      </c>
      <c r="E162" s="535" t="s">
        <v>648</v>
      </c>
      <c r="F162" s="535" t="s">
        <v>671</v>
      </c>
      <c r="G162" s="536">
        <v>0.01</v>
      </c>
      <c r="H162" s="536">
        <v>4.3569999999999998E-3</v>
      </c>
      <c r="I162" s="537">
        <v>0.4</v>
      </c>
      <c r="J162" s="595">
        <v>5</v>
      </c>
      <c r="K162" s="538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2"/>
      <c r="AP162" s="494" t="str">
        <f ca="1">IF('CDO Bespoke'!C187&lt;&gt;"",'CDO Bespoke'!C187,"")</f>
        <v/>
      </c>
      <c r="AQ162" s="496"/>
      <c r="AR162" s="585"/>
      <c r="AS162" s="585"/>
      <c r="AT162" s="585"/>
      <c r="AU162" s="497"/>
      <c r="AV162" s="627"/>
      <c r="AW162" s="496"/>
      <c r="AX162" s="585"/>
      <c r="AY162" s="585"/>
      <c r="AZ162" s="585"/>
      <c r="BA162" s="497"/>
      <c r="BB162" s="627"/>
      <c r="BC162" s="580"/>
      <c r="BD162" s="580"/>
      <c r="BE162" s="580"/>
      <c r="BF162" s="580"/>
      <c r="BG162" s="579"/>
    </row>
    <row r="163" spans="2:59">
      <c r="B163" s="539" t="s">
        <v>548</v>
      </c>
      <c r="C163" s="540" t="s">
        <v>66</v>
      </c>
      <c r="D163" s="540" t="s">
        <v>55</v>
      </c>
      <c r="E163" s="540" t="s">
        <v>646</v>
      </c>
      <c r="F163" s="540" t="s">
        <v>671</v>
      </c>
      <c r="G163" s="541">
        <v>0.01</v>
      </c>
      <c r="H163" s="541">
        <v>1.338E-3</v>
      </c>
      <c r="I163" s="542">
        <v>0.4</v>
      </c>
      <c r="J163" s="602">
        <v>5</v>
      </c>
      <c r="K163" s="543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2"/>
      <c r="AP163" s="494" t="str">
        <f ca="1">IF('CDO Bespoke'!C188&lt;&gt;"",'CDO Bespoke'!C188,"")</f>
        <v/>
      </c>
      <c r="AQ163" s="496"/>
      <c r="AR163" s="585"/>
      <c r="AS163" s="585"/>
      <c r="AT163" s="585"/>
      <c r="AU163" s="497"/>
      <c r="AV163" s="627"/>
      <c r="AW163" s="496"/>
      <c r="AX163" s="585"/>
      <c r="AY163" s="585"/>
      <c r="AZ163" s="585"/>
      <c r="BA163" s="497"/>
      <c r="BB163" s="627"/>
      <c r="BC163" s="580"/>
      <c r="BD163" s="580"/>
      <c r="BE163" s="580"/>
      <c r="BF163" s="580"/>
      <c r="BG163" s="579"/>
    </row>
    <row r="164" spans="2:59">
      <c r="B164" s="517" t="s">
        <v>548</v>
      </c>
      <c r="C164" s="518" t="s">
        <v>66</v>
      </c>
      <c r="D164" s="518" t="s">
        <v>57</v>
      </c>
      <c r="E164" s="518" t="s">
        <v>646</v>
      </c>
      <c r="F164" s="518" t="s">
        <v>671</v>
      </c>
      <c r="G164" s="525">
        <v>0.01</v>
      </c>
      <c r="H164" s="525">
        <v>2.0349999999999999E-3</v>
      </c>
      <c r="I164" s="527">
        <v>0.4</v>
      </c>
      <c r="J164" s="594">
        <v>5</v>
      </c>
      <c r="K164" s="519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2"/>
      <c r="AP164" s="494" t="str">
        <f ca="1">IF('CDO Bespoke'!C189&lt;&gt;"",'CDO Bespoke'!C189,"")</f>
        <v/>
      </c>
      <c r="AQ164" s="496"/>
      <c r="AR164" s="585"/>
      <c r="AS164" s="585"/>
      <c r="AT164" s="585"/>
      <c r="AU164" s="497"/>
      <c r="AV164" s="627"/>
      <c r="AW164" s="496"/>
      <c r="AX164" s="585"/>
      <c r="AY164" s="585"/>
      <c r="AZ164" s="585"/>
      <c r="BA164" s="497"/>
      <c r="BB164" s="627"/>
      <c r="BC164" s="580"/>
      <c r="BD164" s="580"/>
      <c r="BE164" s="580"/>
      <c r="BF164" s="580"/>
      <c r="BG164" s="579"/>
    </row>
    <row r="165" spans="2:59">
      <c r="B165" s="534" t="s">
        <v>548</v>
      </c>
      <c r="C165" s="535" t="s">
        <v>66</v>
      </c>
      <c r="D165" s="535" t="s">
        <v>59</v>
      </c>
      <c r="E165" s="535" t="s">
        <v>646</v>
      </c>
      <c r="F165" s="535" t="s">
        <v>671</v>
      </c>
      <c r="G165" s="536">
        <v>0.01</v>
      </c>
      <c r="H165" s="536">
        <v>2.843E-3</v>
      </c>
      <c r="I165" s="537">
        <v>0.4</v>
      </c>
      <c r="J165" s="595">
        <v>5</v>
      </c>
      <c r="K165" s="538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2"/>
      <c r="AP165" s="494" t="str">
        <f ca="1">IF('CDO Bespoke'!C190&lt;&gt;"",'CDO Bespoke'!C190,"")</f>
        <v/>
      </c>
      <c r="AQ165" s="496"/>
      <c r="AR165" s="585"/>
      <c r="AS165" s="585"/>
      <c r="AT165" s="585"/>
      <c r="AU165" s="497"/>
      <c r="AV165" s="627"/>
      <c r="AW165" s="496"/>
      <c r="AX165" s="585"/>
      <c r="AY165" s="585"/>
      <c r="AZ165" s="585"/>
      <c r="BA165" s="497"/>
      <c r="BB165" s="627"/>
      <c r="BC165" s="580"/>
      <c r="BD165" s="580"/>
      <c r="BE165" s="580"/>
      <c r="BF165" s="580"/>
      <c r="BG165" s="579"/>
    </row>
    <row r="166" spans="2:59">
      <c r="B166" s="539" t="s">
        <v>563</v>
      </c>
      <c r="C166" s="540" t="s">
        <v>66</v>
      </c>
      <c r="D166" s="540" t="s">
        <v>55</v>
      </c>
      <c r="E166" s="540" t="s">
        <v>648</v>
      </c>
      <c r="F166" s="540" t="s">
        <v>671</v>
      </c>
      <c r="G166" s="541">
        <v>0.01</v>
      </c>
      <c r="H166" s="541">
        <v>4.5620000000000001E-3</v>
      </c>
      <c r="I166" s="542">
        <v>0.4</v>
      </c>
      <c r="J166" s="602">
        <v>5</v>
      </c>
      <c r="K166" s="543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2"/>
      <c r="AP166" s="494" t="str">
        <f ca="1">IF('CDO Bespoke'!C191&lt;&gt;"",'CDO Bespoke'!C191,"")</f>
        <v/>
      </c>
      <c r="AQ166" s="496"/>
      <c r="AR166" s="585"/>
      <c r="AS166" s="585"/>
      <c r="AT166" s="585"/>
      <c r="AU166" s="497"/>
      <c r="AV166" s="627"/>
      <c r="AW166" s="496"/>
      <c r="AX166" s="585"/>
      <c r="AY166" s="585"/>
      <c r="AZ166" s="585"/>
      <c r="BA166" s="497"/>
      <c r="BB166" s="627"/>
      <c r="BC166" s="580"/>
      <c r="BD166" s="580"/>
      <c r="BE166" s="580"/>
      <c r="BF166" s="580"/>
      <c r="BG166" s="579"/>
    </row>
    <row r="167" spans="2:59">
      <c r="B167" s="517" t="s">
        <v>563</v>
      </c>
      <c r="C167" s="518" t="s">
        <v>66</v>
      </c>
      <c r="D167" s="518" t="s">
        <v>57</v>
      </c>
      <c r="E167" s="518" t="s">
        <v>648</v>
      </c>
      <c r="F167" s="518" t="s">
        <v>671</v>
      </c>
      <c r="G167" s="525">
        <v>0.01</v>
      </c>
      <c r="H167" s="525">
        <v>7.5360000000000002E-3</v>
      </c>
      <c r="I167" s="527">
        <v>0.4</v>
      </c>
      <c r="J167" s="594">
        <v>5</v>
      </c>
      <c r="K167" s="519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2"/>
      <c r="AP167" s="494" t="str">
        <f ca="1">IF('CDO Bespoke'!C192&lt;&gt;"",'CDO Bespoke'!C192,"")</f>
        <v/>
      </c>
      <c r="AQ167" s="496"/>
      <c r="AR167" s="585"/>
      <c r="AS167" s="585"/>
      <c r="AT167" s="585"/>
      <c r="AU167" s="497"/>
      <c r="AV167" s="627"/>
      <c r="AW167" s="496"/>
      <c r="AX167" s="585"/>
      <c r="AY167" s="585"/>
      <c r="AZ167" s="585"/>
      <c r="BA167" s="497"/>
      <c r="BB167" s="627"/>
      <c r="BC167" s="580"/>
      <c r="BD167" s="580"/>
      <c r="BE167" s="580"/>
      <c r="BF167" s="580"/>
      <c r="BG167" s="579"/>
    </row>
    <row r="168" spans="2:59">
      <c r="B168" s="534" t="s">
        <v>563</v>
      </c>
      <c r="C168" s="535" t="s">
        <v>66</v>
      </c>
      <c r="D168" s="535" t="s">
        <v>59</v>
      </c>
      <c r="E168" s="535" t="s">
        <v>648</v>
      </c>
      <c r="F168" s="535" t="s">
        <v>671</v>
      </c>
      <c r="G168" s="536">
        <v>0.01</v>
      </c>
      <c r="H168" s="536">
        <v>1.0989000000000001E-2</v>
      </c>
      <c r="I168" s="537">
        <v>0.4</v>
      </c>
      <c r="J168" s="595">
        <v>5</v>
      </c>
      <c r="K168" s="538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2"/>
      <c r="AP168" s="494" t="str">
        <f ca="1">IF('CDO Bespoke'!C193&lt;&gt;"",'CDO Bespoke'!C193,"")</f>
        <v/>
      </c>
      <c r="AQ168" s="496"/>
      <c r="AR168" s="585"/>
      <c r="AS168" s="585"/>
      <c r="AT168" s="585"/>
      <c r="AU168" s="497"/>
      <c r="AV168" s="627"/>
      <c r="AW168" s="496"/>
      <c r="AX168" s="585"/>
      <c r="AY168" s="585"/>
      <c r="AZ168" s="585"/>
      <c r="BA168" s="497"/>
      <c r="BB168" s="627"/>
      <c r="BC168" s="580"/>
      <c r="BD168" s="580"/>
      <c r="BE168" s="580"/>
      <c r="BF168" s="580"/>
      <c r="BG168" s="579"/>
    </row>
    <row r="169" spans="2:59">
      <c r="B169" s="539" t="s">
        <v>549</v>
      </c>
      <c r="C169" s="540" t="s">
        <v>66</v>
      </c>
      <c r="D169" s="540" t="s">
        <v>55</v>
      </c>
      <c r="E169" s="540" t="s">
        <v>646</v>
      </c>
      <c r="F169" s="540" t="s">
        <v>671</v>
      </c>
      <c r="G169" s="541">
        <v>0.01</v>
      </c>
      <c r="H169" s="541">
        <v>2.6589999999999999E-3</v>
      </c>
      <c r="I169" s="542">
        <v>0.4</v>
      </c>
      <c r="J169" s="602">
        <v>5</v>
      </c>
      <c r="K169" s="543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2"/>
      <c r="AP169" s="494" t="str">
        <f ca="1">IF('CDO Bespoke'!C194&lt;&gt;"",'CDO Bespoke'!C194,"")</f>
        <v/>
      </c>
      <c r="AQ169" s="496"/>
      <c r="AR169" s="585"/>
      <c r="AS169" s="585"/>
      <c r="AT169" s="585"/>
      <c r="AU169" s="497"/>
      <c r="AV169" s="627"/>
      <c r="AW169" s="496"/>
      <c r="AX169" s="585"/>
      <c r="AY169" s="585"/>
      <c r="AZ169" s="585"/>
      <c r="BA169" s="497"/>
      <c r="BB169" s="627"/>
      <c r="BC169" s="580"/>
      <c r="BD169" s="580"/>
      <c r="BE169" s="580"/>
      <c r="BF169" s="580"/>
      <c r="BG169" s="579"/>
    </row>
    <row r="170" spans="2:59">
      <c r="B170" s="517" t="s">
        <v>549</v>
      </c>
      <c r="C170" s="518" t="s">
        <v>66</v>
      </c>
      <c r="D170" s="518" t="s">
        <v>57</v>
      </c>
      <c r="E170" s="518" t="s">
        <v>646</v>
      </c>
      <c r="F170" s="518" t="s">
        <v>671</v>
      </c>
      <c r="G170" s="525">
        <v>0.01</v>
      </c>
      <c r="H170" s="525">
        <v>4.2420000000000001E-3</v>
      </c>
      <c r="I170" s="527">
        <v>0.4</v>
      </c>
      <c r="J170" s="594">
        <v>5</v>
      </c>
      <c r="K170" s="519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2"/>
      <c r="AP170" s="494" t="str">
        <f ca="1">IF('CDO Bespoke'!C195&lt;&gt;"",'CDO Bespoke'!C195,"")</f>
        <v/>
      </c>
      <c r="AQ170" s="496"/>
      <c r="AR170" s="585"/>
      <c r="AS170" s="585"/>
      <c r="AT170" s="585"/>
      <c r="AU170" s="497"/>
      <c r="AV170" s="627"/>
      <c r="AW170" s="496"/>
      <c r="AX170" s="585"/>
      <c r="AY170" s="585"/>
      <c r="AZ170" s="585"/>
      <c r="BA170" s="497"/>
      <c r="BB170" s="627"/>
      <c r="BC170" s="580"/>
      <c r="BD170" s="580"/>
      <c r="BE170" s="580"/>
      <c r="BF170" s="580"/>
      <c r="BG170" s="579"/>
    </row>
    <row r="171" spans="2:59">
      <c r="B171" s="534" t="s">
        <v>549</v>
      </c>
      <c r="C171" s="535" t="s">
        <v>66</v>
      </c>
      <c r="D171" s="535" t="s">
        <v>59</v>
      </c>
      <c r="E171" s="535" t="s">
        <v>646</v>
      </c>
      <c r="F171" s="535" t="s">
        <v>671</v>
      </c>
      <c r="G171" s="536">
        <v>0.01</v>
      </c>
      <c r="H171" s="536">
        <v>5.659E-3</v>
      </c>
      <c r="I171" s="537">
        <v>0.4</v>
      </c>
      <c r="J171" s="595">
        <v>5</v>
      </c>
      <c r="K171" s="538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2"/>
      <c r="AP171" s="494" t="str">
        <f ca="1">IF('CDO Bespoke'!C196&lt;&gt;"",'CDO Bespoke'!C196,"")</f>
        <v/>
      </c>
      <c r="AQ171" s="496"/>
      <c r="AR171" s="585"/>
      <c r="AS171" s="585"/>
      <c r="AT171" s="585"/>
      <c r="AU171" s="497"/>
      <c r="AV171" s="627"/>
      <c r="AW171" s="496"/>
      <c r="AX171" s="585"/>
      <c r="AY171" s="585"/>
      <c r="AZ171" s="585"/>
      <c r="BA171" s="497"/>
      <c r="BB171" s="627"/>
      <c r="BC171" s="580"/>
      <c r="BD171" s="580"/>
      <c r="BE171" s="580"/>
      <c r="BF171" s="580"/>
      <c r="BG171" s="579"/>
    </row>
    <row r="172" spans="2:59">
      <c r="B172" s="539" t="s">
        <v>550</v>
      </c>
      <c r="C172" s="540" t="s">
        <v>66</v>
      </c>
      <c r="D172" s="540" t="s">
        <v>55</v>
      </c>
      <c r="E172" s="540" t="s">
        <v>648</v>
      </c>
      <c r="F172" s="540" t="s">
        <v>671</v>
      </c>
      <c r="G172" s="541">
        <v>0.01</v>
      </c>
      <c r="H172" s="541">
        <v>1.866E-3</v>
      </c>
      <c r="I172" s="542">
        <v>0.4</v>
      </c>
      <c r="J172" s="602">
        <v>5</v>
      </c>
      <c r="K172" s="543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2"/>
      <c r="AP172" s="494" t="str">
        <f ca="1">IF('CDO Bespoke'!C197&lt;&gt;"",'CDO Bespoke'!C197,"")</f>
        <v/>
      </c>
      <c r="AQ172" s="496"/>
      <c r="AR172" s="585"/>
      <c r="AS172" s="585"/>
      <c r="AT172" s="585"/>
      <c r="AU172" s="497"/>
      <c r="AV172" s="627"/>
      <c r="AW172" s="496"/>
      <c r="AX172" s="585"/>
      <c r="AY172" s="585"/>
      <c r="AZ172" s="585"/>
      <c r="BA172" s="497"/>
      <c r="BB172" s="627"/>
      <c r="BC172" s="580"/>
      <c r="BD172" s="580"/>
      <c r="BE172" s="580"/>
      <c r="BF172" s="580"/>
      <c r="BG172" s="579"/>
    </row>
    <row r="173" spans="2:59">
      <c r="B173" s="517" t="s">
        <v>550</v>
      </c>
      <c r="C173" s="518" t="s">
        <v>66</v>
      </c>
      <c r="D173" s="518" t="s">
        <v>57</v>
      </c>
      <c r="E173" s="518" t="s">
        <v>648</v>
      </c>
      <c r="F173" s="518" t="s">
        <v>671</v>
      </c>
      <c r="G173" s="525">
        <v>0.01</v>
      </c>
      <c r="H173" s="525">
        <v>3.0259999999999999E-2</v>
      </c>
      <c r="I173" s="527">
        <v>0.4</v>
      </c>
      <c r="J173" s="594">
        <v>5</v>
      </c>
      <c r="K173" s="519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2"/>
      <c r="AP173" s="494" t="str">
        <f ca="1">IF('CDO Bespoke'!C198&lt;&gt;"",'CDO Bespoke'!C198,"")</f>
        <v/>
      </c>
      <c r="AQ173" s="496"/>
      <c r="AR173" s="585"/>
      <c r="AS173" s="585"/>
      <c r="AT173" s="585"/>
      <c r="AU173" s="497"/>
      <c r="AV173" s="627"/>
      <c r="AW173" s="496"/>
      <c r="AX173" s="585"/>
      <c r="AY173" s="585"/>
      <c r="AZ173" s="585"/>
      <c r="BA173" s="497"/>
      <c r="BB173" s="627"/>
      <c r="BC173" s="580"/>
      <c r="BD173" s="580"/>
      <c r="BE173" s="580"/>
      <c r="BF173" s="580"/>
      <c r="BG173" s="579"/>
    </row>
    <row r="174" spans="2:59">
      <c r="B174" s="534" t="s">
        <v>550</v>
      </c>
      <c r="C174" s="535" t="s">
        <v>66</v>
      </c>
      <c r="D174" s="535" t="s">
        <v>59</v>
      </c>
      <c r="E174" s="535" t="s">
        <v>648</v>
      </c>
      <c r="F174" s="535" t="s">
        <v>671</v>
      </c>
      <c r="G174" s="536">
        <v>0.01</v>
      </c>
      <c r="H174" s="536">
        <v>4.2849999999999997E-3</v>
      </c>
      <c r="I174" s="537">
        <v>0.4</v>
      </c>
      <c r="J174" s="595">
        <v>5</v>
      </c>
      <c r="K174" s="538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2"/>
      <c r="AP174" s="494" t="str">
        <f ca="1">IF('CDO Bespoke'!C199&lt;&gt;"",'CDO Bespoke'!C199,"")</f>
        <v/>
      </c>
      <c r="AQ174" s="496"/>
      <c r="AR174" s="585"/>
      <c r="AS174" s="585"/>
      <c r="AT174" s="585"/>
      <c r="AU174" s="497"/>
      <c r="AV174" s="627"/>
      <c r="AW174" s="496"/>
      <c r="AX174" s="585"/>
      <c r="AY174" s="585"/>
      <c r="AZ174" s="585"/>
      <c r="BA174" s="497"/>
      <c r="BB174" s="627"/>
      <c r="BC174" s="580"/>
      <c r="BD174" s="580"/>
      <c r="BE174" s="580"/>
      <c r="BF174" s="580"/>
      <c r="BG174" s="579"/>
    </row>
    <row r="175" spans="2:59">
      <c r="B175" s="539" t="s">
        <v>551</v>
      </c>
      <c r="C175" s="540" t="s">
        <v>66</v>
      </c>
      <c r="D175" s="540" t="s">
        <v>55</v>
      </c>
      <c r="E175" s="540" t="s">
        <v>648</v>
      </c>
      <c r="F175" s="540" t="s">
        <v>671</v>
      </c>
      <c r="G175" s="541">
        <v>0.01</v>
      </c>
      <c r="H175" s="541">
        <v>3.153E-3</v>
      </c>
      <c r="I175" s="542">
        <v>0.4</v>
      </c>
      <c r="J175" s="602">
        <v>5</v>
      </c>
      <c r="K175" s="543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2"/>
      <c r="AP175" s="494" t="str">
        <f ca="1">IF('CDO Bespoke'!C200&lt;&gt;"",'CDO Bespoke'!C200,"")</f>
        <v/>
      </c>
      <c r="AQ175" s="496"/>
      <c r="AR175" s="585"/>
      <c r="AS175" s="585"/>
      <c r="AT175" s="585"/>
      <c r="AU175" s="497"/>
      <c r="AV175" s="627"/>
      <c r="AW175" s="496"/>
      <c r="AX175" s="585"/>
      <c r="AY175" s="585"/>
      <c r="AZ175" s="585"/>
      <c r="BA175" s="497"/>
      <c r="BB175" s="627"/>
      <c r="BC175" s="580"/>
      <c r="BD175" s="580"/>
      <c r="BE175" s="580"/>
      <c r="BF175" s="580"/>
      <c r="BG175" s="579"/>
    </row>
    <row r="176" spans="2:59">
      <c r="B176" s="517" t="s">
        <v>551</v>
      </c>
      <c r="C176" s="518" t="s">
        <v>66</v>
      </c>
      <c r="D176" s="518" t="s">
        <v>57</v>
      </c>
      <c r="E176" s="518" t="s">
        <v>648</v>
      </c>
      <c r="F176" s="518" t="s">
        <v>671</v>
      </c>
      <c r="G176" s="525">
        <v>0.01</v>
      </c>
      <c r="H176" s="525">
        <v>4.9170000000000004E-3</v>
      </c>
      <c r="I176" s="527">
        <v>0.4</v>
      </c>
      <c r="J176" s="594">
        <v>5</v>
      </c>
      <c r="K176" s="519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2"/>
      <c r="AP176" s="494" t="str">
        <f ca="1">IF('CDO Bespoke'!C201&lt;&gt;"",'CDO Bespoke'!C201,"")</f>
        <v/>
      </c>
      <c r="AQ176" s="496"/>
      <c r="AR176" s="585"/>
      <c r="AS176" s="585"/>
      <c r="AT176" s="585"/>
      <c r="AU176" s="497"/>
      <c r="AV176" s="627"/>
      <c r="AW176" s="496"/>
      <c r="AX176" s="585"/>
      <c r="AY176" s="585"/>
      <c r="AZ176" s="585"/>
      <c r="BA176" s="497"/>
      <c r="BB176" s="627"/>
      <c r="BC176" s="580"/>
      <c r="BD176" s="580"/>
      <c r="BE176" s="580"/>
      <c r="BF176" s="580"/>
      <c r="BG176" s="579"/>
    </row>
    <row r="177" spans="2:59">
      <c r="B177" s="534" t="s">
        <v>551</v>
      </c>
      <c r="C177" s="535" t="s">
        <v>66</v>
      </c>
      <c r="D177" s="535" t="s">
        <v>59</v>
      </c>
      <c r="E177" s="535" t="s">
        <v>648</v>
      </c>
      <c r="F177" s="535" t="s">
        <v>671</v>
      </c>
      <c r="G177" s="536">
        <v>0.01</v>
      </c>
      <c r="H177" s="536">
        <v>6.8279999999999999E-3</v>
      </c>
      <c r="I177" s="537">
        <v>0.4</v>
      </c>
      <c r="J177" s="595">
        <v>5</v>
      </c>
      <c r="K177" s="538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2"/>
      <c r="AP177" s="494" t="str">
        <f ca="1">IF('CDO Bespoke'!C202&lt;&gt;"",'CDO Bespoke'!C202,"")</f>
        <v/>
      </c>
      <c r="AQ177" s="496"/>
      <c r="AR177" s="585"/>
      <c r="AS177" s="585"/>
      <c r="AT177" s="585"/>
      <c r="AU177" s="497"/>
      <c r="AV177" s="627"/>
      <c r="AW177" s="496"/>
      <c r="AX177" s="585"/>
      <c r="AY177" s="585"/>
      <c r="AZ177" s="585"/>
      <c r="BA177" s="497"/>
      <c r="BB177" s="627"/>
      <c r="BC177" s="580"/>
      <c r="BD177" s="580"/>
      <c r="BE177" s="580"/>
      <c r="BF177" s="580"/>
      <c r="BG177" s="579"/>
    </row>
    <row r="178" spans="2:59">
      <c r="B178" s="539" t="s">
        <v>552</v>
      </c>
      <c r="C178" s="540" t="s">
        <v>66</v>
      </c>
      <c r="D178" s="540" t="s">
        <v>55</v>
      </c>
      <c r="E178" s="540" t="s">
        <v>648</v>
      </c>
      <c r="F178" s="540" t="s">
        <v>671</v>
      </c>
      <c r="G178" s="541">
        <v>0.01</v>
      </c>
      <c r="H178" s="541">
        <v>6.7999999999999996E-3</v>
      </c>
      <c r="I178" s="542">
        <v>0.4</v>
      </c>
      <c r="J178" s="602">
        <v>5</v>
      </c>
      <c r="K178" s="543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2"/>
      <c r="AP178" s="494" t="str">
        <f ca="1">IF('CDO Bespoke'!C203&lt;&gt;"",'CDO Bespoke'!C203,"")</f>
        <v/>
      </c>
      <c r="AQ178" s="496"/>
      <c r="AR178" s="585"/>
      <c r="AS178" s="585"/>
      <c r="AT178" s="585"/>
      <c r="AU178" s="497"/>
      <c r="AV178" s="627"/>
      <c r="AW178" s="496"/>
      <c r="AX178" s="585"/>
      <c r="AY178" s="585"/>
      <c r="AZ178" s="585"/>
      <c r="BA178" s="497"/>
      <c r="BB178" s="627"/>
      <c r="BC178" s="580"/>
      <c r="BD178" s="580"/>
      <c r="BE178" s="580"/>
      <c r="BF178" s="580"/>
      <c r="BG178" s="579"/>
    </row>
    <row r="179" spans="2:59">
      <c r="B179" s="517" t="s">
        <v>552</v>
      </c>
      <c r="C179" s="518" t="s">
        <v>66</v>
      </c>
      <c r="D179" s="518" t="s">
        <v>57</v>
      </c>
      <c r="E179" s="518" t="s">
        <v>648</v>
      </c>
      <c r="F179" s="518" t="s">
        <v>671</v>
      </c>
      <c r="G179" s="525">
        <v>0.01</v>
      </c>
      <c r="H179" s="525">
        <v>1.1743E-2</v>
      </c>
      <c r="I179" s="527">
        <v>0.4</v>
      </c>
      <c r="J179" s="594">
        <v>5</v>
      </c>
      <c r="K179" s="519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2"/>
      <c r="AP179" s="494" t="str">
        <f ca="1">IF('CDO Bespoke'!C204&lt;&gt;"",'CDO Bespoke'!C204,"")</f>
        <v/>
      </c>
      <c r="AQ179" s="496"/>
      <c r="AR179" s="585"/>
      <c r="AS179" s="585"/>
      <c r="AT179" s="585"/>
      <c r="AU179" s="497"/>
      <c r="AV179" s="627"/>
      <c r="AW179" s="496"/>
      <c r="AX179" s="585"/>
      <c r="AY179" s="585"/>
      <c r="AZ179" s="585"/>
      <c r="BA179" s="497"/>
      <c r="BB179" s="627"/>
      <c r="BC179" s="580"/>
      <c r="BD179" s="580"/>
      <c r="BE179" s="580"/>
      <c r="BF179" s="580"/>
      <c r="BG179" s="579"/>
    </row>
    <row r="180" spans="2:59">
      <c r="B180" s="534" t="s">
        <v>552</v>
      </c>
      <c r="C180" s="535" t="s">
        <v>66</v>
      </c>
      <c r="D180" s="535" t="s">
        <v>59</v>
      </c>
      <c r="E180" s="535" t="s">
        <v>648</v>
      </c>
      <c r="F180" s="535" t="s">
        <v>671</v>
      </c>
      <c r="G180" s="536">
        <v>0.01</v>
      </c>
      <c r="H180" s="536">
        <v>1.5325E-2</v>
      </c>
      <c r="I180" s="537">
        <v>0.4</v>
      </c>
      <c r="J180" s="595">
        <v>5</v>
      </c>
      <c r="K180" s="538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2"/>
      <c r="AP180" s="494" t="str">
        <f ca="1">IF('CDO Bespoke'!C205&lt;&gt;"",'CDO Bespoke'!C205,"")</f>
        <v/>
      </c>
      <c r="AQ180" s="496"/>
      <c r="AR180" s="585"/>
      <c r="AS180" s="585"/>
      <c r="AT180" s="585"/>
      <c r="AU180" s="497"/>
      <c r="AV180" s="627"/>
      <c r="AW180" s="496"/>
      <c r="AX180" s="585"/>
      <c r="AY180" s="585"/>
      <c r="AZ180" s="585"/>
      <c r="BA180" s="497"/>
      <c r="BB180" s="627"/>
      <c r="BC180" s="580"/>
      <c r="BD180" s="580"/>
      <c r="BE180" s="580"/>
      <c r="BF180" s="580"/>
      <c r="BG180" s="579"/>
    </row>
    <row r="181" spans="2:59">
      <c r="B181" s="539" t="s">
        <v>553</v>
      </c>
      <c r="C181" s="540" t="s">
        <v>66</v>
      </c>
      <c r="D181" s="540" t="s">
        <v>55</v>
      </c>
      <c r="E181" s="540" t="s">
        <v>650</v>
      </c>
      <c r="F181" s="540" t="s">
        <v>671</v>
      </c>
      <c r="G181" s="541">
        <v>0.01</v>
      </c>
      <c r="H181" s="541">
        <v>1.8079999999999999E-3</v>
      </c>
      <c r="I181" s="542">
        <v>0.4</v>
      </c>
      <c r="J181" s="602">
        <v>5</v>
      </c>
      <c r="K181" s="543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2"/>
      <c r="AP181" s="494" t="str">
        <f ca="1">IF('CDO Bespoke'!C206&lt;&gt;"",'CDO Bespoke'!C206,"")</f>
        <v/>
      </c>
      <c r="AQ181" s="496"/>
      <c r="AR181" s="585"/>
      <c r="AS181" s="585"/>
      <c r="AT181" s="585"/>
      <c r="AU181" s="497"/>
      <c r="AV181" s="627"/>
      <c r="AW181" s="496"/>
      <c r="AX181" s="585"/>
      <c r="AY181" s="585"/>
      <c r="AZ181" s="585"/>
      <c r="BA181" s="497"/>
      <c r="BB181" s="627"/>
      <c r="BC181" s="580"/>
      <c r="BD181" s="580"/>
      <c r="BE181" s="580"/>
      <c r="BF181" s="580"/>
      <c r="BG181" s="579"/>
    </row>
    <row r="182" spans="2:59">
      <c r="B182" s="517" t="s">
        <v>553</v>
      </c>
      <c r="C182" s="518" t="s">
        <v>66</v>
      </c>
      <c r="D182" s="518" t="s">
        <v>57</v>
      </c>
      <c r="E182" s="518" t="s">
        <v>650</v>
      </c>
      <c r="F182" s="518" t="s">
        <v>671</v>
      </c>
      <c r="G182" s="525">
        <v>0.01</v>
      </c>
      <c r="H182" s="525">
        <v>3.0379999999999999E-3</v>
      </c>
      <c r="I182" s="527">
        <v>0.4</v>
      </c>
      <c r="J182" s="594">
        <v>5</v>
      </c>
      <c r="K182" s="519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3"/>
      <c r="AE182" s="273"/>
      <c r="AF182" s="272"/>
      <c r="AP182" s="494" t="str">
        <f ca="1">IF('CDO Bespoke'!C207&lt;&gt;"",'CDO Bespoke'!C207,"")</f>
        <v/>
      </c>
      <c r="AQ182" s="496"/>
      <c r="AR182" s="585"/>
      <c r="AS182" s="585"/>
      <c r="AT182" s="585"/>
      <c r="AU182" s="497"/>
      <c r="AV182" s="627"/>
      <c r="AW182" s="496"/>
      <c r="AX182" s="585"/>
      <c r="AY182" s="585"/>
      <c r="AZ182" s="585"/>
      <c r="BA182" s="497"/>
      <c r="BB182" s="627"/>
      <c r="BC182" s="580"/>
      <c r="BD182" s="580"/>
      <c r="BE182" s="580"/>
      <c r="BF182" s="580"/>
      <c r="BG182" s="579"/>
    </row>
    <row r="183" spans="2:59">
      <c r="B183" s="534" t="s">
        <v>553</v>
      </c>
      <c r="C183" s="535" t="s">
        <v>66</v>
      </c>
      <c r="D183" s="535" t="s">
        <v>59</v>
      </c>
      <c r="E183" s="535" t="s">
        <v>650</v>
      </c>
      <c r="F183" s="535" t="s">
        <v>671</v>
      </c>
      <c r="G183" s="536">
        <v>0.01</v>
      </c>
      <c r="H183" s="536">
        <v>4.2700000000000004E-3</v>
      </c>
      <c r="I183" s="537">
        <v>0.4</v>
      </c>
      <c r="J183" s="595">
        <v>5</v>
      </c>
      <c r="K183" s="538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3"/>
      <c r="AE183" s="273"/>
      <c r="AF183" s="272"/>
      <c r="AP183" s="494" t="str">
        <f ca="1">IF('CDO Bespoke'!C208&lt;&gt;"",'CDO Bespoke'!C208,"")</f>
        <v/>
      </c>
      <c r="AQ183" s="496"/>
      <c r="AR183" s="585"/>
      <c r="AS183" s="585"/>
      <c r="AT183" s="585"/>
      <c r="AU183" s="497"/>
      <c r="AV183" s="627"/>
      <c r="AW183" s="496"/>
      <c r="AX183" s="585"/>
      <c r="AY183" s="585"/>
      <c r="AZ183" s="585"/>
      <c r="BA183" s="497"/>
      <c r="BB183" s="627"/>
      <c r="BC183" s="580"/>
      <c r="BD183" s="580"/>
      <c r="BE183" s="580"/>
      <c r="BF183" s="580"/>
      <c r="BG183" s="579"/>
    </row>
    <row r="184" spans="2:59">
      <c r="B184" s="539" t="s">
        <v>554</v>
      </c>
      <c r="C184" s="540" t="s">
        <v>66</v>
      </c>
      <c r="D184" s="540" t="s">
        <v>55</v>
      </c>
      <c r="E184" s="540" t="s">
        <v>650</v>
      </c>
      <c r="F184" s="540" t="s">
        <v>671</v>
      </c>
      <c r="G184" s="541">
        <v>0.01</v>
      </c>
      <c r="H184" s="541">
        <v>1.957E-3</v>
      </c>
      <c r="I184" s="542">
        <v>0.4</v>
      </c>
      <c r="J184" s="602">
        <v>5</v>
      </c>
      <c r="K184" s="543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  <c r="AF184" s="272"/>
      <c r="AP184" s="494" t="str">
        <f ca="1">IF('CDO Bespoke'!C209&lt;&gt;"",'CDO Bespoke'!C209,"")</f>
        <v/>
      </c>
      <c r="AQ184" s="496"/>
      <c r="AR184" s="585"/>
      <c r="AS184" s="585"/>
      <c r="AT184" s="585"/>
      <c r="AU184" s="497"/>
      <c r="AV184" s="627"/>
      <c r="AW184" s="496"/>
      <c r="AX184" s="585"/>
      <c r="AY184" s="585"/>
      <c r="AZ184" s="585"/>
      <c r="BA184" s="497"/>
      <c r="BB184" s="627"/>
      <c r="BC184" s="580"/>
      <c r="BD184" s="580"/>
      <c r="BE184" s="580"/>
      <c r="BF184" s="580"/>
      <c r="BG184" s="579"/>
    </row>
    <row r="185" spans="2:59">
      <c r="B185" s="517" t="s">
        <v>554</v>
      </c>
      <c r="C185" s="518" t="s">
        <v>66</v>
      </c>
      <c r="D185" s="518" t="s">
        <v>57</v>
      </c>
      <c r="E185" s="518" t="s">
        <v>650</v>
      </c>
      <c r="F185" s="518" t="s">
        <v>671</v>
      </c>
      <c r="G185" s="525">
        <v>0.01</v>
      </c>
      <c r="H185" s="525">
        <v>2.7009999999999998E-3</v>
      </c>
      <c r="I185" s="527">
        <v>0.4</v>
      </c>
      <c r="J185" s="594">
        <v>5</v>
      </c>
      <c r="K185" s="519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2"/>
      <c r="AP185" s="494" t="str">
        <f ca="1">IF('CDO Bespoke'!C210&lt;&gt;"",'CDO Bespoke'!C210,"")</f>
        <v/>
      </c>
      <c r="AQ185" s="496"/>
      <c r="AR185" s="585"/>
      <c r="AS185" s="585"/>
      <c r="AT185" s="585"/>
      <c r="AU185" s="497"/>
      <c r="AV185" s="627"/>
      <c r="AW185" s="496"/>
      <c r="AX185" s="585"/>
      <c r="AY185" s="585"/>
      <c r="AZ185" s="585"/>
      <c r="BA185" s="497"/>
      <c r="BB185" s="627"/>
      <c r="BC185" s="580"/>
      <c r="BD185" s="580"/>
      <c r="BE185" s="580"/>
      <c r="BF185" s="580"/>
      <c r="BG185" s="579"/>
    </row>
    <row r="186" spans="2:59">
      <c r="B186" s="534" t="s">
        <v>554</v>
      </c>
      <c r="C186" s="535" t="s">
        <v>66</v>
      </c>
      <c r="D186" s="535" t="s">
        <v>59</v>
      </c>
      <c r="E186" s="535" t="s">
        <v>650</v>
      </c>
      <c r="F186" s="535" t="s">
        <v>671</v>
      </c>
      <c r="G186" s="536">
        <v>0.01</v>
      </c>
      <c r="H186" s="536">
        <v>3.7780000000000001E-3</v>
      </c>
      <c r="I186" s="537">
        <v>0.4</v>
      </c>
      <c r="J186" s="595">
        <v>5</v>
      </c>
      <c r="K186" s="538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3"/>
      <c r="AE186" s="273"/>
      <c r="AF186" s="272"/>
      <c r="AP186" s="494" t="str">
        <f ca="1">IF('CDO Bespoke'!C211&lt;&gt;"",'CDO Bespoke'!C211,"")</f>
        <v/>
      </c>
      <c r="AQ186" s="496"/>
      <c r="AR186" s="585"/>
      <c r="AS186" s="585"/>
      <c r="AT186" s="585"/>
      <c r="AU186" s="497"/>
      <c r="AV186" s="627"/>
      <c r="AW186" s="496"/>
      <c r="AX186" s="585"/>
      <c r="AY186" s="585"/>
      <c r="AZ186" s="585"/>
      <c r="BA186" s="497"/>
      <c r="BB186" s="627"/>
      <c r="BC186" s="580"/>
      <c r="BD186" s="580"/>
      <c r="BE186" s="580"/>
      <c r="BF186" s="580"/>
      <c r="BG186" s="579"/>
    </row>
    <row r="187" spans="2:59">
      <c r="B187" s="539" t="s">
        <v>555</v>
      </c>
      <c r="C187" s="540" t="s">
        <v>66</v>
      </c>
      <c r="D187" s="540" t="s">
        <v>55</v>
      </c>
      <c r="E187" s="540" t="s">
        <v>648</v>
      </c>
      <c r="F187" s="540" t="s">
        <v>671</v>
      </c>
      <c r="G187" s="541">
        <v>0.01</v>
      </c>
      <c r="H187" s="541">
        <v>2.3579999999999999E-3</v>
      </c>
      <c r="I187" s="542">
        <v>0.4</v>
      </c>
      <c r="J187" s="602">
        <v>5</v>
      </c>
      <c r="K187" s="543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3"/>
      <c r="AE187" s="273"/>
      <c r="AF187" s="272"/>
      <c r="AP187" s="494" t="str">
        <f ca="1">IF('CDO Bespoke'!C212&lt;&gt;"",'CDO Bespoke'!C212,"")</f>
        <v/>
      </c>
      <c r="AQ187" s="496"/>
      <c r="AR187" s="585"/>
      <c r="AS187" s="585"/>
      <c r="AT187" s="585"/>
      <c r="AU187" s="497"/>
      <c r="AV187" s="627"/>
      <c r="AW187" s="496"/>
      <c r="AX187" s="585"/>
      <c r="AY187" s="585"/>
      <c r="AZ187" s="585"/>
      <c r="BA187" s="497"/>
      <c r="BB187" s="627"/>
      <c r="BC187" s="580"/>
      <c r="BD187" s="580"/>
      <c r="BE187" s="580"/>
      <c r="BF187" s="580"/>
      <c r="BG187" s="579"/>
    </row>
    <row r="188" spans="2:59">
      <c r="B188" s="517" t="s">
        <v>555</v>
      </c>
      <c r="C188" s="518" t="s">
        <v>66</v>
      </c>
      <c r="D188" s="518" t="s">
        <v>57</v>
      </c>
      <c r="E188" s="518" t="s">
        <v>648</v>
      </c>
      <c r="F188" s="518" t="s">
        <v>671</v>
      </c>
      <c r="G188" s="525">
        <v>0.01</v>
      </c>
      <c r="H188" s="525">
        <v>4.816E-3</v>
      </c>
      <c r="I188" s="527">
        <v>0.4</v>
      </c>
      <c r="J188" s="594">
        <v>5</v>
      </c>
      <c r="K188" s="519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2"/>
      <c r="AP188" s="494" t="str">
        <f ca="1">IF('CDO Bespoke'!C213&lt;&gt;"",'CDO Bespoke'!C213,"")</f>
        <v/>
      </c>
      <c r="AQ188" s="496"/>
      <c r="AR188" s="585"/>
      <c r="AS188" s="585"/>
      <c r="AT188" s="585"/>
      <c r="AU188" s="497"/>
      <c r="AV188" s="627"/>
      <c r="AW188" s="496"/>
      <c r="AX188" s="585"/>
      <c r="AY188" s="585"/>
      <c r="AZ188" s="585"/>
      <c r="BA188" s="497"/>
      <c r="BB188" s="627"/>
      <c r="BC188" s="580"/>
      <c r="BD188" s="580"/>
      <c r="BE188" s="580"/>
      <c r="BF188" s="580"/>
      <c r="BG188" s="579"/>
    </row>
    <row r="189" spans="2:59">
      <c r="B189" s="534" t="s">
        <v>555</v>
      </c>
      <c r="C189" s="535" t="s">
        <v>66</v>
      </c>
      <c r="D189" s="535" t="s">
        <v>59</v>
      </c>
      <c r="E189" s="535" t="s">
        <v>648</v>
      </c>
      <c r="F189" s="535" t="s">
        <v>671</v>
      </c>
      <c r="G189" s="536">
        <v>0.01</v>
      </c>
      <c r="H189" s="536">
        <v>7.6169999999999996E-3</v>
      </c>
      <c r="I189" s="537">
        <v>0.4</v>
      </c>
      <c r="J189" s="595">
        <v>5</v>
      </c>
      <c r="K189" s="538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2"/>
      <c r="AP189" s="494" t="str">
        <f ca="1">IF('CDO Bespoke'!C214&lt;&gt;"",'CDO Bespoke'!C214,"")</f>
        <v/>
      </c>
      <c r="AQ189" s="496"/>
      <c r="AR189" s="585"/>
      <c r="AS189" s="585"/>
      <c r="AT189" s="585"/>
      <c r="AU189" s="497"/>
      <c r="AV189" s="627"/>
      <c r="AW189" s="496"/>
      <c r="AX189" s="585"/>
      <c r="AY189" s="585"/>
      <c r="AZ189" s="585"/>
      <c r="BA189" s="497"/>
      <c r="BB189" s="627"/>
      <c r="BC189" s="580"/>
      <c r="BD189" s="580"/>
      <c r="BE189" s="580"/>
      <c r="BF189" s="580"/>
      <c r="BG189" s="579"/>
    </row>
    <row r="190" spans="2:59">
      <c r="B190" s="539" t="s">
        <v>556</v>
      </c>
      <c r="C190" s="540" t="s">
        <v>66</v>
      </c>
      <c r="D190" s="540" t="s">
        <v>55</v>
      </c>
      <c r="E190" s="540" t="s">
        <v>648</v>
      </c>
      <c r="F190" s="540" t="s">
        <v>671</v>
      </c>
      <c r="G190" s="541">
        <v>0.01</v>
      </c>
      <c r="H190" s="541">
        <v>2.2920000000000002E-3</v>
      </c>
      <c r="I190" s="542">
        <v>0.4</v>
      </c>
      <c r="J190" s="602">
        <v>5</v>
      </c>
      <c r="K190" s="543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2"/>
      <c r="AP190" s="494" t="str">
        <f ca="1">IF('CDO Bespoke'!C215&lt;&gt;"",'CDO Bespoke'!C215,"")</f>
        <v/>
      </c>
      <c r="AQ190" s="496"/>
      <c r="AR190" s="585"/>
      <c r="AS190" s="585"/>
      <c r="AT190" s="585"/>
      <c r="AU190" s="497"/>
      <c r="AV190" s="627"/>
      <c r="AW190" s="496"/>
      <c r="AX190" s="585"/>
      <c r="AY190" s="585"/>
      <c r="AZ190" s="585"/>
      <c r="BA190" s="497"/>
      <c r="BB190" s="627"/>
      <c r="BC190" s="580"/>
      <c r="BD190" s="580"/>
      <c r="BE190" s="580"/>
      <c r="BF190" s="580"/>
      <c r="BG190" s="579"/>
    </row>
    <row r="191" spans="2:59">
      <c r="B191" s="517" t="s">
        <v>556</v>
      </c>
      <c r="C191" s="518" t="s">
        <v>66</v>
      </c>
      <c r="D191" s="518" t="s">
        <v>57</v>
      </c>
      <c r="E191" s="518" t="s">
        <v>648</v>
      </c>
      <c r="F191" s="518" t="s">
        <v>671</v>
      </c>
      <c r="G191" s="525">
        <v>0.01</v>
      </c>
      <c r="H191" s="525">
        <v>3.6840000000000002E-3</v>
      </c>
      <c r="I191" s="527">
        <v>0.4</v>
      </c>
      <c r="J191" s="594">
        <v>5</v>
      </c>
      <c r="K191" s="519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3"/>
      <c r="AE191" s="273"/>
      <c r="AF191" s="272"/>
      <c r="AP191" s="494" t="str">
        <f ca="1">IF('CDO Bespoke'!C216&lt;&gt;"",'CDO Bespoke'!C216,"")</f>
        <v/>
      </c>
      <c r="AQ191" s="496"/>
      <c r="AR191" s="585"/>
      <c r="AS191" s="585"/>
      <c r="AT191" s="585"/>
      <c r="AU191" s="497"/>
      <c r="AV191" s="627"/>
      <c r="AW191" s="496"/>
      <c r="AX191" s="585"/>
      <c r="AY191" s="585"/>
      <c r="AZ191" s="585"/>
      <c r="BA191" s="497"/>
      <c r="BB191" s="627"/>
      <c r="BC191" s="580"/>
      <c r="BD191" s="580"/>
      <c r="BE191" s="580"/>
      <c r="BF191" s="580"/>
      <c r="BG191" s="579"/>
    </row>
    <row r="192" spans="2:59">
      <c r="B192" s="534" t="s">
        <v>556</v>
      </c>
      <c r="C192" s="535" t="s">
        <v>66</v>
      </c>
      <c r="D192" s="535" t="s">
        <v>59</v>
      </c>
      <c r="E192" s="535" t="s">
        <v>648</v>
      </c>
      <c r="F192" s="535" t="s">
        <v>671</v>
      </c>
      <c r="G192" s="536">
        <v>0.01</v>
      </c>
      <c r="H192" s="536">
        <v>5.0730000000000003E-3</v>
      </c>
      <c r="I192" s="537">
        <v>0.4</v>
      </c>
      <c r="J192" s="595">
        <v>5</v>
      </c>
      <c r="K192" s="538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3"/>
      <c r="AE192" s="273"/>
      <c r="AF192" s="272"/>
      <c r="AP192" s="494" t="str">
        <f ca="1">IF('CDO Bespoke'!C217&lt;&gt;"",'CDO Bespoke'!C217,"")</f>
        <v/>
      </c>
      <c r="AQ192" s="496"/>
      <c r="AR192" s="585"/>
      <c r="AS192" s="585"/>
      <c r="AT192" s="585"/>
      <c r="AU192" s="497"/>
      <c r="AV192" s="627"/>
      <c r="AW192" s="496"/>
      <c r="AX192" s="585"/>
      <c r="AY192" s="585"/>
      <c r="AZ192" s="585"/>
      <c r="BA192" s="497"/>
      <c r="BB192" s="627"/>
      <c r="BC192" s="580"/>
      <c r="BD192" s="580"/>
      <c r="BE192" s="580"/>
      <c r="BF192" s="580"/>
      <c r="BG192" s="579"/>
    </row>
    <row r="193" spans="2:59">
      <c r="B193" s="539" t="s">
        <v>564</v>
      </c>
      <c r="C193" s="540" t="s">
        <v>66</v>
      </c>
      <c r="D193" s="540" t="s">
        <v>55</v>
      </c>
      <c r="E193" s="540" t="s">
        <v>648</v>
      </c>
      <c r="F193" s="540" t="s">
        <v>671</v>
      </c>
      <c r="G193" s="541">
        <v>0.01</v>
      </c>
      <c r="H193" s="541">
        <v>1.598E-3</v>
      </c>
      <c r="I193" s="542">
        <v>0.4</v>
      </c>
      <c r="J193" s="602">
        <v>5</v>
      </c>
      <c r="K193" s="543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3"/>
      <c r="AE193" s="273"/>
      <c r="AF193" s="272"/>
      <c r="AP193" s="494" t="str">
        <f ca="1">IF('CDO Bespoke'!C218&lt;&gt;"",'CDO Bespoke'!C218,"")</f>
        <v/>
      </c>
      <c r="AQ193" s="496"/>
      <c r="AR193" s="585"/>
      <c r="AS193" s="585"/>
      <c r="AT193" s="585"/>
      <c r="AU193" s="497"/>
      <c r="AV193" s="627"/>
      <c r="AW193" s="496"/>
      <c r="AX193" s="585"/>
      <c r="AY193" s="585"/>
      <c r="AZ193" s="585"/>
      <c r="BA193" s="497"/>
      <c r="BB193" s="627"/>
      <c r="BC193" s="580"/>
      <c r="BD193" s="580"/>
      <c r="BE193" s="580"/>
      <c r="BF193" s="580"/>
      <c r="BG193" s="579"/>
    </row>
    <row r="194" spans="2:59">
      <c r="B194" s="517" t="s">
        <v>564</v>
      </c>
      <c r="C194" s="518" t="s">
        <v>66</v>
      </c>
      <c r="D194" s="518" t="s">
        <v>57</v>
      </c>
      <c r="E194" s="518" t="s">
        <v>648</v>
      </c>
      <c r="F194" s="518" t="s">
        <v>671</v>
      </c>
      <c r="G194" s="525">
        <v>0.01</v>
      </c>
      <c r="H194" s="525">
        <v>2.627E-3</v>
      </c>
      <c r="I194" s="527">
        <v>0.4</v>
      </c>
      <c r="J194" s="594">
        <v>5</v>
      </c>
      <c r="K194" s="519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3"/>
      <c r="AE194" s="273"/>
      <c r="AF194" s="272"/>
      <c r="AP194" s="494" t="str">
        <f ca="1">IF('CDO Bespoke'!C219&lt;&gt;"",'CDO Bespoke'!C219,"")</f>
        <v/>
      </c>
      <c r="AQ194" s="496"/>
      <c r="AR194" s="585"/>
      <c r="AS194" s="585"/>
      <c r="AT194" s="585"/>
      <c r="AU194" s="497"/>
      <c r="AV194" s="627"/>
      <c r="AW194" s="496"/>
      <c r="AX194" s="585"/>
      <c r="AY194" s="585"/>
      <c r="AZ194" s="585"/>
      <c r="BA194" s="497"/>
      <c r="BB194" s="627"/>
      <c r="BC194" s="580"/>
      <c r="BD194" s="580"/>
      <c r="BE194" s="580"/>
      <c r="BF194" s="580"/>
      <c r="BG194" s="579"/>
    </row>
    <row r="195" spans="2:59">
      <c r="B195" s="534" t="s">
        <v>564</v>
      </c>
      <c r="C195" s="535" t="s">
        <v>66</v>
      </c>
      <c r="D195" s="535" t="s">
        <v>59</v>
      </c>
      <c r="E195" s="535" t="s">
        <v>648</v>
      </c>
      <c r="F195" s="535" t="s">
        <v>671</v>
      </c>
      <c r="G195" s="536">
        <v>0.01</v>
      </c>
      <c r="H195" s="536">
        <v>3.8070000000000001E-3</v>
      </c>
      <c r="I195" s="537">
        <v>0.4</v>
      </c>
      <c r="J195" s="595">
        <v>5</v>
      </c>
      <c r="K195" s="538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3"/>
      <c r="AE195" s="273"/>
      <c r="AF195" s="272"/>
      <c r="AP195" s="494" t="str">
        <f ca="1">IF('CDO Bespoke'!C220&lt;&gt;"",'CDO Bespoke'!C220,"")</f>
        <v/>
      </c>
      <c r="AQ195" s="496"/>
      <c r="AR195" s="585"/>
      <c r="AS195" s="585"/>
      <c r="AT195" s="585"/>
      <c r="AU195" s="497"/>
      <c r="AV195" s="627"/>
      <c r="AW195" s="496"/>
      <c r="AX195" s="585"/>
      <c r="AY195" s="585"/>
      <c r="AZ195" s="585"/>
      <c r="BA195" s="497"/>
      <c r="BB195" s="627"/>
      <c r="BC195" s="580"/>
      <c r="BD195" s="580"/>
      <c r="BE195" s="580"/>
      <c r="BF195" s="580"/>
      <c r="BG195" s="579"/>
    </row>
    <row r="196" spans="2:59">
      <c r="B196" s="539" t="s">
        <v>557</v>
      </c>
      <c r="C196" s="540" t="s">
        <v>66</v>
      </c>
      <c r="D196" s="540" t="s">
        <v>55</v>
      </c>
      <c r="E196" s="540" t="s">
        <v>648</v>
      </c>
      <c r="F196" s="540" t="s">
        <v>671</v>
      </c>
      <c r="G196" s="541">
        <v>0.01</v>
      </c>
      <c r="H196" s="541">
        <v>4.0590000000000001E-3</v>
      </c>
      <c r="I196" s="542">
        <v>0.4</v>
      </c>
      <c r="J196" s="602">
        <v>5</v>
      </c>
      <c r="K196" s="543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3"/>
      <c r="AE196" s="273"/>
      <c r="AF196" s="272"/>
      <c r="AP196" s="494" t="str">
        <f ca="1">IF('CDO Bespoke'!C221&lt;&gt;"",'CDO Bespoke'!C221,"")</f>
        <v/>
      </c>
      <c r="AQ196" s="496"/>
      <c r="AR196" s="585"/>
      <c r="AS196" s="585"/>
      <c r="AT196" s="585"/>
      <c r="AU196" s="497"/>
      <c r="AV196" s="627"/>
      <c r="AW196" s="496"/>
      <c r="AX196" s="585"/>
      <c r="AY196" s="585"/>
      <c r="AZ196" s="585"/>
      <c r="BA196" s="497"/>
      <c r="BB196" s="627"/>
      <c r="BC196" s="580"/>
      <c r="BD196" s="580"/>
      <c r="BE196" s="580"/>
      <c r="BF196" s="580"/>
      <c r="BG196" s="579"/>
    </row>
    <row r="197" spans="2:59">
      <c r="B197" s="517" t="s">
        <v>557</v>
      </c>
      <c r="C197" s="518" t="s">
        <v>66</v>
      </c>
      <c r="D197" s="518" t="s">
        <v>57</v>
      </c>
      <c r="E197" s="518" t="s">
        <v>648</v>
      </c>
      <c r="F197" s="518" t="s">
        <v>671</v>
      </c>
      <c r="G197" s="525">
        <v>0.01</v>
      </c>
      <c r="H197" s="525">
        <v>6.953E-3</v>
      </c>
      <c r="I197" s="527">
        <v>0.4</v>
      </c>
      <c r="J197" s="594">
        <v>5</v>
      </c>
      <c r="K197" s="519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3"/>
      <c r="AE197" s="273"/>
      <c r="AF197" s="272"/>
      <c r="AP197" s="494" t="str">
        <f ca="1">IF('CDO Bespoke'!C222&lt;&gt;"",'CDO Bespoke'!C222,"")</f>
        <v/>
      </c>
      <c r="AQ197" s="496"/>
      <c r="AR197" s="585"/>
      <c r="AS197" s="585"/>
      <c r="AT197" s="585"/>
      <c r="AU197" s="497"/>
      <c r="AV197" s="627"/>
      <c r="AW197" s="496"/>
      <c r="AX197" s="585"/>
      <c r="AY197" s="585"/>
      <c r="AZ197" s="585"/>
      <c r="BA197" s="497"/>
      <c r="BB197" s="627"/>
      <c r="BC197" s="580"/>
      <c r="BD197" s="580"/>
      <c r="BE197" s="580"/>
      <c r="BF197" s="580"/>
      <c r="BG197" s="579"/>
    </row>
    <row r="198" spans="2:59">
      <c r="B198" s="534" t="s">
        <v>557</v>
      </c>
      <c r="C198" s="535" t="s">
        <v>66</v>
      </c>
      <c r="D198" s="535" t="s">
        <v>59</v>
      </c>
      <c r="E198" s="535" t="s">
        <v>648</v>
      </c>
      <c r="F198" s="535" t="s">
        <v>671</v>
      </c>
      <c r="G198" s="536">
        <v>0.01</v>
      </c>
      <c r="H198" s="536">
        <v>1.0121E-2</v>
      </c>
      <c r="I198" s="537">
        <v>0.4</v>
      </c>
      <c r="J198" s="595">
        <v>5</v>
      </c>
      <c r="K198" s="538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3"/>
      <c r="AE198" s="273"/>
      <c r="AF198" s="272"/>
      <c r="AP198" s="494" t="str">
        <f ca="1">IF('CDO Bespoke'!C223&lt;&gt;"",'CDO Bespoke'!C223,"")</f>
        <v/>
      </c>
      <c r="AQ198" s="496"/>
      <c r="AR198" s="585"/>
      <c r="AS198" s="585"/>
      <c r="AT198" s="585"/>
      <c r="AU198" s="497"/>
      <c r="AV198" s="627"/>
      <c r="AW198" s="496"/>
      <c r="AX198" s="585"/>
      <c r="AY198" s="585"/>
      <c r="AZ198" s="585"/>
      <c r="BA198" s="497"/>
      <c r="BB198" s="627"/>
      <c r="BC198" s="580"/>
      <c r="BD198" s="580"/>
      <c r="BE198" s="580"/>
      <c r="BF198" s="580"/>
      <c r="BG198" s="579"/>
    </row>
    <row r="199" spans="2:59">
      <c r="B199" s="539" t="s">
        <v>558</v>
      </c>
      <c r="C199" s="540" t="s">
        <v>66</v>
      </c>
      <c r="D199" s="540" t="s">
        <v>55</v>
      </c>
      <c r="E199" s="540" t="s">
        <v>648</v>
      </c>
      <c r="F199" s="540" t="s">
        <v>671</v>
      </c>
      <c r="G199" s="541">
        <v>0.01</v>
      </c>
      <c r="H199" s="541">
        <v>3.114E-3</v>
      </c>
      <c r="I199" s="542">
        <v>0.4</v>
      </c>
      <c r="J199" s="602">
        <v>5</v>
      </c>
      <c r="K199" s="543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3"/>
      <c r="AE199" s="273"/>
      <c r="AF199" s="272"/>
      <c r="AP199" s="494" t="str">
        <f ca="1">IF('CDO Bespoke'!C224&lt;&gt;"",'CDO Bespoke'!C224,"")</f>
        <v/>
      </c>
      <c r="AQ199" s="496"/>
      <c r="AR199" s="585"/>
      <c r="AS199" s="585"/>
      <c r="AT199" s="585"/>
      <c r="AU199" s="497"/>
      <c r="AV199" s="627"/>
      <c r="AW199" s="496"/>
      <c r="AX199" s="585"/>
      <c r="AY199" s="585"/>
      <c r="AZ199" s="585"/>
      <c r="BA199" s="497"/>
      <c r="BB199" s="627"/>
      <c r="BC199" s="580"/>
      <c r="BD199" s="580"/>
      <c r="BE199" s="580"/>
      <c r="BF199" s="580"/>
      <c r="BG199" s="579"/>
    </row>
    <row r="200" spans="2:59">
      <c r="B200" s="517" t="s">
        <v>558</v>
      </c>
      <c r="C200" s="518" t="s">
        <v>66</v>
      </c>
      <c r="D200" s="518" t="s">
        <v>57</v>
      </c>
      <c r="E200" s="518" t="s">
        <v>648</v>
      </c>
      <c r="F200" s="518" t="s">
        <v>671</v>
      </c>
      <c r="G200" s="525">
        <v>0.01</v>
      </c>
      <c r="H200" s="525">
        <v>5.1929999999999997E-3</v>
      </c>
      <c r="I200" s="527">
        <v>0.4</v>
      </c>
      <c r="J200" s="594">
        <v>5</v>
      </c>
      <c r="K200" s="519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  <c r="AF200" s="272"/>
      <c r="AP200" s="494" t="str">
        <f ca="1">IF('CDO Bespoke'!C225&lt;&gt;"",'CDO Bespoke'!C225,"")</f>
        <v/>
      </c>
      <c r="AQ200" s="496"/>
      <c r="AR200" s="585"/>
      <c r="AS200" s="585"/>
      <c r="AT200" s="585"/>
      <c r="AU200" s="497"/>
      <c r="AV200" s="627"/>
      <c r="AW200" s="496"/>
      <c r="AX200" s="585"/>
      <c r="AY200" s="585"/>
      <c r="AZ200" s="585"/>
      <c r="BA200" s="497"/>
      <c r="BB200" s="627"/>
      <c r="BC200" s="580"/>
      <c r="BD200" s="580"/>
      <c r="BE200" s="580"/>
      <c r="BF200" s="580"/>
      <c r="BG200" s="579"/>
    </row>
    <row r="201" spans="2:59">
      <c r="B201" s="534" t="s">
        <v>558</v>
      </c>
      <c r="C201" s="535" t="s">
        <v>66</v>
      </c>
      <c r="D201" s="535" t="s">
        <v>59</v>
      </c>
      <c r="E201" s="535" t="s">
        <v>648</v>
      </c>
      <c r="F201" s="535" t="s">
        <v>671</v>
      </c>
      <c r="G201" s="536">
        <v>0.01</v>
      </c>
      <c r="H201" s="536">
        <v>7.737E-3</v>
      </c>
      <c r="I201" s="537">
        <v>0.4</v>
      </c>
      <c r="J201" s="595">
        <v>5</v>
      </c>
      <c r="K201" s="538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3"/>
      <c r="AE201" s="273"/>
      <c r="AF201" s="272"/>
      <c r="AP201" s="494" t="str">
        <f ca="1">IF('CDO Bespoke'!C226&lt;&gt;"",'CDO Bespoke'!C226,"")</f>
        <v/>
      </c>
      <c r="AQ201" s="496"/>
      <c r="AR201" s="585"/>
      <c r="AS201" s="585"/>
      <c r="AT201" s="585"/>
      <c r="AU201" s="497"/>
      <c r="AV201" s="627"/>
      <c r="AW201" s="496"/>
      <c r="AX201" s="585"/>
      <c r="AY201" s="585"/>
      <c r="AZ201" s="585"/>
      <c r="BA201" s="497"/>
      <c r="BB201" s="627"/>
      <c r="BC201" s="580"/>
      <c r="BD201" s="580"/>
      <c r="BE201" s="580"/>
      <c r="BF201" s="580"/>
      <c r="BG201" s="579"/>
    </row>
    <row r="202" spans="2:59">
      <c r="B202" s="539" t="s">
        <v>559</v>
      </c>
      <c r="C202" s="540" t="s">
        <v>66</v>
      </c>
      <c r="D202" s="540" t="s">
        <v>55</v>
      </c>
      <c r="E202" s="540" t="s">
        <v>646</v>
      </c>
      <c r="F202" s="540" t="s">
        <v>671</v>
      </c>
      <c r="G202" s="541">
        <v>0.01</v>
      </c>
      <c r="H202" s="541">
        <v>1.8439999999999999E-3</v>
      </c>
      <c r="I202" s="542">
        <v>0.4</v>
      </c>
      <c r="J202" s="602">
        <v>5</v>
      </c>
      <c r="K202" s="543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3"/>
      <c r="AE202" s="273"/>
      <c r="AF202" s="272"/>
      <c r="AP202" s="494" t="str">
        <f ca="1">IF('CDO Bespoke'!C227&lt;&gt;"",'CDO Bespoke'!C227,"")</f>
        <v/>
      </c>
      <c r="AQ202" s="496"/>
      <c r="AR202" s="585"/>
      <c r="AS202" s="585"/>
      <c r="AT202" s="585"/>
      <c r="AU202" s="497"/>
      <c r="AV202" s="627"/>
      <c r="AW202" s="496"/>
      <c r="AX202" s="585"/>
      <c r="AY202" s="585"/>
      <c r="AZ202" s="585"/>
      <c r="BA202" s="497"/>
      <c r="BB202" s="627"/>
      <c r="BC202" s="580"/>
      <c r="BD202" s="580"/>
      <c r="BE202" s="580"/>
      <c r="BF202" s="580"/>
      <c r="BG202" s="579"/>
    </row>
    <row r="203" spans="2:59">
      <c r="B203" s="517" t="s">
        <v>559</v>
      </c>
      <c r="C203" s="518" t="s">
        <v>66</v>
      </c>
      <c r="D203" s="518" t="s">
        <v>57</v>
      </c>
      <c r="E203" s="518" t="s">
        <v>646</v>
      </c>
      <c r="F203" s="518" t="s">
        <v>671</v>
      </c>
      <c r="G203" s="525">
        <v>0.01</v>
      </c>
      <c r="H203" s="525">
        <v>2.6050000000000001E-3</v>
      </c>
      <c r="I203" s="527">
        <v>0.4</v>
      </c>
      <c r="J203" s="594">
        <v>5</v>
      </c>
      <c r="K203" s="519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3"/>
      <c r="AE203" s="273"/>
      <c r="AF203" s="272"/>
      <c r="AP203" s="494" t="str">
        <f ca="1">IF('CDO Bespoke'!C228&lt;&gt;"",'CDO Bespoke'!C228,"")</f>
        <v/>
      </c>
      <c r="AQ203" s="496"/>
      <c r="AR203" s="585"/>
      <c r="AS203" s="585"/>
      <c r="AT203" s="585"/>
      <c r="AU203" s="497"/>
      <c r="AV203" s="627"/>
      <c r="AW203" s="496"/>
      <c r="AX203" s="585"/>
      <c r="AY203" s="585"/>
      <c r="AZ203" s="585"/>
      <c r="BA203" s="497"/>
      <c r="BB203" s="627"/>
      <c r="BC203" s="580"/>
      <c r="BD203" s="580"/>
      <c r="BE203" s="580"/>
      <c r="BF203" s="580"/>
      <c r="BG203" s="579"/>
    </row>
    <row r="204" spans="2:59">
      <c r="B204" s="534" t="s">
        <v>559</v>
      </c>
      <c r="C204" s="535" t="s">
        <v>66</v>
      </c>
      <c r="D204" s="535" t="s">
        <v>59</v>
      </c>
      <c r="E204" s="535" t="s">
        <v>646</v>
      </c>
      <c r="F204" s="535" t="s">
        <v>671</v>
      </c>
      <c r="G204" s="536">
        <v>0.01</v>
      </c>
      <c r="H204" s="536">
        <v>3.6050000000000001E-3</v>
      </c>
      <c r="I204" s="537">
        <v>0.4</v>
      </c>
      <c r="J204" s="595">
        <v>5</v>
      </c>
      <c r="K204" s="538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3"/>
      <c r="AE204" s="273"/>
      <c r="AF204" s="272"/>
      <c r="AP204" s="494" t="str">
        <f ca="1">IF('CDO Bespoke'!C229&lt;&gt;"",'CDO Bespoke'!C229,"")</f>
        <v/>
      </c>
      <c r="AQ204" s="496"/>
      <c r="AR204" s="585"/>
      <c r="AS204" s="585"/>
      <c r="AT204" s="585"/>
      <c r="AU204" s="497"/>
      <c r="AV204" s="627"/>
      <c r="AW204" s="496"/>
      <c r="AX204" s="585"/>
      <c r="AY204" s="585"/>
      <c r="AZ204" s="585"/>
      <c r="BA204" s="497"/>
      <c r="BB204" s="627"/>
      <c r="BC204" s="580"/>
      <c r="BD204" s="580"/>
      <c r="BE204" s="580"/>
      <c r="BF204" s="580"/>
      <c r="BG204" s="579"/>
    </row>
    <row r="205" spans="2:59">
      <c r="B205" s="539" t="s">
        <v>565</v>
      </c>
      <c r="C205" s="540" t="s">
        <v>66</v>
      </c>
      <c r="D205" s="540" t="s">
        <v>55</v>
      </c>
      <c r="E205" s="540" t="s">
        <v>646</v>
      </c>
      <c r="F205" s="540" t="s">
        <v>651</v>
      </c>
      <c r="G205" s="541">
        <v>0.01</v>
      </c>
      <c r="H205" s="541">
        <v>2.9399999999999999E-3</v>
      </c>
      <c r="I205" s="542">
        <v>0.4</v>
      </c>
      <c r="J205" s="602">
        <v>4</v>
      </c>
      <c r="K205" s="543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3"/>
      <c r="AE205" s="273"/>
      <c r="AF205" s="272"/>
      <c r="AP205" s="494" t="str">
        <f ca="1">IF('CDO Bespoke'!C230&lt;&gt;"",'CDO Bespoke'!C230,"")</f>
        <v/>
      </c>
      <c r="AQ205" s="496"/>
      <c r="AR205" s="585"/>
      <c r="AS205" s="585"/>
      <c r="AT205" s="585"/>
      <c r="AU205" s="497"/>
      <c r="AV205" s="627"/>
      <c r="AW205" s="496"/>
      <c r="AX205" s="585"/>
      <c r="AY205" s="585"/>
      <c r="AZ205" s="585"/>
      <c r="BA205" s="497"/>
      <c r="BB205" s="627"/>
      <c r="BC205" s="580"/>
      <c r="BD205" s="580"/>
      <c r="BE205" s="580"/>
      <c r="BF205" s="580"/>
      <c r="BG205" s="579"/>
    </row>
    <row r="206" spans="2:59">
      <c r="B206" s="517" t="s">
        <v>565</v>
      </c>
      <c r="C206" s="518" t="s">
        <v>66</v>
      </c>
      <c r="D206" s="518" t="s">
        <v>57</v>
      </c>
      <c r="E206" s="518" t="s">
        <v>646</v>
      </c>
      <c r="F206" s="518" t="s">
        <v>651</v>
      </c>
      <c r="G206" s="525">
        <v>0.01</v>
      </c>
      <c r="H206" s="525">
        <v>5.1380000000000002E-3</v>
      </c>
      <c r="I206" s="527">
        <v>0.4</v>
      </c>
      <c r="J206" s="594">
        <v>4</v>
      </c>
      <c r="K206" s="519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3"/>
      <c r="AE206" s="273"/>
      <c r="AF206" s="272"/>
      <c r="AP206" s="494" t="str">
        <f ca="1">IF('CDO Bespoke'!C231&lt;&gt;"",'CDO Bespoke'!C231,"")</f>
        <v/>
      </c>
      <c r="AQ206" s="496"/>
      <c r="AR206" s="585"/>
      <c r="AS206" s="585"/>
      <c r="AT206" s="585"/>
      <c r="AU206" s="497"/>
      <c r="AV206" s="627"/>
      <c r="AW206" s="496"/>
      <c r="AX206" s="585"/>
      <c r="AY206" s="585"/>
      <c r="AZ206" s="585"/>
      <c r="BA206" s="497"/>
      <c r="BB206" s="627"/>
      <c r="BC206" s="580"/>
      <c r="BD206" s="580"/>
      <c r="BE206" s="580"/>
      <c r="BF206" s="580"/>
      <c r="BG206" s="579"/>
    </row>
    <row r="207" spans="2:59">
      <c r="B207" s="534" t="s">
        <v>565</v>
      </c>
      <c r="C207" s="535" t="s">
        <v>66</v>
      </c>
      <c r="D207" s="535" t="s">
        <v>59</v>
      </c>
      <c r="E207" s="535" t="s">
        <v>646</v>
      </c>
      <c r="F207" s="535" t="s">
        <v>651</v>
      </c>
      <c r="G207" s="536">
        <v>0.01</v>
      </c>
      <c r="H207" s="536">
        <v>7.4939999999999998E-3</v>
      </c>
      <c r="I207" s="537">
        <v>0.4</v>
      </c>
      <c r="J207" s="595">
        <v>4</v>
      </c>
      <c r="K207" s="538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3"/>
      <c r="AE207" s="273"/>
      <c r="AF207" s="272"/>
      <c r="AP207" s="494" t="str">
        <f ca="1">IF('CDO Bespoke'!C232&lt;&gt;"",'CDO Bespoke'!C232,"")</f>
        <v/>
      </c>
      <c r="AQ207" s="496"/>
      <c r="AR207" s="585"/>
      <c r="AS207" s="585"/>
      <c r="AT207" s="585"/>
      <c r="AU207" s="497"/>
      <c r="AV207" s="627"/>
      <c r="AW207" s="496"/>
      <c r="AX207" s="585"/>
      <c r="AY207" s="585"/>
      <c r="AZ207" s="585"/>
      <c r="BA207" s="497"/>
      <c r="BB207" s="627"/>
      <c r="BC207" s="580"/>
      <c r="BD207" s="580"/>
      <c r="BE207" s="580"/>
      <c r="BF207" s="580"/>
      <c r="BG207" s="579"/>
    </row>
    <row r="208" spans="2:59">
      <c r="B208" s="539" t="s">
        <v>566</v>
      </c>
      <c r="C208" s="540" t="s">
        <v>66</v>
      </c>
      <c r="D208" s="540" t="s">
        <v>55</v>
      </c>
      <c r="E208" s="540" t="s">
        <v>648</v>
      </c>
      <c r="F208" s="540" t="s">
        <v>652</v>
      </c>
      <c r="G208" s="541">
        <v>0.01</v>
      </c>
      <c r="H208" s="541">
        <v>3.604E-3</v>
      </c>
      <c r="I208" s="542">
        <v>0.4</v>
      </c>
      <c r="J208" s="602">
        <v>7</v>
      </c>
      <c r="K208" s="543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3"/>
      <c r="AE208" s="273"/>
      <c r="AF208" s="272"/>
      <c r="AP208" s="494" t="str">
        <f ca="1">IF('CDO Bespoke'!C233&lt;&gt;"",'CDO Bespoke'!C233,"")</f>
        <v/>
      </c>
      <c r="AQ208" s="496"/>
      <c r="AR208" s="585"/>
      <c r="AS208" s="585"/>
      <c r="AT208" s="585"/>
      <c r="AU208" s="497"/>
      <c r="AV208" s="627"/>
      <c r="AW208" s="496"/>
      <c r="AX208" s="585"/>
      <c r="AY208" s="585"/>
      <c r="AZ208" s="585"/>
      <c r="BA208" s="497"/>
      <c r="BB208" s="627"/>
      <c r="BC208" s="580"/>
      <c r="BD208" s="580"/>
      <c r="BE208" s="580"/>
      <c r="BF208" s="580"/>
      <c r="BG208" s="579"/>
    </row>
    <row r="209" spans="2:59">
      <c r="B209" s="517" t="s">
        <v>566</v>
      </c>
      <c r="C209" s="518" t="s">
        <v>66</v>
      </c>
      <c r="D209" s="518" t="s">
        <v>57</v>
      </c>
      <c r="E209" s="518" t="s">
        <v>648</v>
      </c>
      <c r="F209" s="518" t="s">
        <v>652</v>
      </c>
      <c r="G209" s="525">
        <v>0.01</v>
      </c>
      <c r="H209" s="525">
        <v>6.306E-3</v>
      </c>
      <c r="I209" s="527">
        <v>0.4</v>
      </c>
      <c r="J209" s="594">
        <v>7</v>
      </c>
      <c r="K209" s="519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3"/>
      <c r="AE209" s="273"/>
      <c r="AF209" s="272"/>
      <c r="AP209" s="494" t="str">
        <f ca="1">IF('CDO Bespoke'!C234&lt;&gt;"",'CDO Bespoke'!C234,"")</f>
        <v/>
      </c>
      <c r="AQ209" s="496"/>
      <c r="AR209" s="585"/>
      <c r="AS209" s="585"/>
      <c r="AT209" s="585"/>
      <c r="AU209" s="497"/>
      <c r="AV209" s="627"/>
      <c r="AW209" s="496"/>
      <c r="AX209" s="585"/>
      <c r="AY209" s="585"/>
      <c r="AZ209" s="585"/>
      <c r="BA209" s="497"/>
      <c r="BB209" s="627"/>
      <c r="BC209" s="580"/>
      <c r="BD209" s="580"/>
      <c r="BE209" s="580"/>
      <c r="BF209" s="580"/>
      <c r="BG209" s="579"/>
    </row>
    <row r="210" spans="2:59">
      <c r="B210" s="534" t="s">
        <v>566</v>
      </c>
      <c r="C210" s="535" t="s">
        <v>66</v>
      </c>
      <c r="D210" s="535" t="s">
        <v>59</v>
      </c>
      <c r="E210" s="535" t="s">
        <v>648</v>
      </c>
      <c r="F210" s="535" t="s">
        <v>652</v>
      </c>
      <c r="G210" s="536">
        <v>0.01</v>
      </c>
      <c r="H210" s="536">
        <v>9.0629999999999999E-3</v>
      </c>
      <c r="I210" s="537">
        <v>0.4</v>
      </c>
      <c r="J210" s="595">
        <v>7</v>
      </c>
      <c r="K210" s="538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3"/>
      <c r="AE210" s="273"/>
      <c r="AF210" s="272"/>
      <c r="AP210" s="494" t="str">
        <f ca="1">IF('CDO Bespoke'!C235&lt;&gt;"",'CDO Bespoke'!C235,"")</f>
        <v/>
      </c>
      <c r="AQ210" s="496"/>
      <c r="AR210" s="585"/>
      <c r="AS210" s="585"/>
      <c r="AT210" s="585"/>
      <c r="AU210" s="497"/>
      <c r="AV210" s="627"/>
      <c r="AW210" s="496"/>
      <c r="AX210" s="585"/>
      <c r="AY210" s="585"/>
      <c r="AZ210" s="585"/>
      <c r="BA210" s="497"/>
      <c r="BB210" s="627"/>
      <c r="BC210" s="580"/>
      <c r="BD210" s="580"/>
      <c r="BE210" s="580"/>
      <c r="BF210" s="580"/>
      <c r="BG210" s="579"/>
    </row>
    <row r="211" spans="2:59">
      <c r="B211" s="539" t="s">
        <v>576</v>
      </c>
      <c r="C211" s="540" t="s">
        <v>66</v>
      </c>
      <c r="D211" s="540" t="s">
        <v>55</v>
      </c>
      <c r="E211" s="540" t="s">
        <v>648</v>
      </c>
      <c r="F211" s="540" t="s">
        <v>652</v>
      </c>
      <c r="G211" s="541">
        <v>0.01</v>
      </c>
      <c r="H211" s="541">
        <v>2.4229999999999998E-3</v>
      </c>
      <c r="I211" s="542">
        <v>0.4</v>
      </c>
      <c r="J211" s="602">
        <v>7</v>
      </c>
      <c r="K211" s="543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3"/>
      <c r="AE211" s="273"/>
      <c r="AF211" s="272"/>
      <c r="AP211" s="494" t="str">
        <f ca="1">IF('CDO Bespoke'!C236&lt;&gt;"",'CDO Bespoke'!C236,"")</f>
        <v/>
      </c>
      <c r="AQ211" s="496"/>
      <c r="AR211" s="585"/>
      <c r="AS211" s="585"/>
      <c r="AT211" s="585"/>
      <c r="AU211" s="497"/>
      <c r="AV211" s="627"/>
      <c r="AW211" s="496"/>
      <c r="AX211" s="585"/>
      <c r="AY211" s="585"/>
      <c r="AZ211" s="585"/>
      <c r="BA211" s="497"/>
      <c r="BB211" s="627"/>
      <c r="BC211" s="580"/>
      <c r="BD211" s="580"/>
      <c r="BE211" s="580"/>
      <c r="BF211" s="580"/>
      <c r="BG211" s="579"/>
    </row>
    <row r="212" spans="2:59">
      <c r="B212" s="517" t="s">
        <v>576</v>
      </c>
      <c r="C212" s="518" t="s">
        <v>66</v>
      </c>
      <c r="D212" s="518" t="s">
        <v>57</v>
      </c>
      <c r="E212" s="518" t="s">
        <v>648</v>
      </c>
      <c r="F212" s="518" t="s">
        <v>652</v>
      </c>
      <c r="G212" s="525">
        <v>0.01</v>
      </c>
      <c r="H212" s="525">
        <v>3.9830000000000004E-3</v>
      </c>
      <c r="I212" s="527">
        <v>0.4</v>
      </c>
      <c r="J212" s="594">
        <v>7</v>
      </c>
      <c r="K212" s="519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3"/>
      <c r="AE212" s="273"/>
      <c r="AF212" s="272"/>
      <c r="AP212" s="494" t="str">
        <f ca="1">IF('CDO Bespoke'!C237&lt;&gt;"",'CDO Bespoke'!C237,"")</f>
        <v/>
      </c>
      <c r="AQ212" s="496"/>
      <c r="AR212" s="585"/>
      <c r="AS212" s="585"/>
      <c r="AT212" s="585"/>
      <c r="AU212" s="497"/>
      <c r="AV212" s="627"/>
      <c r="AW212" s="496"/>
      <c r="AX212" s="585"/>
      <c r="AY212" s="585"/>
      <c r="AZ212" s="585"/>
      <c r="BA212" s="497"/>
      <c r="BB212" s="627"/>
      <c r="BC212" s="580"/>
      <c r="BD212" s="580"/>
      <c r="BE212" s="580"/>
      <c r="BF212" s="580"/>
      <c r="BG212" s="579"/>
    </row>
    <row r="213" spans="2:59">
      <c r="B213" s="534" t="s">
        <v>576</v>
      </c>
      <c r="C213" s="535" t="s">
        <v>66</v>
      </c>
      <c r="D213" s="535" t="s">
        <v>59</v>
      </c>
      <c r="E213" s="535" t="s">
        <v>648</v>
      </c>
      <c r="F213" s="535" t="s">
        <v>652</v>
      </c>
      <c r="G213" s="536">
        <v>0.01</v>
      </c>
      <c r="H213" s="536">
        <v>6.0039999999999998E-3</v>
      </c>
      <c r="I213" s="537">
        <v>0.4</v>
      </c>
      <c r="J213" s="595">
        <v>7</v>
      </c>
      <c r="K213" s="538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3"/>
      <c r="AE213" s="273"/>
      <c r="AF213" s="272"/>
      <c r="AP213" s="494" t="str">
        <f ca="1">IF('CDO Bespoke'!C238&lt;&gt;"",'CDO Bespoke'!C238,"")</f>
        <v/>
      </c>
      <c r="AQ213" s="496"/>
      <c r="AR213" s="585"/>
      <c r="AS213" s="585"/>
      <c r="AT213" s="585"/>
      <c r="AU213" s="497"/>
      <c r="AV213" s="627"/>
      <c r="AW213" s="496"/>
      <c r="AX213" s="585"/>
      <c r="AY213" s="585"/>
      <c r="AZ213" s="585"/>
      <c r="BA213" s="497"/>
      <c r="BB213" s="627"/>
      <c r="BC213" s="580"/>
      <c r="BD213" s="580"/>
      <c r="BE213" s="580"/>
      <c r="BF213" s="580"/>
      <c r="BG213" s="579"/>
    </row>
    <row r="214" spans="2:59">
      <c r="B214" s="539" t="s">
        <v>615</v>
      </c>
      <c r="C214" s="540" t="s">
        <v>66</v>
      </c>
      <c r="D214" s="540" t="s">
        <v>55</v>
      </c>
      <c r="E214" s="540" t="s">
        <v>648</v>
      </c>
      <c r="F214" s="540" t="s">
        <v>652</v>
      </c>
      <c r="G214" s="541">
        <v>0.01</v>
      </c>
      <c r="H214" s="541">
        <v>4.1190000000000003E-3</v>
      </c>
      <c r="I214" s="542">
        <v>0.4</v>
      </c>
      <c r="J214" s="602">
        <v>7</v>
      </c>
      <c r="K214" s="543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3"/>
      <c r="AE214" s="273"/>
      <c r="AF214" s="272"/>
      <c r="AP214" s="494" t="str">
        <f ca="1">IF('CDO Bespoke'!C239&lt;&gt;"",'CDO Bespoke'!C239,"")</f>
        <v/>
      </c>
      <c r="AQ214" s="496"/>
      <c r="AR214" s="585"/>
      <c r="AS214" s="585"/>
      <c r="AT214" s="585"/>
      <c r="AU214" s="497"/>
      <c r="AV214" s="627"/>
      <c r="AW214" s="496"/>
      <c r="AX214" s="585"/>
      <c r="AY214" s="585"/>
      <c r="AZ214" s="585"/>
      <c r="BA214" s="497"/>
      <c r="BB214" s="627"/>
      <c r="BC214" s="580"/>
      <c r="BD214" s="580"/>
      <c r="BE214" s="580"/>
      <c r="BF214" s="580"/>
      <c r="BG214" s="579"/>
    </row>
    <row r="215" spans="2:59">
      <c r="B215" s="517" t="s">
        <v>615</v>
      </c>
      <c r="C215" s="518" t="s">
        <v>66</v>
      </c>
      <c r="D215" s="518" t="s">
        <v>57</v>
      </c>
      <c r="E215" s="518" t="s">
        <v>648</v>
      </c>
      <c r="F215" s="518" t="s">
        <v>652</v>
      </c>
      <c r="G215" s="525">
        <v>0.01</v>
      </c>
      <c r="H215" s="525">
        <v>6.1469999999999997E-3</v>
      </c>
      <c r="I215" s="527">
        <v>0.4</v>
      </c>
      <c r="J215" s="594">
        <v>7</v>
      </c>
      <c r="K215" s="519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3"/>
      <c r="AE215" s="273"/>
      <c r="AF215" s="272"/>
      <c r="AP215" s="494" t="str">
        <f ca="1">IF('CDO Bespoke'!C240&lt;&gt;"",'CDO Bespoke'!C240,"")</f>
        <v/>
      </c>
      <c r="AQ215" s="496"/>
      <c r="AR215" s="585"/>
      <c r="AS215" s="585"/>
      <c r="AT215" s="585"/>
      <c r="AU215" s="497"/>
      <c r="AV215" s="627"/>
      <c r="AW215" s="496"/>
      <c r="AX215" s="585"/>
      <c r="AY215" s="585"/>
      <c r="AZ215" s="585"/>
      <c r="BA215" s="497"/>
      <c r="BB215" s="627"/>
      <c r="BC215" s="580"/>
      <c r="BD215" s="580"/>
      <c r="BE215" s="580"/>
      <c r="BF215" s="580"/>
      <c r="BG215" s="579"/>
    </row>
    <row r="216" spans="2:59">
      <c r="B216" s="534" t="s">
        <v>615</v>
      </c>
      <c r="C216" s="535" t="s">
        <v>66</v>
      </c>
      <c r="D216" s="535" t="s">
        <v>59</v>
      </c>
      <c r="E216" s="535" t="s">
        <v>648</v>
      </c>
      <c r="F216" s="535" t="s">
        <v>652</v>
      </c>
      <c r="G216" s="536">
        <v>0.01</v>
      </c>
      <c r="H216" s="536">
        <v>8.4799999999999997E-3</v>
      </c>
      <c r="I216" s="537">
        <v>0.4</v>
      </c>
      <c r="J216" s="595">
        <v>7</v>
      </c>
      <c r="K216" s="538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3"/>
      <c r="AE216" s="273"/>
      <c r="AF216" s="272"/>
      <c r="AP216" s="494" t="str">
        <f ca="1">IF('CDO Bespoke'!C241&lt;&gt;"",'CDO Bespoke'!C241,"")</f>
        <v/>
      </c>
      <c r="AQ216" s="496"/>
      <c r="AR216" s="585"/>
      <c r="AS216" s="585"/>
      <c r="AT216" s="585"/>
      <c r="AU216" s="497"/>
      <c r="AV216" s="627"/>
      <c r="AW216" s="496"/>
      <c r="AX216" s="585"/>
      <c r="AY216" s="585"/>
      <c r="AZ216" s="585"/>
      <c r="BA216" s="497"/>
      <c r="BB216" s="627"/>
      <c r="BC216" s="580"/>
      <c r="BD216" s="580"/>
      <c r="BE216" s="580"/>
      <c r="BF216" s="580"/>
      <c r="BG216" s="579"/>
    </row>
    <row r="217" spans="2:59">
      <c r="B217" s="539" t="s">
        <v>567</v>
      </c>
      <c r="C217" s="540" t="s">
        <v>66</v>
      </c>
      <c r="D217" s="540" t="s">
        <v>55</v>
      </c>
      <c r="E217" s="540" t="s">
        <v>648</v>
      </c>
      <c r="F217" s="540" t="s">
        <v>652</v>
      </c>
      <c r="G217" s="541">
        <v>0.01</v>
      </c>
      <c r="H217" s="541">
        <v>4.1130000000000003E-3</v>
      </c>
      <c r="I217" s="542">
        <v>0.4</v>
      </c>
      <c r="J217" s="602">
        <v>7</v>
      </c>
      <c r="K217" s="543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3"/>
      <c r="AE217" s="273"/>
      <c r="AF217" s="272"/>
      <c r="AP217" s="494" t="str">
        <f ca="1">IF('CDO Bespoke'!C242&lt;&gt;"",'CDO Bespoke'!C242,"")</f>
        <v/>
      </c>
      <c r="AQ217" s="496"/>
      <c r="AR217" s="585"/>
      <c r="AS217" s="585"/>
      <c r="AT217" s="585"/>
      <c r="AU217" s="497"/>
      <c r="AV217" s="627"/>
      <c r="AW217" s="496"/>
      <c r="AX217" s="585"/>
      <c r="AY217" s="585"/>
      <c r="AZ217" s="585"/>
      <c r="BA217" s="497"/>
      <c r="BB217" s="627"/>
      <c r="BC217" s="580"/>
      <c r="BD217" s="580"/>
      <c r="BE217" s="580"/>
      <c r="BF217" s="580"/>
      <c r="BG217" s="579"/>
    </row>
    <row r="218" spans="2:59">
      <c r="B218" s="517" t="s">
        <v>567</v>
      </c>
      <c r="C218" s="518" t="s">
        <v>66</v>
      </c>
      <c r="D218" s="518" t="s">
        <v>57</v>
      </c>
      <c r="E218" s="518" t="s">
        <v>648</v>
      </c>
      <c r="F218" s="518" t="s">
        <v>652</v>
      </c>
      <c r="G218" s="525">
        <v>0.01</v>
      </c>
      <c r="H218" s="525">
        <v>6.5919999999999998E-3</v>
      </c>
      <c r="I218" s="527">
        <v>0.4</v>
      </c>
      <c r="J218" s="594">
        <v>7</v>
      </c>
      <c r="K218" s="519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3"/>
      <c r="AE218" s="273"/>
      <c r="AF218" s="272"/>
      <c r="AP218" s="494" t="str">
        <f ca="1">IF('CDO Bespoke'!C243&lt;&gt;"",'CDO Bespoke'!C243,"")</f>
        <v/>
      </c>
      <c r="AQ218" s="496"/>
      <c r="AR218" s="585"/>
      <c r="AS218" s="585"/>
      <c r="AT218" s="585"/>
      <c r="AU218" s="497"/>
      <c r="AV218" s="627"/>
      <c r="AW218" s="496"/>
      <c r="AX218" s="585"/>
      <c r="AY218" s="585"/>
      <c r="AZ218" s="585"/>
      <c r="BA218" s="497"/>
      <c r="BB218" s="627"/>
      <c r="BC218" s="580"/>
      <c r="BD218" s="580"/>
      <c r="BE218" s="580"/>
      <c r="BF218" s="580"/>
      <c r="BG218" s="579"/>
    </row>
    <row r="219" spans="2:59">
      <c r="B219" s="534" t="s">
        <v>567</v>
      </c>
      <c r="C219" s="535" t="s">
        <v>66</v>
      </c>
      <c r="D219" s="535" t="s">
        <v>59</v>
      </c>
      <c r="E219" s="535" t="s">
        <v>648</v>
      </c>
      <c r="F219" s="535" t="s">
        <v>652</v>
      </c>
      <c r="G219" s="536">
        <v>0.01</v>
      </c>
      <c r="H219" s="536">
        <v>9.4090000000000007E-3</v>
      </c>
      <c r="I219" s="537">
        <v>0.4</v>
      </c>
      <c r="J219" s="595">
        <v>7</v>
      </c>
      <c r="K219" s="538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3"/>
      <c r="AE219" s="273"/>
      <c r="AF219" s="272"/>
      <c r="AP219" s="494" t="str">
        <f ca="1">IF('CDO Bespoke'!C244&lt;&gt;"",'CDO Bespoke'!C244,"")</f>
        <v/>
      </c>
      <c r="AQ219" s="496"/>
      <c r="AR219" s="585"/>
      <c r="AS219" s="585"/>
      <c r="AT219" s="585"/>
      <c r="AU219" s="497"/>
      <c r="AV219" s="627"/>
      <c r="AW219" s="496"/>
      <c r="AX219" s="585"/>
      <c r="AY219" s="585"/>
      <c r="AZ219" s="585"/>
      <c r="BA219" s="497"/>
      <c r="BB219" s="627"/>
      <c r="BC219" s="580"/>
      <c r="BD219" s="580"/>
      <c r="BE219" s="580"/>
      <c r="BF219" s="580"/>
      <c r="BG219" s="579"/>
    </row>
    <row r="220" spans="2:59">
      <c r="B220" s="539" t="s">
        <v>577</v>
      </c>
      <c r="C220" s="540" t="s">
        <v>66</v>
      </c>
      <c r="D220" s="540" t="s">
        <v>55</v>
      </c>
      <c r="E220" s="540" t="s">
        <v>648</v>
      </c>
      <c r="F220" s="540" t="s">
        <v>652</v>
      </c>
      <c r="G220" s="541">
        <v>0.01</v>
      </c>
      <c r="H220" s="541">
        <v>3.3249999999999998E-3</v>
      </c>
      <c r="I220" s="542">
        <v>0.4</v>
      </c>
      <c r="J220" s="602">
        <v>7</v>
      </c>
      <c r="K220" s="543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3"/>
      <c r="AE220" s="273"/>
      <c r="AF220" s="272"/>
      <c r="AP220" s="494" t="str">
        <f ca="1">IF('CDO Bespoke'!C245&lt;&gt;"",'CDO Bespoke'!C245,"")</f>
        <v/>
      </c>
      <c r="AQ220" s="496"/>
      <c r="AR220" s="585"/>
      <c r="AS220" s="585"/>
      <c r="AT220" s="585"/>
      <c r="AU220" s="497"/>
      <c r="AV220" s="627"/>
      <c r="AW220" s="496"/>
      <c r="AX220" s="585"/>
      <c r="AY220" s="585"/>
      <c r="AZ220" s="585"/>
      <c r="BA220" s="497"/>
      <c r="BB220" s="627"/>
      <c r="BC220" s="580"/>
      <c r="BD220" s="580"/>
      <c r="BE220" s="580"/>
      <c r="BF220" s="580"/>
      <c r="BG220" s="579"/>
    </row>
    <row r="221" spans="2:59">
      <c r="B221" s="517" t="s">
        <v>577</v>
      </c>
      <c r="C221" s="518" t="s">
        <v>66</v>
      </c>
      <c r="D221" s="518" t="s">
        <v>57</v>
      </c>
      <c r="E221" s="518" t="s">
        <v>648</v>
      </c>
      <c r="F221" s="518" t="s">
        <v>652</v>
      </c>
      <c r="G221" s="525">
        <v>0.01</v>
      </c>
      <c r="H221" s="525">
        <v>6.195E-3</v>
      </c>
      <c r="I221" s="527">
        <v>0.4</v>
      </c>
      <c r="J221" s="594">
        <v>7</v>
      </c>
      <c r="K221" s="519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3"/>
      <c r="AE221" s="273"/>
      <c r="AF221" s="272"/>
      <c r="AP221" s="494" t="str">
        <f ca="1">IF('CDO Bespoke'!C246&lt;&gt;"",'CDO Bespoke'!C246,"")</f>
        <v/>
      </c>
      <c r="AQ221" s="496"/>
      <c r="AR221" s="585"/>
      <c r="AS221" s="585"/>
      <c r="AT221" s="585"/>
      <c r="AU221" s="497"/>
      <c r="AV221" s="627"/>
      <c r="AW221" s="496"/>
      <c r="AX221" s="585"/>
      <c r="AY221" s="585"/>
      <c r="AZ221" s="585"/>
      <c r="BA221" s="497"/>
      <c r="BB221" s="627"/>
      <c r="BC221" s="580"/>
      <c r="BD221" s="580"/>
      <c r="BE221" s="580"/>
      <c r="BF221" s="580"/>
      <c r="BG221" s="579"/>
    </row>
    <row r="222" spans="2:59">
      <c r="B222" s="534" t="s">
        <v>577</v>
      </c>
      <c r="C222" s="535" t="s">
        <v>66</v>
      </c>
      <c r="D222" s="535" t="s">
        <v>59</v>
      </c>
      <c r="E222" s="535" t="s">
        <v>648</v>
      </c>
      <c r="F222" s="535" t="s">
        <v>652</v>
      </c>
      <c r="G222" s="536">
        <v>0.01</v>
      </c>
      <c r="H222" s="536">
        <v>9.2610000000000001E-3</v>
      </c>
      <c r="I222" s="537">
        <v>0.4</v>
      </c>
      <c r="J222" s="595">
        <v>7</v>
      </c>
      <c r="K222" s="538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3"/>
      <c r="AE222" s="273"/>
      <c r="AF222" s="272"/>
      <c r="AP222" s="494" t="str">
        <f ca="1">IF('CDO Bespoke'!C247&lt;&gt;"",'CDO Bespoke'!C247,"")</f>
        <v/>
      </c>
      <c r="AQ222" s="496"/>
      <c r="AR222" s="585"/>
      <c r="AS222" s="585"/>
      <c r="AT222" s="585"/>
      <c r="AU222" s="497"/>
      <c r="AV222" s="627"/>
      <c r="AW222" s="496"/>
      <c r="AX222" s="585"/>
      <c r="AY222" s="585"/>
      <c r="AZ222" s="585"/>
      <c r="BA222" s="497"/>
      <c r="BB222" s="627"/>
      <c r="BC222" s="580"/>
      <c r="BD222" s="580"/>
      <c r="BE222" s="580"/>
      <c r="BF222" s="580"/>
      <c r="BG222" s="579"/>
    </row>
    <row r="223" spans="2:59">
      <c r="B223" s="539" t="s">
        <v>568</v>
      </c>
      <c r="C223" s="540" t="s">
        <v>66</v>
      </c>
      <c r="D223" s="540" t="s">
        <v>55</v>
      </c>
      <c r="E223" s="540" t="s">
        <v>648</v>
      </c>
      <c r="F223" s="540" t="s">
        <v>652</v>
      </c>
      <c r="G223" s="541">
        <v>0.01</v>
      </c>
      <c r="H223" s="541">
        <v>2.6879999999999999E-3</v>
      </c>
      <c r="I223" s="542">
        <v>0.4</v>
      </c>
      <c r="J223" s="602">
        <v>7</v>
      </c>
      <c r="K223" s="543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3"/>
      <c r="AE223" s="273"/>
      <c r="AF223" s="272"/>
      <c r="AP223" s="494" t="str">
        <f ca="1">IF('CDO Bespoke'!C248&lt;&gt;"",'CDO Bespoke'!C248,"")</f>
        <v/>
      </c>
      <c r="AQ223" s="496"/>
      <c r="AR223" s="585"/>
      <c r="AS223" s="585"/>
      <c r="AT223" s="585"/>
      <c r="AU223" s="497"/>
      <c r="AV223" s="627"/>
      <c r="AW223" s="496"/>
      <c r="AX223" s="585"/>
      <c r="AY223" s="585"/>
      <c r="AZ223" s="585"/>
      <c r="BA223" s="497"/>
      <c r="BB223" s="627"/>
      <c r="BC223" s="580"/>
      <c r="BD223" s="580"/>
      <c r="BE223" s="580"/>
      <c r="BF223" s="580"/>
      <c r="BG223" s="579"/>
    </row>
    <row r="224" spans="2:59">
      <c r="B224" s="517" t="s">
        <v>568</v>
      </c>
      <c r="C224" s="518" t="s">
        <v>66</v>
      </c>
      <c r="D224" s="518" t="s">
        <v>57</v>
      </c>
      <c r="E224" s="518" t="s">
        <v>648</v>
      </c>
      <c r="F224" s="518" t="s">
        <v>652</v>
      </c>
      <c r="G224" s="525">
        <v>0.01</v>
      </c>
      <c r="H224" s="525">
        <v>4.4660000000000004E-3</v>
      </c>
      <c r="I224" s="527">
        <v>0.4</v>
      </c>
      <c r="J224" s="594">
        <v>7</v>
      </c>
      <c r="K224" s="519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3"/>
      <c r="AE224" s="273"/>
      <c r="AF224" s="272"/>
      <c r="AP224" s="494" t="str">
        <f ca="1">IF('CDO Bespoke'!C249&lt;&gt;"",'CDO Bespoke'!C249,"")</f>
        <v/>
      </c>
      <c r="AQ224" s="496"/>
      <c r="AR224" s="585"/>
      <c r="AS224" s="585"/>
      <c r="AT224" s="585"/>
      <c r="AU224" s="497"/>
      <c r="AV224" s="627"/>
      <c r="AW224" s="496"/>
      <c r="AX224" s="585"/>
      <c r="AY224" s="585"/>
      <c r="AZ224" s="585"/>
      <c r="BA224" s="497"/>
      <c r="BB224" s="627"/>
      <c r="BC224" s="580"/>
      <c r="BD224" s="580"/>
      <c r="BE224" s="580"/>
      <c r="BF224" s="580"/>
      <c r="BG224" s="579"/>
    </row>
    <row r="225" spans="2:59">
      <c r="B225" s="534" t="s">
        <v>568</v>
      </c>
      <c r="C225" s="535" t="s">
        <v>66</v>
      </c>
      <c r="D225" s="535" t="s">
        <v>59</v>
      </c>
      <c r="E225" s="535" t="s">
        <v>648</v>
      </c>
      <c r="F225" s="535" t="s">
        <v>652</v>
      </c>
      <c r="G225" s="536">
        <v>0.01</v>
      </c>
      <c r="H225" s="536">
        <v>5.9670000000000001E-3</v>
      </c>
      <c r="I225" s="537">
        <v>0.4</v>
      </c>
      <c r="J225" s="595">
        <v>7</v>
      </c>
      <c r="K225" s="538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  <c r="AF225" s="272"/>
      <c r="AP225" s="494" t="str">
        <f ca="1">IF('CDO Bespoke'!C250&lt;&gt;"",'CDO Bespoke'!C250,"")</f>
        <v/>
      </c>
      <c r="AQ225" s="496"/>
      <c r="AR225" s="585"/>
      <c r="AS225" s="585"/>
      <c r="AT225" s="585"/>
      <c r="AU225" s="497"/>
      <c r="AV225" s="627"/>
      <c r="AW225" s="496"/>
      <c r="AX225" s="585"/>
      <c r="AY225" s="585"/>
      <c r="AZ225" s="585"/>
      <c r="BA225" s="497"/>
      <c r="BB225" s="627"/>
      <c r="BC225" s="580"/>
      <c r="BD225" s="580"/>
      <c r="BE225" s="580"/>
      <c r="BF225" s="580"/>
      <c r="BG225" s="579"/>
    </row>
    <row r="226" spans="2:59">
      <c r="B226" s="539" t="s">
        <v>569</v>
      </c>
      <c r="C226" s="540" t="s">
        <v>66</v>
      </c>
      <c r="D226" s="540" t="s">
        <v>55</v>
      </c>
      <c r="E226" s="540" t="s">
        <v>646</v>
      </c>
      <c r="F226" s="540" t="s">
        <v>651</v>
      </c>
      <c r="G226" s="541">
        <v>0.01</v>
      </c>
      <c r="H226" s="541">
        <v>3.4719999999999998E-3</v>
      </c>
      <c r="I226" s="542">
        <v>0.4</v>
      </c>
      <c r="J226" s="602">
        <v>4</v>
      </c>
      <c r="K226" s="543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  <c r="AF226" s="272"/>
      <c r="AP226" s="494" t="str">
        <f ca="1">IF('CDO Bespoke'!C251&lt;&gt;"",'CDO Bespoke'!C251,"")</f>
        <v/>
      </c>
      <c r="AQ226" s="496"/>
      <c r="AR226" s="585"/>
      <c r="AS226" s="585"/>
      <c r="AT226" s="585"/>
      <c r="AU226" s="497"/>
      <c r="AV226" s="627"/>
      <c r="AW226" s="496"/>
      <c r="AX226" s="585"/>
      <c r="AY226" s="585"/>
      <c r="AZ226" s="585"/>
      <c r="BA226" s="497"/>
      <c r="BB226" s="627"/>
      <c r="BC226" s="580"/>
      <c r="BD226" s="580"/>
      <c r="BE226" s="580"/>
      <c r="BF226" s="580"/>
      <c r="BG226" s="579"/>
    </row>
    <row r="227" spans="2:59">
      <c r="B227" s="517" t="s">
        <v>569</v>
      </c>
      <c r="C227" s="518" t="s">
        <v>66</v>
      </c>
      <c r="D227" s="518" t="s">
        <v>57</v>
      </c>
      <c r="E227" s="518" t="s">
        <v>646</v>
      </c>
      <c r="F227" s="518" t="s">
        <v>651</v>
      </c>
      <c r="G227" s="525">
        <v>0.01</v>
      </c>
      <c r="H227" s="525">
        <v>5.6010000000000001E-3</v>
      </c>
      <c r="I227" s="527">
        <v>0.4</v>
      </c>
      <c r="J227" s="594">
        <v>4</v>
      </c>
      <c r="K227" s="519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3"/>
      <c r="AE227" s="273"/>
      <c r="AF227" s="272"/>
      <c r="AP227" s="494" t="str">
        <f ca="1">IF('CDO Bespoke'!C252&lt;&gt;"",'CDO Bespoke'!C252,"")</f>
        <v/>
      </c>
      <c r="AQ227" s="496"/>
      <c r="AR227" s="585"/>
      <c r="AS227" s="585"/>
      <c r="AT227" s="585"/>
      <c r="AU227" s="497"/>
      <c r="AV227" s="627"/>
      <c r="AW227" s="496"/>
      <c r="AX227" s="585"/>
      <c r="AY227" s="585"/>
      <c r="AZ227" s="585"/>
      <c r="BA227" s="497"/>
      <c r="BB227" s="627"/>
      <c r="BC227" s="580"/>
      <c r="BD227" s="580"/>
      <c r="BE227" s="580"/>
      <c r="BF227" s="580"/>
      <c r="BG227" s="579"/>
    </row>
    <row r="228" spans="2:59">
      <c r="B228" s="534" t="s">
        <v>569</v>
      </c>
      <c r="C228" s="535" t="s">
        <v>66</v>
      </c>
      <c r="D228" s="535" t="s">
        <v>59</v>
      </c>
      <c r="E228" s="535" t="s">
        <v>646</v>
      </c>
      <c r="F228" s="535" t="s">
        <v>651</v>
      </c>
      <c r="G228" s="536">
        <v>0.01</v>
      </c>
      <c r="H228" s="536">
        <v>7.7669999999999996E-3</v>
      </c>
      <c r="I228" s="537">
        <v>0.4</v>
      </c>
      <c r="J228" s="595">
        <v>4</v>
      </c>
      <c r="K228" s="538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3"/>
      <c r="AE228" s="273"/>
      <c r="AF228" s="272"/>
      <c r="AP228" s="494" t="str">
        <f ca="1">IF('CDO Bespoke'!C253&lt;&gt;"",'CDO Bespoke'!C253,"")</f>
        <v/>
      </c>
      <c r="AQ228" s="496"/>
      <c r="AR228" s="585"/>
      <c r="AS228" s="585"/>
      <c r="AT228" s="585"/>
      <c r="AU228" s="497"/>
      <c r="AV228" s="627"/>
      <c r="AW228" s="496"/>
      <c r="AX228" s="585"/>
      <c r="AY228" s="585"/>
      <c r="AZ228" s="585"/>
      <c r="BA228" s="497"/>
      <c r="BB228" s="627"/>
      <c r="BC228" s="580"/>
      <c r="BD228" s="580"/>
      <c r="BE228" s="580"/>
      <c r="BF228" s="580"/>
      <c r="BG228" s="579"/>
    </row>
    <row r="229" spans="2:59">
      <c r="B229" s="539" t="s">
        <v>578</v>
      </c>
      <c r="C229" s="540" t="s">
        <v>66</v>
      </c>
      <c r="D229" s="540" t="s">
        <v>55</v>
      </c>
      <c r="E229" s="540" t="s">
        <v>650</v>
      </c>
      <c r="F229" s="540" t="s">
        <v>651</v>
      </c>
      <c r="G229" s="541">
        <v>0.01</v>
      </c>
      <c r="H229" s="541">
        <v>1.7849999999999999E-3</v>
      </c>
      <c r="I229" s="542">
        <v>0.4</v>
      </c>
      <c r="J229" s="602">
        <v>4</v>
      </c>
      <c r="K229" s="543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  <c r="AF229" s="272"/>
      <c r="AP229" s="494" t="str">
        <f ca="1">IF('CDO Bespoke'!C254&lt;&gt;"",'CDO Bespoke'!C254,"")</f>
        <v/>
      </c>
      <c r="AQ229" s="496"/>
      <c r="AR229" s="585"/>
      <c r="AS229" s="585"/>
      <c r="AT229" s="585"/>
      <c r="AU229" s="497"/>
      <c r="AV229" s="627"/>
      <c r="AW229" s="496"/>
      <c r="AX229" s="585"/>
      <c r="AY229" s="585"/>
      <c r="AZ229" s="585"/>
      <c r="BA229" s="497"/>
      <c r="BB229" s="627"/>
      <c r="BC229" s="580"/>
      <c r="BD229" s="580"/>
      <c r="BE229" s="580"/>
      <c r="BF229" s="580"/>
      <c r="BG229" s="579"/>
    </row>
    <row r="230" spans="2:59">
      <c r="B230" s="517" t="s">
        <v>578</v>
      </c>
      <c r="C230" s="518" t="s">
        <v>66</v>
      </c>
      <c r="D230" s="518" t="s">
        <v>57</v>
      </c>
      <c r="E230" s="518" t="s">
        <v>650</v>
      </c>
      <c r="F230" s="518" t="s">
        <v>651</v>
      </c>
      <c r="G230" s="525">
        <v>0.01</v>
      </c>
      <c r="H230" s="525">
        <v>2.7560000000000002E-3</v>
      </c>
      <c r="I230" s="527">
        <v>0.4</v>
      </c>
      <c r="J230" s="594">
        <v>4</v>
      </c>
      <c r="K230" s="519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3"/>
      <c r="AE230" s="273"/>
      <c r="AF230" s="272"/>
      <c r="AP230" s="494" t="str">
        <f ca="1">IF('CDO Bespoke'!C255&lt;&gt;"",'CDO Bespoke'!C255,"")</f>
        <v/>
      </c>
      <c r="AQ230" s="496"/>
      <c r="AR230" s="585"/>
      <c r="AS230" s="585"/>
      <c r="AT230" s="585"/>
      <c r="AU230" s="497"/>
      <c r="AV230" s="627"/>
      <c r="AW230" s="496"/>
      <c r="AX230" s="585"/>
      <c r="AY230" s="585"/>
      <c r="AZ230" s="585"/>
      <c r="BA230" s="497"/>
      <c r="BB230" s="627"/>
      <c r="BC230" s="580"/>
      <c r="BD230" s="580"/>
      <c r="BE230" s="580"/>
      <c r="BF230" s="580"/>
      <c r="BG230" s="579"/>
    </row>
    <row r="231" spans="2:59">
      <c r="B231" s="534" t="s">
        <v>578</v>
      </c>
      <c r="C231" s="535" t="s">
        <v>66</v>
      </c>
      <c r="D231" s="535" t="s">
        <v>59</v>
      </c>
      <c r="E231" s="535" t="s">
        <v>650</v>
      </c>
      <c r="F231" s="535" t="s">
        <v>651</v>
      </c>
      <c r="G231" s="536">
        <v>0.01</v>
      </c>
      <c r="H231" s="536">
        <v>3.7669999999999999E-3</v>
      </c>
      <c r="I231" s="537">
        <v>0.4</v>
      </c>
      <c r="J231" s="595">
        <v>4</v>
      </c>
      <c r="K231" s="538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3"/>
      <c r="AE231" s="273"/>
      <c r="AF231" s="272"/>
      <c r="AP231" s="494" t="str">
        <f ca="1">IF('CDO Bespoke'!C256&lt;&gt;"",'CDO Bespoke'!C256,"")</f>
        <v/>
      </c>
      <c r="AQ231" s="496"/>
      <c r="AR231" s="585"/>
      <c r="AS231" s="585"/>
      <c r="AT231" s="585"/>
      <c r="AU231" s="497"/>
      <c r="AV231" s="627"/>
      <c r="AW231" s="496"/>
      <c r="AX231" s="585"/>
      <c r="AY231" s="585"/>
      <c r="AZ231" s="585"/>
      <c r="BA231" s="497"/>
      <c r="BB231" s="627"/>
      <c r="BC231" s="580"/>
      <c r="BD231" s="580"/>
      <c r="BE231" s="580"/>
      <c r="BF231" s="580"/>
      <c r="BG231" s="579"/>
    </row>
    <row r="232" spans="2:59">
      <c r="B232" s="539" t="s">
        <v>570</v>
      </c>
      <c r="C232" s="540" t="s">
        <v>66</v>
      </c>
      <c r="D232" s="540" t="s">
        <v>55</v>
      </c>
      <c r="E232" s="540" t="s">
        <v>648</v>
      </c>
      <c r="F232" s="540" t="s">
        <v>652</v>
      </c>
      <c r="G232" s="541">
        <v>0.01</v>
      </c>
      <c r="H232" s="541">
        <v>2.5920000000000001E-3</v>
      </c>
      <c r="I232" s="542">
        <v>0.4</v>
      </c>
      <c r="J232" s="602">
        <v>7</v>
      </c>
      <c r="K232" s="543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3"/>
      <c r="AE232" s="273"/>
      <c r="AF232" s="272"/>
      <c r="AP232" s="494" t="str">
        <f ca="1">IF('CDO Bespoke'!C257&lt;&gt;"",'CDO Bespoke'!C257,"")</f>
        <v/>
      </c>
      <c r="AQ232" s="496"/>
      <c r="AR232" s="585"/>
      <c r="AS232" s="585"/>
      <c r="AT232" s="585"/>
      <c r="AU232" s="497"/>
      <c r="AV232" s="627"/>
      <c r="AW232" s="496"/>
      <c r="AX232" s="585"/>
      <c r="AY232" s="585"/>
      <c r="AZ232" s="585"/>
      <c r="BA232" s="497"/>
      <c r="BB232" s="627"/>
      <c r="BC232" s="580"/>
      <c r="BD232" s="580"/>
      <c r="BE232" s="580"/>
      <c r="BF232" s="580"/>
      <c r="BG232" s="579"/>
    </row>
    <row r="233" spans="2:59">
      <c r="B233" s="517" t="s">
        <v>570</v>
      </c>
      <c r="C233" s="518" t="s">
        <v>66</v>
      </c>
      <c r="D233" s="518" t="s">
        <v>57</v>
      </c>
      <c r="E233" s="518" t="s">
        <v>648</v>
      </c>
      <c r="F233" s="518" t="s">
        <v>652</v>
      </c>
      <c r="G233" s="525">
        <v>0.01</v>
      </c>
      <c r="H233" s="525">
        <v>4.5840000000000004E-3</v>
      </c>
      <c r="I233" s="527">
        <v>0.4</v>
      </c>
      <c r="J233" s="594">
        <v>7</v>
      </c>
      <c r="K233" s="519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  <c r="AF233" s="272"/>
      <c r="AP233" s="494" t="str">
        <f ca="1">IF('CDO Bespoke'!C258&lt;&gt;"",'CDO Bespoke'!C258,"")</f>
        <v/>
      </c>
      <c r="AQ233" s="496"/>
      <c r="AR233" s="585"/>
      <c r="AS233" s="585"/>
      <c r="AT233" s="585"/>
      <c r="AU233" s="497"/>
      <c r="AV233" s="627"/>
      <c r="AW233" s="496"/>
      <c r="AX233" s="585"/>
      <c r="AY233" s="585"/>
      <c r="AZ233" s="585"/>
      <c r="BA233" s="497"/>
      <c r="BB233" s="627"/>
      <c r="BC233" s="580"/>
      <c r="BD233" s="580"/>
      <c r="BE233" s="580"/>
      <c r="BF233" s="580"/>
      <c r="BG233" s="579"/>
    </row>
    <row r="234" spans="2:59">
      <c r="B234" s="534" t="s">
        <v>570</v>
      </c>
      <c r="C234" s="535" t="s">
        <v>66</v>
      </c>
      <c r="D234" s="535" t="s">
        <v>59</v>
      </c>
      <c r="E234" s="535" t="s">
        <v>648</v>
      </c>
      <c r="F234" s="535" t="s">
        <v>652</v>
      </c>
      <c r="G234" s="536">
        <v>0.01</v>
      </c>
      <c r="H234" s="536">
        <v>6.4619999999999999E-3</v>
      </c>
      <c r="I234" s="537">
        <v>0.4</v>
      </c>
      <c r="J234" s="595">
        <v>7</v>
      </c>
      <c r="K234" s="538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2"/>
      <c r="AP234" s="494" t="str">
        <f ca="1">IF('CDO Bespoke'!C259&lt;&gt;"",'CDO Bespoke'!C259,"")</f>
        <v/>
      </c>
      <c r="AQ234" s="496"/>
      <c r="AR234" s="585"/>
      <c r="AS234" s="585"/>
      <c r="AT234" s="585"/>
      <c r="AU234" s="497"/>
      <c r="AV234" s="627"/>
      <c r="AW234" s="496"/>
      <c r="AX234" s="585"/>
      <c r="AY234" s="585"/>
      <c r="AZ234" s="585"/>
      <c r="BA234" s="497"/>
      <c r="BB234" s="627"/>
      <c r="BC234" s="580"/>
      <c r="BD234" s="580"/>
      <c r="BE234" s="580"/>
      <c r="BF234" s="580"/>
      <c r="BG234" s="579"/>
    </row>
    <row r="235" spans="2:59">
      <c r="B235" s="539" t="s">
        <v>571</v>
      </c>
      <c r="C235" s="540" t="s">
        <v>66</v>
      </c>
      <c r="D235" s="540" t="s">
        <v>55</v>
      </c>
      <c r="E235" s="540" t="s">
        <v>648</v>
      </c>
      <c r="F235" s="540" t="s">
        <v>652</v>
      </c>
      <c r="G235" s="541">
        <v>0.01</v>
      </c>
      <c r="H235" s="541">
        <v>2.307E-3</v>
      </c>
      <c r="I235" s="542">
        <v>0.4</v>
      </c>
      <c r="J235" s="602">
        <v>7</v>
      </c>
      <c r="K235" s="543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2"/>
      <c r="AP235" s="494" t="str">
        <f ca="1">IF('CDO Bespoke'!C260&lt;&gt;"",'CDO Bespoke'!C260,"")</f>
        <v/>
      </c>
      <c r="AQ235" s="496"/>
      <c r="AR235" s="585"/>
      <c r="AS235" s="585"/>
      <c r="AT235" s="585"/>
      <c r="AU235" s="497"/>
      <c r="AV235" s="627"/>
      <c r="AW235" s="496"/>
      <c r="AX235" s="585"/>
      <c r="AY235" s="585"/>
      <c r="AZ235" s="585"/>
      <c r="BA235" s="497"/>
      <c r="BB235" s="627"/>
      <c r="BC235" s="580"/>
      <c r="BD235" s="580"/>
      <c r="BE235" s="580"/>
      <c r="BF235" s="580"/>
      <c r="BG235" s="579"/>
    </row>
    <row r="236" spans="2:59">
      <c r="B236" s="517" t="s">
        <v>571</v>
      </c>
      <c r="C236" s="518" t="s">
        <v>66</v>
      </c>
      <c r="D236" s="518" t="s">
        <v>57</v>
      </c>
      <c r="E236" s="518" t="s">
        <v>648</v>
      </c>
      <c r="F236" s="518" t="s">
        <v>652</v>
      </c>
      <c r="G236" s="525">
        <v>0.01</v>
      </c>
      <c r="H236" s="525">
        <v>3.8999999999999998E-3</v>
      </c>
      <c r="I236" s="527">
        <v>0.4</v>
      </c>
      <c r="J236" s="594">
        <v>7</v>
      </c>
      <c r="K236" s="519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3"/>
      <c r="AE236" s="273"/>
      <c r="AF236" s="272"/>
      <c r="AP236" s="494" t="str">
        <f ca="1">IF('CDO Bespoke'!C261&lt;&gt;"",'CDO Bespoke'!C261,"")</f>
        <v/>
      </c>
      <c r="AQ236" s="496"/>
      <c r="AR236" s="585"/>
      <c r="AS236" s="585"/>
      <c r="AT236" s="585"/>
      <c r="AU236" s="497"/>
      <c r="AV236" s="627"/>
      <c r="AW236" s="496"/>
      <c r="AX236" s="585"/>
      <c r="AY236" s="585"/>
      <c r="AZ236" s="585"/>
      <c r="BA236" s="497"/>
      <c r="BB236" s="627"/>
      <c r="BC236" s="580"/>
      <c r="BD236" s="580"/>
      <c r="BE236" s="580"/>
      <c r="BF236" s="580"/>
      <c r="BG236" s="579"/>
    </row>
    <row r="237" spans="2:59">
      <c r="B237" s="534" t="s">
        <v>571</v>
      </c>
      <c r="C237" s="535" t="s">
        <v>66</v>
      </c>
      <c r="D237" s="535" t="s">
        <v>59</v>
      </c>
      <c r="E237" s="535" t="s">
        <v>648</v>
      </c>
      <c r="F237" s="535" t="s">
        <v>652</v>
      </c>
      <c r="G237" s="536">
        <v>0.01</v>
      </c>
      <c r="H237" s="536">
        <v>5.7710000000000001E-3</v>
      </c>
      <c r="I237" s="537">
        <v>0.4</v>
      </c>
      <c r="J237" s="595">
        <v>7</v>
      </c>
      <c r="K237" s="538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3"/>
      <c r="AE237" s="273"/>
      <c r="AF237" s="272"/>
      <c r="AP237" s="494" t="str">
        <f ca="1">IF('CDO Bespoke'!C262&lt;&gt;"",'CDO Bespoke'!C262,"")</f>
        <v/>
      </c>
      <c r="AQ237" s="496"/>
      <c r="AR237" s="585"/>
      <c r="AS237" s="585"/>
      <c r="AT237" s="585"/>
      <c r="AU237" s="497"/>
      <c r="AV237" s="627"/>
      <c r="AW237" s="496"/>
      <c r="AX237" s="585"/>
      <c r="AY237" s="585"/>
      <c r="AZ237" s="585"/>
      <c r="BA237" s="497"/>
      <c r="BB237" s="627"/>
      <c r="BC237" s="580"/>
      <c r="BD237" s="580"/>
      <c r="BE237" s="580"/>
      <c r="BF237" s="580"/>
      <c r="BG237" s="579"/>
    </row>
    <row r="238" spans="2:59">
      <c r="B238" s="539" t="s">
        <v>572</v>
      </c>
      <c r="C238" s="540" t="s">
        <v>66</v>
      </c>
      <c r="D238" s="540" t="s">
        <v>55</v>
      </c>
      <c r="E238" s="540" t="s">
        <v>648</v>
      </c>
      <c r="F238" s="540" t="s">
        <v>652</v>
      </c>
      <c r="G238" s="541">
        <v>0.01</v>
      </c>
      <c r="H238" s="541">
        <v>3.751E-3</v>
      </c>
      <c r="I238" s="542">
        <v>0.4</v>
      </c>
      <c r="J238" s="602">
        <v>7</v>
      </c>
      <c r="K238" s="543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3"/>
      <c r="AE238" s="273"/>
      <c r="AF238" s="272"/>
      <c r="AP238" s="494" t="str">
        <f ca="1">IF('CDO Bespoke'!C263&lt;&gt;"",'CDO Bespoke'!C263,"")</f>
        <v/>
      </c>
      <c r="AQ238" s="496"/>
      <c r="AR238" s="585"/>
      <c r="AS238" s="585"/>
      <c r="AT238" s="585"/>
      <c r="AU238" s="497"/>
      <c r="AV238" s="627"/>
      <c r="AW238" s="496"/>
      <c r="AX238" s="585"/>
      <c r="AY238" s="585"/>
      <c r="AZ238" s="585"/>
      <c r="BA238" s="497"/>
      <c r="BB238" s="627"/>
      <c r="BC238" s="580"/>
      <c r="BD238" s="580"/>
      <c r="BE238" s="580"/>
      <c r="BF238" s="580"/>
      <c r="BG238" s="579"/>
    </row>
    <row r="239" spans="2:59">
      <c r="B239" s="517" t="s">
        <v>572</v>
      </c>
      <c r="C239" s="518" t="s">
        <v>66</v>
      </c>
      <c r="D239" s="518" t="s">
        <v>57</v>
      </c>
      <c r="E239" s="518" t="s">
        <v>648</v>
      </c>
      <c r="F239" s="518" t="s">
        <v>652</v>
      </c>
      <c r="G239" s="525">
        <v>0.01</v>
      </c>
      <c r="H239" s="525">
        <v>5.8129999999999996E-3</v>
      </c>
      <c r="I239" s="527">
        <v>0.4</v>
      </c>
      <c r="J239" s="594">
        <v>7</v>
      </c>
      <c r="K239" s="519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3"/>
      <c r="AE239" s="273"/>
      <c r="AF239" s="272"/>
      <c r="AP239" s="494" t="str">
        <f ca="1">IF('CDO Bespoke'!C264&lt;&gt;"",'CDO Bespoke'!C264,"")</f>
        <v/>
      </c>
      <c r="AQ239" s="496"/>
      <c r="AR239" s="585"/>
      <c r="AS239" s="585"/>
      <c r="AT239" s="585"/>
      <c r="AU239" s="497"/>
      <c r="AV239" s="627"/>
      <c r="AW239" s="496"/>
      <c r="AX239" s="585"/>
      <c r="AY239" s="585"/>
      <c r="AZ239" s="585"/>
      <c r="BA239" s="497"/>
      <c r="BB239" s="627"/>
      <c r="BC239" s="580"/>
      <c r="BD239" s="580"/>
      <c r="BE239" s="580"/>
      <c r="BF239" s="580"/>
      <c r="BG239" s="579"/>
    </row>
    <row r="240" spans="2:59">
      <c r="B240" s="534" t="s">
        <v>572</v>
      </c>
      <c r="C240" s="535" t="s">
        <v>66</v>
      </c>
      <c r="D240" s="535" t="s">
        <v>59</v>
      </c>
      <c r="E240" s="535" t="s">
        <v>648</v>
      </c>
      <c r="F240" s="535" t="s">
        <v>652</v>
      </c>
      <c r="G240" s="536">
        <v>0.01</v>
      </c>
      <c r="H240" s="536">
        <v>8.0239999999999999E-3</v>
      </c>
      <c r="I240" s="537">
        <v>0.4</v>
      </c>
      <c r="J240" s="595">
        <v>7</v>
      </c>
      <c r="K240" s="538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3"/>
      <c r="AE240" s="273"/>
      <c r="AF240" s="272"/>
      <c r="AP240" s="494" t="str">
        <f ca="1">IF('CDO Bespoke'!C265&lt;&gt;"",'CDO Bespoke'!C265,"")</f>
        <v/>
      </c>
      <c r="AQ240" s="496"/>
      <c r="AR240" s="585"/>
      <c r="AS240" s="585"/>
      <c r="AT240" s="585"/>
      <c r="AU240" s="497"/>
      <c r="AV240" s="627"/>
      <c r="AW240" s="496"/>
      <c r="AX240" s="585"/>
      <c r="AY240" s="585"/>
      <c r="AZ240" s="585"/>
      <c r="BA240" s="497"/>
      <c r="BB240" s="627"/>
      <c r="BC240" s="580"/>
      <c r="BD240" s="580"/>
      <c r="BE240" s="580"/>
      <c r="BF240" s="580"/>
      <c r="BG240" s="579"/>
    </row>
    <row r="241" spans="2:59">
      <c r="B241" s="539" t="s">
        <v>573</v>
      </c>
      <c r="C241" s="540" t="s">
        <v>66</v>
      </c>
      <c r="D241" s="540" t="s">
        <v>55</v>
      </c>
      <c r="E241" s="540" t="s">
        <v>648</v>
      </c>
      <c r="F241" s="540" t="s">
        <v>652</v>
      </c>
      <c r="G241" s="541">
        <v>0.01</v>
      </c>
      <c r="H241" s="541">
        <v>2.993E-3</v>
      </c>
      <c r="I241" s="542">
        <v>0.4</v>
      </c>
      <c r="J241" s="602">
        <v>7</v>
      </c>
      <c r="K241" s="543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3"/>
      <c r="AE241" s="273"/>
      <c r="AF241" s="272"/>
      <c r="AP241" s="494" t="str">
        <f ca="1">IF('CDO Bespoke'!C266&lt;&gt;"",'CDO Bespoke'!C266,"")</f>
        <v/>
      </c>
      <c r="AQ241" s="496"/>
      <c r="AR241" s="585"/>
      <c r="AS241" s="585"/>
      <c r="AT241" s="585"/>
      <c r="AU241" s="497"/>
      <c r="AV241" s="627"/>
      <c r="AW241" s="496"/>
      <c r="AX241" s="585"/>
      <c r="AY241" s="585"/>
      <c r="AZ241" s="585"/>
      <c r="BA241" s="497"/>
      <c r="BB241" s="627"/>
      <c r="BC241" s="580"/>
      <c r="BD241" s="580"/>
      <c r="BE241" s="580"/>
      <c r="BF241" s="580"/>
      <c r="BG241" s="579"/>
    </row>
    <row r="242" spans="2:59">
      <c r="B242" s="517" t="s">
        <v>573</v>
      </c>
      <c r="C242" s="518" t="s">
        <v>66</v>
      </c>
      <c r="D242" s="518" t="s">
        <v>57</v>
      </c>
      <c r="E242" s="518" t="s">
        <v>648</v>
      </c>
      <c r="F242" s="518" t="s">
        <v>652</v>
      </c>
      <c r="G242" s="525">
        <v>0.01</v>
      </c>
      <c r="H242" s="525">
        <v>4.7149999999999996E-3</v>
      </c>
      <c r="I242" s="527">
        <v>0.4</v>
      </c>
      <c r="J242" s="594">
        <v>7</v>
      </c>
      <c r="K242" s="519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3"/>
      <c r="AE242" s="273"/>
      <c r="AF242" s="272"/>
      <c r="AP242" s="494" t="str">
        <f ca="1">IF('CDO Bespoke'!C267&lt;&gt;"",'CDO Bespoke'!C267,"")</f>
        <v/>
      </c>
      <c r="AQ242" s="496"/>
      <c r="AR242" s="585"/>
      <c r="AS242" s="585"/>
      <c r="AT242" s="585"/>
      <c r="AU242" s="497"/>
      <c r="AV242" s="627"/>
      <c r="AW242" s="496"/>
      <c r="AX242" s="585"/>
      <c r="AY242" s="585"/>
      <c r="AZ242" s="585"/>
      <c r="BA242" s="497"/>
      <c r="BB242" s="627"/>
      <c r="BC242" s="580"/>
      <c r="BD242" s="580"/>
      <c r="BE242" s="580"/>
      <c r="BF242" s="580"/>
      <c r="BG242" s="579"/>
    </row>
    <row r="243" spans="2:59">
      <c r="B243" s="534" t="s">
        <v>573</v>
      </c>
      <c r="C243" s="535" t="s">
        <v>66</v>
      </c>
      <c r="D243" s="535" t="s">
        <v>59</v>
      </c>
      <c r="E243" s="535" t="s">
        <v>648</v>
      </c>
      <c r="F243" s="535" t="s">
        <v>652</v>
      </c>
      <c r="G243" s="536">
        <v>0.01</v>
      </c>
      <c r="H243" s="536">
        <v>6.6360000000000004E-3</v>
      </c>
      <c r="I243" s="537">
        <v>0.4</v>
      </c>
      <c r="J243" s="595">
        <v>7</v>
      </c>
      <c r="K243" s="538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3"/>
      <c r="AE243" s="273"/>
      <c r="AF243" s="272"/>
      <c r="AP243" s="494" t="str">
        <f ca="1">IF('CDO Bespoke'!C268&lt;&gt;"",'CDO Bespoke'!C268,"")</f>
        <v/>
      </c>
      <c r="AQ243" s="496"/>
      <c r="AR243" s="585"/>
      <c r="AS243" s="585"/>
      <c r="AT243" s="585"/>
      <c r="AU243" s="497"/>
      <c r="AV243" s="627"/>
      <c r="AW243" s="496"/>
      <c r="AX243" s="585"/>
      <c r="AY243" s="585"/>
      <c r="AZ243" s="585"/>
      <c r="BA243" s="497"/>
      <c r="BB243" s="627"/>
      <c r="BC243" s="580"/>
      <c r="BD243" s="580"/>
      <c r="BE243" s="580"/>
      <c r="BF243" s="580"/>
      <c r="BG243" s="579"/>
    </row>
    <row r="244" spans="2:59">
      <c r="B244" s="539" t="s">
        <v>574</v>
      </c>
      <c r="C244" s="540" t="s">
        <v>66</v>
      </c>
      <c r="D244" s="540" t="s">
        <v>55</v>
      </c>
      <c r="E244" s="540" t="s">
        <v>648</v>
      </c>
      <c r="F244" s="540" t="s">
        <v>651</v>
      </c>
      <c r="G244" s="541">
        <v>0.01</v>
      </c>
      <c r="H244" s="541">
        <v>4.0020000000000003E-3</v>
      </c>
      <c r="I244" s="542">
        <v>0.4</v>
      </c>
      <c r="J244" s="602">
        <v>4</v>
      </c>
      <c r="K244" s="543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3"/>
      <c r="AE244" s="273"/>
      <c r="AF244" s="272"/>
      <c r="AP244" s="494" t="str">
        <f ca="1">IF('CDO Bespoke'!C269&lt;&gt;"",'CDO Bespoke'!C269,"")</f>
        <v/>
      </c>
      <c r="AQ244" s="496"/>
      <c r="AR244" s="585"/>
      <c r="AS244" s="585"/>
      <c r="AT244" s="585"/>
      <c r="AU244" s="497"/>
      <c r="AV244" s="627"/>
      <c r="AW244" s="496"/>
      <c r="AX244" s="585"/>
      <c r="AY244" s="585"/>
      <c r="AZ244" s="585"/>
      <c r="BA244" s="497"/>
      <c r="BB244" s="627"/>
      <c r="BC244" s="580"/>
      <c r="BD244" s="580"/>
      <c r="BE244" s="580"/>
      <c r="BF244" s="580"/>
      <c r="BG244" s="579"/>
    </row>
    <row r="245" spans="2:59">
      <c r="B245" s="517" t="s">
        <v>574</v>
      </c>
      <c r="C245" s="518" t="s">
        <v>66</v>
      </c>
      <c r="D245" s="518" t="s">
        <v>57</v>
      </c>
      <c r="E245" s="518" t="s">
        <v>648</v>
      </c>
      <c r="F245" s="518" t="s">
        <v>651</v>
      </c>
      <c r="G245" s="525">
        <v>0.01</v>
      </c>
      <c r="H245" s="525">
        <v>6.0629999999999998E-3</v>
      </c>
      <c r="I245" s="527">
        <v>0.4</v>
      </c>
      <c r="J245" s="594">
        <v>4</v>
      </c>
      <c r="K245" s="519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3"/>
      <c r="AE245" s="273"/>
      <c r="AF245" s="272"/>
      <c r="AP245" s="494" t="str">
        <f ca="1">IF('CDO Bespoke'!C270&lt;&gt;"",'CDO Bespoke'!C270,"")</f>
        <v/>
      </c>
      <c r="AQ245" s="496"/>
      <c r="AR245" s="585"/>
      <c r="AS245" s="585"/>
      <c r="AT245" s="585"/>
      <c r="AU245" s="497"/>
      <c r="AV245" s="627"/>
      <c r="AW245" s="496"/>
      <c r="AX245" s="585"/>
      <c r="AY245" s="585"/>
      <c r="AZ245" s="585"/>
      <c r="BA245" s="497"/>
      <c r="BB245" s="627"/>
      <c r="BC245" s="580"/>
      <c r="BD245" s="580"/>
      <c r="BE245" s="580"/>
      <c r="BF245" s="580"/>
      <c r="BG245" s="579"/>
    </row>
    <row r="246" spans="2:59">
      <c r="B246" s="534" t="s">
        <v>574</v>
      </c>
      <c r="C246" s="535" t="s">
        <v>66</v>
      </c>
      <c r="D246" s="535" t="s">
        <v>59</v>
      </c>
      <c r="E246" s="535" t="s">
        <v>648</v>
      </c>
      <c r="F246" s="535" t="s">
        <v>651</v>
      </c>
      <c r="G246" s="536">
        <v>0.01</v>
      </c>
      <c r="H246" s="536">
        <v>8.3820000000000006E-3</v>
      </c>
      <c r="I246" s="537">
        <v>0.4</v>
      </c>
      <c r="J246" s="595">
        <v>4</v>
      </c>
      <c r="K246" s="538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3"/>
      <c r="AE246" s="273"/>
      <c r="AF246" s="272"/>
      <c r="AP246" s="494" t="str">
        <f ca="1">IF('CDO Bespoke'!C271&lt;&gt;"",'CDO Bespoke'!C271,"")</f>
        <v/>
      </c>
      <c r="AQ246" s="496"/>
      <c r="AR246" s="585"/>
      <c r="AS246" s="585"/>
      <c r="AT246" s="585"/>
      <c r="AU246" s="497"/>
      <c r="AV246" s="627"/>
      <c r="AW246" s="496"/>
      <c r="AX246" s="585"/>
      <c r="AY246" s="585"/>
      <c r="AZ246" s="585"/>
      <c r="BA246" s="497"/>
      <c r="BB246" s="627"/>
      <c r="BC246" s="580"/>
      <c r="BD246" s="580"/>
      <c r="BE246" s="580"/>
      <c r="BF246" s="580"/>
      <c r="BG246" s="579"/>
    </row>
    <row r="247" spans="2:59">
      <c r="B247" s="539" t="s">
        <v>579</v>
      </c>
      <c r="C247" s="540" t="s">
        <v>66</v>
      </c>
      <c r="D247" s="540" t="s">
        <v>55</v>
      </c>
      <c r="E247" s="540" t="s">
        <v>650</v>
      </c>
      <c r="F247" s="540" t="s">
        <v>651</v>
      </c>
      <c r="G247" s="541">
        <v>0.01</v>
      </c>
      <c r="H247" s="541">
        <v>1.9380000000000001E-3</v>
      </c>
      <c r="I247" s="542">
        <v>0.4</v>
      </c>
      <c r="J247" s="602">
        <v>4</v>
      </c>
      <c r="K247" s="543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3"/>
      <c r="AE247" s="273"/>
      <c r="AF247" s="272"/>
      <c r="AP247" s="494" t="str">
        <f ca="1">IF('CDO Bespoke'!C272&lt;&gt;"",'CDO Bespoke'!C272,"")</f>
        <v/>
      </c>
      <c r="AQ247" s="496"/>
      <c r="AR247" s="585"/>
      <c r="AS247" s="585"/>
      <c r="AT247" s="585"/>
      <c r="AU247" s="497"/>
      <c r="AV247" s="627"/>
      <c r="AW247" s="496"/>
      <c r="AX247" s="585"/>
      <c r="AY247" s="585"/>
      <c r="AZ247" s="585"/>
      <c r="BA247" s="497"/>
      <c r="BB247" s="627"/>
      <c r="BC247" s="580"/>
      <c r="BD247" s="580"/>
      <c r="BE247" s="580"/>
      <c r="BF247" s="580"/>
      <c r="BG247" s="579"/>
    </row>
    <row r="248" spans="2:59">
      <c r="B248" s="517" t="s">
        <v>579</v>
      </c>
      <c r="C248" s="518" t="s">
        <v>66</v>
      </c>
      <c r="D248" s="518" t="s">
        <v>57</v>
      </c>
      <c r="E248" s="518" t="s">
        <v>650</v>
      </c>
      <c r="F248" s="518" t="s">
        <v>651</v>
      </c>
      <c r="G248" s="525">
        <v>0.01</v>
      </c>
      <c r="H248" s="525">
        <v>3.1410000000000001E-3</v>
      </c>
      <c r="I248" s="527">
        <v>0.4</v>
      </c>
      <c r="J248" s="594">
        <v>4</v>
      </c>
      <c r="K248" s="519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3"/>
      <c r="AE248" s="273"/>
      <c r="AF248" s="272"/>
      <c r="AP248" s="494" t="str">
        <f ca="1">IF('CDO Bespoke'!C273&lt;&gt;"",'CDO Bespoke'!C273,"")</f>
        <v/>
      </c>
      <c r="AQ248" s="496"/>
      <c r="AR248" s="585"/>
      <c r="AS248" s="585"/>
      <c r="AT248" s="585"/>
      <c r="AU248" s="497"/>
      <c r="AV248" s="627"/>
      <c r="AW248" s="496"/>
      <c r="AX248" s="585"/>
      <c r="AY248" s="585"/>
      <c r="AZ248" s="585"/>
      <c r="BA248" s="497"/>
      <c r="BB248" s="627"/>
      <c r="BC248" s="580"/>
      <c r="BD248" s="580"/>
      <c r="BE248" s="580"/>
      <c r="BF248" s="580"/>
      <c r="BG248" s="579"/>
    </row>
    <row r="249" spans="2:59">
      <c r="B249" s="534" t="s">
        <v>579</v>
      </c>
      <c r="C249" s="535" t="s">
        <v>66</v>
      </c>
      <c r="D249" s="535" t="s">
        <v>59</v>
      </c>
      <c r="E249" s="535" t="s">
        <v>650</v>
      </c>
      <c r="F249" s="535" t="s">
        <v>651</v>
      </c>
      <c r="G249" s="536">
        <v>0.01</v>
      </c>
      <c r="H249" s="536">
        <v>4.7060000000000001E-3</v>
      </c>
      <c r="I249" s="537">
        <v>0.4</v>
      </c>
      <c r="J249" s="595">
        <v>4</v>
      </c>
      <c r="K249" s="538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3"/>
      <c r="AE249" s="273"/>
      <c r="AF249" s="272"/>
      <c r="AP249" s="494" t="str">
        <f ca="1">IF('CDO Bespoke'!C274&lt;&gt;"",'CDO Bespoke'!C274,"")</f>
        <v/>
      </c>
      <c r="AQ249" s="496"/>
      <c r="AR249" s="585"/>
      <c r="AS249" s="585"/>
      <c r="AT249" s="585"/>
      <c r="AU249" s="497"/>
      <c r="AV249" s="627"/>
      <c r="AW249" s="496"/>
      <c r="AX249" s="585"/>
      <c r="AY249" s="585"/>
      <c r="AZ249" s="585"/>
      <c r="BA249" s="497"/>
      <c r="BB249" s="627"/>
      <c r="BC249" s="580"/>
      <c r="BD249" s="580"/>
      <c r="BE249" s="580"/>
      <c r="BF249" s="580"/>
      <c r="BG249" s="579"/>
    </row>
    <row r="250" spans="2:59">
      <c r="B250" s="539" t="s">
        <v>580</v>
      </c>
      <c r="C250" s="540" t="s">
        <v>66</v>
      </c>
      <c r="D250" s="540" t="s">
        <v>55</v>
      </c>
      <c r="E250" s="540" t="s">
        <v>646</v>
      </c>
      <c r="F250" s="540" t="s">
        <v>651</v>
      </c>
      <c r="G250" s="541">
        <v>0.01</v>
      </c>
      <c r="H250" s="541">
        <v>1.7650000000000001E-3</v>
      </c>
      <c r="I250" s="542">
        <v>0.4</v>
      </c>
      <c r="J250" s="602">
        <v>4</v>
      </c>
      <c r="K250" s="543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3"/>
      <c r="AE250" s="273"/>
      <c r="AF250" s="272"/>
      <c r="AP250" s="494" t="str">
        <f ca="1">IF('CDO Bespoke'!C275&lt;&gt;"",'CDO Bespoke'!C275,"")</f>
        <v/>
      </c>
      <c r="AQ250" s="496"/>
      <c r="AR250" s="585"/>
      <c r="AS250" s="585"/>
      <c r="AT250" s="585"/>
      <c r="AU250" s="497"/>
      <c r="AV250" s="627"/>
      <c r="AW250" s="496"/>
      <c r="AX250" s="585"/>
      <c r="AY250" s="585"/>
      <c r="AZ250" s="585"/>
      <c r="BA250" s="497"/>
      <c r="BB250" s="627"/>
      <c r="BC250" s="580"/>
      <c r="BD250" s="580"/>
      <c r="BE250" s="580"/>
      <c r="BF250" s="580"/>
      <c r="BG250" s="579"/>
    </row>
    <row r="251" spans="2:59">
      <c r="B251" s="517" t="s">
        <v>580</v>
      </c>
      <c r="C251" s="518" t="s">
        <v>66</v>
      </c>
      <c r="D251" s="518" t="s">
        <v>57</v>
      </c>
      <c r="E251" s="518" t="s">
        <v>646</v>
      </c>
      <c r="F251" s="518" t="s">
        <v>651</v>
      </c>
      <c r="G251" s="525">
        <v>0.01</v>
      </c>
      <c r="H251" s="525">
        <v>2.9750000000000002E-3</v>
      </c>
      <c r="I251" s="527">
        <v>0.4</v>
      </c>
      <c r="J251" s="594">
        <v>4</v>
      </c>
      <c r="K251" s="519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3"/>
      <c r="AE251" s="273"/>
      <c r="AF251" s="272"/>
      <c r="AP251" s="494" t="str">
        <f ca="1">IF('CDO Bespoke'!C276&lt;&gt;"",'CDO Bespoke'!C276,"")</f>
        <v/>
      </c>
      <c r="AQ251" s="496"/>
      <c r="AR251" s="585"/>
      <c r="AS251" s="585"/>
      <c r="AT251" s="585"/>
      <c r="AU251" s="497"/>
      <c r="AV251" s="627"/>
      <c r="AW251" s="496"/>
      <c r="AX251" s="585"/>
      <c r="AY251" s="585"/>
      <c r="AZ251" s="585"/>
      <c r="BA251" s="497"/>
      <c r="BB251" s="627"/>
      <c r="BC251" s="580"/>
      <c r="BD251" s="580"/>
      <c r="BE251" s="580"/>
      <c r="BF251" s="580"/>
      <c r="BG251" s="579"/>
    </row>
    <row r="252" spans="2:59">
      <c r="B252" s="534" t="s">
        <v>580</v>
      </c>
      <c r="C252" s="535" t="s">
        <v>66</v>
      </c>
      <c r="D252" s="535" t="s">
        <v>59</v>
      </c>
      <c r="E252" s="535" t="s">
        <v>646</v>
      </c>
      <c r="F252" s="535" t="s">
        <v>651</v>
      </c>
      <c r="G252" s="536">
        <v>0.01</v>
      </c>
      <c r="H252" s="536">
        <v>4.2370000000000003E-3</v>
      </c>
      <c r="I252" s="537">
        <v>0.4</v>
      </c>
      <c r="J252" s="595">
        <v>4</v>
      </c>
      <c r="K252" s="538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3"/>
      <c r="AE252" s="273"/>
      <c r="AF252" s="272"/>
      <c r="AP252" s="494" t="str">
        <f ca="1">IF('CDO Bespoke'!C277&lt;&gt;"",'CDO Bespoke'!C277,"")</f>
        <v/>
      </c>
      <c r="AQ252" s="496"/>
      <c r="AR252" s="585"/>
      <c r="AS252" s="585"/>
      <c r="AT252" s="585"/>
      <c r="AU252" s="497"/>
      <c r="AV252" s="627"/>
      <c r="AW252" s="496"/>
      <c r="AX252" s="585"/>
      <c r="AY252" s="585"/>
      <c r="AZ252" s="585"/>
      <c r="BA252" s="497"/>
      <c r="BB252" s="627"/>
      <c r="BC252" s="580"/>
      <c r="BD252" s="580"/>
      <c r="BE252" s="580"/>
      <c r="BF252" s="580"/>
      <c r="BG252" s="579"/>
    </row>
    <row r="253" spans="2:59">
      <c r="B253" s="539" t="s">
        <v>575</v>
      </c>
      <c r="C253" s="540" t="s">
        <v>66</v>
      </c>
      <c r="D253" s="540" t="s">
        <v>55</v>
      </c>
      <c r="E253" s="540" t="s">
        <v>648</v>
      </c>
      <c r="F253" s="540" t="s">
        <v>652</v>
      </c>
      <c r="G253" s="541">
        <v>0.01</v>
      </c>
      <c r="H253" s="541">
        <v>2.5079999999999998E-3</v>
      </c>
      <c r="I253" s="542">
        <v>0.4</v>
      </c>
      <c r="J253" s="602">
        <v>7</v>
      </c>
      <c r="K253" s="543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3"/>
      <c r="AE253" s="273"/>
      <c r="AF253" s="272"/>
      <c r="AP253" s="494" t="str">
        <f ca="1">IF('CDO Bespoke'!C278&lt;&gt;"",'CDO Bespoke'!C278,"")</f>
        <v/>
      </c>
      <c r="AQ253" s="496"/>
      <c r="AR253" s="585"/>
      <c r="AS253" s="585"/>
      <c r="AT253" s="585"/>
      <c r="AU253" s="497"/>
      <c r="AV253" s="627"/>
      <c r="AW253" s="496"/>
      <c r="AX253" s="585"/>
      <c r="AY253" s="585"/>
      <c r="AZ253" s="585"/>
      <c r="BA253" s="497"/>
      <c r="BB253" s="627"/>
      <c r="BC253" s="580"/>
      <c r="BD253" s="580"/>
      <c r="BE253" s="580"/>
      <c r="BF253" s="580"/>
      <c r="BG253" s="579"/>
    </row>
    <row r="254" spans="2:59">
      <c r="B254" s="517" t="s">
        <v>575</v>
      </c>
      <c r="C254" s="518" t="s">
        <v>66</v>
      </c>
      <c r="D254" s="518" t="s">
        <v>57</v>
      </c>
      <c r="E254" s="518" t="s">
        <v>648</v>
      </c>
      <c r="F254" s="518" t="s">
        <v>652</v>
      </c>
      <c r="G254" s="525">
        <v>0.01</v>
      </c>
      <c r="H254" s="525">
        <v>4.2789999999999998E-3</v>
      </c>
      <c r="I254" s="527">
        <v>0.4</v>
      </c>
      <c r="J254" s="594">
        <v>7</v>
      </c>
      <c r="K254" s="519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3"/>
      <c r="AE254" s="273"/>
      <c r="AF254" s="272"/>
      <c r="AP254" s="494" t="str">
        <f ca="1">IF('CDO Bespoke'!C279&lt;&gt;"",'CDO Bespoke'!C279,"")</f>
        <v/>
      </c>
      <c r="AQ254" s="496"/>
      <c r="AR254" s="585"/>
      <c r="AS254" s="585"/>
      <c r="AT254" s="585"/>
      <c r="AU254" s="497"/>
      <c r="AV254" s="627"/>
      <c r="AW254" s="496"/>
      <c r="AX254" s="585"/>
      <c r="AY254" s="585"/>
      <c r="AZ254" s="585"/>
      <c r="BA254" s="497"/>
      <c r="BB254" s="627"/>
      <c r="BC254" s="580"/>
      <c r="BD254" s="580"/>
      <c r="BE254" s="580"/>
      <c r="BF254" s="580"/>
      <c r="BG254" s="579"/>
    </row>
    <row r="255" spans="2:59">
      <c r="B255" s="534" t="s">
        <v>575</v>
      </c>
      <c r="C255" s="535" t="s">
        <v>66</v>
      </c>
      <c r="D255" s="535" t="s">
        <v>59</v>
      </c>
      <c r="E255" s="535" t="s">
        <v>648</v>
      </c>
      <c r="F255" s="535" t="s">
        <v>652</v>
      </c>
      <c r="G255" s="536">
        <v>0.01</v>
      </c>
      <c r="H255" s="536">
        <v>5.8820000000000001E-3</v>
      </c>
      <c r="I255" s="537">
        <v>0.4</v>
      </c>
      <c r="J255" s="595">
        <v>7</v>
      </c>
      <c r="K255" s="538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3"/>
      <c r="AE255" s="273"/>
      <c r="AF255" s="272"/>
      <c r="AP255" s="494" t="str">
        <f ca="1">IF('CDO Bespoke'!C280&lt;&gt;"",'CDO Bespoke'!C280,"")</f>
        <v/>
      </c>
      <c r="AQ255" s="496"/>
      <c r="AR255" s="585"/>
      <c r="AS255" s="585"/>
      <c r="AT255" s="585"/>
      <c r="AU255" s="497"/>
      <c r="AV255" s="627"/>
      <c r="AW255" s="496"/>
      <c r="AX255" s="585"/>
      <c r="AY255" s="585"/>
      <c r="AZ255" s="585"/>
      <c r="BA255" s="497"/>
      <c r="BB255" s="627"/>
      <c r="BC255" s="580"/>
      <c r="BD255" s="580"/>
      <c r="BE255" s="580"/>
      <c r="BF255" s="580"/>
      <c r="BG255" s="579"/>
    </row>
    <row r="256" spans="2:59">
      <c r="B256" s="539" t="s">
        <v>581</v>
      </c>
      <c r="C256" s="540" t="s">
        <v>66</v>
      </c>
      <c r="D256" s="540" t="s">
        <v>55</v>
      </c>
      <c r="E256" s="540" t="s">
        <v>648</v>
      </c>
      <c r="F256" s="540" t="s">
        <v>671</v>
      </c>
      <c r="G256" s="541">
        <v>0.01</v>
      </c>
      <c r="H256" s="541">
        <v>2.1419999999999998E-3</v>
      </c>
      <c r="I256" s="542">
        <v>0.4</v>
      </c>
      <c r="J256" s="602">
        <v>5</v>
      </c>
      <c r="K256" s="543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3"/>
      <c r="AE256" s="273"/>
      <c r="AF256" s="272"/>
      <c r="AP256" s="494" t="str">
        <f ca="1">IF('CDO Bespoke'!C281&lt;&gt;"",'CDO Bespoke'!C281,"")</f>
        <v/>
      </c>
      <c r="AQ256" s="496"/>
      <c r="AR256" s="585"/>
      <c r="AS256" s="585"/>
      <c r="AT256" s="585"/>
      <c r="AU256" s="497"/>
      <c r="AV256" s="627"/>
      <c r="AW256" s="496"/>
      <c r="AX256" s="585"/>
      <c r="AY256" s="585"/>
      <c r="AZ256" s="585"/>
      <c r="BA256" s="497"/>
      <c r="BB256" s="627"/>
      <c r="BC256" s="580"/>
      <c r="BD256" s="580"/>
      <c r="BE256" s="580"/>
      <c r="BF256" s="580"/>
      <c r="BG256" s="579"/>
    </row>
    <row r="257" spans="2:59">
      <c r="B257" s="517" t="s">
        <v>581</v>
      </c>
      <c r="C257" s="518" t="s">
        <v>66</v>
      </c>
      <c r="D257" s="518" t="s">
        <v>57</v>
      </c>
      <c r="E257" s="518" t="s">
        <v>648</v>
      </c>
      <c r="F257" s="518" t="s">
        <v>671</v>
      </c>
      <c r="G257" s="525">
        <v>0.01</v>
      </c>
      <c r="H257" s="525">
        <v>3.333E-3</v>
      </c>
      <c r="I257" s="527">
        <v>0.4</v>
      </c>
      <c r="J257" s="594">
        <v>5</v>
      </c>
      <c r="K257" s="519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3"/>
      <c r="AE257" s="273"/>
      <c r="AF257" s="272"/>
      <c r="AP257" s="494" t="str">
        <f ca="1">IF('CDO Bespoke'!C282&lt;&gt;"",'CDO Bespoke'!C282,"")</f>
        <v/>
      </c>
      <c r="AQ257" s="496"/>
      <c r="AR257" s="585"/>
      <c r="AS257" s="585"/>
      <c r="AT257" s="585"/>
      <c r="AU257" s="497"/>
      <c r="AV257" s="627"/>
      <c r="AW257" s="496"/>
      <c r="AX257" s="585"/>
      <c r="AY257" s="585"/>
      <c r="AZ257" s="585"/>
      <c r="BA257" s="497"/>
      <c r="BB257" s="627"/>
      <c r="BC257" s="580"/>
      <c r="BD257" s="580"/>
      <c r="BE257" s="580"/>
      <c r="BF257" s="580"/>
      <c r="BG257" s="579"/>
    </row>
    <row r="258" spans="2:59">
      <c r="B258" s="534" t="s">
        <v>581</v>
      </c>
      <c r="C258" s="535" t="s">
        <v>66</v>
      </c>
      <c r="D258" s="535" t="s">
        <v>59</v>
      </c>
      <c r="E258" s="535" t="s">
        <v>648</v>
      </c>
      <c r="F258" s="535" t="s">
        <v>671</v>
      </c>
      <c r="G258" s="536">
        <v>0.01</v>
      </c>
      <c r="H258" s="536">
        <v>4.7910000000000001E-3</v>
      </c>
      <c r="I258" s="537">
        <v>0.4</v>
      </c>
      <c r="J258" s="595">
        <v>5</v>
      </c>
      <c r="K258" s="538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3"/>
      <c r="AE258" s="273"/>
      <c r="AF258" s="272"/>
      <c r="AP258" s="494" t="str">
        <f ca="1">IF('CDO Bespoke'!C283&lt;&gt;"",'CDO Bespoke'!C283,"")</f>
        <v/>
      </c>
      <c r="AQ258" s="496"/>
      <c r="AR258" s="585"/>
      <c r="AS258" s="585"/>
      <c r="AT258" s="585"/>
      <c r="AU258" s="497"/>
      <c r="AV258" s="627"/>
      <c r="AW258" s="496"/>
      <c r="AX258" s="585"/>
      <c r="AY258" s="585"/>
      <c r="AZ258" s="585"/>
      <c r="BA258" s="497"/>
      <c r="BB258" s="627"/>
      <c r="BC258" s="580"/>
      <c r="BD258" s="580"/>
      <c r="BE258" s="580"/>
      <c r="BF258" s="580"/>
      <c r="BG258" s="579"/>
    </row>
    <row r="259" spans="2:59">
      <c r="B259" s="539" t="s">
        <v>582</v>
      </c>
      <c r="C259" s="540" t="s">
        <v>66</v>
      </c>
      <c r="D259" s="540" t="s">
        <v>55</v>
      </c>
      <c r="E259" s="540" t="s">
        <v>648</v>
      </c>
      <c r="F259" s="540" t="s">
        <v>675</v>
      </c>
      <c r="G259" s="541">
        <v>0.01</v>
      </c>
      <c r="H259" s="541">
        <v>3.7789999999999998E-3</v>
      </c>
      <c r="I259" s="542">
        <v>0.4</v>
      </c>
      <c r="J259" s="602">
        <v>6</v>
      </c>
      <c r="K259" s="543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3"/>
      <c r="AE259" s="273"/>
      <c r="AF259" s="272"/>
      <c r="AP259" s="494" t="str">
        <f ca="1">IF('CDO Bespoke'!C284&lt;&gt;"",'CDO Bespoke'!C284,"")</f>
        <v/>
      </c>
      <c r="AQ259" s="496"/>
      <c r="AR259" s="585"/>
      <c r="AS259" s="585"/>
      <c r="AT259" s="585"/>
      <c r="AU259" s="497"/>
      <c r="AV259" s="627"/>
      <c r="AW259" s="496"/>
      <c r="AX259" s="585"/>
      <c r="AY259" s="585"/>
      <c r="AZ259" s="585"/>
      <c r="BA259" s="497"/>
      <c r="BB259" s="627"/>
      <c r="BC259" s="580"/>
      <c r="BD259" s="580"/>
      <c r="BE259" s="580"/>
      <c r="BF259" s="580"/>
      <c r="BG259" s="579"/>
    </row>
    <row r="260" spans="2:59">
      <c r="B260" s="517" t="s">
        <v>582</v>
      </c>
      <c r="C260" s="518" t="s">
        <v>66</v>
      </c>
      <c r="D260" s="518" t="s">
        <v>57</v>
      </c>
      <c r="E260" s="518" t="s">
        <v>648</v>
      </c>
      <c r="F260" s="518" t="s">
        <v>675</v>
      </c>
      <c r="G260" s="525">
        <v>0.01</v>
      </c>
      <c r="H260" s="525">
        <v>7.345E-3</v>
      </c>
      <c r="I260" s="527">
        <v>0.4</v>
      </c>
      <c r="J260" s="594">
        <v>6</v>
      </c>
      <c r="K260" s="519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3"/>
      <c r="AE260" s="273"/>
      <c r="AF260" s="272"/>
      <c r="AP260" s="494" t="str">
        <f ca="1">IF('CDO Bespoke'!C285&lt;&gt;"",'CDO Bespoke'!C285,"")</f>
        <v/>
      </c>
      <c r="AQ260" s="496"/>
      <c r="AR260" s="585"/>
      <c r="AS260" s="585"/>
      <c r="AT260" s="585"/>
      <c r="AU260" s="497"/>
      <c r="AV260" s="627"/>
      <c r="AW260" s="496"/>
      <c r="AX260" s="585"/>
      <c r="AY260" s="585"/>
      <c r="AZ260" s="585"/>
      <c r="BA260" s="497"/>
      <c r="BB260" s="627"/>
      <c r="BC260" s="580"/>
      <c r="BD260" s="580"/>
      <c r="BE260" s="580"/>
      <c r="BF260" s="580"/>
      <c r="BG260" s="579"/>
    </row>
    <row r="261" spans="2:59">
      <c r="B261" s="534" t="s">
        <v>582</v>
      </c>
      <c r="C261" s="535" t="s">
        <v>66</v>
      </c>
      <c r="D261" s="535" t="s">
        <v>59</v>
      </c>
      <c r="E261" s="535" t="s">
        <v>648</v>
      </c>
      <c r="F261" s="535" t="s">
        <v>675</v>
      </c>
      <c r="G261" s="536">
        <v>0.01</v>
      </c>
      <c r="H261" s="536">
        <v>1.0267999999999999E-2</v>
      </c>
      <c r="I261" s="537">
        <v>0.4</v>
      </c>
      <c r="J261" s="595">
        <v>6</v>
      </c>
      <c r="K261" s="538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3"/>
      <c r="AE261" s="273"/>
      <c r="AF261" s="272"/>
      <c r="AP261" s="494" t="str">
        <f ca="1">IF('CDO Bespoke'!C286&lt;&gt;"",'CDO Bespoke'!C286,"")</f>
        <v/>
      </c>
      <c r="AQ261" s="496"/>
      <c r="AR261" s="585"/>
      <c r="AS261" s="585"/>
      <c r="AT261" s="585"/>
      <c r="AU261" s="497"/>
      <c r="AV261" s="627"/>
      <c r="AW261" s="496"/>
      <c r="AX261" s="585"/>
      <c r="AY261" s="585"/>
      <c r="AZ261" s="585"/>
      <c r="BA261" s="497"/>
      <c r="BB261" s="627"/>
      <c r="BC261" s="580"/>
      <c r="BD261" s="580"/>
      <c r="BE261" s="580"/>
      <c r="BF261" s="580"/>
      <c r="BG261" s="579"/>
    </row>
    <row r="262" spans="2:59">
      <c r="B262" s="539" t="s">
        <v>583</v>
      </c>
      <c r="C262" s="540" t="s">
        <v>66</v>
      </c>
      <c r="D262" s="540" t="s">
        <v>55</v>
      </c>
      <c r="E262" s="540" t="s">
        <v>648</v>
      </c>
      <c r="F262" s="540" t="s">
        <v>675</v>
      </c>
      <c r="G262" s="541">
        <v>0.01</v>
      </c>
      <c r="H262" s="541">
        <v>2.137E-3</v>
      </c>
      <c r="I262" s="542">
        <v>0.4</v>
      </c>
      <c r="J262" s="602">
        <v>6</v>
      </c>
      <c r="K262" s="543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3"/>
      <c r="AE262" s="273"/>
      <c r="AF262" s="272"/>
      <c r="AP262" s="494" t="str">
        <f ca="1">IF('CDO Bespoke'!C287&lt;&gt;"",'CDO Bespoke'!C287,"")</f>
        <v/>
      </c>
      <c r="AQ262" s="496"/>
      <c r="AR262" s="585"/>
      <c r="AS262" s="585"/>
      <c r="AT262" s="585"/>
      <c r="AU262" s="497"/>
      <c r="AV262" s="627"/>
      <c r="AW262" s="496"/>
      <c r="AX262" s="585"/>
      <c r="AY262" s="585"/>
      <c r="AZ262" s="585"/>
      <c r="BA262" s="497"/>
      <c r="BB262" s="627"/>
      <c r="BC262" s="580"/>
      <c r="BD262" s="580"/>
      <c r="BE262" s="580"/>
      <c r="BF262" s="580"/>
      <c r="BG262" s="579"/>
    </row>
    <row r="263" spans="2:59">
      <c r="B263" s="517" t="s">
        <v>583</v>
      </c>
      <c r="C263" s="518" t="s">
        <v>66</v>
      </c>
      <c r="D263" s="518" t="s">
        <v>57</v>
      </c>
      <c r="E263" s="518" t="s">
        <v>648</v>
      </c>
      <c r="F263" s="518" t="s">
        <v>675</v>
      </c>
      <c r="G263" s="525">
        <v>0.01</v>
      </c>
      <c r="H263" s="525">
        <v>3.2109999999999999E-3</v>
      </c>
      <c r="I263" s="527">
        <v>0.4</v>
      </c>
      <c r="J263" s="594">
        <v>6</v>
      </c>
      <c r="K263" s="519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3"/>
      <c r="AE263" s="273"/>
      <c r="AF263" s="272"/>
      <c r="AP263" s="494" t="str">
        <f ca="1">IF('CDO Bespoke'!C288&lt;&gt;"",'CDO Bespoke'!C288,"")</f>
        <v/>
      </c>
      <c r="AQ263" s="496"/>
      <c r="AR263" s="585"/>
      <c r="AS263" s="585"/>
      <c r="AT263" s="585"/>
      <c r="AU263" s="497"/>
      <c r="AV263" s="627"/>
      <c r="AW263" s="496"/>
      <c r="AX263" s="585"/>
      <c r="AY263" s="585"/>
      <c r="AZ263" s="585"/>
      <c r="BA263" s="497"/>
      <c r="BB263" s="627"/>
      <c r="BC263" s="580"/>
      <c r="BD263" s="580"/>
      <c r="BE263" s="580"/>
      <c r="BF263" s="580"/>
      <c r="BG263" s="579"/>
    </row>
    <row r="264" spans="2:59">
      <c r="B264" s="534" t="s">
        <v>583</v>
      </c>
      <c r="C264" s="535" t="s">
        <v>66</v>
      </c>
      <c r="D264" s="535" t="s">
        <v>59</v>
      </c>
      <c r="E264" s="535" t="s">
        <v>648</v>
      </c>
      <c r="F264" s="535" t="s">
        <v>675</v>
      </c>
      <c r="G264" s="536">
        <v>0.01</v>
      </c>
      <c r="H264" s="536">
        <v>4.6039999999999996E-3</v>
      </c>
      <c r="I264" s="537">
        <v>0.4</v>
      </c>
      <c r="J264" s="595">
        <v>6</v>
      </c>
      <c r="K264" s="538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3"/>
      <c r="AE264" s="273"/>
      <c r="AF264" s="272"/>
      <c r="AP264" s="494" t="str">
        <f ca="1">IF('CDO Bespoke'!C289&lt;&gt;"",'CDO Bespoke'!C289,"")</f>
        <v/>
      </c>
      <c r="AQ264" s="496"/>
      <c r="AR264" s="585"/>
      <c r="AS264" s="585"/>
      <c r="AT264" s="585"/>
      <c r="AU264" s="497"/>
      <c r="AV264" s="627"/>
      <c r="AW264" s="496"/>
      <c r="AX264" s="585"/>
      <c r="AY264" s="585"/>
      <c r="AZ264" s="585"/>
      <c r="BA264" s="497"/>
      <c r="BB264" s="627"/>
      <c r="BC264" s="580"/>
      <c r="BD264" s="580"/>
      <c r="BE264" s="580"/>
      <c r="BF264" s="580"/>
      <c r="BG264" s="579"/>
    </row>
    <row r="265" spans="2:59">
      <c r="B265" s="539" t="s">
        <v>584</v>
      </c>
      <c r="C265" s="540" t="s">
        <v>66</v>
      </c>
      <c r="D265" s="540" t="s">
        <v>55</v>
      </c>
      <c r="E265" s="540" t="s">
        <v>648</v>
      </c>
      <c r="F265" s="540" t="s">
        <v>671</v>
      </c>
      <c r="G265" s="541">
        <v>0.01</v>
      </c>
      <c r="H265" s="541">
        <v>4.9890000000000004E-3</v>
      </c>
      <c r="I265" s="542">
        <v>0.4</v>
      </c>
      <c r="J265" s="602">
        <v>5</v>
      </c>
      <c r="K265" s="543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3"/>
      <c r="AE265" s="273"/>
      <c r="AF265" s="272"/>
      <c r="AP265" s="494" t="str">
        <f ca="1">IF('CDO Bespoke'!C290&lt;&gt;"",'CDO Bespoke'!C290,"")</f>
        <v/>
      </c>
      <c r="AQ265" s="496"/>
      <c r="AR265" s="585"/>
      <c r="AS265" s="585"/>
      <c r="AT265" s="585"/>
      <c r="AU265" s="497"/>
      <c r="AV265" s="627"/>
      <c r="AW265" s="496"/>
      <c r="AX265" s="585"/>
      <c r="AY265" s="585"/>
      <c r="AZ265" s="585"/>
      <c r="BA265" s="497"/>
      <c r="BB265" s="627"/>
      <c r="BC265" s="580"/>
      <c r="BD265" s="580"/>
      <c r="BE265" s="580"/>
      <c r="BF265" s="580"/>
      <c r="BG265" s="579"/>
    </row>
    <row r="266" spans="2:59">
      <c r="B266" s="517" t="s">
        <v>584</v>
      </c>
      <c r="C266" s="518" t="s">
        <v>66</v>
      </c>
      <c r="D266" s="518" t="s">
        <v>57</v>
      </c>
      <c r="E266" s="518" t="s">
        <v>648</v>
      </c>
      <c r="F266" s="518" t="s">
        <v>671</v>
      </c>
      <c r="G266" s="525">
        <v>0.01</v>
      </c>
      <c r="H266" s="525">
        <v>1.01E-2</v>
      </c>
      <c r="I266" s="527">
        <v>0.4</v>
      </c>
      <c r="J266" s="594">
        <v>5</v>
      </c>
      <c r="K266" s="519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3"/>
      <c r="AE266" s="273"/>
      <c r="AF266" s="272"/>
      <c r="AP266" s="494" t="str">
        <f ca="1">IF('CDO Bespoke'!C291&lt;&gt;"",'CDO Bespoke'!C291,"")</f>
        <v/>
      </c>
      <c r="AQ266" s="496"/>
      <c r="AR266" s="585"/>
      <c r="AS266" s="585"/>
      <c r="AT266" s="585"/>
      <c r="AU266" s="497"/>
      <c r="AV266" s="627"/>
      <c r="AW266" s="496"/>
      <c r="AX266" s="585"/>
      <c r="AY266" s="585"/>
      <c r="AZ266" s="585"/>
      <c r="BA266" s="497"/>
      <c r="BB266" s="627"/>
      <c r="BC266" s="580"/>
      <c r="BD266" s="580"/>
      <c r="BE266" s="580"/>
      <c r="BF266" s="580"/>
      <c r="BG266" s="579"/>
    </row>
    <row r="267" spans="2:59">
      <c r="B267" s="534" t="s">
        <v>584</v>
      </c>
      <c r="C267" s="535" t="s">
        <v>66</v>
      </c>
      <c r="D267" s="535" t="s">
        <v>59</v>
      </c>
      <c r="E267" s="535" t="s">
        <v>648</v>
      </c>
      <c r="F267" s="535" t="s">
        <v>671</v>
      </c>
      <c r="G267" s="536">
        <v>0.01</v>
      </c>
      <c r="H267" s="536">
        <v>1.474E-2</v>
      </c>
      <c r="I267" s="537">
        <v>0.4</v>
      </c>
      <c r="J267" s="595">
        <v>5</v>
      </c>
      <c r="K267" s="538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3"/>
      <c r="AE267" s="273"/>
      <c r="AF267" s="272"/>
      <c r="AP267" s="494" t="str">
        <f ca="1">IF('CDO Bespoke'!C292&lt;&gt;"",'CDO Bespoke'!C292,"")</f>
        <v/>
      </c>
      <c r="AQ267" s="496"/>
      <c r="AR267" s="585"/>
      <c r="AS267" s="585"/>
      <c r="AT267" s="585"/>
      <c r="AU267" s="497"/>
      <c r="AV267" s="627"/>
      <c r="AW267" s="496"/>
      <c r="AX267" s="585"/>
      <c r="AY267" s="585"/>
      <c r="AZ267" s="585"/>
      <c r="BA267" s="497"/>
      <c r="BB267" s="627"/>
      <c r="BC267" s="580"/>
      <c r="BD267" s="580"/>
      <c r="BE267" s="580"/>
      <c r="BF267" s="580"/>
      <c r="BG267" s="579"/>
    </row>
    <row r="268" spans="2:59">
      <c r="B268" s="539" t="s">
        <v>594</v>
      </c>
      <c r="C268" s="540" t="s">
        <v>66</v>
      </c>
      <c r="D268" s="540" t="s">
        <v>55</v>
      </c>
      <c r="E268" s="540" t="s">
        <v>648</v>
      </c>
      <c r="F268" s="540" t="s">
        <v>675</v>
      </c>
      <c r="G268" s="541">
        <v>0.01</v>
      </c>
      <c r="H268" s="541">
        <v>2.7200000000000002E-3</v>
      </c>
      <c r="I268" s="542">
        <v>0.4</v>
      </c>
      <c r="J268" s="602">
        <v>6</v>
      </c>
      <c r="K268" s="543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3"/>
      <c r="AE268" s="273"/>
      <c r="AF268" s="272"/>
      <c r="AP268" s="494" t="str">
        <f ca="1">IF('CDO Bespoke'!C293&lt;&gt;"",'CDO Bespoke'!C293,"")</f>
        <v/>
      </c>
      <c r="AQ268" s="496"/>
      <c r="AR268" s="585"/>
      <c r="AS268" s="585"/>
      <c r="AT268" s="585"/>
      <c r="AU268" s="497"/>
      <c r="AV268" s="627"/>
      <c r="AW268" s="496"/>
      <c r="AX268" s="585"/>
      <c r="AY268" s="585"/>
      <c r="AZ268" s="585"/>
      <c r="BA268" s="497"/>
      <c r="BB268" s="627"/>
      <c r="BC268" s="580"/>
      <c r="BD268" s="580"/>
      <c r="BE268" s="580"/>
      <c r="BF268" s="580"/>
      <c r="BG268" s="579"/>
    </row>
    <row r="269" spans="2:59">
      <c r="B269" s="517" t="s">
        <v>594</v>
      </c>
      <c r="C269" s="518" t="s">
        <v>66</v>
      </c>
      <c r="D269" s="518" t="s">
        <v>57</v>
      </c>
      <c r="E269" s="518" t="s">
        <v>648</v>
      </c>
      <c r="F269" s="518" t="s">
        <v>675</v>
      </c>
      <c r="G269" s="525">
        <v>0.01</v>
      </c>
      <c r="H269" s="525">
        <v>4.6210000000000001E-3</v>
      </c>
      <c r="I269" s="527">
        <v>0.4</v>
      </c>
      <c r="J269" s="594">
        <v>6</v>
      </c>
      <c r="K269" s="519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3"/>
      <c r="AE269" s="273"/>
      <c r="AF269" s="272"/>
      <c r="AP269" s="494" t="str">
        <f ca="1">IF('CDO Bespoke'!C294&lt;&gt;"",'CDO Bespoke'!C294,"")</f>
        <v/>
      </c>
      <c r="AQ269" s="496"/>
      <c r="AR269" s="585"/>
      <c r="AS269" s="585"/>
      <c r="AT269" s="585"/>
      <c r="AU269" s="497"/>
      <c r="AV269" s="627"/>
      <c r="AW269" s="496"/>
      <c r="AX269" s="585"/>
      <c r="AY269" s="585"/>
      <c r="AZ269" s="585"/>
      <c r="BA269" s="497"/>
      <c r="BB269" s="627"/>
      <c r="BC269" s="580"/>
      <c r="BD269" s="580"/>
      <c r="BE269" s="580"/>
      <c r="BF269" s="580"/>
      <c r="BG269" s="579"/>
    </row>
    <row r="270" spans="2:59">
      <c r="B270" s="534" t="s">
        <v>594</v>
      </c>
      <c r="C270" s="535" t="s">
        <v>66</v>
      </c>
      <c r="D270" s="535" t="s">
        <v>59</v>
      </c>
      <c r="E270" s="535" t="s">
        <v>648</v>
      </c>
      <c r="F270" s="535" t="s">
        <v>675</v>
      </c>
      <c r="G270" s="536">
        <v>0.01</v>
      </c>
      <c r="H270" s="536">
        <v>6.9170000000000004E-3</v>
      </c>
      <c r="I270" s="537">
        <v>0.4</v>
      </c>
      <c r="J270" s="595">
        <v>6</v>
      </c>
      <c r="K270" s="538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2"/>
      <c r="AP270" s="494" t="str">
        <f ca="1">IF('CDO Bespoke'!C295&lt;&gt;"",'CDO Bespoke'!C295,"")</f>
        <v/>
      </c>
      <c r="AQ270" s="496"/>
      <c r="AR270" s="585"/>
      <c r="AS270" s="585"/>
      <c r="AT270" s="585"/>
      <c r="AU270" s="497"/>
      <c r="AV270" s="627"/>
      <c r="AW270" s="496"/>
      <c r="AX270" s="585"/>
      <c r="AY270" s="585"/>
      <c r="AZ270" s="585"/>
      <c r="BA270" s="497"/>
      <c r="BB270" s="627"/>
      <c r="BC270" s="580"/>
      <c r="BD270" s="580"/>
      <c r="BE270" s="580"/>
      <c r="BF270" s="580"/>
      <c r="BG270" s="579"/>
    </row>
    <row r="271" spans="2:59">
      <c r="B271" s="539" t="s">
        <v>585</v>
      </c>
      <c r="C271" s="540" t="s">
        <v>66</v>
      </c>
      <c r="D271" s="540" t="s">
        <v>55</v>
      </c>
      <c r="E271" s="540" t="s">
        <v>648</v>
      </c>
      <c r="F271" s="540" t="s">
        <v>675</v>
      </c>
      <c r="G271" s="541">
        <v>0.01</v>
      </c>
      <c r="H271" s="541">
        <v>1.753E-3</v>
      </c>
      <c r="I271" s="542">
        <v>0.4</v>
      </c>
      <c r="J271" s="602">
        <v>6</v>
      </c>
      <c r="K271" s="543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2"/>
      <c r="AP271" s="494" t="str">
        <f ca="1">IF('CDO Bespoke'!C296&lt;&gt;"",'CDO Bespoke'!C296,"")</f>
        <v/>
      </c>
      <c r="AQ271" s="496"/>
      <c r="AR271" s="585"/>
      <c r="AS271" s="585"/>
      <c r="AT271" s="585"/>
      <c r="AU271" s="497"/>
      <c r="AV271" s="627"/>
      <c r="AW271" s="496"/>
      <c r="AX271" s="585"/>
      <c r="AY271" s="585"/>
      <c r="AZ271" s="585"/>
      <c r="BA271" s="497"/>
      <c r="BB271" s="627"/>
      <c r="BC271" s="580"/>
      <c r="BD271" s="580"/>
      <c r="BE271" s="580"/>
      <c r="BF271" s="580"/>
      <c r="BG271" s="579"/>
    </row>
    <row r="272" spans="2:59">
      <c r="B272" s="517" t="s">
        <v>585</v>
      </c>
      <c r="C272" s="518" t="s">
        <v>66</v>
      </c>
      <c r="D272" s="518" t="s">
        <v>57</v>
      </c>
      <c r="E272" s="518" t="s">
        <v>648</v>
      </c>
      <c r="F272" s="518" t="s">
        <v>675</v>
      </c>
      <c r="G272" s="525">
        <v>0.01</v>
      </c>
      <c r="H272" s="525">
        <v>3.101E-3</v>
      </c>
      <c r="I272" s="527">
        <v>0.4</v>
      </c>
      <c r="J272" s="594">
        <v>6</v>
      </c>
      <c r="K272" s="519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2"/>
      <c r="AP272" s="494" t="str">
        <f ca="1">IF('CDO Bespoke'!C297&lt;&gt;"",'CDO Bespoke'!C297,"")</f>
        <v/>
      </c>
      <c r="AQ272" s="496"/>
      <c r="AR272" s="585"/>
      <c r="AS272" s="585"/>
      <c r="AT272" s="585"/>
      <c r="AU272" s="497"/>
      <c r="AV272" s="627"/>
      <c r="AW272" s="496"/>
      <c r="AX272" s="585"/>
      <c r="AY272" s="585"/>
      <c r="AZ272" s="585"/>
      <c r="BA272" s="497"/>
      <c r="BB272" s="627"/>
      <c r="BC272" s="580"/>
      <c r="BD272" s="580"/>
      <c r="BE272" s="580"/>
      <c r="BF272" s="580"/>
      <c r="BG272" s="579"/>
    </row>
    <row r="273" spans="2:59">
      <c r="B273" s="534" t="s">
        <v>585</v>
      </c>
      <c r="C273" s="535" t="s">
        <v>66</v>
      </c>
      <c r="D273" s="535" t="s">
        <v>59</v>
      </c>
      <c r="E273" s="535" t="s">
        <v>648</v>
      </c>
      <c r="F273" s="535" t="s">
        <v>675</v>
      </c>
      <c r="G273" s="536">
        <v>0.01</v>
      </c>
      <c r="H273" s="536">
        <v>4.653E-3</v>
      </c>
      <c r="I273" s="537">
        <v>0.4</v>
      </c>
      <c r="J273" s="595">
        <v>6</v>
      </c>
      <c r="K273" s="538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2"/>
      <c r="AP273" s="494" t="str">
        <f ca="1">IF('CDO Bespoke'!C298&lt;&gt;"",'CDO Bespoke'!C298,"")</f>
        <v/>
      </c>
      <c r="AQ273" s="496"/>
      <c r="AR273" s="585"/>
      <c r="AS273" s="585"/>
      <c r="AT273" s="585"/>
      <c r="AU273" s="497"/>
      <c r="AV273" s="627"/>
      <c r="AW273" s="496"/>
      <c r="AX273" s="585"/>
      <c r="AY273" s="585"/>
      <c r="AZ273" s="585"/>
      <c r="BA273" s="497"/>
      <c r="BB273" s="627"/>
      <c r="BC273" s="580"/>
      <c r="BD273" s="580"/>
      <c r="BE273" s="580"/>
      <c r="BF273" s="580"/>
      <c r="BG273" s="579"/>
    </row>
    <row r="274" spans="2:59">
      <c r="B274" s="539" t="s">
        <v>586</v>
      </c>
      <c r="C274" s="540" t="s">
        <v>66</v>
      </c>
      <c r="D274" s="540" t="s">
        <v>55</v>
      </c>
      <c r="E274" s="540" t="s">
        <v>648</v>
      </c>
      <c r="F274" s="540" t="s">
        <v>671</v>
      </c>
      <c r="G274" s="541">
        <v>0.01</v>
      </c>
      <c r="H274" s="541">
        <v>3.1080000000000001E-3</v>
      </c>
      <c r="I274" s="542">
        <v>0.4</v>
      </c>
      <c r="J274" s="602">
        <v>5</v>
      </c>
      <c r="K274" s="543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2"/>
      <c r="AP274" s="494" t="str">
        <f ca="1">IF('CDO Bespoke'!C299&lt;&gt;"",'CDO Bespoke'!C299,"")</f>
        <v/>
      </c>
      <c r="AQ274" s="496"/>
      <c r="AR274" s="585"/>
      <c r="AS274" s="585"/>
      <c r="AT274" s="585"/>
      <c r="AU274" s="497"/>
      <c r="AV274" s="627"/>
      <c r="AW274" s="496"/>
      <c r="AX274" s="585"/>
      <c r="AY274" s="585"/>
      <c r="AZ274" s="585"/>
      <c r="BA274" s="497"/>
      <c r="BB274" s="627"/>
      <c r="BC274" s="580"/>
      <c r="BD274" s="580"/>
      <c r="BE274" s="580"/>
      <c r="BF274" s="580"/>
      <c r="BG274" s="579"/>
    </row>
    <row r="275" spans="2:59">
      <c r="B275" s="517" t="s">
        <v>586</v>
      </c>
      <c r="C275" s="518" t="s">
        <v>66</v>
      </c>
      <c r="D275" s="518" t="s">
        <v>57</v>
      </c>
      <c r="E275" s="518" t="s">
        <v>648</v>
      </c>
      <c r="F275" s="518" t="s">
        <v>671</v>
      </c>
      <c r="G275" s="525">
        <v>0.01</v>
      </c>
      <c r="H275" s="525">
        <v>5.4169999999999999E-3</v>
      </c>
      <c r="I275" s="527">
        <v>0.4</v>
      </c>
      <c r="J275" s="594">
        <v>5</v>
      </c>
      <c r="K275" s="519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2"/>
      <c r="AP275" s="494" t="str">
        <f ca="1">IF('CDO Bespoke'!C300&lt;&gt;"",'CDO Bespoke'!C300,"")</f>
        <v/>
      </c>
      <c r="AQ275" s="496"/>
      <c r="AR275" s="585"/>
      <c r="AS275" s="585"/>
      <c r="AT275" s="585"/>
      <c r="AU275" s="497"/>
      <c r="AV275" s="627"/>
      <c r="AW275" s="496"/>
      <c r="AX275" s="585"/>
      <c r="AY275" s="585"/>
      <c r="AZ275" s="585"/>
      <c r="BA275" s="497"/>
      <c r="BB275" s="627"/>
      <c r="BC275" s="580"/>
      <c r="BD275" s="580"/>
      <c r="BE275" s="580"/>
      <c r="BF275" s="580"/>
      <c r="BG275" s="579"/>
    </row>
    <row r="276" spans="2:59">
      <c r="B276" s="534" t="s">
        <v>586</v>
      </c>
      <c r="C276" s="535" t="s">
        <v>66</v>
      </c>
      <c r="D276" s="535" t="s">
        <v>59</v>
      </c>
      <c r="E276" s="535" t="s">
        <v>648</v>
      </c>
      <c r="F276" s="535" t="s">
        <v>671</v>
      </c>
      <c r="G276" s="536">
        <v>0.01</v>
      </c>
      <c r="H276" s="536">
        <v>8.0789999999999994E-3</v>
      </c>
      <c r="I276" s="537">
        <v>0.4</v>
      </c>
      <c r="J276" s="595">
        <v>5</v>
      </c>
      <c r="K276" s="538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2"/>
      <c r="AP276" s="494" t="str">
        <f ca="1">IF('CDO Bespoke'!C301&lt;&gt;"",'CDO Bespoke'!C301,"")</f>
        <v/>
      </c>
      <c r="AQ276" s="496"/>
      <c r="AR276" s="585"/>
      <c r="AS276" s="585"/>
      <c r="AT276" s="585"/>
      <c r="AU276" s="497"/>
      <c r="AV276" s="627"/>
      <c r="AW276" s="496"/>
      <c r="AX276" s="585"/>
      <c r="AY276" s="585"/>
      <c r="AZ276" s="585"/>
      <c r="BA276" s="497"/>
      <c r="BB276" s="627"/>
      <c r="BC276" s="580"/>
      <c r="BD276" s="580"/>
      <c r="BE276" s="580"/>
      <c r="BF276" s="580"/>
      <c r="BG276" s="579"/>
    </row>
    <row r="277" spans="2:59">
      <c r="B277" s="539" t="s">
        <v>595</v>
      </c>
      <c r="C277" s="540" t="s">
        <v>66</v>
      </c>
      <c r="D277" s="540" t="s">
        <v>55</v>
      </c>
      <c r="E277" s="540" t="s">
        <v>648</v>
      </c>
      <c r="F277" s="540" t="s">
        <v>671</v>
      </c>
      <c r="G277" s="541">
        <v>0.01</v>
      </c>
      <c r="H277" s="541">
        <v>2.4889999999999999E-3</v>
      </c>
      <c r="I277" s="542">
        <v>0.4</v>
      </c>
      <c r="J277" s="602">
        <v>5</v>
      </c>
      <c r="K277" s="543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2"/>
      <c r="AP277" s="494" t="str">
        <f ca="1">IF('CDO Bespoke'!C302&lt;&gt;"",'CDO Bespoke'!C302,"")</f>
        <v/>
      </c>
      <c r="AQ277" s="496"/>
      <c r="AR277" s="585"/>
      <c r="AS277" s="585"/>
      <c r="AT277" s="585"/>
      <c r="AU277" s="497"/>
      <c r="AV277" s="627"/>
      <c r="AW277" s="496"/>
      <c r="AX277" s="585"/>
      <c r="AY277" s="585"/>
      <c r="AZ277" s="585"/>
      <c r="BA277" s="497"/>
      <c r="BB277" s="627"/>
      <c r="BC277" s="580"/>
      <c r="BD277" s="580"/>
      <c r="BE277" s="580"/>
      <c r="BF277" s="580"/>
      <c r="BG277" s="579"/>
    </row>
    <row r="278" spans="2:59">
      <c r="B278" s="517" t="s">
        <v>595</v>
      </c>
      <c r="C278" s="518" t="s">
        <v>66</v>
      </c>
      <c r="D278" s="518" t="s">
        <v>57</v>
      </c>
      <c r="E278" s="518" t="s">
        <v>648</v>
      </c>
      <c r="F278" s="518" t="s">
        <v>671</v>
      </c>
      <c r="G278" s="525">
        <v>0.01</v>
      </c>
      <c r="H278" s="525">
        <v>4.5339999999999998E-3</v>
      </c>
      <c r="I278" s="527">
        <v>0.4</v>
      </c>
      <c r="J278" s="594">
        <v>5</v>
      </c>
      <c r="K278" s="519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2"/>
      <c r="AP278" s="494" t="str">
        <f ca="1">IF('CDO Bespoke'!C303&lt;&gt;"",'CDO Bespoke'!C303,"")</f>
        <v/>
      </c>
      <c r="AQ278" s="496"/>
      <c r="AR278" s="585"/>
      <c r="AS278" s="585"/>
      <c r="AT278" s="585"/>
      <c r="AU278" s="497"/>
      <c r="AV278" s="627"/>
      <c r="AW278" s="496"/>
      <c r="AX278" s="585"/>
      <c r="AY278" s="585"/>
      <c r="AZ278" s="585"/>
      <c r="BA278" s="497"/>
      <c r="BB278" s="627"/>
      <c r="BC278" s="580"/>
      <c r="BD278" s="580"/>
      <c r="BE278" s="580"/>
      <c r="BF278" s="580"/>
      <c r="BG278" s="579"/>
    </row>
    <row r="279" spans="2:59">
      <c r="B279" s="534" t="s">
        <v>595</v>
      </c>
      <c r="C279" s="535" t="s">
        <v>66</v>
      </c>
      <c r="D279" s="535" t="s">
        <v>59</v>
      </c>
      <c r="E279" s="535" t="s">
        <v>648</v>
      </c>
      <c r="F279" s="535" t="s">
        <v>671</v>
      </c>
      <c r="G279" s="536">
        <v>0.01</v>
      </c>
      <c r="H279" s="536">
        <v>6.875E-3</v>
      </c>
      <c r="I279" s="537">
        <v>0.4</v>
      </c>
      <c r="J279" s="595">
        <v>5</v>
      </c>
      <c r="K279" s="538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2"/>
      <c r="AP279" s="494" t="str">
        <f ca="1">IF('CDO Bespoke'!C304&lt;&gt;"",'CDO Bespoke'!C304,"")</f>
        <v/>
      </c>
      <c r="AQ279" s="496"/>
      <c r="AR279" s="585"/>
      <c r="AS279" s="585"/>
      <c r="AT279" s="585"/>
      <c r="AU279" s="497"/>
      <c r="AV279" s="627"/>
      <c r="AW279" s="496"/>
      <c r="AX279" s="585"/>
      <c r="AY279" s="585"/>
      <c r="AZ279" s="585"/>
      <c r="BA279" s="497"/>
      <c r="BB279" s="627"/>
      <c r="BC279" s="580"/>
      <c r="BD279" s="580"/>
      <c r="BE279" s="580"/>
      <c r="BF279" s="580"/>
      <c r="BG279" s="579"/>
    </row>
    <row r="280" spans="2:59">
      <c r="B280" s="539" t="s">
        <v>587</v>
      </c>
      <c r="C280" s="540" t="s">
        <v>66</v>
      </c>
      <c r="D280" s="540" t="s">
        <v>55</v>
      </c>
      <c r="E280" s="540" t="s">
        <v>648</v>
      </c>
      <c r="F280" s="540" t="s">
        <v>675</v>
      </c>
      <c r="G280" s="541">
        <v>0.01</v>
      </c>
      <c r="H280" s="541">
        <v>9.5580000000000005E-3</v>
      </c>
      <c r="I280" s="542">
        <v>0.4</v>
      </c>
      <c r="J280" s="602">
        <v>6</v>
      </c>
      <c r="K280" s="543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2"/>
      <c r="AP280" s="494" t="str">
        <f ca="1">IF('CDO Bespoke'!C305&lt;&gt;"",'CDO Bespoke'!C305,"")</f>
        <v/>
      </c>
      <c r="AQ280" s="496"/>
      <c r="AR280" s="585"/>
      <c r="AS280" s="585"/>
      <c r="AT280" s="585"/>
      <c r="AU280" s="497"/>
      <c r="AV280" s="627"/>
      <c r="AW280" s="496"/>
      <c r="AX280" s="585"/>
      <c r="AY280" s="585"/>
      <c r="AZ280" s="585"/>
      <c r="BA280" s="497"/>
      <c r="BB280" s="627"/>
      <c r="BC280" s="580"/>
      <c r="BD280" s="580"/>
      <c r="BE280" s="580"/>
      <c r="BF280" s="580"/>
      <c r="BG280" s="579"/>
    </row>
    <row r="281" spans="2:59">
      <c r="B281" s="517" t="s">
        <v>587</v>
      </c>
      <c r="C281" s="518" t="s">
        <v>66</v>
      </c>
      <c r="D281" s="518" t="s">
        <v>57</v>
      </c>
      <c r="E281" s="518" t="s">
        <v>648</v>
      </c>
      <c r="F281" s="518" t="s">
        <v>675</v>
      </c>
      <c r="G281" s="525">
        <v>0.01</v>
      </c>
      <c r="H281" s="525">
        <v>1.5862999999999999E-2</v>
      </c>
      <c r="I281" s="527">
        <v>0.4</v>
      </c>
      <c r="J281" s="594">
        <v>6</v>
      </c>
      <c r="K281" s="519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2"/>
      <c r="AP281" s="494" t="str">
        <f ca="1">IF('CDO Bespoke'!C306&lt;&gt;"",'CDO Bespoke'!C306,"")</f>
        <v/>
      </c>
      <c r="AQ281" s="496"/>
      <c r="AR281" s="585"/>
      <c r="AS281" s="585"/>
      <c r="AT281" s="585"/>
      <c r="AU281" s="497"/>
      <c r="AV281" s="627"/>
      <c r="AW281" s="496"/>
      <c r="AX281" s="585"/>
      <c r="AY281" s="585"/>
      <c r="AZ281" s="585"/>
      <c r="BA281" s="497"/>
      <c r="BB281" s="627"/>
      <c r="BC281" s="580"/>
      <c r="BD281" s="580"/>
      <c r="BE281" s="580"/>
      <c r="BF281" s="580"/>
      <c r="BG281" s="579"/>
    </row>
    <row r="282" spans="2:59">
      <c r="B282" s="534" t="s">
        <v>587</v>
      </c>
      <c r="C282" s="535" t="s">
        <v>66</v>
      </c>
      <c r="D282" s="535" t="s">
        <v>59</v>
      </c>
      <c r="E282" s="535" t="s">
        <v>648</v>
      </c>
      <c r="F282" s="535" t="s">
        <v>675</v>
      </c>
      <c r="G282" s="536">
        <v>0.01</v>
      </c>
      <c r="H282" s="536">
        <v>1.9740000000000001E-2</v>
      </c>
      <c r="I282" s="537">
        <v>0.4</v>
      </c>
      <c r="J282" s="595">
        <v>6</v>
      </c>
      <c r="K282" s="538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2"/>
      <c r="AP282" s="494" t="str">
        <f ca="1">IF('CDO Bespoke'!C307&lt;&gt;"",'CDO Bespoke'!C307,"")</f>
        <v/>
      </c>
      <c r="AQ282" s="496"/>
      <c r="AR282" s="585"/>
      <c r="AS282" s="585"/>
      <c r="AT282" s="585"/>
      <c r="AU282" s="497"/>
      <c r="AV282" s="627"/>
      <c r="AW282" s="496"/>
      <c r="AX282" s="585"/>
      <c r="AY282" s="585"/>
      <c r="AZ282" s="585"/>
      <c r="BA282" s="497"/>
      <c r="BB282" s="627"/>
      <c r="BC282" s="580"/>
      <c r="BD282" s="580"/>
      <c r="BE282" s="580"/>
      <c r="BF282" s="580"/>
      <c r="BG282" s="579"/>
    </row>
    <row r="283" spans="2:59">
      <c r="B283" s="539" t="s">
        <v>616</v>
      </c>
      <c r="C283" s="540" t="s">
        <v>66</v>
      </c>
      <c r="D283" s="540" t="s">
        <v>55</v>
      </c>
      <c r="E283" s="540" t="s">
        <v>646</v>
      </c>
      <c r="F283" s="540" t="s">
        <v>671</v>
      </c>
      <c r="G283" s="541">
        <v>0.01</v>
      </c>
      <c r="H283" s="541">
        <v>7.8799999999999996E-4</v>
      </c>
      <c r="I283" s="542">
        <v>0.4</v>
      </c>
      <c r="J283" s="602">
        <v>5</v>
      </c>
      <c r="K283" s="543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2"/>
      <c r="AP283" s="494" t="str">
        <f ca="1">IF('CDO Bespoke'!C308&lt;&gt;"",'CDO Bespoke'!C308,"")</f>
        <v/>
      </c>
      <c r="AQ283" s="496"/>
      <c r="AR283" s="585"/>
      <c r="AS283" s="585"/>
      <c r="AT283" s="585"/>
      <c r="AU283" s="497"/>
      <c r="AV283" s="627"/>
      <c r="AW283" s="496"/>
      <c r="AX283" s="585"/>
      <c r="AY283" s="585"/>
      <c r="AZ283" s="585"/>
      <c r="BA283" s="497"/>
      <c r="BB283" s="627"/>
      <c r="BC283" s="580"/>
      <c r="BD283" s="580"/>
      <c r="BE283" s="580"/>
      <c r="BF283" s="580"/>
      <c r="BG283" s="579"/>
    </row>
    <row r="284" spans="2:59">
      <c r="B284" s="517" t="s">
        <v>616</v>
      </c>
      <c r="C284" s="518" t="s">
        <v>66</v>
      </c>
      <c r="D284" s="518" t="s">
        <v>57</v>
      </c>
      <c r="E284" s="518" t="s">
        <v>646</v>
      </c>
      <c r="F284" s="518" t="s">
        <v>671</v>
      </c>
      <c r="G284" s="525">
        <v>0.01</v>
      </c>
      <c r="H284" s="525">
        <v>1.3649999999999999E-3</v>
      </c>
      <c r="I284" s="527">
        <v>0.4</v>
      </c>
      <c r="J284" s="594">
        <v>5</v>
      </c>
      <c r="K284" s="519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2"/>
      <c r="AP284" s="494" t="str">
        <f ca="1">IF('CDO Bespoke'!C309&lt;&gt;"",'CDO Bespoke'!C309,"")</f>
        <v/>
      </c>
      <c r="AQ284" s="496"/>
      <c r="AR284" s="585"/>
      <c r="AS284" s="585"/>
      <c r="AT284" s="585"/>
      <c r="AU284" s="497"/>
      <c r="AV284" s="627"/>
      <c r="AW284" s="496"/>
      <c r="AX284" s="585"/>
      <c r="AY284" s="585"/>
      <c r="AZ284" s="585"/>
      <c r="BA284" s="497"/>
      <c r="BB284" s="627"/>
      <c r="BC284" s="580"/>
      <c r="BD284" s="580"/>
      <c r="BE284" s="580"/>
      <c r="BF284" s="580"/>
      <c r="BG284" s="579"/>
    </row>
    <row r="285" spans="2:59">
      <c r="B285" s="534" t="s">
        <v>616</v>
      </c>
      <c r="C285" s="535" t="s">
        <v>66</v>
      </c>
      <c r="D285" s="535" t="s">
        <v>59</v>
      </c>
      <c r="E285" s="535" t="s">
        <v>646</v>
      </c>
      <c r="F285" s="535" t="s">
        <v>671</v>
      </c>
      <c r="G285" s="536">
        <v>0.01</v>
      </c>
      <c r="H285" s="536">
        <v>2.568E-3</v>
      </c>
      <c r="I285" s="537">
        <v>0.4</v>
      </c>
      <c r="J285" s="595">
        <v>5</v>
      </c>
      <c r="K285" s="538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2"/>
      <c r="AP285" s="494" t="str">
        <f ca="1">IF('CDO Bespoke'!C310&lt;&gt;"",'CDO Bespoke'!C310,"")</f>
        <v/>
      </c>
      <c r="AQ285" s="496"/>
      <c r="AR285" s="585"/>
      <c r="AS285" s="585"/>
      <c r="AT285" s="585"/>
      <c r="AU285" s="497"/>
      <c r="AV285" s="627"/>
      <c r="AW285" s="496"/>
      <c r="AX285" s="585"/>
      <c r="AY285" s="585"/>
      <c r="AZ285" s="585"/>
      <c r="BA285" s="497"/>
      <c r="BB285" s="627"/>
      <c r="BC285" s="580"/>
      <c r="BD285" s="580"/>
      <c r="BE285" s="580"/>
      <c r="BF285" s="580"/>
      <c r="BG285" s="579"/>
    </row>
    <row r="286" spans="2:59">
      <c r="B286" s="539" t="s">
        <v>588</v>
      </c>
      <c r="C286" s="540" t="s">
        <v>66</v>
      </c>
      <c r="D286" s="540" t="s">
        <v>55</v>
      </c>
      <c r="E286" s="540" t="s">
        <v>648</v>
      </c>
      <c r="F286" s="540" t="s">
        <v>653</v>
      </c>
      <c r="G286" s="541">
        <v>0.01</v>
      </c>
      <c r="H286" s="541">
        <v>1.861E-3</v>
      </c>
      <c r="I286" s="542">
        <v>0.4</v>
      </c>
      <c r="J286" s="602">
        <v>6</v>
      </c>
      <c r="K286" s="543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2"/>
      <c r="AP286" s="494" t="str">
        <f ca="1">IF('CDO Bespoke'!C311&lt;&gt;"",'CDO Bespoke'!C311,"")</f>
        <v/>
      </c>
      <c r="AQ286" s="496"/>
      <c r="AR286" s="585"/>
      <c r="AS286" s="585"/>
      <c r="AT286" s="585"/>
      <c r="AU286" s="497"/>
      <c r="AV286" s="627"/>
      <c r="AW286" s="496"/>
      <c r="AX286" s="585"/>
      <c r="AY286" s="585"/>
      <c r="AZ286" s="585"/>
      <c r="BA286" s="497"/>
      <c r="BB286" s="627"/>
      <c r="BC286" s="580"/>
      <c r="BD286" s="580"/>
      <c r="BE286" s="580"/>
      <c r="BF286" s="580"/>
      <c r="BG286" s="579"/>
    </row>
    <row r="287" spans="2:59">
      <c r="B287" s="517" t="s">
        <v>588</v>
      </c>
      <c r="C287" s="518" t="s">
        <v>66</v>
      </c>
      <c r="D287" s="518" t="s">
        <v>57</v>
      </c>
      <c r="E287" s="518" t="s">
        <v>648</v>
      </c>
      <c r="F287" s="518" t="s">
        <v>653</v>
      </c>
      <c r="G287" s="525">
        <v>0.01</v>
      </c>
      <c r="H287" s="525">
        <v>3.0709999999999999E-3</v>
      </c>
      <c r="I287" s="527">
        <v>0.4</v>
      </c>
      <c r="J287" s="594">
        <v>6</v>
      </c>
      <c r="K287" s="519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2"/>
      <c r="AP287" s="494" t="str">
        <f ca="1">IF('CDO Bespoke'!C312&lt;&gt;"",'CDO Bespoke'!C312,"")</f>
        <v/>
      </c>
      <c r="AQ287" s="496"/>
      <c r="AR287" s="585"/>
      <c r="AS287" s="585"/>
      <c r="AT287" s="585"/>
      <c r="AU287" s="497"/>
      <c r="AV287" s="627"/>
      <c r="AW287" s="496"/>
      <c r="AX287" s="585"/>
      <c r="AY287" s="585"/>
      <c r="AZ287" s="585"/>
      <c r="BA287" s="497"/>
      <c r="BB287" s="627"/>
      <c r="BC287" s="580"/>
      <c r="BD287" s="580"/>
      <c r="BE287" s="580"/>
      <c r="BF287" s="580"/>
      <c r="BG287" s="579"/>
    </row>
    <row r="288" spans="2:59">
      <c r="B288" s="534" t="s">
        <v>588</v>
      </c>
      <c r="C288" s="535" t="s">
        <v>66</v>
      </c>
      <c r="D288" s="535" t="s">
        <v>59</v>
      </c>
      <c r="E288" s="535" t="s">
        <v>648</v>
      </c>
      <c r="F288" s="535" t="s">
        <v>653</v>
      </c>
      <c r="G288" s="536">
        <v>0.01</v>
      </c>
      <c r="H288" s="536">
        <v>4.4549999999999998E-3</v>
      </c>
      <c r="I288" s="537">
        <v>0.4</v>
      </c>
      <c r="J288" s="595">
        <v>6</v>
      </c>
      <c r="K288" s="538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2"/>
      <c r="AP288" s="494" t="str">
        <f ca="1">IF('CDO Bespoke'!C313&lt;&gt;"",'CDO Bespoke'!C313,"")</f>
        <v/>
      </c>
      <c r="AQ288" s="496"/>
      <c r="AR288" s="585"/>
      <c r="AS288" s="585"/>
      <c r="AT288" s="585"/>
      <c r="AU288" s="497"/>
      <c r="AV288" s="627"/>
      <c r="AW288" s="496"/>
      <c r="AX288" s="585"/>
      <c r="AY288" s="585"/>
      <c r="AZ288" s="585"/>
      <c r="BA288" s="497"/>
      <c r="BB288" s="627"/>
      <c r="BC288" s="580"/>
      <c r="BD288" s="580"/>
      <c r="BE288" s="580"/>
      <c r="BF288" s="580"/>
      <c r="BG288" s="579"/>
    </row>
    <row r="289" spans="2:59">
      <c r="B289" s="539" t="s">
        <v>596</v>
      </c>
      <c r="C289" s="540" t="s">
        <v>66</v>
      </c>
      <c r="D289" s="540" t="s">
        <v>55</v>
      </c>
      <c r="E289" s="540" t="s">
        <v>648</v>
      </c>
      <c r="F289" s="540" t="s">
        <v>675</v>
      </c>
      <c r="G289" s="541">
        <v>0.01</v>
      </c>
      <c r="H289" s="541">
        <v>3.8760000000000001E-3</v>
      </c>
      <c r="I289" s="542">
        <v>0.4</v>
      </c>
      <c r="J289" s="602">
        <v>6</v>
      </c>
      <c r="K289" s="543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2"/>
      <c r="AP289" s="494" t="str">
        <f ca="1">IF('CDO Bespoke'!C314&lt;&gt;"",'CDO Bespoke'!C314,"")</f>
        <v/>
      </c>
      <c r="AQ289" s="496"/>
      <c r="AR289" s="585"/>
      <c r="AS289" s="585"/>
      <c r="AT289" s="585"/>
      <c r="AU289" s="497"/>
      <c r="AV289" s="627"/>
      <c r="AW289" s="496"/>
      <c r="AX289" s="585"/>
      <c r="AY289" s="585"/>
      <c r="AZ289" s="585"/>
      <c r="BA289" s="497"/>
      <c r="BB289" s="627"/>
      <c r="BC289" s="580"/>
      <c r="BD289" s="580"/>
      <c r="BE289" s="580"/>
      <c r="BF289" s="580"/>
      <c r="BG289" s="579"/>
    </row>
    <row r="290" spans="2:59">
      <c r="B290" s="517" t="s">
        <v>596</v>
      </c>
      <c r="C290" s="518" t="s">
        <v>66</v>
      </c>
      <c r="D290" s="518" t="s">
        <v>57</v>
      </c>
      <c r="E290" s="518" t="s">
        <v>648</v>
      </c>
      <c r="F290" s="518" t="s">
        <v>675</v>
      </c>
      <c r="G290" s="525">
        <v>0.01</v>
      </c>
      <c r="H290" s="525">
        <v>6.6940000000000003E-3</v>
      </c>
      <c r="I290" s="527">
        <v>0.4</v>
      </c>
      <c r="J290" s="594">
        <v>6</v>
      </c>
      <c r="K290" s="519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2"/>
      <c r="AP290" s="494" t="str">
        <f ca="1">IF('CDO Bespoke'!C315&lt;&gt;"",'CDO Bespoke'!C315,"")</f>
        <v/>
      </c>
      <c r="AQ290" s="496"/>
      <c r="AR290" s="585"/>
      <c r="AS290" s="585"/>
      <c r="AT290" s="585"/>
      <c r="AU290" s="497"/>
      <c r="AV290" s="627"/>
      <c r="AW290" s="496"/>
      <c r="AX290" s="585"/>
      <c r="AY290" s="585"/>
      <c r="AZ290" s="585"/>
      <c r="BA290" s="497"/>
      <c r="BB290" s="627"/>
      <c r="BC290" s="580"/>
      <c r="BD290" s="580"/>
      <c r="BE290" s="580"/>
      <c r="BF290" s="580"/>
      <c r="BG290" s="579"/>
    </row>
    <row r="291" spans="2:59">
      <c r="B291" s="534" t="s">
        <v>596</v>
      </c>
      <c r="C291" s="535" t="s">
        <v>66</v>
      </c>
      <c r="D291" s="535" t="s">
        <v>59</v>
      </c>
      <c r="E291" s="535" t="s">
        <v>648</v>
      </c>
      <c r="F291" s="535" t="s">
        <v>675</v>
      </c>
      <c r="G291" s="536">
        <v>0.01</v>
      </c>
      <c r="H291" s="536">
        <v>1.0071999999999999E-2</v>
      </c>
      <c r="I291" s="537">
        <v>0.4</v>
      </c>
      <c r="J291" s="595">
        <v>6</v>
      </c>
      <c r="K291" s="538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2"/>
      <c r="AP291" s="494" t="str">
        <f ca="1">IF('CDO Bespoke'!C316&lt;&gt;"",'CDO Bespoke'!C316,"")</f>
        <v/>
      </c>
      <c r="AQ291" s="496"/>
      <c r="AR291" s="585"/>
      <c r="AS291" s="585"/>
      <c r="AT291" s="585"/>
      <c r="AU291" s="497"/>
      <c r="AV291" s="627"/>
      <c r="AW291" s="496"/>
      <c r="AX291" s="585"/>
      <c r="AY291" s="585"/>
      <c r="AZ291" s="585"/>
      <c r="BA291" s="497"/>
      <c r="BB291" s="627"/>
      <c r="BC291" s="580"/>
      <c r="BD291" s="580"/>
      <c r="BE291" s="580"/>
      <c r="BF291" s="580"/>
      <c r="BG291" s="579"/>
    </row>
    <row r="292" spans="2:59">
      <c r="B292" s="539" t="s">
        <v>589</v>
      </c>
      <c r="C292" s="540" t="s">
        <v>66</v>
      </c>
      <c r="D292" s="540" t="s">
        <v>55</v>
      </c>
      <c r="E292" s="540" t="s">
        <v>646</v>
      </c>
      <c r="F292" s="540" t="s">
        <v>675</v>
      </c>
      <c r="G292" s="541">
        <v>0.01</v>
      </c>
      <c r="H292" s="541">
        <v>1.3079999999999999E-3</v>
      </c>
      <c r="I292" s="542">
        <v>0.4</v>
      </c>
      <c r="J292" s="602">
        <v>6</v>
      </c>
      <c r="K292" s="543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2"/>
      <c r="AP292" s="494" t="str">
        <f ca="1">IF('CDO Bespoke'!C317&lt;&gt;"",'CDO Bespoke'!C317,"")</f>
        <v/>
      </c>
      <c r="AQ292" s="496"/>
      <c r="AR292" s="585"/>
      <c r="AS292" s="585"/>
      <c r="AT292" s="585"/>
      <c r="AU292" s="497"/>
      <c r="AV292" s="627"/>
      <c r="AW292" s="496"/>
      <c r="AX292" s="585"/>
      <c r="AY292" s="585"/>
      <c r="AZ292" s="585"/>
      <c r="BA292" s="497"/>
      <c r="BB292" s="627"/>
      <c r="BC292" s="580"/>
      <c r="BD292" s="580"/>
      <c r="BE292" s="580"/>
      <c r="BF292" s="580"/>
      <c r="BG292" s="579"/>
    </row>
    <row r="293" spans="2:59">
      <c r="B293" s="517" t="s">
        <v>589</v>
      </c>
      <c r="C293" s="518" t="s">
        <v>66</v>
      </c>
      <c r="D293" s="518" t="s">
        <v>57</v>
      </c>
      <c r="E293" s="518" t="s">
        <v>646</v>
      </c>
      <c r="F293" s="518" t="s">
        <v>675</v>
      </c>
      <c r="G293" s="525">
        <v>0.01</v>
      </c>
      <c r="H293" s="525">
        <v>2.3080000000000002E-3</v>
      </c>
      <c r="I293" s="527">
        <v>0.4</v>
      </c>
      <c r="J293" s="594">
        <v>6</v>
      </c>
      <c r="K293" s="519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2"/>
      <c r="AP293" s="494" t="str">
        <f ca="1">IF('CDO Bespoke'!C318&lt;&gt;"",'CDO Bespoke'!C318,"")</f>
        <v/>
      </c>
      <c r="AQ293" s="496"/>
      <c r="AR293" s="585"/>
      <c r="AS293" s="585"/>
      <c r="AT293" s="585"/>
      <c r="AU293" s="497"/>
      <c r="AV293" s="627"/>
      <c r="AW293" s="496"/>
      <c r="AX293" s="585"/>
      <c r="AY293" s="585"/>
      <c r="AZ293" s="585"/>
      <c r="BA293" s="497"/>
      <c r="BB293" s="627"/>
      <c r="BC293" s="580"/>
      <c r="BD293" s="580"/>
      <c r="BE293" s="580"/>
      <c r="BF293" s="580"/>
      <c r="BG293" s="579"/>
    </row>
    <row r="294" spans="2:59">
      <c r="B294" s="534" t="s">
        <v>589</v>
      </c>
      <c r="C294" s="535" t="s">
        <v>66</v>
      </c>
      <c r="D294" s="535" t="s">
        <v>59</v>
      </c>
      <c r="E294" s="535" t="s">
        <v>646</v>
      </c>
      <c r="F294" s="535" t="s">
        <v>675</v>
      </c>
      <c r="G294" s="536">
        <v>0.01</v>
      </c>
      <c r="H294" s="536">
        <v>3.643E-3</v>
      </c>
      <c r="I294" s="537">
        <v>0.4</v>
      </c>
      <c r="J294" s="595">
        <v>6</v>
      </c>
      <c r="K294" s="538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3"/>
      <c r="AE294" s="273"/>
      <c r="AF294" s="272"/>
      <c r="AP294" s="494" t="str">
        <f ca="1">IF('CDO Bespoke'!C319&lt;&gt;"",'CDO Bespoke'!C319,"")</f>
        <v/>
      </c>
      <c r="AQ294" s="496"/>
      <c r="AR294" s="585"/>
      <c r="AS294" s="585"/>
      <c r="AT294" s="585"/>
      <c r="AU294" s="497"/>
      <c r="AV294" s="627"/>
      <c r="AW294" s="496"/>
      <c r="AX294" s="585"/>
      <c r="AY294" s="585"/>
      <c r="AZ294" s="585"/>
      <c r="BA294" s="497"/>
      <c r="BB294" s="627"/>
      <c r="BC294" s="580"/>
      <c r="BD294" s="580"/>
      <c r="BE294" s="580"/>
      <c r="BF294" s="580"/>
      <c r="BG294" s="579"/>
    </row>
    <row r="295" spans="2:59">
      <c r="B295" s="539" t="s">
        <v>597</v>
      </c>
      <c r="C295" s="540" t="s">
        <v>66</v>
      </c>
      <c r="D295" s="540" t="s">
        <v>55</v>
      </c>
      <c r="E295" s="540" t="s">
        <v>648</v>
      </c>
      <c r="F295" s="540" t="s">
        <v>675</v>
      </c>
      <c r="G295" s="541">
        <v>0.01</v>
      </c>
      <c r="H295" s="541">
        <v>1.5479999999999999E-3</v>
      </c>
      <c r="I295" s="542">
        <v>0.4</v>
      </c>
      <c r="J295" s="602">
        <v>6</v>
      </c>
      <c r="K295" s="543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3"/>
      <c r="AE295" s="273"/>
      <c r="AF295" s="272"/>
      <c r="AP295" s="494" t="str">
        <f ca="1">IF('CDO Bespoke'!C320&lt;&gt;"",'CDO Bespoke'!C320,"")</f>
        <v/>
      </c>
      <c r="AQ295" s="496"/>
      <c r="AR295" s="585"/>
      <c r="AS295" s="585"/>
      <c r="AT295" s="585"/>
      <c r="AU295" s="497"/>
      <c r="AV295" s="627"/>
      <c r="AW295" s="496"/>
      <c r="AX295" s="585"/>
      <c r="AY295" s="585"/>
      <c r="AZ295" s="585"/>
      <c r="BA295" s="497"/>
      <c r="BB295" s="627"/>
      <c r="BC295" s="580"/>
      <c r="BD295" s="580"/>
      <c r="BE295" s="580"/>
      <c r="BF295" s="580"/>
      <c r="BG295" s="579"/>
    </row>
    <row r="296" spans="2:59">
      <c r="B296" s="517" t="s">
        <v>597</v>
      </c>
      <c r="C296" s="518" t="s">
        <v>66</v>
      </c>
      <c r="D296" s="518" t="s">
        <v>57</v>
      </c>
      <c r="E296" s="518" t="s">
        <v>648</v>
      </c>
      <c r="F296" s="518" t="s">
        <v>675</v>
      </c>
      <c r="G296" s="525">
        <v>0.01</v>
      </c>
      <c r="H296" s="525">
        <v>2.565E-3</v>
      </c>
      <c r="I296" s="527">
        <v>0.4</v>
      </c>
      <c r="J296" s="594">
        <v>6</v>
      </c>
      <c r="K296" s="519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3"/>
      <c r="AE296" s="273"/>
      <c r="AF296" s="272"/>
      <c r="AP296" s="494" t="str">
        <f ca="1">IF('CDO Bespoke'!C321&lt;&gt;"",'CDO Bespoke'!C321,"")</f>
        <v/>
      </c>
      <c r="AQ296" s="496"/>
      <c r="AR296" s="585"/>
      <c r="AS296" s="585"/>
      <c r="AT296" s="585"/>
      <c r="AU296" s="497"/>
      <c r="AV296" s="627"/>
      <c r="AW296" s="496"/>
      <c r="AX296" s="585"/>
      <c r="AY296" s="585"/>
      <c r="AZ296" s="585"/>
      <c r="BA296" s="497"/>
      <c r="BB296" s="627"/>
      <c r="BC296" s="580"/>
      <c r="BD296" s="580"/>
      <c r="BE296" s="580"/>
      <c r="BF296" s="580"/>
      <c r="BG296" s="579"/>
    </row>
    <row r="297" spans="2:59">
      <c r="B297" s="534" t="s">
        <v>597</v>
      </c>
      <c r="C297" s="535" t="s">
        <v>66</v>
      </c>
      <c r="D297" s="535" t="s">
        <v>59</v>
      </c>
      <c r="E297" s="535" t="s">
        <v>648</v>
      </c>
      <c r="F297" s="535" t="s">
        <v>675</v>
      </c>
      <c r="G297" s="536">
        <v>0.01</v>
      </c>
      <c r="H297" s="536">
        <v>3.594E-3</v>
      </c>
      <c r="I297" s="537">
        <v>0.4</v>
      </c>
      <c r="J297" s="595">
        <v>6</v>
      </c>
      <c r="K297" s="538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3"/>
      <c r="AE297" s="273"/>
      <c r="AF297" s="272"/>
      <c r="AP297" s="494" t="str">
        <f ca="1">IF('CDO Bespoke'!C322&lt;&gt;"",'CDO Bespoke'!C322,"")</f>
        <v/>
      </c>
      <c r="AQ297" s="496"/>
      <c r="AR297" s="585"/>
      <c r="AS297" s="585"/>
      <c r="AT297" s="585"/>
      <c r="AU297" s="497"/>
      <c r="AV297" s="627"/>
      <c r="AW297" s="496"/>
      <c r="AX297" s="585"/>
      <c r="AY297" s="585"/>
      <c r="AZ297" s="585"/>
      <c r="BA297" s="497"/>
      <c r="BB297" s="627"/>
      <c r="BC297" s="580"/>
      <c r="BD297" s="580"/>
      <c r="BE297" s="580"/>
      <c r="BF297" s="580"/>
      <c r="BG297" s="579"/>
    </row>
    <row r="298" spans="2:59">
      <c r="B298" s="539" t="s">
        <v>590</v>
      </c>
      <c r="C298" s="540" t="s">
        <v>66</v>
      </c>
      <c r="D298" s="540" t="s">
        <v>55</v>
      </c>
      <c r="E298" s="540" t="s">
        <v>648</v>
      </c>
      <c r="F298" s="540" t="s">
        <v>675</v>
      </c>
      <c r="G298" s="541">
        <v>0.01</v>
      </c>
      <c r="H298" s="541">
        <v>1.606E-3</v>
      </c>
      <c r="I298" s="542">
        <v>0.4</v>
      </c>
      <c r="J298" s="602">
        <v>6</v>
      </c>
      <c r="K298" s="543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3"/>
      <c r="AE298" s="273"/>
      <c r="AF298" s="272"/>
      <c r="AP298" s="494" t="str">
        <f ca="1">IF('CDO Bespoke'!C323&lt;&gt;"",'CDO Bespoke'!C323,"")</f>
        <v/>
      </c>
      <c r="AQ298" s="496"/>
      <c r="AR298" s="585"/>
      <c r="AS298" s="585"/>
      <c r="AT298" s="585"/>
      <c r="AU298" s="497"/>
      <c r="AV298" s="627"/>
      <c r="AW298" s="496"/>
      <c r="AX298" s="585"/>
      <c r="AY298" s="585"/>
      <c r="AZ298" s="585"/>
      <c r="BA298" s="497"/>
      <c r="BB298" s="627"/>
      <c r="BC298" s="580"/>
      <c r="BD298" s="580"/>
      <c r="BE298" s="580"/>
      <c r="BF298" s="580"/>
      <c r="BG298" s="579"/>
    </row>
    <row r="299" spans="2:59">
      <c r="B299" s="517" t="s">
        <v>590</v>
      </c>
      <c r="C299" s="518" t="s">
        <v>66</v>
      </c>
      <c r="D299" s="518" t="s">
        <v>57</v>
      </c>
      <c r="E299" s="518" t="s">
        <v>648</v>
      </c>
      <c r="F299" s="518" t="s">
        <v>675</v>
      </c>
      <c r="G299" s="525">
        <v>0.01</v>
      </c>
      <c r="H299" s="525">
        <v>2.6679999999999998E-3</v>
      </c>
      <c r="I299" s="527">
        <v>0.4</v>
      </c>
      <c r="J299" s="594">
        <v>6</v>
      </c>
      <c r="K299" s="519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3"/>
      <c r="AE299" s="273"/>
      <c r="AF299" s="272"/>
      <c r="AP299" s="494" t="str">
        <f ca="1">IF('CDO Bespoke'!C324&lt;&gt;"",'CDO Bespoke'!C324,"")</f>
        <v/>
      </c>
      <c r="AQ299" s="496"/>
      <c r="AR299" s="585"/>
      <c r="AS299" s="585"/>
      <c r="AT299" s="585"/>
      <c r="AU299" s="497"/>
      <c r="AV299" s="627"/>
      <c r="AW299" s="496"/>
      <c r="AX299" s="585"/>
      <c r="AY299" s="585"/>
      <c r="AZ299" s="585"/>
      <c r="BA299" s="497"/>
      <c r="BB299" s="627"/>
      <c r="BC299" s="580"/>
      <c r="BD299" s="580"/>
      <c r="BE299" s="580"/>
      <c r="BF299" s="580"/>
      <c r="BG299" s="579"/>
    </row>
    <row r="300" spans="2:59">
      <c r="B300" s="534" t="s">
        <v>590</v>
      </c>
      <c r="C300" s="535" t="s">
        <v>66</v>
      </c>
      <c r="D300" s="535" t="s">
        <v>59</v>
      </c>
      <c r="E300" s="535" t="s">
        <v>648</v>
      </c>
      <c r="F300" s="535" t="s">
        <v>675</v>
      </c>
      <c r="G300" s="536">
        <v>0.01</v>
      </c>
      <c r="H300" s="536">
        <v>3.9750000000000002E-3</v>
      </c>
      <c r="I300" s="537">
        <v>0.4</v>
      </c>
      <c r="J300" s="595">
        <v>6</v>
      </c>
      <c r="K300" s="538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3"/>
      <c r="AE300" s="273"/>
      <c r="AF300" s="272"/>
      <c r="AP300" s="494" t="str">
        <f ca="1">IF('CDO Bespoke'!C325&lt;&gt;"",'CDO Bespoke'!C325,"")</f>
        <v/>
      </c>
      <c r="AQ300" s="496"/>
      <c r="AR300" s="585"/>
      <c r="AS300" s="585"/>
      <c r="AT300" s="585"/>
      <c r="AU300" s="497"/>
      <c r="AV300" s="627"/>
      <c r="AW300" s="496"/>
      <c r="AX300" s="585"/>
      <c r="AY300" s="585"/>
      <c r="AZ300" s="585"/>
      <c r="BA300" s="497"/>
      <c r="BB300" s="627"/>
      <c r="BC300" s="580"/>
      <c r="BD300" s="580"/>
      <c r="BE300" s="580"/>
      <c r="BF300" s="580"/>
      <c r="BG300" s="579"/>
    </row>
    <row r="301" spans="2:59">
      <c r="B301" s="539" t="s">
        <v>591</v>
      </c>
      <c r="C301" s="540" t="s">
        <v>66</v>
      </c>
      <c r="D301" s="540" t="s">
        <v>55</v>
      </c>
      <c r="E301" s="540" t="s">
        <v>648</v>
      </c>
      <c r="F301" s="540" t="s">
        <v>671</v>
      </c>
      <c r="G301" s="541">
        <v>0.01</v>
      </c>
      <c r="H301" s="541">
        <v>3.0330000000000001E-3</v>
      </c>
      <c r="I301" s="542">
        <v>0.4</v>
      </c>
      <c r="J301" s="602">
        <v>5</v>
      </c>
      <c r="K301" s="543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3"/>
      <c r="AE301" s="273"/>
      <c r="AF301" s="272"/>
      <c r="AP301" s="494" t="str">
        <f ca="1">IF('CDO Bespoke'!C326&lt;&gt;"",'CDO Bespoke'!C326,"")</f>
        <v/>
      </c>
      <c r="AQ301" s="496"/>
      <c r="AR301" s="585"/>
      <c r="AS301" s="585"/>
      <c r="AT301" s="585"/>
      <c r="AU301" s="497"/>
      <c r="AV301" s="627"/>
      <c r="AW301" s="496"/>
      <c r="AX301" s="585"/>
      <c r="AY301" s="585"/>
      <c r="AZ301" s="585"/>
      <c r="BA301" s="497"/>
      <c r="BB301" s="627"/>
      <c r="BC301" s="580"/>
      <c r="BD301" s="580"/>
      <c r="BE301" s="580"/>
      <c r="BF301" s="580"/>
      <c r="BG301" s="579"/>
    </row>
    <row r="302" spans="2:59">
      <c r="B302" s="517" t="s">
        <v>591</v>
      </c>
      <c r="C302" s="518" t="s">
        <v>66</v>
      </c>
      <c r="D302" s="518" t="s">
        <v>57</v>
      </c>
      <c r="E302" s="518" t="s">
        <v>648</v>
      </c>
      <c r="F302" s="518" t="s">
        <v>671</v>
      </c>
      <c r="G302" s="525">
        <v>0.01</v>
      </c>
      <c r="H302" s="525">
        <v>5.5510000000000004E-3</v>
      </c>
      <c r="I302" s="527">
        <v>0.4</v>
      </c>
      <c r="J302" s="594">
        <v>5</v>
      </c>
      <c r="K302" s="519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3"/>
      <c r="AE302" s="273"/>
      <c r="AF302" s="272"/>
      <c r="AP302" s="494" t="str">
        <f ca="1">IF('CDO Bespoke'!C327&lt;&gt;"",'CDO Bespoke'!C327,"")</f>
        <v/>
      </c>
      <c r="AQ302" s="496"/>
      <c r="AR302" s="585"/>
      <c r="AS302" s="585"/>
      <c r="AT302" s="585"/>
      <c r="AU302" s="497"/>
      <c r="AV302" s="627"/>
      <c r="AW302" s="496"/>
      <c r="AX302" s="585"/>
      <c r="AY302" s="585"/>
      <c r="AZ302" s="585"/>
      <c r="BA302" s="497"/>
      <c r="BB302" s="627"/>
      <c r="BC302" s="580"/>
      <c r="BD302" s="580"/>
      <c r="BE302" s="580"/>
      <c r="BF302" s="580"/>
      <c r="BG302" s="579"/>
    </row>
    <row r="303" spans="2:59">
      <c r="B303" s="534" t="s">
        <v>591</v>
      </c>
      <c r="C303" s="535" t="s">
        <v>66</v>
      </c>
      <c r="D303" s="535" t="s">
        <v>59</v>
      </c>
      <c r="E303" s="535" t="s">
        <v>648</v>
      </c>
      <c r="F303" s="535" t="s">
        <v>671</v>
      </c>
      <c r="G303" s="536">
        <v>0.01</v>
      </c>
      <c r="H303" s="536">
        <v>8.4740000000000006E-3</v>
      </c>
      <c r="I303" s="537">
        <v>0.4</v>
      </c>
      <c r="J303" s="595">
        <v>5</v>
      </c>
      <c r="K303" s="538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2"/>
      <c r="AP303" s="494" t="str">
        <f ca="1">IF('CDO Bespoke'!C328&lt;&gt;"",'CDO Bespoke'!C328,"")</f>
        <v/>
      </c>
      <c r="AQ303" s="496"/>
      <c r="AR303" s="585"/>
      <c r="AS303" s="585"/>
      <c r="AT303" s="585"/>
      <c r="AU303" s="497"/>
      <c r="AV303" s="627"/>
      <c r="AW303" s="496"/>
      <c r="AX303" s="585"/>
      <c r="AY303" s="585"/>
      <c r="AZ303" s="585"/>
      <c r="BA303" s="497"/>
      <c r="BB303" s="627"/>
      <c r="BC303" s="580"/>
      <c r="BD303" s="580"/>
      <c r="BE303" s="580"/>
      <c r="BF303" s="580"/>
      <c r="BG303" s="579"/>
    </row>
    <row r="304" spans="2:59">
      <c r="B304" s="539" t="s">
        <v>592</v>
      </c>
      <c r="C304" s="540" t="s">
        <v>66</v>
      </c>
      <c r="D304" s="540" t="s">
        <v>55</v>
      </c>
      <c r="E304" s="540" t="s">
        <v>648</v>
      </c>
      <c r="F304" s="540" t="s">
        <v>675</v>
      </c>
      <c r="G304" s="541">
        <v>0.01</v>
      </c>
      <c r="H304" s="541">
        <v>3.7399999999999998E-3</v>
      </c>
      <c r="I304" s="542">
        <v>0.4</v>
      </c>
      <c r="J304" s="602">
        <v>6</v>
      </c>
      <c r="K304" s="543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3"/>
      <c r="AE304" s="273"/>
      <c r="AF304" s="272"/>
      <c r="AP304" s="494" t="str">
        <f ca="1">IF('CDO Bespoke'!C329&lt;&gt;"",'CDO Bespoke'!C329,"")</f>
        <v/>
      </c>
      <c r="AQ304" s="496"/>
      <c r="AR304" s="585"/>
      <c r="AS304" s="585"/>
      <c r="AT304" s="585"/>
      <c r="AU304" s="497"/>
      <c r="AV304" s="627"/>
      <c r="AW304" s="496"/>
      <c r="AX304" s="585"/>
      <c r="AY304" s="585"/>
      <c r="AZ304" s="585"/>
      <c r="BA304" s="497"/>
      <c r="BB304" s="627"/>
      <c r="BC304" s="580"/>
      <c r="BD304" s="580"/>
      <c r="BE304" s="580"/>
      <c r="BF304" s="580"/>
      <c r="BG304" s="579"/>
    </row>
    <row r="305" spans="2:59">
      <c r="B305" s="517" t="s">
        <v>592</v>
      </c>
      <c r="C305" s="518" t="s">
        <v>66</v>
      </c>
      <c r="D305" s="518" t="s">
        <v>57</v>
      </c>
      <c r="E305" s="518" t="s">
        <v>648</v>
      </c>
      <c r="F305" s="518" t="s">
        <v>675</v>
      </c>
      <c r="G305" s="525">
        <v>0.01</v>
      </c>
      <c r="H305" s="525">
        <v>6.6239999999999997E-3</v>
      </c>
      <c r="I305" s="527">
        <v>0.4</v>
      </c>
      <c r="J305" s="594">
        <v>6</v>
      </c>
      <c r="K305" s="519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3"/>
      <c r="AE305" s="273"/>
      <c r="AF305" s="272"/>
      <c r="AP305" s="494" t="str">
        <f ca="1">IF('CDO Bespoke'!C330&lt;&gt;"",'CDO Bespoke'!C330,"")</f>
        <v/>
      </c>
      <c r="AQ305" s="496"/>
      <c r="AR305" s="585"/>
      <c r="AS305" s="585"/>
      <c r="AT305" s="585"/>
      <c r="AU305" s="497"/>
      <c r="AV305" s="627"/>
      <c r="AW305" s="496"/>
      <c r="AX305" s="585"/>
      <c r="AY305" s="585"/>
      <c r="AZ305" s="585"/>
      <c r="BA305" s="497"/>
      <c r="BB305" s="627"/>
      <c r="BC305" s="580"/>
      <c r="BD305" s="580"/>
      <c r="BE305" s="580"/>
      <c r="BF305" s="580"/>
      <c r="BG305" s="579"/>
    </row>
    <row r="306" spans="2:59">
      <c r="B306" s="534" t="s">
        <v>592</v>
      </c>
      <c r="C306" s="535" t="s">
        <v>66</v>
      </c>
      <c r="D306" s="535" t="s">
        <v>59</v>
      </c>
      <c r="E306" s="535" t="s">
        <v>648</v>
      </c>
      <c r="F306" s="535" t="s">
        <v>675</v>
      </c>
      <c r="G306" s="536">
        <v>0.01</v>
      </c>
      <c r="H306" s="536">
        <v>9.2910000000000006E-3</v>
      </c>
      <c r="I306" s="537">
        <v>0.4</v>
      </c>
      <c r="J306" s="595">
        <v>6</v>
      </c>
      <c r="K306" s="538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3"/>
      <c r="AE306" s="273"/>
      <c r="AF306" s="272"/>
      <c r="AP306" s="494" t="str">
        <f ca="1">IF('CDO Bespoke'!C331&lt;&gt;"",'CDO Bespoke'!C331,"")</f>
        <v/>
      </c>
      <c r="AQ306" s="496"/>
      <c r="AR306" s="585"/>
      <c r="AS306" s="585"/>
      <c r="AT306" s="585"/>
      <c r="AU306" s="497"/>
      <c r="AV306" s="627"/>
      <c r="AW306" s="496"/>
      <c r="AX306" s="585"/>
      <c r="AY306" s="585"/>
      <c r="AZ306" s="585"/>
      <c r="BA306" s="497"/>
      <c r="BB306" s="627"/>
      <c r="BC306" s="580"/>
      <c r="BD306" s="580"/>
      <c r="BE306" s="580"/>
      <c r="BF306" s="580"/>
      <c r="BG306" s="579"/>
    </row>
    <row r="307" spans="2:59">
      <c r="B307" s="539" t="s">
        <v>593</v>
      </c>
      <c r="C307" s="540" t="s">
        <v>66</v>
      </c>
      <c r="D307" s="540" t="s">
        <v>55</v>
      </c>
      <c r="E307" s="540" t="s">
        <v>648</v>
      </c>
      <c r="F307" s="540" t="s">
        <v>671</v>
      </c>
      <c r="G307" s="541">
        <v>0.01</v>
      </c>
      <c r="H307" s="541">
        <v>3.8470000000000002E-3</v>
      </c>
      <c r="I307" s="542">
        <v>0.4</v>
      </c>
      <c r="J307" s="602">
        <v>5</v>
      </c>
      <c r="K307" s="543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3"/>
      <c r="AE307" s="273"/>
      <c r="AF307" s="272"/>
      <c r="AP307" s="494" t="str">
        <f ca="1">IF('CDO Bespoke'!C332&lt;&gt;"",'CDO Bespoke'!C332,"")</f>
        <v/>
      </c>
      <c r="AQ307" s="496"/>
      <c r="AR307" s="585"/>
      <c r="AS307" s="585"/>
      <c r="AT307" s="585"/>
      <c r="AU307" s="497"/>
      <c r="AV307" s="627"/>
      <c r="AW307" s="496"/>
      <c r="AX307" s="585"/>
      <c r="AY307" s="585"/>
      <c r="AZ307" s="585"/>
      <c r="BA307" s="497"/>
      <c r="BB307" s="627"/>
      <c r="BC307" s="580"/>
      <c r="BD307" s="580"/>
      <c r="BE307" s="580"/>
      <c r="BF307" s="580"/>
      <c r="BG307" s="579"/>
    </row>
    <row r="308" spans="2:59">
      <c r="B308" s="517" t="s">
        <v>593</v>
      </c>
      <c r="C308" s="518" t="s">
        <v>66</v>
      </c>
      <c r="D308" s="518" t="s">
        <v>57</v>
      </c>
      <c r="E308" s="518" t="s">
        <v>648</v>
      </c>
      <c r="F308" s="518" t="s">
        <v>671</v>
      </c>
      <c r="G308" s="525">
        <v>0.01</v>
      </c>
      <c r="H308" s="525">
        <v>6.4609999999999997E-3</v>
      </c>
      <c r="I308" s="527">
        <v>0.4</v>
      </c>
      <c r="J308" s="594">
        <v>5</v>
      </c>
      <c r="K308" s="519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3"/>
      <c r="AE308" s="273"/>
      <c r="AF308" s="272"/>
      <c r="AP308" s="494" t="str">
        <f ca="1">IF('CDO Bespoke'!C333&lt;&gt;"",'CDO Bespoke'!C333,"")</f>
        <v/>
      </c>
      <c r="AQ308" s="496"/>
      <c r="AR308" s="585"/>
      <c r="AS308" s="585"/>
      <c r="AT308" s="585"/>
      <c r="AU308" s="497"/>
      <c r="AV308" s="627"/>
      <c r="AW308" s="496"/>
      <c r="AX308" s="585"/>
      <c r="AY308" s="585"/>
      <c r="AZ308" s="585"/>
      <c r="BA308" s="497"/>
      <c r="BB308" s="627"/>
      <c r="BC308" s="580"/>
      <c r="BD308" s="580"/>
      <c r="BE308" s="580"/>
      <c r="BF308" s="580"/>
      <c r="BG308" s="579"/>
    </row>
    <row r="309" spans="2:59">
      <c r="B309" s="534" t="s">
        <v>593</v>
      </c>
      <c r="C309" s="535" t="s">
        <v>66</v>
      </c>
      <c r="D309" s="535" t="s">
        <v>59</v>
      </c>
      <c r="E309" s="535" t="s">
        <v>648</v>
      </c>
      <c r="F309" s="535" t="s">
        <v>671</v>
      </c>
      <c r="G309" s="536">
        <v>0.01</v>
      </c>
      <c r="H309" s="536">
        <v>8.9420000000000003E-3</v>
      </c>
      <c r="I309" s="537">
        <v>0.4</v>
      </c>
      <c r="J309" s="595">
        <v>5</v>
      </c>
      <c r="K309" s="538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3"/>
      <c r="AE309" s="273"/>
      <c r="AF309" s="272"/>
      <c r="AP309" s="494" t="str">
        <f ca="1">IF('CDO Bespoke'!C334&lt;&gt;"",'CDO Bespoke'!C334,"")</f>
        <v/>
      </c>
      <c r="AQ309" s="496"/>
      <c r="AR309" s="585"/>
      <c r="AS309" s="585"/>
      <c r="AT309" s="585"/>
      <c r="AU309" s="497"/>
      <c r="AV309" s="627"/>
      <c r="AW309" s="496"/>
      <c r="AX309" s="585"/>
      <c r="AY309" s="585"/>
      <c r="AZ309" s="585"/>
      <c r="BA309" s="497"/>
      <c r="BB309" s="627"/>
      <c r="BC309" s="580"/>
      <c r="BD309" s="580"/>
      <c r="BE309" s="580"/>
      <c r="BF309" s="580"/>
      <c r="BG309" s="579"/>
    </row>
    <row r="310" spans="2:59">
      <c r="B310" s="539"/>
      <c r="C310" s="540" t="s">
        <v>66</v>
      </c>
      <c r="D310" s="540" t="s">
        <v>55</v>
      </c>
      <c r="E310" s="540"/>
      <c r="F310" s="540"/>
      <c r="G310" s="541">
        <v>0.01</v>
      </c>
      <c r="H310" s="541"/>
      <c r="I310" s="542">
        <v>0.4</v>
      </c>
      <c r="J310" s="602"/>
      <c r="K310" s="543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3"/>
      <c r="AE310" s="273"/>
      <c r="AF310" s="272"/>
      <c r="AP310" s="494" t="str">
        <f ca="1">IF('CDO Bespoke'!C335&lt;&gt;"",'CDO Bespoke'!C335,"")</f>
        <v/>
      </c>
      <c r="AQ310" s="496"/>
      <c r="AR310" s="585"/>
      <c r="AS310" s="585"/>
      <c r="AT310" s="585"/>
      <c r="AU310" s="497"/>
      <c r="AV310" s="627"/>
      <c r="AW310" s="496"/>
      <c r="AX310" s="585"/>
      <c r="AY310" s="585"/>
      <c r="AZ310" s="585"/>
      <c r="BA310" s="497"/>
      <c r="BB310" s="627"/>
      <c r="BC310" s="580"/>
      <c r="BD310" s="580"/>
      <c r="BE310" s="580"/>
      <c r="BF310" s="580"/>
      <c r="BG310" s="579"/>
    </row>
    <row r="311" spans="2:59">
      <c r="B311" s="517"/>
      <c r="C311" s="518" t="s">
        <v>66</v>
      </c>
      <c r="D311" s="518" t="s">
        <v>57</v>
      </c>
      <c r="E311" s="518"/>
      <c r="F311" s="518"/>
      <c r="G311" s="525">
        <v>0.01</v>
      </c>
      <c r="H311" s="525"/>
      <c r="I311" s="527">
        <v>0.4</v>
      </c>
      <c r="J311" s="594"/>
      <c r="K311" s="519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3"/>
      <c r="AE311" s="273"/>
      <c r="AF311" s="272"/>
      <c r="AP311" s="494" t="str">
        <f ca="1">IF('CDO Bespoke'!C336&lt;&gt;"",'CDO Bespoke'!C336,"")</f>
        <v/>
      </c>
      <c r="AQ311" s="496"/>
      <c r="AR311" s="585"/>
      <c r="AS311" s="585"/>
      <c r="AT311" s="585"/>
      <c r="AU311" s="497"/>
      <c r="AV311" s="627"/>
      <c r="AW311" s="496"/>
      <c r="AX311" s="585"/>
      <c r="AY311" s="585"/>
      <c r="AZ311" s="585"/>
      <c r="BA311" s="497"/>
      <c r="BB311" s="627"/>
      <c r="BC311" s="580"/>
      <c r="BD311" s="580"/>
      <c r="BE311" s="580"/>
      <c r="BF311" s="580"/>
      <c r="BG311" s="579"/>
    </row>
    <row r="312" spans="2:59">
      <c r="B312" s="534"/>
      <c r="C312" s="535" t="s">
        <v>66</v>
      </c>
      <c r="D312" s="535" t="s">
        <v>59</v>
      </c>
      <c r="E312" s="535"/>
      <c r="F312" s="535"/>
      <c r="G312" s="536">
        <v>0.01</v>
      </c>
      <c r="H312" s="536"/>
      <c r="I312" s="537">
        <v>0.4</v>
      </c>
      <c r="J312" s="595"/>
      <c r="K312" s="538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3"/>
      <c r="AE312" s="273"/>
      <c r="AF312" s="272"/>
      <c r="AP312" s="494" t="str">
        <f ca="1">IF('CDO Bespoke'!C337&lt;&gt;"",'CDO Bespoke'!C337,"")</f>
        <v/>
      </c>
      <c r="AQ312" s="496"/>
      <c r="AR312" s="585"/>
      <c r="AS312" s="585"/>
      <c r="AT312" s="585"/>
      <c r="AU312" s="497"/>
      <c r="AV312" s="627"/>
      <c r="AW312" s="496"/>
      <c r="AX312" s="585"/>
      <c r="AY312" s="585"/>
      <c r="AZ312" s="585"/>
      <c r="BA312" s="497"/>
      <c r="BB312" s="627"/>
      <c r="BC312" s="580"/>
      <c r="BD312" s="580"/>
      <c r="BE312" s="580"/>
      <c r="BF312" s="580"/>
      <c r="BG312" s="579"/>
    </row>
    <row r="313" spans="2:59" ht="12" thickBot="1">
      <c r="B313" s="539"/>
      <c r="C313" s="540" t="s">
        <v>66</v>
      </c>
      <c r="D313" s="540" t="s">
        <v>55</v>
      </c>
      <c r="E313" s="540"/>
      <c r="F313" s="540"/>
      <c r="G313" s="541">
        <v>0.01</v>
      </c>
      <c r="H313" s="541"/>
      <c r="I313" s="542">
        <v>0.4</v>
      </c>
      <c r="J313" s="602"/>
      <c r="K313" s="543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3"/>
      <c r="AE313" s="273"/>
      <c r="AF313" s="272"/>
      <c r="AP313" s="495" t="str">
        <f ca="1">IF('CDO Bespoke'!C338&lt;&gt;"",'CDO Bespoke'!C338,"")</f>
        <v/>
      </c>
      <c r="AQ313" s="498"/>
      <c r="AR313" s="499"/>
      <c r="AS313" s="499"/>
      <c r="AT313" s="499"/>
      <c r="AU313" s="500"/>
      <c r="AV313" s="627"/>
      <c r="AW313" s="498"/>
      <c r="AX313" s="499"/>
      <c r="AY313" s="499"/>
      <c r="AZ313" s="499"/>
      <c r="BA313" s="500"/>
      <c r="BB313" s="627"/>
      <c r="BC313" s="580"/>
      <c r="BD313" s="580"/>
      <c r="BE313" s="580"/>
      <c r="BF313" s="580"/>
      <c r="BG313" s="579"/>
    </row>
    <row r="314" spans="2:59">
      <c r="B314" s="517"/>
      <c r="C314" s="518" t="s">
        <v>66</v>
      </c>
      <c r="D314" s="518" t="s">
        <v>57</v>
      </c>
      <c r="E314" s="518"/>
      <c r="F314" s="518"/>
      <c r="G314" s="525">
        <v>0.01</v>
      </c>
      <c r="H314" s="525"/>
      <c r="I314" s="527">
        <v>0.4</v>
      </c>
      <c r="J314" s="594"/>
      <c r="K314" s="519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  <c r="AF314" s="272"/>
      <c r="AW314" s="580"/>
      <c r="AX314" s="580"/>
      <c r="AY314" s="580"/>
      <c r="AZ314" s="580"/>
      <c r="BA314" s="580"/>
    </row>
    <row r="315" spans="2:59">
      <c r="B315" s="534"/>
      <c r="C315" s="535" t="s">
        <v>66</v>
      </c>
      <c r="D315" s="535" t="s">
        <v>59</v>
      </c>
      <c r="E315" s="535"/>
      <c r="F315" s="535"/>
      <c r="G315" s="536">
        <v>0.01</v>
      </c>
      <c r="H315" s="536"/>
      <c r="I315" s="537">
        <v>0.4</v>
      </c>
      <c r="J315" s="595"/>
      <c r="K315" s="538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2"/>
      <c r="AW315" s="580"/>
      <c r="AX315" s="580"/>
      <c r="AY315" s="580"/>
      <c r="AZ315" s="580"/>
      <c r="BA315" s="580"/>
    </row>
    <row r="316" spans="2:59">
      <c r="B316" s="539"/>
      <c r="C316" s="540" t="s">
        <v>66</v>
      </c>
      <c r="D316" s="540" t="s">
        <v>55</v>
      </c>
      <c r="E316" s="540"/>
      <c r="F316" s="540"/>
      <c r="G316" s="541">
        <v>0.01</v>
      </c>
      <c r="H316" s="541"/>
      <c r="I316" s="542">
        <v>0.4</v>
      </c>
      <c r="J316" s="602"/>
      <c r="K316" s="543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2"/>
    </row>
    <row r="317" spans="2:59">
      <c r="B317" s="517"/>
      <c r="C317" s="518" t="s">
        <v>66</v>
      </c>
      <c r="D317" s="518" t="s">
        <v>57</v>
      </c>
      <c r="E317" s="518"/>
      <c r="F317" s="518"/>
      <c r="G317" s="525">
        <v>0.01</v>
      </c>
      <c r="H317" s="525"/>
      <c r="I317" s="527">
        <v>0.4</v>
      </c>
      <c r="J317" s="594"/>
      <c r="K317" s="519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3"/>
      <c r="AE317" s="273"/>
      <c r="AF317" s="272"/>
    </row>
    <row r="318" spans="2:59">
      <c r="B318" s="534"/>
      <c r="C318" s="535" t="s">
        <v>66</v>
      </c>
      <c r="D318" s="535" t="s">
        <v>59</v>
      </c>
      <c r="E318" s="535"/>
      <c r="F318" s="535"/>
      <c r="G318" s="536">
        <v>0.01</v>
      </c>
      <c r="H318" s="536"/>
      <c r="I318" s="537">
        <v>0.4</v>
      </c>
      <c r="J318" s="595"/>
      <c r="K318" s="538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3"/>
      <c r="AE318" s="273"/>
      <c r="AF318" s="272"/>
    </row>
    <row r="319" spans="2:59">
      <c r="B319" s="539"/>
      <c r="C319" s="540" t="s">
        <v>66</v>
      </c>
      <c r="D319" s="540" t="s">
        <v>55</v>
      </c>
      <c r="E319" s="540"/>
      <c r="F319" s="540"/>
      <c r="G319" s="541">
        <v>0.01</v>
      </c>
      <c r="H319" s="541"/>
      <c r="I319" s="542">
        <v>0.4</v>
      </c>
      <c r="J319" s="602"/>
      <c r="K319" s="543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  <c r="AF319" s="272"/>
    </row>
    <row r="320" spans="2:59">
      <c r="B320" s="517"/>
      <c r="C320" s="518" t="s">
        <v>66</v>
      </c>
      <c r="D320" s="518" t="s">
        <v>57</v>
      </c>
      <c r="E320" s="518"/>
      <c r="F320" s="518"/>
      <c r="G320" s="525">
        <v>0.01</v>
      </c>
      <c r="H320" s="525"/>
      <c r="I320" s="527">
        <v>0.4</v>
      </c>
      <c r="J320" s="594"/>
      <c r="K320" s="519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3"/>
      <c r="AE320" s="273"/>
      <c r="AF320" s="272"/>
    </row>
    <row r="321" spans="2:32">
      <c r="B321" s="534"/>
      <c r="C321" s="535" t="s">
        <v>66</v>
      </c>
      <c r="D321" s="535" t="s">
        <v>59</v>
      </c>
      <c r="E321" s="535"/>
      <c r="F321" s="535"/>
      <c r="G321" s="536">
        <v>0.01</v>
      </c>
      <c r="H321" s="536"/>
      <c r="I321" s="537">
        <v>0.4</v>
      </c>
      <c r="J321" s="595"/>
      <c r="K321" s="538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3"/>
      <c r="AE321" s="273"/>
      <c r="AF321" s="272"/>
    </row>
    <row r="322" spans="2:32">
      <c r="B322" s="539"/>
      <c r="C322" s="540" t="s">
        <v>66</v>
      </c>
      <c r="D322" s="540" t="s">
        <v>55</v>
      </c>
      <c r="E322" s="540"/>
      <c r="F322" s="540"/>
      <c r="G322" s="541">
        <v>0.01</v>
      </c>
      <c r="H322" s="541"/>
      <c r="I322" s="542">
        <v>0.4</v>
      </c>
      <c r="J322" s="602"/>
      <c r="K322" s="543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3"/>
      <c r="AE322" s="273"/>
      <c r="AF322" s="272"/>
    </row>
    <row r="323" spans="2:32">
      <c r="B323" s="517"/>
      <c r="C323" s="518" t="s">
        <v>66</v>
      </c>
      <c r="D323" s="518" t="s">
        <v>57</v>
      </c>
      <c r="E323" s="518"/>
      <c r="F323" s="518"/>
      <c r="G323" s="525">
        <v>0.01</v>
      </c>
      <c r="H323" s="525"/>
      <c r="I323" s="527">
        <v>0.4</v>
      </c>
      <c r="J323" s="594"/>
      <c r="K323" s="519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2"/>
    </row>
    <row r="324" spans="2:32">
      <c r="B324" s="534"/>
      <c r="C324" s="535" t="s">
        <v>66</v>
      </c>
      <c r="D324" s="535" t="s">
        <v>59</v>
      </c>
      <c r="E324" s="535"/>
      <c r="F324" s="535"/>
      <c r="G324" s="536">
        <v>0.01</v>
      </c>
      <c r="H324" s="536"/>
      <c r="I324" s="537">
        <v>0.4</v>
      </c>
      <c r="J324" s="595"/>
      <c r="K324" s="538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  <c r="AF324" s="272"/>
    </row>
    <row r="325" spans="2:32">
      <c r="B325" s="539"/>
      <c r="C325" s="540" t="s">
        <v>66</v>
      </c>
      <c r="D325" s="540" t="s">
        <v>55</v>
      </c>
      <c r="E325" s="540"/>
      <c r="F325" s="540"/>
      <c r="G325" s="541">
        <v>0.01</v>
      </c>
      <c r="H325" s="541"/>
      <c r="I325" s="542">
        <v>0.4</v>
      </c>
      <c r="J325" s="602"/>
      <c r="K325" s="543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  <c r="AF325" s="272"/>
    </row>
    <row r="326" spans="2:32">
      <c r="B326" s="517"/>
      <c r="C326" s="518" t="s">
        <v>66</v>
      </c>
      <c r="D326" s="518" t="s">
        <v>57</v>
      </c>
      <c r="E326" s="518"/>
      <c r="F326" s="518"/>
      <c r="G326" s="525">
        <v>0.01</v>
      </c>
      <c r="H326" s="525"/>
      <c r="I326" s="527">
        <v>0.4</v>
      </c>
      <c r="J326" s="594"/>
      <c r="K326" s="519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3"/>
      <c r="AE326" s="273"/>
      <c r="AF326" s="272"/>
    </row>
    <row r="327" spans="2:32">
      <c r="B327" s="534"/>
      <c r="C327" s="535" t="s">
        <v>66</v>
      </c>
      <c r="D327" s="535" t="s">
        <v>59</v>
      </c>
      <c r="E327" s="535"/>
      <c r="F327" s="535"/>
      <c r="G327" s="536">
        <v>0.01</v>
      </c>
      <c r="H327" s="536"/>
      <c r="I327" s="537">
        <v>0.4</v>
      </c>
      <c r="J327" s="595"/>
      <c r="K327" s="538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3"/>
      <c r="AE327" s="273"/>
      <c r="AF327" s="272"/>
    </row>
    <row r="328" spans="2:32">
      <c r="B328" s="539"/>
      <c r="C328" s="540" t="s">
        <v>66</v>
      </c>
      <c r="D328" s="540" t="s">
        <v>55</v>
      </c>
      <c r="E328" s="540"/>
      <c r="F328" s="540"/>
      <c r="G328" s="541">
        <v>0.01</v>
      </c>
      <c r="H328" s="541"/>
      <c r="I328" s="542">
        <v>0.4</v>
      </c>
      <c r="J328" s="602"/>
      <c r="K328" s="543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3"/>
      <c r="AE328" s="273"/>
      <c r="AF328" s="272"/>
    </row>
    <row r="329" spans="2:32">
      <c r="B329" s="517"/>
      <c r="C329" s="518" t="s">
        <v>66</v>
      </c>
      <c r="D329" s="518" t="s">
        <v>57</v>
      </c>
      <c r="E329" s="518"/>
      <c r="F329" s="518"/>
      <c r="G329" s="525">
        <v>0.01</v>
      </c>
      <c r="H329" s="525"/>
      <c r="I329" s="527">
        <v>0.4</v>
      </c>
      <c r="J329" s="594"/>
      <c r="K329" s="519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2"/>
      <c r="W329" s="272"/>
      <c r="X329" s="273"/>
      <c r="Y329" s="273"/>
      <c r="Z329" s="273"/>
      <c r="AA329" s="273"/>
      <c r="AB329" s="273"/>
      <c r="AC329" s="273"/>
      <c r="AD329" s="273"/>
      <c r="AE329" s="273"/>
      <c r="AF329" s="272"/>
    </row>
    <row r="330" spans="2:32">
      <c r="B330" s="534"/>
      <c r="C330" s="535" t="s">
        <v>66</v>
      </c>
      <c r="D330" s="535" t="s">
        <v>59</v>
      </c>
      <c r="E330" s="535"/>
      <c r="F330" s="535"/>
      <c r="G330" s="536">
        <v>0.01</v>
      </c>
      <c r="H330" s="536"/>
      <c r="I330" s="537">
        <v>0.4</v>
      </c>
      <c r="J330" s="595"/>
      <c r="K330" s="538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2"/>
      <c r="W330" s="272"/>
      <c r="X330" s="273"/>
      <c r="Y330" s="273"/>
      <c r="Z330" s="273"/>
      <c r="AA330" s="273"/>
      <c r="AB330" s="273"/>
      <c r="AC330" s="273"/>
      <c r="AD330" s="273"/>
      <c r="AE330" s="273"/>
      <c r="AF330" s="272"/>
    </row>
    <row r="331" spans="2:32">
      <c r="B331" s="539"/>
      <c r="C331" s="540" t="s">
        <v>66</v>
      </c>
      <c r="D331" s="540" t="s">
        <v>55</v>
      </c>
      <c r="E331" s="540"/>
      <c r="F331" s="540"/>
      <c r="G331" s="541">
        <v>0.01</v>
      </c>
      <c r="H331" s="541"/>
      <c r="I331" s="542">
        <v>0.4</v>
      </c>
      <c r="J331" s="602"/>
      <c r="K331" s="543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2"/>
      <c r="W331" s="272"/>
      <c r="X331" s="273"/>
      <c r="Y331" s="273"/>
      <c r="Z331" s="273"/>
      <c r="AA331" s="273"/>
      <c r="AB331" s="273"/>
      <c r="AC331" s="273"/>
      <c r="AD331" s="273"/>
      <c r="AE331" s="273"/>
      <c r="AF331" s="272"/>
    </row>
    <row r="332" spans="2:32">
      <c r="B332" s="517"/>
      <c r="C332" s="518" t="s">
        <v>66</v>
      </c>
      <c r="D332" s="518" t="s">
        <v>57</v>
      </c>
      <c r="E332" s="518"/>
      <c r="F332" s="518"/>
      <c r="G332" s="525">
        <v>0.01</v>
      </c>
      <c r="H332" s="525"/>
      <c r="I332" s="527">
        <v>0.4</v>
      </c>
      <c r="J332" s="594"/>
      <c r="K332" s="519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2"/>
      <c r="W332" s="272"/>
      <c r="X332" s="273"/>
      <c r="Y332" s="273"/>
      <c r="Z332" s="273"/>
      <c r="AA332" s="273"/>
      <c r="AB332" s="273"/>
      <c r="AC332" s="273"/>
      <c r="AD332" s="273"/>
      <c r="AE332" s="273"/>
      <c r="AF332" s="272"/>
    </row>
    <row r="333" spans="2:32">
      <c r="B333" s="534"/>
      <c r="C333" s="535" t="s">
        <v>66</v>
      </c>
      <c r="D333" s="535" t="s">
        <v>59</v>
      </c>
      <c r="E333" s="535"/>
      <c r="F333" s="535"/>
      <c r="G333" s="536">
        <v>0.01</v>
      </c>
      <c r="H333" s="536"/>
      <c r="I333" s="537">
        <v>0.4</v>
      </c>
      <c r="J333" s="595"/>
      <c r="K333" s="538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2"/>
      <c r="W333" s="272"/>
      <c r="X333" s="273"/>
      <c r="Y333" s="273"/>
      <c r="Z333" s="273"/>
      <c r="AA333" s="273"/>
      <c r="AB333" s="273"/>
      <c r="AC333" s="273"/>
      <c r="AD333" s="273"/>
      <c r="AE333" s="273"/>
      <c r="AF333" s="272"/>
    </row>
    <row r="334" spans="2:32">
      <c r="B334" s="539"/>
      <c r="C334" s="540" t="s">
        <v>66</v>
      </c>
      <c r="D334" s="540" t="s">
        <v>55</v>
      </c>
      <c r="E334" s="540"/>
      <c r="F334" s="540"/>
      <c r="G334" s="541">
        <v>0.01</v>
      </c>
      <c r="H334" s="541"/>
      <c r="I334" s="542">
        <v>0.4</v>
      </c>
      <c r="J334" s="602"/>
      <c r="K334" s="543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2"/>
      <c r="W334" s="272"/>
      <c r="X334" s="273"/>
      <c r="Y334" s="273"/>
      <c r="Z334" s="273"/>
      <c r="AA334" s="273"/>
      <c r="AB334" s="273"/>
      <c r="AC334" s="273"/>
      <c r="AD334" s="273"/>
      <c r="AE334" s="273"/>
      <c r="AF334" s="272"/>
    </row>
    <row r="335" spans="2:32">
      <c r="B335" s="517"/>
      <c r="C335" s="518" t="s">
        <v>66</v>
      </c>
      <c r="D335" s="518" t="s">
        <v>57</v>
      </c>
      <c r="E335" s="518"/>
      <c r="F335" s="518"/>
      <c r="G335" s="525">
        <v>0.01</v>
      </c>
      <c r="H335" s="525"/>
      <c r="I335" s="527">
        <v>0.4</v>
      </c>
      <c r="J335" s="594"/>
      <c r="K335" s="519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2"/>
      <c r="W335" s="272"/>
      <c r="X335" s="273"/>
      <c r="Y335" s="273"/>
      <c r="Z335" s="273"/>
      <c r="AA335" s="273"/>
      <c r="AB335" s="273"/>
      <c r="AC335" s="273"/>
      <c r="AD335" s="273"/>
      <c r="AE335" s="273"/>
      <c r="AF335" s="272"/>
    </row>
    <row r="336" spans="2:32">
      <c r="B336" s="534"/>
      <c r="C336" s="535" t="s">
        <v>66</v>
      </c>
      <c r="D336" s="535" t="s">
        <v>59</v>
      </c>
      <c r="E336" s="535"/>
      <c r="F336" s="535"/>
      <c r="G336" s="536">
        <v>0.01</v>
      </c>
      <c r="H336" s="536"/>
      <c r="I336" s="537">
        <v>0.4</v>
      </c>
      <c r="J336" s="595"/>
      <c r="K336" s="538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2"/>
      <c r="W336" s="272"/>
      <c r="X336" s="273"/>
      <c r="Y336" s="273"/>
      <c r="Z336" s="273"/>
      <c r="AA336" s="273"/>
      <c r="AB336" s="273"/>
      <c r="AC336" s="273"/>
      <c r="AD336" s="273"/>
      <c r="AE336" s="273"/>
      <c r="AF336" s="272"/>
    </row>
    <row r="337" spans="2:31">
      <c r="B337" s="539"/>
      <c r="C337" s="540" t="s">
        <v>66</v>
      </c>
      <c r="D337" s="540" t="s">
        <v>55</v>
      </c>
      <c r="E337" s="540"/>
      <c r="F337" s="540"/>
      <c r="G337" s="541">
        <v>0.01</v>
      </c>
      <c r="H337" s="541"/>
      <c r="I337" s="542">
        <v>0.4</v>
      </c>
      <c r="J337" s="602"/>
      <c r="K337" s="543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2"/>
      <c r="W337" s="272"/>
      <c r="X337" s="273"/>
      <c r="Y337" s="273"/>
      <c r="Z337" s="273"/>
      <c r="AA337" s="273"/>
      <c r="AB337" s="273"/>
      <c r="AC337" s="273"/>
      <c r="AD337" s="273"/>
      <c r="AE337" s="273"/>
    </row>
    <row r="338" spans="2:31">
      <c r="B338" s="517"/>
      <c r="C338" s="518" t="s">
        <v>66</v>
      </c>
      <c r="D338" s="518" t="s">
        <v>57</v>
      </c>
      <c r="E338" s="518"/>
      <c r="F338" s="518"/>
      <c r="G338" s="525">
        <v>0.01</v>
      </c>
      <c r="H338" s="525"/>
      <c r="I338" s="527">
        <v>0.4</v>
      </c>
      <c r="J338" s="594"/>
      <c r="K338" s="519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2"/>
      <c r="W338" s="272"/>
      <c r="X338" s="273"/>
      <c r="Y338" s="273"/>
      <c r="Z338" s="273"/>
      <c r="AA338" s="273"/>
      <c r="AB338" s="273"/>
      <c r="AC338" s="273"/>
      <c r="AD338" s="273"/>
      <c r="AE338" s="273"/>
    </row>
    <row r="339" spans="2:31">
      <c r="B339" s="534"/>
      <c r="C339" s="535" t="s">
        <v>66</v>
      </c>
      <c r="D339" s="535" t="s">
        <v>59</v>
      </c>
      <c r="E339" s="535"/>
      <c r="F339" s="535"/>
      <c r="G339" s="536">
        <v>0.01</v>
      </c>
      <c r="H339" s="536"/>
      <c r="I339" s="537">
        <v>0.4</v>
      </c>
      <c r="J339" s="595"/>
      <c r="K339" s="538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2"/>
      <c r="W339" s="272"/>
      <c r="X339" s="273"/>
      <c r="Y339" s="273"/>
      <c r="Z339" s="273"/>
      <c r="AA339" s="273"/>
      <c r="AB339" s="273"/>
      <c r="AC339" s="273"/>
      <c r="AD339" s="273"/>
      <c r="AE339" s="273"/>
    </row>
    <row r="340" spans="2:31">
      <c r="B340" s="539"/>
      <c r="C340" s="540" t="s">
        <v>66</v>
      </c>
      <c r="D340" s="540" t="s">
        <v>55</v>
      </c>
      <c r="E340" s="540"/>
      <c r="F340" s="540"/>
      <c r="G340" s="541">
        <v>0.01</v>
      </c>
      <c r="H340" s="541"/>
      <c r="I340" s="542">
        <v>0.4</v>
      </c>
      <c r="J340" s="602"/>
      <c r="K340" s="543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2"/>
      <c r="W340" s="272"/>
      <c r="X340" s="273"/>
      <c r="Y340" s="273"/>
      <c r="Z340" s="273"/>
      <c r="AA340" s="273"/>
      <c r="AB340" s="273"/>
      <c r="AC340" s="273"/>
      <c r="AD340" s="273"/>
      <c r="AE340" s="273"/>
    </row>
    <row r="341" spans="2:31">
      <c r="B341" s="517"/>
      <c r="C341" s="518" t="s">
        <v>66</v>
      </c>
      <c r="D341" s="518" t="s">
        <v>57</v>
      </c>
      <c r="E341" s="518"/>
      <c r="F341" s="518"/>
      <c r="G341" s="525">
        <v>0.01</v>
      </c>
      <c r="H341" s="525"/>
      <c r="I341" s="527">
        <v>0.4</v>
      </c>
      <c r="J341" s="594"/>
      <c r="K341" s="519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2"/>
      <c r="W341" s="272"/>
      <c r="X341" s="273"/>
      <c r="Y341" s="273"/>
      <c r="Z341" s="273"/>
      <c r="AA341" s="273"/>
      <c r="AB341" s="273"/>
      <c r="AC341" s="273"/>
      <c r="AD341" s="273"/>
      <c r="AE341" s="273"/>
    </row>
    <row r="342" spans="2:31">
      <c r="B342" s="534"/>
      <c r="C342" s="535" t="s">
        <v>66</v>
      </c>
      <c r="D342" s="535" t="s">
        <v>59</v>
      </c>
      <c r="E342" s="535"/>
      <c r="F342" s="535"/>
      <c r="G342" s="536">
        <v>0.01</v>
      </c>
      <c r="H342" s="536"/>
      <c r="I342" s="537">
        <v>0.4</v>
      </c>
      <c r="J342" s="595"/>
      <c r="K342" s="538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2"/>
      <c r="W342" s="272"/>
      <c r="X342" s="273"/>
      <c r="Y342" s="273"/>
      <c r="Z342" s="273"/>
      <c r="AA342" s="273"/>
      <c r="AB342" s="273"/>
      <c r="AC342" s="273"/>
      <c r="AD342" s="273"/>
      <c r="AE342" s="273"/>
    </row>
    <row r="343" spans="2:31">
      <c r="B343" s="539"/>
      <c r="C343" s="540" t="s">
        <v>66</v>
      </c>
      <c r="D343" s="540" t="s">
        <v>55</v>
      </c>
      <c r="E343" s="540"/>
      <c r="F343" s="540"/>
      <c r="G343" s="541">
        <v>0.01</v>
      </c>
      <c r="H343" s="541"/>
      <c r="I343" s="542">
        <v>0.4</v>
      </c>
      <c r="J343" s="602"/>
      <c r="K343" s="543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2"/>
      <c r="W343" s="272"/>
      <c r="X343" s="273"/>
      <c r="Y343" s="273"/>
      <c r="Z343" s="273"/>
      <c r="AA343" s="273"/>
      <c r="AB343" s="273"/>
      <c r="AC343" s="273"/>
      <c r="AD343" s="273"/>
      <c r="AE343" s="273"/>
    </row>
    <row r="344" spans="2:31">
      <c r="B344" s="517"/>
      <c r="C344" s="518" t="s">
        <v>66</v>
      </c>
      <c r="D344" s="518" t="s">
        <v>57</v>
      </c>
      <c r="E344" s="518"/>
      <c r="F344" s="518"/>
      <c r="G344" s="525">
        <v>0.01</v>
      </c>
      <c r="H344" s="525"/>
      <c r="I344" s="527">
        <v>0.4</v>
      </c>
      <c r="J344" s="594"/>
      <c r="K344" s="519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2"/>
      <c r="W344" s="272"/>
      <c r="X344" s="273"/>
      <c r="Y344" s="273"/>
      <c r="Z344" s="273"/>
      <c r="AA344" s="273"/>
      <c r="AB344" s="273"/>
      <c r="AC344" s="273"/>
      <c r="AD344" s="273"/>
      <c r="AE344" s="273"/>
    </row>
    <row r="345" spans="2:31">
      <c r="B345" s="534"/>
      <c r="C345" s="535" t="s">
        <v>66</v>
      </c>
      <c r="D345" s="535" t="s">
        <v>59</v>
      </c>
      <c r="E345" s="535"/>
      <c r="F345" s="535"/>
      <c r="G345" s="536">
        <v>0.01</v>
      </c>
      <c r="H345" s="536"/>
      <c r="I345" s="537">
        <v>0.4</v>
      </c>
      <c r="J345" s="595"/>
      <c r="K345" s="538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2"/>
      <c r="W345" s="272"/>
      <c r="X345" s="273"/>
      <c r="Y345" s="273"/>
      <c r="Z345" s="273"/>
      <c r="AA345" s="273"/>
      <c r="AB345" s="273"/>
      <c r="AC345" s="273"/>
      <c r="AD345" s="273"/>
      <c r="AE345" s="273"/>
    </row>
    <row r="346" spans="2:31">
      <c r="B346" s="539"/>
      <c r="C346" s="540" t="s">
        <v>66</v>
      </c>
      <c r="D346" s="540" t="s">
        <v>55</v>
      </c>
      <c r="E346" s="540"/>
      <c r="F346" s="540"/>
      <c r="G346" s="541">
        <v>0.01</v>
      </c>
      <c r="H346" s="541"/>
      <c r="I346" s="542">
        <v>0.4</v>
      </c>
      <c r="J346" s="602"/>
      <c r="K346" s="543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2"/>
      <c r="W346" s="272"/>
      <c r="X346" s="273"/>
      <c r="Y346" s="273"/>
      <c r="Z346" s="273"/>
      <c r="AA346" s="273"/>
      <c r="AB346" s="273"/>
      <c r="AC346" s="273"/>
      <c r="AD346" s="273"/>
      <c r="AE346" s="273"/>
    </row>
    <row r="347" spans="2:31">
      <c r="B347" s="517"/>
      <c r="C347" s="518" t="s">
        <v>66</v>
      </c>
      <c r="D347" s="518" t="s">
        <v>57</v>
      </c>
      <c r="E347" s="518"/>
      <c r="F347" s="518"/>
      <c r="G347" s="525">
        <v>0.01</v>
      </c>
      <c r="H347" s="525"/>
      <c r="I347" s="527">
        <v>0.4</v>
      </c>
      <c r="J347" s="594"/>
      <c r="K347" s="519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2"/>
      <c r="W347" s="272"/>
      <c r="X347" s="273"/>
      <c r="Y347" s="273"/>
      <c r="Z347" s="273"/>
      <c r="AA347" s="273"/>
      <c r="AB347" s="273"/>
      <c r="AC347" s="273"/>
      <c r="AD347" s="273"/>
      <c r="AE347" s="273"/>
    </row>
    <row r="348" spans="2:31">
      <c r="B348" s="534"/>
      <c r="C348" s="535" t="s">
        <v>66</v>
      </c>
      <c r="D348" s="535" t="s">
        <v>59</v>
      </c>
      <c r="E348" s="535"/>
      <c r="F348" s="535"/>
      <c r="G348" s="536">
        <v>0.01</v>
      </c>
      <c r="H348" s="536"/>
      <c r="I348" s="537">
        <v>0.4</v>
      </c>
      <c r="J348" s="595"/>
      <c r="K348" s="538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2"/>
      <c r="W348" s="272"/>
      <c r="X348" s="273"/>
      <c r="Y348" s="273"/>
      <c r="Z348" s="273"/>
      <c r="AA348" s="273"/>
      <c r="AB348" s="273"/>
      <c r="AC348" s="273"/>
      <c r="AD348" s="273"/>
      <c r="AE348" s="273"/>
    </row>
    <row r="349" spans="2:31">
      <c r="B349" s="539"/>
      <c r="C349" s="540" t="s">
        <v>66</v>
      </c>
      <c r="D349" s="540" t="s">
        <v>55</v>
      </c>
      <c r="E349" s="540"/>
      <c r="F349" s="540"/>
      <c r="G349" s="541">
        <v>0.01</v>
      </c>
      <c r="H349" s="541"/>
      <c r="I349" s="542">
        <v>0.4</v>
      </c>
      <c r="J349" s="602"/>
      <c r="K349" s="543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2"/>
      <c r="W349" s="272"/>
      <c r="X349" s="273"/>
      <c r="Y349" s="273"/>
      <c r="Z349" s="273"/>
      <c r="AA349" s="273"/>
      <c r="AB349" s="273"/>
      <c r="AC349" s="273"/>
      <c r="AD349" s="273"/>
      <c r="AE349" s="273"/>
    </row>
    <row r="350" spans="2:31">
      <c r="B350" s="517"/>
      <c r="C350" s="518" t="s">
        <v>66</v>
      </c>
      <c r="D350" s="518" t="s">
        <v>57</v>
      </c>
      <c r="E350" s="518"/>
      <c r="F350" s="518"/>
      <c r="G350" s="525">
        <v>0.01</v>
      </c>
      <c r="H350" s="525"/>
      <c r="I350" s="527">
        <v>0.4</v>
      </c>
      <c r="J350" s="594"/>
      <c r="K350" s="519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2"/>
      <c r="W350" s="272"/>
      <c r="X350" s="273"/>
      <c r="Y350" s="273"/>
      <c r="Z350" s="273"/>
      <c r="AA350" s="273"/>
      <c r="AB350" s="273"/>
      <c r="AC350" s="273"/>
      <c r="AD350" s="273"/>
      <c r="AE350" s="273"/>
    </row>
    <row r="351" spans="2:31">
      <c r="B351" s="534"/>
      <c r="C351" s="535" t="s">
        <v>66</v>
      </c>
      <c r="D351" s="535" t="s">
        <v>59</v>
      </c>
      <c r="E351" s="535"/>
      <c r="F351" s="535"/>
      <c r="G351" s="536">
        <v>0.01</v>
      </c>
      <c r="H351" s="536"/>
      <c r="I351" s="537">
        <v>0.4</v>
      </c>
      <c r="J351" s="595"/>
      <c r="K351" s="538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2"/>
      <c r="W351" s="272"/>
      <c r="X351" s="273"/>
      <c r="Y351" s="273"/>
      <c r="Z351" s="273"/>
      <c r="AA351" s="273"/>
      <c r="AB351" s="273"/>
      <c r="AC351" s="273"/>
      <c r="AD351" s="273"/>
      <c r="AE351" s="273"/>
    </row>
    <row r="352" spans="2:31">
      <c r="B352" s="539"/>
      <c r="C352" s="540" t="s">
        <v>66</v>
      </c>
      <c r="D352" s="540" t="s">
        <v>55</v>
      </c>
      <c r="E352" s="540"/>
      <c r="F352" s="540"/>
      <c r="G352" s="541">
        <v>0.01</v>
      </c>
      <c r="H352" s="541"/>
      <c r="I352" s="542">
        <v>0.4</v>
      </c>
      <c r="J352" s="602"/>
      <c r="K352" s="543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2"/>
      <c r="W352" s="272"/>
      <c r="X352" s="273"/>
      <c r="Y352" s="273"/>
      <c r="Z352" s="273"/>
      <c r="AA352" s="273"/>
      <c r="AB352" s="273"/>
      <c r="AC352" s="273"/>
      <c r="AD352" s="273"/>
      <c r="AE352" s="273"/>
    </row>
    <row r="353" spans="2:31">
      <c r="B353" s="517"/>
      <c r="C353" s="518" t="s">
        <v>66</v>
      </c>
      <c r="D353" s="518" t="s">
        <v>57</v>
      </c>
      <c r="E353" s="518"/>
      <c r="F353" s="518"/>
      <c r="G353" s="525">
        <v>0.01</v>
      </c>
      <c r="H353" s="525"/>
      <c r="I353" s="527">
        <v>0.4</v>
      </c>
      <c r="J353" s="594"/>
      <c r="K353" s="519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2"/>
      <c r="W353" s="272"/>
      <c r="X353" s="273"/>
      <c r="Y353" s="273"/>
      <c r="Z353" s="273"/>
      <c r="AA353" s="273"/>
      <c r="AB353" s="273"/>
      <c r="AC353" s="273"/>
      <c r="AD353" s="273"/>
      <c r="AE353" s="273"/>
    </row>
    <row r="354" spans="2:31">
      <c r="B354" s="534"/>
      <c r="C354" s="535" t="s">
        <v>66</v>
      </c>
      <c r="D354" s="535" t="s">
        <v>59</v>
      </c>
      <c r="E354" s="535"/>
      <c r="F354" s="535"/>
      <c r="G354" s="536">
        <v>0.01</v>
      </c>
      <c r="H354" s="536"/>
      <c r="I354" s="537">
        <v>0.4</v>
      </c>
      <c r="J354" s="595"/>
      <c r="K354" s="538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2"/>
      <c r="W354" s="272"/>
      <c r="X354" s="273"/>
      <c r="Y354" s="273"/>
      <c r="Z354" s="273"/>
      <c r="AA354" s="273"/>
      <c r="AB354" s="273"/>
      <c r="AC354" s="273"/>
      <c r="AD354" s="273"/>
      <c r="AE354" s="273"/>
    </row>
    <row r="355" spans="2:31">
      <c r="B355" s="539"/>
      <c r="C355" s="540" t="s">
        <v>66</v>
      </c>
      <c r="D355" s="540" t="s">
        <v>55</v>
      </c>
      <c r="E355" s="540"/>
      <c r="F355" s="540"/>
      <c r="G355" s="541">
        <v>0.01</v>
      </c>
      <c r="H355" s="541"/>
      <c r="I355" s="542">
        <v>0.4</v>
      </c>
      <c r="J355" s="602"/>
      <c r="K355" s="543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2"/>
      <c r="W355" s="272"/>
      <c r="X355" s="273"/>
      <c r="Y355" s="273"/>
      <c r="Z355" s="273"/>
      <c r="AA355" s="273"/>
      <c r="AB355" s="273"/>
      <c r="AC355" s="273"/>
      <c r="AD355" s="273"/>
      <c r="AE355" s="273"/>
    </row>
    <row r="356" spans="2:31">
      <c r="B356" s="517"/>
      <c r="C356" s="518" t="s">
        <v>66</v>
      </c>
      <c r="D356" s="518" t="s">
        <v>57</v>
      </c>
      <c r="E356" s="518"/>
      <c r="F356" s="518"/>
      <c r="G356" s="525">
        <v>0.01</v>
      </c>
      <c r="H356" s="525"/>
      <c r="I356" s="527">
        <v>0.4</v>
      </c>
      <c r="J356" s="594"/>
      <c r="K356" s="519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2"/>
      <c r="W356" s="272"/>
      <c r="X356" s="273"/>
      <c r="Y356" s="273"/>
      <c r="Z356" s="273"/>
      <c r="AA356" s="273"/>
      <c r="AB356" s="273"/>
      <c r="AC356" s="273"/>
      <c r="AD356" s="273"/>
      <c r="AE356" s="273"/>
    </row>
    <row r="357" spans="2:31">
      <c r="B357" s="534"/>
      <c r="C357" s="535" t="s">
        <v>66</v>
      </c>
      <c r="D357" s="535" t="s">
        <v>59</v>
      </c>
      <c r="E357" s="535"/>
      <c r="F357" s="535"/>
      <c r="G357" s="536">
        <v>0.01</v>
      </c>
      <c r="H357" s="536"/>
      <c r="I357" s="537">
        <v>0.4</v>
      </c>
      <c r="J357" s="595"/>
      <c r="K357" s="538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2"/>
      <c r="W357" s="272"/>
      <c r="X357" s="273"/>
      <c r="Y357" s="273"/>
      <c r="Z357" s="273"/>
      <c r="AA357" s="273"/>
      <c r="AB357" s="273"/>
      <c r="AC357" s="273"/>
      <c r="AD357" s="273"/>
      <c r="AE357" s="273"/>
    </row>
    <row r="358" spans="2:31">
      <c r="B358" s="539"/>
      <c r="C358" s="540" t="s">
        <v>66</v>
      </c>
      <c r="D358" s="540" t="s">
        <v>55</v>
      </c>
      <c r="E358" s="540"/>
      <c r="F358" s="540"/>
      <c r="G358" s="541">
        <v>0.01</v>
      </c>
      <c r="H358" s="541"/>
      <c r="I358" s="542">
        <v>0.4</v>
      </c>
      <c r="J358" s="602"/>
      <c r="K358" s="543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2"/>
      <c r="W358" s="272"/>
      <c r="X358" s="273"/>
      <c r="Y358" s="273"/>
      <c r="Z358" s="273"/>
      <c r="AA358" s="273"/>
      <c r="AB358" s="273"/>
      <c r="AC358" s="273"/>
      <c r="AD358" s="273"/>
      <c r="AE358" s="273"/>
    </row>
    <row r="359" spans="2:31">
      <c r="B359" s="517"/>
      <c r="C359" s="518" t="s">
        <v>66</v>
      </c>
      <c r="D359" s="518" t="s">
        <v>57</v>
      </c>
      <c r="E359" s="518"/>
      <c r="F359" s="518"/>
      <c r="G359" s="525">
        <v>0.01</v>
      </c>
      <c r="H359" s="525"/>
      <c r="I359" s="527">
        <v>0.4</v>
      </c>
      <c r="J359" s="594"/>
      <c r="K359" s="519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2"/>
      <c r="W359" s="272"/>
      <c r="X359" s="273"/>
      <c r="Y359" s="273"/>
      <c r="Z359" s="273"/>
      <c r="AA359" s="273"/>
      <c r="AB359" s="273"/>
      <c r="AC359" s="273"/>
      <c r="AD359" s="273"/>
      <c r="AE359" s="273"/>
    </row>
    <row r="360" spans="2:31">
      <c r="B360" s="534"/>
      <c r="C360" s="535" t="s">
        <v>66</v>
      </c>
      <c r="D360" s="535" t="s">
        <v>59</v>
      </c>
      <c r="E360" s="535"/>
      <c r="F360" s="535"/>
      <c r="G360" s="536">
        <v>0.01</v>
      </c>
      <c r="H360" s="536"/>
      <c r="I360" s="537">
        <v>0.4</v>
      </c>
      <c r="J360" s="595"/>
      <c r="K360" s="538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2"/>
      <c r="W360" s="272"/>
      <c r="X360" s="273"/>
      <c r="Y360" s="273"/>
      <c r="Z360" s="273"/>
      <c r="AA360" s="273"/>
      <c r="AB360" s="273"/>
      <c r="AC360" s="273"/>
      <c r="AD360" s="273"/>
      <c r="AE360" s="273"/>
    </row>
    <row r="361" spans="2:31">
      <c r="B361" s="539"/>
      <c r="C361" s="540" t="s">
        <v>66</v>
      </c>
      <c r="D361" s="540" t="s">
        <v>55</v>
      </c>
      <c r="E361" s="540"/>
      <c r="F361" s="540"/>
      <c r="G361" s="541">
        <v>0.01</v>
      </c>
      <c r="H361" s="541"/>
      <c r="I361" s="542">
        <v>0.4</v>
      </c>
      <c r="J361" s="602"/>
      <c r="K361" s="543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2"/>
      <c r="W361" s="272"/>
      <c r="X361" s="273"/>
      <c r="Y361" s="273"/>
      <c r="Z361" s="273"/>
      <c r="AA361" s="273"/>
      <c r="AB361" s="273"/>
      <c r="AC361" s="273"/>
      <c r="AD361" s="273"/>
      <c r="AE361" s="273"/>
    </row>
    <row r="362" spans="2:31">
      <c r="B362" s="517"/>
      <c r="C362" s="518" t="s">
        <v>66</v>
      </c>
      <c r="D362" s="518" t="s">
        <v>57</v>
      </c>
      <c r="E362" s="518"/>
      <c r="F362" s="518"/>
      <c r="G362" s="525">
        <v>0.01</v>
      </c>
      <c r="H362" s="525"/>
      <c r="I362" s="527">
        <v>0.4</v>
      </c>
      <c r="J362" s="594"/>
      <c r="K362" s="519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2"/>
      <c r="W362" s="272"/>
      <c r="X362" s="273"/>
      <c r="Y362" s="273"/>
      <c r="Z362" s="273"/>
      <c r="AA362" s="273"/>
      <c r="AB362" s="273"/>
      <c r="AC362" s="273"/>
      <c r="AD362" s="273"/>
      <c r="AE362" s="273"/>
    </row>
    <row r="363" spans="2:31">
      <c r="B363" s="534"/>
      <c r="C363" s="535" t="s">
        <v>66</v>
      </c>
      <c r="D363" s="535" t="s">
        <v>59</v>
      </c>
      <c r="E363" s="535"/>
      <c r="F363" s="535"/>
      <c r="G363" s="536">
        <v>0.01</v>
      </c>
      <c r="H363" s="536"/>
      <c r="I363" s="537">
        <v>0.4</v>
      </c>
      <c r="J363" s="595"/>
      <c r="K363" s="538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2"/>
      <c r="W363" s="272"/>
      <c r="X363" s="273"/>
      <c r="Y363" s="273"/>
      <c r="Z363" s="273"/>
      <c r="AA363" s="273"/>
      <c r="AB363" s="273"/>
      <c r="AC363" s="273"/>
      <c r="AD363" s="273"/>
      <c r="AE363" s="273"/>
    </row>
    <row r="364" spans="2:31">
      <c r="B364" s="539"/>
      <c r="C364" s="540" t="s">
        <v>66</v>
      </c>
      <c r="D364" s="540" t="s">
        <v>55</v>
      </c>
      <c r="E364" s="540"/>
      <c r="F364" s="540"/>
      <c r="G364" s="541">
        <v>0.01</v>
      </c>
      <c r="H364" s="541"/>
      <c r="I364" s="542">
        <v>0.4</v>
      </c>
      <c r="J364" s="602"/>
      <c r="K364" s="543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2:31">
      <c r="B365" s="517"/>
      <c r="C365" s="518" t="s">
        <v>66</v>
      </c>
      <c r="D365" s="518" t="s">
        <v>57</v>
      </c>
      <c r="E365" s="518"/>
      <c r="F365" s="518"/>
      <c r="G365" s="525">
        <v>0.01</v>
      </c>
      <c r="H365" s="525"/>
      <c r="I365" s="527">
        <v>0.4</v>
      </c>
      <c r="J365" s="594"/>
      <c r="K365" s="519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2:31">
      <c r="B366" s="534"/>
      <c r="C366" s="535" t="s">
        <v>66</v>
      </c>
      <c r="D366" s="535" t="s">
        <v>59</v>
      </c>
      <c r="E366" s="535"/>
      <c r="F366" s="535"/>
      <c r="G366" s="536">
        <v>0.01</v>
      </c>
      <c r="H366" s="536"/>
      <c r="I366" s="537">
        <v>0.4</v>
      </c>
      <c r="J366" s="595"/>
      <c r="K366" s="538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2:31">
      <c r="B367" s="539"/>
      <c r="C367" s="540" t="s">
        <v>66</v>
      </c>
      <c r="D367" s="540" t="s">
        <v>55</v>
      </c>
      <c r="E367" s="540"/>
      <c r="F367" s="540"/>
      <c r="G367" s="541">
        <v>0.01</v>
      </c>
      <c r="H367" s="541"/>
      <c r="I367" s="542">
        <v>0.4</v>
      </c>
      <c r="J367" s="602"/>
      <c r="K367" s="543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2:31">
      <c r="B368" s="517"/>
      <c r="C368" s="518" t="s">
        <v>66</v>
      </c>
      <c r="D368" s="518" t="s">
        <v>57</v>
      </c>
      <c r="E368" s="518"/>
      <c r="F368" s="518"/>
      <c r="G368" s="525">
        <v>0.01</v>
      </c>
      <c r="H368" s="525"/>
      <c r="I368" s="527">
        <v>0.4</v>
      </c>
      <c r="J368" s="594"/>
      <c r="K368" s="519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2:31">
      <c r="B369" s="534"/>
      <c r="C369" s="535" t="s">
        <v>66</v>
      </c>
      <c r="D369" s="535" t="s">
        <v>59</v>
      </c>
      <c r="E369" s="535"/>
      <c r="F369" s="535"/>
      <c r="G369" s="536">
        <v>0.01</v>
      </c>
      <c r="H369" s="536"/>
      <c r="I369" s="537">
        <v>0.4</v>
      </c>
      <c r="J369" s="595"/>
      <c r="K369" s="538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2:31">
      <c r="B370" s="539"/>
      <c r="C370" s="540" t="s">
        <v>66</v>
      </c>
      <c r="D370" s="540" t="s">
        <v>55</v>
      </c>
      <c r="E370" s="540"/>
      <c r="F370" s="540"/>
      <c r="G370" s="541">
        <v>0.01</v>
      </c>
      <c r="H370" s="541"/>
      <c r="I370" s="542">
        <v>0.4</v>
      </c>
      <c r="J370" s="602"/>
      <c r="K370" s="543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2:31">
      <c r="B371" s="517"/>
      <c r="C371" s="518" t="s">
        <v>66</v>
      </c>
      <c r="D371" s="518" t="s">
        <v>57</v>
      </c>
      <c r="E371" s="518"/>
      <c r="F371" s="518"/>
      <c r="G371" s="525">
        <v>0.01</v>
      </c>
      <c r="H371" s="525"/>
      <c r="I371" s="527">
        <v>0.4</v>
      </c>
      <c r="J371" s="594"/>
      <c r="K371" s="519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2:31">
      <c r="B372" s="534"/>
      <c r="C372" s="535" t="s">
        <v>66</v>
      </c>
      <c r="D372" s="535" t="s">
        <v>59</v>
      </c>
      <c r="E372" s="535"/>
      <c r="F372" s="535"/>
      <c r="G372" s="536">
        <v>0.01</v>
      </c>
      <c r="H372" s="536"/>
      <c r="I372" s="537">
        <v>0.4</v>
      </c>
      <c r="J372" s="595"/>
      <c r="K372" s="538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2:31">
      <c r="B373" s="539"/>
      <c r="C373" s="540" t="s">
        <v>66</v>
      </c>
      <c r="D373" s="540" t="s">
        <v>55</v>
      </c>
      <c r="E373" s="540"/>
      <c r="F373" s="540"/>
      <c r="G373" s="541">
        <v>0.01</v>
      </c>
      <c r="H373" s="541"/>
      <c r="I373" s="542">
        <v>0.4</v>
      </c>
      <c r="J373" s="602"/>
      <c r="K373" s="543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2:31">
      <c r="B374" s="517"/>
      <c r="C374" s="518" t="s">
        <v>66</v>
      </c>
      <c r="D374" s="518" t="s">
        <v>57</v>
      </c>
      <c r="E374" s="518"/>
      <c r="F374" s="518"/>
      <c r="G374" s="525">
        <v>0.01</v>
      </c>
      <c r="H374" s="525"/>
      <c r="I374" s="527">
        <v>0.4</v>
      </c>
      <c r="J374" s="594"/>
      <c r="K374" s="519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2:31">
      <c r="B375" s="534"/>
      <c r="C375" s="535" t="s">
        <v>66</v>
      </c>
      <c r="D375" s="535" t="s">
        <v>59</v>
      </c>
      <c r="E375" s="535"/>
      <c r="F375" s="535"/>
      <c r="G375" s="536">
        <v>0.01</v>
      </c>
      <c r="H375" s="536"/>
      <c r="I375" s="537">
        <v>0.4</v>
      </c>
      <c r="J375" s="595"/>
      <c r="K375" s="538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2:31">
      <c r="B376" s="539"/>
      <c r="C376" s="540" t="s">
        <v>66</v>
      </c>
      <c r="D376" s="540" t="s">
        <v>55</v>
      </c>
      <c r="E376" s="540"/>
      <c r="F376" s="540"/>
      <c r="G376" s="541">
        <v>0.01</v>
      </c>
      <c r="H376" s="541"/>
      <c r="I376" s="542">
        <v>0.4</v>
      </c>
      <c r="J376" s="602"/>
      <c r="K376" s="543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2:31">
      <c r="B377" s="517"/>
      <c r="C377" s="518" t="s">
        <v>66</v>
      </c>
      <c r="D377" s="518" t="s">
        <v>57</v>
      </c>
      <c r="E377" s="518"/>
      <c r="F377" s="518"/>
      <c r="G377" s="525">
        <v>0.01</v>
      </c>
      <c r="H377" s="525"/>
      <c r="I377" s="527">
        <v>0.4</v>
      </c>
      <c r="J377" s="594"/>
      <c r="K377" s="519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2:31">
      <c r="B378" s="534"/>
      <c r="C378" s="535" t="s">
        <v>66</v>
      </c>
      <c r="D378" s="535" t="s">
        <v>59</v>
      </c>
      <c r="E378" s="535"/>
      <c r="F378" s="535"/>
      <c r="G378" s="536">
        <v>0.01</v>
      </c>
      <c r="H378" s="536"/>
      <c r="I378" s="537">
        <v>0.4</v>
      </c>
      <c r="J378" s="595"/>
      <c r="K378" s="538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2:31">
      <c r="B379" s="539"/>
      <c r="C379" s="540" t="s">
        <v>66</v>
      </c>
      <c r="D379" s="540" t="s">
        <v>55</v>
      </c>
      <c r="E379" s="540"/>
      <c r="F379" s="540"/>
      <c r="G379" s="541">
        <v>0.01</v>
      </c>
      <c r="H379" s="541"/>
      <c r="I379" s="542">
        <v>0.4</v>
      </c>
      <c r="J379" s="602"/>
      <c r="K379" s="543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2:31">
      <c r="B380" s="517"/>
      <c r="C380" s="518" t="s">
        <v>66</v>
      </c>
      <c r="D380" s="518" t="s">
        <v>57</v>
      </c>
      <c r="E380" s="518"/>
      <c r="F380" s="518"/>
      <c r="G380" s="525">
        <v>0.01</v>
      </c>
      <c r="H380" s="525"/>
      <c r="I380" s="527">
        <v>0.4</v>
      </c>
      <c r="J380" s="594"/>
      <c r="K380" s="519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2:31">
      <c r="B381" s="534"/>
      <c r="C381" s="535" t="s">
        <v>66</v>
      </c>
      <c r="D381" s="535" t="s">
        <v>59</v>
      </c>
      <c r="E381" s="535"/>
      <c r="F381" s="535"/>
      <c r="G381" s="536">
        <v>0.01</v>
      </c>
      <c r="H381" s="536"/>
      <c r="I381" s="537">
        <v>0.4</v>
      </c>
      <c r="J381" s="595"/>
      <c r="K381" s="538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2:31">
      <c r="B382" s="539"/>
      <c r="C382" s="540" t="s">
        <v>66</v>
      </c>
      <c r="D382" s="540" t="s">
        <v>55</v>
      </c>
      <c r="E382" s="540"/>
      <c r="F382" s="540"/>
      <c r="G382" s="541">
        <v>0.01</v>
      </c>
      <c r="H382" s="541"/>
      <c r="I382" s="542">
        <v>0.4</v>
      </c>
      <c r="J382" s="602"/>
      <c r="K382" s="543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2:31">
      <c r="B383" s="517"/>
      <c r="C383" s="518" t="s">
        <v>66</v>
      </c>
      <c r="D383" s="518" t="s">
        <v>57</v>
      </c>
      <c r="E383" s="518"/>
      <c r="F383" s="518"/>
      <c r="G383" s="525">
        <v>0.01</v>
      </c>
      <c r="H383" s="525"/>
      <c r="I383" s="527">
        <v>0.4</v>
      </c>
      <c r="J383" s="594"/>
      <c r="K383" s="519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2:31">
      <c r="B384" s="534"/>
      <c r="C384" s="535" t="s">
        <v>66</v>
      </c>
      <c r="D384" s="535" t="s">
        <v>59</v>
      </c>
      <c r="E384" s="535"/>
      <c r="F384" s="535"/>
      <c r="G384" s="536">
        <v>0.01</v>
      </c>
      <c r="H384" s="536"/>
      <c r="I384" s="537">
        <v>0.4</v>
      </c>
      <c r="J384" s="595"/>
      <c r="K384" s="538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2:31">
      <c r="B385" s="539"/>
      <c r="C385" s="540" t="s">
        <v>66</v>
      </c>
      <c r="D385" s="540" t="s">
        <v>55</v>
      </c>
      <c r="E385" s="540"/>
      <c r="F385" s="540"/>
      <c r="G385" s="541">
        <v>0.01</v>
      </c>
      <c r="H385" s="541"/>
      <c r="I385" s="542">
        <v>0.4</v>
      </c>
      <c r="J385" s="602"/>
      <c r="K385" s="543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2:31">
      <c r="B386" s="517"/>
      <c r="C386" s="518" t="s">
        <v>66</v>
      </c>
      <c r="D386" s="518" t="s">
        <v>57</v>
      </c>
      <c r="E386" s="518"/>
      <c r="F386" s="518"/>
      <c r="G386" s="525">
        <v>0.01</v>
      </c>
      <c r="H386" s="525"/>
      <c r="I386" s="527">
        <v>0.4</v>
      </c>
      <c r="J386" s="594"/>
      <c r="K386" s="519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2:31">
      <c r="B387" s="534"/>
      <c r="C387" s="535" t="s">
        <v>66</v>
      </c>
      <c r="D387" s="535" t="s">
        <v>59</v>
      </c>
      <c r="E387" s="535"/>
      <c r="F387" s="535"/>
      <c r="G387" s="536">
        <v>0.01</v>
      </c>
      <c r="H387" s="536"/>
      <c r="I387" s="537">
        <v>0.4</v>
      </c>
      <c r="J387" s="595"/>
      <c r="K387" s="538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2:31">
      <c r="B388" s="539"/>
      <c r="C388" s="540" t="s">
        <v>66</v>
      </c>
      <c r="D388" s="540" t="s">
        <v>55</v>
      </c>
      <c r="E388" s="540"/>
      <c r="F388" s="540"/>
      <c r="G388" s="541">
        <v>0.01</v>
      </c>
      <c r="H388" s="541"/>
      <c r="I388" s="542">
        <v>0.4</v>
      </c>
      <c r="J388" s="602"/>
      <c r="K388" s="543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2:31">
      <c r="B389" s="517"/>
      <c r="C389" s="518" t="s">
        <v>66</v>
      </c>
      <c r="D389" s="518" t="s">
        <v>57</v>
      </c>
      <c r="E389" s="518"/>
      <c r="F389" s="518"/>
      <c r="G389" s="525">
        <v>0.01</v>
      </c>
      <c r="H389" s="525"/>
      <c r="I389" s="527">
        <v>0.4</v>
      </c>
      <c r="J389" s="594"/>
      <c r="K389" s="519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2:31">
      <c r="B390" s="534"/>
      <c r="C390" s="535" t="s">
        <v>66</v>
      </c>
      <c r="D390" s="535" t="s">
        <v>59</v>
      </c>
      <c r="E390" s="535"/>
      <c r="F390" s="535"/>
      <c r="G390" s="536">
        <v>0.01</v>
      </c>
      <c r="H390" s="536"/>
      <c r="I390" s="537">
        <v>0.4</v>
      </c>
      <c r="J390" s="595"/>
      <c r="K390" s="538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2:31">
      <c r="B391" s="539"/>
      <c r="C391" s="540" t="s">
        <v>66</v>
      </c>
      <c r="D391" s="540" t="s">
        <v>55</v>
      </c>
      <c r="E391" s="540"/>
      <c r="F391" s="540"/>
      <c r="G391" s="541">
        <v>0.01</v>
      </c>
      <c r="H391" s="541"/>
      <c r="I391" s="542">
        <v>0.4</v>
      </c>
      <c r="J391" s="602"/>
      <c r="K391" s="543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2:31">
      <c r="B392" s="517"/>
      <c r="C392" s="518" t="s">
        <v>66</v>
      </c>
      <c r="D392" s="518" t="s">
        <v>57</v>
      </c>
      <c r="E392" s="518"/>
      <c r="F392" s="518"/>
      <c r="G392" s="525">
        <v>0.01</v>
      </c>
      <c r="H392" s="525"/>
      <c r="I392" s="527">
        <v>0.4</v>
      </c>
      <c r="J392" s="594"/>
      <c r="K392" s="519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2:31">
      <c r="B393" s="534"/>
      <c r="C393" s="535" t="s">
        <v>66</v>
      </c>
      <c r="D393" s="535" t="s">
        <v>59</v>
      </c>
      <c r="E393" s="535"/>
      <c r="F393" s="535"/>
      <c r="G393" s="536">
        <v>0.01</v>
      </c>
      <c r="H393" s="536"/>
      <c r="I393" s="537">
        <v>0.4</v>
      </c>
      <c r="J393" s="595"/>
      <c r="K393" s="538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2:31">
      <c r="B394" s="539"/>
      <c r="C394" s="540" t="s">
        <v>66</v>
      </c>
      <c r="D394" s="540" t="s">
        <v>55</v>
      </c>
      <c r="E394" s="540"/>
      <c r="F394" s="540"/>
      <c r="G394" s="541">
        <v>0.01</v>
      </c>
      <c r="H394" s="541"/>
      <c r="I394" s="542">
        <v>0.4</v>
      </c>
      <c r="J394" s="602"/>
      <c r="K394" s="543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2:31">
      <c r="B395" s="517"/>
      <c r="C395" s="518" t="s">
        <v>66</v>
      </c>
      <c r="D395" s="518" t="s">
        <v>57</v>
      </c>
      <c r="E395" s="518"/>
      <c r="F395" s="518"/>
      <c r="G395" s="525">
        <v>0.01</v>
      </c>
      <c r="H395" s="525"/>
      <c r="I395" s="527">
        <v>0.4</v>
      </c>
      <c r="J395" s="594"/>
      <c r="K395" s="519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2:31">
      <c r="B396" s="534"/>
      <c r="C396" s="535" t="s">
        <v>66</v>
      </c>
      <c r="D396" s="535" t="s">
        <v>59</v>
      </c>
      <c r="E396" s="535"/>
      <c r="F396" s="535"/>
      <c r="G396" s="536">
        <v>0.01</v>
      </c>
      <c r="H396" s="536"/>
      <c r="I396" s="537">
        <v>0.4</v>
      </c>
      <c r="J396" s="595"/>
      <c r="K396" s="538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2:31">
      <c r="B397" s="517"/>
      <c r="C397" s="518" t="s">
        <v>66</v>
      </c>
      <c r="D397" s="518" t="s">
        <v>55</v>
      </c>
      <c r="E397" s="518"/>
      <c r="F397" s="518"/>
      <c r="G397" s="525">
        <v>0.01</v>
      </c>
      <c r="H397" s="525"/>
      <c r="I397" s="527">
        <v>0.4</v>
      </c>
      <c r="J397" s="594"/>
      <c r="K397" s="519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2:31">
      <c r="B398" s="517"/>
      <c r="C398" s="518" t="s">
        <v>66</v>
      </c>
      <c r="D398" s="518" t="s">
        <v>57</v>
      </c>
      <c r="E398" s="518"/>
      <c r="F398" s="518"/>
      <c r="G398" s="525">
        <v>0.01</v>
      </c>
      <c r="H398" s="525"/>
      <c r="I398" s="527">
        <v>0.4</v>
      </c>
      <c r="J398" s="594"/>
      <c r="K398" s="519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2:31" ht="12" thickBot="1">
      <c r="B399" s="520"/>
      <c r="C399" s="521" t="s">
        <v>66</v>
      </c>
      <c r="D399" s="521" t="s">
        <v>59</v>
      </c>
      <c r="E399" s="521"/>
      <c r="F399" s="521"/>
      <c r="G399" s="526">
        <v>0.01</v>
      </c>
      <c r="H399" s="526"/>
      <c r="I399" s="528">
        <v>0.4</v>
      </c>
      <c r="J399" s="603"/>
      <c r="K399" s="522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2:31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2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  <c r="AF753" s="272"/>
    </row>
    <row r="754" spans="4:32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  <c r="AF754" s="272"/>
    </row>
    <row r="755" spans="4:32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  <c r="AF755" s="272"/>
    </row>
    <row r="756" spans="4:32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  <c r="AF756" s="272"/>
    </row>
    <row r="757" spans="4:32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  <c r="AF757" s="272"/>
    </row>
    <row r="758" spans="4:32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  <c r="AF758" s="272"/>
    </row>
    <row r="759" spans="4:32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  <c r="AF759" s="272"/>
    </row>
    <row r="760" spans="4:32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  <c r="AF760" s="272"/>
    </row>
    <row r="761" spans="4:32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  <c r="AF761" s="272"/>
    </row>
    <row r="762" spans="4:32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  <c r="AF762" s="272"/>
    </row>
    <row r="763" spans="4:32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  <c r="AF763" s="272"/>
    </row>
    <row r="764" spans="4:32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  <c r="AF764" s="272"/>
    </row>
    <row r="765" spans="4:32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  <c r="AF765" s="272"/>
    </row>
    <row r="766" spans="4:32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  <c r="AF766" s="272"/>
    </row>
    <row r="767" spans="4:32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  <c r="AF767" s="272"/>
    </row>
    <row r="768" spans="4:32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  <c r="AF768" s="272"/>
    </row>
    <row r="769" spans="16:32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  <c r="AF769" s="272"/>
    </row>
    <row r="770" spans="16:32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  <c r="AF770" s="272"/>
    </row>
    <row r="771" spans="16:32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  <c r="AF771" s="272"/>
    </row>
    <row r="772" spans="16:32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  <c r="AF772" s="272"/>
    </row>
    <row r="773" spans="16:32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  <c r="AF773" s="272"/>
    </row>
    <row r="774" spans="16:32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  <c r="AF774" s="272"/>
    </row>
    <row r="775" spans="16:32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2"/>
    </row>
    <row r="776" spans="16:32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  <c r="AF776" s="272"/>
    </row>
    <row r="777" spans="16:32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  <c r="AF777" s="272"/>
    </row>
    <row r="778" spans="16:32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  <c r="AF778" s="272"/>
    </row>
    <row r="779" spans="16:32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  <c r="AF779" s="272"/>
    </row>
    <row r="780" spans="16:32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  <c r="AF780" s="272"/>
    </row>
    <row r="781" spans="16:32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  <c r="AF781" s="272"/>
    </row>
    <row r="782" spans="16:32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  <c r="AF782" s="272"/>
    </row>
    <row r="783" spans="16:32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  <c r="AF783" s="272"/>
    </row>
    <row r="784" spans="16:32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  <c r="AF784" s="272"/>
    </row>
    <row r="785" spans="16:32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  <c r="AF785" s="272"/>
    </row>
    <row r="786" spans="16:32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  <c r="AF786" s="272"/>
    </row>
    <row r="787" spans="16:32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  <c r="AF787" s="272"/>
    </row>
    <row r="788" spans="16:32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  <c r="AF788" s="272"/>
    </row>
    <row r="789" spans="16:32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  <c r="AF789" s="272"/>
    </row>
    <row r="790" spans="16:32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  <c r="AF790" s="272"/>
    </row>
    <row r="791" spans="16:32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  <c r="AF791" s="272"/>
    </row>
    <row r="792" spans="16:32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  <c r="AF792" s="272"/>
    </row>
    <row r="793" spans="16:32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  <c r="AF793" s="272"/>
    </row>
    <row r="794" spans="16:32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  <c r="AF794" s="272"/>
    </row>
    <row r="795" spans="16:32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  <c r="AF795" s="272"/>
    </row>
    <row r="796" spans="16:32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  <c r="AF796" s="272"/>
    </row>
    <row r="797" spans="16:32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  <c r="AF797" s="272"/>
    </row>
    <row r="798" spans="16:32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  <c r="AF798" s="272"/>
    </row>
    <row r="799" spans="16:32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  <c r="AF799" s="272"/>
    </row>
    <row r="800" spans="16:32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  <c r="AF800" s="272"/>
    </row>
    <row r="801" spans="16:32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  <c r="AF801" s="272"/>
    </row>
    <row r="802" spans="16:32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  <c r="AF802" s="272"/>
    </row>
    <row r="803" spans="16:32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  <c r="AF803" s="272"/>
    </row>
    <row r="804" spans="16:32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  <c r="AF804" s="272"/>
    </row>
    <row r="805" spans="16:32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  <c r="AF805" s="272"/>
    </row>
    <row r="806" spans="16:32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  <c r="AF806" s="272"/>
    </row>
    <row r="807" spans="16:32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  <c r="AF807" s="272"/>
    </row>
    <row r="808" spans="16:32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  <c r="AF808" s="272"/>
    </row>
  </sheetData>
  <autoFilter ref="B24:K399" xr:uid="{BAB8E048-3245-4E24-912E-3BBF0790E685}"/>
  <dataValidations disablePrompts="1" count="1">
    <dataValidation type="list" allowBlank="1" showInputMessage="1" showErrorMessage="1" sqref="Y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29</xdr:col>
                    <xdr:colOff>342900</xdr:colOff>
                    <xdr:row>5</xdr:row>
                    <xdr:rowOff>28575</xdr:rowOff>
                  </from>
                  <to>
                    <xdr:col>30</xdr:col>
                    <xdr:colOff>352425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2" customWidth="1"/>
    <col min="2" max="2" width="17" style="272" bestFit="1" customWidth="1"/>
    <col min="3" max="3" width="26.5703125" style="272" bestFit="1" customWidth="1"/>
    <col min="4" max="4" width="10.5703125" style="273" customWidth="1"/>
    <col min="5" max="14" width="9.85546875" style="273" customWidth="1"/>
    <col min="15" max="31" width="9.140625" style="79"/>
    <col min="32" max="16384" width="9.14062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2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>
      <c r="B6" s="276" t="s">
        <v>475</v>
      </c>
      <c r="C6" s="277">
        <v>5000</v>
      </c>
      <c r="D6" s="272"/>
      <c r="E6" s="676"/>
      <c r="F6" s="676"/>
      <c r="G6" s="676"/>
      <c r="H6" s="676"/>
      <c r="I6" s="676"/>
      <c r="J6" s="676"/>
      <c r="K6" s="676"/>
      <c r="L6" s="676"/>
      <c r="M6" s="676"/>
      <c r="N6" s="676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2" thickBot="1">
      <c r="B7" s="278" t="s">
        <v>476</v>
      </c>
      <c r="C7" s="279" t="b">
        <v>0</v>
      </c>
      <c r="D7" s="272"/>
      <c r="E7" s="272"/>
      <c r="H7" s="280"/>
      <c r="O7" s="676"/>
      <c r="P7" s="676"/>
      <c r="Q7" s="676"/>
      <c r="R7" s="676"/>
      <c r="S7" s="676"/>
      <c r="T7" s="676"/>
      <c r="U7" s="676"/>
      <c r="V7" s="676"/>
      <c r="W7" s="676"/>
      <c r="X7" s="676"/>
      <c r="Y7" s="272"/>
      <c r="Z7" s="272"/>
      <c r="AA7" s="272"/>
      <c r="AB7" s="272"/>
      <c r="AC7" s="272"/>
      <c r="AD7" s="272"/>
      <c r="AE7" s="272"/>
    </row>
    <row r="8" spans="1:228" ht="12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2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2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2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2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2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2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2" thickBot="1">
      <c r="B19" s="286" t="s">
        <v>480</v>
      </c>
      <c r="C19" s="298"/>
      <c r="D19" s="299"/>
      <c r="E19" s="677" t="s">
        <v>481</v>
      </c>
      <c r="F19" s="677"/>
      <c r="G19" s="677"/>
      <c r="H19" s="677"/>
      <c r="I19" s="677"/>
      <c r="J19" s="677"/>
      <c r="K19" s="677"/>
      <c r="L19" s="677"/>
      <c r="M19" s="677"/>
      <c r="N19" s="678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2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2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2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2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2" thickBot="1">
      <c r="B25" s="274" t="s">
        <v>485</v>
      </c>
      <c r="C25" s="329">
        <v>8.3836702003960026E-2</v>
      </c>
      <c r="D25" s="330"/>
      <c r="E25" s="675" t="s">
        <v>486</v>
      </c>
      <c r="F25" s="675"/>
      <c r="G25" s="675"/>
      <c r="H25" s="675"/>
      <c r="I25" s="675"/>
      <c r="J25" s="675"/>
      <c r="K25" s="675"/>
      <c r="L25" s="675"/>
      <c r="M25" s="675"/>
      <c r="N25" s="674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2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2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2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2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2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73" t="s">
        <v>480</v>
      </c>
      <c r="D37" s="674"/>
      <c r="E37" s="675" t="s">
        <v>489</v>
      </c>
      <c r="F37" s="675"/>
      <c r="G37" s="675"/>
      <c r="H37" s="675"/>
      <c r="I37" s="675"/>
      <c r="J37" s="675"/>
      <c r="K37" s="675"/>
      <c r="L37" s="675"/>
      <c r="M37" s="675"/>
      <c r="N37" s="674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2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2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2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76"/>
      <c r="Q41" s="676"/>
      <c r="R41" s="676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2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2" thickBot="1">
      <c r="C44" s="323"/>
      <c r="D44" s="373"/>
      <c r="E44" s="673" t="s">
        <v>493</v>
      </c>
      <c r="F44" s="675"/>
      <c r="G44" s="675"/>
      <c r="H44" s="675"/>
      <c r="I44" s="675"/>
      <c r="J44" s="675"/>
      <c r="K44" s="675"/>
      <c r="L44" s="675"/>
      <c r="M44" s="675"/>
      <c r="N44" s="674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2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.7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28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Chart2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2024-09-25T14:15:42Z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