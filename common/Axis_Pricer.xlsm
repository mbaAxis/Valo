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DFD4783C-1DFC-4F1A-8B92-85E137D7407B}" xr6:coauthVersionLast="47" xr6:coauthVersionMax="47" xr10:uidLastSave="{00000000-0000-0000-0000-000000000000}"/>
  <bookViews>
    <workbookView xWindow="-120" yWindow="-120" windowWidth="29040" windowHeight="16440" activeTab="8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14" i="16" l="1" a="1"/>
  <c r="AQ14" i="1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E19" i="11" a="1"/>
  <c r="E19" i="11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BA14" i="16" a="1"/>
  <c r="BA14" i="16"/>
  <c r="C18" i="4" a="1"/>
  <c r="C18" i="4"/>
  <c r="F15" i="8" a="1"/>
  <c r="F15" i="8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9" i="8"/>
  <c r="F10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AG11" i="16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AF109" i="16"/>
  <c r="AF110" i="16"/>
  <c r="AF111" i="16"/>
  <c r="AF112" i="16"/>
  <c r="AF113" i="16"/>
  <c r="AF114" i="16"/>
  <c r="AF115" i="16"/>
  <c r="AF116" i="16"/>
  <c r="AF117" i="16"/>
  <c r="AF118" i="16"/>
  <c r="AF119" i="16"/>
  <c r="AF120" i="16"/>
  <c r="AF121" i="16"/>
  <c r="AF122" i="16"/>
  <c r="AF123" i="16"/>
  <c r="AF124" i="16"/>
  <c r="AF125" i="16"/>
  <c r="AF126" i="16"/>
  <c r="AF127" i="16"/>
  <c r="AF128" i="16"/>
  <c r="AF129" i="16"/>
  <c r="AF130" i="16"/>
  <c r="AF131" i="16"/>
  <c r="AF132" i="16"/>
  <c r="AF133" i="16"/>
  <c r="AF134" i="16"/>
  <c r="AF135" i="16"/>
  <c r="AF136" i="16"/>
  <c r="AF137" i="16"/>
  <c r="AF138" i="16"/>
  <c r="AG12" i="16"/>
  <c r="AG10" i="16"/>
  <c r="Y109" i="16"/>
  <c r="AC109" i="16"/>
  <c r="Y110" i="16"/>
  <c r="AC110" i="16"/>
  <c r="Y111" i="16"/>
  <c r="AC111" i="16"/>
  <c r="Y112" i="16"/>
  <c r="AC112" i="16"/>
  <c r="Y113" i="16"/>
  <c r="AC113" i="16"/>
  <c r="Y114" i="16"/>
  <c r="AC114" i="16"/>
  <c r="Y115" i="16"/>
  <c r="AC115" i="16"/>
  <c r="Y116" i="16"/>
  <c r="AC116" i="16"/>
  <c r="Y117" i="16"/>
  <c r="AC117" i="16"/>
  <c r="Y118" i="16"/>
  <c r="AC118" i="16"/>
  <c r="Y119" i="16"/>
  <c r="AC119" i="16"/>
  <c r="Y120" i="16"/>
  <c r="AC120" i="16"/>
  <c r="Y121" i="16"/>
  <c r="AC121" i="16"/>
  <c r="Y122" i="16"/>
  <c r="AC122" i="16"/>
  <c r="Y123" i="16"/>
  <c r="AC123" i="16"/>
  <c r="Y124" i="16"/>
  <c r="AC124" i="16"/>
  <c r="Y125" i="16"/>
  <c r="AC125" i="16"/>
  <c r="Y126" i="16"/>
  <c r="AC126" i="16"/>
  <c r="Y127" i="16"/>
  <c r="AC127" i="16"/>
  <c r="Y128" i="16"/>
  <c r="AC128" i="16"/>
  <c r="Y129" i="16"/>
  <c r="AC129" i="16"/>
  <c r="Y130" i="16"/>
  <c r="AC130" i="16"/>
  <c r="Y131" i="16"/>
  <c r="AC131" i="16"/>
  <c r="Y132" i="16"/>
  <c r="AC132" i="16"/>
  <c r="Y133" i="16"/>
  <c r="AC133" i="16"/>
  <c r="Y134" i="16"/>
  <c r="AC134" i="16"/>
  <c r="Y135" i="16"/>
  <c r="AC135" i="16"/>
  <c r="Y136" i="16"/>
  <c r="AC136" i="16"/>
  <c r="Y137" i="16"/>
  <c r="AC137" i="16"/>
  <c r="Y138" i="16"/>
  <c r="AC138" i="16"/>
  <c r="H4" i="4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M18" i="16"/>
  <c r="AP14" i="16"/>
  <c r="BL14" i="16"/>
  <c r="BM14" i="16"/>
  <c r="AP15" i="16"/>
  <c r="BL15" i="16"/>
  <c r="BM15" i="16"/>
  <c r="AP16" i="16"/>
  <c r="BL16" i="16"/>
  <c r="BM16" i="16"/>
  <c r="AP17" i="16"/>
  <c r="BL17" i="16"/>
  <c r="BM17" i="16"/>
  <c r="AP18" i="16"/>
  <c r="BL18" i="16"/>
  <c r="AP19" i="16"/>
  <c r="BL19" i="16"/>
  <c r="BM19" i="16"/>
  <c r="AP20" i="16"/>
  <c r="BL20" i="16"/>
  <c r="BM20" i="16"/>
  <c r="AP21" i="16"/>
  <c r="BL21" i="16"/>
  <c r="BM21" i="16"/>
  <c r="AP22" i="16"/>
  <c r="BL22" i="16"/>
  <c r="BM22" i="16"/>
  <c r="AP23" i="16"/>
  <c r="BL23" i="16"/>
  <c r="BM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<sst xmlns="http://schemas.openxmlformats.org/spreadsheetml/2006/main" count="4153" uniqueCount="696">
  <si>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</si>
  <si>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</si>
  <si>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</si>
  <si>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</si>
  <si>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</si>
  <si>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</si>
  <si>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</si>
  <si>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</si>
  <si>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</si>
  <si>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</si>
  <si>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</si>
  <si>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</si>
  <si>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</si>
  <si>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</si>
  <si>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</si>
  <si>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</si>
  <si>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</si>
  <si>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</si>
  <si>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</si>
  <si>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</si>
  <si>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</si>
  <si>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</si>
  <si>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</si>
  <si>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</si>
  <si>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</si>
  <si>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</si>
  <si>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</si>
  <si>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</si>
  <si>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</si>
  <si>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</si>
  <si>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</si>
  <si>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</si>
  <si>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</si>
  <si>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</si>
  <si>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</si>
  <si>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</si>
  <si>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</si>
  <si>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</si>
  <si>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</si>
  <si>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</si>
  <si>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</si>
  <si>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</si>
  <si>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</si>
  <si>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</si>
  <si>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</si>
  <si>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</si>
  <si>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</si>
  <si>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</si>
  <si>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</si>
  <si>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</si>
  <si>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</si>
  <si>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</si>
  <si>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</si>
  <si>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</si>
  <si>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</si>
  <si>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</si>
  <si>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</si>
  <si>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</si>
  <si>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</si>
  <si>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</si>
  <si>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</si>
  <si>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</si>
  <si>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</si>
  <si>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</si>
  <si>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</si>
  <si>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</si>
  <si>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</si>
  <si>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</si>
  <si>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</si>
  <si>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</si>
  <si>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</si>
  <si>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</si>
  <si>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</si>
  <si>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</si>
  <si>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</si>
  <si>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</si>
  <si>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</si>
  <si>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</si>
  <si>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</si>
  <si>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</si>
  <si>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</si>
  <si>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</si>
  <si>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</si>
  <si>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</si>
  <si>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</si>
  <si>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</si>
  <si>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</si>
  <si>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</si>
  <si>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</si>
  <si>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</si>
  <si>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</si>
  <si>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</si>
  <si>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</si>
  <si>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</si>
  <si>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</si>
  <si>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</si>
  <si>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</si>
  <si>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</si>
  <si>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</si>
  <si>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</si>
  <si>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</si>
  <si>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</si>
  <si>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</si>
  <si>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</si>
  <si>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</si>
  <si>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</si>
  <si>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</si>
  <si>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</si>
  <si>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</si>
  <si>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</si>
  <si>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</si>
  <si>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</si>
  <si>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</si>
  <si>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</si>
  <si>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</si>
  <si>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</si>
  <si>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</si>
  <si>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</si>
  <si>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</si>
  <si>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</si>
  <si>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</si>
  <si>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</si>
  <si>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</si>
  <si>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</si>
  <si>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</si>
  <si>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</si>
  <si>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</si>
  <si>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</si>
  <si>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</si>
  <si>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</si>
  <si>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</si>
  <si>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</si>
  <si>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</si>
  <si>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</si>
  <si>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</si>
  <si>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</si>
  <si>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</si>
  <si>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</si>
  <si>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</si>
  <si>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</si>
  <si>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</si>
  <si>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</si>
  <si>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</si>
  <si>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</si>
  <si>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</si>
  <si>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</si>
  <si>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</si>
  <si>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</si>
  <si>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</si>
  <si>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</si>
  <si>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</si>
  <si>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</si>
  <si>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</si>
  <si>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</si>
  <si>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</si>
  <si>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</si>
  <si>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</si>
  <si>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</si>
  <si>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</si>
  <si>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</si>
  <si>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</si>
  <si>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</si>
  <si>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</si>
  <si>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</si>
  <si>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</si>
  <si>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</si>
  <si>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</si>
  <si>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</si>
  <si>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</si>
  <si>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</si>
  <si>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</si>
  <si>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</si>
  <si>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</si>
  <si>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</si>
  <si>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</si>
  <si>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</si>
  <si>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</si>
  <si>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</si>
  <si>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</si>
  <si>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</si>
  <si>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</si>
  <si>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</si>
  <si>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</si>
  <si>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</si>
  <si>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</si>
  <si>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</si>
  <si>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</si>
  <si>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</si>
  <si>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</si>
  <si>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</si>
  <si>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</si>
  <si>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</si>
  <si>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</si>
  <si>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</si>
  <si>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</si>
  <si>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</si>
  <si>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</si>
  <si>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</si>
  <si>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</si>
  <si>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</si>
  <si>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</si>
  <si>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</si>
  <si>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</si>
  <si>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</si>
  <si>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</si>
  <si>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</si>
  <si>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</si>
  <si>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</si>
  <si>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</si>
  <si>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</si>
  <si>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</si>
  <si>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</si>
  <si>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</si>
  <si>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</si>
  <si>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</si>
  <si>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</si>
  <si>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</si>
  <si>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</si>
  <si>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</si>
  <si>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</si>
  <si>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</si>
  <si>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</si>
  <si>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</si>
  <si>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</si>
  <si>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</si>
  <si>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</si>
  <si>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</si>
  <si>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</si>
  <si>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</si>
  <si>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</si>
  <si>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</si>
  <si>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</si>
  <si>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</si>
  <si>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</si>
  <si>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</si>
  <si>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</si>
  <si>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</si>
  <si>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</si>
  <si>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</si>
  <si>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</si>
  <si>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</si>
  <si>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</si>
  <si>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</si>
  <si>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</si>
  <si>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</si>
  <si>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</si>
  <si>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</si>
  <si>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</si>
  <si>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</si>
  <si>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</si>
  <si>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</si>
  <si>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</si>
  <si>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</si>
  <si>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</si>
  <si>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</si>
  <si>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</si>
  <si>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</si>
  <si>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</si>
  <si>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</si>
  <si>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</si>
  <si>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</si>
  <si>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</si>
  <si>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</si>
  <si>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</si>
  <si>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</si>
  <si>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</si>
  <si>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</si>
  <si>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</si>
  <si>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</si>
  <si>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</si>
  <si>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</si>
  <si>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</si>
  <si>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</si>
  <si>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</si>
  <si>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</si>
  <si>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</si>
  <si>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</si>
  <si>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</si>
  <si>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</si>
  <si>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</si>
  <si>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</si>
  <si>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</si>
  <si>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</si>
  <si>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</si>
  <si>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</si>
  <si>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</si>
  <si>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</si>
  <si>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</si>
  <si>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</si>
  <si>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</si>
  <si>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</si>
  <si>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</si>
  <si>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</si>
  <si>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</si>
  <si>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</si>
  <si>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</si>
  <si>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</si>
  <si>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</si>
  <si>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</si>
  <si>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</si>
  <si>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</si>
  <si>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</si>
  <si>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</si>
  <si>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</si>
  <si>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</si>
  <si>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</si>
  <si>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</si>
  <si>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</si>
  <si>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</si>
  <si>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</si>
  <si>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</si>
  <si>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</si>
  <si>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</si>
  <si>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</si>
  <si>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</si>
  <si>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</si>
  <si>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</si>
  <si>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</si>
  <si>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</si>
  <si>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</si>
  <si>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</si>
  <si>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</si>
  <si>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</si>
  <si>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</si>
  <si>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</si>
  <si>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</si>
  <si>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</si>
  <si>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</si>
  <si>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</si>
  <si>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</si>
  <si>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</si>
  <si>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</si>
  <si>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</si>
  <si>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</si>
  <si>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</si>
  <si>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</si>
  <si>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</si>
  <si>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</si>
  <si>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</si>
  <si>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</si>
  <si>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</si>
  <si>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</si>
  <si>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</si>
  <si>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</si>
  <si>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</si>
  <si>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</si>
  <si>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</si>
  <si>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</si>
  <si>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</si>
  <si>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</si>
  <si>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</si>
  <si>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</si>
  <si>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</si>
  <si>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</si>
  <si>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</si>
  <si>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</si>
  <si>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</si>
  <si>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</si>
  <si>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</si>
  <si>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</si>
  <si>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</si>
  <si>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</si>
  <si>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</si>
  <si>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</si>
  <si>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</si>
  <si>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</si>
  <si>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</si>
  <si>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</si>
  <si>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</si>
  <si>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</si>
  <si>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</si>
  <si>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</si>
  <si>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</si>
  <si>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</si>
  <si>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</si>
  <si>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</si>
  <si>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</si>
  <si>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</si>
  <si>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</si>
  <si>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</si>
  <si>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</si>
  <si>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</si>
  <si>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</si>
  <si>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</si>
  <si>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</si>
  <si>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</si>
  <si>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</si>
  <si>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</si>
  <si>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</si>
  <si>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</si>
  <si>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</si>
  <si>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</si>
  <si>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</si>
  <si>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</si>
  <si>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</si>
  <si>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</si>
  <si>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</si>
  <si>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</si>
  <si>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</si>
  <si>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</si>
  <si>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</si>
  <si>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</si>
  <si>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</si>
  <si>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</si>
  <si>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</si>
  <si>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</si>
  <si>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</si>
  <si>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</si>
  <si>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</si>
  <si>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</si>
  <si>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</si>
  <si>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</si>
  <si>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</si>
  <si>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</si>
  <si>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</si>
  <si>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</si>
  <si>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</si>
  <si>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</si>
  <si>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</si>
  <si>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</si>
  <si>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</si>
  <si>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</si>
  <si>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</si>
  <si>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</si>
  <si>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</si>
  <si>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</si>
  <si>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</si>
  <si>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</si>
  <si>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</si>
  <si>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</si>
  <si>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</si>
  <si>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</si>
  <si>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</si>
  <si>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</si>
  <si>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</si>
  <si>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</si>
  <si>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</si>
  <si>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</si>
  <si>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</si>
  <si>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</si>
  <si>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</si>
  <si>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</si>
  <si>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</si>
  <si>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</si>
  <si>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</si>
  <si>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</si>
  <si>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</si>
  <si>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</si>
  <si>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</si>
  <si>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</si>
  <si>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</si>
  <si>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</si>
  <si>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</si>
  <si>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</si>
  <si>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</si>
  <si>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</si>
  <si>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</si>
  <si>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</si>
  <si>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</si>
  <si>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</si>
  <si>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</si>
  <si>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</si>
  <si>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</si>
  <si>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</si>
  <si>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</si>
  <si>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</si>
  <si>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</si>
  <si>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</si>
  <si>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</si>
  <si>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</si>
  <si>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</si>
  <si>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</si>
  <si>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</si>
  <si>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</si>
  <si>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</si>
  <si>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</si>
  <si>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</si>
  <si>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</si>
  <si>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</si>
  <si>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</si>
  <si>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</si>
  <si>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</si>
  <si>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</si>
  <si>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</si>
  <si>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</si>
  <si>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</si>
  <si>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</si>
  <si>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</si>
  <si>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</si>
  <si>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</si>
  <si>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</si>
  <si>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</si>
  <si>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</si>
  <si>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</si>
  <si>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</si>
  <si>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</si>
  <si>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</si>
  <si>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</si>
  <si>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</si>
  <si>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</si>
  <si>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</si>
  <si>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</si>
  <si>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</si>
  <si>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</si>
  <si>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</si>
  <si>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</si>
  <si>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</si>
  <si>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</si>
  <si>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</si>
  <si>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</si>
  <si>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</si>
  <si>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</si>
  <si>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</si>
  <si>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</si>
  <si>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</si>
  <si>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</si>
  <si>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</si>
  <si>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</si>
  <si>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</si>
  <si>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</si>
  <si>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</si>
  <si>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</si>
  <si>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</si>
  <si>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</si>
  <si>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</si>
  <si>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</si>
  <si>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</si>
  <si>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</si>
  <si>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</si>
  <si>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</si>
  <si>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</si>
  <si>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</si>
  <si>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</si>
  <si>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</si>
  <si>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</si>
  <si>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</si>
  <si>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</si>
  <si>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</si>
  <si>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</si>
  <si>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</si>
  <si>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</si>
  <si>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</si>
  <si>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</si>
  <si>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</si>
  <si>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</si>
  <si>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</si>
  <si>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</si>
  <si>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</si>
  <si>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</si>
  <si>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</si>
  <si>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</si>
  <si>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</si>
  <si>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</si>
  <si>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</si>
  <si>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</si>
  <si>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</si>
  <si>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</si>
  <si>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</si>
  <si>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</si>
  <si>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</si>
  <si>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</si>
  <si>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</si>
  <si>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</si>
  <si>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</si>
  <si>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</si>
  <si>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</si>
  <si>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</si>
  <si>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</si>
  <si>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</si>
  <si>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</si>
  <si>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</si>
  <si>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</si>
  <si>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</si>
  <si>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</si>
  <si>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</si>
  <si>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</si>
  <si>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</si>
  <si>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</si>
  <si>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</si>
  <si>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</si>
  <si>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</si>
  <si>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</si>
  <si>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</si>
  <si>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</si>
  <si>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</si>
  <si>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</si>
  <si>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</si>
  <si>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</si>
  <si>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</si>
  <si>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</si>
  <si>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</si>
  <si>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</si>
  <si>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</si>
  <si>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</si>
  <si>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</si>
  <si>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</si>
  <si>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</si>
  <si>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</si>
  <si>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</si>
  <si>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</si>
  <si>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</si>
  <si>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</si>
  <si>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</si>
  <si>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</si>
  <si>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</si>
  <si>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</si>
  <si>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</si>
  <si>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</si>
  <si>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</si>
  <si>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</si>
  <si>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</si>
  <si>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</si>
  <si>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</si>
  <si>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</si>
  <si>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</si>
  <si>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</si>
  <si>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</si>
  <si>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</si>
  <si>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</si>
  <si>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</si>
  <si>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</si>
  <si>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</si>
  <si>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</si>
  <si>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</si>
  <si>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</si>
  <si>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</si>
  <si>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</si>
  <si>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</si>
  <si>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</si>
  <si>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</si>
  <si>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</si>
  <si>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</si>
  <si>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</si>
  <si>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</si>
  <si>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</si>
  <si>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</si>
  <si>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</si>
  <si>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</si>
  <si>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</si>
  <si>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</si>
  <si>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</si>
  <si>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</si>
  <si>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</si>
  <si>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</si>
  <si>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</si>
  <si>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</si>
  <si>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</si>
  <si>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</si>
  <si>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</si>
  <si>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</si>
  <si>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</si>
  <si>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</si>
  <si>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</si>
  <si>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</si>
  <si>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</si>
  <si>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</si>
  <si>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</si>
  <si>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</si>
  <si>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</si>
  <si>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</si>
  <si>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</si>
  <si>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</si>
  <si>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</si>
  <si>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</si>
  <si>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</si>
  <si>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</si>
  <si>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</si>
  <si>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</si>
  <si>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</si>
  <si>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</si>
  <si>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CDO Delta CDO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</si>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</sst>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65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80" fontId="47" fillId="4" borderId="0" xfId="0" applyNumberFormat="1" applyFont="1" applyFill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77" fontId="46" fillId="4" borderId="9" xfId="0" applyNumberFormat="1" applyFont="1" applyFill="1" applyBorder="1"/>
    <xf numFmtId="177" fontId="46" fillId="4" borderId="11" xfId="0" applyNumberFormat="1" applyFont="1" applyFill="1" applyBorder="1"/>
    <xf numFmtId="0" fontId="25" fillId="2" borderId="11" xfId="0" applyFont="1" applyFill="1" applyBorder="1"/>
    <xf numFmtId="0" fontId="25" fillId="2" borderId="3" xfId="0" applyFont="1" applyFill="1" applyBorder="1"/>
    <xf numFmtId="10" fontId="22" fillId="0" borderId="2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19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7875" y="38653"/>
          <a:ext cx="3110394" cy="1129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28575</xdr:rowOff>
        </xdr:from>
        <xdr:to>
          <xdr:col>30</xdr:col>
          <xdr:colOff>352425</xdr:colOff>
          <xdr:row>6</xdr:row>
          <xdr:rowOff>104775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E7" sqref="E7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6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21" t="s">
        <v>21</v>
      </c>
      <c r="D5" s="622"/>
      <c r="F5" s="623" t="s">
        <v>23</v>
      </c>
      <c r="G5" s="624"/>
      <c r="I5" s="623" t="s">
        <v>22</v>
      </c>
      <c r="J5" s="624"/>
      <c r="R5" s="621" t="s">
        <v>39</v>
      </c>
      <c r="S5" s="622"/>
      <c r="U5" s="623" t="s">
        <v>40</v>
      </c>
      <c r="V5" s="624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21" t="s">
        <v>21</v>
      </c>
      <c r="C20" s="625"/>
      <c r="D20" s="625"/>
      <c r="E20" s="625"/>
      <c r="F20" s="625"/>
      <c r="G20" s="625"/>
      <c r="H20" s="625"/>
      <c r="I20" s="625"/>
      <c r="J20" s="622"/>
      <c r="L20" s="621" t="s">
        <v>23</v>
      </c>
      <c r="M20" s="622"/>
      <c r="O20" s="621" t="s">
        <v>22</v>
      </c>
      <c r="P20" s="622"/>
      <c r="R20" s="626" t="s">
        <v>39</v>
      </c>
      <c r="S20" s="627"/>
      <c r="T20" s="627"/>
      <c r="U20" s="627"/>
      <c r="V20" s="627"/>
      <c r="W20" s="627"/>
      <c r="X20" s="628"/>
      <c r="Z20" s="623" t="s">
        <v>40</v>
      </c>
      <c r="AA20" s="624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4:Q23"/>
  <sheetViews>
    <sheetView showGridLines="0" zoomScale="145" zoomScaleNormal="145" workbookViewId="0">
      <selection activeCell="C19" sqref="C19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4" spans="2:17">
      <c r="H4">
        <f ca="1">(J10+L10)/2</f>
        <v>2.6334999999999997E-2</v>
      </c>
    </row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29" t="s">
        <v>48</v>
      </c>
      <c r="G7" s="630"/>
      <c r="H7" s="630"/>
      <c r="I7" s="630"/>
      <c r="J7" s="630"/>
      <c r="K7" s="630"/>
      <c r="L7" s="630"/>
      <c r="M7" s="630"/>
      <c r="N7" s="630"/>
      <c r="O7" s="630"/>
      <c r="P7" s="630"/>
      <c r="Q7" s="631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610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32" t="s">
        <v>68</v>
      </c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4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671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656</v>
      </c>
      <c r="C19" s="551"/>
      <c r="D19" s="101"/>
      <c r="E19" s="101"/>
      <c r="F19" s="101"/>
      <c r="G19" s="102"/>
      <c r="H19" s="629" t="s">
        <v>48</v>
      </c>
      <c r="I19" s="630"/>
      <c r="J19" s="630"/>
      <c r="K19" s="630"/>
      <c r="L19" s="630"/>
      <c r="M19" s="630"/>
      <c r="N19" s="630"/>
      <c r="O19" s="631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657</v>
      </c>
      <c r="G20" s="553" t="s">
        <v>658</v>
      </c>
      <c r="H20" s="58" t="s">
        <v>610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662</v>
      </c>
      <c r="G21" s="63" t="s">
        <v>659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663</v>
      </c>
      <c r="G22" s="69" t="s">
        <v>659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661</v>
      </c>
      <c r="G23" s="75" t="s">
        <v>660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29" t="s">
        <v>72</v>
      </c>
      <c r="H2" s="630"/>
      <c r="I2" s="630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29" t="s">
        <v>73</v>
      </c>
      <c r="H4" s="630"/>
      <c r="I4" s="631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38" t="b">
        <v>1</v>
      </c>
      <c r="D6" s="639"/>
      <c r="E6" s="85"/>
      <c r="F6" s="85"/>
      <c r="G6" s="629" t="s">
        <v>74</v>
      </c>
      <c r="H6" s="630"/>
      <c r="I6" s="631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40">
        <f ca="1">GetCDSRefDate(Parameter_Date,C6)</f>
        <v>45280</v>
      </c>
      <c r="D7" s="641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29" t="s">
        <v>76</v>
      </c>
      <c r="F9" s="630"/>
      <c r="G9" s="630"/>
      <c r="H9" s="630"/>
      <c r="I9" s="630"/>
      <c r="J9" s="630"/>
      <c r="K9" s="630"/>
      <c r="L9" s="630"/>
      <c r="M9" s="631"/>
      <c r="N9" s="635" t="s">
        <v>77</v>
      </c>
      <c r="O9" s="636"/>
      <c r="P9" s="636"/>
      <c r="Q9" s="636"/>
      <c r="R9" s="636"/>
      <c r="S9" s="636"/>
      <c r="T9" s="636"/>
      <c r="U9" s="636"/>
      <c r="V9" s="637"/>
      <c r="W9" s="635" t="s">
        <v>78</v>
      </c>
      <c r="X9" s="636"/>
      <c r="Y9" s="636"/>
      <c r="Z9" s="636"/>
      <c r="AA9" s="636"/>
      <c r="AB9" s="636"/>
      <c r="AC9" s="636"/>
      <c r="AD9" s="636"/>
      <c r="AE9" s="637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618</v>
      </c>
      <c r="AM364" s="135" t="s">
        <v>622</v>
      </c>
      <c r="AN364" s="135"/>
      <c r="AQ364" s="135" t="s">
        <v>626</v>
      </c>
      <c r="AR364" s="135"/>
      <c r="AU364" s="135" t="s">
        <v>664</v>
      </c>
      <c r="AV364" s="135"/>
    </row>
    <row r="365" spans="1:53" ht="10.5" customHeight="1">
      <c r="A365" s="96">
        <v>354</v>
      </c>
      <c r="B365" s="68" t="s">
        <v>611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623</v>
      </c>
      <c r="AN365" s="135">
        <f ca="1">0.00359635/AG366</f>
        <v>0.78057033849393798</v>
      </c>
      <c r="AO365" s="135"/>
      <c r="AP365" s="135"/>
      <c r="AQ365" s="135" t="s">
        <v>623</v>
      </c>
      <c r="AR365" s="135">
        <f ca="1">0.00094748/AG366</f>
        <v>0.20564594222370913</v>
      </c>
      <c r="AU365" s="135" t="s">
        <v>623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619</v>
      </c>
      <c r="AG366" s="135">
        <v>4.6073362292230243E-3</v>
      </c>
      <c r="AK366" s="135"/>
      <c r="AM366" s="135" t="s">
        <v>625</v>
      </c>
      <c r="AN366" s="135">
        <f ca="1">0.00928509/AG367</f>
        <v>1.1634497154520191</v>
      </c>
      <c r="AQ366" s="135" t="s">
        <v>625</v>
      </c>
      <c r="AR366" s="135">
        <f ca="1">0.00224398/AG367</f>
        <v>0.2811774460430671</v>
      </c>
      <c r="AU366" s="135" t="s">
        <v>625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620</v>
      </c>
      <c r="AG367" s="135">
        <v>7.9806543219554538E-3</v>
      </c>
      <c r="AK367" s="135"/>
      <c r="AM367" s="135" t="s">
        <v>624</v>
      </c>
      <c r="AN367" s="135">
        <f ca="1">0.01555165/AG368</f>
        <v>1.6944089896016694</v>
      </c>
      <c r="AQ367" s="135" t="s">
        <v>624</v>
      </c>
      <c r="AR367" s="135">
        <f ca="1">0.00370112/AG368</f>
        <v>0.4032505232303023</v>
      </c>
      <c r="AU367" s="135" t="s">
        <v>665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621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612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613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614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615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616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617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E37" sqref="E37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42">
        <v>1</v>
      </c>
      <c r="J6" s="643"/>
      <c r="K6" s="644"/>
    </row>
    <row r="7" spans="2:11" ht="15.75" thickBot="1">
      <c r="D7" s="162"/>
      <c r="H7" s="174" t="s">
        <v>425</v>
      </c>
      <c r="I7" s="645" t="str" cm="1">
        <f t="array" aca="1" ref="I7" ca="1">GetGetCDSName(I6)</f>
        <v>ABNAMRO_MMR.EUR.SU</v>
      </c>
      <c r="J7" s="646"/>
      <c r="K7" s="647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50" t="s">
        <v>456</v>
      </c>
      <c r="D3" s="651"/>
      <c r="E3" s="652"/>
    </row>
    <row r="4" spans="2:11">
      <c r="C4" s="653"/>
      <c r="D4" s="654"/>
      <c r="E4" s="655"/>
    </row>
    <row r="5" spans="2:11" ht="15.75" thickBot="1">
      <c r="C5" s="656"/>
      <c r="D5" s="657"/>
      <c r="E5" s="658"/>
      <c r="G5" s="461"/>
    </row>
    <row r="6" spans="2:11" ht="15.75" thickBot="1"/>
    <row r="7" spans="2:11" ht="16.5" thickBot="1">
      <c r="B7" s="648" t="s">
        <v>454</v>
      </c>
      <c r="C7" s="649"/>
      <c r="D7" s="79"/>
      <c r="E7" s="648" t="s">
        <v>455</v>
      </c>
      <c r="F7" s="649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672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20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.7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8" t="str">
        <f ca="1"/>
        <v>00:00:00.0138880</v>
      </c>
      <c r="G20" s="254" t="str">
        <f ca="1"/>
        <v>00:00:00.0138880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.7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.7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E25" s="168"/>
      <c r="F25" s="502"/>
    </row>
    <row r="26" spans="2:11" ht="15.75" thickBot="1">
      <c r="B26" s="172" t="s">
        <v>449</v>
      </c>
      <c r="C26" s="189" t="b">
        <v>1</v>
      </c>
      <c r="D26" s="85"/>
      <c r="F26" s="502"/>
    </row>
    <row r="27" spans="2:11" ht="15.75" thickBot="1">
      <c r="B27" s="197" t="s">
        <v>450</v>
      </c>
      <c r="C27" s="211"/>
      <c r="D27" s="85"/>
      <c r="F27" s="467"/>
      <c r="G27" s="467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zoomScale="115" zoomScaleNormal="115" workbookViewId="0">
      <selection activeCell="D7" sqref="D7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5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hidden="1" customWidth="1"/>
    <col min="17" max="18" width="19.28515625" style="220" hidden="1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v>45412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0</v>
      </c>
      <c r="N5" s="472"/>
      <c r="O5" s="472"/>
      <c r="P5" s="472"/>
    </row>
    <row r="6" spans="1:32" ht="12" thickBot="1">
      <c r="B6" s="261" t="s">
        <v>432</v>
      </c>
      <c r="C6" s="222">
        <v>46376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46376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N109" ca="1">IF(NOT($I$5),"",GETCDO(C6,C19:C20,C21:C22,G39:G338,C8,C17,C39:C338,D39:D338,C12,C13,C14,C15,C9,C10,E39:E338,F39:F338,C24,C25,C27,L5,L6,C29:C31,C36,C33,,C34,))</f>
        <v>2.0787489881326899</v>
      </c>
      <c r="J8" s="613">
        <f ca="1"/>
        <v>0.51968724703317204</v>
      </c>
      <c r="K8" s="398" t="str">
        <f ca="1"/>
        <v/>
      </c>
      <c r="L8" s="398">
        <f ca="1"/>
        <v>0</v>
      </c>
      <c r="M8" s="399">
        <f ca="1"/>
        <v>0</v>
      </c>
      <c r="N8" s="438">
        <f ca="1"/>
        <v>0</v>
      </c>
      <c r="O8" s="399"/>
      <c r="P8" s="399"/>
      <c r="Q8" s="399"/>
      <c r="R8" s="438"/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2.2186710743684399</v>
      </c>
      <c r="J9" s="391">
        <f ca="1"/>
        <v>0.55466776859210998</v>
      </c>
      <c r="K9" s="400" t="str">
        <f ca="1"/>
        <v/>
      </c>
      <c r="L9" s="400">
        <f ca="1"/>
        <v>0</v>
      </c>
      <c r="M9" s="323">
        <f ca="1"/>
        <v>0</v>
      </c>
      <c r="N9" s="439">
        <f ca="1"/>
        <v>0</v>
      </c>
      <c r="O9" s="323"/>
      <c r="P9" s="323"/>
      <c r="Q9" s="323"/>
      <c r="R9" s="439"/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0.13992208623575</v>
      </c>
      <c r="J10" s="391">
        <f ca="1"/>
        <v>3.4980521558937501E-2</v>
      </c>
      <c r="K10" s="400" t="str">
        <f ca="1"/>
        <v/>
      </c>
      <c r="L10" s="400">
        <f ca="1"/>
        <v>0</v>
      </c>
      <c r="M10" s="323">
        <f ca="1"/>
        <v>0</v>
      </c>
      <c r="N10" s="439">
        <f ca="1"/>
        <v>0</v>
      </c>
      <c r="O10" s="323"/>
      <c r="P10" s="323"/>
      <c r="Q10" s="323"/>
      <c r="R10" s="439"/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4">
        <f ca="1"/>
        <v>0.158564750859294</v>
      </c>
      <c r="J11" s="393">
        <f ca="1"/>
        <v>0.158564750859294</v>
      </c>
      <c r="K11" s="400" t="str">
        <f ca="1"/>
        <v/>
      </c>
      <c r="L11" s="400">
        <f ca="1"/>
        <v>0</v>
      </c>
      <c r="M11" s="323">
        <f ca="1"/>
        <v>0</v>
      </c>
      <c r="N11" s="439">
        <f ca="1"/>
        <v>0</v>
      </c>
      <c r="O11" s="323"/>
      <c r="P11" s="323"/>
      <c r="Q11" s="323"/>
      <c r="R11" s="439"/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-0.33353945141167429</v>
      </c>
      <c r="AA11" s="79"/>
      <c r="AB11" s="465" t="s">
        <v>505</v>
      </c>
      <c r="AC11" s="423">
        <f ca="1">SUM(AC15:AC314)</f>
        <v>-1.8826157133517103E-2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3.4980521558937498</v>
      </c>
      <c r="J12" s="394">
        <f ca="1"/>
        <v>3.4980521558937498</v>
      </c>
      <c r="K12" s="400" t="str">
        <f ca="1"/>
        <v/>
      </c>
      <c r="L12" s="400">
        <f ca="1"/>
        <v>0</v>
      </c>
      <c r="M12" s="323">
        <f ca="1"/>
        <v>0</v>
      </c>
      <c r="N12" s="439">
        <f ca="1"/>
        <v>0</v>
      </c>
      <c r="O12" s="323"/>
      <c r="P12" s="323"/>
      <c r="Q12" s="323"/>
      <c r="R12" s="439"/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0.18614779562149775</v>
      </c>
      <c r="AA12" s="79"/>
      <c r="AB12" s="465" t="s">
        <v>498</v>
      </c>
      <c r="AC12" s="407">
        <f ca="1">$J$8+AC11</f>
        <v>0.50086108989965494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00:00:01.1056077</v>
      </c>
      <c r="J13" s="395" t="str">
        <f ca="1"/>
        <v>00:00:01.1056077</v>
      </c>
      <c r="K13" s="401" t="str">
        <f ca="1"/>
        <v>Leverage=</v>
      </c>
      <c r="L13" s="402">
        <f ca="1"/>
        <v>9.8369155769504797</v>
      </c>
      <c r="M13" s="323">
        <f ca="1"/>
        <v>0</v>
      </c>
      <c r="N13" s="439">
        <f ca="1"/>
        <v>0</v>
      </c>
      <c r="O13" s="323"/>
      <c r="P13" s="445"/>
      <c r="Q13" s="444"/>
      <c r="R13" s="439"/>
      <c r="S13" s="435"/>
      <c r="T13" s="278" t="s">
        <v>499</v>
      </c>
      <c r="U13" s="408">
        <f ca="1">L13</f>
        <v>9.8369155769504797</v>
      </c>
      <c r="V13" s="409"/>
      <c r="W13" s="79"/>
      <c r="X13" s="79"/>
      <c r="Y13" s="465" t="s">
        <v>500</v>
      </c>
      <c r="Z13" s="410">
        <f ca="1">Z12*(C20-C21)</f>
        <v>0.74459118248599099</v>
      </c>
      <c r="AA13" s="79"/>
      <c r="AB13" s="465" t="s">
        <v>500</v>
      </c>
      <c r="AC13" s="411">
        <f ca="1">AC12*(C20-C21)</f>
        <v>2.0034443595986198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440" t="str">
        <f ca="1"/>
        <v>Name</v>
      </c>
      <c r="O14" s="396"/>
      <c r="P14" s="396"/>
      <c r="Q14" s="396"/>
      <c r="R14" s="440"/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1.8102009966408899E-4</v>
      </c>
      <c r="J15" s="403">
        <f ca="1"/>
        <v>4.5813999501577798E-4</v>
      </c>
      <c r="K15" s="403">
        <f ca="1"/>
        <v>0.39511961765716402</v>
      </c>
      <c r="L15" s="403">
        <f ca="1"/>
        <v>0.39511961765716402</v>
      </c>
      <c r="M15" s="403">
        <f ca="1"/>
        <v>-1.90805970228389E-4</v>
      </c>
      <c r="N15" s="441" t="str">
        <f ca="1"/>
        <v>AIRBUS SE</v>
      </c>
      <c r="O15" s="403"/>
      <c r="P15" s="403"/>
      <c r="Q15" s="403"/>
      <c r="R15" s="441"/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-2.3871999860850899E-2</v>
      </c>
      <c r="U15" s="413">
        <f ca="1"/>
        <v>2.3268743490421798E-2</v>
      </c>
      <c r="V15" s="413">
        <f ca="1"/>
        <v>4.7140743351272697E-2</v>
      </c>
      <c r="W15" s="414">
        <f ca="1"/>
        <v>4.93601539480042E-3</v>
      </c>
      <c r="X15" s="415">
        <f ca="1"/>
        <v>4.71407433512727</v>
      </c>
      <c r="Y15" s="416">
        <f ca="1">IF($U$12,IF(T15="","",$U$13*D39/$C$18),"")</f>
        <v>0.10354647975737336</v>
      </c>
      <c r="Z15" s="417">
        <f ca="1">IF($U$12,IF(Y15="","",Y15*($Z$10-W15)*X15),"")</f>
        <v>-2.4093964768104694E-3</v>
      </c>
      <c r="AA15" s="416">
        <f ca="1">IF($U$12,IF(OR(T15="",L15=""),"",L15/($C$20-$C$19)),"")</f>
        <v>9.8779904414291006E-2</v>
      </c>
      <c r="AB15" s="418">
        <f ca="1">IF($U$12,IF(W15="","",W15*$AC$10),"")</f>
        <v>4.689214625060399E-3</v>
      </c>
      <c r="AC15" s="417">
        <f ca="1">IF($U$12,IF(AA15="","",AA15*(AB15-W15)*X15),"")</f>
        <v>-1.1492421289122587E-4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1.8355926643520701E-4</v>
      </c>
      <c r="J16" s="403">
        <f ca="1"/>
        <v>4.5654611736690602E-4</v>
      </c>
      <c r="K16" s="403">
        <f ca="1"/>
        <v>0.40206073264596098</v>
      </c>
      <c r="L16" s="403">
        <f ca="1"/>
        <v>0.40206073264596098</v>
      </c>
      <c r="M16" s="403">
        <f ca="1"/>
        <v>-2.0522166813988099E-4</v>
      </c>
      <c r="N16" s="441" t="str">
        <f ca="1"/>
        <v>AKTIEBOLAGET VOLVO</v>
      </c>
      <c r="O16" s="403"/>
      <c r="P16" s="403"/>
      <c r="Q16" s="403"/>
      <c r="R16" s="441"/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-2.1861265563624901E-2</v>
      </c>
      <c r="U16" s="413">
        <f ca="1"/>
        <v>2.52672476399829E-2</v>
      </c>
      <c r="V16" s="413">
        <f ca="1"/>
        <v>4.7128513203607801E-2</v>
      </c>
      <c r="W16" s="414">
        <f ca="1"/>
        <v>5.3613504696873602E-3</v>
      </c>
      <c r="X16" s="415">
        <f ca="1"/>
        <v>4.7128513203607802</v>
      </c>
      <c r="Y16" s="416">
        <f ca="1">IF($U$12,IF(T16="","",$U$13*D40/$C$18),"")</f>
        <v>0.10354647975737336</v>
      </c>
      <c r="Z16" s="417">
        <f ca="1">IF($U$12,IF(Y16="","",Y16*($Z$10-W16)*X16),"")</f>
        <v>-2.6163345462780359E-3</v>
      </c>
      <c r="AA16" s="416">
        <f t="shared" ref="AA16:AA79" ca="1" si="0">IF($U$12,IF(OR(T16="",L16=""),"",L16/($C$20-$C$19)),"")</f>
        <v>0.10051518316149025</v>
      </c>
      <c r="AB16" s="418">
        <f t="shared" ref="AB16:AB79" ca="1" si="1">IF($U$12,IF(W16="","",W16*$AC$10),"")</f>
        <v>5.093282946202992E-3</v>
      </c>
      <c r="AC16" s="417">
        <f ca="1">IF($U$12,IF(AA16="","",AA16*(AB16-W16)*X16),"")</f>
        <v>-1.2698710122598106E-4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571">
        <v>0.24</v>
      </c>
      <c r="F17" s="515"/>
      <c r="G17" s="221"/>
      <c r="H17" s="377">
        <v>3</v>
      </c>
      <c r="I17" s="403">
        <f ca="1"/>
        <v>1.9120288672445099E-4</v>
      </c>
      <c r="J17" s="403">
        <f ca="1"/>
        <v>4.73697559576069E-4</v>
      </c>
      <c r="K17" s="403">
        <f ca="1"/>
        <v>0.403639163553146</v>
      </c>
      <c r="L17" s="403">
        <f ca="1"/>
        <v>0.403639163553146</v>
      </c>
      <c r="M17" s="403">
        <f ca="1"/>
        <v>-2.0659832604840399E-4</v>
      </c>
      <c r="N17" s="441" t="str">
        <f ca="1"/>
        <v>AKZO NOBEL N.V.</v>
      </c>
      <c r="O17" s="403"/>
      <c r="P17" s="403"/>
      <c r="Q17" s="403"/>
      <c r="R17" s="441"/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-2.1644087140160199E-2</v>
      </c>
      <c r="U17" s="413">
        <f ca="1"/>
        <v>2.5459272485494101E-2</v>
      </c>
      <c r="V17" s="413">
        <f ca="1"/>
        <v>4.7103359625654297E-2</v>
      </c>
      <c r="W17" s="414">
        <f ca="1"/>
        <v>5.4049801729276203E-3</v>
      </c>
      <c r="X17" s="415">
        <f ca="1"/>
        <v>4.7103359625654297</v>
      </c>
      <c r="Y17" s="416">
        <f ca="1">IF($U$12,IF(T17="","",$U$13*D41/$C$18),"")</f>
        <v>0.10354647975737336</v>
      </c>
      <c r="Z17" s="417">
        <f t="shared" ref="Z17:Z79" ca="1" si="2">IF($U$12,IF(Y17="","",Y17*($Z$10-W17)*X17),"")</f>
        <v>-2.6362180430566659E-3</v>
      </c>
      <c r="AA17" s="416">
        <f t="shared" ca="1" si="0"/>
        <v>0.1009097908882865</v>
      </c>
      <c r="AB17" s="418">
        <f t="shared" ca="1" si="1"/>
        <v>5.1347311642812388E-3</v>
      </c>
      <c r="AC17" s="417">
        <f t="shared" ref="AC17:AC79" ca="1" si="3">IF($U$12,IF(AA17="","",AA17*(AB17-W17)*X17),"")</f>
        <v>-1.2845449313395597E-4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2.24559879268966E-4</v>
      </c>
      <c r="J18" s="403">
        <f ca="1"/>
        <v>4.43396785031926E-4</v>
      </c>
      <c r="K18" s="403">
        <f ca="1"/>
        <v>0.50645355773790102</v>
      </c>
      <c r="L18" s="403">
        <f ca="1"/>
        <v>0.50645355773790102</v>
      </c>
      <c r="M18" s="403">
        <f ca="1"/>
        <v>-4.7088083725027401E-4</v>
      </c>
      <c r="N18" s="441" t="str">
        <f ca="1"/>
        <v>ALSTOM</v>
      </c>
      <c r="O18" s="403"/>
      <c r="P18" s="403"/>
      <c r="Q18" s="403"/>
      <c r="R18" s="441"/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2.4322365065309898E-2</v>
      </c>
      <c r="U18" s="413">
        <f ca="1"/>
        <v>7.00192712306828E-2</v>
      </c>
      <c r="V18" s="413">
        <f ca="1"/>
        <v>4.5696906165372898E-2</v>
      </c>
      <c r="W18" s="414">
        <f ca="1"/>
        <v>1.5322540869022801E-2</v>
      </c>
      <c r="X18" s="415">
        <f ca="1"/>
        <v>4.5696906165372901</v>
      </c>
      <c r="Y18" s="416">
        <f t="shared" ref="Y18:Y79" ca="1" si="5">IF($U$12,IF(T18="","",$U$13*D42/$C$18),"")</f>
        <v>0.10354647975737336</v>
      </c>
      <c r="Z18" s="417">
        <f t="shared" ca="1" si="2"/>
        <v>-7.2502490511139129E-3</v>
      </c>
      <c r="AA18" s="416">
        <f t="shared" ca="1" si="0"/>
        <v>0.12661338943447525</v>
      </c>
      <c r="AB18" s="418">
        <f t="shared" ca="1" si="1"/>
        <v>1.455641382557166E-2</v>
      </c>
      <c r="AC18" s="417">
        <f t="shared" ca="1" si="3"/>
        <v>-4.4326886281242863E-4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0</v>
      </c>
      <c r="D19" s="221"/>
      <c r="E19" s="615" cm="1">
        <f t="array" aca="1" ref="E19" ca="1">GetImpliedCorrelation(TRUE,E17,C6,C19:C20,C21,G39:G133,C8,C17,C39:C133,D39:D133,C12,C13,C14,C15,C9,C10,E39:E133,F39:F133,C24,C25)</f>
        <v>0.76904296875</v>
      </c>
      <c r="F19" s="221"/>
      <c r="G19" s="233"/>
      <c r="H19" s="377">
        <v>5</v>
      </c>
      <c r="I19" s="403">
        <f ca="1"/>
        <v>2.1477326459770301E-4</v>
      </c>
      <c r="J19" s="403">
        <f ca="1"/>
        <v>4.6093560779138801E-4</v>
      </c>
      <c r="K19" s="403">
        <f ca="1"/>
        <v>0.465950690220717</v>
      </c>
      <c r="L19" s="403">
        <f ca="1"/>
        <v>0.465950690220717</v>
      </c>
      <c r="M19" s="403">
        <f ca="1"/>
        <v>-3.5866752276607599E-4</v>
      </c>
      <c r="N19" s="441" t="str">
        <f ca="1"/>
        <v>ANGLO AMERICAN PLC</v>
      </c>
      <c r="O19" s="403"/>
      <c r="P19" s="403"/>
      <c r="Q19" s="403"/>
      <c r="R19" s="441"/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2.4330822928746998E-3</v>
      </c>
      <c r="U19" s="413">
        <f ca="1"/>
        <v>4.9016098509539897E-2</v>
      </c>
      <c r="V19" s="413">
        <f ca="1"/>
        <v>4.6583016216665198E-2</v>
      </c>
      <c r="W19" s="414">
        <f ca="1"/>
        <v>1.0522311024592799E-2</v>
      </c>
      <c r="X19" s="415">
        <f ca="1"/>
        <v>4.6583016216665198</v>
      </c>
      <c r="Y19" s="416">
        <f t="shared" ca="1" si="5"/>
        <v>0.10354647975737336</v>
      </c>
      <c r="Z19" s="417">
        <f t="shared" ca="1" si="2"/>
        <v>-5.0754444521035162E-3</v>
      </c>
      <c r="AA19" s="416">
        <f t="shared" ca="1" si="0"/>
        <v>0.11648767255517925</v>
      </c>
      <c r="AB19" s="418">
        <f t="shared" ca="1" si="1"/>
        <v>9.9961954733631588E-3</v>
      </c>
      <c r="AC19" s="417">
        <f t="shared" ca="1" si="3"/>
        <v>-2.8548856165558643E-4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4</v>
      </c>
      <c r="D20" s="232"/>
      <c r="E20" s="403"/>
      <c r="F20" s="221"/>
      <c r="G20" s="233"/>
      <c r="H20" s="377">
        <v>6</v>
      </c>
      <c r="I20" s="403">
        <f ca="1"/>
        <v>2.2483405821626301E-4</v>
      </c>
      <c r="J20" s="403">
        <f ca="1"/>
        <v>4.4851326362933098E-4</v>
      </c>
      <c r="K20" s="403">
        <f ca="1"/>
        <v>0.50128742324569198</v>
      </c>
      <c r="L20" s="403">
        <f ca="1"/>
        <v>0.50128742324569198</v>
      </c>
      <c r="M20" s="403">
        <f ca="1"/>
        <v>-4.56519251352248E-4</v>
      </c>
      <c r="N20" s="441" t="str">
        <f ca="1"/>
        <v>ARCELORMITTAL</v>
      </c>
      <c r="O20" s="403"/>
      <c r="P20" s="403"/>
      <c r="Q20" s="403"/>
      <c r="R20" s="441"/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2.09842313309208E-2</v>
      </c>
      <c r="U20" s="413">
        <f ca="1"/>
        <v>6.7078604133845393E-2</v>
      </c>
      <c r="V20" s="413">
        <f ca="1"/>
        <v>4.6094372802924603E-2</v>
      </c>
      <c r="W20" s="414">
        <f ca="1"/>
        <v>1.45524496928591E-2</v>
      </c>
      <c r="X20" s="415">
        <f ca="1"/>
        <v>4.6094372802924601</v>
      </c>
      <c r="Y20" s="416">
        <f t="shared" ca="1" si="5"/>
        <v>0.10354647975737336</v>
      </c>
      <c r="Z20" s="417">
        <f t="shared" ca="1" si="2"/>
        <v>-6.9457533250980724E-3</v>
      </c>
      <c r="AA20" s="416">
        <f t="shared" ca="1" si="0"/>
        <v>0.12532185581142299</v>
      </c>
      <c r="AB20" s="418">
        <f t="shared" ca="1" si="1"/>
        <v>1.3824827208216145E-2</v>
      </c>
      <c r="AC20" s="417">
        <f t="shared" ca="1" si="3"/>
        <v>-4.2032075776466413E-4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1.7538576467901099E-4</v>
      </c>
      <c r="J21" s="403">
        <f ca="1"/>
        <v>4.8200331395063198E-4</v>
      </c>
      <c r="K21" s="403">
        <f ca="1"/>
        <v>0.36386837933021898</v>
      </c>
      <c r="L21" s="403">
        <f ca="1"/>
        <v>0.36386837933021898</v>
      </c>
      <c r="M21" s="403">
        <f ca="1"/>
        <v>-1.3183411789057699E-4</v>
      </c>
      <c r="N21" s="441" t="str">
        <f ca="1"/>
        <v>ASTRAZENECA PLC</v>
      </c>
      <c r="O21" s="403"/>
      <c r="P21" s="403"/>
      <c r="Q21" s="403"/>
      <c r="R21" s="441"/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-3.1871278944003198E-2</v>
      </c>
      <c r="U21" s="413">
        <f ca="1"/>
        <v>1.5466160863358501E-2</v>
      </c>
      <c r="V21" s="413">
        <f ca="1"/>
        <v>4.73374398073617E-2</v>
      </c>
      <c r="W21" s="414">
        <f ca="1"/>
        <v>3.2672153218039702E-3</v>
      </c>
      <c r="X21" s="415">
        <f ca="1"/>
        <v>4.7337439807361701</v>
      </c>
      <c r="Y21" s="416">
        <f t="shared" ca="1" si="5"/>
        <v>0.10354647975737336</v>
      </c>
      <c r="Z21" s="417">
        <f t="shared" ca="1" si="2"/>
        <v>-1.6014665127620344E-3</v>
      </c>
      <c r="AA21" s="416">
        <f ca="1">IF($U$12,IF(OR(T21="",L21=""),"",L21/($C$20-$C$19)),"")</f>
        <v>9.0967094832554746E-2</v>
      </c>
      <c r="AB21" s="418">
        <f t="shared" ca="1" si="1"/>
        <v>3.1038545557137715E-3</v>
      </c>
      <c r="AC21" s="417">
        <f t="shared" ca="1" si="3"/>
        <v>-7.0345586097634175E-5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0.2</v>
      </c>
      <c r="D22" s="221"/>
      <c r="E22" s="403"/>
      <c r="F22" s="568"/>
      <c r="G22" s="234"/>
      <c r="H22" s="377">
        <v>8</v>
      </c>
      <c r="I22" s="403">
        <f ca="1"/>
        <v>1.7830584788860901E-4</v>
      </c>
      <c r="J22" s="403">
        <f ca="1"/>
        <v>4.8107495035408298E-4</v>
      </c>
      <c r="K22" s="403">
        <f ca="1"/>
        <v>0.37064047454013499</v>
      </c>
      <c r="L22" s="403">
        <f ca="1"/>
        <v>0.37064047454013499</v>
      </c>
      <c r="M22" s="403">
        <f ca="1"/>
        <v>-1.43305896959394E-4</v>
      </c>
      <c r="N22" s="441" t="str">
        <f ca="1"/>
        <v>BAE SYSTEMS PLC</v>
      </c>
      <c r="O22" s="403"/>
      <c r="P22" s="403"/>
      <c r="Q22" s="403"/>
      <c r="R22" s="441"/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-3.0396170340408701E-2</v>
      </c>
      <c r="U22" s="413">
        <f ca="1"/>
        <v>1.6944335825739999E-2</v>
      </c>
      <c r="V22" s="413">
        <f ca="1"/>
        <v>4.7340506166148703E-2</v>
      </c>
      <c r="W22" s="414">
        <f ca="1"/>
        <v>3.5792468644655498E-3</v>
      </c>
      <c r="X22" s="415">
        <f ca="1"/>
        <v>4.7340506166148701</v>
      </c>
      <c r="Y22" s="416">
        <f t="shared" ca="1" si="5"/>
        <v>0.10354647975737336</v>
      </c>
      <c r="Z22" s="417">
        <f t="shared" ca="1" si="2"/>
        <v>-1.7545263265821205E-3</v>
      </c>
      <c r="AA22" s="416">
        <f t="shared" ca="1" si="0"/>
        <v>9.2660118635033747E-2</v>
      </c>
      <c r="AB22" s="418">
        <f t="shared" ca="1" si="1"/>
        <v>3.4002845212422724E-3</v>
      </c>
      <c r="AC22" s="417">
        <f t="shared" ca="1" si="3"/>
        <v>-7.8503208390245913E-5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1.8525322193465199E-4</v>
      </c>
      <c r="J23" s="403">
        <f ca="1"/>
        <v>4.7773152523272597E-4</v>
      </c>
      <c r="K23" s="403">
        <f ca="1"/>
        <v>0.38777684148938302</v>
      </c>
      <c r="L23" s="403">
        <f ca="1"/>
        <v>0.38777684148938302</v>
      </c>
      <c r="M23" s="403">
        <f ca="1"/>
        <v>-1.7466224861303499E-4</v>
      </c>
      <c r="N23" s="441" t="str">
        <f ca="1"/>
        <v>BASF SE</v>
      </c>
      <c r="O23" s="403"/>
      <c r="P23" s="403"/>
      <c r="Q23" s="403"/>
      <c r="R23" s="441"/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-2.6178972499446701E-2</v>
      </c>
      <c r="U23" s="413">
        <f ca="1"/>
        <v>2.1082290512201399E-2</v>
      </c>
      <c r="V23" s="413">
        <f ca="1"/>
        <v>4.7261263011648097E-2</v>
      </c>
      <c r="W23" s="414">
        <f ca="1"/>
        <v>4.46079710290548E-3</v>
      </c>
      <c r="X23" s="415">
        <f ca="1"/>
        <v>4.7261263011648103</v>
      </c>
      <c r="Y23" s="416">
        <f t="shared" ca="1" si="5"/>
        <v>0.10354647975737336</v>
      </c>
      <c r="Z23" s="417">
        <f t="shared" ca="1" si="2"/>
        <v>-2.1829969677607244E-3</v>
      </c>
      <c r="AA23" s="416">
        <f t="shared" ca="1" si="0"/>
        <v>9.6944210372345754E-2</v>
      </c>
      <c r="AB23" s="418">
        <f t="shared" ca="1" si="1"/>
        <v>4.2377572477602056E-3</v>
      </c>
      <c r="AC23" s="417">
        <f t="shared" ca="1" si="3"/>
        <v>-1.0219030032728815E-4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2.17412200316769E-4</v>
      </c>
      <c r="J24" s="403">
        <f ca="1"/>
        <v>4.5418520348215801E-4</v>
      </c>
      <c r="K24" s="403">
        <f ca="1"/>
        <v>0.47868622458395399</v>
      </c>
      <c r="L24" s="403">
        <f ca="1"/>
        <v>0.47868622458395399</v>
      </c>
      <c r="M24" s="403">
        <f ca="1"/>
        <v>-3.9301280044028901E-4</v>
      </c>
      <c r="N24" s="441" t="str">
        <f ca="1"/>
        <v>BAYER AKTIENGESELLSCHAFT</v>
      </c>
      <c r="O24" s="403"/>
      <c r="P24" s="403"/>
      <c r="Q24" s="403"/>
      <c r="R24" s="441"/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8.9196644159028997E-3</v>
      </c>
      <c r="U24" s="413">
        <f ca="1"/>
        <v>5.5076051480618102E-2</v>
      </c>
      <c r="V24" s="413">
        <f ca="1"/>
        <v>4.6156387064715199E-2</v>
      </c>
      <c r="W24" s="414">
        <f ca="1"/>
        <v>1.19324875674079E-2</v>
      </c>
      <c r="X24" s="415">
        <f ca="1"/>
        <v>4.6156387064715201</v>
      </c>
      <c r="Y24" s="416">
        <f t="shared" ca="1" si="5"/>
        <v>0.10354647975737336</v>
      </c>
      <c r="Z24" s="417">
        <f t="shared" ca="1" si="2"/>
        <v>-5.7029312497538752E-3</v>
      </c>
      <c r="AA24" s="416">
        <f t="shared" ca="1" si="0"/>
        <v>0.1196715561459885</v>
      </c>
      <c r="AB24" s="418">
        <f t="shared" ca="1" si="1"/>
        <v>1.1335863189037504E-2</v>
      </c>
      <c r="AC24" s="417">
        <f t="shared" ca="1" si="3"/>
        <v>-3.2955183935310777E-4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1.9040557076879301E-4</v>
      </c>
      <c r="J25" s="403">
        <f ca="1"/>
        <v>4.7432706645164201E-4</v>
      </c>
      <c r="K25" s="403">
        <f ca="1"/>
        <v>0.40142252938079998</v>
      </c>
      <c r="L25" s="403">
        <f ca="1"/>
        <v>0.40142252938079998</v>
      </c>
      <c r="M25" s="403">
        <f ca="1"/>
        <v>-2.01982824453459E-4</v>
      </c>
      <c r="N25" s="441" t="str">
        <f ca="1"/>
        <v>BAYERISCHE MOTOREN WERKE AKTIENGESELLSCHAFT</v>
      </c>
      <c r="O25" s="403"/>
      <c r="P25" s="403"/>
      <c r="Q25" s="403"/>
      <c r="R25" s="441"/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-2.23207456862871E-2</v>
      </c>
      <c r="U25" s="413">
        <f ca="1"/>
        <v>2.48162118552641E-2</v>
      </c>
      <c r="V25" s="413">
        <f ca="1"/>
        <v>4.71369575415512E-2</v>
      </c>
      <c r="W25" s="414">
        <f ca="1"/>
        <v>5.2647037801259603E-3</v>
      </c>
      <c r="X25" s="415">
        <f ca="1"/>
        <v>4.7136957541551201</v>
      </c>
      <c r="Y25" s="416">
        <f t="shared" ca="1" si="5"/>
        <v>0.10354647975737336</v>
      </c>
      <c r="Z25" s="417">
        <f t="shared" ca="1" si="2"/>
        <v>-2.5696313785257977E-3</v>
      </c>
      <c r="AA25" s="416">
        <f t="shared" ca="1" si="0"/>
        <v>0.10035563234519999</v>
      </c>
      <c r="AB25" s="418">
        <f t="shared" ca="1" si="1"/>
        <v>5.0014685911196621E-3</v>
      </c>
      <c r="AC25" s="417">
        <f t="shared" ca="1" si="3"/>
        <v>-1.2452233165737418E-4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1.77793295413071E-4</v>
      </c>
      <c r="J26" s="403">
        <f ca="1"/>
        <v>4.8113059494120299E-4</v>
      </c>
      <c r="K26" s="403">
        <f ca="1"/>
        <v>0.369532300133186</v>
      </c>
      <c r="L26" s="403">
        <f ca="1"/>
        <v>0.369532300133186</v>
      </c>
      <c r="M26" s="403">
        <f ca="1"/>
        <v>-1.4132656531844101E-4</v>
      </c>
      <c r="N26" s="441" t="str">
        <f ca="1"/>
        <v>BOUYGUES</v>
      </c>
      <c r="O26" s="403"/>
      <c r="P26" s="403"/>
      <c r="Q26" s="403"/>
      <c r="R26" s="441"/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-3.06360022739126E-2</v>
      </c>
      <c r="U26" s="413">
        <f ca="1"/>
        <v>1.6684765881207202E-2</v>
      </c>
      <c r="V26" s="413">
        <f ca="1"/>
        <v>4.7320768155119798E-2</v>
      </c>
      <c r="W26" s="414">
        <f ca="1"/>
        <v>3.5258865254498202E-3</v>
      </c>
      <c r="X26" s="415">
        <f ca="1"/>
        <v>4.7320768155119799</v>
      </c>
      <c r="Y26" s="416">
        <f t="shared" ca="1" si="5"/>
        <v>0.10354647975737336</v>
      </c>
      <c r="Z26" s="417">
        <f t="shared" ca="1" si="2"/>
        <v>-1.7276487725749333E-3</v>
      </c>
      <c r="AA26" s="416">
        <f t="shared" ca="1" si="0"/>
        <v>9.23830750332965E-2</v>
      </c>
      <c r="AB26" s="418">
        <f t="shared" ca="1" si="1"/>
        <v>3.3495921991773289E-3</v>
      </c>
      <c r="AC26" s="417">
        <f t="shared" ca="1" si="3"/>
        <v>-7.7069498915827546E-5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2.0366258736739701E-4</v>
      </c>
      <c r="J27" s="403">
        <f ca="1"/>
        <v>4.49517221610896E-4</v>
      </c>
      <c r="K27" s="403">
        <f ca="1"/>
        <v>0.45306959906352201</v>
      </c>
      <c r="L27" s="403">
        <f ca="1"/>
        <v>0.45306959906352201</v>
      </c>
      <c r="M27" s="403">
        <f ca="1"/>
        <v>-3.22960256623013E-4</v>
      </c>
      <c r="N27" s="441" t="str">
        <f ca="1"/>
        <v>CNH INDUSTRIAL N.V</v>
      </c>
      <c r="O27" s="403"/>
      <c r="P27" s="403"/>
      <c r="Q27" s="403"/>
      <c r="R27" s="441"/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-3.5383056665467998E-3</v>
      </c>
      <c r="U27" s="413">
        <f ca="1"/>
        <v>4.3048659316265801E-2</v>
      </c>
      <c r="V27" s="413">
        <f ca="1"/>
        <v>4.6586964982812597E-2</v>
      </c>
      <c r="W27" s="414">
        <f ca="1"/>
        <v>9.2404944885651503E-3</v>
      </c>
      <c r="X27" s="415">
        <f ca="1"/>
        <v>4.6586964982812598</v>
      </c>
      <c r="Y27" s="416">
        <f t="shared" ca="1" si="5"/>
        <v>0.10354647975737336</v>
      </c>
      <c r="Z27" s="417">
        <f t="shared" ca="1" si="2"/>
        <v>-4.4575371304737725E-3</v>
      </c>
      <c r="AA27" s="416">
        <f t="shared" ca="1" si="0"/>
        <v>0.1132673997658805</v>
      </c>
      <c r="AB27" s="418">
        <f t="shared" ca="1" si="1"/>
        <v>8.7784697641368932E-3</v>
      </c>
      <c r="AC27" s="417">
        <f t="shared" ca="1" si="3"/>
        <v>-2.4380048520803319E-4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2.5069368423361402E-4</v>
      </c>
      <c r="J28" s="403">
        <f ca="1"/>
        <v>3.68883125357523E-4</v>
      </c>
      <c r="K28" s="403">
        <f ca="1"/>
        <v>0.67960193080299003</v>
      </c>
      <c r="L28" s="403">
        <f ca="1"/>
        <v>0.67960193080299003</v>
      </c>
      <c r="M28" s="403">
        <f ca="1"/>
        <v>-8.3002080239124199E-4</v>
      </c>
      <c r="N28" s="441" t="str">
        <f ca="1"/>
        <v>COMPAGNIE DE SAINT-GOBAIN</v>
      </c>
      <c r="O28" s="403"/>
      <c r="P28" s="403"/>
      <c r="Q28" s="403"/>
      <c r="R28" s="441"/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0.17177754185838001</v>
      </c>
      <c r="U28" s="413">
        <f ca="1"/>
        <v>0.21618934750976601</v>
      </c>
      <c r="V28" s="413">
        <f ca="1"/>
        <v>4.4411805651385902E-2</v>
      </c>
      <c r="W28" s="414">
        <f ca="1"/>
        <v>4.8678351248936401E-2</v>
      </c>
      <c r="X28" s="415">
        <f ca="1"/>
        <v>4.4411805651385903</v>
      </c>
      <c r="Y28" s="416">
        <f t="shared" ca="1" si="5"/>
        <v>0.10354647975737336</v>
      </c>
      <c r="Z28" s="417">
        <f t="shared" ca="1" si="2"/>
        <v>-2.2385645895679755E-2</v>
      </c>
      <c r="AA28" s="416">
        <f t="shared" ca="1" si="0"/>
        <v>0.16990048270074751</v>
      </c>
      <c r="AB28" s="418">
        <f t="shared" ca="1" si="1"/>
        <v>4.6244433686489582E-2</v>
      </c>
      <c r="AC28" s="417">
        <f t="shared" ca="1" si="3"/>
        <v>-1.8365337248334452E-3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2.13432449126252E-4</v>
      </c>
      <c r="J29" s="403">
        <f ca="1"/>
        <v>4.6131329863246601E-4</v>
      </c>
      <c r="K29" s="403">
        <f ca="1"/>
        <v>0.46266268446836201</v>
      </c>
      <c r="L29" s="403">
        <f ca="1"/>
        <v>0.46266268446836201</v>
      </c>
      <c r="M29" s="403">
        <f ca="1"/>
        <v>-3.4970834805651602E-4</v>
      </c>
      <c r="N29" s="441" t="str">
        <f ca="1"/>
        <v>CONTINENTAL AKTIENGESELLSCHAFT</v>
      </c>
      <c r="O29" s="403"/>
      <c r="P29" s="403"/>
      <c r="Q29" s="403"/>
      <c r="R29" s="441"/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9.3346930392990103E-4</v>
      </c>
      <c r="U29" s="413">
        <f ca="1"/>
        <v>4.74892712749308E-2</v>
      </c>
      <c r="V29" s="413">
        <f ca="1"/>
        <v>4.6555801971000899E-2</v>
      </c>
      <c r="W29" s="414">
        <f ca="1"/>
        <v>1.02005054718016E-2</v>
      </c>
      <c r="X29" s="415">
        <f ca="1"/>
        <v>4.6555801971000896</v>
      </c>
      <c r="Y29" s="416">
        <f t="shared" ca="1" si="5"/>
        <v>0.10354647975737336</v>
      </c>
      <c r="Z29" s="417">
        <f t="shared" ca="1" si="2"/>
        <v>-4.9173468667620167E-3</v>
      </c>
      <c r="AA29" s="416">
        <f t="shared" ca="1" si="0"/>
        <v>0.1156656711170905</v>
      </c>
      <c r="AB29" s="418">
        <f t="shared" ca="1" si="1"/>
        <v>9.6904801982115197E-3</v>
      </c>
      <c r="AC29" s="417">
        <f t="shared" ca="1" si="3"/>
        <v>-2.7464392164382108E-4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2.1721069875994199E-4</v>
      </c>
      <c r="J30" s="403">
        <f ca="1"/>
        <v>4.5847400525171199E-4</v>
      </c>
      <c r="K30" s="403">
        <f ca="1"/>
        <v>0.47376884244656098</v>
      </c>
      <c r="L30" s="403">
        <f ca="1"/>
        <v>0.47376884244656098</v>
      </c>
      <c r="M30" s="403">
        <f ca="1"/>
        <v>-3.7987606336031398E-4</v>
      </c>
      <c r="N30" s="441" t="str">
        <f ca="1"/>
        <v>GLENCORE INTERNATIONAL AG</v>
      </c>
      <c r="O30" s="403"/>
      <c r="P30" s="403"/>
      <c r="Q30" s="403"/>
      <c r="R30" s="441"/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6.2159968149719004E-3</v>
      </c>
      <c r="U30" s="413">
        <f ca="1"/>
        <v>5.2707390037736397E-2</v>
      </c>
      <c r="V30" s="413">
        <f ca="1"/>
        <v>4.64913932227645E-2</v>
      </c>
      <c r="W30" s="414">
        <f ca="1"/>
        <v>1.1337020980461399E-2</v>
      </c>
      <c r="X30" s="415">
        <f ca="1"/>
        <v>4.6491393222764499</v>
      </c>
      <c r="Y30" s="416">
        <f t="shared" ca="1" si="5"/>
        <v>0.10354647975737336</v>
      </c>
      <c r="Z30" s="417">
        <f t="shared" ca="1" si="2"/>
        <v>-5.4576646956064345E-3</v>
      </c>
      <c r="AA30" s="416">
        <f t="shared" ca="1" si="0"/>
        <v>0.11844221061164024</v>
      </c>
      <c r="AB30" s="418">
        <f t="shared" ca="1" si="1"/>
        <v>1.0770169931438329E-2</v>
      </c>
      <c r="AC30" s="417">
        <f t="shared" ca="1" si="3"/>
        <v>-3.1213898958197127E-4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1.6854442186188499E-4</v>
      </c>
      <c r="J31" s="403">
        <f ca="1"/>
        <v>4.84684310365719E-4</v>
      </c>
      <c r="K31" s="403">
        <f ca="1"/>
        <v>0.34774061849600502</v>
      </c>
      <c r="L31" s="403">
        <f ca="1"/>
        <v>0.34774061849600502</v>
      </c>
      <c r="M31" s="403">
        <f ca="1"/>
        <v>-1.07229629301439E-4</v>
      </c>
      <c r="N31" s="441" t="str">
        <f ca="1"/>
        <v>GSK PLC</v>
      </c>
      <c r="O31" s="403"/>
      <c r="P31" s="403"/>
      <c r="Q31" s="403"/>
      <c r="R31" s="441"/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-3.5071488989201302E-2</v>
      </c>
      <c r="U31" s="413">
        <f ca="1"/>
        <v>1.2388627926844699E-2</v>
      </c>
      <c r="V31" s="413">
        <f ca="1"/>
        <v>4.7460116916046E-2</v>
      </c>
      <c r="W31" s="414">
        <f ca="1"/>
        <v>2.6103239376252399E-3</v>
      </c>
      <c r="X31" s="415">
        <f ca="1"/>
        <v>4.7460116916045996</v>
      </c>
      <c r="Y31" s="416">
        <f t="shared" ca="1" si="5"/>
        <v>0.10354647975737336</v>
      </c>
      <c r="Z31" s="417">
        <f t="shared" ca="1" si="2"/>
        <v>-1.2827988108486596E-3</v>
      </c>
      <c r="AA31" s="416">
        <f t="shared" ca="1" si="0"/>
        <v>8.6935154624001254E-2</v>
      </c>
      <c r="AB31" s="418">
        <f t="shared" ca="1" si="1"/>
        <v>2.479807740743978E-3</v>
      </c>
      <c r="AC31" s="417">
        <f t="shared" ca="1" si="3"/>
        <v>-5.3850364219973383E-5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2.0371195987253901E-4</v>
      </c>
      <c r="J32" s="403">
        <f ca="1"/>
        <v>4.4944546632909001E-4</v>
      </c>
      <c r="K32" s="403">
        <f ca="1"/>
        <v>0.45325178499715602</v>
      </c>
      <c r="L32" s="403">
        <f ca="1"/>
        <v>0.45325178499715602</v>
      </c>
      <c r="M32" s="403">
        <f ca="1"/>
        <v>-3.2347269503928198E-4</v>
      </c>
      <c r="N32" s="441" t="str">
        <f ca="1"/>
        <v>HEIDELBERG MATERIALS AG</v>
      </c>
      <c r="O32" s="403"/>
      <c r="P32" s="403"/>
      <c r="Q32" s="403"/>
      <c r="R32" s="441"/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-3.4932895111852999E-3</v>
      </c>
      <c r="U32" s="413">
        <f ca="1"/>
        <v>4.3129925199571401E-2</v>
      </c>
      <c r="V32" s="413">
        <f ca="1"/>
        <v>4.66232147107567E-2</v>
      </c>
      <c r="W32" s="414">
        <f ca="1"/>
        <v>9.2507403162014508E-3</v>
      </c>
      <c r="X32" s="415">
        <f ca="1"/>
        <v>4.6623214710756704</v>
      </c>
      <c r="Y32" s="416">
        <f t="shared" ca="1" si="5"/>
        <v>0.10354647975737336</v>
      </c>
      <c r="Z32" s="417">
        <f t="shared" ca="1" si="2"/>
        <v>-4.4659519266144433E-3</v>
      </c>
      <c r="AA32" s="416">
        <f t="shared" ca="1" si="0"/>
        <v>0.113312946249289</v>
      </c>
      <c r="AB32" s="418">
        <f t="shared" ca="1" si="1"/>
        <v>8.7882033003913781E-3</v>
      </c>
      <c r="AC32" s="417">
        <f t="shared" ca="1" si="3"/>
        <v>-2.4435894479374435E-4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1.97428881963138E-4</v>
      </c>
      <c r="J33" s="403">
        <f ca="1"/>
        <v>4.5577563817515802E-4</v>
      </c>
      <c r="K33" s="403">
        <f ca="1"/>
        <v>0.43317120404593601</v>
      </c>
      <c r="L33" s="403">
        <f ca="1"/>
        <v>0.43317120404593601</v>
      </c>
      <c r="M33" s="403">
        <f ca="1"/>
        <v>-2.72988874857152E-4</v>
      </c>
      <c r="N33" s="441" t="str">
        <f ca="1"/>
        <v>HOLCIM AG</v>
      </c>
      <c r="O33" s="403"/>
      <c r="P33" s="403"/>
      <c r="Q33" s="403"/>
      <c r="R33" s="441"/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-1.16883201243529E-2</v>
      </c>
      <c r="U33" s="413">
        <f ca="1"/>
        <v>3.5163749072916202E-2</v>
      </c>
      <c r="V33" s="413">
        <f ca="1"/>
        <v>4.68520691972691E-2</v>
      </c>
      <c r="W33" s="414">
        <f ca="1"/>
        <v>7.5052713093333003E-3</v>
      </c>
      <c r="X33" s="415">
        <f ca="1"/>
        <v>4.6852069197269097</v>
      </c>
      <c r="Y33" s="416">
        <f t="shared" ca="1" si="5"/>
        <v>0.10354647975737336</v>
      </c>
      <c r="Z33" s="417">
        <f t="shared" ca="1" si="2"/>
        <v>-3.6410824315720757E-3</v>
      </c>
      <c r="AA33" s="416">
        <f t="shared" ca="1" si="0"/>
        <v>0.108292801011484</v>
      </c>
      <c r="AB33" s="418">
        <f t="shared" ca="1" si="1"/>
        <v>7.1300077438666348E-3</v>
      </c>
      <c r="AC33" s="417">
        <f t="shared" ca="1" si="3"/>
        <v>-1.9039904405855382E-4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1.6058795763017401E-4</v>
      </c>
      <c r="J34" s="403">
        <f ca="1"/>
        <v>4.8689407945509602E-4</v>
      </c>
      <c r="K34" s="403">
        <f ca="1"/>
        <v>0.32982113442392802</v>
      </c>
      <c r="L34" s="403">
        <f ca="1"/>
        <v>0.32982113442392802</v>
      </c>
      <c r="M34" s="403">
        <f ca="1"/>
        <v>-8.3527353301367005E-5</v>
      </c>
      <c r="N34" s="441" t="str">
        <f ca="1"/>
        <v>DSM B.V</v>
      </c>
      <c r="O34" s="403"/>
      <c r="P34" s="403"/>
      <c r="Q34" s="403"/>
      <c r="R34" s="441"/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-3.8029014059207902E-2</v>
      </c>
      <c r="U34" s="413">
        <f ca="1"/>
        <v>9.5100488789100698E-3</v>
      </c>
      <c r="V34" s="413">
        <f ca="1"/>
        <v>4.7539062938118E-2</v>
      </c>
      <c r="W34" s="414">
        <f ca="1"/>
        <v>2.0004704113098298E-3</v>
      </c>
      <c r="X34" s="415">
        <f ca="1"/>
        <v>4.7539062938118004</v>
      </c>
      <c r="Y34" s="416">
        <f t="shared" ca="1" si="5"/>
        <v>0.10354647975737336</v>
      </c>
      <c r="Z34" s="417">
        <f t="shared" ca="1" si="2"/>
        <v>-9.8473208373169377E-4</v>
      </c>
      <c r="AA34" s="416">
        <f t="shared" ca="1" si="0"/>
        <v>8.2455283605982005E-2</v>
      </c>
      <c r="AB34" s="418">
        <f t="shared" ca="1" si="1"/>
        <v>1.9004468907443382E-3</v>
      </c>
      <c r="AC34" s="417">
        <f t="shared" ca="1" si="3"/>
        <v>-3.9207688870864146E-5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1.61589335455403E-4</v>
      </c>
      <c r="J35" s="403">
        <f ca="1"/>
        <v>4.8666922051471203E-4</v>
      </c>
      <c r="K35" s="403">
        <f ca="1"/>
        <v>0.33203113869519502</v>
      </c>
      <c r="L35" s="403">
        <f ca="1"/>
        <v>0.33203113869519502</v>
      </c>
      <c r="M35" s="403">
        <f ca="1"/>
        <v>-8.6254189570205106E-5</v>
      </c>
      <c r="N35" s="441" t="str">
        <f ca="1"/>
        <v>L'AIR LIQUIDE SOCIETE ANONYME POUR L'ETUDE ET L'EXPLOITATION DES PROCEDES GEORGES CLAUDE</v>
      </c>
      <c r="O35" s="403"/>
      <c r="P35" s="403"/>
      <c r="Q35" s="403"/>
      <c r="R35" s="441"/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-3.7695474153927301E-2</v>
      </c>
      <c r="U35" s="413">
        <f ca="1"/>
        <v>9.8376124015643607E-3</v>
      </c>
      <c r="V35" s="413">
        <f ca="1"/>
        <v>4.7533086555491703E-2</v>
      </c>
      <c r="W35" s="414">
        <f ca="1"/>
        <v>2.0696346722781402E-3</v>
      </c>
      <c r="X35" s="415">
        <f ca="1"/>
        <v>4.7533086555491701</v>
      </c>
      <c r="Y35" s="416">
        <f t="shared" ca="1" si="5"/>
        <v>0.10354647975737336</v>
      </c>
      <c r="Z35" s="417">
        <f t="shared" ca="1" si="2"/>
        <v>-1.0186501333994684E-3</v>
      </c>
      <c r="AA35" s="416">
        <f t="shared" ca="1" si="0"/>
        <v>8.3007784673798754E-2</v>
      </c>
      <c r="AB35" s="418">
        <f t="shared" ca="1" si="1"/>
        <v>1.9661529386642332E-3</v>
      </c>
      <c r="AC35" s="417">
        <f t="shared" ca="1" si="3"/>
        <v>-4.0829920596667276E-5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2.28763121408004E-4</v>
      </c>
      <c r="J36" s="403">
        <f ca="1"/>
        <v>4.3483917877440101E-4</v>
      </c>
      <c r="K36" s="403">
        <f ca="1"/>
        <v>0.52608672947266499</v>
      </c>
      <c r="L36" s="403">
        <f ca="1"/>
        <v>0.52608672947266499</v>
      </c>
      <c r="M36" s="403">
        <f ca="1"/>
        <v>-5.2640992658487202E-4</v>
      </c>
      <c r="N36" s="441" t="str">
        <f ca="1"/>
        <v>LANXESS AKTIENGESELLSCHAFT</v>
      </c>
      <c r="O36" s="403"/>
      <c r="P36" s="403"/>
      <c r="Q36" s="403"/>
      <c r="R36" s="441"/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3.6615173993132001E-2</v>
      </c>
      <c r="U36" s="413">
        <f ca="1"/>
        <v>8.1947913970165598E-2</v>
      </c>
      <c r="V36" s="413">
        <f ca="1"/>
        <v>4.5332739977033597E-2</v>
      </c>
      <c r="W36" s="414">
        <f ca="1"/>
        <v>1.8076982333669198E-2</v>
      </c>
      <c r="X36" s="415">
        <f ca="1"/>
        <v>4.5332739977033603</v>
      </c>
      <c r="Y36" s="416">
        <f t="shared" ca="1" si="5"/>
        <v>0.10354647975737336</v>
      </c>
      <c r="Z36" s="417">
        <f t="shared" ca="1" si="2"/>
        <v>-8.485418015070724E-3</v>
      </c>
      <c r="AA36" s="416">
        <f t="shared" ca="1" si="0"/>
        <v>0.13152168236816625</v>
      </c>
      <c r="AB36" s="418">
        <f t="shared" ca="1" si="1"/>
        <v>1.7173133216985739E-2</v>
      </c>
      <c r="AC36" s="417">
        <f t="shared" ca="1" si="3"/>
        <v>-5.3889637559589648E-4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1.95370248406217E-4</v>
      </c>
      <c r="J37" s="403">
        <f ca="1"/>
        <v>4.5752968452472301E-4</v>
      </c>
      <c r="K37" s="403">
        <f ca="1"/>
        <v>0.42701108805468102</v>
      </c>
      <c r="L37" s="403">
        <f ca="1"/>
        <v>0.42701108805468102</v>
      </c>
      <c r="M37" s="403">
        <f ca="1"/>
        <v>-2.5831576328183499E-4</v>
      </c>
      <c r="N37" s="441" t="str">
        <f ca="1"/>
        <v>LEONARDO SOCIETA' PER AZIONI</v>
      </c>
      <c r="O37" s="403"/>
      <c r="P37" s="403"/>
      <c r="Q37" s="403"/>
      <c r="R37" s="441"/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-1.4000994821895501E-2</v>
      </c>
      <c r="U37" s="413">
        <f ca="1"/>
        <v>3.2948519415091297E-2</v>
      </c>
      <c r="V37" s="413">
        <f ca="1"/>
        <v>4.6949514236986803E-2</v>
      </c>
      <c r="W37" s="414">
        <f ca="1"/>
        <v>7.0178616223327004E-3</v>
      </c>
      <c r="X37" s="415">
        <f ca="1"/>
        <v>4.6949514236986802</v>
      </c>
      <c r="Y37" s="416">
        <f t="shared" ca="1" si="5"/>
        <v>0.10354647975737336</v>
      </c>
      <c r="Z37" s="417">
        <f t="shared" ca="1" si="2"/>
        <v>-3.4117031986501682E-3</v>
      </c>
      <c r="AA37" s="416">
        <f t="shared" ca="1" si="0"/>
        <v>0.10675277201367026</v>
      </c>
      <c r="AB37" s="418">
        <f t="shared" ca="1" si="1"/>
        <v>6.6669685412160647E-3</v>
      </c>
      <c r="AC37" s="417">
        <f t="shared" ca="1" si="3"/>
        <v>-1.7586728906536148E-4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1.8902244687373201E-4</v>
      </c>
      <c r="J38" s="403">
        <f ca="1"/>
        <v>4.7526882846075198E-4</v>
      </c>
      <c r="K38" s="403">
        <f ca="1"/>
        <v>0.39771690368568202</v>
      </c>
      <c r="L38" s="403">
        <f ca="1"/>
        <v>0.39771690368568202</v>
      </c>
      <c r="M38" s="403">
        <f ca="1"/>
        <v>-1.9430793791466101E-4</v>
      </c>
      <c r="N38" s="441" t="str">
        <f ca="1"/>
        <v>MERCEDES-BENZ GROUP AG</v>
      </c>
      <c r="O38" s="403"/>
      <c r="P38" s="403"/>
      <c r="Q38" s="403"/>
      <c r="R38" s="441"/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-2.34076164084711E-2</v>
      </c>
      <c r="U38" s="413">
        <f ca="1"/>
        <v>2.37525582070412E-2</v>
      </c>
      <c r="V38" s="413">
        <f ca="1"/>
        <v>4.71601746155123E-2</v>
      </c>
      <c r="W38" s="414">
        <f ca="1"/>
        <v>5.03657130209782E-3</v>
      </c>
      <c r="X38" s="415">
        <f ca="1"/>
        <v>4.71601746155123</v>
      </c>
      <c r="Y38" s="416">
        <f t="shared" ca="1" si="5"/>
        <v>0.10354647975737336</v>
      </c>
      <c r="Z38" s="417">
        <f t="shared" ca="1" si="2"/>
        <v>-2.4594937875712171E-3</v>
      </c>
      <c r="AA38" s="416">
        <f t="shared" ca="1" si="0"/>
        <v>9.9429225921420505E-2</v>
      </c>
      <c r="AB38" s="418">
        <f t="shared" ca="1" si="1"/>
        <v>4.7847427369929283E-3</v>
      </c>
      <c r="AC38" s="417">
        <f t="shared" ca="1" si="3"/>
        <v>-1.180849238089795E-4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2.20350161622598E-4</v>
      </c>
      <c r="J39" s="403">
        <f ca="1"/>
        <v>4.50854976536591E-4</v>
      </c>
      <c r="K39" s="403">
        <f ca="1"/>
        <v>0.48873844825956902</v>
      </c>
      <c r="L39" s="403">
        <f ca="1"/>
        <v>0.48873844825956902</v>
      </c>
      <c r="M39" s="403">
        <f ca="1"/>
        <v>-4.2097899187574302E-4</v>
      </c>
      <c r="N39" s="441" t="str">
        <f ca="1"/>
        <v>POSTNL N.V.</v>
      </c>
      <c r="O39" s="403"/>
      <c r="P39" s="403"/>
      <c r="Q39" s="403"/>
      <c r="R39" s="441"/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1.4185917235639001E-2</v>
      </c>
      <c r="U39" s="413">
        <f ca="1"/>
        <v>6.0223947855388503E-2</v>
      </c>
      <c r="V39" s="413">
        <f ca="1"/>
        <v>4.6038030619749502E-2</v>
      </c>
      <c r="W39" s="414">
        <f ca="1"/>
        <v>1.30813475391264E-2</v>
      </c>
      <c r="X39" s="415">
        <f ca="1"/>
        <v>4.6038030619749497</v>
      </c>
      <c r="Y39" s="416">
        <f t="shared" ca="1" si="5"/>
        <v>0.10354647975737336</v>
      </c>
      <c r="Z39" s="417">
        <f t="shared" ca="1" si="2"/>
        <v>-6.2359777975171038E-3</v>
      </c>
      <c r="AA39" s="416">
        <f t="shared" ca="1" si="0"/>
        <v>0.12218461206489226</v>
      </c>
      <c r="AB39" s="418">
        <f t="shared" ca="1" si="1"/>
        <v>1.242728016217008E-2</v>
      </c>
      <c r="AC39" s="417">
        <f t="shared" ca="1" si="3"/>
        <v>-3.6792198528634768E-4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1.9009690364397299E-4</v>
      </c>
      <c r="J40" s="403">
        <f ca="1"/>
        <v>4.6160030538566998E-4</v>
      </c>
      <c r="K40" s="403">
        <f ca="1"/>
        <v>0.41182144254680603</v>
      </c>
      <c r="L40" s="403">
        <f ca="1"/>
        <v>0.41182144254680603</v>
      </c>
      <c r="M40" s="403">
        <f ca="1"/>
        <v>-2.2343895737618599E-4</v>
      </c>
      <c r="N40" s="441" t="str">
        <f ca="1"/>
        <v>RENTOKIL INITIAL PLC</v>
      </c>
      <c r="O40" s="403"/>
      <c r="P40" s="403"/>
      <c r="Q40" s="403"/>
      <c r="R40" s="441"/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-1.9181789231695098E-2</v>
      </c>
      <c r="U40" s="413">
        <f ca="1"/>
        <v>2.7842456894480599E-2</v>
      </c>
      <c r="V40" s="413">
        <f ca="1"/>
        <v>4.7024246126175701E-2</v>
      </c>
      <c r="W40" s="414">
        <f ca="1"/>
        <v>5.9208725685412598E-3</v>
      </c>
      <c r="X40" s="415">
        <f ca="1"/>
        <v>4.7024246126175697</v>
      </c>
      <c r="Y40" s="416">
        <f t="shared" ca="1" si="5"/>
        <v>0.10354647975737336</v>
      </c>
      <c r="Z40" s="417">
        <f t="shared" ca="1" si="2"/>
        <v>-2.8829883992198785E-3</v>
      </c>
      <c r="AA40" s="416">
        <f t="shared" ca="1" si="0"/>
        <v>0.10295536063670151</v>
      </c>
      <c r="AB40" s="418">
        <f t="shared" ca="1" si="1"/>
        <v>5.6248289401141967E-3</v>
      </c>
      <c r="AC40" s="417">
        <f t="shared" ca="1" si="3"/>
        <v>-1.4332650952915356E-4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1.77185570456952E-4</v>
      </c>
      <c r="J41" s="403">
        <f ca="1"/>
        <v>4.8146427893371101E-4</v>
      </c>
      <c r="K41" s="403">
        <f ca="1"/>
        <v>0.36801394871777698</v>
      </c>
      <c r="L41" s="403">
        <f ca="1"/>
        <v>0.36801394871777698</v>
      </c>
      <c r="M41" s="403">
        <f ca="1"/>
        <v>-1.38787792235764E-4</v>
      </c>
      <c r="N41" s="441" t="str">
        <f ca="1"/>
        <v>SANOFI</v>
      </c>
      <c r="O41" s="403"/>
      <c r="P41" s="403"/>
      <c r="Q41" s="403"/>
      <c r="R41" s="441"/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-3.0981676694346899E-2</v>
      </c>
      <c r="U41" s="413">
        <f ca="1"/>
        <v>1.63597438095342E-2</v>
      </c>
      <c r="V41" s="413">
        <f ca="1"/>
        <v>4.7341420503881099E-2</v>
      </c>
      <c r="W41" s="414">
        <f ca="1"/>
        <v>3.4556934784398898E-3</v>
      </c>
      <c r="X41" s="415">
        <f ca="1"/>
        <v>4.73414205038811</v>
      </c>
      <c r="Y41" s="416">
        <f t="shared" ca="1" si="5"/>
        <v>0.10354647975737336</v>
      </c>
      <c r="Z41" s="417">
        <f t="shared" ca="1" si="2"/>
        <v>-1.6939938812097512E-3</v>
      </c>
      <c r="AA41" s="416">
        <f t="shared" ca="1" si="0"/>
        <v>9.2003487179444246E-2</v>
      </c>
      <c r="AB41" s="418">
        <f t="shared" ca="1" si="1"/>
        <v>3.2829088045178952E-3</v>
      </c>
      <c r="AC41" s="417">
        <f t="shared" ca="1" si="3"/>
        <v>-7.5257673991973846E-5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611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1.7855526667917199E-4</v>
      </c>
      <c r="J42" s="403">
        <f ca="1"/>
        <v>4.8070890051058699E-4</v>
      </c>
      <c r="K42" s="403">
        <f ca="1"/>
        <v>0.371441565757403</v>
      </c>
      <c r="L42" s="403">
        <f ca="1"/>
        <v>0.371441565757403</v>
      </c>
      <c r="M42" s="403">
        <f ca="1"/>
        <v>-1.4456833438165599E-4</v>
      </c>
      <c r="N42" s="441" t="str">
        <f ca="1"/>
        <v>SIEMENS AKTIENGESELLSCHAFT</v>
      </c>
      <c r="O42" s="403"/>
      <c r="P42" s="403"/>
      <c r="Q42" s="403"/>
      <c r="R42" s="441"/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-3.0193436510622E-2</v>
      </c>
      <c r="U42" s="413">
        <f ca="1"/>
        <v>1.71019119827228E-2</v>
      </c>
      <c r="V42" s="413">
        <f ca="1"/>
        <v>4.7295348493344803E-2</v>
      </c>
      <c r="W42" s="414">
        <f ca="1"/>
        <v>3.6159818095281302E-3</v>
      </c>
      <c r="X42" s="415">
        <f ca="1"/>
        <v>4.7295348493344802</v>
      </c>
      <c r="Y42" s="416">
        <f t="shared" ca="1" si="5"/>
        <v>0.10354647975737336</v>
      </c>
      <c r="Z42" s="417">
        <f t="shared" ca="1" si="2"/>
        <v>-1.7708427829313919E-3</v>
      </c>
      <c r="AA42" s="416">
        <f t="shared" ca="1" si="0"/>
        <v>9.2860391439350751E-2</v>
      </c>
      <c r="AB42" s="418">
        <f t="shared" ca="1" si="1"/>
        <v>3.4351827190517237E-3</v>
      </c>
      <c r="AC42" s="417">
        <f t="shared" ca="1" si="3"/>
        <v>-7.9404512053848312E-5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1.8905553384238101E-4</v>
      </c>
      <c r="J43" s="403">
        <f ca="1"/>
        <v>4.75151645064738E-4</v>
      </c>
      <c r="K43" s="403">
        <f ca="1"/>
        <v>0.39788462442684502</v>
      </c>
      <c r="L43" s="403">
        <f ca="1"/>
        <v>0.39788462442684502</v>
      </c>
      <c r="M43" s="403">
        <f ca="1"/>
        <v>-1.9458766900259001E-4</v>
      </c>
      <c r="N43" s="441" t="str">
        <f ca="1"/>
        <v>SMURFIT KAPPA ACQUISITIONS UNLIMITED COMPANY</v>
      </c>
      <c r="O43" s="403"/>
      <c r="P43" s="403"/>
      <c r="Q43" s="403"/>
      <c r="R43" s="441"/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-2.3345005709447701E-2</v>
      </c>
      <c r="U43" s="413">
        <f ca="1"/>
        <v>2.3789095762786899E-2</v>
      </c>
      <c r="V43" s="413">
        <f ca="1"/>
        <v>4.7134101472234603E-2</v>
      </c>
      <c r="W43" s="414">
        <f ca="1"/>
        <v>5.0471092096240396E-3</v>
      </c>
      <c r="X43" s="415">
        <f ca="1"/>
        <v>4.7134101472234597</v>
      </c>
      <c r="Y43" s="416">
        <f t="shared" ca="1" si="5"/>
        <v>0.10354647975737336</v>
      </c>
      <c r="Z43" s="417">
        <f t="shared" ca="1" si="2"/>
        <v>-2.4632771228476325E-3</v>
      </c>
      <c r="AA43" s="416">
        <f t="shared" ca="1" si="0"/>
        <v>9.9471156106711256E-2</v>
      </c>
      <c r="AB43" s="418">
        <f t="shared" ca="1" si="1"/>
        <v>4.7947537491428377E-3</v>
      </c>
      <c r="AC43" s="417">
        <f t="shared" ca="1" si="3"/>
        <v>-1.1831644291288402E-4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2.0141473633243499E-4</v>
      </c>
      <c r="J44" s="403">
        <f ca="1"/>
        <v>4.5196209833667797E-4</v>
      </c>
      <c r="K44" s="403">
        <f ca="1"/>
        <v>0.445645192536468</v>
      </c>
      <c r="L44" s="403">
        <f ca="1"/>
        <v>0.445645192536468</v>
      </c>
      <c r="M44" s="403">
        <f ca="1"/>
        <v>-3.03878485377158E-4</v>
      </c>
      <c r="N44" s="441" t="str">
        <f ca="1"/>
        <v>SOLVAY</v>
      </c>
      <c r="O44" s="403"/>
      <c r="P44" s="403"/>
      <c r="Q44" s="403"/>
      <c r="R44" s="441"/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-6.6778196615791003E-3</v>
      </c>
      <c r="U44" s="413">
        <f ca="1"/>
        <v>3.9976728196730801E-2</v>
      </c>
      <c r="V44" s="413">
        <f ca="1"/>
        <v>4.66545478583099E-2</v>
      </c>
      <c r="W44" s="414">
        <f ca="1"/>
        <v>8.5686669428541792E-3</v>
      </c>
      <c r="X44" s="415">
        <f ca="1"/>
        <v>4.66545478583099</v>
      </c>
      <c r="Y44" s="416">
        <f t="shared" ca="1" si="5"/>
        <v>0.10354647975737336</v>
      </c>
      <c r="Z44" s="417">
        <f t="shared" ca="1" si="2"/>
        <v>-4.1394494769888051E-3</v>
      </c>
      <c r="AA44" s="416">
        <f t="shared" ca="1" si="0"/>
        <v>0.111411298134117</v>
      </c>
      <c r="AB44" s="418">
        <f t="shared" ca="1" si="1"/>
        <v>8.1402335957114699E-3</v>
      </c>
      <c r="AC44" s="417">
        <f t="shared" ca="1" si="3"/>
        <v>-2.2269295917762719E-4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2.1474551662834001E-4</v>
      </c>
      <c r="J45" s="403">
        <f ca="1"/>
        <v>4.59179796950034E-4</v>
      </c>
      <c r="K45" s="403">
        <f ca="1"/>
        <v>0.46767196216977203</v>
      </c>
      <c r="L45" s="403">
        <f ca="1"/>
        <v>0.46767196216977203</v>
      </c>
      <c r="M45" s="403">
        <f ca="1"/>
        <v>-3.6306455915395802E-4</v>
      </c>
      <c r="N45" s="441" t="str">
        <f ca="1"/>
        <v>STELLANTIS N.V.</v>
      </c>
      <c r="O45" s="403"/>
      <c r="P45" s="403"/>
      <c r="Q45" s="403"/>
      <c r="R45" s="441"/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3.3374471744979E-3</v>
      </c>
      <c r="U45" s="413">
        <f ca="1"/>
        <v>4.9774549118033203E-2</v>
      </c>
      <c r="V45" s="413">
        <f ca="1"/>
        <v>4.64371019435353E-2</v>
      </c>
      <c r="W45" s="414">
        <f ca="1"/>
        <v>1.0718702725798E-2</v>
      </c>
      <c r="X45" s="415">
        <f ca="1"/>
        <v>4.6437101943535302</v>
      </c>
      <c r="Y45" s="416">
        <f t="shared" ca="1" si="5"/>
        <v>0.10354647975737336</v>
      </c>
      <c r="Z45" s="417">
        <f t="shared" ca="1" si="2"/>
        <v>-5.1539793426828044E-3</v>
      </c>
      <c r="AA45" s="416">
        <f t="shared" ca="1" si="0"/>
        <v>0.11691799054244301</v>
      </c>
      <c r="AB45" s="418">
        <f t="shared" ca="1" si="1"/>
        <v>1.0182767589508099E-2</v>
      </c>
      <c r="AC45" s="417">
        <f t="shared" ca="1" si="3"/>
        <v>-2.9097701315182863E-4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2.01218566112509E-4</v>
      </c>
      <c r="J46" s="403">
        <f ca="1"/>
        <v>4.5215769682936701E-4</v>
      </c>
      <c r="K46" s="403">
        <f ca="1"/>
        <v>0.44501855773660298</v>
      </c>
      <c r="L46" s="403">
        <f ca="1"/>
        <v>0.44501855773660298</v>
      </c>
      <c r="M46" s="403">
        <f ca="1"/>
        <v>-3.0230855474247401E-4</v>
      </c>
      <c r="N46" s="441" t="str">
        <f ca="1"/>
        <v>STORA ENSO OYJ</v>
      </c>
      <c r="O46" s="403"/>
      <c r="P46" s="403"/>
      <c r="Q46" s="403"/>
      <c r="R46" s="441"/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-6.9553265457528001E-3</v>
      </c>
      <c r="U46" s="413">
        <f ca="1"/>
        <v>3.9726003600096101E-2</v>
      </c>
      <c r="V46" s="413">
        <f ca="1"/>
        <v>4.6681330145848902E-2</v>
      </c>
      <c r="W46" s="414">
        <f ca="1"/>
        <v>8.5100410540955105E-3</v>
      </c>
      <c r="X46" s="415">
        <f ca="1"/>
        <v>4.6681330145848898</v>
      </c>
      <c r="Y46" s="416">
        <f t="shared" ca="1" si="5"/>
        <v>0.10354647975737336</v>
      </c>
      <c r="Z46" s="417">
        <f t="shared" ca="1" si="2"/>
        <v>-4.113487827618687E-3</v>
      </c>
      <c r="AA46" s="416">
        <f t="shared" ca="1" si="0"/>
        <v>0.11125463943415075</v>
      </c>
      <c r="AB46" s="418">
        <f t="shared" ca="1" si="1"/>
        <v>8.0845390013907347E-3</v>
      </c>
      <c r="AC46" s="417">
        <f t="shared" ca="1" si="3"/>
        <v>-2.2098511033442314E-4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2.1970563968359599E-4</v>
      </c>
      <c r="J47" s="403">
        <f ca="1"/>
        <v>4.5366848976795997E-4</v>
      </c>
      <c r="K47" s="403">
        <f ca="1"/>
        <v>0.48428675263730597</v>
      </c>
      <c r="L47" s="403">
        <f ca="1"/>
        <v>0.48428675263730597</v>
      </c>
      <c r="M47" s="403">
        <f ca="1"/>
        <v>-4.0867530468894199E-4</v>
      </c>
      <c r="N47" s="441" t="str">
        <f ca="1"/>
        <v>UNIBAIL-RODAMCO-WESTFIELD SE</v>
      </c>
      <c r="O47" s="403"/>
      <c r="P47" s="403"/>
      <c r="Q47" s="403"/>
      <c r="R47" s="441"/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1.1687285831313701E-2</v>
      </c>
      <c r="U47" s="413">
        <f ca="1"/>
        <v>5.7913044048241401E-2</v>
      </c>
      <c r="V47" s="413">
        <f ca="1"/>
        <v>4.6225758216927697E-2</v>
      </c>
      <c r="W47" s="414">
        <f ca="1"/>
        <v>1.2528305923391801E-2</v>
      </c>
      <c r="X47" s="415">
        <f ca="1"/>
        <v>4.6225758216927701</v>
      </c>
      <c r="Y47" s="416">
        <f t="shared" ca="1" si="5"/>
        <v>0.10354647975737336</v>
      </c>
      <c r="Z47" s="417">
        <f t="shared" ca="1" si="2"/>
        <v>-5.9966918432290848E-3</v>
      </c>
      <c r="AA47" s="416">
        <f t="shared" ca="1" si="0"/>
        <v>0.12107168815932649</v>
      </c>
      <c r="AB47" s="418">
        <f t="shared" ca="1" si="1"/>
        <v>1.190189062722221E-2</v>
      </c>
      <c r="AC47" s="417">
        <f t="shared" ca="1" si="3"/>
        <v>-3.5058150046830047E-4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1.75282069828935E-4</v>
      </c>
      <c r="J48" s="403">
        <f ca="1"/>
        <v>4.8225647755969402E-4</v>
      </c>
      <c r="K48" s="403">
        <f ca="1"/>
        <v>0.363462344178132</v>
      </c>
      <c r="L48" s="403">
        <f ca="1"/>
        <v>0.363462344178132</v>
      </c>
      <c r="M48" s="403">
        <f ca="1"/>
        <v>-1.3125666869129299E-4</v>
      </c>
      <c r="N48" s="441" t="str">
        <f ca="1"/>
        <v>VINCI</v>
      </c>
      <c r="O48" s="403"/>
      <c r="P48" s="403"/>
      <c r="Q48" s="403"/>
      <c r="R48" s="441"/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-3.19730844117481E-2</v>
      </c>
      <c r="U48" s="413">
        <f ca="1"/>
        <v>1.53972682680035E-2</v>
      </c>
      <c r="V48" s="413">
        <f ca="1"/>
        <v>4.73703526797516E-2</v>
      </c>
      <c r="W48" s="414">
        <f ca="1"/>
        <v>3.2504018646635499E-3</v>
      </c>
      <c r="X48" s="415">
        <f ca="1"/>
        <v>4.7370352679751599</v>
      </c>
      <c r="Y48" s="416">
        <f t="shared" ca="1" si="5"/>
        <v>0.10354647975737336</v>
      </c>
      <c r="Z48" s="417">
        <f t="shared" ca="1" si="2"/>
        <v>-1.5943329270316673E-3</v>
      </c>
      <c r="AA48" s="416">
        <f t="shared" ca="1" si="0"/>
        <v>9.0865586044533E-2</v>
      </c>
      <c r="AB48" s="418">
        <f t="shared" ca="1" si="1"/>
        <v>3.0878817714303725E-3</v>
      </c>
      <c r="AC48" s="417">
        <f t="shared" ca="1" si="3"/>
        <v>-6.9954090232851276E-5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2.0342355283276001E-4</v>
      </c>
      <c r="J49" s="403">
        <f ca="1"/>
        <v>4.4975715646221499E-4</v>
      </c>
      <c r="K49" s="403">
        <f ca="1"/>
        <v>0.45229642243580398</v>
      </c>
      <c r="L49" s="403">
        <f ca="1"/>
        <v>0.45229642243580398</v>
      </c>
      <c r="M49" s="403">
        <f ca="1"/>
        <v>-3.2103153334634999E-4</v>
      </c>
      <c r="N49" s="441" t="str">
        <f ca="1"/>
        <v>VOLKSWAGEN AKTIENGESELLSCHAFT</v>
      </c>
      <c r="O49" s="403"/>
      <c r="P49" s="403"/>
      <c r="Q49" s="403"/>
      <c r="R49" s="441"/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-3.9307669616303999E-3</v>
      </c>
      <c r="U49" s="413">
        <f ca="1"/>
        <v>4.2731276327074803E-2</v>
      </c>
      <c r="V49" s="413">
        <f ca="1"/>
        <v>4.6662043288705199E-2</v>
      </c>
      <c r="W49" s="414">
        <f ca="1"/>
        <v>9.1576093362842996E-3</v>
      </c>
      <c r="X49" s="415">
        <f ca="1"/>
        <v>4.6662043288705197</v>
      </c>
      <c r="Y49" s="416">
        <f t="shared" ca="1" si="5"/>
        <v>0.10354647975737336</v>
      </c>
      <c r="Z49" s="417">
        <f t="shared" ca="1" si="2"/>
        <v>-4.4246732392081867E-3</v>
      </c>
      <c r="AA49" s="416">
        <f t="shared" ca="1" si="0"/>
        <v>0.11307410560895099</v>
      </c>
      <c r="AB49" s="418">
        <f t="shared" ca="1" si="1"/>
        <v>8.6997288694700848E-3</v>
      </c>
      <c r="AC49" s="417">
        <f t="shared" ca="1" si="3"/>
        <v>-2.4159004261064659E-4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1.95759065215721E-4</v>
      </c>
      <c r="J50" s="403">
        <f ca="1"/>
        <v>4.5725600982477903E-4</v>
      </c>
      <c r="K50" s="403">
        <f ca="1"/>
        <v>0.42811698700414302</v>
      </c>
      <c r="L50" s="403">
        <f ca="1"/>
        <v>0.42811698700414302</v>
      </c>
      <c r="M50" s="403">
        <f ca="1"/>
        <v>-2.6076451595409799E-4</v>
      </c>
      <c r="N50" s="441" t="str">
        <f ca="1"/>
        <v>WENDEL</v>
      </c>
      <c r="O50" s="403"/>
      <c r="P50" s="403"/>
      <c r="Q50" s="403"/>
      <c r="R50" s="441"/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-1.3532655164906499E-2</v>
      </c>
      <c r="U50" s="413">
        <f ca="1"/>
        <v>3.33142917035779E-2</v>
      </c>
      <c r="V50" s="413">
        <f ca="1"/>
        <v>4.6846946868484403E-2</v>
      </c>
      <c r="W50" s="414">
        <f ca="1"/>
        <v>7.1113047766170603E-3</v>
      </c>
      <c r="X50" s="415">
        <f ca="1"/>
        <v>4.6846946868484398</v>
      </c>
      <c r="Y50" s="416">
        <f t="shared" ca="1" si="5"/>
        <v>0.10354647975737336</v>
      </c>
      <c r="Z50" s="417">
        <f t="shared" ca="1" si="2"/>
        <v>-3.4495776315157573E-3</v>
      </c>
      <c r="AA50" s="416">
        <f t="shared" ca="1" si="0"/>
        <v>0.10702924675103576</v>
      </c>
      <c r="AB50" s="418">
        <f t="shared" ca="1" si="1"/>
        <v>6.7557395377862072E-3</v>
      </c>
      <c r="AC50" s="417">
        <f t="shared" ca="1" si="3"/>
        <v>-1.78280177353911E-4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612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2.2830323037730701E-4</v>
      </c>
      <c r="J51" s="403">
        <f ca="1"/>
        <v>4.3780598022740899E-4</v>
      </c>
      <c r="K51" s="403">
        <f ca="1"/>
        <v>0.52147124682654999</v>
      </c>
      <c r="L51" s="403">
        <f ca="1"/>
        <v>0.52147124682654999</v>
      </c>
      <c r="M51" s="403">
        <f ca="1"/>
        <v>-5.1342062590734397E-4</v>
      </c>
      <c r="N51" s="441" t="str">
        <f ca="1"/>
        <v>AKTIEBOLAGET ELECTROLUX</v>
      </c>
      <c r="O51" s="403"/>
      <c r="P51" s="403"/>
      <c r="Q51" s="403"/>
      <c r="R51" s="441"/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3.3513711178599401E-2</v>
      </c>
      <c r="U51" s="413">
        <f ca="1"/>
        <v>7.9025584350955302E-2</v>
      </c>
      <c r="V51" s="413">
        <f ca="1"/>
        <v>4.5511873172355902E-2</v>
      </c>
      <c r="W51" s="414">
        <f ca="1"/>
        <v>1.7363729251855E-2</v>
      </c>
      <c r="X51" s="415">
        <f ca="1"/>
        <v>4.5511873172355903</v>
      </c>
      <c r="Y51" s="416">
        <f t="shared" ca="1" si="5"/>
        <v>0.10354647975737336</v>
      </c>
      <c r="Z51" s="417">
        <f t="shared" ca="1" si="2"/>
        <v>-8.1828210703107727E-3</v>
      </c>
      <c r="AA51" s="416">
        <f t="shared" ca="1" si="0"/>
        <v>0.1303678117066375</v>
      </c>
      <c r="AB51" s="418">
        <f t="shared" ca="1" si="1"/>
        <v>1.6495542789262248E-2</v>
      </c>
      <c r="AC51" s="417">
        <f t="shared" ca="1" si="3"/>
        <v>-5.1511962503361707E-4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1.8298795913493E-4</v>
      </c>
      <c r="J52" s="403">
        <f ca="1"/>
        <v>4.7869431707126897E-4</v>
      </c>
      <c r="K52" s="403">
        <f ca="1"/>
        <v>0.382264741003153</v>
      </c>
      <c r="L52" s="403">
        <f ca="1"/>
        <v>0.382264741003153</v>
      </c>
      <c r="M52" s="403">
        <f ca="1"/>
        <v>-1.64032228343238E-4</v>
      </c>
      <c r="N52" s="441" t="str">
        <f ca="1"/>
        <v>ANHEUSER-BUSCH INBEV</v>
      </c>
      <c r="O52" s="403"/>
      <c r="P52" s="403"/>
      <c r="Q52" s="403"/>
      <c r="R52" s="441"/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-2.75870351360448E-2</v>
      </c>
      <c r="U52" s="413">
        <f ca="1"/>
        <v>1.9654801857257102E-2</v>
      </c>
      <c r="V52" s="413">
        <f ca="1"/>
        <v>4.7241836993301901E-2</v>
      </c>
      <c r="W52" s="414">
        <f ca="1"/>
        <v>4.1604651952979301E-3</v>
      </c>
      <c r="X52" s="415">
        <f ca="1"/>
        <v>4.7241836993301902</v>
      </c>
      <c r="Y52" s="416">
        <f t="shared" ca="1" si="5"/>
        <v>0.10354647975737336</v>
      </c>
      <c r="Z52" s="417">
        <f t="shared" ca="1" si="2"/>
        <v>-2.0351855426476544E-3</v>
      </c>
      <c r="AA52" s="416">
        <f t="shared" ca="1" si="0"/>
        <v>9.5566185250788249E-2</v>
      </c>
      <c r="AB52" s="418">
        <f t="shared" ca="1" si="1"/>
        <v>3.9524419355330331E-3</v>
      </c>
      <c r="AC52" s="417">
        <f t="shared" ca="1" si="3"/>
        <v>-9.3916721767908556E-5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1.9553914856732801E-4</v>
      </c>
      <c r="J53" s="403">
        <f ca="1"/>
        <v>4.5742219171824401E-4</v>
      </c>
      <c r="K53" s="403">
        <f ca="1"/>
        <v>0.42748067782372301</v>
      </c>
      <c r="L53" s="403">
        <f ca="1"/>
        <v>0.42748067782372301</v>
      </c>
      <c r="M53" s="403">
        <f ca="1"/>
        <v>-2.5931336572968601E-4</v>
      </c>
      <c r="N53" s="441" t="str">
        <f ca="1"/>
        <v>BRITISH AMERICAN TOBACCO P.L.C.</v>
      </c>
      <c r="O53" s="403"/>
      <c r="P53" s="403"/>
      <c r="Q53" s="403"/>
      <c r="R53" s="441"/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-1.37967391471532E-2</v>
      </c>
      <c r="U53" s="413">
        <f ca="1"/>
        <v>3.3095986580023197E-2</v>
      </c>
      <c r="V53" s="413">
        <f ca="1"/>
        <v>4.6892725727176399E-2</v>
      </c>
      <c r="W53" s="414">
        <f ca="1"/>
        <v>7.0578082350291997E-3</v>
      </c>
      <c r="X53" s="415">
        <f ca="1"/>
        <v>4.6892725727176403</v>
      </c>
      <c r="Y53" s="416">
        <f t="shared" ca="1" si="5"/>
        <v>0.10354647975737336</v>
      </c>
      <c r="Z53" s="417">
        <f t="shared" ca="1" si="2"/>
        <v>-3.426972904458665E-3</v>
      </c>
      <c r="AA53" s="416">
        <f t="shared" ca="1" si="0"/>
        <v>0.10687016945593075</v>
      </c>
      <c r="AB53" s="418">
        <f t="shared" ca="1" si="1"/>
        <v>6.7049178232777397E-3</v>
      </c>
      <c r="AC53" s="417">
        <f t="shared" ca="1" si="3"/>
        <v>-1.7684868470591408E-4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1.7386959704376501E-4</v>
      </c>
      <c r="J54" s="403">
        <f ca="1"/>
        <v>4.8289793868937301E-4</v>
      </c>
      <c r="K54" s="403">
        <f ca="1"/>
        <v>0.36005454385591801</v>
      </c>
      <c r="L54" s="403">
        <f ca="1"/>
        <v>0.36005454385591801</v>
      </c>
      <c r="M54" s="403">
        <f ca="1"/>
        <v>-1.2583574566299701E-4</v>
      </c>
      <c r="N54" s="441" t="str">
        <f ca="1"/>
        <v>CARLSBERG BREWERIES A/S</v>
      </c>
      <c r="O54" s="403"/>
      <c r="P54" s="403"/>
      <c r="Q54" s="403"/>
      <c r="R54" s="441"/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-3.2690959853271202E-2</v>
      </c>
      <c r="U54" s="413">
        <f ca="1"/>
        <v>1.4712892820885601E-2</v>
      </c>
      <c r="V54" s="413">
        <f ca="1"/>
        <v>4.7403852674156803E-2</v>
      </c>
      <c r="W54" s="414">
        <f ca="1"/>
        <v>3.1037335555864202E-3</v>
      </c>
      <c r="X54" s="415">
        <f ca="1"/>
        <v>4.7403852674156797</v>
      </c>
      <c r="Y54" s="416">
        <f t="shared" ca="1" si="5"/>
        <v>0.10354647975737336</v>
      </c>
      <c r="Z54" s="417">
        <f t="shared" ca="1" si="2"/>
        <v>-1.5234682586502293E-3</v>
      </c>
      <c r="AA54" s="416">
        <f t="shared" ca="1" si="0"/>
        <v>9.0013635963979502E-2</v>
      </c>
      <c r="AB54" s="418">
        <f t="shared" ca="1" si="1"/>
        <v>2.948546877807099E-3</v>
      </c>
      <c r="AC54" s="417">
        <f t="shared" ca="1" si="3"/>
        <v>-6.6218048917812071E-5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1.9049172399054001E-4</v>
      </c>
      <c r="J55" s="403">
        <f ca="1"/>
        <v>4.7424636935034003E-4</v>
      </c>
      <c r="K55" s="403">
        <f ca="1"/>
        <v>0.40167249830819102</v>
      </c>
      <c r="L55" s="403">
        <f ca="1"/>
        <v>0.40167249830819102</v>
      </c>
      <c r="M55" s="403">
        <f ca="1"/>
        <v>-2.0248835532056501E-4</v>
      </c>
      <c r="N55" s="441" t="str">
        <f ca="1"/>
        <v>CARREFOUR</v>
      </c>
      <c r="O55" s="403"/>
      <c r="P55" s="403"/>
      <c r="Q55" s="403"/>
      <c r="R55" s="441"/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-2.22428690384011E-2</v>
      </c>
      <c r="U55" s="413">
        <f ca="1"/>
        <v>2.4886042286488601E-2</v>
      </c>
      <c r="V55" s="413">
        <f ca="1"/>
        <v>4.7128911324889701E-2</v>
      </c>
      <c r="W55" s="414">
        <f ca="1"/>
        <v>5.2804195104218001E-3</v>
      </c>
      <c r="X55" s="415">
        <f ca="1"/>
        <v>4.71289113248897</v>
      </c>
      <c r="Y55" s="416">
        <f t="shared" ca="1" si="5"/>
        <v>0.10354647975737336</v>
      </c>
      <c r="Z55" s="417">
        <f t="shared" ca="1" si="2"/>
        <v>-2.576862073859034E-3</v>
      </c>
      <c r="AA55" s="416">
        <f t="shared" ca="1" si="0"/>
        <v>0.10041812457704775</v>
      </c>
      <c r="AB55" s="418">
        <f t="shared" ca="1" si="1"/>
        <v>5.0163985349007097E-3</v>
      </c>
      <c r="AC55" s="417">
        <f t="shared" ca="1" si="3"/>
        <v>-1.2495048472771495E-4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1.6521982500126601E-4</v>
      </c>
      <c r="J56" s="403">
        <f ca="1"/>
        <v>4.8573878684479097E-4</v>
      </c>
      <c r="K56" s="403">
        <f ca="1"/>
        <v>0.34014130531861198</v>
      </c>
      <c r="L56" s="403">
        <f ca="1"/>
        <v>0.34014130531861198</v>
      </c>
      <c r="M56" s="403">
        <f ca="1"/>
        <v>-9.6738304768368997E-5</v>
      </c>
      <c r="N56" s="441" t="str">
        <f ca="1"/>
        <v>COMPASS GROUP PLC</v>
      </c>
      <c r="O56" s="403"/>
      <c r="P56" s="403"/>
      <c r="Q56" s="403"/>
      <c r="R56" s="441"/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-3.6397800462464797E-2</v>
      </c>
      <c r="U56" s="413">
        <f ca="1"/>
        <v>1.1105838742753201E-2</v>
      </c>
      <c r="V56" s="413">
        <f ca="1"/>
        <v>4.7503639205218003E-2</v>
      </c>
      <c r="W56" s="414">
        <f ca="1"/>
        <v>2.3378921970115601E-3</v>
      </c>
      <c r="X56" s="415">
        <f ca="1"/>
        <v>4.7503639205218002</v>
      </c>
      <c r="Y56" s="416">
        <f t="shared" ca="1" si="5"/>
        <v>0.10354647975737336</v>
      </c>
      <c r="Z56" s="417">
        <f t="shared" ca="1" si="2"/>
        <v>-1.1499705065651429E-3</v>
      </c>
      <c r="AA56" s="416">
        <f t="shared" ca="1" si="0"/>
        <v>8.5035326329652994E-2</v>
      </c>
      <c r="AB56" s="418">
        <f t="shared" ca="1" si="1"/>
        <v>2.2209975871609819E-3</v>
      </c>
      <c r="AC56" s="417">
        <f t="shared" ca="1" si="3"/>
        <v>-4.721943108272599E-5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1.7940571645516101E-4</v>
      </c>
      <c r="J57" s="403">
        <f ca="1"/>
        <v>4.8051658359360601E-4</v>
      </c>
      <c r="K57" s="403">
        <f ca="1"/>
        <v>0.37336009324267599</v>
      </c>
      <c r="L57" s="403">
        <f ca="1"/>
        <v>0.37336009324267599</v>
      </c>
      <c r="M57" s="403">
        <f ca="1"/>
        <v>-1.4798550475244801E-4</v>
      </c>
      <c r="N57" s="441" t="str">
        <f ca="1"/>
        <v>DANONE</v>
      </c>
      <c r="O57" s="403"/>
      <c r="P57" s="403"/>
      <c r="Q57" s="403"/>
      <c r="R57" s="441"/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-2.97640142339037E-2</v>
      </c>
      <c r="U57" s="413">
        <f ca="1"/>
        <v>1.7548993684968001E-2</v>
      </c>
      <c r="V57" s="413">
        <f ca="1"/>
        <v>4.7313007918871698E-2</v>
      </c>
      <c r="W57" s="414">
        <f ca="1"/>
        <v>3.7091266137759698E-3</v>
      </c>
      <c r="X57" s="415">
        <f ca="1"/>
        <v>4.7313007918871701</v>
      </c>
      <c r="Y57" s="416">
        <f t="shared" ca="1" si="5"/>
        <v>0.10354647975737336</v>
      </c>
      <c r="Z57" s="417">
        <f t="shared" ca="1" si="2"/>
        <v>-1.8171365193628143E-3</v>
      </c>
      <c r="AA57" s="416">
        <f t="shared" ca="1" si="0"/>
        <v>9.3340023310668999E-2</v>
      </c>
      <c r="AB57" s="418">
        <f t="shared" ca="1" si="1"/>
        <v>3.5236702830871713E-3</v>
      </c>
      <c r="AC57" s="417">
        <f t="shared" ca="1" si="3"/>
        <v>-8.1901173981684922E-5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613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2.46501226380733E-4</v>
      </c>
      <c r="J58" s="403">
        <f ca="1"/>
        <v>4.21665353711499E-4</v>
      </c>
      <c r="K58" s="403">
        <f ca="1"/>
        <v>0.58458970890311202</v>
      </c>
      <c r="L58" s="403">
        <f ca="1"/>
        <v>0.58458970890311202</v>
      </c>
      <c r="M58" s="403">
        <f ca="1"/>
        <v>-6.8375086063875699E-4</v>
      </c>
      <c r="N58" s="441" t="str">
        <f ca="1"/>
        <v>DIAGEO PLC</v>
      </c>
      <c r="O58" s="403"/>
      <c r="P58" s="403"/>
      <c r="Q58" s="403"/>
      <c r="R58" s="441"/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7.9976456111720107E-2</v>
      </c>
      <c r="U58" s="413">
        <f ca="1"/>
        <v>0.125876541781095</v>
      </c>
      <c r="V58" s="413">
        <f ca="1"/>
        <v>4.5900085669374903E-2</v>
      </c>
      <c r="W58" s="414">
        <f ca="1"/>
        <v>2.7424031991530901E-2</v>
      </c>
      <c r="X58" s="415">
        <f ca="1"/>
        <v>4.5900085669374899</v>
      </c>
      <c r="Y58" s="416">
        <f t="shared" ca="1" si="5"/>
        <v>0.10354647975737336</v>
      </c>
      <c r="Z58" s="417">
        <f t="shared" ca="1" si="2"/>
        <v>-1.3034072785464276E-2</v>
      </c>
      <c r="AA58" s="416">
        <f t="shared" ca="1" si="0"/>
        <v>0.146147427225778</v>
      </c>
      <c r="AB58" s="418">
        <f t="shared" ca="1" si="1"/>
        <v>2.6052830391954353E-2</v>
      </c>
      <c r="AC58" s="417">
        <f t="shared" ca="1" si="3"/>
        <v>-9.1982663646925794E-4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2.3498935155153399E-4</v>
      </c>
      <c r="J59" s="403">
        <f ca="1"/>
        <v>4.0933690435776299E-4</v>
      </c>
      <c r="K59" s="403">
        <f ca="1"/>
        <v>0.57407321218746499</v>
      </c>
      <c r="L59" s="403">
        <f ca="1"/>
        <v>0.57407321218746499</v>
      </c>
      <c r="M59" s="403">
        <f ca="1"/>
        <v>-6.5595504624882395E-4</v>
      </c>
      <c r="N59" s="441" t="str">
        <f ca="1"/>
        <v>ELO</v>
      </c>
      <c r="O59" s="403"/>
      <c r="P59" s="403"/>
      <c r="Q59" s="403"/>
      <c r="R59" s="441"/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7.1786746866181195E-2</v>
      </c>
      <c r="U59" s="413">
        <f ca="1"/>
        <v>0.115950241898314</v>
      </c>
      <c r="V59" s="413">
        <f ca="1"/>
        <v>4.41634950321328E-2</v>
      </c>
      <c r="W59" s="414">
        <f ca="1"/>
        <v>2.6254770328740899E-2</v>
      </c>
      <c r="X59" s="415">
        <f ca="1"/>
        <v>4.4163495032132802</v>
      </c>
      <c r="Y59" s="416">
        <f t="shared" ca="1" si="5"/>
        <v>0.10354647975737336</v>
      </c>
      <c r="Z59" s="417">
        <f t="shared" ca="1" si="2"/>
        <v>-1.2006239375586278E-2</v>
      </c>
      <c r="AA59" s="416">
        <f t="shared" ca="1" si="0"/>
        <v>0.14351830304686625</v>
      </c>
      <c r="AB59" s="418">
        <f t="shared" ca="1" si="1"/>
        <v>2.4942031812303853E-2</v>
      </c>
      <c r="AC59" s="417">
        <f t="shared" ca="1" si="3"/>
        <v>-8.3204909775598242E-4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614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1.7499623375107101E-4</v>
      </c>
      <c r="J60" s="403">
        <f ca="1"/>
        <v>4.8244309698950599E-4</v>
      </c>
      <c r="K60" s="403">
        <f ca="1"/>
        <v>0.36272927282629902</v>
      </c>
      <c r="L60" s="403">
        <f ca="1"/>
        <v>0.36272927282629902</v>
      </c>
      <c r="M60" s="403">
        <f ca="1"/>
        <v>-1.3010706993535199E-4</v>
      </c>
      <c r="N60" s="441" t="str">
        <f ca="1"/>
        <v>HEINEKEN N.V.</v>
      </c>
      <c r="O60" s="403"/>
      <c r="P60" s="403"/>
      <c r="Q60" s="403"/>
      <c r="R60" s="441"/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-3.2132437658032101E-2</v>
      </c>
      <c r="U60" s="413">
        <f ca="1"/>
        <v>1.52532669484391E-2</v>
      </c>
      <c r="V60" s="413">
        <f ca="1"/>
        <v>4.73857046064712E-2</v>
      </c>
      <c r="W60" s="414">
        <f ca="1"/>
        <v>3.2189596155875301E-3</v>
      </c>
      <c r="X60" s="415">
        <f ca="1"/>
        <v>4.7385704606471197</v>
      </c>
      <c r="Y60" s="416">
        <f t="shared" ca="1" si="5"/>
        <v>0.10354647975737336</v>
      </c>
      <c r="Z60" s="417">
        <f t="shared" ca="1" si="2"/>
        <v>-1.579422097310359E-3</v>
      </c>
      <c r="AA60" s="416">
        <f t="shared" ca="1" si="0"/>
        <v>9.0682318206574755E-2</v>
      </c>
      <c r="AB60" s="418">
        <f t="shared" ca="1" si="1"/>
        <v>3.0580116348081533E-3</v>
      </c>
      <c r="AC60" s="417">
        <f t="shared" ca="1" si="3"/>
        <v>-6.9160080355409225E-5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1.62480638005906E-4</v>
      </c>
      <c r="J61" s="403">
        <f ca="1"/>
        <v>4.8634726088066601E-4</v>
      </c>
      <c r="K61" s="403">
        <f ca="1"/>
        <v>0.33408358815816103</v>
      </c>
      <c r="L61" s="403">
        <f ca="1"/>
        <v>0.33408358815816103</v>
      </c>
      <c r="M61" s="403">
        <f ca="1"/>
        <v>-8.8776184219554506E-5</v>
      </c>
      <c r="N61" s="441" t="str">
        <f ca="1"/>
        <v>HENKEL AG &amp; CO. KGAA</v>
      </c>
      <c r="O61" s="403"/>
      <c r="P61" s="403"/>
      <c r="Q61" s="403"/>
      <c r="R61" s="441"/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-3.7375531218761901E-2</v>
      </c>
      <c r="U61" s="413">
        <f ca="1"/>
        <v>1.0137172872672301E-2</v>
      </c>
      <c r="V61" s="413">
        <f ca="1"/>
        <v>4.7512704091434203E-2</v>
      </c>
      <c r="W61" s="414">
        <f ca="1"/>
        <v>2.1335710241126501E-3</v>
      </c>
      <c r="X61" s="415">
        <f ca="1"/>
        <v>4.7512704091434204</v>
      </c>
      <c r="Y61" s="416">
        <f t="shared" ca="1" si="5"/>
        <v>0.10354647975737336</v>
      </c>
      <c r="Z61" s="417">
        <f t="shared" ca="1" si="2"/>
        <v>-1.0496685656571523E-3</v>
      </c>
      <c r="AA61" s="416">
        <f t="shared" ca="1" si="0"/>
        <v>8.3520897039540257E-2</v>
      </c>
      <c r="AB61" s="418">
        <f t="shared" ca="1" si="1"/>
        <v>2.0268924729070176E-3</v>
      </c>
      <c r="AC61" s="417">
        <f t="shared" ca="1" si="3"/>
        <v>-4.2333288588524045E-5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1.98945370321919E-4</v>
      </c>
      <c r="J62" s="403">
        <f ca="1"/>
        <v>4.5439826170451901E-4</v>
      </c>
      <c r="K62" s="403">
        <f ca="1"/>
        <v>0.43782159195689702</v>
      </c>
      <c r="L62" s="403">
        <f ca="1"/>
        <v>0.43782159195689702</v>
      </c>
      <c r="M62" s="403">
        <f ca="1"/>
        <v>-2.84315029648319E-4</v>
      </c>
      <c r="N62" s="441" t="str">
        <f ca="1"/>
        <v>IMPERIAL BRANDS PLC</v>
      </c>
      <c r="O62" s="403"/>
      <c r="P62" s="403"/>
      <c r="Q62" s="403"/>
      <c r="R62" s="441"/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-9.8622828069840004E-3</v>
      </c>
      <c r="U62" s="413">
        <f ca="1"/>
        <v>3.6905165127975897E-2</v>
      </c>
      <c r="V62" s="413">
        <f ca="1"/>
        <v>4.6767447934959898E-2</v>
      </c>
      <c r="W62" s="414">
        <f ca="1"/>
        <v>7.8912078288514691E-3</v>
      </c>
      <c r="X62" s="415">
        <f ca="1"/>
        <v>4.67674479349599</v>
      </c>
      <c r="Y62" s="416">
        <f t="shared" ca="1" si="5"/>
        <v>0.10354647975737336</v>
      </c>
      <c r="Z62" s="417">
        <f t="shared" ca="1" si="2"/>
        <v>-3.8213999338664777E-3</v>
      </c>
      <c r="AA62" s="416">
        <f t="shared" ca="1" si="0"/>
        <v>0.10945539798922425</v>
      </c>
      <c r="AB62" s="418">
        <f t="shared" ca="1" si="1"/>
        <v>7.4966474374088951E-3</v>
      </c>
      <c r="AC62" s="417">
        <f t="shared" ca="1" si="3"/>
        <v>-2.0197347684703244E-4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1.8507402450456599E-4</v>
      </c>
      <c r="J63" s="403">
        <f ca="1"/>
        <v>4.77582544099146E-4</v>
      </c>
      <c r="K63" s="403">
        <f ca="1"/>
        <v>0.38752259016013102</v>
      </c>
      <c r="L63" s="403">
        <f ca="1"/>
        <v>0.38752259016013102</v>
      </c>
      <c r="M63" s="403">
        <f ca="1"/>
        <v>-1.7399430703884299E-4</v>
      </c>
      <c r="N63" s="441" t="str">
        <f ca="1"/>
        <v>KERING</v>
      </c>
      <c r="O63" s="403"/>
      <c r="P63" s="403"/>
      <c r="Q63" s="403"/>
      <c r="R63" s="441"/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-2.6223312385639502E-2</v>
      </c>
      <c r="U63" s="413">
        <f ca="1"/>
        <v>2.09853245591438E-2</v>
      </c>
      <c r="V63" s="413">
        <f ca="1"/>
        <v>4.7208636944783298E-2</v>
      </c>
      <c r="W63" s="414">
        <f ca="1"/>
        <v>4.4452299234330602E-3</v>
      </c>
      <c r="X63" s="415">
        <f ca="1"/>
        <v>4.7208636944783304</v>
      </c>
      <c r="Y63" s="416">
        <f t="shared" ca="1" si="5"/>
        <v>0.10354647975737336</v>
      </c>
      <c r="Z63" s="417">
        <f t="shared" ca="1" si="2"/>
        <v>-2.1729564846652959E-3</v>
      </c>
      <c r="AA63" s="416">
        <f t="shared" ca="1" si="0"/>
        <v>9.6880647540032755E-2</v>
      </c>
      <c r="AB63" s="418">
        <f t="shared" ca="1" si="1"/>
        <v>4.2229684272614074E-3</v>
      </c>
      <c r="AC63" s="417">
        <f t="shared" ca="1" si="3"/>
        <v>-1.0165359160638023E-4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2.4915938527639601E-4</v>
      </c>
      <c r="J64" s="403">
        <f ca="1"/>
        <v>4.1155696700954301E-4</v>
      </c>
      <c r="K64" s="403">
        <f ca="1"/>
        <v>0.60540679723353696</v>
      </c>
      <c r="L64" s="403">
        <f ca="1"/>
        <v>0.60540679723353696</v>
      </c>
      <c r="M64" s="403">
        <f ca="1"/>
        <v>-7.2973526831003003E-4</v>
      </c>
      <c r="N64" s="441" t="str">
        <f ca="1"/>
        <v>KONINKLIJKE AHOLD DELHAIZE N.V.</v>
      </c>
      <c r="O64" s="403"/>
      <c r="P64" s="403"/>
      <c r="Q64" s="403"/>
      <c r="R64" s="441"/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9.7839865407166104E-2</v>
      </c>
      <c r="U64" s="413">
        <f ca="1"/>
        <v>0.14346748645794</v>
      </c>
      <c r="V64" s="413">
        <f ca="1"/>
        <v>4.5627621050773899E-2</v>
      </c>
      <c r="W64" s="414">
        <f ca="1"/>
        <v>3.1443122204046298E-2</v>
      </c>
      <c r="X64" s="415">
        <f ca="1"/>
        <v>4.5627621050773897</v>
      </c>
      <c r="Y64" s="416">
        <f t="shared" ca="1" si="5"/>
        <v>0.10354647975737336</v>
      </c>
      <c r="Z64" s="417">
        <f t="shared" ca="1" si="2"/>
        <v>-1.485555318235831E-2</v>
      </c>
      <c r="AA64" s="416">
        <f t="shared" ca="1" si="0"/>
        <v>0.15135169930838424</v>
      </c>
      <c r="AB64" s="418">
        <f t="shared" ca="1" si="1"/>
        <v>2.987096609384398E-2</v>
      </c>
      <c r="AC64" s="417">
        <f t="shared" ca="1" si="3"/>
        <v>-1.0857023935455922E-3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1.8967217624819399E-4</v>
      </c>
      <c r="J65" s="403">
        <f ca="1"/>
        <v>4.7467197499325499E-4</v>
      </c>
      <c r="K65" s="403">
        <f ca="1"/>
        <v>0.399585790273144</v>
      </c>
      <c r="L65" s="403">
        <f ca="1"/>
        <v>0.399585790273144</v>
      </c>
      <c r="M65" s="403">
        <f ca="1"/>
        <v>-1.98055648671645E-4</v>
      </c>
      <c r="N65" s="441" t="str">
        <f ca="1"/>
        <v>KONINKLIJKE PHILIPS N.V.</v>
      </c>
      <c r="O65" s="403"/>
      <c r="P65" s="403"/>
      <c r="Q65" s="403"/>
      <c r="R65" s="441"/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-2.28374257310727E-2</v>
      </c>
      <c r="U65" s="413">
        <f ca="1"/>
        <v>2.42676919158176E-2</v>
      </c>
      <c r="V65" s="413">
        <f ca="1"/>
        <v>4.71051176468903E-2</v>
      </c>
      <c r="W65" s="414">
        <f ca="1"/>
        <v>5.1518164327140001E-3</v>
      </c>
      <c r="X65" s="415">
        <f ca="1"/>
        <v>4.7105117646890298</v>
      </c>
      <c r="Y65" s="416">
        <f t="shared" ca="1" si="5"/>
        <v>0.10354647975737336</v>
      </c>
      <c r="Z65" s="417">
        <f t="shared" ca="1" si="2"/>
        <v>-2.5128340697193768E-3</v>
      </c>
      <c r="AA65" s="416">
        <f t="shared" ca="1" si="0"/>
        <v>9.9896447568286001E-2</v>
      </c>
      <c r="AB65" s="418">
        <f t="shared" ca="1" si="1"/>
        <v>4.8942256110783003E-3</v>
      </c>
      <c r="AC65" s="417">
        <f t="shared" ca="1" si="3"/>
        <v>-1.2121281065358929E-4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2.18972396702863E-4</v>
      </c>
      <c r="J66" s="403">
        <f ca="1"/>
        <v>4.5422776712970999E-4</v>
      </c>
      <c r="K66" s="403">
        <f ca="1"/>
        <v>0.48207620174028898</v>
      </c>
      <c r="L66" s="403">
        <f ca="1"/>
        <v>0.48207620174028898</v>
      </c>
      <c r="M66" s="403">
        <f ca="1"/>
        <v>-4.0250930290954001E-4</v>
      </c>
      <c r="N66" s="441" t="str">
        <f ca="1"/>
        <v>LOUIS DREYFUS COMPANY B.V.</v>
      </c>
      <c r="O66" s="403"/>
      <c r="P66" s="403"/>
      <c r="Q66" s="403"/>
      <c r="R66" s="441"/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1.0548125184321499E-2</v>
      </c>
      <c r="U66" s="413">
        <f ca="1"/>
        <v>5.6782242887920102E-2</v>
      </c>
      <c r="V66" s="413">
        <f ca="1"/>
        <v>4.6234117703598601E-2</v>
      </c>
      <c r="W66" s="414">
        <f ca="1"/>
        <v>1.2281459170897201E-2</v>
      </c>
      <c r="X66" s="415">
        <f ca="1"/>
        <v>4.6234117703598603</v>
      </c>
      <c r="Y66" s="416">
        <f t="shared" ca="1" si="5"/>
        <v>0.10354647975737336</v>
      </c>
      <c r="Z66" s="417">
        <f t="shared" ca="1" si="2"/>
        <v>-5.8796013637722831E-3</v>
      </c>
      <c r="AA66" s="416">
        <f t="shared" ca="1" si="0"/>
        <v>0.12051905043507224</v>
      </c>
      <c r="AB66" s="418">
        <f t="shared" ca="1" si="1"/>
        <v>1.1667386212352341E-2</v>
      </c>
      <c r="AC66" s="417">
        <f t="shared" ca="1" si="3"/>
        <v>-3.4216709972128867E-4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1.74661169966051E-4</v>
      </c>
      <c r="J67" s="403">
        <f ca="1"/>
        <v>4.8257448559511402E-4</v>
      </c>
      <c r="K67" s="403">
        <f ca="1"/>
        <v>0.36193618846354397</v>
      </c>
      <c r="L67" s="403">
        <f ca="1"/>
        <v>0.36193618846354397</v>
      </c>
      <c r="M67" s="403">
        <f ca="1"/>
        <v>-1.28827857661946E-4</v>
      </c>
      <c r="N67" s="441" t="str">
        <f ca="1"/>
        <v>LVMH MOET HENNESSY LOUIS VUITTON</v>
      </c>
      <c r="O67" s="403"/>
      <c r="P67" s="403"/>
      <c r="Q67" s="403"/>
      <c r="R67" s="441"/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-3.22993523747028E-2</v>
      </c>
      <c r="U67" s="413">
        <f ca="1"/>
        <v>1.50909329850178E-2</v>
      </c>
      <c r="V67" s="413">
        <f ca="1"/>
        <v>4.7390285359720598E-2</v>
      </c>
      <c r="W67" s="414">
        <f ca="1"/>
        <v>3.1843937782751399E-3</v>
      </c>
      <c r="X67" s="415">
        <f ca="1"/>
        <v>4.7390285359720599</v>
      </c>
      <c r="Y67" s="416">
        <f t="shared" ca="1" si="5"/>
        <v>0.10354647975737336</v>
      </c>
      <c r="Z67" s="417">
        <f t="shared" ca="1" si="2"/>
        <v>-1.5626129868530206E-3</v>
      </c>
      <c r="AA67" s="416">
        <f t="shared" ca="1" si="0"/>
        <v>9.0484047115885993E-2</v>
      </c>
      <c r="AB67" s="418">
        <f t="shared" ca="1" si="1"/>
        <v>3.0251740893613827E-3</v>
      </c>
      <c r="AC67" s="417">
        <f t="shared" ca="1" si="3"/>
        <v>-6.8274434561951369E-5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1.7096555792043999E-4</v>
      </c>
      <c r="J68" s="403">
        <f ca="1"/>
        <v>4.8361039690314797E-4</v>
      </c>
      <c r="K68" s="403">
        <f ca="1"/>
        <v>0.35351919440780599</v>
      </c>
      <c r="L68" s="403">
        <f ca="1"/>
        <v>0.35351919440780599</v>
      </c>
      <c r="M68" s="403">
        <f ca="1"/>
        <v>-1.15597956958968E-4</v>
      </c>
      <c r="N68" s="441" t="str">
        <f ca="1"/>
        <v>NESTLE S.A.</v>
      </c>
      <c r="O68" s="403"/>
      <c r="P68" s="403"/>
      <c r="Q68" s="403"/>
      <c r="R68" s="441"/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-3.3974341150078802E-2</v>
      </c>
      <c r="U68" s="413">
        <f ca="1"/>
        <v>1.34191784159044E-2</v>
      </c>
      <c r="V68" s="413">
        <f ca="1"/>
        <v>4.73935195659832E-2</v>
      </c>
      <c r="W68" s="414">
        <f ca="1"/>
        <v>2.8314374072222499E-3</v>
      </c>
      <c r="X68" s="415">
        <f ca="1"/>
        <v>4.7393519565983198</v>
      </c>
      <c r="Y68" s="416">
        <f t="shared" ca="1" si="5"/>
        <v>0.10354647975737336</v>
      </c>
      <c r="Z68" s="417">
        <f t="shared" ca="1" si="2"/>
        <v>-1.3895086862030308E-3</v>
      </c>
      <c r="AA68" s="416">
        <f t="shared" ca="1" si="0"/>
        <v>8.8379798601951498E-2</v>
      </c>
      <c r="AB68" s="418">
        <f t="shared" ca="1" si="1"/>
        <v>2.6898655368611372E-3</v>
      </c>
      <c r="AC68" s="417">
        <f t="shared" ca="1" si="3"/>
        <v>-5.9299214290064537E-5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1.8912027702073801E-4</v>
      </c>
      <c r="J69" s="403">
        <f ca="1"/>
        <v>4.7535664459191502E-4</v>
      </c>
      <c r="K69" s="403">
        <f ca="1"/>
        <v>0.397849234195715</v>
      </c>
      <c r="L69" s="403">
        <f ca="1"/>
        <v>0.397849234195715</v>
      </c>
      <c r="M69" s="403">
        <f ca="1"/>
        <v>-1.9475401163358399E-4</v>
      </c>
      <c r="N69" s="441" t="str">
        <f ca="1"/>
        <v>NEXT PLC</v>
      </c>
      <c r="O69" s="403"/>
      <c r="P69" s="403"/>
      <c r="Q69" s="403"/>
      <c r="R69" s="441"/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-2.33879447320215E-2</v>
      </c>
      <c r="U69" s="413">
        <f ca="1"/>
        <v>2.38208598219786E-2</v>
      </c>
      <c r="V69" s="413">
        <f ca="1"/>
        <v>4.7208804554000103E-2</v>
      </c>
      <c r="W69" s="414">
        <f ca="1"/>
        <v>5.0458510964265096E-3</v>
      </c>
      <c r="X69" s="415">
        <f ca="1"/>
        <v>4.7208804554000103</v>
      </c>
      <c r="Y69" s="416">
        <f t="shared" ca="1" si="5"/>
        <v>0.10354647975737336</v>
      </c>
      <c r="Z69" s="417">
        <f t="shared" ca="1" si="2"/>
        <v>-2.4665661793597379E-3</v>
      </c>
      <c r="AA69" s="416">
        <f t="shared" ca="1" si="0"/>
        <v>9.9462308548928749E-2</v>
      </c>
      <c r="AB69" s="418">
        <f t="shared" ca="1" si="1"/>
        <v>4.7935585416051842E-3</v>
      </c>
      <c r="AC69" s="417">
        <f t="shared" ca="1" si="3"/>
        <v>-1.1846388547572087E-4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1.8065711290539299E-4</v>
      </c>
      <c r="J70" s="403">
        <f ca="1"/>
        <v>4.7990747692371402E-4</v>
      </c>
      <c r="K70" s="403">
        <f ca="1"/>
        <v>0.37644154674029001</v>
      </c>
      <c r="L70" s="403">
        <f ca="1"/>
        <v>0.37644154674029001</v>
      </c>
      <c r="M70" s="403">
        <f ca="1"/>
        <v>-1.5342786474946001E-4</v>
      </c>
      <c r="N70" s="441" t="str">
        <f ca="1"/>
        <v>PERNOD RICARD</v>
      </c>
      <c r="O70" s="403"/>
      <c r="P70" s="403"/>
      <c r="Q70" s="403"/>
      <c r="R70" s="441"/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-2.90310376659224E-2</v>
      </c>
      <c r="U70" s="413">
        <f ca="1"/>
        <v>1.8258309662614599E-2</v>
      </c>
      <c r="V70" s="413">
        <f ca="1"/>
        <v>4.7289347328536999E-2</v>
      </c>
      <c r="W70" s="414">
        <f ca="1"/>
        <v>3.8609773012444602E-3</v>
      </c>
      <c r="X70" s="415">
        <f ca="1"/>
        <v>4.7289347328536904</v>
      </c>
      <c r="Y70" s="416">
        <f t="shared" ca="1" si="5"/>
        <v>0.10354647975737336</v>
      </c>
      <c r="Z70" s="417">
        <f t="shared" ca="1" si="2"/>
        <v>-1.8905836918837805E-3</v>
      </c>
      <c r="AA70" s="416">
        <f t="shared" ca="1" si="0"/>
        <v>9.4110386685072503E-2</v>
      </c>
      <c r="AB70" s="418">
        <f t="shared" ca="1" si="1"/>
        <v>3.667928436182237E-3</v>
      </c>
      <c r="AC70" s="417">
        <f t="shared" ca="1" si="3"/>
        <v>-8.591482912822302E-5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1.70178723102072E-4</v>
      </c>
      <c r="J71" s="403">
        <f ca="1"/>
        <v>4.8416219452021998E-4</v>
      </c>
      <c r="K71" s="403">
        <f ca="1"/>
        <v>0.35149114290245298</v>
      </c>
      <c r="L71" s="403">
        <f ca="1"/>
        <v>0.35149114290245298</v>
      </c>
      <c r="M71" s="403">
        <f ca="1"/>
        <v>-1.12692201583453E-4</v>
      </c>
      <c r="N71" s="441" t="str">
        <f ca="1"/>
        <v>SODEXO</v>
      </c>
      <c r="O71" s="403"/>
      <c r="P71" s="403"/>
      <c r="Q71" s="403"/>
      <c r="R71" s="441"/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-3.4377561791578401E-2</v>
      </c>
      <c r="U71" s="413">
        <f ca="1"/>
        <v>1.30649935270176E-2</v>
      </c>
      <c r="V71" s="413">
        <f ca="1"/>
        <v>4.7442555318596001E-2</v>
      </c>
      <c r="W71" s="414">
        <f ca="1"/>
        <v>2.7538553602943299E-3</v>
      </c>
      <c r="X71" s="415">
        <f ca="1"/>
        <v>4.7442555318595998</v>
      </c>
      <c r="Y71" s="416">
        <f t="shared" ca="1" si="5"/>
        <v>0.10354647975737336</v>
      </c>
      <c r="Z71" s="417">
        <f t="shared" ca="1" si="2"/>
        <v>-1.3528340877755403E-3</v>
      </c>
      <c r="AA71" s="416">
        <f t="shared" ca="1" si="0"/>
        <v>8.7872785725613245E-2</v>
      </c>
      <c r="AB71" s="418">
        <f t="shared" ca="1" si="1"/>
        <v>2.6161625922796134E-3</v>
      </c>
      <c r="AC71" s="417">
        <f t="shared" ca="1" si="3"/>
        <v>-5.7402868835307028E-5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1.9649849217786999E-4</v>
      </c>
      <c r="J72" s="403">
        <f ca="1"/>
        <v>4.5660383844388499E-4</v>
      </c>
      <c r="K72" s="403">
        <f ca="1"/>
        <v>0.43034787628492299</v>
      </c>
      <c r="L72" s="403">
        <f ca="1"/>
        <v>0.43034787628492299</v>
      </c>
      <c r="M72" s="403">
        <f ca="1"/>
        <v>-2.66151898550841E-4</v>
      </c>
      <c r="N72" s="441" t="str">
        <f ca="1"/>
        <v>SUEDZUCKER AG</v>
      </c>
      <c r="O72" s="403"/>
      <c r="P72" s="403"/>
      <c r="Q72" s="403"/>
      <c r="R72" s="441"/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-1.2739953536388101E-2</v>
      </c>
      <c r="U72" s="413">
        <f ca="1"/>
        <v>3.4125351880801298E-2</v>
      </c>
      <c r="V72" s="413">
        <f ca="1"/>
        <v>4.6865305417189397E-2</v>
      </c>
      <c r="W72" s="414">
        <f ca="1"/>
        <v>7.2815810282300403E-3</v>
      </c>
      <c r="X72" s="415">
        <f ca="1"/>
        <v>4.6865305417189402</v>
      </c>
      <c r="Y72" s="416">
        <f t="shared" ca="1" si="5"/>
        <v>0.10354647975737336</v>
      </c>
      <c r="Z72" s="417">
        <f t="shared" ca="1" si="2"/>
        <v>-3.5335600577386336E-3</v>
      </c>
      <c r="AA72" s="416">
        <f t="shared" ca="1" si="0"/>
        <v>0.10758696907123075</v>
      </c>
      <c r="AB72" s="418">
        <f t="shared" ca="1" si="1"/>
        <v>6.9175019768185379E-3</v>
      </c>
      <c r="AC72" s="417">
        <f t="shared" ca="1" si="3"/>
        <v>-1.8357215886723191E-4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1.91398247065297E-4</v>
      </c>
      <c r="J73" s="403">
        <f ca="1"/>
        <v>4.7353212958188898E-4</v>
      </c>
      <c r="K73" s="403">
        <f ca="1"/>
        <v>0.40419273605424499</v>
      </c>
      <c r="L73" s="403">
        <f ca="1"/>
        <v>0.40419273605424499</v>
      </c>
      <c r="M73" s="403">
        <f ca="1"/>
        <v>-2.07754879393853E-4</v>
      </c>
      <c r="N73" s="441" t="str">
        <f ca="1"/>
        <v>TESCO PLC</v>
      </c>
      <c r="O73" s="403"/>
      <c r="P73" s="403"/>
      <c r="Q73" s="403"/>
      <c r="R73" s="441"/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-2.1471347551708E-2</v>
      </c>
      <c r="U73" s="413">
        <f ca="1"/>
        <v>2.5620930770187299E-2</v>
      </c>
      <c r="V73" s="413">
        <f ca="1"/>
        <v>4.7092278321895303E-2</v>
      </c>
      <c r="W73" s="414">
        <f ca="1"/>
        <v>5.44058000232173E-3</v>
      </c>
      <c r="X73" s="415">
        <f ca="1"/>
        <v>4.70922783218953</v>
      </c>
      <c r="Y73" s="416">
        <f t="shared" ca="1" si="5"/>
        <v>0.10354647975737336</v>
      </c>
      <c r="Z73" s="417">
        <f t="shared" ca="1" si="2"/>
        <v>-2.6529571893602597E-3</v>
      </c>
      <c r="AA73" s="416">
        <f t="shared" ca="1" si="0"/>
        <v>0.10104818401356125</v>
      </c>
      <c r="AB73" s="418">
        <f t="shared" ca="1" si="1"/>
        <v>5.1685510022056432E-3</v>
      </c>
      <c r="AC73" s="417">
        <f t="shared" ca="1" si="3"/>
        <v>-1.2944742635322999E-4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1.6987306855559899E-4</v>
      </c>
      <c r="J74" s="403">
        <f ca="1"/>
        <v>4.8402730180313098E-4</v>
      </c>
      <c r="K74" s="403">
        <f ca="1"/>
        <v>0.35095761731368502</v>
      </c>
      <c r="L74" s="403">
        <f ca="1"/>
        <v>0.35095761731368502</v>
      </c>
      <c r="M74" s="403">
        <f ca="1"/>
        <v>-1.11802266034573E-4</v>
      </c>
      <c r="N74" s="441" t="str">
        <f ca="1"/>
        <v>UNILEVER PLC</v>
      </c>
      <c r="O74" s="403"/>
      <c r="P74" s="403"/>
      <c r="Q74" s="403"/>
      <c r="R74" s="441"/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-3.4465656838995801E-2</v>
      </c>
      <c r="U74" s="413">
        <f ca="1"/>
        <v>1.29479509256346E-2</v>
      </c>
      <c r="V74" s="413">
        <f ca="1"/>
        <v>4.7413607764630397E-2</v>
      </c>
      <c r="W74" s="414">
        <f ca="1"/>
        <v>2.73085123366072E-3</v>
      </c>
      <c r="X74" s="415">
        <f ca="1"/>
        <v>4.7413607764630399</v>
      </c>
      <c r="Y74" s="416">
        <f t="shared" ca="1" si="5"/>
        <v>0.10354647975737336</v>
      </c>
      <c r="Z74" s="417">
        <f t="shared" ca="1" si="2"/>
        <v>-1.3407147384206911E-3</v>
      </c>
      <c r="AA74" s="416">
        <f t="shared" ca="1" si="0"/>
        <v>8.7739404328421255E-2</v>
      </c>
      <c r="AB74" s="418">
        <f t="shared" ca="1" si="1"/>
        <v>2.594308671977684E-3</v>
      </c>
      <c r="AC74" s="417">
        <f t="shared" ca="1" si="3"/>
        <v>-5.6802275074440672E-5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1.9108837111863499E-4</v>
      </c>
      <c r="J75" s="403">
        <f ca="1"/>
        <v>4.7381505980212001E-4</v>
      </c>
      <c r="K75" s="403">
        <f ca="1"/>
        <v>0.40329737766975898</v>
      </c>
      <c r="L75" s="403">
        <f ca="1"/>
        <v>0.40329737766975898</v>
      </c>
      <c r="M75" s="403">
        <f ca="1"/>
        <v>-2.05904244557899E-4</v>
      </c>
      <c r="N75" s="441" t="str">
        <f ca="1"/>
        <v>BP P.L.C.</v>
      </c>
      <c r="O75" s="403"/>
      <c r="P75" s="403"/>
      <c r="Q75" s="403"/>
      <c r="R75" s="441"/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-2.17540721911114E-2</v>
      </c>
      <c r="U75" s="413">
        <f ca="1"/>
        <v>2.5362962672799999E-2</v>
      </c>
      <c r="V75" s="413">
        <f ca="1"/>
        <v>4.7117034863911403E-2</v>
      </c>
      <c r="W75" s="414">
        <f ca="1"/>
        <v>5.3829708821992103E-3</v>
      </c>
      <c r="X75" s="415">
        <f ca="1"/>
        <v>4.7117034863911398</v>
      </c>
      <c r="Y75" s="416">
        <f t="shared" ca="1" si="5"/>
        <v>0.10354647975737336</v>
      </c>
      <c r="Z75" s="417">
        <f t="shared" ca="1" si="2"/>
        <v>-2.6262455009861017E-3</v>
      </c>
      <c r="AA75" s="416">
        <f t="shared" ca="1" si="0"/>
        <v>0.10082434441743975</v>
      </c>
      <c r="AB75" s="418">
        <f t="shared" ca="1" si="1"/>
        <v>5.1138223380892498E-3</v>
      </c>
      <c r="AC75" s="417">
        <f t="shared" ca="1" si="3"/>
        <v>-1.2786020419845281E-4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1.93493798190047E-4</v>
      </c>
      <c r="J76" s="403">
        <f ca="1"/>
        <v>4.5907185685208101E-4</v>
      </c>
      <c r="K76" s="403">
        <f ca="1"/>
        <v>0.421489131389715</v>
      </c>
      <c r="L76" s="403">
        <f ca="1"/>
        <v>0.421489131389715</v>
      </c>
      <c r="M76" s="403">
        <f ca="1"/>
        <v>-2.45316668622308E-4</v>
      </c>
      <c r="N76" s="441" t="str">
        <f ca="1"/>
        <v>CENTRICA PLC</v>
      </c>
      <c r="O76" s="403"/>
      <c r="P76" s="403"/>
      <c r="Q76" s="403"/>
      <c r="R76" s="441"/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-1.5943867996386401E-2</v>
      </c>
      <c r="U76" s="413">
        <f ca="1"/>
        <v>3.10178031703701E-2</v>
      </c>
      <c r="V76" s="413">
        <f ca="1"/>
        <v>4.6961671166756501E-2</v>
      </c>
      <c r="W76" s="414">
        <f ca="1"/>
        <v>6.6049189476730403E-3</v>
      </c>
      <c r="X76" s="415">
        <f ca="1"/>
        <v>4.6961671166756496</v>
      </c>
      <c r="Y76" s="416">
        <f t="shared" ca="1" si="5"/>
        <v>0.10354647975737336</v>
      </c>
      <c r="Z76" s="417">
        <f t="shared" ca="1" si="2"/>
        <v>-3.2117843280989153E-3</v>
      </c>
      <c r="AA76" s="416">
        <f t="shared" ca="1" si="0"/>
        <v>0.10537228284742875</v>
      </c>
      <c r="AB76" s="418">
        <f t="shared" ca="1" si="1"/>
        <v>6.274673000289388E-3</v>
      </c>
      <c r="AC76" s="417">
        <f t="shared" ca="1" si="3"/>
        <v>-1.6342083644870547E-4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1.8311360304331E-4</v>
      </c>
      <c r="J77" s="403">
        <f ca="1"/>
        <v>4.7870574288617402E-4</v>
      </c>
      <c r="K77" s="403">
        <f ca="1"/>
        <v>0.38251808290265399</v>
      </c>
      <c r="L77" s="403">
        <f ca="1"/>
        <v>0.38251808290265399</v>
      </c>
      <c r="M77" s="403">
        <f ca="1"/>
        <v>-1.6454245581813901E-4</v>
      </c>
      <c r="N77" s="441" t="str">
        <f ca="1"/>
        <v>E.ON SE</v>
      </c>
      <c r="O77" s="403"/>
      <c r="P77" s="403"/>
      <c r="Q77" s="403"/>
      <c r="R77" s="441"/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-2.7530053751895898E-2</v>
      </c>
      <c r="U77" s="413">
        <f ca="1"/>
        <v>1.9724079920218698E-2</v>
      </c>
      <c r="V77" s="413">
        <f ca="1"/>
        <v>4.7254133672114597E-2</v>
      </c>
      <c r="W77" s="414">
        <f ca="1"/>
        <v>4.1740432820289398E-3</v>
      </c>
      <c r="X77" s="415">
        <f ca="1"/>
        <v>4.72541336721146</v>
      </c>
      <c r="Y77" s="416">
        <f t="shared" ca="1" si="5"/>
        <v>0.10354647975737336</v>
      </c>
      <c r="Z77" s="417">
        <f t="shared" ca="1" si="2"/>
        <v>-2.042359042191745E-3</v>
      </c>
      <c r="AA77" s="416">
        <f t="shared" ca="1" si="0"/>
        <v>9.5629520725663497E-2</v>
      </c>
      <c r="AB77" s="418">
        <f t="shared" ca="1" si="1"/>
        <v>3.9653411179274923E-3</v>
      </c>
      <c r="AC77" s="417">
        <f t="shared" ca="1" si="3"/>
        <v>-9.4310215476260339E-5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1.9268547754949201E-4</v>
      </c>
      <c r="J78" s="403">
        <f ca="1"/>
        <v>4.5973218726573398E-4</v>
      </c>
      <c r="K78" s="403">
        <f ca="1"/>
        <v>0.41912548846208197</v>
      </c>
      <c r="L78" s="403">
        <f ca="1"/>
        <v>0.41912548846208197</v>
      </c>
      <c r="M78" s="403">
        <f ca="1"/>
        <v>-2.3976801129983001E-4</v>
      </c>
      <c r="N78" s="441" t="str">
        <f ca="1"/>
        <v>EDP - ENERGIAS DE PORTUGAL S.A.</v>
      </c>
      <c r="O78" s="403"/>
      <c r="P78" s="403"/>
      <c r="Q78" s="403"/>
      <c r="R78" s="441"/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-1.6704874919643099E-2</v>
      </c>
      <c r="U78" s="413">
        <f ca="1"/>
        <v>3.0204354379957599E-2</v>
      </c>
      <c r="V78" s="413">
        <f ca="1"/>
        <v>4.6909229299600702E-2</v>
      </c>
      <c r="W78" s="414">
        <f ca="1"/>
        <v>6.4388937594876804E-3</v>
      </c>
      <c r="X78" s="415">
        <f ca="1"/>
        <v>4.6909229299600703</v>
      </c>
      <c r="Y78" s="416">
        <f t="shared" ca="1" si="5"/>
        <v>0.10354647975737336</v>
      </c>
      <c r="Z78" s="417">
        <f t="shared" ca="1" si="2"/>
        <v>-3.1275545693888072E-3</v>
      </c>
      <c r="AA78" s="416">
        <f t="shared" ca="1" si="0"/>
        <v>0.10478137211552049</v>
      </c>
      <c r="AB78" s="418">
        <f t="shared" ca="1" si="1"/>
        <v>6.1169490715132962E-3</v>
      </c>
      <c r="AC78" s="417">
        <f t="shared" ca="1" si="3"/>
        <v>-1.5824268478976936E-4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1.94852734050421E-4</v>
      </c>
      <c r="J79" s="403">
        <f ca="1"/>
        <v>4.5800648533422399E-4</v>
      </c>
      <c r="K79" s="403">
        <f ca="1"/>
        <v>0.42543662653211101</v>
      </c>
      <c r="L79" s="403">
        <f ca="1"/>
        <v>0.42543662653211101</v>
      </c>
      <c r="M79" s="403">
        <f ca="1"/>
        <v>-2.5443940663245998E-4</v>
      </c>
      <c r="N79" s="441" t="str">
        <f ca="1"/>
        <v>ELECTRICITE DE FRANCE</v>
      </c>
      <c r="O79" s="403"/>
      <c r="P79" s="403"/>
      <c r="Q79" s="403"/>
      <c r="R79" s="441"/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-1.45136109475398E-2</v>
      </c>
      <c r="U79" s="413">
        <f ca="1"/>
        <v>3.2368084316966E-2</v>
      </c>
      <c r="V79" s="413">
        <f ca="1"/>
        <v>4.68816952645058E-2</v>
      </c>
      <c r="W79" s="414">
        <f ca="1"/>
        <v>6.9042051773822999E-3</v>
      </c>
      <c r="X79" s="415">
        <f ca="1"/>
        <v>4.6881695264505803</v>
      </c>
      <c r="Y79" s="416">
        <f t="shared" ca="1" si="5"/>
        <v>0.10354647975737336</v>
      </c>
      <c r="Z79" s="417">
        <f t="shared" ca="1" si="2"/>
        <v>-3.351601187511676E-3</v>
      </c>
      <c r="AA79" s="416">
        <f t="shared" ca="1" si="0"/>
        <v>0.10635915663302775</v>
      </c>
      <c r="AB79" s="418">
        <f t="shared" ca="1" si="1"/>
        <v>6.5589949185131842E-3</v>
      </c>
      <c r="AC79" s="417">
        <f t="shared" ca="1" si="3"/>
        <v>-1.7213210748896225E-4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1.92944770208765E-4</v>
      </c>
      <c r="J80" s="403">
        <f ca="1"/>
        <v>4.5947953041397001E-4</v>
      </c>
      <c r="K80" s="403">
        <f ca="1"/>
        <v>0.41992027378223101</v>
      </c>
      <c r="L80" s="403">
        <f ca="1"/>
        <v>0.41992027378223101</v>
      </c>
      <c r="M80" s="403">
        <f ca="1"/>
        <v>-2.41771025602784E-4</v>
      </c>
      <c r="N80" s="441" t="str">
        <f ca="1"/>
        <v>ENEL S.P.A.</v>
      </c>
      <c r="O80" s="403"/>
      <c r="P80" s="403"/>
      <c r="Q80" s="403"/>
      <c r="R80" s="441"/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-1.6503948390602201E-2</v>
      </c>
      <c r="U80" s="413">
        <f ca="1"/>
        <v>3.04987221462798E-2</v>
      </c>
      <c r="V80" s="413">
        <f ca="1"/>
        <v>4.7002670536882001E-2</v>
      </c>
      <c r="W80" s="414">
        <f ca="1"/>
        <v>6.4887211296532797E-3</v>
      </c>
      <c r="X80" s="415">
        <f ca="1"/>
        <v>4.7002670536881999</v>
      </c>
      <c r="Y80" s="416">
        <f t="shared" ref="Y80:Y143" ca="1" si="7">IF($U$12,IF(T80="","",$U$13*D104/$C$18),"")</f>
        <v>0.10354647975737336</v>
      </c>
      <c r="Z80" s="417">
        <f t="shared" ref="Z80:Z143" ca="1" si="8">IF($U$12,IF(Y80="","",Y80*($Z$10-W80)*X80),"")</f>
        <v>-3.1580353153455145E-3</v>
      </c>
      <c r="AA80" s="416">
        <f t="shared" ref="AA80:AA143" ca="1" si="9">IF($U$12,IF(OR(T80="",L80=""),"",L80/($C$20-$C$19)),"")</f>
        <v>0.10498006844555775</v>
      </c>
      <c r="AB80" s="418">
        <f t="shared" ref="AB80:AB143" ca="1" si="10">IF($U$12,IF(W80="","",W80*$AC$10),"")</f>
        <v>6.1642850731706157E-3</v>
      </c>
      <c r="AC80" s="417">
        <f t="shared" ref="AC80:AC143" ca="1" si="11">IF($U$12,IF(AA80="","",AA80*(AB80-W80)*X80),"")</f>
        <v>-1.6008789692092504E-4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1.86705741409305E-4</v>
      </c>
      <c r="J81" s="403">
        <f ca="1"/>
        <v>4.76687026146066E-4</v>
      </c>
      <c r="K81" s="403">
        <f ca="1"/>
        <v>0.391673637352351</v>
      </c>
      <c r="L81" s="403">
        <f ca="1"/>
        <v>0.391673637352351</v>
      </c>
      <c r="M81" s="403">
        <f ca="1"/>
        <v>-1.82119469057671E-4</v>
      </c>
      <c r="N81" s="441" t="str">
        <f ca="1"/>
        <v>ENGIE</v>
      </c>
      <c r="O81" s="403"/>
      <c r="P81" s="403"/>
      <c r="Q81" s="403"/>
      <c r="R81" s="441"/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-2.5106955227127699E-2</v>
      </c>
      <c r="U81" s="413">
        <f ca="1"/>
        <v>2.2083816941978699E-2</v>
      </c>
      <c r="V81" s="413">
        <f ca="1"/>
        <v>4.7190772169106401E-2</v>
      </c>
      <c r="W81" s="414">
        <f ca="1"/>
        <v>4.6796896780671804E-3</v>
      </c>
      <c r="X81" s="415">
        <f ca="1"/>
        <v>4.7190772169106401</v>
      </c>
      <c r="Y81" s="416">
        <f t="shared" ca="1" si="7"/>
        <v>0.10354647975737336</v>
      </c>
      <c r="Z81" s="417">
        <f t="shared" ca="1" si="8"/>
        <v>-2.2867015039481384E-3</v>
      </c>
      <c r="AA81" s="416">
        <f t="shared" ca="1" si="9"/>
        <v>9.791840933808775E-2</v>
      </c>
      <c r="AB81" s="418">
        <f t="shared" ca="1" si="10"/>
        <v>4.4457051941638216E-3</v>
      </c>
      <c r="AC81" s="417">
        <f t="shared" ca="1" si="11"/>
        <v>-1.0812061135360338E-4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1.8981419660251599E-4</v>
      </c>
      <c r="J82" s="403">
        <f ca="1"/>
        <v>4.6180195921715001E-4</v>
      </c>
      <c r="K82" s="403">
        <f ca="1"/>
        <v>0.41102943115332502</v>
      </c>
      <c r="L82" s="403">
        <f ca="1"/>
        <v>0.41102943115332502</v>
      </c>
      <c r="M82" s="403">
        <f ca="1"/>
        <v>-2.21679366312024E-4</v>
      </c>
      <c r="N82" s="441" t="str">
        <f ca="1"/>
        <v>ENI S.P.A.</v>
      </c>
      <c r="O82" s="403"/>
      <c r="P82" s="403"/>
      <c r="Q82" s="403"/>
      <c r="R82" s="441"/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-1.9431896173588498E-2</v>
      </c>
      <c r="U82" s="413">
        <f ca="1"/>
        <v>2.75907261299E-2</v>
      </c>
      <c r="V82" s="413">
        <f ca="1"/>
        <v>4.7022622303488498E-2</v>
      </c>
      <c r="W82" s="414">
        <f ca="1"/>
        <v>5.8675430629595302E-3</v>
      </c>
      <c r="X82" s="415">
        <f ca="1"/>
        <v>4.7022622303488504</v>
      </c>
      <c r="Y82" s="416">
        <f t="shared" ca="1" si="7"/>
        <v>0.10354647975737336</v>
      </c>
      <c r="Z82" s="417">
        <f t="shared" ca="1" si="8"/>
        <v>-2.8569225647009232E-3</v>
      </c>
      <c r="AA82" s="416">
        <f t="shared" ca="1" si="9"/>
        <v>0.10275735778833125</v>
      </c>
      <c r="AB82" s="418">
        <f t="shared" ca="1" si="10"/>
        <v>5.5741659098115532E-3</v>
      </c>
      <c r="AC82" s="417">
        <f t="shared" ca="1" si="11"/>
        <v>-1.4175750582849997E-4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615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1.71629410080083E-4</v>
      </c>
      <c r="J83" s="403">
        <f ca="1"/>
        <v>4.8356964784780198E-4</v>
      </c>
      <c r="K83" s="403">
        <f ca="1"/>
        <v>0.354921800497498</v>
      </c>
      <c r="L83" s="403">
        <f ca="1"/>
        <v>0.354921800497498</v>
      </c>
      <c r="M83" s="403">
        <f ca="1"/>
        <v>-1.1778846624508801E-4</v>
      </c>
      <c r="N83" s="441" t="str">
        <f ca="1"/>
        <v>EQUINOR ASA</v>
      </c>
      <c r="O83" s="403"/>
      <c r="P83" s="403"/>
      <c r="Q83" s="403"/>
      <c r="R83" s="441"/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-3.3714018062966401E-2</v>
      </c>
      <c r="U83" s="413">
        <f ca="1"/>
        <v>1.36971862792166E-2</v>
      </c>
      <c r="V83" s="413">
        <f ca="1"/>
        <v>4.7411204342183003E-2</v>
      </c>
      <c r="W83" s="414">
        <f ca="1"/>
        <v>2.8890188446509999E-3</v>
      </c>
      <c r="X83" s="415">
        <f ca="1"/>
        <v>4.7411204342183</v>
      </c>
      <c r="Y83" s="416">
        <f t="shared" ca="1" si="7"/>
        <v>0.10354647975737336</v>
      </c>
      <c r="Z83" s="417">
        <f t="shared" ca="1" si="8"/>
        <v>-1.4182954217938737E-3</v>
      </c>
      <c r="AA83" s="416">
        <f t="shared" ca="1" si="9"/>
        <v>8.8730450124374499E-2</v>
      </c>
      <c r="AB83" s="418">
        <f t="shared" ca="1" si="10"/>
        <v>2.7445679024184497E-3</v>
      </c>
      <c r="AC83" s="417">
        <f t="shared" ca="1" si="11"/>
        <v>-6.0767875199614843E-5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1.87546864853037E-4</v>
      </c>
      <c r="J84" s="403">
        <f ca="1"/>
        <v>4.7625075924318498E-4</v>
      </c>
      <c r="K84" s="403">
        <f ca="1"/>
        <v>0.39379856349430198</v>
      </c>
      <c r="L84" s="403">
        <f ca="1"/>
        <v>0.39379856349430198</v>
      </c>
      <c r="M84" s="403">
        <f ca="1"/>
        <v>-1.8639940546501401E-4</v>
      </c>
      <c r="N84" s="441" t="str">
        <f ca="1"/>
        <v>FORTUM OYJ</v>
      </c>
      <c r="O84" s="403"/>
      <c r="P84" s="403"/>
      <c r="Q84" s="403"/>
      <c r="R84" s="441"/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-2.4526517615901602E-2</v>
      </c>
      <c r="U84" s="413">
        <f ca="1"/>
        <v>2.2668469203380899E-2</v>
      </c>
      <c r="V84" s="413">
        <f ca="1"/>
        <v>4.7194986819282497E-2</v>
      </c>
      <c r="W84" s="414">
        <f ca="1"/>
        <v>4.8031519301366303E-3</v>
      </c>
      <c r="X84" s="415">
        <f ca="1"/>
        <v>4.7194986819282496</v>
      </c>
      <c r="Y84" s="416">
        <f t="shared" ca="1" si="7"/>
        <v>0.10354647975737336</v>
      </c>
      <c r="Z84" s="417">
        <f t="shared" ca="1" si="8"/>
        <v>-2.3472401874985271E-3</v>
      </c>
      <c r="AA84" s="416">
        <f t="shared" ca="1" si="9"/>
        <v>9.8449640873575495E-2</v>
      </c>
      <c r="AB84" s="418">
        <f t="shared" ca="1" si="10"/>
        <v>4.562994333629799E-3</v>
      </c>
      <c r="AC84" s="417">
        <f t="shared" ca="1" si="11"/>
        <v>-1.1158513261132795E-4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1.8246502277071E-4</v>
      </c>
      <c r="J85" s="403">
        <f ca="1"/>
        <v>4.7908728438779598E-4</v>
      </c>
      <c r="K85" s="403">
        <f ca="1"/>
        <v>0.38085966527764098</v>
      </c>
      <c r="L85" s="403">
        <f ca="1"/>
        <v>0.38085966527764098</v>
      </c>
      <c r="M85" s="403">
        <f ca="1"/>
        <v>-1.6149419767476399E-4</v>
      </c>
      <c r="N85" s="441" t="str">
        <f ca="1"/>
        <v>IBERDROLA, S.A.</v>
      </c>
      <c r="O85" s="403"/>
      <c r="P85" s="403"/>
      <c r="Q85" s="403"/>
      <c r="R85" s="441"/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-2.79523572047214E-2</v>
      </c>
      <c r="U85" s="413">
        <f ca="1"/>
        <v>1.9321325156943701E-2</v>
      </c>
      <c r="V85" s="413">
        <f ca="1"/>
        <v>4.7273682361665098E-2</v>
      </c>
      <c r="W85" s="414">
        <f ca="1"/>
        <v>4.08712082319435E-3</v>
      </c>
      <c r="X85" s="415">
        <f ca="1"/>
        <v>4.7273682361665097</v>
      </c>
      <c r="Y85" s="416">
        <f t="shared" ca="1" si="7"/>
        <v>0.10354647975737336</v>
      </c>
      <c r="Z85" s="417">
        <f t="shared" ca="1" si="8"/>
        <v>-2.0006552042490982E-3</v>
      </c>
      <c r="AA85" s="416">
        <f t="shared" ca="1" si="9"/>
        <v>9.5214916319410245E-2</v>
      </c>
      <c r="AB85" s="418">
        <f t="shared" ca="1" si="10"/>
        <v>3.8827647820346323E-3</v>
      </c>
      <c r="AC85" s="417">
        <f t="shared" ca="1" si="11"/>
        <v>-9.1983917899925559E-5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1.9096310909011701E-4</v>
      </c>
      <c r="J86" s="403">
        <f ca="1"/>
        <v>4.6099928111595302E-4</v>
      </c>
      <c r="K86" s="403">
        <f ca="1"/>
        <v>0.414237325116533</v>
      </c>
      <c r="L86" s="403">
        <f ca="1"/>
        <v>0.414237325116533</v>
      </c>
      <c r="M86" s="403">
        <f ca="1"/>
        <v>-2.28752387658684E-4</v>
      </c>
      <c r="N86" s="441" t="str">
        <f ca="1"/>
        <v>NATIONAL GRID PLC</v>
      </c>
      <c r="O86" s="403"/>
      <c r="P86" s="403"/>
      <c r="Q86" s="403"/>
      <c r="R86" s="441"/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-1.8370059200552898E-2</v>
      </c>
      <c r="U86" s="413">
        <f ca="1"/>
        <v>2.8605111636626001E-2</v>
      </c>
      <c r="V86" s="413">
        <f ca="1"/>
        <v>4.6975170837178899E-2</v>
      </c>
      <c r="W86" s="414">
        <f ca="1"/>
        <v>6.0894108795845397E-3</v>
      </c>
      <c r="X86" s="415">
        <f ca="1"/>
        <v>4.6975170837178899</v>
      </c>
      <c r="Y86" s="416">
        <f t="shared" ca="1" si="7"/>
        <v>0.10354647975737336</v>
      </c>
      <c r="Z86" s="417">
        <f t="shared" ca="1" si="8"/>
        <v>-2.9619586130392949E-3</v>
      </c>
      <c r="AA86" s="416">
        <f t="shared" ca="1" si="9"/>
        <v>0.10355933127913325</v>
      </c>
      <c r="AB86" s="418">
        <f t="shared" ca="1" si="10"/>
        <v>5.7849403356053123E-3</v>
      </c>
      <c r="AC86" s="417">
        <f t="shared" ca="1" si="11"/>
        <v>-1.4811631161269705E-4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1.8837254267891601E-4</v>
      </c>
      <c r="J87" s="403">
        <f ca="1"/>
        <v>4.75556067780777E-4</v>
      </c>
      <c r="K87" s="403">
        <f ca="1"/>
        <v>0.39611006028789097</v>
      </c>
      <c r="L87" s="403">
        <f ca="1"/>
        <v>0.39611006028789097</v>
      </c>
      <c r="M87" s="403">
        <f ca="1"/>
        <v>-1.90949005782439E-4</v>
      </c>
      <c r="N87" s="441" t="str">
        <f ca="1"/>
        <v>NATURGY ENERGY GROUP, S.A.</v>
      </c>
      <c r="O87" s="403"/>
      <c r="P87" s="403"/>
      <c r="Q87" s="403"/>
      <c r="R87" s="441"/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-2.3849808366642099E-2</v>
      </c>
      <c r="U87" s="413">
        <f ca="1"/>
        <v>2.3287745622337701E-2</v>
      </c>
      <c r="V87" s="413">
        <f ca="1"/>
        <v>4.71375539889798E-2</v>
      </c>
      <c r="W87" s="414">
        <f ca="1"/>
        <v>4.94038057803807E-3</v>
      </c>
      <c r="X87" s="415">
        <f ca="1"/>
        <v>4.7137553988979803</v>
      </c>
      <c r="Y87" s="416">
        <f t="shared" ca="1" si="7"/>
        <v>0.10354647975737336</v>
      </c>
      <c r="Z87" s="417">
        <f t="shared" ca="1" si="8"/>
        <v>-2.4113640806782484E-3</v>
      </c>
      <c r="AA87" s="416">
        <f t="shared" ca="1" si="9"/>
        <v>9.9027515071972744E-2</v>
      </c>
      <c r="AB87" s="418">
        <f t="shared" ca="1" si="10"/>
        <v>4.6933615491361663E-3</v>
      </c>
      <c r="AC87" s="417">
        <f t="shared" ca="1" si="11"/>
        <v>-1.1530637903041567E-4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1.9226319183644601E-4</v>
      </c>
      <c r="J88" s="403">
        <f ca="1"/>
        <v>4.6004849195900002E-4</v>
      </c>
      <c r="K88" s="403">
        <f ca="1"/>
        <v>0.41791940457785598</v>
      </c>
      <c r="L88" s="403">
        <f ca="1"/>
        <v>0.41791940457785598</v>
      </c>
      <c r="M88" s="403">
        <f ca="1"/>
        <v>-2.3702914456055901E-4</v>
      </c>
      <c r="N88" s="441" t="str">
        <f ca="1"/>
        <v>REPSOL, S.A.</v>
      </c>
      <c r="O88" s="403"/>
      <c r="P88" s="403"/>
      <c r="Q88" s="403"/>
      <c r="R88" s="441"/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-1.71243452030947E-2</v>
      </c>
      <c r="U88" s="413">
        <f ca="1"/>
        <v>2.9804425859164301E-2</v>
      </c>
      <c r="V88" s="413">
        <f ca="1"/>
        <v>4.6928771062258998E-2</v>
      </c>
      <c r="W88" s="414">
        <f ca="1"/>
        <v>6.3509921918951696E-3</v>
      </c>
      <c r="X88" s="415">
        <f ca="1"/>
        <v>4.6928771062259003</v>
      </c>
      <c r="Y88" s="416">
        <f t="shared" ca="1" si="7"/>
        <v>0.10354647975737336</v>
      </c>
      <c r="Z88" s="417">
        <f t="shared" ca="1" si="8"/>
        <v>-3.0861433789060901E-3</v>
      </c>
      <c r="AA88" s="416">
        <f t="shared" ca="1" si="9"/>
        <v>0.10447985114446399</v>
      </c>
      <c r="AB88" s="418">
        <f t="shared" ca="1" si="10"/>
        <v>6.033442582300411E-3</v>
      </c>
      <c r="AC88" s="417">
        <f t="shared" ca="1" si="11"/>
        <v>-1.5569809886058501E-4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1.75684382917343E-4</v>
      </c>
      <c r="J89" s="403">
        <f ca="1"/>
        <v>4.82114516557698E-4</v>
      </c>
      <c r="K89" s="403">
        <f ca="1"/>
        <v>0.364403843658828</v>
      </c>
      <c r="L89" s="403">
        <f ca="1"/>
        <v>0.364403843658828</v>
      </c>
      <c r="M89" s="403">
        <f ca="1"/>
        <v>-1.3280403003980301E-4</v>
      </c>
      <c r="N89" s="441" t="str">
        <f ca="1"/>
        <v>SHELL PLC</v>
      </c>
      <c r="O89" s="403"/>
      <c r="P89" s="403"/>
      <c r="Q89" s="403"/>
      <c r="R89" s="441"/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-3.1772838268815898E-2</v>
      </c>
      <c r="U89" s="413">
        <f ca="1"/>
        <v>1.55948277452561E-2</v>
      </c>
      <c r="V89" s="413">
        <f ca="1"/>
        <v>4.7367666014072003E-2</v>
      </c>
      <c r="W89" s="414">
        <f ca="1"/>
        <v>3.2922938910739598E-3</v>
      </c>
      <c r="X89" s="415">
        <f ca="1"/>
        <v>4.7367666014071999</v>
      </c>
      <c r="Y89" s="416">
        <f t="shared" ca="1" si="7"/>
        <v>0.10354647975737336</v>
      </c>
      <c r="Z89" s="417">
        <f t="shared" ca="1" si="8"/>
        <v>-1.6147895154438837E-3</v>
      </c>
      <c r="AA89" s="416">
        <f t="shared" ca="1" si="9"/>
        <v>9.1100960914706999E-2</v>
      </c>
      <c r="AB89" s="418">
        <f t="shared" ca="1" si="10"/>
        <v>3.1276791965202618E-3</v>
      </c>
      <c r="AC89" s="417">
        <f t="shared" ca="1" si="11"/>
        <v>-7.1035189644608136E-5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1.7401282846417801E-4</v>
      </c>
      <c r="J90" s="403">
        <f ca="1"/>
        <v>4.82828411565942E-4</v>
      </c>
      <c r="K90" s="403">
        <f ca="1"/>
        <v>0.36040304235578802</v>
      </c>
      <c r="L90" s="403">
        <f ca="1"/>
        <v>0.36040304235578802</v>
      </c>
      <c r="M90" s="403">
        <f ca="1"/>
        <v>-1.2637954222549701E-4</v>
      </c>
      <c r="N90" s="441" t="str">
        <f ca="1"/>
        <v>TOTALENERGIES SE</v>
      </c>
      <c r="O90" s="403"/>
      <c r="P90" s="403"/>
      <c r="Q90" s="403"/>
      <c r="R90" s="441"/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-3.2618516783815298E-2</v>
      </c>
      <c r="U90" s="413">
        <f ca="1"/>
        <v>1.47811091277112E-2</v>
      </c>
      <c r="V90" s="413">
        <f ca="1"/>
        <v>4.7399625911526501E-2</v>
      </c>
      <c r="W90" s="414">
        <f ca="1"/>
        <v>3.1184020640375402E-3</v>
      </c>
      <c r="X90" s="415">
        <f ca="1"/>
        <v>4.7399625911526497</v>
      </c>
      <c r="Y90" s="416">
        <f t="shared" ca="1" si="7"/>
        <v>0.10354647975737336</v>
      </c>
      <c r="Z90" s="417">
        <f t="shared" ca="1" si="8"/>
        <v>-1.5305318170840691E-3</v>
      </c>
      <c r="AA90" s="416">
        <f t="shared" ca="1" si="9"/>
        <v>9.0100760588947004E-2</v>
      </c>
      <c r="AB90" s="418">
        <f t="shared" ca="1" si="10"/>
        <v>2.9624819608356631E-3</v>
      </c>
      <c r="AC90" s="417">
        <f t="shared" ca="1" si="11"/>
        <v>-6.658945873775012E-5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1.85377914859312E-4</v>
      </c>
      <c r="J91" s="403">
        <f ca="1"/>
        <v>4.77512728739282E-4</v>
      </c>
      <c r="K91" s="403">
        <f ca="1"/>
        <v>0.388215651023047</v>
      </c>
      <c r="L91" s="403">
        <f ca="1"/>
        <v>0.388215651023047</v>
      </c>
      <c r="M91" s="403">
        <f ca="1"/>
        <v>-1.7538957083342401E-4</v>
      </c>
      <c r="N91" s="441" t="str">
        <f ca="1"/>
        <v>VEOLIA ENVIRONNEMENT</v>
      </c>
      <c r="O91" s="403"/>
      <c r="P91" s="403"/>
      <c r="Q91" s="403"/>
      <c r="R91" s="441"/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-2.60496089321555E-2</v>
      </c>
      <c r="U91" s="413">
        <f ca="1"/>
        <v>2.11751698088532E-2</v>
      </c>
      <c r="V91" s="413">
        <f ca="1"/>
        <v>4.7224778741008701E-2</v>
      </c>
      <c r="W91" s="414">
        <f ca="1"/>
        <v>4.48391085641344E-3</v>
      </c>
      <c r="X91" s="415">
        <f ca="1"/>
        <v>4.7224778741008704</v>
      </c>
      <c r="Y91" s="416">
        <f t="shared" ca="1" si="7"/>
        <v>0.10354647975737336</v>
      </c>
      <c r="Z91" s="417">
        <f t="shared" ca="1" si="8"/>
        <v>-2.1926142919713567E-3</v>
      </c>
      <c r="AA91" s="416">
        <f t="shared" ca="1" si="9"/>
        <v>9.7053912755761751E-2</v>
      </c>
      <c r="AB91" s="418">
        <f t="shared" ca="1" si="10"/>
        <v>4.2597153135927679E-3</v>
      </c>
      <c r="AC91" s="417">
        <f t="shared" ca="1" si="11"/>
        <v>-1.0275665416084374E-4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1.7751376922841899E-4</v>
      </c>
      <c r="J92" s="403">
        <f ca="1"/>
        <v>4.8128456657747901E-4</v>
      </c>
      <c r="K92" s="403">
        <f ca="1"/>
        <v>0.36883328815374</v>
      </c>
      <c r="L92" s="403">
        <f ca="1"/>
        <v>0.36883328815374</v>
      </c>
      <c r="M92" s="403">
        <f ca="1"/>
        <v>-1.4015343984207E-4</v>
      </c>
      <c r="N92" s="441" t="str">
        <f ca="1"/>
        <v>BERTELSMANN SE &amp; CO. KGAA</v>
      </c>
      <c r="O92" s="403"/>
      <c r="P92" s="403"/>
      <c r="Q92" s="403"/>
      <c r="R92" s="441"/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-3.0795860107648999E-2</v>
      </c>
      <c r="U92" s="413">
        <f ca="1"/>
        <v>1.65343959733758E-2</v>
      </c>
      <c r="V92" s="413">
        <f ca="1"/>
        <v>4.7330256081024799E-2</v>
      </c>
      <c r="W92" s="414">
        <f ca="1"/>
        <v>3.4934093627278298E-3</v>
      </c>
      <c r="X92" s="415">
        <f ca="1"/>
        <v>4.73302560810248</v>
      </c>
      <c r="Y92" s="416">
        <f t="shared" ca="1" si="7"/>
        <v>0.10354647975737336</v>
      </c>
      <c r="Z92" s="417">
        <f t="shared" ca="1" si="8"/>
        <v>-1.7120784979575512E-3</v>
      </c>
      <c r="AA92" s="416">
        <f t="shared" ca="1" si="9"/>
        <v>9.2208322038435001E-2</v>
      </c>
      <c r="AB92" s="418">
        <f t="shared" ca="1" si="10"/>
        <v>3.3187388945914382E-3</v>
      </c>
      <c r="AC92" s="417">
        <f t="shared" ca="1" si="11"/>
        <v>-7.623044543120194E-5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1.98182916128218E-4</v>
      </c>
      <c r="J93" s="403">
        <f ca="1"/>
        <v>4.5506113240431899E-4</v>
      </c>
      <c r="K93" s="403">
        <f ca="1"/>
        <v>0.43550833506943798</v>
      </c>
      <c r="L93" s="403">
        <f ca="1"/>
        <v>0.43550833506943798</v>
      </c>
      <c r="M93" s="403">
        <f ca="1"/>
        <v>-2.7877959894270798E-4</v>
      </c>
      <c r="N93" s="441" t="str">
        <f ca="1"/>
        <v>BRITISH TELECOMMUNICATIONS PUBLIC LIMITED COMPANY</v>
      </c>
      <c r="O93" s="403"/>
      <c r="P93" s="403"/>
      <c r="Q93" s="403"/>
      <c r="R93" s="441"/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-1.08224837071965E-2</v>
      </c>
      <c r="U93" s="413">
        <f ca="1"/>
        <v>3.6051815401866701E-2</v>
      </c>
      <c r="V93" s="413">
        <f ca="1"/>
        <v>4.6874299109063197E-2</v>
      </c>
      <c r="W93" s="414">
        <f ca="1"/>
        <v>7.6911689533713202E-3</v>
      </c>
      <c r="X93" s="415">
        <f ca="1"/>
        <v>4.68742991090632</v>
      </c>
      <c r="Y93" s="416">
        <f t="shared" ca="1" si="7"/>
        <v>0.10354647975737336</v>
      </c>
      <c r="Z93" s="417">
        <f t="shared" ca="1" si="8"/>
        <v>-3.7330385737259597E-3</v>
      </c>
      <c r="AA93" s="416">
        <f t="shared" ca="1" si="9"/>
        <v>0.10887708376735949</v>
      </c>
      <c r="AB93" s="418">
        <f t="shared" ca="1" si="10"/>
        <v>7.3066105057027538E-3</v>
      </c>
      <c r="AC93" s="417">
        <f t="shared" ca="1" si="11"/>
        <v>-1.9626082627372172E-4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1.7633710674244801E-4</v>
      </c>
      <c r="J94" s="403">
        <f ca="1"/>
        <v>4.8172063484299901E-4</v>
      </c>
      <c r="K94" s="403">
        <f ca="1"/>
        <v>0.36605678475849202</v>
      </c>
      <c r="L94" s="403">
        <f ca="1"/>
        <v>0.36605678475849202</v>
      </c>
      <c r="M94" s="403">
        <f ca="1"/>
        <v>-1.3547254410159601E-4</v>
      </c>
      <c r="N94" s="441" t="str">
        <f ca="1"/>
        <v>DEUTSCHE TELEKOM AG</v>
      </c>
      <c r="O94" s="403"/>
      <c r="P94" s="403"/>
      <c r="Q94" s="403"/>
      <c r="R94" s="441"/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-3.14061534989774E-2</v>
      </c>
      <c r="U94" s="413">
        <f ca="1"/>
        <v>1.5932529356877199E-2</v>
      </c>
      <c r="V94" s="413">
        <f ca="1"/>
        <v>4.7338682855854602E-2</v>
      </c>
      <c r="W94" s="414">
        <f ca="1"/>
        <v>3.3656469499566302E-3</v>
      </c>
      <c r="X94" s="415">
        <f ca="1"/>
        <v>4.7338682855854604</v>
      </c>
      <c r="Y94" s="416">
        <f t="shared" ca="1" si="7"/>
        <v>0.10354647975737336</v>
      </c>
      <c r="Z94" s="417">
        <f t="shared" ca="1" si="8"/>
        <v>-1.6497573285356342E-3</v>
      </c>
      <c r="AA94" s="416">
        <f t="shared" ca="1" si="9"/>
        <v>9.1514196189623004E-2</v>
      </c>
      <c r="AB94" s="418">
        <f t="shared" ca="1" si="10"/>
        <v>3.1973646024587984E-3</v>
      </c>
      <c r="AC94" s="417">
        <f t="shared" ca="1" si="11"/>
        <v>-7.2902630868109191E-5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2.14789339796369E-4</v>
      </c>
      <c r="J95" s="403">
        <f ca="1"/>
        <v>4.60573807344663E-4</v>
      </c>
      <c r="K95" s="403">
        <f ca="1"/>
        <v>0.46635161698553701</v>
      </c>
      <c r="L95" s="403">
        <f ca="1"/>
        <v>0.46635161698553701</v>
      </c>
      <c r="M95" s="403">
        <f ca="1"/>
        <v>-3.5968830692940701E-4</v>
      </c>
      <c r="N95" s="441" t="str">
        <f ca="1"/>
        <v>ITV PLC</v>
      </c>
      <c r="O95" s="403"/>
      <c r="P95" s="403"/>
      <c r="Q95" s="403"/>
      <c r="R95" s="441"/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2.6367160000415999E-3</v>
      </c>
      <c r="U95" s="413">
        <f ca="1"/>
        <v>4.9190449934652797E-2</v>
      </c>
      <c r="V95" s="413">
        <f ca="1"/>
        <v>4.6553733934611201E-2</v>
      </c>
      <c r="W95" s="414">
        <f ca="1"/>
        <v>1.05663812066601E-2</v>
      </c>
      <c r="X95" s="415">
        <f ca="1"/>
        <v>4.6553733934611197</v>
      </c>
      <c r="Y95" s="416">
        <f t="shared" ca="1" si="7"/>
        <v>0.10354647975737336</v>
      </c>
      <c r="Z95" s="417">
        <f t="shared" ca="1" si="8"/>
        <v>-5.0934979284146375E-3</v>
      </c>
      <c r="AA95" s="416">
        <f t="shared" ca="1" si="9"/>
        <v>0.11658790424638425</v>
      </c>
      <c r="AB95" s="418">
        <f t="shared" ca="1" si="10"/>
        <v>1.0038062146327095E-2</v>
      </c>
      <c r="AC95" s="417">
        <f t="shared" ca="1" si="11"/>
        <v>-2.867505733408944E-4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1.8778214518386401E-4</v>
      </c>
      <c r="J96" s="403">
        <f ca="1"/>
        <v>4.7604885422220699E-4</v>
      </c>
      <c r="K96" s="403">
        <f ca="1"/>
        <v>0.39445981965584598</v>
      </c>
      <c r="L96" s="403">
        <f ca="1"/>
        <v>0.39445981965584598</v>
      </c>
      <c r="M96" s="403">
        <f ca="1"/>
        <v>-1.8768536945465601E-4</v>
      </c>
      <c r="N96" s="441" t="str">
        <f ca="1"/>
        <v>KONINKLIJKE KPN N.V.</v>
      </c>
      <c r="O96" s="403"/>
      <c r="P96" s="403"/>
      <c r="Q96" s="403"/>
      <c r="R96" s="441"/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-2.4334268627184501E-2</v>
      </c>
      <c r="U96" s="413">
        <f ca="1"/>
        <v>2.2842682863807799E-2</v>
      </c>
      <c r="V96" s="413">
        <f ca="1"/>
        <v>4.7176951490992297E-2</v>
      </c>
      <c r="W96" s="414">
        <f ca="1"/>
        <v>4.8419158385359503E-3</v>
      </c>
      <c r="X96" s="415">
        <f ca="1"/>
        <v>4.7176951490992298</v>
      </c>
      <c r="Y96" s="416">
        <f t="shared" ca="1" si="7"/>
        <v>0.10354647975737336</v>
      </c>
      <c r="Z96" s="417">
        <f t="shared" ca="1" si="8"/>
        <v>-2.3652793987613721E-3</v>
      </c>
      <c r="AA96" s="416">
        <f t="shared" ca="1" si="9"/>
        <v>9.8614954913961494E-2</v>
      </c>
      <c r="AB96" s="418">
        <f t="shared" ca="1" si="10"/>
        <v>4.5998200466091524E-3</v>
      </c>
      <c r="AC96" s="417">
        <f t="shared" ca="1" si="11"/>
        <v>-1.1263150703641645E-4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1.7531148321682101E-4</v>
      </c>
      <c r="J97" s="403">
        <f ca="1"/>
        <v>4.8239091109553899E-4</v>
      </c>
      <c r="K97" s="403">
        <f ca="1"/>
        <v>0.36342202803671803</v>
      </c>
      <c r="L97" s="403">
        <f ca="1"/>
        <v>0.36342202803671803</v>
      </c>
      <c r="M97" s="403">
        <f ca="1"/>
        <v>-1.31277533912435E-4</v>
      </c>
      <c r="N97" s="441" t="str">
        <f ca="1"/>
        <v>ORANGE</v>
      </c>
      <c r="O97" s="403"/>
      <c r="P97" s="403"/>
      <c r="Q97" s="403"/>
      <c r="R97" s="441"/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-3.1988569249602902E-2</v>
      </c>
      <c r="U97" s="413">
        <f ca="1"/>
        <v>1.54044541586803E-2</v>
      </c>
      <c r="V97" s="413">
        <f ca="1"/>
        <v>4.7393023408283198E-2</v>
      </c>
      <c r="W97" s="414">
        <f ca="1"/>
        <v>3.2503632498761402E-3</v>
      </c>
      <c r="X97" s="415">
        <f ca="1"/>
        <v>4.7393023408283197</v>
      </c>
      <c r="Y97" s="416">
        <f t="shared" ca="1" si="7"/>
        <v>0.10354647975737336</v>
      </c>
      <c r="Z97" s="417">
        <f t="shared" ca="1" si="8"/>
        <v>-1.5950770007151793E-3</v>
      </c>
      <c r="AA97" s="416">
        <f t="shared" ca="1" si="9"/>
        <v>9.0855507009179506E-2</v>
      </c>
      <c r="AB97" s="418">
        <f t="shared" ca="1" si="10"/>
        <v>3.0878450873823332E-3</v>
      </c>
      <c r="AC97" s="417">
        <f t="shared" ca="1" si="11"/>
        <v>-6.9978974639328269E-5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1.92713387908281E-4</v>
      </c>
      <c r="J98" s="403">
        <f ca="1"/>
        <v>4.7256361581925302E-4</v>
      </c>
      <c r="K98" s="403">
        <f ca="1"/>
        <v>0.40780411664615002</v>
      </c>
      <c r="L98" s="403">
        <f ca="1"/>
        <v>0.40780411664615002</v>
      </c>
      <c r="M98" s="403">
        <f ca="1"/>
        <v>-2.15523264115127E-4</v>
      </c>
      <c r="N98" s="441" t="str">
        <f ca="1"/>
        <v>PEARSON PLC</v>
      </c>
      <c r="O98" s="403"/>
      <c r="P98" s="403"/>
      <c r="Q98" s="403"/>
      <c r="R98" s="441"/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-2.03619333638577E-2</v>
      </c>
      <c r="U98" s="413">
        <f ca="1"/>
        <v>2.6716788859493801E-2</v>
      </c>
      <c r="V98" s="413">
        <f ca="1"/>
        <v>4.70787222233515E-2</v>
      </c>
      <c r="W98" s="414">
        <f ca="1"/>
        <v>5.6749180091897299E-3</v>
      </c>
      <c r="X98" s="415">
        <f ca="1"/>
        <v>4.7078722223351503</v>
      </c>
      <c r="Y98" s="416">
        <f t="shared" ca="1" si="7"/>
        <v>0.10354647975737336</v>
      </c>
      <c r="Z98" s="417">
        <f t="shared" ca="1" si="8"/>
        <v>-2.7664294368215949E-3</v>
      </c>
      <c r="AA98" s="416">
        <f t="shared" ca="1" si="9"/>
        <v>0.1019510291615375</v>
      </c>
      <c r="AB98" s="418">
        <f t="shared" ca="1" si="10"/>
        <v>5.3911721087302432E-3</v>
      </c>
      <c r="AC98" s="417">
        <f t="shared" ca="1" si="11"/>
        <v>-1.3619020600584482E-4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1.8721397651285499E-4</v>
      </c>
      <c r="J99" s="403">
        <f ca="1"/>
        <v>4.7649584437104998E-4</v>
      </c>
      <c r="K99" s="403">
        <f ca="1"/>
        <v>0.39289739611468799</v>
      </c>
      <c r="L99" s="403">
        <f ca="1"/>
        <v>0.39289739611468799</v>
      </c>
      <c r="M99" s="403">
        <f ca="1"/>
        <v>-1.84632896687499E-4</v>
      </c>
      <c r="N99" s="441" t="str">
        <f ca="1"/>
        <v>PUBLICIS GROUPE SA</v>
      </c>
      <c r="O99" s="403"/>
      <c r="P99" s="403"/>
      <c r="Q99" s="403"/>
      <c r="R99" s="441"/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-2.47819330896057E-2</v>
      </c>
      <c r="U99" s="413">
        <f ca="1"/>
        <v>2.2428866911555798E-2</v>
      </c>
      <c r="V99" s="413">
        <f ca="1"/>
        <v>4.7210800001161499E-2</v>
      </c>
      <c r="W99" s="414">
        <f ca="1"/>
        <v>4.7507915373185801E-3</v>
      </c>
      <c r="X99" s="415">
        <f ca="1"/>
        <v>4.7210800001161504</v>
      </c>
      <c r="Y99" s="416">
        <f t="shared" ca="1" si="7"/>
        <v>0.10354647975737336</v>
      </c>
      <c r="Z99" s="417">
        <f t="shared" ca="1" si="8"/>
        <v>-2.3224302136382346E-3</v>
      </c>
      <c r="AA99" s="416">
        <f t="shared" ca="1" si="9"/>
        <v>9.8224349028671998E-2</v>
      </c>
      <c r="AB99" s="418">
        <f t="shared" ca="1" si="10"/>
        <v>4.5132519604526508E-3</v>
      </c>
      <c r="AC99" s="417">
        <f t="shared" ca="1" si="11"/>
        <v>-1.1015304259191466E-4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2.2735109097888901E-4</v>
      </c>
      <c r="J100" s="403">
        <f ca="1"/>
        <v>4.4059323115798601E-4</v>
      </c>
      <c r="K100" s="403">
        <f ca="1"/>
        <v>0.51601131134347</v>
      </c>
      <c r="L100" s="403">
        <f ca="1"/>
        <v>0.51601131134347</v>
      </c>
      <c r="M100" s="403">
        <f ca="1"/>
        <v>-4.9800290232751001E-4</v>
      </c>
      <c r="N100" s="441" t="str">
        <f ca="1"/>
        <v>SES</v>
      </c>
      <c r="O100" s="403"/>
      <c r="P100" s="403"/>
      <c r="Q100" s="403"/>
      <c r="R100" s="441"/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3.0013344947002699E-2</v>
      </c>
      <c r="U100" s="413">
        <f ca="1"/>
        <v>7.56665408389324E-2</v>
      </c>
      <c r="V100" s="413">
        <f ca="1"/>
        <v>4.5653195891929697E-2</v>
      </c>
      <c r="W100" s="414">
        <f ca="1"/>
        <v>1.6574204578809901E-2</v>
      </c>
      <c r="X100" s="415">
        <f ca="1"/>
        <v>4.5653195891929697</v>
      </c>
      <c r="Y100" s="416">
        <f t="shared" ca="1" si="7"/>
        <v>0.10354647975737336</v>
      </c>
      <c r="Z100" s="417">
        <f t="shared" ca="1" si="8"/>
        <v>-7.8350039392890043E-3</v>
      </c>
      <c r="AA100" s="416">
        <f t="shared" ca="1" si="9"/>
        <v>0.1290028278358675</v>
      </c>
      <c r="AB100" s="418">
        <f t="shared" ca="1" si="10"/>
        <v>1.5745494349869407E-2</v>
      </c>
      <c r="AC100" s="417">
        <f t="shared" ca="1" si="11"/>
        <v>-4.8805988703902323E-4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1.51001032835633E-4</v>
      </c>
      <c r="J101" s="403">
        <f ca="1"/>
        <v>4.8899953402871898E-4</v>
      </c>
      <c r="K101" s="403">
        <f ca="1"/>
        <v>0.30879586242461499</v>
      </c>
      <c r="L101" s="403">
        <f ca="1"/>
        <v>0.30879586242461499</v>
      </c>
      <c r="M101" s="403">
        <f ca="1"/>
        <v>-6.0616191346998302E-5</v>
      </c>
      <c r="N101" s="441" t="str">
        <f ca="1"/>
        <v>SKY LIMITED</v>
      </c>
      <c r="O101" s="403"/>
      <c r="P101" s="403"/>
      <c r="Q101" s="403"/>
      <c r="R101" s="441"/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-4.0807411215966302E-2</v>
      </c>
      <c r="U101" s="413">
        <f ca="1"/>
        <v>6.816562920144E-3</v>
      </c>
      <c r="V101" s="413">
        <f ca="1"/>
        <v>4.7623974136110303E-2</v>
      </c>
      <c r="W101" s="414">
        <f ca="1"/>
        <v>1.43133013231154E-3</v>
      </c>
      <c r="X101" s="415">
        <f ca="1"/>
        <v>4.7623974136110299</v>
      </c>
      <c r="Y101" s="416">
        <f t="shared" ca="1" si="7"/>
        <v>0.10354647975737336</v>
      </c>
      <c r="Z101" s="417">
        <f t="shared" ca="1" si="8"/>
        <v>-7.0583109442555361E-4</v>
      </c>
      <c r="AA101" s="416">
        <f t="shared" ca="1" si="9"/>
        <v>7.7198965606153747E-2</v>
      </c>
      <c r="AB101" s="418">
        <f t="shared" ca="1" si="10"/>
        <v>1.3597636256959629E-3</v>
      </c>
      <c r="AC101" s="417">
        <f t="shared" ca="1" si="11"/>
        <v>-2.6311580321219054E-5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616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1.7499080992257199E-4</v>
      </c>
      <c r="J102" s="403">
        <f ca="1"/>
        <v>4.8241870344086402E-4</v>
      </c>
      <c r="K102" s="403">
        <f ca="1"/>
        <v>0.36273637127757602</v>
      </c>
      <c r="L102" s="403">
        <f ca="1"/>
        <v>0.36273637127757602</v>
      </c>
      <c r="M102" s="403">
        <f ca="1"/>
        <v>-1.3010336843851899E-4</v>
      </c>
      <c r="N102" s="441" t="str">
        <f ca="1"/>
        <v>STMICROELECTRONICS N.V.</v>
      </c>
      <c r="O102" s="403"/>
      <c r="P102" s="403"/>
      <c r="Q102" s="403"/>
      <c r="R102" s="441"/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-3.2129647816907497E-2</v>
      </c>
      <c r="U102" s="413">
        <f ca="1"/>
        <v>1.52519905322724E-2</v>
      </c>
      <c r="V102" s="413">
        <f ca="1"/>
        <v>4.7381638349179897E-2</v>
      </c>
      <c r="W102" s="414">
        <f ca="1"/>
        <v>3.21896647386327E-3</v>
      </c>
      <c r="X102" s="415">
        <f ca="1"/>
        <v>4.73816383491799</v>
      </c>
      <c r="Y102" s="416">
        <f t="shared" ca="1" si="7"/>
        <v>0.10354647975737336</v>
      </c>
      <c r="Z102" s="417">
        <f t="shared" ca="1" si="8"/>
        <v>-1.5792899289095972E-3</v>
      </c>
      <c r="AA102" s="416">
        <f t="shared" ca="1" si="9"/>
        <v>9.0684092819394005E-2</v>
      </c>
      <c r="AB102" s="418">
        <f t="shared" ca="1" si="10"/>
        <v>3.0580181501701064E-3</v>
      </c>
      <c r="AC102" s="417">
        <f t="shared" ca="1" si="11"/>
        <v>-6.9155646255455628E-5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1.95334242045231E-4</v>
      </c>
      <c r="J103" s="403">
        <f ca="1"/>
        <v>4.57590421980938E-4</v>
      </c>
      <c r="K103" s="403">
        <f ca="1"/>
        <v>0.426875722615908</v>
      </c>
      <c r="L103" s="403">
        <f ca="1"/>
        <v>0.426875722615908</v>
      </c>
      <c r="M103" s="403">
        <f ca="1"/>
        <v>-2.5789096892998099E-4</v>
      </c>
      <c r="N103" s="441" t="str">
        <f ca="1"/>
        <v>TELEFONICA, S.A.</v>
      </c>
      <c r="O103" s="403"/>
      <c r="P103" s="403"/>
      <c r="Q103" s="403"/>
      <c r="R103" s="441"/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-1.40208673150447E-2</v>
      </c>
      <c r="U103" s="413">
        <f ca="1"/>
        <v>3.2883088696915599E-2</v>
      </c>
      <c r="V103" s="413">
        <f ca="1"/>
        <v>4.6903956011960297E-2</v>
      </c>
      <c r="W103" s="414">
        <f ca="1"/>
        <v>7.0107281971121E-3</v>
      </c>
      <c r="X103" s="415">
        <f ca="1"/>
        <v>4.6903956011960304</v>
      </c>
      <c r="Y103" s="416">
        <f t="shared" ca="1" si="7"/>
        <v>0.10354647975737336</v>
      </c>
      <c r="Z103" s="417">
        <f t="shared" ca="1" si="8"/>
        <v>-3.4049280781150806E-3</v>
      </c>
      <c r="AA103" s="416">
        <f t="shared" ca="1" si="9"/>
        <v>0.106718930653977</v>
      </c>
      <c r="AB103" s="418">
        <f t="shared" ca="1" si="10"/>
        <v>6.6601917872564946E-3</v>
      </c>
      <c r="AC103" s="417">
        <f t="shared" ca="1" si="11"/>
        <v>-1.7546240311673561E-4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1.66256700030463E-4</v>
      </c>
      <c r="J104" s="403">
        <f ca="1"/>
        <v>4.8548194514187802E-4</v>
      </c>
      <c r="K104" s="403">
        <f ca="1"/>
        <v>0.34245701965677799</v>
      </c>
      <c r="L104" s="403">
        <f ca="1"/>
        <v>0.34245701965677799</v>
      </c>
      <c r="M104" s="403">
        <f ca="1"/>
        <v>-9.9899754909475995E-5</v>
      </c>
      <c r="N104" s="441" t="str">
        <f ca="1"/>
        <v>TELEKOM AUSTRIA AKTIENGESELLSCHAFT</v>
      </c>
      <c r="O104" s="403"/>
      <c r="P104" s="403"/>
      <c r="Q104" s="403"/>
      <c r="R104" s="441"/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-3.6005972854644797E-2</v>
      </c>
      <c r="U104" s="413">
        <f ca="1"/>
        <v>1.14929015025919E-2</v>
      </c>
      <c r="V104" s="413">
        <f ca="1"/>
        <v>4.7498874357236702E-2</v>
      </c>
      <c r="W104" s="414">
        <f ca="1"/>
        <v>2.4196155504979601E-3</v>
      </c>
      <c r="X104" s="415">
        <f ca="1"/>
        <v>4.7498874357236698</v>
      </c>
      <c r="Y104" s="416">
        <f t="shared" ca="1" si="7"/>
        <v>0.10354647975737336</v>
      </c>
      <c r="Z104" s="417">
        <f t="shared" ca="1" si="8"/>
        <v>-1.1900494927916149E-3</v>
      </c>
      <c r="AA104" s="416">
        <f t="shared" ca="1" si="9"/>
        <v>8.5614254914194499E-2</v>
      </c>
      <c r="AB104" s="418">
        <f t="shared" ca="1" si="10"/>
        <v>2.2986347729730622E-3</v>
      </c>
      <c r="AC104" s="417">
        <f t="shared" ca="1" si="11"/>
        <v>-4.919780994733143E-5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1.69451051540755E-4</v>
      </c>
      <c r="J105" s="403">
        <f ca="1"/>
        <v>4.8441394037027899E-4</v>
      </c>
      <c r="K105" s="403">
        <f ca="1"/>
        <v>0.34980630700105197</v>
      </c>
      <c r="L105" s="403">
        <f ca="1"/>
        <v>0.34980630700105197</v>
      </c>
      <c r="M105" s="403">
        <f ca="1"/>
        <v>-1.10225730604156E-4</v>
      </c>
      <c r="N105" s="441" t="str">
        <f ca="1"/>
        <v>TELENOR ASA</v>
      </c>
      <c r="O105" s="403"/>
      <c r="P105" s="403"/>
      <c r="Q105" s="403"/>
      <c r="R105" s="441"/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-3.4693160386017899E-2</v>
      </c>
      <c r="U105" s="413">
        <f ca="1"/>
        <v>1.2759548184942E-2</v>
      </c>
      <c r="V105" s="413">
        <f ca="1"/>
        <v>4.7452708570959901E-2</v>
      </c>
      <c r="W105" s="414">
        <f ca="1"/>
        <v>2.68889776141263E-3</v>
      </c>
      <c r="X105" s="415">
        <f ca="1"/>
        <v>4.7452708570959903</v>
      </c>
      <c r="Y105" s="416">
        <f t="shared" ca="1" si="7"/>
        <v>0.10354647975737336</v>
      </c>
      <c r="Z105" s="417">
        <f t="shared" ca="1" si="8"/>
        <v>-1.3212062978453269E-3</v>
      </c>
      <c r="AA105" s="416">
        <f t="shared" ca="1" si="9"/>
        <v>8.7451576750262994E-2</v>
      </c>
      <c r="AB105" s="418">
        <f t="shared" ca="1" si="10"/>
        <v>2.5544528733419986E-3</v>
      </c>
      <c r="AC105" s="417">
        <f t="shared" ca="1" si="11"/>
        <v>-5.5792130369706679E-5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1.70654965210932E-4</v>
      </c>
      <c r="J106" s="403">
        <f ca="1"/>
        <v>4.8401602918710101E-4</v>
      </c>
      <c r="K106" s="403">
        <f ca="1"/>
        <v>0.35258122648860402</v>
      </c>
      <c r="L106" s="403">
        <f ca="1"/>
        <v>0.35258122648860402</v>
      </c>
      <c r="M106" s="403">
        <f ca="1"/>
        <v>-1.14319183949263E-4</v>
      </c>
      <c r="N106" s="441" t="str">
        <f ca="1"/>
        <v>TELIA COMPANY AB</v>
      </c>
      <c r="O106" s="403"/>
      <c r="P106" s="403"/>
      <c r="Q106" s="403"/>
      <c r="R106" s="441"/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-3.4171186488441301E-2</v>
      </c>
      <c r="U106" s="413">
        <f ca="1"/>
        <v>1.32677499383095E-2</v>
      </c>
      <c r="V106" s="413">
        <f ca="1"/>
        <v>4.7438936426750802E-2</v>
      </c>
      <c r="W106" s="414">
        <f ca="1"/>
        <v>2.7968059441627301E-3</v>
      </c>
      <c r="X106" s="415">
        <f ca="1"/>
        <v>4.7438936426750802</v>
      </c>
      <c r="Y106" s="416">
        <f t="shared" ca="1" si="7"/>
        <v>0.10354647975737336</v>
      </c>
      <c r="Z106" s="417">
        <f t="shared" ca="1" si="8"/>
        <v>-1.3738288004130511E-3</v>
      </c>
      <c r="AA106" s="416">
        <f t="shared" ca="1" si="9"/>
        <v>8.8145306622151004E-2</v>
      </c>
      <c r="AB106" s="418">
        <f t="shared" ca="1" si="10"/>
        <v>2.6569656469545935E-3</v>
      </c>
      <c r="AC106" s="417">
        <f t="shared" ca="1" si="11"/>
        <v>-5.8474494324915619E-5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1.8953552459350899E-4</v>
      </c>
      <c r="J107" s="403">
        <f ca="1"/>
        <v>4.61962582700829E-4</v>
      </c>
      <c r="K107" s="403">
        <f ca="1"/>
        <v>0.41028328200393199</v>
      </c>
      <c r="L107" s="403">
        <f ca="1"/>
        <v>0.41028328200393199</v>
      </c>
      <c r="M107" s="403">
        <f ca="1"/>
        <v>-2.2016078438088699E-4</v>
      </c>
      <c r="N107" s="441" t="str">
        <f ca="1"/>
        <v>VIVENDI SE</v>
      </c>
      <c r="O107" s="403"/>
      <c r="P107" s="403"/>
      <c r="Q107" s="403"/>
      <c r="R107" s="441"/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-1.9702410970203799E-2</v>
      </c>
      <c r="U107" s="413">
        <f ca="1"/>
        <v>2.7376910988920301E-2</v>
      </c>
      <c r="V107" s="413">
        <f ca="1"/>
        <v>4.70793219591241E-2</v>
      </c>
      <c r="W107" s="414">
        <f ca="1"/>
        <v>5.8150605934150701E-3</v>
      </c>
      <c r="X107" s="415">
        <f ca="1"/>
        <v>4.7079321959124103</v>
      </c>
      <c r="Y107" s="416">
        <f t="shared" ca="1" si="7"/>
        <v>0.10354647975737336</v>
      </c>
      <c r="Z107" s="417">
        <f t="shared" ca="1" si="8"/>
        <v>-2.8347827595336514E-3</v>
      </c>
      <c r="AA107" s="416">
        <f t="shared" ca="1" si="9"/>
        <v>0.102570820500983</v>
      </c>
      <c r="AB107" s="418">
        <f t="shared" ca="1" si="10"/>
        <v>5.524307563744316E-3</v>
      </c>
      <c r="AC107" s="417">
        <f t="shared" ca="1" si="11"/>
        <v>-1.404036111457971E-4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1.9501256322111999E-4</v>
      </c>
      <c r="J108" s="403">
        <f ca="1"/>
        <v>4.57849761207977E-4</v>
      </c>
      <c r="K108" s="403">
        <f ca="1"/>
        <v>0.42593134199001198</v>
      </c>
      <c r="L108" s="403">
        <f ca="1"/>
        <v>0.42593134199001198</v>
      </c>
      <c r="M108" s="403">
        <f ca="1"/>
        <v>-2.5568616613114099E-4</v>
      </c>
      <c r="N108" s="441" t="str">
        <f ca="1"/>
        <v>VODAFONE GROUP PUBLIC LIMITED COMPANY</v>
      </c>
      <c r="O108" s="403"/>
      <c r="P108" s="403"/>
      <c r="Q108" s="403"/>
      <c r="R108" s="441"/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-1.43708597486448E-2</v>
      </c>
      <c r="U108" s="413">
        <f ca="1"/>
        <v>3.25540524266454E-2</v>
      </c>
      <c r="V108" s="413">
        <f ca="1"/>
        <v>4.6924912175290198E-2</v>
      </c>
      <c r="W108" s="414">
        <f ca="1"/>
        <v>6.9374775396570101E-3</v>
      </c>
      <c r="X108" s="415">
        <f ca="1"/>
        <v>4.6924912175290201</v>
      </c>
      <c r="Y108" s="416">
        <f t="shared" ca="1" si="7"/>
        <v>0.10354647975737336</v>
      </c>
      <c r="Z108" s="417">
        <f t="shared" ca="1" si="8"/>
        <v>-3.3708575306161041E-3</v>
      </c>
      <c r="AA108" s="416">
        <f t="shared" ca="1" si="9"/>
        <v>0.106482835497503</v>
      </c>
      <c r="AB108" s="418">
        <f t="shared" ca="1" si="10"/>
        <v>6.590603662674159E-3</v>
      </c>
      <c r="AC108" s="417">
        <f t="shared" ca="1" si="11"/>
        <v>-1.7332239046617855E-4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1.9424062407598101E-4</v>
      </c>
      <c r="J109" s="403">
        <f ca="1"/>
        <v>4.5849116740537602E-4</v>
      </c>
      <c r="K109" s="403">
        <f ca="1"/>
        <v>0.42365183428766601</v>
      </c>
      <c r="L109" s="403">
        <f ca="1"/>
        <v>0.42365183428766601</v>
      </c>
      <c r="M109" s="403">
        <f ca="1"/>
        <v>-2.5029807473085701E-4</v>
      </c>
      <c r="N109" s="441" t="str">
        <f ca="1"/>
        <v>WPP 2005 LIMITED</v>
      </c>
      <c r="O109" s="403"/>
      <c r="P109" s="403"/>
      <c r="Q109" s="403"/>
      <c r="R109" s="441"/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-1.5169480941882999E-2</v>
      </c>
      <c r="U109" s="413">
        <f ca="1"/>
        <v>3.1752811817288999E-2</v>
      </c>
      <c r="V109" s="413">
        <f ca="1"/>
        <v>4.6922292759172E-2</v>
      </c>
      <c r="W109" s="414">
        <f ca="1"/>
        <v>6.7671057721454099E-3</v>
      </c>
      <c r="X109" s="415">
        <f ca="1"/>
        <v>4.6922292759172004</v>
      </c>
      <c r="Y109" s="416">
        <f t="shared" ca="1" si="7"/>
        <v>0.10354647975737336</v>
      </c>
      <c r="Z109" s="417">
        <f t="shared" ca="1" si="8"/>
        <v>-3.287891886078597E-3</v>
      </c>
      <c r="AA109" s="416">
        <f t="shared" ca="1" si="9"/>
        <v>0.1059129585719165</v>
      </c>
      <c r="AB109" s="418">
        <f t="shared" ca="1" si="10"/>
        <v>6.4287504835381388E-3</v>
      </c>
      <c r="AC109" s="417">
        <f t="shared" ca="1" si="11"/>
        <v>-1.6815171212731966E-4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41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41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41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41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41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41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41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41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41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41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41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41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41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41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41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617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41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41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41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41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41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41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41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41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41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41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41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41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41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41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41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442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442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442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442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442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442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442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442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442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442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442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442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442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442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442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442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442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442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442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442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442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442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442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41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41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41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41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41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41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41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41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41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41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41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41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41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41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41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41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41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41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41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41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41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41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41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41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41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41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41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41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41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41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41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41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41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41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41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41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41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41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41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41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41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41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41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41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41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41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41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41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41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41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41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41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41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41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41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41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41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41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41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41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41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41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41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41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41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41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41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41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41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41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41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41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41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41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41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41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41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41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41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41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41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41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41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41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41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41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41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41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41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41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41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41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41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41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41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41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41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41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41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41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41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41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41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41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41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41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41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41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41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41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41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41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41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41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41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41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41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41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41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41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41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41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41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41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41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41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41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41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41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41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41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41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41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41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41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41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41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41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41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41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41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41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41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41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41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41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41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41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41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41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41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6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disablePrompts="1"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abSelected="1" topLeftCell="U1" zoomScale="115" zoomScaleNormal="115" workbookViewId="0">
      <selection activeCell="AQ14" sqref="AQ14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32" width="9" style="79" customWidth="1"/>
    <col min="33" max="35" width="9" style="272" customWidth="1"/>
    <col min="36" max="48" width="8.5703125" style="272" customWidth="1"/>
    <col min="49" max="54" width="9.140625" style="272"/>
    <col min="55" max="55" width="20.5703125" style="272" bestFit="1" customWidth="1"/>
    <col min="56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7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</row>
    <row r="8" spans="1:229" ht="12" thickBot="1">
      <c r="B8" s="468" t="s">
        <v>627</v>
      </c>
      <c r="C8" s="476" t="s">
        <v>628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666</v>
      </c>
      <c r="U8" s="476" t="s">
        <v>655</v>
      </c>
      <c r="V8" s="476" t="s">
        <v>667</v>
      </c>
      <c r="W8" s="476" t="s">
        <v>668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M8" s="79"/>
    </row>
    <row r="9" spans="1:229" ht="12" thickBot="1">
      <c r="B9" s="468" t="s">
        <v>629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/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465" t="s">
        <v>602</v>
      </c>
      <c r="AG9" s="483"/>
    </row>
    <row r="10" spans="1:229" ht="12" thickBot="1">
      <c r="B10" s="468" t="s">
        <v>630</v>
      </c>
      <c r="C10" s="468" t="s">
        <v>82</v>
      </c>
      <c r="D10" s="468" t="s">
        <v>432</v>
      </c>
      <c r="E10" s="468" t="s">
        <v>631</v>
      </c>
      <c r="F10" s="468" t="s">
        <v>632</v>
      </c>
      <c r="G10" s="468" t="s">
        <v>633</v>
      </c>
      <c r="H10" s="468" t="s">
        <v>634</v>
      </c>
      <c r="I10" s="468" t="s">
        <v>635</v>
      </c>
      <c r="J10" s="468" t="s">
        <v>636</v>
      </c>
      <c r="K10" s="476" t="s">
        <v>485</v>
      </c>
      <c r="L10" s="272" t="s">
        <v>695</v>
      </c>
      <c r="M10" s="468" t="s">
        <v>678</v>
      </c>
      <c r="N10" s="468" t="s">
        <v>692</v>
      </c>
      <c r="P10" s="273"/>
      <c r="Q10" s="273"/>
      <c r="R10" s="273"/>
      <c r="S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0.12650542840462919</v>
      </c>
      <c r="Z10" s="272"/>
      <c r="AA10" s="272"/>
      <c r="AB10" s="466" t="s">
        <v>604</v>
      </c>
      <c r="AC10" s="493">
        <f ca="1">MAX(MAX(AC11,0)+0.5*MIN(AC11,0),0)</f>
        <v>8.8194086365961244</v>
      </c>
      <c r="AD10" s="272"/>
      <c r="AE10" s="272"/>
      <c r="AF10" s="466" t="s">
        <v>604</v>
      </c>
      <c r="AG10" s="493">
        <f ca="1">MAX(MAX(AG11,0)+0.5*MIN(AG11,0),0)</f>
        <v>17.283668957238334</v>
      </c>
      <c r="AP10" s="79"/>
    </row>
    <row r="11" spans="1:229" ht="12" thickBot="1">
      <c r="B11" s="529" t="s">
        <v>637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8"/>
      <c r="L11" s="272"/>
      <c r="M11" s="588" t="s">
        <v>679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0.12650542840462919</v>
      </c>
      <c r="Z11" s="272"/>
      <c r="AA11" s="272"/>
      <c r="AB11" s="466" t="s">
        <v>603</v>
      </c>
      <c r="AC11" s="493">
        <f ca="1">15%*SUM(AD14:AD313)-AC12*SUM(W9:W133)</f>
        <v>8.8194086365961244</v>
      </c>
      <c r="AD11" s="272"/>
      <c r="AE11" s="272"/>
      <c r="AF11" s="466" t="s">
        <v>603</v>
      </c>
      <c r="AG11" s="493">
        <f ca="1">15%*SUM(AH14:AH313)-AG12*SUM(AA9:AA133)</f>
        <v>0</v>
      </c>
    </row>
    <row r="12" spans="1:229" ht="12" thickBot="1">
      <c r="B12" s="517" t="s">
        <v>637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9"/>
      <c r="L12" s="272"/>
      <c r="M12" s="598" t="s">
        <v>680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619" t="s">
        <v>600</v>
      </c>
      <c r="AG12" s="617">
        <f ca="1">SUM(AH14:AH313)/(SUM(AH14:AH313)+SUM(AI14:AI313))</f>
        <v>1</v>
      </c>
      <c r="AQ12" s="476" t="s">
        <v>670</v>
      </c>
      <c r="AV12" s="476" t="s">
        <v>609</v>
      </c>
      <c r="AX12" s="580"/>
      <c r="AY12" s="580"/>
      <c r="AZ12" s="580"/>
      <c r="BA12" s="580"/>
      <c r="BB12" s="580"/>
      <c r="BC12" s="580"/>
      <c r="BD12" s="580"/>
      <c r="BE12" s="580"/>
      <c r="BF12" s="580"/>
      <c r="BI12" s="547"/>
    </row>
    <row r="13" spans="1:229" ht="12" thickBot="1">
      <c r="B13" s="534" t="s">
        <v>637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10"/>
      <c r="L13" s="272"/>
      <c r="M13" s="596" t="s">
        <v>681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618" t="s">
        <v>598</v>
      </c>
      <c r="AP13" s="476" t="s">
        <v>80</v>
      </c>
      <c r="AQ13" s="476" t="s">
        <v>84</v>
      </c>
      <c r="AR13" s="476" t="s">
        <v>53</v>
      </c>
      <c r="AS13" s="476" t="s">
        <v>55</v>
      </c>
      <c r="AT13" s="476" t="s">
        <v>57</v>
      </c>
      <c r="AU13" s="476" t="s">
        <v>62</v>
      </c>
      <c r="AV13" s="476" t="s">
        <v>84</v>
      </c>
      <c r="AW13" s="476" t="s">
        <v>53</v>
      </c>
      <c r="AX13" s="476" t="s">
        <v>55</v>
      </c>
      <c r="AY13" s="476" t="s">
        <v>57</v>
      </c>
      <c r="AZ13" s="476" t="s">
        <v>59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669</v>
      </c>
    </row>
    <row r="14" spans="1:229" ht="12" thickBot="1">
      <c r="B14" s="539" t="s">
        <v>638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1">
        <v>0.93662999999999996</v>
      </c>
      <c r="L14" s="272"/>
      <c r="M14" s="587" t="s">
        <v>682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1.2139844074577899</v>
      </c>
      <c r="Y14" s="487">
        <f ca="1">IF(X14&lt;&gt;"",ABS(MIN(-0.75*('CDO Bespoke'!Q15)+'CDO Bespoke'!T15,0)),"")</f>
        <v>1.2045166280579505</v>
      </c>
      <c r="Z14" s="487">
        <f t="shared" ref="Z14:Z77" ca="1" si="2">IF(X14&lt;&gt;"",IF($Y$8,MAX(X14-Y14,0),X14),0)</f>
        <v>9.4677793998394488E-3</v>
      </c>
      <c r="AA14" s="487">
        <f t="shared" ref="AA14:AA77" ca="1" si="3">IF(X14&lt;&gt;"",IF($Y$8,0,Y14),0)</f>
        <v>0</v>
      </c>
      <c r="AB14" s="486">
        <f ca="1">IF('CDO Bespoke'!O15&lt;&gt;"",'CDO Bespoke'!O15,"")</f>
        <v>1.2139844074577899</v>
      </c>
      <c r="AC14" s="487">
        <f ca="1">IF(AB14&lt;&gt;"",ABS(MIN(-0.75*'CDO Bespoke'!K15+'CDO Bespoke'!T15,0)),"")</f>
        <v>0.59608119330087839</v>
      </c>
      <c r="AD14" s="487">
        <f t="shared" ref="AD14:AD77" ca="1" si="4">IF(AB14&lt;&gt;"",IF($Y$8,MAX(AB14-AC14,0),AB14),0)</f>
        <v>0.61790321415691152</v>
      </c>
      <c r="AE14" s="488">
        <f t="shared" ref="AE14:AE77" ca="1" si="5">IF(AB14&lt;&gt;"",IF($Y$8,0,AC14),0)</f>
        <v>0</v>
      </c>
      <c r="AF14" s="616">
        <f ca="1">IF('CDO Bespoke'!O15&lt;&gt;"",'CDO Bespoke'!O15,"")</f>
        <v>1.2139844074577899</v>
      </c>
      <c r="AP14" s="471" t="str">
        <f ca="1">IF('CDO Bespoke'!C39&lt;&gt;"",'CDO Bespoke'!C39,"")</f>
        <v>Airbus SE</v>
      </c>
      <c r="AQ14" s="503" t="e" cm="1">
        <f t="array" aca="1" ref="AQ14" ca="1">GetDeltaCSR(B25:B309,E25:E309,J25:J309,'CDO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#VALUE!</v>
      </c>
      <c r="AR14" s="504"/>
      <c r="AS14" s="504"/>
      <c r="AT14" s="504"/>
      <c r="AU14" s="505"/>
      <c r="AV14" s="503"/>
      <c r="AW14" s="504"/>
      <c r="AX14" s="504"/>
      <c r="AY14" s="504"/>
      <c r="AZ14" s="505"/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5.1309640812696505E-7</v>
      </c>
      <c r="BB14" s="580">
        <f ca="1"/>
        <v>4.1388695877591069E-6</v>
      </c>
      <c r="BC14" s="580">
        <f ca="1"/>
        <v>2.0020181315592465E-5</v>
      </c>
      <c r="BD14" s="580">
        <f ca="1"/>
        <v>7.240831084504533E-5</v>
      </c>
      <c r="BE14" s="580">
        <f ca="1"/>
        <v>1.5170143210588717E-4</v>
      </c>
      <c r="BF14" s="580">
        <f ca="1"/>
        <v>0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583">
        <f ca="1"/>
        <v>0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2" thickBot="1">
      <c r="B15" s="517" t="s">
        <v>638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9"/>
      <c r="L15" s="272"/>
      <c r="M15" s="587" t="s">
        <v>683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1.2142633928032101</v>
      </c>
      <c r="Y15" s="485">
        <f ca="1">IF(X15&lt;&gt;"",ABS(MIN(-0.75*('CDO Bespoke'!Q16)+'CDO Bespoke'!T16,0)),"")</f>
        <v>1.2045735662750987</v>
      </c>
      <c r="Z15" s="485">
        <f t="shared" ca="1" si="2"/>
        <v>9.6898265281113449E-3</v>
      </c>
      <c r="AA15" s="485">
        <f t="shared" ca="1" si="3"/>
        <v>0</v>
      </c>
      <c r="AB15" s="484">
        <f ca="1">IF('CDO Bespoke'!O16&lt;&gt;"",'CDO Bespoke'!O16,"")</f>
        <v>1.2142633928032101</v>
      </c>
      <c r="AC15" s="485">
        <f ca="1">IF(AB15&lt;&gt;"",ABS(MIN(-0.75*('CDO Bespoke'!K16)+'CDO Bespoke'!T16,0)),"")</f>
        <v>0.59452440211931945</v>
      </c>
      <c r="AD15" s="485">
        <f t="shared" ca="1" si="4"/>
        <v>0.6197389906838906</v>
      </c>
      <c r="AE15" s="489">
        <f t="shared" ca="1" si="5"/>
        <v>0</v>
      </c>
      <c r="AF15" s="493">
        <f ca="1">IF('CDO Bespoke'!O16&lt;&gt;"",'CDO Bespoke'!O16,"")</f>
        <v>1.2142633928032101</v>
      </c>
      <c r="AP15" s="494" t="str">
        <f ca="1">IF('CDO Bespoke'!C40&lt;&gt;"",'CDO Bespoke'!C40,"")</f>
        <v>Aktiebolaget Volvo</v>
      </c>
      <c r="AQ15" s="496"/>
      <c r="AR15" s="585"/>
      <c r="AS15" s="585"/>
      <c r="AT15" s="585"/>
      <c r="AU15" s="497"/>
      <c r="AV15" s="496"/>
      <c r="AW15" s="585"/>
      <c r="AX15" s="585"/>
      <c r="AY15" s="585"/>
      <c r="AZ15" s="497"/>
      <c r="BA15" s="506">
        <f ca="1"/>
        <v>5.1309640812696505E-7</v>
      </c>
      <c r="BB15" s="580">
        <f ca="1"/>
        <v>4.1388695877591069E-6</v>
      </c>
      <c r="BC15" s="580">
        <f ca="1"/>
        <v>2.0020181315592465E-5</v>
      </c>
      <c r="BD15" s="580">
        <f ca="1"/>
        <v>7.240831084504533E-5</v>
      </c>
      <c r="BE15" s="580">
        <f ca="1"/>
        <v>1.5170143210588717E-4</v>
      </c>
      <c r="BF15" s="580">
        <f ca="1"/>
        <v>0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2" thickBot="1">
      <c r="B16" s="534" t="s">
        <v>638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10"/>
      <c r="L16" s="272"/>
      <c r="M16" s="598" t="s">
        <v>684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1.2140769314470401</v>
      </c>
      <c r="Y16" s="485">
        <f ca="1">IF(X16&lt;&gt;"",ABS(MIN(-0.75*('CDO Bespoke'!Q17)+'CDO Bespoke'!T17,0)),"")</f>
        <v>1.2045355987926893</v>
      </c>
      <c r="Z16" s="485">
        <f t="shared" ca="1" si="2"/>
        <v>9.5413326543507537E-3</v>
      </c>
      <c r="AA16" s="485">
        <f t="shared" ca="1" si="3"/>
        <v>0</v>
      </c>
      <c r="AB16" s="484">
        <f ca="1">IF('CDO Bespoke'!O17&lt;&gt;"",'CDO Bespoke'!O17,"")</f>
        <v>1.2140769314470401</v>
      </c>
      <c r="AC16" s="485">
        <f ca="1">IF(AB16&lt;&gt;"",ABS(MIN(-0.75*('CDO Bespoke'!K17)+'CDO Bespoke'!T17,0)),"")</f>
        <v>0.59557638852339834</v>
      </c>
      <c r="AD16" s="485">
        <f t="shared" ca="1" si="4"/>
        <v>0.61850054292364176</v>
      </c>
      <c r="AE16" s="489">
        <f t="shared" ca="1" si="5"/>
        <v>0</v>
      </c>
      <c r="AF16" s="493">
        <f ca="1">IF('CDO Bespoke'!O17&lt;&gt;"",'CDO Bespoke'!O17,"")</f>
        <v>1.2140769314470401</v>
      </c>
      <c r="AP16" s="494" t="str">
        <f ca="1">IF('CDO Bespoke'!C41&lt;&gt;"",'CDO Bespoke'!C41,"")</f>
        <v>Akzo Nobel N.V.</v>
      </c>
      <c r="AQ16" s="496"/>
      <c r="AR16" s="585"/>
      <c r="AS16" s="585"/>
      <c r="AT16" s="585"/>
      <c r="AU16" s="497"/>
      <c r="AV16" s="496"/>
      <c r="AW16" s="585"/>
      <c r="AX16" s="585"/>
      <c r="AY16" s="585"/>
      <c r="AZ16" s="497"/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2" thickBot="1">
      <c r="B17" s="539" t="s">
        <v>639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640</v>
      </c>
      <c r="H17" s="540">
        <v>100</v>
      </c>
      <c r="I17" s="541">
        <v>-6.1151900000000004E-3</v>
      </c>
      <c r="J17" s="546">
        <v>46376</v>
      </c>
      <c r="K17" s="611">
        <v>0.82702600000000004</v>
      </c>
      <c r="L17" s="272"/>
      <c r="M17" s="600" t="s">
        <v>676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1.2003857136926099</v>
      </c>
      <c r="Y17" s="485">
        <f ca="1">IF(X17&lt;&gt;"",ABS(MIN(-0.75*('CDO Bespoke'!Q18)+'CDO Bespoke'!T18,0)),"")</f>
        <v>1.2013284250784229</v>
      </c>
      <c r="Z17" s="485">
        <f t="shared" ca="1" si="2"/>
        <v>0</v>
      </c>
      <c r="AA17" s="485">
        <f t="shared" ca="1" si="3"/>
        <v>0</v>
      </c>
      <c r="AB17" s="484">
        <f ca="1">IF('CDO Bespoke'!O18&lt;&gt;"",'CDO Bespoke'!O18,"")</f>
        <v>1.2003857136926099</v>
      </c>
      <c r="AC17" s="485">
        <f ca="1">IF(AB17&lt;&gt;"",ABS(MIN(-0.75*('CDO Bespoke'!K18)+'CDO Bespoke'!T18,0)),"")</f>
        <v>0.62343663570684604</v>
      </c>
      <c r="AD17" s="485">
        <f t="shared" ca="1" si="4"/>
        <v>0.57694907798576389</v>
      </c>
      <c r="AE17" s="489">
        <f t="shared" ca="1" si="5"/>
        <v>0</v>
      </c>
      <c r="AF17" s="493">
        <f ca="1">IF('CDO Bespoke'!O18&lt;&gt;"",'CDO Bespoke'!O18,"")</f>
        <v>1.2003857136926099</v>
      </c>
      <c r="AP17" s="494" t="str">
        <f ca="1">IF('CDO Bespoke'!C42&lt;&gt;"",'CDO Bespoke'!C42,"")</f>
        <v>ALSTOM</v>
      </c>
      <c r="AQ17" s="496"/>
      <c r="AR17" s="585"/>
      <c r="AS17" s="585"/>
      <c r="AT17" s="585"/>
      <c r="AU17" s="497"/>
      <c r="AV17" s="496"/>
      <c r="AW17" s="585"/>
      <c r="AX17" s="585"/>
      <c r="AY17" s="585"/>
      <c r="AZ17" s="497"/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2" thickBot="1">
      <c r="B18" s="517" t="s">
        <v>639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640</v>
      </c>
      <c r="H18" s="518">
        <v>100</v>
      </c>
      <c r="I18" s="525">
        <v>3.497422E-2</v>
      </c>
      <c r="J18" s="523">
        <v>47107</v>
      </c>
      <c r="K18" s="609"/>
      <c r="L18" s="272"/>
      <c r="M18" s="596" t="s">
        <v>675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1.21073902864134</v>
      </c>
      <c r="Y18" s="485">
        <f ca="1">IF(X18&lt;&gt;"",ABS(MIN(-0.75*('CDO Bespoke'!Q19)+'CDO Bespoke'!T19,0)),"")</f>
        <v>1.2038100318451994</v>
      </c>
      <c r="Z18" s="485">
        <f t="shared" ca="1" si="2"/>
        <v>6.928996796140563E-3</v>
      </c>
      <c r="AA18" s="485">
        <f t="shared" ca="1" si="3"/>
        <v>0</v>
      </c>
      <c r="AB18" s="484">
        <f ca="1">IF('CDO Bespoke'!O19&lt;&gt;"",'CDO Bespoke'!O19,"")</f>
        <v>1.21073902864134</v>
      </c>
      <c r="AC18" s="485">
        <f ca="1">IF(AB18&lt;&gt;"",ABS(MIN(-0.75*('CDO Bespoke'!K19)+'CDO Bespoke'!T19,0)),"")</f>
        <v>0.6087936106226749</v>
      </c>
      <c r="AD18" s="485">
        <f t="shared" ca="1" si="4"/>
        <v>0.60194541801866508</v>
      </c>
      <c r="AE18" s="489">
        <f t="shared" ca="1" si="5"/>
        <v>0</v>
      </c>
      <c r="AF18" s="493">
        <f ca="1">IF('CDO Bespoke'!O19&lt;&gt;"",'CDO Bespoke'!O19,"")</f>
        <v>1.21073902864134</v>
      </c>
      <c r="AP18" s="494" t="str">
        <f ca="1">IF('CDO Bespoke'!C43&lt;&gt;"",'CDO Bespoke'!C43,"")</f>
        <v>Anglo American plc</v>
      </c>
      <c r="AQ18" s="496"/>
      <c r="AR18" s="585"/>
      <c r="AS18" s="585"/>
      <c r="AT18" s="585"/>
      <c r="AU18" s="497"/>
      <c r="AV18" s="496"/>
      <c r="AW18" s="585"/>
      <c r="AX18" s="585"/>
      <c r="AY18" s="585"/>
      <c r="AZ18" s="497"/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2" thickBot="1">
      <c r="B19" s="534" t="s">
        <v>639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640</v>
      </c>
      <c r="H19" s="535">
        <v>100</v>
      </c>
      <c r="I19" s="536">
        <v>0.10563547</v>
      </c>
      <c r="J19" s="545">
        <v>47837</v>
      </c>
      <c r="K19" s="610"/>
      <c r="L19" s="272"/>
      <c r="M19" s="587" t="s">
        <v>652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1.2066054724525299</v>
      </c>
      <c r="Y19" s="485">
        <f ca="1">IF(X19&lt;&gt;"",ABS(MIN(-0.75*('CDO Bespoke'!Q20)+'CDO Bespoke'!T20,0)),"")</f>
        <v>1.2028418598417223</v>
      </c>
      <c r="Z19" s="485">
        <f t="shared" ca="1" si="2"/>
        <v>3.7636126108075985E-3</v>
      </c>
      <c r="AA19" s="485">
        <f t="shared" ca="1" si="3"/>
        <v>0</v>
      </c>
      <c r="AB19" s="484">
        <f ca="1">IF('CDO Bespoke'!O20&lt;&gt;"",'CDO Bespoke'!O20,"")</f>
        <v>1.2066054724525299</v>
      </c>
      <c r="AC19" s="485">
        <f ca="1">IF(AB19&lt;&gt;"",ABS(MIN(-0.75*('CDO Bespoke'!K20)+'CDO Bespoke'!T20,0)),"")</f>
        <v>0.6173807289660922</v>
      </c>
      <c r="AD19" s="485">
        <f t="shared" ca="1" si="4"/>
        <v>0.58922474348643772</v>
      </c>
      <c r="AE19" s="489">
        <f t="shared" ca="1" si="5"/>
        <v>0</v>
      </c>
      <c r="AF19" s="493">
        <f ca="1">IF('CDO Bespoke'!O20&lt;&gt;"",'CDO Bespoke'!O20,"")</f>
        <v>1.2066054724525299</v>
      </c>
      <c r="AP19" s="494" t="str">
        <f ca="1">IF('CDO Bespoke'!C44&lt;&gt;"",'CDO Bespoke'!C44,"")</f>
        <v>ArcelorMittal</v>
      </c>
      <c r="AQ19" s="496"/>
      <c r="AR19" s="585"/>
      <c r="AS19" s="585"/>
      <c r="AT19" s="585"/>
      <c r="AU19" s="497"/>
      <c r="AV19" s="496"/>
      <c r="AW19" s="585"/>
      <c r="AX19" s="585"/>
      <c r="AY19" s="585"/>
      <c r="AZ19" s="497"/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2" thickBot="1">
      <c r="B20" s="517" t="s">
        <v>641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640</v>
      </c>
      <c r="H20" s="518">
        <v>100</v>
      </c>
      <c r="I20" s="605">
        <v>0.1057844</v>
      </c>
      <c r="J20" s="523">
        <v>46376</v>
      </c>
      <c r="K20" s="609">
        <v>0.710345</v>
      </c>
      <c r="L20" s="272">
        <v>28</v>
      </c>
      <c r="M20" s="587" t="s">
        <v>648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1.2156456951348</v>
      </c>
      <c r="Y20" s="485">
        <f ca="1">IF(X20&lt;&gt;"",ABS(MIN(-0.75*('CDO Bespoke'!Q21)+'CDO Bespoke'!T21,0)),"")</f>
        <v>1.2048419492572944</v>
      </c>
      <c r="Z20" s="485">
        <f t="shared" ca="1" si="2"/>
        <v>1.0803745877505655E-2</v>
      </c>
      <c r="AA20" s="485">
        <f t="shared" ca="1" si="3"/>
        <v>0</v>
      </c>
      <c r="AB20" s="484">
        <f ca="1">IF('CDO Bespoke'!O21&lt;&gt;"",'CDO Bespoke'!O21,"")</f>
        <v>1.2156456951348</v>
      </c>
      <c r="AC20" s="485">
        <f ca="1">IF(AB20&lt;&gt;"",ABS(MIN(-0.75*('CDO Bespoke'!K21)+'CDO Bespoke'!T21,0)),"")</f>
        <v>0.58487960055125165</v>
      </c>
      <c r="AD20" s="485">
        <f t="shared" ca="1" si="4"/>
        <v>0.63076609458354838</v>
      </c>
      <c r="AE20" s="489">
        <f t="shared" ca="1" si="5"/>
        <v>0</v>
      </c>
      <c r="AF20" s="493">
        <f ca="1">IF('CDO Bespoke'!O21&lt;&gt;"",'CDO Bespoke'!O21,"")</f>
        <v>1.2156456951348</v>
      </c>
      <c r="AP20" s="494" t="str">
        <f ca="1">IF('CDO Bespoke'!C45&lt;&gt;"",'CDO Bespoke'!C45,"")</f>
        <v>ASTRAZENECA PLC</v>
      </c>
      <c r="AQ20" s="496"/>
      <c r="AR20" s="585"/>
      <c r="AS20" s="585"/>
      <c r="AT20" s="585"/>
      <c r="AU20" s="497"/>
      <c r="AV20" s="496"/>
      <c r="AW20" s="585"/>
      <c r="AX20" s="585"/>
      <c r="AY20" s="585"/>
      <c r="AZ20" s="497"/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2" thickBot="1">
      <c r="B21" s="517" t="s">
        <v>641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640</v>
      </c>
      <c r="H21" s="518">
        <v>100</v>
      </c>
      <c r="I21" s="525">
        <v>0.25752876000000002</v>
      </c>
      <c r="J21" s="523">
        <v>47107</v>
      </c>
      <c r="K21" s="609" t="s">
        <v>75</v>
      </c>
      <c r="L21" s="565"/>
      <c r="M21" s="587" t="s">
        <v>685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1.2159723562112299</v>
      </c>
      <c r="Y21" s="485">
        <f ca="1">IF(X21&lt;&gt;"",ABS(MIN(-0.75*('CDO Bespoke'!Q22)+'CDO Bespoke'!T22,0)),"")</f>
        <v>1.2049012174005698</v>
      </c>
      <c r="Z21" s="485">
        <f t="shared" ca="1" si="2"/>
        <v>1.1071138810660131E-2</v>
      </c>
      <c r="AA21" s="485">
        <f t="shared" ca="1" si="3"/>
        <v>0</v>
      </c>
      <c r="AB21" s="484">
        <f ca="1">IF('CDO Bespoke'!O22&lt;&gt;"",'CDO Bespoke'!O22,"")</f>
        <v>1.2159723562112299</v>
      </c>
      <c r="AC21" s="485">
        <f ca="1">IF(AB21&lt;&gt;"",ABS(MIN(-0.75*('CDO Bespoke'!K22)+'CDO Bespoke'!T22,0)),"")</f>
        <v>0.581958235548939</v>
      </c>
      <c r="AD21" s="485">
        <f t="shared" ca="1" si="4"/>
        <v>0.6340141206622909</v>
      </c>
      <c r="AE21" s="489">
        <f t="shared" ca="1" si="5"/>
        <v>0</v>
      </c>
      <c r="AF21" s="493">
        <f ca="1">IF('CDO Bespoke'!O22&lt;&gt;"",'CDO Bespoke'!O22,"")</f>
        <v>1.2159723562112299</v>
      </c>
      <c r="AP21" s="494" t="str">
        <f ca="1">IF('CDO Bespoke'!C46&lt;&gt;"",'CDO Bespoke'!C46,"")</f>
        <v>BAE SYSTEMS PLC</v>
      </c>
      <c r="AQ21" s="496"/>
      <c r="AR21" s="585"/>
      <c r="AS21" s="585"/>
      <c r="AT21" s="585"/>
      <c r="AU21" s="497"/>
      <c r="AV21" s="496"/>
      <c r="AW21" s="585"/>
      <c r="AX21" s="585"/>
      <c r="AY21" s="585"/>
      <c r="AZ21" s="497"/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2" thickBot="1">
      <c r="B22" s="520" t="s">
        <v>641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640</v>
      </c>
      <c r="H22" s="521">
        <v>100</v>
      </c>
      <c r="I22" s="526">
        <v>0.38828527000000002</v>
      </c>
      <c r="J22" s="524">
        <v>47837</v>
      </c>
      <c r="K22" s="612"/>
      <c r="L22" s="565"/>
      <c r="M22" s="587" t="s">
        <v>686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1.2155982675292101</v>
      </c>
      <c r="Y22" s="485">
        <f ca="1">IF(X22&lt;&gt;"",ABS(MIN(-0.75*('CDO Bespoke'!Q23)+'CDO Bespoke'!T23,0)),"")</f>
        <v>1.2048331907284022</v>
      </c>
      <c r="Z22" s="485">
        <f t="shared" ca="1" si="2"/>
        <v>1.0765076800807849E-2</v>
      </c>
      <c r="AA22" s="485">
        <f t="shared" ca="1" si="3"/>
        <v>0</v>
      </c>
      <c r="AB22" s="484">
        <f ca="1">IF('CDO Bespoke'!O23&lt;&gt;"",'CDO Bespoke'!O23,"")</f>
        <v>1.2155982675292101</v>
      </c>
      <c r="AC22" s="485">
        <f ca="1">IF(AB22&lt;&gt;"",ABS(MIN(-0.75*('CDO Bespoke'!K23)+'CDO Bespoke'!T23,0)),"")</f>
        <v>0.58527847918750142</v>
      </c>
      <c r="AD22" s="485">
        <f t="shared" ca="1" si="4"/>
        <v>0.63031978834170865</v>
      </c>
      <c r="AE22" s="489">
        <f t="shared" ca="1" si="5"/>
        <v>0</v>
      </c>
      <c r="AF22" s="493">
        <f ca="1">IF('CDO Bespoke'!O23&lt;&gt;"",'CDO Bespoke'!O23,"")</f>
        <v>1.2155982675292101</v>
      </c>
      <c r="AP22" s="494" t="str">
        <f ca="1">IF('CDO Bespoke'!C47&lt;&gt;"",'CDO Bespoke'!C47,"")</f>
        <v>BASF SE</v>
      </c>
      <c r="AQ22" s="496"/>
      <c r="AR22" s="585"/>
      <c r="AS22" s="585"/>
      <c r="AT22" s="585"/>
      <c r="AU22" s="497"/>
      <c r="AV22" s="496"/>
      <c r="AW22" s="585"/>
      <c r="AX22" s="585"/>
      <c r="AY22" s="585"/>
      <c r="AZ22" s="497"/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687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1.2049429819020501</v>
      </c>
      <c r="Y23" s="485">
        <f ca="1">IF(X23&lt;&gt;"",ABS(MIN(-0.75*('CDO Bespoke'!Q24)+'CDO Bespoke'!T24,0)),"")</f>
        <v>1.2024413203974078</v>
      </c>
      <c r="Z23" s="485">
        <f t="shared" ca="1" si="2"/>
        <v>2.5016615046422608E-3</v>
      </c>
      <c r="AA23" s="485">
        <f t="shared" ca="1" si="3"/>
        <v>0</v>
      </c>
      <c r="AB23" s="484">
        <f ca="1">IF('CDO Bespoke'!O24&lt;&gt;"",'CDO Bespoke'!O24,"")</f>
        <v>1.2049429819020501</v>
      </c>
      <c r="AC23" s="485">
        <f ca="1">IF(AB23&lt;&gt;"",ABS(MIN(-0.75*('CDO Bespoke'!K24)+'CDO Bespoke'!T24,0)),"")</f>
        <v>0.61957966892791694</v>
      </c>
      <c r="AD23" s="485">
        <f t="shared" ca="1" si="4"/>
        <v>0.58536331297413313</v>
      </c>
      <c r="AE23" s="489">
        <f t="shared" ca="1" si="5"/>
        <v>0</v>
      </c>
      <c r="AF23" s="493">
        <f ca="1">IF('CDO Bespoke'!O24&lt;&gt;"",'CDO Bespoke'!O24,"")</f>
        <v>1.2049429819020501</v>
      </c>
      <c r="AP23" s="494" t="str">
        <f ca="1">IF('CDO Bespoke'!C48&lt;&gt;"",'CDO Bespoke'!C48,"")</f>
        <v>Bayer Aktiengesellschaft</v>
      </c>
      <c r="AQ23" s="496"/>
      <c r="AR23" s="585"/>
      <c r="AS23" s="585"/>
      <c r="AT23" s="585"/>
      <c r="AU23" s="497"/>
      <c r="AV23" s="496"/>
      <c r="AW23" s="585"/>
      <c r="AX23" s="585"/>
      <c r="AY23" s="585"/>
      <c r="AZ23" s="497"/>
      <c r="BA23" s="507"/>
      <c r="BB23" s="508"/>
      <c r="BC23" s="508"/>
      <c r="BD23" s="508"/>
      <c r="BE23" s="508"/>
      <c r="BF23" s="508"/>
      <c r="BG23" s="584"/>
      <c r="BH23" s="584"/>
      <c r="BI23" s="584"/>
      <c r="BJ23" s="586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2" thickBot="1">
      <c r="B24" s="468" t="s">
        <v>642</v>
      </c>
      <c r="C24" s="468" t="s">
        <v>82</v>
      </c>
      <c r="D24" s="468" t="s">
        <v>432</v>
      </c>
      <c r="E24" s="468" t="s">
        <v>643</v>
      </c>
      <c r="F24" s="468" t="s">
        <v>644</v>
      </c>
      <c r="G24" s="468" t="s">
        <v>645</v>
      </c>
      <c r="H24" s="468" t="s">
        <v>646</v>
      </c>
      <c r="I24" s="468" t="s">
        <v>85</v>
      </c>
      <c r="J24" s="468" t="s">
        <v>694</v>
      </c>
      <c r="K24" s="476" t="s">
        <v>655</v>
      </c>
      <c r="L24" s="272"/>
      <c r="M24" s="596" t="s">
        <v>673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1.2144623137294299</v>
      </c>
      <c r="Y24" s="485">
        <f ca="1">IF(X24&lt;&gt;"",ABS(MIN(-0.75*('CDO Bespoke'!Q25)+'CDO Bespoke'!T25,0)),"")</f>
        <v>1.2046136636951417</v>
      </c>
      <c r="Z24" s="485">
        <f t="shared" ca="1" si="2"/>
        <v>9.8486500342882533E-3</v>
      </c>
      <c r="AA24" s="485">
        <f t="shared" ca="1" si="3"/>
        <v>0</v>
      </c>
      <c r="AB24" s="484">
        <f ca="1">IF('CDO Bespoke'!O25&lt;&gt;"",'CDO Bespoke'!O25,"")</f>
        <v>1.2144623137294299</v>
      </c>
      <c r="AC24" s="485">
        <f ca="1">IF(AB24&lt;&gt;"",ABS(MIN(-0.75*('CDO Bespoke'!K25)+'CDO Bespoke'!T25,0)),"")</f>
        <v>0.59334771113897422</v>
      </c>
      <c r="AD24" s="485">
        <f t="shared" ca="1" si="4"/>
        <v>0.6211146025904557</v>
      </c>
      <c r="AE24" s="489">
        <f t="shared" ca="1" si="5"/>
        <v>0</v>
      </c>
      <c r="AF24" s="493">
        <f ca="1">IF('CDO Bespoke'!O25&lt;&gt;"",'CDO Bespoke'!O25,"")</f>
        <v>1.2144623137294299</v>
      </c>
      <c r="AP24" s="494" t="str">
        <f ca="1">IF('CDO Bespoke'!C49&lt;&gt;"",'CDO Bespoke'!C49,"")</f>
        <v>Bayerische Motoren Werke Aktiengesellschaft</v>
      </c>
      <c r="AQ24" s="496"/>
      <c r="AR24" s="585"/>
      <c r="AS24" s="585"/>
      <c r="AT24" s="585"/>
      <c r="AU24" s="497"/>
      <c r="AV24" s="496"/>
      <c r="AW24" s="585"/>
      <c r="AX24" s="585"/>
      <c r="AY24" s="585"/>
      <c r="AZ24" s="497"/>
      <c r="BA24" s="580"/>
      <c r="BB24" s="580"/>
      <c r="BC24" s="580"/>
      <c r="BD24" s="580"/>
      <c r="BE24" s="580"/>
      <c r="BF24" s="580"/>
      <c r="BG24" s="579"/>
      <c r="BH24" s="579"/>
      <c r="BI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647</v>
      </c>
      <c r="F25" s="530" t="s">
        <v>648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689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1.2156329320366901</v>
      </c>
      <c r="Y25" s="485">
        <f ca="1">IF(X25&lt;&gt;"",ABS(MIN(-0.75*('CDO Bespoke'!Q26)+'CDO Bespoke'!T26,0)),"")</f>
        <v>1.2048395959399893</v>
      </c>
      <c r="Z25" s="485">
        <f t="shared" ca="1" si="2"/>
        <v>1.0793336096700745E-2</v>
      </c>
      <c r="AA25" s="485">
        <f t="shared" ca="1" si="3"/>
        <v>0</v>
      </c>
      <c r="AB25" s="484">
        <f ca="1">IF('CDO Bespoke'!O26&lt;&gt;"",'CDO Bespoke'!O26,"")</f>
        <v>1.2156329320366901</v>
      </c>
      <c r="AC25" s="485">
        <f ca="1">IF(AB25&lt;&gt;"",ABS(MIN(-0.75*('CDO Bespoke'!K26)+'CDO Bespoke'!T26,0)),"")</f>
        <v>0.5849875323207917</v>
      </c>
      <c r="AD25" s="485">
        <f t="shared" ca="1" si="4"/>
        <v>0.63064539971589839</v>
      </c>
      <c r="AE25" s="489">
        <f t="shared" ca="1" si="5"/>
        <v>0</v>
      </c>
      <c r="AF25" s="493">
        <f ca="1">IF('CDO Bespoke'!O26&lt;&gt;"",'CDO Bespoke'!O26,"")</f>
        <v>1.2156329320366901</v>
      </c>
      <c r="AP25" s="494" t="str">
        <f ca="1">IF('CDO Bespoke'!C50&lt;&gt;"",'CDO Bespoke'!C50,"")</f>
        <v>BOUYGUES</v>
      </c>
      <c r="AQ25" s="496"/>
      <c r="AR25" s="585"/>
      <c r="AS25" s="585"/>
      <c r="AT25" s="585"/>
      <c r="AU25" s="497"/>
      <c r="AV25" s="496"/>
      <c r="AW25" s="585"/>
      <c r="AX25" s="585"/>
      <c r="AY25" s="585"/>
      <c r="AZ25" s="497"/>
      <c r="BA25" s="580"/>
      <c r="BB25" s="580"/>
      <c r="BC25" s="580"/>
      <c r="BD25" s="580"/>
      <c r="BE25" s="580"/>
      <c r="BF25" s="580"/>
      <c r="BG25" s="579"/>
      <c r="BH25" s="579"/>
      <c r="BI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647</v>
      </c>
      <c r="F26" s="518" t="s">
        <v>648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688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1.2095175011286201</v>
      </c>
      <c r="Y26" s="485">
        <f ca="1">IF(X26&lt;&gt;"",ABS(MIN(-0.75*('CDO Bespoke'!Q27)+'CDO Bespoke'!T27,0)),"")</f>
        <v>1.2035294856970771</v>
      </c>
      <c r="Z26" s="485">
        <f t="shared" ca="1" si="2"/>
        <v>5.9880154315430367E-3</v>
      </c>
      <c r="AA26" s="485">
        <f t="shared" ca="1" si="3"/>
        <v>0</v>
      </c>
      <c r="AB26" s="484">
        <f ca="1">IF('CDO Bespoke'!O27&lt;&gt;"",'CDO Bespoke'!O27,"")</f>
        <v>1.2095175011286201</v>
      </c>
      <c r="AC26" s="485">
        <f ca="1">IF(AB26&lt;&gt;"",ABS(MIN(-0.75*('CDO Bespoke'!K27)+'CDO Bespoke'!T27,0)),"")</f>
        <v>0.61193448320831345</v>
      </c>
      <c r="AD26" s="485">
        <f t="shared" ca="1" si="4"/>
        <v>0.59758301792030666</v>
      </c>
      <c r="AE26" s="489">
        <f t="shared" ca="1" si="5"/>
        <v>0</v>
      </c>
      <c r="AF26" s="493">
        <f ca="1">IF('CDO Bespoke'!O27&lt;&gt;"",'CDO Bespoke'!O27,"")</f>
        <v>1.2095175011286201</v>
      </c>
      <c r="AP26" s="494" t="str">
        <f ca="1">IF('CDO Bespoke'!C51&lt;&gt;"",'CDO Bespoke'!C51,"")</f>
        <v>CNH Industrial N.V</v>
      </c>
      <c r="AQ26" s="496"/>
      <c r="AR26" s="585"/>
      <c r="AS26" s="585"/>
      <c r="AT26" s="585"/>
      <c r="AU26" s="497"/>
      <c r="AV26" s="496"/>
      <c r="AW26" s="585"/>
      <c r="AX26" s="585"/>
      <c r="AY26" s="585"/>
      <c r="AZ26" s="497"/>
      <c r="BA26" s="580"/>
      <c r="BB26" s="580"/>
      <c r="BC26" s="580"/>
      <c r="BD26" s="580"/>
      <c r="BE26" s="580"/>
      <c r="BF26" s="580"/>
      <c r="BG26" s="579"/>
    </row>
    <row r="27" spans="2:65">
      <c r="B27" s="534" t="s">
        <v>510</v>
      </c>
      <c r="C27" s="535" t="s">
        <v>66</v>
      </c>
      <c r="D27" s="535" t="s">
        <v>59</v>
      </c>
      <c r="E27" s="535" t="s">
        <v>647</v>
      </c>
      <c r="F27" s="535" t="s">
        <v>648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654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1.2143329139083801</v>
      </c>
      <c r="Y27" s="485">
        <f ca="1">IF(X27&lt;&gt;"",ABS(MIN(-0.75*('CDO Bespoke'!Q28)+'CDO Bespoke'!T28,0)),"")</f>
        <v>1.2045876289393997</v>
      </c>
      <c r="Z27" s="485">
        <f t="shared" ca="1" si="2"/>
        <v>9.7452849689803056E-3</v>
      </c>
      <c r="AA27" s="485">
        <f t="shared" ca="1" si="3"/>
        <v>0</v>
      </c>
      <c r="AB27" s="484">
        <f ca="1">IF('CDO Bespoke'!O28&lt;&gt;"",'CDO Bespoke'!O28,"")</f>
        <v>1.2143329139083801</v>
      </c>
      <c r="AC27" s="485">
        <f ca="1">IF(AB27&lt;&gt;"",ABS(MIN(-0.75*('CDO Bespoke'!K28)+'CDO Bespoke'!T28,0)),"")</f>
        <v>0.59411976380155873</v>
      </c>
      <c r="AD27" s="485">
        <f t="shared" ca="1" si="4"/>
        <v>0.62021315010682132</v>
      </c>
      <c r="AE27" s="489">
        <f t="shared" ca="1" si="5"/>
        <v>0</v>
      </c>
      <c r="AF27" s="493">
        <f ca="1">IF('CDO Bespoke'!O28&lt;&gt;"",'CDO Bespoke'!O28,"")</f>
        <v>1.2143329139083801</v>
      </c>
      <c r="AP27" s="494" t="str">
        <f ca="1">IF('CDO Bespoke'!C52&lt;&gt;"",'CDO Bespoke'!C52,"")</f>
        <v>COMPAGNIE DE SAINT-GOBAIN</v>
      </c>
      <c r="AQ27" s="496"/>
      <c r="AR27" s="585"/>
      <c r="AS27" s="585"/>
      <c r="AT27" s="585"/>
      <c r="AU27" s="497"/>
      <c r="AV27" s="496"/>
      <c r="AW27" s="585"/>
      <c r="AX27" s="585"/>
      <c r="AY27" s="585"/>
      <c r="AZ27" s="497"/>
      <c r="BA27" s="580"/>
      <c r="BB27" s="580"/>
      <c r="BC27" s="580"/>
      <c r="BD27" s="580"/>
      <c r="BE27" s="580"/>
      <c r="BF27" s="580"/>
      <c r="BG27" s="579"/>
    </row>
    <row r="28" spans="2:65">
      <c r="B28" s="539" t="s">
        <v>511</v>
      </c>
      <c r="C28" s="540" t="s">
        <v>66</v>
      </c>
      <c r="D28" s="540" t="s">
        <v>55</v>
      </c>
      <c r="E28" s="540" t="s">
        <v>647</v>
      </c>
      <c r="F28" s="540" t="s">
        <v>648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677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1.20996605039423</v>
      </c>
      <c r="Y28" s="485">
        <f ca="1">IF(X28&lt;&gt;"",ABS(MIN(-0.75*('CDO Bespoke'!Q29)+'CDO Bespoke'!T29,0)),"")</f>
        <v>1.2036331780872633</v>
      </c>
      <c r="Z28" s="485">
        <f t="shared" ca="1" si="2"/>
        <v>6.3328723069666637E-3</v>
      </c>
      <c r="AA28" s="485">
        <f t="shared" ca="1" si="3"/>
        <v>0</v>
      </c>
      <c r="AB28" s="484">
        <f ca="1">IF('CDO Bespoke'!O29&lt;&gt;"",'CDO Bespoke'!O29,"")</f>
        <v>1.20996605039423</v>
      </c>
      <c r="AC28" s="485">
        <f ca="1">IF(AB28&lt;&gt;"",ABS(MIN(-0.75*('CDO Bespoke'!K29)+'CDO Bespoke'!T29,0)),"")</f>
        <v>0.61085389132928414</v>
      </c>
      <c r="AD28" s="485">
        <f t="shared" ca="1" si="4"/>
        <v>0.59911215906494586</v>
      </c>
      <c r="AE28" s="489">
        <f t="shared" ca="1" si="5"/>
        <v>0</v>
      </c>
      <c r="AF28" s="493">
        <f ca="1">IF('CDO Bespoke'!O29&lt;&gt;"",'CDO Bespoke'!O29,"")</f>
        <v>1.20996605039423</v>
      </c>
      <c r="AP28" s="494" t="str">
        <f ca="1">IF('CDO Bespoke'!C53&lt;&gt;"",'CDO Bespoke'!C53,"")</f>
        <v>Continental Aktiengesellschaft</v>
      </c>
      <c r="AQ28" s="496"/>
      <c r="AR28" s="585"/>
      <c r="AS28" s="585"/>
      <c r="AT28" s="585"/>
      <c r="AU28" s="497"/>
      <c r="AV28" s="496"/>
      <c r="AW28" s="585"/>
      <c r="AX28" s="585"/>
      <c r="AY28" s="585"/>
      <c r="AZ28" s="497"/>
      <c r="BA28" s="580"/>
      <c r="BB28" s="580"/>
      <c r="BC28" s="604"/>
      <c r="BD28" s="580"/>
      <c r="BE28" s="580"/>
      <c r="BF28" s="580"/>
      <c r="BG28" s="579"/>
    </row>
    <row r="29" spans="2:65">
      <c r="B29" s="517" t="s">
        <v>511</v>
      </c>
      <c r="C29" s="518" t="s">
        <v>66</v>
      </c>
      <c r="D29" s="518" t="s">
        <v>57</v>
      </c>
      <c r="E29" s="518" t="s">
        <v>647</v>
      </c>
      <c r="F29" s="518" t="s">
        <v>648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674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1.2100416223229999</v>
      </c>
      <c r="Y29" s="485">
        <f ca="1">IF(X29&lt;&gt;"",ABS(MIN(-0.75*('CDO Bespoke'!Q30)+'CDO Bespoke'!T30,0)),"")</f>
        <v>1.203650574938073</v>
      </c>
      <c r="Z29" s="485">
        <f t="shared" ca="1" si="2"/>
        <v>6.3910473849269067E-3</v>
      </c>
      <c r="AA29" s="485">
        <f t="shared" ca="1" si="3"/>
        <v>0</v>
      </c>
      <c r="AB29" s="484">
        <f ca="1">IF('CDO Bespoke'!O30&lt;&gt;"",'CDO Bespoke'!O30,"")</f>
        <v>1.2100416223229999</v>
      </c>
      <c r="AC29" s="485">
        <f ca="1">IF(AB29&lt;&gt;"",ABS(MIN(-0.75*('CDO Bespoke'!K30)+'CDO Bespoke'!T30,0)),"")</f>
        <v>0.61066394332527696</v>
      </c>
      <c r="AD29" s="485">
        <f t="shared" ca="1" si="4"/>
        <v>0.59937767899772298</v>
      </c>
      <c r="AE29" s="489">
        <f t="shared" ca="1" si="5"/>
        <v>0</v>
      </c>
      <c r="AF29" s="493">
        <f ca="1">IF('CDO Bespoke'!O30&lt;&gt;"",'CDO Bespoke'!O30,"")</f>
        <v>1.2100416223229999</v>
      </c>
      <c r="AP29" s="494" t="str">
        <f ca="1">IF('CDO Bespoke'!C54&lt;&gt;"",'CDO Bespoke'!C54,"")</f>
        <v>Glencore International AG</v>
      </c>
      <c r="AQ29" s="496"/>
      <c r="AR29" s="585"/>
      <c r="AS29" s="585"/>
      <c r="AT29" s="585"/>
      <c r="AU29" s="497"/>
      <c r="AV29" s="496"/>
      <c r="AW29" s="585"/>
      <c r="AX29" s="585"/>
      <c r="AY29" s="585"/>
      <c r="AZ29" s="497"/>
      <c r="BA29" s="580"/>
      <c r="BB29" s="580"/>
      <c r="BC29" s="580"/>
      <c r="BD29" s="580"/>
      <c r="BE29" s="580"/>
      <c r="BF29" s="580"/>
      <c r="BG29" s="579"/>
    </row>
    <row r="30" spans="2:65">
      <c r="B30" s="534" t="s">
        <v>511</v>
      </c>
      <c r="C30" s="535" t="s">
        <v>66</v>
      </c>
      <c r="D30" s="535" t="s">
        <v>59</v>
      </c>
      <c r="E30" s="535" t="s">
        <v>647</v>
      </c>
      <c r="F30" s="535" t="s">
        <v>648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653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1.2168431287588699</v>
      </c>
      <c r="Y30" s="485">
        <f ca="1">IF(X30&lt;&gt;"",ABS(MIN(-0.75*('CDO Bespoke'!Q31)+'CDO Bespoke'!T31,0)),"")</f>
        <v>1.2050484567927426</v>
      </c>
      <c r="Z30" s="485">
        <f t="shared" ca="1" si="2"/>
        <v>1.1794671966127268E-2</v>
      </c>
      <c r="AA30" s="485">
        <f t="shared" ca="1" si="3"/>
        <v>0</v>
      </c>
      <c r="AB30" s="484">
        <f ca="1">IF('CDO Bespoke'!O31&lt;&gt;"",'CDO Bespoke'!O31,"")</f>
        <v>1.2168431287588699</v>
      </c>
      <c r="AC30" s="485">
        <f ca="1">IF(AB30&lt;&gt;"",ABS(MIN(-0.75*('CDO Bespoke'!K31)+'CDO Bespoke'!T31,0)),"")</f>
        <v>0.57222787010056941</v>
      </c>
      <c r="AD30" s="485">
        <f t="shared" ca="1" si="4"/>
        <v>0.64461525865830049</v>
      </c>
      <c r="AE30" s="489">
        <f t="shared" ca="1" si="5"/>
        <v>0</v>
      </c>
      <c r="AF30" s="493">
        <f ca="1">IF('CDO Bespoke'!O31&lt;&gt;"",'CDO Bespoke'!O31,"")</f>
        <v>1.2168431287588699</v>
      </c>
      <c r="AP30" s="494" t="str">
        <f ca="1">IF('CDO Bespoke'!C55&lt;&gt;"",'CDO Bespoke'!C55,"")</f>
        <v>GSK PLC</v>
      </c>
      <c r="AQ30" s="496"/>
      <c r="AR30" s="585"/>
      <c r="AS30" s="585"/>
      <c r="AT30" s="585"/>
      <c r="AU30" s="497"/>
      <c r="AV30" s="496"/>
      <c r="AW30" s="585"/>
      <c r="AX30" s="585"/>
      <c r="AY30" s="585"/>
      <c r="AZ30" s="497"/>
      <c r="BA30" s="580"/>
      <c r="BB30" s="580"/>
      <c r="BC30" s="580"/>
      <c r="BD30" s="580"/>
      <c r="BE30" s="580"/>
      <c r="BF30" s="580"/>
      <c r="BG30" s="579"/>
    </row>
    <row r="31" spans="2:65">
      <c r="B31" s="539" t="s">
        <v>529</v>
      </c>
      <c r="C31" s="540" t="s">
        <v>66</v>
      </c>
      <c r="D31" s="540" t="s">
        <v>55</v>
      </c>
      <c r="E31" s="540" t="s">
        <v>649</v>
      </c>
      <c r="F31" s="540" t="s">
        <v>675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690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1.2101290591226099</v>
      </c>
      <c r="Y31" s="485">
        <f ca="1">IF(X31&lt;&gt;"",ABS(MIN(-0.75*('CDO Bespoke'!Q32)+'CDO Bespoke'!T32,0)),"")</f>
        <v>1.2036706755814408</v>
      </c>
      <c r="Z31" s="485">
        <f t="shared" ca="1" si="2"/>
        <v>6.4583835411691215E-3</v>
      </c>
      <c r="AA31" s="485">
        <f t="shared" ca="1" si="3"/>
        <v>0</v>
      </c>
      <c r="AB31" s="484">
        <f ca="1">IF('CDO Bespoke'!O32&lt;&gt;"",'CDO Bespoke'!O32,"")</f>
        <v>1.2101290591226099</v>
      </c>
      <c r="AC31" s="485">
        <f ca="1">IF(AB31&lt;&gt;"",ABS(MIN(-0.75*('CDO Bespoke'!K32)+'CDO Bespoke'!T32,0)),"")</f>
        <v>0.61044120807813296</v>
      </c>
      <c r="AD31" s="485">
        <f t="shared" ca="1" si="4"/>
        <v>0.59968785104447697</v>
      </c>
      <c r="AE31" s="489">
        <f t="shared" ca="1" si="5"/>
        <v>0</v>
      </c>
      <c r="AF31" s="493">
        <f ca="1">IF('CDO Bespoke'!O32&lt;&gt;"",'CDO Bespoke'!O32,"")</f>
        <v>1.2101290591226099</v>
      </c>
      <c r="AP31" s="494" t="str">
        <f ca="1">IF('CDO Bespoke'!C56&lt;&gt;"",'CDO Bespoke'!C56,"")</f>
        <v>Heidelberg Materials AG</v>
      </c>
      <c r="AQ31" s="496"/>
      <c r="AR31" s="585"/>
      <c r="AS31" s="585"/>
      <c r="AT31" s="585"/>
      <c r="AU31" s="497"/>
      <c r="AV31" s="496"/>
      <c r="AW31" s="585"/>
      <c r="AX31" s="585"/>
      <c r="AY31" s="585"/>
      <c r="AZ31" s="497"/>
      <c r="BA31" s="580"/>
      <c r="BB31" s="580"/>
      <c r="BC31" s="580"/>
      <c r="BD31" s="580"/>
      <c r="BE31" s="580"/>
      <c r="BF31" s="580"/>
      <c r="BG31" s="579"/>
    </row>
    <row r="32" spans="2:65">
      <c r="B32" s="517" t="s">
        <v>529</v>
      </c>
      <c r="C32" s="518" t="s">
        <v>66</v>
      </c>
      <c r="D32" s="518" t="s">
        <v>57</v>
      </c>
      <c r="E32" s="518" t="s">
        <v>649</v>
      </c>
      <c r="F32" s="518" t="s">
        <v>675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691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1.2121319642162101</v>
      </c>
      <c r="Y32" s="485">
        <f ca="1">IF(X32&lt;&gt;"",ABS(MIN(-0.75*('CDO Bespoke'!Q33)+'CDO Bespoke'!T33,0)),"")</f>
        <v>1.2041216231872129</v>
      </c>
      <c r="Z32" s="485">
        <f t="shared" ca="1" si="2"/>
        <v>8.0103410289971144E-3</v>
      </c>
      <c r="AA32" s="485">
        <f t="shared" ca="1" si="3"/>
        <v>0</v>
      </c>
      <c r="AB32" s="484">
        <f ca="1">IF('CDO Bespoke'!O33&lt;&gt;"",'CDO Bespoke'!O33,"")</f>
        <v>1.2121319642162101</v>
      </c>
      <c r="AC32" s="485">
        <f ca="1">IF(AB32&lt;&gt;"",ABS(MIN(-0.75*('CDO Bespoke'!K33)+'CDO Bespoke'!T33,0)),"")</f>
        <v>0.60430249344442788</v>
      </c>
      <c r="AD32" s="485">
        <f t="shared" ca="1" si="4"/>
        <v>0.60782947077178218</v>
      </c>
      <c r="AE32" s="489">
        <f t="shared" ca="1" si="5"/>
        <v>0</v>
      </c>
      <c r="AF32" s="493">
        <f ca="1">IF('CDO Bespoke'!O33&lt;&gt;"",'CDO Bespoke'!O33,"")</f>
        <v>1.2121319642162101</v>
      </c>
      <c r="AP32" s="494" t="str">
        <f ca="1">IF('CDO Bespoke'!C57&lt;&gt;"",'CDO Bespoke'!C57,"")</f>
        <v>Holcim AG</v>
      </c>
      <c r="AQ32" s="496"/>
      <c r="AR32" s="585"/>
      <c r="AS32" s="585"/>
      <c r="AT32" s="585"/>
      <c r="AU32" s="497"/>
      <c r="AV32" s="496"/>
      <c r="AW32" s="585"/>
      <c r="AX32" s="585"/>
      <c r="AY32" s="585"/>
      <c r="AZ32" s="497"/>
      <c r="BA32" s="580"/>
      <c r="BB32" s="580"/>
      <c r="BC32" s="580"/>
      <c r="BD32" s="580"/>
      <c r="BE32" s="580"/>
      <c r="BF32" s="580"/>
      <c r="BG32" s="579"/>
    </row>
    <row r="33" spans="2:59" ht="12" thickBot="1">
      <c r="B33" s="534" t="s">
        <v>529</v>
      </c>
      <c r="C33" s="535" t="s">
        <v>66</v>
      </c>
      <c r="D33" s="535" t="s">
        <v>59</v>
      </c>
      <c r="E33" s="535" t="s">
        <v>649</v>
      </c>
      <c r="F33" s="535" t="s">
        <v>675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693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1.21742441889344</v>
      </c>
      <c r="Y33" s="485">
        <f ca="1">IF(X33&lt;&gt;"",ABS(MIN(-0.75*('CDO Bespoke'!Q34)+'CDO Bespoke'!T34,0)),"")</f>
        <v>1.2051351869510114</v>
      </c>
      <c r="Z33" s="485">
        <f t="shared" ca="1" si="2"/>
        <v>1.2289231942428591E-2</v>
      </c>
      <c r="AA33" s="485">
        <f t="shared" ca="1" si="3"/>
        <v>0</v>
      </c>
      <c r="AB33" s="484">
        <f ca="1">IF('CDO Bespoke'!O34&lt;&gt;"",'CDO Bespoke'!O34,"")</f>
        <v>1.21742441889344</v>
      </c>
      <c r="AC33" s="485">
        <f ca="1">IF(AB33&lt;&gt;"",ABS(MIN(-0.75*('CDO Bespoke'!K34)+'CDO Bespoke'!T34,0)),"")</f>
        <v>0.56328442089592323</v>
      </c>
      <c r="AD33" s="485">
        <f t="shared" ca="1" si="4"/>
        <v>0.65413999799751676</v>
      </c>
      <c r="AE33" s="489">
        <f t="shared" ca="1" si="5"/>
        <v>0</v>
      </c>
      <c r="AF33" s="493">
        <f ca="1">IF('CDO Bespoke'!O34&lt;&gt;"",'CDO Bespoke'!O34,"")</f>
        <v>1.21742441889344</v>
      </c>
      <c r="AP33" s="494" t="str">
        <f ca="1">IF('CDO Bespoke'!C58&lt;&gt;"",'CDO Bespoke'!C58,"")</f>
        <v>DSM B.V</v>
      </c>
      <c r="AQ33" s="496"/>
      <c r="AR33" s="585"/>
      <c r="AS33" s="585"/>
      <c r="AT33" s="585"/>
      <c r="AU33" s="497"/>
      <c r="AV33" s="496"/>
      <c r="AW33" s="585"/>
      <c r="AX33" s="585"/>
      <c r="AY33" s="585"/>
      <c r="AZ33" s="497"/>
      <c r="BA33" s="580"/>
      <c r="BB33" s="580"/>
      <c r="BC33" s="580"/>
      <c r="BD33" s="580"/>
      <c r="BE33" s="580"/>
      <c r="BF33" s="580"/>
      <c r="BG33" s="579"/>
    </row>
    <row r="34" spans="2:59">
      <c r="B34" s="539" t="s">
        <v>611</v>
      </c>
      <c r="C34" s="540" t="s">
        <v>66</v>
      </c>
      <c r="D34" s="540" t="s">
        <v>55</v>
      </c>
      <c r="E34" s="540" t="s">
        <v>649</v>
      </c>
      <c r="F34" s="540" t="s">
        <v>648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1.21740052651901</v>
      </c>
      <c r="Y34" s="485">
        <f ca="1">IF(X34&lt;&gt;"",ABS(MIN(-0.75*('CDO Bespoke'!Q35)+'CDO Bespoke'!T35,0)),"")</f>
        <v>1.2051318566277549</v>
      </c>
      <c r="Z34" s="485">
        <f t="shared" ca="1" si="2"/>
        <v>1.226866989125508E-2</v>
      </c>
      <c r="AA34" s="485">
        <f t="shared" ca="1" si="3"/>
        <v>0</v>
      </c>
      <c r="AB34" s="484">
        <f ca="1">IF('CDO Bespoke'!O35&lt;&gt;"",'CDO Bespoke'!O35,"")</f>
        <v>1.21740052651901</v>
      </c>
      <c r="AC34" s="485">
        <f ca="1">IF(AB34&lt;&gt;"",ABS(MIN(-0.75*('CDO Bespoke'!K35)+'CDO Bespoke'!T35,0)),"")</f>
        <v>0.56370893379213183</v>
      </c>
      <c r="AD34" s="485">
        <f t="shared" ca="1" si="4"/>
        <v>0.65369159272687816</v>
      </c>
      <c r="AE34" s="489">
        <f t="shared" ca="1" si="5"/>
        <v>0</v>
      </c>
      <c r="AF34" s="493">
        <f ca="1">IF('CDO Bespoke'!O35&lt;&gt;"",'CDO Bespoke'!O35,"")</f>
        <v>1.21740052651901</v>
      </c>
      <c r="AP34" s="494" t="str">
        <f ca="1">IF('CDO Bespoke'!C59&lt;&gt;"",'CDO Bespoke'!C59,"")</f>
        <v>L'AIR LIQUIDE SOCIETE ANONYME POUR L'ETUDE ET L'EXPLOITATION DES PROCEDES GEORGES CLAUDE</v>
      </c>
      <c r="AQ34" s="496"/>
      <c r="AR34" s="585"/>
      <c r="AS34" s="585"/>
      <c r="AT34" s="585"/>
      <c r="AU34" s="497"/>
      <c r="AV34" s="496"/>
      <c r="AW34" s="585"/>
      <c r="AX34" s="585"/>
      <c r="AY34" s="585"/>
      <c r="AZ34" s="497"/>
      <c r="BA34" s="580"/>
      <c r="BB34" s="580"/>
      <c r="BC34" s="580"/>
      <c r="BD34" s="580"/>
      <c r="BE34" s="580"/>
      <c r="BF34" s="580"/>
      <c r="BG34" s="579"/>
    </row>
    <row r="35" spans="2:59">
      <c r="B35" s="517" t="s">
        <v>611</v>
      </c>
      <c r="C35" s="518" t="s">
        <v>66</v>
      </c>
      <c r="D35" s="518" t="s">
        <v>57</v>
      </c>
      <c r="E35" s="518" t="s">
        <v>649</v>
      </c>
      <c r="F35" s="518" t="s">
        <v>648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1.19671891976147</v>
      </c>
      <c r="Y35" s="485">
        <f ca="1">IF(X35&lt;&gt;"",ABS(MIN(-0.75*('CDO Bespoke'!Q36)+'CDO Bespoke'!T36,0)),"")</f>
        <v>1.2004278576375647</v>
      </c>
      <c r="Z35" s="485">
        <f t="shared" ca="1" si="2"/>
        <v>0</v>
      </c>
      <c r="AA35" s="485">
        <f t="shared" ca="1" si="3"/>
        <v>0</v>
      </c>
      <c r="AB35" s="484">
        <f ca="1">IF('CDO Bespoke'!O36&lt;&gt;"",'CDO Bespoke'!O36,"")</f>
        <v>1.19671891976147</v>
      </c>
      <c r="AC35" s="485">
        <f ca="1">IF(AB35&lt;&gt;"",ABS(MIN(-0.75*('CDO Bespoke'!K36)+'CDO Bespoke'!T36,0)),"")</f>
        <v>0.62498150633257821</v>
      </c>
      <c r="AD35" s="485">
        <f t="shared" ca="1" si="4"/>
        <v>0.57173741342889184</v>
      </c>
      <c r="AE35" s="489">
        <f t="shared" ca="1" si="5"/>
        <v>0</v>
      </c>
      <c r="AF35" s="493">
        <f ca="1">IF('CDO Bespoke'!O36&lt;&gt;"",'CDO Bespoke'!O36,"")</f>
        <v>1.19671891976147</v>
      </c>
      <c r="AP35" s="494" t="str">
        <f ca="1">IF('CDO Bespoke'!C60&lt;&gt;"",'CDO Bespoke'!C60,"")</f>
        <v>LANXESS Aktiengesellschaft</v>
      </c>
      <c r="AQ35" s="496"/>
      <c r="AR35" s="585"/>
      <c r="AS35" s="585"/>
      <c r="AT35" s="585"/>
      <c r="AU35" s="497"/>
      <c r="AV35" s="496"/>
      <c r="AW35" s="585"/>
      <c r="AX35" s="585"/>
      <c r="AY35" s="585"/>
      <c r="AZ35" s="497"/>
      <c r="BA35" s="580"/>
      <c r="BB35" s="580"/>
      <c r="BC35" s="580"/>
      <c r="BD35" s="580"/>
      <c r="BE35" s="580"/>
      <c r="BF35" s="580"/>
      <c r="BG35" s="579"/>
    </row>
    <row r="36" spans="2:59">
      <c r="B36" s="534" t="s">
        <v>611</v>
      </c>
      <c r="C36" s="535" t="s">
        <v>66</v>
      </c>
      <c r="D36" s="535" t="s">
        <v>59</v>
      </c>
      <c r="E36" s="535" t="s">
        <v>649</v>
      </c>
      <c r="F36" s="535" t="s">
        <v>648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1.2132102200033199</v>
      </c>
      <c r="Y36" s="485">
        <f ca="1">IF(X36&lt;&gt;"",ABS(MIN(-0.75*('CDO Bespoke'!Q37)+'CDO Bespoke'!T37,0)),"")</f>
        <v>1.2043548013221959</v>
      </c>
      <c r="Z36" s="485">
        <f t="shared" ca="1" si="2"/>
        <v>8.8554186811240498E-3</v>
      </c>
      <c r="AA36" s="485">
        <f t="shared" ca="1" si="3"/>
        <v>0</v>
      </c>
      <c r="AB36" s="484">
        <f ca="1">IF('CDO Bespoke'!O37&lt;&gt;"",'CDO Bespoke'!O37,"")</f>
        <v>1.2132102200033199</v>
      </c>
      <c r="AC36" s="485">
        <f ca="1">IF(AB36&lt;&gt;"",ABS(MIN(-0.75*('CDO Bespoke'!K37)+'CDO Bespoke'!T37,0)),"")</f>
        <v>0.59991181615532829</v>
      </c>
      <c r="AD36" s="485">
        <f t="shared" ca="1" si="4"/>
        <v>0.61329840384799161</v>
      </c>
      <c r="AE36" s="489">
        <f t="shared" ca="1" si="5"/>
        <v>0</v>
      </c>
      <c r="AF36" s="493">
        <f ca="1">IF('CDO Bespoke'!O37&lt;&gt;"",'CDO Bespoke'!O37,"")</f>
        <v>1.2132102200033199</v>
      </c>
      <c r="AP36" s="494" t="str">
        <f ca="1">IF('CDO Bespoke'!C61&lt;&gt;"",'CDO Bespoke'!C61,"")</f>
        <v>LEONARDO SOCIETA' PER AZIONI</v>
      </c>
      <c r="AQ36" s="496"/>
      <c r="AR36" s="585"/>
      <c r="AS36" s="585"/>
      <c r="AT36" s="585"/>
      <c r="AU36" s="497"/>
      <c r="AV36" s="496"/>
      <c r="AW36" s="585"/>
      <c r="AX36" s="585"/>
      <c r="AY36" s="585"/>
      <c r="AZ36" s="497"/>
      <c r="BA36" s="580"/>
      <c r="BB36" s="580"/>
      <c r="BC36" s="580"/>
      <c r="BD36" s="580"/>
      <c r="BE36" s="580"/>
      <c r="BF36" s="580"/>
      <c r="BG36" s="579"/>
    </row>
    <row r="37" spans="2:59">
      <c r="B37" s="539" t="s">
        <v>512</v>
      </c>
      <c r="C37" s="540" t="s">
        <v>66</v>
      </c>
      <c r="D37" s="540" t="s">
        <v>55</v>
      </c>
      <c r="E37" s="540" t="s">
        <v>649</v>
      </c>
      <c r="F37" s="540" t="s">
        <v>675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1.21460445999313</v>
      </c>
      <c r="Y37" s="485">
        <f ca="1">IF(X37&lt;&gt;"",ABS(MIN(-0.75*('CDO Bespoke'!Q38)+'CDO Bespoke'!T38,0)),"")</f>
        <v>1.2046420456068634</v>
      </c>
      <c r="Z37" s="485">
        <f t="shared" ca="1" si="2"/>
        <v>9.9624143862666603E-3</v>
      </c>
      <c r="AA37" s="485">
        <f t="shared" ca="1" si="3"/>
        <v>0</v>
      </c>
      <c r="AB37" s="484">
        <f ca="1">IF('CDO Bespoke'!O38&lt;&gt;"",'CDO Bespoke'!O38,"")</f>
        <v>1.21460445999313</v>
      </c>
      <c r="AC37" s="485">
        <f ca="1">IF(AB37&lt;&gt;"",ABS(MIN(-0.75*('CDO Bespoke'!K38)+'CDO Bespoke'!T38,0)),"")</f>
        <v>0.59246990676811395</v>
      </c>
      <c r="AD37" s="485">
        <f t="shared" ca="1" si="4"/>
        <v>0.6221345532250161</v>
      </c>
      <c r="AE37" s="489">
        <f t="shared" ca="1" si="5"/>
        <v>0</v>
      </c>
      <c r="AF37" s="493">
        <f ca="1">IF('CDO Bespoke'!O38&lt;&gt;"",'CDO Bespoke'!O38,"")</f>
        <v>1.21460445999313</v>
      </c>
      <c r="AP37" s="494" t="str">
        <f ca="1">IF('CDO Bespoke'!C62&lt;&gt;"",'CDO Bespoke'!C62,"")</f>
        <v>Mercedes-Benz Group AG</v>
      </c>
      <c r="AQ37" s="496"/>
      <c r="AR37" s="585"/>
      <c r="AS37" s="585"/>
      <c r="AT37" s="585"/>
      <c r="AU37" s="497"/>
      <c r="AV37" s="496"/>
      <c r="AW37" s="585"/>
      <c r="AX37" s="585"/>
      <c r="AY37" s="585"/>
      <c r="AZ37" s="497"/>
      <c r="BA37" s="580"/>
      <c r="BB37" s="580"/>
      <c r="BC37" s="580"/>
      <c r="BD37" s="580"/>
      <c r="BE37" s="580"/>
      <c r="BF37" s="580"/>
      <c r="BG37" s="579"/>
    </row>
    <row r="38" spans="2:59">
      <c r="B38" s="517" t="s">
        <v>512</v>
      </c>
      <c r="C38" s="518" t="s">
        <v>66</v>
      </c>
      <c r="D38" s="518" t="s">
        <v>57</v>
      </c>
      <c r="E38" s="518" t="s">
        <v>649</v>
      </c>
      <c r="F38" s="518" t="s">
        <v>675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1.2040778327539099</v>
      </c>
      <c r="Y38" s="485">
        <f ca="1">IF(X38&lt;&gt;"",ABS(MIN(-0.75*('CDO Bespoke'!Q39)+'CDO Bespoke'!T39,0)),"")</f>
        <v>1.2022313646725913</v>
      </c>
      <c r="Z38" s="485">
        <f t="shared" ca="1" si="2"/>
        <v>1.8464680813186085E-3</v>
      </c>
      <c r="AA38" s="485">
        <f t="shared" ca="1" si="3"/>
        <v>0</v>
      </c>
      <c r="AB38" s="484">
        <f ca="1">IF('CDO Bespoke'!O39&lt;&gt;"",'CDO Bespoke'!O39,"")</f>
        <v>1.2040778327539099</v>
      </c>
      <c r="AC38" s="485">
        <f ca="1">IF(AB38&lt;&gt;"",ABS(MIN(-0.75*('CDO Bespoke'!K39)+'CDO Bespoke'!T39,0)),"")</f>
        <v>0.6205288852328511</v>
      </c>
      <c r="AD38" s="485">
        <f t="shared" ca="1" si="4"/>
        <v>0.58354894752105879</v>
      </c>
      <c r="AE38" s="489">
        <f t="shared" ca="1" si="5"/>
        <v>0</v>
      </c>
      <c r="AF38" s="493">
        <f ca="1">IF('CDO Bespoke'!O39&lt;&gt;"",'CDO Bespoke'!O39,"")</f>
        <v>1.2040778327539099</v>
      </c>
      <c r="AP38" s="494" t="str">
        <f ca="1">IF('CDO Bespoke'!C63&lt;&gt;"",'CDO Bespoke'!C63,"")</f>
        <v>PostNL N.V.</v>
      </c>
      <c r="AQ38" s="496"/>
      <c r="AR38" s="585"/>
      <c r="AS38" s="585"/>
      <c r="AT38" s="585"/>
      <c r="AU38" s="497"/>
      <c r="AV38" s="496"/>
      <c r="AW38" s="585"/>
      <c r="AX38" s="585"/>
      <c r="AY38" s="585"/>
      <c r="AZ38" s="497"/>
      <c r="BA38" s="580"/>
      <c r="BB38" s="580"/>
      <c r="BC38" s="580"/>
      <c r="BD38" s="580"/>
      <c r="BE38" s="580"/>
      <c r="BF38" s="580"/>
      <c r="BG38" s="579"/>
    </row>
    <row r="39" spans="2:59">
      <c r="B39" s="534" t="s">
        <v>512</v>
      </c>
      <c r="C39" s="535" t="s">
        <v>66</v>
      </c>
      <c r="D39" s="535" t="s">
        <v>59</v>
      </c>
      <c r="E39" s="535" t="s">
        <v>649</v>
      </c>
      <c r="F39" s="535" t="s">
        <v>675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1.2133345141571501</v>
      </c>
      <c r="Y39" s="485">
        <f ca="1">IF(X39&lt;&gt;"",ABS(MIN(-0.75*('CDO Bespoke'!Q40)+'CDO Bespoke'!T40,0)),"")</f>
        <v>1.2043811301852352</v>
      </c>
      <c r="Z39" s="485">
        <f t="shared" ca="1" si="2"/>
        <v>8.9533839719149189E-3</v>
      </c>
      <c r="AA39" s="485">
        <f t="shared" ca="1" si="3"/>
        <v>0</v>
      </c>
      <c r="AB39" s="484">
        <f ca="1">IF('CDO Bespoke'!O40&lt;&gt;"",'CDO Bespoke'!O40,"")</f>
        <v>1.2133345141571501</v>
      </c>
      <c r="AC39" s="485">
        <f ca="1">IF(AB39&lt;&gt;"",ABS(MIN(-0.75*('CDO Bespoke'!K40)+'CDO Bespoke'!T40,0)),"")</f>
        <v>0.59934013995040203</v>
      </c>
      <c r="AD39" s="485">
        <f t="shared" ca="1" si="4"/>
        <v>0.61399437420674807</v>
      </c>
      <c r="AE39" s="489">
        <f t="shared" ca="1" si="5"/>
        <v>0</v>
      </c>
      <c r="AF39" s="493">
        <f ca="1">IF('CDO Bespoke'!O40&lt;&gt;"",'CDO Bespoke'!O40,"")</f>
        <v>1.2133345141571501</v>
      </c>
      <c r="AP39" s="494" t="str">
        <f ca="1">IF('CDO Bespoke'!C64&lt;&gt;"",'CDO Bespoke'!C64,"")</f>
        <v>RENTOKIL INITIAL PLC</v>
      </c>
      <c r="AQ39" s="496"/>
      <c r="AR39" s="585"/>
      <c r="AS39" s="585"/>
      <c r="AT39" s="585"/>
      <c r="AU39" s="497"/>
      <c r="AV39" s="496"/>
      <c r="AW39" s="585"/>
      <c r="AX39" s="585"/>
      <c r="AY39" s="585"/>
      <c r="AZ39" s="497"/>
      <c r="BA39" s="580"/>
      <c r="BB39" s="580"/>
      <c r="BC39" s="580"/>
      <c r="BD39" s="580"/>
      <c r="BE39" s="580"/>
      <c r="BF39" s="580"/>
      <c r="BG39" s="579"/>
    </row>
    <row r="40" spans="2:59">
      <c r="B40" s="539" t="s">
        <v>513</v>
      </c>
      <c r="C40" s="540" t="s">
        <v>66</v>
      </c>
      <c r="D40" s="540" t="s">
        <v>55</v>
      </c>
      <c r="E40" s="540" t="s">
        <v>649</v>
      </c>
      <c r="F40" s="540" t="s">
        <v>675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1.2158746740312101</v>
      </c>
      <c r="Y40" s="485">
        <f ca="1">IF(X40&lt;&gt;"",ABS(MIN(-0.75*('CDO Bespoke'!Q41)+'CDO Bespoke'!T41,0)),"")</f>
        <v>1.204883694713772</v>
      </c>
      <c r="Z40" s="485">
        <f t="shared" ca="1" si="2"/>
        <v>1.0990979317438088E-2</v>
      </c>
      <c r="AA40" s="485">
        <f t="shared" ca="1" si="3"/>
        <v>0</v>
      </c>
      <c r="AB40" s="484">
        <f ca="1">IF('CDO Bespoke'!O41&lt;&gt;"",'CDO Bespoke'!O41,"")</f>
        <v>1.2158746740312101</v>
      </c>
      <c r="AC40" s="485">
        <f ca="1">IF(AB40&lt;&gt;"",ABS(MIN(-0.75*('CDO Bespoke'!K41)+'CDO Bespoke'!T41,0)),"")</f>
        <v>0.58286538628664031</v>
      </c>
      <c r="AD40" s="485">
        <f t="shared" ca="1" si="4"/>
        <v>0.63300928774456977</v>
      </c>
      <c r="AE40" s="489">
        <f t="shared" ca="1" si="5"/>
        <v>0</v>
      </c>
      <c r="AF40" s="493">
        <f ca="1">IF('CDO Bespoke'!O41&lt;&gt;"",'CDO Bespoke'!O41,"")</f>
        <v>1.2158746740312101</v>
      </c>
      <c r="AP40" s="494" t="str">
        <f ca="1">IF('CDO Bespoke'!C65&lt;&gt;"",'CDO Bespoke'!C65,"")</f>
        <v>SANOFI</v>
      </c>
      <c r="AQ40" s="496"/>
      <c r="AR40" s="585"/>
      <c r="AS40" s="585"/>
      <c r="AT40" s="585"/>
      <c r="AU40" s="497"/>
      <c r="AV40" s="496"/>
      <c r="AW40" s="585"/>
      <c r="AX40" s="585"/>
      <c r="AY40" s="585"/>
      <c r="AZ40" s="497"/>
      <c r="BA40" s="580"/>
      <c r="BB40" s="580"/>
      <c r="BC40" s="580"/>
      <c r="BD40" s="580"/>
      <c r="BE40" s="580"/>
      <c r="BF40" s="580"/>
      <c r="BG40" s="579"/>
    </row>
    <row r="41" spans="2:59">
      <c r="B41" s="517" t="s">
        <v>513</v>
      </c>
      <c r="C41" s="518" t="s">
        <v>66</v>
      </c>
      <c r="D41" s="518" t="s">
        <v>57</v>
      </c>
      <c r="E41" s="518" t="s">
        <v>649</v>
      </c>
      <c r="F41" s="518" t="s">
        <v>675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1.21533637301999</v>
      </c>
      <c r="Y41" s="485">
        <f ca="1">IF(X41&lt;&gt;"",ABS(MIN(-0.75*('CDO Bespoke'!Q42)+'CDO Bespoke'!T42,0)),"")</f>
        <v>1.2047841790995464</v>
      </c>
      <c r="Z41" s="485">
        <f t="shared" ca="1" si="2"/>
        <v>1.0552193920443598E-2</v>
      </c>
      <c r="AA41" s="485">
        <f t="shared" ca="1" si="3"/>
        <v>0</v>
      </c>
      <c r="AB41" s="484">
        <f ca="1">IF('CDO Bespoke'!O42&lt;&gt;"",'CDO Bespoke'!O42,"")</f>
        <v>1.21533637301999</v>
      </c>
      <c r="AC41" s="485">
        <f ca="1">IF(AB41&lt;&gt;"",ABS(MIN(-0.75*('CDO Bespoke'!K42)+'CDO Bespoke'!T42,0)),"")</f>
        <v>0.58737844263951744</v>
      </c>
      <c r="AD41" s="485">
        <f t="shared" ca="1" si="4"/>
        <v>0.62795793038047254</v>
      </c>
      <c r="AE41" s="489">
        <f t="shared" ca="1" si="5"/>
        <v>0</v>
      </c>
      <c r="AF41" s="493">
        <f ca="1">IF('CDO Bespoke'!O42&lt;&gt;"",'CDO Bespoke'!O42,"")</f>
        <v>1.21533637301999</v>
      </c>
      <c r="AP41" s="494" t="str">
        <f ca="1">IF('CDO Bespoke'!C66&lt;&gt;"",'CDO Bespoke'!C66,"")</f>
        <v>Siemens Aktiengesellschaft</v>
      </c>
      <c r="AQ41" s="496"/>
      <c r="AR41" s="585"/>
      <c r="AS41" s="585"/>
      <c r="AT41" s="585"/>
      <c r="AU41" s="497"/>
      <c r="AV41" s="496"/>
      <c r="AW41" s="585"/>
      <c r="AX41" s="585"/>
      <c r="AY41" s="585"/>
      <c r="AZ41" s="497"/>
      <c r="BA41" s="580"/>
      <c r="BB41" s="580"/>
      <c r="BC41" s="580"/>
      <c r="BD41" s="580"/>
      <c r="BE41" s="580"/>
      <c r="BF41" s="580"/>
      <c r="BG41" s="579"/>
    </row>
    <row r="42" spans="2:59">
      <c r="B42" s="534" t="s">
        <v>513</v>
      </c>
      <c r="C42" s="535" t="s">
        <v>66</v>
      </c>
      <c r="D42" s="535" t="s">
        <v>59</v>
      </c>
      <c r="E42" s="535" t="s">
        <v>649</v>
      </c>
      <c r="F42" s="535" t="s">
        <v>675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1.21421448550182</v>
      </c>
      <c r="Y42" s="485">
        <f ca="1">IF(X42&lt;&gt;"",ABS(MIN(-0.75*('CDO Bespoke'!Q43)+'CDO Bespoke'!T43,0)),"")</f>
        <v>1.2045636425807102</v>
      </c>
      <c r="Z42" s="485">
        <f t="shared" ca="1" si="2"/>
        <v>9.6508429211097368E-3</v>
      </c>
      <c r="AA42" s="485">
        <f t="shared" ca="1" si="3"/>
        <v>0</v>
      </c>
      <c r="AB42" s="484">
        <f ca="1">IF('CDO Bespoke'!O43&lt;&gt;"",'CDO Bespoke'!O43,"")</f>
        <v>1.21421448550182</v>
      </c>
      <c r="AC42" s="485">
        <f ca="1">IF(AB42&lt;&gt;"",ABS(MIN(-0.75*('CDO Bespoke'!K43)+'CDO Bespoke'!T43,0)),"")</f>
        <v>0.59480494795862282</v>
      </c>
      <c r="AD42" s="485">
        <f t="shared" ca="1" si="4"/>
        <v>0.61940953754319716</v>
      </c>
      <c r="AE42" s="489">
        <f t="shared" ca="1" si="5"/>
        <v>0</v>
      </c>
      <c r="AF42" s="493">
        <f ca="1">IF('CDO Bespoke'!O43&lt;&gt;"",'CDO Bespoke'!O43,"")</f>
        <v>1.21421448550182</v>
      </c>
      <c r="AP42" s="494" t="str">
        <f ca="1">IF('CDO Bespoke'!C67&lt;&gt;"",'CDO Bespoke'!C67,"")</f>
        <v>SMURFIT KAPPA ACQUISITIONS UNLIMITED COMPANY</v>
      </c>
      <c r="AQ42" s="496"/>
      <c r="AR42" s="585"/>
      <c r="AS42" s="585"/>
      <c r="AT42" s="585"/>
      <c r="AU42" s="497"/>
      <c r="AV42" s="496"/>
      <c r="AW42" s="585"/>
      <c r="AX42" s="585"/>
      <c r="AY42" s="585"/>
      <c r="AZ42" s="497"/>
      <c r="BA42" s="580"/>
      <c r="BB42" s="580"/>
      <c r="BC42" s="580"/>
      <c r="BD42" s="580"/>
      <c r="BE42" s="580"/>
      <c r="BF42" s="580"/>
      <c r="BG42" s="579"/>
    </row>
    <row r="43" spans="2:59">
      <c r="B43" s="539" t="s">
        <v>514</v>
      </c>
      <c r="C43" s="540" t="s">
        <v>66</v>
      </c>
      <c r="D43" s="540" t="s">
        <v>55</v>
      </c>
      <c r="E43" s="540" t="s">
        <v>647</v>
      </c>
      <c r="F43" s="540" t="s">
        <v>674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1.20996406093352</v>
      </c>
      <c r="Y43" s="485">
        <f ca="1">IF(X43&lt;&gt;"",ABS(MIN(-0.75*('CDO Bespoke'!Q44)+'CDO Bespoke'!T44,0)),"")</f>
        <v>1.2036327198136918</v>
      </c>
      <c r="Z43" s="485">
        <f t="shared" ca="1" si="2"/>
        <v>6.3313411198282488E-3</v>
      </c>
      <c r="AA43" s="485">
        <f t="shared" ca="1" si="3"/>
        <v>0</v>
      </c>
      <c r="AB43" s="484">
        <f ca="1">IF('CDO Bespoke'!O44&lt;&gt;"",'CDO Bespoke'!O44,"")</f>
        <v>1.20996406093352</v>
      </c>
      <c r="AC43" s="485">
        <f ca="1">IF(AB43&lt;&gt;"",ABS(MIN(-0.75*('CDO Bespoke'!K44)+'CDO Bespoke'!T44,0)),"")</f>
        <v>0.61085886006326662</v>
      </c>
      <c r="AD43" s="485">
        <f t="shared" ca="1" si="4"/>
        <v>0.59910520087025343</v>
      </c>
      <c r="AE43" s="489">
        <f t="shared" ca="1" si="5"/>
        <v>0</v>
      </c>
      <c r="AF43" s="493">
        <f ca="1">IF('CDO Bespoke'!O44&lt;&gt;"",'CDO Bespoke'!O44,"")</f>
        <v>1.20996406093352</v>
      </c>
      <c r="AP43" s="494" t="str">
        <f ca="1">IF('CDO Bespoke'!C68&lt;&gt;"",'CDO Bespoke'!C68,"")</f>
        <v>Solvay</v>
      </c>
      <c r="AQ43" s="496"/>
      <c r="AR43" s="585"/>
      <c r="AS43" s="585"/>
      <c r="AT43" s="585"/>
      <c r="AU43" s="497"/>
      <c r="AV43" s="496"/>
      <c r="AW43" s="585"/>
      <c r="AX43" s="585"/>
      <c r="AY43" s="585"/>
      <c r="AZ43" s="497"/>
      <c r="BA43" s="580"/>
      <c r="BB43" s="580"/>
      <c r="BC43" s="580"/>
      <c r="BD43" s="580"/>
      <c r="BE43" s="580"/>
      <c r="BF43" s="580"/>
      <c r="BG43" s="579"/>
    </row>
    <row r="44" spans="2:59">
      <c r="B44" s="517" t="s">
        <v>514</v>
      </c>
      <c r="C44" s="518" t="s">
        <v>66</v>
      </c>
      <c r="D44" s="518" t="s">
        <v>57</v>
      </c>
      <c r="E44" s="518" t="s">
        <v>647</v>
      </c>
      <c r="F44" s="518" t="s">
        <v>674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1.2085043509295901</v>
      </c>
      <c r="Y44" s="485">
        <f ca="1">IF(X44&lt;&gt;"",ABS(MIN(-0.75*('CDO Bespoke'!Q45)+'CDO Bespoke'!T45,0)),"")</f>
        <v>1.2032928046976468</v>
      </c>
      <c r="Z44" s="485">
        <f t="shared" ca="1" si="2"/>
        <v>5.2115462319433092E-3</v>
      </c>
      <c r="AA44" s="485">
        <f t="shared" ca="1" si="3"/>
        <v>0</v>
      </c>
      <c r="AB44" s="484">
        <f ca="1">IF('CDO Bespoke'!O45&lt;&gt;"",'CDO Bespoke'!O45,"")</f>
        <v>1.2085043509295901</v>
      </c>
      <c r="AC44" s="485">
        <f ca="1">IF(AB44&lt;&gt;"",ABS(MIN(-0.75*('CDO Bespoke'!K45)+'CDO Bespoke'!T45,0)),"")</f>
        <v>0.61410945910242309</v>
      </c>
      <c r="AD44" s="485">
        <f t="shared" ca="1" si="4"/>
        <v>0.59439489182716698</v>
      </c>
      <c r="AE44" s="489">
        <f t="shared" ca="1" si="5"/>
        <v>0</v>
      </c>
      <c r="AF44" s="493">
        <f ca="1">IF('CDO Bespoke'!O45&lt;&gt;"",'CDO Bespoke'!O45,"")</f>
        <v>1.2085043509295901</v>
      </c>
      <c r="AP44" s="494" t="str">
        <f ca="1">IF('CDO Bespoke'!C69&lt;&gt;"",'CDO Bespoke'!C69,"")</f>
        <v>Stellantis N.V.</v>
      </c>
      <c r="AQ44" s="496"/>
      <c r="AR44" s="585"/>
      <c r="AS44" s="585"/>
      <c r="AT44" s="585"/>
      <c r="AU44" s="497"/>
      <c r="AV44" s="496"/>
      <c r="AW44" s="585"/>
      <c r="AX44" s="585"/>
      <c r="AY44" s="585"/>
      <c r="AZ44" s="497"/>
      <c r="BA44" s="580"/>
      <c r="BB44" s="580"/>
      <c r="BC44" s="580"/>
      <c r="BD44" s="580"/>
      <c r="BE44" s="580"/>
      <c r="BF44" s="580"/>
      <c r="BG44" s="579"/>
    </row>
    <row r="45" spans="2:59">
      <c r="B45" s="534" t="s">
        <v>514</v>
      </c>
      <c r="C45" s="535" t="s">
        <v>66</v>
      </c>
      <c r="D45" s="535" t="s">
        <v>59</v>
      </c>
      <c r="E45" s="535" t="s">
        <v>647</v>
      </c>
      <c r="F45" s="535" t="s">
        <v>674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1.2103473295915099</v>
      </c>
      <c r="Y45" s="485">
        <f ca="1">IF(X45&lt;&gt;"",ABS(MIN(-0.75*('CDO Bespoke'!Q46)+'CDO Bespoke'!T46,0)),"")</f>
        <v>1.2037207208713727</v>
      </c>
      <c r="Z45" s="485">
        <f t="shared" ca="1" si="2"/>
        <v>6.6266087201372059E-3</v>
      </c>
      <c r="AA45" s="485">
        <f t="shared" ca="1" si="3"/>
        <v>0</v>
      </c>
      <c r="AB45" s="484">
        <f ca="1">IF('CDO Bespoke'!O46&lt;&gt;"",'CDO Bespoke'!O46,"")</f>
        <v>1.2103473295915099</v>
      </c>
      <c r="AC45" s="485">
        <f ca="1">IF(AB45&lt;&gt;"",ABS(MIN(-0.75*('CDO Bespoke'!K46)+'CDO Bespoke'!T46,0)),"")</f>
        <v>0.60987091273736949</v>
      </c>
      <c r="AD45" s="485">
        <f t="shared" ca="1" si="4"/>
        <v>0.60047641685414044</v>
      </c>
      <c r="AE45" s="489">
        <f t="shared" ca="1" si="5"/>
        <v>0</v>
      </c>
      <c r="AF45" s="493">
        <f ca="1">IF('CDO Bespoke'!O46&lt;&gt;"",'CDO Bespoke'!O46,"")</f>
        <v>1.2103473295915099</v>
      </c>
      <c r="AP45" s="494" t="str">
        <f ca="1">IF('CDO Bespoke'!C70&lt;&gt;"",'CDO Bespoke'!C70,"")</f>
        <v>Stora Enso Oyj</v>
      </c>
      <c r="AQ45" s="496"/>
      <c r="AR45" s="585"/>
      <c r="AS45" s="585"/>
      <c r="AT45" s="585"/>
      <c r="AU45" s="497"/>
      <c r="AV45" s="496"/>
      <c r="AW45" s="585"/>
      <c r="AX45" s="585"/>
      <c r="AY45" s="585"/>
      <c r="AZ45" s="497"/>
      <c r="BA45" s="580"/>
      <c r="BB45" s="580"/>
      <c r="BC45" s="580"/>
      <c r="BD45" s="580"/>
      <c r="BE45" s="580"/>
      <c r="BF45" s="580"/>
      <c r="BG45" s="579"/>
    </row>
    <row r="46" spans="2:59">
      <c r="B46" s="539" t="s">
        <v>515</v>
      </c>
      <c r="C46" s="540" t="s">
        <v>66</v>
      </c>
      <c r="D46" s="540" t="s">
        <v>55</v>
      </c>
      <c r="E46" s="540" t="s">
        <v>649</v>
      </c>
      <c r="F46" s="540" t="s">
        <v>648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1.20676467014818</v>
      </c>
      <c r="Y46" s="485">
        <f ca="1">IF(X46&lt;&gt;"",ABS(MIN(-0.75*('CDO Bespoke'!Q47)+'CDO Bespoke'!T47,0)),"")</f>
        <v>1.2028799690427574</v>
      </c>
      <c r="Z46" s="485">
        <f t="shared" ca="1" si="2"/>
        <v>3.8847011054226055E-3</v>
      </c>
      <c r="AA46" s="485">
        <f t="shared" ca="1" si="3"/>
        <v>0</v>
      </c>
      <c r="AB46" s="484">
        <f ca="1">IF('CDO Bespoke'!O47&lt;&gt;"",'CDO Bespoke'!O47,"")</f>
        <v>1.20676467014818</v>
      </c>
      <c r="AC46" s="485">
        <f ca="1">IF(AB46&lt;&gt;"",ABS(MIN(-0.75*('CDO Bespoke'!K47)+'CDO Bespoke'!T47,0)),"")</f>
        <v>0.61714063982560163</v>
      </c>
      <c r="AD46" s="485">
        <f t="shared" ca="1" si="4"/>
        <v>0.58962403032257837</v>
      </c>
      <c r="AE46" s="489">
        <f t="shared" ca="1" si="5"/>
        <v>0</v>
      </c>
      <c r="AF46" s="493">
        <f ca="1">IF('CDO Bespoke'!O47&lt;&gt;"",'CDO Bespoke'!O47,"")</f>
        <v>1.20676467014818</v>
      </c>
      <c r="AP46" s="494" t="str">
        <f ca="1">IF('CDO Bespoke'!C71&lt;&gt;"",'CDO Bespoke'!C71,"")</f>
        <v>UNIBAIL-RODAMCO-WESTFIELD SE</v>
      </c>
      <c r="AQ46" s="496"/>
      <c r="AR46" s="585"/>
      <c r="AS46" s="585"/>
      <c r="AT46" s="585"/>
      <c r="AU46" s="497"/>
      <c r="AV46" s="496"/>
      <c r="AW46" s="585"/>
      <c r="AX46" s="585"/>
      <c r="AY46" s="585"/>
      <c r="AZ46" s="497"/>
      <c r="BA46" s="580"/>
      <c r="BB46" s="580"/>
      <c r="BC46" s="580"/>
      <c r="BD46" s="580"/>
      <c r="BE46" s="580"/>
      <c r="BF46" s="580"/>
      <c r="BG46" s="579"/>
    </row>
    <row r="47" spans="2:59">
      <c r="B47" s="517" t="s">
        <v>515</v>
      </c>
      <c r="C47" s="518" t="s">
        <v>66</v>
      </c>
      <c r="D47" s="518" t="s">
        <v>57</v>
      </c>
      <c r="E47" s="518" t="s">
        <v>649</v>
      </c>
      <c r="F47" s="518" t="s">
        <v>648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1.2161147533354899</v>
      </c>
      <c r="Y47" s="485">
        <f ca="1">IF(X47&lt;&gt;"",ABS(MIN(-0.75*('CDO Bespoke'!Q48)+'CDO Bespoke'!T48,0)),"")</f>
        <v>1.2049264354026068</v>
      </c>
      <c r="Z47" s="485">
        <f t="shared" ca="1" si="2"/>
        <v>1.1188317932883107E-2</v>
      </c>
      <c r="AA47" s="485">
        <f t="shared" ca="1" si="3"/>
        <v>0</v>
      </c>
      <c r="AB47" s="484">
        <f ca="1">IF('CDO Bespoke'!O48&lt;&gt;"",'CDO Bespoke'!O48,"")</f>
        <v>1.2161147533354899</v>
      </c>
      <c r="AC47" s="485">
        <f ca="1">IF(AB47&lt;&gt;"",ABS(MIN(-0.75*('CDO Bespoke'!K48)+'CDO Bespoke'!T48,0)),"")</f>
        <v>0.58057955574912012</v>
      </c>
      <c r="AD47" s="485">
        <f t="shared" ca="1" si="4"/>
        <v>0.63553519758636978</v>
      </c>
      <c r="AE47" s="489">
        <f t="shared" ca="1" si="5"/>
        <v>0</v>
      </c>
      <c r="AF47" s="493">
        <f ca="1">IF('CDO Bespoke'!O48&lt;&gt;"",'CDO Bespoke'!O48,"")</f>
        <v>1.2161147533354899</v>
      </c>
      <c r="AP47" s="494" t="str">
        <f ca="1">IF('CDO Bespoke'!C72&lt;&gt;"",'CDO Bespoke'!C72,"")</f>
        <v>VINCI</v>
      </c>
      <c r="AQ47" s="496"/>
      <c r="AR47" s="585"/>
      <c r="AS47" s="585"/>
      <c r="AT47" s="585"/>
      <c r="AU47" s="497"/>
      <c r="AV47" s="496"/>
      <c r="AW47" s="585"/>
      <c r="AX47" s="585"/>
      <c r="AY47" s="585"/>
      <c r="AZ47" s="497"/>
      <c r="BA47" s="580"/>
      <c r="BB47" s="580"/>
      <c r="BC47" s="580"/>
      <c r="BD47" s="580"/>
      <c r="BE47" s="580"/>
      <c r="BF47" s="580"/>
      <c r="BG47" s="579"/>
    </row>
    <row r="48" spans="2:59">
      <c r="B48" s="534" t="s">
        <v>515</v>
      </c>
      <c r="C48" s="535" t="s">
        <v>66</v>
      </c>
      <c r="D48" s="535" t="s">
        <v>59</v>
      </c>
      <c r="E48" s="535" t="s">
        <v>649</v>
      </c>
      <c r="F48" s="535" t="s">
        <v>648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1.21067582933825</v>
      </c>
      <c r="Y48" s="485">
        <f ca="1">IF(X48&lt;&gt;"",ABS(MIN(-0.75*('CDO Bespoke'!Q49)+'CDO Bespoke'!T49,0)),"")</f>
        <v>1.2037956668249079</v>
      </c>
      <c r="Z48" s="485">
        <f t="shared" ca="1" si="2"/>
        <v>6.880162513342114E-3</v>
      </c>
      <c r="AA48" s="485">
        <f t="shared" ca="1" si="3"/>
        <v>0</v>
      </c>
      <c r="AB48" s="484">
        <f ca="1">IF('CDO Bespoke'!O49&lt;&gt;"",'CDO Bespoke'!O49,"")</f>
        <v>1.21067582933825</v>
      </c>
      <c r="AC48" s="485">
        <f ca="1">IF(AB48&lt;&gt;"",ABS(MIN(-0.75*('CDO Bespoke'!K49)+'CDO Bespoke'!T49,0)),"")</f>
        <v>0.608972308949569</v>
      </c>
      <c r="AD48" s="485">
        <f t="shared" ca="1" si="4"/>
        <v>0.60170352038868102</v>
      </c>
      <c r="AE48" s="489">
        <f t="shared" ca="1" si="5"/>
        <v>0</v>
      </c>
      <c r="AF48" s="493">
        <f ca="1">IF('CDO Bespoke'!O49&lt;&gt;"",'CDO Bespoke'!O49,"")</f>
        <v>1.21067582933825</v>
      </c>
      <c r="AP48" s="494" t="str">
        <f ca="1">IF('CDO Bespoke'!C73&lt;&gt;"",'CDO Bespoke'!C73,"")</f>
        <v>VOLKSWAGEN AKTIENGESELLSCHAFT</v>
      </c>
      <c r="AQ48" s="496"/>
      <c r="AR48" s="585"/>
      <c r="AS48" s="585"/>
      <c r="AT48" s="585"/>
      <c r="AU48" s="497"/>
      <c r="AV48" s="496"/>
      <c r="AW48" s="585"/>
      <c r="AX48" s="585"/>
      <c r="AY48" s="585"/>
      <c r="AZ48" s="497"/>
      <c r="BA48" s="580"/>
      <c r="BB48" s="580"/>
      <c r="BC48" s="580"/>
      <c r="BD48" s="580"/>
      <c r="BE48" s="580"/>
      <c r="BF48" s="580"/>
      <c r="BG48" s="579"/>
    </row>
    <row r="49" spans="2:59">
      <c r="B49" s="539" t="s">
        <v>530</v>
      </c>
      <c r="C49" s="540" t="s">
        <v>66</v>
      </c>
      <c r="D49" s="540" t="s">
        <v>55</v>
      </c>
      <c r="E49" s="540" t="s">
        <v>647</v>
      </c>
      <c r="F49" s="540" t="s">
        <v>675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1.21166428528188</v>
      </c>
      <c r="Y49" s="485">
        <f ca="1">IF(X49&lt;&gt;"",ABS(MIN(-0.75*('CDO Bespoke'!Q50)+'CDO Bespoke'!T50,0)),"")</f>
        <v>1.2040181572877073</v>
      </c>
      <c r="Z49" s="485">
        <f t="shared" ca="1" si="2"/>
        <v>7.6461279941726357E-3</v>
      </c>
      <c r="AA49" s="485">
        <f t="shared" ca="1" si="3"/>
        <v>0</v>
      </c>
      <c r="AB49" s="484">
        <f ca="1">IF('CDO Bespoke'!O50&lt;&gt;"",'CDO Bespoke'!O50,"")</f>
        <v>1.21166428528188</v>
      </c>
      <c r="AC49" s="485">
        <f ca="1">IF(AB49&lt;&gt;"",ABS(MIN(-0.75*('CDO Bespoke'!K50)+'CDO Bespoke'!T50,0)),"")</f>
        <v>0.60593837368621239</v>
      </c>
      <c r="AD49" s="485">
        <f t="shared" ca="1" si="4"/>
        <v>0.60572591159566758</v>
      </c>
      <c r="AE49" s="489">
        <f t="shared" ca="1" si="5"/>
        <v>0</v>
      </c>
      <c r="AF49" s="493">
        <f ca="1">IF('CDO Bespoke'!O50&lt;&gt;"",'CDO Bespoke'!O50,"")</f>
        <v>1.21166428528188</v>
      </c>
      <c r="AP49" s="494" t="str">
        <f ca="1">IF('CDO Bespoke'!C74&lt;&gt;"",'CDO Bespoke'!C74,"")</f>
        <v>WENDEL</v>
      </c>
      <c r="AQ49" s="496"/>
      <c r="AR49" s="585"/>
      <c r="AS49" s="585"/>
      <c r="AT49" s="585"/>
      <c r="AU49" s="497"/>
      <c r="AV49" s="496"/>
      <c r="AW49" s="585"/>
      <c r="AX49" s="585"/>
      <c r="AY49" s="585"/>
      <c r="AZ49" s="497"/>
      <c r="BA49" s="580"/>
      <c r="BB49" s="580"/>
      <c r="BC49" s="580"/>
      <c r="BD49" s="580"/>
      <c r="BE49" s="580"/>
      <c r="BF49" s="580"/>
      <c r="BG49" s="579"/>
    </row>
    <row r="50" spans="2:59">
      <c r="B50" s="517" t="s">
        <v>530</v>
      </c>
      <c r="C50" s="518" t="s">
        <v>66</v>
      </c>
      <c r="D50" s="518" t="s">
        <v>57</v>
      </c>
      <c r="E50" s="518" t="s">
        <v>647</v>
      </c>
      <c r="F50" s="518" t="s">
        <v>675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1.1992330499705499</v>
      </c>
      <c r="Y50" s="485">
        <f ca="1">IF(X50&lt;&gt;"",ABS(MIN(-0.75*('CDO Bespoke'!Q51)+'CDO Bespoke'!T51,0)),"")</f>
        <v>1.201045354766163</v>
      </c>
      <c r="Z50" s="485">
        <f t="shared" ca="1" si="2"/>
        <v>0</v>
      </c>
      <c r="AA50" s="485">
        <f t="shared" ca="1" si="3"/>
        <v>0</v>
      </c>
      <c r="AB50" s="484">
        <f ca="1">IF('CDO Bespoke'!O51&lt;&gt;"",'CDO Bespoke'!O51,"")</f>
        <v>1.1992330499705499</v>
      </c>
      <c r="AC50" s="485">
        <f ca="1">IF(AB50&lt;&gt;"",ABS(MIN(-0.75*('CDO Bespoke'!K51)+'CDO Bespoke'!T51,0)),"")</f>
        <v>0.62404231177112646</v>
      </c>
      <c r="AD50" s="485">
        <f t="shared" ca="1" si="4"/>
        <v>0.57519073819942346</v>
      </c>
      <c r="AE50" s="489">
        <f t="shared" ca="1" si="5"/>
        <v>0</v>
      </c>
      <c r="AF50" s="493">
        <f ca="1">IF('CDO Bespoke'!O51&lt;&gt;"",'CDO Bespoke'!O51,"")</f>
        <v>1.1992330499705499</v>
      </c>
      <c r="AP50" s="494" t="str">
        <f ca="1">IF('CDO Bespoke'!C75&lt;&gt;"",'CDO Bespoke'!C75,"")</f>
        <v>Aktiebolaget Electrolux</v>
      </c>
      <c r="AQ50" s="496"/>
      <c r="AR50" s="585"/>
      <c r="AS50" s="585"/>
      <c r="AT50" s="585"/>
      <c r="AU50" s="497"/>
      <c r="AV50" s="496"/>
      <c r="AW50" s="585"/>
      <c r="AX50" s="585"/>
      <c r="AY50" s="585"/>
      <c r="AZ50" s="497"/>
      <c r="BA50" s="580"/>
      <c r="BB50" s="580"/>
      <c r="BC50" s="580"/>
      <c r="BD50" s="580"/>
      <c r="BE50" s="580"/>
      <c r="BF50" s="580"/>
      <c r="BG50" s="579"/>
    </row>
    <row r="51" spans="2:59">
      <c r="B51" s="534" t="s">
        <v>530</v>
      </c>
      <c r="C51" s="535" t="s">
        <v>66</v>
      </c>
      <c r="D51" s="535" t="s">
        <v>59</v>
      </c>
      <c r="E51" s="535" t="s">
        <v>647</v>
      </c>
      <c r="F51" s="535" t="s">
        <v>675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1.2150320935574299</v>
      </c>
      <c r="Y51" s="485">
        <f ca="1">IF(X51&lt;&gt;"",ABS(MIN(-0.75*('CDO Bespoke'!Q52)+'CDO Bespoke'!T52,0)),"")</f>
        <v>1.2047259549143303</v>
      </c>
      <c r="Z51" s="485">
        <f t="shared" ca="1" si="2"/>
        <v>1.0306138643099594E-2</v>
      </c>
      <c r="AA51" s="485">
        <f t="shared" ca="1" si="3"/>
        <v>0</v>
      </c>
      <c r="AB51" s="484">
        <f ca="1">IF('CDO Bespoke'!O52&lt;&gt;"",'CDO Bespoke'!O52,"")</f>
        <v>1.2150320935574299</v>
      </c>
      <c r="AC51" s="485">
        <f ca="1">IF(AB51&lt;&gt;"",ABS(MIN(-0.75*('CDO Bespoke'!K52)+'CDO Bespoke'!T52,0)),"")</f>
        <v>0.58962167710170987</v>
      </c>
      <c r="AD51" s="485">
        <f t="shared" ca="1" si="4"/>
        <v>0.62541041645572004</v>
      </c>
      <c r="AE51" s="489">
        <f t="shared" ca="1" si="5"/>
        <v>0</v>
      </c>
      <c r="AF51" s="493">
        <f ca="1">IF('CDO Bespoke'!O52&lt;&gt;"",'CDO Bespoke'!O52,"")</f>
        <v>1.2150320935574299</v>
      </c>
      <c r="AP51" s="494" t="str">
        <f ca="1">IF('CDO Bespoke'!C76&lt;&gt;"",'CDO Bespoke'!C76,"")</f>
        <v>Anheuser-Busch InBev</v>
      </c>
      <c r="AQ51" s="496"/>
      <c r="AR51" s="585"/>
      <c r="AS51" s="585"/>
      <c r="AT51" s="585"/>
      <c r="AU51" s="497"/>
      <c r="AV51" s="496"/>
      <c r="AW51" s="585"/>
      <c r="AX51" s="585"/>
      <c r="AY51" s="585"/>
      <c r="AZ51" s="497"/>
      <c r="BA51" s="580"/>
      <c r="BB51" s="580"/>
      <c r="BC51" s="580"/>
      <c r="BD51" s="580"/>
      <c r="BE51" s="580"/>
      <c r="BF51" s="580"/>
      <c r="BG51" s="579"/>
    </row>
    <row r="52" spans="2:59">
      <c r="B52" s="539" t="s">
        <v>531</v>
      </c>
      <c r="C52" s="540" t="s">
        <v>66</v>
      </c>
      <c r="D52" s="540" t="s">
        <v>55</v>
      </c>
      <c r="E52" s="540" t="s">
        <v>649</v>
      </c>
      <c r="F52" s="540" t="s">
        <v>674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1.21234734013281</v>
      </c>
      <c r="Y52" s="485">
        <f ca="1">IF(X52&lt;&gt;"",ABS(MIN(-0.75*('CDO Bespoke'!Q53)+'CDO Bespoke'!T53,0)),"")</f>
        <v>1.204168830045256</v>
      </c>
      <c r="Z52" s="485">
        <f t="shared" ca="1" si="2"/>
        <v>8.1785100875539918E-3</v>
      </c>
      <c r="AA52" s="485">
        <f t="shared" ca="1" si="3"/>
        <v>0</v>
      </c>
      <c r="AB52" s="484">
        <f ca="1">IF('CDO Bespoke'!O53&lt;&gt;"",'CDO Bespoke'!O53,"")</f>
        <v>1.21234734013281</v>
      </c>
      <c r="AC52" s="485">
        <f ca="1">IF(AB52&lt;&gt;"",ABS(MIN(-0.75*('CDO Bespoke'!K53)+'CDO Bespoke'!T53,0)),"")</f>
        <v>0.60349905348397581</v>
      </c>
      <c r="AD52" s="485">
        <f t="shared" ca="1" si="4"/>
        <v>0.60884828664883417</v>
      </c>
      <c r="AE52" s="489">
        <f t="shared" ca="1" si="5"/>
        <v>0</v>
      </c>
      <c r="AF52" s="493">
        <f ca="1">IF('CDO Bespoke'!O53&lt;&gt;"",'CDO Bespoke'!O53,"")</f>
        <v>1.21234734013281</v>
      </c>
      <c r="AP52" s="494" t="str">
        <f ca="1">IF('CDO Bespoke'!C77&lt;&gt;"",'CDO Bespoke'!C77,"")</f>
        <v>BRITISH AMERICAN TOBACCO p.l.c.</v>
      </c>
      <c r="AQ52" s="496"/>
      <c r="AR52" s="585"/>
      <c r="AS52" s="585"/>
      <c r="AT52" s="585"/>
      <c r="AU52" s="497"/>
      <c r="AV52" s="496"/>
      <c r="AW52" s="585"/>
      <c r="AX52" s="585"/>
      <c r="AY52" s="585"/>
      <c r="AZ52" s="497"/>
      <c r="BA52" s="580"/>
      <c r="BB52" s="580"/>
      <c r="BC52" s="580"/>
      <c r="BD52" s="580"/>
      <c r="BE52" s="580"/>
      <c r="BF52" s="580"/>
      <c r="BG52" s="579"/>
    </row>
    <row r="53" spans="2:59">
      <c r="B53" s="517" t="s">
        <v>531</v>
      </c>
      <c r="C53" s="518" t="s">
        <v>66</v>
      </c>
      <c r="D53" s="518" t="s">
        <v>57</v>
      </c>
      <c r="E53" s="518" t="s">
        <v>649</v>
      </c>
      <c r="F53" s="518" t="s">
        <v>674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1.2164706224252699</v>
      </c>
      <c r="Y53" s="485">
        <f ca="1">IF(X53&lt;&gt;"",ABS(MIN(-0.75*('CDO Bespoke'!Q54)+'CDO Bespoke'!T54,0)),"")</f>
        <v>1.2049876202038126</v>
      </c>
      <c r="Z53" s="485">
        <f t="shared" ca="1" si="2"/>
        <v>1.1483002221457372E-2</v>
      </c>
      <c r="AA53" s="485">
        <f t="shared" ca="1" si="3"/>
        <v>0</v>
      </c>
      <c r="AB53" s="484">
        <f ca="1">IF('CDO Bespoke'!O54&lt;&gt;"",'CDO Bespoke'!O54,"")</f>
        <v>1.2164706224252699</v>
      </c>
      <c r="AC53" s="485">
        <f ca="1">IF(AB53&lt;&gt;"",ABS(MIN(-0.75*('CDO Bespoke'!K54)+'CDO Bespoke'!T54,0)),"")</f>
        <v>0.57680252001831223</v>
      </c>
      <c r="AD53" s="485">
        <f t="shared" ca="1" si="4"/>
        <v>0.63966810240695771</v>
      </c>
      <c r="AE53" s="489">
        <f t="shared" ca="1" si="5"/>
        <v>0</v>
      </c>
      <c r="AF53" s="493">
        <f ca="1">IF('CDO Bespoke'!O54&lt;&gt;"",'CDO Bespoke'!O54,"")</f>
        <v>1.2164706224252699</v>
      </c>
      <c r="AP53" s="494" t="str">
        <f ca="1">IF('CDO Bespoke'!C78&lt;&gt;"",'CDO Bespoke'!C78,"")</f>
        <v>CARLSBERG BREWERIES A/S</v>
      </c>
      <c r="AQ53" s="496"/>
      <c r="AR53" s="585"/>
      <c r="AS53" s="585"/>
      <c r="AT53" s="585"/>
      <c r="AU53" s="497"/>
      <c r="AV53" s="496"/>
      <c r="AW53" s="585"/>
      <c r="AX53" s="585"/>
      <c r="AY53" s="585"/>
      <c r="AZ53" s="497"/>
      <c r="BA53" s="580"/>
      <c r="BB53" s="580"/>
      <c r="BC53" s="580"/>
      <c r="BD53" s="580"/>
      <c r="BE53" s="580"/>
      <c r="BF53" s="580"/>
      <c r="BG53" s="579"/>
    </row>
    <row r="54" spans="2:59">
      <c r="B54" s="534" t="s">
        <v>531</v>
      </c>
      <c r="C54" s="535" t="s">
        <v>66</v>
      </c>
      <c r="D54" s="535" t="s">
        <v>59</v>
      </c>
      <c r="E54" s="535" t="s">
        <v>649</v>
      </c>
      <c r="F54" s="535" t="s">
        <v>674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1.21435356458619</v>
      </c>
      <c r="Y54" s="485">
        <f ca="1">IF(X54&lt;&gt;"",ABS(MIN(-0.75*('CDO Bespoke'!Q55)+'CDO Bespoke'!T55,0)),"")</f>
        <v>1.2045917961113277</v>
      </c>
      <c r="Z54" s="485">
        <f t="shared" ca="1" si="2"/>
        <v>9.7617684748623201E-3</v>
      </c>
      <c r="AA54" s="485">
        <f t="shared" ca="1" si="3"/>
        <v>0</v>
      </c>
      <c r="AB54" s="484">
        <f ca="1">IF('CDO Bespoke'!O55&lt;&gt;"",'CDO Bespoke'!O55,"")</f>
        <v>1.21435356458619</v>
      </c>
      <c r="AC54" s="485">
        <f ca="1">IF(AB54&lt;&gt;"",ABS(MIN(-0.75*('CDO Bespoke'!K55)+'CDO Bespoke'!T55,0)),"")</f>
        <v>0.59399822229448174</v>
      </c>
      <c r="AD54" s="485">
        <f t="shared" ca="1" si="4"/>
        <v>0.6203553422917083</v>
      </c>
      <c r="AE54" s="489">
        <f t="shared" ca="1" si="5"/>
        <v>0</v>
      </c>
      <c r="AF54" s="493">
        <f ca="1">IF('CDO Bespoke'!O55&lt;&gt;"",'CDO Bespoke'!O55,"")</f>
        <v>1.21435356458619</v>
      </c>
      <c r="AP54" s="494" t="str">
        <f ca="1">IF('CDO Bespoke'!C79&lt;&gt;"",'CDO Bespoke'!C79,"")</f>
        <v>Carrefour</v>
      </c>
      <c r="AQ54" s="496"/>
      <c r="AR54" s="585"/>
      <c r="AS54" s="585"/>
      <c r="AT54" s="585"/>
      <c r="AU54" s="497"/>
      <c r="AV54" s="496"/>
      <c r="AW54" s="585"/>
      <c r="AX54" s="585"/>
      <c r="AY54" s="585"/>
      <c r="AZ54" s="497"/>
      <c r="BA54" s="580"/>
      <c r="BB54" s="580"/>
      <c r="BC54" s="580"/>
      <c r="BD54" s="580"/>
      <c r="BE54" s="580"/>
      <c r="BF54" s="580"/>
      <c r="BG54" s="579"/>
    </row>
    <row r="55" spans="2:59">
      <c r="B55" s="539" t="s">
        <v>532</v>
      </c>
      <c r="C55" s="540" t="s">
        <v>66</v>
      </c>
      <c r="D55" s="540" t="s">
        <v>55</v>
      </c>
      <c r="E55" s="540" t="s">
        <v>647</v>
      </c>
      <c r="F55" s="540" t="s">
        <v>673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1.2172203773632699</v>
      </c>
      <c r="Y55" s="485">
        <f ca="1">IF(X55&lt;&gt;"",ABS(MIN(-0.75*('CDO Bespoke'!Q56)+'CDO Bespoke'!T56,0)),"")</f>
        <v>1.2051060487222804</v>
      </c>
      <c r="Z55" s="485">
        <f t="shared" ca="1" si="2"/>
        <v>1.2114328640989491E-2</v>
      </c>
      <c r="AA55" s="485">
        <f t="shared" ca="1" si="3"/>
        <v>0</v>
      </c>
      <c r="AB55" s="484">
        <f ca="1">IF('CDO Bespoke'!O56&lt;&gt;"",'CDO Bespoke'!O56,"")</f>
        <v>1.2172203773632699</v>
      </c>
      <c r="AC55" s="485">
        <f ca="1">IF(AB55&lt;&gt;"",ABS(MIN(-0.75*('CDO Bespoke'!K56)+'CDO Bespoke'!T56,0)),"")</f>
        <v>0.56673337555894931</v>
      </c>
      <c r="AD55" s="485">
        <f t="shared" ca="1" si="4"/>
        <v>0.65048700180432062</v>
      </c>
      <c r="AE55" s="489">
        <f t="shared" ca="1" si="5"/>
        <v>0</v>
      </c>
      <c r="AF55" s="493">
        <f ca="1">IF('CDO Bespoke'!O56&lt;&gt;"",'CDO Bespoke'!O56,"")</f>
        <v>1.2172203773632699</v>
      </c>
      <c r="AP55" s="494" t="str">
        <f ca="1">IF('CDO Bespoke'!C80&lt;&gt;"",'CDO Bespoke'!C80,"")</f>
        <v>COMPASS GROUP PLC</v>
      </c>
      <c r="AQ55" s="496"/>
      <c r="AR55" s="585"/>
      <c r="AS55" s="585"/>
      <c r="AT55" s="585"/>
      <c r="AU55" s="497"/>
      <c r="AV55" s="496"/>
      <c r="AW55" s="585"/>
      <c r="AX55" s="585"/>
      <c r="AY55" s="585"/>
      <c r="AZ55" s="497"/>
      <c r="BA55" s="580"/>
      <c r="BB55" s="580"/>
      <c r="BC55" s="580"/>
      <c r="BD55" s="580"/>
      <c r="BE55" s="580"/>
      <c r="BF55" s="580"/>
      <c r="BG55" s="579"/>
    </row>
    <row r="56" spans="2:59">
      <c r="B56" s="517" t="s">
        <v>532</v>
      </c>
      <c r="C56" s="518" t="s">
        <v>66</v>
      </c>
      <c r="D56" s="518" t="s">
        <v>57</v>
      </c>
      <c r="E56" s="518" t="s">
        <v>647</v>
      </c>
      <c r="F56" s="518" t="s">
        <v>673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1.2156839582864201</v>
      </c>
      <c r="Y56" s="485">
        <f ca="1">IF(X56&lt;&gt;"",ABS(MIN(-0.75*('CDO Bespoke'!Q57)+'CDO Bespoke'!T57,0)),"")</f>
        <v>1.2048489880477178</v>
      </c>
      <c r="Z56" s="485">
        <f t="shared" ca="1" si="2"/>
        <v>1.0834970238702279E-2</v>
      </c>
      <c r="AA56" s="485">
        <f t="shared" ca="1" si="3"/>
        <v>0</v>
      </c>
      <c r="AB56" s="484">
        <f ca="1">IF('CDO Bespoke'!O57&lt;&gt;"",'CDO Bespoke'!O57,"")</f>
        <v>1.2156839582864201</v>
      </c>
      <c r="AC56" s="485">
        <f ca="1">IF(AB56&lt;&gt;"",ABS(MIN(-0.75*('CDO Bespoke'!K57)+'CDO Bespoke'!T57,0)),"")</f>
        <v>0.58455337810241548</v>
      </c>
      <c r="AD56" s="485">
        <f t="shared" ca="1" si="4"/>
        <v>0.63113058018400459</v>
      </c>
      <c r="AE56" s="489">
        <f t="shared" ca="1" si="5"/>
        <v>0</v>
      </c>
      <c r="AF56" s="493">
        <f ca="1">IF('CDO Bespoke'!O57&lt;&gt;"",'CDO Bespoke'!O57,"")</f>
        <v>1.2156839582864201</v>
      </c>
      <c r="AP56" s="494" t="str">
        <f ca="1">IF('CDO Bespoke'!C81&lt;&gt;"",'CDO Bespoke'!C81,"")</f>
        <v>DANONE</v>
      </c>
      <c r="AQ56" s="496"/>
      <c r="AR56" s="585"/>
      <c r="AS56" s="585"/>
      <c r="AT56" s="585"/>
      <c r="AU56" s="497"/>
      <c r="AV56" s="496"/>
      <c r="AW56" s="585"/>
      <c r="AX56" s="585"/>
      <c r="AY56" s="585"/>
      <c r="AZ56" s="497"/>
      <c r="BA56" s="580"/>
      <c r="BB56" s="580"/>
      <c r="BC56" s="580"/>
      <c r="BD56" s="580"/>
      <c r="BE56" s="580"/>
      <c r="BF56" s="580"/>
      <c r="BG56" s="579"/>
    </row>
    <row r="57" spans="2:59">
      <c r="B57" s="534" t="s">
        <v>532</v>
      </c>
      <c r="C57" s="535" t="s">
        <v>66</v>
      </c>
      <c r="D57" s="535" t="s">
        <v>59</v>
      </c>
      <c r="E57" s="535" t="s">
        <v>647</v>
      </c>
      <c r="F57" s="535" t="s">
        <v>673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1.2165380913405499</v>
      </c>
      <c r="Y57" s="485">
        <f ca="1">IF(X57&lt;&gt;"",ABS(MIN(-0.75*('CDO Bespoke'!Q58)+'CDO Bespoke'!T58,0)),"")</f>
        <v>1.2049988985973066</v>
      </c>
      <c r="Z57" s="485">
        <f t="shared" ca="1" si="2"/>
        <v>1.1539192743243332E-2</v>
      </c>
      <c r="AA57" s="485">
        <f t="shared" ca="1" si="3"/>
        <v>0</v>
      </c>
      <c r="AB57" s="484">
        <f ca="1">IF('CDO Bespoke'!O58&lt;&gt;"",'CDO Bespoke'!O58,"")</f>
        <v>1.2165380913405499</v>
      </c>
      <c r="AC57" s="485">
        <f ca="1">IF(AB57&lt;&gt;"",ABS(MIN(-0.75*('CDO Bespoke'!K58)+'CDO Bespoke'!T58,0)),"")</f>
        <v>0.57602589624063905</v>
      </c>
      <c r="AD57" s="485">
        <f t="shared" ca="1" si="4"/>
        <v>0.64051219509991086</v>
      </c>
      <c r="AE57" s="489">
        <f t="shared" ca="1" si="5"/>
        <v>0</v>
      </c>
      <c r="AF57" s="493">
        <f ca="1">IF('CDO Bespoke'!O58&lt;&gt;"",'CDO Bespoke'!O58,"")</f>
        <v>1.2165380913405499</v>
      </c>
      <c r="AP57" s="494" t="str">
        <f ca="1">IF('CDO Bespoke'!C82&lt;&gt;"",'CDO Bespoke'!C82,"")</f>
        <v>DIAGEO PLC</v>
      </c>
      <c r="AQ57" s="496"/>
      <c r="AR57" s="585"/>
      <c r="AS57" s="585"/>
      <c r="AT57" s="585"/>
      <c r="AU57" s="497"/>
      <c r="AV57" s="496"/>
      <c r="AW57" s="585"/>
      <c r="AX57" s="585"/>
      <c r="AY57" s="585"/>
      <c r="AZ57" s="497"/>
      <c r="BA57" s="580"/>
      <c r="BB57" s="580"/>
      <c r="BC57" s="580"/>
      <c r="BD57" s="580"/>
      <c r="BE57" s="580"/>
      <c r="BF57" s="580"/>
      <c r="BG57" s="579"/>
    </row>
    <row r="58" spans="2:59">
      <c r="B58" s="539" t="s">
        <v>516</v>
      </c>
      <c r="C58" s="540" t="s">
        <v>66</v>
      </c>
      <c r="D58" s="540" t="s">
        <v>55</v>
      </c>
      <c r="E58" s="540" t="s">
        <v>647</v>
      </c>
      <c r="F58" s="540" t="s">
        <v>648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1.1835131809491</v>
      </c>
      <c r="Y58" s="485">
        <f ca="1">IF(X58&lt;&gt;"",ABS(MIN(-0.75*('CDO Bespoke'!Q59)+'CDO Bespoke'!T59,0)),"")</f>
        <v>1.1972421179160881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1.1835131809491</v>
      </c>
      <c r="AC58" s="485">
        <f ca="1">IF(AB58&lt;&gt;"",ABS(MIN(-0.75*('CDO Bespoke'!K59)+'CDO Bespoke'!T59,0)),"")</f>
        <v>0.62444240992422839</v>
      </c>
      <c r="AD58" s="485">
        <f t="shared" ca="1" si="4"/>
        <v>0.55907077102487157</v>
      </c>
      <c r="AE58" s="489">
        <f t="shared" ca="1" si="5"/>
        <v>0</v>
      </c>
      <c r="AF58" s="493">
        <f ca="1">IF('CDO Bespoke'!O59&lt;&gt;"",'CDO Bespoke'!O59,"")</f>
        <v>1.1835131809491</v>
      </c>
      <c r="AP58" s="494" t="str">
        <f ca="1">IF('CDO Bespoke'!C83&lt;&gt;"",'CDO Bespoke'!C83,"")</f>
        <v>ELO</v>
      </c>
      <c r="AQ58" s="496"/>
      <c r="AR58" s="585"/>
      <c r="AS58" s="585"/>
      <c r="AT58" s="585"/>
      <c r="AU58" s="497"/>
      <c r="AV58" s="496"/>
      <c r="AW58" s="585"/>
      <c r="AX58" s="585"/>
      <c r="AY58" s="585"/>
      <c r="AZ58" s="497"/>
      <c r="BA58" s="580"/>
      <c r="BB58" s="580"/>
      <c r="BC58" s="580"/>
      <c r="BD58" s="580"/>
      <c r="BE58" s="580"/>
      <c r="BF58" s="580"/>
      <c r="BG58" s="579"/>
    </row>
    <row r="59" spans="2:59">
      <c r="B59" s="517" t="s">
        <v>516</v>
      </c>
      <c r="C59" s="518" t="s">
        <v>66</v>
      </c>
      <c r="D59" s="518" t="s">
        <v>57</v>
      </c>
      <c r="E59" s="518" t="s">
        <v>647</v>
      </c>
      <c r="F59" s="518" t="s">
        <v>648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1.2163101940927701</v>
      </c>
      <c r="Y59" s="485">
        <f ca="1">IF(X59&lt;&gt;"",ABS(MIN(-0.75*('CDO Bespoke'!Q60)+'CDO Bespoke'!T60,0)),"")</f>
        <v>1.2049603787178587</v>
      </c>
      <c r="Z59" s="485">
        <f t="shared" ca="1" si="2"/>
        <v>1.1349815374911421E-2</v>
      </c>
      <c r="AA59" s="485">
        <f t="shared" ca="1" si="3"/>
        <v>0</v>
      </c>
      <c r="AB59" s="484">
        <f ca="1">IF('CDO Bespoke'!O60&lt;&gt;"",'CDO Bespoke'!O60,"")</f>
        <v>1.2163101940927701</v>
      </c>
      <c r="AC59" s="485">
        <f ca="1">IF(AB59&lt;&gt;"",ABS(MIN(-0.75*('CDO Bespoke'!K60)+'CDO Bespoke'!T60,0)),"")</f>
        <v>0.57856826680035744</v>
      </c>
      <c r="AD59" s="485">
        <f t="shared" ca="1" si="4"/>
        <v>0.63774192729241264</v>
      </c>
      <c r="AE59" s="489">
        <f t="shared" ca="1" si="5"/>
        <v>0</v>
      </c>
      <c r="AF59" s="493">
        <f ca="1">IF('CDO Bespoke'!O60&lt;&gt;"",'CDO Bespoke'!O60,"")</f>
        <v>1.2163101940927701</v>
      </c>
      <c r="AP59" s="494" t="str">
        <f ca="1">IF('CDO Bespoke'!C84&lt;&gt;"",'CDO Bespoke'!C84,"")</f>
        <v>Heineken N.V.</v>
      </c>
      <c r="AQ59" s="496"/>
      <c r="AR59" s="585"/>
      <c r="AS59" s="585"/>
      <c r="AT59" s="585"/>
      <c r="AU59" s="497"/>
      <c r="AV59" s="496"/>
      <c r="AW59" s="585"/>
      <c r="AX59" s="585"/>
      <c r="AY59" s="585"/>
      <c r="AZ59" s="497"/>
      <c r="BA59" s="580"/>
      <c r="BB59" s="580"/>
      <c r="BC59" s="580"/>
      <c r="BD59" s="580"/>
      <c r="BE59" s="580"/>
      <c r="BF59" s="580"/>
      <c r="BG59" s="579"/>
    </row>
    <row r="60" spans="2:59">
      <c r="B60" s="534" t="s">
        <v>516</v>
      </c>
      <c r="C60" s="535" t="s">
        <v>66</v>
      </c>
      <c r="D60" s="535" t="s">
        <v>59</v>
      </c>
      <c r="E60" s="535" t="s">
        <v>647</v>
      </c>
      <c r="F60" s="535" t="s">
        <v>648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1.2171720627068401</v>
      </c>
      <c r="Y60" s="485">
        <f ca="1">IF(X60&lt;&gt;"",ABS(MIN(-0.75*('CDO Bespoke'!Q61)+'CDO Bespoke'!T61,0)),"")</f>
        <v>1.2050989287743117</v>
      </c>
      <c r="Z60" s="485">
        <f t="shared" ca="1" si="2"/>
        <v>1.2073133932528402E-2</v>
      </c>
      <c r="AA60" s="485">
        <f t="shared" ca="1" si="3"/>
        <v>0</v>
      </c>
      <c r="AB60" s="484">
        <f ca="1">IF('CDO Bespoke'!O61&lt;&gt;"",'CDO Bespoke'!O61,"")</f>
        <v>1.2171720627068401</v>
      </c>
      <c r="AC60" s="485">
        <f ca="1">IF(AB60&lt;&gt;"",ABS(MIN(-0.75*('CDO Bespoke'!K61)+'CDO Bespoke'!T61,0)),"")</f>
        <v>0.56749587372224108</v>
      </c>
      <c r="AD60" s="485">
        <f t="shared" ca="1" si="4"/>
        <v>0.649676188984599</v>
      </c>
      <c r="AE60" s="489">
        <f t="shared" ca="1" si="5"/>
        <v>0</v>
      </c>
      <c r="AF60" s="493">
        <f ca="1">IF('CDO Bespoke'!O61&lt;&gt;"",'CDO Bespoke'!O61,"")</f>
        <v>1.2171720627068401</v>
      </c>
      <c r="AP60" s="494" t="str">
        <f ca="1">IF('CDO Bespoke'!C85&lt;&gt;"",'CDO Bespoke'!C85,"")</f>
        <v>Henkel AG &amp; Co. KGaA</v>
      </c>
      <c r="AQ60" s="496"/>
      <c r="AR60" s="585"/>
      <c r="AS60" s="585"/>
      <c r="AT60" s="585"/>
      <c r="AU60" s="497"/>
      <c r="AV60" s="496"/>
      <c r="AW60" s="585"/>
      <c r="AX60" s="585"/>
      <c r="AY60" s="585"/>
      <c r="AZ60" s="497"/>
      <c r="BA60" s="580"/>
      <c r="BB60" s="580"/>
      <c r="BC60" s="580"/>
      <c r="BD60" s="580"/>
      <c r="BE60" s="580"/>
      <c r="BF60" s="580"/>
      <c r="BG60" s="579"/>
    </row>
    <row r="61" spans="2:59">
      <c r="B61" s="539" t="s">
        <v>612</v>
      </c>
      <c r="C61" s="540" t="s">
        <v>66</v>
      </c>
      <c r="D61" s="540" t="s">
        <v>55</v>
      </c>
      <c r="E61" s="540" t="s">
        <v>649</v>
      </c>
      <c r="F61" s="540" t="s">
        <v>648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1.2111429034871499</v>
      </c>
      <c r="Y61" s="485">
        <f ca="1">IF(X61&lt;&gt;"",ABS(MIN(-0.75*('CDO Bespoke'!Q62)+'CDO Bespoke'!T62,0)),"")</f>
        <v>1.2039013984583982</v>
      </c>
      <c r="Z61" s="485">
        <f t="shared" ca="1" si="2"/>
        <v>7.2415050287517602E-3</v>
      </c>
      <c r="AA61" s="485">
        <f t="shared" ca="1" si="3"/>
        <v>0</v>
      </c>
      <c r="AB61" s="484">
        <f ca="1">IF('CDO Bespoke'!O62&lt;&gt;"",'CDO Bespoke'!O62,"")</f>
        <v>1.2111429034871499</v>
      </c>
      <c r="AC61" s="485">
        <f ca="1">IF(AB61&lt;&gt;"",ABS(MIN(-0.75*('CDO Bespoke'!K62)+'CDO Bespoke'!T62,0)),"")</f>
        <v>0.60760444632574251</v>
      </c>
      <c r="AD61" s="485">
        <f t="shared" ca="1" si="4"/>
        <v>0.60353845716140742</v>
      </c>
      <c r="AE61" s="489">
        <f t="shared" ca="1" si="5"/>
        <v>0</v>
      </c>
      <c r="AF61" s="493">
        <f ca="1">IF('CDO Bespoke'!O62&lt;&gt;"",'CDO Bespoke'!O62,"")</f>
        <v>1.2111429034871499</v>
      </c>
      <c r="AP61" s="494" t="str">
        <f ca="1">IF('CDO Bespoke'!C86&lt;&gt;"",'CDO Bespoke'!C86,"")</f>
        <v>IMPERIAL BRANDS PLC</v>
      </c>
      <c r="AQ61" s="496"/>
      <c r="AR61" s="585"/>
      <c r="AS61" s="585"/>
      <c r="AT61" s="585"/>
      <c r="AU61" s="497"/>
      <c r="AV61" s="496"/>
      <c r="AW61" s="585"/>
      <c r="AX61" s="585"/>
      <c r="AY61" s="585"/>
      <c r="AZ61" s="497"/>
      <c r="BA61" s="580"/>
      <c r="BB61" s="580"/>
      <c r="BC61" s="580"/>
      <c r="BD61" s="580"/>
      <c r="BE61" s="580"/>
      <c r="BF61" s="580"/>
      <c r="BG61" s="579"/>
    </row>
    <row r="62" spans="2:59">
      <c r="B62" s="517" t="s">
        <v>612</v>
      </c>
      <c r="C62" s="518" t="s">
        <v>66</v>
      </c>
      <c r="D62" s="518" t="s">
        <v>57</v>
      </c>
      <c r="E62" s="518" t="s">
        <v>649</v>
      </c>
      <c r="F62" s="518" t="s">
        <v>648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1.21479272843385</v>
      </c>
      <c r="Y62" s="485">
        <f ca="1">IF(X62&lt;&gt;"",ABS(MIN(-0.75*('CDO Bespoke'!Q63)+'CDO Bespoke'!T63,0)),"")</f>
        <v>1.2046792695005348</v>
      </c>
      <c r="Z62" s="485">
        <f t="shared" ca="1" si="2"/>
        <v>1.0113458933315167E-2</v>
      </c>
      <c r="AA62" s="485">
        <f t="shared" ca="1" si="3"/>
        <v>0</v>
      </c>
      <c r="AB62" s="484">
        <f ca="1">IF('CDO Bespoke'!O63&lt;&gt;"",'CDO Bespoke'!O63,"")</f>
        <v>1.21479272843385</v>
      </c>
      <c r="AC62" s="485">
        <f ca="1">IF(AB62&lt;&gt;"",ABS(MIN(-0.75*('CDO Bespoke'!K63)+'CDO Bespoke'!T63,0)),"")</f>
        <v>0.59125619814504071</v>
      </c>
      <c r="AD62" s="485">
        <f t="shared" ca="1" si="4"/>
        <v>0.62353653028880929</v>
      </c>
      <c r="AE62" s="489">
        <f t="shared" ca="1" si="5"/>
        <v>0</v>
      </c>
      <c r="AF62" s="493">
        <f ca="1">IF('CDO Bespoke'!O63&lt;&gt;"",'CDO Bespoke'!O63,"")</f>
        <v>1.21479272843385</v>
      </c>
      <c r="AP62" s="494" t="str">
        <f ca="1">IF('CDO Bespoke'!C87&lt;&gt;"",'CDO Bespoke'!C87,"")</f>
        <v>Kering</v>
      </c>
      <c r="AQ62" s="496"/>
      <c r="AR62" s="585"/>
      <c r="AS62" s="585"/>
      <c r="AT62" s="585"/>
      <c r="AU62" s="497"/>
      <c r="AV62" s="496"/>
      <c r="AW62" s="585"/>
      <c r="AX62" s="585"/>
      <c r="AY62" s="585"/>
      <c r="AZ62" s="497"/>
      <c r="BA62" s="580"/>
      <c r="BB62" s="580"/>
      <c r="BC62" s="580"/>
      <c r="BD62" s="580"/>
      <c r="BE62" s="580"/>
      <c r="BF62" s="580"/>
      <c r="BG62" s="579"/>
    </row>
    <row r="63" spans="2:59">
      <c r="B63" s="534" t="s">
        <v>612</v>
      </c>
      <c r="C63" s="535" t="s">
        <v>66</v>
      </c>
      <c r="D63" s="535" t="s">
        <v>59</v>
      </c>
      <c r="E63" s="535" t="s">
        <v>649</v>
      </c>
      <c r="F63" s="535" t="s">
        <v>648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1.2162421979753899</v>
      </c>
      <c r="Y63" s="485">
        <f ca="1">IF(X63&lt;&gt;"",ABS(MIN(-0.75*('CDO Bespoke'!Q64)+'CDO Bespoke'!T64,0)),"")</f>
        <v>1.2049486605713464</v>
      </c>
      <c r="Z63" s="485">
        <f t="shared" ca="1" si="2"/>
        <v>1.1293537404043485E-2</v>
      </c>
      <c r="AA63" s="485">
        <f t="shared" ca="1" si="3"/>
        <v>0</v>
      </c>
      <c r="AB63" s="484">
        <f ca="1">IF('CDO Bespoke'!O64&lt;&gt;"",'CDO Bespoke'!O64,"")</f>
        <v>1.2162421979753899</v>
      </c>
      <c r="AC63" s="485">
        <f ca="1">IF(AB63&lt;&gt;"",ABS(MIN(-0.75*('CDO Bespoke'!K64)+'CDO Bespoke'!T64,0)),"")</f>
        <v>0.57928455985394367</v>
      </c>
      <c r="AD63" s="485">
        <f t="shared" ca="1" si="4"/>
        <v>0.63695763812144623</v>
      </c>
      <c r="AE63" s="489">
        <f t="shared" ca="1" si="5"/>
        <v>0</v>
      </c>
      <c r="AF63" s="493">
        <f ca="1">IF('CDO Bespoke'!O64&lt;&gt;"",'CDO Bespoke'!O64,"")</f>
        <v>1.2162421979753899</v>
      </c>
      <c r="AP63" s="494" t="str">
        <f ca="1">IF('CDO Bespoke'!C88&lt;&gt;"",'CDO Bespoke'!C88,"")</f>
        <v>Koninklijke Ahold Delhaize N.V.</v>
      </c>
      <c r="AQ63" s="496"/>
      <c r="AR63" s="585"/>
      <c r="AS63" s="585"/>
      <c r="AT63" s="585"/>
      <c r="AU63" s="497"/>
      <c r="AV63" s="496"/>
      <c r="AW63" s="585"/>
      <c r="AX63" s="585"/>
      <c r="AY63" s="585"/>
      <c r="AZ63" s="497"/>
      <c r="BA63" s="580"/>
      <c r="BB63" s="580"/>
      <c r="BC63" s="580"/>
      <c r="BD63" s="580"/>
      <c r="BE63" s="580"/>
      <c r="BF63" s="580"/>
      <c r="BG63" s="579"/>
    </row>
    <row r="64" spans="2:59">
      <c r="B64" s="539" t="s">
        <v>517</v>
      </c>
      <c r="C64" s="540" t="s">
        <v>66</v>
      </c>
      <c r="D64" s="540" t="s">
        <v>55</v>
      </c>
      <c r="E64" s="540" t="s">
        <v>649</v>
      </c>
      <c r="F64" s="540" t="s">
        <v>648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1.2138652245730499</v>
      </c>
      <c r="Y64" s="485">
        <f ca="1">IF(X64&lt;&gt;"",ABS(MIN(-0.75*('CDO Bespoke'!Q65)+'CDO Bespoke'!T65,0)),"")</f>
        <v>1.2044920680770654</v>
      </c>
      <c r="Z64" s="485">
        <f t="shared" ca="1" si="2"/>
        <v>9.3731564959844693E-3</v>
      </c>
      <c r="AA64" s="485">
        <f t="shared" ca="1" si="3"/>
        <v>0</v>
      </c>
      <c r="AB64" s="484">
        <f ca="1">IF('CDO Bespoke'!O65&lt;&gt;"",'CDO Bespoke'!O65,"")</f>
        <v>1.2138652245730499</v>
      </c>
      <c r="AC64" s="485">
        <f ca="1">IF(AB64&lt;&gt;"",ABS(MIN(-0.75*('CDO Bespoke'!K65)+'CDO Bespoke'!T65,0)),"")</f>
        <v>0.59671546811369036</v>
      </c>
      <c r="AD64" s="485">
        <f t="shared" ca="1" si="4"/>
        <v>0.61714975645935954</v>
      </c>
      <c r="AE64" s="489">
        <f t="shared" ca="1" si="5"/>
        <v>0</v>
      </c>
      <c r="AF64" s="493">
        <f ca="1">IF('CDO Bespoke'!O65&lt;&gt;"",'CDO Bespoke'!O65,"")</f>
        <v>1.2138652245730499</v>
      </c>
      <c r="AP64" s="494" t="str">
        <f ca="1">IF('CDO Bespoke'!C89&lt;&gt;"",'CDO Bespoke'!C89,"")</f>
        <v>Koninklijke Philips N.V.</v>
      </c>
      <c r="AQ64" s="496"/>
      <c r="AR64" s="585"/>
      <c r="AS64" s="585"/>
      <c r="AT64" s="585"/>
      <c r="AU64" s="497"/>
      <c r="AV64" s="496"/>
      <c r="AW64" s="585"/>
      <c r="AX64" s="585"/>
      <c r="AY64" s="585"/>
      <c r="AZ64" s="497"/>
      <c r="BA64" s="580"/>
      <c r="BB64" s="580"/>
      <c r="BC64" s="580"/>
      <c r="BD64" s="580"/>
      <c r="BE64" s="580"/>
      <c r="BF64" s="580"/>
      <c r="BG64" s="579"/>
    </row>
    <row r="65" spans="2:59">
      <c r="B65" s="517" t="s">
        <v>517</v>
      </c>
      <c r="C65" s="518" t="s">
        <v>66</v>
      </c>
      <c r="D65" s="518" t="s">
        <v>57</v>
      </c>
      <c r="E65" s="518" t="s">
        <v>649</v>
      </c>
      <c r="F65" s="518" t="s">
        <v>648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1.2066524324857399</v>
      </c>
      <c r="Y65" s="485">
        <f ca="1">IF(X65&lt;&gt;"",ABS(MIN(-0.75*('CDO Bespoke'!Q66)+'CDO Bespoke'!T66,0)),"")</f>
        <v>1.2028531063101167</v>
      </c>
      <c r="Z65" s="485">
        <f t="shared" ca="1" si="2"/>
        <v>3.7993261756232855E-3</v>
      </c>
      <c r="AA65" s="485">
        <f t="shared" ca="1" si="3"/>
        <v>0</v>
      </c>
      <c r="AB65" s="484">
        <f ca="1">IF('CDO Bespoke'!O66&lt;&gt;"",'CDO Bespoke'!O66,"")</f>
        <v>1.2066524324857399</v>
      </c>
      <c r="AC65" s="485">
        <f ca="1">IF(AB65&lt;&gt;"",ABS(MIN(-0.75*('CDO Bespoke'!K66)+'CDO Bespoke'!T66,0)),"")</f>
        <v>0.61731049270741734</v>
      </c>
      <c r="AD65" s="485">
        <f t="shared" ca="1" si="4"/>
        <v>0.58934193977832261</v>
      </c>
      <c r="AE65" s="489">
        <f t="shared" ca="1" si="5"/>
        <v>0</v>
      </c>
      <c r="AF65" s="493">
        <f ca="1">IF('CDO Bespoke'!O66&lt;&gt;"",'CDO Bespoke'!O66,"")</f>
        <v>1.2066524324857399</v>
      </c>
      <c r="AP65" s="494" t="str">
        <f ca="1">IF('CDO Bespoke'!C90&lt;&gt;"",'CDO Bespoke'!C90,"")</f>
        <v>Louis Dreyfus Company B.V.</v>
      </c>
      <c r="AQ65" s="496"/>
      <c r="AR65" s="585"/>
      <c r="AS65" s="585"/>
      <c r="AT65" s="585"/>
      <c r="AU65" s="497"/>
      <c r="AV65" s="496"/>
      <c r="AW65" s="585"/>
      <c r="AX65" s="585"/>
      <c r="AY65" s="585"/>
      <c r="AZ65" s="497"/>
      <c r="BA65" s="580"/>
      <c r="BB65" s="580"/>
      <c r="BC65" s="580"/>
      <c r="BD65" s="580"/>
      <c r="BE65" s="580"/>
      <c r="BF65" s="580"/>
      <c r="BG65" s="579"/>
    </row>
    <row r="66" spans="2:59">
      <c r="B66" s="534" t="s">
        <v>517</v>
      </c>
      <c r="C66" s="535" t="s">
        <v>66</v>
      </c>
      <c r="D66" s="535" t="s">
        <v>59</v>
      </c>
      <c r="E66" s="535" t="s">
        <v>649</v>
      </c>
      <c r="F66" s="535" t="s">
        <v>648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1.21634592034589</v>
      </c>
      <c r="Y66" s="485">
        <f ca="1">IF(X66&lt;&gt;"",ABS(MIN(-0.75*('CDO Bespoke'!Q67)+'CDO Bespoke'!T67,0)),"")</f>
        <v>1.2049664953270662</v>
      </c>
      <c r="Z66" s="485">
        <f t="shared" ca="1" si="2"/>
        <v>1.1379425018823719E-2</v>
      </c>
      <c r="AA66" s="485">
        <f t="shared" ca="1" si="3"/>
        <v>0</v>
      </c>
      <c r="AB66" s="484">
        <f ca="1">IF('CDO Bespoke'!O67&lt;&gt;"",'CDO Bespoke'!O67,"")</f>
        <v>1.21634592034589</v>
      </c>
      <c r="AC66" s="485">
        <f ca="1">IF(AB66&lt;&gt;"",ABS(MIN(-0.75*('CDO Bespoke'!K67)+'CDO Bespoke'!T67,0)),"")</f>
        <v>0.57818447302328757</v>
      </c>
      <c r="AD66" s="485">
        <f t="shared" ca="1" si="4"/>
        <v>0.63816144732260238</v>
      </c>
      <c r="AE66" s="489">
        <f t="shared" ca="1" si="5"/>
        <v>0</v>
      </c>
      <c r="AF66" s="493">
        <f ca="1">IF('CDO Bespoke'!O67&lt;&gt;"",'CDO Bespoke'!O67,"")</f>
        <v>1.21634592034589</v>
      </c>
      <c r="AP66" s="494" t="str">
        <f ca="1">IF('CDO Bespoke'!C91&lt;&gt;"",'CDO Bespoke'!C91,"")</f>
        <v>LVMH MOET HENNESSY LOUIS VUITTON</v>
      </c>
      <c r="AQ66" s="496"/>
      <c r="AR66" s="585"/>
      <c r="AS66" s="585"/>
      <c r="AT66" s="585"/>
      <c r="AU66" s="497"/>
      <c r="AV66" s="496"/>
      <c r="AW66" s="585"/>
      <c r="AX66" s="585"/>
      <c r="AY66" s="585"/>
      <c r="AZ66" s="497"/>
      <c r="BA66" s="580"/>
      <c r="BB66" s="580"/>
      <c r="BC66" s="580"/>
      <c r="BD66" s="580"/>
      <c r="BE66" s="580"/>
      <c r="BF66" s="580"/>
      <c r="BG66" s="579"/>
    </row>
    <row r="67" spans="2:59">
      <c r="B67" s="539" t="s">
        <v>518</v>
      </c>
      <c r="C67" s="540" t="s">
        <v>66</v>
      </c>
      <c r="D67" s="540" t="s">
        <v>55</v>
      </c>
      <c r="E67" s="540" t="s">
        <v>649</v>
      </c>
      <c r="F67" s="540" t="s">
        <v>673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1.21607876155404</v>
      </c>
      <c r="Y67" s="485">
        <f ca="1">IF(X67&lt;&gt;"",ABS(MIN(-0.75*('CDO Bespoke'!Q68)+'CDO Bespoke'!T68,0)),"")</f>
        <v>1.2049200989185205</v>
      </c>
      <c r="Z67" s="485">
        <f t="shared" ca="1" si="2"/>
        <v>1.1158662635519567E-2</v>
      </c>
      <c r="AA67" s="485">
        <f t="shared" ca="1" si="3"/>
        <v>0</v>
      </c>
      <c r="AB67" s="484">
        <f ca="1">IF('CDO Bespoke'!O68&lt;&gt;"",'CDO Bespoke'!O68,"")</f>
        <v>1.21607876155404</v>
      </c>
      <c r="AC67" s="485">
        <f ca="1">IF(AB67&lt;&gt;"",ABS(MIN(-0.75*('CDO Bespoke'!K68)+'CDO Bespoke'!T68,0)),"")</f>
        <v>0.58093459602672437</v>
      </c>
      <c r="AD67" s="485">
        <f t="shared" ca="1" si="4"/>
        <v>0.63514416552731567</v>
      </c>
      <c r="AE67" s="489">
        <f t="shared" ca="1" si="5"/>
        <v>0</v>
      </c>
      <c r="AF67" s="493">
        <f ca="1">IF('CDO Bespoke'!O68&lt;&gt;"",'CDO Bespoke'!O68,"")</f>
        <v>1.21607876155404</v>
      </c>
      <c r="AP67" s="494" t="str">
        <f ca="1">IF('CDO Bespoke'!C92&lt;&gt;"",'CDO Bespoke'!C92,"")</f>
        <v>Nestle S.A.</v>
      </c>
      <c r="AQ67" s="496"/>
      <c r="AR67" s="585"/>
      <c r="AS67" s="585"/>
      <c r="AT67" s="585"/>
      <c r="AU67" s="497"/>
      <c r="AV67" s="496"/>
      <c r="AW67" s="585"/>
      <c r="AX67" s="585"/>
      <c r="AY67" s="585"/>
      <c r="AZ67" s="497"/>
      <c r="BA67" s="580"/>
      <c r="BB67" s="580"/>
      <c r="BC67" s="580"/>
      <c r="BD67" s="580"/>
      <c r="BE67" s="580"/>
      <c r="BF67" s="580"/>
      <c r="BG67" s="579"/>
    </row>
    <row r="68" spans="2:59">
      <c r="B68" s="517" t="s">
        <v>518</v>
      </c>
      <c r="C68" s="518" t="s">
        <v>66</v>
      </c>
      <c r="D68" s="518" t="s">
        <v>57</v>
      </c>
      <c r="E68" s="518" t="s">
        <v>649</v>
      </c>
      <c r="F68" s="518" t="s">
        <v>673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1.21534923317308</v>
      </c>
      <c r="Y68" s="485">
        <f ca="1">IF(X68&lt;&gt;"",ABS(MIN(-0.75*('CDO Bespoke'!Q69)+'CDO Bespoke'!T69,0)),"")</f>
        <v>1.2047866104696237</v>
      </c>
      <c r="Z68" s="485">
        <f t="shared" ca="1" si="2"/>
        <v>1.0562622703456315E-2</v>
      </c>
      <c r="AA68" s="485">
        <f t="shared" ca="1" si="3"/>
        <v>0</v>
      </c>
      <c r="AB68" s="484">
        <f ca="1">IF('CDO Bespoke'!O69&lt;&gt;"",'CDO Bespoke'!O69,"")</f>
        <v>1.21534923317308</v>
      </c>
      <c r="AC68" s="485">
        <f ca="1">IF(AB68&lt;&gt;"",ABS(MIN(-0.75*('CDO Bespoke'!K69)+'CDO Bespoke'!T69,0)),"")</f>
        <v>0.58727917643148697</v>
      </c>
      <c r="AD68" s="485">
        <f t="shared" ca="1" si="4"/>
        <v>0.628070056741593</v>
      </c>
      <c r="AE68" s="489">
        <f t="shared" ca="1" si="5"/>
        <v>0</v>
      </c>
      <c r="AF68" s="493">
        <f ca="1">IF('CDO Bespoke'!O69&lt;&gt;"",'CDO Bespoke'!O69,"")</f>
        <v>1.21534923317308</v>
      </c>
      <c r="AP68" s="494" t="str">
        <f ca="1">IF('CDO Bespoke'!C93&lt;&gt;"",'CDO Bespoke'!C93,"")</f>
        <v>NEXT PLC</v>
      </c>
      <c r="AQ68" s="496"/>
      <c r="AR68" s="585"/>
      <c r="AS68" s="585"/>
      <c r="AT68" s="585"/>
      <c r="AU68" s="497"/>
      <c r="AV68" s="496"/>
      <c r="AW68" s="585"/>
      <c r="AX68" s="585"/>
      <c r="AY68" s="585"/>
      <c r="AZ68" s="497"/>
      <c r="BA68" s="580"/>
      <c r="BB68" s="580"/>
      <c r="BC68" s="580"/>
      <c r="BD68" s="580"/>
      <c r="BE68" s="580"/>
      <c r="BF68" s="580"/>
      <c r="BG68" s="579"/>
    </row>
    <row r="69" spans="2:59">
      <c r="B69" s="534" t="s">
        <v>518</v>
      </c>
      <c r="C69" s="535" t="s">
        <v>66</v>
      </c>
      <c r="D69" s="535" t="s">
        <v>59</v>
      </c>
      <c r="E69" s="535" t="s">
        <v>649</v>
      </c>
      <c r="F69" s="535" t="s">
        <v>673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1.2154702848857</v>
      </c>
      <c r="Y69" s="485">
        <f ca="1">IF(X69&lt;&gt;"",ABS(MIN(-0.75*('CDO Bespoke'!Q70)+'CDO Bespoke'!T70,0)),"")</f>
        <v>1.2048093737415702</v>
      </c>
      <c r="Z69" s="485">
        <f t="shared" ca="1" si="2"/>
        <v>1.0660911144129814E-2</v>
      </c>
      <c r="AA69" s="485">
        <f t="shared" ca="1" si="3"/>
        <v>0</v>
      </c>
      <c r="AB69" s="484">
        <f ca="1">IF('CDO Bespoke'!O70&lt;&gt;"",'CDO Bespoke'!O70,"")</f>
        <v>1.2154702848857</v>
      </c>
      <c r="AC69" s="485">
        <f ca="1">IF(AB69&lt;&gt;"",ABS(MIN(-0.75*('CDO Bespoke'!K70)+'CDO Bespoke'!T70,0)),"")</f>
        <v>0.58632573398132581</v>
      </c>
      <c r="AD69" s="485">
        <f t="shared" ca="1" si="4"/>
        <v>0.62914455090437416</v>
      </c>
      <c r="AE69" s="489">
        <f t="shared" ca="1" si="5"/>
        <v>0</v>
      </c>
      <c r="AF69" s="493">
        <f ca="1">IF('CDO Bespoke'!O70&lt;&gt;"",'CDO Bespoke'!O70,"")</f>
        <v>1.2154702848857</v>
      </c>
      <c r="AP69" s="494" t="str">
        <f ca="1">IF('CDO Bespoke'!C94&lt;&gt;"",'CDO Bespoke'!C94,"")</f>
        <v>PERNOD RICARD</v>
      </c>
      <c r="AQ69" s="496"/>
      <c r="AR69" s="585"/>
      <c r="AS69" s="585"/>
      <c r="AT69" s="585"/>
      <c r="AU69" s="497"/>
      <c r="AV69" s="496"/>
      <c r="AW69" s="585"/>
      <c r="AX69" s="585"/>
      <c r="AY69" s="585"/>
      <c r="AZ69" s="497"/>
      <c r="BA69" s="580"/>
      <c r="BB69" s="580"/>
      <c r="BC69" s="580"/>
      <c r="BD69" s="580"/>
      <c r="BE69" s="580"/>
      <c r="BF69" s="580"/>
      <c r="BG69" s="579"/>
    </row>
    <row r="70" spans="2:59">
      <c r="B70" s="539" t="s">
        <v>533</v>
      </c>
      <c r="C70" s="540" t="s">
        <v>66</v>
      </c>
      <c r="D70" s="540" t="s">
        <v>55</v>
      </c>
      <c r="E70" s="540" t="s">
        <v>649</v>
      </c>
      <c r="F70" s="540" t="s">
        <v>675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1.21671837275767</v>
      </c>
      <c r="Y70" s="485">
        <f ca="1">IF(X70&lt;&gt;"",ABS(MIN(-0.75*('CDO Bespoke'!Q71)+'CDO Bespoke'!T71,0)),"")</f>
        <v>1.2050284835081468</v>
      </c>
      <c r="Z70" s="485">
        <f t="shared" ca="1" si="2"/>
        <v>1.1689889249523189E-2</v>
      </c>
      <c r="AA70" s="485">
        <f t="shared" ca="1" si="3"/>
        <v>0</v>
      </c>
      <c r="AB70" s="484">
        <f ca="1">IF('CDO Bespoke'!O71&lt;&gt;"",'CDO Bespoke'!O71,"")</f>
        <v>1.21671837275767</v>
      </c>
      <c r="AC70" s="485">
        <f ca="1">IF(AB70&lt;&gt;"",ABS(MIN(-0.75*('CDO Bespoke'!K71)+'CDO Bespoke'!T71,0)),"")</f>
        <v>0.57384160828467312</v>
      </c>
      <c r="AD70" s="485">
        <f t="shared" ca="1" si="4"/>
        <v>0.64287676447299691</v>
      </c>
      <c r="AE70" s="489">
        <f t="shared" ca="1" si="5"/>
        <v>0</v>
      </c>
      <c r="AF70" s="493">
        <f ca="1">IF('CDO Bespoke'!O71&lt;&gt;"",'CDO Bespoke'!O71,"")</f>
        <v>1.21671837275767</v>
      </c>
      <c r="AP70" s="494" t="str">
        <f ca="1">IF('CDO Bespoke'!C95&lt;&gt;"",'CDO Bespoke'!C95,"")</f>
        <v>SODEXO</v>
      </c>
      <c r="AQ70" s="496"/>
      <c r="AR70" s="585"/>
      <c r="AS70" s="585"/>
      <c r="AT70" s="585"/>
      <c r="AU70" s="497"/>
      <c r="AV70" s="496"/>
      <c r="AW70" s="585"/>
      <c r="AX70" s="585"/>
      <c r="AY70" s="585"/>
      <c r="AZ70" s="497"/>
      <c r="BA70" s="580"/>
      <c r="BB70" s="580"/>
      <c r="BC70" s="580"/>
      <c r="BD70" s="580"/>
      <c r="BE70" s="580"/>
      <c r="BF70" s="580"/>
      <c r="BG70" s="579"/>
    </row>
    <row r="71" spans="2:59">
      <c r="B71" s="517" t="s">
        <v>533</v>
      </c>
      <c r="C71" s="518" t="s">
        <v>66</v>
      </c>
      <c r="D71" s="518" t="s">
        <v>57</v>
      </c>
      <c r="E71" s="518" t="s">
        <v>649</v>
      </c>
      <c r="F71" s="518" t="s">
        <v>675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1.2121261349556101</v>
      </c>
      <c r="Y71" s="485">
        <f ca="1">IF(X71&lt;&gt;"",ABS(MIN(-0.75*('CDO Bespoke'!Q72)+'CDO Bespoke'!T72,0)),"")</f>
        <v>1.2041203415016402</v>
      </c>
      <c r="Z71" s="485">
        <f t="shared" ca="1" si="2"/>
        <v>8.0057934539699005E-3</v>
      </c>
      <c r="AA71" s="485">
        <f t="shared" ca="1" si="3"/>
        <v>0</v>
      </c>
      <c r="AB71" s="484">
        <f ca="1">IF('CDO Bespoke'!O72&lt;&gt;"",'CDO Bespoke'!O72,"")</f>
        <v>1.2121261349556101</v>
      </c>
      <c r="AC71" s="485">
        <f ca="1">IF(AB71&lt;&gt;"",ABS(MIN(-0.75*('CDO Bespoke'!K72)+'CDO Bespoke'!T72,0)),"")</f>
        <v>0.60432378105000339</v>
      </c>
      <c r="AD71" s="485">
        <f t="shared" ca="1" si="4"/>
        <v>0.60780235390560666</v>
      </c>
      <c r="AE71" s="489">
        <f t="shared" ca="1" si="5"/>
        <v>0</v>
      </c>
      <c r="AF71" s="493">
        <f ca="1">IF('CDO Bespoke'!O72&lt;&gt;"",'CDO Bespoke'!O72,"")</f>
        <v>1.2121261349556101</v>
      </c>
      <c r="AP71" s="494" t="str">
        <f ca="1">IF('CDO Bespoke'!C96&lt;&gt;"",'CDO Bespoke'!C96,"")</f>
        <v>Suedzucker AG</v>
      </c>
      <c r="AQ71" s="496"/>
      <c r="AR71" s="585"/>
      <c r="AS71" s="585"/>
      <c r="AT71" s="585"/>
      <c r="AU71" s="497"/>
      <c r="AV71" s="496"/>
      <c r="AW71" s="585"/>
      <c r="AX71" s="585"/>
      <c r="AY71" s="585"/>
      <c r="AZ71" s="497"/>
      <c r="BA71" s="580"/>
      <c r="BB71" s="580"/>
      <c r="BC71" s="580"/>
      <c r="BD71" s="580"/>
      <c r="BE71" s="580"/>
      <c r="BF71" s="580"/>
      <c r="BG71" s="579"/>
    </row>
    <row r="72" spans="2:59">
      <c r="B72" s="534" t="s">
        <v>533</v>
      </c>
      <c r="C72" s="535" t="s">
        <v>66</v>
      </c>
      <c r="D72" s="535" t="s">
        <v>59</v>
      </c>
      <c r="E72" s="535" t="s">
        <v>649</v>
      </c>
      <c r="F72" s="535" t="s">
        <v>675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1.21393903386505</v>
      </c>
      <c r="Y72" s="485">
        <f ca="1">IF(X72&lt;&gt;"",ABS(MIN(-0.75*('CDO Bespoke'!Q73)+'CDO Bespoke'!T73,0)),"")</f>
        <v>1.204507294079836</v>
      </c>
      <c r="Z72" s="485">
        <f t="shared" ca="1" si="2"/>
        <v>9.431739785213944E-3</v>
      </c>
      <c r="AA72" s="485">
        <f t="shared" ca="1" si="3"/>
        <v>0</v>
      </c>
      <c r="AB72" s="484">
        <f ca="1">IF('CDO Bespoke'!O73&lt;&gt;"",'CDO Bespoke'!O73,"")</f>
        <v>1.21393903386505</v>
      </c>
      <c r="AC72" s="485">
        <f ca="1">IF(AB72&lt;&gt;"",ABS(MIN(-0.75*('CDO Bespoke'!K73)+'CDO Bespoke'!T73,0)),"")</f>
        <v>0.5963247495275501</v>
      </c>
      <c r="AD72" s="485">
        <f t="shared" ca="1" si="4"/>
        <v>0.61761428433749987</v>
      </c>
      <c r="AE72" s="489">
        <f t="shared" ca="1" si="5"/>
        <v>0</v>
      </c>
      <c r="AF72" s="493">
        <f ca="1">IF('CDO Bespoke'!O73&lt;&gt;"",'CDO Bespoke'!O73,"")</f>
        <v>1.21393903386505</v>
      </c>
      <c r="AP72" s="494" t="str">
        <f ca="1">IF('CDO Bespoke'!C97&lt;&gt;"",'CDO Bespoke'!C97,"")</f>
        <v>TESCO PLC</v>
      </c>
      <c r="AQ72" s="496"/>
      <c r="AR72" s="585"/>
      <c r="AS72" s="585"/>
      <c r="AT72" s="585"/>
      <c r="AU72" s="497"/>
      <c r="AV72" s="496"/>
      <c r="AW72" s="585"/>
      <c r="AX72" s="585"/>
      <c r="AY72" s="585"/>
      <c r="AZ72" s="497"/>
      <c r="BA72" s="580"/>
      <c r="BB72" s="580"/>
      <c r="BC72" s="580"/>
      <c r="BD72" s="580"/>
      <c r="BE72" s="580"/>
      <c r="BF72" s="580"/>
      <c r="BG72" s="579"/>
    </row>
    <row r="73" spans="2:59">
      <c r="B73" s="539" t="s">
        <v>519</v>
      </c>
      <c r="C73" s="540" t="s">
        <v>66</v>
      </c>
      <c r="D73" s="540" t="s">
        <v>55</v>
      </c>
      <c r="E73" s="540" t="s">
        <v>647</v>
      </c>
      <c r="F73" s="540" t="s">
        <v>674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1.2162815825972599</v>
      </c>
      <c r="Y73" s="485">
        <f ca="1">IF(X73&lt;&gt;"",ABS(MIN(-0.75*('CDO Bespoke'!Q74)+'CDO Bespoke'!T74,0)),"")</f>
        <v>1.2049554600781707</v>
      </c>
      <c r="Z73" s="485">
        <f t="shared" ca="1" si="2"/>
        <v>1.1326122519089266E-2</v>
      </c>
      <c r="AA73" s="485">
        <f t="shared" ca="1" si="3"/>
        <v>0</v>
      </c>
      <c r="AB73" s="484">
        <f ca="1">IF('CDO Bespoke'!O74&lt;&gt;"",'CDO Bespoke'!O74,"")</f>
        <v>1.2162815825972599</v>
      </c>
      <c r="AC73" s="485">
        <f ca="1">IF(AB73&lt;&gt;"",ABS(MIN(-0.75*('CDO Bespoke'!K74)+'CDO Bespoke'!T74,0)),"")</f>
        <v>0.57887190008754863</v>
      </c>
      <c r="AD73" s="485">
        <f t="shared" ca="1" si="4"/>
        <v>0.63740968250971131</v>
      </c>
      <c r="AE73" s="489">
        <f t="shared" ca="1" si="5"/>
        <v>0</v>
      </c>
      <c r="AF73" s="493">
        <f ca="1">IF('CDO Bespoke'!O74&lt;&gt;"",'CDO Bespoke'!O74,"")</f>
        <v>1.2162815825972599</v>
      </c>
      <c r="AP73" s="494" t="str">
        <f ca="1">IF('CDO Bespoke'!C98&lt;&gt;"",'CDO Bespoke'!C98,"")</f>
        <v>UNILEVER PLC</v>
      </c>
      <c r="AQ73" s="496"/>
      <c r="AR73" s="585"/>
      <c r="AS73" s="585"/>
      <c r="AT73" s="585"/>
      <c r="AU73" s="497"/>
      <c r="AV73" s="496"/>
      <c r="AW73" s="585"/>
      <c r="AX73" s="585"/>
      <c r="AY73" s="585"/>
      <c r="AZ73" s="497"/>
      <c r="BA73" s="580"/>
      <c r="BB73" s="580"/>
      <c r="BC73" s="580"/>
      <c r="BD73" s="580"/>
      <c r="BE73" s="580"/>
      <c r="BF73" s="580"/>
      <c r="BG73" s="579"/>
    </row>
    <row r="74" spans="2:59">
      <c r="B74" s="517" t="s">
        <v>519</v>
      </c>
      <c r="C74" s="518" t="s">
        <v>66</v>
      </c>
      <c r="D74" s="518" t="s">
        <v>57</v>
      </c>
      <c r="E74" s="518" t="s">
        <v>647</v>
      </c>
      <c r="F74" s="518" t="s">
        <v>674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1.2142671530429301</v>
      </c>
      <c r="Y74" s="485">
        <f ca="1">IF(X74&lt;&gt;"",ABS(MIN(-0.75*('CDO Bespoke'!Q75)+'CDO Bespoke'!T75,0)),"")</f>
        <v>1.2045743282133303</v>
      </c>
      <c r="Z74" s="485">
        <f t="shared" ca="1" si="2"/>
        <v>9.6928248295997665E-3</v>
      </c>
      <c r="AA74" s="485">
        <f t="shared" ca="1" si="3"/>
        <v>0</v>
      </c>
      <c r="AB74" s="484">
        <f ca="1">IF('CDO Bespoke'!O75&lt;&gt;"",'CDO Bespoke'!O75,"")</f>
        <v>1.2142671530429301</v>
      </c>
      <c r="AC74" s="485">
        <f ca="1">IF(AB74&lt;&gt;"",ABS(MIN(-0.75*('CDO Bespoke'!K75)+'CDO Bespoke'!T75,0)),"")</f>
        <v>0.59450269293761815</v>
      </c>
      <c r="AD74" s="485">
        <f t="shared" ca="1" si="4"/>
        <v>0.61976446010531194</v>
      </c>
      <c r="AE74" s="489">
        <f t="shared" ca="1" si="5"/>
        <v>0</v>
      </c>
      <c r="AF74" s="493">
        <f ca="1">IF('CDO Bespoke'!O75&lt;&gt;"",'CDO Bespoke'!O75,"")</f>
        <v>1.2142671530429301</v>
      </c>
      <c r="AP74" s="494" t="str">
        <f ca="1">IF('CDO Bespoke'!C99&lt;&gt;"",'CDO Bespoke'!C99,"")</f>
        <v>BP P.L.C.</v>
      </c>
      <c r="AQ74" s="496"/>
      <c r="AR74" s="585"/>
      <c r="AS74" s="585"/>
      <c r="AT74" s="585"/>
      <c r="AU74" s="497"/>
      <c r="AV74" s="496"/>
      <c r="AW74" s="585"/>
      <c r="AX74" s="585"/>
      <c r="AY74" s="585"/>
      <c r="AZ74" s="497"/>
      <c r="BA74" s="580"/>
      <c r="BB74" s="580"/>
      <c r="BC74" s="580"/>
      <c r="BD74" s="580"/>
      <c r="BE74" s="580"/>
      <c r="BF74" s="580"/>
      <c r="BG74" s="579"/>
    </row>
    <row r="75" spans="2:59">
      <c r="B75" s="534" t="s">
        <v>519</v>
      </c>
      <c r="C75" s="535" t="s">
        <v>66</v>
      </c>
      <c r="D75" s="535" t="s">
        <v>59</v>
      </c>
      <c r="E75" s="535" t="s">
        <v>647</v>
      </c>
      <c r="F75" s="535" t="s">
        <v>674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1.21300509966625</v>
      </c>
      <c r="Y75" s="485">
        <f ca="1">IF(X75&lt;&gt;"",ABS(MIN(-0.75*('CDO Bespoke'!Q76)+'CDO Bespoke'!T76,0)),"")</f>
        <v>1.2043110842997111</v>
      </c>
      <c r="Z75" s="485">
        <f t="shared" ca="1" si="2"/>
        <v>8.6940153665389097E-3</v>
      </c>
      <c r="AA75" s="485">
        <f t="shared" ca="1" si="3"/>
        <v>0</v>
      </c>
      <c r="AB75" s="484">
        <f ca="1">IF('CDO Bespoke'!O76&lt;&gt;"",'CDO Bespoke'!O76,"")</f>
        <v>1.21300509966625</v>
      </c>
      <c r="AC75" s="485">
        <f ca="1">IF(AB75&lt;&gt;"",ABS(MIN(-0.75*('CDO Bespoke'!K76)+'CDO Bespoke'!T76,0)),"")</f>
        <v>0.60082286373286997</v>
      </c>
      <c r="AD75" s="485">
        <f t="shared" ca="1" si="4"/>
        <v>0.61218223593338006</v>
      </c>
      <c r="AE75" s="489">
        <f t="shared" ca="1" si="5"/>
        <v>0</v>
      </c>
      <c r="AF75" s="493">
        <f ca="1">IF('CDO Bespoke'!O76&lt;&gt;"",'CDO Bespoke'!O76,"")</f>
        <v>1.21300509966625</v>
      </c>
      <c r="AP75" s="494" t="str">
        <f ca="1">IF('CDO Bespoke'!C100&lt;&gt;"",'CDO Bespoke'!C100,"")</f>
        <v>Centrica plc</v>
      </c>
      <c r="AQ75" s="496"/>
      <c r="AR75" s="585"/>
      <c r="AS75" s="585"/>
      <c r="AT75" s="585"/>
      <c r="AU75" s="497"/>
      <c r="AV75" s="496"/>
      <c r="AW75" s="585"/>
      <c r="AX75" s="585"/>
      <c r="AY75" s="585"/>
      <c r="AZ75" s="497"/>
      <c r="BA75" s="580"/>
      <c r="BB75" s="580"/>
      <c r="BC75" s="580"/>
      <c r="BD75" s="580"/>
      <c r="BE75" s="580"/>
      <c r="BF75" s="580"/>
      <c r="BG75" s="579"/>
    </row>
    <row r="76" spans="2:59">
      <c r="B76" s="539" t="s">
        <v>534</v>
      </c>
      <c r="C76" s="540" t="s">
        <v>66</v>
      </c>
      <c r="D76" s="540" t="s">
        <v>55</v>
      </c>
      <c r="E76" s="540" t="s">
        <v>649</v>
      </c>
      <c r="F76" s="540" t="s">
        <v>648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1.2152296628713899</v>
      </c>
      <c r="Y76" s="485">
        <f ca="1">IF(X76&lt;&gt;"",ABS(MIN(-0.75*('CDO Bespoke'!Q77)+'CDO Bespoke'!T77,0)),"")</f>
        <v>1.2047639100728147</v>
      </c>
      <c r="Z76" s="485">
        <f t="shared" ca="1" si="2"/>
        <v>1.0465752798575201E-2</v>
      </c>
      <c r="AA76" s="485">
        <f t="shared" ca="1" si="3"/>
        <v>0</v>
      </c>
      <c r="AB76" s="484">
        <f ca="1">IF('CDO Bespoke'!O77&lt;&gt;"",'CDO Bespoke'!O77,"")</f>
        <v>1.2152296628713899</v>
      </c>
      <c r="AC76" s="485">
        <f ca="1">IF(AB76&lt;&gt;"",ABS(MIN(-0.75*('CDO Bespoke'!K77)+'CDO Bespoke'!T77,0)),"")</f>
        <v>0.58818772785747908</v>
      </c>
      <c r="AD76" s="485">
        <f t="shared" ca="1" si="4"/>
        <v>0.62704193501391081</v>
      </c>
      <c r="AE76" s="489">
        <f t="shared" ca="1" si="5"/>
        <v>0</v>
      </c>
      <c r="AF76" s="493">
        <f ca="1">IF('CDO Bespoke'!O77&lt;&gt;"",'CDO Bespoke'!O77,"")</f>
        <v>1.2152296628713899</v>
      </c>
      <c r="AP76" s="494" t="str">
        <f ca="1">IF('CDO Bespoke'!C101&lt;&gt;"",'CDO Bespoke'!C101,"")</f>
        <v>E.ON SE</v>
      </c>
      <c r="AQ76" s="496"/>
      <c r="AR76" s="585"/>
      <c r="AS76" s="585"/>
      <c r="AT76" s="585"/>
      <c r="AU76" s="497"/>
      <c r="AV76" s="496"/>
      <c r="AW76" s="585"/>
      <c r="AX76" s="585"/>
      <c r="AY76" s="585"/>
      <c r="AZ76" s="497"/>
      <c r="BA76" s="580"/>
      <c r="BB76" s="580"/>
      <c r="BC76" s="580"/>
      <c r="BD76" s="580"/>
      <c r="BE76" s="580"/>
      <c r="BF76" s="580"/>
      <c r="BG76" s="579"/>
    </row>
    <row r="77" spans="2:59">
      <c r="B77" s="517" t="s">
        <v>534</v>
      </c>
      <c r="C77" s="518" t="s">
        <v>66</v>
      </c>
      <c r="D77" s="518" t="s">
        <v>57</v>
      </c>
      <c r="E77" s="518" t="s">
        <v>649</v>
      </c>
      <c r="F77" s="518" t="s">
        <v>648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1.21200945948686</v>
      </c>
      <c r="Y77" s="485">
        <f ca="1">IF(X77&lt;&gt;"",ABS(MIN(-0.75*('CDO Bespoke'!Q78)+'CDO Bespoke'!T78,0)),"")</f>
        <v>1.2040946446815428</v>
      </c>
      <c r="Z77" s="485">
        <f t="shared" ca="1" si="2"/>
        <v>7.9148148053171941E-3</v>
      </c>
      <c r="AA77" s="485">
        <f t="shared" ca="1" si="3"/>
        <v>0</v>
      </c>
      <c r="AB77" s="484">
        <f ca="1">IF('CDO Bespoke'!O78&lt;&gt;"",'CDO Bespoke'!O78,"")</f>
        <v>1.21200945948686</v>
      </c>
      <c r="AC77" s="485">
        <f ca="1">IF(AB77&lt;&gt;"",ABS(MIN(-0.75*('CDO Bespoke'!K78)+'CDO Bespoke'!T78,0)),"")</f>
        <v>0.60474494618054608</v>
      </c>
      <c r="AD77" s="485">
        <f t="shared" ca="1" si="4"/>
        <v>0.60726451330631392</v>
      </c>
      <c r="AE77" s="489">
        <f t="shared" ca="1" si="5"/>
        <v>0</v>
      </c>
      <c r="AF77" s="493">
        <f ca="1">IF('CDO Bespoke'!O78&lt;&gt;"",'CDO Bespoke'!O78,"")</f>
        <v>1.21200945948686</v>
      </c>
      <c r="AP77" s="494" t="str">
        <f ca="1">IF('CDO Bespoke'!C102&lt;&gt;"",'CDO Bespoke'!C102,"")</f>
        <v>EDP - ENERGIAS DE PORTUGAL S.A.</v>
      </c>
      <c r="AQ77" s="496"/>
      <c r="AR77" s="585"/>
      <c r="AS77" s="585"/>
      <c r="AT77" s="585"/>
      <c r="AU77" s="497"/>
      <c r="AV77" s="496"/>
      <c r="AW77" s="585"/>
      <c r="AX77" s="585"/>
      <c r="AY77" s="585"/>
      <c r="AZ77" s="497"/>
      <c r="BA77" s="580"/>
      <c r="BB77" s="580"/>
      <c r="BC77" s="580"/>
      <c r="BD77" s="580"/>
      <c r="BE77" s="580"/>
      <c r="BF77" s="580"/>
      <c r="BG77" s="579"/>
    </row>
    <row r="78" spans="2:59">
      <c r="B78" s="534" t="s">
        <v>534</v>
      </c>
      <c r="C78" s="535" t="s">
        <v>66</v>
      </c>
      <c r="D78" s="535" t="s">
        <v>59</v>
      </c>
      <c r="E78" s="535" t="s">
        <v>649</v>
      </c>
      <c r="F78" s="535" t="s">
        <v>648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1.21202113473256</v>
      </c>
      <c r="Y78" s="485">
        <f ca="1">IF(X78&lt;&gt;"",ABS(MIN(-0.75*('CDO Bespoke'!Q79)+'CDO Bespoke'!T79,0)),"")</f>
        <v>1.2040972197381561</v>
      </c>
      <c r="Z78" s="485">
        <f t="shared" ref="Z78:Z138" ca="1" si="10">IF(X78&lt;&gt;"",IF($Y$8,MAX(X78-Y78,0),X78),0)</f>
        <v>7.9239149944039244E-3</v>
      </c>
      <c r="AA78" s="485">
        <f t="shared" ref="AA78:AA138" ca="1" si="11">IF(X78&lt;&gt;"",IF($Y$8,0,Y78),0)</f>
        <v>0</v>
      </c>
      <c r="AB78" s="484">
        <f ca="1">IF('CDO Bespoke'!O79&lt;&gt;"",'CDO Bespoke'!O79,"")</f>
        <v>1.21202113473256</v>
      </c>
      <c r="AC78" s="485">
        <f ca="1">IF(AB78&lt;&gt;"",ABS(MIN(-0.75*('CDO Bespoke'!K79)+'CDO Bespoke'!T79,0)),"")</f>
        <v>0.60470321926616077</v>
      </c>
      <c r="AD78" s="485">
        <f t="shared" ref="AD78:AD138" ca="1" si="12">IF(AB78&lt;&gt;"",IF($Y$8,MAX(AB78-AC78,0),AB78),0)</f>
        <v>0.60731791546639924</v>
      </c>
      <c r="AE78" s="489">
        <f t="shared" ref="AE78:AE138" ca="1" si="13">IF(AB78&lt;&gt;"",IF($Y$8,0,AC78),0)</f>
        <v>0</v>
      </c>
      <c r="AF78" s="493">
        <f ca="1">IF('CDO Bespoke'!O79&lt;&gt;"",'CDO Bespoke'!O79,"")</f>
        <v>1.21202113473256</v>
      </c>
      <c r="AP78" s="494" t="str">
        <f ca="1">IF('CDO Bespoke'!C103&lt;&gt;"",'CDO Bespoke'!C103,"")</f>
        <v>Electricite de France</v>
      </c>
      <c r="AQ78" s="496"/>
      <c r="AR78" s="585"/>
      <c r="AS78" s="585"/>
      <c r="AT78" s="585"/>
      <c r="AU78" s="497"/>
      <c r="AV78" s="496"/>
      <c r="AW78" s="585"/>
      <c r="AX78" s="585"/>
      <c r="AY78" s="585"/>
      <c r="AZ78" s="497"/>
      <c r="BA78" s="580"/>
      <c r="BB78" s="580"/>
      <c r="BC78" s="580"/>
      <c r="BD78" s="580"/>
      <c r="BE78" s="580"/>
      <c r="BF78" s="580"/>
      <c r="BG78" s="579"/>
    </row>
    <row r="79" spans="2:59">
      <c r="B79" s="539" t="s">
        <v>535</v>
      </c>
      <c r="C79" s="540" t="s">
        <v>66</v>
      </c>
      <c r="D79" s="540" t="s">
        <v>55</v>
      </c>
      <c r="E79" s="540" t="s">
        <v>649</v>
      </c>
      <c r="F79" s="540" t="s">
        <v>648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1.21353859419125</v>
      </c>
      <c r="Y79" s="485">
        <f ca="1">IF(X79&lt;&gt;"",ABS(MIN(-0.75*('CDO Bespoke'!Q80)+'CDO Bespoke'!T80,0)),"")</f>
        <v>1.2044240826144827</v>
      </c>
      <c r="Z79" s="485">
        <f t="shared" ca="1" si="10"/>
        <v>9.1145115767672369E-3</v>
      </c>
      <c r="AA79" s="485">
        <f t="shared" ca="1" si="11"/>
        <v>0</v>
      </c>
      <c r="AB79" s="484">
        <f ca="1">IF('CDO Bespoke'!O80&lt;&gt;"",'CDO Bespoke'!O80,"")</f>
        <v>1.21353859419125</v>
      </c>
      <c r="AC79" s="485">
        <f ca="1">IF(AB79&lt;&gt;"",ABS(MIN(-0.75*('CDO Bespoke'!K80)+'CDO Bespoke'!T80,0)),"")</f>
        <v>0.59836742060193782</v>
      </c>
      <c r="AD79" s="485">
        <f t="shared" ca="1" si="12"/>
        <v>0.61517117358931217</v>
      </c>
      <c r="AE79" s="489">
        <f t="shared" ca="1" si="13"/>
        <v>0</v>
      </c>
      <c r="AF79" s="493">
        <f ca="1">IF('CDO Bespoke'!O80&lt;&gt;"",'CDO Bespoke'!O80,"")</f>
        <v>1.21353859419125</v>
      </c>
      <c r="AP79" s="494" t="str">
        <f ca="1">IF('CDO Bespoke'!C104&lt;&gt;"",'CDO Bespoke'!C104,"")</f>
        <v>ENEL S.P.A.</v>
      </c>
      <c r="AQ79" s="496"/>
      <c r="AR79" s="585"/>
      <c r="AS79" s="585"/>
      <c r="AT79" s="585"/>
      <c r="AU79" s="497"/>
      <c r="AV79" s="496"/>
      <c r="AW79" s="585"/>
      <c r="AX79" s="585"/>
      <c r="AY79" s="585"/>
      <c r="AZ79" s="497"/>
      <c r="BA79" s="580"/>
      <c r="BB79" s="580"/>
      <c r="BC79" s="580"/>
      <c r="BD79" s="580"/>
      <c r="BE79" s="580"/>
      <c r="BF79" s="580"/>
      <c r="BG79" s="579"/>
    </row>
    <row r="80" spans="2:59">
      <c r="B80" s="517" t="s">
        <v>535</v>
      </c>
      <c r="C80" s="518" t="s">
        <v>66</v>
      </c>
      <c r="D80" s="518" t="s">
        <v>57</v>
      </c>
      <c r="E80" s="518" t="s">
        <v>649</v>
      </c>
      <c r="F80" s="518" t="s">
        <v>648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1.21473874682793</v>
      </c>
      <c r="Y80" s="485">
        <f ca="1">IF(X80&lt;&gt;"",ABS(MIN(-0.75*('CDO Bespoke'!Q81)+'CDO Bespoke'!T81,0)),"")</f>
        <v>1.2046686404213096</v>
      </c>
      <c r="Z80" s="485">
        <f t="shared" ca="1" si="10"/>
        <v>1.0070106406620427E-2</v>
      </c>
      <c r="AA80" s="485">
        <f t="shared" ca="1" si="11"/>
        <v>0</v>
      </c>
      <c r="AB80" s="484">
        <f ca="1">IF('CDO Bespoke'!O81&lt;&gt;"",'CDO Bespoke'!O81,"")</f>
        <v>1.21473874682793</v>
      </c>
      <c r="AC80" s="485">
        <f ca="1">IF(AB80&lt;&gt;"",ABS(MIN(-0.75*('CDO Bespoke'!K81)+'CDO Bespoke'!T81,0)),"")</f>
        <v>0.59161039403672744</v>
      </c>
      <c r="AD80" s="485">
        <f t="shared" ca="1" si="12"/>
        <v>0.6231283527912026</v>
      </c>
      <c r="AE80" s="489">
        <f t="shared" ca="1" si="13"/>
        <v>0</v>
      </c>
      <c r="AF80" s="493">
        <f ca="1">IF('CDO Bespoke'!O81&lt;&gt;"",'CDO Bespoke'!O81,"")</f>
        <v>1.21473874682793</v>
      </c>
      <c r="AP80" s="494" t="str">
        <f ca="1">IF('CDO Bespoke'!C105&lt;&gt;"",'CDO Bespoke'!C105,"")</f>
        <v>ENGIE</v>
      </c>
      <c r="AQ80" s="496"/>
      <c r="AR80" s="585"/>
      <c r="AS80" s="585"/>
      <c r="AT80" s="585"/>
      <c r="AU80" s="497"/>
      <c r="AV80" s="496"/>
      <c r="AW80" s="585"/>
      <c r="AX80" s="585"/>
      <c r="AY80" s="585"/>
      <c r="AZ80" s="497"/>
      <c r="BA80" s="580"/>
      <c r="BB80" s="580"/>
      <c r="BC80" s="580"/>
      <c r="BD80" s="580"/>
      <c r="BE80" s="580"/>
      <c r="BF80" s="580"/>
      <c r="BG80" s="579"/>
    </row>
    <row r="81" spans="2:59">
      <c r="B81" s="534" t="s">
        <v>535</v>
      </c>
      <c r="C81" s="535" t="s">
        <v>66</v>
      </c>
      <c r="D81" s="535" t="s">
        <v>59</v>
      </c>
      <c r="E81" s="535" t="s">
        <v>649</v>
      </c>
      <c r="F81" s="535" t="s">
        <v>648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1.2132580536820401</v>
      </c>
      <c r="Y81" s="485">
        <f ca="1">IF(X81&lt;&gt;"",ABS(MIN(-0.75*('CDO Bespoke'!Q82)+'CDO Bespoke'!T82,0)),"")</f>
        <v>1.2043649485541759</v>
      </c>
      <c r="Z81" s="485">
        <f t="shared" ca="1" si="10"/>
        <v>8.8931051278642315E-3</v>
      </c>
      <c r="AA81" s="485">
        <f t="shared" ca="1" si="11"/>
        <v>0</v>
      </c>
      <c r="AB81" s="484">
        <f ca="1">IF('CDO Bespoke'!O82&lt;&gt;"",'CDO Bespoke'!O82,"")</f>
        <v>1.2132580536820401</v>
      </c>
      <c r="AC81" s="485">
        <f ca="1">IF(AB81&lt;&gt;"",ABS(MIN(-0.75*('CDO Bespoke'!K82)+'CDO Bespoke'!T82,0)),"")</f>
        <v>0.59969361248269271</v>
      </c>
      <c r="AD81" s="485">
        <f t="shared" ca="1" si="12"/>
        <v>0.61356444119934739</v>
      </c>
      <c r="AE81" s="489">
        <f t="shared" ca="1" si="13"/>
        <v>0</v>
      </c>
      <c r="AF81" s="493">
        <f ca="1">IF('CDO Bespoke'!O82&lt;&gt;"",'CDO Bespoke'!O82,"")</f>
        <v>1.2132580536820401</v>
      </c>
      <c r="AP81" s="494" t="str">
        <f ca="1">IF('CDO Bespoke'!C106&lt;&gt;"",'CDO Bespoke'!C106,"")</f>
        <v>ENI S.P.A.</v>
      </c>
      <c r="AQ81" s="496"/>
      <c r="AR81" s="585"/>
      <c r="AS81" s="585"/>
      <c r="AT81" s="585"/>
      <c r="AU81" s="497"/>
      <c r="AV81" s="496"/>
      <c r="AW81" s="585"/>
      <c r="AX81" s="585"/>
      <c r="AY81" s="585"/>
      <c r="AZ81" s="497"/>
      <c r="BA81" s="580"/>
      <c r="BB81" s="580"/>
      <c r="BC81" s="580"/>
      <c r="BD81" s="580"/>
      <c r="BE81" s="580"/>
      <c r="BF81" s="580"/>
      <c r="BG81" s="579"/>
    </row>
    <row r="82" spans="2:59">
      <c r="B82" s="539" t="s">
        <v>613</v>
      </c>
      <c r="C82" s="540" t="s">
        <v>66</v>
      </c>
      <c r="D82" s="540" t="s">
        <v>55</v>
      </c>
      <c r="E82" s="540" t="s">
        <v>650</v>
      </c>
      <c r="F82" s="540" t="s">
        <v>675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1.21638695263722</v>
      </c>
      <c r="Y82" s="485">
        <f ca="1">IF(X82&lt;&gt;"",ABS(MIN(-0.75*('CDO Bespoke'!Q83)+'CDO Bespoke'!T83,0)),"")</f>
        <v>1.204973485382639</v>
      </c>
      <c r="Z82" s="485">
        <f t="shared" ca="1" si="10"/>
        <v>1.1413467254580922E-2</v>
      </c>
      <c r="AA82" s="485">
        <f t="shared" ca="1" si="11"/>
        <v>0</v>
      </c>
      <c r="AB82" s="484">
        <f ca="1">IF('CDO Bespoke'!O83&lt;&gt;"",'CDO Bespoke'!O83,"")</f>
        <v>1.21638695263722</v>
      </c>
      <c r="AC82" s="485">
        <f ca="1">IF(AB82&lt;&gt;"",ABS(MIN(-0.75*('CDO Bespoke'!K83)+'CDO Bespoke'!T83,0)),"")</f>
        <v>0.5777371435822215</v>
      </c>
      <c r="AD82" s="485">
        <f t="shared" ca="1" si="12"/>
        <v>0.63864980905499846</v>
      </c>
      <c r="AE82" s="489">
        <f t="shared" ca="1" si="13"/>
        <v>0</v>
      </c>
      <c r="AF82" s="493">
        <f ca="1">IF('CDO Bespoke'!O83&lt;&gt;"",'CDO Bespoke'!O83,"")</f>
        <v>1.21638695263722</v>
      </c>
      <c r="AP82" s="494" t="str">
        <f ca="1">IF('CDO Bespoke'!C107&lt;&gt;"",'CDO Bespoke'!C107,"")</f>
        <v>EQUINOR ASA</v>
      </c>
      <c r="AQ82" s="496"/>
      <c r="AR82" s="585"/>
      <c r="AS82" s="585"/>
      <c r="AT82" s="585"/>
      <c r="AU82" s="497"/>
      <c r="AV82" s="496"/>
      <c r="AW82" s="585"/>
      <c r="AX82" s="585"/>
      <c r="AY82" s="585"/>
      <c r="AZ82" s="497"/>
      <c r="BA82" s="580"/>
      <c r="BB82" s="580"/>
      <c r="BC82" s="580"/>
      <c r="BD82" s="580"/>
      <c r="BE82" s="580"/>
      <c r="BF82" s="580"/>
      <c r="BG82" s="579"/>
    </row>
    <row r="83" spans="2:59">
      <c r="B83" s="517" t="s">
        <v>613</v>
      </c>
      <c r="C83" s="518" t="s">
        <v>66</v>
      </c>
      <c r="D83" s="518" t="s">
        <v>57</v>
      </c>
      <c r="E83" s="518" t="s">
        <v>650</v>
      </c>
      <c r="F83" s="518" t="s">
        <v>675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1.2149172066051299</v>
      </c>
      <c r="Y83" s="485">
        <f ca="1">IF(X83&lt;&gt;"",ABS(MIN(-0.75*('CDO Bespoke'!Q84)+'CDO Bespoke'!T84,0)),"")</f>
        <v>1.204703640119998</v>
      </c>
      <c r="Z83" s="485">
        <f t="shared" ca="1" si="10"/>
        <v>1.0213566485131942E-2</v>
      </c>
      <c r="AA83" s="485">
        <f t="shared" ca="1" si="11"/>
        <v>0</v>
      </c>
      <c r="AB83" s="484">
        <f ca="1">IF('CDO Bespoke'!O84&lt;&gt;"",'CDO Bespoke'!O84,"")</f>
        <v>1.2149172066051299</v>
      </c>
      <c r="AC83" s="485">
        <f ca="1">IF(AB83&lt;&gt;"",ABS(MIN(-0.75*('CDO Bespoke'!K84)+'CDO Bespoke'!T84,0)),"")</f>
        <v>0.59041956858099476</v>
      </c>
      <c r="AD83" s="485">
        <f t="shared" ca="1" si="12"/>
        <v>0.62449763802413516</v>
      </c>
      <c r="AE83" s="489">
        <f t="shared" ca="1" si="13"/>
        <v>0</v>
      </c>
      <c r="AF83" s="493">
        <f ca="1">IF('CDO Bespoke'!O84&lt;&gt;"",'CDO Bespoke'!O84,"")</f>
        <v>1.2149172066051299</v>
      </c>
      <c r="AP83" s="494" t="str">
        <f ca="1">IF('CDO Bespoke'!C108&lt;&gt;"",'CDO Bespoke'!C108,"")</f>
        <v>Fortum Oyj</v>
      </c>
      <c r="AQ83" s="496"/>
      <c r="AR83" s="585"/>
      <c r="AS83" s="585"/>
      <c r="AT83" s="585"/>
      <c r="AU83" s="497"/>
      <c r="AV83" s="496"/>
      <c r="AW83" s="585"/>
      <c r="AX83" s="585"/>
      <c r="AY83" s="585"/>
      <c r="AZ83" s="497"/>
      <c r="BA83" s="580"/>
      <c r="BB83" s="580"/>
      <c r="BC83" s="580"/>
      <c r="BD83" s="580"/>
      <c r="BE83" s="580"/>
      <c r="BF83" s="580"/>
      <c r="BG83" s="579"/>
    </row>
    <row r="84" spans="2:59">
      <c r="B84" s="534" t="s">
        <v>613</v>
      </c>
      <c r="C84" s="535" t="s">
        <v>66</v>
      </c>
      <c r="D84" s="535" t="s">
        <v>59</v>
      </c>
      <c r="E84" s="535" t="s">
        <v>650</v>
      </c>
      <c r="F84" s="535" t="s">
        <v>675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1.2154428053309501</v>
      </c>
      <c r="Y84" s="485">
        <f ca="1">IF(X84&lt;&gt;"",ABS(MIN(-0.75*('CDO Bespoke'!Q85)+'CDO Bespoke'!T85,0)),"")</f>
        <v>1.2048042260895402</v>
      </c>
      <c r="Z84" s="485">
        <f t="shared" ca="1" si="10"/>
        <v>1.0638579241409873E-2</v>
      </c>
      <c r="AA84" s="485">
        <f t="shared" ca="1" si="11"/>
        <v>0</v>
      </c>
      <c r="AB84" s="484">
        <f ca="1">IF('CDO Bespoke'!O85&lt;&gt;"",'CDO Bespoke'!O85,"")</f>
        <v>1.2154428053309501</v>
      </c>
      <c r="AC84" s="485">
        <f ca="1">IF(AB84&lt;&gt;"",ABS(MIN(-0.75*('CDO Bespoke'!K85)+'CDO Bespoke'!T85,0)),"")</f>
        <v>0.58654525041298622</v>
      </c>
      <c r="AD84" s="485">
        <f t="shared" ca="1" si="12"/>
        <v>0.62889755491796384</v>
      </c>
      <c r="AE84" s="489">
        <f t="shared" ca="1" si="13"/>
        <v>0</v>
      </c>
      <c r="AF84" s="493">
        <f ca="1">IF('CDO Bespoke'!O85&lt;&gt;"",'CDO Bespoke'!O85,"")</f>
        <v>1.2154428053309501</v>
      </c>
      <c r="AP84" s="494" t="str">
        <f ca="1">IF('CDO Bespoke'!C109&lt;&gt;"",'CDO Bespoke'!C109,"")</f>
        <v>Iberdrola, S.A.</v>
      </c>
      <c r="AQ84" s="496"/>
      <c r="AR84" s="585"/>
      <c r="AS84" s="585"/>
      <c r="AT84" s="585"/>
      <c r="AU84" s="497"/>
      <c r="AV84" s="496"/>
      <c r="AW84" s="585"/>
      <c r="AX84" s="585"/>
      <c r="AY84" s="585"/>
      <c r="AZ84" s="497"/>
      <c r="BA84" s="580"/>
      <c r="BB84" s="580"/>
      <c r="BC84" s="580"/>
      <c r="BD84" s="580"/>
      <c r="BE84" s="580"/>
      <c r="BF84" s="580"/>
      <c r="BG84" s="579"/>
    </row>
    <row r="85" spans="2:59">
      <c r="B85" s="539" t="s">
        <v>520</v>
      </c>
      <c r="C85" s="540" t="s">
        <v>66</v>
      </c>
      <c r="D85" s="540" t="s">
        <v>55</v>
      </c>
      <c r="E85" s="540" t="s">
        <v>647</v>
      </c>
      <c r="F85" s="540" t="s">
        <v>675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1.21272228917502</v>
      </c>
      <c r="Y85" s="485">
        <f ca="1">IF(X85&lt;&gt;"",ABS(MIN(-0.75*('CDO Bespoke'!Q86)+'CDO Bespoke'!T86,0)),"")</f>
        <v>1.2042502913766333</v>
      </c>
      <c r="Z85" s="485">
        <f t="shared" ca="1" si="10"/>
        <v>8.471997798386699E-3</v>
      </c>
      <c r="AA85" s="485">
        <f t="shared" ca="1" si="11"/>
        <v>0</v>
      </c>
      <c r="AB85" s="484">
        <f ca="1">IF('CDO Bespoke'!O86&lt;&gt;"",'CDO Bespoke'!O86,"")</f>
        <v>1.21272228917502</v>
      </c>
      <c r="AC85" s="485">
        <f ca="1">IF(AB85&lt;&gt;"",ABS(MIN(-0.75*('CDO Bespoke'!K86)+'CDO Bespoke'!T86,0)),"")</f>
        <v>0.60201705037969755</v>
      </c>
      <c r="AD85" s="485">
        <f t="shared" ca="1" si="12"/>
        <v>0.61070523879532246</v>
      </c>
      <c r="AE85" s="489">
        <f t="shared" ca="1" si="13"/>
        <v>0</v>
      </c>
      <c r="AF85" s="493">
        <f ca="1">IF('CDO Bespoke'!O86&lt;&gt;"",'CDO Bespoke'!O86,"")</f>
        <v>1.21272228917502</v>
      </c>
      <c r="AP85" s="494" t="str">
        <f ca="1">IF('CDO Bespoke'!C110&lt;&gt;"",'CDO Bespoke'!C110,"")</f>
        <v>NATIONAL GRID PLC</v>
      </c>
      <c r="AQ85" s="496"/>
      <c r="AR85" s="585"/>
      <c r="AS85" s="585"/>
      <c r="AT85" s="585"/>
      <c r="AU85" s="497"/>
      <c r="AV85" s="496"/>
      <c r="AW85" s="585"/>
      <c r="AX85" s="585"/>
      <c r="AY85" s="585"/>
      <c r="AZ85" s="497"/>
      <c r="BA85" s="580"/>
      <c r="BB85" s="580"/>
      <c r="BC85" s="580"/>
      <c r="BD85" s="580"/>
      <c r="BE85" s="580"/>
      <c r="BF85" s="580"/>
      <c r="BG85" s="579"/>
    </row>
    <row r="86" spans="2:59">
      <c r="B86" s="517" t="s">
        <v>520</v>
      </c>
      <c r="C86" s="518" t="s">
        <v>66</v>
      </c>
      <c r="D86" s="518" t="s">
        <v>57</v>
      </c>
      <c r="E86" s="518" t="s">
        <v>647</v>
      </c>
      <c r="F86" s="518" t="s">
        <v>675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1.21416741714403</v>
      </c>
      <c r="Y86" s="485">
        <f ca="1">IF(X86&lt;&gt;"",ABS(MIN(-0.75*('CDO Bespoke'!Q87)+'CDO Bespoke'!T87,0)),"")</f>
        <v>1.2045540684058416</v>
      </c>
      <c r="Z86" s="485">
        <f t="shared" ca="1" si="10"/>
        <v>9.6133487381884208E-3</v>
      </c>
      <c r="AA86" s="485">
        <f t="shared" ca="1" si="11"/>
        <v>0</v>
      </c>
      <c r="AB86" s="484">
        <f ca="1">IF('CDO Bespoke'!O87&lt;&gt;"",'CDO Bespoke'!O87,"")</f>
        <v>1.21416741714403</v>
      </c>
      <c r="AC86" s="485">
        <f ca="1">IF(AB86&lt;&gt;"",ABS(MIN(-0.75*('CDO Bespoke'!K87)+'CDO Bespoke'!T87,0)),"")</f>
        <v>0.59507180723246911</v>
      </c>
      <c r="AD86" s="485">
        <f t="shared" ca="1" si="12"/>
        <v>0.61909560991156087</v>
      </c>
      <c r="AE86" s="489">
        <f t="shared" ca="1" si="13"/>
        <v>0</v>
      </c>
      <c r="AF86" s="493">
        <f ca="1">IF('CDO Bespoke'!O87&lt;&gt;"",'CDO Bespoke'!O87,"")</f>
        <v>1.21416741714403</v>
      </c>
      <c r="AP86" s="494" t="str">
        <f ca="1">IF('CDO Bespoke'!C111&lt;&gt;"",'CDO Bespoke'!C111,"")</f>
        <v>NATURGY ENERGY GROUP, S.A.</v>
      </c>
      <c r="AQ86" s="496"/>
      <c r="AR86" s="585"/>
      <c r="AS86" s="585"/>
      <c r="AT86" s="585"/>
      <c r="AU86" s="497"/>
      <c r="AV86" s="496"/>
      <c r="AW86" s="585"/>
      <c r="AX86" s="585"/>
      <c r="AY86" s="585"/>
      <c r="AZ86" s="497"/>
      <c r="BA86" s="580"/>
      <c r="BB86" s="580"/>
      <c r="BC86" s="580"/>
      <c r="BD86" s="580"/>
      <c r="BE86" s="580"/>
      <c r="BF86" s="580"/>
      <c r="BG86" s="579"/>
    </row>
    <row r="87" spans="2:59">
      <c r="B87" s="534" t="s">
        <v>520</v>
      </c>
      <c r="C87" s="535" t="s">
        <v>66</v>
      </c>
      <c r="D87" s="535" t="s">
        <v>59</v>
      </c>
      <c r="E87" s="535" t="s">
        <v>647</v>
      </c>
      <c r="F87" s="535" t="s">
        <v>675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1.21223681666632</v>
      </c>
      <c r="Y87" s="485">
        <f ca="1">IF(X87&lt;&gt;"",ABS(MIN(-0.75*('CDO Bespoke'!Q88)+'CDO Bespoke'!T88,0)),"")</f>
        <v>1.2041446414481329</v>
      </c>
      <c r="Z87" s="485">
        <f t="shared" ca="1" si="10"/>
        <v>8.0921752181870588E-3</v>
      </c>
      <c r="AA87" s="485">
        <f t="shared" ca="1" si="11"/>
        <v>0</v>
      </c>
      <c r="AB87" s="484">
        <f ca="1">IF('CDO Bespoke'!O88&lt;&gt;"",'CDO Bespoke'!O88,"")</f>
        <v>1.21223681666632</v>
      </c>
      <c r="AC87" s="485">
        <f ca="1">IF(AB87&lt;&gt;"",ABS(MIN(-0.75*('CDO Bespoke'!K88)+'CDO Bespoke'!T88,0)),"")</f>
        <v>0.60391550954239559</v>
      </c>
      <c r="AD87" s="485">
        <f t="shared" ca="1" si="12"/>
        <v>0.6083213071239244</v>
      </c>
      <c r="AE87" s="489">
        <f t="shared" ca="1" si="13"/>
        <v>0</v>
      </c>
      <c r="AF87" s="493">
        <f ca="1">IF('CDO Bespoke'!O88&lt;&gt;"",'CDO Bespoke'!O88,"")</f>
        <v>1.21223681666632</v>
      </c>
      <c r="AP87" s="494" t="str">
        <f ca="1">IF('CDO Bespoke'!C112&lt;&gt;"",'CDO Bespoke'!C112,"")</f>
        <v>REPSOL, S.A.</v>
      </c>
      <c r="AQ87" s="496"/>
      <c r="AR87" s="585"/>
      <c r="AS87" s="585"/>
      <c r="AT87" s="585"/>
      <c r="AU87" s="497"/>
      <c r="AV87" s="496"/>
      <c r="AW87" s="585"/>
      <c r="AX87" s="585"/>
      <c r="AY87" s="585"/>
      <c r="AZ87" s="497"/>
      <c r="BA87" s="580"/>
      <c r="BB87" s="580"/>
      <c r="BC87" s="580"/>
      <c r="BD87" s="580"/>
      <c r="BE87" s="580"/>
      <c r="BF87" s="580"/>
      <c r="BG87" s="579"/>
    </row>
    <row r="88" spans="2:59">
      <c r="B88" s="539" t="s">
        <v>614</v>
      </c>
      <c r="C88" s="540" t="s">
        <v>66</v>
      </c>
      <c r="D88" s="540" t="s">
        <v>55</v>
      </c>
      <c r="E88" s="540" t="s">
        <v>649</v>
      </c>
      <c r="F88" s="540" t="s">
        <v>675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1.21611295469421</v>
      </c>
      <c r="Y88" s="485">
        <f ca="1">IF(X88&lt;&gt;"",ABS(MIN(-0.75*('CDO Bespoke'!Q89)+'CDO Bespoke'!T89,0)),"")</f>
        <v>1.2049261193596807</v>
      </c>
      <c r="Z88" s="485">
        <f t="shared" ca="1" si="10"/>
        <v>1.1186835334529244E-2</v>
      </c>
      <c r="AA88" s="485">
        <f t="shared" ca="1" si="11"/>
        <v>0</v>
      </c>
      <c r="AB88" s="484">
        <f ca="1">IF('CDO Bespoke'!O89&lt;&gt;"",'CDO Bespoke'!O89,"")</f>
        <v>1.21611295469421</v>
      </c>
      <c r="AC88" s="485">
        <f ca="1">IF(AB88&lt;&gt;"",ABS(MIN(-0.75*('CDO Bespoke'!K89)+'CDO Bespoke'!T89,0)),"")</f>
        <v>0.58059740703420759</v>
      </c>
      <c r="AD88" s="485">
        <f t="shared" ca="1" si="12"/>
        <v>0.6355155476600024</v>
      </c>
      <c r="AE88" s="489">
        <f t="shared" ca="1" si="13"/>
        <v>0</v>
      </c>
      <c r="AF88" s="493">
        <f ca="1">IF('CDO Bespoke'!O89&lt;&gt;"",'CDO Bespoke'!O89,"")</f>
        <v>1.21611295469421</v>
      </c>
      <c r="AP88" s="494" t="str">
        <f ca="1">IF('CDO Bespoke'!C113&lt;&gt;"",'CDO Bespoke'!C113,"")</f>
        <v>SHELL PLC</v>
      </c>
      <c r="AQ88" s="496"/>
      <c r="AR88" s="585"/>
      <c r="AS88" s="585"/>
      <c r="AT88" s="585"/>
      <c r="AU88" s="497"/>
      <c r="AV88" s="496"/>
      <c r="AW88" s="585"/>
      <c r="AX88" s="585"/>
      <c r="AY88" s="585"/>
      <c r="AZ88" s="497"/>
      <c r="BA88" s="580"/>
      <c r="BB88" s="580"/>
      <c r="BC88" s="580"/>
      <c r="BD88" s="580"/>
      <c r="BE88" s="580"/>
      <c r="BF88" s="580"/>
      <c r="BG88" s="579"/>
    </row>
    <row r="89" spans="2:59">
      <c r="B89" s="517" t="s">
        <v>614</v>
      </c>
      <c r="C89" s="518" t="s">
        <v>66</v>
      </c>
      <c r="D89" s="518" t="s">
        <v>57</v>
      </c>
      <c r="E89" s="518" t="s">
        <v>649</v>
      </c>
      <c r="F89" s="518" t="s">
        <v>675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1.21642258637645</v>
      </c>
      <c r="Y89" s="485">
        <f ca="1">IF(X89&lt;&gt;"",ABS(MIN(-0.75*('CDO Bespoke'!Q90)+'CDO Bespoke'!T90,0)),"")</f>
        <v>1.2049795249040256</v>
      </c>
      <c r="Z89" s="485">
        <f t="shared" ca="1" si="10"/>
        <v>1.1443061472424354E-2</v>
      </c>
      <c r="AA89" s="485">
        <f t="shared" ca="1" si="11"/>
        <v>0</v>
      </c>
      <c r="AB89" s="484">
        <f ca="1">IF('CDO Bespoke'!O90&lt;&gt;"",'CDO Bespoke'!O90,"")</f>
        <v>1.21642258637645</v>
      </c>
      <c r="AC89" s="485">
        <f ca="1">IF(AB89&lt;&gt;"",ABS(MIN(-0.75*('CDO Bespoke'!K90)+'CDO Bespoke'!T90,0)),"")</f>
        <v>0.57734285242010519</v>
      </c>
      <c r="AD89" s="485">
        <f t="shared" ca="1" si="12"/>
        <v>0.63907973395634476</v>
      </c>
      <c r="AE89" s="489">
        <f t="shared" ca="1" si="13"/>
        <v>0</v>
      </c>
      <c r="AF89" s="493">
        <f ca="1">IF('CDO Bespoke'!O90&lt;&gt;"",'CDO Bespoke'!O90,"")</f>
        <v>1.21642258637645</v>
      </c>
      <c r="AP89" s="494" t="str">
        <f ca="1">IF('CDO Bespoke'!C114&lt;&gt;"",'CDO Bespoke'!C114,"")</f>
        <v>TotalEnergies SE</v>
      </c>
      <c r="AQ89" s="496"/>
      <c r="AR89" s="585"/>
      <c r="AS89" s="585"/>
      <c r="AT89" s="585"/>
      <c r="AU89" s="497"/>
      <c r="AV89" s="496"/>
      <c r="AW89" s="585"/>
      <c r="AX89" s="585"/>
      <c r="AY89" s="585"/>
      <c r="AZ89" s="497"/>
      <c r="BA89" s="580"/>
      <c r="BB89" s="580"/>
      <c r="BC89" s="580"/>
      <c r="BD89" s="580"/>
      <c r="BE89" s="580"/>
      <c r="BF89" s="580"/>
      <c r="BG89" s="579"/>
    </row>
    <row r="90" spans="2:59">
      <c r="B90" s="534" t="s">
        <v>614</v>
      </c>
      <c r="C90" s="535" t="s">
        <v>66</v>
      </c>
      <c r="D90" s="535" t="s">
        <v>59</v>
      </c>
      <c r="E90" s="535" t="s">
        <v>649</v>
      </c>
      <c r="F90" s="535" t="s">
        <v>675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1.21507278881181</v>
      </c>
      <c r="Y90" s="485">
        <f ca="1">IF(X90&lt;&gt;"",ABS(MIN(-0.75*('CDO Bespoke'!Q91)+'CDO Bespoke'!T91,0)),"")</f>
        <v>1.2047338170082251</v>
      </c>
      <c r="Z90" s="485">
        <f t="shared" ca="1" si="10"/>
        <v>1.0338971803584895E-2</v>
      </c>
      <c r="AA90" s="485">
        <f t="shared" ca="1" si="11"/>
        <v>0</v>
      </c>
      <c r="AB90" s="484">
        <f ca="1">IF('CDO Bespoke'!O91&lt;&gt;"",'CDO Bespoke'!O91,"")</f>
        <v>1.21507278881181</v>
      </c>
      <c r="AC90" s="485">
        <f ca="1">IF(AB90&lt;&gt;"",ABS(MIN(-0.75*('CDO Bespoke'!K91)+'CDO Bespoke'!T91,0)),"")</f>
        <v>0.58933286438543842</v>
      </c>
      <c r="AD90" s="485">
        <f t="shared" ca="1" si="12"/>
        <v>0.62573992442637161</v>
      </c>
      <c r="AE90" s="489">
        <f t="shared" ca="1" si="13"/>
        <v>0</v>
      </c>
      <c r="AF90" s="493">
        <f ca="1">IF('CDO Bespoke'!O91&lt;&gt;"",'CDO Bespoke'!O91,"")</f>
        <v>1.21507278881181</v>
      </c>
      <c r="AP90" s="494" t="str">
        <f ca="1">IF('CDO Bespoke'!C115&lt;&gt;"",'CDO Bespoke'!C115,"")</f>
        <v>VEOLIA ENVIRONNEMENT</v>
      </c>
      <c r="AQ90" s="496"/>
      <c r="AR90" s="585"/>
      <c r="AS90" s="585"/>
      <c r="AT90" s="585"/>
      <c r="AU90" s="497"/>
      <c r="AV90" s="496"/>
      <c r="AW90" s="585"/>
      <c r="AX90" s="585"/>
      <c r="AY90" s="585"/>
      <c r="AZ90" s="497"/>
      <c r="BA90" s="580"/>
      <c r="BB90" s="580"/>
      <c r="BC90" s="580"/>
      <c r="BD90" s="580"/>
      <c r="BE90" s="580"/>
      <c r="BF90" s="580"/>
      <c r="BG90" s="579"/>
    </row>
    <row r="91" spans="2:59">
      <c r="B91" s="539" t="s">
        <v>536</v>
      </c>
      <c r="C91" s="540" t="s">
        <v>66</v>
      </c>
      <c r="D91" s="540" t="s">
        <v>55</v>
      </c>
      <c r="E91" s="540" t="s">
        <v>649</v>
      </c>
      <c r="F91" s="540" t="s">
        <v>648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1.2157440061501801</v>
      </c>
      <c r="Y91" s="485">
        <f ca="1">IF(X91&lt;&gt;"",ABS(MIN(-0.75*('CDO Bespoke'!Q92)+'CDO Bespoke'!T92,0)),"")</f>
        <v>1.2048599841940113</v>
      </c>
      <c r="Z91" s="485">
        <f t="shared" ca="1" si="10"/>
        <v>1.0884021956168777E-2</v>
      </c>
      <c r="AA91" s="485">
        <f t="shared" ca="1" si="11"/>
        <v>0</v>
      </c>
      <c r="AB91" s="484">
        <f ca="1">IF('CDO Bespoke'!O92&lt;&gt;"",'CDO Bespoke'!O92,"")</f>
        <v>1.2157440061501801</v>
      </c>
      <c r="AC91" s="485">
        <f ca="1">IF(AB91&lt;&gt;"",ABS(MIN(-0.75*('CDO Bespoke'!K92)+'CDO Bespoke'!T92,0)),"")</f>
        <v>0.58403325035594733</v>
      </c>
      <c r="AD91" s="485">
        <f t="shared" ca="1" si="12"/>
        <v>0.63171075579423275</v>
      </c>
      <c r="AE91" s="489">
        <f t="shared" ca="1" si="13"/>
        <v>0</v>
      </c>
      <c r="AF91" s="493">
        <f ca="1">IF('CDO Bespoke'!O92&lt;&gt;"",'CDO Bespoke'!O92,"")</f>
        <v>1.2157440061501801</v>
      </c>
      <c r="AP91" s="494" t="str">
        <f ca="1">IF('CDO Bespoke'!C116&lt;&gt;"",'CDO Bespoke'!C116,"")</f>
        <v>Bertelsmann SE &amp; Co. KGaA</v>
      </c>
      <c r="AQ91" s="496"/>
      <c r="AR91" s="585"/>
      <c r="AS91" s="585"/>
      <c r="AT91" s="585"/>
      <c r="AU91" s="497"/>
      <c r="AV91" s="496"/>
      <c r="AW91" s="585"/>
      <c r="AX91" s="585"/>
      <c r="AY91" s="585"/>
      <c r="AZ91" s="497"/>
      <c r="BA91" s="580"/>
      <c r="BB91" s="580"/>
      <c r="BC91" s="580"/>
      <c r="BD91" s="580"/>
      <c r="BE91" s="580"/>
      <c r="BF91" s="580"/>
      <c r="BG91" s="579"/>
    </row>
    <row r="92" spans="2:59">
      <c r="B92" s="517" t="s">
        <v>536</v>
      </c>
      <c r="C92" s="518" t="s">
        <v>66</v>
      </c>
      <c r="D92" s="518" t="s">
        <v>57</v>
      </c>
      <c r="E92" s="518" t="s">
        <v>649</v>
      </c>
      <c r="F92" s="518" t="s">
        <v>648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1.2126682914698901</v>
      </c>
      <c r="Y92" s="485">
        <f ca="1">IF(X92&lt;&gt;"",ABS(MIN(-0.75*('CDO Bespoke'!Q93)+'CDO Bespoke'!T93,0)),"")</f>
        <v>1.2042386187866752</v>
      </c>
      <c r="Z92" s="485">
        <f t="shared" ca="1" si="10"/>
        <v>8.4296726832149282E-3</v>
      </c>
      <c r="AA92" s="485">
        <f t="shared" ca="1" si="11"/>
        <v>0</v>
      </c>
      <c r="AB92" s="484">
        <f ca="1">IF('CDO Bespoke'!O93&lt;&gt;"",'CDO Bespoke'!O93,"")</f>
        <v>1.2126682914698901</v>
      </c>
      <c r="AC92" s="485">
        <f ca="1">IF(AB92&lt;&gt;"",ABS(MIN(-0.75*('CDO Bespoke'!K93)+'CDO Bespoke'!T93,0)),"")</f>
        <v>0.60223735068471496</v>
      </c>
      <c r="AD92" s="485">
        <f t="shared" ca="1" si="12"/>
        <v>0.61043094078517512</v>
      </c>
      <c r="AE92" s="489">
        <f t="shared" ca="1" si="13"/>
        <v>0</v>
      </c>
      <c r="AF92" s="493">
        <f ca="1">IF('CDO Bespoke'!O93&lt;&gt;"",'CDO Bespoke'!O93,"")</f>
        <v>1.2126682914698901</v>
      </c>
      <c r="AP92" s="494" t="str">
        <f ca="1">IF('CDO Bespoke'!C117&lt;&gt;"",'CDO Bespoke'!C117,"")</f>
        <v>BRITISH TELECOMMUNICATIONS public limited company</v>
      </c>
      <c r="AQ92" s="496"/>
      <c r="AR92" s="585"/>
      <c r="AS92" s="585"/>
      <c r="AT92" s="585"/>
      <c r="AU92" s="497"/>
      <c r="AV92" s="496"/>
      <c r="AW92" s="585"/>
      <c r="AX92" s="585"/>
      <c r="AY92" s="585"/>
      <c r="AZ92" s="497"/>
      <c r="BA92" s="580"/>
      <c r="BB92" s="580"/>
      <c r="BC92" s="580"/>
      <c r="BD92" s="580"/>
      <c r="BE92" s="580"/>
      <c r="BF92" s="580"/>
      <c r="BG92" s="579"/>
    </row>
    <row r="93" spans="2:59">
      <c r="B93" s="534" t="s">
        <v>536</v>
      </c>
      <c r="C93" s="535" t="s">
        <v>66</v>
      </c>
      <c r="D93" s="535" t="s">
        <v>59</v>
      </c>
      <c r="E93" s="535" t="s">
        <v>649</v>
      </c>
      <c r="F93" s="535" t="s">
        <v>648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1.2157530957123399</v>
      </c>
      <c r="Y93" s="485">
        <f ca="1">IF(X93&lt;&gt;"",ABS(MIN(-0.75*('CDO Bespoke'!Q94)+'CDO Bespoke'!T94,0)),"")</f>
        <v>1.2048616432956811</v>
      </c>
      <c r="Z93" s="485">
        <f t="shared" ca="1" si="10"/>
        <v>1.0891452416658787E-2</v>
      </c>
      <c r="AA93" s="485">
        <f t="shared" ca="1" si="11"/>
        <v>0</v>
      </c>
      <c r="AB93" s="484">
        <f ca="1">IF('CDO Bespoke'!O94&lt;&gt;"",'CDO Bespoke'!O94,"")</f>
        <v>1.2157530957123399</v>
      </c>
      <c r="AC93" s="485">
        <f ca="1">IF(AB93&lt;&gt;"",ABS(MIN(-0.75*('CDO Bespoke'!K94)+'CDO Bespoke'!T94,0)),"")</f>
        <v>0.58395362985028121</v>
      </c>
      <c r="AD93" s="485">
        <f t="shared" ca="1" si="12"/>
        <v>0.63179946586205871</v>
      </c>
      <c r="AE93" s="489">
        <f t="shared" ca="1" si="13"/>
        <v>0</v>
      </c>
      <c r="AF93" s="493">
        <f ca="1">IF('CDO Bespoke'!O94&lt;&gt;"",'CDO Bespoke'!O94,"")</f>
        <v>1.2157530957123399</v>
      </c>
      <c r="AP93" s="494" t="str">
        <f ca="1">IF('CDO Bespoke'!C118&lt;&gt;"",'CDO Bespoke'!C118,"")</f>
        <v>Deutsche Telekom AG</v>
      </c>
      <c r="AQ93" s="496"/>
      <c r="AR93" s="585"/>
      <c r="AS93" s="585"/>
      <c r="AT93" s="585"/>
      <c r="AU93" s="497"/>
      <c r="AV93" s="496"/>
      <c r="AW93" s="585"/>
      <c r="AX93" s="585"/>
      <c r="AY93" s="585"/>
      <c r="AZ93" s="497"/>
      <c r="BA93" s="580"/>
      <c r="BB93" s="580"/>
      <c r="BC93" s="580"/>
      <c r="BD93" s="580"/>
      <c r="BE93" s="580"/>
      <c r="BF93" s="580"/>
      <c r="BG93" s="579"/>
    </row>
    <row r="94" spans="2:59">
      <c r="B94" s="539" t="s">
        <v>521</v>
      </c>
      <c r="C94" s="540" t="s">
        <v>66</v>
      </c>
      <c r="D94" s="540" t="s">
        <v>55</v>
      </c>
      <c r="E94" s="540" t="s">
        <v>647</v>
      </c>
      <c r="F94" s="540" t="s">
        <v>673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1.21029974649032</v>
      </c>
      <c r="Y94" s="485">
        <f ca="1">IF(X94&lt;&gt;"",ABS(MIN(-0.75*('CDO Bespoke'!Q95)+'CDO Bespoke'!T95,0)),"")</f>
        <v>1.2037098273774074</v>
      </c>
      <c r="Z94" s="485">
        <f t="shared" ca="1" si="10"/>
        <v>6.5899191129126233E-3</v>
      </c>
      <c r="AA94" s="485">
        <f t="shared" ca="1" si="11"/>
        <v>0</v>
      </c>
      <c r="AB94" s="484">
        <f ca="1">IF('CDO Bespoke'!O95&lt;&gt;"",'CDO Bespoke'!O95,"")</f>
        <v>1.21029974649032</v>
      </c>
      <c r="AC94" s="485">
        <f ca="1">IF(AB94&lt;&gt;"",ABS(MIN(-0.75*('CDO Bespoke'!K95)+'CDO Bespoke'!T95,0)),"")</f>
        <v>0.60999700855724692</v>
      </c>
      <c r="AD94" s="485">
        <f t="shared" ca="1" si="12"/>
        <v>0.60030273793307309</v>
      </c>
      <c r="AE94" s="489">
        <f t="shared" ca="1" si="13"/>
        <v>0</v>
      </c>
      <c r="AF94" s="493">
        <f ca="1">IF('CDO Bespoke'!O95&lt;&gt;"",'CDO Bespoke'!O95,"")</f>
        <v>1.21029974649032</v>
      </c>
      <c r="AP94" s="494" t="str">
        <f ca="1">IF('CDO Bespoke'!C119&lt;&gt;"",'CDO Bespoke'!C119,"")</f>
        <v>ITV PLC</v>
      </c>
      <c r="AQ94" s="496"/>
      <c r="AR94" s="585"/>
      <c r="AS94" s="585"/>
      <c r="AT94" s="585"/>
      <c r="AU94" s="497"/>
      <c r="AV94" s="496"/>
      <c r="AW94" s="585"/>
      <c r="AX94" s="585"/>
      <c r="AY94" s="585"/>
      <c r="AZ94" s="497"/>
      <c r="BA94" s="580"/>
      <c r="BB94" s="580"/>
      <c r="BC94" s="580"/>
      <c r="BD94" s="580"/>
      <c r="BE94" s="580"/>
      <c r="BF94" s="580"/>
      <c r="BG94" s="579"/>
    </row>
    <row r="95" spans="2:59">
      <c r="B95" s="517" t="s">
        <v>521</v>
      </c>
      <c r="C95" s="518" t="s">
        <v>66</v>
      </c>
      <c r="D95" s="518" t="s">
        <v>57</v>
      </c>
      <c r="E95" s="518" t="s">
        <v>647</v>
      </c>
      <c r="F95" s="518" t="s">
        <v>673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1.2146791098343399</v>
      </c>
      <c r="Y95" s="485">
        <f ca="1">IF(X95&lt;&gt;"",ABS(MIN(-0.75*('CDO Bespoke'!Q96)+'CDO Bespoke'!T96,0)),"")</f>
        <v>1.2046568563311801</v>
      </c>
      <c r="Z95" s="485">
        <f t="shared" ca="1" si="10"/>
        <v>1.0022253503159773E-2</v>
      </c>
      <c r="AA95" s="485">
        <f t="shared" ca="1" si="11"/>
        <v>0</v>
      </c>
      <c r="AB95" s="484">
        <f ca="1">IF('CDO Bespoke'!O96&lt;&gt;"",'CDO Bespoke'!O96,"")</f>
        <v>1.2146791098343399</v>
      </c>
      <c r="AC95" s="485">
        <f ca="1">IF(AB95&lt;&gt;"",ABS(MIN(-0.75*('CDO Bespoke'!K96)+'CDO Bespoke'!T96,0)),"")</f>
        <v>0.59199584559905027</v>
      </c>
      <c r="AD95" s="485">
        <f t="shared" ca="1" si="12"/>
        <v>0.62268326423528964</v>
      </c>
      <c r="AE95" s="489">
        <f t="shared" ca="1" si="13"/>
        <v>0</v>
      </c>
      <c r="AF95" s="493">
        <f ca="1">IF('CDO Bespoke'!O96&lt;&gt;"",'CDO Bespoke'!O96,"")</f>
        <v>1.2146791098343399</v>
      </c>
      <c r="AP95" s="494" t="str">
        <f ca="1">IF('CDO Bespoke'!C120&lt;&gt;"",'CDO Bespoke'!C120,"")</f>
        <v>Koninklijke KPN N.V.</v>
      </c>
      <c r="AQ95" s="496"/>
      <c r="AR95" s="585"/>
      <c r="AS95" s="585"/>
      <c r="AT95" s="585"/>
      <c r="AU95" s="497"/>
      <c r="AV95" s="496"/>
      <c r="AW95" s="585"/>
      <c r="AX95" s="585"/>
      <c r="AY95" s="585"/>
      <c r="AZ95" s="497"/>
      <c r="BA95" s="580"/>
      <c r="BB95" s="580"/>
      <c r="BC95" s="580"/>
      <c r="BD95" s="580"/>
      <c r="BE95" s="580"/>
      <c r="BF95" s="580"/>
      <c r="BG95" s="579"/>
    </row>
    <row r="96" spans="2:59">
      <c r="B96" s="534" t="s">
        <v>521</v>
      </c>
      <c r="C96" s="535" t="s">
        <v>66</v>
      </c>
      <c r="D96" s="535" t="s">
        <v>59</v>
      </c>
      <c r="E96" s="535" t="s">
        <v>647</v>
      </c>
      <c r="F96" s="535" t="s">
        <v>673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1.2164439456463401</v>
      </c>
      <c r="Y96" s="485">
        <f ca="1">IF(X96&lt;&gt;"",ABS(MIN(-0.75*('CDO Bespoke'!Q97)+'CDO Bespoke'!T97,0)),"")</f>
        <v>1.2049831311035712</v>
      </c>
      <c r="Z96" s="485">
        <f t="shared" ca="1" si="10"/>
        <v>1.1460814542768816E-2</v>
      </c>
      <c r="AA96" s="485">
        <f t="shared" ca="1" si="11"/>
        <v>0</v>
      </c>
      <c r="AB96" s="484">
        <f ca="1">IF('CDO Bespoke'!O97&lt;&gt;"",'CDO Bespoke'!O97,"")</f>
        <v>1.2164439456463401</v>
      </c>
      <c r="AC96" s="485">
        <f ca="1">IF(AB96&lt;&gt;"",ABS(MIN(-0.75*('CDO Bespoke'!K97)+'CDO Bespoke'!T97,0)),"")</f>
        <v>0.57710385864591052</v>
      </c>
      <c r="AD96" s="485">
        <f t="shared" ca="1" si="12"/>
        <v>0.63934008700042955</v>
      </c>
      <c r="AE96" s="489">
        <f t="shared" ca="1" si="13"/>
        <v>0</v>
      </c>
      <c r="AF96" s="493">
        <f ca="1">IF('CDO Bespoke'!O97&lt;&gt;"",'CDO Bespoke'!O97,"")</f>
        <v>1.2164439456463401</v>
      </c>
      <c r="AP96" s="494" t="str">
        <f ca="1">IF('CDO Bespoke'!C121&lt;&gt;"",'CDO Bespoke'!C121,"")</f>
        <v>Orange</v>
      </c>
      <c r="AQ96" s="496"/>
      <c r="AR96" s="585"/>
      <c r="AS96" s="585"/>
      <c r="AT96" s="585"/>
      <c r="AU96" s="497"/>
      <c r="AV96" s="496"/>
      <c r="AW96" s="585"/>
      <c r="AX96" s="585"/>
      <c r="AY96" s="585"/>
      <c r="AZ96" s="497"/>
      <c r="BA96" s="580"/>
      <c r="BB96" s="580"/>
      <c r="BC96" s="580"/>
      <c r="BD96" s="580"/>
      <c r="BE96" s="580"/>
      <c r="BF96" s="580"/>
      <c r="BG96" s="579"/>
    </row>
    <row r="97" spans="2:59">
      <c r="B97" s="539" t="s">
        <v>537</v>
      </c>
      <c r="C97" s="540" t="s">
        <v>66</v>
      </c>
      <c r="D97" s="540" t="s">
        <v>55</v>
      </c>
      <c r="E97" s="540" t="s">
        <v>649</v>
      </c>
      <c r="F97" s="540" t="s">
        <v>648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1.2139503806732199</v>
      </c>
      <c r="Y97" s="485">
        <f ca="1">IF(X97&lt;&gt;"",ABS(MIN(-0.75*('CDO Bespoke'!Q98)+'CDO Bespoke'!T98,0)),"")</f>
        <v>1.2045096301518545</v>
      </c>
      <c r="Z97" s="485">
        <f t="shared" ca="1" si="10"/>
        <v>9.4407505213653931E-3</v>
      </c>
      <c r="AA97" s="485">
        <f t="shared" ca="1" si="11"/>
        <v>0</v>
      </c>
      <c r="AB97" s="484">
        <f ca="1">IF('CDO Bespoke'!O98&lt;&gt;"",'CDO Bespoke'!O98,"")</f>
        <v>1.2139503806732199</v>
      </c>
      <c r="AC97" s="485">
        <f ca="1">IF(AB97&lt;&gt;"",ABS(MIN(-0.75*('CDO Bespoke'!K98)+'CDO Bespoke'!T98,0)),"")</f>
        <v>0.59626408501142247</v>
      </c>
      <c r="AD97" s="485">
        <f t="shared" ca="1" si="12"/>
        <v>0.61768629566179745</v>
      </c>
      <c r="AE97" s="489">
        <f t="shared" ca="1" si="13"/>
        <v>0</v>
      </c>
      <c r="AF97" s="493">
        <f ca="1">IF('CDO Bespoke'!O98&lt;&gt;"",'CDO Bespoke'!O98,"")</f>
        <v>1.2139503806732199</v>
      </c>
      <c r="AP97" s="494" t="str">
        <f ca="1">IF('CDO Bespoke'!C122&lt;&gt;"",'CDO Bespoke'!C122,"")</f>
        <v>PEARSON plc</v>
      </c>
      <c r="AQ97" s="496"/>
      <c r="AR97" s="585"/>
      <c r="AS97" s="585"/>
      <c r="AT97" s="585"/>
      <c r="AU97" s="497"/>
      <c r="AV97" s="496"/>
      <c r="AW97" s="585"/>
      <c r="AX97" s="585"/>
      <c r="AY97" s="585"/>
      <c r="AZ97" s="497"/>
      <c r="BA97" s="580"/>
      <c r="BB97" s="580"/>
      <c r="BC97" s="580"/>
      <c r="BD97" s="580"/>
      <c r="BE97" s="580"/>
      <c r="BF97" s="580"/>
      <c r="BG97" s="579"/>
    </row>
    <row r="98" spans="2:59">
      <c r="B98" s="517" t="s">
        <v>537</v>
      </c>
      <c r="C98" s="518" t="s">
        <v>66</v>
      </c>
      <c r="D98" s="518" t="s">
        <v>57</v>
      </c>
      <c r="E98" s="518" t="s">
        <v>649</v>
      </c>
      <c r="F98" s="518" t="s">
        <v>648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1.2151079043486901</v>
      </c>
      <c r="Y98" s="485">
        <f ca="1">IF(X98&lt;&gt;"",ABS(MIN(-0.75*('CDO Bespoke'!Q99)+'CDO Bespoke'!T99,0)),"")</f>
        <v>1.2047405829906885</v>
      </c>
      <c r="Z98" s="485">
        <f t="shared" ca="1" si="10"/>
        <v>1.0367321358001558E-2</v>
      </c>
      <c r="AA98" s="485">
        <f t="shared" ca="1" si="11"/>
        <v>0</v>
      </c>
      <c r="AB98" s="484">
        <f ca="1">IF('CDO Bespoke'!O99&lt;&gt;"",'CDO Bespoke'!O99,"")</f>
        <v>1.2151079043486901</v>
      </c>
      <c r="AC98" s="485">
        <f ca="1">IF(AB98&lt;&gt;"",ABS(MIN(-0.75*('CDO Bespoke'!K99)+'CDO Bespoke'!T99,0)),"")</f>
        <v>0.58908097192179676</v>
      </c>
      <c r="AD98" s="485">
        <f t="shared" ca="1" si="12"/>
        <v>0.62602693242689333</v>
      </c>
      <c r="AE98" s="489">
        <f t="shared" ca="1" si="13"/>
        <v>0</v>
      </c>
      <c r="AF98" s="493">
        <f ca="1">IF('CDO Bespoke'!O99&lt;&gt;"",'CDO Bespoke'!O99,"")</f>
        <v>1.2151079043486901</v>
      </c>
      <c r="AP98" s="494" t="str">
        <f ca="1">IF('CDO Bespoke'!C123&lt;&gt;"",'CDO Bespoke'!C123,"")</f>
        <v>PUBLICIS GROUPE SA</v>
      </c>
      <c r="AQ98" s="496"/>
      <c r="AR98" s="585"/>
      <c r="AS98" s="585"/>
      <c r="AT98" s="585"/>
      <c r="AU98" s="497"/>
      <c r="AV98" s="496"/>
      <c r="AW98" s="585"/>
      <c r="AX98" s="585"/>
      <c r="AY98" s="585"/>
      <c r="AZ98" s="497"/>
      <c r="BA98" s="580"/>
      <c r="BB98" s="580"/>
      <c r="BC98" s="580"/>
      <c r="BD98" s="580"/>
      <c r="BE98" s="580"/>
      <c r="BF98" s="580"/>
      <c r="BG98" s="579"/>
    </row>
    <row r="99" spans="2:59">
      <c r="B99" s="534" t="s">
        <v>537</v>
      </c>
      <c r="C99" s="535" t="s">
        <v>66</v>
      </c>
      <c r="D99" s="535" t="s">
        <v>59</v>
      </c>
      <c r="E99" s="535" t="s">
        <v>649</v>
      </c>
      <c r="F99" s="535" t="s">
        <v>648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1.20094450626298</v>
      </c>
      <c r="Y99" s="485">
        <f ca="1">IF(X99&lt;&gt;"",ABS(MIN(-0.75*('CDO Bespoke'!Q100)+'CDO Bespoke'!T100,0)),"")</f>
        <v>1.2014655440473974</v>
      </c>
      <c r="Z99" s="485">
        <f t="shared" ca="1" si="10"/>
        <v>0</v>
      </c>
      <c r="AA99" s="485">
        <f t="shared" ca="1" si="11"/>
        <v>0</v>
      </c>
      <c r="AB99" s="484">
        <f ca="1">IF('CDO Bespoke'!O100&lt;&gt;"",'CDO Bespoke'!O100,"")</f>
        <v>1.20094450626298</v>
      </c>
      <c r="AC99" s="485">
        <f ca="1">IF(AB99&lt;&gt;"",ABS(MIN(-0.75*('CDO Bespoke'!K100)+'CDO Bespoke'!T100,0)),"")</f>
        <v>0.62309732814774532</v>
      </c>
      <c r="AD99" s="485">
        <f t="shared" ca="1" si="12"/>
        <v>0.57784717811523467</v>
      </c>
      <c r="AE99" s="489">
        <f t="shared" ca="1" si="13"/>
        <v>0</v>
      </c>
      <c r="AF99" s="493">
        <f ca="1">IF('CDO Bespoke'!O100&lt;&gt;"",'CDO Bespoke'!O100,"")</f>
        <v>1.20094450626298</v>
      </c>
      <c r="AP99" s="494" t="str">
        <f ca="1">IF('CDO Bespoke'!C124&lt;&gt;"",'CDO Bespoke'!C124,"")</f>
        <v>SES</v>
      </c>
      <c r="AQ99" s="496"/>
      <c r="AR99" s="585"/>
      <c r="AS99" s="585"/>
      <c r="AT99" s="585"/>
      <c r="AU99" s="497"/>
      <c r="AV99" s="496"/>
      <c r="AW99" s="585"/>
      <c r="AX99" s="585"/>
      <c r="AY99" s="585"/>
      <c r="AZ99" s="497"/>
      <c r="BA99" s="580"/>
      <c r="BB99" s="580"/>
      <c r="BC99" s="580"/>
      <c r="BD99" s="580"/>
      <c r="BE99" s="580"/>
      <c r="BF99" s="580"/>
      <c r="BG99" s="579"/>
    </row>
    <row r="100" spans="2:59">
      <c r="B100" s="539" t="s">
        <v>522</v>
      </c>
      <c r="C100" s="540" t="s">
        <v>66</v>
      </c>
      <c r="D100" s="540" t="s">
        <v>55</v>
      </c>
      <c r="E100" s="540" t="s">
        <v>649</v>
      </c>
      <c r="F100" s="540" t="s">
        <v>648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1.2180972574307101</v>
      </c>
      <c r="Y100" s="485">
        <f ca="1">IF(X100&lt;&gt;"",ABS(MIN(-0.75*('CDO Bespoke'!Q101)+'CDO Bespoke'!T101,0)),"")</f>
        <v>1.2052179177036837</v>
      </c>
      <c r="Z100" s="485">
        <f t="shared" ca="1" si="10"/>
        <v>1.2879339727026373E-2</v>
      </c>
      <c r="AA100" s="485">
        <f t="shared" ca="1" si="11"/>
        <v>0</v>
      </c>
      <c r="AB100" s="484">
        <f ca="1">IF('CDO Bespoke'!O101&lt;&gt;"",'CDO Bespoke'!O101,"")</f>
        <v>1.2180972574307101</v>
      </c>
      <c r="AC100" s="485">
        <f ca="1">IF(AB100&lt;&gt;"",ABS(MIN(-0.75*('CDO Bespoke'!K101)+'CDO Bespoke'!T101,0)),"")</f>
        <v>0.54810262356536754</v>
      </c>
      <c r="AD100" s="485">
        <f t="shared" ca="1" si="12"/>
        <v>0.66999463386534253</v>
      </c>
      <c r="AE100" s="489">
        <f t="shared" ca="1" si="13"/>
        <v>0</v>
      </c>
      <c r="AF100" s="493">
        <f ca="1">IF('CDO Bespoke'!O101&lt;&gt;"",'CDO Bespoke'!O101,"")</f>
        <v>1.2180972574307101</v>
      </c>
      <c r="AP100" s="494" t="str">
        <f ca="1">IF('CDO Bespoke'!C125&lt;&gt;"",'CDO Bespoke'!C125,"")</f>
        <v>SKY LIMITED</v>
      </c>
      <c r="AQ100" s="496"/>
      <c r="AR100" s="585"/>
      <c r="AS100" s="585"/>
      <c r="AT100" s="585"/>
      <c r="AU100" s="497"/>
      <c r="AV100" s="496"/>
      <c r="AW100" s="585"/>
      <c r="AX100" s="585"/>
      <c r="AY100" s="585"/>
      <c r="AZ100" s="497"/>
      <c r="BA100" s="580"/>
      <c r="BB100" s="580"/>
      <c r="BC100" s="580"/>
      <c r="BD100" s="580"/>
      <c r="BE100" s="580"/>
      <c r="BF100" s="580"/>
      <c r="BG100" s="579"/>
    </row>
    <row r="101" spans="2:59">
      <c r="B101" s="517" t="s">
        <v>522</v>
      </c>
      <c r="C101" s="518" t="s">
        <v>66</v>
      </c>
      <c r="D101" s="518" t="s">
        <v>57</v>
      </c>
      <c r="E101" s="518" t="s">
        <v>649</v>
      </c>
      <c r="F101" s="518" t="s">
        <v>648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1.2162511534554701</v>
      </c>
      <c r="Y101" s="485">
        <f ca="1">IF(X101&lt;&gt;"",ABS(MIN(-0.75*('CDO Bespoke'!Q102)+'CDO Bespoke'!T102,0)),"")</f>
        <v>1.2049502095885043</v>
      </c>
      <c r="Z101" s="485">
        <f t="shared" ca="1" si="10"/>
        <v>1.1300943866965785E-2</v>
      </c>
      <c r="AA101" s="485">
        <f t="shared" ca="1" si="11"/>
        <v>0</v>
      </c>
      <c r="AB101" s="484">
        <f ca="1">IF('CDO Bespoke'!O102&lt;&gt;"",'CDO Bespoke'!O102,"")</f>
        <v>1.2162511534554701</v>
      </c>
      <c r="AC101" s="485">
        <f ca="1">IF(AB101&lt;&gt;"",ABS(MIN(-0.75*('CDO Bespoke'!K102)+'CDO Bespoke'!T102,0)),"")</f>
        <v>0.57919125951994055</v>
      </c>
      <c r="AD101" s="485">
        <f t="shared" ca="1" si="12"/>
        <v>0.63705989393552953</v>
      </c>
      <c r="AE101" s="489">
        <f t="shared" ca="1" si="13"/>
        <v>0</v>
      </c>
      <c r="AF101" s="493">
        <f ca="1">IF('CDO Bespoke'!O102&lt;&gt;"",'CDO Bespoke'!O102,"")</f>
        <v>1.2162511534554701</v>
      </c>
      <c r="AP101" s="494" t="str">
        <f ca="1">IF('CDO Bespoke'!C126&lt;&gt;"",'CDO Bespoke'!C126,"")</f>
        <v>STMicroelectronics N.V.</v>
      </c>
      <c r="AQ101" s="496"/>
      <c r="AR101" s="585"/>
      <c r="AS101" s="585"/>
      <c r="AT101" s="585"/>
      <c r="AU101" s="497"/>
      <c r="AV101" s="496"/>
      <c r="AW101" s="585"/>
      <c r="AX101" s="585"/>
      <c r="AY101" s="585"/>
      <c r="AZ101" s="497"/>
      <c r="BA101" s="580"/>
      <c r="BB101" s="580"/>
      <c r="BC101" s="580"/>
      <c r="BD101" s="580"/>
      <c r="BE101" s="580"/>
      <c r="BF101" s="580"/>
      <c r="BG101" s="579"/>
    </row>
    <row r="102" spans="2:59">
      <c r="B102" s="534" t="s">
        <v>522</v>
      </c>
      <c r="C102" s="535" t="s">
        <v>66</v>
      </c>
      <c r="D102" s="535" t="s">
        <v>59</v>
      </c>
      <c r="E102" s="535" t="s">
        <v>649</v>
      </c>
      <c r="F102" s="535" t="s">
        <v>648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1.2124809165561301</v>
      </c>
      <c r="Y102" s="485">
        <f ca="1">IF(X102&lt;&gt;"",ABS(MIN(-0.75*('CDO Bespoke'!Q103)+'CDO Bespoke'!T103,0)),"")</f>
        <v>1.2041979588277814</v>
      </c>
      <c r="Z102" s="485">
        <f t="shared" ca="1" si="10"/>
        <v>8.2829577283487499E-3</v>
      </c>
      <c r="AA102" s="485">
        <f t="shared" ca="1" si="11"/>
        <v>0</v>
      </c>
      <c r="AB102" s="484">
        <f ca="1">IF('CDO Bespoke'!O103&lt;&gt;"",'CDO Bespoke'!O103,"")</f>
        <v>1.2124809165561301</v>
      </c>
      <c r="AC102" s="485">
        <f ca="1">IF(AB102&lt;&gt;"",ABS(MIN(-0.75*('CDO Bespoke'!K103)+'CDO Bespoke'!T103,0)),"")</f>
        <v>0.60298363450223469</v>
      </c>
      <c r="AD102" s="485">
        <f t="shared" ca="1" si="12"/>
        <v>0.60949728205389542</v>
      </c>
      <c r="AE102" s="489">
        <f t="shared" ca="1" si="13"/>
        <v>0</v>
      </c>
      <c r="AF102" s="493">
        <f ca="1">IF('CDO Bespoke'!O103&lt;&gt;"",'CDO Bespoke'!O103,"")</f>
        <v>1.2124809165561301</v>
      </c>
      <c r="AP102" s="494" t="str">
        <f ca="1">IF('CDO Bespoke'!C127&lt;&gt;"",'CDO Bespoke'!C127,"")</f>
        <v>TELEFONICA, S.A.</v>
      </c>
      <c r="AQ102" s="496"/>
      <c r="AR102" s="585"/>
      <c r="AS102" s="585"/>
      <c r="AT102" s="585"/>
      <c r="AU102" s="497"/>
      <c r="AV102" s="496"/>
      <c r="AW102" s="585"/>
      <c r="AX102" s="585"/>
      <c r="AY102" s="585"/>
      <c r="AZ102" s="497"/>
      <c r="BA102" s="580"/>
      <c r="BB102" s="580"/>
      <c r="BC102" s="580"/>
      <c r="BD102" s="580"/>
      <c r="BE102" s="580"/>
      <c r="BF102" s="580"/>
      <c r="BG102" s="579"/>
    </row>
    <row r="103" spans="2:59">
      <c r="B103" s="539" t="s">
        <v>523</v>
      </c>
      <c r="C103" s="540" t="s">
        <v>66</v>
      </c>
      <c r="D103" s="540" t="s">
        <v>55</v>
      </c>
      <c r="E103" s="540" t="s">
        <v>651</v>
      </c>
      <c r="F103" s="540" t="s">
        <v>674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1.2172238240909501</v>
      </c>
      <c r="Y103" s="485">
        <f ca="1">IF(X103&lt;&gt;"",ABS(MIN(-0.75*('CDO Bespoke'!Q104)+'CDO Bespoke'!T104,0)),"")</f>
        <v>1.2051065535624466</v>
      </c>
      <c r="Z103" s="485">
        <f t="shared" ca="1" si="10"/>
        <v>1.2117270528503532E-2</v>
      </c>
      <c r="AA103" s="485">
        <f t="shared" ca="1" si="11"/>
        <v>0</v>
      </c>
      <c r="AB103" s="484">
        <f ca="1">IF('CDO Bespoke'!O104&lt;&gt;"",'CDO Bespoke'!O104,"")</f>
        <v>1.2172238240909501</v>
      </c>
      <c r="AC103" s="485">
        <f ca="1">IF(AB103&lt;&gt;"",ABS(MIN(-0.75*('CDO Bespoke'!K104)+'CDO Bespoke'!T104,0)),"")</f>
        <v>0.56667823893949543</v>
      </c>
      <c r="AD103" s="485">
        <f t="shared" ca="1" si="12"/>
        <v>0.65054558515145466</v>
      </c>
      <c r="AE103" s="489">
        <f t="shared" ca="1" si="13"/>
        <v>0</v>
      </c>
      <c r="AF103" s="493">
        <f ca="1">IF('CDO Bespoke'!O104&lt;&gt;"",'CDO Bespoke'!O104,"")</f>
        <v>1.2172238240909501</v>
      </c>
      <c r="AP103" s="494" t="str">
        <f ca="1">IF('CDO Bespoke'!C128&lt;&gt;"",'CDO Bespoke'!C128,"")</f>
        <v>Telekom Austria Aktiengesellschaft</v>
      </c>
      <c r="AQ103" s="496"/>
      <c r="AR103" s="585"/>
      <c r="AS103" s="585"/>
      <c r="AT103" s="585"/>
      <c r="AU103" s="497"/>
      <c r="AV103" s="496"/>
      <c r="AW103" s="585"/>
      <c r="AX103" s="585"/>
      <c r="AY103" s="585"/>
      <c r="AZ103" s="497"/>
      <c r="BA103" s="580"/>
      <c r="BB103" s="580"/>
      <c r="BC103" s="580"/>
      <c r="BD103" s="580"/>
      <c r="BE103" s="580"/>
      <c r="BF103" s="580"/>
      <c r="BG103" s="579"/>
    </row>
    <row r="104" spans="2:59">
      <c r="B104" s="517" t="s">
        <v>523</v>
      </c>
      <c r="C104" s="518" t="s">
        <v>66</v>
      </c>
      <c r="D104" s="518" t="s">
        <v>57</v>
      </c>
      <c r="E104" s="518" t="s">
        <v>651</v>
      </c>
      <c r="F104" s="518" t="s">
        <v>674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1.2168062937440201</v>
      </c>
      <c r="Y104" s="485">
        <f ca="1">IF(X104&lt;&gt;"",ABS(MIN(-0.75*('CDO Bespoke'!Q105)+'CDO Bespoke'!T105,0)),"")</f>
        <v>1.2050426040205178</v>
      </c>
      <c r="Z104" s="485">
        <f t="shared" ca="1" si="10"/>
        <v>1.176368972350228E-2</v>
      </c>
      <c r="AA104" s="485">
        <f t="shared" ca="1" si="11"/>
        <v>0</v>
      </c>
      <c r="AB104" s="484">
        <f ca="1">IF('CDO Bespoke'!O105&lt;&gt;"",'CDO Bespoke'!O105,"")</f>
        <v>1.2168062937440201</v>
      </c>
      <c r="AC104" s="485">
        <f ca="1">IF(AB104&lt;&gt;"",ABS(MIN(-0.75*('CDO Bespoke'!K105)+'CDO Bespoke'!T105,0)),"")</f>
        <v>0.57271365714170175</v>
      </c>
      <c r="AD104" s="485">
        <f t="shared" ca="1" si="12"/>
        <v>0.6440926366023183</v>
      </c>
      <c r="AE104" s="489">
        <f t="shared" ca="1" si="13"/>
        <v>0</v>
      </c>
      <c r="AF104" s="493">
        <f ca="1">IF('CDO Bespoke'!O105&lt;&gt;"",'CDO Bespoke'!O105,"")</f>
        <v>1.2168062937440201</v>
      </c>
      <c r="AP104" s="494" t="str">
        <f ca="1">IF('CDO Bespoke'!C129&lt;&gt;"",'CDO Bespoke'!C129,"")</f>
        <v>TELENOR ASA</v>
      </c>
      <c r="AQ104" s="496"/>
      <c r="AR104" s="585"/>
      <c r="AS104" s="585"/>
      <c r="AT104" s="585"/>
      <c r="AU104" s="497"/>
      <c r="AV104" s="496"/>
      <c r="AW104" s="585"/>
      <c r="AX104" s="585"/>
      <c r="AY104" s="585"/>
      <c r="AZ104" s="497"/>
      <c r="BA104" s="580"/>
      <c r="BB104" s="580"/>
      <c r="BC104" s="580"/>
      <c r="BD104" s="580"/>
      <c r="BE104" s="580"/>
      <c r="BF104" s="580"/>
      <c r="BG104" s="579"/>
    </row>
    <row r="105" spans="2:59">
      <c r="B105" s="534" t="s">
        <v>523</v>
      </c>
      <c r="C105" s="535" t="s">
        <v>66</v>
      </c>
      <c r="D105" s="535" t="s">
        <v>59</v>
      </c>
      <c r="E105" s="535" t="s">
        <v>651</v>
      </c>
      <c r="F105" s="535" t="s">
        <v>674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1.2167042772807</v>
      </c>
      <c r="Y105" s="485">
        <f ca="1">IF(X105&lt;&gt;"",ABS(MIN(-0.75*('CDO Bespoke'!Q106)+'CDO Bespoke'!T106,0)),"")</f>
        <v>1.2050262004281143</v>
      </c>
      <c r="Z105" s="485">
        <f t="shared" ca="1" si="10"/>
        <v>1.1678076852585706E-2</v>
      </c>
      <c r="AA105" s="485">
        <f t="shared" ca="1" si="11"/>
        <v>0</v>
      </c>
      <c r="AB105" s="484">
        <f ca="1">IF('CDO Bespoke'!O106&lt;&gt;"",'CDO Bespoke'!O106,"")</f>
        <v>1.2167042772807</v>
      </c>
      <c r="AC105" s="485">
        <f ca="1">IF(AB105&lt;&gt;"",ABS(MIN(-0.75*('CDO Bespoke'!K106)+'CDO Bespoke'!T106,0)),"")</f>
        <v>0.57401845308732358</v>
      </c>
      <c r="AD105" s="485">
        <f t="shared" ca="1" si="12"/>
        <v>0.64268582419337639</v>
      </c>
      <c r="AE105" s="489">
        <f t="shared" ca="1" si="13"/>
        <v>0</v>
      </c>
      <c r="AF105" s="493">
        <f ca="1">IF('CDO Bespoke'!O106&lt;&gt;"",'CDO Bespoke'!O106,"")</f>
        <v>1.2167042772807</v>
      </c>
      <c r="AP105" s="494" t="str">
        <f ca="1">IF('CDO Bespoke'!C130&lt;&gt;"",'CDO Bespoke'!C130,"")</f>
        <v>Telia Company AB</v>
      </c>
      <c r="AQ105" s="496"/>
      <c r="AR105" s="585"/>
      <c r="AS105" s="585"/>
      <c r="AT105" s="585"/>
      <c r="AU105" s="497"/>
      <c r="AV105" s="496"/>
      <c r="AW105" s="585"/>
      <c r="AX105" s="585"/>
      <c r="AY105" s="585"/>
      <c r="AZ105" s="497"/>
      <c r="BA105" s="580"/>
      <c r="BB105" s="580"/>
      <c r="BC105" s="580"/>
      <c r="BD105" s="580"/>
      <c r="BE105" s="580"/>
      <c r="BF105" s="580"/>
      <c r="BG105" s="579"/>
    </row>
    <row r="106" spans="2:59">
      <c r="B106" s="539" t="s">
        <v>524</v>
      </c>
      <c r="C106" s="540" t="s">
        <v>66</v>
      </c>
      <c r="D106" s="540" t="s">
        <v>55</v>
      </c>
      <c r="E106" s="540" t="s">
        <v>651</v>
      </c>
      <c r="F106" s="540" t="s">
        <v>674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1.2140920227736001</v>
      </c>
      <c r="Y106" s="485">
        <f ca="1">IF(X106&lt;&gt;"",ABS(MIN(-0.75*('CDO Bespoke'!Q107)+'CDO Bespoke'!T107,0)),"")</f>
        <v>1.2045386849545328</v>
      </c>
      <c r="Z106" s="485">
        <f t="shared" ca="1" si="10"/>
        <v>9.5533378190673091E-3</v>
      </c>
      <c r="AA106" s="485">
        <f t="shared" ca="1" si="11"/>
        <v>0</v>
      </c>
      <c r="AB106" s="484">
        <f ca="1">IF('CDO Bespoke'!O107&lt;&gt;"",'CDO Bespoke'!O107,"")</f>
        <v>1.2140920227736001</v>
      </c>
      <c r="AC106" s="485">
        <f ca="1">IF(AB106&lt;&gt;"",ABS(MIN(-0.75*('CDO Bespoke'!K107)+'CDO Bespoke'!T107,0)),"")</f>
        <v>0.59549299288652258</v>
      </c>
      <c r="AD106" s="485">
        <f t="shared" ca="1" si="12"/>
        <v>0.61859902988707749</v>
      </c>
      <c r="AE106" s="489">
        <f t="shared" ca="1" si="13"/>
        <v>0</v>
      </c>
      <c r="AF106" s="493">
        <f ca="1">IF('CDO Bespoke'!O107&lt;&gt;"",'CDO Bespoke'!O107,"")</f>
        <v>1.2140920227736001</v>
      </c>
      <c r="AP106" s="494" t="str">
        <f ca="1">IF('CDO Bespoke'!C131&lt;&gt;"",'CDO Bespoke'!C131,"")</f>
        <v>Vivendi SE</v>
      </c>
      <c r="AQ106" s="496"/>
      <c r="AR106" s="585"/>
      <c r="AS106" s="585"/>
      <c r="AT106" s="585"/>
      <c r="AU106" s="497"/>
      <c r="AV106" s="496"/>
      <c r="AW106" s="585"/>
      <c r="AX106" s="585"/>
      <c r="AY106" s="585"/>
      <c r="AZ106" s="497"/>
      <c r="BA106" s="580"/>
      <c r="BB106" s="580"/>
      <c r="BC106" s="580"/>
      <c r="BD106" s="580"/>
      <c r="BE106" s="580"/>
      <c r="BF106" s="580"/>
      <c r="BG106" s="579"/>
    </row>
    <row r="107" spans="2:59">
      <c r="B107" s="517" t="s">
        <v>524</v>
      </c>
      <c r="C107" s="518" t="s">
        <v>66</v>
      </c>
      <c r="D107" s="518" t="s">
        <v>57</v>
      </c>
      <c r="E107" s="518" t="s">
        <v>651</v>
      </c>
      <c r="F107" s="518" t="s">
        <v>674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1.21274349140327</v>
      </c>
      <c r="Y107" s="485">
        <f ca="1">IF(X107&lt;&gt;"",ABS(MIN(-0.75*('CDO Bespoke'!Q108)+'CDO Bespoke'!T108,0)),"")</f>
        <v>1.204254869027753</v>
      </c>
      <c r="Z107" s="485">
        <f t="shared" ca="1" si="10"/>
        <v>8.4886223755169521E-3</v>
      </c>
      <c r="AA107" s="485">
        <f t="shared" ca="1" si="11"/>
        <v>0</v>
      </c>
      <c r="AB107" s="484">
        <f ca="1">IF('CDO Bespoke'!O108&lt;&gt;"",'CDO Bespoke'!O108,"")</f>
        <v>1.21274349140327</v>
      </c>
      <c r="AC107" s="485">
        <f ca="1">IF(AB107&lt;&gt;"",ABS(MIN(-0.75*('CDO Bespoke'!K108)+'CDO Bespoke'!T108,0)),"")</f>
        <v>0.60192989167439759</v>
      </c>
      <c r="AD107" s="485">
        <f t="shared" ca="1" si="12"/>
        <v>0.61081359972887239</v>
      </c>
      <c r="AE107" s="489">
        <f t="shared" ca="1" si="13"/>
        <v>0</v>
      </c>
      <c r="AF107" s="493">
        <f ca="1">IF('CDO Bespoke'!O108&lt;&gt;"",'CDO Bespoke'!O108,"")</f>
        <v>1.21274349140327</v>
      </c>
      <c r="AP107" s="494" t="str">
        <f ca="1">IF('CDO Bespoke'!C132&lt;&gt;"",'CDO Bespoke'!C132,"")</f>
        <v>VODAFONE GROUP PUBLIC LIMITED COMPANY</v>
      </c>
      <c r="AQ107" s="496"/>
      <c r="AR107" s="585"/>
      <c r="AS107" s="585"/>
      <c r="AT107" s="585"/>
      <c r="AU107" s="497"/>
      <c r="AV107" s="496"/>
      <c r="AW107" s="585"/>
      <c r="AX107" s="585"/>
      <c r="AY107" s="585"/>
      <c r="AZ107" s="497"/>
      <c r="BA107" s="580"/>
      <c r="BB107" s="580"/>
      <c r="BC107" s="580"/>
      <c r="BD107" s="580"/>
      <c r="BE107" s="580"/>
      <c r="BF107" s="580"/>
      <c r="BG107" s="579"/>
    </row>
    <row r="108" spans="2:59">
      <c r="B108" s="534" t="s">
        <v>524</v>
      </c>
      <c r="C108" s="535" t="s">
        <v>66</v>
      </c>
      <c r="D108" s="535" t="s">
        <v>59</v>
      </c>
      <c r="E108" s="535" t="s">
        <v>651</v>
      </c>
      <c r="F108" s="535" t="s">
        <v>674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1.21253698607331</v>
      </c>
      <c r="Y108" s="485">
        <f ca="1">IF(X108&lt;&gt;"",ABS(MIN(-0.75*('CDO Bespoke'!Q109)+'CDO Bespoke'!T109,0)),"")</f>
        <v>1.2042101507220453</v>
      </c>
      <c r="Z108" s="485">
        <f t="shared" ca="1" si="10"/>
        <v>8.3268353512646609E-3</v>
      </c>
      <c r="AA108" s="485">
        <f t="shared" ca="1" si="11"/>
        <v>0</v>
      </c>
      <c r="AB108" s="484">
        <f ca="1">IF('CDO Bespoke'!O109&lt;&gt;"",'CDO Bespoke'!O109,"")</f>
        <v>1.21253698607331</v>
      </c>
      <c r="AC108" s="485">
        <f ca="1">IF(AB108&lt;&gt;"",ABS(MIN(-0.75*('CDO Bespoke'!K109)+'CDO Bespoke'!T109,0)),"")</f>
        <v>0.60276322195236276</v>
      </c>
      <c r="AD108" s="485">
        <f t="shared" ca="1" si="12"/>
        <v>0.60977376412094719</v>
      </c>
      <c r="AE108" s="489">
        <f t="shared" ca="1" si="13"/>
        <v>0</v>
      </c>
      <c r="AF108" s="493">
        <f ca="1">IF('CDO Bespoke'!O109&lt;&gt;"",'CDO Bespoke'!O109,"")</f>
        <v>1.21253698607331</v>
      </c>
      <c r="AP108" s="494" t="str">
        <f ca="1">IF('CDO Bespoke'!C133&lt;&gt;"",'CDO Bespoke'!C133,"")</f>
        <v>WPP 2005 LIMITED</v>
      </c>
      <c r="AQ108" s="496"/>
      <c r="AR108" s="585"/>
      <c r="AS108" s="585"/>
      <c r="AT108" s="585"/>
      <c r="AU108" s="497"/>
      <c r="AV108" s="496"/>
      <c r="AW108" s="585"/>
      <c r="AX108" s="585"/>
      <c r="AY108" s="585"/>
      <c r="AZ108" s="497"/>
      <c r="BA108" s="580"/>
      <c r="BB108" s="580"/>
      <c r="BC108" s="580"/>
      <c r="BD108" s="580"/>
      <c r="BE108" s="580"/>
      <c r="BF108" s="580"/>
      <c r="BG108" s="579"/>
    </row>
    <row r="109" spans="2:59">
      <c r="B109" s="539" t="s">
        <v>538</v>
      </c>
      <c r="C109" s="540" t="s">
        <v>66</v>
      </c>
      <c r="D109" s="540" t="s">
        <v>55</v>
      </c>
      <c r="E109" s="540" t="s">
        <v>649</v>
      </c>
      <c r="F109" s="540" t="s">
        <v>648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ca="1">IF(X109&lt;&gt;"",IF($Y$8,MAX(X109-Y109,0),X109),0)</f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IF(AB109&lt;&gt;"",ABS(MIN(-0.75*('CDO Bespoke'!K110)+'CDO Bespoke'!T110,0)),"")</f>
        <v/>
      </c>
      <c r="AD109" s="485">
        <f t="shared" ca="1" si="12"/>
        <v>0</v>
      </c>
      <c r="AE109" s="489">
        <f t="shared" ca="1" si="13"/>
        <v>0</v>
      </c>
      <c r="AF109" s="493" t="str">
        <f ca="1">IF('CDO Bespoke'!O110&lt;&gt;"",'CDO Bespoke'!O110,"")</f>
        <v/>
      </c>
      <c r="AP109" s="494" t="str">
        <f ca="1">IF('CDO Bespoke'!C134&lt;&gt;"",'CDO Bespoke'!C134,"")</f>
        <v/>
      </c>
      <c r="AQ109" s="496"/>
      <c r="AR109" s="585"/>
      <c r="AS109" s="585"/>
      <c r="AT109" s="585"/>
      <c r="AU109" s="497"/>
      <c r="AV109" s="496"/>
      <c r="AW109" s="585"/>
      <c r="AX109" s="585"/>
      <c r="AY109" s="585"/>
      <c r="AZ109" s="497"/>
      <c r="BA109" s="580"/>
      <c r="BB109" s="580"/>
      <c r="BC109" s="580"/>
      <c r="BD109" s="580"/>
      <c r="BE109" s="580"/>
      <c r="BF109" s="580"/>
      <c r="BG109" s="579"/>
    </row>
    <row r="110" spans="2:59">
      <c r="B110" s="517" t="s">
        <v>538</v>
      </c>
      <c r="C110" s="518" t="s">
        <v>66</v>
      </c>
      <c r="D110" s="518" t="s">
        <v>57</v>
      </c>
      <c r="E110" s="518" t="s">
        <v>649</v>
      </c>
      <c r="F110" s="518" t="s">
        <v>648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IF(AB110&lt;&gt;"",ABS(MIN(-0.75*('CDO Bespoke'!K111)+'CDO Bespoke'!T111,0)),"")</f>
        <v/>
      </c>
      <c r="AD110" s="485">
        <f t="shared" ca="1" si="12"/>
        <v>0</v>
      </c>
      <c r="AE110" s="489">
        <f t="shared" ca="1" si="13"/>
        <v>0</v>
      </c>
      <c r="AF110" s="493" t="str">
        <f ca="1">IF('CDO Bespoke'!O111&lt;&gt;"",'CDO Bespoke'!O111,"")</f>
        <v/>
      </c>
      <c r="AP110" s="494" t="str">
        <f ca="1">IF('CDO Bespoke'!C135&lt;&gt;"",'CDO Bespoke'!C135,"")</f>
        <v/>
      </c>
      <c r="AQ110" s="496"/>
      <c r="AR110" s="585"/>
      <c r="AS110" s="585"/>
      <c r="AT110" s="585"/>
      <c r="AU110" s="497"/>
      <c r="AV110" s="496"/>
      <c r="AW110" s="585"/>
      <c r="AX110" s="585"/>
      <c r="AY110" s="585"/>
      <c r="AZ110" s="497"/>
      <c r="BA110" s="580"/>
      <c r="BB110" s="580"/>
      <c r="BC110" s="580"/>
      <c r="BD110" s="580"/>
      <c r="BE110" s="580"/>
      <c r="BF110" s="580"/>
      <c r="BG110" s="579"/>
    </row>
    <row r="111" spans="2:59">
      <c r="B111" s="534" t="s">
        <v>538</v>
      </c>
      <c r="C111" s="535" t="s">
        <v>66</v>
      </c>
      <c r="D111" s="535" t="s">
        <v>59</v>
      </c>
      <c r="E111" s="535" t="s">
        <v>649</v>
      </c>
      <c r="F111" s="535" t="s">
        <v>648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IF(AB111&lt;&gt;"",ABS(MIN(-0.75*('CDO Bespoke'!K112)+'CDO Bespoke'!T112,0)),"")</f>
        <v/>
      </c>
      <c r="AD111" s="485">
        <f t="shared" ca="1" si="12"/>
        <v>0</v>
      </c>
      <c r="AE111" s="489">
        <f t="shared" ca="1" si="13"/>
        <v>0</v>
      </c>
      <c r="AF111" s="493" t="str">
        <f ca="1">IF('CDO Bespoke'!O112&lt;&gt;"",'CDO Bespoke'!O112,"")</f>
        <v/>
      </c>
      <c r="AP111" s="494" t="str">
        <f ca="1">IF('CDO Bespoke'!C136&lt;&gt;"",'CDO Bespoke'!C136,"")</f>
        <v/>
      </c>
      <c r="AQ111" s="496"/>
      <c r="AR111" s="585"/>
      <c r="AS111" s="585"/>
      <c r="AT111" s="585"/>
      <c r="AU111" s="497"/>
      <c r="AV111" s="496"/>
      <c r="AW111" s="585"/>
      <c r="AX111" s="585"/>
      <c r="AY111" s="585"/>
      <c r="AZ111" s="497"/>
      <c r="BA111" s="580"/>
      <c r="BB111" s="580"/>
      <c r="BC111" s="580"/>
      <c r="BD111" s="580"/>
      <c r="BE111" s="580"/>
      <c r="BF111" s="580"/>
      <c r="BG111" s="579"/>
    </row>
    <row r="112" spans="2:59">
      <c r="B112" s="539" t="s">
        <v>539</v>
      </c>
      <c r="C112" s="540" t="s">
        <v>66</v>
      </c>
      <c r="D112" s="540" t="s">
        <v>55</v>
      </c>
      <c r="E112" s="540" t="s">
        <v>649</v>
      </c>
      <c r="F112" s="540" t="s">
        <v>675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IF(AB112&lt;&gt;"",ABS(MIN(-0.75*('CDO Bespoke'!K113)+'CDO Bespoke'!T113,0)),"")</f>
        <v/>
      </c>
      <c r="AD112" s="485">
        <f t="shared" ca="1" si="12"/>
        <v>0</v>
      </c>
      <c r="AE112" s="489">
        <f t="shared" ca="1" si="13"/>
        <v>0</v>
      </c>
      <c r="AF112" s="493" t="str">
        <f ca="1">IF('CDO Bespoke'!O113&lt;&gt;"",'CDO Bespoke'!O113,"")</f>
        <v/>
      </c>
      <c r="AP112" s="494" t="str">
        <f ca="1">IF('CDO Bespoke'!C137&lt;&gt;"",'CDO Bespoke'!C137,"")</f>
        <v/>
      </c>
      <c r="AQ112" s="496"/>
      <c r="AR112" s="585"/>
      <c r="AS112" s="585"/>
      <c r="AT112" s="585"/>
      <c r="AU112" s="497"/>
      <c r="AV112" s="496"/>
      <c r="AW112" s="585"/>
      <c r="AX112" s="585"/>
      <c r="AY112" s="585"/>
      <c r="AZ112" s="497"/>
      <c r="BA112" s="580"/>
      <c r="BB112" s="580"/>
      <c r="BC112" s="580"/>
      <c r="BD112" s="580"/>
      <c r="BE112" s="580"/>
      <c r="BF112" s="580"/>
      <c r="BG112" s="579"/>
    </row>
    <row r="113" spans="2:59">
      <c r="B113" s="517" t="s">
        <v>539</v>
      </c>
      <c r="C113" s="518" t="s">
        <v>66</v>
      </c>
      <c r="D113" s="518" t="s">
        <v>57</v>
      </c>
      <c r="E113" s="518" t="s">
        <v>649</v>
      </c>
      <c r="F113" s="518" t="s">
        <v>675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IF(AB113&lt;&gt;"",ABS(MIN(-0.75*('CDO Bespoke'!K114)+'CDO Bespoke'!T114,0)),"")</f>
        <v/>
      </c>
      <c r="AD113" s="485">
        <f t="shared" ca="1" si="12"/>
        <v>0</v>
      </c>
      <c r="AE113" s="489">
        <f t="shared" ca="1" si="13"/>
        <v>0</v>
      </c>
      <c r="AF113" s="493" t="str">
        <f ca="1">IF('CDO Bespoke'!O114&lt;&gt;"",'CDO Bespoke'!O114,"")</f>
        <v/>
      </c>
      <c r="AP113" s="494" t="str">
        <f ca="1">IF('CDO Bespoke'!C138&lt;&gt;"",'CDO Bespoke'!C138,"")</f>
        <v/>
      </c>
      <c r="AQ113" s="496"/>
      <c r="AR113" s="585"/>
      <c r="AS113" s="585"/>
      <c r="AT113" s="585"/>
      <c r="AU113" s="497"/>
      <c r="AV113" s="496"/>
      <c r="AW113" s="585"/>
      <c r="AX113" s="585"/>
      <c r="AY113" s="585"/>
      <c r="AZ113" s="497"/>
      <c r="BA113" s="580"/>
      <c r="BB113" s="580"/>
      <c r="BC113" s="580"/>
      <c r="BD113" s="580"/>
      <c r="BE113" s="580"/>
      <c r="BF113" s="580"/>
      <c r="BG113" s="579"/>
    </row>
    <row r="114" spans="2:59">
      <c r="B114" s="534" t="s">
        <v>539</v>
      </c>
      <c r="C114" s="535" t="s">
        <v>66</v>
      </c>
      <c r="D114" s="535" t="s">
        <v>59</v>
      </c>
      <c r="E114" s="535" t="s">
        <v>649</v>
      </c>
      <c r="F114" s="535" t="s">
        <v>675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IF(AB114&lt;&gt;"",ABS(MIN(-0.75*('CDO Bespoke'!K115)+'CDO Bespoke'!T115,0)),"")</f>
        <v/>
      </c>
      <c r="AD114" s="485">
        <f t="shared" ca="1" si="12"/>
        <v>0</v>
      </c>
      <c r="AE114" s="489">
        <f t="shared" ca="1" si="13"/>
        <v>0</v>
      </c>
      <c r="AF114" s="493" t="str">
        <f ca="1">IF('CDO Bespoke'!O115&lt;&gt;"",'CDO Bespoke'!O115,"")</f>
        <v/>
      </c>
      <c r="AP114" s="494" t="str">
        <f ca="1">IF('CDO Bespoke'!C139&lt;&gt;"",'CDO Bespoke'!C139,"")</f>
        <v/>
      </c>
      <c r="AQ114" s="496"/>
      <c r="AR114" s="585"/>
      <c r="AS114" s="585"/>
      <c r="AT114" s="585"/>
      <c r="AU114" s="497"/>
      <c r="AV114" s="496"/>
      <c r="AW114" s="585"/>
      <c r="AX114" s="585"/>
      <c r="AY114" s="585"/>
      <c r="AZ114" s="497"/>
      <c r="BA114" s="580"/>
      <c r="BB114" s="580"/>
      <c r="BC114" s="580"/>
      <c r="BD114" s="580"/>
      <c r="BE114" s="580"/>
      <c r="BF114" s="580"/>
      <c r="BG114" s="579"/>
    </row>
    <row r="115" spans="2:59">
      <c r="B115" s="539" t="s">
        <v>540</v>
      </c>
      <c r="C115" s="540" t="s">
        <v>66</v>
      </c>
      <c r="D115" s="540" t="s">
        <v>55</v>
      </c>
      <c r="E115" s="540" t="s">
        <v>649</v>
      </c>
      <c r="F115" s="540" t="s">
        <v>673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IF(AB115&lt;&gt;"",ABS(MIN(-0.75*('CDO Bespoke'!K116)+'CDO Bespoke'!T116,0)),"")</f>
        <v/>
      </c>
      <c r="AD115" s="485">
        <f t="shared" ca="1" si="12"/>
        <v>0</v>
      </c>
      <c r="AE115" s="489">
        <f t="shared" ca="1" si="13"/>
        <v>0</v>
      </c>
      <c r="AF115" s="493" t="str">
        <f ca="1">IF('CDO Bespoke'!O116&lt;&gt;"",'CDO Bespoke'!O116,"")</f>
        <v/>
      </c>
      <c r="AP115" s="494" t="str">
        <f ca="1">IF('CDO Bespoke'!C140&lt;&gt;"",'CDO Bespoke'!C140,"")</f>
        <v/>
      </c>
      <c r="AQ115" s="496"/>
      <c r="AR115" s="585"/>
      <c r="AS115" s="585"/>
      <c r="AT115" s="585"/>
      <c r="AU115" s="497"/>
      <c r="AV115" s="496"/>
      <c r="AW115" s="585"/>
      <c r="AX115" s="585"/>
      <c r="AY115" s="585"/>
      <c r="AZ115" s="497"/>
      <c r="BA115" s="580"/>
      <c r="BB115" s="580"/>
      <c r="BC115" s="580"/>
      <c r="BD115" s="580"/>
      <c r="BE115" s="580"/>
      <c r="BF115" s="580"/>
      <c r="BG115" s="579"/>
    </row>
    <row r="116" spans="2:59">
      <c r="B116" s="517" t="s">
        <v>540</v>
      </c>
      <c r="C116" s="518" t="s">
        <v>66</v>
      </c>
      <c r="D116" s="518" t="s">
        <v>57</v>
      </c>
      <c r="E116" s="518" t="s">
        <v>649</v>
      </c>
      <c r="F116" s="518" t="s">
        <v>673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IF(AB116&lt;&gt;"",ABS(MIN(-0.75*('CDO Bespoke'!K117)+'CDO Bespoke'!T117,0)),"")</f>
        <v/>
      </c>
      <c r="AD116" s="485">
        <f t="shared" ca="1" si="12"/>
        <v>0</v>
      </c>
      <c r="AE116" s="489">
        <f t="shared" ca="1" si="13"/>
        <v>0</v>
      </c>
      <c r="AF116" s="493" t="str">
        <f ca="1">IF('CDO Bespoke'!O117&lt;&gt;"",'CDO Bespoke'!O117,"")</f>
        <v/>
      </c>
      <c r="AP116" s="494" t="str">
        <f ca="1">IF('CDO Bespoke'!C141&lt;&gt;"",'CDO Bespoke'!C141,"")</f>
        <v/>
      </c>
      <c r="AQ116" s="496"/>
      <c r="AR116" s="585"/>
      <c r="AS116" s="585"/>
      <c r="AT116" s="585"/>
      <c r="AU116" s="497"/>
      <c r="AV116" s="496"/>
      <c r="AW116" s="585"/>
      <c r="AX116" s="585"/>
      <c r="AY116" s="585"/>
      <c r="AZ116" s="497"/>
      <c r="BA116" s="580"/>
      <c r="BB116" s="580"/>
      <c r="BC116" s="580"/>
      <c r="BD116" s="580"/>
      <c r="BE116" s="580"/>
      <c r="BF116" s="580"/>
      <c r="BG116" s="579"/>
    </row>
    <row r="117" spans="2:59">
      <c r="B117" s="534" t="s">
        <v>540</v>
      </c>
      <c r="C117" s="535" t="s">
        <v>66</v>
      </c>
      <c r="D117" s="535" t="s">
        <v>59</v>
      </c>
      <c r="E117" s="535" t="s">
        <v>649</v>
      </c>
      <c r="F117" s="535" t="s">
        <v>673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IF(AB117&lt;&gt;"",ABS(MIN(-0.75*('CDO Bespoke'!K118)+'CDO Bespoke'!T118,0)),"")</f>
        <v/>
      </c>
      <c r="AD117" s="485">
        <f t="shared" ca="1" si="12"/>
        <v>0</v>
      </c>
      <c r="AE117" s="489">
        <f t="shared" ca="1" si="13"/>
        <v>0</v>
      </c>
      <c r="AF117" s="493" t="str">
        <f ca="1">IF('CDO Bespoke'!O118&lt;&gt;"",'CDO Bespoke'!O118,"")</f>
        <v/>
      </c>
      <c r="AP117" s="494" t="str">
        <f ca="1">IF('CDO Bespoke'!C142&lt;&gt;"",'CDO Bespoke'!C142,"")</f>
        <v/>
      </c>
      <c r="AQ117" s="496"/>
      <c r="AR117" s="585"/>
      <c r="AS117" s="585"/>
      <c r="AT117" s="585"/>
      <c r="AU117" s="497"/>
      <c r="AV117" s="496"/>
      <c r="AW117" s="585"/>
      <c r="AX117" s="585"/>
      <c r="AY117" s="585"/>
      <c r="AZ117" s="497"/>
      <c r="BA117" s="580"/>
      <c r="BB117" s="580"/>
      <c r="BC117" s="580"/>
      <c r="BD117" s="580"/>
      <c r="BE117" s="580"/>
      <c r="BF117" s="580"/>
      <c r="BG117" s="579"/>
    </row>
    <row r="118" spans="2:59">
      <c r="B118" s="539" t="s">
        <v>525</v>
      </c>
      <c r="C118" s="540" t="s">
        <v>66</v>
      </c>
      <c r="D118" s="540" t="s">
        <v>55</v>
      </c>
      <c r="E118" s="540" t="s">
        <v>649</v>
      </c>
      <c r="F118" s="540" t="s">
        <v>675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IF(AB118&lt;&gt;"",ABS(MIN(-0.75*('CDO Bespoke'!K119)+'CDO Bespoke'!T119,0)),"")</f>
        <v/>
      </c>
      <c r="AD118" s="485">
        <f t="shared" ca="1" si="12"/>
        <v>0</v>
      </c>
      <c r="AE118" s="489">
        <f t="shared" ca="1" si="13"/>
        <v>0</v>
      </c>
      <c r="AF118" s="493" t="str">
        <f ca="1">IF('CDO Bespoke'!O119&lt;&gt;"",'CDO Bespoke'!O119,"")</f>
        <v/>
      </c>
      <c r="AP118" s="494" t="str">
        <f ca="1">IF('CDO Bespoke'!C143&lt;&gt;"",'CDO Bespoke'!C143,"")</f>
        <v/>
      </c>
      <c r="AQ118" s="496"/>
      <c r="AR118" s="585"/>
      <c r="AS118" s="585"/>
      <c r="AT118" s="585"/>
      <c r="AU118" s="497"/>
      <c r="AV118" s="496"/>
      <c r="AW118" s="585"/>
      <c r="AX118" s="585"/>
      <c r="AY118" s="585"/>
      <c r="AZ118" s="497"/>
      <c r="BA118" s="580"/>
      <c r="BB118" s="580"/>
      <c r="BC118" s="580"/>
      <c r="BD118" s="580"/>
      <c r="BE118" s="580"/>
      <c r="BF118" s="580"/>
      <c r="BG118" s="579"/>
    </row>
    <row r="119" spans="2:59">
      <c r="B119" s="517" t="s">
        <v>525</v>
      </c>
      <c r="C119" s="518" t="s">
        <v>66</v>
      </c>
      <c r="D119" s="518" t="s">
        <v>57</v>
      </c>
      <c r="E119" s="518" t="s">
        <v>649</v>
      </c>
      <c r="F119" s="518" t="s">
        <v>675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IF(AB119&lt;&gt;"",ABS(MIN(-0.75*('CDO Bespoke'!K120)+'CDO Bespoke'!T120,0)),"")</f>
        <v/>
      </c>
      <c r="AD119" s="485">
        <f t="shared" ca="1" si="12"/>
        <v>0</v>
      </c>
      <c r="AE119" s="489">
        <f t="shared" ca="1" si="13"/>
        <v>0</v>
      </c>
      <c r="AF119" s="493" t="str">
        <f ca="1">IF('CDO Bespoke'!O120&lt;&gt;"",'CDO Bespoke'!O120,"")</f>
        <v/>
      </c>
      <c r="AP119" s="494" t="str">
        <f ca="1">IF('CDO Bespoke'!C144&lt;&gt;"",'CDO Bespoke'!C144,"")</f>
        <v/>
      </c>
      <c r="AQ119" s="496"/>
      <c r="AR119" s="585"/>
      <c r="AS119" s="585"/>
      <c r="AT119" s="585"/>
      <c r="AU119" s="497"/>
      <c r="AV119" s="496"/>
      <c r="AW119" s="585"/>
      <c r="AX119" s="585"/>
      <c r="AY119" s="585"/>
      <c r="AZ119" s="497"/>
      <c r="BA119" s="580"/>
      <c r="BB119" s="580"/>
      <c r="BC119" s="580"/>
      <c r="BD119" s="580"/>
      <c r="BE119" s="580"/>
      <c r="BF119" s="580"/>
      <c r="BG119" s="579"/>
    </row>
    <row r="120" spans="2:59">
      <c r="B120" s="534" t="s">
        <v>525</v>
      </c>
      <c r="C120" s="535" t="s">
        <v>66</v>
      </c>
      <c r="D120" s="535" t="s">
        <v>59</v>
      </c>
      <c r="E120" s="535" t="s">
        <v>649</v>
      </c>
      <c r="F120" s="535" t="s">
        <v>675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IF(AB120&lt;&gt;"",ABS(MIN(-0.75*('CDO Bespoke'!K121)+'CDO Bespoke'!T121,0)),"")</f>
        <v/>
      </c>
      <c r="AD120" s="485">
        <f t="shared" ca="1" si="12"/>
        <v>0</v>
      </c>
      <c r="AE120" s="489">
        <f t="shared" ca="1" si="13"/>
        <v>0</v>
      </c>
      <c r="AF120" s="493" t="str">
        <f ca="1">IF('CDO Bespoke'!O121&lt;&gt;"",'CDO Bespoke'!O121,"")</f>
        <v/>
      </c>
      <c r="AP120" s="494" t="str">
        <f ca="1">IF('CDO Bespoke'!C145&lt;&gt;"",'CDO Bespoke'!C145,"")</f>
        <v/>
      </c>
      <c r="AQ120" s="496"/>
      <c r="AR120" s="585"/>
      <c r="AS120" s="585"/>
      <c r="AT120" s="585"/>
      <c r="AU120" s="497"/>
      <c r="AV120" s="496"/>
      <c r="AW120" s="585"/>
      <c r="AX120" s="585"/>
      <c r="AY120" s="585"/>
      <c r="AZ120" s="497"/>
      <c r="BA120" s="580"/>
      <c r="BB120" s="580"/>
      <c r="BC120" s="580"/>
      <c r="BD120" s="580"/>
      <c r="BE120" s="580"/>
      <c r="BF120" s="580"/>
      <c r="BG120" s="579"/>
    </row>
    <row r="121" spans="2:59">
      <c r="B121" s="539" t="s">
        <v>526</v>
      </c>
      <c r="C121" s="540" t="s">
        <v>66</v>
      </c>
      <c r="D121" s="540" t="s">
        <v>55</v>
      </c>
      <c r="E121" s="540" t="s">
        <v>649</v>
      </c>
      <c r="F121" s="540" t="s">
        <v>676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IF(AB121&lt;&gt;"",ABS(MIN(-0.75*('CDO Bespoke'!K122)+'CDO Bespoke'!T122,0)),"")</f>
        <v/>
      </c>
      <c r="AD121" s="485">
        <f t="shared" ca="1" si="12"/>
        <v>0</v>
      </c>
      <c r="AE121" s="489">
        <f t="shared" ca="1" si="13"/>
        <v>0</v>
      </c>
      <c r="AF121" s="493" t="str">
        <f ca="1">IF('CDO Bespoke'!O122&lt;&gt;"",'CDO Bespoke'!O122,"")</f>
        <v/>
      </c>
      <c r="AP121" s="494" t="str">
        <f ca="1">IF('CDO Bespoke'!C146&lt;&gt;"",'CDO Bespoke'!C146,"")</f>
        <v/>
      </c>
      <c r="AQ121" s="496"/>
      <c r="AR121" s="585"/>
      <c r="AS121" s="585"/>
      <c r="AT121" s="585"/>
      <c r="AU121" s="497"/>
      <c r="AV121" s="496"/>
      <c r="AW121" s="585"/>
      <c r="AX121" s="585"/>
      <c r="AY121" s="585"/>
      <c r="AZ121" s="497"/>
      <c r="BA121" s="580"/>
      <c r="BB121" s="580"/>
      <c r="BC121" s="580"/>
      <c r="BD121" s="580"/>
      <c r="BE121" s="580"/>
      <c r="BF121" s="580"/>
      <c r="BG121" s="579"/>
    </row>
    <row r="122" spans="2:59">
      <c r="B122" s="517" t="s">
        <v>526</v>
      </c>
      <c r="C122" s="518" t="s">
        <v>66</v>
      </c>
      <c r="D122" s="518" t="s">
        <v>57</v>
      </c>
      <c r="E122" s="518" t="s">
        <v>649</v>
      </c>
      <c r="F122" s="518" t="s">
        <v>676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IF(AB122&lt;&gt;"",ABS(MIN(-0.75*('CDO Bespoke'!K123)+'CDO Bespoke'!T123,0)),"")</f>
        <v/>
      </c>
      <c r="AD122" s="485">
        <f t="shared" ca="1" si="12"/>
        <v>0</v>
      </c>
      <c r="AE122" s="489">
        <f t="shared" ca="1" si="13"/>
        <v>0</v>
      </c>
      <c r="AF122" s="493" t="str">
        <f ca="1">IF('CDO Bespoke'!O123&lt;&gt;"",'CDO Bespoke'!O123,"")</f>
        <v/>
      </c>
      <c r="AP122" s="494" t="str">
        <f ca="1">IF('CDO Bespoke'!C147&lt;&gt;"",'CDO Bespoke'!C147,"")</f>
        <v/>
      </c>
      <c r="AQ122" s="496"/>
      <c r="AR122" s="585"/>
      <c r="AS122" s="585"/>
      <c r="AT122" s="585"/>
      <c r="AU122" s="497"/>
      <c r="AV122" s="496"/>
      <c r="AW122" s="585"/>
      <c r="AX122" s="585"/>
      <c r="AY122" s="585"/>
      <c r="AZ122" s="497"/>
      <c r="BA122" s="580"/>
      <c r="BB122" s="580"/>
      <c r="BC122" s="580"/>
      <c r="BD122" s="580"/>
      <c r="BE122" s="580"/>
      <c r="BF122" s="580"/>
      <c r="BG122" s="579"/>
    </row>
    <row r="123" spans="2:59">
      <c r="B123" s="534" t="s">
        <v>526</v>
      </c>
      <c r="C123" s="535" t="s">
        <v>66</v>
      </c>
      <c r="D123" s="535" t="s">
        <v>59</v>
      </c>
      <c r="E123" s="535" t="s">
        <v>649</v>
      </c>
      <c r="F123" s="535" t="s">
        <v>676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IF(AB123&lt;&gt;"",ABS(MIN(-0.75*('CDO Bespoke'!K124)+'CDO Bespoke'!T124,0)),"")</f>
        <v/>
      </c>
      <c r="AD123" s="485">
        <f t="shared" ca="1" si="12"/>
        <v>0</v>
      </c>
      <c r="AE123" s="489">
        <f t="shared" ca="1" si="13"/>
        <v>0</v>
      </c>
      <c r="AF123" s="493" t="str">
        <f ca="1">IF('CDO Bespoke'!O124&lt;&gt;"",'CDO Bespoke'!O124,"")</f>
        <v/>
      </c>
      <c r="AP123" s="494" t="str">
        <f ca="1">IF('CDO Bespoke'!C148&lt;&gt;"",'CDO Bespoke'!C148,"")</f>
        <v/>
      </c>
      <c r="AQ123" s="496"/>
      <c r="AR123" s="585"/>
      <c r="AS123" s="585"/>
      <c r="AT123" s="585"/>
      <c r="AU123" s="497"/>
      <c r="AV123" s="496"/>
      <c r="AW123" s="585"/>
      <c r="AX123" s="585"/>
      <c r="AY123" s="585"/>
      <c r="AZ123" s="497"/>
      <c r="BA123" s="580"/>
      <c r="BB123" s="580"/>
      <c r="BC123" s="580"/>
      <c r="BD123" s="580"/>
      <c r="BE123" s="580"/>
      <c r="BF123" s="580"/>
      <c r="BG123" s="579"/>
    </row>
    <row r="124" spans="2:59">
      <c r="B124" s="539" t="s">
        <v>527</v>
      </c>
      <c r="C124" s="540" t="s">
        <v>66</v>
      </c>
      <c r="D124" s="540" t="s">
        <v>55</v>
      </c>
      <c r="E124" s="540" t="s">
        <v>647</v>
      </c>
      <c r="F124" s="540" t="s">
        <v>648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IF(AB124&lt;&gt;"",ABS(MIN(-0.75*('CDO Bespoke'!K125)+'CDO Bespoke'!T125,0)),"")</f>
        <v/>
      </c>
      <c r="AD124" s="485">
        <f t="shared" ca="1" si="12"/>
        <v>0</v>
      </c>
      <c r="AE124" s="489">
        <f t="shared" ca="1" si="13"/>
        <v>0</v>
      </c>
      <c r="AF124" s="493" t="str">
        <f ca="1">IF('CDO Bespoke'!O125&lt;&gt;"",'CDO Bespoke'!O125,"")</f>
        <v/>
      </c>
      <c r="AP124" s="494" t="str">
        <f ca="1">IF('CDO Bespoke'!C149&lt;&gt;"",'CDO Bespoke'!C149,"")</f>
        <v/>
      </c>
      <c r="AQ124" s="496"/>
      <c r="AR124" s="585"/>
      <c r="AS124" s="585"/>
      <c r="AT124" s="585"/>
      <c r="AU124" s="497"/>
      <c r="AV124" s="496"/>
      <c r="AW124" s="585"/>
      <c r="AX124" s="585"/>
      <c r="AY124" s="585"/>
      <c r="AZ124" s="497"/>
      <c r="BA124" s="580"/>
      <c r="BB124" s="580"/>
      <c r="BC124" s="580"/>
      <c r="BD124" s="580"/>
      <c r="BE124" s="580"/>
      <c r="BF124" s="580"/>
      <c r="BG124" s="579"/>
    </row>
    <row r="125" spans="2:59">
      <c r="B125" s="517" t="s">
        <v>527</v>
      </c>
      <c r="C125" s="518" t="s">
        <v>66</v>
      </c>
      <c r="D125" s="518" t="s">
        <v>57</v>
      </c>
      <c r="E125" s="518" t="s">
        <v>647</v>
      </c>
      <c r="F125" s="518" t="s">
        <v>648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IF(AB125&lt;&gt;"",ABS(MIN(-0.75*('CDO Bespoke'!K126)+'CDO Bespoke'!T126,0)),"")</f>
        <v/>
      </c>
      <c r="AD125" s="485">
        <f t="shared" ca="1" si="12"/>
        <v>0</v>
      </c>
      <c r="AE125" s="489">
        <f t="shared" ca="1" si="13"/>
        <v>0</v>
      </c>
      <c r="AF125" s="493" t="str">
        <f ca="1">IF('CDO Bespoke'!O126&lt;&gt;"",'CDO Bespoke'!O126,"")</f>
        <v/>
      </c>
      <c r="AP125" s="494" t="str">
        <f ca="1">IF('CDO Bespoke'!C150&lt;&gt;"",'CDO Bespoke'!C150,"")</f>
        <v/>
      </c>
      <c r="AQ125" s="496"/>
      <c r="AR125" s="585"/>
      <c r="AS125" s="585"/>
      <c r="AT125" s="585"/>
      <c r="AU125" s="497"/>
      <c r="AV125" s="496"/>
      <c r="AW125" s="585"/>
      <c r="AX125" s="585"/>
      <c r="AY125" s="585"/>
      <c r="AZ125" s="497"/>
      <c r="BA125" s="580"/>
      <c r="BB125" s="580"/>
      <c r="BC125" s="580"/>
      <c r="BD125" s="580"/>
      <c r="BE125" s="580"/>
      <c r="BF125" s="580"/>
      <c r="BG125" s="579"/>
    </row>
    <row r="126" spans="2:59">
      <c r="B126" s="534" t="s">
        <v>527</v>
      </c>
      <c r="C126" s="535" t="s">
        <v>66</v>
      </c>
      <c r="D126" s="535" t="s">
        <v>59</v>
      </c>
      <c r="E126" s="535" t="s">
        <v>647</v>
      </c>
      <c r="F126" s="535" t="s">
        <v>648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IF(AB126&lt;&gt;"",ABS(MIN(-0.75*('CDO Bespoke'!K127)+'CDO Bespoke'!T127,0)),"")</f>
        <v/>
      </c>
      <c r="AD126" s="485">
        <f t="shared" ca="1" si="12"/>
        <v>0</v>
      </c>
      <c r="AE126" s="489">
        <f t="shared" ca="1" si="13"/>
        <v>0</v>
      </c>
      <c r="AF126" s="493" t="str">
        <f ca="1">IF('CDO Bespoke'!O127&lt;&gt;"",'CDO Bespoke'!O127,"")</f>
        <v/>
      </c>
      <c r="AP126" s="494" t="str">
        <f ca="1">IF('CDO Bespoke'!C151&lt;&gt;"",'CDO Bespoke'!C151,"")</f>
        <v/>
      </c>
      <c r="AQ126" s="496"/>
      <c r="AR126" s="585"/>
      <c r="AS126" s="585"/>
      <c r="AT126" s="585"/>
      <c r="AU126" s="497"/>
      <c r="AV126" s="496"/>
      <c r="AW126" s="585"/>
      <c r="AX126" s="585"/>
      <c r="AY126" s="585"/>
      <c r="AZ126" s="497"/>
      <c r="BA126" s="580"/>
      <c r="BB126" s="580"/>
      <c r="BC126" s="580"/>
      <c r="BD126" s="580"/>
      <c r="BE126" s="580"/>
      <c r="BF126" s="580"/>
      <c r="BG126" s="579"/>
    </row>
    <row r="127" spans="2:59">
      <c r="B127" s="539" t="s">
        <v>541</v>
      </c>
      <c r="C127" s="540" t="s">
        <v>66</v>
      </c>
      <c r="D127" s="540" t="s">
        <v>55</v>
      </c>
      <c r="E127" s="540" t="s">
        <v>647</v>
      </c>
      <c r="F127" s="540" t="s">
        <v>673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IF(AB127&lt;&gt;"",ABS(MIN(-0.75*('CDO Bespoke'!K128)+'CDO Bespoke'!T128,0)),"")</f>
        <v/>
      </c>
      <c r="AD127" s="485">
        <f t="shared" ca="1" si="12"/>
        <v>0</v>
      </c>
      <c r="AE127" s="489">
        <f t="shared" ca="1" si="13"/>
        <v>0</v>
      </c>
      <c r="AF127" s="493" t="str">
        <f ca="1">IF('CDO Bespoke'!O128&lt;&gt;"",'CDO Bespoke'!O128,"")</f>
        <v/>
      </c>
      <c r="AP127" s="494" t="str">
        <f ca="1">IF('CDO Bespoke'!C152&lt;&gt;"",'CDO Bespoke'!C152,"")</f>
        <v/>
      </c>
      <c r="AQ127" s="496"/>
      <c r="AR127" s="585"/>
      <c r="AS127" s="585"/>
      <c r="AT127" s="585"/>
      <c r="AU127" s="497"/>
      <c r="AV127" s="496"/>
      <c r="AW127" s="585"/>
      <c r="AX127" s="585"/>
      <c r="AY127" s="585"/>
      <c r="AZ127" s="497"/>
      <c r="BA127" s="580"/>
      <c r="BB127" s="580"/>
      <c r="BC127" s="580"/>
      <c r="BD127" s="580"/>
      <c r="BE127" s="580"/>
      <c r="BF127" s="580"/>
      <c r="BG127" s="579"/>
    </row>
    <row r="128" spans="2:59">
      <c r="B128" s="517" t="s">
        <v>541</v>
      </c>
      <c r="C128" s="518" t="s">
        <v>66</v>
      </c>
      <c r="D128" s="518" t="s">
        <v>57</v>
      </c>
      <c r="E128" s="518" t="s">
        <v>647</v>
      </c>
      <c r="F128" s="518" t="s">
        <v>673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IF(AB128&lt;&gt;"",ABS(MIN(-0.75*('CDO Bespoke'!K129)+'CDO Bespoke'!T129,0)),"")</f>
        <v/>
      </c>
      <c r="AD128" s="485">
        <f t="shared" ca="1" si="12"/>
        <v>0</v>
      </c>
      <c r="AE128" s="489">
        <f t="shared" ca="1" si="13"/>
        <v>0</v>
      </c>
      <c r="AF128" s="493" t="str">
        <f ca="1">IF('CDO Bespoke'!O129&lt;&gt;"",'CDO Bespoke'!O129,"")</f>
        <v/>
      </c>
      <c r="AP128" s="494" t="str">
        <f ca="1">IF('CDO Bespoke'!C153&lt;&gt;"",'CDO Bespoke'!C153,"")</f>
        <v/>
      </c>
      <c r="AQ128" s="496"/>
      <c r="AR128" s="585"/>
      <c r="AS128" s="585"/>
      <c r="AT128" s="585"/>
      <c r="AU128" s="497"/>
      <c r="AV128" s="496"/>
      <c r="AW128" s="585"/>
      <c r="AX128" s="585"/>
      <c r="AY128" s="585"/>
      <c r="AZ128" s="497"/>
      <c r="BA128" s="580"/>
      <c r="BB128" s="580"/>
      <c r="BC128" s="580"/>
      <c r="BD128" s="580"/>
      <c r="BE128" s="580"/>
      <c r="BF128" s="580"/>
      <c r="BG128" s="579"/>
    </row>
    <row r="129" spans="2:59">
      <c r="B129" s="534" t="s">
        <v>541</v>
      </c>
      <c r="C129" s="535" t="s">
        <v>66</v>
      </c>
      <c r="D129" s="535" t="s">
        <v>59</v>
      </c>
      <c r="E129" s="535" t="s">
        <v>647</v>
      </c>
      <c r="F129" s="535" t="s">
        <v>673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IF(AB129&lt;&gt;"",ABS(MIN(-0.75*('CDO Bespoke'!K130)+'CDO Bespoke'!T130,0)),"")</f>
        <v/>
      </c>
      <c r="AD129" s="485">
        <f t="shared" ca="1" si="12"/>
        <v>0</v>
      </c>
      <c r="AE129" s="489">
        <f t="shared" ca="1" si="13"/>
        <v>0</v>
      </c>
      <c r="AF129" s="493" t="str">
        <f ca="1">IF('CDO Bespoke'!O130&lt;&gt;"",'CDO Bespoke'!O130,"")</f>
        <v/>
      </c>
      <c r="AP129" s="494" t="str">
        <f ca="1">IF('CDO Bespoke'!C154&lt;&gt;"",'CDO Bespoke'!C154,"")</f>
        <v/>
      </c>
      <c r="AQ129" s="496"/>
      <c r="AR129" s="585"/>
      <c r="AS129" s="585"/>
      <c r="AT129" s="585"/>
      <c r="AU129" s="497"/>
      <c r="AV129" s="496"/>
      <c r="AW129" s="585"/>
      <c r="AX129" s="585"/>
      <c r="AY129" s="585"/>
      <c r="AZ129" s="497"/>
      <c r="BA129" s="580"/>
      <c r="BB129" s="580"/>
      <c r="BC129" s="580"/>
      <c r="BD129" s="580"/>
      <c r="BE129" s="580"/>
      <c r="BF129" s="580"/>
      <c r="BG129" s="579"/>
    </row>
    <row r="130" spans="2:59">
      <c r="B130" s="539" t="s">
        <v>528</v>
      </c>
      <c r="C130" s="540" t="s">
        <v>66</v>
      </c>
      <c r="D130" s="540" t="s">
        <v>55</v>
      </c>
      <c r="E130" s="540" t="s">
        <v>649</v>
      </c>
      <c r="F130" s="540" t="s">
        <v>676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IF(AB130&lt;&gt;"",ABS(MIN(-0.75*('CDO Bespoke'!K131)+'CDO Bespoke'!T131,0)),"")</f>
        <v/>
      </c>
      <c r="AD130" s="485">
        <f t="shared" ca="1" si="12"/>
        <v>0</v>
      </c>
      <c r="AE130" s="489">
        <f t="shared" ca="1" si="13"/>
        <v>0</v>
      </c>
      <c r="AF130" s="493" t="str">
        <f ca="1">IF('CDO Bespoke'!O131&lt;&gt;"",'CDO Bespoke'!O131,"")</f>
        <v/>
      </c>
      <c r="AP130" s="494" t="str">
        <f ca="1">IF('CDO Bespoke'!C155&lt;&gt;"",'CDO Bespoke'!C155,"")</f>
        <v/>
      </c>
      <c r="AQ130" s="496"/>
      <c r="AR130" s="585"/>
      <c r="AS130" s="585"/>
      <c r="AT130" s="585"/>
      <c r="AU130" s="497"/>
      <c r="AV130" s="496"/>
      <c r="AW130" s="585"/>
      <c r="AX130" s="585"/>
      <c r="AY130" s="585"/>
      <c r="AZ130" s="497"/>
      <c r="BA130" s="580"/>
      <c r="BB130" s="580"/>
      <c r="BC130" s="580"/>
      <c r="BD130" s="580"/>
      <c r="BE130" s="580"/>
      <c r="BF130" s="580"/>
      <c r="BG130" s="579"/>
    </row>
    <row r="131" spans="2:59">
      <c r="B131" s="517" t="s">
        <v>528</v>
      </c>
      <c r="C131" s="518" t="s">
        <v>66</v>
      </c>
      <c r="D131" s="518" t="s">
        <v>57</v>
      </c>
      <c r="E131" s="518" t="s">
        <v>649</v>
      </c>
      <c r="F131" s="518" t="s">
        <v>676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IF(AB131&lt;&gt;"",ABS(MIN(-0.75*('CDO Bespoke'!K132)+'CDO Bespoke'!T132,0)),"")</f>
        <v/>
      </c>
      <c r="AD131" s="485">
        <f t="shared" ca="1" si="12"/>
        <v>0</v>
      </c>
      <c r="AE131" s="489">
        <f t="shared" ca="1" si="13"/>
        <v>0</v>
      </c>
      <c r="AF131" s="493" t="str">
        <f ca="1">IF('CDO Bespoke'!O132&lt;&gt;"",'CDO Bespoke'!O132,"")</f>
        <v/>
      </c>
      <c r="AP131" s="494" t="str">
        <f ca="1">IF('CDO Bespoke'!C156&lt;&gt;"",'CDO Bespoke'!C156,"")</f>
        <v/>
      </c>
      <c r="AQ131" s="496"/>
      <c r="AR131" s="585"/>
      <c r="AS131" s="585"/>
      <c r="AT131" s="585"/>
      <c r="AU131" s="497"/>
      <c r="AV131" s="496"/>
      <c r="AW131" s="585"/>
      <c r="AX131" s="585"/>
      <c r="AY131" s="585"/>
      <c r="AZ131" s="497"/>
      <c r="BA131" s="580"/>
      <c r="BB131" s="580"/>
      <c r="BC131" s="580"/>
      <c r="BD131" s="580"/>
      <c r="BE131" s="580"/>
      <c r="BF131" s="580"/>
      <c r="BG131" s="579"/>
    </row>
    <row r="132" spans="2:59">
      <c r="B132" s="534" t="s">
        <v>528</v>
      </c>
      <c r="C132" s="535" t="s">
        <v>66</v>
      </c>
      <c r="D132" s="535" t="s">
        <v>59</v>
      </c>
      <c r="E132" s="535" t="s">
        <v>649</v>
      </c>
      <c r="F132" s="535" t="s">
        <v>676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IF(AB132&lt;&gt;"",ABS(MIN(-0.75*('CDO Bespoke'!K133)+'CDO Bespoke'!T133,0)),"")</f>
        <v/>
      </c>
      <c r="AD132" s="485">
        <f t="shared" ca="1" si="12"/>
        <v>0</v>
      </c>
      <c r="AE132" s="489">
        <f t="shared" ca="1" si="13"/>
        <v>0</v>
      </c>
      <c r="AF132" s="493" t="str">
        <f ca="1">IF('CDO Bespoke'!O133&lt;&gt;"",'CDO Bespoke'!O133,"")</f>
        <v/>
      </c>
      <c r="AP132" s="494" t="str">
        <f ca="1">IF('CDO Bespoke'!C157&lt;&gt;"",'CDO Bespoke'!C157,"")</f>
        <v/>
      </c>
      <c r="AQ132" s="496"/>
      <c r="AR132" s="585"/>
      <c r="AS132" s="585"/>
      <c r="AT132" s="585"/>
      <c r="AU132" s="497"/>
      <c r="AV132" s="496"/>
      <c r="AW132" s="585"/>
      <c r="AX132" s="585"/>
      <c r="AY132" s="585"/>
      <c r="AZ132" s="497"/>
      <c r="BA132" s="580"/>
      <c r="BB132" s="580"/>
      <c r="BC132" s="580"/>
      <c r="BD132" s="580"/>
      <c r="BE132" s="580"/>
      <c r="BF132" s="580"/>
      <c r="BG132" s="579"/>
    </row>
    <row r="133" spans="2:59" ht="12" thickBot="1">
      <c r="B133" s="539" t="s">
        <v>542</v>
      </c>
      <c r="C133" s="540" t="s">
        <v>66</v>
      </c>
      <c r="D133" s="540" t="s">
        <v>55</v>
      </c>
      <c r="E133" s="540" t="s">
        <v>649</v>
      </c>
      <c r="F133" s="540" t="s">
        <v>673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IF(AB133&lt;&gt;"",ABS(MIN(-0.75*('CDO Bespoke'!K134)+'CDO Bespoke'!T134,0)),"")</f>
        <v/>
      </c>
      <c r="AD133" s="485">
        <f t="shared" ca="1" si="12"/>
        <v>0</v>
      </c>
      <c r="AE133" s="489">
        <f t="shared" ca="1" si="13"/>
        <v>0</v>
      </c>
      <c r="AF133" s="493" t="str">
        <f ca="1">IF('CDO Bespoke'!O134&lt;&gt;"",'CDO Bespoke'!O134,"")</f>
        <v/>
      </c>
      <c r="AP133" s="494" t="str">
        <f ca="1">IF('CDO Bespoke'!C158&lt;&gt;"",'CDO Bespoke'!C158,"")</f>
        <v/>
      </c>
      <c r="AQ133" s="496"/>
      <c r="AR133" s="585"/>
      <c r="AS133" s="585"/>
      <c r="AT133" s="585"/>
      <c r="AU133" s="497"/>
      <c r="AV133" s="496"/>
      <c r="AW133" s="585"/>
      <c r="AX133" s="585"/>
      <c r="AY133" s="585"/>
      <c r="AZ133" s="497"/>
      <c r="BA133" s="580"/>
      <c r="BB133" s="580"/>
      <c r="BC133" s="580"/>
      <c r="BD133" s="580"/>
      <c r="BE133" s="580"/>
      <c r="BF133" s="580"/>
      <c r="BG133" s="579"/>
    </row>
    <row r="134" spans="2:59">
      <c r="B134" s="517" t="s">
        <v>542</v>
      </c>
      <c r="C134" s="518" t="s">
        <v>66</v>
      </c>
      <c r="D134" s="518" t="s">
        <v>57</v>
      </c>
      <c r="E134" s="518" t="s">
        <v>649</v>
      </c>
      <c r="F134" s="518" t="s">
        <v>673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IF(AB134&lt;&gt;"",ABS(MIN(-0.75*('CDO Bespoke'!K135)+'CDO Bespoke'!T135,0)),"")</f>
        <v/>
      </c>
      <c r="AD134" s="485">
        <f t="shared" ca="1" si="12"/>
        <v>0</v>
      </c>
      <c r="AE134" s="489">
        <f t="shared" ca="1" si="13"/>
        <v>0</v>
      </c>
      <c r="AF134" s="493" t="str">
        <f ca="1">IF('CDO Bespoke'!O135&lt;&gt;"",'CDO Bespoke'!O135,"")</f>
        <v/>
      </c>
      <c r="AP134" s="494" t="str">
        <f ca="1">IF('CDO Bespoke'!C159&lt;&gt;"",'CDO Bespoke'!C159,"")</f>
        <v/>
      </c>
      <c r="AQ134" s="496"/>
      <c r="AR134" s="585"/>
      <c r="AS134" s="585"/>
      <c r="AT134" s="585"/>
      <c r="AU134" s="497"/>
      <c r="AV134" s="496"/>
      <c r="AW134" s="585"/>
      <c r="AX134" s="585"/>
      <c r="AY134" s="585"/>
      <c r="AZ134" s="497"/>
      <c r="BA134" s="580"/>
      <c r="BB134" s="580"/>
      <c r="BC134" s="580"/>
      <c r="BD134" s="580"/>
      <c r="BE134" s="580"/>
      <c r="BF134" s="580"/>
      <c r="BG134" s="579"/>
    </row>
    <row r="135" spans="2:59">
      <c r="B135" s="534" t="s">
        <v>542</v>
      </c>
      <c r="C135" s="535" t="s">
        <v>66</v>
      </c>
      <c r="D135" s="535" t="s">
        <v>59</v>
      </c>
      <c r="E135" s="535" t="s">
        <v>649</v>
      </c>
      <c r="F135" s="535" t="s">
        <v>673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IF(AB135&lt;&gt;"",ABS(MIN(-0.75*('CDO Bespoke'!K136)+'CDO Bespoke'!T136,0)),"")</f>
        <v/>
      </c>
      <c r="AD135" s="485">
        <f t="shared" ca="1" si="12"/>
        <v>0</v>
      </c>
      <c r="AE135" s="489">
        <f t="shared" ca="1" si="13"/>
        <v>0</v>
      </c>
      <c r="AF135" s="493" t="str">
        <f ca="1">IF('CDO Bespoke'!O136&lt;&gt;"",'CDO Bespoke'!O136,"")</f>
        <v/>
      </c>
      <c r="AP135" s="494" t="str">
        <f ca="1">IF('CDO Bespoke'!C160&lt;&gt;"",'CDO Bespoke'!C160,"")</f>
        <v/>
      </c>
      <c r="AQ135" s="496"/>
      <c r="AR135" s="585"/>
      <c r="AS135" s="585"/>
      <c r="AT135" s="585"/>
      <c r="AU135" s="497"/>
      <c r="AV135" s="496"/>
      <c r="AW135" s="585"/>
      <c r="AX135" s="585"/>
      <c r="AY135" s="585"/>
      <c r="AZ135" s="497"/>
      <c r="BA135" s="580"/>
      <c r="BB135" s="580"/>
      <c r="BC135" s="580"/>
      <c r="BD135" s="580"/>
      <c r="BE135" s="580"/>
      <c r="BF135" s="580"/>
      <c r="BG135" s="579"/>
    </row>
    <row r="136" spans="2:59">
      <c r="B136" s="539" t="s">
        <v>543</v>
      </c>
      <c r="C136" s="540" t="s">
        <v>66</v>
      </c>
      <c r="D136" s="540" t="s">
        <v>55</v>
      </c>
      <c r="E136" s="540" t="s">
        <v>647</v>
      </c>
      <c r="F136" s="540" t="s">
        <v>673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IF(AB136&lt;&gt;"",ABS(MIN(-0.75*('CDO Bespoke'!K137)+'CDO Bespoke'!T137,0)),"")</f>
        <v/>
      </c>
      <c r="AD136" s="485">
        <f t="shared" ca="1" si="12"/>
        <v>0</v>
      </c>
      <c r="AE136" s="489">
        <f t="shared" ca="1" si="13"/>
        <v>0</v>
      </c>
      <c r="AF136" s="493" t="str">
        <f ca="1">IF('CDO Bespoke'!O137&lt;&gt;"",'CDO Bespoke'!O137,"")</f>
        <v/>
      </c>
      <c r="AP136" s="494" t="str">
        <f ca="1">IF('CDO Bespoke'!C161&lt;&gt;"",'CDO Bespoke'!C161,"")</f>
        <v/>
      </c>
      <c r="AQ136" s="496"/>
      <c r="AR136" s="585"/>
      <c r="AS136" s="585"/>
      <c r="AT136" s="585"/>
      <c r="AU136" s="497"/>
      <c r="AV136" s="496"/>
      <c r="AW136" s="585"/>
      <c r="AX136" s="585"/>
      <c r="AY136" s="585"/>
      <c r="AZ136" s="497"/>
      <c r="BA136" s="580"/>
      <c r="BB136" s="580"/>
      <c r="BC136" s="580"/>
      <c r="BD136" s="580"/>
      <c r="BE136" s="580"/>
      <c r="BF136" s="580"/>
      <c r="BG136" s="579"/>
    </row>
    <row r="137" spans="2:59">
      <c r="B137" s="517" t="s">
        <v>543</v>
      </c>
      <c r="C137" s="518" t="s">
        <v>66</v>
      </c>
      <c r="D137" s="518" t="s">
        <v>57</v>
      </c>
      <c r="E137" s="518" t="s">
        <v>647</v>
      </c>
      <c r="F137" s="518" t="s">
        <v>673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IF(AB137&lt;&gt;"",ABS(MIN(-0.75*('CDO Bespoke'!K138)+'CDO Bespoke'!T138,0)),"")</f>
        <v/>
      </c>
      <c r="AD137" s="485">
        <f t="shared" ca="1" si="12"/>
        <v>0</v>
      </c>
      <c r="AE137" s="489">
        <f t="shared" ca="1" si="13"/>
        <v>0</v>
      </c>
      <c r="AF137" s="493" t="str">
        <f ca="1">IF('CDO Bespoke'!O138&lt;&gt;"",'CDO Bespoke'!O138,"")</f>
        <v/>
      </c>
      <c r="AP137" s="494" t="str">
        <f ca="1">IF('CDO Bespoke'!C162&lt;&gt;"",'CDO Bespoke'!C162,"")</f>
        <v/>
      </c>
      <c r="AQ137" s="496"/>
      <c r="AR137" s="585"/>
      <c r="AS137" s="585"/>
      <c r="AT137" s="585"/>
      <c r="AU137" s="497"/>
      <c r="AV137" s="496"/>
      <c r="AW137" s="585"/>
      <c r="AX137" s="585"/>
      <c r="AY137" s="585"/>
      <c r="AZ137" s="497"/>
      <c r="BA137" s="580"/>
      <c r="BB137" s="580"/>
      <c r="BC137" s="580"/>
      <c r="BD137" s="580"/>
      <c r="BE137" s="580"/>
      <c r="BF137" s="580"/>
      <c r="BG137" s="579"/>
    </row>
    <row r="138" spans="2:59" ht="12" thickBot="1">
      <c r="B138" s="534" t="s">
        <v>543</v>
      </c>
      <c r="C138" s="535" t="s">
        <v>66</v>
      </c>
      <c r="D138" s="535" t="s">
        <v>59</v>
      </c>
      <c r="E138" s="535" t="s">
        <v>647</v>
      </c>
      <c r="F138" s="535" t="s">
        <v>673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90" t="str">
        <f ca="1">IF('CDO Bespoke'!O139&lt;&gt;"",'CDO Bespoke'!O139,"")</f>
        <v/>
      </c>
      <c r="Y138" s="491" t="str">
        <f ca="1">IF(X138&lt;&gt;"",ABS(MIN(-0.75*('CDO Bespoke'!Q139)+'CDO Bespoke'!T139,0)),"")</f>
        <v/>
      </c>
      <c r="Z138" s="491">
        <f t="shared" ca="1" si="10"/>
        <v>0</v>
      </c>
      <c r="AA138" s="491">
        <f t="shared" ca="1" si="11"/>
        <v>0</v>
      </c>
      <c r="AB138" s="490" t="str">
        <f ca="1">IF('CDO Bespoke'!O139&lt;&gt;"",'CDO Bespoke'!O139,"")</f>
        <v/>
      </c>
      <c r="AC138" s="491" t="str">
        <f ca="1">IF(AB138&lt;&gt;"",ABS(MIN(-0.75*('CDO Bespoke'!K139)+'CDO Bespoke'!T139,0)),"")</f>
        <v/>
      </c>
      <c r="AD138" s="491">
        <f t="shared" ca="1" si="12"/>
        <v>0</v>
      </c>
      <c r="AE138" s="492">
        <f t="shared" ca="1" si="13"/>
        <v>0</v>
      </c>
      <c r="AF138" s="617" t="str">
        <f ca="1">IF('CDO Bespoke'!O139&lt;&gt;"",'CDO Bespoke'!O139,"")</f>
        <v/>
      </c>
      <c r="AP138" s="494" t="str">
        <f ca="1">IF('CDO Bespoke'!C163&lt;&gt;"",'CDO Bespoke'!C163,"")</f>
        <v/>
      </c>
      <c r="AQ138" s="496"/>
      <c r="AR138" s="585"/>
      <c r="AS138" s="585"/>
      <c r="AT138" s="585"/>
      <c r="AU138" s="497"/>
      <c r="AV138" s="496"/>
      <c r="AW138" s="585"/>
      <c r="AX138" s="585"/>
      <c r="AY138" s="585"/>
      <c r="AZ138" s="497"/>
      <c r="BA138" s="580"/>
      <c r="BB138" s="580"/>
      <c r="BC138" s="580"/>
      <c r="BD138" s="580"/>
      <c r="BE138" s="580"/>
      <c r="BF138" s="580"/>
      <c r="BG138" s="579"/>
    </row>
    <row r="139" spans="2:59">
      <c r="B139" s="539" t="s">
        <v>544</v>
      </c>
      <c r="C139" s="540" t="s">
        <v>66</v>
      </c>
      <c r="D139" s="540" t="s">
        <v>55</v>
      </c>
      <c r="E139" s="540" t="s">
        <v>649</v>
      </c>
      <c r="F139" s="540" t="s">
        <v>673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P139" s="494" t="str">
        <f ca="1">IF('CDO Bespoke'!C164&lt;&gt;"",'CDO Bespoke'!C164,"")</f>
        <v/>
      </c>
      <c r="AQ139" s="496"/>
      <c r="AR139" s="585"/>
      <c r="AS139" s="585"/>
      <c r="AT139" s="585"/>
      <c r="AU139" s="497"/>
      <c r="AV139" s="496"/>
      <c r="AW139" s="585"/>
      <c r="AX139" s="585"/>
      <c r="AY139" s="585"/>
      <c r="AZ139" s="497"/>
      <c r="BA139" s="580"/>
      <c r="BB139" s="580"/>
      <c r="BC139" s="580"/>
      <c r="BD139" s="580"/>
      <c r="BE139" s="580"/>
      <c r="BF139" s="580"/>
      <c r="BG139" s="579"/>
    </row>
    <row r="140" spans="2:59">
      <c r="B140" s="517" t="s">
        <v>544</v>
      </c>
      <c r="C140" s="518" t="s">
        <v>66</v>
      </c>
      <c r="D140" s="518" t="s">
        <v>57</v>
      </c>
      <c r="E140" s="518" t="s">
        <v>649</v>
      </c>
      <c r="F140" s="518" t="s">
        <v>673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P140" s="494" t="str">
        <f ca="1">IF('CDO Bespoke'!C165&lt;&gt;"",'CDO Bespoke'!C165,"")</f>
        <v/>
      </c>
      <c r="AQ140" s="496"/>
      <c r="AR140" s="585"/>
      <c r="AS140" s="585"/>
      <c r="AT140" s="585"/>
      <c r="AU140" s="497"/>
      <c r="AV140" s="496"/>
      <c r="AW140" s="585"/>
      <c r="AX140" s="585"/>
      <c r="AY140" s="585"/>
      <c r="AZ140" s="497"/>
      <c r="BA140" s="580"/>
      <c r="BB140" s="580"/>
      <c r="BC140" s="580"/>
      <c r="BD140" s="580"/>
      <c r="BE140" s="580"/>
      <c r="BF140" s="580"/>
      <c r="BG140" s="579"/>
    </row>
    <row r="141" spans="2:59">
      <c r="B141" s="534" t="s">
        <v>544</v>
      </c>
      <c r="C141" s="535" t="s">
        <v>66</v>
      </c>
      <c r="D141" s="535" t="s">
        <v>59</v>
      </c>
      <c r="E141" s="535" t="s">
        <v>649</v>
      </c>
      <c r="F141" s="535" t="s">
        <v>673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P141" s="494" t="str">
        <f ca="1">IF('CDO Bespoke'!C166&lt;&gt;"",'CDO Bespoke'!C166,"")</f>
        <v/>
      </c>
      <c r="AQ141" s="496"/>
      <c r="AR141" s="585"/>
      <c r="AS141" s="585"/>
      <c r="AT141" s="585"/>
      <c r="AU141" s="497"/>
      <c r="AV141" s="496"/>
      <c r="AW141" s="585"/>
      <c r="AX141" s="585"/>
      <c r="AY141" s="585"/>
      <c r="AZ141" s="497"/>
      <c r="BA141" s="580"/>
      <c r="BB141" s="580"/>
      <c r="BC141" s="580"/>
      <c r="BD141" s="580"/>
      <c r="BE141" s="580"/>
      <c r="BF141" s="580"/>
      <c r="BG141" s="579"/>
    </row>
    <row r="142" spans="2:59">
      <c r="B142" s="539" t="s">
        <v>560</v>
      </c>
      <c r="C142" s="540" t="s">
        <v>66</v>
      </c>
      <c r="D142" s="540" t="s">
        <v>55</v>
      </c>
      <c r="E142" s="540" t="s">
        <v>651</v>
      </c>
      <c r="F142" s="540" t="s">
        <v>673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P142" s="494" t="str">
        <f ca="1">IF('CDO Bespoke'!C167&lt;&gt;"",'CDO Bespoke'!C167,"")</f>
        <v/>
      </c>
      <c r="AQ142" s="496"/>
      <c r="AR142" s="585"/>
      <c r="AS142" s="585"/>
      <c r="AT142" s="585"/>
      <c r="AU142" s="497"/>
      <c r="AV142" s="496"/>
      <c r="AW142" s="585"/>
      <c r="AX142" s="585"/>
      <c r="AY142" s="585"/>
      <c r="AZ142" s="497"/>
      <c r="BA142" s="580"/>
      <c r="BB142" s="580"/>
      <c r="BC142" s="580"/>
      <c r="BD142" s="580"/>
      <c r="BE142" s="580"/>
      <c r="BF142" s="580"/>
      <c r="BG142" s="579"/>
    </row>
    <row r="143" spans="2:59">
      <c r="B143" s="517" t="s">
        <v>560</v>
      </c>
      <c r="C143" s="518" t="s">
        <v>66</v>
      </c>
      <c r="D143" s="518" t="s">
        <v>57</v>
      </c>
      <c r="E143" s="518" t="s">
        <v>651</v>
      </c>
      <c r="F143" s="518" t="s">
        <v>673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P143" s="494" t="str">
        <f ca="1">IF('CDO Bespoke'!C168&lt;&gt;"",'CDO Bespoke'!C168,"")</f>
        <v/>
      </c>
      <c r="AQ143" s="496"/>
      <c r="AR143" s="585"/>
      <c r="AS143" s="585"/>
      <c r="AT143" s="585"/>
      <c r="AU143" s="497"/>
      <c r="AV143" s="496"/>
      <c r="AW143" s="585"/>
      <c r="AX143" s="585"/>
      <c r="AY143" s="585"/>
      <c r="AZ143" s="497"/>
      <c r="BA143" s="580"/>
      <c r="BB143" s="580"/>
      <c r="BC143" s="580"/>
      <c r="BD143" s="580"/>
      <c r="BE143" s="580"/>
      <c r="BF143" s="580"/>
      <c r="BG143" s="579"/>
    </row>
    <row r="144" spans="2:59">
      <c r="B144" s="534" t="s">
        <v>560</v>
      </c>
      <c r="C144" s="535" t="s">
        <v>66</v>
      </c>
      <c r="D144" s="535" t="s">
        <v>59</v>
      </c>
      <c r="E144" s="535" t="s">
        <v>651</v>
      </c>
      <c r="F144" s="535" t="s">
        <v>673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P144" s="494" t="str">
        <f ca="1">IF('CDO Bespoke'!C169&lt;&gt;"",'CDO Bespoke'!C169,"")</f>
        <v/>
      </c>
      <c r="AQ144" s="496"/>
      <c r="AR144" s="585"/>
      <c r="AS144" s="585"/>
      <c r="AT144" s="585"/>
      <c r="AU144" s="497"/>
      <c r="AV144" s="496"/>
      <c r="AW144" s="585"/>
      <c r="AX144" s="585"/>
      <c r="AY144" s="585"/>
      <c r="AZ144" s="497"/>
      <c r="BA144" s="580"/>
      <c r="BB144" s="580"/>
      <c r="BC144" s="580"/>
      <c r="BD144" s="580"/>
      <c r="BE144" s="580"/>
      <c r="BF144" s="580"/>
      <c r="BG144" s="579"/>
    </row>
    <row r="145" spans="2:59">
      <c r="B145" s="539" t="s">
        <v>545</v>
      </c>
      <c r="C145" s="540" t="s">
        <v>66</v>
      </c>
      <c r="D145" s="540" t="s">
        <v>55</v>
      </c>
      <c r="E145" s="540" t="s">
        <v>649</v>
      </c>
      <c r="F145" s="540" t="s">
        <v>673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P145" s="494" t="str">
        <f ca="1">IF('CDO Bespoke'!C170&lt;&gt;"",'CDO Bespoke'!C170,"")</f>
        <v/>
      </c>
      <c r="AQ145" s="496"/>
      <c r="AR145" s="585"/>
      <c r="AS145" s="585"/>
      <c r="AT145" s="585"/>
      <c r="AU145" s="497"/>
      <c r="AV145" s="496"/>
      <c r="AW145" s="585"/>
      <c r="AX145" s="585"/>
      <c r="AY145" s="585"/>
      <c r="AZ145" s="497"/>
      <c r="BA145" s="580"/>
      <c r="BB145" s="580"/>
      <c r="BC145" s="580"/>
      <c r="BD145" s="580"/>
      <c r="BE145" s="580"/>
      <c r="BF145" s="580"/>
      <c r="BG145" s="579"/>
    </row>
    <row r="146" spans="2:59">
      <c r="B146" s="517" t="s">
        <v>545</v>
      </c>
      <c r="C146" s="518" t="s">
        <v>66</v>
      </c>
      <c r="D146" s="518" t="s">
        <v>57</v>
      </c>
      <c r="E146" s="518" t="s">
        <v>649</v>
      </c>
      <c r="F146" s="518" t="s">
        <v>673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P146" s="494" t="str">
        <f ca="1">IF('CDO Bespoke'!C171&lt;&gt;"",'CDO Bespoke'!C171,"")</f>
        <v/>
      </c>
      <c r="AQ146" s="496"/>
      <c r="AR146" s="585"/>
      <c r="AS146" s="585"/>
      <c r="AT146" s="585"/>
      <c r="AU146" s="497"/>
      <c r="AV146" s="496"/>
      <c r="AW146" s="585"/>
      <c r="AX146" s="585"/>
      <c r="AY146" s="585"/>
      <c r="AZ146" s="497"/>
      <c r="BA146" s="580"/>
      <c r="BB146" s="580"/>
      <c r="BC146" s="580"/>
      <c r="BD146" s="580"/>
      <c r="BE146" s="580"/>
      <c r="BF146" s="580"/>
      <c r="BG146" s="579"/>
    </row>
    <row r="147" spans="2:59">
      <c r="B147" s="534" t="s">
        <v>545</v>
      </c>
      <c r="C147" s="535" t="s">
        <v>66</v>
      </c>
      <c r="D147" s="535" t="s">
        <v>59</v>
      </c>
      <c r="E147" s="535" t="s">
        <v>649</v>
      </c>
      <c r="F147" s="535" t="s">
        <v>673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P147" s="494" t="str">
        <f ca="1">IF('CDO Bespoke'!C172&lt;&gt;"",'CDO Bespoke'!C172,"")</f>
        <v/>
      </c>
      <c r="AQ147" s="496"/>
      <c r="AR147" s="585"/>
      <c r="AS147" s="585"/>
      <c r="AT147" s="585"/>
      <c r="AU147" s="497"/>
      <c r="AV147" s="496"/>
      <c r="AW147" s="585"/>
      <c r="AX147" s="585"/>
      <c r="AY147" s="585"/>
      <c r="AZ147" s="497"/>
      <c r="BA147" s="580"/>
      <c r="BB147" s="580"/>
      <c r="BC147" s="580"/>
      <c r="BD147" s="580"/>
      <c r="BE147" s="580"/>
      <c r="BF147" s="580"/>
      <c r="BG147" s="579"/>
    </row>
    <row r="148" spans="2:59">
      <c r="B148" s="539" t="s">
        <v>546</v>
      </c>
      <c r="C148" s="540" t="s">
        <v>66</v>
      </c>
      <c r="D148" s="540" t="s">
        <v>55</v>
      </c>
      <c r="E148" s="540" t="s">
        <v>651</v>
      </c>
      <c r="F148" s="540" t="s">
        <v>673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P148" s="494" t="str">
        <f ca="1">IF('CDO Bespoke'!C173&lt;&gt;"",'CDO Bespoke'!C173,"")</f>
        <v/>
      </c>
      <c r="AQ148" s="496"/>
      <c r="AR148" s="585"/>
      <c r="AS148" s="585"/>
      <c r="AT148" s="585"/>
      <c r="AU148" s="497"/>
      <c r="AV148" s="496"/>
      <c r="AW148" s="585"/>
      <c r="AX148" s="585"/>
      <c r="AY148" s="585"/>
      <c r="AZ148" s="497"/>
      <c r="BA148" s="580"/>
      <c r="BB148" s="580"/>
      <c r="BC148" s="580"/>
      <c r="BD148" s="580"/>
      <c r="BE148" s="580"/>
      <c r="BF148" s="580"/>
      <c r="BG148" s="579"/>
    </row>
    <row r="149" spans="2:59">
      <c r="B149" s="517" t="s">
        <v>546</v>
      </c>
      <c r="C149" s="518" t="s">
        <v>66</v>
      </c>
      <c r="D149" s="518" t="s">
        <v>57</v>
      </c>
      <c r="E149" s="518" t="s">
        <v>651</v>
      </c>
      <c r="F149" s="518" t="s">
        <v>673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P149" s="494" t="str">
        <f ca="1">IF('CDO Bespoke'!C174&lt;&gt;"",'CDO Bespoke'!C174,"")</f>
        <v/>
      </c>
      <c r="AQ149" s="496"/>
      <c r="AR149" s="585"/>
      <c r="AS149" s="585"/>
      <c r="AT149" s="585"/>
      <c r="AU149" s="497"/>
      <c r="AV149" s="496"/>
      <c r="AW149" s="585"/>
      <c r="AX149" s="585"/>
      <c r="AY149" s="585"/>
      <c r="AZ149" s="497"/>
      <c r="BA149" s="580"/>
      <c r="BB149" s="580"/>
      <c r="BC149" s="580"/>
      <c r="BD149" s="580"/>
      <c r="BE149" s="580"/>
      <c r="BF149" s="580"/>
      <c r="BG149" s="579"/>
    </row>
    <row r="150" spans="2:59">
      <c r="B150" s="534" t="s">
        <v>546</v>
      </c>
      <c r="C150" s="535" t="s">
        <v>66</v>
      </c>
      <c r="D150" s="535" t="s">
        <v>59</v>
      </c>
      <c r="E150" s="535" t="s">
        <v>651</v>
      </c>
      <c r="F150" s="535" t="s">
        <v>673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P150" s="494" t="str">
        <f ca="1">IF('CDO Bespoke'!C175&lt;&gt;"",'CDO Bespoke'!C175,"")</f>
        <v/>
      </c>
      <c r="AQ150" s="496"/>
      <c r="AR150" s="585"/>
      <c r="AS150" s="585"/>
      <c r="AT150" s="585"/>
      <c r="AU150" s="497"/>
      <c r="AV150" s="496"/>
      <c r="AW150" s="585"/>
      <c r="AX150" s="585"/>
      <c r="AY150" s="585"/>
      <c r="AZ150" s="497"/>
      <c r="BA150" s="580"/>
      <c r="BB150" s="580"/>
      <c r="BC150" s="580"/>
      <c r="BD150" s="580"/>
      <c r="BE150" s="580"/>
      <c r="BF150" s="580"/>
      <c r="BG150" s="579"/>
    </row>
    <row r="151" spans="2:59">
      <c r="B151" s="539" t="s">
        <v>561</v>
      </c>
      <c r="C151" s="540" t="s">
        <v>66</v>
      </c>
      <c r="D151" s="540" t="s">
        <v>55</v>
      </c>
      <c r="E151" s="540" t="s">
        <v>647</v>
      </c>
      <c r="F151" s="540" t="s">
        <v>673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P151" s="494" t="str">
        <f ca="1">IF('CDO Bespoke'!C176&lt;&gt;"",'CDO Bespoke'!C176,"")</f>
        <v/>
      </c>
      <c r="AQ151" s="496"/>
      <c r="AR151" s="585"/>
      <c r="AS151" s="585"/>
      <c r="AT151" s="585"/>
      <c r="AU151" s="497"/>
      <c r="AV151" s="496"/>
      <c r="AW151" s="585"/>
      <c r="AX151" s="585"/>
      <c r="AY151" s="585"/>
      <c r="AZ151" s="497"/>
      <c r="BA151" s="580"/>
      <c r="BB151" s="580"/>
      <c r="BC151" s="580"/>
      <c r="BD151" s="580"/>
      <c r="BE151" s="580"/>
      <c r="BF151" s="580"/>
      <c r="BG151" s="579"/>
    </row>
    <row r="152" spans="2:59">
      <c r="B152" s="517" t="s">
        <v>561</v>
      </c>
      <c r="C152" s="518" t="s">
        <v>66</v>
      </c>
      <c r="D152" s="518" t="s">
        <v>57</v>
      </c>
      <c r="E152" s="518" t="s">
        <v>647</v>
      </c>
      <c r="F152" s="518" t="s">
        <v>673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P152" s="494" t="str">
        <f ca="1">IF('CDO Bespoke'!C177&lt;&gt;"",'CDO Bespoke'!C177,"")</f>
        <v/>
      </c>
      <c r="AQ152" s="496"/>
      <c r="AR152" s="585"/>
      <c r="AS152" s="585"/>
      <c r="AT152" s="585"/>
      <c r="AU152" s="497"/>
      <c r="AV152" s="496"/>
      <c r="AW152" s="585"/>
      <c r="AX152" s="585"/>
      <c r="AY152" s="585"/>
      <c r="AZ152" s="497"/>
      <c r="BA152" s="580"/>
      <c r="BB152" s="580"/>
      <c r="BC152" s="580"/>
      <c r="BD152" s="580"/>
      <c r="BE152" s="580"/>
      <c r="BF152" s="580"/>
      <c r="BG152" s="579"/>
    </row>
    <row r="153" spans="2:59">
      <c r="B153" s="534" t="s">
        <v>561</v>
      </c>
      <c r="C153" s="535" t="s">
        <v>66</v>
      </c>
      <c r="D153" s="535" t="s">
        <v>59</v>
      </c>
      <c r="E153" s="535" t="s">
        <v>647</v>
      </c>
      <c r="F153" s="535" t="s">
        <v>673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P153" s="494" t="str">
        <f ca="1">IF('CDO Bespoke'!C178&lt;&gt;"",'CDO Bespoke'!C178,"")</f>
        <v/>
      </c>
      <c r="AQ153" s="496"/>
      <c r="AR153" s="585"/>
      <c r="AS153" s="585"/>
      <c r="AT153" s="585"/>
      <c r="AU153" s="497"/>
      <c r="AV153" s="496"/>
      <c r="AW153" s="585"/>
      <c r="AX153" s="585"/>
      <c r="AY153" s="585"/>
      <c r="AZ153" s="497"/>
      <c r="BA153" s="580"/>
      <c r="BB153" s="580"/>
      <c r="BC153" s="580"/>
      <c r="BD153" s="580"/>
      <c r="BE153" s="580"/>
      <c r="BF153" s="580"/>
      <c r="BG153" s="579"/>
    </row>
    <row r="154" spans="2:59">
      <c r="B154" s="539" t="s">
        <v>547</v>
      </c>
      <c r="C154" s="540" t="s">
        <v>66</v>
      </c>
      <c r="D154" s="540" t="s">
        <v>55</v>
      </c>
      <c r="E154" s="540" t="s">
        <v>651</v>
      </c>
      <c r="F154" s="540" t="s">
        <v>673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P154" s="494" t="str">
        <f ca="1">IF('CDO Bespoke'!C179&lt;&gt;"",'CDO Bespoke'!C179,"")</f>
        <v/>
      </c>
      <c r="AQ154" s="496"/>
      <c r="AR154" s="585"/>
      <c r="AS154" s="585"/>
      <c r="AT154" s="585"/>
      <c r="AU154" s="497"/>
      <c r="AV154" s="496"/>
      <c r="AW154" s="585"/>
      <c r="AX154" s="585"/>
      <c r="AY154" s="585"/>
      <c r="AZ154" s="497"/>
      <c r="BA154" s="580"/>
      <c r="BB154" s="580"/>
      <c r="BC154" s="580"/>
      <c r="BD154" s="580"/>
      <c r="BE154" s="580"/>
      <c r="BF154" s="580"/>
      <c r="BG154" s="579"/>
    </row>
    <row r="155" spans="2:59">
      <c r="B155" s="517" t="s">
        <v>547</v>
      </c>
      <c r="C155" s="518" t="s">
        <v>66</v>
      </c>
      <c r="D155" s="518" t="s">
        <v>57</v>
      </c>
      <c r="E155" s="518" t="s">
        <v>651</v>
      </c>
      <c r="F155" s="518" t="s">
        <v>673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P155" s="494" t="str">
        <f ca="1">IF('CDO Bespoke'!C180&lt;&gt;"",'CDO Bespoke'!C180,"")</f>
        <v/>
      </c>
      <c r="AQ155" s="496"/>
      <c r="AR155" s="585"/>
      <c r="AS155" s="585"/>
      <c r="AT155" s="585"/>
      <c r="AU155" s="497"/>
      <c r="AV155" s="496"/>
      <c r="AW155" s="585"/>
      <c r="AX155" s="585"/>
      <c r="AY155" s="585"/>
      <c r="AZ155" s="497"/>
      <c r="BA155" s="580"/>
      <c r="BB155" s="580"/>
      <c r="BC155" s="580"/>
      <c r="BD155" s="580"/>
      <c r="BE155" s="580"/>
      <c r="BF155" s="580"/>
      <c r="BG155" s="579"/>
    </row>
    <row r="156" spans="2:59">
      <c r="B156" s="534" t="s">
        <v>547</v>
      </c>
      <c r="C156" s="535" t="s">
        <v>66</v>
      </c>
      <c r="D156" s="535" t="s">
        <v>59</v>
      </c>
      <c r="E156" s="535" t="s">
        <v>651</v>
      </c>
      <c r="F156" s="535" t="s">
        <v>673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P156" s="494" t="str">
        <f ca="1">IF('CDO Bespoke'!C181&lt;&gt;"",'CDO Bespoke'!C181,"")</f>
        <v/>
      </c>
      <c r="AQ156" s="496"/>
      <c r="AR156" s="585"/>
      <c r="AS156" s="585"/>
      <c r="AT156" s="585"/>
      <c r="AU156" s="497"/>
      <c r="AV156" s="496"/>
      <c r="AW156" s="585"/>
      <c r="AX156" s="585"/>
      <c r="AY156" s="585"/>
      <c r="AZ156" s="497"/>
      <c r="BA156" s="580"/>
      <c r="BB156" s="580"/>
      <c r="BC156" s="580"/>
      <c r="BD156" s="580"/>
      <c r="BE156" s="580"/>
      <c r="BF156" s="580"/>
      <c r="BG156" s="579"/>
    </row>
    <row r="157" spans="2:59">
      <c r="B157" s="539" t="s">
        <v>615</v>
      </c>
      <c r="C157" s="540" t="s">
        <v>66</v>
      </c>
      <c r="D157" s="540" t="s">
        <v>55</v>
      </c>
      <c r="E157" s="540" t="s">
        <v>649</v>
      </c>
      <c r="F157" s="540" t="s">
        <v>673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P157" s="494" t="str">
        <f ca="1">IF('CDO Bespoke'!C182&lt;&gt;"",'CDO Bespoke'!C182,"")</f>
        <v/>
      </c>
      <c r="AQ157" s="496"/>
      <c r="AR157" s="585"/>
      <c r="AS157" s="585"/>
      <c r="AT157" s="585"/>
      <c r="AU157" s="497"/>
      <c r="AV157" s="496"/>
      <c r="AW157" s="585"/>
      <c r="AX157" s="585"/>
      <c r="AY157" s="585"/>
      <c r="AZ157" s="497"/>
      <c r="BA157" s="580"/>
      <c r="BB157" s="580"/>
      <c r="BC157" s="580"/>
      <c r="BD157" s="580"/>
      <c r="BE157" s="580"/>
      <c r="BF157" s="580"/>
      <c r="BG157" s="579"/>
    </row>
    <row r="158" spans="2:59">
      <c r="B158" s="517" t="s">
        <v>615</v>
      </c>
      <c r="C158" s="518" t="s">
        <v>66</v>
      </c>
      <c r="D158" s="518" t="s">
        <v>57</v>
      </c>
      <c r="E158" s="518" t="s">
        <v>649</v>
      </c>
      <c r="F158" s="518" t="s">
        <v>673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P158" s="494" t="str">
        <f ca="1">IF('CDO Bespoke'!C183&lt;&gt;"",'CDO Bespoke'!C183,"")</f>
        <v/>
      </c>
      <c r="AQ158" s="496"/>
      <c r="AR158" s="585"/>
      <c r="AS158" s="585"/>
      <c r="AT158" s="585"/>
      <c r="AU158" s="497"/>
      <c r="AV158" s="496"/>
      <c r="AW158" s="585"/>
      <c r="AX158" s="585"/>
      <c r="AY158" s="585"/>
      <c r="AZ158" s="497"/>
      <c r="BA158" s="580"/>
      <c r="BB158" s="580"/>
      <c r="BC158" s="580"/>
      <c r="BD158" s="580"/>
      <c r="BE158" s="580"/>
      <c r="BF158" s="580"/>
      <c r="BG158" s="579"/>
    </row>
    <row r="159" spans="2:59">
      <c r="B159" s="534" t="s">
        <v>615</v>
      </c>
      <c r="C159" s="535" t="s">
        <v>66</v>
      </c>
      <c r="D159" s="535" t="s">
        <v>59</v>
      </c>
      <c r="E159" s="535" t="s">
        <v>649</v>
      </c>
      <c r="F159" s="535" t="s">
        <v>673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P159" s="494" t="str">
        <f ca="1">IF('CDO Bespoke'!C184&lt;&gt;"",'CDO Bespoke'!C184,"")</f>
        <v/>
      </c>
      <c r="AQ159" s="496"/>
      <c r="AR159" s="585"/>
      <c r="AS159" s="585"/>
      <c r="AT159" s="585"/>
      <c r="AU159" s="497"/>
      <c r="AV159" s="496"/>
      <c r="AW159" s="585"/>
      <c r="AX159" s="585"/>
      <c r="AY159" s="585"/>
      <c r="AZ159" s="497"/>
      <c r="BA159" s="580"/>
      <c r="BB159" s="580"/>
      <c r="BC159" s="580"/>
      <c r="BD159" s="580"/>
      <c r="BE159" s="580"/>
      <c r="BF159" s="580"/>
      <c r="BG159" s="579"/>
    </row>
    <row r="160" spans="2:59">
      <c r="B160" s="539" t="s">
        <v>562</v>
      </c>
      <c r="C160" s="540" t="s">
        <v>66</v>
      </c>
      <c r="D160" s="540" t="s">
        <v>55</v>
      </c>
      <c r="E160" s="540" t="s">
        <v>649</v>
      </c>
      <c r="F160" s="540" t="s">
        <v>673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P160" s="494" t="str">
        <f ca="1">IF('CDO Bespoke'!C185&lt;&gt;"",'CDO Bespoke'!C185,"")</f>
        <v/>
      </c>
      <c r="AQ160" s="496"/>
      <c r="AR160" s="585"/>
      <c r="AS160" s="585"/>
      <c r="AT160" s="585"/>
      <c r="AU160" s="497"/>
      <c r="AV160" s="496"/>
      <c r="AW160" s="585"/>
      <c r="AX160" s="585"/>
      <c r="AY160" s="585"/>
      <c r="AZ160" s="497"/>
      <c r="BA160" s="580"/>
      <c r="BB160" s="580"/>
      <c r="BC160" s="580"/>
      <c r="BD160" s="580"/>
      <c r="BE160" s="580"/>
      <c r="BF160" s="580"/>
      <c r="BG160" s="579"/>
    </row>
    <row r="161" spans="2:59">
      <c r="B161" s="517" t="s">
        <v>562</v>
      </c>
      <c r="C161" s="518" t="s">
        <v>66</v>
      </c>
      <c r="D161" s="518" t="s">
        <v>57</v>
      </c>
      <c r="E161" s="518" t="s">
        <v>649</v>
      </c>
      <c r="F161" s="518" t="s">
        <v>673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P161" s="494" t="str">
        <f ca="1">IF('CDO Bespoke'!C186&lt;&gt;"",'CDO Bespoke'!C186,"")</f>
        <v/>
      </c>
      <c r="AQ161" s="496"/>
      <c r="AR161" s="585"/>
      <c r="AS161" s="585"/>
      <c r="AT161" s="585"/>
      <c r="AU161" s="497"/>
      <c r="AV161" s="496"/>
      <c r="AW161" s="585"/>
      <c r="AX161" s="585"/>
      <c r="AY161" s="585"/>
      <c r="AZ161" s="497"/>
      <c r="BA161" s="580"/>
      <c r="BB161" s="580"/>
      <c r="BC161" s="580"/>
      <c r="BD161" s="580"/>
      <c r="BE161" s="580"/>
      <c r="BF161" s="580"/>
      <c r="BG161" s="579"/>
    </row>
    <row r="162" spans="2:59">
      <c r="B162" s="534" t="s">
        <v>562</v>
      </c>
      <c r="C162" s="535" t="s">
        <v>66</v>
      </c>
      <c r="D162" s="535" t="s">
        <v>59</v>
      </c>
      <c r="E162" s="535" t="s">
        <v>649</v>
      </c>
      <c r="F162" s="535" t="s">
        <v>673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P162" s="494" t="str">
        <f ca="1">IF('CDO Bespoke'!C187&lt;&gt;"",'CDO Bespoke'!C187,"")</f>
        <v/>
      </c>
      <c r="AQ162" s="496"/>
      <c r="AR162" s="585"/>
      <c r="AS162" s="585"/>
      <c r="AT162" s="585"/>
      <c r="AU162" s="497"/>
      <c r="AV162" s="496"/>
      <c r="AW162" s="585"/>
      <c r="AX162" s="585"/>
      <c r="AY162" s="585"/>
      <c r="AZ162" s="497"/>
      <c r="BA162" s="580"/>
      <c r="BB162" s="580"/>
      <c r="BC162" s="580"/>
      <c r="BD162" s="580"/>
      <c r="BE162" s="580"/>
      <c r="BF162" s="580"/>
      <c r="BG162" s="579"/>
    </row>
    <row r="163" spans="2:59">
      <c r="B163" s="539" t="s">
        <v>548</v>
      </c>
      <c r="C163" s="540" t="s">
        <v>66</v>
      </c>
      <c r="D163" s="540" t="s">
        <v>55</v>
      </c>
      <c r="E163" s="540" t="s">
        <v>647</v>
      </c>
      <c r="F163" s="540" t="s">
        <v>673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P163" s="494" t="str">
        <f ca="1">IF('CDO Bespoke'!C188&lt;&gt;"",'CDO Bespoke'!C188,"")</f>
        <v/>
      </c>
      <c r="AQ163" s="496"/>
      <c r="AR163" s="585"/>
      <c r="AS163" s="585"/>
      <c r="AT163" s="585"/>
      <c r="AU163" s="497"/>
      <c r="AV163" s="496"/>
      <c r="AW163" s="585"/>
      <c r="AX163" s="585"/>
      <c r="AY163" s="585"/>
      <c r="AZ163" s="497"/>
      <c r="BA163" s="580"/>
      <c r="BB163" s="580"/>
      <c r="BC163" s="580"/>
      <c r="BD163" s="580"/>
      <c r="BE163" s="580"/>
      <c r="BF163" s="580"/>
      <c r="BG163" s="579"/>
    </row>
    <row r="164" spans="2:59">
      <c r="B164" s="517" t="s">
        <v>548</v>
      </c>
      <c r="C164" s="518" t="s">
        <v>66</v>
      </c>
      <c r="D164" s="518" t="s">
        <v>57</v>
      </c>
      <c r="E164" s="518" t="s">
        <v>647</v>
      </c>
      <c r="F164" s="518" t="s">
        <v>673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P164" s="494" t="str">
        <f ca="1">IF('CDO Bespoke'!C189&lt;&gt;"",'CDO Bespoke'!C189,"")</f>
        <v/>
      </c>
      <c r="AQ164" s="496"/>
      <c r="AR164" s="585"/>
      <c r="AS164" s="585"/>
      <c r="AT164" s="585"/>
      <c r="AU164" s="497"/>
      <c r="AV164" s="496"/>
      <c r="AW164" s="585"/>
      <c r="AX164" s="585"/>
      <c r="AY164" s="585"/>
      <c r="AZ164" s="497"/>
      <c r="BA164" s="580"/>
      <c r="BB164" s="580"/>
      <c r="BC164" s="580"/>
      <c r="BD164" s="580"/>
      <c r="BE164" s="580"/>
      <c r="BF164" s="580"/>
      <c r="BG164" s="579"/>
    </row>
    <row r="165" spans="2:59">
      <c r="B165" s="534" t="s">
        <v>548</v>
      </c>
      <c r="C165" s="535" t="s">
        <v>66</v>
      </c>
      <c r="D165" s="535" t="s">
        <v>59</v>
      </c>
      <c r="E165" s="535" t="s">
        <v>647</v>
      </c>
      <c r="F165" s="535" t="s">
        <v>673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P165" s="494" t="str">
        <f ca="1">IF('CDO Bespoke'!C190&lt;&gt;"",'CDO Bespoke'!C190,"")</f>
        <v/>
      </c>
      <c r="AQ165" s="496"/>
      <c r="AR165" s="585"/>
      <c r="AS165" s="585"/>
      <c r="AT165" s="585"/>
      <c r="AU165" s="497"/>
      <c r="AV165" s="496"/>
      <c r="AW165" s="585"/>
      <c r="AX165" s="585"/>
      <c r="AY165" s="585"/>
      <c r="AZ165" s="497"/>
      <c r="BA165" s="580"/>
      <c r="BB165" s="580"/>
      <c r="BC165" s="580"/>
      <c r="BD165" s="580"/>
      <c r="BE165" s="580"/>
      <c r="BF165" s="580"/>
      <c r="BG165" s="579"/>
    </row>
    <row r="166" spans="2:59">
      <c r="B166" s="539" t="s">
        <v>563</v>
      </c>
      <c r="C166" s="540" t="s">
        <v>66</v>
      </c>
      <c r="D166" s="540" t="s">
        <v>55</v>
      </c>
      <c r="E166" s="540" t="s">
        <v>649</v>
      </c>
      <c r="F166" s="540" t="s">
        <v>673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P166" s="494" t="str">
        <f ca="1">IF('CDO Bespoke'!C191&lt;&gt;"",'CDO Bespoke'!C191,"")</f>
        <v/>
      </c>
      <c r="AQ166" s="496"/>
      <c r="AR166" s="585"/>
      <c r="AS166" s="585"/>
      <c r="AT166" s="585"/>
      <c r="AU166" s="497"/>
      <c r="AV166" s="496"/>
      <c r="AW166" s="585"/>
      <c r="AX166" s="585"/>
      <c r="AY166" s="585"/>
      <c r="AZ166" s="497"/>
      <c r="BA166" s="580"/>
      <c r="BB166" s="580"/>
      <c r="BC166" s="580"/>
      <c r="BD166" s="580"/>
      <c r="BE166" s="580"/>
      <c r="BF166" s="580"/>
      <c r="BG166" s="579"/>
    </row>
    <row r="167" spans="2:59">
      <c r="B167" s="517" t="s">
        <v>563</v>
      </c>
      <c r="C167" s="518" t="s">
        <v>66</v>
      </c>
      <c r="D167" s="518" t="s">
        <v>57</v>
      </c>
      <c r="E167" s="518" t="s">
        <v>649</v>
      </c>
      <c r="F167" s="518" t="s">
        <v>673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P167" s="494" t="str">
        <f ca="1">IF('CDO Bespoke'!C192&lt;&gt;"",'CDO Bespoke'!C192,"")</f>
        <v/>
      </c>
      <c r="AQ167" s="496"/>
      <c r="AR167" s="585"/>
      <c r="AS167" s="585"/>
      <c r="AT167" s="585"/>
      <c r="AU167" s="497"/>
      <c r="AV167" s="496"/>
      <c r="AW167" s="585"/>
      <c r="AX167" s="585"/>
      <c r="AY167" s="585"/>
      <c r="AZ167" s="497"/>
      <c r="BA167" s="580"/>
      <c r="BB167" s="580"/>
      <c r="BC167" s="580"/>
      <c r="BD167" s="580"/>
      <c r="BE167" s="580"/>
      <c r="BF167" s="580"/>
      <c r="BG167" s="579"/>
    </row>
    <row r="168" spans="2:59">
      <c r="B168" s="534" t="s">
        <v>563</v>
      </c>
      <c r="C168" s="535" t="s">
        <v>66</v>
      </c>
      <c r="D168" s="535" t="s">
        <v>59</v>
      </c>
      <c r="E168" s="535" t="s">
        <v>649</v>
      </c>
      <c r="F168" s="535" t="s">
        <v>673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P168" s="494" t="str">
        <f ca="1">IF('CDO Bespoke'!C193&lt;&gt;"",'CDO Bespoke'!C193,"")</f>
        <v/>
      </c>
      <c r="AQ168" s="496"/>
      <c r="AR168" s="585"/>
      <c r="AS168" s="585"/>
      <c r="AT168" s="585"/>
      <c r="AU168" s="497"/>
      <c r="AV168" s="496"/>
      <c r="AW168" s="585"/>
      <c r="AX168" s="585"/>
      <c r="AY168" s="585"/>
      <c r="AZ168" s="497"/>
      <c r="BA168" s="580"/>
      <c r="BB168" s="580"/>
      <c r="BC168" s="580"/>
      <c r="BD168" s="580"/>
      <c r="BE168" s="580"/>
      <c r="BF168" s="580"/>
      <c r="BG168" s="579"/>
    </row>
    <row r="169" spans="2:59">
      <c r="B169" s="539" t="s">
        <v>549</v>
      </c>
      <c r="C169" s="540" t="s">
        <v>66</v>
      </c>
      <c r="D169" s="540" t="s">
        <v>55</v>
      </c>
      <c r="E169" s="540" t="s">
        <v>647</v>
      </c>
      <c r="F169" s="540" t="s">
        <v>673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P169" s="494" t="str">
        <f ca="1">IF('CDO Bespoke'!C194&lt;&gt;"",'CDO Bespoke'!C194,"")</f>
        <v/>
      </c>
      <c r="AQ169" s="496"/>
      <c r="AR169" s="585"/>
      <c r="AS169" s="585"/>
      <c r="AT169" s="585"/>
      <c r="AU169" s="497"/>
      <c r="AV169" s="496"/>
      <c r="AW169" s="585"/>
      <c r="AX169" s="585"/>
      <c r="AY169" s="585"/>
      <c r="AZ169" s="497"/>
      <c r="BA169" s="580"/>
      <c r="BB169" s="580"/>
      <c r="BC169" s="580"/>
      <c r="BD169" s="580"/>
      <c r="BE169" s="580"/>
      <c r="BF169" s="580"/>
      <c r="BG169" s="579"/>
    </row>
    <row r="170" spans="2:59">
      <c r="B170" s="517" t="s">
        <v>549</v>
      </c>
      <c r="C170" s="518" t="s">
        <v>66</v>
      </c>
      <c r="D170" s="518" t="s">
        <v>57</v>
      </c>
      <c r="E170" s="518" t="s">
        <v>647</v>
      </c>
      <c r="F170" s="518" t="s">
        <v>673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P170" s="494" t="str">
        <f ca="1">IF('CDO Bespoke'!C195&lt;&gt;"",'CDO Bespoke'!C195,"")</f>
        <v/>
      </c>
      <c r="AQ170" s="496"/>
      <c r="AR170" s="585"/>
      <c r="AS170" s="585"/>
      <c r="AT170" s="585"/>
      <c r="AU170" s="497"/>
      <c r="AV170" s="496"/>
      <c r="AW170" s="585"/>
      <c r="AX170" s="585"/>
      <c r="AY170" s="585"/>
      <c r="AZ170" s="497"/>
      <c r="BA170" s="580"/>
      <c r="BB170" s="580"/>
      <c r="BC170" s="580"/>
      <c r="BD170" s="580"/>
      <c r="BE170" s="580"/>
      <c r="BF170" s="580"/>
      <c r="BG170" s="579"/>
    </row>
    <row r="171" spans="2:59">
      <c r="B171" s="534" t="s">
        <v>549</v>
      </c>
      <c r="C171" s="535" t="s">
        <v>66</v>
      </c>
      <c r="D171" s="535" t="s">
        <v>59</v>
      </c>
      <c r="E171" s="535" t="s">
        <v>647</v>
      </c>
      <c r="F171" s="535" t="s">
        <v>673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P171" s="494" t="str">
        <f ca="1">IF('CDO Bespoke'!C196&lt;&gt;"",'CDO Bespoke'!C196,"")</f>
        <v/>
      </c>
      <c r="AQ171" s="496"/>
      <c r="AR171" s="585"/>
      <c r="AS171" s="585"/>
      <c r="AT171" s="585"/>
      <c r="AU171" s="497"/>
      <c r="AV171" s="496"/>
      <c r="AW171" s="585"/>
      <c r="AX171" s="585"/>
      <c r="AY171" s="585"/>
      <c r="AZ171" s="497"/>
      <c r="BA171" s="580"/>
      <c r="BB171" s="580"/>
      <c r="BC171" s="580"/>
      <c r="BD171" s="580"/>
      <c r="BE171" s="580"/>
      <c r="BF171" s="580"/>
      <c r="BG171" s="579"/>
    </row>
    <row r="172" spans="2:59">
      <c r="B172" s="539" t="s">
        <v>550</v>
      </c>
      <c r="C172" s="540" t="s">
        <v>66</v>
      </c>
      <c r="D172" s="540" t="s">
        <v>55</v>
      </c>
      <c r="E172" s="540" t="s">
        <v>649</v>
      </c>
      <c r="F172" s="540" t="s">
        <v>673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P172" s="494" t="str">
        <f ca="1">IF('CDO Bespoke'!C197&lt;&gt;"",'CDO Bespoke'!C197,"")</f>
        <v/>
      </c>
      <c r="AQ172" s="496"/>
      <c r="AR172" s="585"/>
      <c r="AS172" s="585"/>
      <c r="AT172" s="585"/>
      <c r="AU172" s="497"/>
      <c r="AV172" s="496"/>
      <c r="AW172" s="585"/>
      <c r="AX172" s="585"/>
      <c r="AY172" s="585"/>
      <c r="AZ172" s="497"/>
      <c r="BA172" s="580"/>
      <c r="BB172" s="580"/>
      <c r="BC172" s="580"/>
      <c r="BD172" s="580"/>
      <c r="BE172" s="580"/>
      <c r="BF172" s="580"/>
      <c r="BG172" s="579"/>
    </row>
    <row r="173" spans="2:59">
      <c r="B173" s="517" t="s">
        <v>550</v>
      </c>
      <c r="C173" s="518" t="s">
        <v>66</v>
      </c>
      <c r="D173" s="518" t="s">
        <v>57</v>
      </c>
      <c r="E173" s="518" t="s">
        <v>649</v>
      </c>
      <c r="F173" s="518" t="s">
        <v>673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P173" s="494" t="str">
        <f ca="1">IF('CDO Bespoke'!C198&lt;&gt;"",'CDO Bespoke'!C198,"")</f>
        <v/>
      </c>
      <c r="AQ173" s="496"/>
      <c r="AR173" s="585"/>
      <c r="AS173" s="585"/>
      <c r="AT173" s="585"/>
      <c r="AU173" s="497"/>
      <c r="AV173" s="496"/>
      <c r="AW173" s="585"/>
      <c r="AX173" s="585"/>
      <c r="AY173" s="585"/>
      <c r="AZ173" s="497"/>
      <c r="BA173" s="580"/>
      <c r="BB173" s="580"/>
      <c r="BC173" s="580"/>
      <c r="BD173" s="580"/>
      <c r="BE173" s="580"/>
      <c r="BF173" s="580"/>
      <c r="BG173" s="579"/>
    </row>
    <row r="174" spans="2:59">
      <c r="B174" s="534" t="s">
        <v>550</v>
      </c>
      <c r="C174" s="535" t="s">
        <v>66</v>
      </c>
      <c r="D174" s="535" t="s">
        <v>59</v>
      </c>
      <c r="E174" s="535" t="s">
        <v>649</v>
      </c>
      <c r="F174" s="535" t="s">
        <v>673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P174" s="494" t="str">
        <f ca="1">IF('CDO Bespoke'!C199&lt;&gt;"",'CDO Bespoke'!C199,"")</f>
        <v/>
      </c>
      <c r="AQ174" s="496"/>
      <c r="AR174" s="585"/>
      <c r="AS174" s="585"/>
      <c r="AT174" s="585"/>
      <c r="AU174" s="497"/>
      <c r="AV174" s="496"/>
      <c r="AW174" s="585"/>
      <c r="AX174" s="585"/>
      <c r="AY174" s="585"/>
      <c r="AZ174" s="497"/>
      <c r="BA174" s="580"/>
      <c r="BB174" s="580"/>
      <c r="BC174" s="580"/>
      <c r="BD174" s="580"/>
      <c r="BE174" s="580"/>
      <c r="BF174" s="580"/>
      <c r="BG174" s="579"/>
    </row>
    <row r="175" spans="2:59">
      <c r="B175" s="539" t="s">
        <v>551</v>
      </c>
      <c r="C175" s="540" t="s">
        <v>66</v>
      </c>
      <c r="D175" s="540" t="s">
        <v>55</v>
      </c>
      <c r="E175" s="540" t="s">
        <v>649</v>
      </c>
      <c r="F175" s="540" t="s">
        <v>673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P175" s="494" t="str">
        <f ca="1">IF('CDO Bespoke'!C200&lt;&gt;"",'CDO Bespoke'!C200,"")</f>
        <v/>
      </c>
      <c r="AQ175" s="496"/>
      <c r="AR175" s="585"/>
      <c r="AS175" s="585"/>
      <c r="AT175" s="585"/>
      <c r="AU175" s="497"/>
      <c r="AV175" s="496"/>
      <c r="AW175" s="585"/>
      <c r="AX175" s="585"/>
      <c r="AY175" s="585"/>
      <c r="AZ175" s="497"/>
      <c r="BA175" s="580"/>
      <c r="BB175" s="580"/>
      <c r="BC175" s="580"/>
      <c r="BD175" s="580"/>
      <c r="BE175" s="580"/>
      <c r="BF175" s="580"/>
      <c r="BG175" s="579"/>
    </row>
    <row r="176" spans="2:59">
      <c r="B176" s="517" t="s">
        <v>551</v>
      </c>
      <c r="C176" s="518" t="s">
        <v>66</v>
      </c>
      <c r="D176" s="518" t="s">
        <v>57</v>
      </c>
      <c r="E176" s="518" t="s">
        <v>649</v>
      </c>
      <c r="F176" s="518" t="s">
        <v>673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P176" s="494" t="str">
        <f ca="1">IF('CDO Bespoke'!C201&lt;&gt;"",'CDO Bespoke'!C201,"")</f>
        <v/>
      </c>
      <c r="AQ176" s="496"/>
      <c r="AR176" s="585"/>
      <c r="AS176" s="585"/>
      <c r="AT176" s="585"/>
      <c r="AU176" s="497"/>
      <c r="AV176" s="496"/>
      <c r="AW176" s="585"/>
      <c r="AX176" s="585"/>
      <c r="AY176" s="585"/>
      <c r="AZ176" s="497"/>
      <c r="BA176" s="580"/>
      <c r="BB176" s="580"/>
      <c r="BC176" s="580"/>
      <c r="BD176" s="580"/>
      <c r="BE176" s="580"/>
      <c r="BF176" s="580"/>
      <c r="BG176" s="579"/>
    </row>
    <row r="177" spans="2:59">
      <c r="B177" s="534" t="s">
        <v>551</v>
      </c>
      <c r="C177" s="535" t="s">
        <v>66</v>
      </c>
      <c r="D177" s="535" t="s">
        <v>59</v>
      </c>
      <c r="E177" s="535" t="s">
        <v>649</v>
      </c>
      <c r="F177" s="535" t="s">
        <v>673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P177" s="494" t="str">
        <f ca="1">IF('CDO Bespoke'!C202&lt;&gt;"",'CDO Bespoke'!C202,"")</f>
        <v/>
      </c>
      <c r="AQ177" s="496"/>
      <c r="AR177" s="585"/>
      <c r="AS177" s="585"/>
      <c r="AT177" s="585"/>
      <c r="AU177" s="497"/>
      <c r="AV177" s="496"/>
      <c r="AW177" s="585"/>
      <c r="AX177" s="585"/>
      <c r="AY177" s="585"/>
      <c r="AZ177" s="497"/>
      <c r="BA177" s="580"/>
      <c r="BB177" s="580"/>
      <c r="BC177" s="580"/>
      <c r="BD177" s="580"/>
      <c r="BE177" s="580"/>
      <c r="BF177" s="580"/>
      <c r="BG177" s="579"/>
    </row>
    <row r="178" spans="2:59">
      <c r="B178" s="539" t="s">
        <v>552</v>
      </c>
      <c r="C178" s="540" t="s">
        <v>66</v>
      </c>
      <c r="D178" s="540" t="s">
        <v>55</v>
      </c>
      <c r="E178" s="540" t="s">
        <v>649</v>
      </c>
      <c r="F178" s="540" t="s">
        <v>673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P178" s="494" t="str">
        <f ca="1">IF('CDO Bespoke'!C203&lt;&gt;"",'CDO Bespoke'!C203,"")</f>
        <v/>
      </c>
      <c r="AQ178" s="496"/>
      <c r="AR178" s="585"/>
      <c r="AS178" s="585"/>
      <c r="AT178" s="585"/>
      <c r="AU178" s="497"/>
      <c r="AV178" s="496"/>
      <c r="AW178" s="585"/>
      <c r="AX178" s="585"/>
      <c r="AY178" s="585"/>
      <c r="AZ178" s="497"/>
      <c r="BA178" s="580"/>
      <c r="BB178" s="580"/>
      <c r="BC178" s="580"/>
      <c r="BD178" s="580"/>
      <c r="BE178" s="580"/>
      <c r="BF178" s="580"/>
      <c r="BG178" s="579"/>
    </row>
    <row r="179" spans="2:59">
      <c r="B179" s="517" t="s">
        <v>552</v>
      </c>
      <c r="C179" s="518" t="s">
        <v>66</v>
      </c>
      <c r="D179" s="518" t="s">
        <v>57</v>
      </c>
      <c r="E179" s="518" t="s">
        <v>649</v>
      </c>
      <c r="F179" s="518" t="s">
        <v>673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P179" s="494" t="str">
        <f ca="1">IF('CDO Bespoke'!C204&lt;&gt;"",'CDO Bespoke'!C204,"")</f>
        <v/>
      </c>
      <c r="AQ179" s="496"/>
      <c r="AR179" s="585"/>
      <c r="AS179" s="585"/>
      <c r="AT179" s="585"/>
      <c r="AU179" s="497"/>
      <c r="AV179" s="496"/>
      <c r="AW179" s="585"/>
      <c r="AX179" s="585"/>
      <c r="AY179" s="585"/>
      <c r="AZ179" s="497"/>
      <c r="BA179" s="580"/>
      <c r="BB179" s="580"/>
      <c r="BC179" s="580"/>
      <c r="BD179" s="580"/>
      <c r="BE179" s="580"/>
      <c r="BF179" s="580"/>
      <c r="BG179" s="579"/>
    </row>
    <row r="180" spans="2:59">
      <c r="B180" s="534" t="s">
        <v>552</v>
      </c>
      <c r="C180" s="535" t="s">
        <v>66</v>
      </c>
      <c r="D180" s="535" t="s">
        <v>59</v>
      </c>
      <c r="E180" s="535" t="s">
        <v>649</v>
      </c>
      <c r="F180" s="535" t="s">
        <v>673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P180" s="494" t="str">
        <f ca="1">IF('CDO Bespoke'!C205&lt;&gt;"",'CDO Bespoke'!C205,"")</f>
        <v/>
      </c>
      <c r="AQ180" s="496"/>
      <c r="AR180" s="585"/>
      <c r="AS180" s="585"/>
      <c r="AT180" s="585"/>
      <c r="AU180" s="497"/>
      <c r="AV180" s="496"/>
      <c r="AW180" s="585"/>
      <c r="AX180" s="585"/>
      <c r="AY180" s="585"/>
      <c r="AZ180" s="497"/>
      <c r="BA180" s="580"/>
      <c r="BB180" s="580"/>
      <c r="BC180" s="580"/>
      <c r="BD180" s="580"/>
      <c r="BE180" s="580"/>
      <c r="BF180" s="580"/>
      <c r="BG180" s="579"/>
    </row>
    <row r="181" spans="2:59">
      <c r="B181" s="539" t="s">
        <v>553</v>
      </c>
      <c r="C181" s="540" t="s">
        <v>66</v>
      </c>
      <c r="D181" s="540" t="s">
        <v>55</v>
      </c>
      <c r="E181" s="540" t="s">
        <v>651</v>
      </c>
      <c r="F181" s="540" t="s">
        <v>673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P181" s="494" t="str">
        <f ca="1">IF('CDO Bespoke'!C206&lt;&gt;"",'CDO Bespoke'!C206,"")</f>
        <v/>
      </c>
      <c r="AQ181" s="496"/>
      <c r="AR181" s="585"/>
      <c r="AS181" s="585"/>
      <c r="AT181" s="585"/>
      <c r="AU181" s="497"/>
      <c r="AV181" s="496"/>
      <c r="AW181" s="585"/>
      <c r="AX181" s="585"/>
      <c r="AY181" s="585"/>
      <c r="AZ181" s="497"/>
      <c r="BA181" s="580"/>
      <c r="BB181" s="580"/>
      <c r="BC181" s="580"/>
      <c r="BD181" s="580"/>
      <c r="BE181" s="580"/>
      <c r="BF181" s="580"/>
      <c r="BG181" s="579"/>
    </row>
    <row r="182" spans="2:59">
      <c r="B182" s="517" t="s">
        <v>553</v>
      </c>
      <c r="C182" s="518" t="s">
        <v>66</v>
      </c>
      <c r="D182" s="518" t="s">
        <v>57</v>
      </c>
      <c r="E182" s="518" t="s">
        <v>651</v>
      </c>
      <c r="F182" s="518" t="s">
        <v>673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P182" s="494" t="str">
        <f ca="1">IF('CDO Bespoke'!C207&lt;&gt;"",'CDO Bespoke'!C207,"")</f>
        <v/>
      </c>
      <c r="AQ182" s="496"/>
      <c r="AR182" s="585"/>
      <c r="AS182" s="585"/>
      <c r="AT182" s="585"/>
      <c r="AU182" s="497"/>
      <c r="AV182" s="496"/>
      <c r="AW182" s="585"/>
      <c r="AX182" s="585"/>
      <c r="AY182" s="585"/>
      <c r="AZ182" s="497"/>
      <c r="BA182" s="580"/>
      <c r="BB182" s="580"/>
      <c r="BC182" s="580"/>
      <c r="BD182" s="580"/>
      <c r="BE182" s="580"/>
      <c r="BF182" s="580"/>
      <c r="BG182" s="579"/>
    </row>
    <row r="183" spans="2:59">
      <c r="B183" s="534" t="s">
        <v>553</v>
      </c>
      <c r="C183" s="535" t="s">
        <v>66</v>
      </c>
      <c r="D183" s="535" t="s">
        <v>59</v>
      </c>
      <c r="E183" s="535" t="s">
        <v>651</v>
      </c>
      <c r="F183" s="535" t="s">
        <v>673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P183" s="494" t="str">
        <f ca="1">IF('CDO Bespoke'!C208&lt;&gt;"",'CDO Bespoke'!C208,"")</f>
        <v/>
      </c>
      <c r="AQ183" s="496"/>
      <c r="AR183" s="585"/>
      <c r="AS183" s="585"/>
      <c r="AT183" s="585"/>
      <c r="AU183" s="497"/>
      <c r="AV183" s="496"/>
      <c r="AW183" s="585"/>
      <c r="AX183" s="585"/>
      <c r="AY183" s="585"/>
      <c r="AZ183" s="497"/>
      <c r="BA183" s="580"/>
      <c r="BB183" s="580"/>
      <c r="BC183" s="580"/>
      <c r="BD183" s="580"/>
      <c r="BE183" s="580"/>
      <c r="BF183" s="580"/>
      <c r="BG183" s="579"/>
    </row>
    <row r="184" spans="2:59">
      <c r="B184" s="539" t="s">
        <v>554</v>
      </c>
      <c r="C184" s="540" t="s">
        <v>66</v>
      </c>
      <c r="D184" s="540" t="s">
        <v>55</v>
      </c>
      <c r="E184" s="540" t="s">
        <v>651</v>
      </c>
      <c r="F184" s="540" t="s">
        <v>673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P184" s="494" t="str">
        <f ca="1">IF('CDO Bespoke'!C209&lt;&gt;"",'CDO Bespoke'!C209,"")</f>
        <v/>
      </c>
      <c r="AQ184" s="496"/>
      <c r="AR184" s="585"/>
      <c r="AS184" s="585"/>
      <c r="AT184" s="585"/>
      <c r="AU184" s="497"/>
      <c r="AV184" s="496"/>
      <c r="AW184" s="585"/>
      <c r="AX184" s="585"/>
      <c r="AY184" s="585"/>
      <c r="AZ184" s="497"/>
      <c r="BA184" s="580"/>
      <c r="BB184" s="580"/>
      <c r="BC184" s="580"/>
      <c r="BD184" s="580"/>
      <c r="BE184" s="580"/>
      <c r="BF184" s="580"/>
      <c r="BG184" s="579"/>
    </row>
    <row r="185" spans="2:59">
      <c r="B185" s="517" t="s">
        <v>554</v>
      </c>
      <c r="C185" s="518" t="s">
        <v>66</v>
      </c>
      <c r="D185" s="518" t="s">
        <v>57</v>
      </c>
      <c r="E185" s="518" t="s">
        <v>651</v>
      </c>
      <c r="F185" s="518" t="s">
        <v>673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P185" s="494" t="str">
        <f ca="1">IF('CDO Bespoke'!C210&lt;&gt;"",'CDO Bespoke'!C210,"")</f>
        <v/>
      </c>
      <c r="AQ185" s="496"/>
      <c r="AR185" s="585"/>
      <c r="AS185" s="585"/>
      <c r="AT185" s="585"/>
      <c r="AU185" s="497"/>
      <c r="AV185" s="496"/>
      <c r="AW185" s="585"/>
      <c r="AX185" s="585"/>
      <c r="AY185" s="585"/>
      <c r="AZ185" s="497"/>
      <c r="BA185" s="580"/>
      <c r="BB185" s="580"/>
      <c r="BC185" s="580"/>
      <c r="BD185" s="580"/>
      <c r="BE185" s="580"/>
      <c r="BF185" s="580"/>
      <c r="BG185" s="579"/>
    </row>
    <row r="186" spans="2:59">
      <c r="B186" s="534" t="s">
        <v>554</v>
      </c>
      <c r="C186" s="535" t="s">
        <v>66</v>
      </c>
      <c r="D186" s="535" t="s">
        <v>59</v>
      </c>
      <c r="E186" s="535" t="s">
        <v>651</v>
      </c>
      <c r="F186" s="535" t="s">
        <v>673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P186" s="494" t="str">
        <f ca="1">IF('CDO Bespoke'!C211&lt;&gt;"",'CDO Bespoke'!C211,"")</f>
        <v/>
      </c>
      <c r="AQ186" s="496"/>
      <c r="AR186" s="585"/>
      <c r="AS186" s="585"/>
      <c r="AT186" s="585"/>
      <c r="AU186" s="497"/>
      <c r="AV186" s="496"/>
      <c r="AW186" s="585"/>
      <c r="AX186" s="585"/>
      <c r="AY186" s="585"/>
      <c r="AZ186" s="497"/>
      <c r="BA186" s="580"/>
      <c r="BB186" s="580"/>
      <c r="BC186" s="580"/>
      <c r="BD186" s="580"/>
      <c r="BE186" s="580"/>
      <c r="BF186" s="580"/>
      <c r="BG186" s="579"/>
    </row>
    <row r="187" spans="2:59">
      <c r="B187" s="539" t="s">
        <v>555</v>
      </c>
      <c r="C187" s="540" t="s">
        <v>66</v>
      </c>
      <c r="D187" s="540" t="s">
        <v>55</v>
      </c>
      <c r="E187" s="540" t="s">
        <v>649</v>
      </c>
      <c r="F187" s="540" t="s">
        <v>673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P187" s="494" t="str">
        <f ca="1">IF('CDO Bespoke'!C212&lt;&gt;"",'CDO Bespoke'!C212,"")</f>
        <v/>
      </c>
      <c r="AQ187" s="496"/>
      <c r="AR187" s="585"/>
      <c r="AS187" s="585"/>
      <c r="AT187" s="585"/>
      <c r="AU187" s="497"/>
      <c r="AV187" s="496"/>
      <c r="AW187" s="585"/>
      <c r="AX187" s="585"/>
      <c r="AY187" s="585"/>
      <c r="AZ187" s="497"/>
      <c r="BA187" s="580"/>
      <c r="BB187" s="580"/>
      <c r="BC187" s="580"/>
      <c r="BD187" s="580"/>
      <c r="BE187" s="580"/>
      <c r="BF187" s="580"/>
      <c r="BG187" s="579"/>
    </row>
    <row r="188" spans="2:59">
      <c r="B188" s="517" t="s">
        <v>555</v>
      </c>
      <c r="C188" s="518" t="s">
        <v>66</v>
      </c>
      <c r="D188" s="518" t="s">
        <v>57</v>
      </c>
      <c r="E188" s="518" t="s">
        <v>649</v>
      </c>
      <c r="F188" s="518" t="s">
        <v>673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P188" s="494" t="str">
        <f ca="1">IF('CDO Bespoke'!C213&lt;&gt;"",'CDO Bespoke'!C213,"")</f>
        <v/>
      </c>
      <c r="AQ188" s="496"/>
      <c r="AR188" s="585"/>
      <c r="AS188" s="585"/>
      <c r="AT188" s="585"/>
      <c r="AU188" s="497"/>
      <c r="AV188" s="496"/>
      <c r="AW188" s="585"/>
      <c r="AX188" s="585"/>
      <c r="AY188" s="585"/>
      <c r="AZ188" s="497"/>
      <c r="BA188" s="580"/>
      <c r="BB188" s="580"/>
      <c r="BC188" s="580"/>
      <c r="BD188" s="580"/>
      <c r="BE188" s="580"/>
      <c r="BF188" s="580"/>
      <c r="BG188" s="579"/>
    </row>
    <row r="189" spans="2:59">
      <c r="B189" s="534" t="s">
        <v>555</v>
      </c>
      <c r="C189" s="535" t="s">
        <v>66</v>
      </c>
      <c r="D189" s="535" t="s">
        <v>59</v>
      </c>
      <c r="E189" s="535" t="s">
        <v>649</v>
      </c>
      <c r="F189" s="535" t="s">
        <v>673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P189" s="494" t="str">
        <f ca="1">IF('CDO Bespoke'!C214&lt;&gt;"",'CDO Bespoke'!C214,"")</f>
        <v/>
      </c>
      <c r="AQ189" s="496"/>
      <c r="AR189" s="585"/>
      <c r="AS189" s="585"/>
      <c r="AT189" s="585"/>
      <c r="AU189" s="497"/>
      <c r="AV189" s="496"/>
      <c r="AW189" s="585"/>
      <c r="AX189" s="585"/>
      <c r="AY189" s="585"/>
      <c r="AZ189" s="497"/>
      <c r="BA189" s="580"/>
      <c r="BB189" s="580"/>
      <c r="BC189" s="580"/>
      <c r="BD189" s="580"/>
      <c r="BE189" s="580"/>
      <c r="BF189" s="580"/>
      <c r="BG189" s="579"/>
    </row>
    <row r="190" spans="2:59">
      <c r="B190" s="539" t="s">
        <v>556</v>
      </c>
      <c r="C190" s="540" t="s">
        <v>66</v>
      </c>
      <c r="D190" s="540" t="s">
        <v>55</v>
      </c>
      <c r="E190" s="540" t="s">
        <v>649</v>
      </c>
      <c r="F190" s="540" t="s">
        <v>673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P190" s="494" t="str">
        <f ca="1">IF('CDO Bespoke'!C215&lt;&gt;"",'CDO Bespoke'!C215,"")</f>
        <v/>
      </c>
      <c r="AQ190" s="496"/>
      <c r="AR190" s="585"/>
      <c r="AS190" s="585"/>
      <c r="AT190" s="585"/>
      <c r="AU190" s="497"/>
      <c r="AV190" s="496"/>
      <c r="AW190" s="585"/>
      <c r="AX190" s="585"/>
      <c r="AY190" s="585"/>
      <c r="AZ190" s="497"/>
      <c r="BA190" s="580"/>
      <c r="BB190" s="580"/>
      <c r="BC190" s="580"/>
      <c r="BD190" s="580"/>
      <c r="BE190" s="580"/>
      <c r="BF190" s="580"/>
      <c r="BG190" s="579"/>
    </row>
    <row r="191" spans="2:59">
      <c r="B191" s="517" t="s">
        <v>556</v>
      </c>
      <c r="C191" s="518" t="s">
        <v>66</v>
      </c>
      <c r="D191" s="518" t="s">
        <v>57</v>
      </c>
      <c r="E191" s="518" t="s">
        <v>649</v>
      </c>
      <c r="F191" s="518" t="s">
        <v>673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P191" s="494" t="str">
        <f ca="1">IF('CDO Bespoke'!C216&lt;&gt;"",'CDO Bespoke'!C216,"")</f>
        <v/>
      </c>
      <c r="AQ191" s="496"/>
      <c r="AR191" s="585"/>
      <c r="AS191" s="585"/>
      <c r="AT191" s="585"/>
      <c r="AU191" s="497"/>
      <c r="AV191" s="496"/>
      <c r="AW191" s="585"/>
      <c r="AX191" s="585"/>
      <c r="AY191" s="585"/>
      <c r="AZ191" s="497"/>
      <c r="BA191" s="580"/>
      <c r="BB191" s="580"/>
      <c r="BC191" s="580"/>
      <c r="BD191" s="580"/>
      <c r="BE191" s="580"/>
      <c r="BF191" s="580"/>
      <c r="BG191" s="579"/>
    </row>
    <row r="192" spans="2:59">
      <c r="B192" s="534" t="s">
        <v>556</v>
      </c>
      <c r="C192" s="535" t="s">
        <v>66</v>
      </c>
      <c r="D192" s="535" t="s">
        <v>59</v>
      </c>
      <c r="E192" s="535" t="s">
        <v>649</v>
      </c>
      <c r="F192" s="535" t="s">
        <v>673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P192" s="494" t="str">
        <f ca="1">IF('CDO Bespoke'!C217&lt;&gt;"",'CDO Bespoke'!C217,"")</f>
        <v/>
      </c>
      <c r="AQ192" s="496"/>
      <c r="AR192" s="585"/>
      <c r="AS192" s="585"/>
      <c r="AT192" s="585"/>
      <c r="AU192" s="497"/>
      <c r="AV192" s="496"/>
      <c r="AW192" s="585"/>
      <c r="AX192" s="585"/>
      <c r="AY192" s="585"/>
      <c r="AZ192" s="497"/>
      <c r="BA192" s="580"/>
      <c r="BB192" s="580"/>
      <c r="BC192" s="580"/>
      <c r="BD192" s="580"/>
      <c r="BE192" s="580"/>
      <c r="BF192" s="580"/>
      <c r="BG192" s="579"/>
    </row>
    <row r="193" spans="2:59">
      <c r="B193" s="539" t="s">
        <v>564</v>
      </c>
      <c r="C193" s="540" t="s">
        <v>66</v>
      </c>
      <c r="D193" s="540" t="s">
        <v>55</v>
      </c>
      <c r="E193" s="540" t="s">
        <v>649</v>
      </c>
      <c r="F193" s="540" t="s">
        <v>673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P193" s="494" t="str">
        <f ca="1">IF('CDO Bespoke'!C218&lt;&gt;"",'CDO Bespoke'!C218,"")</f>
        <v/>
      </c>
      <c r="AQ193" s="496"/>
      <c r="AR193" s="585"/>
      <c r="AS193" s="585"/>
      <c r="AT193" s="585"/>
      <c r="AU193" s="497"/>
      <c r="AV193" s="496"/>
      <c r="AW193" s="585"/>
      <c r="AX193" s="585"/>
      <c r="AY193" s="585"/>
      <c r="AZ193" s="497"/>
      <c r="BA193" s="580"/>
      <c r="BB193" s="580"/>
      <c r="BC193" s="580"/>
      <c r="BD193" s="580"/>
      <c r="BE193" s="580"/>
      <c r="BF193" s="580"/>
      <c r="BG193" s="579"/>
    </row>
    <row r="194" spans="2:59">
      <c r="B194" s="517" t="s">
        <v>564</v>
      </c>
      <c r="C194" s="518" t="s">
        <v>66</v>
      </c>
      <c r="D194" s="518" t="s">
        <v>57</v>
      </c>
      <c r="E194" s="518" t="s">
        <v>649</v>
      </c>
      <c r="F194" s="518" t="s">
        <v>673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P194" s="494" t="str">
        <f ca="1">IF('CDO Bespoke'!C219&lt;&gt;"",'CDO Bespoke'!C219,"")</f>
        <v/>
      </c>
      <c r="AQ194" s="496"/>
      <c r="AR194" s="585"/>
      <c r="AS194" s="585"/>
      <c r="AT194" s="585"/>
      <c r="AU194" s="497"/>
      <c r="AV194" s="496"/>
      <c r="AW194" s="585"/>
      <c r="AX194" s="585"/>
      <c r="AY194" s="585"/>
      <c r="AZ194" s="497"/>
      <c r="BA194" s="580"/>
      <c r="BB194" s="580"/>
      <c r="BC194" s="580"/>
      <c r="BD194" s="580"/>
      <c r="BE194" s="580"/>
      <c r="BF194" s="580"/>
      <c r="BG194" s="579"/>
    </row>
    <row r="195" spans="2:59">
      <c r="B195" s="534" t="s">
        <v>564</v>
      </c>
      <c r="C195" s="535" t="s">
        <v>66</v>
      </c>
      <c r="D195" s="535" t="s">
        <v>59</v>
      </c>
      <c r="E195" s="535" t="s">
        <v>649</v>
      </c>
      <c r="F195" s="535" t="s">
        <v>673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P195" s="494" t="str">
        <f ca="1">IF('CDO Bespoke'!C220&lt;&gt;"",'CDO Bespoke'!C220,"")</f>
        <v/>
      </c>
      <c r="AQ195" s="496"/>
      <c r="AR195" s="585"/>
      <c r="AS195" s="585"/>
      <c r="AT195" s="585"/>
      <c r="AU195" s="497"/>
      <c r="AV195" s="496"/>
      <c r="AW195" s="585"/>
      <c r="AX195" s="585"/>
      <c r="AY195" s="585"/>
      <c r="AZ195" s="497"/>
      <c r="BA195" s="580"/>
      <c r="BB195" s="580"/>
      <c r="BC195" s="580"/>
      <c r="BD195" s="580"/>
      <c r="BE195" s="580"/>
      <c r="BF195" s="580"/>
      <c r="BG195" s="579"/>
    </row>
    <row r="196" spans="2:59">
      <c r="B196" s="539" t="s">
        <v>557</v>
      </c>
      <c r="C196" s="540" t="s">
        <v>66</v>
      </c>
      <c r="D196" s="540" t="s">
        <v>55</v>
      </c>
      <c r="E196" s="540" t="s">
        <v>649</v>
      </c>
      <c r="F196" s="540" t="s">
        <v>673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P196" s="494" t="str">
        <f ca="1">IF('CDO Bespoke'!C221&lt;&gt;"",'CDO Bespoke'!C221,"")</f>
        <v/>
      </c>
      <c r="AQ196" s="496"/>
      <c r="AR196" s="585"/>
      <c r="AS196" s="585"/>
      <c r="AT196" s="585"/>
      <c r="AU196" s="497"/>
      <c r="AV196" s="496"/>
      <c r="AW196" s="585"/>
      <c r="AX196" s="585"/>
      <c r="AY196" s="585"/>
      <c r="AZ196" s="497"/>
      <c r="BA196" s="580"/>
      <c r="BB196" s="580"/>
      <c r="BC196" s="580"/>
      <c r="BD196" s="580"/>
      <c r="BE196" s="580"/>
      <c r="BF196" s="580"/>
      <c r="BG196" s="579"/>
    </row>
    <row r="197" spans="2:59">
      <c r="B197" s="517" t="s">
        <v>557</v>
      </c>
      <c r="C197" s="518" t="s">
        <v>66</v>
      </c>
      <c r="D197" s="518" t="s">
        <v>57</v>
      </c>
      <c r="E197" s="518" t="s">
        <v>649</v>
      </c>
      <c r="F197" s="518" t="s">
        <v>673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P197" s="494" t="str">
        <f ca="1">IF('CDO Bespoke'!C222&lt;&gt;"",'CDO Bespoke'!C222,"")</f>
        <v/>
      </c>
      <c r="AQ197" s="496"/>
      <c r="AR197" s="585"/>
      <c r="AS197" s="585"/>
      <c r="AT197" s="585"/>
      <c r="AU197" s="497"/>
      <c r="AV197" s="496"/>
      <c r="AW197" s="585"/>
      <c r="AX197" s="585"/>
      <c r="AY197" s="585"/>
      <c r="AZ197" s="497"/>
      <c r="BA197" s="580"/>
      <c r="BB197" s="580"/>
      <c r="BC197" s="580"/>
      <c r="BD197" s="580"/>
      <c r="BE197" s="580"/>
      <c r="BF197" s="580"/>
      <c r="BG197" s="579"/>
    </row>
    <row r="198" spans="2:59">
      <c r="B198" s="534" t="s">
        <v>557</v>
      </c>
      <c r="C198" s="535" t="s">
        <v>66</v>
      </c>
      <c r="D198" s="535" t="s">
        <v>59</v>
      </c>
      <c r="E198" s="535" t="s">
        <v>649</v>
      </c>
      <c r="F198" s="535" t="s">
        <v>673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P198" s="494" t="str">
        <f ca="1">IF('CDO Bespoke'!C223&lt;&gt;"",'CDO Bespoke'!C223,"")</f>
        <v/>
      </c>
      <c r="AQ198" s="496"/>
      <c r="AR198" s="585"/>
      <c r="AS198" s="585"/>
      <c r="AT198" s="585"/>
      <c r="AU198" s="497"/>
      <c r="AV198" s="496"/>
      <c r="AW198" s="585"/>
      <c r="AX198" s="585"/>
      <c r="AY198" s="585"/>
      <c r="AZ198" s="497"/>
      <c r="BA198" s="580"/>
      <c r="BB198" s="580"/>
      <c r="BC198" s="580"/>
      <c r="BD198" s="580"/>
      <c r="BE198" s="580"/>
      <c r="BF198" s="580"/>
      <c r="BG198" s="579"/>
    </row>
    <row r="199" spans="2:59">
      <c r="B199" s="539" t="s">
        <v>558</v>
      </c>
      <c r="C199" s="540" t="s">
        <v>66</v>
      </c>
      <c r="D199" s="540" t="s">
        <v>55</v>
      </c>
      <c r="E199" s="540" t="s">
        <v>649</v>
      </c>
      <c r="F199" s="540" t="s">
        <v>673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P199" s="494" t="str">
        <f ca="1">IF('CDO Bespoke'!C224&lt;&gt;"",'CDO Bespoke'!C224,"")</f>
        <v/>
      </c>
      <c r="AQ199" s="496"/>
      <c r="AR199" s="585"/>
      <c r="AS199" s="585"/>
      <c r="AT199" s="585"/>
      <c r="AU199" s="497"/>
      <c r="AV199" s="496"/>
      <c r="AW199" s="585"/>
      <c r="AX199" s="585"/>
      <c r="AY199" s="585"/>
      <c r="AZ199" s="497"/>
      <c r="BA199" s="580"/>
      <c r="BB199" s="580"/>
      <c r="BC199" s="580"/>
      <c r="BD199" s="580"/>
      <c r="BE199" s="580"/>
      <c r="BF199" s="580"/>
      <c r="BG199" s="579"/>
    </row>
    <row r="200" spans="2:59">
      <c r="B200" s="517" t="s">
        <v>558</v>
      </c>
      <c r="C200" s="518" t="s">
        <v>66</v>
      </c>
      <c r="D200" s="518" t="s">
        <v>57</v>
      </c>
      <c r="E200" s="518" t="s">
        <v>649</v>
      </c>
      <c r="F200" s="518" t="s">
        <v>673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P200" s="494" t="str">
        <f ca="1">IF('CDO Bespoke'!C225&lt;&gt;"",'CDO Bespoke'!C225,"")</f>
        <v/>
      </c>
      <c r="AQ200" s="496"/>
      <c r="AR200" s="585"/>
      <c r="AS200" s="585"/>
      <c r="AT200" s="585"/>
      <c r="AU200" s="497"/>
      <c r="AV200" s="496"/>
      <c r="AW200" s="585"/>
      <c r="AX200" s="585"/>
      <c r="AY200" s="585"/>
      <c r="AZ200" s="497"/>
      <c r="BA200" s="580"/>
      <c r="BB200" s="580"/>
      <c r="BC200" s="580"/>
      <c r="BD200" s="580"/>
      <c r="BE200" s="580"/>
      <c r="BF200" s="580"/>
      <c r="BG200" s="579"/>
    </row>
    <row r="201" spans="2:59">
      <c r="B201" s="534" t="s">
        <v>558</v>
      </c>
      <c r="C201" s="535" t="s">
        <v>66</v>
      </c>
      <c r="D201" s="535" t="s">
        <v>59</v>
      </c>
      <c r="E201" s="535" t="s">
        <v>649</v>
      </c>
      <c r="F201" s="535" t="s">
        <v>673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P201" s="494" t="str">
        <f ca="1">IF('CDO Bespoke'!C226&lt;&gt;"",'CDO Bespoke'!C226,"")</f>
        <v/>
      </c>
      <c r="AQ201" s="496"/>
      <c r="AR201" s="585"/>
      <c r="AS201" s="585"/>
      <c r="AT201" s="585"/>
      <c r="AU201" s="497"/>
      <c r="AV201" s="496"/>
      <c r="AW201" s="585"/>
      <c r="AX201" s="585"/>
      <c r="AY201" s="585"/>
      <c r="AZ201" s="497"/>
      <c r="BA201" s="580"/>
      <c r="BB201" s="580"/>
      <c r="BC201" s="580"/>
      <c r="BD201" s="580"/>
      <c r="BE201" s="580"/>
      <c r="BF201" s="580"/>
      <c r="BG201" s="579"/>
    </row>
    <row r="202" spans="2:59">
      <c r="B202" s="539" t="s">
        <v>559</v>
      </c>
      <c r="C202" s="540" t="s">
        <v>66</v>
      </c>
      <c r="D202" s="540" t="s">
        <v>55</v>
      </c>
      <c r="E202" s="540" t="s">
        <v>647</v>
      </c>
      <c r="F202" s="540" t="s">
        <v>673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P202" s="494" t="str">
        <f ca="1">IF('CDO Bespoke'!C227&lt;&gt;"",'CDO Bespoke'!C227,"")</f>
        <v/>
      </c>
      <c r="AQ202" s="496"/>
      <c r="AR202" s="585"/>
      <c r="AS202" s="585"/>
      <c r="AT202" s="585"/>
      <c r="AU202" s="497"/>
      <c r="AV202" s="496"/>
      <c r="AW202" s="585"/>
      <c r="AX202" s="585"/>
      <c r="AY202" s="585"/>
      <c r="AZ202" s="497"/>
      <c r="BA202" s="580"/>
      <c r="BB202" s="580"/>
      <c r="BC202" s="580"/>
      <c r="BD202" s="580"/>
      <c r="BE202" s="580"/>
      <c r="BF202" s="580"/>
      <c r="BG202" s="579"/>
    </row>
    <row r="203" spans="2:59">
      <c r="B203" s="517" t="s">
        <v>559</v>
      </c>
      <c r="C203" s="518" t="s">
        <v>66</v>
      </c>
      <c r="D203" s="518" t="s">
        <v>57</v>
      </c>
      <c r="E203" s="518" t="s">
        <v>647</v>
      </c>
      <c r="F203" s="518" t="s">
        <v>673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P203" s="494" t="str">
        <f ca="1">IF('CDO Bespoke'!C228&lt;&gt;"",'CDO Bespoke'!C228,"")</f>
        <v/>
      </c>
      <c r="AQ203" s="496"/>
      <c r="AR203" s="585"/>
      <c r="AS203" s="585"/>
      <c r="AT203" s="585"/>
      <c r="AU203" s="497"/>
      <c r="AV203" s="496"/>
      <c r="AW203" s="585"/>
      <c r="AX203" s="585"/>
      <c r="AY203" s="585"/>
      <c r="AZ203" s="497"/>
      <c r="BA203" s="580"/>
      <c r="BB203" s="580"/>
      <c r="BC203" s="580"/>
      <c r="BD203" s="580"/>
      <c r="BE203" s="580"/>
      <c r="BF203" s="580"/>
      <c r="BG203" s="579"/>
    </row>
    <row r="204" spans="2:59">
      <c r="B204" s="534" t="s">
        <v>559</v>
      </c>
      <c r="C204" s="535" t="s">
        <v>66</v>
      </c>
      <c r="D204" s="535" t="s">
        <v>59</v>
      </c>
      <c r="E204" s="535" t="s">
        <v>647</v>
      </c>
      <c r="F204" s="535" t="s">
        <v>673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P204" s="494" t="str">
        <f ca="1">IF('CDO Bespoke'!C229&lt;&gt;"",'CDO Bespoke'!C229,"")</f>
        <v/>
      </c>
      <c r="AQ204" s="496"/>
      <c r="AR204" s="585"/>
      <c r="AS204" s="585"/>
      <c r="AT204" s="585"/>
      <c r="AU204" s="497"/>
      <c r="AV204" s="496"/>
      <c r="AW204" s="585"/>
      <c r="AX204" s="585"/>
      <c r="AY204" s="585"/>
      <c r="AZ204" s="497"/>
      <c r="BA204" s="580"/>
      <c r="BB204" s="580"/>
      <c r="BC204" s="580"/>
      <c r="BD204" s="580"/>
      <c r="BE204" s="580"/>
      <c r="BF204" s="580"/>
      <c r="BG204" s="579"/>
    </row>
    <row r="205" spans="2:59">
      <c r="B205" s="539" t="s">
        <v>565</v>
      </c>
      <c r="C205" s="540" t="s">
        <v>66</v>
      </c>
      <c r="D205" s="540" t="s">
        <v>55</v>
      </c>
      <c r="E205" s="540" t="s">
        <v>647</v>
      </c>
      <c r="F205" s="540" t="s">
        <v>652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P205" s="494" t="str">
        <f ca="1">IF('CDO Bespoke'!C230&lt;&gt;"",'CDO Bespoke'!C230,"")</f>
        <v/>
      </c>
      <c r="AQ205" s="496"/>
      <c r="AR205" s="585"/>
      <c r="AS205" s="585"/>
      <c r="AT205" s="585"/>
      <c r="AU205" s="497"/>
      <c r="AV205" s="496"/>
      <c r="AW205" s="585"/>
      <c r="AX205" s="585"/>
      <c r="AY205" s="585"/>
      <c r="AZ205" s="497"/>
      <c r="BA205" s="580"/>
      <c r="BB205" s="580"/>
      <c r="BC205" s="580"/>
      <c r="BD205" s="580"/>
      <c r="BE205" s="580"/>
      <c r="BF205" s="580"/>
      <c r="BG205" s="579"/>
    </row>
    <row r="206" spans="2:59">
      <c r="B206" s="517" t="s">
        <v>565</v>
      </c>
      <c r="C206" s="518" t="s">
        <v>66</v>
      </c>
      <c r="D206" s="518" t="s">
        <v>57</v>
      </c>
      <c r="E206" s="518" t="s">
        <v>647</v>
      </c>
      <c r="F206" s="518" t="s">
        <v>652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P206" s="494" t="str">
        <f ca="1">IF('CDO Bespoke'!C231&lt;&gt;"",'CDO Bespoke'!C231,"")</f>
        <v/>
      </c>
      <c r="AQ206" s="496"/>
      <c r="AR206" s="585"/>
      <c r="AS206" s="585"/>
      <c r="AT206" s="585"/>
      <c r="AU206" s="497"/>
      <c r="AV206" s="496"/>
      <c r="AW206" s="585"/>
      <c r="AX206" s="585"/>
      <c r="AY206" s="585"/>
      <c r="AZ206" s="497"/>
      <c r="BA206" s="580"/>
      <c r="BB206" s="580"/>
      <c r="BC206" s="580"/>
      <c r="BD206" s="580"/>
      <c r="BE206" s="580"/>
      <c r="BF206" s="580"/>
      <c r="BG206" s="579"/>
    </row>
    <row r="207" spans="2:59">
      <c r="B207" s="534" t="s">
        <v>565</v>
      </c>
      <c r="C207" s="535" t="s">
        <v>66</v>
      </c>
      <c r="D207" s="535" t="s">
        <v>59</v>
      </c>
      <c r="E207" s="535" t="s">
        <v>647</v>
      </c>
      <c r="F207" s="535" t="s">
        <v>652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P207" s="494" t="str">
        <f ca="1">IF('CDO Bespoke'!C232&lt;&gt;"",'CDO Bespoke'!C232,"")</f>
        <v/>
      </c>
      <c r="AQ207" s="496"/>
      <c r="AR207" s="585"/>
      <c r="AS207" s="585"/>
      <c r="AT207" s="585"/>
      <c r="AU207" s="497"/>
      <c r="AV207" s="496"/>
      <c r="AW207" s="585"/>
      <c r="AX207" s="585"/>
      <c r="AY207" s="585"/>
      <c r="AZ207" s="497"/>
      <c r="BA207" s="580"/>
      <c r="BB207" s="580"/>
      <c r="BC207" s="580"/>
      <c r="BD207" s="580"/>
      <c r="BE207" s="580"/>
      <c r="BF207" s="580"/>
      <c r="BG207" s="579"/>
    </row>
    <row r="208" spans="2:59">
      <c r="B208" s="539" t="s">
        <v>566</v>
      </c>
      <c r="C208" s="540" t="s">
        <v>66</v>
      </c>
      <c r="D208" s="540" t="s">
        <v>55</v>
      </c>
      <c r="E208" s="540" t="s">
        <v>649</v>
      </c>
      <c r="F208" s="540" t="s">
        <v>653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P208" s="494" t="str">
        <f ca="1">IF('CDO Bespoke'!C233&lt;&gt;"",'CDO Bespoke'!C233,"")</f>
        <v/>
      </c>
      <c r="AQ208" s="496"/>
      <c r="AR208" s="585"/>
      <c r="AS208" s="585"/>
      <c r="AT208" s="585"/>
      <c r="AU208" s="497"/>
      <c r="AV208" s="496"/>
      <c r="AW208" s="585"/>
      <c r="AX208" s="585"/>
      <c r="AY208" s="585"/>
      <c r="AZ208" s="497"/>
      <c r="BA208" s="580"/>
      <c r="BB208" s="580"/>
      <c r="BC208" s="580"/>
      <c r="BD208" s="580"/>
      <c r="BE208" s="580"/>
      <c r="BF208" s="580"/>
      <c r="BG208" s="579"/>
    </row>
    <row r="209" spans="2:59">
      <c r="B209" s="517" t="s">
        <v>566</v>
      </c>
      <c r="C209" s="518" t="s">
        <v>66</v>
      </c>
      <c r="D209" s="518" t="s">
        <v>57</v>
      </c>
      <c r="E209" s="518" t="s">
        <v>649</v>
      </c>
      <c r="F209" s="518" t="s">
        <v>653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P209" s="494" t="str">
        <f ca="1">IF('CDO Bespoke'!C234&lt;&gt;"",'CDO Bespoke'!C234,"")</f>
        <v/>
      </c>
      <c r="AQ209" s="496"/>
      <c r="AR209" s="585"/>
      <c r="AS209" s="585"/>
      <c r="AT209" s="585"/>
      <c r="AU209" s="497"/>
      <c r="AV209" s="496"/>
      <c r="AW209" s="585"/>
      <c r="AX209" s="585"/>
      <c r="AY209" s="585"/>
      <c r="AZ209" s="497"/>
      <c r="BA209" s="580"/>
      <c r="BB209" s="580"/>
      <c r="BC209" s="580"/>
      <c r="BD209" s="580"/>
      <c r="BE209" s="580"/>
      <c r="BF209" s="580"/>
      <c r="BG209" s="579"/>
    </row>
    <row r="210" spans="2:59">
      <c r="B210" s="534" t="s">
        <v>566</v>
      </c>
      <c r="C210" s="535" t="s">
        <v>66</v>
      </c>
      <c r="D210" s="535" t="s">
        <v>59</v>
      </c>
      <c r="E210" s="535" t="s">
        <v>649</v>
      </c>
      <c r="F210" s="535" t="s">
        <v>653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P210" s="494" t="str">
        <f ca="1">IF('CDO Bespoke'!C235&lt;&gt;"",'CDO Bespoke'!C235,"")</f>
        <v/>
      </c>
      <c r="AQ210" s="496"/>
      <c r="AR210" s="585"/>
      <c r="AS210" s="585"/>
      <c r="AT210" s="585"/>
      <c r="AU210" s="497"/>
      <c r="AV210" s="496"/>
      <c r="AW210" s="585"/>
      <c r="AX210" s="585"/>
      <c r="AY210" s="585"/>
      <c r="AZ210" s="497"/>
      <c r="BA210" s="580"/>
      <c r="BB210" s="580"/>
      <c r="BC210" s="580"/>
      <c r="BD210" s="580"/>
      <c r="BE210" s="580"/>
      <c r="BF210" s="580"/>
      <c r="BG210" s="579"/>
    </row>
    <row r="211" spans="2:59">
      <c r="B211" s="539" t="s">
        <v>576</v>
      </c>
      <c r="C211" s="540" t="s">
        <v>66</v>
      </c>
      <c r="D211" s="540" t="s">
        <v>55</v>
      </c>
      <c r="E211" s="540" t="s">
        <v>649</v>
      </c>
      <c r="F211" s="540" t="s">
        <v>653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P211" s="494" t="str">
        <f ca="1">IF('CDO Bespoke'!C236&lt;&gt;"",'CDO Bespoke'!C236,"")</f>
        <v/>
      </c>
      <c r="AQ211" s="496"/>
      <c r="AR211" s="585"/>
      <c r="AS211" s="585"/>
      <c r="AT211" s="585"/>
      <c r="AU211" s="497"/>
      <c r="AV211" s="496"/>
      <c r="AW211" s="585"/>
      <c r="AX211" s="585"/>
      <c r="AY211" s="585"/>
      <c r="AZ211" s="497"/>
      <c r="BA211" s="580"/>
      <c r="BB211" s="580"/>
      <c r="BC211" s="580"/>
      <c r="BD211" s="580"/>
      <c r="BE211" s="580"/>
      <c r="BF211" s="580"/>
      <c r="BG211" s="579"/>
    </row>
    <row r="212" spans="2:59">
      <c r="B212" s="517" t="s">
        <v>576</v>
      </c>
      <c r="C212" s="518" t="s">
        <v>66</v>
      </c>
      <c r="D212" s="518" t="s">
        <v>57</v>
      </c>
      <c r="E212" s="518" t="s">
        <v>649</v>
      </c>
      <c r="F212" s="518" t="s">
        <v>653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P212" s="494" t="str">
        <f ca="1">IF('CDO Bespoke'!C237&lt;&gt;"",'CDO Bespoke'!C237,"")</f>
        <v/>
      </c>
      <c r="AQ212" s="496"/>
      <c r="AR212" s="585"/>
      <c r="AS212" s="585"/>
      <c r="AT212" s="585"/>
      <c r="AU212" s="497"/>
      <c r="AV212" s="496"/>
      <c r="AW212" s="585"/>
      <c r="AX212" s="585"/>
      <c r="AY212" s="585"/>
      <c r="AZ212" s="497"/>
      <c r="BA212" s="580"/>
      <c r="BB212" s="580"/>
      <c r="BC212" s="580"/>
      <c r="BD212" s="580"/>
      <c r="BE212" s="580"/>
      <c r="BF212" s="580"/>
      <c r="BG212" s="579"/>
    </row>
    <row r="213" spans="2:59">
      <c r="B213" s="534" t="s">
        <v>576</v>
      </c>
      <c r="C213" s="535" t="s">
        <v>66</v>
      </c>
      <c r="D213" s="535" t="s">
        <v>59</v>
      </c>
      <c r="E213" s="535" t="s">
        <v>649</v>
      </c>
      <c r="F213" s="535" t="s">
        <v>653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P213" s="494" t="str">
        <f ca="1">IF('CDO Bespoke'!C238&lt;&gt;"",'CDO Bespoke'!C238,"")</f>
        <v/>
      </c>
      <c r="AQ213" s="496"/>
      <c r="AR213" s="585"/>
      <c r="AS213" s="585"/>
      <c r="AT213" s="585"/>
      <c r="AU213" s="497"/>
      <c r="AV213" s="496"/>
      <c r="AW213" s="585"/>
      <c r="AX213" s="585"/>
      <c r="AY213" s="585"/>
      <c r="AZ213" s="497"/>
      <c r="BA213" s="580"/>
      <c r="BB213" s="580"/>
      <c r="BC213" s="580"/>
      <c r="BD213" s="580"/>
      <c r="BE213" s="580"/>
      <c r="BF213" s="580"/>
      <c r="BG213" s="579"/>
    </row>
    <row r="214" spans="2:59">
      <c r="B214" s="539" t="s">
        <v>616</v>
      </c>
      <c r="C214" s="540" t="s">
        <v>66</v>
      </c>
      <c r="D214" s="540" t="s">
        <v>55</v>
      </c>
      <c r="E214" s="540" t="s">
        <v>649</v>
      </c>
      <c r="F214" s="540" t="s">
        <v>653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P214" s="494" t="str">
        <f ca="1">IF('CDO Bespoke'!C239&lt;&gt;"",'CDO Bespoke'!C239,"")</f>
        <v/>
      </c>
      <c r="AQ214" s="496"/>
      <c r="AR214" s="585"/>
      <c r="AS214" s="585"/>
      <c r="AT214" s="585"/>
      <c r="AU214" s="497"/>
      <c r="AV214" s="496"/>
      <c r="AW214" s="585"/>
      <c r="AX214" s="585"/>
      <c r="AY214" s="585"/>
      <c r="AZ214" s="497"/>
      <c r="BA214" s="580"/>
      <c r="BB214" s="580"/>
      <c r="BC214" s="580"/>
      <c r="BD214" s="580"/>
      <c r="BE214" s="580"/>
      <c r="BF214" s="580"/>
      <c r="BG214" s="579"/>
    </row>
    <row r="215" spans="2:59">
      <c r="B215" s="517" t="s">
        <v>616</v>
      </c>
      <c r="C215" s="518" t="s">
        <v>66</v>
      </c>
      <c r="D215" s="518" t="s">
        <v>57</v>
      </c>
      <c r="E215" s="518" t="s">
        <v>649</v>
      </c>
      <c r="F215" s="518" t="s">
        <v>653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P215" s="494" t="str">
        <f ca="1">IF('CDO Bespoke'!C240&lt;&gt;"",'CDO Bespoke'!C240,"")</f>
        <v/>
      </c>
      <c r="AQ215" s="496"/>
      <c r="AR215" s="585"/>
      <c r="AS215" s="585"/>
      <c r="AT215" s="585"/>
      <c r="AU215" s="497"/>
      <c r="AV215" s="496"/>
      <c r="AW215" s="585"/>
      <c r="AX215" s="585"/>
      <c r="AY215" s="585"/>
      <c r="AZ215" s="497"/>
      <c r="BA215" s="580"/>
      <c r="BB215" s="580"/>
      <c r="BC215" s="580"/>
      <c r="BD215" s="580"/>
      <c r="BE215" s="580"/>
      <c r="BF215" s="580"/>
      <c r="BG215" s="579"/>
    </row>
    <row r="216" spans="2:59">
      <c r="B216" s="534" t="s">
        <v>616</v>
      </c>
      <c r="C216" s="535" t="s">
        <v>66</v>
      </c>
      <c r="D216" s="535" t="s">
        <v>59</v>
      </c>
      <c r="E216" s="535" t="s">
        <v>649</v>
      </c>
      <c r="F216" s="535" t="s">
        <v>653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P216" s="494" t="str">
        <f ca="1">IF('CDO Bespoke'!C241&lt;&gt;"",'CDO Bespoke'!C241,"")</f>
        <v/>
      </c>
      <c r="AQ216" s="496"/>
      <c r="AR216" s="585"/>
      <c r="AS216" s="585"/>
      <c r="AT216" s="585"/>
      <c r="AU216" s="497"/>
      <c r="AV216" s="496"/>
      <c r="AW216" s="585"/>
      <c r="AX216" s="585"/>
      <c r="AY216" s="585"/>
      <c r="AZ216" s="497"/>
      <c r="BA216" s="580"/>
      <c r="BB216" s="580"/>
      <c r="BC216" s="580"/>
      <c r="BD216" s="580"/>
      <c r="BE216" s="580"/>
      <c r="BF216" s="580"/>
      <c r="BG216" s="579"/>
    </row>
    <row r="217" spans="2:59">
      <c r="B217" s="539" t="s">
        <v>567</v>
      </c>
      <c r="C217" s="540" t="s">
        <v>66</v>
      </c>
      <c r="D217" s="540" t="s">
        <v>55</v>
      </c>
      <c r="E217" s="540" t="s">
        <v>649</v>
      </c>
      <c r="F217" s="540" t="s">
        <v>653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P217" s="494" t="str">
        <f ca="1">IF('CDO Bespoke'!C242&lt;&gt;"",'CDO Bespoke'!C242,"")</f>
        <v/>
      </c>
      <c r="AQ217" s="496"/>
      <c r="AR217" s="585"/>
      <c r="AS217" s="585"/>
      <c r="AT217" s="585"/>
      <c r="AU217" s="497"/>
      <c r="AV217" s="496"/>
      <c r="AW217" s="585"/>
      <c r="AX217" s="585"/>
      <c r="AY217" s="585"/>
      <c r="AZ217" s="497"/>
      <c r="BA217" s="580"/>
      <c r="BB217" s="580"/>
      <c r="BC217" s="580"/>
      <c r="BD217" s="580"/>
      <c r="BE217" s="580"/>
      <c r="BF217" s="580"/>
      <c r="BG217" s="579"/>
    </row>
    <row r="218" spans="2:59">
      <c r="B218" s="517" t="s">
        <v>567</v>
      </c>
      <c r="C218" s="518" t="s">
        <v>66</v>
      </c>
      <c r="D218" s="518" t="s">
        <v>57</v>
      </c>
      <c r="E218" s="518" t="s">
        <v>649</v>
      </c>
      <c r="F218" s="518" t="s">
        <v>653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P218" s="494" t="str">
        <f ca="1">IF('CDO Bespoke'!C243&lt;&gt;"",'CDO Bespoke'!C243,"")</f>
        <v/>
      </c>
      <c r="AQ218" s="496"/>
      <c r="AR218" s="585"/>
      <c r="AS218" s="585"/>
      <c r="AT218" s="585"/>
      <c r="AU218" s="497"/>
      <c r="AV218" s="496"/>
      <c r="AW218" s="585"/>
      <c r="AX218" s="585"/>
      <c r="AY218" s="585"/>
      <c r="AZ218" s="497"/>
      <c r="BA218" s="580"/>
      <c r="BB218" s="580"/>
      <c r="BC218" s="580"/>
      <c r="BD218" s="580"/>
      <c r="BE218" s="580"/>
      <c r="BF218" s="580"/>
      <c r="BG218" s="579"/>
    </row>
    <row r="219" spans="2:59">
      <c r="B219" s="534" t="s">
        <v>567</v>
      </c>
      <c r="C219" s="535" t="s">
        <v>66</v>
      </c>
      <c r="D219" s="535" t="s">
        <v>59</v>
      </c>
      <c r="E219" s="535" t="s">
        <v>649</v>
      </c>
      <c r="F219" s="535" t="s">
        <v>653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P219" s="494" t="str">
        <f ca="1">IF('CDO Bespoke'!C244&lt;&gt;"",'CDO Bespoke'!C244,"")</f>
        <v/>
      </c>
      <c r="AQ219" s="496"/>
      <c r="AR219" s="585"/>
      <c r="AS219" s="585"/>
      <c r="AT219" s="585"/>
      <c r="AU219" s="497"/>
      <c r="AV219" s="496"/>
      <c r="AW219" s="585"/>
      <c r="AX219" s="585"/>
      <c r="AY219" s="585"/>
      <c r="AZ219" s="497"/>
      <c r="BA219" s="580"/>
      <c r="BB219" s="580"/>
      <c r="BC219" s="580"/>
      <c r="BD219" s="580"/>
      <c r="BE219" s="580"/>
      <c r="BF219" s="580"/>
      <c r="BG219" s="579"/>
    </row>
    <row r="220" spans="2:59">
      <c r="B220" s="539" t="s">
        <v>577</v>
      </c>
      <c r="C220" s="540" t="s">
        <v>66</v>
      </c>
      <c r="D220" s="540" t="s">
        <v>55</v>
      </c>
      <c r="E220" s="540" t="s">
        <v>649</v>
      </c>
      <c r="F220" s="540" t="s">
        <v>653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P220" s="494" t="str">
        <f ca="1">IF('CDO Bespoke'!C245&lt;&gt;"",'CDO Bespoke'!C245,"")</f>
        <v/>
      </c>
      <c r="AQ220" s="496"/>
      <c r="AR220" s="585"/>
      <c r="AS220" s="585"/>
      <c r="AT220" s="585"/>
      <c r="AU220" s="497"/>
      <c r="AV220" s="496"/>
      <c r="AW220" s="585"/>
      <c r="AX220" s="585"/>
      <c r="AY220" s="585"/>
      <c r="AZ220" s="497"/>
      <c r="BA220" s="580"/>
      <c r="BB220" s="580"/>
      <c r="BC220" s="580"/>
      <c r="BD220" s="580"/>
      <c r="BE220" s="580"/>
      <c r="BF220" s="580"/>
      <c r="BG220" s="579"/>
    </row>
    <row r="221" spans="2:59">
      <c r="B221" s="517" t="s">
        <v>577</v>
      </c>
      <c r="C221" s="518" t="s">
        <v>66</v>
      </c>
      <c r="D221" s="518" t="s">
        <v>57</v>
      </c>
      <c r="E221" s="518" t="s">
        <v>649</v>
      </c>
      <c r="F221" s="518" t="s">
        <v>653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P221" s="494" t="str">
        <f ca="1">IF('CDO Bespoke'!C246&lt;&gt;"",'CDO Bespoke'!C246,"")</f>
        <v/>
      </c>
      <c r="AQ221" s="496"/>
      <c r="AR221" s="585"/>
      <c r="AS221" s="585"/>
      <c r="AT221" s="585"/>
      <c r="AU221" s="497"/>
      <c r="AV221" s="496"/>
      <c r="AW221" s="585"/>
      <c r="AX221" s="585"/>
      <c r="AY221" s="585"/>
      <c r="AZ221" s="497"/>
      <c r="BA221" s="580"/>
      <c r="BB221" s="580"/>
      <c r="BC221" s="580"/>
      <c r="BD221" s="580"/>
      <c r="BE221" s="580"/>
      <c r="BF221" s="580"/>
      <c r="BG221" s="579"/>
    </row>
    <row r="222" spans="2:59">
      <c r="B222" s="534" t="s">
        <v>577</v>
      </c>
      <c r="C222" s="535" t="s">
        <v>66</v>
      </c>
      <c r="D222" s="535" t="s">
        <v>59</v>
      </c>
      <c r="E222" s="535" t="s">
        <v>649</v>
      </c>
      <c r="F222" s="535" t="s">
        <v>653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P222" s="494" t="str">
        <f ca="1">IF('CDO Bespoke'!C247&lt;&gt;"",'CDO Bespoke'!C247,"")</f>
        <v/>
      </c>
      <c r="AQ222" s="496"/>
      <c r="AR222" s="585"/>
      <c r="AS222" s="585"/>
      <c r="AT222" s="585"/>
      <c r="AU222" s="497"/>
      <c r="AV222" s="496"/>
      <c r="AW222" s="585"/>
      <c r="AX222" s="585"/>
      <c r="AY222" s="585"/>
      <c r="AZ222" s="497"/>
      <c r="BA222" s="580"/>
      <c r="BB222" s="580"/>
      <c r="BC222" s="580"/>
      <c r="BD222" s="580"/>
      <c r="BE222" s="580"/>
      <c r="BF222" s="580"/>
      <c r="BG222" s="579"/>
    </row>
    <row r="223" spans="2:59">
      <c r="B223" s="539" t="s">
        <v>568</v>
      </c>
      <c r="C223" s="540" t="s">
        <v>66</v>
      </c>
      <c r="D223" s="540" t="s">
        <v>55</v>
      </c>
      <c r="E223" s="540" t="s">
        <v>649</v>
      </c>
      <c r="F223" s="540" t="s">
        <v>653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P223" s="494" t="str">
        <f ca="1">IF('CDO Bespoke'!C248&lt;&gt;"",'CDO Bespoke'!C248,"")</f>
        <v/>
      </c>
      <c r="AQ223" s="496"/>
      <c r="AR223" s="585"/>
      <c r="AS223" s="585"/>
      <c r="AT223" s="585"/>
      <c r="AU223" s="497"/>
      <c r="AV223" s="496"/>
      <c r="AW223" s="585"/>
      <c r="AX223" s="585"/>
      <c r="AY223" s="585"/>
      <c r="AZ223" s="497"/>
      <c r="BA223" s="580"/>
      <c r="BB223" s="580"/>
      <c r="BC223" s="580"/>
      <c r="BD223" s="580"/>
      <c r="BE223" s="580"/>
      <c r="BF223" s="580"/>
      <c r="BG223" s="579"/>
    </row>
    <row r="224" spans="2:59">
      <c r="B224" s="517" t="s">
        <v>568</v>
      </c>
      <c r="C224" s="518" t="s">
        <v>66</v>
      </c>
      <c r="D224" s="518" t="s">
        <v>57</v>
      </c>
      <c r="E224" s="518" t="s">
        <v>649</v>
      </c>
      <c r="F224" s="518" t="s">
        <v>653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P224" s="494" t="str">
        <f ca="1">IF('CDO Bespoke'!C249&lt;&gt;"",'CDO Bespoke'!C249,"")</f>
        <v/>
      </c>
      <c r="AQ224" s="496"/>
      <c r="AR224" s="585"/>
      <c r="AS224" s="585"/>
      <c r="AT224" s="585"/>
      <c r="AU224" s="497"/>
      <c r="AV224" s="496"/>
      <c r="AW224" s="585"/>
      <c r="AX224" s="585"/>
      <c r="AY224" s="585"/>
      <c r="AZ224" s="497"/>
      <c r="BA224" s="580"/>
      <c r="BB224" s="580"/>
      <c r="BC224" s="580"/>
      <c r="BD224" s="580"/>
      <c r="BE224" s="580"/>
      <c r="BF224" s="580"/>
      <c r="BG224" s="579"/>
    </row>
    <row r="225" spans="2:59">
      <c r="B225" s="534" t="s">
        <v>568</v>
      </c>
      <c r="C225" s="535" t="s">
        <v>66</v>
      </c>
      <c r="D225" s="535" t="s">
        <v>59</v>
      </c>
      <c r="E225" s="535" t="s">
        <v>649</v>
      </c>
      <c r="F225" s="535" t="s">
        <v>653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P225" s="494" t="str">
        <f ca="1">IF('CDO Bespoke'!C250&lt;&gt;"",'CDO Bespoke'!C250,"")</f>
        <v/>
      </c>
      <c r="AQ225" s="496"/>
      <c r="AR225" s="585"/>
      <c r="AS225" s="585"/>
      <c r="AT225" s="585"/>
      <c r="AU225" s="497"/>
      <c r="AV225" s="496"/>
      <c r="AW225" s="585"/>
      <c r="AX225" s="585"/>
      <c r="AY225" s="585"/>
      <c r="AZ225" s="497"/>
      <c r="BA225" s="580"/>
      <c r="BB225" s="580"/>
      <c r="BC225" s="580"/>
      <c r="BD225" s="580"/>
      <c r="BE225" s="580"/>
      <c r="BF225" s="580"/>
      <c r="BG225" s="579"/>
    </row>
    <row r="226" spans="2:59">
      <c r="B226" s="539" t="s">
        <v>569</v>
      </c>
      <c r="C226" s="540" t="s">
        <v>66</v>
      </c>
      <c r="D226" s="540" t="s">
        <v>55</v>
      </c>
      <c r="E226" s="540" t="s">
        <v>647</v>
      </c>
      <c r="F226" s="540" t="s">
        <v>652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P226" s="494" t="str">
        <f ca="1">IF('CDO Bespoke'!C251&lt;&gt;"",'CDO Bespoke'!C251,"")</f>
        <v/>
      </c>
      <c r="AQ226" s="496"/>
      <c r="AR226" s="585"/>
      <c r="AS226" s="585"/>
      <c r="AT226" s="585"/>
      <c r="AU226" s="497"/>
      <c r="AV226" s="496"/>
      <c r="AW226" s="585"/>
      <c r="AX226" s="585"/>
      <c r="AY226" s="585"/>
      <c r="AZ226" s="497"/>
      <c r="BA226" s="580"/>
      <c r="BB226" s="580"/>
      <c r="BC226" s="580"/>
      <c r="BD226" s="580"/>
      <c r="BE226" s="580"/>
      <c r="BF226" s="580"/>
      <c r="BG226" s="579"/>
    </row>
    <row r="227" spans="2:59">
      <c r="B227" s="517" t="s">
        <v>569</v>
      </c>
      <c r="C227" s="518" t="s">
        <v>66</v>
      </c>
      <c r="D227" s="518" t="s">
        <v>57</v>
      </c>
      <c r="E227" s="518" t="s">
        <v>647</v>
      </c>
      <c r="F227" s="518" t="s">
        <v>652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P227" s="494" t="str">
        <f ca="1">IF('CDO Bespoke'!C252&lt;&gt;"",'CDO Bespoke'!C252,"")</f>
        <v/>
      </c>
      <c r="AQ227" s="496"/>
      <c r="AR227" s="585"/>
      <c r="AS227" s="585"/>
      <c r="AT227" s="585"/>
      <c r="AU227" s="497"/>
      <c r="AV227" s="496"/>
      <c r="AW227" s="585"/>
      <c r="AX227" s="585"/>
      <c r="AY227" s="585"/>
      <c r="AZ227" s="497"/>
      <c r="BA227" s="580"/>
      <c r="BB227" s="580"/>
      <c r="BC227" s="580"/>
      <c r="BD227" s="580"/>
      <c r="BE227" s="580"/>
      <c r="BF227" s="580"/>
      <c r="BG227" s="579"/>
    </row>
    <row r="228" spans="2:59">
      <c r="B228" s="534" t="s">
        <v>569</v>
      </c>
      <c r="C228" s="535" t="s">
        <v>66</v>
      </c>
      <c r="D228" s="535" t="s">
        <v>59</v>
      </c>
      <c r="E228" s="535" t="s">
        <v>647</v>
      </c>
      <c r="F228" s="535" t="s">
        <v>652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P228" s="494" t="str">
        <f ca="1">IF('CDO Bespoke'!C253&lt;&gt;"",'CDO Bespoke'!C253,"")</f>
        <v/>
      </c>
      <c r="AQ228" s="496"/>
      <c r="AR228" s="585"/>
      <c r="AS228" s="585"/>
      <c r="AT228" s="585"/>
      <c r="AU228" s="497"/>
      <c r="AV228" s="496"/>
      <c r="AW228" s="585"/>
      <c r="AX228" s="585"/>
      <c r="AY228" s="585"/>
      <c r="AZ228" s="497"/>
      <c r="BA228" s="580"/>
      <c r="BB228" s="580"/>
      <c r="BC228" s="580"/>
      <c r="BD228" s="580"/>
      <c r="BE228" s="580"/>
      <c r="BF228" s="580"/>
      <c r="BG228" s="579"/>
    </row>
    <row r="229" spans="2:59">
      <c r="B229" s="539" t="s">
        <v>578</v>
      </c>
      <c r="C229" s="540" t="s">
        <v>66</v>
      </c>
      <c r="D229" s="540" t="s">
        <v>55</v>
      </c>
      <c r="E229" s="540" t="s">
        <v>651</v>
      </c>
      <c r="F229" s="540" t="s">
        <v>652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P229" s="494" t="str">
        <f ca="1">IF('CDO Bespoke'!C254&lt;&gt;"",'CDO Bespoke'!C254,"")</f>
        <v/>
      </c>
      <c r="AQ229" s="496"/>
      <c r="AR229" s="585"/>
      <c r="AS229" s="585"/>
      <c r="AT229" s="585"/>
      <c r="AU229" s="497"/>
      <c r="AV229" s="496"/>
      <c r="AW229" s="585"/>
      <c r="AX229" s="585"/>
      <c r="AY229" s="585"/>
      <c r="AZ229" s="497"/>
      <c r="BA229" s="580"/>
      <c r="BB229" s="580"/>
      <c r="BC229" s="580"/>
      <c r="BD229" s="580"/>
      <c r="BE229" s="580"/>
      <c r="BF229" s="580"/>
      <c r="BG229" s="579"/>
    </row>
    <row r="230" spans="2:59">
      <c r="B230" s="517" t="s">
        <v>578</v>
      </c>
      <c r="C230" s="518" t="s">
        <v>66</v>
      </c>
      <c r="D230" s="518" t="s">
        <v>57</v>
      </c>
      <c r="E230" s="518" t="s">
        <v>651</v>
      </c>
      <c r="F230" s="518" t="s">
        <v>652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P230" s="494" t="str">
        <f ca="1">IF('CDO Bespoke'!C255&lt;&gt;"",'CDO Bespoke'!C255,"")</f>
        <v/>
      </c>
      <c r="AQ230" s="496"/>
      <c r="AR230" s="585"/>
      <c r="AS230" s="585"/>
      <c r="AT230" s="585"/>
      <c r="AU230" s="497"/>
      <c r="AV230" s="496"/>
      <c r="AW230" s="585"/>
      <c r="AX230" s="585"/>
      <c r="AY230" s="585"/>
      <c r="AZ230" s="497"/>
      <c r="BA230" s="580"/>
      <c r="BB230" s="580"/>
      <c r="BC230" s="580"/>
      <c r="BD230" s="580"/>
      <c r="BE230" s="580"/>
      <c r="BF230" s="580"/>
      <c r="BG230" s="579"/>
    </row>
    <row r="231" spans="2:59">
      <c r="B231" s="534" t="s">
        <v>578</v>
      </c>
      <c r="C231" s="535" t="s">
        <v>66</v>
      </c>
      <c r="D231" s="535" t="s">
        <v>59</v>
      </c>
      <c r="E231" s="535" t="s">
        <v>651</v>
      </c>
      <c r="F231" s="535" t="s">
        <v>652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P231" s="494" t="str">
        <f ca="1">IF('CDO Bespoke'!C256&lt;&gt;"",'CDO Bespoke'!C256,"")</f>
        <v/>
      </c>
      <c r="AQ231" s="496"/>
      <c r="AR231" s="585"/>
      <c r="AS231" s="585"/>
      <c r="AT231" s="585"/>
      <c r="AU231" s="497"/>
      <c r="AV231" s="496"/>
      <c r="AW231" s="585"/>
      <c r="AX231" s="585"/>
      <c r="AY231" s="585"/>
      <c r="AZ231" s="497"/>
      <c r="BA231" s="580"/>
      <c r="BB231" s="580"/>
      <c r="BC231" s="580"/>
      <c r="BD231" s="580"/>
      <c r="BE231" s="580"/>
      <c r="BF231" s="580"/>
      <c r="BG231" s="579"/>
    </row>
    <row r="232" spans="2:59">
      <c r="B232" s="539" t="s">
        <v>570</v>
      </c>
      <c r="C232" s="540" t="s">
        <v>66</v>
      </c>
      <c r="D232" s="540" t="s">
        <v>55</v>
      </c>
      <c r="E232" s="540" t="s">
        <v>649</v>
      </c>
      <c r="F232" s="540" t="s">
        <v>653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P232" s="494" t="str">
        <f ca="1">IF('CDO Bespoke'!C257&lt;&gt;"",'CDO Bespoke'!C257,"")</f>
        <v/>
      </c>
      <c r="AQ232" s="496"/>
      <c r="AR232" s="585"/>
      <c r="AS232" s="585"/>
      <c r="AT232" s="585"/>
      <c r="AU232" s="497"/>
      <c r="AV232" s="496"/>
      <c r="AW232" s="585"/>
      <c r="AX232" s="585"/>
      <c r="AY232" s="585"/>
      <c r="AZ232" s="497"/>
      <c r="BA232" s="580"/>
      <c r="BB232" s="580"/>
      <c r="BC232" s="580"/>
      <c r="BD232" s="580"/>
      <c r="BE232" s="580"/>
      <c r="BF232" s="580"/>
      <c r="BG232" s="579"/>
    </row>
    <row r="233" spans="2:59">
      <c r="B233" s="517" t="s">
        <v>570</v>
      </c>
      <c r="C233" s="518" t="s">
        <v>66</v>
      </c>
      <c r="D233" s="518" t="s">
        <v>57</v>
      </c>
      <c r="E233" s="518" t="s">
        <v>649</v>
      </c>
      <c r="F233" s="518" t="s">
        <v>653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P233" s="494" t="str">
        <f ca="1">IF('CDO Bespoke'!C258&lt;&gt;"",'CDO Bespoke'!C258,"")</f>
        <v/>
      </c>
      <c r="AQ233" s="496"/>
      <c r="AR233" s="585"/>
      <c r="AS233" s="585"/>
      <c r="AT233" s="585"/>
      <c r="AU233" s="497"/>
      <c r="AV233" s="496"/>
      <c r="AW233" s="585"/>
      <c r="AX233" s="585"/>
      <c r="AY233" s="585"/>
      <c r="AZ233" s="497"/>
      <c r="BA233" s="580"/>
      <c r="BB233" s="580"/>
      <c r="BC233" s="580"/>
      <c r="BD233" s="580"/>
      <c r="BE233" s="580"/>
      <c r="BF233" s="580"/>
      <c r="BG233" s="579"/>
    </row>
    <row r="234" spans="2:59">
      <c r="B234" s="534" t="s">
        <v>570</v>
      </c>
      <c r="C234" s="535" t="s">
        <v>66</v>
      </c>
      <c r="D234" s="535" t="s">
        <v>59</v>
      </c>
      <c r="E234" s="535" t="s">
        <v>649</v>
      </c>
      <c r="F234" s="535" t="s">
        <v>653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P234" s="494" t="str">
        <f ca="1">IF('CDO Bespoke'!C259&lt;&gt;"",'CDO Bespoke'!C259,"")</f>
        <v/>
      </c>
      <c r="AQ234" s="496"/>
      <c r="AR234" s="585"/>
      <c r="AS234" s="585"/>
      <c r="AT234" s="585"/>
      <c r="AU234" s="497"/>
      <c r="AV234" s="496"/>
      <c r="AW234" s="585"/>
      <c r="AX234" s="585"/>
      <c r="AY234" s="585"/>
      <c r="AZ234" s="497"/>
      <c r="BA234" s="580"/>
      <c r="BB234" s="580"/>
      <c r="BC234" s="580"/>
      <c r="BD234" s="580"/>
      <c r="BE234" s="580"/>
      <c r="BF234" s="580"/>
      <c r="BG234" s="579"/>
    </row>
    <row r="235" spans="2:59">
      <c r="B235" s="539" t="s">
        <v>571</v>
      </c>
      <c r="C235" s="540" t="s">
        <v>66</v>
      </c>
      <c r="D235" s="540" t="s">
        <v>55</v>
      </c>
      <c r="E235" s="540" t="s">
        <v>649</v>
      </c>
      <c r="F235" s="540" t="s">
        <v>653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P235" s="494" t="str">
        <f ca="1">IF('CDO Bespoke'!C260&lt;&gt;"",'CDO Bespoke'!C260,"")</f>
        <v/>
      </c>
      <c r="AQ235" s="496"/>
      <c r="AR235" s="585"/>
      <c r="AS235" s="585"/>
      <c r="AT235" s="585"/>
      <c r="AU235" s="497"/>
      <c r="AV235" s="496"/>
      <c r="AW235" s="585"/>
      <c r="AX235" s="585"/>
      <c r="AY235" s="585"/>
      <c r="AZ235" s="497"/>
      <c r="BA235" s="580"/>
      <c r="BB235" s="580"/>
      <c r="BC235" s="580"/>
      <c r="BD235" s="580"/>
      <c r="BE235" s="580"/>
      <c r="BF235" s="580"/>
      <c r="BG235" s="579"/>
    </row>
    <row r="236" spans="2:59">
      <c r="B236" s="517" t="s">
        <v>571</v>
      </c>
      <c r="C236" s="518" t="s">
        <v>66</v>
      </c>
      <c r="D236" s="518" t="s">
        <v>57</v>
      </c>
      <c r="E236" s="518" t="s">
        <v>649</v>
      </c>
      <c r="F236" s="518" t="s">
        <v>653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P236" s="494" t="str">
        <f ca="1">IF('CDO Bespoke'!C261&lt;&gt;"",'CDO Bespoke'!C261,"")</f>
        <v/>
      </c>
      <c r="AQ236" s="496"/>
      <c r="AR236" s="585"/>
      <c r="AS236" s="585"/>
      <c r="AT236" s="585"/>
      <c r="AU236" s="497"/>
      <c r="AV236" s="496"/>
      <c r="AW236" s="585"/>
      <c r="AX236" s="585"/>
      <c r="AY236" s="585"/>
      <c r="AZ236" s="497"/>
      <c r="BA236" s="580"/>
      <c r="BB236" s="580"/>
      <c r="BC236" s="580"/>
      <c r="BD236" s="580"/>
      <c r="BE236" s="580"/>
      <c r="BF236" s="580"/>
      <c r="BG236" s="579"/>
    </row>
    <row r="237" spans="2:59">
      <c r="B237" s="534" t="s">
        <v>571</v>
      </c>
      <c r="C237" s="535" t="s">
        <v>66</v>
      </c>
      <c r="D237" s="535" t="s">
        <v>59</v>
      </c>
      <c r="E237" s="535" t="s">
        <v>649</v>
      </c>
      <c r="F237" s="535" t="s">
        <v>653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P237" s="494" t="str">
        <f ca="1">IF('CDO Bespoke'!C262&lt;&gt;"",'CDO Bespoke'!C262,"")</f>
        <v/>
      </c>
      <c r="AQ237" s="496"/>
      <c r="AR237" s="585"/>
      <c r="AS237" s="585"/>
      <c r="AT237" s="585"/>
      <c r="AU237" s="497"/>
      <c r="AV237" s="496"/>
      <c r="AW237" s="585"/>
      <c r="AX237" s="585"/>
      <c r="AY237" s="585"/>
      <c r="AZ237" s="497"/>
      <c r="BA237" s="580"/>
      <c r="BB237" s="580"/>
      <c r="BC237" s="580"/>
      <c r="BD237" s="580"/>
      <c r="BE237" s="580"/>
      <c r="BF237" s="580"/>
      <c r="BG237" s="579"/>
    </row>
    <row r="238" spans="2:59">
      <c r="B238" s="539" t="s">
        <v>572</v>
      </c>
      <c r="C238" s="540" t="s">
        <v>66</v>
      </c>
      <c r="D238" s="540" t="s">
        <v>55</v>
      </c>
      <c r="E238" s="540" t="s">
        <v>649</v>
      </c>
      <c r="F238" s="540" t="s">
        <v>653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P238" s="494" t="str">
        <f ca="1">IF('CDO Bespoke'!C263&lt;&gt;"",'CDO Bespoke'!C263,"")</f>
        <v/>
      </c>
      <c r="AQ238" s="496"/>
      <c r="AR238" s="585"/>
      <c r="AS238" s="585"/>
      <c r="AT238" s="585"/>
      <c r="AU238" s="497"/>
      <c r="AV238" s="496"/>
      <c r="AW238" s="585"/>
      <c r="AX238" s="585"/>
      <c r="AY238" s="585"/>
      <c r="AZ238" s="497"/>
      <c r="BA238" s="580"/>
      <c r="BB238" s="580"/>
      <c r="BC238" s="580"/>
      <c r="BD238" s="580"/>
      <c r="BE238" s="580"/>
      <c r="BF238" s="580"/>
      <c r="BG238" s="579"/>
    </row>
    <row r="239" spans="2:59">
      <c r="B239" s="517" t="s">
        <v>572</v>
      </c>
      <c r="C239" s="518" t="s">
        <v>66</v>
      </c>
      <c r="D239" s="518" t="s">
        <v>57</v>
      </c>
      <c r="E239" s="518" t="s">
        <v>649</v>
      </c>
      <c r="F239" s="518" t="s">
        <v>653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P239" s="494" t="str">
        <f ca="1">IF('CDO Bespoke'!C264&lt;&gt;"",'CDO Bespoke'!C264,"")</f>
        <v/>
      </c>
      <c r="AQ239" s="496"/>
      <c r="AR239" s="585"/>
      <c r="AS239" s="585"/>
      <c r="AT239" s="585"/>
      <c r="AU239" s="497"/>
      <c r="AV239" s="496"/>
      <c r="AW239" s="585"/>
      <c r="AX239" s="585"/>
      <c r="AY239" s="585"/>
      <c r="AZ239" s="497"/>
      <c r="BA239" s="580"/>
      <c r="BB239" s="580"/>
      <c r="BC239" s="580"/>
      <c r="BD239" s="580"/>
      <c r="BE239" s="580"/>
      <c r="BF239" s="580"/>
      <c r="BG239" s="579"/>
    </row>
    <row r="240" spans="2:59">
      <c r="B240" s="534" t="s">
        <v>572</v>
      </c>
      <c r="C240" s="535" t="s">
        <v>66</v>
      </c>
      <c r="D240" s="535" t="s">
        <v>59</v>
      </c>
      <c r="E240" s="535" t="s">
        <v>649</v>
      </c>
      <c r="F240" s="535" t="s">
        <v>653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P240" s="494" t="str">
        <f ca="1">IF('CDO Bespoke'!C265&lt;&gt;"",'CDO Bespoke'!C265,"")</f>
        <v/>
      </c>
      <c r="AQ240" s="496"/>
      <c r="AR240" s="585"/>
      <c r="AS240" s="585"/>
      <c r="AT240" s="585"/>
      <c r="AU240" s="497"/>
      <c r="AV240" s="496"/>
      <c r="AW240" s="585"/>
      <c r="AX240" s="585"/>
      <c r="AY240" s="585"/>
      <c r="AZ240" s="497"/>
      <c r="BA240" s="580"/>
      <c r="BB240" s="580"/>
      <c r="BC240" s="580"/>
      <c r="BD240" s="580"/>
      <c r="BE240" s="580"/>
      <c r="BF240" s="580"/>
      <c r="BG240" s="579"/>
    </row>
    <row r="241" spans="2:59">
      <c r="B241" s="539" t="s">
        <v>573</v>
      </c>
      <c r="C241" s="540" t="s">
        <v>66</v>
      </c>
      <c r="D241" s="540" t="s">
        <v>55</v>
      </c>
      <c r="E241" s="540" t="s">
        <v>649</v>
      </c>
      <c r="F241" s="540" t="s">
        <v>653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P241" s="494" t="str">
        <f ca="1">IF('CDO Bespoke'!C266&lt;&gt;"",'CDO Bespoke'!C266,"")</f>
        <v/>
      </c>
      <c r="AQ241" s="496"/>
      <c r="AR241" s="585"/>
      <c r="AS241" s="585"/>
      <c r="AT241" s="585"/>
      <c r="AU241" s="497"/>
      <c r="AV241" s="496"/>
      <c r="AW241" s="585"/>
      <c r="AX241" s="585"/>
      <c r="AY241" s="585"/>
      <c r="AZ241" s="497"/>
      <c r="BA241" s="580"/>
      <c r="BB241" s="580"/>
      <c r="BC241" s="580"/>
      <c r="BD241" s="580"/>
      <c r="BE241" s="580"/>
      <c r="BF241" s="580"/>
      <c r="BG241" s="579"/>
    </row>
    <row r="242" spans="2:59">
      <c r="B242" s="517" t="s">
        <v>573</v>
      </c>
      <c r="C242" s="518" t="s">
        <v>66</v>
      </c>
      <c r="D242" s="518" t="s">
        <v>57</v>
      </c>
      <c r="E242" s="518" t="s">
        <v>649</v>
      </c>
      <c r="F242" s="518" t="s">
        <v>653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P242" s="494" t="str">
        <f ca="1">IF('CDO Bespoke'!C267&lt;&gt;"",'CDO Bespoke'!C267,"")</f>
        <v/>
      </c>
      <c r="AQ242" s="496"/>
      <c r="AR242" s="585"/>
      <c r="AS242" s="585"/>
      <c r="AT242" s="585"/>
      <c r="AU242" s="497"/>
      <c r="AV242" s="496"/>
      <c r="AW242" s="585"/>
      <c r="AX242" s="585"/>
      <c r="AY242" s="585"/>
      <c r="AZ242" s="497"/>
      <c r="BA242" s="580"/>
      <c r="BB242" s="580"/>
      <c r="BC242" s="580"/>
      <c r="BD242" s="580"/>
      <c r="BE242" s="580"/>
      <c r="BF242" s="580"/>
      <c r="BG242" s="579"/>
    </row>
    <row r="243" spans="2:59">
      <c r="B243" s="534" t="s">
        <v>573</v>
      </c>
      <c r="C243" s="535" t="s">
        <v>66</v>
      </c>
      <c r="D243" s="535" t="s">
        <v>59</v>
      </c>
      <c r="E243" s="535" t="s">
        <v>649</v>
      </c>
      <c r="F243" s="535" t="s">
        <v>653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P243" s="494" t="str">
        <f ca="1">IF('CDO Bespoke'!C268&lt;&gt;"",'CDO Bespoke'!C268,"")</f>
        <v/>
      </c>
      <c r="AQ243" s="496"/>
      <c r="AR243" s="585"/>
      <c r="AS243" s="585"/>
      <c r="AT243" s="585"/>
      <c r="AU243" s="497"/>
      <c r="AV243" s="496"/>
      <c r="AW243" s="585"/>
      <c r="AX243" s="585"/>
      <c r="AY243" s="585"/>
      <c r="AZ243" s="497"/>
      <c r="BA243" s="580"/>
      <c r="BB243" s="580"/>
      <c r="BC243" s="580"/>
      <c r="BD243" s="580"/>
      <c r="BE243" s="580"/>
      <c r="BF243" s="580"/>
      <c r="BG243" s="579"/>
    </row>
    <row r="244" spans="2:59">
      <c r="B244" s="539" t="s">
        <v>574</v>
      </c>
      <c r="C244" s="540" t="s">
        <v>66</v>
      </c>
      <c r="D244" s="540" t="s">
        <v>55</v>
      </c>
      <c r="E244" s="540" t="s">
        <v>649</v>
      </c>
      <c r="F244" s="540" t="s">
        <v>652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P244" s="494" t="str">
        <f ca="1">IF('CDO Bespoke'!C269&lt;&gt;"",'CDO Bespoke'!C269,"")</f>
        <v/>
      </c>
      <c r="AQ244" s="496"/>
      <c r="AR244" s="585"/>
      <c r="AS244" s="585"/>
      <c r="AT244" s="585"/>
      <c r="AU244" s="497"/>
      <c r="AV244" s="496"/>
      <c r="AW244" s="585"/>
      <c r="AX244" s="585"/>
      <c r="AY244" s="585"/>
      <c r="AZ244" s="497"/>
      <c r="BA244" s="580"/>
      <c r="BB244" s="580"/>
      <c r="BC244" s="580"/>
      <c r="BD244" s="580"/>
      <c r="BE244" s="580"/>
      <c r="BF244" s="580"/>
      <c r="BG244" s="579"/>
    </row>
    <row r="245" spans="2:59">
      <c r="B245" s="517" t="s">
        <v>574</v>
      </c>
      <c r="C245" s="518" t="s">
        <v>66</v>
      </c>
      <c r="D245" s="518" t="s">
        <v>57</v>
      </c>
      <c r="E245" s="518" t="s">
        <v>649</v>
      </c>
      <c r="F245" s="518" t="s">
        <v>652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P245" s="494" t="str">
        <f ca="1">IF('CDO Bespoke'!C270&lt;&gt;"",'CDO Bespoke'!C270,"")</f>
        <v/>
      </c>
      <c r="AQ245" s="496"/>
      <c r="AR245" s="585"/>
      <c r="AS245" s="585"/>
      <c r="AT245" s="585"/>
      <c r="AU245" s="497"/>
      <c r="AV245" s="496"/>
      <c r="AW245" s="585"/>
      <c r="AX245" s="585"/>
      <c r="AY245" s="585"/>
      <c r="AZ245" s="497"/>
      <c r="BA245" s="580"/>
      <c r="BB245" s="580"/>
      <c r="BC245" s="580"/>
      <c r="BD245" s="580"/>
      <c r="BE245" s="580"/>
      <c r="BF245" s="580"/>
      <c r="BG245" s="579"/>
    </row>
    <row r="246" spans="2:59">
      <c r="B246" s="534" t="s">
        <v>574</v>
      </c>
      <c r="C246" s="535" t="s">
        <v>66</v>
      </c>
      <c r="D246" s="535" t="s">
        <v>59</v>
      </c>
      <c r="E246" s="535" t="s">
        <v>649</v>
      </c>
      <c r="F246" s="535" t="s">
        <v>652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P246" s="494" t="str">
        <f ca="1">IF('CDO Bespoke'!C271&lt;&gt;"",'CDO Bespoke'!C271,"")</f>
        <v/>
      </c>
      <c r="AQ246" s="496"/>
      <c r="AR246" s="585"/>
      <c r="AS246" s="585"/>
      <c r="AT246" s="585"/>
      <c r="AU246" s="497"/>
      <c r="AV246" s="496"/>
      <c r="AW246" s="585"/>
      <c r="AX246" s="585"/>
      <c r="AY246" s="585"/>
      <c r="AZ246" s="497"/>
      <c r="BA246" s="580"/>
      <c r="BB246" s="580"/>
      <c r="BC246" s="580"/>
      <c r="BD246" s="580"/>
      <c r="BE246" s="580"/>
      <c r="BF246" s="580"/>
      <c r="BG246" s="579"/>
    </row>
    <row r="247" spans="2:59">
      <c r="B247" s="539" t="s">
        <v>579</v>
      </c>
      <c r="C247" s="540" t="s">
        <v>66</v>
      </c>
      <c r="D247" s="540" t="s">
        <v>55</v>
      </c>
      <c r="E247" s="540" t="s">
        <v>651</v>
      </c>
      <c r="F247" s="540" t="s">
        <v>652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P247" s="494" t="str">
        <f ca="1">IF('CDO Bespoke'!C272&lt;&gt;"",'CDO Bespoke'!C272,"")</f>
        <v/>
      </c>
      <c r="AQ247" s="496"/>
      <c r="AR247" s="585"/>
      <c r="AS247" s="585"/>
      <c r="AT247" s="585"/>
      <c r="AU247" s="497"/>
      <c r="AV247" s="496"/>
      <c r="AW247" s="585"/>
      <c r="AX247" s="585"/>
      <c r="AY247" s="585"/>
      <c r="AZ247" s="497"/>
      <c r="BA247" s="580"/>
      <c r="BB247" s="580"/>
      <c r="BC247" s="580"/>
      <c r="BD247" s="580"/>
      <c r="BE247" s="580"/>
      <c r="BF247" s="580"/>
      <c r="BG247" s="579"/>
    </row>
    <row r="248" spans="2:59">
      <c r="B248" s="517" t="s">
        <v>579</v>
      </c>
      <c r="C248" s="518" t="s">
        <v>66</v>
      </c>
      <c r="D248" s="518" t="s">
        <v>57</v>
      </c>
      <c r="E248" s="518" t="s">
        <v>651</v>
      </c>
      <c r="F248" s="518" t="s">
        <v>652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P248" s="494" t="str">
        <f ca="1">IF('CDO Bespoke'!C273&lt;&gt;"",'CDO Bespoke'!C273,"")</f>
        <v/>
      </c>
      <c r="AQ248" s="496"/>
      <c r="AR248" s="585"/>
      <c r="AS248" s="585"/>
      <c r="AT248" s="585"/>
      <c r="AU248" s="497"/>
      <c r="AV248" s="496"/>
      <c r="AW248" s="585"/>
      <c r="AX248" s="585"/>
      <c r="AY248" s="585"/>
      <c r="AZ248" s="497"/>
      <c r="BA248" s="580"/>
      <c r="BB248" s="580"/>
      <c r="BC248" s="580"/>
      <c r="BD248" s="580"/>
      <c r="BE248" s="580"/>
      <c r="BF248" s="580"/>
      <c r="BG248" s="579"/>
    </row>
    <row r="249" spans="2:59">
      <c r="B249" s="534" t="s">
        <v>579</v>
      </c>
      <c r="C249" s="535" t="s">
        <v>66</v>
      </c>
      <c r="D249" s="535" t="s">
        <v>59</v>
      </c>
      <c r="E249" s="535" t="s">
        <v>651</v>
      </c>
      <c r="F249" s="535" t="s">
        <v>652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P249" s="494" t="str">
        <f ca="1">IF('CDO Bespoke'!C274&lt;&gt;"",'CDO Bespoke'!C274,"")</f>
        <v/>
      </c>
      <c r="AQ249" s="496"/>
      <c r="AR249" s="585"/>
      <c r="AS249" s="585"/>
      <c r="AT249" s="585"/>
      <c r="AU249" s="497"/>
      <c r="AV249" s="496"/>
      <c r="AW249" s="585"/>
      <c r="AX249" s="585"/>
      <c r="AY249" s="585"/>
      <c r="AZ249" s="497"/>
      <c r="BA249" s="580"/>
      <c r="BB249" s="580"/>
      <c r="BC249" s="580"/>
      <c r="BD249" s="580"/>
      <c r="BE249" s="580"/>
      <c r="BF249" s="580"/>
      <c r="BG249" s="579"/>
    </row>
    <row r="250" spans="2:59">
      <c r="B250" s="539" t="s">
        <v>580</v>
      </c>
      <c r="C250" s="540" t="s">
        <v>66</v>
      </c>
      <c r="D250" s="540" t="s">
        <v>55</v>
      </c>
      <c r="E250" s="540" t="s">
        <v>647</v>
      </c>
      <c r="F250" s="540" t="s">
        <v>652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P250" s="494" t="str">
        <f ca="1">IF('CDO Bespoke'!C275&lt;&gt;"",'CDO Bespoke'!C275,"")</f>
        <v/>
      </c>
      <c r="AQ250" s="496"/>
      <c r="AR250" s="585"/>
      <c r="AS250" s="585"/>
      <c r="AT250" s="585"/>
      <c r="AU250" s="497"/>
      <c r="AV250" s="496"/>
      <c r="AW250" s="585"/>
      <c r="AX250" s="585"/>
      <c r="AY250" s="585"/>
      <c r="AZ250" s="497"/>
      <c r="BA250" s="580"/>
      <c r="BB250" s="580"/>
      <c r="BC250" s="580"/>
      <c r="BD250" s="580"/>
      <c r="BE250" s="580"/>
      <c r="BF250" s="580"/>
      <c r="BG250" s="579"/>
    </row>
    <row r="251" spans="2:59">
      <c r="B251" s="517" t="s">
        <v>580</v>
      </c>
      <c r="C251" s="518" t="s">
        <v>66</v>
      </c>
      <c r="D251" s="518" t="s">
        <v>57</v>
      </c>
      <c r="E251" s="518" t="s">
        <v>647</v>
      </c>
      <c r="F251" s="518" t="s">
        <v>652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P251" s="494" t="str">
        <f ca="1">IF('CDO Bespoke'!C276&lt;&gt;"",'CDO Bespoke'!C276,"")</f>
        <v/>
      </c>
      <c r="AQ251" s="496"/>
      <c r="AR251" s="585"/>
      <c r="AS251" s="585"/>
      <c r="AT251" s="585"/>
      <c r="AU251" s="497"/>
      <c r="AV251" s="496"/>
      <c r="AW251" s="585"/>
      <c r="AX251" s="585"/>
      <c r="AY251" s="585"/>
      <c r="AZ251" s="497"/>
      <c r="BA251" s="580"/>
      <c r="BB251" s="580"/>
      <c r="BC251" s="580"/>
      <c r="BD251" s="580"/>
      <c r="BE251" s="580"/>
      <c r="BF251" s="580"/>
      <c r="BG251" s="579"/>
    </row>
    <row r="252" spans="2:59">
      <c r="B252" s="534" t="s">
        <v>580</v>
      </c>
      <c r="C252" s="535" t="s">
        <v>66</v>
      </c>
      <c r="D252" s="535" t="s">
        <v>59</v>
      </c>
      <c r="E252" s="535" t="s">
        <v>647</v>
      </c>
      <c r="F252" s="535" t="s">
        <v>652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P252" s="494" t="str">
        <f ca="1">IF('CDO Bespoke'!C277&lt;&gt;"",'CDO Bespoke'!C277,"")</f>
        <v/>
      </c>
      <c r="AQ252" s="496"/>
      <c r="AR252" s="585"/>
      <c r="AS252" s="585"/>
      <c r="AT252" s="585"/>
      <c r="AU252" s="497"/>
      <c r="AV252" s="496"/>
      <c r="AW252" s="585"/>
      <c r="AX252" s="585"/>
      <c r="AY252" s="585"/>
      <c r="AZ252" s="497"/>
      <c r="BA252" s="580"/>
      <c r="BB252" s="580"/>
      <c r="BC252" s="580"/>
      <c r="BD252" s="580"/>
      <c r="BE252" s="580"/>
      <c r="BF252" s="580"/>
      <c r="BG252" s="579"/>
    </row>
    <row r="253" spans="2:59">
      <c r="B253" s="539" t="s">
        <v>575</v>
      </c>
      <c r="C253" s="540" t="s">
        <v>66</v>
      </c>
      <c r="D253" s="540" t="s">
        <v>55</v>
      </c>
      <c r="E253" s="540" t="s">
        <v>649</v>
      </c>
      <c r="F253" s="540" t="s">
        <v>653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P253" s="494" t="str">
        <f ca="1">IF('CDO Bespoke'!C278&lt;&gt;"",'CDO Bespoke'!C278,"")</f>
        <v/>
      </c>
      <c r="AQ253" s="496"/>
      <c r="AR253" s="585"/>
      <c r="AS253" s="585"/>
      <c r="AT253" s="585"/>
      <c r="AU253" s="497"/>
      <c r="AV253" s="496"/>
      <c r="AW253" s="585"/>
      <c r="AX253" s="585"/>
      <c r="AY253" s="585"/>
      <c r="AZ253" s="497"/>
      <c r="BA253" s="580"/>
      <c r="BB253" s="580"/>
      <c r="BC253" s="580"/>
      <c r="BD253" s="580"/>
      <c r="BE253" s="580"/>
      <c r="BF253" s="580"/>
      <c r="BG253" s="579"/>
    </row>
    <row r="254" spans="2:59">
      <c r="B254" s="517" t="s">
        <v>575</v>
      </c>
      <c r="C254" s="518" t="s">
        <v>66</v>
      </c>
      <c r="D254" s="518" t="s">
        <v>57</v>
      </c>
      <c r="E254" s="518" t="s">
        <v>649</v>
      </c>
      <c r="F254" s="518" t="s">
        <v>653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P254" s="494" t="str">
        <f ca="1">IF('CDO Bespoke'!C279&lt;&gt;"",'CDO Bespoke'!C279,"")</f>
        <v/>
      </c>
      <c r="AQ254" s="496"/>
      <c r="AR254" s="585"/>
      <c r="AS254" s="585"/>
      <c r="AT254" s="585"/>
      <c r="AU254" s="497"/>
      <c r="AV254" s="496"/>
      <c r="AW254" s="585"/>
      <c r="AX254" s="585"/>
      <c r="AY254" s="585"/>
      <c r="AZ254" s="497"/>
      <c r="BA254" s="580"/>
      <c r="BB254" s="580"/>
      <c r="BC254" s="580"/>
      <c r="BD254" s="580"/>
      <c r="BE254" s="580"/>
      <c r="BF254" s="580"/>
      <c r="BG254" s="579"/>
    </row>
    <row r="255" spans="2:59">
      <c r="B255" s="534" t="s">
        <v>575</v>
      </c>
      <c r="C255" s="535" t="s">
        <v>66</v>
      </c>
      <c r="D255" s="535" t="s">
        <v>59</v>
      </c>
      <c r="E255" s="535" t="s">
        <v>649</v>
      </c>
      <c r="F255" s="535" t="s">
        <v>653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P255" s="494" t="str">
        <f ca="1">IF('CDO Bespoke'!C280&lt;&gt;"",'CDO Bespoke'!C280,"")</f>
        <v/>
      </c>
      <c r="AQ255" s="496"/>
      <c r="AR255" s="585"/>
      <c r="AS255" s="585"/>
      <c r="AT255" s="585"/>
      <c r="AU255" s="497"/>
      <c r="AV255" s="496"/>
      <c r="AW255" s="585"/>
      <c r="AX255" s="585"/>
      <c r="AY255" s="585"/>
      <c r="AZ255" s="497"/>
      <c r="BA255" s="580"/>
      <c r="BB255" s="580"/>
      <c r="BC255" s="580"/>
      <c r="BD255" s="580"/>
      <c r="BE255" s="580"/>
      <c r="BF255" s="580"/>
      <c r="BG255" s="579"/>
    </row>
    <row r="256" spans="2:59">
      <c r="B256" s="539" t="s">
        <v>581</v>
      </c>
      <c r="C256" s="540" t="s">
        <v>66</v>
      </c>
      <c r="D256" s="540" t="s">
        <v>55</v>
      </c>
      <c r="E256" s="540" t="s">
        <v>649</v>
      </c>
      <c r="F256" s="540" t="s">
        <v>673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P256" s="494" t="str">
        <f ca="1">IF('CDO Bespoke'!C281&lt;&gt;"",'CDO Bespoke'!C281,"")</f>
        <v/>
      </c>
      <c r="AQ256" s="496"/>
      <c r="AR256" s="585"/>
      <c r="AS256" s="585"/>
      <c r="AT256" s="585"/>
      <c r="AU256" s="497"/>
      <c r="AV256" s="496"/>
      <c r="AW256" s="585"/>
      <c r="AX256" s="585"/>
      <c r="AY256" s="585"/>
      <c r="AZ256" s="497"/>
      <c r="BA256" s="580"/>
      <c r="BB256" s="580"/>
      <c r="BC256" s="580"/>
      <c r="BD256" s="580"/>
      <c r="BE256" s="580"/>
      <c r="BF256" s="580"/>
      <c r="BG256" s="579"/>
    </row>
    <row r="257" spans="2:59">
      <c r="B257" s="517" t="s">
        <v>581</v>
      </c>
      <c r="C257" s="518" t="s">
        <v>66</v>
      </c>
      <c r="D257" s="518" t="s">
        <v>57</v>
      </c>
      <c r="E257" s="518" t="s">
        <v>649</v>
      </c>
      <c r="F257" s="518" t="s">
        <v>673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P257" s="494" t="str">
        <f ca="1">IF('CDO Bespoke'!C282&lt;&gt;"",'CDO Bespoke'!C282,"")</f>
        <v/>
      </c>
      <c r="AQ257" s="496"/>
      <c r="AR257" s="585"/>
      <c r="AS257" s="585"/>
      <c r="AT257" s="585"/>
      <c r="AU257" s="497"/>
      <c r="AV257" s="496"/>
      <c r="AW257" s="585"/>
      <c r="AX257" s="585"/>
      <c r="AY257" s="585"/>
      <c r="AZ257" s="497"/>
      <c r="BA257" s="580"/>
      <c r="BB257" s="580"/>
      <c r="BC257" s="580"/>
      <c r="BD257" s="580"/>
      <c r="BE257" s="580"/>
      <c r="BF257" s="580"/>
      <c r="BG257" s="579"/>
    </row>
    <row r="258" spans="2:59">
      <c r="B258" s="534" t="s">
        <v>581</v>
      </c>
      <c r="C258" s="535" t="s">
        <v>66</v>
      </c>
      <c r="D258" s="535" t="s">
        <v>59</v>
      </c>
      <c r="E258" s="535" t="s">
        <v>649</v>
      </c>
      <c r="F258" s="535" t="s">
        <v>673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P258" s="494" t="str">
        <f ca="1">IF('CDO Bespoke'!C283&lt;&gt;"",'CDO Bespoke'!C283,"")</f>
        <v/>
      </c>
      <c r="AQ258" s="496"/>
      <c r="AR258" s="585"/>
      <c r="AS258" s="585"/>
      <c r="AT258" s="585"/>
      <c r="AU258" s="497"/>
      <c r="AV258" s="496"/>
      <c r="AW258" s="585"/>
      <c r="AX258" s="585"/>
      <c r="AY258" s="585"/>
      <c r="AZ258" s="497"/>
      <c r="BA258" s="580"/>
      <c r="BB258" s="580"/>
      <c r="BC258" s="580"/>
      <c r="BD258" s="580"/>
      <c r="BE258" s="580"/>
      <c r="BF258" s="580"/>
      <c r="BG258" s="579"/>
    </row>
    <row r="259" spans="2:59">
      <c r="B259" s="539" t="s">
        <v>582</v>
      </c>
      <c r="C259" s="540" t="s">
        <v>66</v>
      </c>
      <c r="D259" s="540" t="s">
        <v>55</v>
      </c>
      <c r="E259" s="540" t="s">
        <v>649</v>
      </c>
      <c r="F259" s="540" t="s">
        <v>677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P259" s="494" t="str">
        <f ca="1">IF('CDO Bespoke'!C284&lt;&gt;"",'CDO Bespoke'!C284,"")</f>
        <v/>
      </c>
      <c r="AQ259" s="496"/>
      <c r="AR259" s="585"/>
      <c r="AS259" s="585"/>
      <c r="AT259" s="585"/>
      <c r="AU259" s="497"/>
      <c r="AV259" s="496"/>
      <c r="AW259" s="585"/>
      <c r="AX259" s="585"/>
      <c r="AY259" s="585"/>
      <c r="AZ259" s="497"/>
      <c r="BA259" s="580"/>
      <c r="BB259" s="580"/>
      <c r="BC259" s="580"/>
      <c r="BD259" s="580"/>
      <c r="BE259" s="580"/>
      <c r="BF259" s="580"/>
      <c r="BG259" s="579"/>
    </row>
    <row r="260" spans="2:59">
      <c r="B260" s="517" t="s">
        <v>582</v>
      </c>
      <c r="C260" s="518" t="s">
        <v>66</v>
      </c>
      <c r="D260" s="518" t="s">
        <v>57</v>
      </c>
      <c r="E260" s="518" t="s">
        <v>649</v>
      </c>
      <c r="F260" s="518" t="s">
        <v>677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P260" s="494" t="str">
        <f ca="1">IF('CDO Bespoke'!C285&lt;&gt;"",'CDO Bespoke'!C285,"")</f>
        <v/>
      </c>
      <c r="AQ260" s="496"/>
      <c r="AR260" s="585"/>
      <c r="AS260" s="585"/>
      <c r="AT260" s="585"/>
      <c r="AU260" s="497"/>
      <c r="AV260" s="496"/>
      <c r="AW260" s="585"/>
      <c r="AX260" s="585"/>
      <c r="AY260" s="585"/>
      <c r="AZ260" s="497"/>
      <c r="BA260" s="580"/>
      <c r="BB260" s="580"/>
      <c r="BC260" s="580"/>
      <c r="BD260" s="580"/>
      <c r="BE260" s="580"/>
      <c r="BF260" s="580"/>
      <c r="BG260" s="579"/>
    </row>
    <row r="261" spans="2:59">
      <c r="B261" s="534" t="s">
        <v>582</v>
      </c>
      <c r="C261" s="535" t="s">
        <v>66</v>
      </c>
      <c r="D261" s="535" t="s">
        <v>59</v>
      </c>
      <c r="E261" s="535" t="s">
        <v>649</v>
      </c>
      <c r="F261" s="535" t="s">
        <v>677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P261" s="494" t="str">
        <f ca="1">IF('CDO Bespoke'!C286&lt;&gt;"",'CDO Bespoke'!C286,"")</f>
        <v/>
      </c>
      <c r="AQ261" s="496"/>
      <c r="AR261" s="585"/>
      <c r="AS261" s="585"/>
      <c r="AT261" s="585"/>
      <c r="AU261" s="497"/>
      <c r="AV261" s="496"/>
      <c r="AW261" s="585"/>
      <c r="AX261" s="585"/>
      <c r="AY261" s="585"/>
      <c r="AZ261" s="497"/>
      <c r="BA261" s="580"/>
      <c r="BB261" s="580"/>
      <c r="BC261" s="580"/>
      <c r="BD261" s="580"/>
      <c r="BE261" s="580"/>
      <c r="BF261" s="580"/>
      <c r="BG261" s="579"/>
    </row>
    <row r="262" spans="2:59">
      <c r="B262" s="539" t="s">
        <v>583</v>
      </c>
      <c r="C262" s="540" t="s">
        <v>66</v>
      </c>
      <c r="D262" s="540" t="s">
        <v>55</v>
      </c>
      <c r="E262" s="540" t="s">
        <v>649</v>
      </c>
      <c r="F262" s="540" t="s">
        <v>677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P262" s="494" t="str">
        <f ca="1">IF('CDO Bespoke'!C287&lt;&gt;"",'CDO Bespoke'!C287,"")</f>
        <v/>
      </c>
      <c r="AQ262" s="496"/>
      <c r="AR262" s="585"/>
      <c r="AS262" s="585"/>
      <c r="AT262" s="585"/>
      <c r="AU262" s="497"/>
      <c r="AV262" s="496"/>
      <c r="AW262" s="585"/>
      <c r="AX262" s="585"/>
      <c r="AY262" s="585"/>
      <c r="AZ262" s="497"/>
      <c r="BA262" s="580"/>
      <c r="BB262" s="580"/>
      <c r="BC262" s="580"/>
      <c r="BD262" s="580"/>
      <c r="BE262" s="580"/>
      <c r="BF262" s="580"/>
      <c r="BG262" s="579"/>
    </row>
    <row r="263" spans="2:59">
      <c r="B263" s="517" t="s">
        <v>583</v>
      </c>
      <c r="C263" s="518" t="s">
        <v>66</v>
      </c>
      <c r="D263" s="518" t="s">
        <v>57</v>
      </c>
      <c r="E263" s="518" t="s">
        <v>649</v>
      </c>
      <c r="F263" s="518" t="s">
        <v>677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P263" s="494" t="str">
        <f ca="1">IF('CDO Bespoke'!C288&lt;&gt;"",'CDO Bespoke'!C288,"")</f>
        <v/>
      </c>
      <c r="AQ263" s="496"/>
      <c r="AR263" s="585"/>
      <c r="AS263" s="585"/>
      <c r="AT263" s="585"/>
      <c r="AU263" s="497"/>
      <c r="AV263" s="496"/>
      <c r="AW263" s="585"/>
      <c r="AX263" s="585"/>
      <c r="AY263" s="585"/>
      <c r="AZ263" s="497"/>
      <c r="BA263" s="580"/>
      <c r="BB263" s="580"/>
      <c r="BC263" s="580"/>
      <c r="BD263" s="580"/>
      <c r="BE263" s="580"/>
      <c r="BF263" s="580"/>
      <c r="BG263" s="579"/>
    </row>
    <row r="264" spans="2:59">
      <c r="B264" s="534" t="s">
        <v>583</v>
      </c>
      <c r="C264" s="535" t="s">
        <v>66</v>
      </c>
      <c r="D264" s="535" t="s">
        <v>59</v>
      </c>
      <c r="E264" s="535" t="s">
        <v>649</v>
      </c>
      <c r="F264" s="535" t="s">
        <v>677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P264" s="494" t="str">
        <f ca="1">IF('CDO Bespoke'!C289&lt;&gt;"",'CDO Bespoke'!C289,"")</f>
        <v/>
      </c>
      <c r="AQ264" s="496"/>
      <c r="AR264" s="585"/>
      <c r="AS264" s="585"/>
      <c r="AT264" s="585"/>
      <c r="AU264" s="497"/>
      <c r="AV264" s="496"/>
      <c r="AW264" s="585"/>
      <c r="AX264" s="585"/>
      <c r="AY264" s="585"/>
      <c r="AZ264" s="497"/>
      <c r="BA264" s="580"/>
      <c r="BB264" s="580"/>
      <c r="BC264" s="580"/>
      <c r="BD264" s="580"/>
      <c r="BE264" s="580"/>
      <c r="BF264" s="580"/>
      <c r="BG264" s="579"/>
    </row>
    <row r="265" spans="2:59">
      <c r="B265" s="539" t="s">
        <v>584</v>
      </c>
      <c r="C265" s="540" t="s">
        <v>66</v>
      </c>
      <c r="D265" s="540" t="s">
        <v>55</v>
      </c>
      <c r="E265" s="540" t="s">
        <v>649</v>
      </c>
      <c r="F265" s="540" t="s">
        <v>673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P265" s="494" t="str">
        <f ca="1">IF('CDO Bespoke'!C290&lt;&gt;"",'CDO Bespoke'!C290,"")</f>
        <v/>
      </c>
      <c r="AQ265" s="496"/>
      <c r="AR265" s="585"/>
      <c r="AS265" s="585"/>
      <c r="AT265" s="585"/>
      <c r="AU265" s="497"/>
      <c r="AV265" s="496"/>
      <c r="AW265" s="585"/>
      <c r="AX265" s="585"/>
      <c r="AY265" s="585"/>
      <c r="AZ265" s="497"/>
      <c r="BA265" s="580"/>
      <c r="BB265" s="580"/>
      <c r="BC265" s="580"/>
      <c r="BD265" s="580"/>
      <c r="BE265" s="580"/>
      <c r="BF265" s="580"/>
      <c r="BG265" s="579"/>
    </row>
    <row r="266" spans="2:59">
      <c r="B266" s="517" t="s">
        <v>584</v>
      </c>
      <c r="C266" s="518" t="s">
        <v>66</v>
      </c>
      <c r="D266" s="518" t="s">
        <v>57</v>
      </c>
      <c r="E266" s="518" t="s">
        <v>649</v>
      </c>
      <c r="F266" s="518" t="s">
        <v>673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P266" s="494" t="str">
        <f ca="1">IF('CDO Bespoke'!C291&lt;&gt;"",'CDO Bespoke'!C291,"")</f>
        <v/>
      </c>
      <c r="AQ266" s="496"/>
      <c r="AR266" s="585"/>
      <c r="AS266" s="585"/>
      <c r="AT266" s="585"/>
      <c r="AU266" s="497"/>
      <c r="AV266" s="496"/>
      <c r="AW266" s="585"/>
      <c r="AX266" s="585"/>
      <c r="AY266" s="585"/>
      <c r="AZ266" s="497"/>
      <c r="BA266" s="580"/>
      <c r="BB266" s="580"/>
      <c r="BC266" s="580"/>
      <c r="BD266" s="580"/>
      <c r="BE266" s="580"/>
      <c r="BF266" s="580"/>
      <c r="BG266" s="579"/>
    </row>
    <row r="267" spans="2:59">
      <c r="B267" s="534" t="s">
        <v>584</v>
      </c>
      <c r="C267" s="535" t="s">
        <v>66</v>
      </c>
      <c r="D267" s="535" t="s">
        <v>59</v>
      </c>
      <c r="E267" s="535" t="s">
        <v>649</v>
      </c>
      <c r="F267" s="535" t="s">
        <v>673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P267" s="494" t="str">
        <f ca="1">IF('CDO Bespoke'!C292&lt;&gt;"",'CDO Bespoke'!C292,"")</f>
        <v/>
      </c>
      <c r="AQ267" s="496"/>
      <c r="AR267" s="585"/>
      <c r="AS267" s="585"/>
      <c r="AT267" s="585"/>
      <c r="AU267" s="497"/>
      <c r="AV267" s="496"/>
      <c r="AW267" s="585"/>
      <c r="AX267" s="585"/>
      <c r="AY267" s="585"/>
      <c r="AZ267" s="497"/>
      <c r="BA267" s="580"/>
      <c r="BB267" s="580"/>
      <c r="BC267" s="580"/>
      <c r="BD267" s="580"/>
      <c r="BE267" s="580"/>
      <c r="BF267" s="580"/>
      <c r="BG267" s="579"/>
    </row>
    <row r="268" spans="2:59">
      <c r="B268" s="539" t="s">
        <v>594</v>
      </c>
      <c r="C268" s="540" t="s">
        <v>66</v>
      </c>
      <c r="D268" s="540" t="s">
        <v>55</v>
      </c>
      <c r="E268" s="540" t="s">
        <v>649</v>
      </c>
      <c r="F268" s="540" t="s">
        <v>677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P268" s="494" t="str">
        <f ca="1">IF('CDO Bespoke'!C293&lt;&gt;"",'CDO Bespoke'!C293,"")</f>
        <v/>
      </c>
      <c r="AQ268" s="496"/>
      <c r="AR268" s="585"/>
      <c r="AS268" s="585"/>
      <c r="AT268" s="585"/>
      <c r="AU268" s="497"/>
      <c r="AV268" s="496"/>
      <c r="AW268" s="585"/>
      <c r="AX268" s="585"/>
      <c r="AY268" s="585"/>
      <c r="AZ268" s="497"/>
      <c r="BA268" s="580"/>
      <c r="BB268" s="580"/>
      <c r="BC268" s="580"/>
      <c r="BD268" s="580"/>
      <c r="BE268" s="580"/>
      <c r="BF268" s="580"/>
      <c r="BG268" s="579"/>
    </row>
    <row r="269" spans="2:59">
      <c r="B269" s="517" t="s">
        <v>594</v>
      </c>
      <c r="C269" s="518" t="s">
        <v>66</v>
      </c>
      <c r="D269" s="518" t="s">
        <v>57</v>
      </c>
      <c r="E269" s="518" t="s">
        <v>649</v>
      </c>
      <c r="F269" s="518" t="s">
        <v>677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P269" s="494" t="str">
        <f ca="1">IF('CDO Bespoke'!C294&lt;&gt;"",'CDO Bespoke'!C294,"")</f>
        <v/>
      </c>
      <c r="AQ269" s="496"/>
      <c r="AR269" s="585"/>
      <c r="AS269" s="585"/>
      <c r="AT269" s="585"/>
      <c r="AU269" s="497"/>
      <c r="AV269" s="496"/>
      <c r="AW269" s="585"/>
      <c r="AX269" s="585"/>
      <c r="AY269" s="585"/>
      <c r="AZ269" s="497"/>
      <c r="BA269" s="580"/>
      <c r="BB269" s="580"/>
      <c r="BC269" s="580"/>
      <c r="BD269" s="580"/>
      <c r="BE269" s="580"/>
      <c r="BF269" s="580"/>
      <c r="BG269" s="579"/>
    </row>
    <row r="270" spans="2:59">
      <c r="B270" s="534" t="s">
        <v>594</v>
      </c>
      <c r="C270" s="535" t="s">
        <v>66</v>
      </c>
      <c r="D270" s="535" t="s">
        <v>59</v>
      </c>
      <c r="E270" s="535" t="s">
        <v>649</v>
      </c>
      <c r="F270" s="535" t="s">
        <v>677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P270" s="494" t="str">
        <f ca="1">IF('CDO Bespoke'!C295&lt;&gt;"",'CDO Bespoke'!C295,"")</f>
        <v/>
      </c>
      <c r="AQ270" s="496"/>
      <c r="AR270" s="585"/>
      <c r="AS270" s="585"/>
      <c r="AT270" s="585"/>
      <c r="AU270" s="497"/>
      <c r="AV270" s="496"/>
      <c r="AW270" s="585"/>
      <c r="AX270" s="585"/>
      <c r="AY270" s="585"/>
      <c r="AZ270" s="497"/>
      <c r="BA270" s="580"/>
      <c r="BB270" s="580"/>
      <c r="BC270" s="580"/>
      <c r="BD270" s="580"/>
      <c r="BE270" s="580"/>
      <c r="BF270" s="580"/>
      <c r="BG270" s="579"/>
    </row>
    <row r="271" spans="2:59">
      <c r="B271" s="539" t="s">
        <v>585</v>
      </c>
      <c r="C271" s="540" t="s">
        <v>66</v>
      </c>
      <c r="D271" s="540" t="s">
        <v>55</v>
      </c>
      <c r="E271" s="540" t="s">
        <v>649</v>
      </c>
      <c r="F271" s="540" t="s">
        <v>677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P271" s="494" t="str">
        <f ca="1">IF('CDO Bespoke'!C296&lt;&gt;"",'CDO Bespoke'!C296,"")</f>
        <v/>
      </c>
      <c r="AQ271" s="496"/>
      <c r="AR271" s="585"/>
      <c r="AS271" s="585"/>
      <c r="AT271" s="585"/>
      <c r="AU271" s="497"/>
      <c r="AV271" s="496"/>
      <c r="AW271" s="585"/>
      <c r="AX271" s="585"/>
      <c r="AY271" s="585"/>
      <c r="AZ271" s="497"/>
      <c r="BA271" s="580"/>
      <c r="BB271" s="580"/>
      <c r="BC271" s="580"/>
      <c r="BD271" s="580"/>
      <c r="BE271" s="580"/>
      <c r="BF271" s="580"/>
      <c r="BG271" s="579"/>
    </row>
    <row r="272" spans="2:59">
      <c r="B272" s="517" t="s">
        <v>585</v>
      </c>
      <c r="C272" s="518" t="s">
        <v>66</v>
      </c>
      <c r="D272" s="518" t="s">
        <v>57</v>
      </c>
      <c r="E272" s="518" t="s">
        <v>649</v>
      </c>
      <c r="F272" s="518" t="s">
        <v>677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P272" s="494" t="str">
        <f ca="1">IF('CDO Bespoke'!C297&lt;&gt;"",'CDO Bespoke'!C297,"")</f>
        <v/>
      </c>
      <c r="AQ272" s="496"/>
      <c r="AR272" s="585"/>
      <c r="AS272" s="585"/>
      <c r="AT272" s="585"/>
      <c r="AU272" s="497"/>
      <c r="AV272" s="496"/>
      <c r="AW272" s="585"/>
      <c r="AX272" s="585"/>
      <c r="AY272" s="585"/>
      <c r="AZ272" s="497"/>
      <c r="BA272" s="580"/>
      <c r="BB272" s="580"/>
      <c r="BC272" s="580"/>
      <c r="BD272" s="580"/>
      <c r="BE272" s="580"/>
      <c r="BF272" s="580"/>
      <c r="BG272" s="579"/>
    </row>
    <row r="273" spans="2:59">
      <c r="B273" s="534" t="s">
        <v>585</v>
      </c>
      <c r="C273" s="535" t="s">
        <v>66</v>
      </c>
      <c r="D273" s="535" t="s">
        <v>59</v>
      </c>
      <c r="E273" s="535" t="s">
        <v>649</v>
      </c>
      <c r="F273" s="535" t="s">
        <v>677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P273" s="494" t="str">
        <f ca="1">IF('CDO Bespoke'!C298&lt;&gt;"",'CDO Bespoke'!C298,"")</f>
        <v/>
      </c>
      <c r="AQ273" s="496"/>
      <c r="AR273" s="585"/>
      <c r="AS273" s="585"/>
      <c r="AT273" s="585"/>
      <c r="AU273" s="497"/>
      <c r="AV273" s="496"/>
      <c r="AW273" s="585"/>
      <c r="AX273" s="585"/>
      <c r="AY273" s="585"/>
      <c r="AZ273" s="497"/>
      <c r="BA273" s="580"/>
      <c r="BB273" s="580"/>
      <c r="BC273" s="580"/>
      <c r="BD273" s="580"/>
      <c r="BE273" s="580"/>
      <c r="BF273" s="580"/>
      <c r="BG273" s="579"/>
    </row>
    <row r="274" spans="2:59">
      <c r="B274" s="539" t="s">
        <v>586</v>
      </c>
      <c r="C274" s="540" t="s">
        <v>66</v>
      </c>
      <c r="D274" s="540" t="s">
        <v>55</v>
      </c>
      <c r="E274" s="540" t="s">
        <v>649</v>
      </c>
      <c r="F274" s="540" t="s">
        <v>673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P274" s="494" t="str">
        <f ca="1">IF('CDO Bespoke'!C299&lt;&gt;"",'CDO Bespoke'!C299,"")</f>
        <v/>
      </c>
      <c r="AQ274" s="496"/>
      <c r="AR274" s="585"/>
      <c r="AS274" s="585"/>
      <c r="AT274" s="585"/>
      <c r="AU274" s="497"/>
      <c r="AV274" s="496"/>
      <c r="AW274" s="585"/>
      <c r="AX274" s="585"/>
      <c r="AY274" s="585"/>
      <c r="AZ274" s="497"/>
      <c r="BA274" s="580"/>
      <c r="BB274" s="580"/>
      <c r="BC274" s="580"/>
      <c r="BD274" s="580"/>
      <c r="BE274" s="580"/>
      <c r="BF274" s="580"/>
      <c r="BG274" s="579"/>
    </row>
    <row r="275" spans="2:59">
      <c r="B275" s="517" t="s">
        <v>586</v>
      </c>
      <c r="C275" s="518" t="s">
        <v>66</v>
      </c>
      <c r="D275" s="518" t="s">
        <v>57</v>
      </c>
      <c r="E275" s="518" t="s">
        <v>649</v>
      </c>
      <c r="F275" s="518" t="s">
        <v>673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P275" s="494" t="str">
        <f ca="1">IF('CDO Bespoke'!C300&lt;&gt;"",'CDO Bespoke'!C300,"")</f>
        <v/>
      </c>
      <c r="AQ275" s="496"/>
      <c r="AR275" s="585"/>
      <c r="AS275" s="585"/>
      <c r="AT275" s="585"/>
      <c r="AU275" s="497"/>
      <c r="AV275" s="496"/>
      <c r="AW275" s="585"/>
      <c r="AX275" s="585"/>
      <c r="AY275" s="585"/>
      <c r="AZ275" s="497"/>
      <c r="BA275" s="580"/>
      <c r="BB275" s="580"/>
      <c r="BC275" s="580"/>
      <c r="BD275" s="580"/>
      <c r="BE275" s="580"/>
      <c r="BF275" s="580"/>
      <c r="BG275" s="579"/>
    </row>
    <row r="276" spans="2:59">
      <c r="B276" s="534" t="s">
        <v>586</v>
      </c>
      <c r="C276" s="535" t="s">
        <v>66</v>
      </c>
      <c r="D276" s="535" t="s">
        <v>59</v>
      </c>
      <c r="E276" s="535" t="s">
        <v>649</v>
      </c>
      <c r="F276" s="535" t="s">
        <v>673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P276" s="494" t="str">
        <f ca="1">IF('CDO Bespoke'!C301&lt;&gt;"",'CDO Bespoke'!C301,"")</f>
        <v/>
      </c>
      <c r="AQ276" s="496"/>
      <c r="AR276" s="585"/>
      <c r="AS276" s="585"/>
      <c r="AT276" s="585"/>
      <c r="AU276" s="497"/>
      <c r="AV276" s="496"/>
      <c r="AW276" s="585"/>
      <c r="AX276" s="585"/>
      <c r="AY276" s="585"/>
      <c r="AZ276" s="497"/>
      <c r="BA276" s="580"/>
      <c r="BB276" s="580"/>
      <c r="BC276" s="580"/>
      <c r="BD276" s="580"/>
      <c r="BE276" s="580"/>
      <c r="BF276" s="580"/>
      <c r="BG276" s="579"/>
    </row>
    <row r="277" spans="2:59">
      <c r="B277" s="539" t="s">
        <v>595</v>
      </c>
      <c r="C277" s="540" t="s">
        <v>66</v>
      </c>
      <c r="D277" s="540" t="s">
        <v>55</v>
      </c>
      <c r="E277" s="540" t="s">
        <v>649</v>
      </c>
      <c r="F277" s="540" t="s">
        <v>673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P277" s="494" t="str">
        <f ca="1">IF('CDO Bespoke'!C302&lt;&gt;"",'CDO Bespoke'!C302,"")</f>
        <v/>
      </c>
      <c r="AQ277" s="496"/>
      <c r="AR277" s="585"/>
      <c r="AS277" s="585"/>
      <c r="AT277" s="585"/>
      <c r="AU277" s="497"/>
      <c r="AV277" s="496"/>
      <c r="AW277" s="585"/>
      <c r="AX277" s="585"/>
      <c r="AY277" s="585"/>
      <c r="AZ277" s="497"/>
      <c r="BA277" s="580"/>
      <c r="BB277" s="580"/>
      <c r="BC277" s="580"/>
      <c r="BD277" s="580"/>
      <c r="BE277" s="580"/>
      <c r="BF277" s="580"/>
      <c r="BG277" s="579"/>
    </row>
    <row r="278" spans="2:59">
      <c r="B278" s="517" t="s">
        <v>595</v>
      </c>
      <c r="C278" s="518" t="s">
        <v>66</v>
      </c>
      <c r="D278" s="518" t="s">
        <v>57</v>
      </c>
      <c r="E278" s="518" t="s">
        <v>649</v>
      </c>
      <c r="F278" s="518" t="s">
        <v>673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P278" s="494" t="str">
        <f ca="1">IF('CDO Bespoke'!C303&lt;&gt;"",'CDO Bespoke'!C303,"")</f>
        <v/>
      </c>
      <c r="AQ278" s="496"/>
      <c r="AR278" s="585"/>
      <c r="AS278" s="585"/>
      <c r="AT278" s="585"/>
      <c r="AU278" s="497"/>
      <c r="AV278" s="496"/>
      <c r="AW278" s="585"/>
      <c r="AX278" s="585"/>
      <c r="AY278" s="585"/>
      <c r="AZ278" s="497"/>
      <c r="BA278" s="580"/>
      <c r="BB278" s="580"/>
      <c r="BC278" s="580"/>
      <c r="BD278" s="580"/>
      <c r="BE278" s="580"/>
      <c r="BF278" s="580"/>
      <c r="BG278" s="579"/>
    </row>
    <row r="279" spans="2:59">
      <c r="B279" s="534" t="s">
        <v>595</v>
      </c>
      <c r="C279" s="535" t="s">
        <v>66</v>
      </c>
      <c r="D279" s="535" t="s">
        <v>59</v>
      </c>
      <c r="E279" s="535" t="s">
        <v>649</v>
      </c>
      <c r="F279" s="535" t="s">
        <v>673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P279" s="494" t="str">
        <f ca="1">IF('CDO Bespoke'!C304&lt;&gt;"",'CDO Bespoke'!C304,"")</f>
        <v/>
      </c>
      <c r="AQ279" s="496"/>
      <c r="AR279" s="585"/>
      <c r="AS279" s="585"/>
      <c r="AT279" s="585"/>
      <c r="AU279" s="497"/>
      <c r="AV279" s="496"/>
      <c r="AW279" s="585"/>
      <c r="AX279" s="585"/>
      <c r="AY279" s="585"/>
      <c r="AZ279" s="497"/>
      <c r="BA279" s="580"/>
      <c r="BB279" s="580"/>
      <c r="BC279" s="580"/>
      <c r="BD279" s="580"/>
      <c r="BE279" s="580"/>
      <c r="BF279" s="580"/>
      <c r="BG279" s="579"/>
    </row>
    <row r="280" spans="2:59">
      <c r="B280" s="539" t="s">
        <v>587</v>
      </c>
      <c r="C280" s="540" t="s">
        <v>66</v>
      </c>
      <c r="D280" s="540" t="s">
        <v>55</v>
      </c>
      <c r="E280" s="540" t="s">
        <v>649</v>
      </c>
      <c r="F280" s="540" t="s">
        <v>677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P280" s="494" t="str">
        <f ca="1">IF('CDO Bespoke'!C305&lt;&gt;"",'CDO Bespoke'!C305,"")</f>
        <v/>
      </c>
      <c r="AQ280" s="496"/>
      <c r="AR280" s="585"/>
      <c r="AS280" s="585"/>
      <c r="AT280" s="585"/>
      <c r="AU280" s="497"/>
      <c r="AV280" s="496"/>
      <c r="AW280" s="585"/>
      <c r="AX280" s="585"/>
      <c r="AY280" s="585"/>
      <c r="AZ280" s="497"/>
      <c r="BA280" s="580"/>
      <c r="BB280" s="580"/>
      <c r="BC280" s="580"/>
      <c r="BD280" s="580"/>
      <c r="BE280" s="580"/>
      <c r="BF280" s="580"/>
      <c r="BG280" s="579"/>
    </row>
    <row r="281" spans="2:59">
      <c r="B281" s="517" t="s">
        <v>587</v>
      </c>
      <c r="C281" s="518" t="s">
        <v>66</v>
      </c>
      <c r="D281" s="518" t="s">
        <v>57</v>
      </c>
      <c r="E281" s="518" t="s">
        <v>649</v>
      </c>
      <c r="F281" s="518" t="s">
        <v>677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P281" s="494" t="str">
        <f ca="1">IF('CDO Bespoke'!C306&lt;&gt;"",'CDO Bespoke'!C306,"")</f>
        <v/>
      </c>
      <c r="AQ281" s="496"/>
      <c r="AR281" s="585"/>
      <c r="AS281" s="585"/>
      <c r="AT281" s="585"/>
      <c r="AU281" s="497"/>
      <c r="AV281" s="496"/>
      <c r="AW281" s="585"/>
      <c r="AX281" s="585"/>
      <c r="AY281" s="585"/>
      <c r="AZ281" s="497"/>
      <c r="BA281" s="580"/>
      <c r="BB281" s="580"/>
      <c r="BC281" s="580"/>
      <c r="BD281" s="580"/>
      <c r="BE281" s="580"/>
      <c r="BF281" s="580"/>
      <c r="BG281" s="579"/>
    </row>
    <row r="282" spans="2:59">
      <c r="B282" s="534" t="s">
        <v>587</v>
      </c>
      <c r="C282" s="535" t="s">
        <v>66</v>
      </c>
      <c r="D282" s="535" t="s">
        <v>59</v>
      </c>
      <c r="E282" s="535" t="s">
        <v>649</v>
      </c>
      <c r="F282" s="535" t="s">
        <v>677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P282" s="494" t="str">
        <f ca="1">IF('CDO Bespoke'!C307&lt;&gt;"",'CDO Bespoke'!C307,"")</f>
        <v/>
      </c>
      <c r="AQ282" s="496"/>
      <c r="AR282" s="585"/>
      <c r="AS282" s="585"/>
      <c r="AT282" s="585"/>
      <c r="AU282" s="497"/>
      <c r="AV282" s="496"/>
      <c r="AW282" s="585"/>
      <c r="AX282" s="585"/>
      <c r="AY282" s="585"/>
      <c r="AZ282" s="497"/>
      <c r="BA282" s="580"/>
      <c r="BB282" s="580"/>
      <c r="BC282" s="580"/>
      <c r="BD282" s="580"/>
      <c r="BE282" s="580"/>
      <c r="BF282" s="580"/>
      <c r="BG282" s="579"/>
    </row>
    <row r="283" spans="2:59">
      <c r="B283" s="539" t="s">
        <v>617</v>
      </c>
      <c r="C283" s="540" t="s">
        <v>66</v>
      </c>
      <c r="D283" s="540" t="s">
        <v>55</v>
      </c>
      <c r="E283" s="540" t="s">
        <v>647</v>
      </c>
      <c r="F283" s="540" t="s">
        <v>673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P283" s="494" t="str">
        <f ca="1">IF('CDO Bespoke'!C308&lt;&gt;"",'CDO Bespoke'!C308,"")</f>
        <v/>
      </c>
      <c r="AQ283" s="496"/>
      <c r="AR283" s="585"/>
      <c r="AS283" s="585"/>
      <c r="AT283" s="585"/>
      <c r="AU283" s="497"/>
      <c r="AV283" s="496"/>
      <c r="AW283" s="585"/>
      <c r="AX283" s="585"/>
      <c r="AY283" s="585"/>
      <c r="AZ283" s="497"/>
      <c r="BA283" s="580"/>
      <c r="BB283" s="580"/>
      <c r="BC283" s="580"/>
      <c r="BD283" s="580"/>
      <c r="BE283" s="580"/>
      <c r="BF283" s="580"/>
      <c r="BG283" s="579"/>
    </row>
    <row r="284" spans="2:59">
      <c r="B284" s="517" t="s">
        <v>617</v>
      </c>
      <c r="C284" s="518" t="s">
        <v>66</v>
      </c>
      <c r="D284" s="518" t="s">
        <v>57</v>
      </c>
      <c r="E284" s="518" t="s">
        <v>647</v>
      </c>
      <c r="F284" s="518" t="s">
        <v>673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P284" s="494" t="str">
        <f ca="1">IF('CDO Bespoke'!C309&lt;&gt;"",'CDO Bespoke'!C309,"")</f>
        <v/>
      </c>
      <c r="AQ284" s="496"/>
      <c r="AR284" s="585"/>
      <c r="AS284" s="585"/>
      <c r="AT284" s="585"/>
      <c r="AU284" s="497"/>
      <c r="AV284" s="496"/>
      <c r="AW284" s="585"/>
      <c r="AX284" s="585"/>
      <c r="AY284" s="585"/>
      <c r="AZ284" s="497"/>
      <c r="BA284" s="580"/>
      <c r="BB284" s="580"/>
      <c r="BC284" s="580"/>
      <c r="BD284" s="580"/>
      <c r="BE284" s="580"/>
      <c r="BF284" s="580"/>
      <c r="BG284" s="579"/>
    </row>
    <row r="285" spans="2:59">
      <c r="B285" s="534" t="s">
        <v>617</v>
      </c>
      <c r="C285" s="535" t="s">
        <v>66</v>
      </c>
      <c r="D285" s="535" t="s">
        <v>59</v>
      </c>
      <c r="E285" s="535" t="s">
        <v>647</v>
      </c>
      <c r="F285" s="535" t="s">
        <v>673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P285" s="494" t="str">
        <f ca="1">IF('CDO Bespoke'!C310&lt;&gt;"",'CDO Bespoke'!C310,"")</f>
        <v/>
      </c>
      <c r="AQ285" s="496"/>
      <c r="AR285" s="585"/>
      <c r="AS285" s="585"/>
      <c r="AT285" s="585"/>
      <c r="AU285" s="497"/>
      <c r="AV285" s="496"/>
      <c r="AW285" s="585"/>
      <c r="AX285" s="585"/>
      <c r="AY285" s="585"/>
      <c r="AZ285" s="497"/>
      <c r="BA285" s="580"/>
      <c r="BB285" s="580"/>
      <c r="BC285" s="580"/>
      <c r="BD285" s="580"/>
      <c r="BE285" s="580"/>
      <c r="BF285" s="580"/>
      <c r="BG285" s="579"/>
    </row>
    <row r="286" spans="2:59">
      <c r="B286" s="539" t="s">
        <v>588</v>
      </c>
      <c r="C286" s="540" t="s">
        <v>66</v>
      </c>
      <c r="D286" s="540" t="s">
        <v>55</v>
      </c>
      <c r="E286" s="540" t="s">
        <v>649</v>
      </c>
      <c r="F286" s="540" t="s">
        <v>654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P286" s="494" t="str">
        <f ca="1">IF('CDO Bespoke'!C311&lt;&gt;"",'CDO Bespoke'!C311,"")</f>
        <v/>
      </c>
      <c r="AQ286" s="496"/>
      <c r="AR286" s="585"/>
      <c r="AS286" s="585"/>
      <c r="AT286" s="585"/>
      <c r="AU286" s="497"/>
      <c r="AV286" s="496"/>
      <c r="AW286" s="585"/>
      <c r="AX286" s="585"/>
      <c r="AY286" s="585"/>
      <c r="AZ286" s="497"/>
      <c r="BA286" s="580"/>
      <c r="BB286" s="580"/>
      <c r="BC286" s="580"/>
      <c r="BD286" s="580"/>
      <c r="BE286" s="580"/>
      <c r="BF286" s="580"/>
      <c r="BG286" s="579"/>
    </row>
    <row r="287" spans="2:59">
      <c r="B287" s="517" t="s">
        <v>588</v>
      </c>
      <c r="C287" s="518" t="s">
        <v>66</v>
      </c>
      <c r="D287" s="518" t="s">
        <v>57</v>
      </c>
      <c r="E287" s="518" t="s">
        <v>649</v>
      </c>
      <c r="F287" s="518" t="s">
        <v>654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P287" s="494" t="str">
        <f ca="1">IF('CDO Bespoke'!C312&lt;&gt;"",'CDO Bespoke'!C312,"")</f>
        <v/>
      </c>
      <c r="AQ287" s="496"/>
      <c r="AR287" s="585"/>
      <c r="AS287" s="585"/>
      <c r="AT287" s="585"/>
      <c r="AU287" s="497"/>
      <c r="AV287" s="496"/>
      <c r="AW287" s="585"/>
      <c r="AX287" s="585"/>
      <c r="AY287" s="585"/>
      <c r="AZ287" s="497"/>
      <c r="BA287" s="580"/>
      <c r="BB287" s="580"/>
      <c r="BC287" s="580"/>
      <c r="BD287" s="580"/>
      <c r="BE287" s="580"/>
      <c r="BF287" s="580"/>
      <c r="BG287" s="579"/>
    </row>
    <row r="288" spans="2:59">
      <c r="B288" s="534" t="s">
        <v>588</v>
      </c>
      <c r="C288" s="535" t="s">
        <v>66</v>
      </c>
      <c r="D288" s="535" t="s">
        <v>59</v>
      </c>
      <c r="E288" s="535" t="s">
        <v>649</v>
      </c>
      <c r="F288" s="535" t="s">
        <v>654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P288" s="494" t="str">
        <f ca="1">IF('CDO Bespoke'!C313&lt;&gt;"",'CDO Bespoke'!C313,"")</f>
        <v/>
      </c>
      <c r="AQ288" s="496"/>
      <c r="AR288" s="585"/>
      <c r="AS288" s="585"/>
      <c r="AT288" s="585"/>
      <c r="AU288" s="497"/>
      <c r="AV288" s="496"/>
      <c r="AW288" s="585"/>
      <c r="AX288" s="585"/>
      <c r="AY288" s="585"/>
      <c r="AZ288" s="497"/>
      <c r="BA288" s="580"/>
      <c r="BB288" s="580"/>
      <c r="BC288" s="580"/>
      <c r="BD288" s="580"/>
      <c r="BE288" s="580"/>
      <c r="BF288" s="580"/>
      <c r="BG288" s="579"/>
    </row>
    <row r="289" spans="2:59">
      <c r="B289" s="539" t="s">
        <v>596</v>
      </c>
      <c r="C289" s="540" t="s">
        <v>66</v>
      </c>
      <c r="D289" s="540" t="s">
        <v>55</v>
      </c>
      <c r="E289" s="540" t="s">
        <v>649</v>
      </c>
      <c r="F289" s="540" t="s">
        <v>677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P289" s="494" t="str">
        <f ca="1">IF('CDO Bespoke'!C314&lt;&gt;"",'CDO Bespoke'!C314,"")</f>
        <v/>
      </c>
      <c r="AQ289" s="496"/>
      <c r="AR289" s="585"/>
      <c r="AS289" s="585"/>
      <c r="AT289" s="585"/>
      <c r="AU289" s="497"/>
      <c r="AV289" s="496"/>
      <c r="AW289" s="585"/>
      <c r="AX289" s="585"/>
      <c r="AY289" s="585"/>
      <c r="AZ289" s="497"/>
      <c r="BA289" s="580"/>
      <c r="BB289" s="580"/>
      <c r="BC289" s="580"/>
      <c r="BD289" s="580"/>
      <c r="BE289" s="580"/>
      <c r="BF289" s="580"/>
      <c r="BG289" s="579"/>
    </row>
    <row r="290" spans="2:59">
      <c r="B290" s="517" t="s">
        <v>596</v>
      </c>
      <c r="C290" s="518" t="s">
        <v>66</v>
      </c>
      <c r="D290" s="518" t="s">
        <v>57</v>
      </c>
      <c r="E290" s="518" t="s">
        <v>649</v>
      </c>
      <c r="F290" s="518" t="s">
        <v>677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P290" s="494" t="str">
        <f ca="1">IF('CDO Bespoke'!C315&lt;&gt;"",'CDO Bespoke'!C315,"")</f>
        <v/>
      </c>
      <c r="AQ290" s="496"/>
      <c r="AR290" s="585"/>
      <c r="AS290" s="585"/>
      <c r="AT290" s="585"/>
      <c r="AU290" s="497"/>
      <c r="AV290" s="496"/>
      <c r="AW290" s="585"/>
      <c r="AX290" s="585"/>
      <c r="AY290" s="585"/>
      <c r="AZ290" s="497"/>
      <c r="BA290" s="580"/>
      <c r="BB290" s="580"/>
      <c r="BC290" s="580"/>
      <c r="BD290" s="580"/>
      <c r="BE290" s="580"/>
      <c r="BF290" s="580"/>
      <c r="BG290" s="579"/>
    </row>
    <row r="291" spans="2:59">
      <c r="B291" s="534" t="s">
        <v>596</v>
      </c>
      <c r="C291" s="535" t="s">
        <v>66</v>
      </c>
      <c r="D291" s="535" t="s">
        <v>59</v>
      </c>
      <c r="E291" s="535" t="s">
        <v>649</v>
      </c>
      <c r="F291" s="535" t="s">
        <v>677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P291" s="494" t="str">
        <f ca="1">IF('CDO Bespoke'!C316&lt;&gt;"",'CDO Bespoke'!C316,"")</f>
        <v/>
      </c>
      <c r="AQ291" s="496"/>
      <c r="AR291" s="585"/>
      <c r="AS291" s="585"/>
      <c r="AT291" s="585"/>
      <c r="AU291" s="497"/>
      <c r="AV291" s="496"/>
      <c r="AW291" s="585"/>
      <c r="AX291" s="585"/>
      <c r="AY291" s="585"/>
      <c r="AZ291" s="497"/>
      <c r="BA291" s="580"/>
      <c r="BB291" s="580"/>
      <c r="BC291" s="580"/>
      <c r="BD291" s="580"/>
      <c r="BE291" s="580"/>
      <c r="BF291" s="580"/>
      <c r="BG291" s="579"/>
    </row>
    <row r="292" spans="2:59">
      <c r="B292" s="539" t="s">
        <v>589</v>
      </c>
      <c r="C292" s="540" t="s">
        <v>66</v>
      </c>
      <c r="D292" s="540" t="s">
        <v>55</v>
      </c>
      <c r="E292" s="540" t="s">
        <v>647</v>
      </c>
      <c r="F292" s="540" t="s">
        <v>677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P292" s="494" t="str">
        <f ca="1">IF('CDO Bespoke'!C317&lt;&gt;"",'CDO Bespoke'!C317,"")</f>
        <v/>
      </c>
      <c r="AQ292" s="496"/>
      <c r="AR292" s="585"/>
      <c r="AS292" s="585"/>
      <c r="AT292" s="585"/>
      <c r="AU292" s="497"/>
      <c r="AV292" s="496"/>
      <c r="AW292" s="585"/>
      <c r="AX292" s="585"/>
      <c r="AY292" s="585"/>
      <c r="AZ292" s="497"/>
      <c r="BA292" s="580"/>
      <c r="BB292" s="580"/>
      <c r="BC292" s="580"/>
      <c r="BD292" s="580"/>
      <c r="BE292" s="580"/>
      <c r="BF292" s="580"/>
      <c r="BG292" s="579"/>
    </row>
    <row r="293" spans="2:59">
      <c r="B293" s="517" t="s">
        <v>589</v>
      </c>
      <c r="C293" s="518" t="s">
        <v>66</v>
      </c>
      <c r="D293" s="518" t="s">
        <v>57</v>
      </c>
      <c r="E293" s="518" t="s">
        <v>647</v>
      </c>
      <c r="F293" s="518" t="s">
        <v>677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P293" s="494" t="str">
        <f ca="1">IF('CDO Bespoke'!C318&lt;&gt;"",'CDO Bespoke'!C318,"")</f>
        <v/>
      </c>
      <c r="AQ293" s="496"/>
      <c r="AR293" s="585"/>
      <c r="AS293" s="585"/>
      <c r="AT293" s="585"/>
      <c r="AU293" s="497"/>
      <c r="AV293" s="496"/>
      <c r="AW293" s="585"/>
      <c r="AX293" s="585"/>
      <c r="AY293" s="585"/>
      <c r="AZ293" s="497"/>
      <c r="BA293" s="580"/>
      <c r="BB293" s="580"/>
      <c r="BC293" s="580"/>
      <c r="BD293" s="580"/>
      <c r="BE293" s="580"/>
      <c r="BF293" s="580"/>
      <c r="BG293" s="579"/>
    </row>
    <row r="294" spans="2:59">
      <c r="B294" s="534" t="s">
        <v>589</v>
      </c>
      <c r="C294" s="535" t="s">
        <v>66</v>
      </c>
      <c r="D294" s="535" t="s">
        <v>59</v>
      </c>
      <c r="E294" s="535" t="s">
        <v>647</v>
      </c>
      <c r="F294" s="535" t="s">
        <v>677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P294" s="494" t="str">
        <f ca="1">IF('CDO Bespoke'!C319&lt;&gt;"",'CDO Bespoke'!C319,"")</f>
        <v/>
      </c>
      <c r="AQ294" s="496"/>
      <c r="AR294" s="585"/>
      <c r="AS294" s="585"/>
      <c r="AT294" s="585"/>
      <c r="AU294" s="497"/>
      <c r="AV294" s="496"/>
      <c r="AW294" s="585"/>
      <c r="AX294" s="585"/>
      <c r="AY294" s="585"/>
      <c r="AZ294" s="497"/>
      <c r="BA294" s="580"/>
      <c r="BB294" s="580"/>
      <c r="BC294" s="580"/>
      <c r="BD294" s="580"/>
      <c r="BE294" s="580"/>
      <c r="BF294" s="580"/>
      <c r="BG294" s="579"/>
    </row>
    <row r="295" spans="2:59">
      <c r="B295" s="539" t="s">
        <v>597</v>
      </c>
      <c r="C295" s="540" t="s">
        <v>66</v>
      </c>
      <c r="D295" s="540" t="s">
        <v>55</v>
      </c>
      <c r="E295" s="540" t="s">
        <v>649</v>
      </c>
      <c r="F295" s="540" t="s">
        <v>677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P295" s="494" t="str">
        <f ca="1">IF('CDO Bespoke'!C320&lt;&gt;"",'CDO Bespoke'!C320,"")</f>
        <v/>
      </c>
      <c r="AQ295" s="496"/>
      <c r="AR295" s="585"/>
      <c r="AS295" s="585"/>
      <c r="AT295" s="585"/>
      <c r="AU295" s="497"/>
      <c r="AV295" s="496"/>
      <c r="AW295" s="585"/>
      <c r="AX295" s="585"/>
      <c r="AY295" s="585"/>
      <c r="AZ295" s="497"/>
      <c r="BA295" s="580"/>
      <c r="BB295" s="580"/>
      <c r="BC295" s="580"/>
      <c r="BD295" s="580"/>
      <c r="BE295" s="580"/>
      <c r="BF295" s="580"/>
      <c r="BG295" s="579"/>
    </row>
    <row r="296" spans="2:59">
      <c r="B296" s="517" t="s">
        <v>597</v>
      </c>
      <c r="C296" s="518" t="s">
        <v>66</v>
      </c>
      <c r="D296" s="518" t="s">
        <v>57</v>
      </c>
      <c r="E296" s="518" t="s">
        <v>649</v>
      </c>
      <c r="F296" s="518" t="s">
        <v>677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P296" s="494" t="str">
        <f ca="1">IF('CDO Bespoke'!C321&lt;&gt;"",'CDO Bespoke'!C321,"")</f>
        <v/>
      </c>
      <c r="AQ296" s="496"/>
      <c r="AR296" s="585"/>
      <c r="AS296" s="585"/>
      <c r="AT296" s="585"/>
      <c r="AU296" s="497"/>
      <c r="AV296" s="496"/>
      <c r="AW296" s="585"/>
      <c r="AX296" s="585"/>
      <c r="AY296" s="585"/>
      <c r="AZ296" s="497"/>
      <c r="BA296" s="580"/>
      <c r="BB296" s="580"/>
      <c r="BC296" s="580"/>
      <c r="BD296" s="580"/>
      <c r="BE296" s="580"/>
      <c r="BF296" s="580"/>
      <c r="BG296" s="579"/>
    </row>
    <row r="297" spans="2:59">
      <c r="B297" s="534" t="s">
        <v>597</v>
      </c>
      <c r="C297" s="535" t="s">
        <v>66</v>
      </c>
      <c r="D297" s="535" t="s">
        <v>59</v>
      </c>
      <c r="E297" s="535" t="s">
        <v>649</v>
      </c>
      <c r="F297" s="535" t="s">
        <v>677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P297" s="494" t="str">
        <f ca="1">IF('CDO Bespoke'!C322&lt;&gt;"",'CDO Bespoke'!C322,"")</f>
        <v/>
      </c>
      <c r="AQ297" s="496"/>
      <c r="AR297" s="585"/>
      <c r="AS297" s="585"/>
      <c r="AT297" s="585"/>
      <c r="AU297" s="497"/>
      <c r="AV297" s="496"/>
      <c r="AW297" s="585"/>
      <c r="AX297" s="585"/>
      <c r="AY297" s="585"/>
      <c r="AZ297" s="497"/>
      <c r="BA297" s="580"/>
      <c r="BB297" s="580"/>
      <c r="BC297" s="580"/>
      <c r="BD297" s="580"/>
      <c r="BE297" s="580"/>
      <c r="BF297" s="580"/>
      <c r="BG297" s="579"/>
    </row>
    <row r="298" spans="2:59">
      <c r="B298" s="539" t="s">
        <v>590</v>
      </c>
      <c r="C298" s="540" t="s">
        <v>66</v>
      </c>
      <c r="D298" s="540" t="s">
        <v>55</v>
      </c>
      <c r="E298" s="540" t="s">
        <v>649</v>
      </c>
      <c r="F298" s="540" t="s">
        <v>677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P298" s="494" t="str">
        <f ca="1">IF('CDO Bespoke'!C323&lt;&gt;"",'CDO Bespoke'!C323,"")</f>
        <v/>
      </c>
      <c r="AQ298" s="496"/>
      <c r="AR298" s="585"/>
      <c r="AS298" s="585"/>
      <c r="AT298" s="585"/>
      <c r="AU298" s="497"/>
      <c r="AV298" s="496"/>
      <c r="AW298" s="585"/>
      <c r="AX298" s="585"/>
      <c r="AY298" s="585"/>
      <c r="AZ298" s="497"/>
      <c r="BA298" s="580"/>
      <c r="BB298" s="580"/>
      <c r="BC298" s="580"/>
      <c r="BD298" s="580"/>
      <c r="BE298" s="580"/>
      <c r="BF298" s="580"/>
      <c r="BG298" s="579"/>
    </row>
    <row r="299" spans="2:59">
      <c r="B299" s="517" t="s">
        <v>590</v>
      </c>
      <c r="C299" s="518" t="s">
        <v>66</v>
      </c>
      <c r="D299" s="518" t="s">
        <v>57</v>
      </c>
      <c r="E299" s="518" t="s">
        <v>649</v>
      </c>
      <c r="F299" s="518" t="s">
        <v>677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P299" s="494" t="str">
        <f ca="1">IF('CDO Bespoke'!C324&lt;&gt;"",'CDO Bespoke'!C324,"")</f>
        <v/>
      </c>
      <c r="AQ299" s="496"/>
      <c r="AR299" s="585"/>
      <c r="AS299" s="585"/>
      <c r="AT299" s="585"/>
      <c r="AU299" s="497"/>
      <c r="AV299" s="496"/>
      <c r="AW299" s="585"/>
      <c r="AX299" s="585"/>
      <c r="AY299" s="585"/>
      <c r="AZ299" s="497"/>
      <c r="BA299" s="580"/>
      <c r="BB299" s="580"/>
      <c r="BC299" s="580"/>
      <c r="BD299" s="580"/>
      <c r="BE299" s="580"/>
      <c r="BF299" s="580"/>
      <c r="BG299" s="579"/>
    </row>
    <row r="300" spans="2:59">
      <c r="B300" s="534" t="s">
        <v>590</v>
      </c>
      <c r="C300" s="535" t="s">
        <v>66</v>
      </c>
      <c r="D300" s="535" t="s">
        <v>59</v>
      </c>
      <c r="E300" s="535" t="s">
        <v>649</v>
      </c>
      <c r="F300" s="535" t="s">
        <v>677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P300" s="494" t="str">
        <f ca="1">IF('CDO Bespoke'!C325&lt;&gt;"",'CDO Bespoke'!C325,"")</f>
        <v/>
      </c>
      <c r="AQ300" s="496"/>
      <c r="AR300" s="585"/>
      <c r="AS300" s="585"/>
      <c r="AT300" s="585"/>
      <c r="AU300" s="497"/>
      <c r="AV300" s="496"/>
      <c r="AW300" s="585"/>
      <c r="AX300" s="585"/>
      <c r="AY300" s="585"/>
      <c r="AZ300" s="497"/>
      <c r="BA300" s="580"/>
      <c r="BB300" s="580"/>
      <c r="BC300" s="580"/>
      <c r="BD300" s="580"/>
      <c r="BE300" s="580"/>
      <c r="BF300" s="580"/>
      <c r="BG300" s="579"/>
    </row>
    <row r="301" spans="2:59">
      <c r="B301" s="539" t="s">
        <v>591</v>
      </c>
      <c r="C301" s="540" t="s">
        <v>66</v>
      </c>
      <c r="D301" s="540" t="s">
        <v>55</v>
      </c>
      <c r="E301" s="540" t="s">
        <v>649</v>
      </c>
      <c r="F301" s="540" t="s">
        <v>673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P301" s="494" t="str">
        <f ca="1">IF('CDO Bespoke'!C326&lt;&gt;"",'CDO Bespoke'!C326,"")</f>
        <v/>
      </c>
      <c r="AQ301" s="496"/>
      <c r="AR301" s="585"/>
      <c r="AS301" s="585"/>
      <c r="AT301" s="585"/>
      <c r="AU301" s="497"/>
      <c r="AV301" s="496"/>
      <c r="AW301" s="585"/>
      <c r="AX301" s="585"/>
      <c r="AY301" s="585"/>
      <c r="AZ301" s="497"/>
      <c r="BA301" s="580"/>
      <c r="BB301" s="580"/>
      <c r="BC301" s="580"/>
      <c r="BD301" s="580"/>
      <c r="BE301" s="580"/>
      <c r="BF301" s="580"/>
      <c r="BG301" s="579"/>
    </row>
    <row r="302" spans="2:59">
      <c r="B302" s="517" t="s">
        <v>591</v>
      </c>
      <c r="C302" s="518" t="s">
        <v>66</v>
      </c>
      <c r="D302" s="518" t="s">
        <v>57</v>
      </c>
      <c r="E302" s="518" t="s">
        <v>649</v>
      </c>
      <c r="F302" s="518" t="s">
        <v>673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P302" s="494" t="str">
        <f ca="1">IF('CDO Bespoke'!C327&lt;&gt;"",'CDO Bespoke'!C327,"")</f>
        <v/>
      </c>
      <c r="AQ302" s="496"/>
      <c r="AR302" s="585"/>
      <c r="AS302" s="585"/>
      <c r="AT302" s="585"/>
      <c r="AU302" s="497"/>
      <c r="AV302" s="496"/>
      <c r="AW302" s="585"/>
      <c r="AX302" s="585"/>
      <c r="AY302" s="585"/>
      <c r="AZ302" s="497"/>
      <c r="BA302" s="580"/>
      <c r="BB302" s="580"/>
      <c r="BC302" s="580"/>
      <c r="BD302" s="580"/>
      <c r="BE302" s="580"/>
      <c r="BF302" s="580"/>
      <c r="BG302" s="579"/>
    </row>
    <row r="303" spans="2:59">
      <c r="B303" s="534" t="s">
        <v>591</v>
      </c>
      <c r="C303" s="535" t="s">
        <v>66</v>
      </c>
      <c r="D303" s="535" t="s">
        <v>59</v>
      </c>
      <c r="E303" s="535" t="s">
        <v>649</v>
      </c>
      <c r="F303" s="535" t="s">
        <v>673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P303" s="494" t="str">
        <f ca="1">IF('CDO Bespoke'!C328&lt;&gt;"",'CDO Bespoke'!C328,"")</f>
        <v/>
      </c>
      <c r="AQ303" s="496"/>
      <c r="AR303" s="585"/>
      <c r="AS303" s="585"/>
      <c r="AT303" s="585"/>
      <c r="AU303" s="497"/>
      <c r="AV303" s="496"/>
      <c r="AW303" s="585"/>
      <c r="AX303" s="585"/>
      <c r="AY303" s="585"/>
      <c r="AZ303" s="497"/>
      <c r="BA303" s="580"/>
      <c r="BB303" s="580"/>
      <c r="BC303" s="580"/>
      <c r="BD303" s="580"/>
      <c r="BE303" s="580"/>
      <c r="BF303" s="580"/>
      <c r="BG303" s="579"/>
    </row>
    <row r="304" spans="2:59">
      <c r="B304" s="539" t="s">
        <v>592</v>
      </c>
      <c r="C304" s="540" t="s">
        <v>66</v>
      </c>
      <c r="D304" s="540" t="s">
        <v>55</v>
      </c>
      <c r="E304" s="540" t="s">
        <v>649</v>
      </c>
      <c r="F304" s="540" t="s">
        <v>677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P304" s="494" t="str">
        <f ca="1">IF('CDO Bespoke'!C329&lt;&gt;"",'CDO Bespoke'!C329,"")</f>
        <v/>
      </c>
      <c r="AQ304" s="496"/>
      <c r="AR304" s="585"/>
      <c r="AS304" s="585"/>
      <c r="AT304" s="585"/>
      <c r="AU304" s="497"/>
      <c r="AV304" s="496"/>
      <c r="AW304" s="585"/>
      <c r="AX304" s="585"/>
      <c r="AY304" s="585"/>
      <c r="AZ304" s="497"/>
      <c r="BA304" s="580"/>
      <c r="BB304" s="580"/>
      <c r="BC304" s="580"/>
      <c r="BD304" s="580"/>
      <c r="BE304" s="580"/>
      <c r="BF304" s="580"/>
      <c r="BG304" s="579"/>
    </row>
    <row r="305" spans="2:59">
      <c r="B305" s="517" t="s">
        <v>592</v>
      </c>
      <c r="C305" s="518" t="s">
        <v>66</v>
      </c>
      <c r="D305" s="518" t="s">
        <v>57</v>
      </c>
      <c r="E305" s="518" t="s">
        <v>649</v>
      </c>
      <c r="F305" s="518" t="s">
        <v>677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P305" s="494" t="str">
        <f ca="1">IF('CDO Bespoke'!C330&lt;&gt;"",'CDO Bespoke'!C330,"")</f>
        <v/>
      </c>
      <c r="AQ305" s="496"/>
      <c r="AR305" s="585"/>
      <c r="AS305" s="585"/>
      <c r="AT305" s="585"/>
      <c r="AU305" s="497"/>
      <c r="AV305" s="496"/>
      <c r="AW305" s="585"/>
      <c r="AX305" s="585"/>
      <c r="AY305" s="585"/>
      <c r="AZ305" s="497"/>
      <c r="BA305" s="580"/>
      <c r="BB305" s="580"/>
      <c r="BC305" s="580"/>
      <c r="BD305" s="580"/>
      <c r="BE305" s="580"/>
      <c r="BF305" s="580"/>
      <c r="BG305" s="579"/>
    </row>
    <row r="306" spans="2:59">
      <c r="B306" s="534" t="s">
        <v>592</v>
      </c>
      <c r="C306" s="535" t="s">
        <v>66</v>
      </c>
      <c r="D306" s="535" t="s">
        <v>59</v>
      </c>
      <c r="E306" s="535" t="s">
        <v>649</v>
      </c>
      <c r="F306" s="535" t="s">
        <v>677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P306" s="494" t="str">
        <f ca="1">IF('CDO Bespoke'!C331&lt;&gt;"",'CDO Bespoke'!C331,"")</f>
        <v/>
      </c>
      <c r="AQ306" s="496"/>
      <c r="AR306" s="585"/>
      <c r="AS306" s="585"/>
      <c r="AT306" s="585"/>
      <c r="AU306" s="497"/>
      <c r="AV306" s="496"/>
      <c r="AW306" s="585"/>
      <c r="AX306" s="585"/>
      <c r="AY306" s="585"/>
      <c r="AZ306" s="497"/>
      <c r="BA306" s="580"/>
      <c r="BB306" s="580"/>
      <c r="BC306" s="580"/>
      <c r="BD306" s="580"/>
      <c r="BE306" s="580"/>
      <c r="BF306" s="580"/>
      <c r="BG306" s="579"/>
    </row>
    <row r="307" spans="2:59">
      <c r="B307" s="539" t="s">
        <v>593</v>
      </c>
      <c r="C307" s="540" t="s">
        <v>66</v>
      </c>
      <c r="D307" s="540" t="s">
        <v>55</v>
      </c>
      <c r="E307" s="540" t="s">
        <v>649</v>
      </c>
      <c r="F307" s="540" t="s">
        <v>673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P307" s="494" t="str">
        <f ca="1">IF('CDO Bespoke'!C332&lt;&gt;"",'CDO Bespoke'!C332,"")</f>
        <v/>
      </c>
      <c r="AQ307" s="496"/>
      <c r="AR307" s="585"/>
      <c r="AS307" s="585"/>
      <c r="AT307" s="585"/>
      <c r="AU307" s="497"/>
      <c r="AV307" s="496"/>
      <c r="AW307" s="585"/>
      <c r="AX307" s="585"/>
      <c r="AY307" s="585"/>
      <c r="AZ307" s="497"/>
      <c r="BA307" s="580"/>
      <c r="BB307" s="580"/>
      <c r="BC307" s="580"/>
      <c r="BD307" s="580"/>
      <c r="BE307" s="580"/>
      <c r="BF307" s="580"/>
      <c r="BG307" s="579"/>
    </row>
    <row r="308" spans="2:59">
      <c r="B308" s="517" t="s">
        <v>593</v>
      </c>
      <c r="C308" s="518" t="s">
        <v>66</v>
      </c>
      <c r="D308" s="518" t="s">
        <v>57</v>
      </c>
      <c r="E308" s="518" t="s">
        <v>649</v>
      </c>
      <c r="F308" s="518" t="s">
        <v>673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P308" s="494" t="str">
        <f ca="1">IF('CDO Bespoke'!C333&lt;&gt;"",'CDO Bespoke'!C333,"")</f>
        <v/>
      </c>
      <c r="AQ308" s="496"/>
      <c r="AR308" s="585"/>
      <c r="AS308" s="585"/>
      <c r="AT308" s="585"/>
      <c r="AU308" s="497"/>
      <c r="AV308" s="496"/>
      <c r="AW308" s="585"/>
      <c r="AX308" s="585"/>
      <c r="AY308" s="585"/>
      <c r="AZ308" s="497"/>
      <c r="BA308" s="580"/>
      <c r="BB308" s="580"/>
      <c r="BC308" s="580"/>
      <c r="BD308" s="580"/>
      <c r="BE308" s="580"/>
      <c r="BF308" s="580"/>
      <c r="BG308" s="579"/>
    </row>
    <row r="309" spans="2:59">
      <c r="B309" s="534" t="s">
        <v>593</v>
      </c>
      <c r="C309" s="535" t="s">
        <v>66</v>
      </c>
      <c r="D309" s="535" t="s">
        <v>59</v>
      </c>
      <c r="E309" s="535" t="s">
        <v>649</v>
      </c>
      <c r="F309" s="535" t="s">
        <v>673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P309" s="494" t="str">
        <f ca="1">IF('CDO Bespoke'!C334&lt;&gt;"",'CDO Bespoke'!C334,"")</f>
        <v/>
      </c>
      <c r="AQ309" s="496"/>
      <c r="AR309" s="585"/>
      <c r="AS309" s="585"/>
      <c r="AT309" s="585"/>
      <c r="AU309" s="497"/>
      <c r="AV309" s="496"/>
      <c r="AW309" s="585"/>
      <c r="AX309" s="585"/>
      <c r="AY309" s="585"/>
      <c r="AZ309" s="497"/>
      <c r="BA309" s="580"/>
      <c r="BB309" s="580"/>
      <c r="BC309" s="580"/>
      <c r="BD309" s="580"/>
      <c r="BE309" s="580"/>
      <c r="BF309" s="580"/>
      <c r="BG309" s="579"/>
    </row>
    <row r="310" spans="2:59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P310" s="494" t="str">
        <f ca="1">IF('CDO Bespoke'!C335&lt;&gt;"",'CDO Bespoke'!C335,"")</f>
        <v/>
      </c>
      <c r="AQ310" s="496"/>
      <c r="AR310" s="585"/>
      <c r="AS310" s="585"/>
      <c r="AT310" s="585"/>
      <c r="AU310" s="497"/>
      <c r="AV310" s="496"/>
      <c r="AW310" s="585"/>
      <c r="AX310" s="585"/>
      <c r="AY310" s="585"/>
      <c r="AZ310" s="497"/>
      <c r="BA310" s="580"/>
      <c r="BB310" s="580"/>
      <c r="BC310" s="580"/>
      <c r="BD310" s="580"/>
      <c r="BE310" s="580"/>
      <c r="BF310" s="580"/>
      <c r="BG310" s="579"/>
    </row>
    <row r="311" spans="2:59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P311" s="494" t="str">
        <f ca="1">IF('CDO Bespoke'!C336&lt;&gt;"",'CDO Bespoke'!C336,"")</f>
        <v/>
      </c>
      <c r="AQ311" s="496"/>
      <c r="AR311" s="585"/>
      <c r="AS311" s="585"/>
      <c r="AT311" s="585"/>
      <c r="AU311" s="497"/>
      <c r="AV311" s="496"/>
      <c r="AW311" s="585"/>
      <c r="AX311" s="585"/>
      <c r="AY311" s="585"/>
      <c r="AZ311" s="497"/>
      <c r="BA311" s="580"/>
      <c r="BB311" s="580"/>
      <c r="BC311" s="580"/>
      <c r="BD311" s="580"/>
      <c r="BE311" s="580"/>
      <c r="BF311" s="580"/>
      <c r="BG311" s="579"/>
    </row>
    <row r="312" spans="2:59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P312" s="494" t="str">
        <f ca="1">IF('CDO Bespoke'!C337&lt;&gt;"",'CDO Bespoke'!C337,"")</f>
        <v/>
      </c>
      <c r="AQ312" s="496"/>
      <c r="AR312" s="585"/>
      <c r="AS312" s="585"/>
      <c r="AT312" s="585"/>
      <c r="AU312" s="497"/>
      <c r="AV312" s="496"/>
      <c r="AW312" s="585"/>
      <c r="AX312" s="585"/>
      <c r="AY312" s="585"/>
      <c r="AZ312" s="497"/>
      <c r="BA312" s="580"/>
      <c r="BB312" s="580"/>
      <c r="BC312" s="580"/>
      <c r="BD312" s="580"/>
      <c r="BE312" s="580"/>
      <c r="BF312" s="580"/>
      <c r="BG312" s="579"/>
    </row>
    <row r="313" spans="2:59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P313" s="495" t="str">
        <f ca="1">IF('CDO Bespoke'!C338&lt;&gt;"",'CDO Bespoke'!C338,"")</f>
        <v/>
      </c>
      <c r="AQ313" s="498"/>
      <c r="AR313" s="499"/>
      <c r="AS313" s="499"/>
      <c r="AT313" s="499"/>
      <c r="AU313" s="500"/>
      <c r="AV313" s="498"/>
      <c r="AW313" s="499"/>
      <c r="AX313" s="499"/>
      <c r="AY313" s="499"/>
      <c r="AZ313" s="500"/>
      <c r="BA313" s="580"/>
      <c r="BB313" s="580"/>
      <c r="BC313" s="580"/>
      <c r="BD313" s="580"/>
      <c r="BE313" s="580"/>
      <c r="BF313" s="580"/>
      <c r="BG313" s="579"/>
    </row>
    <row r="314" spans="2:59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</row>
    <row r="315" spans="2:59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</row>
    <row r="316" spans="2:59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9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9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9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9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28575</xdr:rowOff>
                  </from>
                  <to>
                    <xdr:col>30</xdr:col>
                    <xdr:colOff>352425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62"/>
      <c r="F6" s="662"/>
      <c r="G6" s="662"/>
      <c r="H6" s="662"/>
      <c r="I6" s="662"/>
      <c r="J6" s="662"/>
      <c r="K6" s="662"/>
      <c r="L6" s="662"/>
      <c r="M6" s="662"/>
      <c r="N6" s="662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62"/>
      <c r="P7" s="662"/>
      <c r="Q7" s="662"/>
      <c r="R7" s="662"/>
      <c r="S7" s="662"/>
      <c r="T7" s="662"/>
      <c r="U7" s="662"/>
      <c r="V7" s="662"/>
      <c r="W7" s="662"/>
      <c r="X7" s="662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63" t="s">
        <v>481</v>
      </c>
      <c r="F19" s="663"/>
      <c r="G19" s="663"/>
      <c r="H19" s="663"/>
      <c r="I19" s="663"/>
      <c r="J19" s="663"/>
      <c r="K19" s="663"/>
      <c r="L19" s="663"/>
      <c r="M19" s="663"/>
      <c r="N19" s="664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61" t="s">
        <v>486</v>
      </c>
      <c r="F25" s="661"/>
      <c r="G25" s="661"/>
      <c r="H25" s="661"/>
      <c r="I25" s="661"/>
      <c r="J25" s="661"/>
      <c r="K25" s="661"/>
      <c r="L25" s="661"/>
      <c r="M25" s="661"/>
      <c r="N25" s="660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59" t="s">
        <v>480</v>
      </c>
      <c r="D37" s="660"/>
      <c r="E37" s="661" t="s">
        <v>489</v>
      </c>
      <c r="F37" s="661"/>
      <c r="G37" s="661"/>
      <c r="H37" s="661"/>
      <c r="I37" s="661"/>
      <c r="J37" s="661"/>
      <c r="K37" s="661"/>
      <c r="L37" s="661"/>
      <c r="M37" s="661"/>
      <c r="N37" s="660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62"/>
      <c r="Q41" s="662"/>
      <c r="R41" s="662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59" t="s">
        <v>493</v>
      </c>
      <c r="F44" s="661"/>
      <c r="G44" s="661"/>
      <c r="H44" s="661"/>
      <c r="I44" s="661"/>
      <c r="J44" s="661"/>
      <c r="K44" s="661"/>
      <c r="L44" s="661"/>
      <c r="M44" s="661"/>
      <c r="N44" s="660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2024-09-05T13:55:45Z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