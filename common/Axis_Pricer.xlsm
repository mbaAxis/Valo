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A745491F-4342-4B80-82D8-705DA5817603}" xr6:coauthVersionLast="47" xr6:coauthVersionMax="47" xr10:uidLastSave="{00000000-0000-0000-0000-000000000000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FRTB!$B$24:$J$399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M365" i="6"/>
  <c r="AT365" i="6"/>
  <c r="N366" i="6" a="1"/>
  <c r="N366" i="6"/>
  <c r="AM366" i="6"/>
  <c r="AT366" i="6"/>
  <c r="N367" i="6" a="1"/>
  <c r="N367" i="6"/>
  <c r="AM367" i="6"/>
  <c r="AO367" i="6"/>
  <c r="AP367" i="6"/>
  <c r="AQ367" i="6"/>
  <c r="AT367" i="6"/>
  <c r="AV367" i="6"/>
  <c r="AW367" i="6"/>
  <c r="AX367" i="6"/>
  <c r="N368" i="6" a="1"/>
  <c r="N368" i="6"/>
  <c r="AO368" i="6"/>
  <c r="AP368" i="6"/>
  <c r="AQ368" i="6"/>
  <c r="AV368" i="6"/>
  <c r="AW368" i="6"/>
  <c r="AX368" i="6"/>
  <c r="N369" i="6" a="1"/>
  <c r="N369" i="6"/>
  <c r="AO369" i="6"/>
  <c r="AP369" i="6"/>
  <c r="AQ369" i="6"/>
  <c r="AV369" i="6"/>
  <c r="AW369" i="6"/>
  <c r="AX369" i="6"/>
  <c r="N370" i="6" a="1"/>
  <c r="N370" i="6"/>
  <c r="AO370" i="6"/>
  <c r="AP370" i="6"/>
  <c r="AQ370" i="6"/>
  <c r="AV370" i="6"/>
  <c r="AW370" i="6"/>
  <c r="AX370" i="6"/>
  <c r="N371" i="6" a="1"/>
  <c r="N371" i="6"/>
  <c r="AO371" i="6"/>
  <c r="AP371" i="6"/>
  <c r="AQ371" i="6"/>
  <c r="AV371" i="6"/>
  <c r="AW371" i="6"/>
  <c r="AX371" i="6"/>
  <c r="N372" i="6" a="1"/>
  <c r="N372" i="6"/>
  <c r="AO372" i="6"/>
  <c r="AP372" i="6"/>
  <c r="AQ372" i="6"/>
  <c r="AV372" i="6"/>
  <c r="AW372" i="6"/>
  <c r="AX372" i="6"/>
  <c r="N373" i="6" a="1"/>
  <c r="N373" i="6"/>
  <c r="AO373" i="6"/>
  <c r="AP373" i="6"/>
  <c r="AQ373" i="6"/>
  <c r="AV373" i="6"/>
  <c r="AW373" i="6"/>
  <c r="AX373" i="6"/>
  <c r="N374" i="6" a="1"/>
  <c r="N374" i="6"/>
  <c r="AO374" i="6"/>
  <c r="AP374" i="6"/>
  <c r="AQ374" i="6"/>
  <c r="AV374" i="6"/>
  <c r="AW374" i="6"/>
  <c r="AX374" i="6"/>
  <c r="N375" i="6" a="1"/>
  <c r="N375" i="6"/>
  <c r="AO375" i="6"/>
  <c r="AP375" i="6"/>
  <c r="AQ375" i="6"/>
  <c r="AV375" i="6"/>
  <c r="AW375" i="6"/>
  <c r="AX375" i="6"/>
  <c r="N376" i="6" a="1"/>
  <c r="N376" i="6"/>
  <c r="AO376" i="6"/>
  <c r="AP376" i="6"/>
  <c r="AQ376" i="6"/>
  <c r="AV376" i="6"/>
  <c r="AW376" i="6"/>
  <c r="AX376" i="6"/>
  <c r="N377" i="6" a="1"/>
  <c r="N377" i="6"/>
  <c r="AO377" i="6"/>
  <c r="AP377" i="6"/>
  <c r="AQ377" i="6"/>
  <c r="AV377" i="6"/>
  <c r="AW377" i="6"/>
  <c r="AX377" i="6"/>
  <c r="N378" i="6" a="1"/>
  <c r="N378" i="6"/>
  <c r="AO378" i="6"/>
  <c r="AP378" i="6"/>
  <c r="AQ378" i="6"/>
  <c r="AV378" i="6"/>
  <c r="AW378" i="6"/>
  <c r="AX378" i="6"/>
  <c r="N379" i="6" a="1"/>
  <c r="N379" i="6"/>
  <c r="AO379" i="6"/>
  <c r="AP379" i="6"/>
  <c r="AQ379" i="6"/>
  <c r="AV379" i="6"/>
  <c r="AW379" i="6"/>
  <c r="AX379" i="6"/>
  <c r="N380" i="6" a="1"/>
  <c r="N380" i="6"/>
  <c r="AO380" i="6"/>
  <c r="AP380" i="6"/>
  <c r="AQ380" i="6"/>
  <c r="AV380" i="6"/>
  <c r="AW380" i="6"/>
  <c r="AX380" i="6"/>
  <c r="N381" i="6" a="1"/>
  <c r="N381" i="6"/>
  <c r="AO381" i="6"/>
  <c r="AP381" i="6"/>
  <c r="AQ381" i="6"/>
  <c r="AV381" i="6"/>
  <c r="AW381" i="6"/>
  <c r="AX381" i="6"/>
  <c r="N382" i="6" a="1"/>
  <c r="N382" i="6"/>
  <c r="AO382" i="6"/>
  <c r="AP382" i="6"/>
  <c r="AQ382" i="6"/>
  <c r="AV382" i="6"/>
  <c r="AW382" i="6"/>
  <c r="AX382" i="6"/>
  <c r="N383" i="6" a="1"/>
  <c r="N383" i="6"/>
  <c r="AO383" i="6"/>
  <c r="AP383" i="6"/>
  <c r="AQ383" i="6"/>
  <c r="AV383" i="6"/>
  <c r="AW383" i="6"/>
  <c r="AX383" i="6"/>
  <c r="N384" i="6" a="1"/>
  <c r="N384" i="6"/>
  <c r="AO384" i="6"/>
  <c r="AP384" i="6"/>
  <c r="AQ384" i="6"/>
  <c r="AV384" i="6"/>
  <c r="AW384" i="6"/>
  <c r="AX384" i="6"/>
  <c r="N385" i="6" a="1"/>
  <c r="N385" i="6"/>
  <c r="AO385" i="6"/>
  <c r="AP385" i="6"/>
  <c r="AQ385" i="6"/>
  <c r="AV385" i="6"/>
  <c r="AW385" i="6"/>
  <c r="AX385" i="6"/>
  <c r="N386" i="6" a="1"/>
  <c r="N386" i="6"/>
  <c r="AO386" i="6"/>
  <c r="AP386" i="6"/>
  <c r="AQ386" i="6"/>
  <c r="AV386" i="6"/>
  <c r="AW386" i="6"/>
  <c r="AX386" i="6"/>
  <c r="N387" i="6" a="1"/>
  <c r="N387" i="6"/>
  <c r="AO387" i="6"/>
  <c r="AP387" i="6"/>
  <c r="AQ387" i="6"/>
  <c r="AV387" i="6"/>
  <c r="AW387" i="6"/>
  <c r="AX387" i="6"/>
  <c r="N388" i="6" a="1"/>
  <c r="N388" i="6"/>
  <c r="AO388" i="6"/>
  <c r="AP388" i="6"/>
  <c r="AQ388" i="6"/>
  <c r="AV388" i="6"/>
  <c r="AW388" i="6"/>
  <c r="AX388" i="6"/>
  <c r="N389" i="6" a="1"/>
  <c r="N389" i="6"/>
  <c r="AO389" i="6"/>
  <c r="AP389" i="6"/>
  <c r="AQ389" i="6"/>
  <c r="AV389" i="6"/>
  <c r="AW389" i="6"/>
  <c r="AX389" i="6"/>
  <c r="N390" i="6" a="1"/>
  <c r="N390" i="6"/>
  <c r="AO390" i="6"/>
  <c r="AP390" i="6"/>
  <c r="AQ390" i="6"/>
  <c r="AV390" i="6"/>
  <c r="AW390" i="6"/>
  <c r="AX390" i="6"/>
  <c r="N391" i="6" a="1"/>
  <c r="N391" i="6"/>
  <c r="AO391" i="6"/>
  <c r="AP391" i="6"/>
  <c r="AQ391" i="6"/>
  <c r="AV391" i="6"/>
  <c r="AW391" i="6"/>
  <c r="AX391" i="6"/>
  <c r="N392" i="6" a="1"/>
  <c r="N392" i="6"/>
  <c r="AO392" i="6"/>
  <c r="AP392" i="6"/>
  <c r="AQ392" i="6"/>
  <c r="AV392" i="6"/>
  <c r="AW392" i="6"/>
  <c r="AX392" i="6"/>
  <c r="N393" i="6" a="1"/>
  <c r="N393" i="6"/>
  <c r="AO393" i="6"/>
  <c r="AP393" i="6"/>
  <c r="AQ393" i="6"/>
  <c r="AV393" i="6"/>
  <c r="AW393" i="6"/>
  <c r="AX393" i="6"/>
  <c r="N394" i="6" a="1"/>
  <c r="N394" i="6"/>
  <c r="AO394" i="6"/>
  <c r="AP394" i="6"/>
  <c r="AQ394" i="6"/>
  <c r="AV394" i="6"/>
  <c r="AW394" i="6"/>
  <c r="AX394" i="6"/>
  <c r="N395" i="6" a="1"/>
  <c r="N395" i="6"/>
  <c r="AO395" i="6"/>
  <c r="AP395" i="6"/>
  <c r="AQ395" i="6"/>
  <c r="AV395" i="6"/>
  <c r="AW395" i="6"/>
  <c r="AX395" i="6"/>
  <c r="N396" i="6" a="1"/>
  <c r="N396" i="6"/>
  <c r="AO396" i="6"/>
  <c r="AP396" i="6"/>
  <c r="AQ396" i="6"/>
  <c r="AV396" i="6"/>
  <c r="AW396" i="6"/>
  <c r="AX396" i="6"/>
  <c r="N397" i="6" a="1"/>
  <c r="N397" i="6"/>
  <c r="AO397" i="6"/>
  <c r="AP397" i="6"/>
  <c r="AQ397" i="6"/>
  <c r="AV397" i="6"/>
  <c r="AW397" i="6"/>
  <c r="AX397" i="6"/>
  <c r="N398" i="6" a="1"/>
  <c r="N398" i="6"/>
  <c r="AO398" i="6"/>
  <c r="AP398" i="6"/>
  <c r="AQ398" i="6"/>
  <c r="AV398" i="6"/>
  <c r="AW398" i="6"/>
  <c r="AX398" i="6"/>
  <c r="N399" i="6" a="1"/>
  <c r="N399" i="6"/>
  <c r="AO399" i="6"/>
  <c r="AP399" i="6"/>
  <c r="AQ399" i="6"/>
  <c r="AV399" i="6"/>
  <c r="AW399" i="6"/>
  <c r="AX399" i="6"/>
  <c r="N400" i="6" a="1"/>
  <c r="N400" i="6"/>
  <c r="AO400" i="6"/>
  <c r="AP400" i="6"/>
  <c r="AQ400" i="6"/>
  <c r="AV400" i="6"/>
  <c r="AW400" i="6"/>
  <c r="AX400" i="6"/>
  <c r="N401" i="6" a="1"/>
  <c r="N401" i="6"/>
  <c r="AO401" i="6"/>
  <c r="AP401" i="6"/>
  <c r="AQ401" i="6"/>
  <c r="AV401" i="6"/>
  <c r="AW401" i="6"/>
  <c r="AX401" i="6"/>
  <c r="N402" i="6" a="1"/>
  <c r="N402" i="6"/>
  <c r="AO402" i="6"/>
  <c r="AP402" i="6"/>
  <c r="AQ402" i="6"/>
  <c r="AV402" i="6"/>
  <c r="AW402" i="6"/>
  <c r="AX402" i="6"/>
  <c r="N403" i="6" a="1"/>
  <c r="N403" i="6"/>
  <c r="AO403" i="6"/>
  <c r="AP403" i="6"/>
  <c r="AQ403" i="6"/>
  <c r="AV403" i="6"/>
  <c r="AW403" i="6"/>
  <c r="AX403" i="6"/>
  <c r="N404" i="6" a="1"/>
  <c r="N404" i="6"/>
  <c r="AO404" i="6"/>
  <c r="AP404" i="6"/>
  <c r="AQ404" i="6"/>
  <c r="AV404" i="6"/>
  <c r="AW404" i="6"/>
  <c r="AX404" i="6"/>
  <c r="N405" i="6" a="1"/>
  <c r="N405" i="6"/>
  <c r="AO405" i="6"/>
  <c r="AP405" i="6"/>
  <c r="AQ405" i="6"/>
  <c r="AV405" i="6"/>
  <c r="AW405" i="6"/>
  <c r="AX405" i="6"/>
  <c r="N406" i="6" a="1"/>
  <c r="N406" i="6"/>
  <c r="AO406" i="6"/>
  <c r="AP406" i="6"/>
  <c r="AQ406" i="6"/>
  <c r="AV406" i="6"/>
  <c r="AW406" i="6"/>
  <c r="AX406" i="6"/>
  <c r="N407" i="6" a="1"/>
  <c r="N407" i="6"/>
  <c r="AO407" i="6"/>
  <c r="AP407" i="6"/>
  <c r="AQ407" i="6"/>
  <c r="AV407" i="6"/>
  <c r="AW407" i="6"/>
  <c r="AX407" i="6"/>
  <c r="N408" i="6" a="1"/>
  <c r="N408" i="6"/>
  <c r="AO408" i="6"/>
  <c r="AP408" i="6"/>
  <c r="AQ408" i="6"/>
  <c r="AV408" i="6"/>
  <c r="AW408" i="6"/>
  <c r="AX408" i="6"/>
  <c r="N409" i="6" a="1"/>
  <c r="N409" i="6"/>
  <c r="AO409" i="6"/>
  <c r="AP409" i="6"/>
  <c r="AQ409" i="6"/>
  <c r="AV409" i="6"/>
  <c r="AW409" i="6"/>
  <c r="AX409" i="6"/>
  <c r="N410" i="6" a="1"/>
  <c r="N410" i="6"/>
  <c r="AO410" i="6"/>
  <c r="AP410" i="6"/>
  <c r="AQ410" i="6"/>
  <c r="AV410" i="6"/>
  <c r="AW410" i="6"/>
  <c r="AX410" i="6"/>
  <c r="N411" i="6" a="1"/>
  <c r="N411" i="6"/>
  <c r="AO411" i="6"/>
  <c r="AP411" i="6"/>
  <c r="AQ411" i="6"/>
  <c r="AV411" i="6"/>
  <c r="AW411" i="6"/>
  <c r="AX411" i="6"/>
  <c r="N412" i="6" a="1"/>
  <c r="N412" i="6"/>
  <c r="AO412" i="6"/>
  <c r="AP412" i="6"/>
  <c r="AQ412" i="6"/>
  <c r="AV412" i="6"/>
  <c r="AW412" i="6"/>
  <c r="AX412" i="6"/>
  <c r="N413" i="6" a="1"/>
  <c r="N413" i="6"/>
  <c r="AO413" i="6"/>
  <c r="AP413" i="6"/>
  <c r="AQ413" i="6"/>
  <c r="AV413" i="6"/>
  <c r="AW413" i="6"/>
  <c r="AX413" i="6"/>
  <c r="N414" i="6" a="1"/>
  <c r="N414" i="6"/>
  <c r="AO414" i="6"/>
  <c r="AP414" i="6"/>
  <c r="AQ414" i="6"/>
  <c r="AV414" i="6"/>
  <c r="AW414" i="6"/>
  <c r="AX414" i="6"/>
  <c r="N415" i="6" a="1"/>
  <c r="N415" i="6"/>
  <c r="AO415" i="6"/>
  <c r="AP415" i="6"/>
  <c r="AQ415" i="6"/>
  <c r="AV415" i="6"/>
  <c r="AW415" i="6"/>
  <c r="AX415" i="6"/>
  <c r="N416" i="6" a="1"/>
  <c r="N416" i="6"/>
  <c r="AO416" i="6"/>
  <c r="AP416" i="6"/>
  <c r="AQ416" i="6"/>
  <c r="AV416" i="6"/>
  <c r="AW416" i="6"/>
  <c r="AX416" i="6"/>
  <c r="N417" i="6" a="1"/>
  <c r="N417" i="6"/>
  <c r="AO417" i="6"/>
  <c r="AP417" i="6"/>
  <c r="AQ417" i="6"/>
  <c r="AV417" i="6"/>
  <c r="AW417" i="6"/>
  <c r="AX417" i="6"/>
  <c r="N418" i="6" a="1"/>
  <c r="N418" i="6"/>
  <c r="AO418" i="6"/>
  <c r="AP418" i="6"/>
  <c r="AQ418" i="6"/>
  <c r="AV418" i="6"/>
  <c r="AW418" i="6"/>
  <c r="AX418" i="6"/>
  <c r="N419" i="6" a="1"/>
  <c r="N419" i="6"/>
  <c r="AO419" i="6"/>
  <c r="AP419" i="6"/>
  <c r="AQ419" i="6"/>
  <c r="AV419" i="6"/>
  <c r="AW419" i="6"/>
  <c r="AX419" i="6"/>
  <c r="N420" i="6" a="1"/>
  <c r="N420" i="6"/>
  <c r="AO420" i="6"/>
  <c r="AP420" i="6"/>
  <c r="AQ420" i="6"/>
  <c r="AV420" i="6"/>
  <c r="AW420" i="6"/>
  <c r="AX420" i="6"/>
  <c r="N421" i="6" a="1"/>
  <c r="N421" i="6"/>
  <c r="AO421" i="6"/>
  <c r="AP421" i="6"/>
  <c r="AQ421" i="6"/>
  <c r="AV421" i="6"/>
  <c r="AW421" i="6"/>
  <c r="AX421" i="6"/>
  <c r="N422" i="6" a="1"/>
  <c r="N422" i="6"/>
  <c r="AO422" i="6"/>
  <c r="AP422" i="6"/>
  <c r="AQ422" i="6"/>
  <c r="AV422" i="6"/>
  <c r="AW422" i="6"/>
  <c r="AX422" i="6"/>
  <c r="N423" i="6" a="1"/>
  <c r="N423" i="6"/>
  <c r="AO423" i="6"/>
  <c r="AP423" i="6"/>
  <c r="AQ423" i="6"/>
  <c r="AV423" i="6"/>
  <c r="AW423" i="6"/>
  <c r="AX423" i="6"/>
  <c r="N424" i="6" a="1"/>
  <c r="N424" i="6"/>
  <c r="AO424" i="6"/>
  <c r="AP424" i="6"/>
  <c r="AQ424" i="6"/>
  <c r="AV424" i="6"/>
  <c r="AW424" i="6"/>
  <c r="AX424" i="6"/>
  <c r="N425" i="6" a="1"/>
  <c r="N425" i="6"/>
  <c r="AO425" i="6"/>
  <c r="AP425" i="6"/>
  <c r="AQ425" i="6"/>
  <c r="AV425" i="6"/>
  <c r="AW425" i="6"/>
  <c r="AX425" i="6"/>
  <c r="N426" i="6" a="1"/>
  <c r="N426" i="6"/>
  <c r="AO426" i="6"/>
  <c r="AP426" i="6"/>
  <c r="AQ426" i="6"/>
  <c r="AV426" i="6"/>
  <c r="AW426" i="6"/>
  <c r="AX426" i="6"/>
  <c r="N427" i="6" a="1"/>
  <c r="N427" i="6"/>
  <c r="AO427" i="6"/>
  <c r="AP427" i="6"/>
  <c r="AQ427" i="6"/>
  <c r="AV427" i="6"/>
  <c r="AW427" i="6"/>
  <c r="AX427" i="6"/>
  <c r="N428" i="6" a="1"/>
  <c r="N428" i="6"/>
  <c r="AO428" i="6"/>
  <c r="AP428" i="6"/>
  <c r="AQ428" i="6"/>
  <c r="AV428" i="6"/>
  <c r="AW428" i="6"/>
  <c r="AX428" i="6"/>
  <c r="N429" i="6" a="1"/>
  <c r="N429" i="6"/>
  <c r="AO429" i="6"/>
  <c r="AP429" i="6"/>
  <c r="AQ429" i="6"/>
  <c r="AV429" i="6"/>
  <c r="AW429" i="6"/>
  <c r="AX429" i="6"/>
  <c r="N430" i="6" a="1"/>
  <c r="N430" i="6"/>
  <c r="AO430" i="6"/>
  <c r="AP430" i="6"/>
  <c r="AQ430" i="6"/>
  <c r="AV430" i="6"/>
  <c r="AW430" i="6"/>
  <c r="AX430" i="6"/>
  <c r="N431" i="6" a="1"/>
  <c r="N431" i="6"/>
  <c r="AO431" i="6"/>
  <c r="AP431" i="6"/>
  <c r="AQ431" i="6"/>
  <c r="AV431" i="6"/>
  <c r="AW431" i="6"/>
  <c r="AX431" i="6"/>
  <c r="N432" i="6" a="1"/>
  <c r="N432" i="6"/>
  <c r="AO432" i="6"/>
  <c r="AP432" i="6"/>
  <c r="AQ432" i="6"/>
  <c r="AV432" i="6"/>
  <c r="AW432" i="6"/>
  <c r="AX432" i="6"/>
  <c r="N433" i="6" a="1"/>
  <c r="N433" i="6"/>
  <c r="AO433" i="6"/>
  <c r="AP433" i="6"/>
  <c r="AQ433" i="6"/>
  <c r="AV433" i="6"/>
  <c r="AW433" i="6"/>
  <c r="AX433" i="6"/>
  <c r="N434" i="6" a="1"/>
  <c r="N434" i="6"/>
  <c r="AO434" i="6"/>
  <c r="AP434" i="6"/>
  <c r="AQ434" i="6"/>
  <c r="AV434" i="6"/>
  <c r="AW434" i="6"/>
  <c r="AX434" i="6"/>
  <c r="N435" i="6" a="1"/>
  <c r="N435" i="6"/>
  <c r="AO435" i="6"/>
  <c r="AP435" i="6"/>
  <c r="AQ435" i="6"/>
  <c r="AV435" i="6"/>
  <c r="AW435" i="6"/>
  <c r="AX435" i="6"/>
  <c r="N436" i="6" a="1"/>
  <c r="N436" i="6"/>
  <c r="AO436" i="6"/>
  <c r="AP436" i="6"/>
  <c r="AQ436" i="6"/>
  <c r="AV436" i="6"/>
  <c r="AW436" i="6"/>
  <c r="AX436" i="6"/>
  <c r="N437" i="6" a="1"/>
  <c r="N437" i="6"/>
  <c r="AO437" i="6"/>
  <c r="AP437" i="6"/>
  <c r="AQ437" i="6"/>
  <c r="AV437" i="6"/>
  <c r="AW437" i="6"/>
  <c r="AX437" i="6"/>
  <c r="N438" i="6" a="1"/>
  <c r="N438" i="6"/>
  <c r="AO438" i="6"/>
  <c r="AP438" i="6"/>
  <c r="AQ438" i="6"/>
  <c r="AV438" i="6"/>
  <c r="AW438" i="6"/>
  <c r="AX438" i="6"/>
  <c r="N439" i="6" a="1"/>
  <c r="N439" i="6"/>
  <c r="AO439" i="6"/>
  <c r="AP439" i="6"/>
  <c r="AQ439" i="6"/>
  <c r="AV439" i="6"/>
  <c r="AW439" i="6"/>
  <c r="AX439" i="6"/>
  <c r="N440" i="6" a="1"/>
  <c r="N440" i="6"/>
  <c r="AO440" i="6"/>
  <c r="AP440" i="6"/>
  <c r="AQ440" i="6"/>
  <c r="AV440" i="6"/>
  <c r="AW440" i="6"/>
  <c r="AX440" i="6"/>
  <c r="N441" i="6" a="1"/>
  <c r="N441" i="6"/>
  <c r="AO441" i="6"/>
  <c r="AP441" i="6"/>
  <c r="AQ441" i="6"/>
  <c r="AV441" i="6"/>
  <c r="AW441" i="6"/>
  <c r="AX441" i="6"/>
  <c r="N442" i="6" a="1"/>
  <c r="N442" i="6"/>
  <c r="AO442" i="6"/>
  <c r="AP442" i="6"/>
  <c r="AQ442" i="6"/>
  <c r="AV442" i="6"/>
  <c r="AW442" i="6"/>
  <c r="AX442" i="6"/>
  <c r="N443" i="6" a="1"/>
  <c r="N443" i="6"/>
  <c r="AO443" i="6"/>
  <c r="AP443" i="6"/>
  <c r="AQ443" i="6"/>
  <c r="AV443" i="6"/>
  <c r="AW443" i="6"/>
  <c r="AX443" i="6"/>
  <c r="N444" i="6" a="1"/>
  <c r="N444" i="6"/>
  <c r="AO444" i="6"/>
  <c r="AP444" i="6"/>
  <c r="AQ444" i="6"/>
  <c r="AV444" i="6"/>
  <c r="AW444" i="6"/>
  <c r="AX444" i="6"/>
  <c r="N445" i="6" a="1"/>
  <c r="N445" i="6"/>
  <c r="AO445" i="6"/>
  <c r="AP445" i="6"/>
  <c r="AQ445" i="6"/>
  <c r="AV445" i="6"/>
  <c r="AW445" i="6"/>
  <c r="AX445" i="6"/>
  <c r="N446" i="6" a="1"/>
  <c r="N446" i="6"/>
  <c r="AO446" i="6"/>
  <c r="AP446" i="6"/>
  <c r="AQ446" i="6"/>
  <c r="AV446" i="6"/>
  <c r="AW446" i="6"/>
  <c r="AX446" i="6"/>
  <c r="N447" i="6" a="1"/>
  <c r="N447" i="6"/>
  <c r="AO447" i="6"/>
  <c r="AP447" i="6"/>
  <c r="AQ447" i="6"/>
  <c r="AV447" i="6"/>
  <c r="AW447" i="6"/>
  <c r="AX447" i="6"/>
  <c r="N448" i="6" a="1"/>
  <c r="N448" i="6"/>
  <c r="AO448" i="6"/>
  <c r="AP448" i="6"/>
  <c r="AQ448" i="6"/>
  <c r="AV448" i="6"/>
  <c r="AW448" i="6"/>
  <c r="AX448" i="6"/>
  <c r="N449" i="6" a="1"/>
  <c r="N449" i="6"/>
  <c r="AO449" i="6"/>
  <c r="AP449" i="6"/>
  <c r="AQ449" i="6"/>
  <c r="AV449" i="6"/>
  <c r="AW449" i="6"/>
  <c r="AX449" i="6"/>
  <c r="N450" i="6" a="1"/>
  <c r="N450" i="6"/>
  <c r="AO450" i="6"/>
  <c r="AP450" i="6"/>
  <c r="AQ450" i="6"/>
  <c r="AV450" i="6"/>
  <c r="AW450" i="6"/>
  <c r="AX450" i="6"/>
  <c r="N451" i="6" a="1"/>
  <c r="N451" i="6"/>
  <c r="AO451" i="6"/>
  <c r="AP451" i="6"/>
  <c r="AQ451" i="6"/>
  <c r="AV451" i="6"/>
  <c r="AW451" i="6"/>
  <c r="AX451" i="6"/>
  <c r="N452" i="6" a="1"/>
  <c r="N452" i="6"/>
  <c r="AO452" i="6"/>
  <c r="AP452" i="6"/>
  <c r="AQ452" i="6"/>
  <c r="AV452" i="6"/>
  <c r="AW452" i="6"/>
  <c r="AX452" i="6"/>
  <c r="N453" i="6" a="1"/>
  <c r="N453" i="6"/>
  <c r="AO453" i="6"/>
  <c r="AP453" i="6"/>
  <c r="AQ453" i="6"/>
  <c r="AV453" i="6"/>
  <c r="AW453" i="6"/>
  <c r="AX453" i="6"/>
  <c r="N454" i="6" a="1"/>
  <c r="N454" i="6"/>
  <c r="AO454" i="6"/>
  <c r="AP454" i="6"/>
  <c r="AQ454" i="6"/>
  <c r="AV454" i="6"/>
  <c r="AW454" i="6"/>
  <c r="AX454" i="6"/>
  <c r="N455" i="6" a="1"/>
  <c r="N455" i="6"/>
  <c r="AO455" i="6"/>
  <c r="AP455" i="6"/>
  <c r="AQ455" i="6"/>
  <c r="AV455" i="6"/>
  <c r="AW455" i="6"/>
  <c r="AX455" i="6"/>
  <c r="N456" i="6" a="1"/>
  <c r="N456" i="6"/>
  <c r="AO456" i="6"/>
  <c r="AP456" i="6"/>
  <c r="AQ456" i="6"/>
  <c r="AV456" i="6"/>
  <c r="AW456" i="6"/>
  <c r="AX456" i="6"/>
  <c r="AO457" i="6"/>
  <c r="AP457" i="6"/>
  <c r="AQ457" i="6"/>
  <c r="AV457" i="6"/>
  <c r="AW457" i="6"/>
  <c r="AX457" i="6"/>
  <c r="AO458" i="6"/>
  <c r="AP458" i="6"/>
  <c r="AQ458" i="6"/>
  <c r="AV458" i="6"/>
  <c r="AW458" i="6"/>
  <c r="AX458" i="6"/>
  <c r="AO459" i="6"/>
  <c r="AP459" i="6"/>
  <c r="AQ459" i="6"/>
  <c r="AV459" i="6"/>
  <c r="AW459" i="6"/>
  <c r="AX459" i="6"/>
  <c r="AO460" i="6"/>
  <c r="AP460" i="6"/>
  <c r="AQ460" i="6"/>
  <c r="AV460" i="6"/>
  <c r="AW460" i="6"/>
  <c r="AX460" i="6"/>
  <c r="AO461" i="6"/>
  <c r="AP461" i="6"/>
  <c r="AQ461" i="6"/>
  <c r="AV461" i="6"/>
  <c r="AW461" i="6"/>
  <c r="AX461" i="6"/>
  <c r="T15" i="11" a="1"/>
  <c r="T15" i="11"/>
  <c r="AC14" i="16" a="1"/>
  <c r="AC14" i="16"/>
  <c r="AC12" i="16" a="1"/>
  <c r="AC12" i="16"/>
  <c r="Z10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M14" i="16"/>
  <c r="N14" i="16"/>
  <c r="O14" i="16"/>
  <c r="M15" i="16"/>
  <c r="N15" i="16"/>
  <c r="O15" i="16"/>
  <c r="M16" i="16"/>
  <c r="N16" i="16"/>
  <c r="O16" i="16"/>
  <c r="M17" i="16"/>
  <c r="N17" i="16"/>
  <c r="O17" i="16"/>
  <c r="M18" i="16"/>
  <c r="N18" i="16"/>
  <c r="O18" i="16"/>
  <c r="M19" i="16"/>
  <c r="N19" i="16"/>
  <c r="O19" i="16"/>
  <c r="M20" i="16"/>
  <c r="N20" i="16"/>
  <c r="O20" i="16"/>
  <c r="M21" i="16"/>
  <c r="N21" i="16"/>
  <c r="O21" i="16"/>
  <c r="M22" i="16"/>
  <c r="N22" i="16"/>
  <c r="O22" i="16"/>
  <c r="M23" i="16"/>
  <c r="N23" i="16"/>
  <c r="O23" i="16"/>
  <c r="M24" i="16"/>
  <c r="N24" i="16"/>
  <c r="O24" i="16"/>
  <c r="M25" i="16"/>
  <c r="N25" i="16"/>
  <c r="O25" i="16"/>
  <c r="M26" i="16"/>
  <c r="N26" i="16"/>
  <c r="O26" i="16"/>
  <c r="M27" i="16"/>
  <c r="N27" i="16"/>
  <c r="O27" i="16"/>
  <c r="M28" i="16"/>
  <c r="N28" i="16"/>
  <c r="O28" i="16"/>
  <c r="M29" i="16"/>
  <c r="N29" i="16"/>
  <c r="O29" i="16"/>
  <c r="M30" i="16"/>
  <c r="N30" i="16"/>
  <c r="O30" i="16"/>
  <c r="M31" i="16"/>
  <c r="N31" i="16"/>
  <c r="O31" i="16"/>
  <c r="M32" i="16"/>
  <c r="N32" i="16"/>
  <c r="O32" i="16"/>
  <c r="M33" i="16"/>
  <c r="N33" i="16"/>
  <c r="O33" i="16"/>
  <c r="M34" i="16"/>
  <c r="N34" i="16"/>
  <c r="O34" i="16"/>
  <c r="M35" i="16"/>
  <c r="N35" i="16"/>
  <c r="O35" i="16"/>
  <c r="M36" i="16"/>
  <c r="N36" i="16"/>
  <c r="O36" i="16"/>
  <c r="M37" i="16"/>
  <c r="N37" i="16"/>
  <c r="O37" i="16"/>
  <c r="M38" i="16"/>
  <c r="N38" i="16"/>
  <c r="O38" i="16"/>
  <c r="M39" i="16"/>
  <c r="N39" i="16"/>
  <c r="O39" i="16"/>
  <c r="M40" i="16"/>
  <c r="N40" i="16"/>
  <c r="O40" i="16"/>
  <c r="M41" i="16"/>
  <c r="N41" i="16"/>
  <c r="O41" i="16"/>
  <c r="M42" i="16"/>
  <c r="N42" i="16"/>
  <c r="O42" i="16"/>
  <c r="M43" i="16"/>
  <c r="N43" i="16"/>
  <c r="O43" i="16"/>
  <c r="M44" i="16"/>
  <c r="N44" i="16"/>
  <c r="O44" i="16"/>
  <c r="M45" i="16"/>
  <c r="N45" i="16"/>
  <c r="O45" i="16"/>
  <c r="M46" i="16"/>
  <c r="N46" i="16"/>
  <c r="O46" i="16"/>
  <c r="M47" i="16"/>
  <c r="N47" i="16"/>
  <c r="O47" i="16"/>
  <c r="M48" i="16"/>
  <c r="N48" i="16"/>
  <c r="O48" i="16"/>
  <c r="M49" i="16"/>
  <c r="N49" i="16"/>
  <c r="O49" i="16"/>
  <c r="M50" i="16"/>
  <c r="N50" i="16"/>
  <c r="O50" i="16"/>
  <c r="M51" i="16"/>
  <c r="N51" i="16"/>
  <c r="O51" i="16"/>
  <c r="M52" i="16"/>
  <c r="N52" i="16"/>
  <c r="O52" i="16"/>
  <c r="M53" i="16"/>
  <c r="N53" i="16"/>
  <c r="O53" i="16"/>
  <c r="M54" i="16"/>
  <c r="N54" i="16"/>
  <c r="O54" i="16"/>
  <c r="M55" i="16"/>
  <c r="N55" i="16"/>
  <c r="O55" i="16"/>
  <c r="M56" i="16"/>
  <c r="N56" i="16"/>
  <c r="O56" i="16"/>
  <c r="M57" i="16"/>
  <c r="N57" i="16"/>
  <c r="O57" i="16"/>
  <c r="M58" i="16"/>
  <c r="N58" i="16"/>
  <c r="O58" i="16"/>
  <c r="M59" i="16"/>
  <c r="N59" i="16"/>
  <c r="O59" i="16"/>
  <c r="M60" i="16"/>
  <c r="N60" i="16"/>
  <c r="O60" i="16"/>
  <c r="M61" i="16"/>
  <c r="N61" i="16"/>
  <c r="O61" i="16"/>
  <c r="M62" i="16"/>
  <c r="N62" i="16"/>
  <c r="O62" i="16"/>
  <c r="M63" i="16"/>
  <c r="N63" i="16"/>
  <c r="O63" i="16"/>
  <c r="M64" i="16"/>
  <c r="N64" i="16"/>
  <c r="O64" i="16"/>
  <c r="M65" i="16"/>
  <c r="N65" i="16"/>
  <c r="O65" i="16"/>
  <c r="M66" i="16"/>
  <c r="N66" i="16"/>
  <c r="O66" i="16"/>
  <c r="M67" i="16"/>
  <c r="N67" i="16"/>
  <c r="O67" i="16"/>
  <c r="M68" i="16"/>
  <c r="N68" i="16"/>
  <c r="O68" i="16"/>
  <c r="M69" i="16"/>
  <c r="N69" i="16"/>
  <c r="O69" i="16"/>
  <c r="M70" i="16"/>
  <c r="N70" i="16"/>
  <c r="O70" i="16"/>
  <c r="M71" i="16"/>
  <c r="N71" i="16"/>
  <c r="O71" i="16"/>
  <c r="M72" i="16"/>
  <c r="N72" i="16"/>
  <c r="O72" i="16"/>
  <c r="M73" i="16"/>
  <c r="N73" i="16"/>
  <c r="O73" i="16"/>
  <c r="M74" i="16"/>
  <c r="N74" i="16"/>
  <c r="O74" i="16"/>
  <c r="M75" i="16"/>
  <c r="N75" i="16"/>
  <c r="O75" i="16"/>
  <c r="M76" i="16"/>
  <c r="N76" i="16"/>
  <c r="O76" i="16"/>
  <c r="M77" i="16"/>
  <c r="N77" i="16"/>
  <c r="O77" i="16"/>
  <c r="M78" i="16"/>
  <c r="N78" i="16"/>
  <c r="O78" i="16"/>
  <c r="M79" i="16"/>
  <c r="N79" i="16"/>
  <c r="O79" i="16"/>
  <c r="M80" i="16"/>
  <c r="N80" i="16"/>
  <c r="O80" i="16"/>
  <c r="M81" i="16"/>
  <c r="N81" i="16"/>
  <c r="O81" i="16"/>
  <c r="M82" i="16"/>
  <c r="N82" i="16"/>
  <c r="O82" i="16"/>
  <c r="M83" i="16"/>
  <c r="N83" i="16"/>
  <c r="O83" i="16"/>
  <c r="M84" i="16"/>
  <c r="N84" i="16"/>
  <c r="O84" i="16"/>
  <c r="M85" i="16"/>
  <c r="N85" i="16"/>
  <c r="O85" i="16"/>
  <c r="M86" i="16"/>
  <c r="N86" i="16"/>
  <c r="O86" i="16"/>
  <c r="M87" i="16"/>
  <c r="N87" i="16"/>
  <c r="O87" i="16"/>
  <c r="M88" i="16"/>
  <c r="N88" i="16"/>
  <c r="O88" i="16"/>
  <c r="M89" i="16"/>
  <c r="N89" i="16"/>
  <c r="O89" i="16"/>
  <c r="M90" i="16"/>
  <c r="N90" i="16"/>
  <c r="O90" i="16"/>
  <c r="M91" i="16"/>
  <c r="N91" i="16"/>
  <c r="O91" i="16"/>
  <c r="M92" i="16"/>
  <c r="N92" i="16"/>
  <c r="O92" i="16"/>
  <c r="M93" i="16"/>
  <c r="N93" i="16"/>
  <c r="O93" i="16"/>
  <c r="M94" i="16"/>
  <c r="N94" i="16"/>
  <c r="O94" i="16"/>
  <c r="M95" i="16"/>
  <c r="N95" i="16"/>
  <c r="O95" i="16"/>
  <c r="M96" i="16"/>
  <c r="N96" i="16"/>
  <c r="O96" i="16"/>
  <c r="M97" i="16"/>
  <c r="N97" i="16"/>
  <c r="O97" i="16"/>
  <c r="M98" i="16"/>
  <c r="N98" i="16"/>
  <c r="O98" i="16"/>
  <c r="M99" i="16"/>
  <c r="N99" i="16"/>
  <c r="O99" i="16"/>
  <c r="M100" i="16"/>
  <c r="N100" i="16"/>
  <c r="O100" i="16"/>
  <c r="M101" i="16"/>
  <c r="N101" i="16"/>
  <c r="O101" i="16"/>
  <c r="M102" i="16"/>
  <c r="N102" i="16"/>
  <c r="O102" i="16"/>
  <c r="M103" i="16"/>
  <c r="N103" i="16"/>
  <c r="O103" i="16"/>
  <c r="M104" i="16"/>
  <c r="N104" i="16"/>
  <c r="O104" i="16"/>
  <c r="M105" i="16"/>
  <c r="N105" i="16"/>
  <c r="O105" i="16"/>
  <c r="M106" i="16"/>
  <c r="N106" i="16"/>
  <c r="O106" i="16"/>
  <c r="M107" i="16"/>
  <c r="N107" i="16"/>
  <c r="O107" i="16"/>
  <c r="M108" i="16"/>
  <c r="N108" i="16"/>
  <c r="O108" i="16"/>
  <c r="M109" i="16"/>
  <c r="O109" i="16"/>
  <c r="M110" i="16"/>
  <c r="O110" i="16"/>
  <c r="M111" i="16"/>
  <c r="O111" i="16"/>
  <c r="M112" i="16"/>
  <c r="O112" i="16"/>
  <c r="M113" i="16"/>
  <c r="O113" i="16"/>
  <c r="M114" i="16"/>
  <c r="O114" i="16"/>
  <c r="M115" i="16"/>
  <c r="O115" i="16"/>
  <c r="M116" i="16"/>
  <c r="O116" i="16"/>
  <c r="M117" i="16"/>
  <c r="O117" i="16"/>
  <c r="M118" i="16"/>
  <c r="O118" i="16"/>
  <c r="M119" i="16"/>
  <c r="O119" i="16"/>
  <c r="M120" i="16"/>
  <c r="O120" i="16"/>
  <c r="M121" i="16"/>
  <c r="O121" i="16"/>
  <c r="M122" i="16"/>
  <c r="O122" i="16"/>
  <c r="M123" i="16"/>
  <c r="O123" i="16"/>
  <c r="M124" i="16"/>
  <c r="O124" i="16"/>
  <c r="M125" i="16"/>
  <c r="O125" i="16"/>
  <c r="M126" i="16"/>
  <c r="O126" i="16"/>
  <c r="M127" i="16"/>
  <c r="O127" i="16"/>
  <c r="M128" i="16"/>
  <c r="O128" i="16"/>
  <c r="M129" i="16"/>
  <c r="O129" i="16"/>
  <c r="M130" i="16"/>
  <c r="O130" i="16"/>
  <c r="M131" i="16"/>
  <c r="O131" i="16"/>
  <c r="M132" i="16"/>
  <c r="O132" i="16"/>
  <c r="M133" i="16"/>
  <c r="O133" i="16"/>
  <c r="M134" i="16"/>
  <c r="O134" i="16"/>
  <c r="M135" i="16"/>
  <c r="O135" i="16"/>
  <c r="M136" i="16"/>
  <c r="O136" i="16"/>
  <c r="M137" i="16"/>
  <c r="O137" i="16"/>
  <c r="M138" i="16"/>
  <c r="O138" i="16"/>
  <c r="M139" i="16"/>
  <c r="O139" i="16"/>
  <c r="M140" i="16"/>
  <c r="O140" i="16"/>
  <c r="M141" i="16"/>
  <c r="O141" i="16"/>
  <c r="M142" i="16"/>
  <c r="O142" i="16"/>
  <c r="M143" i="16"/>
  <c r="O143" i="16"/>
  <c r="M144" i="16"/>
  <c r="O144" i="16"/>
  <c r="M145" i="16"/>
  <c r="O145" i="16"/>
  <c r="M146" i="16"/>
  <c r="O146" i="16"/>
  <c r="M147" i="16"/>
  <c r="O147" i="16"/>
  <c r="M148" i="16"/>
  <c r="O148" i="16"/>
  <c r="M149" i="16"/>
  <c r="O149" i="16"/>
  <c r="M150" i="16"/>
  <c r="O150" i="16"/>
  <c r="M151" i="16"/>
  <c r="O151" i="16"/>
  <c r="M152" i="16"/>
  <c r="O152" i="16"/>
  <c r="M153" i="16"/>
  <c r="O153" i="16"/>
  <c r="M154" i="16"/>
  <c r="O154" i="16"/>
  <c r="M155" i="16"/>
  <c r="O155" i="16"/>
  <c r="M156" i="16"/>
  <c r="O156" i="16"/>
  <c r="M157" i="16"/>
  <c r="O157" i="16"/>
  <c r="M158" i="16"/>
  <c r="O158" i="16"/>
  <c r="M159" i="16"/>
  <c r="O159" i="16"/>
  <c r="M160" i="16"/>
  <c r="O160" i="16"/>
  <c r="M161" i="16"/>
  <c r="O161" i="16"/>
  <c r="M162" i="16"/>
  <c r="O162" i="16"/>
  <c r="M163" i="16"/>
  <c r="O163" i="16"/>
  <c r="M164" i="16"/>
  <c r="O164" i="16"/>
  <c r="M165" i="16"/>
  <c r="O165" i="16"/>
  <c r="M166" i="16"/>
  <c r="O166" i="16"/>
  <c r="M167" i="16"/>
  <c r="O167" i="16"/>
  <c r="M168" i="16"/>
  <c r="O168" i="16"/>
  <c r="M169" i="16"/>
  <c r="O169" i="16"/>
  <c r="M170" i="16"/>
  <c r="O170" i="16"/>
  <c r="M171" i="16"/>
  <c r="O171" i="16"/>
  <c r="M172" i="16"/>
  <c r="O172" i="16"/>
  <c r="M173" i="16"/>
  <c r="O173" i="16"/>
  <c r="M174" i="16"/>
  <c r="O174" i="16"/>
  <c r="M175" i="16"/>
  <c r="O175" i="16"/>
  <c r="M176" i="16"/>
  <c r="O176" i="16"/>
  <c r="M177" i="16"/>
  <c r="O177" i="16"/>
  <c r="M178" i="16"/>
  <c r="O178" i="16"/>
  <c r="M179" i="16"/>
  <c r="O179" i="16"/>
  <c r="M180" i="16"/>
  <c r="O180" i="16"/>
  <c r="M181" i="16"/>
  <c r="O181" i="16"/>
  <c r="M182" i="16"/>
  <c r="O182" i="16"/>
  <c r="M183" i="16"/>
  <c r="O183" i="16"/>
  <c r="M184" i="16"/>
  <c r="O184" i="16"/>
  <c r="M185" i="16"/>
  <c r="O185" i="16"/>
  <c r="M186" i="16"/>
  <c r="O186" i="16"/>
  <c r="M187" i="16"/>
  <c r="O187" i="16"/>
  <c r="M188" i="16"/>
  <c r="O188" i="16"/>
  <c r="M189" i="16"/>
  <c r="O189" i="16"/>
  <c r="M190" i="16"/>
  <c r="O190" i="16"/>
  <c r="M191" i="16"/>
  <c r="O191" i="16"/>
  <c r="M192" i="16"/>
  <c r="O192" i="16"/>
  <c r="M193" i="16"/>
  <c r="O193" i="16"/>
  <c r="M194" i="16"/>
  <c r="O194" i="16"/>
  <c r="M195" i="16"/>
  <c r="O195" i="16"/>
  <c r="M196" i="16"/>
  <c r="O196" i="16"/>
  <c r="M197" i="16"/>
  <c r="O197" i="16"/>
  <c r="M198" i="16"/>
  <c r="O198" i="16"/>
  <c r="M199" i="16"/>
  <c r="O199" i="16"/>
  <c r="M200" i="16"/>
  <c r="O200" i="16"/>
  <c r="M201" i="16"/>
  <c r="O201" i="16"/>
  <c r="M202" i="16"/>
  <c r="O202" i="16"/>
  <c r="M203" i="16"/>
  <c r="O203" i="16"/>
  <c r="M204" i="16"/>
  <c r="O204" i="16"/>
  <c r="M205" i="16"/>
  <c r="O205" i="16"/>
  <c r="M206" i="16"/>
  <c r="O206" i="16"/>
  <c r="M207" i="16"/>
  <c r="O207" i="16"/>
  <c r="M208" i="16"/>
  <c r="O208" i="16"/>
  <c r="M209" i="16"/>
  <c r="O209" i="16"/>
  <c r="M210" i="16"/>
  <c r="O210" i="16"/>
  <c r="M211" i="16"/>
  <c r="O211" i="16"/>
  <c r="M212" i="16"/>
  <c r="O212" i="16"/>
  <c r="M213" i="16"/>
  <c r="O213" i="16"/>
  <c r="M214" i="16"/>
  <c r="O214" i="16"/>
  <c r="M215" i="16"/>
  <c r="O215" i="16"/>
  <c r="M216" i="16"/>
  <c r="O216" i="16"/>
  <c r="M217" i="16"/>
  <c r="O217" i="16"/>
  <c r="M218" i="16"/>
  <c r="O218" i="16"/>
  <c r="M219" i="16"/>
  <c r="O219" i="16"/>
  <c r="M220" i="16"/>
  <c r="O220" i="16"/>
  <c r="M221" i="16"/>
  <c r="O221" i="16"/>
  <c r="M222" i="16"/>
  <c r="O222" i="16"/>
  <c r="M223" i="16"/>
  <c r="O223" i="16"/>
  <c r="M224" i="16"/>
  <c r="O224" i="16"/>
  <c r="M225" i="16"/>
  <c r="O225" i="16"/>
  <c r="M226" i="16"/>
  <c r="O226" i="16"/>
  <c r="M227" i="16"/>
  <c r="O227" i="16"/>
  <c r="M228" i="16"/>
  <c r="O228" i="16"/>
  <c r="M229" i="16"/>
  <c r="O229" i="16"/>
  <c r="M230" i="16"/>
  <c r="O230" i="16"/>
  <c r="M231" i="16"/>
  <c r="O231" i="16"/>
  <c r="M232" i="16"/>
  <c r="O232" i="16"/>
  <c r="M233" i="16"/>
  <c r="O233" i="16"/>
  <c r="M234" i="16"/>
  <c r="O234" i="16"/>
  <c r="M235" i="16"/>
  <c r="O235" i="16"/>
  <c r="M236" i="16"/>
  <c r="O236" i="16"/>
  <c r="M237" i="16"/>
  <c r="O237" i="16"/>
  <c r="M238" i="16"/>
  <c r="O238" i="16"/>
  <c r="M239" i="16"/>
  <c r="O239" i="16"/>
  <c r="M240" i="16"/>
  <c r="O240" i="16"/>
  <c r="M241" i="16"/>
  <c r="O241" i="16"/>
  <c r="M242" i="16"/>
  <c r="O242" i="16"/>
  <c r="M243" i="16"/>
  <c r="O243" i="16"/>
  <c r="M244" i="16"/>
  <c r="O244" i="16"/>
  <c r="M245" i="16"/>
  <c r="O245" i="16"/>
  <c r="M246" i="16"/>
  <c r="O246" i="16"/>
  <c r="M247" i="16"/>
  <c r="O247" i="16"/>
  <c r="M248" i="16"/>
  <c r="O248" i="16"/>
  <c r="M249" i="16"/>
  <c r="O249" i="16"/>
  <c r="M250" i="16"/>
  <c r="O250" i="16"/>
  <c r="M251" i="16"/>
  <c r="O251" i="16"/>
  <c r="M252" i="16"/>
  <c r="O252" i="16"/>
  <c r="M253" i="16"/>
  <c r="O253" i="16"/>
  <c r="M254" i="16"/>
  <c r="O254" i="16"/>
  <c r="M255" i="16"/>
  <c r="O255" i="16"/>
  <c r="M256" i="16"/>
  <c r="O256" i="16"/>
  <c r="M257" i="16"/>
  <c r="O257" i="16"/>
  <c r="M258" i="16"/>
  <c r="O258" i="16"/>
  <c r="M259" i="16"/>
  <c r="O259" i="16"/>
  <c r="M260" i="16"/>
  <c r="O260" i="16"/>
  <c r="M261" i="16"/>
  <c r="O261" i="16"/>
  <c r="M262" i="16"/>
  <c r="O262" i="16"/>
  <c r="M263" i="16"/>
  <c r="O263" i="16"/>
  <c r="M264" i="16"/>
  <c r="O264" i="16"/>
  <c r="M265" i="16"/>
  <c r="O265" i="16"/>
  <c r="M266" i="16"/>
  <c r="O266" i="16"/>
  <c r="M267" i="16"/>
  <c r="O267" i="16"/>
  <c r="M268" i="16"/>
  <c r="O268" i="16"/>
  <c r="M269" i="16"/>
  <c r="O269" i="16"/>
  <c r="M270" i="16"/>
  <c r="O270" i="16"/>
  <c r="M271" i="16"/>
  <c r="O271" i="16"/>
  <c r="M272" i="16"/>
  <c r="O272" i="16"/>
  <c r="M273" i="16"/>
  <c r="O273" i="16"/>
  <c r="M274" i="16"/>
  <c r="O274" i="16"/>
  <c r="M275" i="16"/>
  <c r="O275" i="16"/>
  <c r="M276" i="16"/>
  <c r="O276" i="16"/>
  <c r="M277" i="16"/>
  <c r="O277" i="16"/>
  <c r="M278" i="16"/>
  <c r="O278" i="16"/>
  <c r="M279" i="16"/>
  <c r="O279" i="16"/>
  <c r="M280" i="16"/>
  <c r="O280" i="16"/>
  <c r="M281" i="16"/>
  <c r="O281" i="16"/>
  <c r="M282" i="16"/>
  <c r="O282" i="16"/>
  <c r="M283" i="16"/>
  <c r="O283" i="16"/>
  <c r="M284" i="16"/>
  <c r="O284" i="16"/>
  <c r="M285" i="16"/>
  <c r="O285" i="16"/>
  <c r="M286" i="16"/>
  <c r="O286" i="16"/>
  <c r="M287" i="16"/>
  <c r="O287" i="16"/>
  <c r="M288" i="16"/>
  <c r="O288" i="16"/>
  <c r="M289" i="16"/>
  <c r="O289" i="16"/>
  <c r="M290" i="16"/>
  <c r="O290" i="16"/>
  <c r="M291" i="16"/>
  <c r="O291" i="16"/>
  <c r="M292" i="16"/>
  <c r="O292" i="16"/>
  <c r="M293" i="16"/>
  <c r="O293" i="16"/>
  <c r="M294" i="16"/>
  <c r="O294" i="16"/>
  <c r="M295" i="16"/>
  <c r="O295" i="16"/>
  <c r="M296" i="16"/>
  <c r="O296" i="16"/>
  <c r="M297" i="16"/>
  <c r="O297" i="16"/>
  <c r="M298" i="16"/>
  <c r="O298" i="16"/>
  <c r="M299" i="16"/>
  <c r="O299" i="16"/>
  <c r="M300" i="16"/>
  <c r="O300" i="16"/>
  <c r="M301" i="16"/>
  <c r="O301" i="16"/>
  <c r="M302" i="16"/>
  <c r="O302" i="16"/>
  <c r="M303" i="16"/>
  <c r="O303" i="16"/>
  <c r="M304" i="16"/>
  <c r="O304" i="16"/>
  <c r="M305" i="16"/>
  <c r="O305" i="16"/>
  <c r="M306" i="16"/>
  <c r="O306" i="16"/>
  <c r="M307" i="16"/>
  <c r="O307" i="16"/>
  <c r="M308" i="16"/>
  <c r="O308" i="16"/>
  <c r="M309" i="16"/>
  <c r="O309" i="16"/>
  <c r="M310" i="16"/>
  <c r="O310" i="16"/>
  <c r="M311" i="16"/>
  <c r="O311" i="16"/>
  <c r="M312" i="16"/>
  <c r="O312" i="16"/>
  <c r="M313" i="16"/>
  <c r="O3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N12" i="16"/>
  <c r="N11" i="16"/>
  <c r="N10" i="16"/>
  <c r="Q14" i="16"/>
  <c r="R14" i="16"/>
  <c r="S14" i="16"/>
  <c r="Q15" i="16"/>
  <c r="R15" i="16"/>
  <c r="S15" i="16"/>
  <c r="Q16" i="16"/>
  <c r="R16" i="16"/>
  <c r="S16" i="16"/>
  <c r="Q17" i="16"/>
  <c r="R17" i="16"/>
  <c r="S17" i="16"/>
  <c r="Q18" i="16"/>
  <c r="R18" i="16"/>
  <c r="S18" i="16"/>
  <c r="Q19" i="16"/>
  <c r="R19" i="16"/>
  <c r="S19" i="16"/>
  <c r="Q20" i="16"/>
  <c r="R20" i="16"/>
  <c r="S20" i="16"/>
  <c r="Q21" i="16"/>
  <c r="R21" i="16"/>
  <c r="S21" i="16"/>
  <c r="Q22" i="16"/>
  <c r="R22" i="16"/>
  <c r="S22" i="16"/>
  <c r="Q23" i="16"/>
  <c r="R23" i="16"/>
  <c r="S23" i="16"/>
  <c r="Q24" i="16"/>
  <c r="R24" i="16"/>
  <c r="S24" i="16"/>
  <c r="Q25" i="16"/>
  <c r="R25" i="16"/>
  <c r="S25" i="16"/>
  <c r="Q26" i="16"/>
  <c r="R26" i="16"/>
  <c r="S26" i="16"/>
  <c r="Q27" i="16"/>
  <c r="R27" i="16"/>
  <c r="S27" i="16"/>
  <c r="Q28" i="16"/>
  <c r="R28" i="16"/>
  <c r="S28" i="16"/>
  <c r="Q29" i="16"/>
  <c r="R29" i="16"/>
  <c r="S29" i="16"/>
  <c r="Q30" i="16"/>
  <c r="R30" i="16"/>
  <c r="S30" i="16"/>
  <c r="Q31" i="16"/>
  <c r="R31" i="16"/>
  <c r="S31" i="16"/>
  <c r="Q32" i="16"/>
  <c r="R32" i="16"/>
  <c r="S32" i="16"/>
  <c r="Q33" i="16"/>
  <c r="R33" i="16"/>
  <c r="S33" i="16"/>
  <c r="Q34" i="16"/>
  <c r="R34" i="16"/>
  <c r="S34" i="16"/>
  <c r="Q35" i="16"/>
  <c r="R35" i="16"/>
  <c r="S35" i="16"/>
  <c r="Q36" i="16"/>
  <c r="R36" i="16"/>
  <c r="S36" i="16"/>
  <c r="Q37" i="16"/>
  <c r="R37" i="16"/>
  <c r="S37" i="16"/>
  <c r="Q38" i="16"/>
  <c r="R38" i="16"/>
  <c r="S38" i="16"/>
  <c r="Q39" i="16"/>
  <c r="R39" i="16"/>
  <c r="S39" i="16"/>
  <c r="Q40" i="16"/>
  <c r="R40" i="16"/>
  <c r="S40" i="16"/>
  <c r="Q41" i="16"/>
  <c r="R41" i="16"/>
  <c r="S41" i="16"/>
  <c r="Q42" i="16"/>
  <c r="R42" i="16"/>
  <c r="S42" i="16"/>
  <c r="Q43" i="16"/>
  <c r="R43" i="16"/>
  <c r="S43" i="16"/>
  <c r="Q44" i="16"/>
  <c r="R44" i="16"/>
  <c r="S44" i="16"/>
  <c r="Q45" i="16"/>
  <c r="R45" i="16"/>
  <c r="S45" i="16"/>
  <c r="Q46" i="16"/>
  <c r="R46" i="16"/>
  <c r="S46" i="16"/>
  <c r="Q47" i="16"/>
  <c r="R47" i="16"/>
  <c r="S47" i="16"/>
  <c r="Q48" i="16"/>
  <c r="R48" i="16"/>
  <c r="S48" i="16"/>
  <c r="Q49" i="16"/>
  <c r="R49" i="16"/>
  <c r="S49" i="16"/>
  <c r="Q50" i="16"/>
  <c r="R50" i="16"/>
  <c r="S50" i="16"/>
  <c r="Q51" i="16"/>
  <c r="R51" i="16"/>
  <c r="S51" i="16"/>
  <c r="Q52" i="16"/>
  <c r="R52" i="16"/>
  <c r="S52" i="16"/>
  <c r="Q53" i="16"/>
  <c r="R53" i="16"/>
  <c r="S53" i="16"/>
  <c r="Q54" i="16"/>
  <c r="R54" i="16"/>
  <c r="S54" i="16"/>
  <c r="Q55" i="16"/>
  <c r="R55" i="16"/>
  <c r="S55" i="16"/>
  <c r="Q56" i="16"/>
  <c r="R56" i="16"/>
  <c r="S56" i="16"/>
  <c r="Q57" i="16"/>
  <c r="R57" i="16"/>
  <c r="S57" i="16"/>
  <c r="Q58" i="16"/>
  <c r="R58" i="16"/>
  <c r="S58" i="16"/>
  <c r="Q59" i="16"/>
  <c r="R59" i="16"/>
  <c r="S59" i="16"/>
  <c r="Q60" i="16"/>
  <c r="R60" i="16"/>
  <c r="S60" i="16"/>
  <c r="Q61" i="16"/>
  <c r="R61" i="16"/>
  <c r="S61" i="16"/>
  <c r="Q62" i="16"/>
  <c r="R62" i="16"/>
  <c r="S62" i="16"/>
  <c r="Q63" i="16"/>
  <c r="R63" i="16"/>
  <c r="S63" i="16"/>
  <c r="Q64" i="16"/>
  <c r="R64" i="16"/>
  <c r="S64" i="16"/>
  <c r="Q65" i="16"/>
  <c r="R65" i="16"/>
  <c r="S65" i="16"/>
  <c r="Q66" i="16"/>
  <c r="R66" i="16"/>
  <c r="S66" i="16"/>
  <c r="Q67" i="16"/>
  <c r="R67" i="16"/>
  <c r="S67" i="16"/>
  <c r="Q68" i="16"/>
  <c r="R68" i="16"/>
  <c r="S68" i="16"/>
  <c r="Q69" i="16"/>
  <c r="R69" i="16"/>
  <c r="S69" i="16"/>
  <c r="Q70" i="16"/>
  <c r="R70" i="16"/>
  <c r="S70" i="16"/>
  <c r="Q71" i="16"/>
  <c r="R71" i="16"/>
  <c r="S71" i="16"/>
  <c r="Q72" i="16"/>
  <c r="R72" i="16"/>
  <c r="S72" i="16"/>
  <c r="Q73" i="16"/>
  <c r="R73" i="16"/>
  <c r="S73" i="16"/>
  <c r="Q74" i="16"/>
  <c r="R74" i="16"/>
  <c r="S74" i="16"/>
  <c r="Q75" i="16"/>
  <c r="R75" i="16"/>
  <c r="S75" i="16"/>
  <c r="Q76" i="16"/>
  <c r="R76" i="16"/>
  <c r="S76" i="16"/>
  <c r="Q77" i="16"/>
  <c r="R77" i="16"/>
  <c r="S77" i="16"/>
  <c r="Q78" i="16"/>
  <c r="R78" i="16"/>
  <c r="S78" i="16"/>
  <c r="Q79" i="16"/>
  <c r="R79" i="16"/>
  <c r="S79" i="16"/>
  <c r="Q80" i="16"/>
  <c r="R80" i="16"/>
  <c r="S80" i="16"/>
  <c r="Q81" i="16"/>
  <c r="R81" i="16"/>
  <c r="S81" i="16"/>
  <c r="Q82" i="16"/>
  <c r="R82" i="16"/>
  <c r="S82" i="16"/>
  <c r="Q83" i="16"/>
  <c r="R83" i="16"/>
  <c r="S83" i="16"/>
  <c r="Q84" i="16"/>
  <c r="R84" i="16"/>
  <c r="S84" i="16"/>
  <c r="Q85" i="16"/>
  <c r="R85" i="16"/>
  <c r="S85" i="16"/>
  <c r="Q86" i="16"/>
  <c r="R86" i="16"/>
  <c r="S86" i="16"/>
  <c r="Q87" i="16"/>
  <c r="R87" i="16"/>
  <c r="S87" i="16"/>
  <c r="Q88" i="16"/>
  <c r="R88" i="16"/>
  <c r="S88" i="16"/>
  <c r="Q89" i="16"/>
  <c r="R89" i="16"/>
  <c r="S89" i="16"/>
  <c r="Q90" i="16"/>
  <c r="R90" i="16"/>
  <c r="S90" i="16"/>
  <c r="Q91" i="16"/>
  <c r="R91" i="16"/>
  <c r="S91" i="16"/>
  <c r="Q92" i="16"/>
  <c r="R92" i="16"/>
  <c r="S92" i="16"/>
  <c r="Q93" i="16"/>
  <c r="R93" i="16"/>
  <c r="S93" i="16"/>
  <c r="Q94" i="16"/>
  <c r="R94" i="16"/>
  <c r="S94" i="16"/>
  <c r="Q95" i="16"/>
  <c r="R95" i="16"/>
  <c r="S95" i="16"/>
  <c r="Q96" i="16"/>
  <c r="R96" i="16"/>
  <c r="S96" i="16"/>
  <c r="Q97" i="16"/>
  <c r="R97" i="16"/>
  <c r="S97" i="16"/>
  <c r="Q98" i="16"/>
  <c r="R98" i="16"/>
  <c r="S98" i="16"/>
  <c r="Q99" i="16"/>
  <c r="R99" i="16"/>
  <c r="S99" i="16"/>
  <c r="Q100" i="16"/>
  <c r="R100" i="16"/>
  <c r="S100" i="16"/>
  <c r="Q101" i="16"/>
  <c r="R101" i="16"/>
  <c r="S101" i="16"/>
  <c r="Q102" i="16"/>
  <c r="R102" i="16"/>
  <c r="S102" i="16"/>
  <c r="Q103" i="16"/>
  <c r="R103" i="16"/>
  <c r="S103" i="16"/>
  <c r="Q104" i="16"/>
  <c r="R104" i="16"/>
  <c r="S104" i="16"/>
  <c r="Q105" i="16"/>
  <c r="R105" i="16"/>
  <c r="S105" i="16"/>
  <c r="Q106" i="16"/>
  <c r="R106" i="16"/>
  <c r="S106" i="16"/>
  <c r="Q107" i="16"/>
  <c r="R107" i="16"/>
  <c r="S107" i="16"/>
  <c r="Q108" i="16"/>
  <c r="R108" i="16"/>
  <c r="S108" i="16"/>
  <c r="Q109" i="16"/>
  <c r="S109" i="16"/>
  <c r="Q110" i="16"/>
  <c r="S110" i="16"/>
  <c r="Q111" i="16"/>
  <c r="S111" i="16"/>
  <c r="Q112" i="16"/>
  <c r="S112" i="16"/>
  <c r="Q113" i="16"/>
  <c r="S113" i="16"/>
  <c r="Q114" i="16"/>
  <c r="S114" i="16"/>
  <c r="Q115" i="16"/>
  <c r="S115" i="16"/>
  <c r="Q116" i="16"/>
  <c r="S116" i="16"/>
  <c r="Q117" i="16"/>
  <c r="S117" i="16"/>
  <c r="Q118" i="16"/>
  <c r="S118" i="16"/>
  <c r="Q119" i="16"/>
  <c r="S119" i="16"/>
  <c r="Q120" i="16"/>
  <c r="S120" i="16"/>
  <c r="Q121" i="16"/>
  <c r="S121" i="16"/>
  <c r="Q122" i="16"/>
  <c r="S122" i="16"/>
  <c r="Q123" i="16"/>
  <c r="S123" i="16"/>
  <c r="Q124" i="16"/>
  <c r="S124" i="16"/>
  <c r="Q125" i="16"/>
  <c r="S125" i="16"/>
  <c r="Q126" i="16"/>
  <c r="S126" i="16"/>
  <c r="Q127" i="16"/>
  <c r="S127" i="16"/>
  <c r="Q128" i="16"/>
  <c r="S128" i="16"/>
  <c r="Q129" i="16"/>
  <c r="S129" i="16"/>
  <c r="Q130" i="16"/>
  <c r="S130" i="16"/>
  <c r="Q131" i="16"/>
  <c r="S131" i="16"/>
  <c r="Q132" i="16"/>
  <c r="S132" i="16"/>
  <c r="Q133" i="16"/>
  <c r="S133" i="16"/>
  <c r="Q134" i="16"/>
  <c r="S134" i="16"/>
  <c r="Q135" i="16"/>
  <c r="S135" i="16"/>
  <c r="Q136" i="16"/>
  <c r="S136" i="16"/>
  <c r="Q137" i="16"/>
  <c r="S137" i="16"/>
  <c r="Q138" i="16"/>
  <c r="S138" i="16"/>
  <c r="Q139" i="16"/>
  <c r="S139" i="16"/>
  <c r="Q140" i="16"/>
  <c r="S140" i="16"/>
  <c r="Q141" i="16"/>
  <c r="S141" i="16"/>
  <c r="Q142" i="16"/>
  <c r="S142" i="16"/>
  <c r="Q143" i="16"/>
  <c r="S143" i="16"/>
  <c r="Q144" i="16"/>
  <c r="S144" i="16"/>
  <c r="Q145" i="16"/>
  <c r="S145" i="16"/>
  <c r="Q146" i="16"/>
  <c r="S146" i="16"/>
  <c r="Q147" i="16"/>
  <c r="S147" i="16"/>
  <c r="Q148" i="16"/>
  <c r="S148" i="16"/>
  <c r="Q149" i="16"/>
  <c r="S149" i="16"/>
  <c r="Q150" i="16"/>
  <c r="S150" i="16"/>
  <c r="Q151" i="16"/>
  <c r="S151" i="16"/>
  <c r="Q152" i="16"/>
  <c r="S152" i="16"/>
  <c r="Q153" i="16"/>
  <c r="S153" i="16"/>
  <c r="Q154" i="16"/>
  <c r="S154" i="16"/>
  <c r="Q155" i="16"/>
  <c r="S155" i="16"/>
  <c r="Q156" i="16"/>
  <c r="S156" i="16"/>
  <c r="Q157" i="16"/>
  <c r="S157" i="16"/>
  <c r="Q158" i="16"/>
  <c r="S158" i="16"/>
  <c r="Q159" i="16"/>
  <c r="S159" i="16"/>
  <c r="Q160" i="16"/>
  <c r="S160" i="16"/>
  <c r="Q161" i="16"/>
  <c r="S161" i="16"/>
  <c r="Q162" i="16"/>
  <c r="S162" i="16"/>
  <c r="Q163" i="16"/>
  <c r="S163" i="16"/>
  <c r="Q164" i="16"/>
  <c r="S164" i="16"/>
  <c r="Q165" i="16"/>
  <c r="S165" i="16"/>
  <c r="Q166" i="16"/>
  <c r="S166" i="16"/>
  <c r="Q167" i="16"/>
  <c r="S167" i="16"/>
  <c r="Q168" i="16"/>
  <c r="S168" i="16"/>
  <c r="Q169" i="16"/>
  <c r="S169" i="16"/>
  <c r="Q170" i="16"/>
  <c r="S170" i="16"/>
  <c r="Q171" i="16"/>
  <c r="S171" i="16"/>
  <c r="Q172" i="16"/>
  <c r="S172" i="16"/>
  <c r="Q173" i="16"/>
  <c r="S173" i="16"/>
  <c r="Q174" i="16"/>
  <c r="S174" i="16"/>
  <c r="Q175" i="16"/>
  <c r="S175" i="16"/>
  <c r="Q176" i="16"/>
  <c r="S176" i="16"/>
  <c r="Q177" i="16"/>
  <c r="S177" i="16"/>
  <c r="Q178" i="16"/>
  <c r="S178" i="16"/>
  <c r="Q179" i="16"/>
  <c r="S179" i="16"/>
  <c r="Q180" i="16"/>
  <c r="S180" i="16"/>
  <c r="Q181" i="16"/>
  <c r="S181" i="16"/>
  <c r="Q182" i="16"/>
  <c r="S182" i="16"/>
  <c r="Q183" i="16"/>
  <c r="S183" i="16"/>
  <c r="Q184" i="16"/>
  <c r="S184" i="16"/>
  <c r="Q185" i="16"/>
  <c r="S185" i="16"/>
  <c r="Q186" i="16"/>
  <c r="S186" i="16"/>
  <c r="Q187" i="16"/>
  <c r="S187" i="16"/>
  <c r="Q188" i="16"/>
  <c r="S188" i="16"/>
  <c r="Q189" i="16"/>
  <c r="S189" i="16"/>
  <c r="Q190" i="16"/>
  <c r="S190" i="16"/>
  <c r="Q191" i="16"/>
  <c r="S191" i="16"/>
  <c r="Q192" i="16"/>
  <c r="S192" i="16"/>
  <c r="Q193" i="16"/>
  <c r="S193" i="16"/>
  <c r="Q194" i="16"/>
  <c r="S194" i="16"/>
  <c r="Q195" i="16"/>
  <c r="S195" i="16"/>
  <c r="Q196" i="16"/>
  <c r="S196" i="16"/>
  <c r="Q197" i="16"/>
  <c r="S197" i="16"/>
  <c r="Q198" i="16"/>
  <c r="S198" i="16"/>
  <c r="Q199" i="16"/>
  <c r="S199" i="16"/>
  <c r="Q200" i="16"/>
  <c r="S200" i="16"/>
  <c r="Q201" i="16"/>
  <c r="S201" i="16"/>
  <c r="Q202" i="16"/>
  <c r="S202" i="16"/>
  <c r="Q203" i="16"/>
  <c r="S203" i="16"/>
  <c r="Q204" i="16"/>
  <c r="S204" i="16"/>
  <c r="Q205" i="16"/>
  <c r="S205" i="16"/>
  <c r="Q206" i="16"/>
  <c r="S206" i="16"/>
  <c r="Q207" i="16"/>
  <c r="S207" i="16"/>
  <c r="Q208" i="16"/>
  <c r="S208" i="16"/>
  <c r="Q209" i="16"/>
  <c r="S209" i="16"/>
  <c r="Q210" i="16"/>
  <c r="S210" i="16"/>
  <c r="Q211" i="16"/>
  <c r="S211" i="16"/>
  <c r="Q212" i="16"/>
  <c r="S212" i="16"/>
  <c r="Q213" i="16"/>
  <c r="S213" i="16"/>
  <c r="Q214" i="16"/>
  <c r="S214" i="16"/>
  <c r="Q215" i="16"/>
  <c r="S215" i="16"/>
  <c r="Q216" i="16"/>
  <c r="S216" i="16"/>
  <c r="Q217" i="16"/>
  <c r="S217" i="16"/>
  <c r="Q218" i="16"/>
  <c r="S218" i="16"/>
  <c r="Q219" i="16"/>
  <c r="S219" i="16"/>
  <c r="Q220" i="16"/>
  <c r="S220" i="16"/>
  <c r="Q221" i="16"/>
  <c r="S221" i="16"/>
  <c r="Q222" i="16"/>
  <c r="S222" i="16"/>
  <c r="Q223" i="16"/>
  <c r="S223" i="16"/>
  <c r="Q224" i="16"/>
  <c r="S224" i="16"/>
  <c r="Q225" i="16"/>
  <c r="S225" i="16"/>
  <c r="Q226" i="16"/>
  <c r="S226" i="16"/>
  <c r="Q227" i="16"/>
  <c r="S227" i="16"/>
  <c r="Q228" i="16"/>
  <c r="S228" i="16"/>
  <c r="Q229" i="16"/>
  <c r="S229" i="16"/>
  <c r="Q230" i="16"/>
  <c r="S230" i="16"/>
  <c r="Q231" i="16"/>
  <c r="S231" i="16"/>
  <c r="Q232" i="16"/>
  <c r="S232" i="16"/>
  <c r="Q233" i="16"/>
  <c r="S233" i="16"/>
  <c r="Q234" i="16"/>
  <c r="S234" i="16"/>
  <c r="Q235" i="16"/>
  <c r="S235" i="16"/>
  <c r="Q236" i="16"/>
  <c r="S236" i="16"/>
  <c r="Q237" i="16"/>
  <c r="S237" i="16"/>
  <c r="Q238" i="16"/>
  <c r="S238" i="16"/>
  <c r="Q239" i="16"/>
  <c r="S239" i="16"/>
  <c r="Q240" i="16"/>
  <c r="S240" i="16"/>
  <c r="Q241" i="16"/>
  <c r="S241" i="16"/>
  <c r="Q242" i="16"/>
  <c r="S242" i="16"/>
  <c r="Q243" i="16"/>
  <c r="S243" i="16"/>
  <c r="Q244" i="16"/>
  <c r="S244" i="16"/>
  <c r="Q245" i="16"/>
  <c r="S245" i="16"/>
  <c r="Q246" i="16"/>
  <c r="S246" i="16"/>
  <c r="Q247" i="16"/>
  <c r="S247" i="16"/>
  <c r="Q248" i="16"/>
  <c r="S248" i="16"/>
  <c r="Q249" i="16"/>
  <c r="S249" i="16"/>
  <c r="Q250" i="16"/>
  <c r="S250" i="16"/>
  <c r="Q251" i="16"/>
  <c r="S251" i="16"/>
  <c r="Q252" i="16"/>
  <c r="S252" i="16"/>
  <c r="Q253" i="16"/>
  <c r="S253" i="16"/>
  <c r="Q254" i="16"/>
  <c r="S254" i="16"/>
  <c r="Q255" i="16"/>
  <c r="S255" i="16"/>
  <c r="Q256" i="16"/>
  <c r="S256" i="16"/>
  <c r="Q257" i="16"/>
  <c r="S257" i="16"/>
  <c r="Q258" i="16"/>
  <c r="S258" i="16"/>
  <c r="Q259" i="16"/>
  <c r="S259" i="16"/>
  <c r="Q260" i="16"/>
  <c r="S260" i="16"/>
  <c r="Q261" i="16"/>
  <c r="S261" i="16"/>
  <c r="Q262" i="16"/>
  <c r="S262" i="16"/>
  <c r="Q263" i="16"/>
  <c r="S263" i="16"/>
  <c r="Q264" i="16"/>
  <c r="S264" i="16"/>
  <c r="Q265" i="16"/>
  <c r="S265" i="16"/>
  <c r="Q266" i="16"/>
  <c r="S266" i="16"/>
  <c r="Q267" i="16"/>
  <c r="S267" i="16"/>
  <c r="Q268" i="16"/>
  <c r="S268" i="16"/>
  <c r="Q269" i="16"/>
  <c r="S269" i="16"/>
  <c r="Q270" i="16"/>
  <c r="S270" i="16"/>
  <c r="Q271" i="16"/>
  <c r="S271" i="16"/>
  <c r="Q272" i="16"/>
  <c r="S272" i="16"/>
  <c r="Q273" i="16"/>
  <c r="S273" i="16"/>
  <c r="Q274" i="16"/>
  <c r="S274" i="16"/>
  <c r="Q275" i="16"/>
  <c r="S275" i="16"/>
  <c r="Q276" i="16"/>
  <c r="S276" i="16"/>
  <c r="Q277" i="16"/>
  <c r="S277" i="16"/>
  <c r="Q278" i="16"/>
  <c r="S278" i="16"/>
  <c r="Q279" i="16"/>
  <c r="S279" i="16"/>
  <c r="Q280" i="16"/>
  <c r="S280" i="16"/>
  <c r="Q281" i="16"/>
  <c r="S281" i="16"/>
  <c r="Q282" i="16"/>
  <c r="S282" i="16"/>
  <c r="Q283" i="16"/>
  <c r="S283" i="16"/>
  <c r="Q284" i="16"/>
  <c r="S284" i="16"/>
  <c r="Q285" i="16"/>
  <c r="S285" i="16"/>
  <c r="Q286" i="16"/>
  <c r="S286" i="16"/>
  <c r="Q287" i="16"/>
  <c r="S287" i="16"/>
  <c r="Q288" i="16"/>
  <c r="S288" i="16"/>
  <c r="Q289" i="16"/>
  <c r="S289" i="16"/>
  <c r="Q290" i="16"/>
  <c r="S290" i="16"/>
  <c r="Q291" i="16"/>
  <c r="S291" i="16"/>
  <c r="Q292" i="16"/>
  <c r="S292" i="16"/>
  <c r="Q293" i="16"/>
  <c r="S293" i="16"/>
  <c r="Q294" i="16"/>
  <c r="S294" i="16"/>
  <c r="Q295" i="16"/>
  <c r="S295" i="16"/>
  <c r="Q296" i="16"/>
  <c r="S296" i="16"/>
  <c r="Q297" i="16"/>
  <c r="S297" i="16"/>
  <c r="Q298" i="16"/>
  <c r="S298" i="16"/>
  <c r="Q299" i="16"/>
  <c r="S299" i="16"/>
  <c r="Q300" i="16"/>
  <c r="S300" i="16"/>
  <c r="Q301" i="16"/>
  <c r="S301" i="16"/>
  <c r="Q302" i="16"/>
  <c r="S302" i="16"/>
  <c r="Q303" i="16"/>
  <c r="S303" i="16"/>
  <c r="Q304" i="16"/>
  <c r="S304" i="16"/>
  <c r="Q305" i="16"/>
  <c r="S305" i="16"/>
  <c r="Q306" i="16"/>
  <c r="S306" i="16"/>
  <c r="Q307" i="16"/>
  <c r="S307" i="16"/>
  <c r="Q308" i="16"/>
  <c r="S308" i="16"/>
  <c r="Q309" i="16"/>
  <c r="S309" i="16"/>
  <c r="Q310" i="16"/>
  <c r="S310" i="16"/>
  <c r="Q311" i="16"/>
  <c r="S311" i="16"/>
  <c r="Q312" i="16"/>
  <c r="S312" i="16"/>
  <c r="Q313" i="16"/>
  <c r="S3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R12" i="16"/>
  <c r="R11" i="16"/>
  <c r="R10" i="16"/>
  <c r="N109" i="16"/>
  <c r="R109" i="16"/>
  <c r="N110" i="16"/>
  <c r="R110" i="16"/>
  <c r="N111" i="16"/>
  <c r="R111" i="16"/>
  <c r="N112" i="16"/>
  <c r="R112" i="16"/>
  <c r="N113" i="16"/>
  <c r="R113" i="16"/>
  <c r="N114" i="16"/>
  <c r="R114" i="16"/>
  <c r="N115" i="16"/>
  <c r="R115" i="16"/>
  <c r="N116" i="16"/>
  <c r="R116" i="16"/>
  <c r="N117" i="16"/>
  <c r="R117" i="16"/>
  <c r="N118" i="16"/>
  <c r="R118" i="16"/>
  <c r="N119" i="16"/>
  <c r="R119" i="16"/>
  <c r="N120" i="16"/>
  <c r="R120" i="16"/>
  <c r="N121" i="16"/>
  <c r="R121" i="16"/>
  <c r="N122" i="16"/>
  <c r="R122" i="16"/>
  <c r="N123" i="16"/>
  <c r="R123" i="16"/>
  <c r="N124" i="16"/>
  <c r="R124" i="16"/>
  <c r="N125" i="16"/>
  <c r="R125" i="16"/>
  <c r="N126" i="16"/>
  <c r="R126" i="16"/>
  <c r="N127" i="16"/>
  <c r="R127" i="16"/>
  <c r="N128" i="16"/>
  <c r="R128" i="16"/>
  <c r="N129" i="16"/>
  <c r="R129" i="16"/>
  <c r="N130" i="16"/>
  <c r="R130" i="16"/>
  <c r="N131" i="16"/>
  <c r="R131" i="16"/>
  <c r="N132" i="16"/>
  <c r="R132" i="16"/>
  <c r="N133" i="16"/>
  <c r="R133" i="16"/>
  <c r="N134" i="16"/>
  <c r="R134" i="16"/>
  <c r="N135" i="16"/>
  <c r="R135" i="16"/>
  <c r="N136" i="16"/>
  <c r="R136" i="16"/>
  <c r="N137" i="16"/>
  <c r="R137" i="16"/>
  <c r="N138" i="16"/>
  <c r="R138" i="16"/>
  <c r="N139" i="16"/>
  <c r="R139" i="16"/>
  <c r="N140" i="16"/>
  <c r="R140" i="16"/>
  <c r="N141" i="16"/>
  <c r="R141" i="16"/>
  <c r="N142" i="16"/>
  <c r="R142" i="16"/>
  <c r="N143" i="16"/>
  <c r="R143" i="16"/>
  <c r="N144" i="16"/>
  <c r="R144" i="16"/>
  <c r="N145" i="16"/>
  <c r="R145" i="16"/>
  <c r="N146" i="16"/>
  <c r="R146" i="16"/>
  <c r="N147" i="16"/>
  <c r="R147" i="16"/>
  <c r="N148" i="16"/>
  <c r="R148" i="16"/>
  <c r="N149" i="16"/>
  <c r="R149" i="16"/>
  <c r="N150" i="16"/>
  <c r="R150" i="16"/>
  <c r="N151" i="16"/>
  <c r="R151" i="16"/>
  <c r="N152" i="16"/>
  <c r="R152" i="16"/>
  <c r="N153" i="16"/>
  <c r="R153" i="16"/>
  <c r="N154" i="16"/>
  <c r="R154" i="16"/>
  <c r="N155" i="16"/>
  <c r="R155" i="16"/>
  <c r="N156" i="16"/>
  <c r="R156" i="16"/>
  <c r="N157" i="16"/>
  <c r="R157" i="16"/>
  <c r="N158" i="16"/>
  <c r="R158" i="16"/>
  <c r="N159" i="16"/>
  <c r="R159" i="16"/>
  <c r="N160" i="16"/>
  <c r="R160" i="16"/>
  <c r="N161" i="16"/>
  <c r="R161" i="16"/>
  <c r="N162" i="16"/>
  <c r="R162" i="16"/>
  <c r="N163" i="16"/>
  <c r="R163" i="16"/>
  <c r="N164" i="16"/>
  <c r="R164" i="16"/>
  <c r="N165" i="16"/>
  <c r="R165" i="16"/>
  <c r="N166" i="16"/>
  <c r="R166" i="16"/>
  <c r="N167" i="16"/>
  <c r="R167" i="16"/>
  <c r="N168" i="16"/>
  <c r="R168" i="16"/>
  <c r="N169" i="16"/>
  <c r="R169" i="16"/>
  <c r="N170" i="16"/>
  <c r="R170" i="16"/>
  <c r="N171" i="16"/>
  <c r="R171" i="16"/>
  <c r="N172" i="16"/>
  <c r="R172" i="16"/>
  <c r="N173" i="16"/>
  <c r="R173" i="16"/>
  <c r="N174" i="16"/>
  <c r="R174" i="16"/>
  <c r="N175" i="16"/>
  <c r="R175" i="16"/>
  <c r="N176" i="16"/>
  <c r="R176" i="16"/>
  <c r="N177" i="16"/>
  <c r="R177" i="16"/>
  <c r="N178" i="16"/>
  <c r="R178" i="16"/>
  <c r="N179" i="16"/>
  <c r="R179" i="16"/>
  <c r="N180" i="16"/>
  <c r="R180" i="16"/>
  <c r="N181" i="16"/>
  <c r="R181" i="16"/>
  <c r="N182" i="16"/>
  <c r="R182" i="16"/>
  <c r="N183" i="16"/>
  <c r="R183" i="16"/>
  <c r="N184" i="16"/>
  <c r="R184" i="16"/>
  <c r="N185" i="16"/>
  <c r="R185" i="16"/>
  <c r="N186" i="16"/>
  <c r="R186" i="16"/>
  <c r="N187" i="16"/>
  <c r="R187" i="16"/>
  <c r="N188" i="16"/>
  <c r="R188" i="16"/>
  <c r="N189" i="16"/>
  <c r="R189" i="16"/>
  <c r="N190" i="16"/>
  <c r="R190" i="16"/>
  <c r="N191" i="16"/>
  <c r="R191" i="16"/>
  <c r="N192" i="16"/>
  <c r="R192" i="16"/>
  <c r="N193" i="16"/>
  <c r="R193" i="16"/>
  <c r="N194" i="16"/>
  <c r="R194" i="16"/>
  <c r="N195" i="16"/>
  <c r="R195" i="16"/>
  <c r="N196" i="16"/>
  <c r="R196" i="16"/>
  <c r="N197" i="16"/>
  <c r="R197" i="16"/>
  <c r="N198" i="16"/>
  <c r="R198" i="16"/>
  <c r="N199" i="16"/>
  <c r="R199" i="16"/>
  <c r="N200" i="16"/>
  <c r="R200" i="16"/>
  <c r="N201" i="16"/>
  <c r="R201" i="16"/>
  <c r="N202" i="16"/>
  <c r="R202" i="16"/>
  <c r="N203" i="16"/>
  <c r="R203" i="16"/>
  <c r="N204" i="16"/>
  <c r="R204" i="16"/>
  <c r="N205" i="16"/>
  <c r="R205" i="16"/>
  <c r="N206" i="16"/>
  <c r="R206" i="16"/>
  <c r="N207" i="16"/>
  <c r="R207" i="16"/>
  <c r="N208" i="16"/>
  <c r="R208" i="16"/>
  <c r="N209" i="16"/>
  <c r="R209" i="16"/>
  <c r="N210" i="16"/>
  <c r="R210" i="16"/>
  <c r="N211" i="16"/>
  <c r="R211" i="16"/>
  <c r="N212" i="16"/>
  <c r="R212" i="16"/>
  <c r="N213" i="16"/>
  <c r="R213" i="16"/>
  <c r="N214" i="16"/>
  <c r="R214" i="16"/>
  <c r="N215" i="16"/>
  <c r="R215" i="16"/>
  <c r="N216" i="16"/>
  <c r="R216" i="16"/>
  <c r="N217" i="16"/>
  <c r="R217" i="16"/>
  <c r="N218" i="16"/>
  <c r="R218" i="16"/>
  <c r="N219" i="16"/>
  <c r="R219" i="16"/>
  <c r="N220" i="16"/>
  <c r="R220" i="16"/>
  <c r="N221" i="16"/>
  <c r="R221" i="16"/>
  <c r="N222" i="16"/>
  <c r="R222" i="16"/>
  <c r="N223" i="16"/>
  <c r="R223" i="16"/>
  <c r="N224" i="16"/>
  <c r="R224" i="16"/>
  <c r="N225" i="16"/>
  <c r="R225" i="16"/>
  <c r="N226" i="16"/>
  <c r="R226" i="16"/>
  <c r="N227" i="16"/>
  <c r="R227" i="16"/>
  <c r="N228" i="16"/>
  <c r="R228" i="16"/>
  <c r="N229" i="16"/>
  <c r="R229" i="16"/>
  <c r="N230" i="16"/>
  <c r="R230" i="16"/>
  <c r="N231" i="16"/>
  <c r="R231" i="16"/>
  <c r="N232" i="16"/>
  <c r="R232" i="16"/>
  <c r="N233" i="16"/>
  <c r="R233" i="16"/>
  <c r="N234" i="16"/>
  <c r="R234" i="16"/>
  <c r="N235" i="16"/>
  <c r="R235" i="16"/>
  <c r="N236" i="16"/>
  <c r="R236" i="16"/>
  <c r="N237" i="16"/>
  <c r="R237" i="16"/>
  <c r="N238" i="16"/>
  <c r="R238" i="16"/>
  <c r="N239" i="16"/>
  <c r="R239" i="16"/>
  <c r="N240" i="16"/>
  <c r="R240" i="16"/>
  <c r="N241" i="16"/>
  <c r="R241" i="16"/>
  <c r="N242" i="16"/>
  <c r="R242" i="16"/>
  <c r="N243" i="16"/>
  <c r="R243" i="16"/>
  <c r="N244" i="16"/>
  <c r="R244" i="16"/>
  <c r="N245" i="16"/>
  <c r="R245" i="16"/>
  <c r="N246" i="16"/>
  <c r="R246" i="16"/>
  <c r="N247" i="16"/>
  <c r="R247" i="16"/>
  <c r="N248" i="16"/>
  <c r="R248" i="16"/>
  <c r="N249" i="16"/>
  <c r="R249" i="16"/>
  <c r="N250" i="16"/>
  <c r="R250" i="16"/>
  <c r="N251" i="16"/>
  <c r="R251" i="16"/>
  <c r="N252" i="16"/>
  <c r="R252" i="16"/>
  <c r="N253" i="16"/>
  <c r="R253" i="16"/>
  <c r="N254" i="16"/>
  <c r="R254" i="16"/>
  <c r="N255" i="16"/>
  <c r="R255" i="16"/>
  <c r="N256" i="16"/>
  <c r="R256" i="16"/>
  <c r="N257" i="16"/>
  <c r="R257" i="16"/>
  <c r="N258" i="16"/>
  <c r="R258" i="16"/>
  <c r="N259" i="16"/>
  <c r="R259" i="16"/>
  <c r="N260" i="16"/>
  <c r="R260" i="16"/>
  <c r="N261" i="16"/>
  <c r="R261" i="16"/>
  <c r="N262" i="16"/>
  <c r="R262" i="16"/>
  <c r="N263" i="16"/>
  <c r="R263" i="16"/>
  <c r="N264" i="16"/>
  <c r="R264" i="16"/>
  <c r="N265" i="16"/>
  <c r="R265" i="16"/>
  <c r="N266" i="16"/>
  <c r="R266" i="16"/>
  <c r="N267" i="16"/>
  <c r="R267" i="16"/>
  <c r="N268" i="16"/>
  <c r="R268" i="16"/>
  <c r="N269" i="16"/>
  <c r="R269" i="16"/>
  <c r="N270" i="16"/>
  <c r="R270" i="16"/>
  <c r="N271" i="16"/>
  <c r="R271" i="16"/>
  <c r="N272" i="16"/>
  <c r="R272" i="16"/>
  <c r="N273" i="16"/>
  <c r="R273" i="16"/>
  <c r="N274" i="16"/>
  <c r="R274" i="16"/>
  <c r="N275" i="16"/>
  <c r="R275" i="16"/>
  <c r="N276" i="16"/>
  <c r="R276" i="16"/>
  <c r="N277" i="16"/>
  <c r="R277" i="16"/>
  <c r="N278" i="16"/>
  <c r="R278" i="16"/>
  <c r="N279" i="16"/>
  <c r="R279" i="16"/>
  <c r="N280" i="16"/>
  <c r="R280" i="16"/>
  <c r="N281" i="16"/>
  <c r="R281" i="16"/>
  <c r="N282" i="16"/>
  <c r="R282" i="16"/>
  <c r="N283" i="16"/>
  <c r="R283" i="16"/>
  <c r="N284" i="16"/>
  <c r="R284" i="16"/>
  <c r="N285" i="16"/>
  <c r="R285" i="16"/>
  <c r="N286" i="16"/>
  <c r="R286" i="16"/>
  <c r="N287" i="16"/>
  <c r="R287" i="16"/>
  <c r="N288" i="16"/>
  <c r="R288" i="16"/>
  <c r="N289" i="16"/>
  <c r="R289" i="16"/>
  <c r="N290" i="16"/>
  <c r="R290" i="16"/>
  <c r="N291" i="16"/>
  <c r="R291" i="16"/>
  <c r="N292" i="16"/>
  <c r="R292" i="16"/>
  <c r="N293" i="16"/>
  <c r="R293" i="16"/>
  <c r="N294" i="16"/>
  <c r="R294" i="16"/>
  <c r="N295" i="16"/>
  <c r="R295" i="16"/>
  <c r="N296" i="16"/>
  <c r="R296" i="16"/>
  <c r="N297" i="16"/>
  <c r="R297" i="16"/>
  <c r="N298" i="16"/>
  <c r="R298" i="16"/>
  <c r="N299" i="16"/>
  <c r="R299" i="16"/>
  <c r="N300" i="16"/>
  <c r="R300" i="16"/>
  <c r="N301" i="16"/>
  <c r="R301" i="16"/>
  <c r="N302" i="16"/>
  <c r="R302" i="16"/>
  <c r="N303" i="16"/>
  <c r="R303" i="16"/>
  <c r="N304" i="16"/>
  <c r="R304" i="16"/>
  <c r="N305" i="16"/>
  <c r="R305" i="16"/>
  <c r="N306" i="16"/>
  <c r="R306" i="16"/>
  <c r="N307" i="16"/>
  <c r="R307" i="16"/>
  <c r="N308" i="16"/>
  <c r="R308" i="16"/>
  <c r="N309" i="16"/>
  <c r="R309" i="16"/>
  <c r="N310" i="16"/>
  <c r="R310" i="16"/>
  <c r="N311" i="16"/>
  <c r="R311" i="16"/>
  <c r="N312" i="16"/>
  <c r="R312" i="16"/>
  <c r="N313" i="16"/>
  <c r="R313" i="16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W12" i="16"/>
  <c r="X12" i="16"/>
  <c r="Y12" i="16"/>
  <c r="Z12" i="16"/>
  <c r="AA12" i="16"/>
  <c r="V14" i="16"/>
  <c r="W14" i="16" a="1"/>
  <c r="W14" i="16"/>
  <c r="X14" i="16" a="1"/>
  <c r="X14" i="16"/>
  <c r="Y14" i="16" a="1"/>
  <c r="Y14" i="16"/>
  <c r="Z14" i="16" a="1"/>
  <c r="Z14" i="16"/>
  <c r="AA14" i="16" a="1"/>
  <c r="AA14" i="16"/>
  <c r="V15" i="16"/>
  <c r="W15" i="16" a="1"/>
  <c r="W15" i="16"/>
  <c r="X15" i="16" a="1"/>
  <c r="X15" i="16"/>
  <c r="Y15" i="16" a="1"/>
  <c r="Y15" i="16"/>
  <c r="Z15" i="16" a="1"/>
  <c r="Z15" i="16"/>
  <c r="AA15" i="16" a="1"/>
  <c r="AA15" i="16"/>
  <c r="V16" i="16"/>
  <c r="W16" i="16" a="1"/>
  <c r="W16" i="16"/>
  <c r="X16" i="16" a="1"/>
  <c r="X16" i="16"/>
  <c r="Y16" i="16" a="1"/>
  <c r="Y16" i="16"/>
  <c r="Z16" i="16" a="1"/>
  <c r="Z16" i="16"/>
  <c r="AA16" i="16" a="1"/>
  <c r="AA16" i="16"/>
  <c r="AB16" i="16"/>
  <c r="V17" i="16"/>
  <c r="W17" i="16" a="1"/>
  <c r="W17" i="16"/>
  <c r="X17" i="16" a="1"/>
  <c r="X17" i="16"/>
  <c r="Y17" i="16" a="1"/>
  <c r="Y17" i="16"/>
  <c r="Z17" i="16" a="1"/>
  <c r="Z17" i="16"/>
  <c r="AA17" i="16" a="1"/>
  <c r="AA17" i="16"/>
  <c r="V18" i="16"/>
  <c r="W18" i="16" a="1"/>
  <c r="W18" i="16"/>
  <c r="X18" i="16" a="1"/>
  <c r="X18" i="16"/>
  <c r="Y18" i="16" a="1"/>
  <c r="Y18" i="16"/>
  <c r="Z18" i="16" a="1"/>
  <c r="Z18" i="16"/>
  <c r="AA18" i="16" a="1"/>
  <c r="AA18" i="16"/>
  <c r="V19" i="16"/>
  <c r="W19" i="16" a="1"/>
  <c r="W19" i="16"/>
  <c r="X19" i="16" a="1"/>
  <c r="X19" i="16"/>
  <c r="Y19" i="16" a="1"/>
  <c r="Y19" i="16"/>
  <c r="Z19" i="16" a="1"/>
  <c r="Z19" i="16"/>
  <c r="AA19" i="16" a="1"/>
  <c r="AA19" i="16"/>
  <c r="V20" i="16"/>
  <c r="W20" i="16" a="1"/>
  <c r="W20" i="16"/>
  <c r="X20" i="16" a="1"/>
  <c r="X20" i="16"/>
  <c r="Y20" i="16" a="1"/>
  <c r="Y20" i="16"/>
  <c r="Z20" i="16" a="1"/>
  <c r="Z20" i="16"/>
  <c r="AA20" i="16" a="1"/>
  <c r="AA20" i="16"/>
  <c r="V21" i="16"/>
  <c r="W21" i="16" a="1"/>
  <c r="W21" i="16"/>
  <c r="X21" i="16" a="1"/>
  <c r="X21" i="16"/>
  <c r="Y21" i="16" a="1"/>
  <c r="Y21" i="16"/>
  <c r="Z21" i="16" a="1"/>
  <c r="Z21" i="16"/>
  <c r="AA21" i="16" a="1"/>
  <c r="AA21" i="16"/>
  <c r="V22" i="16"/>
  <c r="W22" i="16" a="1"/>
  <c r="W22" i="16"/>
  <c r="X22" i="16" a="1"/>
  <c r="X22" i="16"/>
  <c r="Y22" i="16" a="1"/>
  <c r="Y22" i="16"/>
  <c r="Z22" i="16" a="1"/>
  <c r="Z22" i="16"/>
  <c r="AA22" i="16" a="1"/>
  <c r="AA22" i="16"/>
  <c r="V23" i="16"/>
  <c r="W23" i="16" a="1"/>
  <c r="W23" i="16"/>
  <c r="X23" i="16" a="1"/>
  <c r="X23" i="16"/>
  <c r="Y23" i="16" a="1"/>
  <c r="Y23" i="16"/>
  <c r="Z23" i="16" a="1"/>
  <c r="Z23" i="16"/>
  <c r="AA23" i="16" a="1"/>
  <c r="AA23" i="16"/>
  <c r="V24" i="16"/>
  <c r="W24" i="16" a="1"/>
  <c r="W24" i="16"/>
  <c r="X24" i="16" a="1"/>
  <c r="X24" i="16"/>
  <c r="Y24" i="16" a="1"/>
  <c r="Y24" i="16"/>
  <c r="Z24" i="16" a="1"/>
  <c r="Z24" i="16"/>
  <c r="AA24" i="16" a="1"/>
  <c r="AA24" i="16"/>
  <c r="V25" i="16"/>
  <c r="W25" i="16" a="1"/>
  <c r="W25" i="16"/>
  <c r="X25" i="16" a="1"/>
  <c r="X25" i="16"/>
  <c r="Y25" i="16" a="1"/>
  <c r="Y25" i="16"/>
  <c r="Z25" i="16" a="1"/>
  <c r="Z25" i="16"/>
  <c r="AA25" i="16" a="1"/>
  <c r="AA25" i="16"/>
  <c r="V26" i="16"/>
  <c r="W26" i="16" a="1"/>
  <c r="W26" i="16"/>
  <c r="X26" i="16" a="1"/>
  <c r="X26" i="16"/>
  <c r="Y26" i="16" a="1"/>
  <c r="Y26" i="16"/>
  <c r="Z26" i="16" a="1"/>
  <c r="Z26" i="16"/>
  <c r="AA26" i="16" a="1"/>
  <c r="AA26" i="16"/>
  <c r="V27" i="16"/>
  <c r="W27" i="16" a="1"/>
  <c r="W27" i="16"/>
  <c r="X27" i="16" a="1"/>
  <c r="X27" i="16"/>
  <c r="Y27" i="16" a="1"/>
  <c r="Y27" i="16"/>
  <c r="Z27" i="16" a="1"/>
  <c r="Z27" i="16"/>
  <c r="AA27" i="16" a="1"/>
  <c r="AA27" i="16"/>
  <c r="V28" i="16"/>
  <c r="W28" i="16" a="1"/>
  <c r="W28" i="16"/>
  <c r="X28" i="16" a="1"/>
  <c r="X28" i="16"/>
  <c r="Y28" i="16" a="1"/>
  <c r="Y28" i="16"/>
  <c r="Z28" i="16" a="1"/>
  <c r="Z28" i="16"/>
  <c r="AA28" i="16" a="1"/>
  <c r="AA28" i="16"/>
  <c r="V29" i="16"/>
  <c r="W29" i="16" a="1"/>
  <c r="W29" i="16"/>
  <c r="X29" i="16" a="1"/>
  <c r="X29" i="16"/>
  <c r="Y29" i="16" a="1"/>
  <c r="Y29" i="16"/>
  <c r="Z29" i="16" a="1"/>
  <c r="Z29" i="16"/>
  <c r="AA29" i="16" a="1"/>
  <c r="AA29" i="16"/>
  <c r="V30" i="16"/>
  <c r="W30" i="16" a="1"/>
  <c r="W30" i="16"/>
  <c r="X30" i="16" a="1"/>
  <c r="X30" i="16"/>
  <c r="Y30" i="16" a="1"/>
  <c r="Y30" i="16"/>
  <c r="Z30" i="16" a="1"/>
  <c r="Z30" i="16"/>
  <c r="AA30" i="16" a="1"/>
  <c r="AA30" i="16"/>
  <c r="V31" i="16"/>
  <c r="W31" i="16" a="1"/>
  <c r="W31" i="16"/>
  <c r="X31" i="16" a="1"/>
  <c r="X31" i="16"/>
  <c r="Y31" i="16" a="1"/>
  <c r="Y31" i="16"/>
  <c r="Z31" i="16" a="1"/>
  <c r="Z31" i="16"/>
  <c r="AA31" i="16" a="1"/>
  <c r="AA31" i="16"/>
  <c r="V32" i="16"/>
  <c r="W32" i="16" a="1"/>
  <c r="W32" i="16"/>
  <c r="X32" i="16" a="1"/>
  <c r="X32" i="16"/>
  <c r="Y32" i="16" a="1"/>
  <c r="Y32" i="16"/>
  <c r="Z32" i="16" a="1"/>
  <c r="Z32" i="16"/>
  <c r="AA32" i="16" a="1"/>
  <c r="AA32" i="16"/>
  <c r="V33" i="16"/>
  <c r="W33" i="16" a="1"/>
  <c r="W33" i="16"/>
  <c r="X33" i="16" a="1"/>
  <c r="X33" i="16"/>
  <c r="Y33" i="16" a="1"/>
  <c r="Y33" i="16"/>
  <c r="Z33" i="16" a="1"/>
  <c r="Z33" i="16"/>
  <c r="AA33" i="16" a="1"/>
  <c r="AA33" i="16"/>
  <c r="V34" i="16"/>
  <c r="W34" i="16" a="1"/>
  <c r="W34" i="16"/>
  <c r="X34" i="16" a="1"/>
  <c r="X34" i="16"/>
  <c r="Y34" i="16" a="1"/>
  <c r="Y34" i="16"/>
  <c r="Z34" i="16" a="1"/>
  <c r="Z34" i="16"/>
  <c r="AA34" i="16" a="1"/>
  <c r="AA34" i="16"/>
  <c r="V35" i="16"/>
  <c r="W35" i="16" a="1"/>
  <c r="W35" i="16"/>
  <c r="X35" i="16" a="1"/>
  <c r="X35" i="16"/>
  <c r="Y35" i="16" a="1"/>
  <c r="Y35" i="16"/>
  <c r="Z35" i="16" a="1"/>
  <c r="Z35" i="16"/>
  <c r="AA35" i="16" a="1"/>
  <c r="AA35" i="16"/>
  <c r="V36" i="16"/>
  <c r="W36" i="16" a="1"/>
  <c r="W36" i="16"/>
  <c r="X36" i="16" a="1"/>
  <c r="X36" i="16"/>
  <c r="Y36" i="16" a="1"/>
  <c r="Y36" i="16"/>
  <c r="Z36" i="16" a="1"/>
  <c r="Z36" i="16"/>
  <c r="AA36" i="16" a="1"/>
  <c r="AA36" i="16"/>
  <c r="V37" i="16"/>
  <c r="W37" i="16" a="1"/>
  <c r="W37" i="16"/>
  <c r="X37" i="16" a="1"/>
  <c r="X37" i="16"/>
  <c r="Y37" i="16" a="1"/>
  <c r="Y37" i="16"/>
  <c r="Z37" i="16" a="1"/>
  <c r="Z37" i="16"/>
  <c r="AA37" i="16" a="1"/>
  <c r="AA37" i="16"/>
  <c r="V38" i="16"/>
  <c r="W38" i="16" a="1"/>
  <c r="W38" i="16"/>
  <c r="X38" i="16" a="1"/>
  <c r="X38" i="16"/>
  <c r="Y38" i="16" a="1"/>
  <c r="Y38" i="16"/>
  <c r="Z38" i="16" a="1"/>
  <c r="Z38" i="16"/>
  <c r="AA38" i="16" a="1"/>
  <c r="AA38" i="16"/>
  <c r="V39" i="16"/>
  <c r="W39" i="16" a="1"/>
  <c r="W39" i="16"/>
  <c r="X39" i="16" a="1"/>
  <c r="X39" i="16"/>
  <c r="Y39" i="16" a="1"/>
  <c r="Y39" i="16"/>
  <c r="Z39" i="16" a="1"/>
  <c r="Z39" i="16"/>
  <c r="AA39" i="16" a="1"/>
  <c r="AA39" i="16"/>
  <c r="V40" i="16"/>
  <c r="W40" i="16" a="1"/>
  <c r="W40" i="16"/>
  <c r="X40" i="16" a="1"/>
  <c r="X40" i="16"/>
  <c r="Y40" i="16" a="1"/>
  <c r="Y40" i="16"/>
  <c r="Z40" i="16" a="1"/>
  <c r="Z40" i="16"/>
  <c r="AA40" i="16" a="1"/>
  <c r="AA40" i="16"/>
  <c r="V41" i="16"/>
  <c r="W41" i="16" a="1"/>
  <c r="W41" i="16"/>
  <c r="X41" i="16" a="1"/>
  <c r="X41" i="16"/>
  <c r="Y41" i="16" a="1"/>
  <c r="Y41" i="16"/>
  <c r="Z41" i="16" a="1"/>
  <c r="Z41" i="16"/>
  <c r="AA41" i="16" a="1"/>
  <c r="AA41" i="16"/>
  <c r="V42" i="16"/>
  <c r="W42" i="16" a="1"/>
  <c r="W42" i="16"/>
  <c r="X42" i="16" a="1"/>
  <c r="X42" i="16"/>
  <c r="Y42" i="16" a="1"/>
  <c r="Y42" i="16"/>
  <c r="Z42" i="16" a="1"/>
  <c r="Z42" i="16"/>
  <c r="AA42" i="16" a="1"/>
  <c r="AA42" i="16"/>
  <c r="V43" i="16"/>
  <c r="W43" i="16" a="1"/>
  <c r="W43" i="16"/>
  <c r="X43" i="16" a="1"/>
  <c r="X43" i="16"/>
  <c r="Y43" i="16" a="1"/>
  <c r="Y43" i="16"/>
  <c r="Z43" i="16" a="1"/>
  <c r="Z43" i="16"/>
  <c r="AA43" i="16" a="1"/>
  <c r="AA43" i="16"/>
  <c r="V44" i="16"/>
  <c r="W44" i="16" a="1"/>
  <c r="W44" i="16"/>
  <c r="X44" i="16" a="1"/>
  <c r="X44" i="16"/>
  <c r="Y44" i="16" a="1"/>
  <c r="Y44" i="16"/>
  <c r="Z44" i="16" a="1"/>
  <c r="Z44" i="16"/>
  <c r="AA44" i="16" a="1"/>
  <c r="AA44" i="16"/>
  <c r="V45" i="16"/>
  <c r="W45" i="16" a="1"/>
  <c r="W45" i="16"/>
  <c r="X45" i="16" a="1"/>
  <c r="X45" i="16"/>
  <c r="Y45" i="16" a="1"/>
  <c r="Y45" i="16"/>
  <c r="Z45" i="16" a="1"/>
  <c r="Z45" i="16"/>
  <c r="AA45" i="16" a="1"/>
  <c r="AA45" i="16"/>
  <c r="V46" i="16"/>
  <c r="W46" i="16" a="1"/>
  <c r="W46" i="16"/>
  <c r="X46" i="16" a="1"/>
  <c r="X46" i="16"/>
  <c r="Y46" i="16" a="1"/>
  <c r="Y46" i="16"/>
  <c r="Z46" i="16" a="1"/>
  <c r="Z46" i="16"/>
  <c r="AA46" i="16" a="1"/>
  <c r="AA46" i="16"/>
  <c r="V47" i="16"/>
  <c r="W47" i="16" a="1"/>
  <c r="W47" i="16"/>
  <c r="X47" i="16" a="1"/>
  <c r="X47" i="16"/>
  <c r="Y47" i="16" a="1"/>
  <c r="Y47" i="16"/>
  <c r="Z47" i="16" a="1"/>
  <c r="Z47" i="16"/>
  <c r="AA47" i="16" a="1"/>
  <c r="AA47" i="16"/>
  <c r="V48" i="16"/>
  <c r="W48" i="16" a="1"/>
  <c r="W48" i="16"/>
  <c r="X48" i="16" a="1"/>
  <c r="X48" i="16"/>
  <c r="Y48" i="16" a="1"/>
  <c r="Y48" i="16"/>
  <c r="Z48" i="16" a="1"/>
  <c r="Z48" i="16"/>
  <c r="AA48" i="16" a="1"/>
  <c r="AA48" i="16"/>
  <c r="V49" i="16"/>
  <c r="W49" i="16" a="1"/>
  <c r="W49" i="16"/>
  <c r="X49" i="16" a="1"/>
  <c r="X49" i="16"/>
  <c r="Y49" i="16" a="1"/>
  <c r="Y49" i="16"/>
  <c r="Z49" i="16" a="1"/>
  <c r="Z49" i="16"/>
  <c r="AA49" i="16" a="1"/>
  <c r="AA49" i="16"/>
  <c r="V50" i="16"/>
  <c r="W50" i="16" a="1"/>
  <c r="W50" i="16"/>
  <c r="X50" i="16" a="1"/>
  <c r="X50" i="16"/>
  <c r="Y50" i="16" a="1"/>
  <c r="Y50" i="16"/>
  <c r="Z50" i="16" a="1"/>
  <c r="Z50" i="16"/>
  <c r="AA50" i="16" a="1"/>
  <c r="AA50" i="16"/>
  <c r="V51" i="16"/>
  <c r="W51" i="16" a="1"/>
  <c r="W51" i="16"/>
  <c r="X51" i="16" a="1"/>
  <c r="X51" i="16"/>
  <c r="Y51" i="16" a="1"/>
  <c r="Y51" i="16"/>
  <c r="Z51" i="16" a="1"/>
  <c r="Z51" i="16"/>
  <c r="AA51" i="16" a="1"/>
  <c r="AA51" i="16"/>
  <c r="V52" i="16"/>
  <c r="W52" i="16" a="1"/>
  <c r="W52" i="16"/>
  <c r="X52" i="16" a="1"/>
  <c r="X52" i="16"/>
  <c r="Y52" i="16" a="1"/>
  <c r="Y52" i="16"/>
  <c r="Z52" i="16" a="1"/>
  <c r="Z52" i="16"/>
  <c r="AA52" i="16" a="1"/>
  <c r="AA52" i="16"/>
  <c r="V53" i="16"/>
  <c r="W53" i="16" a="1"/>
  <c r="W53" i="16"/>
  <c r="X53" i="16" a="1"/>
  <c r="X53" i="16"/>
  <c r="Y53" i="16" a="1"/>
  <c r="Y53" i="16"/>
  <c r="Z53" i="16" a="1"/>
  <c r="Z53" i="16"/>
  <c r="AA53" i="16" a="1"/>
  <c r="AA53" i="16"/>
  <c r="V54" i="16"/>
  <c r="W54" i="16" a="1"/>
  <c r="W54" i="16"/>
  <c r="X54" i="16" a="1"/>
  <c r="X54" i="16"/>
  <c r="Y54" i="16" a="1"/>
  <c r="Y54" i="16"/>
  <c r="Z54" i="16" a="1"/>
  <c r="Z54" i="16"/>
  <c r="AA54" i="16" a="1"/>
  <c r="AA54" i="16"/>
  <c r="V55" i="16"/>
  <c r="W55" i="16" a="1"/>
  <c r="W55" i="16"/>
  <c r="X55" i="16" a="1"/>
  <c r="X55" i="16"/>
  <c r="Y55" i="16" a="1"/>
  <c r="Y55" i="16"/>
  <c r="Z55" i="16" a="1"/>
  <c r="Z55" i="16"/>
  <c r="AA55" i="16" a="1"/>
  <c r="AA55" i="16"/>
  <c r="V56" i="16"/>
  <c r="W56" i="16" a="1"/>
  <c r="W56" i="16"/>
  <c r="X56" i="16" a="1"/>
  <c r="X56" i="16"/>
  <c r="Y56" i="16" a="1"/>
  <c r="Y56" i="16"/>
  <c r="Z56" i="16" a="1"/>
  <c r="Z56" i="16"/>
  <c r="AA56" i="16" a="1"/>
  <c r="AA56" i="16"/>
  <c r="V57" i="16"/>
  <c r="W57" i="16" a="1"/>
  <c r="W57" i="16"/>
  <c r="X57" i="16" a="1"/>
  <c r="X57" i="16"/>
  <c r="Y57" i="16" a="1"/>
  <c r="Y57" i="16"/>
  <c r="Z57" i="16" a="1"/>
  <c r="Z57" i="16"/>
  <c r="AA57" i="16" a="1"/>
  <c r="AA57" i="16"/>
  <c r="V58" i="16"/>
  <c r="W58" i="16" a="1"/>
  <c r="W58" i="16"/>
  <c r="X58" i="16" a="1"/>
  <c r="X58" i="16"/>
  <c r="Y58" i="16" a="1"/>
  <c r="Y58" i="16"/>
  <c r="Z58" i="16" a="1"/>
  <c r="Z58" i="16"/>
  <c r="AA58" i="16" a="1"/>
  <c r="AA58" i="16"/>
  <c r="V59" i="16"/>
  <c r="W59" i="16" a="1"/>
  <c r="W59" i="16"/>
  <c r="X59" i="16" a="1"/>
  <c r="X59" i="16"/>
  <c r="Y59" i="16" a="1"/>
  <c r="Y59" i="16"/>
  <c r="Z59" i="16" a="1"/>
  <c r="Z59" i="16"/>
  <c r="AA59" i="16" a="1"/>
  <c r="AA59" i="16"/>
  <c r="V60" i="16"/>
  <c r="W60" i="16" a="1"/>
  <c r="W60" i="16"/>
  <c r="X60" i="16" a="1"/>
  <c r="X60" i="16"/>
  <c r="Y60" i="16" a="1"/>
  <c r="Y60" i="16"/>
  <c r="Z60" i="16" a="1"/>
  <c r="Z60" i="16"/>
  <c r="AA60" i="16" a="1"/>
  <c r="AA60" i="16"/>
  <c r="V61" i="16"/>
  <c r="W61" i="16" a="1"/>
  <c r="W61" i="16"/>
  <c r="X61" i="16" a="1"/>
  <c r="X61" i="16"/>
  <c r="Y61" i="16" a="1"/>
  <c r="Y61" i="16"/>
  <c r="Z61" i="16" a="1"/>
  <c r="Z61" i="16"/>
  <c r="AA61" i="16" a="1"/>
  <c r="AA61" i="16"/>
  <c r="V62" i="16"/>
  <c r="W62" i="16" a="1"/>
  <c r="W62" i="16"/>
  <c r="X62" i="16" a="1"/>
  <c r="X62" i="16"/>
  <c r="Y62" i="16" a="1"/>
  <c r="Y62" i="16"/>
  <c r="Z62" i="16" a="1"/>
  <c r="Z62" i="16"/>
  <c r="AA62" i="16" a="1"/>
  <c r="AA62" i="16"/>
  <c r="V63" i="16"/>
  <c r="W63" i="16" a="1"/>
  <c r="W63" i="16"/>
  <c r="X63" i="16" a="1"/>
  <c r="X63" i="16"/>
  <c r="Y63" i="16" a="1"/>
  <c r="Y63" i="16"/>
  <c r="Z63" i="16" a="1"/>
  <c r="Z63" i="16"/>
  <c r="AA63" i="16" a="1"/>
  <c r="AA63" i="16"/>
  <c r="V64" i="16"/>
  <c r="W64" i="16" a="1"/>
  <c r="W64" i="16"/>
  <c r="X64" i="16" a="1"/>
  <c r="X64" i="16"/>
  <c r="Y64" i="16" a="1"/>
  <c r="Y64" i="16"/>
  <c r="Z64" i="16" a="1"/>
  <c r="Z64" i="16"/>
  <c r="AA64" i="16" a="1"/>
  <c r="AA64" i="16"/>
  <c r="V65" i="16"/>
  <c r="W65" i="16" a="1"/>
  <c r="W65" i="16"/>
  <c r="X65" i="16" a="1"/>
  <c r="X65" i="16"/>
  <c r="Y65" i="16" a="1"/>
  <c r="Y65" i="16"/>
  <c r="Z65" i="16" a="1"/>
  <c r="Z65" i="16"/>
  <c r="AA65" i="16" a="1"/>
  <c r="AA65" i="16"/>
  <c r="V66" i="16"/>
  <c r="W66" i="16" a="1"/>
  <c r="W66" i="16"/>
  <c r="X66" i="16" a="1"/>
  <c r="X66" i="16"/>
  <c r="Y66" i="16" a="1"/>
  <c r="Y66" i="16"/>
  <c r="Z66" i="16" a="1"/>
  <c r="Z66" i="16"/>
  <c r="AA66" i="16" a="1"/>
  <c r="AA66" i="16"/>
  <c r="V67" i="16"/>
  <c r="W67" i="16" a="1"/>
  <c r="W67" i="16"/>
  <c r="X67" i="16" a="1"/>
  <c r="X67" i="16"/>
  <c r="Y67" i="16" a="1"/>
  <c r="Y67" i="16"/>
  <c r="Z67" i="16" a="1"/>
  <c r="Z67" i="16"/>
  <c r="AA67" i="16" a="1"/>
  <c r="AA67" i="16"/>
  <c r="V68" i="16"/>
  <c r="W68" i="16" a="1"/>
  <c r="W68" i="16"/>
  <c r="X68" i="16" a="1"/>
  <c r="X68" i="16"/>
  <c r="Y68" i="16" a="1"/>
  <c r="Y68" i="16"/>
  <c r="Z68" i="16" a="1"/>
  <c r="Z68" i="16"/>
  <c r="AA68" i="16" a="1"/>
  <c r="AA68" i="16"/>
  <c r="V69" i="16"/>
  <c r="W69" i="16" a="1"/>
  <c r="W69" i="16"/>
  <c r="X69" i="16" a="1"/>
  <c r="X69" i="16"/>
  <c r="Y69" i="16" a="1"/>
  <c r="Y69" i="16"/>
  <c r="Z69" i="16" a="1"/>
  <c r="Z69" i="16"/>
  <c r="AA69" i="16" a="1"/>
  <c r="AA69" i="16"/>
  <c r="V70" i="16"/>
  <c r="W70" i="16" a="1"/>
  <c r="W70" i="16"/>
  <c r="X70" i="16" a="1"/>
  <c r="X70" i="16"/>
  <c r="Y70" i="16" a="1"/>
  <c r="Y70" i="16"/>
  <c r="Z70" i="16" a="1"/>
  <c r="Z70" i="16"/>
  <c r="AA70" i="16" a="1"/>
  <c r="AA70" i="16"/>
  <c r="V71" i="16"/>
  <c r="W71" i="16" a="1"/>
  <c r="W71" i="16"/>
  <c r="X71" i="16" a="1"/>
  <c r="X71" i="16"/>
  <c r="Y71" i="16" a="1"/>
  <c r="Y71" i="16"/>
  <c r="Z71" i="16" a="1"/>
  <c r="Z71" i="16"/>
  <c r="AA71" i="16" a="1"/>
  <c r="AA71" i="16"/>
  <c r="V72" i="16"/>
  <c r="W72" i="16" a="1"/>
  <c r="W72" i="16"/>
  <c r="X72" i="16" a="1"/>
  <c r="X72" i="16"/>
  <c r="Y72" i="16" a="1"/>
  <c r="Y72" i="16"/>
  <c r="Z72" i="16" a="1"/>
  <c r="Z72" i="16"/>
  <c r="AA72" i="16" a="1"/>
  <c r="AA72" i="16"/>
  <c r="V73" i="16"/>
  <c r="W73" i="16" a="1"/>
  <c r="W73" i="16"/>
  <c r="X73" i="16" a="1"/>
  <c r="X73" i="16"/>
  <c r="Y73" i="16" a="1"/>
  <c r="Y73" i="16"/>
  <c r="Z73" i="16" a="1"/>
  <c r="Z73" i="16"/>
  <c r="AA73" i="16" a="1"/>
  <c r="AA73" i="16"/>
  <c r="V74" i="16"/>
  <c r="W74" i="16" a="1"/>
  <c r="W74" i="16"/>
  <c r="X74" i="16" a="1"/>
  <c r="X74" i="16"/>
  <c r="Y74" i="16" a="1"/>
  <c r="Y74" i="16"/>
  <c r="Z74" i="16" a="1"/>
  <c r="Z74" i="16"/>
  <c r="AA74" i="16" a="1"/>
  <c r="AA74" i="16"/>
  <c r="V75" i="16"/>
  <c r="W75" i="16" a="1"/>
  <c r="W75" i="16"/>
  <c r="X75" i="16" a="1"/>
  <c r="X75" i="16"/>
  <c r="Y75" i="16" a="1"/>
  <c r="Y75" i="16"/>
  <c r="Z75" i="16" a="1"/>
  <c r="Z75" i="16"/>
  <c r="AA75" i="16" a="1"/>
  <c r="AA75" i="16"/>
  <c r="V76" i="16"/>
  <c r="W76" i="16" a="1"/>
  <c r="W76" i="16"/>
  <c r="X76" i="16" a="1"/>
  <c r="X76" i="16"/>
  <c r="Y76" i="16" a="1"/>
  <c r="Y76" i="16"/>
  <c r="Z76" i="16" a="1"/>
  <c r="Z76" i="16"/>
  <c r="AA76" i="16" a="1"/>
  <c r="AA76" i="16"/>
  <c r="V77" i="16"/>
  <c r="W77" i="16" a="1"/>
  <c r="W77" i="16"/>
  <c r="X77" i="16" a="1"/>
  <c r="X77" i="16"/>
  <c r="Y77" i="16" a="1"/>
  <c r="Y77" i="16"/>
  <c r="Z77" i="16" a="1"/>
  <c r="Z77" i="16"/>
  <c r="AA77" i="16" a="1"/>
  <c r="AA77" i="16"/>
  <c r="V78" i="16"/>
  <c r="W78" i="16" a="1"/>
  <c r="W78" i="16"/>
  <c r="X78" i="16" a="1"/>
  <c r="X78" i="16"/>
  <c r="Y78" i="16" a="1"/>
  <c r="Y78" i="16"/>
  <c r="Z78" i="16" a="1"/>
  <c r="Z78" i="16"/>
  <c r="AA78" i="16" a="1"/>
  <c r="AA78" i="16"/>
  <c r="V79" i="16"/>
  <c r="W79" i="16" a="1"/>
  <c r="W79" i="16"/>
  <c r="X79" i="16" a="1"/>
  <c r="X79" i="16"/>
  <c r="Y79" i="16" a="1"/>
  <c r="Y79" i="16"/>
  <c r="Z79" i="16" a="1"/>
  <c r="Z79" i="16"/>
  <c r="AA79" i="16" a="1"/>
  <c r="AA79" i="16"/>
  <c r="V80" i="16"/>
  <c r="W80" i="16" a="1"/>
  <c r="W80" i="16"/>
  <c r="X80" i="16" a="1"/>
  <c r="X80" i="16"/>
  <c r="Y80" i="16" a="1"/>
  <c r="Y80" i="16"/>
  <c r="Z80" i="16" a="1"/>
  <c r="Z80" i="16"/>
  <c r="AA80" i="16" a="1"/>
  <c r="AA80" i="16"/>
  <c r="V81" i="16"/>
  <c r="W81" i="16" a="1"/>
  <c r="W81" i="16"/>
  <c r="X81" i="16" a="1"/>
  <c r="X81" i="16"/>
  <c r="Y81" i="16" a="1"/>
  <c r="Y81" i="16"/>
  <c r="Z81" i="16" a="1"/>
  <c r="Z81" i="16"/>
  <c r="AA81" i="16" a="1"/>
  <c r="AA81" i="16"/>
  <c r="V82" i="16"/>
  <c r="W82" i="16" a="1"/>
  <c r="W82" i="16"/>
  <c r="X82" i="16" a="1"/>
  <c r="X82" i="16"/>
  <c r="Y82" i="16" a="1"/>
  <c r="Y82" i="16"/>
  <c r="Z82" i="16" a="1"/>
  <c r="Z82" i="16"/>
  <c r="AA82" i="16" a="1"/>
  <c r="AA82" i="16"/>
  <c r="V83" i="16"/>
  <c r="W83" i="16" a="1"/>
  <c r="W83" i="16"/>
  <c r="X83" i="16" a="1"/>
  <c r="X83" i="16"/>
  <c r="Y83" i="16" a="1"/>
  <c r="Y83" i="16"/>
  <c r="Z83" i="16" a="1"/>
  <c r="Z83" i="16"/>
  <c r="AA83" i="16" a="1"/>
  <c r="AA83" i="16"/>
  <c r="V84" i="16"/>
  <c r="W84" i="16" a="1"/>
  <c r="W84" i="16"/>
  <c r="X84" i="16" a="1"/>
  <c r="X84" i="16"/>
  <c r="Y84" i="16" a="1"/>
  <c r="Y84" i="16"/>
  <c r="Z84" i="16" a="1"/>
  <c r="Z84" i="16"/>
  <c r="AA84" i="16" a="1"/>
  <c r="AA84" i="16"/>
  <c r="V85" i="16"/>
  <c r="W85" i="16" a="1"/>
  <c r="W85" i="16"/>
  <c r="X85" i="16" a="1"/>
  <c r="X85" i="16"/>
  <c r="Y85" i="16" a="1"/>
  <c r="Y85" i="16"/>
  <c r="Z85" i="16" a="1"/>
  <c r="Z85" i="16"/>
  <c r="AA85" i="16" a="1"/>
  <c r="AA85" i="16"/>
  <c r="V86" i="16"/>
  <c r="W86" i="16" a="1"/>
  <c r="W86" i="16"/>
  <c r="X86" i="16" a="1"/>
  <c r="X86" i="16"/>
  <c r="Y86" i="16" a="1"/>
  <c r="Y86" i="16"/>
  <c r="Z86" i="16" a="1"/>
  <c r="Z86" i="16"/>
  <c r="AA86" i="16" a="1"/>
  <c r="AA86" i="16"/>
  <c r="V87" i="16"/>
  <c r="W87" i="16" a="1"/>
  <c r="W87" i="16"/>
  <c r="X87" i="16" a="1"/>
  <c r="X87" i="16"/>
  <c r="Y87" i="16" a="1"/>
  <c r="Y87" i="16"/>
  <c r="Z87" i="16" a="1"/>
  <c r="Z87" i="16"/>
  <c r="AA87" i="16" a="1"/>
  <c r="AA87" i="16"/>
  <c r="V88" i="16"/>
  <c r="W88" i="16" a="1"/>
  <c r="W88" i="16"/>
  <c r="X88" i="16" a="1"/>
  <c r="X88" i="16"/>
  <c r="Y88" i="16" a="1"/>
  <c r="Y88" i="16"/>
  <c r="Z88" i="16" a="1"/>
  <c r="Z88" i="16"/>
  <c r="AA88" i="16" a="1"/>
  <c r="AA88" i="16"/>
  <c r="V89" i="16"/>
  <c r="W89" i="16" a="1"/>
  <c r="W89" i="16"/>
  <c r="X89" i="16" a="1"/>
  <c r="X89" i="16"/>
  <c r="Y89" i="16" a="1"/>
  <c r="Y89" i="16"/>
  <c r="Z89" i="16" a="1"/>
  <c r="Z89" i="16"/>
  <c r="AA89" i="16" a="1"/>
  <c r="AA89" i="16"/>
  <c r="V90" i="16"/>
  <c r="W90" i="16" a="1"/>
  <c r="W90" i="16"/>
  <c r="X90" i="16" a="1"/>
  <c r="X90" i="16"/>
  <c r="Y90" i="16" a="1"/>
  <c r="Y90" i="16"/>
  <c r="Z90" i="16" a="1"/>
  <c r="Z90" i="16"/>
  <c r="AA90" i="16" a="1"/>
  <c r="AA90" i="16"/>
  <c r="V91" i="16"/>
  <c r="W91" i="16" a="1"/>
  <c r="W91" i="16"/>
  <c r="X91" i="16" a="1"/>
  <c r="X91" i="16"/>
  <c r="Y91" i="16" a="1"/>
  <c r="Y91" i="16"/>
  <c r="Z91" i="16" a="1"/>
  <c r="Z91" i="16"/>
  <c r="AA91" i="16" a="1"/>
  <c r="AA91" i="16"/>
  <c r="V92" i="16"/>
  <c r="W92" i="16" a="1"/>
  <c r="W92" i="16"/>
  <c r="X92" i="16" a="1"/>
  <c r="X92" i="16"/>
  <c r="Y92" i="16" a="1"/>
  <c r="Y92" i="16"/>
  <c r="Z92" i="16" a="1"/>
  <c r="Z92" i="16"/>
  <c r="AA92" i="16" a="1"/>
  <c r="AA92" i="16"/>
  <c r="V93" i="16"/>
  <c r="W93" i="16" a="1"/>
  <c r="W93" i="16"/>
  <c r="X93" i="16" a="1"/>
  <c r="X93" i="16"/>
  <c r="Y93" i="16" a="1"/>
  <c r="Y93" i="16"/>
  <c r="Z93" i="16" a="1"/>
  <c r="Z93" i="16"/>
  <c r="AA93" i="16" a="1"/>
  <c r="AA93" i="16"/>
  <c r="V94" i="16"/>
  <c r="W94" i="16" a="1"/>
  <c r="W94" i="16"/>
  <c r="X94" i="16" a="1"/>
  <c r="X94" i="16"/>
  <c r="Y94" i="16" a="1"/>
  <c r="Y94" i="16"/>
  <c r="Z94" i="16" a="1"/>
  <c r="Z94" i="16"/>
  <c r="AA94" i="16" a="1"/>
  <c r="AA94" i="16"/>
  <c r="V95" i="16"/>
  <c r="W95" i="16" a="1"/>
  <c r="W95" i="16"/>
  <c r="X95" i="16" a="1"/>
  <c r="X95" i="16"/>
  <c r="Y95" i="16" a="1"/>
  <c r="Y95" i="16"/>
  <c r="Z95" i="16" a="1"/>
  <c r="Z95" i="16"/>
  <c r="AA95" i="16" a="1"/>
  <c r="AA95" i="16"/>
  <c r="V96" i="16"/>
  <c r="W96" i="16" a="1"/>
  <c r="W96" i="16"/>
  <c r="X96" i="16" a="1"/>
  <c r="X96" i="16"/>
  <c r="Y96" i="16" a="1"/>
  <c r="Y96" i="16"/>
  <c r="Z96" i="16" a="1"/>
  <c r="Z96" i="16"/>
  <c r="AA96" i="16" a="1"/>
  <c r="AA96" i="16"/>
  <c r="V97" i="16"/>
  <c r="W97" i="16" a="1"/>
  <c r="W97" i="16"/>
  <c r="X97" i="16" a="1"/>
  <c r="X97" i="16"/>
  <c r="Y97" i="16" a="1"/>
  <c r="Y97" i="16"/>
  <c r="Z97" i="16" a="1"/>
  <c r="Z97" i="16"/>
  <c r="AA97" i="16" a="1"/>
  <c r="AA97" i="16"/>
  <c r="V98" i="16"/>
  <c r="W98" i="16" a="1"/>
  <c r="W98" i="16"/>
  <c r="X98" i="16" a="1"/>
  <c r="X98" i="16"/>
  <c r="Y98" i="16" a="1"/>
  <c r="Y98" i="16"/>
  <c r="Z98" i="16" a="1"/>
  <c r="Z98" i="16"/>
  <c r="AA98" i="16" a="1"/>
  <c r="AA98" i="16"/>
  <c r="V99" i="16"/>
  <c r="W99" i="16" a="1"/>
  <c r="W99" i="16"/>
  <c r="X99" i="16" a="1"/>
  <c r="X99" i="16"/>
  <c r="Y99" i="16" a="1"/>
  <c r="Y99" i="16"/>
  <c r="Z99" i="16" a="1"/>
  <c r="Z99" i="16"/>
  <c r="AA99" i="16" a="1"/>
  <c r="AA99" i="16"/>
  <c r="V100" i="16"/>
  <c r="W100" i="16" a="1"/>
  <c r="W100" i="16"/>
  <c r="X100" i="16" a="1"/>
  <c r="X100" i="16"/>
  <c r="Y100" i="16" a="1"/>
  <c r="Y100" i="16"/>
  <c r="Z100" i="16" a="1"/>
  <c r="Z100" i="16"/>
  <c r="AA100" i="16" a="1"/>
  <c r="AA100" i="16"/>
  <c r="V101" i="16"/>
  <c r="W101" i="16" a="1"/>
  <c r="W101" i="16"/>
  <c r="X101" i="16" a="1"/>
  <c r="X101" i="16"/>
  <c r="Y101" i="16" a="1"/>
  <c r="Y101" i="16"/>
  <c r="Z101" i="16" a="1"/>
  <c r="Z101" i="16"/>
  <c r="AA101" i="16" a="1"/>
  <c r="AA101" i="16"/>
  <c r="V102" i="16"/>
  <c r="W102" i="16" a="1"/>
  <c r="W102" i="16"/>
  <c r="X102" i="16" a="1"/>
  <c r="X102" i="16"/>
  <c r="Y102" i="16" a="1"/>
  <c r="Y102" i="16"/>
  <c r="Z102" i="16" a="1"/>
  <c r="Z102" i="16"/>
  <c r="AA102" i="16" a="1"/>
  <c r="AA102" i="16"/>
  <c r="V103" i="16"/>
  <c r="W103" i="16" a="1"/>
  <c r="W103" i="16"/>
  <c r="X103" i="16" a="1"/>
  <c r="X103" i="16"/>
  <c r="Y103" i="16" a="1"/>
  <c r="Y103" i="16"/>
  <c r="Z103" i="16" a="1"/>
  <c r="Z103" i="16"/>
  <c r="AA103" i="16" a="1"/>
  <c r="AA103" i="16"/>
  <c r="V104" i="16"/>
  <c r="W104" i="16" a="1"/>
  <c r="W104" i="16"/>
  <c r="X104" i="16" a="1"/>
  <c r="X104" i="16"/>
  <c r="Y104" i="16" a="1"/>
  <c r="Y104" i="16"/>
  <c r="Z104" i="16" a="1"/>
  <c r="Z104" i="16"/>
  <c r="AA104" i="16" a="1"/>
  <c r="AA104" i="16"/>
  <c r="V105" i="16"/>
  <c r="W105" i="16" a="1"/>
  <c r="W105" i="16"/>
  <c r="X105" i="16" a="1"/>
  <c r="X105" i="16"/>
  <c r="Y105" i="16" a="1"/>
  <c r="Y105" i="16"/>
  <c r="Z105" i="16" a="1"/>
  <c r="Z105" i="16"/>
  <c r="AA105" i="16" a="1"/>
  <c r="AA105" i="16"/>
  <c r="V106" i="16"/>
  <c r="W106" i="16" a="1"/>
  <c r="W106" i="16"/>
  <c r="X106" i="16" a="1"/>
  <c r="X106" i="16"/>
  <c r="Y106" i="16" a="1"/>
  <c r="Y106" i="16"/>
  <c r="Z106" i="16" a="1"/>
  <c r="Z106" i="16"/>
  <c r="AA106" i="16" a="1"/>
  <c r="AA106" i="16"/>
  <c r="V107" i="16"/>
  <c r="W107" i="16" a="1"/>
  <c r="W107" i="16"/>
  <c r="X107" i="16" a="1"/>
  <c r="X107" i="16"/>
  <c r="Y107" i="16" a="1"/>
  <c r="Y107" i="16"/>
  <c r="Z107" i="16" a="1"/>
  <c r="Z107" i="16"/>
  <c r="AA107" i="16" a="1"/>
  <c r="AA107" i="16"/>
  <c r="V108" i="16"/>
  <c r="W108" i="16" a="1"/>
  <c r="W108" i="16"/>
  <c r="X108" i="16" a="1"/>
  <c r="X108" i="16"/>
  <c r="Y108" i="16" a="1"/>
  <c r="Y108" i="16"/>
  <c r="Z108" i="16" a="1"/>
  <c r="Z108" i="16"/>
  <c r="AA108" i="16" a="1"/>
  <c r="AA108" i="16"/>
  <c r="V109" i="16"/>
  <c r="W109" i="16" a="1"/>
  <c r="W109" i="16"/>
  <c r="X109" i="16" a="1"/>
  <c r="X109" i="16"/>
  <c r="Y109" i="16" a="1"/>
  <c r="Y109" i="16"/>
  <c r="Z109" i="16" a="1"/>
  <c r="Z109" i="16"/>
  <c r="AA109" i="16" a="1"/>
  <c r="AA109" i="16"/>
  <c r="V110" i="16"/>
  <c r="W110" i="16" a="1"/>
  <c r="W110" i="16"/>
  <c r="X110" i="16" a="1"/>
  <c r="X110" i="16"/>
  <c r="Y110" i="16" a="1"/>
  <c r="Y110" i="16"/>
  <c r="Z110" i="16" a="1"/>
  <c r="Z110" i="16"/>
  <c r="AA110" i="16" a="1"/>
  <c r="AA110" i="16"/>
  <c r="V111" i="16"/>
  <c r="W111" i="16" a="1"/>
  <c r="W111" i="16"/>
  <c r="X111" i="16" a="1"/>
  <c r="X111" i="16"/>
  <c r="Y111" i="16" a="1"/>
  <c r="Y111" i="16"/>
  <c r="Z111" i="16" a="1"/>
  <c r="Z111" i="16"/>
  <c r="AA111" i="16" a="1"/>
  <c r="AA111" i="16"/>
  <c r="V112" i="16"/>
  <c r="W112" i="16" a="1"/>
  <c r="W112" i="16"/>
  <c r="X112" i="16" a="1"/>
  <c r="X112" i="16"/>
  <c r="Y112" i="16" a="1"/>
  <c r="Y112" i="16"/>
  <c r="Z112" i="16" a="1"/>
  <c r="Z112" i="16"/>
  <c r="AA112" i="16" a="1"/>
  <c r="AA112" i="16"/>
  <c r="V113" i="16"/>
  <c r="W113" i="16" a="1"/>
  <c r="W113" i="16"/>
  <c r="X113" i="16" a="1"/>
  <c r="X113" i="16"/>
  <c r="Y113" i="16" a="1"/>
  <c r="Y113" i="16"/>
  <c r="Z113" i="16" a="1"/>
  <c r="Z113" i="16"/>
  <c r="AA113" i="16" a="1"/>
  <c r="AA113" i="16"/>
  <c r="V114" i="16"/>
  <c r="W114" i="16" a="1"/>
  <c r="W114" i="16"/>
  <c r="X114" i="16" a="1"/>
  <c r="X114" i="16"/>
  <c r="Y114" i="16" a="1"/>
  <c r="Y114" i="16"/>
  <c r="Z114" i="16" a="1"/>
  <c r="Z114" i="16"/>
  <c r="AA114" i="16" a="1"/>
  <c r="AA114" i="16"/>
  <c r="V115" i="16"/>
  <c r="W115" i="16" a="1"/>
  <c r="W115" i="16"/>
  <c r="X115" i="16" a="1"/>
  <c r="X115" i="16"/>
  <c r="Y115" i="16" a="1"/>
  <c r="Y115" i="16"/>
  <c r="Z115" i="16" a="1"/>
  <c r="Z115" i="16"/>
  <c r="AA115" i="16" a="1"/>
  <c r="AA115" i="16"/>
  <c r="V116" i="16"/>
  <c r="W116" i="16" a="1"/>
  <c r="W116" i="16"/>
  <c r="X116" i="16" a="1"/>
  <c r="X116" i="16"/>
  <c r="Y116" i="16" a="1"/>
  <c r="Y116" i="16"/>
  <c r="Z116" i="16" a="1"/>
  <c r="Z116" i="16"/>
  <c r="AA116" i="16" a="1"/>
  <c r="AA116" i="16"/>
  <c r="V117" i="16"/>
  <c r="W117" i="16" a="1"/>
  <c r="W117" i="16"/>
  <c r="X117" i="16" a="1"/>
  <c r="X117" i="16"/>
  <c r="Y117" i="16" a="1"/>
  <c r="Y117" i="16"/>
  <c r="Z117" i="16" a="1"/>
  <c r="Z117" i="16"/>
  <c r="AA117" i="16" a="1"/>
  <c r="AA117" i="16"/>
  <c r="V118" i="16"/>
  <c r="W118" i="16" a="1"/>
  <c r="W118" i="16"/>
  <c r="X118" i="16" a="1"/>
  <c r="X118" i="16"/>
  <c r="Y118" i="16" a="1"/>
  <c r="Y118" i="16"/>
  <c r="Z118" i="16" a="1"/>
  <c r="Z118" i="16"/>
  <c r="AA118" i="16" a="1"/>
  <c r="AA118" i="16"/>
  <c r="V119" i="16"/>
  <c r="W119" i="16" a="1"/>
  <c r="W119" i="16"/>
  <c r="X119" i="16" a="1"/>
  <c r="X119" i="16"/>
  <c r="Y119" i="16" a="1"/>
  <c r="Y119" i="16"/>
  <c r="Z119" i="16" a="1"/>
  <c r="Z119" i="16"/>
  <c r="AA119" i="16" a="1"/>
  <c r="AA119" i="16"/>
  <c r="V120" i="16"/>
  <c r="W120" i="16" a="1"/>
  <c r="W120" i="16"/>
  <c r="X120" i="16" a="1"/>
  <c r="X120" i="16"/>
  <c r="Y120" i="16" a="1"/>
  <c r="Y120" i="16"/>
  <c r="Z120" i="16" a="1"/>
  <c r="Z120" i="16"/>
  <c r="AA120" i="16" a="1"/>
  <c r="AA120" i="16"/>
  <c r="V121" i="16"/>
  <c r="W121" i="16" a="1"/>
  <c r="W121" i="16"/>
  <c r="X121" i="16" a="1"/>
  <c r="X121" i="16"/>
  <c r="Y121" i="16" a="1"/>
  <c r="Y121" i="16"/>
  <c r="Z121" i="16" a="1"/>
  <c r="Z121" i="16"/>
  <c r="AA121" i="16" a="1"/>
  <c r="AA121" i="16"/>
  <c r="V122" i="16"/>
  <c r="W122" i="16" a="1"/>
  <c r="W122" i="16"/>
  <c r="X122" i="16" a="1"/>
  <c r="X122" i="16"/>
  <c r="Y122" i="16" a="1"/>
  <c r="Y122" i="16"/>
  <c r="Z122" i="16" a="1"/>
  <c r="Z122" i="16"/>
  <c r="AA122" i="16" a="1"/>
  <c r="AA122" i="16"/>
  <c r="V123" i="16"/>
  <c r="W123" i="16" a="1"/>
  <c r="W123" i="16"/>
  <c r="X123" i="16" a="1"/>
  <c r="X123" i="16"/>
  <c r="Y123" i="16" a="1"/>
  <c r="Y123" i="16"/>
  <c r="Z123" i="16" a="1"/>
  <c r="Z123" i="16"/>
  <c r="AA123" i="16" a="1"/>
  <c r="AA123" i="16"/>
  <c r="V124" i="16"/>
  <c r="W124" i="16" a="1"/>
  <c r="W124" i="16"/>
  <c r="X124" i="16" a="1"/>
  <c r="X124" i="16"/>
  <c r="Y124" i="16" a="1"/>
  <c r="Y124" i="16"/>
  <c r="Z124" i="16" a="1"/>
  <c r="Z124" i="16"/>
  <c r="AA124" i="16" a="1"/>
  <c r="AA124" i="16"/>
  <c r="V125" i="16"/>
  <c r="W125" i="16" a="1"/>
  <c r="W125" i="16"/>
  <c r="X125" i="16" a="1"/>
  <c r="X125" i="16"/>
  <c r="Y125" i="16" a="1"/>
  <c r="Y125" i="16"/>
  <c r="Z125" i="16" a="1"/>
  <c r="Z125" i="16"/>
  <c r="AA125" i="16" a="1"/>
  <c r="AA125" i="16"/>
  <c r="V126" i="16"/>
  <c r="W126" i="16" a="1"/>
  <c r="W126" i="16"/>
  <c r="X126" i="16" a="1"/>
  <c r="X126" i="16"/>
  <c r="Y126" i="16" a="1"/>
  <c r="Y126" i="16"/>
  <c r="Z126" i="16" a="1"/>
  <c r="Z126" i="16"/>
  <c r="AA126" i="16" a="1"/>
  <c r="AA126" i="16"/>
  <c r="V127" i="16"/>
  <c r="W127" i="16" a="1"/>
  <c r="W127" i="16"/>
  <c r="X127" i="16" a="1"/>
  <c r="X127" i="16"/>
  <c r="Y127" i="16" a="1"/>
  <c r="Y127" i="16"/>
  <c r="Z127" i="16" a="1"/>
  <c r="Z127" i="16"/>
  <c r="AA127" i="16" a="1"/>
  <c r="AA127" i="16"/>
  <c r="V128" i="16"/>
  <c r="W128" i="16" a="1"/>
  <c r="W128" i="16"/>
  <c r="X128" i="16" a="1"/>
  <c r="X128" i="16"/>
  <c r="Y128" i="16" a="1"/>
  <c r="Y128" i="16"/>
  <c r="Z128" i="16" a="1"/>
  <c r="Z128" i="16"/>
  <c r="AA128" i="16" a="1"/>
  <c r="AA128" i="16"/>
  <c r="V129" i="16"/>
  <c r="W129" i="16" a="1"/>
  <c r="W129" i="16"/>
  <c r="X129" i="16" a="1"/>
  <c r="X129" i="16"/>
  <c r="Y129" i="16" a="1"/>
  <c r="Y129" i="16"/>
  <c r="Z129" i="16" a="1"/>
  <c r="Z129" i="16"/>
  <c r="AA129" i="16" a="1"/>
  <c r="AA129" i="16"/>
  <c r="V130" i="16"/>
  <c r="W130" i="16" a="1"/>
  <c r="W130" i="16"/>
  <c r="X130" i="16" a="1"/>
  <c r="X130" i="16"/>
  <c r="Y130" i="16" a="1"/>
  <c r="Y130" i="16"/>
  <c r="Z130" i="16" a="1"/>
  <c r="Z130" i="16"/>
  <c r="AA130" i="16" a="1"/>
  <c r="AA130" i="16"/>
  <c r="V131" i="16"/>
  <c r="W131" i="16" a="1"/>
  <c r="W131" i="16"/>
  <c r="X131" i="16" a="1"/>
  <c r="X131" i="16"/>
  <c r="Y131" i="16" a="1"/>
  <c r="Y131" i="16"/>
  <c r="Z131" i="16" a="1"/>
  <c r="Z131" i="16"/>
  <c r="AA131" i="16" a="1"/>
  <c r="AA131" i="16"/>
  <c r="V132" i="16"/>
  <c r="W132" i="16" a="1"/>
  <c r="W132" i="16"/>
  <c r="X132" i="16" a="1"/>
  <c r="X132" i="16"/>
  <c r="Y132" i="16" a="1"/>
  <c r="Y132" i="16"/>
  <c r="Z132" i="16" a="1"/>
  <c r="Z132" i="16"/>
  <c r="AA132" i="16" a="1"/>
  <c r="AA132" i="16"/>
  <c r="V133" i="16"/>
  <c r="W133" i="16" a="1"/>
  <c r="W133" i="16"/>
  <c r="X133" i="16" a="1"/>
  <c r="X133" i="16"/>
  <c r="Y133" i="16" a="1"/>
  <c r="Y133" i="16"/>
  <c r="Z133" i="16" a="1"/>
  <c r="Z133" i="16"/>
  <c r="AA133" i="16" a="1"/>
  <c r="AA133" i="16"/>
  <c r="V134" i="16"/>
  <c r="W134" i="16" a="1"/>
  <c r="W134" i="16"/>
  <c r="X134" i="16" a="1"/>
  <c r="X134" i="16"/>
  <c r="Y134" i="16" a="1"/>
  <c r="Y134" i="16"/>
  <c r="Z134" i="16" a="1"/>
  <c r="Z134" i="16"/>
  <c r="AA134" i="16" a="1"/>
  <c r="AA134" i="16"/>
  <c r="V135" i="16"/>
  <c r="W135" i="16" a="1"/>
  <c r="W135" i="16"/>
  <c r="X135" i="16" a="1"/>
  <c r="X135" i="16"/>
  <c r="Y135" i="16" a="1"/>
  <c r="Y135" i="16"/>
  <c r="Z135" i="16" a="1"/>
  <c r="Z135" i="16"/>
  <c r="AA135" i="16" a="1"/>
  <c r="AA135" i="16"/>
  <c r="V136" i="16"/>
  <c r="W136" i="16" a="1"/>
  <c r="W136" i="16"/>
  <c r="X136" i="16" a="1"/>
  <c r="X136" i="16"/>
  <c r="Y136" i="16" a="1"/>
  <c r="Y136" i="16"/>
  <c r="Z136" i="16" a="1"/>
  <c r="Z136" i="16"/>
  <c r="AA136" i="16" a="1"/>
  <c r="AA136" i="16"/>
  <c r="V137" i="16"/>
  <c r="W137" i="16" a="1"/>
  <c r="W137" i="16"/>
  <c r="X137" i="16" a="1"/>
  <c r="X137" i="16"/>
  <c r="Y137" i="16" a="1"/>
  <c r="Y137" i="16"/>
  <c r="Z137" i="16" a="1"/>
  <c r="Z137" i="16"/>
  <c r="AA137" i="16" a="1"/>
  <c r="AA137" i="16"/>
  <c r="V138" i="16"/>
  <c r="W138" i="16" a="1"/>
  <c r="W138" i="16"/>
  <c r="X138" i="16" a="1"/>
  <c r="X138" i="16"/>
  <c r="Y138" i="16" a="1"/>
  <c r="Y138" i="16"/>
  <c r="Z138" i="16" a="1"/>
  <c r="Z138" i="16"/>
  <c r="AA138" i="16" a="1"/>
  <c r="AA138" i="16"/>
  <c r="V139" i="16"/>
  <c r="W139" i="16" a="1"/>
  <c r="W139" i="16"/>
  <c r="X139" i="16" a="1"/>
  <c r="X139" i="16"/>
  <c r="Y139" i="16" a="1"/>
  <c r="Y139" i="16"/>
  <c r="Z139" i="16" a="1"/>
  <c r="Z139" i="16"/>
  <c r="AA139" i="16" a="1"/>
  <c r="AA139" i="16"/>
  <c r="V140" i="16"/>
  <c r="W140" i="16" a="1"/>
  <c r="W140" i="16"/>
  <c r="X140" i="16" a="1"/>
  <c r="X140" i="16"/>
  <c r="Y140" i="16" a="1"/>
  <c r="Y140" i="16"/>
  <c r="Z140" i="16" a="1"/>
  <c r="Z140" i="16"/>
  <c r="AA140" i="16" a="1"/>
  <c r="AA140" i="16"/>
  <c r="V141" i="16"/>
  <c r="W141" i="16" a="1"/>
  <c r="W141" i="16"/>
  <c r="X141" i="16" a="1"/>
  <c r="X141" i="16"/>
  <c r="Y141" i="16" a="1"/>
  <c r="Y141" i="16"/>
  <c r="Z141" i="16" a="1"/>
  <c r="Z141" i="16"/>
  <c r="AA141" i="16" a="1"/>
  <c r="AA141" i="16"/>
  <c r="V142" i="16"/>
  <c r="W142" i="16" a="1"/>
  <c r="W142" i="16"/>
  <c r="X142" i="16" a="1"/>
  <c r="X142" i="16"/>
  <c r="Y142" i="16" a="1"/>
  <c r="Y142" i="16"/>
  <c r="Z142" i="16" a="1"/>
  <c r="Z142" i="16"/>
  <c r="AA142" i="16" a="1"/>
  <c r="AA142" i="16"/>
  <c r="V143" i="16"/>
  <c r="W143" i="16" a="1"/>
  <c r="W143" i="16"/>
  <c r="X143" i="16" a="1"/>
  <c r="X143" i="16"/>
  <c r="Y143" i="16" a="1"/>
  <c r="Y143" i="16"/>
  <c r="Z143" i="16" a="1"/>
  <c r="Z143" i="16"/>
  <c r="AA143" i="16" a="1"/>
  <c r="AA143" i="16"/>
  <c r="V144" i="16"/>
  <c r="W144" i="16" a="1"/>
  <c r="W144" i="16"/>
  <c r="X144" i="16" a="1"/>
  <c r="X144" i="16"/>
  <c r="Y144" i="16" a="1"/>
  <c r="Y144" i="16"/>
  <c r="Z144" i="16" a="1"/>
  <c r="Z144" i="16"/>
  <c r="AA144" i="16" a="1"/>
  <c r="AA144" i="16"/>
  <c r="V145" i="16"/>
  <c r="W145" i="16" a="1"/>
  <c r="W145" i="16"/>
  <c r="X145" i="16" a="1"/>
  <c r="X145" i="16"/>
  <c r="Y145" i="16" a="1"/>
  <c r="Y145" i="16"/>
  <c r="Z145" i="16" a="1"/>
  <c r="Z145" i="16"/>
  <c r="AA145" i="16" a="1"/>
  <c r="AA145" i="16"/>
  <c r="V146" i="16"/>
  <c r="W146" i="16" a="1"/>
  <c r="W146" i="16"/>
  <c r="X146" i="16" a="1"/>
  <c r="X146" i="16"/>
  <c r="Y146" i="16" a="1"/>
  <c r="Y146" i="16"/>
  <c r="Z146" i="16" a="1"/>
  <c r="Z146" i="16"/>
  <c r="AA146" i="16" a="1"/>
  <c r="AA146" i="16"/>
  <c r="V147" i="16"/>
  <c r="W147" i="16" a="1"/>
  <c r="W147" i="16"/>
  <c r="X147" i="16" a="1"/>
  <c r="X147" i="16"/>
  <c r="Y147" i="16" a="1"/>
  <c r="Y147" i="16"/>
  <c r="Z147" i="16" a="1"/>
  <c r="Z147" i="16"/>
  <c r="AA147" i="16" a="1"/>
  <c r="AA147" i="16"/>
  <c r="V148" i="16"/>
  <c r="W148" i="16" a="1"/>
  <c r="W148" i="16"/>
  <c r="X148" i="16" a="1"/>
  <c r="X148" i="16"/>
  <c r="Y148" i="16" a="1"/>
  <c r="Y148" i="16"/>
  <c r="Z148" i="16" a="1"/>
  <c r="Z148" i="16"/>
  <c r="AA148" i="16" a="1"/>
  <c r="AA148" i="16"/>
  <c r="V149" i="16"/>
  <c r="W149" i="16" a="1"/>
  <c r="W149" i="16"/>
  <c r="X149" i="16" a="1"/>
  <c r="X149" i="16"/>
  <c r="Y149" i="16" a="1"/>
  <c r="Y149" i="16"/>
  <c r="Z149" i="16" a="1"/>
  <c r="Z149" i="16"/>
  <c r="AA149" i="16" a="1"/>
  <c r="AA149" i="16"/>
  <c r="V150" i="16"/>
  <c r="W150" i="16" a="1"/>
  <c r="W150" i="16"/>
  <c r="X150" i="16" a="1"/>
  <c r="X150" i="16"/>
  <c r="Y150" i="16" a="1"/>
  <c r="Y150" i="16"/>
  <c r="Z150" i="16" a="1"/>
  <c r="Z150" i="16"/>
  <c r="AA150" i="16" a="1"/>
  <c r="AA150" i="16"/>
  <c r="V151" i="16"/>
  <c r="W151" i="16" a="1"/>
  <c r="W151" i="16"/>
  <c r="X151" i="16" a="1"/>
  <c r="X151" i="16"/>
  <c r="Y151" i="16" a="1"/>
  <c r="Y151" i="16"/>
  <c r="Z151" i="16" a="1"/>
  <c r="Z151" i="16"/>
  <c r="AA151" i="16" a="1"/>
  <c r="AA151" i="16"/>
  <c r="V152" i="16"/>
  <c r="W152" i="16" a="1"/>
  <c r="W152" i="16"/>
  <c r="X152" i="16" a="1"/>
  <c r="X152" i="16"/>
  <c r="Y152" i="16" a="1"/>
  <c r="Y152" i="16"/>
  <c r="Z152" i="16" a="1"/>
  <c r="Z152" i="16"/>
  <c r="AA152" i="16" a="1"/>
  <c r="AA152" i="16"/>
  <c r="V153" i="16"/>
  <c r="W153" i="16" a="1"/>
  <c r="W153" i="16"/>
  <c r="X153" i="16" a="1"/>
  <c r="X153" i="16"/>
  <c r="Y153" i="16" a="1"/>
  <c r="Y153" i="16"/>
  <c r="Z153" i="16" a="1"/>
  <c r="Z153" i="16"/>
  <c r="AA153" i="16" a="1"/>
  <c r="AA153" i="16"/>
  <c r="V154" i="16"/>
  <c r="W154" i="16" a="1"/>
  <c r="W154" i="16"/>
  <c r="X154" i="16" a="1"/>
  <c r="X154" i="16"/>
  <c r="Y154" i="16" a="1"/>
  <c r="Y154" i="16"/>
  <c r="Z154" i="16" a="1"/>
  <c r="Z154" i="16"/>
  <c r="AA154" i="16" a="1"/>
  <c r="AA154" i="16"/>
  <c r="V155" i="16"/>
  <c r="W155" i="16" a="1"/>
  <c r="W155" i="16"/>
  <c r="X155" i="16" a="1"/>
  <c r="X155" i="16"/>
  <c r="Y155" i="16" a="1"/>
  <c r="Y155" i="16"/>
  <c r="Z155" i="16" a="1"/>
  <c r="Z155" i="16"/>
  <c r="AA155" i="16" a="1"/>
  <c r="AA155" i="16"/>
  <c r="V156" i="16"/>
  <c r="W156" i="16" a="1"/>
  <c r="W156" i="16"/>
  <c r="X156" i="16" a="1"/>
  <c r="X156" i="16"/>
  <c r="Y156" i="16" a="1"/>
  <c r="Y156" i="16"/>
  <c r="Z156" i="16" a="1"/>
  <c r="Z156" i="16"/>
  <c r="AA156" i="16" a="1"/>
  <c r="AA156" i="16"/>
  <c r="V157" i="16"/>
  <c r="W157" i="16" a="1"/>
  <c r="W157" i="16"/>
  <c r="X157" i="16" a="1"/>
  <c r="X157" i="16"/>
  <c r="Y157" i="16" a="1"/>
  <c r="Y157" i="16"/>
  <c r="Z157" i="16" a="1"/>
  <c r="Z157" i="16"/>
  <c r="AA157" i="16" a="1"/>
  <c r="AA157" i="16"/>
  <c r="V158" i="16"/>
  <c r="W158" i="16" a="1"/>
  <c r="W158" i="16"/>
  <c r="X158" i="16" a="1"/>
  <c r="X158" i="16"/>
  <c r="Y158" i="16" a="1"/>
  <c r="Y158" i="16"/>
  <c r="Z158" i="16" a="1"/>
  <c r="Z158" i="16"/>
  <c r="AA158" i="16" a="1"/>
  <c r="AA158" i="16"/>
  <c r="V159" i="16"/>
  <c r="W159" i="16" a="1"/>
  <c r="W159" i="16"/>
  <c r="X159" i="16" a="1"/>
  <c r="X159" i="16"/>
  <c r="Y159" i="16" a="1"/>
  <c r="Y159" i="16"/>
  <c r="Z159" i="16" a="1"/>
  <c r="Z159" i="16"/>
  <c r="AA159" i="16" a="1"/>
  <c r="AA159" i="16"/>
  <c r="V160" i="16"/>
  <c r="W160" i="16" a="1"/>
  <c r="W160" i="16"/>
  <c r="X160" i="16" a="1"/>
  <c r="X160" i="16"/>
  <c r="Y160" i="16" a="1"/>
  <c r="Y160" i="16"/>
  <c r="Z160" i="16" a="1"/>
  <c r="Z160" i="16"/>
  <c r="AA160" i="16" a="1"/>
  <c r="AA160" i="16"/>
  <c r="V161" i="16"/>
  <c r="W161" i="16" a="1"/>
  <c r="W161" i="16"/>
  <c r="X161" i="16" a="1"/>
  <c r="X161" i="16"/>
  <c r="Y161" i="16" a="1"/>
  <c r="Y161" i="16"/>
  <c r="Z161" i="16" a="1"/>
  <c r="Z161" i="16"/>
  <c r="AA161" i="16" a="1"/>
  <c r="AA161" i="16"/>
  <c r="V162" i="16"/>
  <c r="W162" i="16" a="1"/>
  <c r="W162" i="16"/>
  <c r="X162" i="16" a="1"/>
  <c r="X162" i="16"/>
  <c r="Y162" i="16" a="1"/>
  <c r="Y162" i="16"/>
  <c r="Z162" i="16" a="1"/>
  <c r="Z162" i="16"/>
  <c r="AA162" i="16" a="1"/>
  <c r="AA162" i="16"/>
  <c r="V163" i="16"/>
  <c r="W163" i="16" a="1"/>
  <c r="W163" i="16"/>
  <c r="X163" i="16" a="1"/>
  <c r="X163" i="16"/>
  <c r="Y163" i="16" a="1"/>
  <c r="Y163" i="16"/>
  <c r="Z163" i="16" a="1"/>
  <c r="Z163" i="16"/>
  <c r="AA163" i="16" a="1"/>
  <c r="AA163" i="16"/>
  <c r="V164" i="16"/>
  <c r="W164" i="16" a="1"/>
  <c r="W164" i="16"/>
  <c r="X164" i="16" a="1"/>
  <c r="X164" i="16"/>
  <c r="Y164" i="16" a="1"/>
  <c r="Y164" i="16"/>
  <c r="Z164" i="16" a="1"/>
  <c r="Z164" i="16"/>
  <c r="AA164" i="16" a="1"/>
  <c r="AA164" i="16"/>
  <c r="V165" i="16"/>
  <c r="W165" i="16" a="1"/>
  <c r="W165" i="16"/>
  <c r="X165" i="16" a="1"/>
  <c r="X165" i="16"/>
  <c r="Y165" i="16" a="1"/>
  <c r="Y165" i="16"/>
  <c r="Z165" i="16" a="1"/>
  <c r="Z165" i="16"/>
  <c r="AA165" i="16" a="1"/>
  <c r="AA165" i="16"/>
  <c r="V166" i="16"/>
  <c r="W166" i="16" a="1"/>
  <c r="W166" i="16"/>
  <c r="X166" i="16" a="1"/>
  <c r="X166" i="16"/>
  <c r="Y166" i="16" a="1"/>
  <c r="Y166" i="16"/>
  <c r="Z166" i="16" a="1"/>
  <c r="Z166" i="16"/>
  <c r="AA166" i="16" a="1"/>
  <c r="AA166" i="16"/>
  <c r="V167" i="16"/>
  <c r="W167" i="16" a="1"/>
  <c r="W167" i="16"/>
  <c r="X167" i="16" a="1"/>
  <c r="X167" i="16"/>
  <c r="Y167" i="16" a="1"/>
  <c r="Y167" i="16"/>
  <c r="Z167" i="16" a="1"/>
  <c r="Z167" i="16"/>
  <c r="AA167" i="16" a="1"/>
  <c r="AA167" i="16"/>
  <c r="V168" i="16"/>
  <c r="W168" i="16" a="1"/>
  <c r="W168" i="16"/>
  <c r="X168" i="16" a="1"/>
  <c r="X168" i="16"/>
  <c r="Y168" i="16" a="1"/>
  <c r="Y168" i="16"/>
  <c r="Z168" i="16" a="1"/>
  <c r="Z168" i="16"/>
  <c r="AA168" i="16" a="1"/>
  <c r="AA168" i="16"/>
  <c r="V169" i="16"/>
  <c r="W169" i="16" a="1"/>
  <c r="W169" i="16"/>
  <c r="X169" i="16" a="1"/>
  <c r="X169" i="16"/>
  <c r="Y169" i="16" a="1"/>
  <c r="Y169" i="16"/>
  <c r="Z169" i="16" a="1"/>
  <c r="Z169" i="16"/>
  <c r="AA169" i="16" a="1"/>
  <c r="AA169" i="16"/>
  <c r="V170" i="16"/>
  <c r="W170" i="16" a="1"/>
  <c r="W170" i="16"/>
  <c r="X170" i="16" a="1"/>
  <c r="X170" i="16"/>
  <c r="Y170" i="16" a="1"/>
  <c r="Y170" i="16"/>
  <c r="Z170" i="16" a="1"/>
  <c r="Z170" i="16"/>
  <c r="AA170" i="16" a="1"/>
  <c r="AA170" i="16"/>
  <c r="V171" i="16"/>
  <c r="W171" i="16" a="1"/>
  <c r="W171" i="16"/>
  <c r="X171" i="16" a="1"/>
  <c r="X171" i="16"/>
  <c r="Y171" i="16" a="1"/>
  <c r="Y171" i="16"/>
  <c r="Z171" i="16" a="1"/>
  <c r="Z171" i="16"/>
  <c r="AA171" i="16" a="1"/>
  <c r="AA171" i="16"/>
  <c r="V172" i="16"/>
  <c r="W172" i="16" a="1"/>
  <c r="W172" i="16"/>
  <c r="X172" i="16" a="1"/>
  <c r="X172" i="16"/>
  <c r="Y172" i="16" a="1"/>
  <c r="Y172" i="16"/>
  <c r="Z172" i="16" a="1"/>
  <c r="Z172" i="16"/>
  <c r="AA172" i="16" a="1"/>
  <c r="AA172" i="16"/>
  <c r="V173" i="16"/>
  <c r="W173" i="16" a="1"/>
  <c r="W173" i="16"/>
  <c r="X173" i="16" a="1"/>
  <c r="X173" i="16"/>
  <c r="Y173" i="16" a="1"/>
  <c r="Y173" i="16"/>
  <c r="Z173" i="16" a="1"/>
  <c r="Z173" i="16"/>
  <c r="AA173" i="16" a="1"/>
  <c r="AA173" i="16"/>
  <c r="V174" i="16"/>
  <c r="W174" i="16" a="1"/>
  <c r="W174" i="16"/>
  <c r="X174" i="16" a="1"/>
  <c r="X174" i="16"/>
  <c r="Y174" i="16" a="1"/>
  <c r="Y174" i="16"/>
  <c r="Z174" i="16" a="1"/>
  <c r="Z174" i="16"/>
  <c r="AA174" i="16" a="1"/>
  <c r="AA174" i="16"/>
  <c r="V175" i="16"/>
  <c r="W175" i="16" a="1"/>
  <c r="W175" i="16"/>
  <c r="X175" i="16" a="1"/>
  <c r="X175" i="16"/>
  <c r="Y175" i="16" a="1"/>
  <c r="Y175" i="16"/>
  <c r="Z175" i="16" a="1"/>
  <c r="Z175" i="16"/>
  <c r="AA175" i="16" a="1"/>
  <c r="AA175" i="16"/>
  <c r="V176" i="16"/>
  <c r="W176" i="16" a="1"/>
  <c r="W176" i="16"/>
  <c r="X176" i="16" a="1"/>
  <c r="X176" i="16"/>
  <c r="Y176" i="16" a="1"/>
  <c r="Y176" i="16"/>
  <c r="Z176" i="16" a="1"/>
  <c r="Z176" i="16"/>
  <c r="AA176" i="16" a="1"/>
  <c r="AA176" i="16"/>
  <c r="V177" i="16"/>
  <c r="W177" i="16" a="1"/>
  <c r="W177" i="16"/>
  <c r="X177" i="16" a="1"/>
  <c r="X177" i="16"/>
  <c r="Y177" i="16" a="1"/>
  <c r="Y177" i="16"/>
  <c r="Z177" i="16" a="1"/>
  <c r="Z177" i="16"/>
  <c r="AA177" i="16" a="1"/>
  <c r="AA177" i="16"/>
  <c r="V178" i="16"/>
  <c r="W178" i="16" a="1"/>
  <c r="W178" i="16"/>
  <c r="X178" i="16" a="1"/>
  <c r="X178" i="16"/>
  <c r="Y178" i="16" a="1"/>
  <c r="Y178" i="16"/>
  <c r="Z178" i="16" a="1"/>
  <c r="Z178" i="16"/>
  <c r="AA178" i="16" a="1"/>
  <c r="AA178" i="16"/>
  <c r="V179" i="16"/>
  <c r="W179" i="16" a="1"/>
  <c r="W179" i="16"/>
  <c r="X179" i="16" a="1"/>
  <c r="X179" i="16"/>
  <c r="Y179" i="16" a="1"/>
  <c r="Y179" i="16"/>
  <c r="Z179" i="16" a="1"/>
  <c r="Z179" i="16"/>
  <c r="AA179" i="16" a="1"/>
  <c r="AA179" i="16"/>
  <c r="V180" i="16"/>
  <c r="W180" i="16" a="1"/>
  <c r="W180" i="16"/>
  <c r="X180" i="16" a="1"/>
  <c r="X180" i="16"/>
  <c r="Y180" i="16" a="1"/>
  <c r="Y180" i="16"/>
  <c r="Z180" i="16" a="1"/>
  <c r="Z180" i="16"/>
  <c r="AA180" i="16" a="1"/>
  <c r="AA180" i="16"/>
  <c r="V181" i="16"/>
  <c r="W181" i="16" a="1"/>
  <c r="W181" i="16"/>
  <c r="X181" i="16" a="1"/>
  <c r="X181" i="16"/>
  <c r="Y181" i="16" a="1"/>
  <c r="Y181" i="16"/>
  <c r="Z181" i="16" a="1"/>
  <c r="Z181" i="16"/>
  <c r="AA181" i="16" a="1"/>
  <c r="AA181" i="16"/>
  <c r="V182" i="16"/>
  <c r="W182" i="16" a="1"/>
  <c r="W182" i="16"/>
  <c r="X182" i="16" a="1"/>
  <c r="X182" i="16"/>
  <c r="Y182" i="16" a="1"/>
  <c r="Y182" i="16"/>
  <c r="Z182" i="16" a="1"/>
  <c r="Z182" i="16"/>
  <c r="AA182" i="16" a="1"/>
  <c r="AA182" i="16"/>
  <c r="V183" i="16"/>
  <c r="W183" i="16" a="1"/>
  <c r="W183" i="16"/>
  <c r="X183" i="16" a="1"/>
  <c r="X183" i="16"/>
  <c r="Y183" i="16" a="1"/>
  <c r="Y183" i="16"/>
  <c r="Z183" i="16" a="1"/>
  <c r="Z183" i="16"/>
  <c r="AA183" i="16" a="1"/>
  <c r="AA183" i="16"/>
  <c r="V184" i="16"/>
  <c r="W184" i="16" a="1"/>
  <c r="W184" i="16"/>
  <c r="X184" i="16" a="1"/>
  <c r="X184" i="16"/>
  <c r="Y184" i="16" a="1"/>
  <c r="Y184" i="16"/>
  <c r="Z184" i="16" a="1"/>
  <c r="Z184" i="16"/>
  <c r="AA184" i="16" a="1"/>
  <c r="AA184" i="16"/>
  <c r="V185" i="16"/>
  <c r="W185" i="16" a="1"/>
  <c r="W185" i="16"/>
  <c r="X185" i="16" a="1"/>
  <c r="X185" i="16"/>
  <c r="Y185" i="16" a="1"/>
  <c r="Y185" i="16"/>
  <c r="Z185" i="16" a="1"/>
  <c r="Z185" i="16"/>
  <c r="AA185" i="16" a="1"/>
  <c r="AA185" i="16"/>
  <c r="V186" i="16"/>
  <c r="W186" i="16" a="1"/>
  <c r="W186" i="16"/>
  <c r="X186" i="16" a="1"/>
  <c r="X186" i="16"/>
  <c r="Y186" i="16" a="1"/>
  <c r="Y186" i="16"/>
  <c r="Z186" i="16" a="1"/>
  <c r="Z186" i="16"/>
  <c r="AA186" i="16" a="1"/>
  <c r="AA186" i="16"/>
  <c r="V187" i="16"/>
  <c r="W187" i="16" a="1"/>
  <c r="W187" i="16"/>
  <c r="X187" i="16" a="1"/>
  <c r="X187" i="16"/>
  <c r="Y187" i="16" a="1"/>
  <c r="Y187" i="16"/>
  <c r="Z187" i="16" a="1"/>
  <c r="Z187" i="16"/>
  <c r="AA187" i="16" a="1"/>
  <c r="AA187" i="16"/>
  <c r="V188" i="16"/>
  <c r="W188" i="16" a="1"/>
  <c r="W188" i="16"/>
  <c r="X188" i="16" a="1"/>
  <c r="X188" i="16"/>
  <c r="Y188" i="16" a="1"/>
  <c r="Y188" i="16"/>
  <c r="Z188" i="16" a="1"/>
  <c r="Z188" i="16"/>
  <c r="AA188" i="16" a="1"/>
  <c r="AA188" i="16"/>
  <c r="V189" i="16"/>
  <c r="W189" i="16" a="1"/>
  <c r="W189" i="16"/>
  <c r="X189" i="16" a="1"/>
  <c r="X189" i="16"/>
  <c r="Y189" i="16" a="1"/>
  <c r="Y189" i="16"/>
  <c r="Z189" i="16" a="1"/>
  <c r="Z189" i="16"/>
  <c r="AA189" i="16" a="1"/>
  <c r="AA189" i="16"/>
  <c r="V190" i="16"/>
  <c r="W190" i="16" a="1"/>
  <c r="W190" i="16"/>
  <c r="X190" i="16" a="1"/>
  <c r="X190" i="16"/>
  <c r="Y190" i="16" a="1"/>
  <c r="Y190" i="16"/>
  <c r="Z190" i="16" a="1"/>
  <c r="Z190" i="16"/>
  <c r="AA190" i="16" a="1"/>
  <c r="AA190" i="16"/>
  <c r="V191" i="16"/>
  <c r="W191" i="16" a="1"/>
  <c r="W191" i="16"/>
  <c r="X191" i="16" a="1"/>
  <c r="X191" i="16"/>
  <c r="Y191" i="16" a="1"/>
  <c r="Y191" i="16"/>
  <c r="Z191" i="16" a="1"/>
  <c r="Z191" i="16"/>
  <c r="AA191" i="16" a="1"/>
  <c r="AA191" i="16"/>
  <c r="V192" i="16"/>
  <c r="W192" i="16" a="1"/>
  <c r="W192" i="16"/>
  <c r="X192" i="16" a="1"/>
  <c r="X192" i="16"/>
  <c r="Y192" i="16" a="1"/>
  <c r="Y192" i="16"/>
  <c r="Z192" i="16" a="1"/>
  <c r="Z192" i="16"/>
  <c r="AA192" i="16" a="1"/>
  <c r="AA192" i="16"/>
  <c r="V193" i="16"/>
  <c r="W193" i="16" a="1"/>
  <c r="W193" i="16"/>
  <c r="X193" i="16" a="1"/>
  <c r="X193" i="16"/>
  <c r="Y193" i="16" a="1"/>
  <c r="Y193" i="16"/>
  <c r="Z193" i="16" a="1"/>
  <c r="Z193" i="16"/>
  <c r="AA193" i="16" a="1"/>
  <c r="AA193" i="16"/>
  <c r="V194" i="16"/>
  <c r="W194" i="16" a="1"/>
  <c r="W194" i="16"/>
  <c r="X194" i="16" a="1"/>
  <c r="X194" i="16"/>
  <c r="Y194" i="16" a="1"/>
  <c r="Y194" i="16"/>
  <c r="Z194" i="16" a="1"/>
  <c r="Z194" i="16"/>
  <c r="AA194" i="16" a="1"/>
  <c r="AA194" i="16"/>
  <c r="V195" i="16"/>
  <c r="W195" i="16" a="1"/>
  <c r="W195" i="16"/>
  <c r="X195" i="16" a="1"/>
  <c r="X195" i="16"/>
  <c r="Y195" i="16" a="1"/>
  <c r="Y195" i="16"/>
  <c r="Z195" i="16" a="1"/>
  <c r="Z195" i="16"/>
  <c r="AA195" i="16" a="1"/>
  <c r="AA195" i="16"/>
  <c r="V196" i="16"/>
  <c r="W196" i="16" a="1"/>
  <c r="W196" i="16"/>
  <c r="X196" i="16" a="1"/>
  <c r="X196" i="16"/>
  <c r="Y196" i="16" a="1"/>
  <c r="Y196" i="16"/>
  <c r="Z196" i="16" a="1"/>
  <c r="Z196" i="16"/>
  <c r="AA196" i="16" a="1"/>
  <c r="AA196" i="16"/>
  <c r="V197" i="16"/>
  <c r="W197" i="16" a="1"/>
  <c r="W197" i="16"/>
  <c r="X197" i="16" a="1"/>
  <c r="X197" i="16"/>
  <c r="Y197" i="16" a="1"/>
  <c r="Y197" i="16"/>
  <c r="Z197" i="16" a="1"/>
  <c r="Z197" i="16"/>
  <c r="AA197" i="16" a="1"/>
  <c r="AA197" i="16"/>
  <c r="V198" i="16"/>
  <c r="W198" i="16" a="1"/>
  <c r="W198" i="16"/>
  <c r="X198" i="16" a="1"/>
  <c r="X198" i="16"/>
  <c r="Y198" i="16" a="1"/>
  <c r="Y198" i="16"/>
  <c r="Z198" i="16" a="1"/>
  <c r="Z198" i="16"/>
  <c r="AA198" i="16" a="1"/>
  <c r="AA198" i="16"/>
  <c r="V199" i="16"/>
  <c r="W199" i="16" a="1"/>
  <c r="W199" i="16"/>
  <c r="X199" i="16" a="1"/>
  <c r="X199" i="16"/>
  <c r="Y199" i="16" a="1"/>
  <c r="Y199" i="16"/>
  <c r="Z199" i="16" a="1"/>
  <c r="Z199" i="16"/>
  <c r="AA199" i="16" a="1"/>
  <c r="AA199" i="16"/>
  <c r="V200" i="16"/>
  <c r="W200" i="16" a="1"/>
  <c r="W200" i="16"/>
  <c r="X200" i="16" a="1"/>
  <c r="X200" i="16"/>
  <c r="Y200" i="16" a="1"/>
  <c r="Y200" i="16"/>
  <c r="Z200" i="16" a="1"/>
  <c r="Z200" i="16"/>
  <c r="AA200" i="16" a="1"/>
  <c r="AA200" i="16"/>
  <c r="V201" i="16"/>
  <c r="W201" i="16" a="1"/>
  <c r="W201" i="16"/>
  <c r="X201" i="16" a="1"/>
  <c r="X201" i="16"/>
  <c r="Y201" i="16" a="1"/>
  <c r="Y201" i="16"/>
  <c r="Z201" i="16" a="1"/>
  <c r="Z201" i="16"/>
  <c r="AA201" i="16" a="1"/>
  <c r="AA201" i="16"/>
  <c r="V202" i="16"/>
  <c r="W202" i="16" a="1"/>
  <c r="W202" i="16"/>
  <c r="X202" i="16" a="1"/>
  <c r="X202" i="16"/>
  <c r="Y202" i="16" a="1"/>
  <c r="Y202" i="16"/>
  <c r="Z202" i="16" a="1"/>
  <c r="Z202" i="16"/>
  <c r="AA202" i="16" a="1"/>
  <c r="AA202" i="16"/>
  <c r="V203" i="16"/>
  <c r="W203" i="16" a="1"/>
  <c r="W203" i="16"/>
  <c r="X203" i="16" a="1"/>
  <c r="X203" i="16"/>
  <c r="Y203" i="16" a="1"/>
  <c r="Y203" i="16"/>
  <c r="Z203" i="16" a="1"/>
  <c r="Z203" i="16"/>
  <c r="AA203" i="16" a="1"/>
  <c r="AA203" i="16"/>
  <c r="V204" i="16"/>
  <c r="W204" i="16" a="1"/>
  <c r="W204" i="16"/>
  <c r="X204" i="16" a="1"/>
  <c r="X204" i="16"/>
  <c r="Y204" i="16" a="1"/>
  <c r="Y204" i="16"/>
  <c r="Z204" i="16" a="1"/>
  <c r="Z204" i="16"/>
  <c r="AA204" i="16" a="1"/>
  <c r="AA204" i="16"/>
  <c r="V205" i="16"/>
  <c r="W205" i="16" a="1"/>
  <c r="W205" i="16"/>
  <c r="X205" i="16" a="1"/>
  <c r="X205" i="16"/>
  <c r="Y205" i="16" a="1"/>
  <c r="Y205" i="16"/>
  <c r="Z205" i="16" a="1"/>
  <c r="Z205" i="16"/>
  <c r="AA205" i="16" a="1"/>
  <c r="AA205" i="16"/>
  <c r="V206" i="16"/>
  <c r="W206" i="16" a="1"/>
  <c r="W206" i="16"/>
  <c r="X206" i="16" a="1"/>
  <c r="X206" i="16"/>
  <c r="Y206" i="16" a="1"/>
  <c r="Y206" i="16"/>
  <c r="Z206" i="16" a="1"/>
  <c r="Z206" i="16"/>
  <c r="AA206" i="16" a="1"/>
  <c r="AA206" i="16"/>
  <c r="V207" i="16"/>
  <c r="W207" i="16" a="1"/>
  <c r="W207" i="16"/>
  <c r="X207" i="16" a="1"/>
  <c r="X207" i="16"/>
  <c r="Y207" i="16" a="1"/>
  <c r="Y207" i="16"/>
  <c r="Z207" i="16" a="1"/>
  <c r="Z207" i="16"/>
  <c r="AA207" i="16" a="1"/>
  <c r="AA207" i="16"/>
  <c r="V208" i="16"/>
  <c r="W208" i="16" a="1"/>
  <c r="W208" i="16"/>
  <c r="X208" i="16" a="1"/>
  <c r="X208" i="16"/>
  <c r="Y208" i="16" a="1"/>
  <c r="Y208" i="16"/>
  <c r="Z208" i="16" a="1"/>
  <c r="Z208" i="16"/>
  <c r="AA208" i="16" a="1"/>
  <c r="AA208" i="16"/>
  <c r="V209" i="16"/>
  <c r="W209" i="16" a="1"/>
  <c r="W209" i="16"/>
  <c r="X209" i="16" a="1"/>
  <c r="X209" i="16"/>
  <c r="Y209" i="16" a="1"/>
  <c r="Y209" i="16"/>
  <c r="Z209" i="16" a="1"/>
  <c r="Z209" i="16"/>
  <c r="AA209" i="16" a="1"/>
  <c r="AA209" i="16"/>
  <c r="V210" i="16"/>
  <c r="W210" i="16" a="1"/>
  <c r="W210" i="16"/>
  <c r="X210" i="16" a="1"/>
  <c r="X210" i="16"/>
  <c r="Y210" i="16" a="1"/>
  <c r="Y210" i="16"/>
  <c r="Z210" i="16" a="1"/>
  <c r="Z210" i="16"/>
  <c r="AA210" i="16" a="1"/>
  <c r="AA210" i="16"/>
  <c r="V211" i="16"/>
  <c r="W211" i="16" a="1"/>
  <c r="W211" i="16"/>
  <c r="X211" i="16" a="1"/>
  <c r="X211" i="16"/>
  <c r="Y211" i="16" a="1"/>
  <c r="Y211" i="16"/>
  <c r="Z211" i="16" a="1"/>
  <c r="Z211" i="16"/>
  <c r="AA211" i="16" a="1"/>
  <c r="AA211" i="16"/>
  <c r="V212" i="16"/>
  <c r="W212" i="16" a="1"/>
  <c r="W212" i="16"/>
  <c r="X212" i="16" a="1"/>
  <c r="X212" i="16"/>
  <c r="Y212" i="16" a="1"/>
  <c r="Y212" i="16"/>
  <c r="Z212" i="16" a="1"/>
  <c r="Z212" i="16"/>
  <c r="AA212" i="16" a="1"/>
  <c r="AA212" i="16"/>
  <c r="V213" i="16"/>
  <c r="W213" i="16" a="1"/>
  <c r="W213" i="16"/>
  <c r="X213" i="16" a="1"/>
  <c r="X213" i="16"/>
  <c r="Y213" i="16" a="1"/>
  <c r="Y213" i="16"/>
  <c r="Z213" i="16" a="1"/>
  <c r="Z213" i="16"/>
  <c r="AA213" i="16" a="1"/>
  <c r="AA213" i="16"/>
  <c r="V214" i="16"/>
  <c r="W214" i="16" a="1"/>
  <c r="W214" i="16"/>
  <c r="X214" i="16" a="1"/>
  <c r="X214" i="16"/>
  <c r="Y214" i="16" a="1"/>
  <c r="Y214" i="16"/>
  <c r="Z214" i="16" a="1"/>
  <c r="Z214" i="16"/>
  <c r="AA214" i="16" a="1"/>
  <c r="AA214" i="16"/>
  <c r="V215" i="16"/>
  <c r="W215" i="16" a="1"/>
  <c r="W215" i="16"/>
  <c r="X215" i="16" a="1"/>
  <c r="X215" i="16"/>
  <c r="Y215" i="16" a="1"/>
  <c r="Y215" i="16"/>
  <c r="Z215" i="16" a="1"/>
  <c r="Z215" i="16"/>
  <c r="AA215" i="16" a="1"/>
  <c r="AA215" i="16"/>
  <c r="V216" i="16"/>
  <c r="W216" i="16" a="1"/>
  <c r="W216" i="16"/>
  <c r="X216" i="16" a="1"/>
  <c r="X216" i="16"/>
  <c r="Y216" i="16" a="1"/>
  <c r="Y216" i="16"/>
  <c r="Z216" i="16" a="1"/>
  <c r="Z216" i="16"/>
  <c r="AA216" i="16" a="1"/>
  <c r="AA216" i="16"/>
  <c r="V217" i="16"/>
  <c r="W217" i="16" a="1"/>
  <c r="W217" i="16"/>
  <c r="X217" i="16" a="1"/>
  <c r="X217" i="16"/>
  <c r="Y217" i="16" a="1"/>
  <c r="Y217" i="16"/>
  <c r="Z217" i="16" a="1"/>
  <c r="Z217" i="16"/>
  <c r="AA217" i="16" a="1"/>
  <c r="AA217" i="16"/>
  <c r="V218" i="16"/>
  <c r="W218" i="16" a="1"/>
  <c r="W218" i="16"/>
  <c r="X218" i="16" a="1"/>
  <c r="X218" i="16"/>
  <c r="Y218" i="16" a="1"/>
  <c r="Y218" i="16"/>
  <c r="Z218" i="16" a="1"/>
  <c r="Z218" i="16"/>
  <c r="AA218" i="16" a="1"/>
  <c r="AA218" i="16"/>
  <c r="V219" i="16"/>
  <c r="W219" i="16" a="1"/>
  <c r="W219" i="16"/>
  <c r="X219" i="16" a="1"/>
  <c r="X219" i="16"/>
  <c r="Y219" i="16" a="1"/>
  <c r="Y219" i="16"/>
  <c r="Z219" i="16" a="1"/>
  <c r="Z219" i="16"/>
  <c r="AA219" i="16" a="1"/>
  <c r="AA219" i="16"/>
  <c r="V220" i="16"/>
  <c r="W220" i="16" a="1"/>
  <c r="W220" i="16"/>
  <c r="X220" i="16" a="1"/>
  <c r="X220" i="16"/>
  <c r="Y220" i="16" a="1"/>
  <c r="Y220" i="16"/>
  <c r="Z220" i="16" a="1"/>
  <c r="Z220" i="16"/>
  <c r="AA220" i="16" a="1"/>
  <c r="AA220" i="16"/>
  <c r="V221" i="16"/>
  <c r="W221" i="16" a="1"/>
  <c r="W221" i="16"/>
  <c r="X221" i="16" a="1"/>
  <c r="X221" i="16"/>
  <c r="Y221" i="16" a="1"/>
  <c r="Y221" i="16"/>
  <c r="Z221" i="16" a="1"/>
  <c r="Z221" i="16"/>
  <c r="AA221" i="16" a="1"/>
  <c r="AA221" i="16"/>
  <c r="V222" i="16"/>
  <c r="W222" i="16" a="1"/>
  <c r="W222" i="16"/>
  <c r="X222" i="16" a="1"/>
  <c r="X222" i="16"/>
  <c r="Y222" i="16" a="1"/>
  <c r="Y222" i="16"/>
  <c r="Z222" i="16" a="1"/>
  <c r="Z222" i="16"/>
  <c r="AA222" i="16" a="1"/>
  <c r="AA222" i="16"/>
  <c r="V223" i="16"/>
  <c r="W223" i="16" a="1"/>
  <c r="W223" i="16"/>
  <c r="X223" i="16" a="1"/>
  <c r="X223" i="16"/>
  <c r="Y223" i="16" a="1"/>
  <c r="Y223" i="16"/>
  <c r="Z223" i="16" a="1"/>
  <c r="Z223" i="16"/>
  <c r="AA223" i="16" a="1"/>
  <c r="AA223" i="16"/>
  <c r="V224" i="16"/>
  <c r="W224" i="16" a="1"/>
  <c r="W224" i="16"/>
  <c r="X224" i="16" a="1"/>
  <c r="X224" i="16"/>
  <c r="Y224" i="16" a="1"/>
  <c r="Y224" i="16"/>
  <c r="Z224" i="16" a="1"/>
  <c r="Z224" i="16"/>
  <c r="AA224" i="16" a="1"/>
  <c r="AA224" i="16"/>
  <c r="V225" i="16"/>
  <c r="W225" i="16" a="1"/>
  <c r="W225" i="16"/>
  <c r="X225" i="16" a="1"/>
  <c r="X225" i="16"/>
  <c r="Y225" i="16" a="1"/>
  <c r="Y225" i="16"/>
  <c r="Z225" i="16" a="1"/>
  <c r="Z225" i="16"/>
  <c r="AA225" i="16" a="1"/>
  <c r="AA225" i="16"/>
  <c r="V226" i="16"/>
  <c r="W226" i="16" a="1"/>
  <c r="W226" i="16"/>
  <c r="X226" i="16" a="1"/>
  <c r="X226" i="16"/>
  <c r="Y226" i="16" a="1"/>
  <c r="Y226" i="16"/>
  <c r="Z226" i="16" a="1"/>
  <c r="Z226" i="16"/>
  <c r="AA226" i="16" a="1"/>
  <c r="AA226" i="16"/>
  <c r="V227" i="16"/>
  <c r="W227" i="16" a="1"/>
  <c r="W227" i="16"/>
  <c r="X227" i="16" a="1"/>
  <c r="X227" i="16"/>
  <c r="Y227" i="16" a="1"/>
  <c r="Y227" i="16"/>
  <c r="Z227" i="16" a="1"/>
  <c r="Z227" i="16"/>
  <c r="AA227" i="16" a="1"/>
  <c r="AA227" i="16"/>
  <c r="V228" i="16"/>
  <c r="W228" i="16" a="1"/>
  <c r="W228" i="16"/>
  <c r="X228" i="16" a="1"/>
  <c r="X228" i="16"/>
  <c r="Y228" i="16" a="1"/>
  <c r="Y228" i="16"/>
  <c r="Z228" i="16" a="1"/>
  <c r="Z228" i="16"/>
  <c r="AA228" i="16" a="1"/>
  <c r="AA228" i="16"/>
  <c r="V229" i="16"/>
  <c r="W229" i="16" a="1"/>
  <c r="W229" i="16"/>
  <c r="X229" i="16" a="1"/>
  <c r="X229" i="16"/>
  <c r="Y229" i="16" a="1"/>
  <c r="Y229" i="16"/>
  <c r="Z229" i="16" a="1"/>
  <c r="Z229" i="16"/>
  <c r="AA229" i="16" a="1"/>
  <c r="AA229" i="16"/>
  <c r="V230" i="16"/>
  <c r="W230" i="16" a="1"/>
  <c r="W230" i="16"/>
  <c r="X230" i="16" a="1"/>
  <c r="X230" i="16"/>
  <c r="Y230" i="16" a="1"/>
  <c r="Y230" i="16"/>
  <c r="Z230" i="16" a="1"/>
  <c r="Z230" i="16"/>
  <c r="AA230" i="16" a="1"/>
  <c r="AA230" i="16"/>
  <c r="V231" i="16"/>
  <c r="W231" i="16" a="1"/>
  <c r="W231" i="16"/>
  <c r="X231" i="16" a="1"/>
  <c r="X231" i="16"/>
  <c r="Y231" i="16" a="1"/>
  <c r="Y231" i="16"/>
  <c r="Z231" i="16" a="1"/>
  <c r="Z231" i="16"/>
  <c r="AA231" i="16" a="1"/>
  <c r="AA231" i="16"/>
  <c r="V232" i="16"/>
  <c r="W232" i="16" a="1"/>
  <c r="W232" i="16"/>
  <c r="X232" i="16" a="1"/>
  <c r="X232" i="16"/>
  <c r="Y232" i="16" a="1"/>
  <c r="Y232" i="16"/>
  <c r="Z232" i="16" a="1"/>
  <c r="Z232" i="16"/>
  <c r="AA232" i="16" a="1"/>
  <c r="AA232" i="16"/>
  <c r="V233" i="16"/>
  <c r="W233" i="16" a="1"/>
  <c r="W233" i="16"/>
  <c r="X233" i="16" a="1"/>
  <c r="X233" i="16"/>
  <c r="Y233" i="16" a="1"/>
  <c r="Y233" i="16"/>
  <c r="Z233" i="16" a="1"/>
  <c r="Z233" i="16"/>
  <c r="AA233" i="16" a="1"/>
  <c r="AA233" i="16"/>
  <c r="V234" i="16"/>
  <c r="W234" i="16" a="1"/>
  <c r="W234" i="16"/>
  <c r="X234" i="16" a="1"/>
  <c r="X234" i="16"/>
  <c r="Y234" i="16" a="1"/>
  <c r="Y234" i="16"/>
  <c r="Z234" i="16" a="1"/>
  <c r="Z234" i="16"/>
  <c r="AA234" i="16" a="1"/>
  <c r="AA234" i="16"/>
  <c r="V235" i="16"/>
  <c r="W235" i="16" a="1"/>
  <c r="W235" i="16"/>
  <c r="X235" i="16" a="1"/>
  <c r="X235" i="16"/>
  <c r="Y235" i="16" a="1"/>
  <c r="Y235" i="16"/>
  <c r="Z235" i="16" a="1"/>
  <c r="Z235" i="16"/>
  <c r="AA235" i="16" a="1"/>
  <c r="AA235" i="16"/>
  <c r="V236" i="16"/>
  <c r="W236" i="16" a="1"/>
  <c r="W236" i="16"/>
  <c r="X236" i="16" a="1"/>
  <c r="X236" i="16"/>
  <c r="Y236" i="16" a="1"/>
  <c r="Y236" i="16"/>
  <c r="Z236" i="16" a="1"/>
  <c r="Z236" i="16"/>
  <c r="AA236" i="16" a="1"/>
  <c r="AA236" i="16"/>
  <c r="V237" i="16"/>
  <c r="W237" i="16" a="1"/>
  <c r="W237" i="16"/>
  <c r="X237" i="16" a="1"/>
  <c r="X237" i="16"/>
  <c r="Y237" i="16" a="1"/>
  <c r="Y237" i="16"/>
  <c r="Z237" i="16" a="1"/>
  <c r="Z237" i="16"/>
  <c r="AA237" i="16" a="1"/>
  <c r="AA237" i="16"/>
  <c r="V238" i="16"/>
  <c r="W238" i="16" a="1"/>
  <c r="W238" i="16"/>
  <c r="X238" i="16" a="1"/>
  <c r="X238" i="16"/>
  <c r="Y238" i="16" a="1"/>
  <c r="Y238" i="16"/>
  <c r="Z238" i="16" a="1"/>
  <c r="Z238" i="16"/>
  <c r="AA238" i="16" a="1"/>
  <c r="AA238" i="16"/>
  <c r="V239" i="16"/>
  <c r="W239" i="16" a="1"/>
  <c r="W239" i="16"/>
  <c r="X239" i="16" a="1"/>
  <c r="X239" i="16"/>
  <c r="Y239" i="16" a="1"/>
  <c r="Y239" i="16"/>
  <c r="Z239" i="16" a="1"/>
  <c r="Z239" i="16"/>
  <c r="AA239" i="16" a="1"/>
  <c r="AA239" i="16"/>
  <c r="V240" i="16"/>
  <c r="W240" i="16" a="1"/>
  <c r="W240" i="16"/>
  <c r="X240" i="16" a="1"/>
  <c r="X240" i="16"/>
  <c r="Y240" i="16" a="1"/>
  <c r="Y240" i="16"/>
  <c r="Z240" i="16" a="1"/>
  <c r="Z240" i="16"/>
  <c r="AA240" i="16" a="1"/>
  <c r="AA240" i="16"/>
  <c r="V241" i="16"/>
  <c r="W241" i="16" a="1"/>
  <c r="W241" i="16"/>
  <c r="X241" i="16" a="1"/>
  <c r="X241" i="16"/>
  <c r="Y241" i="16" a="1"/>
  <c r="Y241" i="16"/>
  <c r="Z241" i="16" a="1"/>
  <c r="Z241" i="16"/>
  <c r="AA241" i="16" a="1"/>
  <c r="AA241" i="16"/>
  <c r="V242" i="16"/>
  <c r="W242" i="16" a="1"/>
  <c r="W242" i="16"/>
  <c r="X242" i="16" a="1"/>
  <c r="X242" i="16"/>
  <c r="Y242" i="16" a="1"/>
  <c r="Y242" i="16"/>
  <c r="Z242" i="16" a="1"/>
  <c r="Z242" i="16"/>
  <c r="AA242" i="16" a="1"/>
  <c r="AA242" i="16"/>
  <c r="V243" i="16"/>
  <c r="W243" i="16" a="1"/>
  <c r="W243" i="16"/>
  <c r="X243" i="16" a="1"/>
  <c r="X243" i="16"/>
  <c r="Y243" i="16" a="1"/>
  <c r="Y243" i="16"/>
  <c r="Z243" i="16" a="1"/>
  <c r="Z243" i="16"/>
  <c r="AA243" i="16" a="1"/>
  <c r="AA243" i="16"/>
  <c r="V244" i="16"/>
  <c r="W244" i="16" a="1"/>
  <c r="W244" i="16"/>
  <c r="X244" i="16" a="1"/>
  <c r="X244" i="16"/>
  <c r="Y244" i="16" a="1"/>
  <c r="Y244" i="16"/>
  <c r="Z244" i="16" a="1"/>
  <c r="Z244" i="16"/>
  <c r="AA244" i="16" a="1"/>
  <c r="AA244" i="16"/>
  <c r="V245" i="16"/>
  <c r="W245" i="16" a="1"/>
  <c r="W245" i="16"/>
  <c r="X245" i="16" a="1"/>
  <c r="X245" i="16"/>
  <c r="Y245" i="16" a="1"/>
  <c r="Y245" i="16"/>
  <c r="Z245" i="16" a="1"/>
  <c r="Z245" i="16"/>
  <c r="AA245" i="16" a="1"/>
  <c r="AA245" i="16"/>
  <c r="V246" i="16"/>
  <c r="W246" i="16" a="1"/>
  <c r="W246" i="16"/>
  <c r="X246" i="16" a="1"/>
  <c r="X246" i="16"/>
  <c r="Y246" i="16" a="1"/>
  <c r="Y246" i="16"/>
  <c r="Z246" i="16" a="1"/>
  <c r="Z246" i="16"/>
  <c r="AA246" i="16" a="1"/>
  <c r="AA246" i="16"/>
  <c r="V247" i="16"/>
  <c r="W247" i="16" a="1"/>
  <c r="W247" i="16"/>
  <c r="X247" i="16" a="1"/>
  <c r="X247" i="16"/>
  <c r="Y247" i="16" a="1"/>
  <c r="Y247" i="16"/>
  <c r="Z247" i="16" a="1"/>
  <c r="Z247" i="16"/>
  <c r="AA247" i="16" a="1"/>
  <c r="AA247" i="16"/>
  <c r="V248" i="16"/>
  <c r="W248" i="16" a="1"/>
  <c r="W248" i="16"/>
  <c r="X248" i="16" a="1"/>
  <c r="X248" i="16"/>
  <c r="Y248" i="16" a="1"/>
  <c r="Y248" i="16"/>
  <c r="Z248" i="16" a="1"/>
  <c r="Z248" i="16"/>
  <c r="AA248" i="16" a="1"/>
  <c r="AA248" i="16"/>
  <c r="V249" i="16"/>
  <c r="W249" i="16" a="1"/>
  <c r="W249" i="16"/>
  <c r="X249" i="16" a="1"/>
  <c r="X249" i="16"/>
  <c r="Y249" i="16" a="1"/>
  <c r="Y249" i="16"/>
  <c r="Z249" i="16" a="1"/>
  <c r="Z249" i="16"/>
  <c r="AA249" i="16" a="1"/>
  <c r="AA249" i="16"/>
  <c r="V250" i="16"/>
  <c r="W250" i="16" a="1"/>
  <c r="W250" i="16"/>
  <c r="X250" i="16" a="1"/>
  <c r="X250" i="16"/>
  <c r="Y250" i="16" a="1"/>
  <c r="Y250" i="16"/>
  <c r="Z250" i="16" a="1"/>
  <c r="Z250" i="16"/>
  <c r="AA250" i="16" a="1"/>
  <c r="AA250" i="16"/>
  <c r="V251" i="16"/>
  <c r="W251" i="16" a="1"/>
  <c r="W251" i="16"/>
  <c r="X251" i="16" a="1"/>
  <c r="X251" i="16"/>
  <c r="Y251" i="16" a="1"/>
  <c r="Y251" i="16"/>
  <c r="Z251" i="16" a="1"/>
  <c r="Z251" i="16"/>
  <c r="AA251" i="16" a="1"/>
  <c r="AA251" i="16"/>
  <c r="V252" i="16"/>
  <c r="W252" i="16" a="1"/>
  <c r="W252" i="16"/>
  <c r="X252" i="16" a="1"/>
  <c r="X252" i="16"/>
  <c r="Y252" i="16" a="1"/>
  <c r="Y252" i="16"/>
  <c r="Z252" i="16" a="1"/>
  <c r="Z252" i="16"/>
  <c r="AA252" i="16" a="1"/>
  <c r="AA252" i="16"/>
  <c r="V253" i="16"/>
  <c r="W253" i="16" a="1"/>
  <c r="W253" i="16"/>
  <c r="X253" i="16" a="1"/>
  <c r="X253" i="16"/>
  <c r="Y253" i="16" a="1"/>
  <c r="Y253" i="16"/>
  <c r="Z253" i="16" a="1"/>
  <c r="Z253" i="16"/>
  <c r="AA253" i="16" a="1"/>
  <c r="AA253" i="16"/>
  <c r="V254" i="16"/>
  <c r="W254" i="16" a="1"/>
  <c r="W254" i="16"/>
  <c r="X254" i="16" a="1"/>
  <c r="X254" i="16"/>
  <c r="Y254" i="16" a="1"/>
  <c r="Y254" i="16"/>
  <c r="Z254" i="16" a="1"/>
  <c r="Z254" i="16"/>
  <c r="AA254" i="16" a="1"/>
  <c r="AA254" i="16"/>
  <c r="V255" i="16"/>
  <c r="W255" i="16" a="1"/>
  <c r="W255" i="16"/>
  <c r="X255" i="16" a="1"/>
  <c r="X255" i="16"/>
  <c r="Y255" i="16" a="1"/>
  <c r="Y255" i="16"/>
  <c r="Z255" i="16" a="1"/>
  <c r="Z255" i="16"/>
  <c r="AA255" i="16" a="1"/>
  <c r="AA255" i="16"/>
  <c r="V256" i="16"/>
  <c r="W256" i="16" a="1"/>
  <c r="W256" i="16"/>
  <c r="X256" i="16" a="1"/>
  <c r="X256" i="16"/>
  <c r="Y256" i="16" a="1"/>
  <c r="Y256" i="16"/>
  <c r="Z256" i="16" a="1"/>
  <c r="Z256" i="16"/>
  <c r="AA256" i="16" a="1"/>
  <c r="AA256" i="16"/>
  <c r="V257" i="16"/>
  <c r="W257" i="16" a="1"/>
  <c r="W257" i="16"/>
  <c r="X257" i="16" a="1"/>
  <c r="X257" i="16"/>
  <c r="Y257" i="16" a="1"/>
  <c r="Y257" i="16"/>
  <c r="Z257" i="16" a="1"/>
  <c r="Z257" i="16"/>
  <c r="AA257" i="16" a="1"/>
  <c r="AA257" i="16"/>
  <c r="V258" i="16"/>
  <c r="W258" i="16" a="1"/>
  <c r="W258" i="16"/>
  <c r="X258" i="16" a="1"/>
  <c r="X258" i="16"/>
  <c r="Y258" i="16" a="1"/>
  <c r="Y258" i="16"/>
  <c r="Z258" i="16" a="1"/>
  <c r="Z258" i="16"/>
  <c r="AA258" i="16" a="1"/>
  <c r="AA258" i="16"/>
  <c r="V259" i="16"/>
  <c r="W259" i="16" a="1"/>
  <c r="W259" i="16"/>
  <c r="X259" i="16" a="1"/>
  <c r="X259" i="16"/>
  <c r="Y259" i="16" a="1"/>
  <c r="Y259" i="16"/>
  <c r="Z259" i="16" a="1"/>
  <c r="Z259" i="16"/>
  <c r="AA259" i="16" a="1"/>
  <c r="AA259" i="16"/>
  <c r="V260" i="16"/>
  <c r="W260" i="16" a="1"/>
  <c r="W260" i="16"/>
  <c r="X260" i="16" a="1"/>
  <c r="X260" i="16"/>
  <c r="Y260" i="16" a="1"/>
  <c r="Y260" i="16"/>
  <c r="Z260" i="16" a="1"/>
  <c r="Z260" i="16"/>
  <c r="AA260" i="16" a="1"/>
  <c r="AA260" i="16"/>
  <c r="V261" i="16"/>
  <c r="W261" i="16" a="1"/>
  <c r="W261" i="16"/>
  <c r="X261" i="16" a="1"/>
  <c r="X261" i="16"/>
  <c r="Y261" i="16" a="1"/>
  <c r="Y261" i="16"/>
  <c r="Z261" i="16" a="1"/>
  <c r="Z261" i="16"/>
  <c r="AA261" i="16" a="1"/>
  <c r="AA261" i="16"/>
  <c r="V262" i="16"/>
  <c r="W262" i="16" a="1"/>
  <c r="W262" i="16"/>
  <c r="X262" i="16" a="1"/>
  <c r="X262" i="16"/>
  <c r="Y262" i="16" a="1"/>
  <c r="Y262" i="16"/>
  <c r="Z262" i="16" a="1"/>
  <c r="Z262" i="16"/>
  <c r="AA262" i="16" a="1"/>
  <c r="AA262" i="16"/>
  <c r="V263" i="16"/>
  <c r="W263" i="16" a="1"/>
  <c r="W263" i="16"/>
  <c r="X263" i="16" a="1"/>
  <c r="X263" i="16"/>
  <c r="Y263" i="16" a="1"/>
  <c r="Y263" i="16"/>
  <c r="Z263" i="16" a="1"/>
  <c r="Z263" i="16"/>
  <c r="AA263" i="16" a="1"/>
  <c r="AA263" i="16"/>
  <c r="V264" i="16"/>
  <c r="W264" i="16" a="1"/>
  <c r="W264" i="16"/>
  <c r="X264" i="16" a="1"/>
  <c r="X264" i="16"/>
  <c r="Y264" i="16" a="1"/>
  <c r="Y264" i="16"/>
  <c r="Z264" i="16" a="1"/>
  <c r="Z264" i="16"/>
  <c r="AA264" i="16" a="1"/>
  <c r="AA264" i="16"/>
  <c r="V265" i="16"/>
  <c r="W265" i="16" a="1"/>
  <c r="W265" i="16"/>
  <c r="X265" i="16" a="1"/>
  <c r="X265" i="16"/>
  <c r="Y265" i="16" a="1"/>
  <c r="Y265" i="16"/>
  <c r="Z265" i="16" a="1"/>
  <c r="Z265" i="16"/>
  <c r="AA265" i="16" a="1"/>
  <c r="AA265" i="16"/>
  <c r="V266" i="16"/>
  <c r="W266" i="16" a="1"/>
  <c r="W266" i="16"/>
  <c r="X266" i="16" a="1"/>
  <c r="X266" i="16"/>
  <c r="Y266" i="16" a="1"/>
  <c r="Y266" i="16"/>
  <c r="Z266" i="16" a="1"/>
  <c r="Z266" i="16"/>
  <c r="AA266" i="16" a="1"/>
  <c r="AA266" i="16"/>
  <c r="V267" i="16"/>
  <c r="W267" i="16" a="1"/>
  <c r="W267" i="16"/>
  <c r="X267" i="16" a="1"/>
  <c r="X267" i="16"/>
  <c r="Y267" i="16" a="1"/>
  <c r="Y267" i="16"/>
  <c r="Z267" i="16" a="1"/>
  <c r="Z267" i="16"/>
  <c r="AA267" i="16" a="1"/>
  <c r="AA267" i="16"/>
  <c r="V268" i="16"/>
  <c r="W268" i="16" a="1"/>
  <c r="W268" i="16"/>
  <c r="X268" i="16" a="1"/>
  <c r="X268" i="16"/>
  <c r="Y268" i="16" a="1"/>
  <c r="Y268" i="16"/>
  <c r="Z268" i="16" a="1"/>
  <c r="Z268" i="16"/>
  <c r="AA268" i="16" a="1"/>
  <c r="AA268" i="16"/>
  <c r="V269" i="16"/>
  <c r="W269" i="16" a="1"/>
  <c r="W269" i="16"/>
  <c r="X269" i="16" a="1"/>
  <c r="X269" i="16"/>
  <c r="Y269" i="16" a="1"/>
  <c r="Y269" i="16"/>
  <c r="Z269" i="16" a="1"/>
  <c r="Z269" i="16"/>
  <c r="AA269" i="16" a="1"/>
  <c r="AA269" i="16"/>
  <c r="V270" i="16"/>
  <c r="W270" i="16" a="1"/>
  <c r="W270" i="16"/>
  <c r="X270" i="16" a="1"/>
  <c r="X270" i="16"/>
  <c r="Y270" i="16" a="1"/>
  <c r="Y270" i="16"/>
  <c r="Z270" i="16" a="1"/>
  <c r="Z270" i="16"/>
  <c r="AA270" i="16" a="1"/>
  <c r="AA270" i="16"/>
  <c r="V271" i="16"/>
  <c r="W271" i="16" a="1"/>
  <c r="W271" i="16"/>
  <c r="X271" i="16" a="1"/>
  <c r="X271" i="16"/>
  <c r="Y271" i="16" a="1"/>
  <c r="Y271" i="16"/>
  <c r="Z271" i="16" a="1"/>
  <c r="Z271" i="16"/>
  <c r="AA271" i="16" a="1"/>
  <c r="AA271" i="16"/>
  <c r="V272" i="16"/>
  <c r="W272" i="16" a="1"/>
  <c r="W272" i="16"/>
  <c r="X272" i="16" a="1"/>
  <c r="X272" i="16"/>
  <c r="Y272" i="16" a="1"/>
  <c r="Y272" i="16"/>
  <c r="Z272" i="16" a="1"/>
  <c r="Z272" i="16"/>
  <c r="AA272" i="16" a="1"/>
  <c r="AA272" i="16"/>
  <c r="V273" i="16"/>
  <c r="W273" i="16" a="1"/>
  <c r="W273" i="16"/>
  <c r="X273" i="16" a="1"/>
  <c r="X273" i="16"/>
  <c r="Y273" i="16" a="1"/>
  <c r="Y273" i="16"/>
  <c r="Z273" i="16" a="1"/>
  <c r="Z273" i="16"/>
  <c r="AA273" i="16" a="1"/>
  <c r="AA273" i="16"/>
  <c r="V274" i="16"/>
  <c r="W274" i="16" a="1"/>
  <c r="W274" i="16"/>
  <c r="X274" i="16" a="1"/>
  <c r="X274" i="16"/>
  <c r="Y274" i="16" a="1"/>
  <c r="Y274" i="16"/>
  <c r="Z274" i="16" a="1"/>
  <c r="Z274" i="16"/>
  <c r="AA274" i="16" a="1"/>
  <c r="AA274" i="16"/>
  <c r="V275" i="16"/>
  <c r="W275" i="16" a="1"/>
  <c r="W275" i="16"/>
  <c r="X275" i="16" a="1"/>
  <c r="X275" i="16"/>
  <c r="Y275" i="16" a="1"/>
  <c r="Y275" i="16"/>
  <c r="Z275" i="16" a="1"/>
  <c r="Z275" i="16"/>
  <c r="AA275" i="16" a="1"/>
  <c r="AA275" i="16"/>
  <c r="V276" i="16"/>
  <c r="W276" i="16" a="1"/>
  <c r="W276" i="16"/>
  <c r="X276" i="16" a="1"/>
  <c r="X276" i="16"/>
  <c r="Y276" i="16" a="1"/>
  <c r="Y276" i="16"/>
  <c r="Z276" i="16" a="1"/>
  <c r="Z276" i="16"/>
  <c r="AA276" i="16" a="1"/>
  <c r="AA276" i="16"/>
  <c r="V277" i="16"/>
  <c r="W277" i="16" a="1"/>
  <c r="W277" i="16"/>
  <c r="X277" i="16" a="1"/>
  <c r="X277" i="16"/>
  <c r="Y277" i="16" a="1"/>
  <c r="Y277" i="16"/>
  <c r="Z277" i="16" a="1"/>
  <c r="Z277" i="16"/>
  <c r="AA277" i="16" a="1"/>
  <c r="AA277" i="16"/>
  <c r="V278" i="16"/>
  <c r="W278" i="16" a="1"/>
  <c r="W278" i="16"/>
  <c r="X278" i="16" a="1"/>
  <c r="X278" i="16"/>
  <c r="Y278" i="16" a="1"/>
  <c r="Y278" i="16"/>
  <c r="Z278" i="16" a="1"/>
  <c r="Z278" i="16"/>
  <c r="AA278" i="16" a="1"/>
  <c r="AA278" i="16"/>
  <c r="V279" i="16"/>
  <c r="W279" i="16" a="1"/>
  <c r="W279" i="16"/>
  <c r="X279" i="16" a="1"/>
  <c r="X279" i="16"/>
  <c r="Y279" i="16" a="1"/>
  <c r="Y279" i="16"/>
  <c r="Z279" i="16" a="1"/>
  <c r="Z279" i="16"/>
  <c r="AA279" i="16" a="1"/>
  <c r="AA279" i="16"/>
  <c r="V280" i="16"/>
  <c r="W280" i="16" a="1"/>
  <c r="W280" i="16"/>
  <c r="X280" i="16" a="1"/>
  <c r="X280" i="16"/>
  <c r="Y280" i="16" a="1"/>
  <c r="Y280" i="16"/>
  <c r="Z280" i="16" a="1"/>
  <c r="Z280" i="16"/>
  <c r="AA280" i="16" a="1"/>
  <c r="AA280" i="16"/>
  <c r="V281" i="16"/>
  <c r="W281" i="16" a="1"/>
  <c r="W281" i="16"/>
  <c r="X281" i="16" a="1"/>
  <c r="X281" i="16"/>
  <c r="Y281" i="16" a="1"/>
  <c r="Y281" i="16"/>
  <c r="Z281" i="16" a="1"/>
  <c r="Z281" i="16"/>
  <c r="AA281" i="16" a="1"/>
  <c r="AA281" i="16"/>
  <c r="V282" i="16"/>
  <c r="W282" i="16" a="1"/>
  <c r="W282" i="16"/>
  <c r="X282" i="16" a="1"/>
  <c r="X282" i="16"/>
  <c r="Y282" i="16" a="1"/>
  <c r="Y282" i="16"/>
  <c r="Z282" i="16" a="1"/>
  <c r="Z282" i="16"/>
  <c r="AA282" i="16" a="1"/>
  <c r="AA282" i="16"/>
  <c r="V283" i="16"/>
  <c r="W283" i="16" a="1"/>
  <c r="W283" i="16"/>
  <c r="X283" i="16" a="1"/>
  <c r="X283" i="16"/>
  <c r="Y283" i="16" a="1"/>
  <c r="Y283" i="16"/>
  <c r="Z283" i="16" a="1"/>
  <c r="Z283" i="16"/>
  <c r="AA283" i="16" a="1"/>
  <c r="AA283" i="16"/>
  <c r="V284" i="16"/>
  <c r="W284" i="16" a="1"/>
  <c r="W284" i="16"/>
  <c r="X284" i="16" a="1"/>
  <c r="X284" i="16"/>
  <c r="Y284" i="16" a="1"/>
  <c r="Y284" i="16"/>
  <c r="Z284" i="16" a="1"/>
  <c r="Z284" i="16"/>
  <c r="AA284" i="16" a="1"/>
  <c r="AA284" i="16"/>
  <c r="V285" i="16"/>
  <c r="W285" i="16" a="1"/>
  <c r="W285" i="16"/>
  <c r="X285" i="16" a="1"/>
  <c r="X285" i="16"/>
  <c r="Y285" i="16" a="1"/>
  <c r="Y285" i="16"/>
  <c r="Z285" i="16" a="1"/>
  <c r="Z285" i="16"/>
  <c r="AA285" i="16" a="1"/>
  <c r="AA285" i="16"/>
  <c r="V286" i="16"/>
  <c r="W286" i="16" a="1"/>
  <c r="W286" i="16"/>
  <c r="X286" i="16" a="1"/>
  <c r="X286" i="16"/>
  <c r="Y286" i="16" a="1"/>
  <c r="Y286" i="16"/>
  <c r="Z286" i="16" a="1"/>
  <c r="Z286" i="16"/>
  <c r="AA286" i="16" a="1"/>
  <c r="AA286" i="16"/>
  <c r="V287" i="16"/>
  <c r="W287" i="16" a="1"/>
  <c r="W287" i="16"/>
  <c r="X287" i="16" a="1"/>
  <c r="X287" i="16"/>
  <c r="Y287" i="16" a="1"/>
  <c r="Y287" i="16"/>
  <c r="Z287" i="16" a="1"/>
  <c r="Z287" i="16"/>
  <c r="AA287" i="16" a="1"/>
  <c r="AA287" i="16"/>
  <c r="V288" i="16"/>
  <c r="W288" i="16" a="1"/>
  <c r="W288" i="16"/>
  <c r="X288" i="16" a="1"/>
  <c r="X288" i="16"/>
  <c r="Y288" i="16" a="1"/>
  <c r="Y288" i="16"/>
  <c r="Z288" i="16" a="1"/>
  <c r="Z288" i="16"/>
  <c r="AA288" i="16" a="1"/>
  <c r="AA288" i="16"/>
  <c r="V289" i="16"/>
  <c r="W289" i="16" a="1"/>
  <c r="W289" i="16"/>
  <c r="X289" i="16" a="1"/>
  <c r="X289" i="16"/>
  <c r="Y289" i="16" a="1"/>
  <c r="Y289" i="16"/>
  <c r="Z289" i="16" a="1"/>
  <c r="Z289" i="16"/>
  <c r="AA289" i="16" a="1"/>
  <c r="AA289" i="16"/>
  <c r="V290" i="16"/>
  <c r="W290" i="16" a="1"/>
  <c r="W290" i="16"/>
  <c r="X290" i="16" a="1"/>
  <c r="X290" i="16"/>
  <c r="Y290" i="16" a="1"/>
  <c r="Y290" i="16"/>
  <c r="Z290" i="16" a="1"/>
  <c r="Z290" i="16"/>
  <c r="AA290" i="16" a="1"/>
  <c r="AA290" i="16"/>
  <c r="V291" i="16"/>
  <c r="W291" i="16" a="1"/>
  <c r="W291" i="16"/>
  <c r="X291" i="16" a="1"/>
  <c r="X291" i="16"/>
  <c r="Y291" i="16" a="1"/>
  <c r="Y291" i="16"/>
  <c r="Z291" i="16" a="1"/>
  <c r="Z291" i="16"/>
  <c r="AA291" i="16" a="1"/>
  <c r="AA291" i="16"/>
  <c r="V292" i="16"/>
  <c r="W292" i="16" a="1"/>
  <c r="W292" i="16"/>
  <c r="X292" i="16" a="1"/>
  <c r="X292" i="16"/>
  <c r="Y292" i="16" a="1"/>
  <c r="Y292" i="16"/>
  <c r="Z292" i="16" a="1"/>
  <c r="Z292" i="16"/>
  <c r="AA292" i="16" a="1"/>
  <c r="AA292" i="16"/>
  <c r="V293" i="16"/>
  <c r="W293" i="16" a="1"/>
  <c r="W293" i="16"/>
  <c r="X293" i="16" a="1"/>
  <c r="X293" i="16"/>
  <c r="Y293" i="16" a="1"/>
  <c r="Y293" i="16"/>
  <c r="Z293" i="16" a="1"/>
  <c r="Z293" i="16"/>
  <c r="AA293" i="16" a="1"/>
  <c r="AA293" i="16"/>
  <c r="V294" i="16"/>
  <c r="W294" i="16" a="1"/>
  <c r="W294" i="16"/>
  <c r="X294" i="16" a="1"/>
  <c r="X294" i="16"/>
  <c r="Y294" i="16" a="1"/>
  <c r="Y294" i="16"/>
  <c r="Z294" i="16" a="1"/>
  <c r="Z294" i="16"/>
  <c r="AA294" i="16" a="1"/>
  <c r="AA294" i="16"/>
  <c r="V295" i="16"/>
  <c r="W295" i="16" a="1"/>
  <c r="W295" i="16"/>
  <c r="X295" i="16" a="1"/>
  <c r="X295" i="16"/>
  <c r="Y295" i="16" a="1"/>
  <c r="Y295" i="16"/>
  <c r="Z295" i="16" a="1"/>
  <c r="Z295" i="16"/>
  <c r="AA295" i="16" a="1"/>
  <c r="AA295" i="16"/>
  <c r="V296" i="16"/>
  <c r="W296" i="16" a="1"/>
  <c r="W296" i="16"/>
  <c r="X296" i="16" a="1"/>
  <c r="X296" i="16"/>
  <c r="Y296" i="16" a="1"/>
  <c r="Y296" i="16"/>
  <c r="Z296" i="16" a="1"/>
  <c r="Z296" i="16"/>
  <c r="AA296" i="16" a="1"/>
  <c r="AA296" i="16"/>
  <c r="V297" i="16"/>
  <c r="W297" i="16" a="1"/>
  <c r="W297" i="16"/>
  <c r="X297" i="16" a="1"/>
  <c r="X297" i="16"/>
  <c r="Y297" i="16" a="1"/>
  <c r="Y297" i="16"/>
  <c r="Z297" i="16" a="1"/>
  <c r="Z297" i="16"/>
  <c r="AA297" i="16" a="1"/>
  <c r="AA297" i="16"/>
  <c r="V298" i="16"/>
  <c r="W298" i="16" a="1"/>
  <c r="W298" i="16"/>
  <c r="X298" i="16" a="1"/>
  <c r="X298" i="16"/>
  <c r="Y298" i="16" a="1"/>
  <c r="Y298" i="16"/>
  <c r="Z298" i="16" a="1"/>
  <c r="Z298" i="16"/>
  <c r="AA298" i="16" a="1"/>
  <c r="AA298" i="16"/>
  <c r="V299" i="16"/>
  <c r="W299" i="16" a="1"/>
  <c r="W299" i="16"/>
  <c r="X299" i="16" a="1"/>
  <c r="X299" i="16"/>
  <c r="Y299" i="16" a="1"/>
  <c r="Y299" i="16"/>
  <c r="Z299" i="16" a="1"/>
  <c r="Z299" i="16"/>
  <c r="AA299" i="16" a="1"/>
  <c r="AA299" i="16"/>
  <c r="V300" i="16"/>
  <c r="W300" i="16" a="1"/>
  <c r="W300" i="16"/>
  <c r="X300" i="16" a="1"/>
  <c r="X300" i="16"/>
  <c r="Y300" i="16" a="1"/>
  <c r="Y300" i="16"/>
  <c r="Z300" i="16" a="1"/>
  <c r="Z300" i="16"/>
  <c r="AA300" i="16" a="1"/>
  <c r="AA300" i="16"/>
  <c r="V301" i="16"/>
  <c r="W301" i="16" a="1"/>
  <c r="W301" i="16"/>
  <c r="X301" i="16" a="1"/>
  <c r="X301" i="16"/>
  <c r="Y301" i="16" a="1"/>
  <c r="Y301" i="16"/>
  <c r="Z301" i="16" a="1"/>
  <c r="Z301" i="16"/>
  <c r="AA301" i="16" a="1"/>
  <c r="AA301" i="16"/>
  <c r="V302" i="16"/>
  <c r="W302" i="16" a="1"/>
  <c r="W302" i="16"/>
  <c r="X302" i="16" a="1"/>
  <c r="X302" i="16"/>
  <c r="Y302" i="16" a="1"/>
  <c r="Y302" i="16"/>
  <c r="Z302" i="16" a="1"/>
  <c r="Z302" i="16"/>
  <c r="AA302" i="16" a="1"/>
  <c r="AA302" i="16"/>
  <c r="V303" i="16"/>
  <c r="W303" i="16" a="1"/>
  <c r="W303" i="16"/>
  <c r="X303" i="16" a="1"/>
  <c r="X303" i="16"/>
  <c r="Y303" i="16" a="1"/>
  <c r="Y303" i="16"/>
  <c r="Z303" i="16" a="1"/>
  <c r="Z303" i="16"/>
  <c r="AA303" i="16" a="1"/>
  <c r="AA303" i="16"/>
  <c r="V304" i="16"/>
  <c r="W304" i="16" a="1"/>
  <c r="W304" i="16"/>
  <c r="X304" i="16" a="1"/>
  <c r="X304" i="16"/>
  <c r="Y304" i="16" a="1"/>
  <c r="Y304" i="16"/>
  <c r="Z304" i="16" a="1"/>
  <c r="Z304" i="16"/>
  <c r="AA304" i="16" a="1"/>
  <c r="AA304" i="16"/>
  <c r="V305" i="16"/>
  <c r="W305" i="16" a="1"/>
  <c r="W305" i="16"/>
  <c r="X305" i="16" a="1"/>
  <c r="X305" i="16"/>
  <c r="Y305" i="16" a="1"/>
  <c r="Y305" i="16"/>
  <c r="Z305" i="16" a="1"/>
  <c r="Z305" i="16"/>
  <c r="AA305" i="16" a="1"/>
  <c r="AA305" i="16"/>
  <c r="V306" i="16"/>
  <c r="W306" i="16" a="1"/>
  <c r="W306" i="16"/>
  <c r="X306" i="16" a="1"/>
  <c r="X306" i="16"/>
  <c r="Y306" i="16" a="1"/>
  <c r="Y306" i="16"/>
  <c r="Z306" i="16" a="1"/>
  <c r="Z306" i="16"/>
  <c r="AA306" i="16" a="1"/>
  <c r="AA306" i="16"/>
  <c r="V307" i="16"/>
  <c r="W307" i="16" a="1"/>
  <c r="W307" i="16"/>
  <c r="X307" i="16" a="1"/>
  <c r="X307" i="16"/>
  <c r="Y307" i="16" a="1"/>
  <c r="Y307" i="16"/>
  <c r="Z307" i="16" a="1"/>
  <c r="Z307" i="16"/>
  <c r="AA307" i="16" a="1"/>
  <c r="AA307" i="16"/>
  <c r="V308" i="16"/>
  <c r="W308" i="16" a="1"/>
  <c r="W308" i="16"/>
  <c r="X308" i="16" a="1"/>
  <c r="X308" i="16"/>
  <c r="Y308" i="16" a="1"/>
  <c r="Y308" i="16"/>
  <c r="Z308" i="16" a="1"/>
  <c r="Z308" i="16"/>
  <c r="AA308" i="16" a="1"/>
  <c r="AA308" i="16"/>
  <c r="V309" i="16"/>
  <c r="W309" i="16" a="1"/>
  <c r="W309" i="16"/>
  <c r="X309" i="16" a="1"/>
  <c r="X309" i="16"/>
  <c r="Y309" i="16" a="1"/>
  <c r="Y309" i="16"/>
  <c r="Z309" i="16" a="1"/>
  <c r="Z309" i="16"/>
  <c r="AA309" i="16" a="1"/>
  <c r="AA309" i="16"/>
  <c r="V310" i="16"/>
  <c r="W310" i="16" a="1"/>
  <c r="W310" i="16"/>
  <c r="X310" i="16" a="1"/>
  <c r="X310" i="16"/>
  <c r="Y310" i="16" a="1"/>
  <c r="Y310" i="16"/>
  <c r="Z310" i="16" a="1"/>
  <c r="Z310" i="16"/>
  <c r="AA310" i="16" a="1"/>
  <c r="AA310" i="16"/>
  <c r="V311" i="16"/>
  <c r="W311" i="16" a="1"/>
  <c r="W311" i="16"/>
  <c r="X311" i="16" a="1"/>
  <c r="X311" i="16"/>
  <c r="Y311" i="16" a="1"/>
  <c r="Y311" i="16"/>
  <c r="Z311" i="16" a="1"/>
  <c r="Z311" i="16"/>
  <c r="AA311" i="16" a="1"/>
  <c r="AA311" i="16"/>
  <c r="V312" i="16"/>
  <c r="W312" i="16" a="1"/>
  <c r="W312" i="16"/>
  <c r="X312" i="16" a="1"/>
  <c r="X312" i="16"/>
  <c r="Y312" i="16" a="1"/>
  <c r="Y312" i="16"/>
  <c r="Z312" i="16" a="1"/>
  <c r="Z312" i="16"/>
  <c r="AA312" i="16" a="1"/>
  <c r="AA312" i="16"/>
  <c r="V313" i="16"/>
  <c r="W313" i="16" a="1"/>
  <c r="W313" i="16"/>
  <c r="X313" i="16" a="1"/>
  <c r="X313" i="16"/>
  <c r="Y313" i="16" a="1"/>
  <c r="Y313" i="16"/>
  <c r="Z313" i="16" a="1"/>
  <c r="Z313" i="16"/>
  <c r="AA313" i="16" a="1"/>
  <c r="AA313" i="16"/>
  <c r="C9" i="8" l="1"/>
  <c r="F11" i="8"/>
  <c r="E7" i="3" l="1"/>
  <c r="C7" i="4" l="1"/>
  <c r="I7" i="7" l="1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M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M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M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M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N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<sst xmlns="http://schemas.openxmlformats.org/spreadsheetml/2006/main" count="4199" uniqueCount="683">
  <si>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</si>
  <si>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</si>
  <si>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</si>
  <si>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</si>
  <si>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</si>
  <si>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</si>
  <si>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</si>
  <si>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</si>
  <si>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</si>
  <si>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</si>
  <si>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</si>
  <si>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</si>
  <si>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</si>
  <si>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</si>
  <si>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</si>
  <si>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</si>
  <si>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</si>
  <si>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</si>
  <si>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</si>
  <si>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</si>
  <si>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</si>
  <si>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</si>
  <si>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</si>
  <si>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</si>
  <si>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</si>
  <si>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</si>
  <si>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</si>
  <si>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</si>
  <si>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</si>
  <si>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</si>
  <si>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</si>
  <si>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</si>
  <si>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</si>
  <si>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</si>
  <si>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</si>
  <si>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</si>
  <si>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</si>
  <si>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</si>
  <si>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</si>
  <si>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</si>
  <si>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</si>
  <si>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</si>
  <si>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</si>
  <si>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</si>
  <si>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</si>
  <si>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</si>
  <si>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</si>
  <si>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</si>
  <si>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</si>
  <si>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</si>
  <si>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</si>
  <si>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</si>
  <si>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</si>
  <si>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</si>
  <si>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</si>
  <si>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</si>
  <si>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</si>
  <si>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</si>
  <si>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</si>
  <si>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</si>
  <si>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</si>
  <si>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</si>
  <si>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</si>
  <si>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</si>
  <si>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</si>
  <si>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</si>
  <si>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</si>
  <si>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</si>
  <si>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</si>
  <si>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</si>
  <si>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</si>
  <si>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</si>
  <si>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</si>
  <si>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</si>
  <si>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</si>
  <si>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</si>
  <si>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</si>
  <si>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</si>
  <si>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</si>
  <si>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</si>
  <si>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</si>
  <si>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</si>
  <si>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</si>
  <si>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</si>
  <si>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</si>
  <si>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</si>
  <si>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</si>
  <si>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</si>
  <si>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</si>
  <si>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</si>
  <si>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</si>
  <si>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</si>
  <si>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</si>
  <si>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</si>
  <si>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</si>
  <si>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</si>
  <si>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</si>
  <si>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</si>
  <si>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</si>
  <si>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</si>
  <si>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</si>
  <si>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</si>
  <si>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</si>
  <si>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</si>
  <si>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</si>
  <si>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</si>
  <si>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</si>
  <si>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</si>
  <si>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</si>
  <si>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</si>
  <si>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</si>
  <si>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</si>
  <si>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</si>
  <si>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</si>
  <si>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</si>
  <si>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</si>
  <si>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</si>
  <si>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</si>
  <si>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</si>
  <si>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</si>
  <si>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</si>
  <si>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</si>
  <si>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</si>
  <si>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</si>
  <si>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</si>
  <si>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</si>
  <si>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</si>
  <si>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</si>
  <si>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</si>
  <si>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</si>
  <si>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</si>
  <si>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</si>
  <si>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</si>
  <si>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</si>
  <si>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</si>
  <si>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</si>
  <si>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</si>
  <si>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</si>
  <si>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</si>
  <si>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</si>
  <si>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</si>
  <si>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</si>
  <si>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</si>
  <si>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</si>
  <si>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</si>
  <si>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</si>
  <si>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</si>
  <si>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</si>
  <si>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</si>
  <si>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</si>
  <si>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</si>
  <si>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</si>
  <si>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</si>
  <si>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</si>
  <si>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</si>
  <si>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</si>
  <si>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</si>
  <si>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</si>
  <si>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</si>
  <si>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</si>
  <si>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</si>
  <si>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</si>
  <si>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</si>
  <si>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</si>
  <si>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</si>
  <si>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</si>
  <si>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</si>
  <si>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</si>
  <si>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</si>
  <si>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</si>
  <si>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</si>
  <si>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</si>
  <si>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</si>
  <si>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</si>
  <si>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</si>
  <si>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</si>
  <si>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</si>
  <si>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</si>
  <si>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</si>
  <si>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</si>
  <si>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</si>
  <si>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</si>
  <si>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</si>
  <si>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</si>
  <si>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</si>
  <si>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</si>
  <si>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</si>
  <si>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</si>
  <si>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</si>
  <si>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</si>
  <si>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</si>
  <si>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</si>
  <si>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</si>
  <si>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</si>
  <si>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</si>
  <si>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</si>
  <si>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</si>
  <si>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</si>
  <si>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</si>
  <si>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</si>
  <si>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</si>
  <si>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</si>
  <si>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</si>
  <si>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</si>
  <si>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</si>
  <si>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</si>
  <si>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</si>
  <si>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</si>
  <si>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</si>
  <si>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</si>
  <si>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</si>
  <si>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</si>
  <si>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</si>
  <si>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</si>
  <si>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</si>
  <si>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</si>
  <si>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</si>
  <si>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</si>
  <si>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</si>
  <si>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</si>
  <si>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</si>
  <si>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</si>
  <si>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</si>
  <si>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</si>
  <si>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</si>
  <si>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</si>
  <si>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</si>
  <si>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</si>
  <si>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</si>
  <si>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</si>
  <si>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</si>
  <si>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</si>
  <si>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</si>
  <si>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</si>
  <si>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</si>
  <si>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</si>
  <si>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</si>
  <si>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</si>
  <si>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</si>
  <si>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</si>
  <si>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</si>
  <si>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</si>
  <si>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</si>
  <si>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</si>
  <si>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</si>
  <si>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</si>
  <si>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</si>
  <si>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</si>
  <si>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</si>
  <si>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</si>
  <si>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</si>
  <si>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</si>
  <si>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</si>
  <si>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</si>
  <si>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</si>
  <si>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</si>
  <si>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</si>
  <si>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</si>
  <si>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</si>
  <si>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</si>
  <si>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</si>
  <si>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</si>
  <si>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</si>
  <si>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</si>
  <si>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</si>
  <si>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</si>
  <si>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</si>
  <si>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</si>
  <si>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</si>
  <si>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</si>
  <si>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</si>
  <si>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</si>
  <si>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</si>
  <si>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</si>
  <si>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</si>
  <si>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</si>
  <si>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</si>
  <si>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</si>
  <si>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</si>
  <si>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</si>
  <si>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</si>
  <si>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</si>
  <si>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</si>
  <si>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</si>
  <si>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</si>
  <si>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</si>
  <si>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</si>
  <si>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</si>
  <si>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</si>
  <si>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</si>
  <si>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</si>
  <si>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</si>
  <si>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</si>
  <si>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</si>
  <si>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</si>
  <si>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</si>
  <si>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</si>
  <si>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</si>
  <si>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</si>
  <si>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</si>
  <si>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</si>
  <si>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</si>
  <si>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</si>
  <si>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</si>
  <si>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</si>
  <si>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</si>
  <si>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</si>
  <si>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</si>
  <si>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</si>
  <si>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</si>
  <si>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</si>
  <si>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</si>
  <si>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</si>
  <si>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</si>
  <si>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</si>
  <si>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</si>
  <si>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</si>
  <si>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</si>
  <si>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</si>
  <si>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</si>
  <si>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</si>
  <si>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</si>
  <si>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</si>
  <si>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</si>
  <si>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</si>
  <si>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</si>
  <si>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</si>
  <si>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</si>
  <si>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</si>
  <si>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</si>
  <si>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</si>
  <si>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</si>
  <si>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</si>
  <si>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</si>
  <si>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</si>
  <si>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</si>
  <si>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</si>
  <si>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</si>
  <si>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</si>
  <si>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</si>
  <si>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</si>
  <si>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</si>
  <si>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</si>
  <si>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</si>
  <si>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</si>
  <si>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</si>
  <si>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</si>
  <si>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</si>
  <si>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</si>
  <si>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</si>
  <si>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</si>
  <si>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</si>
  <si>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</si>
  <si>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</si>
  <si>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</si>
  <si>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</si>
  <si>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</si>
  <si>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</si>
  <si>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</si>
  <si>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</si>
  <si>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</si>
  <si>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</si>
  <si>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</si>
  <si>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</si>
  <si>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</si>
  <si>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</si>
  <si>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</si>
  <si>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</si>
  <si>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</si>
  <si>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</si>
  <si>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</si>
  <si>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</si>
  <si>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</si>
  <si>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</si>
  <si>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</si>
  <si>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</si>
  <si>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</si>
  <si>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</si>
  <si>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</si>
  <si>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</si>
  <si>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</si>
  <si>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</si>
  <si>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</si>
  <si>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</si>
  <si>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</si>
  <si>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</si>
  <si>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</si>
  <si>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</si>
  <si>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</si>
  <si>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</si>
  <si>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</si>
  <si>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</si>
  <si>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</si>
  <si>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</si>
  <si>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</si>
  <si>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</si>
  <si>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</si>
  <si>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</si>
  <si>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</si>
  <si>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</si>
  <si>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</si>
  <si>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</si>
  <si>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</si>
  <si>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</si>
  <si>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</si>
  <si>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</si>
  <si>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</si>
  <si>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</si>
  <si>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</si>
  <si>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</si>
  <si>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</si>
  <si>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</si>
  <si>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</si>
  <si>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</si>
  <si>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</si>
  <si>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</si>
  <si>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</si>
  <si>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</si>
  <si>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</si>
  <si>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</si>
  <si>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</si>
  <si>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</si>
  <si>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</si>
  <si>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</si>
  <si>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</si>
  <si>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</si>
  <si>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</si>
  <si>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</si>
  <si>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</si>
  <si>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</si>
  <si>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</si>
  <si>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</si>
  <si>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</si>
  <si>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</si>
  <si>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</si>
  <si>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</si>
  <si>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</si>
  <si>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</si>
  <si>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</si>
  <si>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</si>
  <si>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</si>
  <si>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</si>
  <si>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</si>
  <si>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</si>
  <si>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</si>
  <si>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</si>
  <si>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</si>
  <si>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</si>
  <si>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</si>
  <si>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</si>
  <si>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</si>
  <si>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</si>
  <si>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</si>
  <si>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</si>
  <si>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</si>
  <si>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</si>
  <si>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</si>
  <si>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</si>
  <si>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</si>
  <si>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</si>
  <si>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</si>
  <si>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</si>
  <si>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</si>
  <si>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</si>
  <si>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</si>
  <si>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</si>
  <si>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</si>
  <si>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</si>
  <si>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</si>
  <si>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</si>
  <si>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</si>
  <si>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</si>
  <si>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</si>
  <si>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</si>
  <si>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</si>
  <si>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</si>
  <si>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</si>
  <si>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</si>
  <si>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</si>
  <si>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</si>
  <si>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</si>
  <si>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</si>
  <si>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</si>
  <si>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</si>
  <si>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</si>
  <si>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</si>
  <si>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</si>
  <si>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</si>
  <si>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</si>
  <si>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</si>
  <si>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</si>
  <si>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</si>
  <si>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</si>
  <si>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</si>
  <si>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</si>
  <si>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</si>
  <si>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</si>
  <si>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</si>
  <si>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</si>
  <si>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</si>
  <si>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</si>
  <si>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</si>
  <si>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</si>
  <si>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</si>
  <si>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</si>
  <si>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</si>
  <si>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</si>
  <si>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</si>
  <si>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</si>
  <si>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</si>
  <si>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</si>
  <si>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</si>
  <si>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</si>
  <si>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</si>
  <si>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</si>
  <si>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</si>
  <si>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</si>
  <si>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</si>
  <si>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</si>
  <si>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</si>
  <si>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</si>
  <si>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</si>
  <si>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</si>
  <si>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</si>
  <si>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</si>
  <si>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</si>
  <si>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</si>
  <si>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</si>
  <si>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</si>
  <si>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</si>
  <si>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</si>
  <si>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</si>
  <si>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</si>
  <si>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</si>
  <si>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</si>
  <si>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</si>
  <si>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</si>
  <si>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</si>
  <si>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</si>
  <si>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</si>
  <si>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</si>
  <si>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</si>
  <si>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</si>
  <si>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</si>
  <si>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</si>
  <si>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</si>
  <si>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</si>
  <si>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</si>
  <si>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</si>
  <si>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</si>
  <si>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</si>
  <si>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</si>
  <si>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</si>
  <si>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</si>
  <si>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</si>
  <si>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</si>
  <si>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</si>
  <si>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</si>
  <si>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</si>
  <si>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</si>
  <si>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</si>
  <si>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</si>
  <si>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</si>
  <si>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</si>
  <si>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</si>
  <si>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</si>
  <si>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</si>
  <si>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</si>
  <si>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</si>
  <si>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</si>
  <si>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</si>
  <si>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</si>
  <si>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</si>
  <si>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</si>
  <si>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</si>
  <si>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</si>
  <si>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</si>
  <si>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</si>
  <si>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</si>
  <si>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</si>
  <si>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</si>
  <si>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</si>
  <si>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</si>
  <si>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</si>
  <si>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</si>
  <si>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</si>
  <si>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</si>
  <si>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</si>
  <si>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</si>
  <si>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</si>
  <si>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</si>
  <si>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</si>
  <si>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</si>
  <si>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</si>
  <si>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</si>
  <si>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</si>
  <si>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</si>
  <si>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</si>
  <si>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</si>
  <si>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</si>
  <si>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</si>
  <si>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</si>
  <si>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</si>
  <si>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</si>
  <si>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</si>
  <si>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</si>
  <si>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</si>
  <si>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</si>
  <si>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</si>
  <si>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</si>
  <si>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</si>
  <si>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</si>
  <si>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</si>
  <si>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</si>
  <si>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</si>
  <si>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</si>
  <si>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</si>
  <si>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</si>
  <si>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</si>
  <si>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</si>
  <si>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</si>
  <si>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CDO Delta GIRR Weighted</t>
  </si>
  <si>
    <t>CDS Delta GIRR Weighted</t>
  </si>
  <si>
    <t>Kb</t>
  </si>
  <si>
    <t>Currency: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</si>
  <si>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</si>
  <si>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</si>
  <si>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</si>
  <si>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</si>
  <si>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</si>
  <si>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</si>
  <si>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</si>
  <si>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</si>
  <si>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</si>
  <si>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</si>
  <si>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</si>
  <si>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</si>
  <si>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</si>
  <si>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</si>
  <si>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</si>
  <si>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</si>
  <si>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</si>
  <si>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</si>
  <si>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</si>
  <si>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</si>
  <si>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</si>
  <si>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</si>
  <si>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</si>
  <si>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</si>
  <si>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</si>
  <si>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</si>
  <si>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</si>
  <si>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</si>
  <si>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</si>
  <si>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</si>
  <si>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</si>
  <si>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</si>
  <si>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</si>
  <si>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</si>
  <si>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</si>
  <si>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</si>
  <si>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</si>
  <si>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</si>
  <si>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</si>
  <si>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Basic Materials</t>
  </si>
  <si>
    <t>Healthcare</t>
  </si>
  <si>
    <t>Consumer Goods</t>
  </si>
  <si>
    <t>AAA</t>
  </si>
  <si>
    <t>AA</t>
  </si>
  <si>
    <t>Financials</t>
  </si>
  <si>
    <t>Energy</t>
  </si>
  <si>
    <t>Utilities</t>
  </si>
  <si>
    <t>Telecommunications Services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</si>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</sst>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32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7" xfId="0" applyNumberFormat="1" applyFont="1" applyFill="1" applyBorder="1"/>
    <xf numFmtId="167" fontId="48" fillId="4" borderId="23" xfId="0" applyNumberFormat="1" applyFont="1" applyFill="1" applyBorder="1"/>
    <xf numFmtId="16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0" xfId="0" applyNumberFormat="1" applyFont="1" applyFill="1"/>
    <xf numFmtId="167" fontId="48" fillId="4" borderId="2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67" fontId="48" fillId="4" borderId="4" xfId="0" applyNumberFormat="1" applyFont="1" applyFill="1" applyBorder="1"/>
    <xf numFmtId="167" fontId="48" fillId="4" borderId="5" xfId="0" applyNumberFormat="1" applyFont="1" applyFill="1" applyBorder="1"/>
    <xf numFmtId="167" fontId="48" fillId="4" borderId="14" xfId="0" applyNumberFormat="1" applyFont="1" applyFill="1" applyBorder="1"/>
    <xf numFmtId="167" fontId="48" fillId="4" borderId="6" xfId="0" applyNumberFormat="1" applyFont="1" applyFill="1" applyBorder="1"/>
    <xf numFmtId="167" fontId="48" fillId="4" borderId="12" xfId="0" applyNumberFormat="1" applyFont="1" applyFill="1" applyBorder="1"/>
    <xf numFmtId="177" fontId="48" fillId="4" borderId="0" xfId="0" applyNumberFormat="1" applyFont="1" applyFill="1"/>
    <xf numFmtId="0" fontId="34" fillId="2" borderId="12" xfId="0" applyFont="1" applyFill="1" applyBorder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164" fontId="0" fillId="0" borderId="0" xfId="0" applyNumberFormat="1"/>
    <xf numFmtId="178" fontId="0" fillId="0" borderId="0" xfId="0" applyNumberFormat="1"/>
    <xf numFmtId="10" fontId="21" fillId="0" borderId="0" xfId="0" applyNumberFormat="1" applyFont="1" applyAlignment="1">
      <alignment horizontal="right"/>
    </xf>
    <xf numFmtId="167" fontId="45" fillId="4" borderId="7" xfId="0" applyNumberFormat="1" applyFont="1" applyFill="1" applyBorder="1"/>
    <xf numFmtId="167" fontId="45" fillId="4" borderId="1" xfId="0" applyNumberFormat="1" applyFont="1" applyFill="1" applyBorder="1"/>
    <xf numFmtId="0" fontId="34" fillId="4" borderId="1" xfId="0" applyFont="1" applyFill="1" applyBorder="1"/>
    <xf numFmtId="0" fontId="34" fillId="4" borderId="0" xfId="0" applyFont="1" applyFill="1"/>
    <xf numFmtId="0" fontId="34" fillId="4" borderId="2" xfId="0" applyFont="1" applyFill="1" applyBorder="1"/>
    <xf numFmtId="0" fontId="34" fillId="4" borderId="3" xfId="0" applyFont="1" applyFill="1" applyBorder="1"/>
    <xf numFmtId="0" fontId="34" fillId="4" borderId="28" xfId="0" applyFont="1" applyFill="1" applyBorder="1"/>
    <xf numFmtId="0" fontId="34" fillId="4" borderId="4" xfId="0" applyFont="1" applyFill="1" applyBorder="1"/>
    <xf numFmtId="14" fontId="34" fillId="4" borderId="2" xfId="0" applyNumberFormat="1" applyFont="1" applyFill="1" applyBorder="1"/>
    <xf numFmtId="14" fontId="34" fillId="4" borderId="4" xfId="0" applyNumberFormat="1" applyFont="1" applyFill="1" applyBorder="1"/>
    <xf numFmtId="10" fontId="34" fillId="4" borderId="0" xfId="0" applyNumberFormat="1" applyFont="1" applyFill="1"/>
    <xf numFmtId="10" fontId="34" fillId="4" borderId="28" xfId="0" applyNumberFormat="1" applyFont="1" applyFill="1" applyBorder="1"/>
    <xf numFmtId="9" fontId="34" fillId="4" borderId="0" xfId="0" applyNumberFormat="1" applyFont="1" applyFill="1"/>
    <xf numFmtId="9" fontId="34" fillId="4" borderId="28" xfId="0" applyNumberFormat="1" applyFont="1" applyFill="1" applyBorder="1"/>
    <xf numFmtId="0" fontId="34" fillId="4" borderId="7" xfId="0" applyFont="1" applyFill="1" applyBorder="1"/>
    <xf numFmtId="0" fontId="34" fillId="4" borderId="23" xfId="0" applyFont="1" applyFill="1" applyBorder="1"/>
    <xf numFmtId="10" fontId="34" fillId="4" borderId="23" xfId="0" applyNumberFormat="1" applyFont="1" applyFill="1" applyBorder="1"/>
    <xf numFmtId="9" fontId="34" fillId="4" borderId="23" xfId="0" applyNumberFormat="1" applyFont="1" applyFill="1" applyBorder="1"/>
    <xf numFmtId="0" fontId="34" fillId="4" borderId="8" xfId="0" applyFont="1" applyFill="1" applyBorder="1"/>
    <xf numFmtId="0" fontId="34" fillId="4" borderId="47" xfId="0" applyFont="1" applyFill="1" applyBorder="1"/>
    <xf numFmtId="0" fontId="34" fillId="4" borderId="13" xfId="0" applyFont="1" applyFill="1" applyBorder="1"/>
    <xf numFmtId="10" fontId="34" fillId="4" borderId="13" xfId="0" applyNumberFormat="1" applyFont="1" applyFill="1" applyBorder="1"/>
    <xf numFmtId="9" fontId="34" fillId="4" borderId="13" xfId="0" applyNumberFormat="1" applyFont="1" applyFill="1" applyBorder="1"/>
    <xf numFmtId="0" fontId="34" fillId="4" borderId="48" xfId="0" applyFont="1" applyFill="1" applyBorder="1"/>
    <xf numFmtId="0" fontId="34" fillId="4" borderId="49" xfId="0" applyFont="1" applyFill="1" applyBorder="1"/>
    <xf numFmtId="0" fontId="34" fillId="4" borderId="50" xfId="0" applyFont="1" applyFill="1" applyBorder="1"/>
    <xf numFmtId="10" fontId="34" fillId="4" borderId="50" xfId="0" applyNumberFormat="1" applyFont="1" applyFill="1" applyBorder="1"/>
    <xf numFmtId="9" fontId="34" fillId="4" borderId="50" xfId="0" applyNumberFormat="1" applyFont="1" applyFill="1" applyBorder="1"/>
    <xf numFmtId="0" fontId="34" fillId="4" borderId="51" xfId="0" applyFont="1" applyFill="1" applyBorder="1"/>
    <xf numFmtId="14" fontId="34" fillId="4" borderId="8" xfId="0" applyNumberFormat="1" applyFont="1" applyFill="1" applyBorder="1"/>
    <xf numFmtId="14" fontId="34" fillId="4" borderId="48" xfId="0" applyNumberFormat="1" applyFont="1" applyFill="1" applyBorder="1"/>
    <xf numFmtId="14" fontId="34" fillId="4" borderId="51" xfId="0" applyNumberFormat="1" applyFont="1" applyFill="1" applyBorder="1"/>
    <xf numFmtId="167" fontId="21" fillId="4" borderId="0" xfId="0" applyNumberFormat="1" applyFont="1" applyFill="1"/>
    <xf numFmtId="10" fontId="0" fillId="0" borderId="0" xfId="0" applyNumberFormat="1"/>
    <xf numFmtId="0" fontId="23" fillId="0" borderId="23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1" fillId="0" borderId="5" xfId="0" applyFont="1" applyBorder="1"/>
    <xf numFmtId="0" fontId="27" fillId="3" borderId="11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3" fillId="0" borderId="28" xfId="0" applyFont="1" applyBorder="1" applyAlignment="1">
      <alignment horizontal="center"/>
    </xf>
    <xf numFmtId="165" fontId="25" fillId="0" borderId="24" xfId="3" applyNumberFormat="1" applyFont="1" applyBorder="1" applyAlignment="1">
      <alignment horizontal="center"/>
    </xf>
    <xf numFmtId="165" fontId="25" fillId="0" borderId="31" xfId="3" applyNumberFormat="1" applyFont="1" applyBorder="1" applyAlignment="1">
      <alignment horizontal="center"/>
    </xf>
    <xf numFmtId="165" fontId="25" fillId="0" borderId="29" xfId="3" applyNumberFormat="1" applyFont="1" applyBorder="1" applyAlignment="1">
      <alignment horizontal="center"/>
    </xf>
    <xf numFmtId="165" fontId="25" fillId="0" borderId="26" xfId="3" applyNumberFormat="1" applyFont="1" applyBorder="1" applyAlignment="1">
      <alignment horizontal="center"/>
    </xf>
    <xf numFmtId="165" fontId="25" fillId="0" borderId="32" xfId="3" applyNumberFormat="1" applyFont="1" applyBorder="1" applyAlignment="1">
      <alignment horizontal="center"/>
    </xf>
    <xf numFmtId="165" fontId="25" fillId="0" borderId="30" xfId="3" applyNumberFormat="1" applyFont="1" applyBorder="1" applyAlignment="1">
      <alignment horizontal="center"/>
    </xf>
    <xf numFmtId="165" fontId="25" fillId="0" borderId="18" xfId="3" applyNumberFormat="1" applyFont="1" applyBorder="1" applyAlignment="1">
      <alignment horizontal="center"/>
    </xf>
    <xf numFmtId="165" fontId="25" fillId="0" borderId="33" xfId="3" applyNumberFormat="1" applyFont="1" applyBorder="1" applyAlignment="1">
      <alignment horizontal="center"/>
    </xf>
    <xf numFmtId="165" fontId="25" fillId="0" borderId="20" xfId="3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E0A"/>
      <color rgb="FFE664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2.2315147540802873E-3</c:v>
                </c:pt>
                <c:pt idx="1">
                  <c:v>2.2315147540814123E-3</c:v>
                </c:pt>
                <c:pt idx="2">
                  <c:v>2.2315147540799413E-3</c:v>
                </c:pt>
                <c:pt idx="3">
                  <c:v>2.2315147540801052E-3</c:v>
                </c:pt>
                <c:pt idx="4">
                  <c:v>2.2315147540801052E-3</c:v>
                </c:pt>
                <c:pt idx="5">
                  <c:v>2.2315147540793536E-3</c:v>
                </c:pt>
                <c:pt idx="6">
                  <c:v>4.9781208385098145E-3</c:v>
                </c:pt>
                <c:pt idx="7">
                  <c:v>4.9781208385089671E-3</c:v>
                </c:pt>
                <c:pt idx="8">
                  <c:v>4.9781208385098145E-3</c:v>
                </c:pt>
                <c:pt idx="9">
                  <c:v>4.9781208385103184E-3</c:v>
                </c:pt>
                <c:pt idx="10">
                  <c:v>4.9781208385085065E-3</c:v>
                </c:pt>
                <c:pt idx="11">
                  <c:v>4.9781208385111216E-3</c:v>
                </c:pt>
                <c:pt idx="12">
                  <c:v>5.6495716406230563E-3</c:v>
                </c:pt>
                <c:pt idx="13">
                  <c:v>5.6495716406237354E-3</c:v>
                </c:pt>
                <c:pt idx="14">
                  <c:v>5.6495716406244076E-3</c:v>
                </c:pt>
                <c:pt idx="15">
                  <c:v>5.6495716406237354E-3</c:v>
                </c:pt>
                <c:pt idx="16">
                  <c:v>5.6495716406224274E-3</c:v>
                </c:pt>
                <c:pt idx="17">
                  <c:v>5.6495716406246999E-3</c:v>
                </c:pt>
                <c:pt idx="18">
                  <c:v>5.6495716406237354E-3</c:v>
                </c:pt>
                <c:pt idx="19">
                  <c:v>5.6495716406230563E-3</c:v>
                </c:pt>
                <c:pt idx="20">
                  <c:v>5.6495716406250434E-3</c:v>
                </c:pt>
                <c:pt idx="21">
                  <c:v>5.6495716406217049E-3</c:v>
                </c:pt>
                <c:pt idx="22">
                  <c:v>5.6495716406224274E-3</c:v>
                </c:pt>
                <c:pt idx="23">
                  <c:v>5.6495716406250434E-3</c:v>
                </c:pt>
                <c:pt idx="24">
                  <c:v>7.5526114165264521E-3</c:v>
                </c:pt>
                <c:pt idx="25">
                  <c:v>7.552611416526943E-3</c:v>
                </c:pt>
                <c:pt idx="26">
                  <c:v>7.5526114165264521E-3</c:v>
                </c:pt>
                <c:pt idx="27">
                  <c:v>7.552611416526943E-3</c:v>
                </c:pt>
                <c:pt idx="28">
                  <c:v>7.5526114165243262E-3</c:v>
                </c:pt>
                <c:pt idx="29">
                  <c:v>7.5526114165279865E-3</c:v>
                </c:pt>
                <c:pt idx="30">
                  <c:v>7.5526114165256342E-3</c:v>
                </c:pt>
                <c:pt idx="31">
                  <c:v>7.5526114165278026E-3</c:v>
                </c:pt>
                <c:pt idx="32">
                  <c:v>7.552611416526943E-3</c:v>
                </c:pt>
                <c:pt idx="33">
                  <c:v>7.5526114165264113E-3</c:v>
                </c:pt>
                <c:pt idx="34">
                  <c:v>7.552611416526943E-3</c:v>
                </c:pt>
                <c:pt idx="35">
                  <c:v>7.552611416526943E-3</c:v>
                </c:pt>
                <c:pt idx="36">
                  <c:v>9.2965319056387483E-3</c:v>
                </c:pt>
                <c:pt idx="37">
                  <c:v>9.2965319056379919E-3</c:v>
                </c:pt>
                <c:pt idx="38">
                  <c:v>9.2965319056387483E-3</c:v>
                </c:pt>
                <c:pt idx="39">
                  <c:v>9.2965319056392999E-3</c:v>
                </c:pt>
                <c:pt idx="40">
                  <c:v>9.2965319056366839E-3</c:v>
                </c:pt>
                <c:pt idx="41">
                  <c:v>9.2965319056389946E-3</c:v>
                </c:pt>
                <c:pt idx="42">
                  <c:v>9.2965319056392999E-3</c:v>
                </c:pt>
                <c:pt idx="43">
                  <c:v>9.2965319056373969E-3</c:v>
                </c:pt>
                <c:pt idx="44">
                  <c:v>9.2965319056406079E-3</c:v>
                </c:pt>
                <c:pt idx="45">
                  <c:v>9.2965319056387483E-3</c:v>
                </c:pt>
                <c:pt idx="46">
                  <c:v>9.2965319056379433E-3</c:v>
                </c:pt>
                <c:pt idx="47">
                  <c:v>9.2965319056393485E-3</c:v>
                </c:pt>
                <c:pt idx="48">
                  <c:v>9.296531905638698E-3</c:v>
                </c:pt>
                <c:pt idx="49">
                  <c:v>9.2965319056380405E-3</c:v>
                </c:pt>
                <c:pt idx="50">
                  <c:v>9.2965319056400493E-3</c:v>
                </c:pt>
                <c:pt idx="51">
                  <c:v>9.2965319056392513E-3</c:v>
                </c:pt>
                <c:pt idx="52">
                  <c:v>9.2965319056380405E-3</c:v>
                </c:pt>
                <c:pt idx="53">
                  <c:v>9.2965319056369199E-3</c:v>
                </c:pt>
                <c:pt idx="54">
                  <c:v>9.2965319056406565E-3</c:v>
                </c:pt>
                <c:pt idx="55">
                  <c:v>9.2965319056373466E-3</c:v>
                </c:pt>
                <c:pt idx="56">
                  <c:v>9.2965319056379433E-3</c:v>
                </c:pt>
                <c:pt idx="57">
                  <c:v>9.2965319056374472E-3</c:v>
                </c:pt>
                <c:pt idx="58">
                  <c:v>9.2965319056405593E-3</c:v>
                </c:pt>
                <c:pt idx="59">
                  <c:v>9.2965319056380405E-3</c:v>
                </c:pt>
                <c:pt idx="60">
                  <c:v>9.5060084048905445E-3</c:v>
                </c:pt>
                <c:pt idx="61">
                  <c:v>9.5060084048901334E-3</c:v>
                </c:pt>
                <c:pt idx="62">
                  <c:v>9.5060084048891914E-3</c:v>
                </c:pt>
                <c:pt idx="63">
                  <c:v>9.5060084048900345E-3</c:v>
                </c:pt>
                <c:pt idx="64">
                  <c:v>9.5060084048901334E-3</c:v>
                </c:pt>
                <c:pt idx="65">
                  <c:v>9.5060084048906191E-3</c:v>
                </c:pt>
                <c:pt idx="66">
                  <c:v>9.5060084048914414E-3</c:v>
                </c:pt>
                <c:pt idx="67">
                  <c:v>9.5060084048891914E-3</c:v>
                </c:pt>
                <c:pt idx="68">
                  <c:v>9.5060084048900345E-3</c:v>
                </c:pt>
                <c:pt idx="69">
                  <c:v>9.5060084048906469E-3</c:v>
                </c:pt>
                <c:pt idx="70">
                  <c:v>9.5060084048887248E-3</c:v>
                </c:pt>
                <c:pt idx="71">
                  <c:v>9.5060084048914414E-3</c:v>
                </c:pt>
                <c:pt idx="72">
                  <c:v>9.5060084048891914E-3</c:v>
                </c:pt>
                <c:pt idx="73">
                  <c:v>9.5060084048901334E-3</c:v>
                </c:pt>
                <c:pt idx="74">
                  <c:v>9.5060084048891914E-3</c:v>
                </c:pt>
                <c:pt idx="75">
                  <c:v>9.5060084048913425E-3</c:v>
                </c:pt>
                <c:pt idx="76">
                  <c:v>9.5060084048901334E-3</c:v>
                </c:pt>
                <c:pt idx="77">
                  <c:v>9.5060084048891706E-3</c:v>
                </c:pt>
                <c:pt idx="78">
                  <c:v>9.5060084048914414E-3</c:v>
                </c:pt>
                <c:pt idx="79">
                  <c:v>9.5060084048905445E-3</c:v>
                </c:pt>
                <c:pt idx="80">
                  <c:v>9.5060084048900345E-3</c:v>
                </c:pt>
                <c:pt idx="81">
                  <c:v>9.5060084048892955E-3</c:v>
                </c:pt>
                <c:pt idx="82">
                  <c:v>9.5060084048900345E-3</c:v>
                </c:pt>
                <c:pt idx="83">
                  <c:v>9.5060084048914414E-3</c:v>
                </c:pt>
                <c:pt idx="84">
                  <c:v>1.0201533232564083E-2</c:v>
                </c:pt>
                <c:pt idx="85">
                  <c:v>1.0201533232563637E-2</c:v>
                </c:pt>
                <c:pt idx="86">
                  <c:v>1.020153323256138E-2</c:v>
                </c:pt>
                <c:pt idx="87">
                  <c:v>1.0201533232564839E-2</c:v>
                </c:pt>
                <c:pt idx="88">
                  <c:v>1.0201533232563637E-2</c:v>
                </c:pt>
                <c:pt idx="89">
                  <c:v>1.0201533232563759E-2</c:v>
                </c:pt>
                <c:pt idx="90">
                  <c:v>1.0201533232563637E-2</c:v>
                </c:pt>
                <c:pt idx="91">
                  <c:v>1.0201533232562732E-2</c:v>
                </c:pt>
                <c:pt idx="92">
                  <c:v>1.0201533232563637E-2</c:v>
                </c:pt>
                <c:pt idx="93">
                  <c:v>1.0201533232563974E-2</c:v>
                </c:pt>
                <c:pt idx="94">
                  <c:v>1.0201533232563745E-2</c:v>
                </c:pt>
                <c:pt idx="95">
                  <c:v>1.0201533232563531E-2</c:v>
                </c:pt>
                <c:pt idx="96">
                  <c:v>1.0201533232564194E-2</c:v>
                </c:pt>
                <c:pt idx="97">
                  <c:v>1.0201533232562222E-2</c:v>
                </c:pt>
                <c:pt idx="98">
                  <c:v>1.0201533232562843E-2</c:v>
                </c:pt>
                <c:pt idx="99">
                  <c:v>1.0201533232563531E-2</c:v>
                </c:pt>
                <c:pt idx="100">
                  <c:v>1.0201533232563531E-2</c:v>
                </c:pt>
                <c:pt idx="101">
                  <c:v>1.0201533232564747E-2</c:v>
                </c:pt>
                <c:pt idx="102">
                  <c:v>1.0201533232563531E-2</c:v>
                </c:pt>
                <c:pt idx="103">
                  <c:v>1.0201533232562843E-2</c:v>
                </c:pt>
                <c:pt idx="104">
                  <c:v>1.0201533232563531E-2</c:v>
                </c:pt>
                <c:pt idx="105">
                  <c:v>1.0201533232562621E-2</c:v>
                </c:pt>
                <c:pt idx="106">
                  <c:v>1.0201533232565053E-2</c:v>
                </c:pt>
                <c:pt idx="107">
                  <c:v>1.0201533232562222E-2</c:v>
                </c:pt>
                <c:pt idx="108">
                  <c:v>1.0201533232562843E-2</c:v>
                </c:pt>
                <c:pt idx="109">
                  <c:v>1.0201533232563531E-2</c:v>
                </c:pt>
                <c:pt idx="110">
                  <c:v>1.0201533232562843E-2</c:v>
                </c:pt>
                <c:pt idx="111">
                  <c:v>1.0201533232563531E-2</c:v>
                </c:pt>
                <c:pt idx="112">
                  <c:v>1.0201533232564839E-2</c:v>
                </c:pt>
                <c:pt idx="113">
                  <c:v>1.0201533232563299E-2</c:v>
                </c:pt>
                <c:pt idx="114">
                  <c:v>1.0201533232563531E-2</c:v>
                </c:pt>
                <c:pt idx="115">
                  <c:v>1.0201533232562843E-2</c:v>
                </c:pt>
                <c:pt idx="116">
                  <c:v>1.0201533232563531E-2</c:v>
                </c:pt>
                <c:pt idx="117">
                  <c:v>1.0201533232563974E-2</c:v>
                </c:pt>
                <c:pt idx="118">
                  <c:v>1.0201533232563745E-2</c:v>
                </c:pt>
                <c:pt idx="119">
                  <c:v>1.0201533232562222E-2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6.5395615599728174E-4</c:v>
                </c:pt>
                <c:pt idx="1">
                  <c:v>8.4334017782539128E-4</c:v>
                </c:pt>
                <c:pt idx="2">
                  <c:v>1.0265808657402564E-3</c:v>
                </c:pt>
                <c:pt idx="3">
                  <c:v>1.215894272222795E-3</c:v>
                </c:pt>
                <c:pt idx="4">
                  <c:v>1.4051718023094795E-3</c:v>
                </c:pt>
                <c:pt idx="5">
                  <c:v>1.576101321192791E-3</c:v>
                </c:pt>
                <c:pt idx="6">
                  <c:v>1.9981450245645238E-3</c:v>
                </c:pt>
                <c:pt idx="7">
                  <c:v>2.4064045516217769E-3</c:v>
                </c:pt>
                <c:pt idx="8">
                  <c:v>2.8280972775672764E-3</c:v>
                </c:pt>
                <c:pt idx="9">
                  <c:v>3.2360172903115325E-3</c:v>
                </c:pt>
                <c:pt idx="10">
                  <c:v>3.6573593307083208E-3</c:v>
                </c:pt>
                <c:pt idx="11">
                  <c:v>4.0785232656379566E-3</c:v>
                </c:pt>
                <c:pt idx="12">
                  <c:v>4.5408704107210429E-3</c:v>
                </c:pt>
                <c:pt idx="13">
                  <c:v>5.0184036369126384E-3</c:v>
                </c:pt>
                <c:pt idx="14">
                  <c:v>5.4803144514049551E-3</c:v>
                </c:pt>
                <c:pt idx="15">
                  <c:v>5.957397015454613E-3</c:v>
                </c:pt>
                <c:pt idx="16">
                  <c:v>6.4342507174954822E-3</c:v>
                </c:pt>
                <c:pt idx="17">
                  <c:v>6.8647606666243366E-3</c:v>
                </c:pt>
                <c:pt idx="18">
                  <c:v>7.3411790958561873E-3</c:v>
                </c:pt>
                <c:pt idx="19">
                  <c:v>7.8020115837662551E-3</c:v>
                </c:pt>
                <c:pt idx="20">
                  <c:v>8.2779804029229354E-3</c:v>
                </c:pt>
                <c:pt idx="21">
                  <c:v>8.7383779896685887E-3</c:v>
                </c:pt>
                <c:pt idx="22">
                  <c:v>9.2138976230600189E-3</c:v>
                </c:pt>
                <c:pt idx="23">
                  <c:v>9.6891891441988065E-3</c:v>
                </c:pt>
                <c:pt idx="24">
                  <c:v>1.0303746273536696E-2</c:v>
                </c:pt>
                <c:pt idx="25">
                  <c:v>1.0938387986936138E-2</c:v>
                </c:pt>
                <c:pt idx="26">
                  <c:v>1.1552169901011933E-2</c:v>
                </c:pt>
                <c:pt idx="27">
                  <c:v>1.2186011064033386E-2</c:v>
                </c:pt>
                <c:pt idx="28">
                  <c:v>1.2819445777055294E-2</c:v>
                </c:pt>
                <c:pt idx="29">
                  <c:v>1.3391231220913125E-2</c:v>
                </c:pt>
                <c:pt idx="30">
                  <c:v>1.4023893087738548E-2</c:v>
                </c:pt>
                <c:pt idx="31">
                  <c:v>1.4635760230071515E-2</c:v>
                </c:pt>
                <c:pt idx="32">
                  <c:v>1.526762404393911E-2</c:v>
                </c:pt>
                <c:pt idx="33">
                  <c:v>1.5878719364216032E-2</c:v>
                </c:pt>
                <c:pt idx="34">
                  <c:v>1.6509786131806536E-2</c:v>
                </c:pt>
                <c:pt idx="35">
                  <c:v>1.7140448228475824E-2</c:v>
                </c:pt>
                <c:pt idx="36">
                  <c:v>1.7891162903759472E-2</c:v>
                </c:pt>
                <c:pt idx="37">
                  <c:v>1.8666299017194521E-2</c:v>
                </c:pt>
                <c:pt idx="38">
                  <c:v>1.9415848237477662E-2</c:v>
                </c:pt>
                <c:pt idx="39">
                  <c:v>2.0189780982590277E-2</c:v>
                </c:pt>
                <c:pt idx="40">
                  <c:v>2.0963102895993013E-2</c:v>
                </c:pt>
                <c:pt idx="41">
                  <c:v>2.168598050991255E-2</c:v>
                </c:pt>
                <c:pt idx="42">
                  <c:v>2.2458121537610398E-2</c:v>
                </c:pt>
                <c:pt idx="43">
                  <c:v>2.3204774538584161E-2</c:v>
                </c:pt>
                <c:pt idx="44">
                  <c:v>2.3975716847712381E-2</c:v>
                </c:pt>
                <c:pt idx="45">
                  <c:v>2.4721210699275353E-2</c:v>
                </c:pt>
                <c:pt idx="46">
                  <c:v>2.5490956150797106E-2</c:v>
                </c:pt>
                <c:pt idx="47">
                  <c:v>2.6260094075459373E-2</c:v>
                </c:pt>
                <c:pt idx="48">
                  <c:v>2.7003843104473013E-2</c:v>
                </c:pt>
                <c:pt idx="49">
                  <c:v>2.7771786972764723E-2</c:v>
                </c:pt>
                <c:pt idx="50">
                  <c:v>2.8514381360669749E-2</c:v>
                </c:pt>
                <c:pt idx="51">
                  <c:v>2.9281133026316741E-2</c:v>
                </c:pt>
                <c:pt idx="52">
                  <c:v>3.0047279527970039E-2</c:v>
                </c:pt>
                <c:pt idx="53">
                  <c:v>3.0738763065721542E-2</c:v>
                </c:pt>
                <c:pt idx="54">
                  <c:v>3.1503759122901931E-2</c:v>
                </c:pt>
                <c:pt idx="55">
                  <c:v>3.2243503005609186E-2</c:v>
                </c:pt>
                <c:pt idx="56">
                  <c:v>3.3007311436505371E-2</c:v>
                </c:pt>
                <c:pt idx="57">
                  <c:v>3.374590689593604E-2</c:v>
                </c:pt>
                <c:pt idx="58">
                  <c:v>3.45085295442914E-2</c:v>
                </c:pt>
                <c:pt idx="59">
                  <c:v>3.5270550287508029E-2</c:v>
                </c:pt>
                <c:pt idx="60">
                  <c:v>3.6024014225081169E-2</c:v>
                </c:pt>
                <c:pt idx="61">
                  <c:v>3.6801975419184618E-2</c:v>
                </c:pt>
                <c:pt idx="62">
                  <c:v>3.7554243297478918E-2</c:v>
                </c:pt>
                <c:pt idx="63">
                  <c:v>3.8330969545013138E-2</c:v>
                </c:pt>
                <c:pt idx="64">
                  <c:v>3.9107068948219359E-2</c:v>
                </c:pt>
                <c:pt idx="65">
                  <c:v>3.9807523592295557E-2</c:v>
                </c:pt>
                <c:pt idx="66">
                  <c:v>4.0582431366491645E-2</c:v>
                </c:pt>
                <c:pt idx="67">
                  <c:v>4.133174666857431E-2</c:v>
                </c:pt>
                <c:pt idx="68">
                  <c:v>4.2105424343242936E-2</c:v>
                </c:pt>
                <c:pt idx="69">
                  <c:v>4.285355017164949E-2</c:v>
                </c:pt>
                <c:pt idx="70">
                  <c:v>4.362599969946801E-2</c:v>
                </c:pt>
                <c:pt idx="71">
                  <c:v>4.4397825834415983E-2</c:v>
                </c:pt>
                <c:pt idx="72">
                  <c:v>4.5144161272931749E-2</c:v>
                </c:pt>
                <c:pt idx="73">
                  <c:v>4.5914762200189863E-2</c:v>
                </c:pt>
                <c:pt idx="74">
                  <c:v>4.6659912895306799E-2</c:v>
                </c:pt>
                <c:pt idx="75">
                  <c:v>4.7429290559787174E-2</c:v>
                </c:pt>
                <c:pt idx="76">
                  <c:v>4.8198047310494263E-2</c:v>
                </c:pt>
                <c:pt idx="77">
                  <c:v>4.8891874974802629E-2</c:v>
                </c:pt>
                <c:pt idx="78">
                  <c:v>4.9659451370464902E-2</c:v>
                </c:pt>
                <c:pt idx="79">
                  <c:v>5.0401677423602687E-2</c:v>
                </c:pt>
                <c:pt idx="80">
                  <c:v>5.1168035357671227E-2</c:v>
                </c:pt>
                <c:pt idx="81">
                  <c:v>5.1909083190706307E-2</c:v>
                </c:pt>
                <c:pt idx="82">
                  <c:v>5.2674224597384245E-2</c:v>
                </c:pt>
                <c:pt idx="83">
                  <c:v>5.3438748509092249E-2</c:v>
                </c:pt>
                <c:pt idx="84">
                  <c:v>5.4232090605970451E-2</c:v>
                </c:pt>
                <c:pt idx="85">
                  <c:v>5.5051178905883624E-2</c:v>
                </c:pt>
                <c:pt idx="86">
                  <c:v>5.5843169575254925E-2</c:v>
                </c:pt>
                <c:pt idx="87">
                  <c:v>5.6660862590002692E-2</c:v>
                </c:pt>
                <c:pt idx="88">
                  <c:v>5.7477847436525731E-2</c:v>
                </c:pt>
                <c:pt idx="89">
                  <c:v>5.8241483016946205E-2</c:v>
                </c:pt>
                <c:pt idx="90">
                  <c:v>5.9057098957117637E-2</c:v>
                </c:pt>
                <c:pt idx="91">
                  <c:v>5.9845732141689867E-2</c:v>
                </c:pt>
                <c:pt idx="92">
                  <c:v>6.0659958711726025E-2</c:v>
                </c:pt>
                <c:pt idx="93">
                  <c:v>6.1447248490241191E-2</c:v>
                </c:pt>
                <c:pt idx="94">
                  <c:v>6.2260088056880214E-2</c:v>
                </c:pt>
                <c:pt idx="95">
                  <c:v>6.307222365865417E-2</c:v>
                </c:pt>
                <c:pt idx="96">
                  <c:v>6.3857491643726783E-2</c:v>
                </c:pt>
                <c:pt idx="97">
                  <c:v>6.4668243803986947E-2</c:v>
                </c:pt>
                <c:pt idx="98">
                  <c:v>6.5452174115489203E-2</c:v>
                </c:pt>
                <c:pt idx="99">
                  <c:v>6.6261545190874682E-2</c:v>
                </c:pt>
                <c:pt idx="100">
                  <c:v>6.7070215305303882E-2</c:v>
                </c:pt>
                <c:pt idx="101">
                  <c:v>6.7800025035637534E-2</c:v>
                </c:pt>
                <c:pt idx="102">
                  <c:v>6.860736273983381E-2</c:v>
                </c:pt>
                <c:pt idx="103">
                  <c:v>6.9387991554606177E-2</c:v>
                </c:pt>
                <c:pt idx="104">
                  <c:v>7.0193953990321245E-2</c:v>
                </c:pt>
                <c:pt idx="105">
                  <c:v>7.0973253034170125E-2</c:v>
                </c:pt>
                <c:pt idx="106">
                  <c:v>7.1777842544120563E-2</c:v>
                </c:pt>
                <c:pt idx="107">
                  <c:v>7.2581735234219735E-2</c:v>
                </c:pt>
                <c:pt idx="108">
                  <c:v>7.3359033005170549E-2</c:v>
                </c:pt>
                <c:pt idx="109">
                  <c:v>7.4161556295236575E-2</c:v>
                </c:pt>
                <c:pt idx="110">
                  <c:v>7.4937529969567929E-2</c:v>
                </c:pt>
                <c:pt idx="111">
                  <c:v>7.5738686192320492E-2</c:v>
                </c:pt>
                <c:pt idx="112">
                  <c:v>7.653914856864219E-2</c:v>
                </c:pt>
                <c:pt idx="113">
                  <c:v>7.7261550968065307E-2</c:v>
                </c:pt>
                <c:pt idx="114">
                  <c:v>7.8060694457683599E-2</c:v>
                </c:pt>
                <c:pt idx="115">
                  <c:v>7.8833400144400878E-2</c:v>
                </c:pt>
                <c:pt idx="116">
                  <c:v>7.9631182324064742E-2</c:v>
                </c:pt>
                <c:pt idx="117">
                  <c:v>8.0402571736600148E-2</c:v>
                </c:pt>
                <c:pt idx="118">
                  <c:v>8.1198994925248402E-2</c:v>
                </c:pt>
                <c:pt idx="119">
                  <c:v>8.1994728366539871E-2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695325</xdr:colOff>
          <xdr:row>372</xdr:row>
          <xdr:rowOff>9525</xdr:rowOff>
        </xdr:from>
        <xdr:to>
          <xdr:col>38</xdr:col>
          <xdr:colOff>476250</xdr:colOff>
          <xdr:row>373</xdr:row>
          <xdr:rowOff>104775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151636</xdr:colOff>
      <xdr:row>0</xdr:row>
      <xdr:rowOff>33131</xdr:rowOff>
    </xdr:from>
    <xdr:to>
      <xdr:col>19</xdr:col>
      <xdr:colOff>545335</xdr:colOff>
      <xdr:row>6</xdr:row>
      <xdr:rowOff>54510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136" y="33131"/>
          <a:ext cx="3107220" cy="11229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259470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666750</xdr:colOff>
          <xdr:row>5</xdr:row>
          <xdr:rowOff>123825</xdr:rowOff>
        </xdr:from>
        <xdr:to>
          <xdr:col>16</xdr:col>
          <xdr:colOff>1465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B11" sqref="B11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45478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90" t="s">
        <v>21</v>
      </c>
      <c r="D5" s="591"/>
      <c r="F5" s="588" t="s">
        <v>23</v>
      </c>
      <c r="G5" s="589"/>
      <c r="I5" s="588" t="s">
        <v>22</v>
      </c>
      <c r="J5" s="589"/>
      <c r="R5" s="590" t="s">
        <v>39</v>
      </c>
      <c r="S5" s="591"/>
      <c r="U5" s="588" t="s">
        <v>40</v>
      </c>
      <c r="V5" s="589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90" t="s">
        <v>21</v>
      </c>
      <c r="C20" s="592"/>
      <c r="D20" s="592"/>
      <c r="E20" s="592"/>
      <c r="F20" s="592"/>
      <c r="G20" s="592"/>
      <c r="H20" s="592"/>
      <c r="I20" s="592"/>
      <c r="J20" s="591"/>
      <c r="L20" s="590" t="s">
        <v>23</v>
      </c>
      <c r="M20" s="591"/>
      <c r="O20" s="590" t="s">
        <v>22</v>
      </c>
      <c r="P20" s="591"/>
      <c r="R20" s="593" t="s">
        <v>39</v>
      </c>
      <c r="S20" s="594"/>
      <c r="T20" s="594"/>
      <c r="U20" s="594"/>
      <c r="V20" s="594"/>
      <c r="W20" s="594"/>
      <c r="X20" s="595"/>
      <c r="Z20" s="588" t="s">
        <v>40</v>
      </c>
      <c r="AA20" s="589"/>
    </row>
    <row r="21" spans="2:27" ht="15.75" thickBot="1">
      <c r="B21" s="117" t="s">
        <v>91</v>
      </c>
      <c r="C21" s="159" t="s">
        <v>14</v>
      </c>
      <c r="D21" s="160" t="s">
        <v>27</v>
      </c>
      <c r="E21" s="159" t="s">
        <v>11</v>
      </c>
      <c r="F21" s="160" t="s">
        <v>3</v>
      </c>
      <c r="G21" s="159" t="s">
        <v>8</v>
      </c>
      <c r="H21" s="160" t="s">
        <v>9</v>
      </c>
      <c r="I21" s="159" t="s">
        <v>10</v>
      </c>
      <c r="J21" s="161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45478</v>
      </c>
      <c r="D7" s="110"/>
      <c r="E7" s="111"/>
      <c r="F7" s="596" t="s">
        <v>48</v>
      </c>
      <c r="G7" s="597"/>
      <c r="H7" s="597"/>
      <c r="I7" s="597"/>
      <c r="J7" s="597"/>
      <c r="K7" s="597"/>
      <c r="L7" s="597"/>
      <c r="M7" s="597"/>
      <c r="N7" s="597"/>
      <c r="O7" s="597"/>
      <c r="P7" s="597"/>
      <c r="Q7" s="598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99" t="s">
        <v>68</v>
      </c>
      <c r="G13" s="600"/>
      <c r="H13" s="600"/>
      <c r="I13" s="600"/>
      <c r="J13" s="600"/>
      <c r="K13" s="600"/>
      <c r="L13" s="600"/>
      <c r="M13" s="600"/>
      <c r="N13" s="600"/>
      <c r="O13" s="600"/>
      <c r="P13" s="600"/>
      <c r="Q13" s="601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18" spans="2:17" ht="15.75" thickBot="1"/>
    <row r="19" spans="2:17" ht="15.75" thickBot="1">
      <c r="B19" s="128" t="s">
        <v>675</v>
      </c>
      <c r="C19" s="575"/>
      <c r="D19" s="101"/>
      <c r="E19" s="101"/>
      <c r="F19" s="101"/>
      <c r="G19" s="102"/>
      <c r="H19" s="596" t="s">
        <v>48</v>
      </c>
      <c r="I19" s="597"/>
      <c r="J19" s="597"/>
      <c r="K19" s="597"/>
      <c r="L19" s="597"/>
      <c r="M19" s="597"/>
      <c r="N19" s="597"/>
      <c r="O19" s="598"/>
    </row>
    <row r="20" spans="2:17" ht="23.25" thickBot="1">
      <c r="B20" s="128" t="s">
        <v>49</v>
      </c>
      <c r="C20" s="576" t="s">
        <v>50</v>
      </c>
      <c r="D20" s="576" t="s">
        <v>51</v>
      </c>
      <c r="E20" s="576" t="s">
        <v>52</v>
      </c>
      <c r="F20" s="128" t="s">
        <v>676</v>
      </c>
      <c r="G20" s="577" t="s">
        <v>677</v>
      </c>
      <c r="H20" s="58" t="s">
        <v>619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8" t="s">
        <v>617</v>
      </c>
    </row>
    <row r="21" spans="2:17">
      <c r="B21" s="61" t="s">
        <v>66</v>
      </c>
      <c r="C21" s="573" t="s">
        <v>42</v>
      </c>
      <c r="D21" s="573">
        <v>1</v>
      </c>
      <c r="E21" s="573">
        <v>6</v>
      </c>
      <c r="F21" s="573" t="s">
        <v>681</v>
      </c>
      <c r="G21" s="63" t="s">
        <v>678</v>
      </c>
      <c r="H21" s="579">
        <v>3.4180000000000002E-2</v>
      </c>
      <c r="I21" s="580">
        <v>3.039E-2</v>
      </c>
      <c r="J21" s="580">
        <v>2.8570000000000002E-2</v>
      </c>
      <c r="K21" s="580">
        <v>2.708E-2</v>
      </c>
      <c r="L21" s="580">
        <v>2.665E-2</v>
      </c>
      <c r="M21" s="580">
        <v>2.6720000000000001E-2</v>
      </c>
      <c r="N21" s="580">
        <v>2.7040000000000002E-2</v>
      </c>
      <c r="O21" s="581">
        <v>2.436E-2</v>
      </c>
      <c r="P21" s="572"/>
      <c r="Q21" s="572"/>
    </row>
    <row r="22" spans="2:17">
      <c r="B22" s="67" t="s">
        <v>66</v>
      </c>
      <c r="C22" s="574" t="s">
        <v>42</v>
      </c>
      <c r="D22" s="574">
        <v>1</v>
      </c>
      <c r="E22" s="574">
        <v>3</v>
      </c>
      <c r="F22" s="574" t="s">
        <v>682</v>
      </c>
      <c r="G22" s="69" t="s">
        <v>678</v>
      </c>
      <c r="H22" s="582">
        <v>3.3070000000000002E-2</v>
      </c>
      <c r="I22" s="583">
        <v>2.955E-2</v>
      </c>
      <c r="J22" s="583">
        <v>2.784E-2</v>
      </c>
      <c r="K22" s="583">
        <v>2.6499999999999999E-2</v>
      </c>
      <c r="L22" s="583">
        <v>2.6169999999999999E-2</v>
      </c>
      <c r="M22" s="583">
        <v>2.6409999999999999E-2</v>
      </c>
      <c r="N22" s="583">
        <v>2.6950000000000002E-2</v>
      </c>
      <c r="O22" s="584">
        <v>2.4729999999999999E-2</v>
      </c>
      <c r="P22" s="572"/>
      <c r="Q22" s="572"/>
    </row>
    <row r="23" spans="2:17" ht="15.75" thickBot="1">
      <c r="B23" s="73" t="s">
        <v>67</v>
      </c>
      <c r="C23" s="578" t="s">
        <v>43</v>
      </c>
      <c r="D23" s="578">
        <v>1.0865</v>
      </c>
      <c r="E23" s="578">
        <v>1</v>
      </c>
      <c r="F23" s="578" t="s">
        <v>680</v>
      </c>
      <c r="G23" s="75" t="s">
        <v>679</v>
      </c>
      <c r="H23" s="585">
        <v>4.7559999999999998E-2</v>
      </c>
      <c r="I23" s="586">
        <v>4.2529999999999998E-2</v>
      </c>
      <c r="J23" s="586">
        <v>3.9980000000000002E-2</v>
      </c>
      <c r="K23" s="586">
        <v>3.7789999999999997E-2</v>
      </c>
      <c r="L23" s="586">
        <v>3.7139999999999999E-2</v>
      </c>
      <c r="M23" s="586">
        <v>3.6999999999999998E-2</v>
      </c>
      <c r="N23" s="586">
        <v>3.7330000000000002E-2</v>
      </c>
      <c r="O23" s="587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63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96" t="s">
        <v>72</v>
      </c>
      <c r="H2" s="597"/>
      <c r="I2" s="597"/>
      <c r="J2" s="145" t="b">
        <v>1</v>
      </c>
    </row>
    <row r="3" spans="1:50" ht="15.75" thickBot="1">
      <c r="J3" s="99"/>
    </row>
    <row r="4" spans="1:50" ht="15.75" thickBot="1">
      <c r="G4" s="596" t="s">
        <v>73</v>
      </c>
      <c r="H4" s="597"/>
      <c r="I4" s="598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605" t="b">
        <v>1</v>
      </c>
      <c r="D6" s="606"/>
      <c r="E6" s="85"/>
      <c r="F6" s="85"/>
      <c r="G6" s="596" t="s">
        <v>74</v>
      </c>
      <c r="H6" s="597"/>
      <c r="I6" s="598"/>
      <c r="J6" s="140" t="s">
        <v>422</v>
      </c>
      <c r="K6" s="85"/>
      <c r="L6" s="93"/>
      <c r="M6" s="442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</row>
    <row r="7" spans="1:50" s="79" customFormat="1" ht="13.5" customHeight="1" thickBot="1">
      <c r="B7" s="147" t="s">
        <v>71</v>
      </c>
      <c r="C7" s="607">
        <f ca="1">GetCDSRefDate(Parameter_Date,C6)</f>
        <v>45555</v>
      </c>
      <c r="D7" s="608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96" t="s">
        <v>76</v>
      </c>
      <c r="F9" s="597"/>
      <c r="G9" s="597"/>
      <c r="H9" s="597"/>
      <c r="I9" s="597"/>
      <c r="J9" s="597"/>
      <c r="K9" s="597"/>
      <c r="L9" s="597"/>
      <c r="M9" s="598"/>
      <c r="N9" s="602" t="s">
        <v>77</v>
      </c>
      <c r="O9" s="603"/>
      <c r="P9" s="603"/>
      <c r="Q9" s="603"/>
      <c r="R9" s="603"/>
      <c r="S9" s="603"/>
      <c r="T9" s="603"/>
      <c r="U9" s="603"/>
      <c r="V9" s="604"/>
      <c r="W9" s="602" t="s">
        <v>78</v>
      </c>
      <c r="X9" s="603"/>
      <c r="Y9" s="603"/>
      <c r="Z9" s="603"/>
      <c r="AA9" s="603"/>
      <c r="AB9" s="603"/>
      <c r="AC9" s="603"/>
      <c r="AD9" s="603"/>
      <c r="AE9" s="604"/>
    </row>
    <row r="10" spans="1:50" s="79" customFormat="1" ht="15" customHeight="1" thickBot="1">
      <c r="A10" s="180" t="s">
        <v>79</v>
      </c>
      <c r="B10" s="185" t="s">
        <v>80</v>
      </c>
      <c r="C10" s="184" t="s">
        <v>81</v>
      </c>
      <c r="D10" s="180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86" t="str">
        <f t="shared" ref="N10:V10" ca="1" si="0">IF(E10="","",E10)</f>
        <v>3M</v>
      </c>
      <c r="O10" s="164" t="str">
        <f t="shared" ca="1" si="0"/>
        <v>6M</v>
      </c>
      <c r="P10" s="164" t="str">
        <f t="shared" ca="1" si="0"/>
        <v>1Y</v>
      </c>
      <c r="Q10" s="164" t="str">
        <f t="shared" ca="1" si="0"/>
        <v>2Y</v>
      </c>
      <c r="R10" s="164" t="str">
        <f t="shared" ca="1" si="0"/>
        <v>3Y</v>
      </c>
      <c r="S10" s="164" t="str">
        <f t="shared" ca="1" si="0"/>
        <v>4Y</v>
      </c>
      <c r="T10" s="164" t="str">
        <f t="shared" ca="1" si="0"/>
        <v>5Y</v>
      </c>
      <c r="U10" s="164" t="str">
        <f t="shared" ca="1" si="0"/>
        <v>7Y</v>
      </c>
      <c r="V10" s="164" t="str">
        <f t="shared" ca="1" si="0"/>
        <v>10Y</v>
      </c>
      <c r="W10" s="186" t="str">
        <f t="shared" ref="W10:AE10" ca="1" si="1">IF(E10="","",E10)</f>
        <v>3M</v>
      </c>
      <c r="X10" s="164" t="str">
        <f t="shared" ca="1" si="1"/>
        <v>6M</v>
      </c>
      <c r="Y10" s="164" t="str">
        <f t="shared" ca="1" si="1"/>
        <v>1Y</v>
      </c>
      <c r="Z10" s="164" t="str">
        <f t="shared" ca="1" si="1"/>
        <v>2Y</v>
      </c>
      <c r="AA10" s="164" t="str">
        <f t="shared" ca="1" si="1"/>
        <v>3Y</v>
      </c>
      <c r="AB10" s="164" t="str">
        <f t="shared" ca="1" si="1"/>
        <v>4Y</v>
      </c>
      <c r="AC10" s="164" t="str">
        <f t="shared" ca="1" si="1"/>
        <v>5Y</v>
      </c>
      <c r="AD10" s="164" t="str">
        <f t="shared" ca="1" si="1"/>
        <v>7Y</v>
      </c>
      <c r="AE10" s="165" t="str">
        <f t="shared" ca="1" si="1"/>
        <v>10Y</v>
      </c>
    </row>
    <row r="11" spans="1:50" s="79" customFormat="1" ht="15" customHeight="1" thickBot="1">
      <c r="A11" s="182"/>
      <c r="B11" s="183"/>
      <c r="C11" s="181" t="s">
        <v>85</v>
      </c>
      <c r="D11" s="184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64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4">
        <f ca="1"/>
        <v>1.576101321192791E-3</v>
      </c>
      <c r="P12" s="133">
        <f ca="1"/>
        <v>4.0785232656379566E-3</v>
      </c>
      <c r="Q12" s="133">
        <f ca="1"/>
        <v>9.6891891441988065E-3</v>
      </c>
      <c r="R12" s="133">
        <f ca="1"/>
        <v>1.7140448228475824E-2</v>
      </c>
      <c r="S12" s="133">
        <f ca="1"/>
        <v>0</v>
      </c>
      <c r="T12" s="133">
        <f ca="1"/>
        <v>3.5270550287508029E-2</v>
      </c>
      <c r="U12" s="133">
        <f ca="1"/>
        <v>5.3438748509092249E-2</v>
      </c>
      <c r="V12" s="134">
        <f ca="1"/>
        <v>8.199472836653976E-2</v>
      </c>
      <c r="W12" s="132">
        <f ca="1"/>
        <v>0</v>
      </c>
      <c r="X12" s="133">
        <f ca="1"/>
        <v>1.6944977429821373E-3</v>
      </c>
      <c r="Y12" s="133">
        <f ca="1"/>
        <v>4.2809100042184856E-3</v>
      </c>
      <c r="Z12" s="133">
        <f ca="1"/>
        <v>1.0056709007201015E-2</v>
      </c>
      <c r="AA12" s="133">
        <f ca="1"/>
        <v>1.7670603846535626E-2</v>
      </c>
      <c r="AB12" s="133">
        <f ca="1"/>
        <v>0</v>
      </c>
      <c r="AC12" s="133">
        <f ca="1"/>
        <v>3.6114699793718286E-2</v>
      </c>
      <c r="AD12" s="133">
        <f ca="1"/>
        <v>5.4587075797541296E-2</v>
      </c>
      <c r="AE12" s="134">
        <f ca="1"/>
        <v>8.3567392962943021E-2</v>
      </c>
      <c r="AG12" s="457" t="s">
        <v>510</v>
      </c>
      <c r="AH12" s="461">
        <v>8.7500000000000008E-3</v>
      </c>
      <c r="AI12" s="460">
        <v>2026</v>
      </c>
      <c r="AJ12" s="462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6">
        <f ca="1"/>
        <v>9.4832761164653778E-4</v>
      </c>
      <c r="P13" s="156">
        <f ca="1"/>
        <v>2.2425100823623145E-3</v>
      </c>
      <c r="Q13" s="156">
        <f ca="1"/>
        <v>5.9817828467552125E-3</v>
      </c>
      <c r="R13" s="156">
        <f ca="1"/>
        <v>1.2583998928066387E-2</v>
      </c>
      <c r="S13" s="156">
        <f ca="1"/>
        <v>0</v>
      </c>
      <c r="T13" s="156">
        <f ca="1"/>
        <v>3.2225244508332529E-2</v>
      </c>
      <c r="U13" s="156">
        <f ca="1"/>
        <v>5.3154529583078092E-2</v>
      </c>
      <c r="V13" s="138">
        <f ca="1"/>
        <v>9.2939571366713269E-2</v>
      </c>
      <c r="W13" s="137">
        <f ca="1"/>
        <v>0</v>
      </c>
      <c r="X13" s="156">
        <f ca="1"/>
        <v>1.0668027899637389E-3</v>
      </c>
      <c r="Y13" s="156">
        <f ca="1"/>
        <v>2.4452330837866354E-3</v>
      </c>
      <c r="Z13" s="156">
        <f ca="1"/>
        <v>6.3506630757779181E-3</v>
      </c>
      <c r="AA13" s="156">
        <f ca="1"/>
        <v>1.3116726890009978E-2</v>
      </c>
      <c r="AB13" s="156">
        <f ca="1"/>
        <v>0</v>
      </c>
      <c r="AC13" s="156">
        <f ca="1"/>
        <v>3.3072903007063559E-2</v>
      </c>
      <c r="AD13" s="156">
        <f ca="1"/>
        <v>5.4305425990358813E-2</v>
      </c>
      <c r="AE13" s="138">
        <f ca="1"/>
        <v>9.4492921858740253E-2</v>
      </c>
      <c r="AG13" s="458" t="s">
        <v>511</v>
      </c>
      <c r="AH13" s="461">
        <v>1.6250000000000001E-2</v>
      </c>
      <c r="AI13" s="460">
        <v>2025</v>
      </c>
      <c r="AJ13" s="462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6">
        <f ca="1"/>
        <v>7.1132972843845899E-4</v>
      </c>
      <c r="P14" s="156">
        <f ca="1"/>
        <v>2.0431274013064105E-3</v>
      </c>
      <c r="Q14" s="156">
        <f ca="1"/>
        <v>6.755178436501863E-3</v>
      </c>
      <c r="R14" s="156">
        <f ca="1"/>
        <v>1.480922024593323E-2</v>
      </c>
      <c r="S14" s="156">
        <f ca="1"/>
        <v>0</v>
      </c>
      <c r="T14" s="156">
        <f ca="1"/>
        <v>3.5723213829423339E-2</v>
      </c>
      <c r="U14" s="156">
        <f ca="1"/>
        <v>6.3156018082517917E-2</v>
      </c>
      <c r="V14" s="138">
        <f ca="1"/>
        <v>0.10817849363436327</v>
      </c>
      <c r="W14" s="137">
        <f ca="1"/>
        <v>0</v>
      </c>
      <c r="X14" s="156">
        <f ca="1"/>
        <v>8.2983405341885419E-4</v>
      </c>
      <c r="Y14" s="156">
        <f ca="1"/>
        <v>2.2459031373265326E-3</v>
      </c>
      <c r="Z14" s="156">
        <f ca="1"/>
        <v>7.1238712870380638E-3</v>
      </c>
      <c r="AA14" s="156">
        <f ca="1"/>
        <v>1.5341009734024746E-2</v>
      </c>
      <c r="AB14" s="156">
        <f ca="1"/>
        <v>0</v>
      </c>
      <c r="AC14" s="156">
        <f ca="1"/>
        <v>3.6567667613532806E-2</v>
      </c>
      <c r="AD14" s="156">
        <f ca="1"/>
        <v>6.4294638486588007E-2</v>
      </c>
      <c r="AE14" s="138">
        <f ca="1"/>
        <v>0.10973366882379187</v>
      </c>
      <c r="AG14" s="459" t="s">
        <v>512</v>
      </c>
      <c r="AH14" s="461">
        <v>1.6250000000000001E-2</v>
      </c>
      <c r="AI14" s="460">
        <v>2026</v>
      </c>
      <c r="AJ14" s="462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6">
        <f ca="1"/>
        <v>1.4932103312108591E-3</v>
      </c>
      <c r="P15" s="156">
        <f ca="1"/>
        <v>3.6072877132656833E-3</v>
      </c>
      <c r="Q15" s="156">
        <f ca="1"/>
        <v>8.9511044953306529E-3</v>
      </c>
      <c r="R15" s="156">
        <f ca="1"/>
        <v>1.5796074280563066E-2</v>
      </c>
      <c r="S15" s="156">
        <f ca="1"/>
        <v>0</v>
      </c>
      <c r="T15" s="156">
        <f ca="1"/>
        <v>3.3593159666626904E-2</v>
      </c>
      <c r="U15" s="156">
        <f ca="1"/>
        <v>5.1946567455731119E-2</v>
      </c>
      <c r="V15" s="138">
        <f ca="1"/>
        <v>7.8724478815901278E-2</v>
      </c>
      <c r="W15" s="137">
        <f ca="1"/>
        <v>0</v>
      </c>
      <c r="X15" s="156">
        <f ca="1"/>
        <v>1.6116172839578669E-3</v>
      </c>
      <c r="Y15" s="156">
        <f ca="1"/>
        <v>3.8097539547480297E-3</v>
      </c>
      <c r="Z15" s="156">
        <f ca="1"/>
        <v>9.3189024874424931E-3</v>
      </c>
      <c r="AA15" s="156">
        <f ca="1"/>
        <v>1.632692876503794E-2</v>
      </c>
      <c r="AB15" s="156">
        <f ca="1"/>
        <v>0</v>
      </c>
      <c r="AC15" s="156">
        <f ca="1"/>
        <v>3.4438968684880722E-2</v>
      </c>
      <c r="AD15" s="156">
        <f ca="1"/>
        <v>5.3097088941677528E-2</v>
      </c>
      <c r="AE15" s="138">
        <f ca="1"/>
        <v>8.0303915619468924E-2</v>
      </c>
      <c r="AG15" s="459" t="s">
        <v>513</v>
      </c>
      <c r="AH15" s="461">
        <v>1.7500000000000002E-2</v>
      </c>
      <c r="AI15" s="460">
        <v>2025</v>
      </c>
      <c r="AJ15" s="462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6">
        <f ca="1"/>
        <v>5.92809788134252E-4</v>
      </c>
      <c r="P16" s="156">
        <f ca="1"/>
        <v>1.2215858978688043E-3</v>
      </c>
      <c r="Q16" s="156">
        <f ca="1"/>
        <v>4.1282621577112266E-3</v>
      </c>
      <c r="R16" s="156">
        <f ca="1"/>
        <v>8.2189410901892801E-3</v>
      </c>
      <c r="S16" s="156">
        <f ca="1"/>
        <v>0</v>
      </c>
      <c r="T16" s="156">
        <f ca="1"/>
        <v>2.2510649533457272E-2</v>
      </c>
      <c r="U16" s="156">
        <f ca="1"/>
        <v>4.0052359524139214E-2</v>
      </c>
      <c r="V16" s="138">
        <f ca="1"/>
        <v>6.9208319318870393E-2</v>
      </c>
      <c r="W16" s="137">
        <f ca="1"/>
        <v>0</v>
      </c>
      <c r="X16" s="156">
        <f ca="1"/>
        <v>7.1132857205080668E-4</v>
      </c>
      <c r="Y16" s="156">
        <f ca="1"/>
        <v>1.4244939898572229E-3</v>
      </c>
      <c r="Z16" s="156">
        <f ca="1"/>
        <v>4.4978266487855079E-3</v>
      </c>
      <c r="AA16" s="156">
        <f ca="1"/>
        <v>8.7537785993524464E-3</v>
      </c>
      <c r="AB16" s="156">
        <f ca="1"/>
        <v>0</v>
      </c>
      <c r="AC16" s="156">
        <f ca="1"/>
        <v>2.3367261147632656E-2</v>
      </c>
      <c r="AD16" s="156">
        <f ca="1"/>
        <v>4.1219145897818055E-2</v>
      </c>
      <c r="AE16" s="138">
        <f ca="1"/>
        <v>7.0808711086046472E-2</v>
      </c>
      <c r="AG16" s="459" t="s">
        <v>514</v>
      </c>
      <c r="AH16" s="461">
        <v>1.2500000000000001E-2</v>
      </c>
      <c r="AI16" s="460">
        <v>2028</v>
      </c>
      <c r="AJ16" s="462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6">
        <f ca="1"/>
        <v>1.4576835237034569E-3</v>
      </c>
      <c r="P17" s="156">
        <f ca="1"/>
        <v>3.2375475557173683E-3</v>
      </c>
      <c r="Q17" s="156">
        <f ca="1"/>
        <v>8.24532775761877E-3</v>
      </c>
      <c r="R17" s="156">
        <f ca="1"/>
        <v>1.3657561471259738E-2</v>
      </c>
      <c r="S17" s="156">
        <f ca="1"/>
        <v>0</v>
      </c>
      <c r="T17" s="156">
        <f ca="1"/>
        <v>2.8270554838449091E-2</v>
      </c>
      <c r="U17" s="156">
        <f ca="1"/>
        <v>4.4381571219367255E-2</v>
      </c>
      <c r="V17" s="138">
        <f ca="1"/>
        <v>7.0929439896782909E-2</v>
      </c>
      <c r="W17" s="137">
        <f ca="1"/>
        <v>0</v>
      </c>
      <c r="X17" s="156">
        <f ca="1"/>
        <v>1.576094977496445E-3</v>
      </c>
      <c r="Y17" s="156">
        <f ca="1"/>
        <v>3.4400729036522248E-3</v>
      </c>
      <c r="Z17" s="156">
        <f ca="1"/>
        <v>8.6133792614128124E-3</v>
      </c>
      <c r="AA17" s="156">
        <f ca="1"/>
        <v>1.4189401544534519E-2</v>
      </c>
      <c r="AB17" s="156">
        <f ca="1"/>
        <v>0</v>
      </c>
      <c r="AC17" s="156">
        <f ca="1"/>
        <v>2.9121140881261831E-2</v>
      </c>
      <c r="AD17" s="156">
        <f ca="1"/>
        <v>4.5540945833832169E-2</v>
      </c>
      <c r="AE17" s="138">
        <f ca="1"/>
        <v>7.2523227294449377E-2</v>
      </c>
      <c r="AG17" s="459" t="s">
        <v>515</v>
      </c>
      <c r="AH17" s="461">
        <v>3.4000000000000002E-2</v>
      </c>
      <c r="AI17" s="460">
        <v>2030</v>
      </c>
      <c r="AJ17" s="462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6">
        <f ca="1"/>
        <v>5.92809788134252E-4</v>
      </c>
      <c r="P18" s="156">
        <f ca="1"/>
        <v>2.8711605413971331E-3</v>
      </c>
      <c r="Q18" s="156">
        <f ca="1"/>
        <v>9.0054302679061227E-3</v>
      </c>
      <c r="R18" s="156">
        <f ca="1"/>
        <v>1.9158723404394173E-2</v>
      </c>
      <c r="S18" s="156">
        <f ca="1"/>
        <v>0</v>
      </c>
      <c r="T18" s="156">
        <f ca="1"/>
        <v>5.0842292248300058E-2</v>
      </c>
      <c r="U18" s="156">
        <f ca="1"/>
        <v>8.5861210210603667E-2</v>
      </c>
      <c r="V18" s="138">
        <f ca="1"/>
        <v>0.14597170713488594</v>
      </c>
      <c r="W18" s="137">
        <f ca="1"/>
        <v>0</v>
      </c>
      <c r="X18" s="156">
        <f ca="1"/>
        <v>7.1132857205080668E-4</v>
      </c>
      <c r="Y18" s="156">
        <f ca="1"/>
        <v>3.0738234083960148E-3</v>
      </c>
      <c r="Z18" s="156">
        <f ca="1"/>
        <v>9.3733674113962717E-3</v>
      </c>
      <c r="AA18" s="156">
        <f ca="1"/>
        <v>1.9688362857812614E-2</v>
      </c>
      <c r="AB18" s="156">
        <f ca="1"/>
        <v>0</v>
      </c>
      <c r="AC18" s="156">
        <f ca="1"/>
        <v>5.1670861617713726E-2</v>
      </c>
      <c r="AD18" s="156">
        <f ca="1"/>
        <v>8.6971514073271528E-2</v>
      </c>
      <c r="AE18" s="138">
        <f ca="1"/>
        <v>0.14747210952544476</v>
      </c>
      <c r="AG18" s="459" t="s">
        <v>516</v>
      </c>
      <c r="AH18" s="461">
        <v>1.375E-2</v>
      </c>
      <c r="AI18" s="460">
        <v>2027</v>
      </c>
      <c r="AJ18" s="462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6">
        <f ca="1"/>
        <v>1.5405774501664471E-3</v>
      </c>
      <c r="P19" s="156">
        <f ca="1"/>
        <v>2.8437027982278762E-3</v>
      </c>
      <c r="Q19" s="156">
        <f ca="1"/>
        <v>9.7349983008832019E-3</v>
      </c>
      <c r="R19" s="156">
        <f ca="1"/>
        <v>1.7971397711233461E-2</v>
      </c>
      <c r="S19" s="156">
        <f ca="1"/>
        <v>0</v>
      </c>
      <c r="T19" s="156">
        <f ca="1"/>
        <v>4.6281546487337955E-2</v>
      </c>
      <c r="U19" s="156">
        <f ca="1"/>
        <v>8.117536474772824E-2</v>
      </c>
      <c r="V19" s="138">
        <f ca="1"/>
        <v>0.13597843118836483</v>
      </c>
      <c r="W19" s="137">
        <f ca="1"/>
        <v>0</v>
      </c>
      <c r="X19" s="156">
        <f ca="1"/>
        <v>1.6589783901057586E-3</v>
      </c>
      <c r="Y19" s="156">
        <f ca="1"/>
        <v>3.0462788232568094E-3</v>
      </c>
      <c r="Z19" s="156">
        <f ca="1"/>
        <v>1.0102605328776604E-2</v>
      </c>
      <c r="AA19" s="156">
        <f ca="1"/>
        <v>1.8501373852667702E-2</v>
      </c>
      <c r="AB19" s="156">
        <f ca="1"/>
        <v>0</v>
      </c>
      <c r="AC19" s="156">
        <f ca="1"/>
        <v>4.7114833924269406E-2</v>
      </c>
      <c r="AD19" s="156">
        <f ca="1"/>
        <v>8.2290822778182005E-2</v>
      </c>
      <c r="AE19" s="138">
        <f ca="1"/>
        <v>0.13749264019781871</v>
      </c>
      <c r="AG19" s="459" t="s">
        <v>517</v>
      </c>
      <c r="AH19" s="461">
        <v>3.85E-2</v>
      </c>
      <c r="AI19" s="460">
        <v>2027</v>
      </c>
      <c r="AJ19" s="462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6">
        <f ca="1"/>
        <v>3.5572789762250423E-4</v>
      </c>
      <c r="P20" s="156">
        <f ca="1"/>
        <v>1.2282605211381137E-3</v>
      </c>
      <c r="Q20" s="156">
        <f ca="1"/>
        <v>4.1350494586581688E-3</v>
      </c>
      <c r="R20" s="156">
        <f ca="1"/>
        <v>8.78902915114399E-3</v>
      </c>
      <c r="S20" s="156">
        <f ca="1"/>
        <v>0</v>
      </c>
      <c r="T20" s="156">
        <f ca="1"/>
        <v>2.0618861566521041E-2</v>
      </c>
      <c r="U20" s="156">
        <f ca="1"/>
        <v>3.4855943590321403E-2</v>
      </c>
      <c r="V20" s="138">
        <f ca="1"/>
        <v>6.6167266754912135E-2</v>
      </c>
      <c r="W20" s="137">
        <f ca="1"/>
        <v>0</v>
      </c>
      <c r="X20" s="156">
        <f ca="1"/>
        <v>4.7427537457878088E-4</v>
      </c>
      <c r="Y20" s="156">
        <f ca="1"/>
        <v>1.4311913875183491E-3</v>
      </c>
      <c r="Z20" s="156">
        <f ca="1"/>
        <v>4.5046361842145943E-3</v>
      </c>
      <c r="AA20" s="156">
        <f ca="1"/>
        <v>9.3236732708898984E-3</v>
      </c>
      <c r="AB20" s="156">
        <f ca="1"/>
        <v>0</v>
      </c>
      <c r="AC20" s="156">
        <f ca="1"/>
        <v>2.1476990922376538E-2</v>
      </c>
      <c r="AD20" s="156">
        <f ca="1"/>
        <v>3.6027991371224255E-2</v>
      </c>
      <c r="AE20" s="138">
        <f ca="1"/>
        <v>6.7771789959054751E-2</v>
      </c>
      <c r="AG20" s="459" t="s">
        <v>518</v>
      </c>
      <c r="AH20" s="461">
        <v>1.6250000000000001E-2</v>
      </c>
      <c r="AI20" s="460">
        <v>2025</v>
      </c>
      <c r="AJ20" s="462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6">
        <f ca="1"/>
        <v>1.4103124892311802E-3</v>
      </c>
      <c r="P21" s="156">
        <f ca="1"/>
        <v>2.9092894158903038E-3</v>
      </c>
      <c r="Q21" s="156">
        <f ca="1"/>
        <v>7.12079701124535E-3</v>
      </c>
      <c r="R21" s="156">
        <f ca="1"/>
        <v>1.2602295388482232E-2</v>
      </c>
      <c r="S21" s="156">
        <f ca="1"/>
        <v>0</v>
      </c>
      <c r="T21" s="156">
        <f ca="1"/>
        <v>2.74982812473058E-2</v>
      </c>
      <c r="U21" s="156">
        <f ca="1"/>
        <v>4.3033273381142045E-2</v>
      </c>
      <c r="V21" s="138">
        <f ca="1"/>
        <v>6.7480194831133544E-2</v>
      </c>
      <c r="W21" s="137">
        <f ca="1"/>
        <v>0</v>
      </c>
      <c r="X21" s="156">
        <f ca="1"/>
        <v>1.528729933109263E-3</v>
      </c>
      <c r="Y21" s="156">
        <f ca="1"/>
        <v>3.1118683905739797E-3</v>
      </c>
      <c r="Z21" s="156">
        <f ca="1"/>
        <v>7.4892245062432306E-3</v>
      </c>
      <c r="AA21" s="156">
        <f ca="1"/>
        <v>1.3134738663732382E-2</v>
      </c>
      <c r="AB21" s="156">
        <f ca="1"/>
        <v>0</v>
      </c>
      <c r="AC21" s="156">
        <f ca="1"/>
        <v>2.8349782689956138E-2</v>
      </c>
      <c r="AD21" s="156">
        <f ca="1"/>
        <v>4.4194629527009588E-2</v>
      </c>
      <c r="AE21" s="138">
        <f ca="1"/>
        <v>6.9080585389218241E-2</v>
      </c>
      <c r="AG21" s="459" t="s">
        <v>519</v>
      </c>
      <c r="AH21" s="461">
        <v>3.7499999999999999E-3</v>
      </c>
      <c r="AI21" s="460">
        <v>2025</v>
      </c>
      <c r="AJ21" s="462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6">
        <f ca="1"/>
        <v>1.4813682018769425E-3</v>
      </c>
      <c r="P22" s="156">
        <f ca="1"/>
        <v>3.319256850206731E-3</v>
      </c>
      <c r="Q22" s="156">
        <f ca="1"/>
        <v>8.4312152208653179E-3</v>
      </c>
      <c r="R22" s="156">
        <f ca="1"/>
        <v>1.431816211137682E-2</v>
      </c>
      <c r="S22" s="156">
        <f ca="1"/>
        <v>0</v>
      </c>
      <c r="T22" s="156">
        <f ca="1"/>
        <v>3.0054720386758271E-2</v>
      </c>
      <c r="U22" s="156">
        <f ca="1"/>
        <v>4.7049227280499428E-2</v>
      </c>
      <c r="V22" s="138">
        <f ca="1"/>
        <v>7.4176523001207584E-2</v>
      </c>
      <c r="W22" s="137">
        <f ca="1"/>
        <v>0</v>
      </c>
      <c r="X22" s="156">
        <f ca="1"/>
        <v>1.5997766557925841E-3</v>
      </c>
      <c r="Y22" s="156">
        <f ca="1"/>
        <v>3.5217676620474814E-3</v>
      </c>
      <c r="Z22" s="156">
        <f ca="1"/>
        <v>8.7991999449910097E-3</v>
      </c>
      <c r="AA22" s="156">
        <f ca="1"/>
        <v>1.4849706548903607E-2</v>
      </c>
      <c r="AB22" s="156">
        <f ca="1"/>
        <v>0</v>
      </c>
      <c r="AC22" s="156">
        <f ca="1"/>
        <v>3.0903741404141982E-2</v>
      </c>
      <c r="AD22" s="156">
        <f ca="1"/>
        <v>4.8205536910899016E-2</v>
      </c>
      <c r="AE22" s="138">
        <f ca="1"/>
        <v>7.5764414309501427E-2</v>
      </c>
      <c r="AG22" s="459" t="s">
        <v>520</v>
      </c>
      <c r="AH22" s="461">
        <v>0.01</v>
      </c>
      <c r="AI22" s="460">
        <v>2025</v>
      </c>
      <c r="AJ22" s="462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6">
        <f ca="1"/>
        <v>1.2444962459644549E-3</v>
      </c>
      <c r="P23" s="156">
        <f ca="1"/>
        <v>4.1913093793749523E-3</v>
      </c>
      <c r="Q23" s="156">
        <f ca="1"/>
        <v>1.1626257676056961E-2</v>
      </c>
      <c r="R23" s="156">
        <f ca="1"/>
        <v>2.0018580243837958E-2</v>
      </c>
      <c r="S23" s="156">
        <f ca="1"/>
        <v>0</v>
      </c>
      <c r="T23" s="156">
        <f ca="1"/>
        <v>3.9547310398289848E-2</v>
      </c>
      <c r="U23" s="156">
        <f ca="1"/>
        <v>6.1207354798311742E-2</v>
      </c>
      <c r="V23" s="138">
        <f ca="1"/>
        <v>9.4481416144434949E-2</v>
      </c>
      <c r="W23" s="137">
        <f ca="1"/>
        <v>0</v>
      </c>
      <c r="X23" s="156">
        <f ca="1"/>
        <v>1.3629345537861104E-3</v>
      </c>
      <c r="Y23" s="156">
        <f ca="1"/>
        <v>4.3937092845814929E-3</v>
      </c>
      <c r="Z23" s="156">
        <f ca="1"/>
        <v>1.1993184228209941E-2</v>
      </c>
      <c r="AA23" s="156">
        <f ca="1"/>
        <v>2.0547366104075704E-2</v>
      </c>
      <c r="AB23" s="156">
        <f ca="1"/>
        <v>0</v>
      </c>
      <c r="AC23" s="156">
        <f ca="1"/>
        <v>4.0387373166751894E-2</v>
      </c>
      <c r="AD23" s="156">
        <f ca="1"/>
        <v>6.2346058483270683E-2</v>
      </c>
      <c r="AE23" s="138">
        <f ca="1"/>
        <v>9.6030499943357883E-2</v>
      </c>
      <c r="AG23" s="459" t="s">
        <v>521</v>
      </c>
      <c r="AH23" s="461">
        <v>3.3750000000000002E-2</v>
      </c>
      <c r="AI23" s="460">
        <v>2027</v>
      </c>
      <c r="AJ23" s="462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6">
        <f ca="1"/>
        <v>1.8247331878505912E-3</v>
      </c>
      <c r="P24" s="156">
        <f ca="1"/>
        <v>4.8122858860774054E-3</v>
      </c>
      <c r="Q24" s="156">
        <f ca="1"/>
        <v>1.1471508377662865E-2</v>
      </c>
      <c r="R24" s="156">
        <f ca="1"/>
        <v>1.8247966064307786E-2</v>
      </c>
      <c r="S24" s="156">
        <f ca="1"/>
        <v>0</v>
      </c>
      <c r="T24" s="156">
        <f ca="1"/>
        <v>3.5050341614432545E-2</v>
      </c>
      <c r="U24" s="156">
        <f ca="1"/>
        <v>5.3219041199720651E-2</v>
      </c>
      <c r="V24" s="138">
        <f ca="1"/>
        <v>8.5661006716515331E-2</v>
      </c>
      <c r="W24" s="137">
        <f ca="1"/>
        <v>0</v>
      </c>
      <c r="X24" s="156">
        <f ca="1"/>
        <v>1.9430977752196155E-3</v>
      </c>
      <c r="Y24" s="156">
        <f ca="1"/>
        <v>5.0145367019345244E-3</v>
      </c>
      <c r="Z24" s="156">
        <f ca="1"/>
        <v>1.1838379629541373E-2</v>
      </c>
      <c r="AA24" s="156">
        <f ca="1"/>
        <v>1.8777350156048422E-2</v>
      </c>
      <c r="AB24" s="156">
        <f ca="1"/>
        <v>0</v>
      </c>
      <c r="AC24" s="156">
        <f ca="1"/>
        <v>3.5894286203451475E-2</v>
      </c>
      <c r="AD24" s="156">
        <f ca="1"/>
        <v>5.4366813218900134E-2</v>
      </c>
      <c r="AE24" s="138">
        <f ca="1"/>
        <v>8.7225626179514792E-2</v>
      </c>
      <c r="AG24" s="459" t="s">
        <v>522</v>
      </c>
      <c r="AH24" s="461">
        <v>1.2500000000000001E-2</v>
      </c>
      <c r="AI24" s="460">
        <v>2025</v>
      </c>
      <c r="AJ24" s="462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6">
        <f ca="1"/>
        <v>5.92809788134252E-4</v>
      </c>
      <c r="P25" s="156">
        <f ca="1"/>
        <v>1.2215858978688043E-3</v>
      </c>
      <c r="Q25" s="156">
        <f ca="1"/>
        <v>2.9875577252425067E-3</v>
      </c>
      <c r="R25" s="156">
        <f ca="1"/>
        <v>6.5810110993891335E-3</v>
      </c>
      <c r="S25" s="156">
        <f ca="1"/>
        <v>0</v>
      </c>
      <c r="T25" s="156">
        <f ca="1"/>
        <v>1.7106598893510072E-2</v>
      </c>
      <c r="U25" s="156">
        <f ca="1"/>
        <v>3.0078540607100024E-2</v>
      </c>
      <c r="V25" s="138">
        <f ca="1"/>
        <v>5.5637101911391595E-2</v>
      </c>
      <c r="W25" s="137">
        <f ca="1"/>
        <v>0</v>
      </c>
      <c r="X25" s="156">
        <f ca="1"/>
        <v>7.1132857205080668E-4</v>
      </c>
      <c r="Y25" s="156">
        <f ca="1"/>
        <v>1.4244939898572229E-3</v>
      </c>
      <c r="Z25" s="156">
        <f ca="1"/>
        <v>3.3574462608295663E-3</v>
      </c>
      <c r="AA25" s="156">
        <f ca="1"/>
        <v>7.1166268975012548E-3</v>
      </c>
      <c r="AB25" s="156">
        <f ca="1"/>
        <v>0</v>
      </c>
      <c r="AC25" s="156">
        <f ca="1"/>
        <v>1.7967796333419606E-2</v>
      </c>
      <c r="AD25" s="156">
        <f ca="1"/>
        <v>3.1256418793184082E-2</v>
      </c>
      <c r="AE25" s="138">
        <f ca="1"/>
        <v>5.7261528920846794E-2</v>
      </c>
      <c r="AG25" s="459" t="s">
        <v>523</v>
      </c>
      <c r="AH25" s="461">
        <v>0.01</v>
      </c>
      <c r="AI25" s="460">
        <v>2027</v>
      </c>
      <c r="AJ25" s="462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6">
        <f ca="1"/>
        <v>3.5572789762250423E-4</v>
      </c>
      <c r="P26" s="156">
        <f ca="1"/>
        <v>1.8470540194656104E-3</v>
      </c>
      <c r="Q26" s="156">
        <f ca="1"/>
        <v>5.6336476794586199E-3</v>
      </c>
      <c r="R26" s="156">
        <f ca="1"/>
        <v>1.0947462748844283E-2</v>
      </c>
      <c r="S26" s="156">
        <f ca="1"/>
        <v>0</v>
      </c>
      <c r="T26" s="156">
        <f ca="1"/>
        <v>2.9630389473587648E-2</v>
      </c>
      <c r="U26" s="156">
        <f ca="1"/>
        <v>5.097448956788142E-2</v>
      </c>
      <c r="V26" s="138">
        <f ca="1"/>
        <v>9.1834335464797245E-2</v>
      </c>
      <c r="W26" s="137">
        <f ca="1"/>
        <v>0</v>
      </c>
      <c r="X26" s="156">
        <f ca="1"/>
        <v>4.7427537457878088E-4</v>
      </c>
      <c r="Y26" s="156">
        <f ca="1"/>
        <v>2.0498935778414662E-3</v>
      </c>
      <c r="Z26" s="156">
        <f ca="1"/>
        <v>6.0027326404713532E-3</v>
      </c>
      <c r="AA26" s="156">
        <f ca="1"/>
        <v>1.148099442825723E-2</v>
      </c>
      <c r="AB26" s="156">
        <f ca="1"/>
        <v>0</v>
      </c>
      <c r="AC26" s="156">
        <f ca="1"/>
        <v>3.0480521152358109E-2</v>
      </c>
      <c r="AD26" s="156">
        <f ca="1"/>
        <v>5.2128360008277475E-2</v>
      </c>
      <c r="AE26" s="138">
        <f ca="1"/>
        <v>9.3414860785028031E-2</v>
      </c>
      <c r="AG26" s="459" t="s">
        <v>524</v>
      </c>
      <c r="AH26" s="461">
        <v>8.7500000000000008E-3</v>
      </c>
      <c r="AI26" s="460">
        <v>2026</v>
      </c>
      <c r="AJ26" s="462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6">
        <f ca="1"/>
        <v>7.1132972843845899E-4</v>
      </c>
      <c r="P27" s="156">
        <f ca="1"/>
        <v>1.218249062401866E-3</v>
      </c>
      <c r="Q27" s="156">
        <f ca="1"/>
        <v>4.1248689048355436E-3</v>
      </c>
      <c r="R27" s="156">
        <f ca="1"/>
        <v>8.215506190854982E-3</v>
      </c>
      <c r="S27" s="156">
        <f ca="1"/>
        <v>0</v>
      </c>
      <c r="T27" s="156">
        <f ca="1"/>
        <v>2.2507116311489272E-2</v>
      </c>
      <c r="U27" s="156">
        <f ca="1"/>
        <v>4.1385784541243753E-2</v>
      </c>
      <c r="V27" s="138">
        <f ca="1"/>
        <v>7.6875905268301903E-2</v>
      </c>
      <c r="W27" s="137">
        <f ca="1"/>
        <v>0</v>
      </c>
      <c r="X27" s="156">
        <f ca="1"/>
        <v>8.2983405341885419E-4</v>
      </c>
      <c r="Y27" s="156">
        <f ca="1"/>
        <v>1.421145689021297E-3</v>
      </c>
      <c r="Z27" s="156">
        <f ca="1"/>
        <v>4.4944222857389304E-3</v>
      </c>
      <c r="AA27" s="156">
        <f ca="1"/>
        <v>8.7503332068935569E-3</v>
      </c>
      <c r="AB27" s="156">
        <f ca="1"/>
        <v>0</v>
      </c>
      <c r="AC27" s="156">
        <f ca="1"/>
        <v>2.3363718769660702E-2</v>
      </c>
      <c r="AD27" s="156">
        <f ca="1"/>
        <v>4.2551141440178353E-2</v>
      </c>
      <c r="AE27" s="138">
        <f ca="1"/>
        <v>7.8461722832654957E-2</v>
      </c>
      <c r="AG27" s="459" t="s">
        <v>525</v>
      </c>
      <c r="AH27" s="461">
        <v>5.0000000000000001E-3</v>
      </c>
      <c r="AI27" s="460">
        <v>2027</v>
      </c>
      <c r="AJ27" s="462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6">
        <f ca="1"/>
        <v>1.3392517418402416E-3</v>
      </c>
      <c r="P28" s="156">
        <f ca="1"/>
        <v>3.7353953149306118E-3</v>
      </c>
      <c r="Q28" s="156">
        <f ca="1"/>
        <v>9.822626890601982E-3</v>
      </c>
      <c r="R28" s="156">
        <f ca="1"/>
        <v>1.5697778075024038E-2</v>
      </c>
      <c r="S28" s="156">
        <f ca="1"/>
        <v>0</v>
      </c>
      <c r="T28" s="156">
        <f ca="1"/>
        <v>2.8942994897665941E-2</v>
      </c>
      <c r="U28" s="156">
        <f ca="1"/>
        <v>4.4299430001779494E-2</v>
      </c>
      <c r="V28" s="138">
        <f ca="1"/>
        <v>7.0545682320189207E-2</v>
      </c>
      <c r="W28" s="137">
        <f ca="1"/>
        <v>0</v>
      </c>
      <c r="X28" s="156">
        <f ca="1"/>
        <v>1.4576781466686395E-3</v>
      </c>
      <c r="Y28" s="156">
        <f ca="1"/>
        <v>3.9378565576938529E-3</v>
      </c>
      <c r="Z28" s="156">
        <f ca="1"/>
        <v>1.0190158012734707E-2</v>
      </c>
      <c r="AA28" s="156">
        <f ca="1"/>
        <v>1.6228567972730423E-2</v>
      </c>
      <c r="AB28" s="156">
        <f ca="1"/>
        <v>0</v>
      </c>
      <c r="AC28" s="156">
        <f ca="1"/>
        <v>2.9792633611344765E-2</v>
      </c>
      <c r="AD28" s="156">
        <f ca="1"/>
        <v>4.5457918297754252E-2</v>
      </c>
      <c r="AE28" s="138">
        <f ca="1"/>
        <v>7.2138892328455051E-2</v>
      </c>
      <c r="AG28" s="459" t="s">
        <v>526</v>
      </c>
      <c r="AH28" s="461">
        <v>3.4000000000000002E-2</v>
      </c>
      <c r="AI28" s="460">
        <v>2027</v>
      </c>
      <c r="AJ28" s="462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6">
        <f ca="1"/>
        <v>8.2983566879302195E-4</v>
      </c>
      <c r="P29" s="156">
        <f ca="1"/>
        <v>1.6273624074436555E-3</v>
      </c>
      <c r="Q29" s="156">
        <f ca="1"/>
        <v>5.2472278855978383E-3</v>
      </c>
      <c r="R29" s="156">
        <f ca="1"/>
        <v>1.03961338980052E-2</v>
      </c>
      <c r="S29" s="156">
        <f ca="1"/>
        <v>0</v>
      </c>
      <c r="T29" s="156">
        <f ca="1"/>
        <v>2.7832574638511964E-2</v>
      </c>
      <c r="U29" s="156">
        <f ca="1"/>
        <v>4.8564212881903046E-2</v>
      </c>
      <c r="V29" s="138">
        <f ca="1"/>
        <v>9.4412164769560825E-2</v>
      </c>
      <c r="W29" s="137">
        <f ca="1"/>
        <v>0</v>
      </c>
      <c r="X29" s="156">
        <f ca="1"/>
        <v>9.4832545884104835E-4</v>
      </c>
      <c r="Y29" s="156">
        <f ca="1"/>
        <v>1.8301875899737752E-3</v>
      </c>
      <c r="Z29" s="156">
        <f ca="1"/>
        <v>5.6163991498814347E-3</v>
      </c>
      <c r="AA29" s="156">
        <f ca="1"/>
        <v>1.0929907836957131E-2</v>
      </c>
      <c r="AB29" s="156">
        <f ca="1"/>
        <v>0</v>
      </c>
      <c r="AC29" s="156">
        <f ca="1"/>
        <v>2.8684346453243248E-2</v>
      </c>
      <c r="AD29" s="156">
        <f ca="1"/>
        <v>4.9720905892093326E-2</v>
      </c>
      <c r="AE29" s="138">
        <f ca="1"/>
        <v>9.5991816157725118E-2</v>
      </c>
      <c r="AG29" s="459" t="s">
        <v>527</v>
      </c>
      <c r="AH29" s="461">
        <v>2.5000000000000001E-2</v>
      </c>
      <c r="AI29" s="460">
        <v>2027</v>
      </c>
      <c r="AJ29" s="462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6">
        <f ca="1"/>
        <v>5.92809788134252E-4</v>
      </c>
      <c r="P30" s="156">
        <f ca="1"/>
        <v>1.6340840333609608E-3</v>
      </c>
      <c r="Q30" s="156">
        <f ca="1"/>
        <v>4.4941602991660501E-3</v>
      </c>
      <c r="R30" s="156">
        <f ca="1"/>
        <v>8.7500997392806479E-3</v>
      </c>
      <c r="S30" s="156">
        <f ca="1"/>
        <v>0</v>
      </c>
      <c r="T30" s="156">
        <f ca="1"/>
        <v>2.3365100753740542E-2</v>
      </c>
      <c r="U30" s="156">
        <f ca="1"/>
        <v>3.9881317159762841E-2</v>
      </c>
      <c r="V30" s="138">
        <f ca="1"/>
        <v>6.3134206072532284E-2</v>
      </c>
      <c r="W30" s="137">
        <f ca="1"/>
        <v>0</v>
      </c>
      <c r="X30" s="156">
        <f ca="1"/>
        <v>7.1132857205080668E-4</v>
      </c>
      <c r="Y30" s="156">
        <f ca="1"/>
        <v>1.8369318085654784E-3</v>
      </c>
      <c r="Z30" s="156">
        <f ca="1"/>
        <v>4.8635750615072526E-3</v>
      </c>
      <c r="AA30" s="156">
        <f ca="1"/>
        <v>9.2846307174944132E-3</v>
      </c>
      <c r="AB30" s="156">
        <f ca="1"/>
        <v>0</v>
      </c>
      <c r="AC30" s="156">
        <f ca="1"/>
        <v>2.4220867839421678E-2</v>
      </c>
      <c r="AD30" s="156">
        <f ca="1"/>
        <v>4.1047973943989735E-2</v>
      </c>
      <c r="AE30" s="138">
        <f ca="1"/>
        <v>6.4744816599963895E-2</v>
      </c>
      <c r="AG30" s="459" t="s">
        <v>528</v>
      </c>
      <c r="AH30" s="461">
        <v>1.375E-2</v>
      </c>
      <c r="AI30" s="460">
        <v>2026</v>
      </c>
      <c r="AJ30" s="462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6">
        <f ca="1"/>
        <v>7.5873378443391815E-4</v>
      </c>
      <c r="P31" s="156">
        <f ca="1"/>
        <v>2.4128691269309499E-3</v>
      </c>
      <c r="Q31" s="156">
        <f ca="1"/>
        <v>6.209320838685084E-3</v>
      </c>
      <c r="R31" s="156">
        <f ca="1"/>
        <v>1.1504988342765365E-2</v>
      </c>
      <c r="S31" s="156">
        <f ca="1"/>
        <v>0</v>
      </c>
      <c r="T31" s="156">
        <f ca="1"/>
        <v>2.6744788331750535E-2</v>
      </c>
      <c r="U31" s="156">
        <f ca="1"/>
        <v>4.4502109929543732E-2</v>
      </c>
      <c r="V31" s="138">
        <f ca="1"/>
        <v>6.5619834005691713E-2</v>
      </c>
      <c r="W31" s="137">
        <f ca="1"/>
        <v>0</v>
      </c>
      <c r="X31" s="156">
        <f ca="1"/>
        <v>8.7723230462111168E-4</v>
      </c>
      <c r="Y31" s="156">
        <f ca="1"/>
        <v>2.61558523442873E-3</v>
      </c>
      <c r="Z31" s="156">
        <f ca="1"/>
        <v>6.5781366790168549E-3</v>
      </c>
      <c r="AA31" s="156">
        <f ca="1"/>
        <v>1.2038111146574382E-2</v>
      </c>
      <c r="AB31" s="156">
        <f ca="1"/>
        <v>0</v>
      </c>
      <c r="AC31" s="156">
        <f ca="1"/>
        <v>2.7597241605795242E-2</v>
      </c>
      <c r="AD31" s="156">
        <f ca="1"/>
        <v>4.5662599276793725E-2</v>
      </c>
      <c r="AE31" s="138">
        <f ca="1"/>
        <v>6.722468132928594E-2</v>
      </c>
      <c r="AG31" s="459" t="s">
        <v>529</v>
      </c>
      <c r="AH31" s="461">
        <v>0.01</v>
      </c>
      <c r="AI31" s="460">
        <v>2025</v>
      </c>
      <c r="AJ31" s="462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6">
        <f ca="1"/>
        <v>1.3037194799899732E-3</v>
      </c>
      <c r="P32" s="156">
        <f ca="1"/>
        <v>3.2626401793691695E-3</v>
      </c>
      <c r="Q32" s="156">
        <f ca="1"/>
        <v>7.8321073938210084E-3</v>
      </c>
      <c r="R32" s="156">
        <f ca="1"/>
        <v>1.6374721160698158E-2</v>
      </c>
      <c r="S32" s="156">
        <f ca="1"/>
        <v>0</v>
      </c>
      <c r="T32" s="156">
        <f ca="1"/>
        <v>3.4551597203335338E-2</v>
      </c>
      <c r="U32" s="156">
        <f ca="1"/>
        <v>5.6388473735760392E-2</v>
      </c>
      <c r="V32" s="138">
        <f ca="1"/>
        <v>9.934115422654044E-2</v>
      </c>
      <c r="W32" s="137">
        <f ca="1"/>
        <v>0</v>
      </c>
      <c r="X32" s="156">
        <f ca="1"/>
        <v>1.4221503544191716E-3</v>
      </c>
      <c r="Y32" s="156">
        <f ca="1"/>
        <v>3.4651764677990915E-3</v>
      </c>
      <c r="Z32" s="156">
        <f ca="1"/>
        <v>8.2002985251309335E-3</v>
      </c>
      <c r="AA32" s="156">
        <f ca="1"/>
        <v>1.6905525259930942E-2</v>
      </c>
      <c r="AB32" s="156">
        <f ca="1"/>
        <v>0</v>
      </c>
      <c r="AC32" s="156">
        <f ca="1"/>
        <v>3.5396836662718978E-2</v>
      </c>
      <c r="AD32" s="156">
        <f ca="1"/>
        <v>5.7534202530140188E-2</v>
      </c>
      <c r="AE32" s="138">
        <f ca="1"/>
        <v>0.10090751062303083</v>
      </c>
      <c r="AG32" s="459" t="s">
        <v>530</v>
      </c>
      <c r="AH32" s="461">
        <v>1.375E-2</v>
      </c>
      <c r="AI32" s="460">
        <v>2026</v>
      </c>
      <c r="AJ32" s="462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6">
        <f ca="1"/>
        <v>9.2463034276024647E-4</v>
      </c>
      <c r="P33" s="156">
        <f ca="1"/>
        <v>2.7997191435086277E-3</v>
      </c>
      <c r="Q33" s="156">
        <f ca="1"/>
        <v>8.6186143185464914E-3</v>
      </c>
      <c r="R33" s="156">
        <f ca="1"/>
        <v>1.4683585478252104E-2</v>
      </c>
      <c r="S33" s="156">
        <f ca="1"/>
        <v>0</v>
      </c>
      <c r="T33" s="156">
        <f ca="1"/>
        <v>2.9135139860844372E-2</v>
      </c>
      <c r="U33" s="156">
        <f ca="1"/>
        <v>4.5156457102016323E-2</v>
      </c>
      <c r="V33" s="138">
        <f ca="1"/>
        <v>6.8686912562811009E-2</v>
      </c>
      <c r="W33" s="137">
        <f ca="1"/>
        <v>0</v>
      </c>
      <c r="X33" s="156">
        <f ca="1"/>
        <v>1.0431084496097531E-3</v>
      </c>
      <c r="Y33" s="156">
        <f ca="1"/>
        <v>3.0023613107641456E-3</v>
      </c>
      <c r="Z33" s="156">
        <f ca="1"/>
        <v>8.9866440644080781E-3</v>
      </c>
      <c r="AA33" s="156">
        <f ca="1"/>
        <v>1.5215091014951665E-2</v>
      </c>
      <c r="AB33" s="156">
        <f ca="1"/>
        <v>0</v>
      </c>
      <c r="AC33" s="156">
        <f ca="1"/>
        <v>2.9985037836439687E-2</v>
      </c>
      <c r="AD33" s="156">
        <f ca="1"/>
        <v>4.6314756979964788E-2</v>
      </c>
      <c r="AE33" s="138">
        <f ca="1"/>
        <v>7.0284316550865977E-2</v>
      </c>
      <c r="AG33" s="459" t="s">
        <v>531</v>
      </c>
      <c r="AH33" s="461">
        <v>1.125E-2</v>
      </c>
      <c r="AI33" s="460">
        <v>2026</v>
      </c>
      <c r="AJ33" s="462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6">
        <f ca="1"/>
        <v>5.92809788134252E-4</v>
      </c>
      <c r="P34" s="156">
        <f ca="1"/>
        <v>1.8403069769395985E-3</v>
      </c>
      <c r="Q34" s="156">
        <f ca="1"/>
        <v>6.0065459294539325E-3</v>
      </c>
      <c r="R34" s="156">
        <f ca="1"/>
        <v>1.3171342960705434E-2</v>
      </c>
      <c r="S34" s="156">
        <f ca="1"/>
        <v>0</v>
      </c>
      <c r="T34" s="156">
        <f ca="1"/>
        <v>3.2208979704980489E-2</v>
      </c>
      <c r="U34" s="156">
        <f ca="1"/>
        <v>5.7118615869165446E-2</v>
      </c>
      <c r="V34" s="138">
        <f ca="1"/>
        <v>0.10201133095626569</v>
      </c>
      <c r="W34" s="137">
        <f ca="1"/>
        <v>0</v>
      </c>
      <c r="X34" s="156">
        <f ca="1"/>
        <v>7.1132857205080668E-4</v>
      </c>
      <c r="Y34" s="156">
        <f ca="1"/>
        <v>2.04312435073839E-3</v>
      </c>
      <c r="Z34" s="156">
        <f ca="1"/>
        <v>6.3754958182713484E-3</v>
      </c>
      <c r="AA34" s="156">
        <f ca="1"/>
        <v>1.3703923095713E-2</v>
      </c>
      <c r="AB34" s="156">
        <f ca="1"/>
        <v>0</v>
      </c>
      <c r="AC34" s="156">
        <f ca="1"/>
        <v>3.3056782601816881E-2</v>
      </c>
      <c r="AD34" s="156">
        <f ca="1"/>
        <v>5.8264796347020864E-2</v>
      </c>
      <c r="AE34" s="138">
        <f ca="1"/>
        <v>0.10357717729290927</v>
      </c>
      <c r="AG34" s="459" t="s">
        <v>532</v>
      </c>
      <c r="AH34" s="461">
        <v>7.4999999999999997E-3</v>
      </c>
      <c r="AI34" s="460">
        <v>2026</v>
      </c>
      <c r="AJ34" s="462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6">
        <f ca="1"/>
        <v>1.3629392170944055E-3</v>
      </c>
      <c r="P35" s="156">
        <f ca="1"/>
        <v>3.6935035072079847E-3</v>
      </c>
      <c r="Q35" s="156">
        <f ca="1"/>
        <v>1.0467248760520964E-2</v>
      </c>
      <c r="R35" s="156">
        <f ca="1"/>
        <v>1.9028350150834927E-2</v>
      </c>
      <c r="S35" s="156">
        <f ca="1"/>
        <v>0</v>
      </c>
      <c r="T35" s="156">
        <f ca="1"/>
        <v>4.0622714248587655E-2</v>
      </c>
      <c r="U35" s="156">
        <f ca="1"/>
        <v>6.3240914663364123E-2</v>
      </c>
      <c r="V35" s="138">
        <f ca="1"/>
        <v>9.714446317254033E-2</v>
      </c>
      <c r="W35" s="137">
        <f ca="1"/>
        <v>0</v>
      </c>
      <c r="X35" s="156">
        <f ca="1"/>
        <v>1.4813626381441347E-3</v>
      </c>
      <c r="Y35" s="156">
        <f ca="1"/>
        <v>3.8959689190745106E-3</v>
      </c>
      <c r="Z35" s="156">
        <f ca="1"/>
        <v>1.0834575173736871E-2</v>
      </c>
      <c r="AA35" s="156">
        <f ca="1"/>
        <v>1.9557718270047153E-2</v>
      </c>
      <c r="AB35" s="156">
        <f ca="1"/>
        <v>0</v>
      </c>
      <c r="AC35" s="156">
        <f ca="1"/>
        <v>4.1461906631134138E-2</v>
      </c>
      <c r="AD35" s="156">
        <f ca="1"/>
        <v>6.4377932308637198E-2</v>
      </c>
      <c r="AE35" s="138">
        <f ca="1"/>
        <v>9.8689453409355199E-2</v>
      </c>
      <c r="AG35" s="459" t="s">
        <v>533</v>
      </c>
      <c r="AH35" s="461">
        <v>0.04</v>
      </c>
      <c r="AI35" s="460">
        <v>2026</v>
      </c>
      <c r="AJ35" s="462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6">
        <f ca="1"/>
        <v>5.92809788134252E-4</v>
      </c>
      <c r="P36" s="156">
        <f ca="1"/>
        <v>1.4278436744080691E-3</v>
      </c>
      <c r="Q36" s="156">
        <f ca="1"/>
        <v>4.1211827516709487E-3</v>
      </c>
      <c r="R36" s="156">
        <f ca="1"/>
        <v>8.7749433701209689E-3</v>
      </c>
      <c r="S36" s="156">
        <f ca="1"/>
        <v>0</v>
      </c>
      <c r="T36" s="156">
        <f ca="1"/>
        <v>2.0604511855394581E-2</v>
      </c>
      <c r="U36" s="156">
        <f ca="1"/>
        <v>3.6180700387551279E-2</v>
      </c>
      <c r="V36" s="138">
        <f ca="1"/>
        <v>6.5968390801418808E-2</v>
      </c>
      <c r="W36" s="137">
        <f ca="1"/>
        <v>0</v>
      </c>
      <c r="X36" s="156">
        <f ca="1"/>
        <v>7.1132857205080668E-4</v>
      </c>
      <c r="Y36" s="156">
        <f ca="1"/>
        <v>1.6307216884168252E-3</v>
      </c>
      <c r="Z36" s="156">
        <f ca="1"/>
        <v>4.4907270290319712E-3</v>
      </c>
      <c r="AA36" s="156">
        <f ca="1"/>
        <v>9.3095430577327942E-3</v>
      </c>
      <c r="AB36" s="156">
        <f ca="1"/>
        <v>0</v>
      </c>
      <c r="AC36" s="156">
        <f ca="1"/>
        <v>2.14626020978812E-2</v>
      </c>
      <c r="AD36" s="156">
        <f ca="1"/>
        <v>3.7351375962172306E-2</v>
      </c>
      <c r="AE36" s="138">
        <f ca="1"/>
        <v>6.7573829489665282E-2</v>
      </c>
      <c r="AG36" s="459" t="s">
        <v>534</v>
      </c>
      <c r="AH36" s="461">
        <v>7.4999999999999997E-3</v>
      </c>
      <c r="AI36" s="460">
        <v>2026</v>
      </c>
      <c r="AJ36" s="462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6">
        <f ca="1"/>
        <v>1.0668055594751369E-3</v>
      </c>
      <c r="P37" s="156">
        <f ca="1"/>
        <v>4.5055041807858798E-3</v>
      </c>
      <c r="Q37" s="156">
        <f ca="1"/>
        <v>1.2339177801338752E-2</v>
      </c>
      <c r="R37" s="156">
        <f ca="1"/>
        <v>2.4504265676358661E-2</v>
      </c>
      <c r="S37" s="156">
        <f ca="1"/>
        <v>0</v>
      </c>
      <c r="T37" s="156">
        <f ca="1"/>
        <v>6.0158075279047263E-2</v>
      </c>
      <c r="U37" s="156">
        <f ca="1"/>
        <v>0.10215665262383444</v>
      </c>
      <c r="V37" s="138">
        <f ca="1"/>
        <v>0.1711302625879989</v>
      </c>
      <c r="W37" s="137">
        <f ca="1"/>
        <v>0</v>
      </c>
      <c r="X37" s="156">
        <f ca="1"/>
        <v>1.1852660484611421E-3</v>
      </c>
      <c r="Y37" s="156">
        <f ca="1"/>
        <v>4.707871119715934E-3</v>
      </c>
      <c r="Z37" s="156">
        <f ca="1"/>
        <v>1.2705866759608497E-2</v>
      </c>
      <c r="AA37" s="156">
        <f ca="1"/>
        <v>2.5031017483834628E-2</v>
      </c>
      <c r="AB37" s="156">
        <f ca="1"/>
        <v>0</v>
      </c>
      <c r="AC37" s="156">
        <f ca="1"/>
        <v>6.097605604672518E-2</v>
      </c>
      <c r="AD37" s="156">
        <f ca="1"/>
        <v>0.10324350441524976</v>
      </c>
      <c r="AE37" s="138">
        <f ca="1"/>
        <v>0.17259336452469398</v>
      </c>
      <c r="AG37" s="459" t="s">
        <v>535</v>
      </c>
      <c r="AH37" s="461">
        <v>3.7499999999999999E-2</v>
      </c>
      <c r="AI37" s="460">
        <v>2026</v>
      </c>
      <c r="AJ37" s="462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6">
        <f ca="1"/>
        <v>5.92809788134252E-4</v>
      </c>
      <c r="P38" s="156">
        <f ca="1"/>
        <v>1.2215858978688043E-3</v>
      </c>
      <c r="Q38" s="156">
        <f ca="1"/>
        <v>4.5083702662991332E-3</v>
      </c>
      <c r="R38" s="156">
        <f ca="1"/>
        <v>8.7644789715565219E-3</v>
      </c>
      <c r="S38" s="156">
        <f ca="1"/>
        <v>0</v>
      </c>
      <c r="T38" s="156">
        <f ca="1"/>
        <v>2.0593856483350215E-2</v>
      </c>
      <c r="U38" s="156">
        <f ca="1"/>
        <v>3.3491059664730538E-2</v>
      </c>
      <c r="V38" s="138">
        <f ca="1"/>
        <v>5.8431859839286782E-2</v>
      </c>
      <c r="W38" s="137">
        <f ca="1"/>
        <v>0</v>
      </c>
      <c r="X38" s="156">
        <f ca="1"/>
        <v>7.1132857205080668E-4</v>
      </c>
      <c r="Y38" s="156">
        <f ca="1"/>
        <v>1.4244939898572229E-3</v>
      </c>
      <c r="Z38" s="156">
        <f ca="1"/>
        <v>4.8778245277686372E-3</v>
      </c>
      <c r="AA38" s="156">
        <f ca="1"/>
        <v>9.2990568694159004E-3</v>
      </c>
      <c r="AB38" s="156">
        <f ca="1"/>
        <v>0</v>
      </c>
      <c r="AC38" s="156">
        <f ca="1"/>
        <v>2.1451914720507004E-2</v>
      </c>
      <c r="AD38" s="156">
        <f ca="1"/>
        <v>3.4664351501637158E-2</v>
      </c>
      <c r="AE38" s="138">
        <f ca="1"/>
        <v>6.0050052604858406E-2</v>
      </c>
      <c r="AG38" s="459" t="s">
        <v>536</v>
      </c>
      <c r="AH38" s="461">
        <v>3.7499999999999999E-2</v>
      </c>
      <c r="AI38" s="460">
        <v>2032</v>
      </c>
      <c r="AJ38" s="462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6">
        <f ca="1"/>
        <v>1.1852695147550607E-3</v>
      </c>
      <c r="P39" s="156">
        <f ca="1"/>
        <v>2.6479214033667819E-3</v>
      </c>
      <c r="Q39" s="156">
        <f ca="1"/>
        <v>8.6160145640523655E-3</v>
      </c>
      <c r="R39" s="156">
        <f ca="1"/>
        <v>1.8606486799428334E-2</v>
      </c>
      <c r="S39" s="156">
        <f ca="1"/>
        <v>0</v>
      </c>
      <c r="T39" s="156">
        <f ca="1"/>
        <v>4.5398164684181008E-2</v>
      </c>
      <c r="U39" s="156">
        <f ca="1"/>
        <v>8.0004648034803894E-2</v>
      </c>
      <c r="V39" s="138">
        <f ca="1"/>
        <v>0.13062380279773922</v>
      </c>
      <c r="W39" s="137">
        <f ca="1"/>
        <v>0</v>
      </c>
      <c r="X39" s="156">
        <f ca="1"/>
        <v>1.3037152360358961E-3</v>
      </c>
      <c r="Y39" s="156">
        <f ca="1"/>
        <v>2.850561127839657E-3</v>
      </c>
      <c r="Z39" s="156">
        <f ca="1"/>
        <v>8.9840303268742261E-3</v>
      </c>
      <c r="AA39" s="156">
        <f ca="1"/>
        <v>1.9136364688000729E-2</v>
      </c>
      <c r="AB39" s="156">
        <f ca="1"/>
        <v>0</v>
      </c>
      <c r="AC39" s="156">
        <f ca="1"/>
        <v>4.623284350198098E-2</v>
      </c>
      <c r="AD39" s="156">
        <f ca="1"/>
        <v>8.1121540752327026E-2</v>
      </c>
      <c r="AE39" s="138">
        <f ca="1"/>
        <v>0.13214437971752724</v>
      </c>
      <c r="AG39" s="459" t="s">
        <v>537</v>
      </c>
      <c r="AH39" s="461">
        <v>2.375E-2</v>
      </c>
      <c r="AI39" s="460">
        <v>2025</v>
      </c>
      <c r="AJ39" s="462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6">
        <f ca="1"/>
        <v>2.2626489020012297E-3</v>
      </c>
      <c r="P40" s="156">
        <f ca="1"/>
        <v>4.4287179779292085E-3</v>
      </c>
      <c r="Q40" s="156">
        <f ca="1"/>
        <v>1.082853653261584E-2</v>
      </c>
      <c r="R40" s="156">
        <f ca="1"/>
        <v>1.8839736987262379E-2</v>
      </c>
      <c r="S40" s="156">
        <f ca="1"/>
        <v>0</v>
      </c>
      <c r="T40" s="156">
        <f ca="1"/>
        <v>3.7797767636882806E-2</v>
      </c>
      <c r="U40" s="156">
        <f ca="1"/>
        <v>5.7536615339986108E-2</v>
      </c>
      <c r="V40" s="138">
        <f ca="1"/>
        <v>8.6633092358633479E-2</v>
      </c>
      <c r="W40" s="137">
        <f ca="1"/>
        <v>0</v>
      </c>
      <c r="X40" s="156">
        <f ca="1"/>
        <v>2.3809565000536548E-3</v>
      </c>
      <c r="Y40" s="156">
        <f ca="1"/>
        <v>4.6309871632992383E-3</v>
      </c>
      <c r="Z40" s="156">
        <f ca="1"/>
        <v>1.1195596916553252E-2</v>
      </c>
      <c r="AA40" s="156">
        <f ca="1"/>
        <v>1.9368953388469445E-2</v>
      </c>
      <c r="AB40" s="156">
        <f ca="1"/>
        <v>0</v>
      </c>
      <c r="AC40" s="156">
        <f ca="1"/>
        <v>3.8639371650023513E-2</v>
      </c>
      <c r="AD40" s="156">
        <f ca="1"/>
        <v>5.8679698209404774E-2</v>
      </c>
      <c r="AE40" s="138">
        <f ca="1"/>
        <v>8.8196904931486797E-2</v>
      </c>
      <c r="AG40" s="459" t="s">
        <v>538</v>
      </c>
      <c r="AH40" s="461">
        <v>2.375E-2</v>
      </c>
      <c r="AI40" s="460">
        <v>2026</v>
      </c>
      <c r="AJ40" s="462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6">
        <f ca="1"/>
        <v>4.7427584534542877E-4</v>
      </c>
      <c r="P41" s="156">
        <f ca="1"/>
        <v>1.4311928976311616E-3</v>
      </c>
      <c r="Q41" s="156">
        <f ca="1"/>
        <v>4.5046699660206135E-3</v>
      </c>
      <c r="R41" s="156">
        <f ca="1"/>
        <v>1.0449521438417375E-2</v>
      </c>
      <c r="S41" s="156">
        <f ca="1"/>
        <v>0</v>
      </c>
      <c r="T41" s="156">
        <f ca="1"/>
        <v>2.5107619909352397E-2</v>
      </c>
      <c r="U41" s="156">
        <f ca="1"/>
        <v>4.4915074185536863E-2</v>
      </c>
      <c r="V41" s="138">
        <f ca="1"/>
        <v>7.779314903561152E-2</v>
      </c>
      <c r="W41" s="137">
        <f ca="1"/>
        <v>0</v>
      </c>
      <c r="X41" s="156">
        <f ca="1"/>
        <v>5.9280901297664723E-4</v>
      </c>
      <c r="Y41" s="156">
        <f ca="1"/>
        <v>1.6340822274196753E-3</v>
      </c>
      <c r="Z41" s="156">
        <f ca="1"/>
        <v>4.8741157549777592E-3</v>
      </c>
      <c r="AA41" s="156">
        <f ca="1"/>
        <v>1.0983433411336896E-2</v>
      </c>
      <c r="AB41" s="156">
        <f ca="1"/>
        <v>0</v>
      </c>
      <c r="AC41" s="156">
        <f ca="1"/>
        <v>2.5961936855136591E-2</v>
      </c>
      <c r="AD41" s="156">
        <f ca="1"/>
        <v>4.6075905183832533E-2</v>
      </c>
      <c r="AE41" s="138">
        <f ca="1"/>
        <v>7.9377352369355725E-2</v>
      </c>
      <c r="AG41" s="459" t="s">
        <v>539</v>
      </c>
      <c r="AH41" s="461">
        <v>6.2500000000000003E-3</v>
      </c>
      <c r="AI41" s="460">
        <v>2026</v>
      </c>
      <c r="AJ41" s="462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6">
        <f ca="1"/>
        <v>1.0668055594751369E-3</v>
      </c>
      <c r="P42" s="156">
        <f ca="1"/>
        <v>3.6816057339070785E-3</v>
      </c>
      <c r="Q42" s="156">
        <f ca="1"/>
        <v>1.3126390430186485E-2</v>
      </c>
      <c r="R42" s="156">
        <f ca="1"/>
        <v>2.2261954024763386E-2</v>
      </c>
      <c r="S42" s="156">
        <f ca="1"/>
        <v>0</v>
      </c>
      <c r="T42" s="156">
        <f ca="1"/>
        <v>5.2131498962436518E-2</v>
      </c>
      <c r="U42" s="156">
        <f ca="1"/>
        <v>8.7711753747412913E-2</v>
      </c>
      <c r="V42" s="138">
        <f ca="1"/>
        <v>0.14480490796389101</v>
      </c>
      <c r="W42" s="137">
        <f ca="1"/>
        <v>0</v>
      </c>
      <c r="X42" s="156">
        <f ca="1"/>
        <v>1.1852660484611421E-3</v>
      </c>
      <c r="Y42" s="156">
        <f ca="1"/>
        <v>3.8841005581671251E-3</v>
      </c>
      <c r="Z42" s="156">
        <f ca="1"/>
        <v>1.3492860552337227E-2</v>
      </c>
      <c r="AA42" s="156">
        <f ca="1"/>
        <v>2.2789738761530565E-2</v>
      </c>
      <c r="AB42" s="156">
        <f ca="1"/>
        <v>0</v>
      </c>
      <c r="AC42" s="156">
        <f ca="1"/>
        <v>5.2958573111191565E-2</v>
      </c>
      <c r="AD42" s="156">
        <f ca="1"/>
        <v>8.8817929140936225E-2</v>
      </c>
      <c r="AE42" s="138">
        <f ca="1"/>
        <v>0.14630344964882513</v>
      </c>
      <c r="AG42" s="459" t="s">
        <v>540</v>
      </c>
      <c r="AH42" s="461">
        <v>2.75E-2</v>
      </c>
      <c r="AI42" s="460">
        <v>2025</v>
      </c>
      <c r="AJ42" s="462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6">
        <f ca="1"/>
        <v>3.9129375261737209E-4</v>
      </c>
      <c r="P43" s="156">
        <f ca="1"/>
        <v>1.8666652694603325E-3</v>
      </c>
      <c r="Q43" s="156">
        <f ca="1"/>
        <v>6.1635930503410874E-3</v>
      </c>
      <c r="R43" s="156">
        <f ca="1"/>
        <v>1.1932742330486912E-2</v>
      </c>
      <c r="S43" s="156">
        <f ca="1"/>
        <v>0</v>
      </c>
      <c r="T43" s="156">
        <f ca="1"/>
        <v>2.6750617945119126E-2</v>
      </c>
      <c r="U43" s="156">
        <f ca="1"/>
        <v>4.2508675440928512E-2</v>
      </c>
      <c r="V43" s="138">
        <f ca="1"/>
        <v>6.5901615705150629E-2</v>
      </c>
      <c r="W43" s="137">
        <f ca="1"/>
        <v>0</v>
      </c>
      <c r="X43" s="156">
        <f ca="1"/>
        <v>5.0983694452289008E-4</v>
      </c>
      <c r="Y43" s="156">
        <f ca="1"/>
        <v>2.0694984475237987E-3</v>
      </c>
      <c r="Z43" s="156">
        <f ca="1"/>
        <v>6.532514565413039E-3</v>
      </c>
      <c r="AA43" s="156">
        <f ca="1"/>
        <v>1.2465815307590722E-2</v>
      </c>
      <c r="AB43" s="156">
        <f ca="1"/>
        <v>0</v>
      </c>
      <c r="AC43" s="156">
        <f ca="1"/>
        <v>2.7603185350447368E-2</v>
      </c>
      <c r="AD43" s="156">
        <f ca="1"/>
        <v>4.3671241838499353E-2</v>
      </c>
      <c r="AE43" s="138">
        <f ca="1"/>
        <v>6.7505552612389441E-2</v>
      </c>
      <c r="AG43" s="459" t="s">
        <v>541</v>
      </c>
      <c r="AH43" s="461"/>
      <c r="AI43" s="460"/>
      <c r="AJ43" s="462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6">
        <f ca="1"/>
        <v>9.8387246535025508E-4</v>
      </c>
      <c r="P44" s="156">
        <f ca="1"/>
        <v>3.6016336029452978E-3</v>
      </c>
      <c r="Q44" s="156">
        <f ca="1"/>
        <v>1.0596099097945233E-2</v>
      </c>
      <c r="R44" s="156">
        <f ca="1"/>
        <v>1.9094213711046359E-2</v>
      </c>
      <c r="S44" s="156">
        <f ca="1"/>
        <v>0</v>
      </c>
      <c r="T44" s="156">
        <f ca="1"/>
        <v>4.2464214726712357E-2</v>
      </c>
      <c r="U44" s="156">
        <f ca="1"/>
        <v>6.43611576659332E-2</v>
      </c>
      <c r="V44" s="138">
        <f ca="1"/>
        <v>9.6758643510519438E-2</v>
      </c>
      <c r="W44" s="137">
        <f ca="1"/>
        <v>0</v>
      </c>
      <c r="X44" s="156">
        <f ca="1"/>
        <v>1.1023432450528725E-3</v>
      </c>
      <c r="Y44" s="156">
        <f ca="1"/>
        <v>3.8041483834519996E-3</v>
      </c>
      <c r="Z44" s="156">
        <f ca="1"/>
        <v>1.0963430505050664E-2</v>
      </c>
      <c r="AA44" s="156">
        <f ca="1"/>
        <v>1.9623594249539522E-2</v>
      </c>
      <c r="AB44" s="156">
        <f ca="1"/>
        <v>0</v>
      </c>
      <c r="AC44" s="156">
        <f ca="1"/>
        <v>4.3301607587381996E-2</v>
      </c>
      <c r="AD44" s="156">
        <f ca="1"/>
        <v>6.5497086051430231E-2</v>
      </c>
      <c r="AE44" s="138">
        <f ca="1"/>
        <v>9.8304444061396379E-2</v>
      </c>
      <c r="AG44" s="459" t="s">
        <v>542</v>
      </c>
      <c r="AH44" s="461">
        <v>3.875E-2</v>
      </c>
      <c r="AI44" s="460">
        <v>2026</v>
      </c>
      <c r="AJ44" s="462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6">
        <f ca="1"/>
        <v>1.4221554576263618E-3</v>
      </c>
      <c r="P45" s="156">
        <f ca="1"/>
        <v>2.8471338741142826E-3</v>
      </c>
      <c r="Q45" s="156">
        <f ca="1"/>
        <v>6.7053228210437466E-3</v>
      </c>
      <c r="R45" s="156">
        <f ca="1"/>
        <v>1.2511690524401597E-2</v>
      </c>
      <c r="S45" s="156">
        <f ca="1"/>
        <v>0</v>
      </c>
      <c r="T45" s="156">
        <f ca="1"/>
        <v>2.3826009100681111E-2</v>
      </c>
      <c r="U45" s="156">
        <f ca="1"/>
        <v>4.064994020647017E-2</v>
      </c>
      <c r="V45" s="138">
        <f ca="1"/>
        <v>7.2207699466551256E-2</v>
      </c>
      <c r="W45" s="137">
        <f ca="1"/>
        <v>0</v>
      </c>
      <c r="X45" s="156">
        <f ca="1"/>
        <v>1.5405714051989206E-3</v>
      </c>
      <c r="Y45" s="156">
        <f ca="1"/>
        <v>3.0497209419496629E-3</v>
      </c>
      <c r="Z45" s="156">
        <f ca="1"/>
        <v>7.0738789343559594E-3</v>
      </c>
      <c r="AA45" s="156">
        <f ca="1"/>
        <v>1.3044228579486061E-2</v>
      </c>
      <c r="AB45" s="156">
        <f ca="1"/>
        <v>0</v>
      </c>
      <c r="AC45" s="156">
        <f ca="1"/>
        <v>2.468056743129976E-2</v>
      </c>
      <c r="AD45" s="156">
        <f ca="1"/>
        <v>4.1814024305211306E-2</v>
      </c>
      <c r="AE45" s="138">
        <f ca="1"/>
        <v>7.3799930916290224E-2</v>
      </c>
      <c r="AG45" s="459" t="s">
        <v>543</v>
      </c>
      <c r="AH45" s="461">
        <v>3.875E-2</v>
      </c>
      <c r="AI45" s="460">
        <v>2026</v>
      </c>
      <c r="AJ45" s="462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6">
        <f ca="1"/>
        <v>4.7427584534542877E-4</v>
      </c>
      <c r="P46" s="156">
        <f ca="1"/>
        <v>1.843680337743514E-3</v>
      </c>
      <c r="Q46" s="156">
        <f ca="1"/>
        <v>5.2503551541845939E-3</v>
      </c>
      <c r="R46" s="156">
        <f ca="1"/>
        <v>9.8366526588096193E-3</v>
      </c>
      <c r="S46" s="156">
        <f ca="1"/>
        <v>0</v>
      </c>
      <c r="T46" s="156">
        <f ca="1"/>
        <v>2.4170278858453131E-2</v>
      </c>
      <c r="U46" s="156">
        <f ca="1"/>
        <v>4.2332703953003814E-2</v>
      </c>
      <c r="V46" s="138">
        <f ca="1"/>
        <v>7.2372575937555084E-2</v>
      </c>
      <c r="W46" s="137">
        <f ca="1"/>
        <v>0</v>
      </c>
      <c r="X46" s="156">
        <f ca="1"/>
        <v>5.9280901297664723E-4</v>
      </c>
      <c r="Y46" s="156">
        <f ca="1"/>
        <v>2.0465088302080714E-3</v>
      </c>
      <c r="Z46" s="156">
        <f ca="1"/>
        <v>5.6195407345783766E-3</v>
      </c>
      <c r="AA46" s="156">
        <f ca="1"/>
        <v>1.0370651120759078E-2</v>
      </c>
      <c r="AB46" s="156">
        <f ca="1"/>
        <v>0</v>
      </c>
      <c r="AC46" s="156">
        <f ca="1"/>
        <v>2.5025199396911391E-2</v>
      </c>
      <c r="AD46" s="156">
        <f ca="1"/>
        <v>4.3496300300052582E-2</v>
      </c>
      <c r="AE46" s="138">
        <f ca="1"/>
        <v>7.3966503095062253E-2</v>
      </c>
      <c r="AG46" s="459" t="s">
        <v>544</v>
      </c>
      <c r="AH46" s="461">
        <v>0.03</v>
      </c>
      <c r="AI46" s="460">
        <v>2026</v>
      </c>
      <c r="AJ46" s="462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6">
        <f ca="1"/>
        <v>2.191648536059132E-3</v>
      </c>
      <c r="P47" s="156">
        <f ca="1"/>
        <v>4.2044094475753857E-3</v>
      </c>
      <c r="Q47" s="156">
        <f ca="1"/>
        <v>1.0460488872299001E-2</v>
      </c>
      <c r="R47" s="156">
        <f ca="1"/>
        <v>1.763737862155923E-2</v>
      </c>
      <c r="S47" s="156">
        <f ca="1"/>
        <v>0</v>
      </c>
      <c r="T47" s="156">
        <f ca="1"/>
        <v>3.6083599761741469E-2</v>
      </c>
      <c r="U47" s="156">
        <f ca="1"/>
        <v>5.5878370594035109E-2</v>
      </c>
      <c r="V47" s="138">
        <f ca="1"/>
        <v>8.5297383171299312E-2</v>
      </c>
      <c r="W47" s="137">
        <f ca="1"/>
        <v>0</v>
      </c>
      <c r="X47" s="156">
        <f ca="1"/>
        <v>2.3099654549080251E-3</v>
      </c>
      <c r="Y47" s="156">
        <f ca="1"/>
        <v>4.4067192913296305E-3</v>
      </c>
      <c r="Z47" s="156">
        <f ca="1"/>
        <v>1.0827691311912635E-2</v>
      </c>
      <c r="AA47" s="156">
        <f ca="1"/>
        <v>1.8167164569952599E-2</v>
      </c>
      <c r="AB47" s="156">
        <f ca="1"/>
        <v>0</v>
      </c>
      <c r="AC47" s="156">
        <f ca="1"/>
        <v>3.6926810951268041E-2</v>
      </c>
      <c r="AD47" s="156">
        <f ca="1"/>
        <v>5.7023677232526659E-2</v>
      </c>
      <c r="AE47" s="138">
        <f ca="1"/>
        <v>8.6864129568764437E-2</v>
      </c>
      <c r="AG47" s="459" t="s">
        <v>545</v>
      </c>
      <c r="AH47" s="461">
        <v>1.7500000000000002E-2</v>
      </c>
      <c r="AI47" s="460">
        <v>2025</v>
      </c>
      <c r="AJ47" s="462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6">
        <f ca="1"/>
        <v>5.92809788134252E-4</v>
      </c>
      <c r="P48" s="156">
        <f ca="1"/>
        <v>1.4278436744080691E-3</v>
      </c>
      <c r="Q48" s="156">
        <f ca="1"/>
        <v>4.1211827516709487E-3</v>
      </c>
      <c r="R48" s="156">
        <f ca="1"/>
        <v>8.2117753028909668E-3</v>
      </c>
      <c r="S48" s="156">
        <f ca="1"/>
        <v>0</v>
      </c>
      <c r="T48" s="156">
        <f ca="1"/>
        <v>2.1574409209892176E-2</v>
      </c>
      <c r="U48" s="156">
        <f ca="1"/>
        <v>3.8803337336792088E-2</v>
      </c>
      <c r="V48" s="138">
        <f ca="1"/>
        <v>7.1449236458101528E-2</v>
      </c>
      <c r="W48" s="137">
        <f ca="1"/>
        <v>0</v>
      </c>
      <c r="X48" s="156">
        <f ca="1"/>
        <v>7.1132857205080668E-4</v>
      </c>
      <c r="Y48" s="156">
        <f ca="1"/>
        <v>1.6307216884168252E-3</v>
      </c>
      <c r="Z48" s="156">
        <f ca="1"/>
        <v>4.4907270290319712E-3</v>
      </c>
      <c r="AA48" s="156">
        <f ca="1"/>
        <v>8.7465893529943273E-3</v>
      </c>
      <c r="AB48" s="156">
        <f ca="1"/>
        <v>0</v>
      </c>
      <c r="AC48" s="156">
        <f ca="1"/>
        <v>2.2431759701074361E-2</v>
      </c>
      <c r="AD48" s="156">
        <f ca="1"/>
        <v>3.9971431803454749E-2</v>
      </c>
      <c r="AE48" s="138">
        <f ca="1"/>
        <v>7.3045033793063929E-2</v>
      </c>
      <c r="AG48" s="459" t="s">
        <v>546</v>
      </c>
      <c r="AH48" s="461">
        <v>2.5000000000000001E-2</v>
      </c>
      <c r="AI48" s="460">
        <v>2030</v>
      </c>
      <c r="AJ48" s="462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6">
        <f ca="1"/>
        <v>1.3037194799899732E-3</v>
      </c>
      <c r="P49" s="156">
        <f ca="1"/>
        <v>3.2626401793691695E-3</v>
      </c>
      <c r="Q49" s="156">
        <f ca="1"/>
        <v>7.4528972592016185E-3</v>
      </c>
      <c r="R49" s="156">
        <f ca="1"/>
        <v>1.5271164008381022E-2</v>
      </c>
      <c r="S49" s="156">
        <f ca="1"/>
        <v>0</v>
      </c>
      <c r="T49" s="156">
        <f ca="1"/>
        <v>3.4656053147240518E-2</v>
      </c>
      <c r="U49" s="156">
        <f ca="1"/>
        <v>5.6493508146069127E-2</v>
      </c>
      <c r="V49" s="138">
        <f ca="1"/>
        <v>9.7514137086637143E-2</v>
      </c>
      <c r="W49" s="137">
        <f ca="1"/>
        <v>0</v>
      </c>
      <c r="X49" s="156">
        <f ca="1"/>
        <v>1.4221503544191716E-3</v>
      </c>
      <c r="Y49" s="156">
        <f ca="1"/>
        <v>3.4651764677990915E-3</v>
      </c>
      <c r="Z49" s="156">
        <f ca="1"/>
        <v>7.8212025056658696E-3</v>
      </c>
      <c r="AA49" s="156">
        <f ca="1"/>
        <v>1.5802464452943643E-2</v>
      </c>
      <c r="AB49" s="156">
        <f ca="1"/>
        <v>0</v>
      </c>
      <c r="AC49" s="156">
        <f ca="1"/>
        <v>3.5501196363179055E-2</v>
      </c>
      <c r="AD49" s="156">
        <f ca="1"/>
        <v>5.7639522603666782E-2</v>
      </c>
      <c r="AE49" s="138">
        <f ca="1"/>
        <v>9.9082731977023553E-2</v>
      </c>
      <c r="AG49" s="459" t="s">
        <v>547</v>
      </c>
      <c r="AH49" s="461">
        <v>1.15E-2</v>
      </c>
      <c r="AI49" s="460">
        <v>2027</v>
      </c>
      <c r="AJ49" s="462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6">
        <f ca="1"/>
        <v>8.2983566879302195E-4</v>
      </c>
      <c r="P50" s="156">
        <f ca="1"/>
        <v>1.8335612178990157E-3</v>
      </c>
      <c r="Q50" s="156">
        <f ca="1"/>
        <v>4.8601926658906613E-3</v>
      </c>
      <c r="R50" s="156">
        <f ca="1"/>
        <v>9.8440240106640875E-3</v>
      </c>
      <c r="S50" s="156">
        <f ca="1"/>
        <v>0</v>
      </c>
      <c r="T50" s="156">
        <f ca="1"/>
        <v>2.6032190210172779E-2</v>
      </c>
      <c r="U50" s="156">
        <f ca="1"/>
        <v>4.4815130743587006E-2</v>
      </c>
      <c r="V50" s="138">
        <f ca="1"/>
        <v>7.7692911880260951E-2</v>
      </c>
      <c r="W50" s="137">
        <f ca="1"/>
        <v>0</v>
      </c>
      <c r="X50" s="156">
        <f ca="1"/>
        <v>9.4832545884104835E-4</v>
      </c>
      <c r="Y50" s="156">
        <f ca="1"/>
        <v>2.0363561961922461E-3</v>
      </c>
      <c r="Z50" s="156">
        <f ca="1"/>
        <v>5.2294555185565805E-3</v>
      </c>
      <c r="AA50" s="156">
        <f ca="1"/>
        <v>1.0378035072031166E-2</v>
      </c>
      <c r="AB50" s="156">
        <f ca="1"/>
        <v>0</v>
      </c>
      <c r="AC50" s="156">
        <f ca="1"/>
        <v>2.6885568146458705E-2</v>
      </c>
      <c r="AD50" s="156">
        <f ca="1"/>
        <v>4.5976095974274434E-2</v>
      </c>
      <c r="AE50" s="138">
        <f ca="1"/>
        <v>7.9276917088092813E-2</v>
      </c>
      <c r="AG50" s="459" t="s">
        <v>548</v>
      </c>
      <c r="AH50" s="461">
        <v>2.75E-2</v>
      </c>
      <c r="AI50" s="460">
        <v>2025</v>
      </c>
      <c r="AJ50" s="462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6">
        <f ca="1"/>
        <v>1.4221554576263618E-3</v>
      </c>
      <c r="P51" s="156">
        <f ca="1"/>
        <v>4.906692406451918E-3</v>
      </c>
      <c r="Q51" s="156">
        <f ca="1"/>
        <v>1.4203215531132796E-2</v>
      </c>
      <c r="R51" s="156">
        <f ca="1"/>
        <v>2.9400108606837505E-2</v>
      </c>
      <c r="S51" s="156">
        <f ca="1"/>
        <v>0</v>
      </c>
      <c r="T51" s="156">
        <f ca="1"/>
        <v>7.0485845991522633E-2</v>
      </c>
      <c r="U51" s="156">
        <f ca="1"/>
        <v>0.11571616019023123</v>
      </c>
      <c r="V51" s="138">
        <f ca="1"/>
        <v>0.1870504071346879</v>
      </c>
      <c r="W51" s="137">
        <f ca="1"/>
        <v>0</v>
      </c>
      <c r="X51" s="156">
        <f ca="1"/>
        <v>1.5405714051989206E-3</v>
      </c>
      <c r="Y51" s="156">
        <f ca="1"/>
        <v>5.1089646479063333E-3</v>
      </c>
      <c r="Z51" s="156">
        <f ca="1"/>
        <v>1.4569212020622446E-2</v>
      </c>
      <c r="AA51" s="156">
        <f ca="1"/>
        <v>2.9924377758060672E-2</v>
      </c>
      <c r="AB51" s="156">
        <f ca="1"/>
        <v>0</v>
      </c>
      <c r="AC51" s="156">
        <f ca="1"/>
        <v>7.1291499054050966E-2</v>
      </c>
      <c r="AD51" s="156">
        <f ca="1"/>
        <v>0.11680696919729994</v>
      </c>
      <c r="AE51" s="138">
        <f ca="1"/>
        <v>0.18848345621979234</v>
      </c>
      <c r="AG51" s="459" t="s">
        <v>549</v>
      </c>
      <c r="AH51" s="461">
        <v>1.2500000000000001E-2</v>
      </c>
      <c r="AI51" s="460">
        <v>2025</v>
      </c>
      <c r="AJ51" s="462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6">
        <f ca="1"/>
        <v>7.1132972843845899E-4</v>
      </c>
      <c r="P52" s="156">
        <f ca="1"/>
        <v>1.424494769770468E-3</v>
      </c>
      <c r="Q52" s="156">
        <f ca="1"/>
        <v>4.4978604330765393E-3</v>
      </c>
      <c r="R52" s="156">
        <f ca="1"/>
        <v>9.8797475120157019E-3</v>
      </c>
      <c r="S52" s="156">
        <f ca="1"/>
        <v>0</v>
      </c>
      <c r="T52" s="156">
        <f ca="1"/>
        <v>2.5141899370640153E-2</v>
      </c>
      <c r="U52" s="156">
        <f ca="1"/>
        <v>4.361553303207133E-2</v>
      </c>
      <c r="V52" s="138">
        <f ca="1"/>
        <v>7.8015557618591913E-2</v>
      </c>
      <c r="W52" s="137">
        <f ca="1"/>
        <v>0</v>
      </c>
      <c r="X52" s="156">
        <f ca="1"/>
        <v>8.2983405341885419E-4</v>
      </c>
      <c r="Y52" s="156">
        <f ca="1"/>
        <v>1.6273614157106264E-3</v>
      </c>
      <c r="Z52" s="156">
        <f ca="1"/>
        <v>4.8672840036253495E-3</v>
      </c>
      <c r="AA52" s="156">
        <f ca="1"/>
        <v>1.041385873674594E-2</v>
      </c>
      <c r="AB52" s="156">
        <f ca="1"/>
        <v>0</v>
      </c>
      <c r="AC52" s="156">
        <f ca="1"/>
        <v>2.5996171692597381E-2</v>
      </c>
      <c r="AD52" s="156">
        <f ca="1"/>
        <v>4.4777913366505939E-2</v>
      </c>
      <c r="AE52" s="138">
        <f ca="1"/>
        <v>7.9598707501547628E-2</v>
      </c>
      <c r="AG52" s="459" t="s">
        <v>550</v>
      </c>
      <c r="AH52" s="461">
        <v>0.02</v>
      </c>
      <c r="AI52" s="460">
        <v>2025</v>
      </c>
      <c r="AJ52" s="462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6">
        <f ca="1"/>
        <v>8.2983566879302195E-4</v>
      </c>
      <c r="P53" s="156">
        <f ca="1"/>
        <v>1.6273624074436555E-3</v>
      </c>
      <c r="Q53" s="156">
        <f ca="1"/>
        <v>4.1073195848529975E-3</v>
      </c>
      <c r="R53" s="156">
        <f ca="1"/>
        <v>9.3238857354024374E-3</v>
      </c>
      <c r="S53" s="156">
        <f ca="1"/>
        <v>0</v>
      </c>
      <c r="T53" s="156">
        <f ca="1"/>
        <v>2.5190577409881509E-2</v>
      </c>
      <c r="U53" s="156">
        <f ca="1"/>
        <v>4.4999171592630338E-2</v>
      </c>
      <c r="V53" s="138">
        <f ca="1"/>
        <v>7.9835801147285834E-2</v>
      </c>
      <c r="W53" s="137">
        <f ca="1"/>
        <v>0</v>
      </c>
      <c r="X53" s="156">
        <f ca="1"/>
        <v>9.4832545884104835E-4</v>
      </c>
      <c r="Y53" s="156">
        <f ca="1"/>
        <v>1.8301875899737752E-3</v>
      </c>
      <c r="Z53" s="156">
        <f ca="1"/>
        <v>4.4768210960947075E-3</v>
      </c>
      <c r="AA53" s="156">
        <f ca="1"/>
        <v>9.8582241692610761E-3</v>
      </c>
      <c r="AB53" s="156">
        <f ca="1"/>
        <v>0</v>
      </c>
      <c r="AC53" s="156">
        <f ca="1"/>
        <v>2.6044840496936006E-2</v>
      </c>
      <c r="AD53" s="156">
        <f ca="1"/>
        <v>4.6160244410951123E-2</v>
      </c>
      <c r="AE53" s="138">
        <f ca="1"/>
        <v>8.1416185111791051E-2</v>
      </c>
      <c r="AG53" s="459" t="s">
        <v>551</v>
      </c>
      <c r="AH53" s="461">
        <v>1.375E-2</v>
      </c>
      <c r="AI53" s="460">
        <v>2025</v>
      </c>
      <c r="AJ53" s="462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6">
        <f ca="1"/>
        <v>4.7427584534542877E-4</v>
      </c>
      <c r="P54" s="156">
        <f ca="1"/>
        <v>1.2249230507697106E-3</v>
      </c>
      <c r="Q54" s="156">
        <f ca="1"/>
        <v>3.7514723292708663E-3</v>
      </c>
      <c r="R54" s="156">
        <f ca="1"/>
        <v>7.676607738264174E-3</v>
      </c>
      <c r="S54" s="156">
        <f ca="1"/>
        <v>0</v>
      </c>
      <c r="T54" s="156">
        <f ca="1"/>
        <v>1.8855099275371767E-2</v>
      </c>
      <c r="U54" s="156">
        <f ca="1"/>
        <v>2.9777339098227995E-2</v>
      </c>
      <c r="V54" s="138">
        <f ca="1"/>
        <v>5.1371060411665059E-2</v>
      </c>
      <c r="W54" s="137">
        <f ca="1"/>
        <v>0</v>
      </c>
      <c r="X54" s="156">
        <f ca="1"/>
        <v>5.9280901297664723E-4</v>
      </c>
      <c r="Y54" s="156">
        <f ca="1"/>
        <v>1.4278425560112495E-3</v>
      </c>
      <c r="Z54" s="156">
        <f ca="1"/>
        <v>4.1211570541360709E-3</v>
      </c>
      <c r="AA54" s="156">
        <f ca="1"/>
        <v>8.2117152750860178E-3</v>
      </c>
      <c r="AB54" s="156">
        <f ca="1"/>
        <v>0</v>
      </c>
      <c r="AC54" s="156">
        <f ca="1"/>
        <v>1.971473920858291E-2</v>
      </c>
      <c r="AD54" s="156">
        <f ca="1"/>
        <v>3.0954828794438782E-2</v>
      </c>
      <c r="AE54" s="138">
        <f ca="1"/>
        <v>5.3001533448453153E-2</v>
      </c>
      <c r="AG54" s="459" t="s">
        <v>552</v>
      </c>
      <c r="AH54" s="461">
        <v>1.2500000000000001E-2</v>
      </c>
      <c r="AI54" s="460">
        <v>2026</v>
      </c>
      <c r="AJ54" s="462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6">
        <f ca="1"/>
        <v>7.1132972843845899E-4</v>
      </c>
      <c r="P55" s="156">
        <f ca="1"/>
        <v>2.2493034556393399E-3</v>
      </c>
      <c r="Q55" s="156">
        <f ca="1"/>
        <v>6.7479208584916295E-3</v>
      </c>
      <c r="R55" s="156">
        <f ca="1"/>
        <v>1.3678509313902909E-2</v>
      </c>
      <c r="S55" s="156">
        <f ca="1"/>
        <v>0</v>
      </c>
      <c r="T55" s="156">
        <f ca="1"/>
        <v>3.0262749134691846E-2</v>
      </c>
      <c r="U55" s="156">
        <f ca="1"/>
        <v>5.1908977563179137E-2</v>
      </c>
      <c r="V55" s="138">
        <f ca="1"/>
        <v>8.7378879729437031E-2</v>
      </c>
      <c r="W55" s="137">
        <f ca="1"/>
        <v>0</v>
      </c>
      <c r="X55" s="156">
        <f ca="1"/>
        <v>8.2983405341885419E-4</v>
      </c>
      <c r="Y55" s="156">
        <f ca="1"/>
        <v>2.4520485599682784E-3</v>
      </c>
      <c r="Z55" s="156">
        <f ca="1"/>
        <v>7.1165966406228076E-3</v>
      </c>
      <c r="AA55" s="156">
        <f ca="1"/>
        <v>1.4210733093913741E-2</v>
      </c>
      <c r="AB55" s="156">
        <f ca="1"/>
        <v>0</v>
      </c>
      <c r="AC55" s="156">
        <f ca="1"/>
        <v>3.1112116790893096E-2</v>
      </c>
      <c r="AD55" s="156">
        <f ca="1"/>
        <v>5.30607177046023E-2</v>
      </c>
      <c r="AE55" s="138">
        <f ca="1"/>
        <v>8.8943845819674183E-2</v>
      </c>
      <c r="AG55" s="459" t="s">
        <v>553</v>
      </c>
      <c r="AH55" s="461">
        <v>1.2500000000000001E-2</v>
      </c>
      <c r="AI55" s="460">
        <v>2026</v>
      </c>
      <c r="AJ55" s="462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6">
        <f ca="1"/>
        <v>7.1132972843845899E-4</v>
      </c>
      <c r="P56" s="156">
        <f ca="1"/>
        <v>2.8677271810433336E-3</v>
      </c>
      <c r="Q56" s="156">
        <f ca="1"/>
        <v>7.864302959790459E-3</v>
      </c>
      <c r="R56" s="156">
        <f ca="1"/>
        <v>1.472440805604347E-2</v>
      </c>
      <c r="S56" s="156">
        <f ca="1"/>
        <v>0</v>
      </c>
      <c r="T56" s="156">
        <f ca="1"/>
        <v>3.1946414392838296E-2</v>
      </c>
      <c r="U56" s="156">
        <f ca="1"/>
        <v>5.4199847967633108E-2</v>
      </c>
      <c r="V56" s="138">
        <f ca="1"/>
        <v>9.0522946083656075E-2</v>
      </c>
      <c r="W56" s="137">
        <f ca="1"/>
        <v>0</v>
      </c>
      <c r="X56" s="156">
        <f ca="1"/>
        <v>8.2983405341885419E-4</v>
      </c>
      <c r="Y56" s="156">
        <f ca="1"/>
        <v>3.0703793806288182E-3</v>
      </c>
      <c r="Z56" s="156">
        <f ca="1"/>
        <v>8.232582661060972E-3</v>
      </c>
      <c r="AA56" s="156">
        <f ca="1"/>
        <v>1.5256000383088497E-2</v>
      </c>
      <c r="AB56" s="156">
        <f ca="1"/>
        <v>0</v>
      </c>
      <c r="AC56" s="156">
        <f ca="1"/>
        <v>3.2794039294183341E-2</v>
      </c>
      <c r="AD56" s="156">
        <f ca="1"/>
        <v>5.5348485970261652E-2</v>
      </c>
      <c r="AE56" s="138">
        <f ca="1"/>
        <v>9.2081428377610242E-2</v>
      </c>
      <c r="AG56" s="459" t="s">
        <v>554</v>
      </c>
      <c r="AH56" s="461">
        <v>6.8750000000000006E-2</v>
      </c>
      <c r="AI56" s="460">
        <v>2029</v>
      </c>
      <c r="AJ56" s="462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6">
        <f ca="1"/>
        <v>5.92809788134252E-4</v>
      </c>
      <c r="P57" s="156">
        <f ca="1"/>
        <v>1.6340840333609608E-3</v>
      </c>
      <c r="Q57" s="156">
        <f ca="1"/>
        <v>5.2540834106190593E-3</v>
      </c>
      <c r="R57" s="156">
        <f ca="1"/>
        <v>1.2090541490753837E-2</v>
      </c>
      <c r="S57" s="156">
        <f ca="1"/>
        <v>0</v>
      </c>
      <c r="T57" s="156">
        <f ca="1"/>
        <v>3.1414696970478495E-2</v>
      </c>
      <c r="U57" s="156">
        <f ca="1"/>
        <v>5.336854065302099E-2</v>
      </c>
      <c r="V57" s="138">
        <f ca="1"/>
        <v>9.3155099791940477E-2</v>
      </c>
      <c r="W57" s="137">
        <f ca="1"/>
        <v>0</v>
      </c>
      <c r="X57" s="156">
        <f ca="1"/>
        <v>7.1132857205080668E-4</v>
      </c>
      <c r="Y57" s="156">
        <f ca="1"/>
        <v>1.8369318085654784E-3</v>
      </c>
      <c r="Z57" s="156">
        <f ca="1"/>
        <v>5.6232768654579379E-3</v>
      </c>
      <c r="AA57" s="156">
        <f ca="1"/>
        <v>1.2623671162942718E-2</v>
      </c>
      <c r="AB57" s="156">
        <f ca="1"/>
        <v>0</v>
      </c>
      <c r="AC57" s="156">
        <f ca="1"/>
        <v>3.2263328130812341E-2</v>
      </c>
      <c r="AD57" s="156">
        <f ca="1"/>
        <v>5.4519544489014304E-2</v>
      </c>
      <c r="AE57" s="138">
        <f ca="1"/>
        <v>9.4708874004900134E-2</v>
      </c>
      <c r="AG57" s="459" t="s">
        <v>555</v>
      </c>
      <c r="AH57" s="461">
        <v>5.0000000000000001E-3</v>
      </c>
      <c r="AI57" s="460">
        <v>2026</v>
      </c>
      <c r="AJ57" s="462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6">
        <f ca="1"/>
        <v>1.4221554576263618E-3</v>
      </c>
      <c r="P58" s="156">
        <f ca="1"/>
        <v>3.4651839813418794E-3</v>
      </c>
      <c r="Q58" s="156">
        <f ca="1"/>
        <v>1.0473714624058994E-2</v>
      </c>
      <c r="R58" s="156">
        <f ca="1"/>
        <v>1.9034928801856754E-2</v>
      </c>
      <c r="S58" s="156">
        <f ca="1"/>
        <v>0</v>
      </c>
      <c r="T58" s="156">
        <f ca="1"/>
        <v>3.9711109467132855E-2</v>
      </c>
      <c r="U58" s="156">
        <f ca="1"/>
        <v>6.3349043378318814E-2</v>
      </c>
      <c r="V58" s="138">
        <f ca="1"/>
        <v>0.10685471888894027</v>
      </c>
      <c r="W58" s="137">
        <f ca="1"/>
        <v>0</v>
      </c>
      <c r="X58" s="156">
        <f ca="1"/>
        <v>1.5405714051989206E-3</v>
      </c>
      <c r="Y58" s="156">
        <f ca="1"/>
        <v>3.6676784452275291E-3</v>
      </c>
      <c r="Z58" s="156">
        <f ca="1"/>
        <v>1.0841049605207376E-2</v>
      </c>
      <c r="AA58" s="156">
        <f ca="1"/>
        <v>1.9564317504587092E-2</v>
      </c>
      <c r="AB58" s="156">
        <f ca="1"/>
        <v>0</v>
      </c>
      <c r="AC58" s="156">
        <f ca="1"/>
        <v>4.0551212081818999E-2</v>
      </c>
      <c r="AD58" s="156">
        <f ca="1"/>
        <v>6.4485842364492285E-2</v>
      </c>
      <c r="AE58" s="138">
        <f ca="1"/>
        <v>0.10840732212361037</v>
      </c>
      <c r="AG58" s="459" t="s">
        <v>556</v>
      </c>
      <c r="AH58" s="461">
        <v>2.375E-2</v>
      </c>
      <c r="AI58" s="460">
        <v>2025</v>
      </c>
      <c r="AJ58" s="462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6">
        <f ca="1"/>
        <v>9.4832761164653778E-4</v>
      </c>
      <c r="P59" s="156">
        <f ca="1"/>
        <v>2.6547617225544107E-3</v>
      </c>
      <c r="Q59" s="156">
        <f ca="1"/>
        <v>8.6230768756259124E-3</v>
      </c>
      <c r="R59" s="156">
        <f ca="1"/>
        <v>1.5810180447672018E-2</v>
      </c>
      <c r="S59" s="156">
        <f ca="1"/>
        <v>0</v>
      </c>
      <c r="T59" s="156">
        <f ca="1"/>
        <v>3.366898069800961E-2</v>
      </c>
      <c r="U59" s="156">
        <f ca="1"/>
        <v>5.5203096599286239E-2</v>
      </c>
      <c r="V59" s="138">
        <f ca="1"/>
        <v>9.5803749775270064E-2</v>
      </c>
      <c r="W59" s="137">
        <f ca="1"/>
        <v>0</v>
      </c>
      <c r="X59" s="156">
        <f ca="1"/>
        <v>1.0668027899637389E-3</v>
      </c>
      <c r="Y59" s="156">
        <f ca="1"/>
        <v>2.8574233608674726E-3</v>
      </c>
      <c r="Z59" s="156">
        <f ca="1"/>
        <v>8.9911147216452658E-3</v>
      </c>
      <c r="AA59" s="156">
        <f ca="1"/>
        <v>1.6341250779855598E-2</v>
      </c>
      <c r="AB59" s="156">
        <f ca="1"/>
        <v>0</v>
      </c>
      <c r="AC59" s="156">
        <f ca="1"/>
        <v>3.4514972381716413E-2</v>
      </c>
      <c r="AD59" s="156">
        <f ca="1"/>
        <v>5.635026136027621E-2</v>
      </c>
      <c r="AE59" s="138">
        <f ca="1"/>
        <v>9.7374728682339207E-2</v>
      </c>
      <c r="AG59" s="459" t="s">
        <v>557</v>
      </c>
      <c r="AH59" s="461"/>
      <c r="AI59" s="460"/>
      <c r="AJ59" s="462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6">
        <f ca="1"/>
        <v>7.1132972843845899E-4</v>
      </c>
      <c r="P60" s="156">
        <f ca="1"/>
        <v>1.8369339370009063E-3</v>
      </c>
      <c r="Q60" s="156">
        <f ca="1"/>
        <v>4.8636078920331061E-3</v>
      </c>
      <c r="R60" s="156">
        <f ca="1"/>
        <v>9.2847013962056302E-3</v>
      </c>
      <c r="S60" s="156">
        <f ca="1"/>
        <v>0</v>
      </c>
      <c r="T60" s="156">
        <f ca="1"/>
        <v>1.9580666655980905E-2</v>
      </c>
      <c r="U60" s="156">
        <f ca="1"/>
        <v>3.2161005135190268E-2</v>
      </c>
      <c r="V60" s="138">
        <f ca="1"/>
        <v>5.6647264623707061E-2</v>
      </c>
      <c r="W60" s="137">
        <f ca="1"/>
        <v>0</v>
      </c>
      <c r="X60" s="156">
        <f ca="1"/>
        <v>8.2983405341885419E-4</v>
      </c>
      <c r="Y60" s="156">
        <f ca="1"/>
        <v>2.0397401393977832E-3</v>
      </c>
      <c r="Z60" s="156">
        <f ca="1"/>
        <v>5.2328818449870473E-3</v>
      </c>
      <c r="AA60" s="156">
        <f ca="1"/>
        <v>9.8189387300112729E-3</v>
      </c>
      <c r="AB60" s="156">
        <f ca="1"/>
        <v>0</v>
      </c>
      <c r="AC60" s="156">
        <f ca="1"/>
        <v>2.0439300683681605E-2</v>
      </c>
      <c r="AD60" s="156">
        <f ca="1"/>
        <v>3.3335376215137824E-2</v>
      </c>
      <c r="AE60" s="138">
        <f ca="1"/>
        <v>5.8268259036360903E-2</v>
      </c>
      <c r="AG60" s="459" t="s">
        <v>558</v>
      </c>
      <c r="AH60" s="461">
        <v>8.7500000000000008E-3</v>
      </c>
      <c r="AI60" s="460">
        <v>2025</v>
      </c>
      <c r="AJ60" s="462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6">
        <f ca="1"/>
        <v>9.4832761164653778E-4</v>
      </c>
      <c r="P61" s="156">
        <f ca="1"/>
        <v>2.2425100823623145E-3</v>
      </c>
      <c r="Q61" s="156">
        <f ca="1"/>
        <v>5.9817828467552125E-3</v>
      </c>
      <c r="R61" s="156">
        <f ca="1"/>
        <v>9.7727817135122574E-3</v>
      </c>
      <c r="S61" s="156">
        <f ca="1"/>
        <v>0</v>
      </c>
      <c r="T61" s="156">
        <f ca="1"/>
        <v>2.1321747333015728E-2</v>
      </c>
      <c r="U61" s="156">
        <f ca="1"/>
        <v>3.4533723372232483E-2</v>
      </c>
      <c r="V61" s="138">
        <f ca="1"/>
        <v>6.1898249895899538E-2</v>
      </c>
      <c r="W61" s="137">
        <f ca="1"/>
        <v>0</v>
      </c>
      <c r="X61" s="156">
        <f ca="1"/>
        <v>1.0668027899637389E-3</v>
      </c>
      <c r="Y61" s="156">
        <f ca="1"/>
        <v>2.4452330837866354E-3</v>
      </c>
      <c r="Z61" s="156">
        <f ca="1"/>
        <v>6.3506630757779181E-3</v>
      </c>
      <c r="AA61" s="156">
        <f ca="1"/>
        <v>1.0306599878340594E-2</v>
      </c>
      <c r="AB61" s="156">
        <f ca="1"/>
        <v>0</v>
      </c>
      <c r="AC61" s="156">
        <f ca="1"/>
        <v>2.2178721632319265E-2</v>
      </c>
      <c r="AD61" s="156">
        <f ca="1"/>
        <v>3.5705181368721806E-2</v>
      </c>
      <c r="AE61" s="138">
        <f ca="1"/>
        <v>6.3509520393657204E-2</v>
      </c>
      <c r="AG61" s="459" t="s">
        <v>559</v>
      </c>
      <c r="AH61" s="461">
        <v>3.6249999999999998E-2</v>
      </c>
      <c r="AI61" s="460">
        <v>2028</v>
      </c>
      <c r="AJ61" s="462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6">
        <f ca="1"/>
        <v>5.92809788134252E-4</v>
      </c>
      <c r="P62" s="156">
        <f ca="1"/>
        <v>1.2215858978688043E-3</v>
      </c>
      <c r="Q62" s="156">
        <f ca="1"/>
        <v>4.5083702662991332E-3</v>
      </c>
      <c r="R62" s="156">
        <f ca="1"/>
        <v>9.3275153110302655E-3</v>
      </c>
      <c r="S62" s="156">
        <f ca="1"/>
        <v>0</v>
      </c>
      <c r="T62" s="156">
        <f ca="1"/>
        <v>2.4266698568059186E-2</v>
      </c>
      <c r="U62" s="156">
        <f ca="1"/>
        <v>4.109475984489841E-2</v>
      </c>
      <c r="V62" s="138">
        <f ca="1"/>
        <v>7.0693125220319453E-2</v>
      </c>
      <c r="W62" s="137">
        <f ca="1"/>
        <v>0</v>
      </c>
      <c r="X62" s="156">
        <f ca="1"/>
        <v>7.1132857205080668E-4</v>
      </c>
      <c r="Y62" s="156">
        <f ca="1"/>
        <v>1.4244939898572229E-3</v>
      </c>
      <c r="Z62" s="156">
        <f ca="1"/>
        <v>4.8778245277686372E-3</v>
      </c>
      <c r="AA62" s="156">
        <f ca="1"/>
        <v>9.8618780976647002E-3</v>
      </c>
      <c r="AB62" s="156">
        <f ca="1"/>
        <v>0</v>
      </c>
      <c r="AC62" s="156">
        <f ca="1"/>
        <v>2.5121754573342647E-2</v>
      </c>
      <c r="AD62" s="156">
        <f ca="1"/>
        <v>4.2260015514314797E-2</v>
      </c>
      <c r="AE62" s="138">
        <f ca="1"/>
        <v>7.2290059971212406E-2</v>
      </c>
      <c r="AG62" s="459" t="s">
        <v>560</v>
      </c>
      <c r="AH62" s="461">
        <v>1.125E-2</v>
      </c>
      <c r="AI62" s="460">
        <v>2025</v>
      </c>
      <c r="AJ62" s="462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6">
        <f ca="1"/>
        <v>1.1852695147550607E-3</v>
      </c>
      <c r="P63" s="156">
        <f ca="1"/>
        <v>2.4418284031003656E-3</v>
      </c>
      <c r="Q63" s="156">
        <f ca="1"/>
        <v>5.5880401050808493E-3</v>
      </c>
      <c r="R63" s="156">
        <f ca="1"/>
        <v>1.2025603012541408E-2</v>
      </c>
      <c r="S63" s="156">
        <f ca="1"/>
        <v>0</v>
      </c>
      <c r="T63" s="156">
        <f ca="1"/>
        <v>2.6722325051919293E-2</v>
      </c>
      <c r="U63" s="156">
        <f ca="1"/>
        <v>4.4479583597265782E-2</v>
      </c>
      <c r="V63" s="138">
        <f ca="1"/>
        <v>8.1266813621155842E-2</v>
      </c>
      <c r="W63" s="137">
        <f ca="1"/>
        <v>0</v>
      </c>
      <c r="X63" s="156">
        <f ca="1"/>
        <v>1.3037152360358961E-3</v>
      </c>
      <c r="Y63" s="156">
        <f ca="1"/>
        <v>2.6444986913510826E-3</v>
      </c>
      <c r="Z63" s="156">
        <f ca="1"/>
        <v>5.9569903822811465E-3</v>
      </c>
      <c r="AA63" s="156">
        <f ca="1"/>
        <v>1.255854909109333E-2</v>
      </c>
      <c r="AB63" s="156">
        <f ca="1"/>
        <v>0</v>
      </c>
      <c r="AC63" s="156">
        <f ca="1"/>
        <v>2.757485072494692E-2</v>
      </c>
      <c r="AD63" s="156">
        <f ca="1"/>
        <v>4.564000799376311E-2</v>
      </c>
      <c r="AE63" s="138">
        <f ca="1"/>
        <v>8.284197169742713E-2</v>
      </c>
      <c r="AG63" s="459" t="s">
        <v>561</v>
      </c>
      <c r="AH63" s="461">
        <v>5.1249999999999997E-2</v>
      </c>
      <c r="AI63" s="460">
        <v>2027</v>
      </c>
      <c r="AJ63" s="462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6">
        <f ca="1"/>
        <v>3.5572789762250423E-4</v>
      </c>
      <c r="P64" s="156">
        <f ca="1"/>
        <v>1.0219611809689777E-3</v>
      </c>
      <c r="Q64" s="156">
        <f ca="1"/>
        <v>3.7619092724474612E-3</v>
      </c>
      <c r="R64" s="156">
        <f ca="1"/>
        <v>8.2505755641008038E-3</v>
      </c>
      <c r="S64" s="156">
        <f ca="1"/>
        <v>0</v>
      </c>
      <c r="T64" s="156">
        <f ca="1"/>
        <v>2.0684925326025505E-2</v>
      </c>
      <c r="U64" s="156">
        <f ca="1"/>
        <v>3.6262024045093488E-2</v>
      </c>
      <c r="V64" s="138">
        <f ca="1"/>
        <v>6.0134024671485098E-2</v>
      </c>
      <c r="W64" s="137">
        <f ca="1"/>
        <v>0</v>
      </c>
      <c r="X64" s="156">
        <f ca="1"/>
        <v>4.7427537457878088E-4</v>
      </c>
      <c r="Y64" s="156">
        <f ca="1"/>
        <v>1.2249221600106885E-3</v>
      </c>
      <c r="Z64" s="156">
        <f ca="1"/>
        <v>4.1316256285031105E-3</v>
      </c>
      <c r="AA64" s="156">
        <f ca="1"/>
        <v>8.7855034063959447E-3</v>
      </c>
      <c r="AB64" s="156">
        <f ca="1"/>
        <v>0</v>
      </c>
      <c r="AC64" s="156">
        <f ca="1"/>
        <v>2.1543132853244051E-2</v>
      </c>
      <c r="AD64" s="156">
        <f ca="1"/>
        <v>3.7432913937551215E-2</v>
      </c>
      <c r="AE64" s="138">
        <f ca="1"/>
        <v>6.1750315745877415E-2</v>
      </c>
      <c r="AG64" s="459" t="s">
        <v>562</v>
      </c>
      <c r="AH64" s="461">
        <v>0.15</v>
      </c>
      <c r="AI64" s="460">
        <v>2037</v>
      </c>
      <c r="AJ64" s="462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6">
        <f ca="1"/>
        <v>3.5572789762250423E-4</v>
      </c>
      <c r="P65" s="156">
        <f ca="1"/>
        <v>1.0219611809689777E-3</v>
      </c>
      <c r="Q65" s="156">
        <f ca="1"/>
        <v>3.7619092724474612E-3</v>
      </c>
      <c r="R65" s="156">
        <f ca="1"/>
        <v>7.1236803555970729E-3</v>
      </c>
      <c r="S65" s="156">
        <f ca="1"/>
        <v>0</v>
      </c>
      <c r="T65" s="156">
        <f ca="1"/>
        <v>1.7975851086180161E-2</v>
      </c>
      <c r="U65" s="156">
        <f ca="1"/>
        <v>2.9922513784913618E-2</v>
      </c>
      <c r="V65" s="138">
        <f ca="1"/>
        <v>5.1516703165295219E-2</v>
      </c>
      <c r="W65" s="137">
        <f ca="1"/>
        <v>0</v>
      </c>
      <c r="X65" s="156">
        <f ca="1"/>
        <v>4.7427537457878088E-4</v>
      </c>
      <c r="Y65" s="156">
        <f ca="1"/>
        <v>1.2249221600106885E-3</v>
      </c>
      <c r="Z65" s="156">
        <f ca="1"/>
        <v>4.1316256285031105E-3</v>
      </c>
      <c r="AA65" s="156">
        <f ca="1"/>
        <v>7.6590330674579654E-3</v>
      </c>
      <c r="AB65" s="156">
        <f ca="1"/>
        <v>0</v>
      </c>
      <c r="AC65" s="156">
        <f ca="1"/>
        <v>1.8836252302196321E-2</v>
      </c>
      <c r="AD65" s="156">
        <f ca="1"/>
        <v>3.1100190037468112E-2</v>
      </c>
      <c r="AE65" s="138">
        <f ca="1"/>
        <v>5.3147500904046407E-2</v>
      </c>
      <c r="AG65" s="459" t="s">
        <v>563</v>
      </c>
      <c r="AH65" s="461">
        <v>1.4999999999999999E-2</v>
      </c>
      <c r="AI65" s="460">
        <v>2026</v>
      </c>
      <c r="AJ65" s="462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6">
        <f ca="1"/>
        <v>2.3716594248646139E-4</v>
      </c>
      <c r="P66" s="156">
        <f ca="1"/>
        <v>1.0252868952381755E-3</v>
      </c>
      <c r="Q66" s="156">
        <f ca="1"/>
        <v>4.1455248820733148E-3</v>
      </c>
      <c r="R66" s="156">
        <f ca="1"/>
        <v>7.6730659753432295E-3</v>
      </c>
      <c r="S66" s="156">
        <f ca="1"/>
        <v>0</v>
      </c>
      <c r="T66" s="156">
        <f ca="1"/>
        <v>1.8851486964876485E-2</v>
      </c>
      <c r="U66" s="156">
        <f ca="1"/>
        <v>3.111569141191628E-2</v>
      </c>
      <c r="V66" s="138">
        <f ca="1"/>
        <v>5.316818063681239E-2</v>
      </c>
      <c r="W66" s="137">
        <f ca="1"/>
        <v>0</v>
      </c>
      <c r="X66" s="156">
        <f ca="1"/>
        <v>3.5572765515312632E-4</v>
      </c>
      <c r="Y66" s="156">
        <f ca="1"/>
        <v>1.2282592804744308E-3</v>
      </c>
      <c r="Z66" s="156">
        <f ca="1"/>
        <v>4.5151426095203506E-3</v>
      </c>
      <c r="AA66" s="156">
        <f ca="1"/>
        <v>8.2081703890127811E-3</v>
      </c>
      <c r="AB66" s="156">
        <f ca="1"/>
        <v>0</v>
      </c>
      <c r="AC66" s="156">
        <f ca="1"/>
        <v>1.9711113375757594E-2</v>
      </c>
      <c r="AD66" s="156">
        <f ca="1"/>
        <v>3.229191031515033E-2</v>
      </c>
      <c r="AE66" s="138">
        <f ca="1"/>
        <v>5.4795909953634481E-2</v>
      </c>
      <c r="AG66" s="459" t="s">
        <v>564</v>
      </c>
      <c r="AH66" s="461"/>
      <c r="AI66" s="460"/>
      <c r="AJ66" s="462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6">
        <f ca="1"/>
        <v>1.0194160595772273E-3</v>
      </c>
      <c r="P67" s="156">
        <f ca="1"/>
        <v>2.6527094901456216E-3</v>
      </c>
      <c r="Q67" s="156">
        <f ca="1"/>
        <v>7.407329367878468E-3</v>
      </c>
      <c r="R67" s="156">
        <f ca="1"/>
        <v>1.3116308471778138E-2</v>
      </c>
      <c r="S67" s="156">
        <f ca="1"/>
        <v>0</v>
      </c>
      <c r="T67" s="156">
        <f ca="1"/>
        <v>2.7469406988619771E-2</v>
      </c>
      <c r="U67" s="156">
        <f ca="1"/>
        <v>4.3404024046541423E-2</v>
      </c>
      <c r="V67" s="138">
        <f ca="1"/>
        <v>6.9356695568638438E-2</v>
      </c>
      <c r="W67" s="137">
        <f ca="1"/>
        <v>0</v>
      </c>
      <c r="X67" s="156">
        <f ca="1"/>
        <v>1.1378824336747417E-3</v>
      </c>
      <c r="Y67" s="156">
        <f ca="1"/>
        <v>2.8553645767950275E-3</v>
      </c>
      <c r="Z67" s="156">
        <f ca="1"/>
        <v>7.7757356103500541E-3</v>
      </c>
      <c r="AA67" s="156">
        <f ca="1"/>
        <v>1.36485901494523E-2</v>
      </c>
      <c r="AB67" s="156">
        <f ca="1"/>
        <v>0</v>
      </c>
      <c r="AC67" s="156">
        <f ca="1"/>
        <v>2.8320951253942295E-2</v>
      </c>
      <c r="AD67" s="156">
        <f ca="1"/>
        <v>4.4564882839458586E-2</v>
      </c>
      <c r="AE67" s="138">
        <f ca="1"/>
        <v>7.0953764021561727E-2</v>
      </c>
      <c r="AG67" s="459" t="s">
        <v>565</v>
      </c>
      <c r="AH67" s="461">
        <v>5.7099999999999998E-3</v>
      </c>
      <c r="AI67" s="460">
        <v>2027</v>
      </c>
      <c r="AJ67" s="462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6">
        <f ca="1"/>
        <v>1.1852695147550607E-3</v>
      </c>
      <c r="P68" s="156">
        <f ca="1"/>
        <v>3.6781254598470259E-3</v>
      </c>
      <c r="Q68" s="156">
        <f ca="1"/>
        <v>9.3370042845318801E-3</v>
      </c>
      <c r="R68" s="156">
        <f ca="1"/>
        <v>2.0211064316868366E-2</v>
      </c>
      <c r="S68" s="156">
        <f ca="1"/>
        <v>0</v>
      </c>
      <c r="T68" s="156">
        <f ca="1"/>
        <v>4.8850077388554847E-2</v>
      </c>
      <c r="U68" s="156">
        <f ca="1"/>
        <v>8.4602312771116961E-2</v>
      </c>
      <c r="V68" s="138">
        <f ca="1"/>
        <v>0.14244537044525762</v>
      </c>
      <c r="W68" s="137">
        <f ca="1"/>
        <v>0</v>
      </c>
      <c r="X68" s="156">
        <f ca="1"/>
        <v>1.3037152360358961E-3</v>
      </c>
      <c r="Y68" s="156">
        <f ca="1"/>
        <v>3.8806098142117884E-3</v>
      </c>
      <c r="Z68" s="156">
        <f ca="1"/>
        <v>9.7047086939908711E-3</v>
      </c>
      <c r="AA68" s="156">
        <f ca="1"/>
        <v>2.0740047429639752E-2</v>
      </c>
      <c r="AB68" s="156">
        <f ca="1"/>
        <v>0</v>
      </c>
      <c r="AC68" s="156">
        <f ca="1"/>
        <v>4.9681032716946683E-2</v>
      </c>
      <c r="AD68" s="156">
        <f ca="1"/>
        <v>8.5713060380832373E-2</v>
      </c>
      <c r="AE68" s="138">
        <f ca="1"/>
        <v>0.14395002289661885</v>
      </c>
      <c r="AG68" s="459" t="s">
        <v>566</v>
      </c>
      <c r="AH68" s="461">
        <v>0.01</v>
      </c>
      <c r="AI68" s="460">
        <v>2026</v>
      </c>
      <c r="AJ68" s="462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6">
        <f ca="1"/>
        <v>2.0141256188292989E-3</v>
      </c>
      <c r="P69" s="156">
        <f ca="1"/>
        <v>4.2714335767509715E-3</v>
      </c>
      <c r="Q69" s="156">
        <f ca="1"/>
        <v>1.0804266976129351E-2</v>
      </c>
      <c r="R69" s="156">
        <f ca="1"/>
        <v>2.4000893962145109E-2</v>
      </c>
      <c r="S69" s="156">
        <f ca="1"/>
        <v>0</v>
      </c>
      <c r="T69" s="156">
        <f ca="1"/>
        <v>5.297245001623474E-2</v>
      </c>
      <c r="U69" s="156">
        <f ca="1"/>
        <v>9.1442256515659737E-2</v>
      </c>
      <c r="V69" s="138">
        <f ca="1"/>
        <v>0.15716784473288115</v>
      </c>
      <c r="W69" s="137">
        <f ca="1"/>
        <v>0</v>
      </c>
      <c r="X69" s="156">
        <f ca="1"/>
        <v>2.1324657047254725E-3</v>
      </c>
      <c r="Y69" s="156">
        <f ca="1"/>
        <v>4.473749994145515E-3</v>
      </c>
      <c r="Z69" s="156">
        <f ca="1"/>
        <v>1.1171373259229567E-2</v>
      </c>
      <c r="AA69" s="156">
        <f ca="1"/>
        <v>2.4527900577415052E-2</v>
      </c>
      <c r="AB69" s="156">
        <f ca="1"/>
        <v>0</v>
      </c>
      <c r="AC69" s="156">
        <f ca="1"/>
        <v>5.3799275870961449E-2</v>
      </c>
      <c r="AD69" s="156">
        <f ca="1"/>
        <v>9.2542814734613232E-2</v>
      </c>
      <c r="AE69" s="138">
        <f ca="1"/>
        <v>0.15865177729440172</v>
      </c>
      <c r="AG69" s="459" t="s">
        <v>567</v>
      </c>
      <c r="AH69" s="461">
        <v>3.3750000000000002E-2</v>
      </c>
      <c r="AI69" s="460">
        <v>2026</v>
      </c>
      <c r="AJ69" s="462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6">
        <f ca="1"/>
        <v>4.7427584534542877E-4</v>
      </c>
      <c r="P70" s="156">
        <f ca="1"/>
        <v>1.843680337743514E-3</v>
      </c>
      <c r="Q70" s="156">
        <f ca="1"/>
        <v>5.6302078816977685E-3</v>
      </c>
      <c r="R70" s="156">
        <f ca="1"/>
        <v>1.2068689372193742E-2</v>
      </c>
      <c r="S70" s="156">
        <f ca="1"/>
        <v>0</v>
      </c>
      <c r="T70" s="156">
        <f ca="1"/>
        <v>3.1392046906836057E-2</v>
      </c>
      <c r="U70" s="156">
        <f ca="1"/>
        <v>5.6000839835882998E-2</v>
      </c>
      <c r="V70" s="138">
        <f ca="1"/>
        <v>9.8543636714240823E-2</v>
      </c>
      <c r="W70" s="137">
        <f ca="1"/>
        <v>0</v>
      </c>
      <c r="X70" s="156">
        <f ca="1"/>
        <v>5.9280901297664723E-4</v>
      </c>
      <c r="Y70" s="156">
        <f ca="1"/>
        <v>2.0465088302080714E-3</v>
      </c>
      <c r="Z70" s="156">
        <f ca="1"/>
        <v>5.9992817375034146E-3</v>
      </c>
      <c r="AA70" s="156">
        <f ca="1"/>
        <v>1.2601768201923491E-2</v>
      </c>
      <c r="AB70" s="156">
        <f ca="1"/>
        <v>0</v>
      </c>
      <c r="AC70" s="156">
        <f ca="1"/>
        <v>3.2240614428191705E-2</v>
      </c>
      <c r="AD70" s="156">
        <f ca="1"/>
        <v>5.7148669278024644E-2</v>
      </c>
      <c r="AE70" s="138">
        <f ca="1"/>
        <v>0.10011425380818584</v>
      </c>
      <c r="AG70" s="459" t="s">
        <v>568</v>
      </c>
      <c r="AH70" s="461">
        <v>2.5000000000000001E-2</v>
      </c>
      <c r="AI70" s="460">
        <v>2026</v>
      </c>
      <c r="AJ70" s="462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6">
        <f ca="1"/>
        <v>1.3629392170944055E-3</v>
      </c>
      <c r="P71" s="156">
        <f ca="1"/>
        <v>2.9312676701293006E-3</v>
      </c>
      <c r="Q71" s="156">
        <f ca="1"/>
        <v>7.5007644827222997E-3</v>
      </c>
      <c r="R71" s="156">
        <f ca="1"/>
        <v>1.2809522114108796E-2</v>
      </c>
      <c r="S71" s="156">
        <f ca="1"/>
        <v>0</v>
      </c>
      <c r="T71" s="156">
        <f ca="1"/>
        <v>2.6538851550956144E-2</v>
      </c>
      <c r="U71" s="156">
        <f ca="1"/>
        <v>4.2029586362826277E-2</v>
      </c>
      <c r="V71" s="138">
        <f ca="1"/>
        <v>6.7689348985986442E-2</v>
      </c>
      <c r="W71" s="137">
        <f ca="1"/>
        <v>0</v>
      </c>
      <c r="X71" s="156">
        <f ca="1"/>
        <v>1.4813626381441347E-3</v>
      </c>
      <c r="Y71" s="156">
        <f ca="1"/>
        <v>3.1338479604068326E-3</v>
      </c>
      <c r="Z71" s="156">
        <f ca="1"/>
        <v>7.8690805302298328E-3</v>
      </c>
      <c r="AA71" s="156">
        <f ca="1"/>
        <v>1.3341838251981319E-2</v>
      </c>
      <c r="AB71" s="156">
        <f ca="1"/>
        <v>0</v>
      </c>
      <c r="AC71" s="156">
        <f ca="1"/>
        <v>2.7391079985811473E-2</v>
      </c>
      <c r="AD71" s="156">
        <f ca="1"/>
        <v>4.3191886376902522E-2</v>
      </c>
      <c r="AE71" s="138">
        <f ca="1"/>
        <v>6.9289300291607181E-2</v>
      </c>
      <c r="AG71" s="459" t="s">
        <v>569</v>
      </c>
      <c r="AH71" s="461">
        <v>1.7500000000000002E-2</v>
      </c>
      <c r="AI71" s="460">
        <v>2026</v>
      </c>
      <c r="AJ71" s="462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6">
        <f ca="1"/>
        <v>8.2983566879302195E-4</v>
      </c>
      <c r="P72" s="156">
        <f ca="1"/>
        <v>2.452053191280279E-3</v>
      </c>
      <c r="Q72" s="156">
        <f ca="1"/>
        <v>9.0131644278712564E-3</v>
      </c>
      <c r="R72" s="156">
        <f ca="1"/>
        <v>1.7485185776301204E-2</v>
      </c>
      <c r="S72" s="156">
        <f ca="1"/>
        <v>0</v>
      </c>
      <c r="T72" s="156">
        <f ca="1"/>
        <v>4.1814322165954154E-2</v>
      </c>
      <c r="U72" s="156">
        <f ca="1"/>
        <v>6.868290591524151E-2</v>
      </c>
      <c r="V72" s="138">
        <f ca="1"/>
        <v>0.12338517997961229</v>
      </c>
      <c r="W72" s="137">
        <f ca="1"/>
        <v>0</v>
      </c>
      <c r="X72" s="156">
        <f ca="1"/>
        <v>9.4832545884104835E-4</v>
      </c>
      <c r="Y72" s="156">
        <f ca="1"/>
        <v>2.6547565723062938E-3</v>
      </c>
      <c r="Z72" s="156">
        <f ca="1"/>
        <v>9.3811073203460271E-3</v>
      </c>
      <c r="AA72" s="156">
        <f ca="1"/>
        <v>1.8015565373281861E-2</v>
      </c>
      <c r="AB72" s="156">
        <f ca="1"/>
        <v>0</v>
      </c>
      <c r="AC72" s="156">
        <f ca="1"/>
        <v>4.2652583556921253E-2</v>
      </c>
      <c r="AD72" s="156">
        <f ca="1"/>
        <v>6.9814452014697492E-2</v>
      </c>
      <c r="AE72" s="138">
        <f ca="1"/>
        <v>0.12491885095970967</v>
      </c>
      <c r="AG72" s="459" t="s">
        <v>570</v>
      </c>
      <c r="AH72" s="461">
        <v>2.972E-2</v>
      </c>
      <c r="AI72" s="460">
        <v>2026</v>
      </c>
      <c r="AJ72" s="462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6">
        <f ca="1"/>
        <v>4.7427584534542877E-4</v>
      </c>
      <c r="P73" s="156">
        <f ca="1"/>
        <v>1.2249230507697106E-3</v>
      </c>
      <c r="Q73" s="156">
        <f ca="1"/>
        <v>4.1316556763268952E-3</v>
      </c>
      <c r="R73" s="156">
        <f ca="1"/>
        <v>7.6590768215092364E-3</v>
      </c>
      <c r="S73" s="156">
        <f ca="1"/>
        <v>0</v>
      </c>
      <c r="T73" s="156">
        <f ca="1"/>
        <v>2.1626165709569878E-2</v>
      </c>
      <c r="U73" s="156">
        <f ca="1"/>
        <v>4.019368627930664E-2</v>
      </c>
      <c r="V73" s="138">
        <f ca="1"/>
        <v>7.3282216881875639E-2</v>
      </c>
      <c r="W73" s="137">
        <f ca="1"/>
        <v>0</v>
      </c>
      <c r="X73" s="156">
        <f ca="1"/>
        <v>5.9280901297664723E-4</v>
      </c>
      <c r="Y73" s="156">
        <f ca="1"/>
        <v>1.4278425560112495E-3</v>
      </c>
      <c r="Z73" s="156">
        <f ca="1"/>
        <v>4.5012312816126165E-3</v>
      </c>
      <c r="AA73" s="156">
        <f ca="1"/>
        <v>8.1941367183677727E-3</v>
      </c>
      <c r="AB73" s="156">
        <f ca="1"/>
        <v>0</v>
      </c>
      <c r="AC73" s="156">
        <f ca="1"/>
        <v>2.2483535623289974E-2</v>
      </c>
      <c r="AD73" s="156">
        <f ca="1"/>
        <v>4.1360511138388567E-2</v>
      </c>
      <c r="AE73" s="138">
        <f ca="1"/>
        <v>7.487526347594553E-2</v>
      </c>
      <c r="AG73" s="459" t="s">
        <v>571</v>
      </c>
      <c r="AH73" s="461">
        <v>4.3749999999999997E-2</v>
      </c>
      <c r="AI73" s="460">
        <v>2029</v>
      </c>
      <c r="AJ73" s="462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6">
        <f ca="1"/>
        <v>7.1132972843845899E-4</v>
      </c>
      <c r="P74" s="156">
        <f ca="1"/>
        <v>2.2493034556393399E-3</v>
      </c>
      <c r="Q74" s="156">
        <f ca="1"/>
        <v>7.5069066511613824E-3</v>
      </c>
      <c r="R74" s="156">
        <f ca="1"/>
        <v>1.4203646106449308E-2</v>
      </c>
      <c r="S74" s="156">
        <f ca="1"/>
        <v>0</v>
      </c>
      <c r="T74" s="156">
        <f ca="1"/>
        <v>3.0183427630892767E-2</v>
      </c>
      <c r="U74" s="156">
        <f ca="1"/>
        <v>5.0500525700114984E-2</v>
      </c>
      <c r="V74" s="138">
        <f ca="1"/>
        <v>8.5541116152769603E-2</v>
      </c>
      <c r="W74" s="137">
        <f ca="1"/>
        <v>0</v>
      </c>
      <c r="X74" s="156">
        <f ca="1"/>
        <v>8.2983405341885419E-4</v>
      </c>
      <c r="Y74" s="156">
        <f ca="1"/>
        <v>2.4520485599682784E-3</v>
      </c>
      <c r="Z74" s="156">
        <f ca="1"/>
        <v>7.8753511143628829E-3</v>
      </c>
      <c r="AA74" s="156">
        <f ca="1"/>
        <v>1.473557080605814E-2</v>
      </c>
      <c r="AB74" s="156">
        <f ca="1"/>
        <v>0</v>
      </c>
      <c r="AC74" s="156">
        <f ca="1"/>
        <v>3.1032735266270262E-2</v>
      </c>
      <c r="AD74" s="156">
        <f ca="1"/>
        <v>5.1653554001875546E-2</v>
      </c>
      <c r="AE74" s="138">
        <f ca="1"/>
        <v>8.7108782217886094E-2</v>
      </c>
      <c r="AG74" s="459" t="s">
        <v>572</v>
      </c>
      <c r="AH74" s="461">
        <v>5.6250000000000001E-2</v>
      </c>
      <c r="AI74" s="460">
        <v>2033</v>
      </c>
      <c r="AJ74" s="462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6">
        <f ca="1"/>
        <v>2.3716594248646139E-4</v>
      </c>
      <c r="P75" s="156">
        <f ca="1"/>
        <v>6.1261179026850243E-4</v>
      </c>
      <c r="Q75" s="156">
        <f ca="1"/>
        <v>2.2576321829886892E-3</v>
      </c>
      <c r="R75" s="156">
        <f ca="1"/>
        <v>4.9550517395595683E-3</v>
      </c>
      <c r="S75" s="156">
        <f ca="1"/>
        <v>0</v>
      </c>
      <c r="T75" s="156">
        <f ca="1"/>
        <v>1.1698503724633325E-2</v>
      </c>
      <c r="U75" s="156">
        <f ca="1"/>
        <v>2.2750623426128658E-2</v>
      </c>
      <c r="V75" s="138">
        <f ca="1"/>
        <v>4.5552371718888485E-2</v>
      </c>
      <c r="W75" s="137">
        <f ca="1"/>
        <v>0</v>
      </c>
      <c r="X75" s="156">
        <f ca="1"/>
        <v>3.5572765515312632E-4</v>
      </c>
      <c r="Y75" s="156">
        <f ca="1"/>
        <v>8.1564411850376661E-4</v>
      </c>
      <c r="Z75" s="156">
        <f ca="1"/>
        <v>2.6278326914672689E-3</v>
      </c>
      <c r="AA75" s="156">
        <f ca="1"/>
        <v>5.4914963634664637E-3</v>
      </c>
      <c r="AB75" s="156">
        <f ca="1"/>
        <v>0</v>
      </c>
      <c r="AC75" s="156">
        <f ca="1"/>
        <v>1.2564087199849139E-2</v>
      </c>
      <c r="AD75" s="156">
        <f ca="1"/>
        <v>2.3936880080059897E-2</v>
      </c>
      <c r="AE75" s="138">
        <f ca="1"/>
        <v>4.719517012068053E-2</v>
      </c>
      <c r="AG75" s="459" t="s">
        <v>573</v>
      </c>
      <c r="AH75" s="461">
        <v>1.4999999999999999E-2</v>
      </c>
      <c r="AI75" s="460">
        <v>2028</v>
      </c>
      <c r="AJ75" s="462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6">
        <f ca="1"/>
        <v>1.0904994698354153E-3</v>
      </c>
      <c r="P76" s="156">
        <f ca="1"/>
        <v>2.8361348800347574E-3</v>
      </c>
      <c r="Q76" s="156">
        <f ca="1"/>
        <v>7.7779607345670465E-3</v>
      </c>
      <c r="R76" s="156">
        <f ca="1"/>
        <v>1.3538590047253218E-2</v>
      </c>
      <c r="S76" s="156">
        <f ca="1"/>
        <v>0</v>
      </c>
      <c r="T76" s="156">
        <f ca="1"/>
        <v>2.6483900634211799E-2</v>
      </c>
      <c r="U76" s="156">
        <f ca="1"/>
        <v>4.0908435899703277E-2</v>
      </c>
      <c r="V76" s="138">
        <f ca="1"/>
        <v>6.3855769965468157E-2</v>
      </c>
      <c r="W76" s="137">
        <f ca="1"/>
        <v>0</v>
      </c>
      <c r="X76" s="156">
        <f ca="1"/>
        <v>1.208957011611167E-3</v>
      </c>
      <c r="Y76" s="156">
        <f ca="1"/>
        <v>3.0387556719946307E-3</v>
      </c>
      <c r="Z76" s="156">
        <f ca="1"/>
        <v>8.1462298595385008E-3</v>
      </c>
      <c r="AA76" s="156">
        <f ca="1"/>
        <v>1.4070627824873783E-2</v>
      </c>
      <c r="AB76" s="156">
        <f ca="1"/>
        <v>0</v>
      </c>
      <c r="AC76" s="156">
        <f ca="1"/>
        <v>2.7336139180989427E-2</v>
      </c>
      <c r="AD76" s="156">
        <f ca="1"/>
        <v>4.2071650725533982E-2</v>
      </c>
      <c r="AE76" s="138">
        <f ca="1"/>
        <v>6.5461873596708187E-2</v>
      </c>
      <c r="AG76" s="459" t="s">
        <v>574</v>
      </c>
      <c r="AH76" s="461">
        <v>1.2500000000000001E-2</v>
      </c>
      <c r="AI76" s="460">
        <v>2026</v>
      </c>
      <c r="AJ76" s="462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6">
        <f ca="1"/>
        <v>2.8422970592185681E-3</v>
      </c>
      <c r="P77" s="156">
        <f ca="1"/>
        <v>6.5093366472983583E-3</v>
      </c>
      <c r="Q77" s="156">
        <f ca="1"/>
        <v>1.8245980049369726E-2</v>
      </c>
      <c r="R77" s="156">
        <f ca="1"/>
        <v>3.6294072634359464E-2</v>
      </c>
      <c r="S77" s="156">
        <f ca="1"/>
        <v>0</v>
      </c>
      <c r="T77" s="156">
        <f ca="1"/>
        <v>9.0148696775528503E-2</v>
      </c>
      <c r="U77" s="156">
        <f ca="1"/>
        <v>0.14644044502607378</v>
      </c>
      <c r="V77" s="138">
        <f ca="1"/>
        <v>0.2319447112675086</v>
      </c>
      <c r="W77" s="137">
        <f ca="1"/>
        <v>0</v>
      </c>
      <c r="X77" s="156">
        <f ca="1"/>
        <v>2.9605273579553781E-3</v>
      </c>
      <c r="Y77" s="156">
        <f ca="1"/>
        <v>6.7112306676747613E-3</v>
      </c>
      <c r="Z77" s="156">
        <f ca="1"/>
        <v>1.8610313515876165E-2</v>
      </c>
      <c r="AA77" s="156">
        <f ca="1"/>
        <v>3.6814437512006526E-2</v>
      </c>
      <c r="AB77" s="156">
        <f ca="1"/>
        <v>0</v>
      </c>
      <c r="AC77" s="156">
        <f ca="1"/>
        <v>9.0956523737625861E-2</v>
      </c>
      <c r="AD77" s="156">
        <f ca="1"/>
        <v>0.14749698958054513</v>
      </c>
      <c r="AE77" s="138">
        <f ca="1"/>
        <v>0.23330652669522922</v>
      </c>
      <c r="AG77" s="459" t="s">
        <v>575</v>
      </c>
      <c r="AH77" s="461">
        <v>1.6250000000000001E-2</v>
      </c>
      <c r="AI77" s="460">
        <v>2026</v>
      </c>
      <c r="AJ77" s="462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6">
        <f ca="1"/>
        <v>7.1132972843845899E-4</v>
      </c>
      <c r="P78" s="156">
        <f ca="1"/>
        <v>2.2493034556393399E-3</v>
      </c>
      <c r="Q78" s="156">
        <f ca="1"/>
        <v>7.8863047772979034E-3</v>
      </c>
      <c r="R78" s="156">
        <f ca="1"/>
        <v>1.5308064751869188E-2</v>
      </c>
      <c r="S78" s="156">
        <f ca="1"/>
        <v>0</v>
      </c>
      <c r="T78" s="156">
        <f ca="1"/>
        <v>3.5615716619276205E-2</v>
      </c>
      <c r="U78" s="156">
        <f ca="1"/>
        <v>5.9078981086364668E-2</v>
      </c>
      <c r="V78" s="138">
        <f ca="1"/>
        <v>0.10672127409596954</v>
      </c>
      <c r="W78" s="137">
        <f ca="1"/>
        <v>0</v>
      </c>
      <c r="X78" s="156">
        <f ca="1"/>
        <v>8.2983405341885419E-4</v>
      </c>
      <c r="Y78" s="156">
        <f ca="1"/>
        <v>2.4520485599682784E-3</v>
      </c>
      <c r="Z78" s="156">
        <f ca="1"/>
        <v>8.2546317884926168E-3</v>
      </c>
      <c r="AA78" s="156">
        <f ca="1"/>
        <v>1.5839500101863635E-2</v>
      </c>
      <c r="AB78" s="156">
        <f ca="1"/>
        <v>0</v>
      </c>
      <c r="AC78" s="156">
        <f ca="1"/>
        <v>3.6460087886153736E-2</v>
      </c>
      <c r="AD78" s="156">
        <f ca="1"/>
        <v>6.022219630528014E-2</v>
      </c>
      <c r="AE78" s="138">
        <f ca="1"/>
        <v>0.10827907411065008</v>
      </c>
      <c r="AG78" s="459" t="s">
        <v>576</v>
      </c>
      <c r="AH78" s="461">
        <v>1.125E-2</v>
      </c>
      <c r="AI78" s="460">
        <v>2026</v>
      </c>
      <c r="AJ78" s="462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6">
        <f ca="1"/>
        <v>1.1852695147550607E-3</v>
      </c>
      <c r="P79" s="156">
        <f ca="1"/>
        <v>2.8539970043691687E-3</v>
      </c>
      <c r="Q79" s="156">
        <f ca="1"/>
        <v>8.2294845464900845E-3</v>
      </c>
      <c r="R79" s="156">
        <f ca="1"/>
        <v>1.8057072248769179E-2</v>
      </c>
      <c r="S79" s="156">
        <f ca="1"/>
        <v>0</v>
      </c>
      <c r="T79" s="156">
        <f ca="1"/>
        <v>4.5454181062941745E-2</v>
      </c>
      <c r="U79" s="156">
        <f ca="1"/>
        <v>7.7437750349273582E-2</v>
      </c>
      <c r="V79" s="138">
        <f ca="1"/>
        <v>0.13107900817188511</v>
      </c>
      <c r="W79" s="137">
        <f ca="1"/>
        <v>0</v>
      </c>
      <c r="X79" s="156">
        <f ca="1"/>
        <v>1.3037152360358961E-3</v>
      </c>
      <c r="Y79" s="156">
        <f ca="1"/>
        <v>3.0566059973095028E-3</v>
      </c>
      <c r="Z79" s="156">
        <f ca="1"/>
        <v>8.5976033671757435E-3</v>
      </c>
      <c r="AA79" s="156">
        <f ca="1"/>
        <v>1.8587193371065291E-2</v>
      </c>
      <c r="AB79" s="156">
        <f ca="1"/>
        <v>0</v>
      </c>
      <c r="AC79" s="156">
        <f ca="1"/>
        <v>4.6288717503319754E-2</v>
      </c>
      <c r="AD79" s="156">
        <f ca="1"/>
        <v>7.8558520615587213E-2</v>
      </c>
      <c r="AE79" s="138">
        <f ca="1"/>
        <v>0.13260014726876657</v>
      </c>
      <c r="AG79" s="459" t="s">
        <v>577</v>
      </c>
      <c r="AH79" s="461">
        <v>5.5300000000000002E-3</v>
      </c>
      <c r="AI79" s="460">
        <v>2029</v>
      </c>
      <c r="AJ79" s="462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6">
        <f ca="1"/>
        <v>5.92809788134252E-4</v>
      </c>
      <c r="P80" s="156">
        <f ca="1"/>
        <v>1.0153107015465901E-3</v>
      </c>
      <c r="Q80" s="156">
        <f ca="1"/>
        <v>3.7551447461027232E-3</v>
      </c>
      <c r="R80" s="156">
        <f ca="1"/>
        <v>9.9332708568158345E-3</v>
      </c>
      <c r="S80" s="156">
        <f ca="1"/>
        <v>0</v>
      </c>
      <c r="T80" s="156">
        <f ca="1"/>
        <v>2.4269290693154866E-2</v>
      </c>
      <c r="U80" s="156">
        <f ca="1"/>
        <v>4.3768379572064697E-2</v>
      </c>
      <c r="V80" s="138">
        <f ca="1"/>
        <v>8.0128432120230797E-2</v>
      </c>
      <c r="W80" s="137">
        <f ca="1"/>
        <v>0</v>
      </c>
      <c r="X80" s="156">
        <f ca="1"/>
        <v>7.1132857205080668E-4</v>
      </c>
      <c r="Y80" s="156">
        <f ca="1"/>
        <v>1.218248712366865E-3</v>
      </c>
      <c r="Z80" s="156">
        <f ca="1"/>
        <v>4.1248388616055287E-3</v>
      </c>
      <c r="AA80" s="156">
        <f ca="1"/>
        <v>1.0467521562403936E-2</v>
      </c>
      <c r="AB80" s="156">
        <f ca="1"/>
        <v>0</v>
      </c>
      <c r="AC80" s="156">
        <f ca="1"/>
        <v>2.5124495206588326E-2</v>
      </c>
      <c r="AD80" s="156">
        <f ca="1"/>
        <v>4.4930783405400243E-2</v>
      </c>
      <c r="AE80" s="138">
        <f ca="1"/>
        <v>8.170779268227113E-2</v>
      </c>
      <c r="AG80" s="459" t="s">
        <v>578</v>
      </c>
      <c r="AH80" s="461">
        <v>8.7500000000000008E-3</v>
      </c>
      <c r="AI80" s="460">
        <v>2025</v>
      </c>
      <c r="AJ80" s="462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6">
        <f ca="1"/>
        <v>1.1852695147550607E-3</v>
      </c>
      <c r="P81" s="156">
        <f ca="1"/>
        <v>2.029590195977482E-3</v>
      </c>
      <c r="Q81" s="156">
        <f ca="1"/>
        <v>6.741283648115215E-3</v>
      </c>
      <c r="R81" s="156">
        <f ca="1"/>
        <v>1.5917774601848289E-2</v>
      </c>
      <c r="S81" s="156">
        <f ca="1"/>
        <v>0</v>
      </c>
      <c r="T81" s="156">
        <f ca="1"/>
        <v>3.8386066937920127E-2</v>
      </c>
      <c r="U81" s="156">
        <f ca="1"/>
        <v>6.6710359899162186E-2</v>
      </c>
      <c r="V81" s="138">
        <f ca="1"/>
        <v>0.12062465311849202</v>
      </c>
      <c r="W81" s="137">
        <f ca="1"/>
        <v>0</v>
      </c>
      <c r="X81" s="156">
        <f ca="1"/>
        <v>1.3037152360358961E-3</v>
      </c>
      <c r="Y81" s="156">
        <f ca="1"/>
        <v>2.2323211154249289E-3</v>
      </c>
      <c r="Z81" s="156">
        <f ca="1"/>
        <v>7.1099322267883514E-3</v>
      </c>
      <c r="AA81" s="156">
        <f ca="1"/>
        <v>1.6449054002150354E-2</v>
      </c>
      <c r="AB81" s="156">
        <f ca="1"/>
        <v>0</v>
      </c>
      <c r="AC81" s="156">
        <f ca="1"/>
        <v>3.922799874595384E-2</v>
      </c>
      <c r="AD81" s="156">
        <f ca="1"/>
        <v>6.7844607912216026E-2</v>
      </c>
      <c r="AE81" s="138">
        <f ca="1"/>
        <v>0.12216417141787972</v>
      </c>
      <c r="AG81" s="459" t="s">
        <v>579</v>
      </c>
      <c r="AH81" s="461">
        <v>2.2499999999999999E-2</v>
      </c>
      <c r="AI81" s="460">
        <v>2026</v>
      </c>
      <c r="AJ81" s="462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6">
        <f ca="1"/>
        <v>4.7427584534542877E-4</v>
      </c>
      <c r="P82" s="156">
        <f ca="1"/>
        <v>1.843680337743514E-3</v>
      </c>
      <c r="Q82" s="156">
        <f ca="1"/>
        <v>4.8704391444998052E-3</v>
      </c>
      <c r="R82" s="156">
        <f ca="1"/>
        <v>9.8544272018843415E-3</v>
      </c>
      <c r="S82" s="156">
        <f ca="1"/>
        <v>0</v>
      </c>
      <c r="T82" s="156">
        <f ca="1"/>
        <v>2.5115854084119094E-2</v>
      </c>
      <c r="U82" s="156">
        <f ca="1"/>
        <v>4.358910707756114E-2</v>
      </c>
      <c r="V82" s="138">
        <f ca="1"/>
        <v>7.6029677085039604E-2</v>
      </c>
      <c r="W82" s="137">
        <f ca="1"/>
        <v>0</v>
      </c>
      <c r="X82" s="156">
        <f ca="1"/>
        <v>5.9280901297664723E-4</v>
      </c>
      <c r="Y82" s="156">
        <f ca="1"/>
        <v>2.0465088302080714E-3</v>
      </c>
      <c r="Z82" s="156">
        <f ca="1"/>
        <v>5.2397353122475288E-3</v>
      </c>
      <c r="AA82" s="156">
        <f ca="1"/>
        <v>1.0388469686065549E-2</v>
      </c>
      <c r="AB82" s="156">
        <f ca="1"/>
        <v>0</v>
      </c>
      <c r="AC82" s="156">
        <f ca="1"/>
        <v>2.5970050946882428E-2</v>
      </c>
      <c r="AD82" s="156">
        <f ca="1"/>
        <v>4.4751421973536876E-2</v>
      </c>
      <c r="AE82" s="138">
        <f ca="1"/>
        <v>7.7616756582726043E-2</v>
      </c>
      <c r="AG82" s="459" t="s">
        <v>580</v>
      </c>
      <c r="AH82" s="461">
        <v>1.7500000000000002E-2</v>
      </c>
      <c r="AI82" s="460">
        <v>2025</v>
      </c>
      <c r="AJ82" s="462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6">
        <f ca="1"/>
        <v>7.1132972843845899E-4</v>
      </c>
      <c r="P83" s="156">
        <f ca="1"/>
        <v>2.6616033433045638E-3</v>
      </c>
      <c r="Q83" s="156">
        <f ca="1"/>
        <v>7.1128800122021163E-3</v>
      </c>
      <c r="R83" s="156">
        <f ca="1"/>
        <v>1.3645491068227544E-2</v>
      </c>
      <c r="S83" s="156">
        <f ca="1"/>
        <v>0</v>
      </c>
      <c r="T83" s="156">
        <f ca="1"/>
        <v>3.5767072400588962E-2</v>
      </c>
      <c r="U83" s="156">
        <f ca="1"/>
        <v>6.3200334909757072E-2</v>
      </c>
      <c r="V83" s="138">
        <f ca="1"/>
        <v>0.10822314777580566</v>
      </c>
      <c r="W83" s="137">
        <f ca="1"/>
        <v>0</v>
      </c>
      <c r="X83" s="156">
        <f ca="1"/>
        <v>8.2983405341885419E-4</v>
      </c>
      <c r="Y83" s="156">
        <f ca="1"/>
        <v>2.8642866811360301E-3</v>
      </c>
      <c r="Z83" s="156">
        <f ca="1"/>
        <v>7.4814068853552573E-3</v>
      </c>
      <c r="AA83" s="156">
        <f ca="1"/>
        <v>1.4177630964592569E-2</v>
      </c>
      <c r="AB83" s="156">
        <f ca="1"/>
        <v>0</v>
      </c>
      <c r="AC83" s="156">
        <f ca="1"/>
        <v>3.6611208086379854E-2</v>
      </c>
      <c r="AD83" s="156">
        <f ca="1"/>
        <v>6.4339105759098847E-2</v>
      </c>
      <c r="AE83" s="138">
        <f ca="1"/>
        <v>0.10977844758868149</v>
      </c>
      <c r="AG83" s="459" t="s">
        <v>581</v>
      </c>
      <c r="AH83" s="461">
        <v>1.25E-3</v>
      </c>
      <c r="AI83" s="460">
        <v>2026</v>
      </c>
      <c r="AJ83" s="462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6">
        <f ca="1"/>
        <v>3.5572789762250423E-4</v>
      </c>
      <c r="P84" s="156">
        <f ca="1"/>
        <v>1.8470540194656104E-3</v>
      </c>
      <c r="Q84" s="156">
        <f ca="1"/>
        <v>5.6336476794586199E-3</v>
      </c>
      <c r="R84" s="156">
        <f ca="1"/>
        <v>1.2072203813805915E-2</v>
      </c>
      <c r="S84" s="156">
        <f ca="1"/>
        <v>0</v>
      </c>
      <c r="T84" s="156">
        <f ca="1"/>
        <v>2.7695611870080739E-2</v>
      </c>
      <c r="U84" s="156">
        <f ca="1"/>
        <v>4.9756400962701952E-2</v>
      </c>
      <c r="V84" s="138">
        <f ca="1"/>
        <v>9.0215767575914207E-2</v>
      </c>
      <c r="W84" s="137">
        <f ca="1"/>
        <v>0</v>
      </c>
      <c r="X84" s="156">
        <f ca="1"/>
        <v>4.7427537457878088E-4</v>
      </c>
      <c r="Y84" s="156">
        <f ca="1"/>
        <v>2.0498935778414662E-3</v>
      </c>
      <c r="Z84" s="156">
        <f ca="1"/>
        <v>6.0027326404713532E-3</v>
      </c>
      <c r="AA84" s="156">
        <f ca="1"/>
        <v>1.2605293094363423E-2</v>
      </c>
      <c r="AB84" s="156">
        <f ca="1"/>
        <v>0</v>
      </c>
      <c r="AC84" s="156">
        <f ca="1"/>
        <v>2.8547479426089595E-2</v>
      </c>
      <c r="AD84" s="156">
        <f ca="1"/>
        <v>5.091119741201422E-2</v>
      </c>
      <c r="AE84" s="138">
        <f ca="1"/>
        <v>9.1774746479425628E-2</v>
      </c>
      <c r="AG84" s="459" t="s">
        <v>582</v>
      </c>
      <c r="AH84" s="461">
        <v>5.6250000000000001E-2</v>
      </c>
      <c r="AI84" s="460">
        <v>2027</v>
      </c>
      <c r="AJ84" s="462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6">
        <f ca="1"/>
        <v>1.1852695147550607E-3</v>
      </c>
      <c r="P85" s="156">
        <f ca="1"/>
        <v>2.2357180013715672E-3</v>
      </c>
      <c r="Q85" s="156">
        <f ca="1"/>
        <v>7.113505184398794E-3</v>
      </c>
      <c r="R85" s="156">
        <f ca="1"/>
        <v>1.3646122951594286E-2</v>
      </c>
      <c r="S85" s="156">
        <f ca="1"/>
        <v>0</v>
      </c>
      <c r="T85" s="156">
        <f ca="1"/>
        <v>3.5767760424672557E-2</v>
      </c>
      <c r="U85" s="156">
        <f ca="1"/>
        <v>6.1878539664336096E-2</v>
      </c>
      <c r="V85" s="138">
        <f ca="1"/>
        <v>9.6861531867685646E-2</v>
      </c>
      <c r="W85" s="137">
        <f ca="1"/>
        <v>0</v>
      </c>
      <c r="X85" s="156">
        <f ca="1"/>
        <v>1.3037152360358961E-3</v>
      </c>
      <c r="Y85" s="156">
        <f ca="1"/>
        <v>2.4384186873763758E-3</v>
      </c>
      <c r="Z85" s="156">
        <f ca="1"/>
        <v>7.4820216418599594E-3</v>
      </c>
      <c r="AA85" s="156">
        <f ca="1"/>
        <v>1.417826803052602E-2</v>
      </c>
      <c r="AB85" s="156">
        <f ca="1"/>
        <v>0</v>
      </c>
      <c r="AC85" s="156">
        <f ca="1"/>
        <v>3.661190103284151E-2</v>
      </c>
      <c r="AD85" s="156">
        <f ca="1"/>
        <v>6.3018974564524877E-2</v>
      </c>
      <c r="AE85" s="138">
        <f ca="1"/>
        <v>9.8410698375025585E-2</v>
      </c>
      <c r="AG85" s="459" t="s">
        <v>583</v>
      </c>
      <c r="AH85" s="461">
        <v>7.4999999999999997E-3</v>
      </c>
      <c r="AI85" s="460">
        <v>2026</v>
      </c>
      <c r="AJ85" s="462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6">
        <f ca="1"/>
        <v>2.0851385578803949E-3</v>
      </c>
      <c r="P86" s="156">
        <f ca="1"/>
        <v>4.2487398330250947E-3</v>
      </c>
      <c r="Q86" s="156">
        <f ca="1"/>
        <v>1.0159372364419994E-2</v>
      </c>
      <c r="R86" s="156">
        <f ca="1"/>
        <v>1.6757868692930722E-2</v>
      </c>
      <c r="S86" s="156">
        <f ca="1"/>
        <v>0</v>
      </c>
      <c r="T86" s="156">
        <f ca="1"/>
        <v>3.2486346694761581E-2</v>
      </c>
      <c r="U86" s="156">
        <f ca="1"/>
        <v>4.9075658078482465E-2</v>
      </c>
      <c r="V86" s="138">
        <f ca="1"/>
        <v>7.5132948200807403E-2</v>
      </c>
      <c r="W86" s="137">
        <f ca="1"/>
        <v>0</v>
      </c>
      <c r="X86" s="156">
        <f ca="1"/>
        <v>2.2034693999768429E-3</v>
      </c>
      <c r="Y86" s="156">
        <f ca="1"/>
        <v>4.4510530246882896E-3</v>
      </c>
      <c r="Z86" s="156">
        <f ca="1"/>
        <v>1.0526677528388095E-2</v>
      </c>
      <c r="AA86" s="156">
        <f ca="1"/>
        <v>1.7288049156795937E-2</v>
      </c>
      <c r="AB86" s="156">
        <f ca="1"/>
        <v>0</v>
      </c>
      <c r="AC86" s="156">
        <f ca="1"/>
        <v>3.3332785696085887E-2</v>
      </c>
      <c r="AD86" s="156">
        <f ca="1"/>
        <v>5.0228563194262943E-2</v>
      </c>
      <c r="AE86" s="138">
        <f ca="1"/>
        <v>7.6717605389267862E-2</v>
      </c>
      <c r="AG86" s="459" t="s">
        <v>584</v>
      </c>
      <c r="AH86" s="461">
        <v>1.8749999999999999E-2</v>
      </c>
      <c r="AI86" s="460">
        <v>2025</v>
      </c>
      <c r="AJ86" s="462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6">
        <f ca="1"/>
        <v>1.374782744915426E-3</v>
      </c>
      <c r="P87" s="156">
        <f ca="1"/>
        <v>3.0751482467352709E-3</v>
      </c>
      <c r="Q87" s="156">
        <f ca="1"/>
        <v>7.5711492115571044E-3</v>
      </c>
      <c r="R87" s="156">
        <f ca="1"/>
        <v>1.2912698081059437E-2</v>
      </c>
      <c r="S87" s="156">
        <f ca="1"/>
        <v>0</v>
      </c>
      <c r="T87" s="156">
        <f ca="1"/>
        <v>2.5596018740618676E-2</v>
      </c>
      <c r="U87" s="156">
        <f ca="1"/>
        <v>4.0241987508332189E-2</v>
      </c>
      <c r="V87" s="138">
        <f ca="1"/>
        <v>6.4098397170199828E-2</v>
      </c>
      <c r="W87" s="137">
        <f ca="1"/>
        <v>0</v>
      </c>
      <c r="X87" s="156">
        <f ca="1"/>
        <v>1.49320467287406E-3</v>
      </c>
      <c r="Y87" s="156">
        <f ca="1"/>
        <v>3.2777058953781246E-3</v>
      </c>
      <c r="Z87" s="156">
        <f ca="1"/>
        <v>7.9394292782950515E-3</v>
      </c>
      <c r="AA87" s="156">
        <f ca="1"/>
        <v>1.3444944772457501E-2</v>
      </c>
      <c r="AB87" s="156">
        <f ca="1"/>
        <v>0</v>
      </c>
      <c r="AC87" s="156">
        <f ca="1"/>
        <v>2.6448973989732005E-2</v>
      </c>
      <c r="AD87" s="156">
        <f ca="1"/>
        <v>4.1406084474119087E-2</v>
      </c>
      <c r="AE87" s="138">
        <f ca="1"/>
        <v>6.5704418808837595E-2</v>
      </c>
      <c r="AG87" s="459" t="s">
        <v>585</v>
      </c>
      <c r="AH87" s="461">
        <v>3.8830000000000003E-2</v>
      </c>
      <c r="AI87" s="460">
        <v>2028</v>
      </c>
      <c r="AJ87" s="462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6">
        <f ca="1"/>
        <v>8.2983566879302195E-4</v>
      </c>
      <c r="P88" s="156">
        <f ca="1"/>
        <v>2.0397426172065192E-3</v>
      </c>
      <c r="Q88" s="156">
        <f ca="1"/>
        <v>5.992437942058837E-3</v>
      </c>
      <c r="R88" s="156">
        <f ca="1"/>
        <v>1.1470602000447028E-2</v>
      </c>
      <c r="S88" s="156">
        <f ca="1"/>
        <v>0</v>
      </c>
      <c r="T88" s="156">
        <f ca="1"/>
        <v>2.9547742748631034E-2</v>
      </c>
      <c r="U88" s="156">
        <f ca="1"/>
        <v>4.9560991842367619E-2</v>
      </c>
      <c r="V88" s="138">
        <f ca="1"/>
        <v>8.4172682687548184E-2</v>
      </c>
      <c r="W88" s="137">
        <f ca="1"/>
        <v>0</v>
      </c>
      <c r="X88" s="156">
        <f ca="1"/>
        <v>9.4832545884104835E-4</v>
      </c>
      <c r="Y88" s="156">
        <f ca="1"/>
        <v>2.242507228336077E-3</v>
      </c>
      <c r="Z88" s="156">
        <f ca="1"/>
        <v>6.3613476231223487E-3</v>
      </c>
      <c r="AA88" s="156">
        <f ca="1"/>
        <v>1.2003807639816011E-2</v>
      </c>
      <c r="AB88" s="156">
        <f ca="1"/>
        <v>0</v>
      </c>
      <c r="AC88" s="156">
        <f ca="1"/>
        <v>3.0397829692059064E-2</v>
      </c>
      <c r="AD88" s="156">
        <f ca="1"/>
        <v>5.0716136955744284E-2</v>
      </c>
      <c r="AE88" s="138">
        <f ca="1"/>
        <v>8.5744033524466134E-2</v>
      </c>
      <c r="AG88" s="459" t="s">
        <v>586</v>
      </c>
      <c r="AH88" s="461">
        <v>1.6250000000000001E-2</v>
      </c>
      <c r="AI88" s="460">
        <v>2027</v>
      </c>
      <c r="AJ88" s="462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6">
        <f ca="1"/>
        <v>2.0141256188292989E-3</v>
      </c>
      <c r="P89" s="156">
        <f ca="1"/>
        <v>3.6537728018138926E-3</v>
      </c>
      <c r="Q89" s="156">
        <f ca="1"/>
        <v>1.0069629193046992E-2</v>
      </c>
      <c r="R89" s="156">
        <f ca="1"/>
        <v>2.1266714818389709E-2</v>
      </c>
      <c r="S89" s="156">
        <f ca="1"/>
        <v>0</v>
      </c>
      <c r="T89" s="156">
        <f ca="1"/>
        <v>5.3264730965369655E-2</v>
      </c>
      <c r="U89" s="156">
        <f ca="1"/>
        <v>8.7827856543248095E-2</v>
      </c>
      <c r="V89" s="138">
        <f ca="1"/>
        <v>0.14868787556475727</v>
      </c>
      <c r="W89" s="137">
        <f ca="1"/>
        <v>0</v>
      </c>
      <c r="X89" s="156">
        <f ca="1"/>
        <v>2.1324657047254725E-3</v>
      </c>
      <c r="Y89" s="156">
        <f ca="1"/>
        <v>3.8561823454716926E-3</v>
      </c>
      <c r="Z89" s="156">
        <f ca="1"/>
        <v>1.0437017675741123E-2</v>
      </c>
      <c r="AA89" s="156">
        <f ca="1"/>
        <v>2.1795089888130836E-2</v>
      </c>
      <c r="AB89" s="156">
        <f ca="1"/>
        <v>0</v>
      </c>
      <c r="AC89" s="156">
        <f ca="1"/>
        <v>5.4090603397495496E-2</v>
      </c>
      <c r="AD89" s="156">
        <f ca="1"/>
        <v>8.8935124602912308E-2</v>
      </c>
      <c r="AE89" s="138">
        <f ca="1"/>
        <v>0.15018271025236263</v>
      </c>
      <c r="AG89" s="459" t="s">
        <v>587</v>
      </c>
      <c r="AH89" s="461"/>
      <c r="AI89" s="460"/>
      <c r="AJ89" s="462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6">
        <f ca="1"/>
        <v>4.7427584534542877E-4</v>
      </c>
      <c r="P90" s="156">
        <f ca="1"/>
        <v>1.4311928976311616E-3</v>
      </c>
      <c r="Q90" s="156">
        <f ca="1"/>
        <v>5.6445727204701424E-3</v>
      </c>
      <c r="R90" s="156">
        <f ca="1"/>
        <v>1.2083366472728785E-2</v>
      </c>
      <c r="S90" s="156">
        <f ca="1"/>
        <v>0</v>
      </c>
      <c r="T90" s="156">
        <f ca="1"/>
        <v>3.048266662891419E-2</v>
      </c>
      <c r="U90" s="156">
        <f ca="1"/>
        <v>5.2131590664148963E-2</v>
      </c>
      <c r="V90" s="138">
        <f ca="1"/>
        <v>9.7294168276375825E-2</v>
      </c>
      <c r="W90" s="137">
        <f ca="1"/>
        <v>0</v>
      </c>
      <c r="X90" s="156">
        <f ca="1"/>
        <v>5.9280901297664723E-4</v>
      </c>
      <c r="Y90" s="156">
        <f ca="1"/>
        <v>1.6340822274196753E-3</v>
      </c>
      <c r="Z90" s="156">
        <f ca="1"/>
        <v>6.0136829117191093E-3</v>
      </c>
      <c r="AA90" s="156">
        <f ca="1"/>
        <v>1.2616492154036041E-2</v>
      </c>
      <c r="AB90" s="156">
        <f ca="1"/>
        <v>0</v>
      </c>
      <c r="AC90" s="156">
        <f ca="1"/>
        <v>3.1332121762011944E-2</v>
      </c>
      <c r="AD90" s="156">
        <f ca="1"/>
        <v>5.3283910455526051E-2</v>
      </c>
      <c r="AE90" s="138">
        <f ca="1"/>
        <v>9.8867927359021723E-2</v>
      </c>
      <c r="AG90" s="459" t="s">
        <v>588</v>
      </c>
      <c r="AH90" s="461">
        <v>1.125E-2</v>
      </c>
      <c r="AI90" s="460">
        <v>2026</v>
      </c>
      <c r="AJ90" s="462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6">
        <f ca="1"/>
        <v>1.3037194799899732E-3</v>
      </c>
      <c r="P91" s="156">
        <f ca="1"/>
        <v>2.2323224450209178E-3</v>
      </c>
      <c r="Q91" s="156">
        <f ca="1"/>
        <v>5.97143577634629E-3</v>
      </c>
      <c r="R91" s="156">
        <f ca="1"/>
        <v>1.2573430003739228E-2</v>
      </c>
      <c r="S91" s="156">
        <f ca="1"/>
        <v>0</v>
      </c>
      <c r="T91" s="156">
        <f ca="1"/>
        <v>3.3137922784891138E-2</v>
      </c>
      <c r="U91" s="156">
        <f ca="1"/>
        <v>5.3044322492660334E-2</v>
      </c>
      <c r="V91" s="138">
        <f ca="1"/>
        <v>9.4744611512971866E-2</v>
      </c>
      <c r="W91" s="137">
        <f ca="1"/>
        <v>0</v>
      </c>
      <c r="X91" s="156">
        <f ca="1"/>
        <v>1.4221503544191716E-3</v>
      </c>
      <c r="Y91" s="156">
        <f ca="1"/>
        <v>2.4350118940249521E-3</v>
      </c>
      <c r="Z91" s="156">
        <f ca="1"/>
        <v>6.3402827855200128E-3</v>
      </c>
      <c r="AA91" s="156">
        <f ca="1"/>
        <v>1.3106126716063815E-2</v>
      </c>
      <c r="AB91" s="156">
        <f ca="1"/>
        <v>0</v>
      </c>
      <c r="AC91" s="156">
        <f ca="1"/>
        <v>3.3984685623845823E-2</v>
      </c>
      <c r="AD91" s="156">
        <f ca="1"/>
        <v>5.4195358267573157E-2</v>
      </c>
      <c r="AE91" s="138">
        <f ca="1"/>
        <v>9.631924590294394E-2</v>
      </c>
      <c r="AG91" s="459" t="s">
        <v>589</v>
      </c>
      <c r="AH91" s="461">
        <v>5.7500000000000002E-2</v>
      </c>
      <c r="AI91" s="460">
        <v>2028</v>
      </c>
      <c r="AJ91" s="462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6">
        <f ca="1"/>
        <v>7.1132972843845899E-4</v>
      </c>
      <c r="P92" s="156">
        <f ca="1"/>
        <v>1.424494769770468E-3</v>
      </c>
      <c r="Q92" s="156">
        <f ca="1"/>
        <v>4.4978604330765393E-3</v>
      </c>
      <c r="R92" s="156">
        <f ca="1"/>
        <v>9.3168424574170405E-3</v>
      </c>
      <c r="S92" s="156">
        <f ca="1"/>
        <v>0</v>
      </c>
      <c r="T92" s="156">
        <f ca="1"/>
        <v>2.425571956984196E-2</v>
      </c>
      <c r="U92" s="156">
        <f ca="1"/>
        <v>4.3754403660222319E-2</v>
      </c>
      <c r="V92" s="138">
        <f ca="1"/>
        <v>8.2071992043405761E-2</v>
      </c>
      <c r="W92" s="137">
        <f ca="1"/>
        <v>0</v>
      </c>
      <c r="X92" s="156">
        <f ca="1"/>
        <v>8.2983405341885419E-4</v>
      </c>
      <c r="Y92" s="156">
        <f ca="1"/>
        <v>1.6273614157106264E-3</v>
      </c>
      <c r="Z92" s="156">
        <f ca="1"/>
        <v>4.8672840036253495E-3</v>
      </c>
      <c r="AA92" s="156">
        <f ca="1"/>
        <v>9.8511713070525975E-3</v>
      </c>
      <c r="AB92" s="156">
        <f ca="1"/>
        <v>0</v>
      </c>
      <c r="AC92" s="156">
        <f ca="1"/>
        <v>2.5110745826064984E-2</v>
      </c>
      <c r="AD92" s="156">
        <f ca="1"/>
        <v>4.4916791209619333E-2</v>
      </c>
      <c r="AE92" s="138">
        <f ca="1"/>
        <v>8.3647116461110782E-2</v>
      </c>
      <c r="AG92" s="459" t="s">
        <v>590</v>
      </c>
      <c r="AH92" s="461">
        <v>5.0000000000000001E-3</v>
      </c>
      <c r="AI92" s="460">
        <v>2027</v>
      </c>
      <c r="AJ92" s="462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6">
        <f ca="1"/>
        <v>1.0668055594751369E-3</v>
      </c>
      <c r="P93" s="156">
        <f ca="1"/>
        <v>4.9173491126603963E-3</v>
      </c>
      <c r="Q93" s="156">
        <f ca="1"/>
        <v>1.3080260915498299E-2</v>
      </c>
      <c r="R93" s="156">
        <f ca="1"/>
        <v>2.4449664498798596E-2</v>
      </c>
      <c r="S93" s="156">
        <f ca="1"/>
        <v>0</v>
      </c>
      <c r="T93" s="156">
        <f ca="1"/>
        <v>6.010046949531378E-2</v>
      </c>
      <c r="U93" s="156">
        <f ca="1"/>
        <v>9.9505251489759416E-2</v>
      </c>
      <c r="V93" s="138">
        <f ca="1"/>
        <v>0.16776694058109209</v>
      </c>
      <c r="W93" s="137">
        <f ca="1"/>
        <v>0</v>
      </c>
      <c r="X93" s="156">
        <f ca="1"/>
        <v>1.1852660484611421E-3</v>
      </c>
      <c r="Y93" s="156">
        <f ca="1"/>
        <v>5.1196510113763471E-3</v>
      </c>
      <c r="Z93" s="156">
        <f ca="1"/>
        <v>1.3446676549749847E-2</v>
      </c>
      <c r="AA93" s="156">
        <f ca="1"/>
        <v>2.4976335334241262E-2</v>
      </c>
      <c r="AB93" s="156">
        <f ca="1"/>
        <v>0</v>
      </c>
      <c r="AC93" s="156">
        <f ca="1"/>
        <v>6.0918310882205118E-2</v>
      </c>
      <c r="AD93" s="156">
        <f ca="1"/>
        <v>0.10059623187639932</v>
      </c>
      <c r="AE93" s="138">
        <f ca="1"/>
        <v>0.16923410394967831</v>
      </c>
      <c r="AG93" s="459" t="s">
        <v>591</v>
      </c>
      <c r="AH93" s="461">
        <v>1.375E-2</v>
      </c>
      <c r="AI93" s="460">
        <v>2026</v>
      </c>
      <c r="AJ93" s="462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6">
        <f ca="1"/>
        <v>8.2983566879302195E-4</v>
      </c>
      <c r="P94" s="156">
        <f ca="1"/>
        <v>2.0397426172065192E-3</v>
      </c>
      <c r="Q94" s="156">
        <f ca="1"/>
        <v>7.5107178901322458E-3</v>
      </c>
      <c r="R94" s="156">
        <f ca="1"/>
        <v>1.7013913811708803E-2</v>
      </c>
      <c r="S94" s="156">
        <f ca="1"/>
        <v>0</v>
      </c>
      <c r="T94" s="156">
        <f ca="1"/>
        <v>4.2870301169397829E-2</v>
      </c>
      <c r="U94" s="156">
        <f ca="1"/>
        <v>7.2667305486229683E-2</v>
      </c>
      <c r="V94" s="138">
        <f ca="1"/>
        <v>0.1266478621802859</v>
      </c>
      <c r="W94" s="137">
        <f ca="1"/>
        <v>0</v>
      </c>
      <c r="X94" s="156">
        <f ca="1"/>
        <v>9.4832545884104835E-4</v>
      </c>
      <c r="Y94" s="156">
        <f ca="1"/>
        <v>2.242507228336077E-3</v>
      </c>
      <c r="Z94" s="156">
        <f ca="1"/>
        <v>7.8791670384001922E-3</v>
      </c>
      <c r="AA94" s="156">
        <f ca="1"/>
        <v>1.7544692165991083E-2</v>
      </c>
      <c r="AB94" s="156">
        <f ca="1"/>
        <v>0</v>
      </c>
      <c r="AC94" s="156">
        <f ca="1"/>
        <v>4.3707695932808988E-2</v>
      </c>
      <c r="AD94" s="156">
        <f ca="1"/>
        <v>7.379440769426282E-2</v>
      </c>
      <c r="AE94" s="138">
        <f ca="1"/>
        <v>0.12817685360678122</v>
      </c>
      <c r="AG94" s="459" t="s">
        <v>592</v>
      </c>
      <c r="AH94" s="461">
        <v>0.01</v>
      </c>
      <c r="AI94" s="460">
        <v>2025</v>
      </c>
      <c r="AJ94" s="462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6">
        <f ca="1"/>
        <v>5.92809788134252E-4</v>
      </c>
      <c r="P95" s="156">
        <f ca="1"/>
        <v>1.2215858978688043E-3</v>
      </c>
      <c r="Q95" s="156">
        <f ca="1"/>
        <v>5.2683965251093534E-3</v>
      </c>
      <c r="R95" s="156">
        <f ca="1"/>
        <v>1.0417618632637016E-2</v>
      </c>
      <c r="S95" s="156">
        <f ca="1"/>
        <v>0</v>
      </c>
      <c r="T95" s="156">
        <f ca="1"/>
        <v>2.6928491420459277E-2</v>
      </c>
      <c r="U95" s="156">
        <f ca="1"/>
        <v>4.7352842827856123E-2</v>
      </c>
      <c r="V95" s="138">
        <f ca="1"/>
        <v>8.8885606412389739E-2</v>
      </c>
      <c r="W95" s="137">
        <f ca="1"/>
        <v>0</v>
      </c>
      <c r="X95" s="156">
        <f ca="1"/>
        <v>7.1132857205080668E-4</v>
      </c>
      <c r="Y95" s="156">
        <f ca="1"/>
        <v>1.4244939898572229E-3</v>
      </c>
      <c r="Z95" s="156">
        <f ca="1"/>
        <v>5.6376269341020802E-3</v>
      </c>
      <c r="AA95" s="156">
        <f ca="1"/>
        <v>1.0951460428590076E-2</v>
      </c>
      <c r="AB95" s="156">
        <f ca="1"/>
        <v>0</v>
      </c>
      <c r="AC95" s="156">
        <f ca="1"/>
        <v>2.7781135522959133E-2</v>
      </c>
      <c r="AD95" s="156">
        <f ca="1"/>
        <v>4.8510921517219141E-2</v>
      </c>
      <c r="AE95" s="138">
        <f ca="1"/>
        <v>9.0471916297283794E-2</v>
      </c>
      <c r="AG95" s="459" t="s">
        <v>593</v>
      </c>
      <c r="AH95" s="461">
        <v>1.375E-2</v>
      </c>
      <c r="AI95" s="460">
        <v>2025</v>
      </c>
      <c r="AJ95" s="462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6">
        <f ca="1"/>
        <v>1.0668055594751369E-3</v>
      </c>
      <c r="P96" s="156">
        <f ca="1"/>
        <v>1.82681674171703E-3</v>
      </c>
      <c r="Q96" s="156">
        <f ca="1"/>
        <v>6.7520133840045515E-3</v>
      </c>
      <c r="R96" s="156">
        <f ca="1"/>
        <v>1.2559028469296352E-2</v>
      </c>
      <c r="S96" s="156">
        <f ca="1"/>
        <v>0</v>
      </c>
      <c r="T96" s="156">
        <f ca="1"/>
        <v>3.3122961417895835E-2</v>
      </c>
      <c r="U96" s="156">
        <f ca="1"/>
        <v>5.3029240745912865E-2</v>
      </c>
      <c r="V96" s="138">
        <f ca="1"/>
        <v>9.281358717770527E-2</v>
      </c>
      <c r="W96" s="137">
        <f ca="1"/>
        <v>0</v>
      </c>
      <c r="X96" s="156">
        <f ca="1"/>
        <v>1.1852660484611421E-3</v>
      </c>
      <c r="Y96" s="156">
        <f ca="1"/>
        <v>2.0295891140291733E-3</v>
      </c>
      <c r="Z96" s="156">
        <f ca="1"/>
        <v>7.1206897583838691E-3</v>
      </c>
      <c r="AA96" s="156">
        <f ca="1"/>
        <v>1.3091714875940075E-2</v>
      </c>
      <c r="AB96" s="156">
        <f ca="1"/>
        <v>0</v>
      </c>
      <c r="AC96" s="156">
        <f ca="1"/>
        <v>3.3969679143209919E-2</v>
      </c>
      <c r="AD96" s="156">
        <f ca="1"/>
        <v>5.418023703811492E-2</v>
      </c>
      <c r="AE96" s="138">
        <f ca="1"/>
        <v>9.4366687777478475E-2</v>
      </c>
      <c r="AG96" s="459" t="s">
        <v>594</v>
      </c>
      <c r="AH96" s="461">
        <v>8.7500000000000008E-3</v>
      </c>
      <c r="AI96" s="460">
        <v>2027</v>
      </c>
      <c r="AJ96" s="462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6">
        <f ca="1"/>
        <v>8.2983566879302195E-4</v>
      </c>
      <c r="P97" s="156">
        <f ca="1"/>
        <v>3.4825250859364942E-3</v>
      </c>
      <c r="Q97" s="156">
        <f ca="1"/>
        <v>1.0112864877017569E-2</v>
      </c>
      <c r="R97" s="156">
        <f ca="1"/>
        <v>1.9072009042474192E-2</v>
      </c>
      <c r="S97" s="156">
        <f ca="1"/>
        <v>0</v>
      </c>
      <c r="T97" s="156">
        <f ca="1"/>
        <v>4.2503385488462553E-2</v>
      </c>
      <c r="U97" s="156">
        <f ca="1"/>
        <v>6.9665077177388457E-2</v>
      </c>
      <c r="V97" s="138">
        <f ca="1"/>
        <v>0.11711831631672098</v>
      </c>
      <c r="W97" s="137">
        <f ca="1"/>
        <v>0</v>
      </c>
      <c r="X97" s="156">
        <f ca="1"/>
        <v>9.4832545884104835E-4</v>
      </c>
      <c r="Y97" s="156">
        <f ca="1"/>
        <v>3.6850724189596562E-3</v>
      </c>
      <c r="Z97" s="156">
        <f ca="1"/>
        <v>1.0480376972781702E-2</v>
      </c>
      <c r="AA97" s="156">
        <f ca="1"/>
        <v>1.9601478320611654E-2</v>
      </c>
      <c r="AB97" s="156">
        <f ca="1"/>
        <v>0</v>
      </c>
      <c r="AC97" s="156">
        <f ca="1"/>
        <v>4.3340855532739364E-2</v>
      </c>
      <c r="AD97" s="156">
        <f ca="1"/>
        <v>7.0794682994841263E-2</v>
      </c>
      <c r="AE97" s="138">
        <f ca="1"/>
        <v>0.11865703114387327</v>
      </c>
      <c r="AG97" s="459" t="s">
        <v>595</v>
      </c>
      <c r="AH97" s="461"/>
      <c r="AI97" s="460"/>
      <c r="AJ97" s="462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6">
        <f ca="1"/>
        <v>3.5572789762250423E-4</v>
      </c>
      <c r="P98" s="156">
        <f ca="1"/>
        <v>1.0219611809689777E-3</v>
      </c>
      <c r="Q98" s="156">
        <f ca="1"/>
        <v>3.3816248583075081E-3</v>
      </c>
      <c r="R98" s="156">
        <f ca="1"/>
        <v>7.1411517392131474E-3</v>
      </c>
      <c r="S98" s="156">
        <f ca="1"/>
        <v>0</v>
      </c>
      <c r="T98" s="156">
        <f ca="1"/>
        <v>1.89242348014248E-2</v>
      </c>
      <c r="U98" s="156">
        <f ca="1"/>
        <v>3.3871972473283773E-2</v>
      </c>
      <c r="V98" s="138">
        <f ca="1"/>
        <v>6.0790809747725549E-2</v>
      </c>
      <c r="W98" s="137">
        <f ca="1"/>
        <v>0</v>
      </c>
      <c r="X98" s="156">
        <f ca="1"/>
        <v>4.7427537457878088E-4</v>
      </c>
      <c r="Y98" s="156">
        <f ca="1"/>
        <v>1.2249221600106885E-3</v>
      </c>
      <c r="Z98" s="156">
        <f ca="1"/>
        <v>3.7514498578111732E-3</v>
      </c>
      <c r="AA98" s="156">
        <f ca="1"/>
        <v>7.6765526935037576E-3</v>
      </c>
      <c r="AB98" s="156">
        <f ca="1"/>
        <v>0</v>
      </c>
      <c r="AC98" s="156">
        <f ca="1"/>
        <v>1.978396984629649E-2</v>
      </c>
      <c r="AD98" s="156">
        <f ca="1"/>
        <v>3.5045778666520033E-2</v>
      </c>
      <c r="AE98" s="138">
        <f ca="1"/>
        <v>6.2406336420824049E-2</v>
      </c>
      <c r="AG98" s="459" t="s">
        <v>596</v>
      </c>
      <c r="AH98" s="461">
        <v>1.4999999999999999E-2</v>
      </c>
      <c r="AI98" s="460">
        <v>2026</v>
      </c>
      <c r="AJ98" s="462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6">
        <f ca="1"/>
        <v>1.9549443271165146E-3</v>
      </c>
      <c r="P99" s="156">
        <f ca="1"/>
        <v>5.1582575638342565E-3</v>
      </c>
      <c r="Q99" s="156">
        <f ca="1"/>
        <v>1.2021968527421878E-2</v>
      </c>
      <c r="R99" s="156">
        <f ca="1"/>
        <v>1.9098077516489731E-2</v>
      </c>
      <c r="S99" s="156">
        <f ca="1"/>
        <v>0</v>
      </c>
      <c r="T99" s="156">
        <f ca="1"/>
        <v>3.6774760621987812E-2</v>
      </c>
      <c r="U99" s="156">
        <f ca="1"/>
        <v>5.5551001175305204E-2</v>
      </c>
      <c r="V99" s="138">
        <f ca="1"/>
        <v>8.4973800176150638E-2</v>
      </c>
      <c r="W99" s="137">
        <f ca="1"/>
        <v>0</v>
      </c>
      <c r="X99" s="156">
        <f ca="1"/>
        <v>2.0732920928702159E-3</v>
      </c>
      <c r="Y99" s="156">
        <f ca="1"/>
        <v>5.3604427608898719E-3</v>
      </c>
      <c r="Z99" s="156">
        <f ca="1"/>
        <v>1.2388623083622985E-2</v>
      </c>
      <c r="AA99" s="156">
        <f ca="1"/>
        <v>1.9626996347336778E-2</v>
      </c>
      <c r="AB99" s="156">
        <f ca="1"/>
        <v>0</v>
      </c>
      <c r="AC99" s="156">
        <f ca="1"/>
        <v>3.7617036160661255E-2</v>
      </c>
      <c r="AD99" s="156">
        <f ca="1"/>
        <v>5.6695864453331413E-2</v>
      </c>
      <c r="AE99" s="138">
        <f ca="1"/>
        <v>8.6539881734290058E-2</v>
      </c>
      <c r="AG99" s="459" t="s">
        <v>597</v>
      </c>
      <c r="AH99" s="461">
        <v>0.03</v>
      </c>
      <c r="AI99" s="460">
        <v>2027</v>
      </c>
      <c r="AJ99" s="462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6">
        <f ca="1"/>
        <v>4.7427584534542877E-4</v>
      </c>
      <c r="P100" s="156">
        <f ca="1"/>
        <v>1.4311928976311616E-3</v>
      </c>
      <c r="Q100" s="156">
        <f ca="1"/>
        <v>4.5046699660206135E-3</v>
      </c>
      <c r="R100" s="156">
        <f ca="1"/>
        <v>7.6344089237194712E-3</v>
      </c>
      <c r="S100" s="156">
        <f ca="1"/>
        <v>0</v>
      </c>
      <c r="T100" s="156">
        <f ca="1"/>
        <v>1.8812066034366803E-2</v>
      </c>
      <c r="U100" s="156">
        <f ca="1"/>
        <v>3.1075998332032784E-2</v>
      </c>
      <c r="V100" s="138">
        <f ca="1"/>
        <v>5.3128311954827256E-2</v>
      </c>
      <c r="W100" s="137">
        <f ca="1"/>
        <v>0</v>
      </c>
      <c r="X100" s="156">
        <f ca="1"/>
        <v>5.9280901297664723E-4</v>
      </c>
      <c r="Y100" s="156">
        <f ca="1"/>
        <v>1.6340822274196753E-3</v>
      </c>
      <c r="Z100" s="156">
        <f ca="1"/>
        <v>4.8741157549777592E-3</v>
      </c>
      <c r="AA100" s="156">
        <f ca="1"/>
        <v>8.16939655539628E-3</v>
      </c>
      <c r="AB100" s="156">
        <f ca="1"/>
        <v>0</v>
      </c>
      <c r="AC100" s="156">
        <f ca="1"/>
        <v>1.9671579755250801E-2</v>
      </c>
      <c r="AD100" s="156">
        <f ca="1"/>
        <v>3.2252119037919358E-2</v>
      </c>
      <c r="AE100" s="138">
        <f ca="1"/>
        <v>5.4755965471950385E-2</v>
      </c>
      <c r="AG100" s="459" t="s">
        <v>598</v>
      </c>
      <c r="AH100" s="461">
        <v>1.8749999999999999E-2</v>
      </c>
      <c r="AI100" s="460">
        <v>2026</v>
      </c>
      <c r="AJ100" s="462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6">
        <f ca="1"/>
        <v>7.1132972843845899E-4</v>
      </c>
      <c r="P101" s="156">
        <f ca="1"/>
        <v>3.0738336176628911E-3</v>
      </c>
      <c r="Q101" s="156">
        <f ca="1"/>
        <v>8.6153708102660875E-3</v>
      </c>
      <c r="R101" s="156">
        <f ca="1"/>
        <v>1.8605820727647493E-2</v>
      </c>
      <c r="S101" s="156">
        <f ca="1"/>
        <v>0</v>
      </c>
      <c r="T101" s="156">
        <f ca="1"/>
        <v>4.7231317299224029E-2</v>
      </c>
      <c r="U101" s="156">
        <f ca="1"/>
        <v>8.1103916401422449E-2</v>
      </c>
      <c r="V101" s="138">
        <f ca="1"/>
        <v>0.14159017698058463</v>
      </c>
      <c r="W101" s="137">
        <f ca="1"/>
        <v>0</v>
      </c>
      <c r="X101" s="156">
        <f ca="1"/>
        <v>8.2983405341885419E-4</v>
      </c>
      <c r="Y101" s="156">
        <f ca="1"/>
        <v>3.2764545066862327E-3</v>
      </c>
      <c r="Z101" s="156">
        <f ca="1"/>
        <v>8.9834008639905205E-3</v>
      </c>
      <c r="AA101" s="156">
        <f ca="1"/>
        <v>1.9135693281562616E-2</v>
      </c>
      <c r="AB101" s="156">
        <f ca="1"/>
        <v>0</v>
      </c>
      <c r="AC101" s="156">
        <f ca="1"/>
        <v>4.8063958061840828E-2</v>
      </c>
      <c r="AD101" s="156">
        <f ca="1"/>
        <v>8.2219912385388394E-2</v>
      </c>
      <c r="AE101" s="138">
        <f ca="1"/>
        <v>0.14309827374612694</v>
      </c>
      <c r="AG101" s="459" t="s">
        <v>599</v>
      </c>
      <c r="AH101" s="461">
        <v>1.8749999999999999E-2</v>
      </c>
      <c r="AI101" s="460">
        <v>2025</v>
      </c>
      <c r="AJ101" s="462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6">
        <f ca="1"/>
        <v>4.7427584534542877E-4</v>
      </c>
      <c r="P102" s="156">
        <f ca="1"/>
        <v>1.0186357831003523E-3</v>
      </c>
      <c r="Q102" s="156">
        <f ca="1"/>
        <v>3.3782543653901875E-3</v>
      </c>
      <c r="R102" s="156">
        <f ca="1"/>
        <v>6.5740981173608715E-3</v>
      </c>
      <c r="S102" s="156">
        <f ca="1"/>
        <v>0</v>
      </c>
      <c r="T102" s="156">
        <f ca="1"/>
        <v>1.8030539363149578E-2</v>
      </c>
      <c r="U102" s="156">
        <f ca="1"/>
        <v>3.1320162875805413E-2</v>
      </c>
      <c r="V102" s="138">
        <f ca="1"/>
        <v>5.9312107698646477E-2</v>
      </c>
      <c r="W102" s="137">
        <f ca="1"/>
        <v>0</v>
      </c>
      <c r="X102" s="156">
        <f ca="1"/>
        <v>5.9280901297664723E-4</v>
      </c>
      <c r="Y102" s="156">
        <f ca="1"/>
        <v>1.2215853039712066E-3</v>
      </c>
      <c r="Z102" s="156">
        <f ca="1"/>
        <v>3.7480682373655094E-3</v>
      </c>
      <c r="AA102" s="156">
        <f ca="1"/>
        <v>7.1096990289594153E-3</v>
      </c>
      <c r="AB102" s="156">
        <f ca="1"/>
        <v>0</v>
      </c>
      <c r="AC102" s="156">
        <f ca="1"/>
        <v>1.8891000249581458E-2</v>
      </c>
      <c r="AD102" s="156">
        <f ca="1"/>
        <v>3.2496711101702491E-2</v>
      </c>
      <c r="AE102" s="138">
        <f ca="1"/>
        <v>6.0929953253097358E-2</v>
      </c>
      <c r="AG102" s="459" t="s">
        <v>600</v>
      </c>
      <c r="AH102" s="461">
        <v>2.2499999999999999E-2</v>
      </c>
      <c r="AI102" s="460">
        <v>2026</v>
      </c>
      <c r="AJ102" s="462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6">
        <f ca="1"/>
        <v>5.92809788134252E-4</v>
      </c>
      <c r="P103" s="156">
        <f ca="1"/>
        <v>1.0153107015465901E-3</v>
      </c>
      <c r="Q103" s="156">
        <f ca="1"/>
        <v>3.3748841363133719E-3</v>
      </c>
      <c r="R103" s="156">
        <f ca="1"/>
        <v>7.1343253010464069E-3</v>
      </c>
      <c r="S103" s="156">
        <f ca="1"/>
        <v>0</v>
      </c>
      <c r="T103" s="156">
        <f ca="1"/>
        <v>1.7986714767819212E-2</v>
      </c>
      <c r="U103" s="156">
        <f ca="1"/>
        <v>3.1275984294488413E-2</v>
      </c>
      <c r="V103" s="138">
        <f ca="1"/>
        <v>4.9365166005820527E-2</v>
      </c>
      <c r="W103" s="137">
        <f ca="1"/>
        <v>0</v>
      </c>
      <c r="X103" s="156">
        <f ca="1"/>
        <v>7.1132857205080668E-4</v>
      </c>
      <c r="Y103" s="156">
        <f ca="1"/>
        <v>1.218248712366865E-3</v>
      </c>
      <c r="Z103" s="156">
        <f ca="1"/>
        <v>3.744686884849191E-3</v>
      </c>
      <c r="AA103" s="156">
        <f ca="1"/>
        <v>7.6697052216219141E-3</v>
      </c>
      <c r="AB103" s="156">
        <f ca="1"/>
        <v>0</v>
      </c>
      <c r="AC103" s="156">
        <f ca="1"/>
        <v>1.8847150349240893E-2</v>
      </c>
      <c r="AD103" s="156">
        <f ca="1"/>
        <v>3.245240787385606E-2</v>
      </c>
      <c r="AE103" s="138">
        <f ca="1"/>
        <v>5.0999579369894299E-2</v>
      </c>
      <c r="AG103" s="459" t="s">
        <v>601</v>
      </c>
      <c r="AH103" s="461">
        <v>6.2500000000000003E-3</v>
      </c>
      <c r="AI103" s="460">
        <v>2025</v>
      </c>
      <c r="AJ103" s="462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6">
        <f ca="1"/>
        <v>3.5572789762250423E-4</v>
      </c>
      <c r="P104" s="156">
        <f ca="1"/>
        <v>2.2594959386370572E-3</v>
      </c>
      <c r="Q104" s="156">
        <f ca="1"/>
        <v>5.6192835520353368E-3</v>
      </c>
      <c r="R104" s="156">
        <f ca="1"/>
        <v>1.0932887554944704E-2</v>
      </c>
      <c r="S104" s="156">
        <f ca="1"/>
        <v>0</v>
      </c>
      <c r="T104" s="156">
        <f ca="1"/>
        <v>2.591184078624742E-2</v>
      </c>
      <c r="U104" s="156">
        <f ca="1"/>
        <v>4.469343944347548E-2</v>
      </c>
      <c r="V104" s="138">
        <f ca="1"/>
        <v>7.9527180231379946E-2</v>
      </c>
      <c r="W104" s="137">
        <f ca="1"/>
        <v>0</v>
      </c>
      <c r="X104" s="156">
        <f ca="1"/>
        <v>4.7427537457878088E-4</v>
      </c>
      <c r="Y104" s="156">
        <f ca="1"/>
        <v>2.4622737992273658E-3</v>
      </c>
      <c r="Z104" s="156">
        <f ca="1"/>
        <v>5.9883308392605361E-3</v>
      </c>
      <c r="AA104" s="156">
        <f ca="1"/>
        <v>1.1466372417213155E-2</v>
      </c>
      <c r="AB104" s="156">
        <f ca="1"/>
        <v>0</v>
      </c>
      <c r="AC104" s="156">
        <f ca="1"/>
        <v>2.6765175319648171E-2</v>
      </c>
      <c r="AD104" s="156">
        <f ca="1"/>
        <v>4.5854071430433962E-2</v>
      </c>
      <c r="AE104" s="138">
        <f ca="1"/>
        <v>8.1106916723285072E-2</v>
      </c>
      <c r="AG104" s="459" t="s">
        <v>602</v>
      </c>
      <c r="AH104" s="461">
        <v>1.6250000000000001E-2</v>
      </c>
      <c r="AI104" s="460">
        <v>2024</v>
      </c>
      <c r="AJ104" s="462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6">
        <f ca="1"/>
        <v>3.5572789762250423E-4</v>
      </c>
      <c r="P105" s="156">
        <f ca="1"/>
        <v>1.0219611809689777E-3</v>
      </c>
      <c r="Q105" s="156">
        <f ca="1"/>
        <v>3.3816248583075081E-3</v>
      </c>
      <c r="R105" s="156">
        <f ca="1"/>
        <v>7.1411517392131474E-3</v>
      </c>
      <c r="S105" s="156">
        <f ca="1"/>
        <v>0</v>
      </c>
      <c r="T105" s="156">
        <f ca="1"/>
        <v>1.89242348014248E-2</v>
      </c>
      <c r="U105" s="156">
        <f ca="1"/>
        <v>3.3871972473283773E-2</v>
      </c>
      <c r="V105" s="138">
        <f ca="1"/>
        <v>6.0790809747725549E-2</v>
      </c>
      <c r="W105" s="137">
        <f ca="1"/>
        <v>0</v>
      </c>
      <c r="X105" s="156">
        <f ca="1"/>
        <v>4.7427537457878088E-4</v>
      </c>
      <c r="Y105" s="156">
        <f ca="1"/>
        <v>1.2249221600106885E-3</v>
      </c>
      <c r="Z105" s="156">
        <f ca="1"/>
        <v>3.7514498578111732E-3</v>
      </c>
      <c r="AA105" s="156">
        <f ca="1"/>
        <v>7.6765526935037576E-3</v>
      </c>
      <c r="AB105" s="156">
        <f ca="1"/>
        <v>0</v>
      </c>
      <c r="AC105" s="156">
        <f ca="1"/>
        <v>1.978396984629649E-2</v>
      </c>
      <c r="AD105" s="156">
        <f ca="1"/>
        <v>3.5045778666520033E-2</v>
      </c>
      <c r="AE105" s="138">
        <f ca="1"/>
        <v>6.2406336420824049E-2</v>
      </c>
      <c r="AG105" s="459" t="s">
        <v>603</v>
      </c>
      <c r="AH105" s="461">
        <v>1.495E-2</v>
      </c>
      <c r="AI105" s="460">
        <v>2025</v>
      </c>
      <c r="AJ105" s="462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6">
        <f ca="1"/>
        <v>1.0668055594751369E-3</v>
      </c>
      <c r="P106" s="156">
        <f ca="1"/>
        <v>1.82681674171703E-3</v>
      </c>
      <c r="Q106" s="156">
        <f ca="1"/>
        <v>6.7520133840045515E-3</v>
      </c>
      <c r="R106" s="156">
        <f ca="1"/>
        <v>1.4244373412429123E-2</v>
      </c>
      <c r="S106" s="156">
        <f ca="1"/>
        <v>0</v>
      </c>
      <c r="T106" s="156">
        <f ca="1"/>
        <v>3.8527741938218729E-2</v>
      </c>
      <c r="U106" s="156">
        <f ca="1"/>
        <v>6.685410395422009E-2</v>
      </c>
      <c r="V106" s="138">
        <f ca="1"/>
        <v>0.11117873460925354</v>
      </c>
      <c r="W106" s="137">
        <f ca="1"/>
        <v>0</v>
      </c>
      <c r="X106" s="156">
        <f ca="1"/>
        <v>1.1852660484611421E-3</v>
      </c>
      <c r="Y106" s="156">
        <f ca="1"/>
        <v>2.0295891140291733E-3</v>
      </c>
      <c r="Z106" s="156">
        <f ca="1"/>
        <v>7.1206897583838691E-3</v>
      </c>
      <c r="AA106" s="156">
        <f ca="1"/>
        <v>1.4776385324939523E-2</v>
      </c>
      <c r="AB106" s="156">
        <f ca="1"/>
        <v>0</v>
      </c>
      <c r="AC106" s="156">
        <f ca="1"/>
        <v>3.9369327112883545E-2</v>
      </c>
      <c r="AD106" s="156">
        <f ca="1"/>
        <v>6.7988750237933271E-2</v>
      </c>
      <c r="AE106" s="138">
        <f ca="1"/>
        <v>0.11272855247679014</v>
      </c>
      <c r="AG106" s="459" t="s">
        <v>604</v>
      </c>
      <c r="AH106" s="461">
        <v>7.4999999999999997E-3</v>
      </c>
      <c r="AI106" s="460">
        <v>2026</v>
      </c>
      <c r="AJ106" s="462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6">
        <f ca="1"/>
        <v>3.5572789762250423E-4</v>
      </c>
      <c r="P107" s="156">
        <f ca="1"/>
        <v>1.0219611809689777E-3</v>
      </c>
      <c r="Q107" s="156">
        <f ca="1"/>
        <v>4.5222880226672979E-3</v>
      </c>
      <c r="R107" s="156">
        <f ca="1"/>
        <v>8.7785629326436743E-3</v>
      </c>
      <c r="S107" s="156">
        <f ca="1"/>
        <v>0</v>
      </c>
      <c r="T107" s="156">
        <f ca="1"/>
        <v>2.3394397344766449E-2</v>
      </c>
      <c r="U107" s="156">
        <f ca="1"/>
        <v>4.2583629992739347E-2</v>
      </c>
      <c r="V107" s="138">
        <f ca="1"/>
        <v>7.8509467981126457E-2</v>
      </c>
      <c r="W107" s="137">
        <f ca="1"/>
        <v>0</v>
      </c>
      <c r="X107" s="156">
        <f ca="1"/>
        <v>4.7427537457878088E-4</v>
      </c>
      <c r="Y107" s="156">
        <f ca="1"/>
        <v>1.2249221600106885E-3</v>
      </c>
      <c r="Z107" s="156">
        <f ca="1"/>
        <v>4.8917837554326438E-3</v>
      </c>
      <c r="AA107" s="156">
        <f ca="1"/>
        <v>9.3131853026637845E-3</v>
      </c>
      <c r="AB107" s="156">
        <f ca="1"/>
        <v>0</v>
      </c>
      <c r="AC107" s="156">
        <f ca="1"/>
        <v>2.4250244687142986E-2</v>
      </c>
      <c r="AD107" s="156">
        <f ca="1"/>
        <v>4.3747529691084863E-2</v>
      </c>
      <c r="AE107" s="138">
        <f ca="1"/>
        <v>8.0092074058688678E-2</v>
      </c>
      <c r="AH107" s="135"/>
      <c r="AI107" s="460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6">
        <f ca="1"/>
        <v>8.2983566879302195E-4</v>
      </c>
      <c r="P108" s="156">
        <f ca="1"/>
        <v>2.2459066075927181E-3</v>
      </c>
      <c r="Q108" s="156">
        <f ca="1"/>
        <v>7.5034093323393947E-3</v>
      </c>
      <c r="R108" s="156">
        <f ca="1"/>
        <v>1.5884129451970486E-2</v>
      </c>
      <c r="S108" s="156">
        <f ca="1"/>
        <v>0</v>
      </c>
      <c r="T108" s="156">
        <f ca="1"/>
        <v>4.3869452795477382E-2</v>
      </c>
      <c r="U108" s="156">
        <f ca="1"/>
        <v>7.3959974389593452E-2</v>
      </c>
      <c r="V108" s="138">
        <f ca="1"/>
        <v>0.12452065718078842</v>
      </c>
      <c r="W108" s="137">
        <f ca="1"/>
        <v>0</v>
      </c>
      <c r="X108" s="156">
        <f ca="1"/>
        <v>9.4832545884104835E-4</v>
      </c>
      <c r="Y108" s="156">
        <f ca="1"/>
        <v>2.4486406868775568E-3</v>
      </c>
      <c r="Z108" s="156">
        <f ca="1"/>
        <v>7.8718427294501847E-3</v>
      </c>
      <c r="AA108" s="156">
        <f ca="1"/>
        <v>1.6415356380800161E-2</v>
      </c>
      <c r="AB108" s="156">
        <f ca="1"/>
        <v>0</v>
      </c>
      <c r="AC108" s="156">
        <f ca="1"/>
        <v>4.4705491597476277E-2</v>
      </c>
      <c r="AD108" s="156">
        <f ca="1"/>
        <v>7.5085952405781864E-2</v>
      </c>
      <c r="AE108" s="138">
        <f ca="1"/>
        <v>0.12605136918797877</v>
      </c>
      <c r="AH108" s="135"/>
      <c r="AI108" s="460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6">
        <f ca="1"/>
        <v>4.7427584534542877E-4</v>
      </c>
      <c r="P109" s="156">
        <f ca="1"/>
        <v>1.843680337743514E-3</v>
      </c>
      <c r="Q109" s="156">
        <f ca="1"/>
        <v>5.2503551541845939E-3</v>
      </c>
      <c r="R109" s="156">
        <f ca="1"/>
        <v>9.2739025279040543E-3</v>
      </c>
      <c r="S109" s="156">
        <f ca="1"/>
        <v>0</v>
      </c>
      <c r="T109" s="156">
        <f ca="1"/>
        <v>2.2355737914402707E-2</v>
      </c>
      <c r="U109" s="156">
        <f ca="1"/>
        <v>3.5883190342468674E-2</v>
      </c>
      <c r="V109" s="138">
        <f ca="1"/>
        <v>5.97549953393266E-2</v>
      </c>
      <c r="W109" s="137">
        <f ca="1"/>
        <v>0</v>
      </c>
      <c r="X109" s="156">
        <f ca="1"/>
        <v>5.9280901297664723E-4</v>
      </c>
      <c r="Y109" s="156">
        <f ca="1"/>
        <v>2.0465088302080714E-3</v>
      </c>
      <c r="Z109" s="156">
        <f ca="1"/>
        <v>5.6195407345783766E-3</v>
      </c>
      <c r="AA109" s="156">
        <f ca="1"/>
        <v>9.8081150182210974E-3</v>
      </c>
      <c r="AB109" s="156">
        <f ca="1"/>
        <v>0</v>
      </c>
      <c r="AC109" s="156">
        <f ca="1"/>
        <v>2.3212162033931061E-2</v>
      </c>
      <c r="AD109" s="156">
        <f ca="1"/>
        <v>3.7053621362015621E-2</v>
      </c>
      <c r="AE109" s="138">
        <f ca="1"/>
        <v>6.1370469252284954E-2</v>
      </c>
      <c r="AH109" s="135"/>
      <c r="AI109" s="460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6">
        <f ca="1"/>
        <v>9.4832761164653778E-4</v>
      </c>
      <c r="P110" s="156">
        <f ca="1"/>
        <v>1.6240020737794403E-3</v>
      </c>
      <c r="Q110" s="156">
        <f ca="1"/>
        <v>6.3831036572502553E-3</v>
      </c>
      <c r="R110" s="156">
        <f ca="1"/>
        <v>1.2587992658674496E-2</v>
      </c>
      <c r="S110" s="156">
        <f ca="1"/>
        <v>0</v>
      </c>
      <c r="T110" s="156">
        <f ca="1"/>
        <v>3.7766796609748465E-2</v>
      </c>
      <c r="U110" s="156">
        <f ca="1"/>
        <v>6.5798744254337405E-2</v>
      </c>
      <c r="V110" s="138">
        <f ca="1"/>
        <v>0.11356066423537181</v>
      </c>
      <c r="W110" s="137">
        <f ca="1"/>
        <v>0</v>
      </c>
      <c r="X110" s="156">
        <f ca="1"/>
        <v>1.0668027899637389E-3</v>
      </c>
      <c r="Y110" s="156">
        <f ca="1"/>
        <v>1.8268158814503943E-3</v>
      </c>
      <c r="Z110" s="156">
        <f ca="1"/>
        <v>6.7519233275376012E-3</v>
      </c>
      <c r="AA110" s="156">
        <f ca="1"/>
        <v>1.3120752496198262E-2</v>
      </c>
      <c r="AB110" s="156">
        <f ca="1"/>
        <v>0</v>
      </c>
      <c r="AC110" s="156">
        <f ca="1"/>
        <v>3.8609001859938985E-2</v>
      </c>
      <c r="AD110" s="156">
        <f ca="1"/>
        <v>6.6935201009898915E-2</v>
      </c>
      <c r="AE110" s="138">
        <f ca="1"/>
        <v>0.11510931104746192</v>
      </c>
      <c r="AH110" s="135"/>
      <c r="AI110" s="460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6">
        <f ca="1"/>
        <v>1.8957595419148987E-3</v>
      </c>
      <c r="P111" s="156">
        <f ca="1"/>
        <v>3.8631671088448227E-3</v>
      </c>
      <c r="Q111" s="156">
        <f ca="1"/>
        <v>8.929447710004923E-3</v>
      </c>
      <c r="R111" s="156">
        <f ca="1"/>
        <v>1.4596603514924755E-2</v>
      </c>
      <c r="S111" s="156">
        <f ca="1"/>
        <v>0</v>
      </c>
      <c r="T111" s="156">
        <f ca="1"/>
        <v>2.904722498982315E-2</v>
      </c>
      <c r="U111" s="156">
        <f ca="1"/>
        <v>4.4403444956311655E-2</v>
      </c>
      <c r="V111" s="138">
        <f ca="1"/>
        <v>7.064934966862535E-2</v>
      </c>
      <c r="W111" s="137">
        <f ca="1"/>
        <v>0</v>
      </c>
      <c r="X111" s="156">
        <f ca="1"/>
        <v>2.0141149664358871E-3</v>
      </c>
      <c r="Y111" s="156">
        <f ca="1"/>
        <v>4.0655565307844421E-3</v>
      </c>
      <c r="Z111" s="156">
        <f ca="1"/>
        <v>9.2971876854652802E-3</v>
      </c>
      <c r="AA111" s="156">
        <f ca="1"/>
        <v>1.5127860510906976E-2</v>
      </c>
      <c r="AB111" s="156">
        <f ca="1"/>
        <v>0</v>
      </c>
      <c r="AC111" s="156">
        <f ca="1"/>
        <v>2.9896888128708055E-2</v>
      </c>
      <c r="AD111" s="156">
        <f ca="1"/>
        <v>4.556222210945704E-2</v>
      </c>
      <c r="AE111" s="138">
        <f ca="1"/>
        <v>7.2242789126114038E-2</v>
      </c>
      <c r="AH111" s="135"/>
      <c r="AI111" s="460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6">
        <f ca="1"/>
        <v>8.2983566879302195E-4</v>
      </c>
      <c r="P112" s="156">
        <f ca="1"/>
        <v>2.8642941472619698E-3</v>
      </c>
      <c r="Q112" s="156">
        <f ca="1"/>
        <v>9.3774002127985367E-3</v>
      </c>
      <c r="R112" s="156">
        <f ca="1"/>
        <v>1.9692790800470261E-2</v>
      </c>
      <c r="S112" s="156">
        <f ca="1"/>
        <v>0</v>
      </c>
      <c r="T112" s="156">
        <f ca="1"/>
        <v>4.9854230071452621E-2</v>
      </c>
      <c r="U112" s="156">
        <f ca="1"/>
        <v>8.5893940737007735E-2</v>
      </c>
      <c r="V112" s="138">
        <f ca="1"/>
        <v>0.14788976665231668</v>
      </c>
      <c r="W112" s="137">
        <f ca="1"/>
        <v>0</v>
      </c>
      <c r="X112" s="156">
        <f ca="1"/>
        <v>9.4832545884104835E-4</v>
      </c>
      <c r="Y112" s="156">
        <f ca="1"/>
        <v>3.0669356256665115E-3</v>
      </c>
      <c r="Z112" s="156">
        <f ca="1"/>
        <v>9.7451949310437547E-3</v>
      </c>
      <c r="AA112" s="156">
        <f ca="1"/>
        <v>2.022214267033251E-2</v>
      </c>
      <c r="AB112" s="156">
        <f ca="1"/>
        <v>0</v>
      </c>
      <c r="AC112" s="156">
        <f ca="1"/>
        <v>5.0684034635900432E-2</v>
      </c>
      <c r="AD112" s="156">
        <f ca="1"/>
        <v>8.7003507689336623E-2</v>
      </c>
      <c r="AE112" s="138">
        <f ca="1"/>
        <v>0.14938828623029077</v>
      </c>
      <c r="AH112" s="135"/>
      <c r="AI112" s="460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6">
        <f ca="1"/>
        <v>1.4221554576263618E-3</v>
      </c>
      <c r="P113" s="156">
        <f ca="1"/>
        <v>3.4651839813418794E-3</v>
      </c>
      <c r="Q113" s="156">
        <f ca="1"/>
        <v>1.160952972350815E-2</v>
      </c>
      <c r="R113" s="156">
        <f ca="1"/>
        <v>2.2335277591955971E-2</v>
      </c>
      <c r="S113" s="156">
        <f ca="1"/>
        <v>0</v>
      </c>
      <c r="T113" s="156">
        <f ca="1"/>
        <v>4.489204877476749E-2</v>
      </c>
      <c r="U113" s="156">
        <f ca="1"/>
        <v>7.4244515930655508E-2</v>
      </c>
      <c r="V113" s="138">
        <f ca="1"/>
        <v>0.13280181840770666</v>
      </c>
      <c r="W113" s="137">
        <f ca="1"/>
        <v>0</v>
      </c>
      <c r="X113" s="156">
        <f ca="1"/>
        <v>1.5405714051989206E-3</v>
      </c>
      <c r="Y113" s="156">
        <f ca="1"/>
        <v>3.6676784452275291E-3</v>
      </c>
      <c r="Z113" s="156">
        <f ca="1"/>
        <v>1.1976491123001254E-2</v>
      </c>
      <c r="AA113" s="156">
        <f ca="1"/>
        <v>2.2863150417530731E-2</v>
      </c>
      <c r="AB113" s="156">
        <f ca="1"/>
        <v>0</v>
      </c>
      <c r="AC113" s="156">
        <f ca="1"/>
        <v>4.5727256551387319E-2</v>
      </c>
      <c r="AD113" s="156">
        <f ca="1"/>
        <v>7.5367391693352714E-2</v>
      </c>
      <c r="AE113" s="138">
        <f ca="1"/>
        <v>0.13432032968903851</v>
      </c>
      <c r="AH113" s="135"/>
      <c r="AI113" s="460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6">
        <f ca="1"/>
        <v>2.1324777229810854E-3</v>
      </c>
      <c r="P114" s="156">
        <f ca="1"/>
        <v>4.267919821599242E-3</v>
      </c>
      <c r="Q114" s="156">
        <f ca="1"/>
        <v>8.5287604860236899E-3</v>
      </c>
      <c r="R114" s="156">
        <f ca="1"/>
        <v>1.4592899891197053E-2</v>
      </c>
      <c r="S114" s="156">
        <f ca="1"/>
        <v>0</v>
      </c>
      <c r="T114" s="156">
        <f ca="1"/>
        <v>3.365652493488458E-2</v>
      </c>
      <c r="U114" s="156">
        <f ca="1"/>
        <v>5.6514599952663613E-2</v>
      </c>
      <c r="V114" s="138">
        <f ca="1"/>
        <v>9.9468105325464906E-2</v>
      </c>
      <c r="W114" s="137">
        <f ca="1"/>
        <v>0</v>
      </c>
      <c r="X114" s="156">
        <f ca="1"/>
        <v>2.2508023855067893E-3</v>
      </c>
      <c r="Y114" s="156">
        <f ca="1"/>
        <v>4.4702256460634748E-3</v>
      </c>
      <c r="Z114" s="156">
        <f ca="1"/>
        <v>8.8965600080516127E-3</v>
      </c>
      <c r="AA114" s="156">
        <f ca="1"/>
        <v>1.5124128993578512E-2</v>
      </c>
      <c r="AB114" s="156">
        <f ca="1"/>
        <v>0</v>
      </c>
      <c r="AC114" s="156">
        <f ca="1"/>
        <v>3.4502125260922889E-2</v>
      </c>
      <c r="AD114" s="156">
        <f ca="1"/>
        <v>5.7660260834190957E-2</v>
      </c>
      <c r="AE114" s="138">
        <f ca="1"/>
        <v>0.10103479252693159</v>
      </c>
      <c r="AH114" s="135"/>
      <c r="AI114" s="460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6">
        <f ca="1"/>
        <v>7.1132972843845899E-4</v>
      </c>
      <c r="P115" s="156">
        <f ca="1"/>
        <v>1.6307230605586698E-3</v>
      </c>
      <c r="Q115" s="156">
        <f ca="1"/>
        <v>5.2506555144492539E-3</v>
      </c>
      <c r="R115" s="156">
        <f ca="1"/>
        <v>1.0399613149868481E-2</v>
      </c>
      <c r="S115" s="156">
        <f ca="1"/>
        <v>0</v>
      </c>
      <c r="T115" s="156">
        <f ca="1"/>
        <v>2.69099220278739E-2</v>
      </c>
      <c r="U115" s="156">
        <f ca="1"/>
        <v>4.6001478234742987E-2</v>
      </c>
      <c r="V115" s="138">
        <f ca="1"/>
        <v>8.7105849279449199E-2</v>
      </c>
      <c r="W115" s="137">
        <f ca="1"/>
        <v>0</v>
      </c>
      <c r="X115" s="156">
        <f ca="1"/>
        <v>8.2983405341885419E-4</v>
      </c>
      <c r="Y115" s="156">
        <f ca="1"/>
        <v>1.8335595656702175E-3</v>
      </c>
      <c r="Z115" s="156">
        <f ca="1"/>
        <v>5.6198378714237274E-3</v>
      </c>
      <c r="AA115" s="156">
        <f ca="1"/>
        <v>1.093339754771816E-2</v>
      </c>
      <c r="AB115" s="156">
        <f ca="1"/>
        <v>0</v>
      </c>
      <c r="AC115" s="156">
        <f ca="1"/>
        <v>2.7762515899062534E-2</v>
      </c>
      <c r="AD115" s="156">
        <f ca="1"/>
        <v>4.7160977327941334E-2</v>
      </c>
      <c r="AE115" s="138">
        <f ca="1"/>
        <v>8.8694476540336575E-2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6">
        <f ca="1"/>
        <v>1.0668055594751369E-3</v>
      </c>
      <c r="P116" s="156">
        <f ca="1"/>
        <v>2.0329740144949815E-3</v>
      </c>
      <c r="Q116" s="156">
        <f ca="1"/>
        <v>6.7447569386286377E-3</v>
      </c>
      <c r="R116" s="156">
        <f ca="1"/>
        <v>1.1427693013967843E-2</v>
      </c>
      <c r="S116" s="156">
        <f ca="1"/>
        <v>0</v>
      </c>
      <c r="T116" s="156">
        <f ca="1"/>
        <v>2.9503405746619582E-2</v>
      </c>
      <c r="U116" s="156">
        <f ca="1"/>
        <v>5.0845776892042394E-2</v>
      </c>
      <c r="V116" s="138">
        <f ca="1"/>
        <v>9.1703852248702367E-2</v>
      </c>
      <c r="W116" s="137">
        <f ca="1"/>
        <v>0</v>
      </c>
      <c r="X116" s="156">
        <f ca="1"/>
        <v>1.1852660484611421E-3</v>
      </c>
      <c r="Y116" s="156">
        <f ca="1"/>
        <v>2.235716217409478E-3</v>
      </c>
      <c r="Z116" s="156">
        <f ca="1"/>
        <v>7.1134165778203862E-3</v>
      </c>
      <c r="AA116" s="156">
        <f ca="1"/>
        <v>1.1960792462257119E-2</v>
      </c>
      <c r="AB116" s="156">
        <f ca="1"/>
        <v>0</v>
      </c>
      <c r="AC116" s="156">
        <f ca="1"/>
        <v>3.0353370811026736E-2</v>
      </c>
      <c r="AD116" s="156">
        <f ca="1"/>
        <v>5.1999328499558684E-2</v>
      </c>
      <c r="AE116" s="138">
        <f ca="1"/>
        <v>9.3284134380851258E-2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6">
        <f ca="1"/>
        <v>5.92809788134252E-4</v>
      </c>
      <c r="P117" s="156">
        <f ca="1"/>
        <v>1.4278436744080691E-3</v>
      </c>
      <c r="Q117" s="156">
        <f ca="1"/>
        <v>4.501265066182758E-3</v>
      </c>
      <c r="R117" s="156">
        <f ca="1"/>
        <v>9.8832168455255109E-3</v>
      </c>
      <c r="S117" s="156">
        <f ca="1"/>
        <v>0</v>
      </c>
      <c r="T117" s="156">
        <f ca="1"/>
        <v>2.6072619740150627E-2</v>
      </c>
      <c r="U117" s="156">
        <f ca="1"/>
        <v>4.3522142237371497E-2</v>
      </c>
      <c r="V117" s="138">
        <f ca="1"/>
        <v>8.3792633858175369E-2</v>
      </c>
      <c r="W117" s="137">
        <f ca="1"/>
        <v>0</v>
      </c>
      <c r="X117" s="156">
        <f ca="1"/>
        <v>7.1132857205080668E-4</v>
      </c>
      <c r="Y117" s="156">
        <f ca="1"/>
        <v>1.6307216884168252E-3</v>
      </c>
      <c r="Z117" s="156">
        <f ca="1"/>
        <v>4.8706997439680322E-3</v>
      </c>
      <c r="AA117" s="156">
        <f ca="1"/>
        <v>1.0417338543382115E-2</v>
      </c>
      <c r="AB117" s="156">
        <f ca="1"/>
        <v>0</v>
      </c>
      <c r="AC117" s="156">
        <f ca="1"/>
        <v>2.692610940262552E-2</v>
      </c>
      <c r="AD117" s="156">
        <f ca="1"/>
        <v>4.4684624747573176E-2</v>
      </c>
      <c r="AE117" s="138">
        <f ca="1"/>
        <v>8.5362899411047022E-2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6">
        <f ca="1"/>
        <v>2.3716594248646139E-4</v>
      </c>
      <c r="P118" s="156">
        <f ca="1"/>
        <v>1.0252868952381755E-3</v>
      </c>
      <c r="Q118" s="156">
        <f ca="1"/>
        <v>3.7652919310199318E-3</v>
      </c>
      <c r="R118" s="156">
        <f ca="1"/>
        <v>8.2540123369105878E-3</v>
      </c>
      <c r="S118" s="156">
        <f ca="1"/>
        <v>0</v>
      </c>
      <c r="T118" s="156">
        <f ca="1"/>
        <v>2.0688437594849507E-2</v>
      </c>
      <c r="U118" s="156">
        <f ca="1"/>
        <v>3.4926057907714192E-2</v>
      </c>
      <c r="V118" s="138">
        <f ca="1"/>
        <v>6.2293901515312999E-2</v>
      </c>
      <c r="W118" s="137">
        <f ca="1"/>
        <v>0</v>
      </c>
      <c r="X118" s="156">
        <f ca="1"/>
        <v>3.5572765515312632E-4</v>
      </c>
      <c r="Y118" s="156">
        <f ca="1"/>
        <v>1.2282592804744308E-3</v>
      </c>
      <c r="Z118" s="156">
        <f ca="1"/>
        <v>4.1350194152827147E-3</v>
      </c>
      <c r="AA118" s="156">
        <f ca="1"/>
        <v>8.7889506872708134E-3</v>
      </c>
      <c r="AB118" s="156">
        <f ca="1"/>
        <v>0</v>
      </c>
      <c r="AC118" s="156">
        <f ca="1"/>
        <v>2.1546654321206837E-2</v>
      </c>
      <c r="AD118" s="156">
        <f ca="1"/>
        <v>3.60982945444559E-2</v>
      </c>
      <c r="AE118" s="138">
        <f ca="1"/>
        <v>6.390599026697652E-2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6">
        <f ca="1"/>
        <v>7.1132972843845899E-4</v>
      </c>
      <c r="P119" s="156">
        <f ca="1"/>
        <v>1.8369339370009063E-3</v>
      </c>
      <c r="Q119" s="156">
        <f ca="1"/>
        <v>6.3827972374037589E-3</v>
      </c>
      <c r="R119" s="156">
        <f ca="1"/>
        <v>1.3149656784288699E-2</v>
      </c>
      <c r="S119" s="156">
        <f ca="1"/>
        <v>0</v>
      </c>
      <c r="T119" s="156">
        <f ca="1"/>
        <v>3.403334578233197E-2</v>
      </c>
      <c r="U119" s="156">
        <f ca="1"/>
        <v>6.0870028444480639E-2</v>
      </c>
      <c r="V119" s="138">
        <f ca="1"/>
        <v>0.11278075705768986</v>
      </c>
      <c r="W119" s="137">
        <f ca="1"/>
        <v>0</v>
      </c>
      <c r="X119" s="156">
        <f ca="1"/>
        <v>8.2983405341885419E-4</v>
      </c>
      <c r="Y119" s="156">
        <f ca="1"/>
        <v>2.0397401393977832E-3</v>
      </c>
      <c r="Z119" s="156">
        <f ca="1"/>
        <v>6.7516220129467674E-3</v>
      </c>
      <c r="AA119" s="156">
        <f ca="1"/>
        <v>1.3682189959969282E-2</v>
      </c>
      <c r="AB119" s="156">
        <f ca="1"/>
        <v>0</v>
      </c>
      <c r="AC119" s="156">
        <f ca="1"/>
        <v>3.4879353909113564E-2</v>
      </c>
      <c r="AD119" s="156">
        <f ca="1"/>
        <v>6.2011806536736658E-2</v>
      </c>
      <c r="AE119" s="138">
        <f ca="1"/>
        <v>0.11433322939435786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6">
        <f ca="1"/>
        <v>1.3510955494127064E-3</v>
      </c>
      <c r="P120" s="156">
        <f ca="1"/>
        <v>3.3436626401006642E-3</v>
      </c>
      <c r="Q120" s="156">
        <f ca="1"/>
        <v>8.8133854055703065E-3</v>
      </c>
      <c r="R120" s="156">
        <f ca="1"/>
        <v>1.5873579765606549E-2</v>
      </c>
      <c r="S120" s="156">
        <f ca="1"/>
        <v>0</v>
      </c>
      <c r="T120" s="156">
        <f ca="1"/>
        <v>3.5453529794571614E-2</v>
      </c>
      <c r="U120" s="156">
        <f ca="1"/>
        <v>5.362115743416529E-2</v>
      </c>
      <c r="V120" s="138">
        <f ca="1"/>
        <v>8.0230834969305276E-2</v>
      </c>
      <c r="W120" s="137">
        <f ca="1"/>
        <v>0</v>
      </c>
      <c r="X120" s="156">
        <f ca="1"/>
        <v>1.469520462742957E-3</v>
      </c>
      <c r="Y120" s="156">
        <f ca="1"/>
        <v>3.5461822011320088E-3</v>
      </c>
      <c r="Z120" s="156">
        <f ca="1"/>
        <v>9.1812637082778759E-3</v>
      </c>
      <c r="AA120" s="156">
        <f ca="1"/>
        <v>1.6404468729513177E-2</v>
      </c>
      <c r="AB120" s="156">
        <f ca="1"/>
        <v>0</v>
      </c>
      <c r="AC120" s="156">
        <f ca="1"/>
        <v>3.6297712391815118E-2</v>
      </c>
      <c r="AD120" s="156">
        <f ca="1"/>
        <v>5.476995985735611E-2</v>
      </c>
      <c r="AE120" s="138">
        <f ca="1"/>
        <v>8.1807498961091296E-2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6">
        <f ca="1"/>
        <v>1.3629392170944055E-3</v>
      </c>
      <c r="P121" s="156">
        <f ca="1"/>
        <v>3.6935035072079847E-3</v>
      </c>
      <c r="Q121" s="156">
        <f ca="1"/>
        <v>1.0467248760520964E-2</v>
      </c>
      <c r="R121" s="156">
        <f ca="1"/>
        <v>1.9028350150834927E-2</v>
      </c>
      <c r="S121" s="156">
        <f ca="1"/>
        <v>0</v>
      </c>
      <c r="T121" s="156">
        <f ca="1"/>
        <v>4.0622714248587655E-2</v>
      </c>
      <c r="U121" s="156">
        <f ca="1"/>
        <v>6.3240914663364123E-2</v>
      </c>
      <c r="V121" s="138">
        <f ca="1"/>
        <v>9.714446317254033E-2</v>
      </c>
      <c r="W121" s="137">
        <f ca="1"/>
        <v>0</v>
      </c>
      <c r="X121" s="156">
        <f ca="1"/>
        <v>1.4813626381441347E-3</v>
      </c>
      <c r="Y121" s="156">
        <f ca="1"/>
        <v>3.8959689190745106E-3</v>
      </c>
      <c r="Z121" s="156">
        <f ca="1"/>
        <v>1.0834575173736871E-2</v>
      </c>
      <c r="AA121" s="156">
        <f ca="1"/>
        <v>1.9557718270047153E-2</v>
      </c>
      <c r="AB121" s="156">
        <f ca="1"/>
        <v>0</v>
      </c>
      <c r="AC121" s="156">
        <f ca="1"/>
        <v>4.1461906631134138E-2</v>
      </c>
      <c r="AD121" s="156">
        <f ca="1"/>
        <v>6.4377932308637198E-2</v>
      </c>
      <c r="AE121" s="138">
        <f ca="1"/>
        <v>9.8689453409355199E-2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6">
        <f ca="1"/>
        <v>3.5572789762250423E-4</v>
      </c>
      <c r="P122" s="156">
        <f ca="1"/>
        <v>6.093102263552419E-4</v>
      </c>
      <c r="Q122" s="156">
        <f ca="1"/>
        <v>2.6348223928865933E-3</v>
      </c>
      <c r="R122" s="156">
        <f ca="1"/>
        <v>5.4985705382740724E-3</v>
      </c>
      <c r="S122" s="156">
        <f ca="1"/>
        <v>0</v>
      </c>
      <c r="T122" s="156">
        <f ca="1"/>
        <v>1.5369659348887788E-2</v>
      </c>
      <c r="U122" s="156">
        <f ca="1"/>
        <v>2.7705169534139484E-2</v>
      </c>
      <c r="V122" s="138">
        <f ca="1"/>
        <v>5.0365831382911841E-2</v>
      </c>
      <c r="W122" s="137">
        <f ca="1"/>
        <v>0</v>
      </c>
      <c r="X122" s="156">
        <f ca="1"/>
        <v>4.7427537457878088E-4</v>
      </c>
      <c r="Y122" s="156">
        <f ca="1"/>
        <v>8.1233095605526273E-4</v>
      </c>
      <c r="Z122" s="156">
        <f ca="1"/>
        <v>3.0049051454453801E-3</v>
      </c>
      <c r="AA122" s="156">
        <f ca="1"/>
        <v>6.0347461492313847E-3</v>
      </c>
      <c r="AB122" s="156">
        <f ca="1"/>
        <v>0</v>
      </c>
      <c r="AC122" s="156">
        <f ca="1"/>
        <v>1.6232445849370336E-2</v>
      </c>
      <c r="AD122" s="156">
        <f ca="1"/>
        <v>2.8886016414296001E-2</v>
      </c>
      <c r="AE122" s="138">
        <f ca="1"/>
        <v>5.1999893982797363E-2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6">
        <f ca="1"/>
        <v>8.2983566879302195E-4</v>
      </c>
      <c r="P123" s="156">
        <f ca="1"/>
        <v>2.452053191280279E-3</v>
      </c>
      <c r="Q123" s="156">
        <f ca="1"/>
        <v>7.1166775365891777E-3</v>
      </c>
      <c r="R123" s="156">
        <f ca="1"/>
        <v>1.4210923829425459E-2</v>
      </c>
      <c r="S123" s="156">
        <f ca="1"/>
        <v>0</v>
      </c>
      <c r="T123" s="156">
        <f ca="1"/>
        <v>3.3883575064096672E-2</v>
      </c>
      <c r="U123" s="156">
        <f ca="1"/>
        <v>5.6744387463104951E-2</v>
      </c>
      <c r="V123" s="138">
        <f ca="1"/>
        <v>9.5854324253155876E-2</v>
      </c>
      <c r="W123" s="137">
        <f ca="1"/>
        <v>0</v>
      </c>
      <c r="X123" s="156">
        <f ca="1"/>
        <v>9.4832545884104835E-4</v>
      </c>
      <c r="Y123" s="156">
        <f ca="1"/>
        <v>2.6547565723062938E-3</v>
      </c>
      <c r="Z123" s="156">
        <f ca="1"/>
        <v>7.4852104275057174E-3</v>
      </c>
      <c r="AA123" s="156">
        <f ca="1"/>
        <v>1.4742851104915911E-2</v>
      </c>
      <c r="AB123" s="156">
        <f ca="1"/>
        <v>0</v>
      </c>
      <c r="AC123" s="156">
        <f ca="1"/>
        <v>3.4729585336186419E-2</v>
      </c>
      <c r="AD123" s="156">
        <f ca="1"/>
        <v>5.7890586085451945E-2</v>
      </c>
      <c r="AE123" s="138">
        <f ca="1"/>
        <v>9.7402504232960818E-2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6">
        <f ca="1"/>
        <v>7.1132972843845899E-4</v>
      </c>
      <c r="P124" s="156">
        <f ca="1"/>
        <v>1.6307230605586698E-3</v>
      </c>
      <c r="Q124" s="156">
        <f ca="1"/>
        <v>5.2506555144492539E-3</v>
      </c>
      <c r="R124" s="156">
        <f ca="1"/>
        <v>1.0962177918293792E-2</v>
      </c>
      <c r="S124" s="156">
        <f ca="1"/>
        <v>0</v>
      </c>
      <c r="T124" s="156">
        <f ca="1"/>
        <v>2.7794368199941411E-2</v>
      </c>
      <c r="U124" s="156">
        <f ca="1"/>
        <v>4.8525571020864966E-2</v>
      </c>
      <c r="V124" s="138">
        <f ca="1"/>
        <v>8.2706221817059888E-2</v>
      </c>
      <c r="W124" s="137">
        <f ca="1"/>
        <v>0</v>
      </c>
      <c r="X124" s="156">
        <f ca="1"/>
        <v>8.2983405341885419E-4</v>
      </c>
      <c r="Y124" s="156">
        <f ca="1"/>
        <v>1.8335595656702175E-3</v>
      </c>
      <c r="Z124" s="156">
        <f ca="1"/>
        <v>5.6198378714237274E-3</v>
      </c>
      <c r="AA124" s="156">
        <f ca="1"/>
        <v>1.14957431916346E-2</v>
      </c>
      <c r="AB124" s="156">
        <f ca="1"/>
        <v>0</v>
      </c>
      <c r="AC124" s="156">
        <f ca="1"/>
        <v>2.8646199015583851E-2</v>
      </c>
      <c r="AD124" s="156">
        <f ca="1"/>
        <v>4.968215149362587E-2</v>
      </c>
      <c r="AE124" s="138">
        <f ca="1"/>
        <v>8.4281046997821685E-2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6">
        <f ca="1"/>
        <v>2.4874502238493301E-3</v>
      </c>
      <c r="P125" s="156">
        <f ca="1"/>
        <v>4.2573805582329927E-3</v>
      </c>
      <c r="Q125" s="156">
        <f ca="1"/>
        <v>1.4193184986253105E-2</v>
      </c>
      <c r="R125" s="156">
        <f ca="1"/>
        <v>3.8850828221937084E-2</v>
      </c>
      <c r="S125" s="156">
        <f ca="1"/>
        <v>0</v>
      </c>
      <c r="T125" s="156">
        <f ca="1"/>
        <v>8.4036146549356427E-2</v>
      </c>
      <c r="U125" s="156">
        <f ca="1"/>
        <v>0.13729264005598396</v>
      </c>
      <c r="V125" s="138">
        <f ca="1"/>
        <v>0.21671784442073294</v>
      </c>
      <c r="W125" s="137">
        <f ca="1"/>
        <v>0</v>
      </c>
      <c r="X125" s="156">
        <f ca="1"/>
        <v>2.6057281000086974E-3</v>
      </c>
      <c r="Y125" s="156">
        <f ca="1"/>
        <v>4.459654275886682E-3</v>
      </c>
      <c r="Z125" s="156">
        <f ca="1"/>
        <v>1.4559105458813226E-2</v>
      </c>
      <c r="AA125" s="156">
        <f ca="1"/>
        <v>3.9369994961303778E-2</v>
      </c>
      <c r="AB125" s="156">
        <f ca="1"/>
        <v>0</v>
      </c>
      <c r="AC125" s="156">
        <f ca="1"/>
        <v>8.4848074477938407E-2</v>
      </c>
      <c r="AD125" s="156">
        <f ca="1"/>
        <v>0.1383585172504026</v>
      </c>
      <c r="AE125" s="138">
        <f ca="1"/>
        <v>0.21810188076187376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6">
        <f ca="1"/>
        <v>1.6589854600841392E-3</v>
      </c>
      <c r="P126" s="156">
        <f ca="1"/>
        <v>3.4582498475298484E-3</v>
      </c>
      <c r="Q126" s="156">
        <f ca="1"/>
        <v>1.1980739923423966E-2</v>
      </c>
      <c r="R126" s="156">
        <f ca="1"/>
        <v>2.3985521169763824E-2</v>
      </c>
      <c r="S126" s="156">
        <f ca="1"/>
        <v>0</v>
      </c>
      <c r="T126" s="156">
        <f ca="1"/>
        <v>5.6604193772330391E-2</v>
      </c>
      <c r="U126" s="156">
        <f ca="1"/>
        <v>9.7495766945403739E-2</v>
      </c>
      <c r="V126" s="138">
        <f ca="1"/>
        <v>0.15756616625554121</v>
      </c>
      <c r="W126" s="137">
        <f ca="1"/>
        <v>0</v>
      </c>
      <c r="X126" s="156">
        <f ca="1"/>
        <v>1.7773713108417688E-3</v>
      </c>
      <c r="Y126" s="156">
        <f ca="1"/>
        <v>3.6607227841097822E-3</v>
      </c>
      <c r="Z126" s="156">
        <f ca="1"/>
        <v>1.2347552251943505E-2</v>
      </c>
      <c r="AA126" s="156">
        <f ca="1"/>
        <v>2.4512607623841665E-2</v>
      </c>
      <c r="AB126" s="156">
        <f ca="1"/>
        <v>0</v>
      </c>
      <c r="AC126" s="156">
        <f ca="1"/>
        <v>5.7426628816162673E-2</v>
      </c>
      <c r="AD126" s="156">
        <f ca="1"/>
        <v>9.8588531774297605E-2</v>
      </c>
      <c r="AE126" s="138">
        <f ca="1"/>
        <v>0.15904637770711649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6">
        <f ca="1"/>
        <v>3.5572789762250423E-4</v>
      </c>
      <c r="P127" s="156">
        <f ca="1"/>
        <v>1.2282605211381137E-3</v>
      </c>
      <c r="Q127" s="156">
        <f ca="1"/>
        <v>4.1350494586581688E-3</v>
      </c>
      <c r="R127" s="156">
        <f ca="1"/>
        <v>7.6625004117780726E-3</v>
      </c>
      <c r="S127" s="156">
        <f ca="1"/>
        <v>0</v>
      </c>
      <c r="T127" s="156">
        <f ca="1"/>
        <v>1.9770678172775447E-2</v>
      </c>
      <c r="U127" s="156">
        <f ca="1"/>
        <v>3.2351913252981257E-2</v>
      </c>
      <c r="V127" s="138">
        <f ca="1"/>
        <v>5.4861492337753059E-2</v>
      </c>
      <c r="W127" s="137">
        <f ca="1"/>
        <v>0</v>
      </c>
      <c r="X127" s="156">
        <f ca="1"/>
        <v>4.7427537457878088E-4</v>
      </c>
      <c r="Y127" s="156">
        <f ca="1"/>
        <v>1.4311913875183491E-3</v>
      </c>
      <c r="Z127" s="156">
        <f ca="1"/>
        <v>4.5046361842145943E-3</v>
      </c>
      <c r="AA127" s="156">
        <f ca="1"/>
        <v>8.1975708194097496E-3</v>
      </c>
      <c r="AB127" s="156">
        <f ca="1"/>
        <v>0</v>
      </c>
      <c r="AC127" s="156">
        <f ca="1"/>
        <v>2.0629550379011485E-2</v>
      </c>
      <c r="AD127" s="156">
        <f ca="1"/>
        <v>3.3526803788027304E-2</v>
      </c>
      <c r="AE127" s="138">
        <f ca="1"/>
        <v>5.648625528924256E-2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6">
        <f ca="1"/>
        <v>5.92809788134252E-4</v>
      </c>
      <c r="P128" s="156">
        <f ca="1"/>
        <v>2.2527006267990535E-3</v>
      </c>
      <c r="Q128" s="156">
        <f ca="1"/>
        <v>7.1309310699988471E-3</v>
      </c>
      <c r="R128" s="156">
        <f ca="1"/>
        <v>1.3663850061309879E-2</v>
      </c>
      <c r="S128" s="156">
        <f ca="1"/>
        <v>0</v>
      </c>
      <c r="T128" s="156">
        <f ca="1"/>
        <v>3.3941273100687175E-2</v>
      </c>
      <c r="U128" s="156">
        <f ca="1"/>
        <v>5.6802611063304642E-2</v>
      </c>
      <c r="V128" s="138">
        <f ca="1"/>
        <v>9.7825049497476502E-2</v>
      </c>
      <c r="W128" s="137">
        <f ca="1"/>
        <v>0</v>
      </c>
      <c r="X128" s="156">
        <f ca="1"/>
        <v>7.1132857205080668E-4</v>
      </c>
      <c r="Y128" s="156">
        <f ca="1"/>
        <v>2.4554567030234953E-3</v>
      </c>
      <c r="Z128" s="156">
        <f ca="1"/>
        <v>7.4995028649548212E-3</v>
      </c>
      <c r="AA128" s="156">
        <f ca="1"/>
        <v>1.41960471825886E-2</v>
      </c>
      <c r="AB128" s="156">
        <f ca="1"/>
        <v>0</v>
      </c>
      <c r="AC128" s="156">
        <f ca="1"/>
        <v>3.4787236718311187E-2</v>
      </c>
      <c r="AD128" s="156">
        <f ca="1"/>
        <v>5.7948964247867885E-2</v>
      </c>
      <c r="AE128" s="138">
        <f ca="1"/>
        <v>9.9394275384472208E-2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6">
        <f ca="1"/>
        <v>1.1852695147550607E-3</v>
      </c>
      <c r="P129" s="156">
        <f ca="1"/>
        <v>3.2660960174130116E-3</v>
      </c>
      <c r="Q129" s="156">
        <f ca="1"/>
        <v>8.9729000813560944E-3</v>
      </c>
      <c r="R129" s="156">
        <f ca="1"/>
        <v>1.6883461971419322E-2</v>
      </c>
      <c r="S129" s="156">
        <f ca="1"/>
        <v>0</v>
      </c>
      <c r="T129" s="156">
        <f ca="1"/>
        <v>4.6405338297784371E-2</v>
      </c>
      <c r="U129" s="156">
        <f ca="1"/>
        <v>7.7366777861660352E-2</v>
      </c>
      <c r="V129" s="138">
        <f ca="1"/>
        <v>0.12339684830639919</v>
      </c>
      <c r="W129" s="137">
        <f ca="1"/>
        <v>0</v>
      </c>
      <c r="X129" s="156">
        <f ca="1"/>
        <v>1.3037152360358961E-3</v>
      </c>
      <c r="Y129" s="156">
        <f ca="1"/>
        <v>3.4686430370044485E-3</v>
      </c>
      <c r="Z129" s="156">
        <f ca="1"/>
        <v>9.3407527311551997E-3</v>
      </c>
      <c r="AA129" s="156">
        <f ca="1"/>
        <v>1.7413949247645832E-2</v>
      </c>
      <c r="AB129" s="156">
        <f ca="1"/>
        <v>0</v>
      </c>
      <c r="AC129" s="156">
        <f ca="1"/>
        <v>4.7238326039413137E-2</v>
      </c>
      <c r="AD129" s="156">
        <f ca="1"/>
        <v>7.8488127365071714E-2</v>
      </c>
      <c r="AE129" s="138">
        <f ca="1"/>
        <v>0.12492579785252733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6">
        <f ca="1"/>
        <v>8.2983566879302195E-4</v>
      </c>
      <c r="P130" s="156">
        <f ca="1"/>
        <v>2.0397426172065192E-3</v>
      </c>
      <c r="Q130" s="156">
        <f ca="1"/>
        <v>6.3721027501438821E-3</v>
      </c>
      <c r="R130" s="156">
        <f ca="1"/>
        <v>1.3138736335244983E-2</v>
      </c>
      <c r="S130" s="156">
        <f ca="1"/>
        <v>0</v>
      </c>
      <c r="T130" s="156">
        <f ca="1"/>
        <v>3.4022003737693707E-2</v>
      </c>
      <c r="U130" s="156">
        <f ca="1"/>
        <v>5.9534120651850375E-2</v>
      </c>
      <c r="V130" s="138">
        <f ca="1"/>
        <v>0.10525300900425227</v>
      </c>
      <c r="W130" s="137">
        <f ca="1"/>
        <v>0</v>
      </c>
      <c r="X130" s="156">
        <f ca="1"/>
        <v>9.4832545884104835E-4</v>
      </c>
      <c r="Y130" s="156">
        <f ca="1"/>
        <v>2.242507228336077E-3</v>
      </c>
      <c r="Z130" s="156">
        <f ca="1"/>
        <v>6.7408990617401354E-3</v>
      </c>
      <c r="AA130" s="156">
        <f ca="1"/>
        <v>1.3671235668393344E-2</v>
      </c>
      <c r="AB130" s="156">
        <f ca="1"/>
        <v>0</v>
      </c>
      <c r="AC130" s="156">
        <f ca="1"/>
        <v>3.4867982579147361E-2</v>
      </c>
      <c r="AD130" s="156">
        <f ca="1"/>
        <v>6.0677515066146936E-2</v>
      </c>
      <c r="AE130" s="138">
        <f ca="1"/>
        <v>0.10681377441562545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6">
        <f ca="1"/>
        <v>1.3037194799899732E-3</v>
      </c>
      <c r="P131" s="156">
        <f ca="1"/>
        <v>3.0566114245655918E-3</v>
      </c>
      <c r="Q131" s="156">
        <f ca="1"/>
        <v>7.0809024618746497E-3</v>
      </c>
      <c r="R131" s="156">
        <f ca="1"/>
        <v>1.4174410864874365E-2</v>
      </c>
      <c r="S131" s="156">
        <f ca="1"/>
        <v>0</v>
      </c>
      <c r="T131" s="156">
        <f ca="1"/>
        <v>3.3845933544582096E-2</v>
      </c>
      <c r="U131" s="156">
        <f ca="1"/>
        <v>5.8030893640535819E-2</v>
      </c>
      <c r="V131" s="138">
        <f ca="1"/>
        <v>9.9470598151953582E-2</v>
      </c>
      <c r="W131" s="137">
        <f ca="1"/>
        <v>0</v>
      </c>
      <c r="X131" s="156">
        <f ca="1"/>
        <v>1.4221503544191716E-3</v>
      </c>
      <c r="Y131" s="156">
        <f ca="1"/>
        <v>3.2591786827247393E-3</v>
      </c>
      <c r="Z131" s="156">
        <f ca="1"/>
        <v>7.4493387727756488E-3</v>
      </c>
      <c r="AA131" s="156">
        <f ca="1"/>
        <v>1.470622647070674E-2</v>
      </c>
      <c r="AB131" s="156">
        <f ca="1"/>
        <v>0</v>
      </c>
      <c r="AC131" s="156">
        <f ca="1"/>
        <v>3.4691847060404291E-2</v>
      </c>
      <c r="AD131" s="156">
        <f ca="1"/>
        <v>5.9175442668554012E-2</v>
      </c>
      <c r="AE131" s="138">
        <f ca="1"/>
        <v>0.10103733947696947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6">
        <f ca="1"/>
        <v>9.4832761164653778E-4</v>
      </c>
      <c r="P132" s="156">
        <f ca="1"/>
        <v>2.0363581548150655E-3</v>
      </c>
      <c r="Q132" s="156">
        <f ca="1"/>
        <v>7.1277570026859749E-3</v>
      </c>
      <c r="R132" s="156">
        <f ca="1"/>
        <v>1.3098914180217802E-2</v>
      </c>
      <c r="S132" s="156">
        <f ca="1"/>
        <v>0</v>
      </c>
      <c r="T132" s="156">
        <f ca="1"/>
        <v>3.398065397556449E-2</v>
      </c>
      <c r="U132" s="156">
        <f ca="1"/>
        <v>5.5516804598165992E-2</v>
      </c>
      <c r="V132" s="138">
        <f ca="1"/>
        <v>9.4205660424646842E-2</v>
      </c>
      <c r="W132" s="137">
        <f ca="1"/>
        <v>0</v>
      </c>
      <c r="X132" s="156">
        <f ca="1"/>
        <v>1.0668027899637389E-3</v>
      </c>
      <c r="Y132" s="156">
        <f ca="1"/>
        <v>2.2391115883493296E-3</v>
      </c>
      <c r="Z132" s="156">
        <f ca="1"/>
        <v>7.496311996131988E-3</v>
      </c>
      <c r="AA132" s="156">
        <f ca="1"/>
        <v>1.3631326459947912E-2</v>
      </c>
      <c r="AB132" s="156">
        <f ca="1"/>
        <v>0</v>
      </c>
      <c r="AC132" s="156">
        <f ca="1"/>
        <v>3.4826520309762077E-2</v>
      </c>
      <c r="AD132" s="156">
        <f ca="1"/>
        <v>5.6664808110524989E-2</v>
      </c>
      <c r="AE132" s="138">
        <f ca="1"/>
        <v>9.5756959009671183E-2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6">
        <f ca="1"/>
        <v>8.2983566879302195E-4</v>
      </c>
      <c r="P133" s="156">
        <f ca="1"/>
        <v>1.6273624074436555E-3</v>
      </c>
      <c r="Q133" s="156">
        <f ca="1"/>
        <v>4.8673217536403524E-3</v>
      </c>
      <c r="R133" s="156">
        <f ca="1"/>
        <v>9.2884580672629724E-3</v>
      </c>
      <c r="S133" s="156">
        <f ca="1"/>
        <v>0</v>
      </c>
      <c r="T133" s="156">
        <f ca="1"/>
        <v>2.4226522034259124E-2</v>
      </c>
      <c r="U133" s="156">
        <f ca="1"/>
        <v>3.8381827389493028E-2</v>
      </c>
      <c r="V133" s="138">
        <f ca="1"/>
        <v>6.9057498758252733E-2</v>
      </c>
      <c r="W133" s="137">
        <f ca="1"/>
        <v>0</v>
      </c>
      <c r="X133" s="156">
        <f ca="1"/>
        <v>9.4832545884104835E-4</v>
      </c>
      <c r="Y133" s="156">
        <f ca="1"/>
        <v>1.8301875899737752E-3</v>
      </c>
      <c r="Z133" s="156">
        <f ca="1"/>
        <v>5.2366042259883727E-3</v>
      </c>
      <c r="AA133" s="156">
        <f ca="1"/>
        <v>9.8227083646335034E-3</v>
      </c>
      <c r="AB133" s="156">
        <f ca="1"/>
        <v>0</v>
      </c>
      <c r="AC133" s="156">
        <f ca="1"/>
        <v>2.5081466094941329E-2</v>
      </c>
      <c r="AD133" s="156">
        <f ca="1"/>
        <v>3.9549694450950357E-2</v>
      </c>
      <c r="AE133" s="138">
        <f ca="1"/>
        <v>7.0656243731588741E-2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6">
        <f ca="1"/>
        <v>3.5572789762250423E-4</v>
      </c>
      <c r="P134" s="156">
        <f ca="1"/>
        <v>1.2282605211381137E-3</v>
      </c>
      <c r="Q134" s="156">
        <f ca="1"/>
        <v>4.8952499324488308E-3</v>
      </c>
      <c r="R134" s="156">
        <f ca="1"/>
        <v>9.8796159586989063E-3</v>
      </c>
      <c r="S134" s="156">
        <f ca="1"/>
        <v>0</v>
      </c>
      <c r="T134" s="156">
        <f ca="1"/>
        <v>2.6068902985457054E-2</v>
      </c>
      <c r="U134" s="156">
        <f ca="1"/>
        <v>4.3518376701176531E-2</v>
      </c>
      <c r="V134" s="138">
        <f ca="1"/>
        <v>7.9875683327510827E-2</v>
      </c>
      <c r="W134" s="137">
        <f ca="1"/>
        <v>0</v>
      </c>
      <c r="X134" s="156">
        <f ca="1"/>
        <v>4.7427537457878088E-4</v>
      </c>
      <c r="Y134" s="156">
        <f ca="1"/>
        <v>1.4311913875183491E-3</v>
      </c>
      <c r="Z134" s="156">
        <f ca="1"/>
        <v>5.2646150505135658E-3</v>
      </c>
      <c r="AA134" s="156">
        <f ca="1"/>
        <v>1.0413739253456233E-2</v>
      </c>
      <c r="AB134" s="156">
        <f ca="1"/>
        <v>0</v>
      </c>
      <c r="AC134" s="156">
        <f ca="1"/>
        <v>2.6922379002836005E-2</v>
      </c>
      <c r="AD134" s="156">
        <f ca="1"/>
        <v>4.4680846979480826E-2</v>
      </c>
      <c r="AE134" s="138">
        <f ca="1"/>
        <v>8.1454517060154719E-2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6">
        <f ca="1"/>
        <v>7.1132972843845899E-4</v>
      </c>
      <c r="P135" s="156">
        <f ca="1"/>
        <v>1.8369339370009063E-3</v>
      </c>
      <c r="Q135" s="156">
        <f ca="1"/>
        <v>6.7624364571988727E-3</v>
      </c>
      <c r="R135" s="156">
        <f ca="1"/>
        <v>1.3693326451983512E-2</v>
      </c>
      <c r="S135" s="156">
        <f ca="1"/>
        <v>0</v>
      </c>
      <c r="T135" s="156">
        <f ca="1"/>
        <v>3.4894495499694922E-2</v>
      </c>
      <c r="U135" s="156">
        <f ca="1"/>
        <v>5.9382528515999677E-2</v>
      </c>
      <c r="V135" s="138">
        <f ca="1"/>
        <v>0.11088320457160095</v>
      </c>
      <c r="W135" s="137">
        <f ca="1"/>
        <v>0</v>
      </c>
      <c r="X135" s="156">
        <f ca="1"/>
        <v>8.2983405341885419E-4</v>
      </c>
      <c r="Y135" s="156">
        <f ca="1"/>
        <v>2.0397401393977832E-3</v>
      </c>
      <c r="Z135" s="156">
        <f ca="1"/>
        <v>7.1311460364857915E-3</v>
      </c>
      <c r="AA135" s="156">
        <f ca="1"/>
        <v>1.4225597074496665E-2</v>
      </c>
      <c r="AB135" s="156">
        <f ca="1"/>
        <v>0</v>
      </c>
      <c r="AC135" s="156">
        <f ca="1"/>
        <v>3.5739661691428504E-2</v>
      </c>
      <c r="AD135" s="156">
        <f ca="1"/>
        <v>6.0526039734171033E-2</v>
      </c>
      <c r="AE135" s="138">
        <f ca="1"/>
        <v>0.1124376122522267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6">
        <f ca="1"/>
        <v>1.3984693809822035E-3</v>
      </c>
      <c r="P136" s="156">
        <f ca="1"/>
        <v>3.115664193503842E-3</v>
      </c>
      <c r="Q136" s="156">
        <f ca="1"/>
        <v>7.7206748880485065E-3</v>
      </c>
      <c r="R136" s="156">
        <f ca="1"/>
        <v>1.3520846093076355E-2</v>
      </c>
      <c r="S136" s="156">
        <f ca="1"/>
        <v>0</v>
      </c>
      <c r="T136" s="156">
        <f ca="1"/>
        <v>2.8315244451705857E-2</v>
      </c>
      <c r="U136" s="156">
        <f ca="1"/>
        <v>4.4293283286888196E-2</v>
      </c>
      <c r="V136" s="138">
        <f ca="1"/>
        <v>6.9034076365797392E-2</v>
      </c>
      <c r="W136" s="137">
        <f ca="1"/>
        <v>0</v>
      </c>
      <c r="X136" s="156">
        <f ca="1"/>
        <v>1.516888320383436E-3</v>
      </c>
      <c r="Y136" s="156">
        <f ca="1"/>
        <v>3.3182134971579957E-3</v>
      </c>
      <c r="Z136" s="156">
        <f ca="1"/>
        <v>8.0889034832545281E-3</v>
      </c>
      <c r="AA136" s="156">
        <f ca="1"/>
        <v>1.4052828071891788E-2</v>
      </c>
      <c r="AB136" s="156">
        <f ca="1"/>
        <v>0</v>
      </c>
      <c r="AC136" s="156">
        <f ca="1"/>
        <v>2.9165912170123542E-2</v>
      </c>
      <c r="AD136" s="156">
        <f ca="1"/>
        <v>4.5452907692718925E-2</v>
      </c>
      <c r="AE136" s="138">
        <f ca="1"/>
        <v>7.0631371981042523E-2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6">
        <f ca="1"/>
        <v>0</v>
      </c>
      <c r="P137" s="156">
        <f ca="1"/>
        <v>1.4516019135446534E-3</v>
      </c>
      <c r="Q137" s="156">
        <f ca="1"/>
        <v>0</v>
      </c>
      <c r="R137" s="156">
        <f ca="1"/>
        <v>9.9043406899973485E-3</v>
      </c>
      <c r="S137" s="156">
        <f ca="1"/>
        <v>0</v>
      </c>
      <c r="T137" s="156">
        <f ca="1"/>
        <v>2.4653710844326882E-2</v>
      </c>
      <c r="U137" s="156">
        <f ca="1"/>
        <v>3.8086246871733453E-2</v>
      </c>
      <c r="V137" s="138">
        <f ca="1"/>
        <v>6.4007543807876877E-2</v>
      </c>
      <c r="W137" s="137">
        <f ca="1"/>
        <v>0</v>
      </c>
      <c r="X137" s="156">
        <f ca="1"/>
        <v>0</v>
      </c>
      <c r="Y137" s="156">
        <f ca="1"/>
        <v>1.6544446983391969E-3</v>
      </c>
      <c r="Z137" s="156">
        <f ca="1"/>
        <v>0</v>
      </c>
      <c r="AA137" s="156">
        <f ca="1"/>
        <v>1.0437661939945997E-2</v>
      </c>
      <c r="AB137" s="156">
        <f ca="1"/>
        <v>0</v>
      </c>
      <c r="AC137" s="156">
        <f ca="1"/>
        <v>2.5507617337678035E-2</v>
      </c>
      <c r="AD137" s="156">
        <f ca="1"/>
        <v>3.925334568329486E-2</v>
      </c>
      <c r="AE137" s="138">
        <f ca="1"/>
        <v>6.5613279583808248E-2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6">
        <f ca="1"/>
        <v>0</v>
      </c>
      <c r="P138" s="156">
        <f ca="1"/>
        <v>2.884908353973703E-3</v>
      </c>
      <c r="Q138" s="156">
        <f ca="1"/>
        <v>0</v>
      </c>
      <c r="R138" s="156">
        <f ca="1"/>
        <v>1.4325377010182438E-2</v>
      </c>
      <c r="S138" s="156">
        <f ca="1"/>
        <v>0</v>
      </c>
      <c r="T138" s="156">
        <f ca="1"/>
        <v>3.4355193570645537E-2</v>
      </c>
      <c r="U138" s="156">
        <f ca="1"/>
        <v>5.9070161417728917E-2</v>
      </c>
      <c r="V138" s="138">
        <f ca="1"/>
        <v>9.9568296832912018E-2</v>
      </c>
      <c r="W138" s="137">
        <f ca="1"/>
        <v>0</v>
      </c>
      <c r="X138" s="156">
        <f ca="1"/>
        <v>0</v>
      </c>
      <c r="Y138" s="156">
        <f ca="1"/>
        <v>3.0874307960375713E-3</v>
      </c>
      <c r="Z138" s="156">
        <f ca="1"/>
        <v>0</v>
      </c>
      <c r="AA138" s="156">
        <f ca="1"/>
        <v>1.4855883927410107E-2</v>
      </c>
      <c r="AB138" s="156">
        <f ca="1"/>
        <v>0</v>
      </c>
      <c r="AC138" s="156">
        <f ca="1"/>
        <v>3.5199667161644244E-2</v>
      </c>
      <c r="AD138" s="156">
        <f ca="1"/>
        <v>6.0212089514666833E-2</v>
      </c>
      <c r="AE138" s="138">
        <f ca="1"/>
        <v>0.10113381057203141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6">
        <f ca="1"/>
        <v>1.587966619634118E-3</v>
      </c>
      <c r="P139" s="156">
        <f ca="1"/>
        <v>4.2428989479931234E-3</v>
      </c>
      <c r="Q139" s="156">
        <f ca="1"/>
        <v>1.1385954710436796E-2</v>
      </c>
      <c r="R139" s="156">
        <f ca="1"/>
        <v>1.917802411052616E-2</v>
      </c>
      <c r="S139" s="156">
        <f ca="1"/>
        <v>0</v>
      </c>
      <c r="T139" s="156">
        <f ca="1"/>
        <v>3.75269988293363E-2</v>
      </c>
      <c r="U139" s="156">
        <f ca="1"/>
        <v>5.617829487266579E-2</v>
      </c>
      <c r="V139" s="138">
        <f ca="1"/>
        <v>8.5352230734826895E-2</v>
      </c>
      <c r="W139" s="137">
        <f ca="1"/>
        <v>0</v>
      </c>
      <c r="X139" s="156">
        <f ca="1"/>
        <v>1.7063633572699244E-3</v>
      </c>
      <c r="Y139" s="156">
        <f ca="1"/>
        <v>4.4452614343238883E-3</v>
      </c>
      <c r="Z139" s="156">
        <f ca="1"/>
        <v>1.1752901515362346E-2</v>
      </c>
      <c r="AA139" s="156">
        <f ca="1"/>
        <v>1.9707019243168644E-2</v>
      </c>
      <c r="AB139" s="156">
        <f ca="1"/>
        <v>0</v>
      </c>
      <c r="AC139" s="156">
        <f ca="1"/>
        <v>3.8368157948957315E-2</v>
      </c>
      <c r="AD139" s="156">
        <f ca="1"/>
        <v>5.7321840557236214E-2</v>
      </c>
      <c r="AE139" s="138">
        <f ca="1"/>
        <v>8.6915794550480707E-2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6">
        <f ca="1"/>
        <v>0</v>
      </c>
      <c r="P140" s="156">
        <f ca="1"/>
        <v>1.5773766109679066E-3</v>
      </c>
      <c r="Q140" s="156">
        <f ca="1"/>
        <v>0</v>
      </c>
      <c r="R140" s="156">
        <f ca="1"/>
        <v>8.1395480754494764E-3</v>
      </c>
      <c r="S140" s="156">
        <f ca="1"/>
        <v>0</v>
      </c>
      <c r="T140" s="156">
        <f ca="1"/>
        <v>1.9427850700894922E-2</v>
      </c>
      <c r="U140" s="156">
        <f ca="1"/>
        <v>3.1144831748014523E-2</v>
      </c>
      <c r="V140" s="138">
        <f ca="1"/>
        <v>6.2888701412089243E-2</v>
      </c>
      <c r="W140" s="137">
        <f ca="1"/>
        <v>0</v>
      </c>
      <c r="X140" s="156">
        <f ca="1"/>
        <v>0</v>
      </c>
      <c r="Y140" s="156">
        <f ca="1"/>
        <v>1.7801921027635892E-3</v>
      </c>
      <c r="Z140" s="156">
        <f ca="1"/>
        <v>0</v>
      </c>
      <c r="AA140" s="156">
        <f ca="1"/>
        <v>8.6738274827954376E-3</v>
      </c>
      <c r="AB140" s="156">
        <f ca="1"/>
        <v>0</v>
      </c>
      <c r="AC140" s="156">
        <f ca="1"/>
        <v>2.0286237844835964E-2</v>
      </c>
      <c r="AD140" s="156">
        <f ca="1"/>
        <v>3.231980739012319E-2</v>
      </c>
      <c r="AE140" s="138">
        <f ca="1"/>
        <v>6.449590818805484E-2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6">
        <f ca="1"/>
        <v>0</v>
      </c>
      <c r="P141" s="156">
        <f ca="1"/>
        <v>1.9140509261753591E-3</v>
      </c>
      <c r="Q141" s="156">
        <f ca="1"/>
        <v>0</v>
      </c>
      <c r="R141" s="156">
        <f ca="1"/>
        <v>1.4737642094337811E-2</v>
      </c>
      <c r="S141" s="156">
        <f ca="1"/>
        <v>0</v>
      </c>
      <c r="T141" s="156">
        <f ca="1"/>
        <v>3.4842619819914766E-2</v>
      </c>
      <c r="U141" s="156">
        <f ca="1"/>
        <v>5.7150996308644952E-2</v>
      </c>
      <c r="V141" s="138">
        <f ca="1"/>
        <v>9.998819069138587E-2</v>
      </c>
      <c r="W141" s="137">
        <f ca="1"/>
        <v>0</v>
      </c>
      <c r="X141" s="156">
        <f ca="1"/>
        <v>0</v>
      </c>
      <c r="Y141" s="156">
        <f ca="1"/>
        <v>2.1167925985114966E-3</v>
      </c>
      <c r="Z141" s="156">
        <f ca="1"/>
        <v>0</v>
      </c>
      <c r="AA141" s="156">
        <f ca="1"/>
        <v>1.5267961603989577E-2</v>
      </c>
      <c r="AB141" s="156">
        <f ca="1"/>
        <v>0</v>
      </c>
      <c r="AC141" s="156">
        <f ca="1"/>
        <v>3.5686936287988358E-2</v>
      </c>
      <c r="AD141" s="156">
        <f ca="1"/>
        <v>5.8295540698589554E-2</v>
      </c>
      <c r="AE141" s="138">
        <f ca="1"/>
        <v>0.10155391083961818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6">
        <f ca="1"/>
        <v>0</v>
      </c>
      <c r="P142" s="156">
        <f ca="1"/>
        <v>2.4472263144620365E-3</v>
      </c>
      <c r="Q142" s="156">
        <f ca="1"/>
        <v>0</v>
      </c>
      <c r="R142" s="156">
        <f ca="1"/>
        <v>1.0398204802394728E-2</v>
      </c>
      <c r="S142" s="156">
        <f ca="1"/>
        <v>0</v>
      </c>
      <c r="T142" s="156">
        <f ca="1"/>
        <v>2.1369418614162083E-2</v>
      </c>
      <c r="U142" s="156">
        <f ca="1"/>
        <v>3.2900806451384379E-2</v>
      </c>
      <c r="V142" s="138">
        <f ca="1"/>
        <v>5.6738224128798698E-2</v>
      </c>
      <c r="W142" s="137">
        <f ca="1"/>
        <v>0</v>
      </c>
      <c r="X142" s="156">
        <f ca="1"/>
        <v>0</v>
      </c>
      <c r="Y142" s="156">
        <f ca="1"/>
        <v>2.6498487759131217E-3</v>
      </c>
      <c r="Z142" s="156">
        <f ca="1"/>
        <v>0</v>
      </c>
      <c r="AA142" s="156">
        <f ca="1"/>
        <v>1.0931099453596493E-2</v>
      </c>
      <c r="AB142" s="156">
        <f ca="1"/>
        <v>0</v>
      </c>
      <c r="AC142" s="156">
        <f ca="1"/>
        <v>2.222569296015986E-2</v>
      </c>
      <c r="AD142" s="156">
        <f ca="1"/>
        <v>3.40727696095946E-2</v>
      </c>
      <c r="AE142" s="138">
        <f ca="1"/>
        <v>5.8356070642492597E-2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6">
        <f ca="1"/>
        <v>0</v>
      </c>
      <c r="P143" s="156">
        <f ca="1"/>
        <v>2.3904758205502974E-3</v>
      </c>
      <c r="Q143" s="156">
        <f ca="1"/>
        <v>0</v>
      </c>
      <c r="R143" s="156">
        <f ca="1"/>
        <v>1.2500258648839191E-2</v>
      </c>
      <c r="S143" s="156">
        <f ca="1"/>
        <v>0</v>
      </c>
      <c r="T143" s="156">
        <f ca="1"/>
        <v>3.0130212356874853E-2</v>
      </c>
      <c r="U143" s="156">
        <f ca="1"/>
        <v>5.4252530018483736E-2</v>
      </c>
      <c r="V143" s="138">
        <f ca="1"/>
        <v>9.4288719105840024E-2</v>
      </c>
      <c r="W143" s="137">
        <f ca="1"/>
        <v>0</v>
      </c>
      <c r="X143" s="156">
        <f ca="1"/>
        <v>0</v>
      </c>
      <c r="Y143" s="156">
        <f ca="1"/>
        <v>2.5931111069196211E-3</v>
      </c>
      <c r="Z143" s="156">
        <f ca="1"/>
        <v>0</v>
      </c>
      <c r="AA143" s="156">
        <f ca="1"/>
        <v>1.3031937118542891E-2</v>
      </c>
      <c r="AB143" s="156">
        <f ca="1"/>
        <v>0</v>
      </c>
      <c r="AC143" s="156">
        <f ca="1"/>
        <v>3.0978830817093073E-2</v>
      </c>
      <c r="AD143" s="156">
        <f ca="1"/>
        <v>5.5400536826747393E-2</v>
      </c>
      <c r="AE143" s="138">
        <f ca="1"/>
        <v>9.5863986252082478E-2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6">
        <f ca="1"/>
        <v>0</v>
      </c>
      <c r="P144" s="156">
        <f ca="1"/>
        <v>2.4147978524386993E-3</v>
      </c>
      <c r="Q144" s="156">
        <f ca="1"/>
        <v>0</v>
      </c>
      <c r="R144" s="156">
        <f ca="1"/>
        <v>1.3189625837284891E-2</v>
      </c>
      <c r="S144" s="156">
        <f ca="1"/>
        <v>0</v>
      </c>
      <c r="T144" s="156">
        <f ca="1"/>
        <v>3.1389042662079758E-2</v>
      </c>
      <c r="U144" s="156">
        <f ca="1"/>
        <v>4.4695539825370001E-2</v>
      </c>
      <c r="V144" s="138">
        <f ca="1"/>
        <v>6.5996508953564681E-2</v>
      </c>
      <c r="W144" s="137">
        <f ca="1"/>
        <v>0</v>
      </c>
      <c r="X144" s="156">
        <f ca="1"/>
        <v>0</v>
      </c>
      <c r="Y144" s="156">
        <f ca="1"/>
        <v>2.6174276463302171E-3</v>
      </c>
      <c r="Z144" s="156">
        <f ca="1"/>
        <v>0</v>
      </c>
      <c r="AA144" s="156">
        <f ca="1"/>
        <v>1.3720882643648458E-2</v>
      </c>
      <c r="AB144" s="156">
        <f ca="1"/>
        <v>0</v>
      </c>
      <c r="AC144" s="156">
        <f ca="1"/>
        <v>3.2236479294504128E-2</v>
      </c>
      <c r="AD144" s="156">
        <f ca="1"/>
        <v>4.5854105994319383E-2</v>
      </c>
      <c r="AE144" s="138">
        <f ca="1"/>
        <v>6.7596726729343359E-2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6">
        <f ca="1"/>
        <v>0</v>
      </c>
      <c r="P145" s="156">
        <f ca="1"/>
        <v>2.2384498095668892E-3</v>
      </c>
      <c r="Q145" s="156">
        <f ca="1"/>
        <v>0</v>
      </c>
      <c r="R145" s="156">
        <f ca="1"/>
        <v>9.7880005658435021E-3</v>
      </c>
      <c r="S145" s="156">
        <f ca="1"/>
        <v>0</v>
      </c>
      <c r="T145" s="156">
        <f ca="1"/>
        <v>2.2797070631183636E-2</v>
      </c>
      <c r="U145" s="156">
        <f ca="1"/>
        <v>4.3391810211454107E-2</v>
      </c>
      <c r="V145" s="138">
        <f ca="1"/>
        <v>7.6066608174570227E-2</v>
      </c>
      <c r="W145" s="137">
        <f ca="1"/>
        <v>0</v>
      </c>
      <c r="X145" s="156">
        <f ca="1"/>
        <v>0</v>
      </c>
      <c r="Y145" s="156">
        <f ca="1"/>
        <v>2.4411192912204838E-3</v>
      </c>
      <c r="Z145" s="156">
        <f ca="1"/>
        <v>0</v>
      </c>
      <c r="AA145" s="156">
        <f ca="1"/>
        <v>1.0321268626123592E-2</v>
      </c>
      <c r="AB145" s="156">
        <f ca="1"/>
        <v>0</v>
      </c>
      <c r="AC145" s="156">
        <f ca="1"/>
        <v>2.3652323742285319E-2</v>
      </c>
      <c r="AD145" s="156">
        <f ca="1"/>
        <v>4.4552955127182603E-2</v>
      </c>
      <c r="AE145" s="138">
        <f ca="1"/>
        <v>7.7651709949469572E-2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6">
        <f ca="1"/>
        <v>0</v>
      </c>
      <c r="P146" s="156">
        <f ca="1"/>
        <v>2.3783145842553033E-3</v>
      </c>
      <c r="Q146" s="156">
        <f ca="1"/>
        <v>0</v>
      </c>
      <c r="R146" s="156">
        <f ca="1"/>
        <v>1.6869193412185846E-2</v>
      </c>
      <c r="S146" s="156">
        <f ca="1"/>
        <v>0</v>
      </c>
      <c r="T146" s="156">
        <f ca="1"/>
        <v>3.4559325676998265E-2</v>
      </c>
      <c r="U146" s="156">
        <f ca="1"/>
        <v>5.9309057222613815E-2</v>
      </c>
      <c r="V146" s="138">
        <f ca="1"/>
        <v>0.10827042794064179</v>
      </c>
      <c r="W146" s="137">
        <f ca="1"/>
        <v>0</v>
      </c>
      <c r="X146" s="156">
        <f ca="1"/>
        <v>0</v>
      </c>
      <c r="Y146" s="156">
        <f ca="1"/>
        <v>2.5809526147156925E-3</v>
      </c>
      <c r="Z146" s="156">
        <f ca="1"/>
        <v>0</v>
      </c>
      <c r="AA146" s="156">
        <f ca="1"/>
        <v>1.7398063664366803E-2</v>
      </c>
      <c r="AB146" s="156">
        <f ca="1"/>
        <v>0</v>
      </c>
      <c r="AC146" s="156">
        <f ca="1"/>
        <v>3.5403844360321401E-2</v>
      </c>
      <c r="AD146" s="156">
        <f ca="1"/>
        <v>6.0449919445880962E-2</v>
      </c>
      <c r="AE146" s="138">
        <f ca="1"/>
        <v>0.10982593590659351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6">
        <f ca="1"/>
        <v>0</v>
      </c>
      <c r="P147" s="156">
        <f ca="1"/>
        <v>2.1066753656840964E-3</v>
      </c>
      <c r="Q147" s="156">
        <f ca="1"/>
        <v>0</v>
      </c>
      <c r="R147" s="156">
        <f ca="1"/>
        <v>1.5516748459567298E-2</v>
      </c>
      <c r="S147" s="156">
        <f ca="1"/>
        <v>0</v>
      </c>
      <c r="T147" s="156">
        <f ca="1"/>
        <v>3.8765809502858684E-2</v>
      </c>
      <c r="U147" s="156">
        <f ca="1"/>
        <v>6.7535404487067519E-2</v>
      </c>
      <c r="V147" s="138">
        <f ca="1"/>
        <v>0.12697930656916478</v>
      </c>
      <c r="W147" s="137">
        <f ca="1"/>
        <v>0</v>
      </c>
      <c r="X147" s="156">
        <f ca="1"/>
        <v>0</v>
      </c>
      <c r="Y147" s="156">
        <f ca="1"/>
        <v>2.3093742988669064E-3</v>
      </c>
      <c r="Z147" s="156">
        <f ca="1"/>
        <v>0</v>
      </c>
      <c r="AA147" s="156">
        <f ca="1"/>
        <v>1.6046543483122844E-2</v>
      </c>
      <c r="AB147" s="156">
        <f ca="1"/>
        <v>0</v>
      </c>
      <c r="AC147" s="156">
        <f ca="1"/>
        <v>3.9606132788276627E-2</v>
      </c>
      <c r="AD147" s="156">
        <f ca="1"/>
        <v>6.8667129518858117E-2</v>
      </c>
      <c r="AE147" s="138">
        <f ca="1"/>
        <v>0.12851163234324148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6">
        <f ca="1"/>
        <v>0</v>
      </c>
      <c r="P148" s="156">
        <f ca="1"/>
        <v>1.9383844673829254E-3</v>
      </c>
      <c r="Q148" s="156">
        <f ca="1"/>
        <v>0</v>
      </c>
      <c r="R148" s="156">
        <f ca="1"/>
        <v>9.8278905405088102E-3</v>
      </c>
      <c r="S148" s="156">
        <f ca="1"/>
        <v>0</v>
      </c>
      <c r="T148" s="156">
        <f ca="1"/>
        <v>3.1360906798155841E-2</v>
      </c>
      <c r="U148" s="156">
        <f ca="1"/>
        <v>5.926713530313954E-2</v>
      </c>
      <c r="V148" s="138">
        <f ca="1"/>
        <v>0.11438294139380412</v>
      </c>
      <c r="W148" s="137">
        <f ca="1"/>
        <v>0</v>
      </c>
      <c r="X148" s="156">
        <f ca="1"/>
        <v>0</v>
      </c>
      <c r="Y148" s="156">
        <f ca="1"/>
        <v>2.1411207609970395E-3</v>
      </c>
      <c r="Z148" s="156">
        <f ca="1"/>
        <v>0</v>
      </c>
      <c r="AA148" s="156">
        <f ca="1"/>
        <v>1.0361182888315557E-2</v>
      </c>
      <c r="AB148" s="156">
        <f ca="1"/>
        <v>0</v>
      </c>
      <c r="AC148" s="156">
        <f ca="1"/>
        <v>3.2208387141962058E-2</v>
      </c>
      <c r="AD148" s="156">
        <f ca="1"/>
        <v>6.0410140686269931E-2</v>
      </c>
      <c r="AE148" s="138">
        <f ca="1"/>
        <v>0.11593641907984431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6">
        <f ca="1"/>
        <v>0</v>
      </c>
      <c r="P149" s="156">
        <f ca="1"/>
        <v>1.2811724310827222E-3</v>
      </c>
      <c r="Q149" s="156">
        <f ca="1"/>
        <v>0</v>
      </c>
      <c r="R149" s="156">
        <f ca="1"/>
        <v>1.0236567658318707E-2</v>
      </c>
      <c r="S149" s="156">
        <f ca="1"/>
        <v>0</v>
      </c>
      <c r="T149" s="156">
        <f ca="1"/>
        <v>3.0928324208202129E-2</v>
      </c>
      <c r="U149" s="156">
        <f ca="1"/>
        <v>5.4325813467432704E-2</v>
      </c>
      <c r="V149" s="138">
        <f ca="1"/>
        <v>0.1038830827552949</v>
      </c>
      <c r="W149" s="137">
        <f ca="1"/>
        <v>0</v>
      </c>
      <c r="X149" s="156">
        <f ca="1"/>
        <v>0</v>
      </c>
      <c r="Y149" s="156">
        <f ca="1"/>
        <v>1.4840519546845954E-3</v>
      </c>
      <c r="Z149" s="156">
        <f ca="1"/>
        <v>0</v>
      </c>
      <c r="AA149" s="156">
        <f ca="1"/>
        <v>1.0769721645712438E-2</v>
      </c>
      <c r="AB149" s="156">
        <f ca="1"/>
        <v>0</v>
      </c>
      <c r="AC149" s="156">
        <f ca="1"/>
        <v>3.1776460093667747E-2</v>
      </c>
      <c r="AD149" s="156">
        <f ca="1"/>
        <v>5.5475100498418417E-2</v>
      </c>
      <c r="AE149" s="138">
        <f ca="1"/>
        <v>0.10544935322302429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6">
        <f ca="1"/>
        <v>0</v>
      </c>
      <c r="P150" s="156">
        <f ca="1"/>
        <v>6.6616928423923749E-4</v>
      </c>
      <c r="Q150" s="156">
        <f ca="1"/>
        <v>0</v>
      </c>
      <c r="R150" s="156">
        <f ca="1"/>
        <v>5.387965611281853E-3</v>
      </c>
      <c r="S150" s="156">
        <f ca="1"/>
        <v>0</v>
      </c>
      <c r="T150" s="156">
        <f ca="1"/>
        <v>1.4836543023977633E-2</v>
      </c>
      <c r="U150" s="156">
        <f ca="1"/>
        <v>2.7922190885052989E-2</v>
      </c>
      <c r="V150" s="138">
        <f ca="1"/>
        <v>5.3928630505830077E-2</v>
      </c>
      <c r="W150" s="137">
        <f ca="1"/>
        <v>0</v>
      </c>
      <c r="X150" s="156">
        <f ca="1"/>
        <v>0</v>
      </c>
      <c r="Y150" s="156">
        <f ca="1"/>
        <v>8.6917908142702949E-4</v>
      </c>
      <c r="Z150" s="156">
        <f ca="1"/>
        <v>0</v>
      </c>
      <c r="AA150" s="156">
        <f ca="1"/>
        <v>5.9238556810055076E-3</v>
      </c>
      <c r="AB150" s="156">
        <f ca="1"/>
        <v>0</v>
      </c>
      <c r="AC150" s="156">
        <f ca="1"/>
        <v>1.5699200751464359E-2</v>
      </c>
      <c r="AD150" s="156">
        <f ca="1"/>
        <v>2.9102065665915111E-2</v>
      </c>
      <c r="AE150" s="138">
        <f ca="1"/>
        <v>5.5554948760953016E-2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6">
        <f ca="1"/>
        <v>0</v>
      </c>
      <c r="P151" s="156">
        <f ca="1"/>
        <v>6.1170440914827262E-3</v>
      </c>
      <c r="Q151" s="156">
        <f ca="1"/>
        <v>0</v>
      </c>
      <c r="R151" s="156">
        <f ca="1"/>
        <v>5.0413742302767184E-2</v>
      </c>
      <c r="S151" s="156">
        <f ca="1"/>
        <v>0</v>
      </c>
      <c r="T151" s="156">
        <f ca="1"/>
        <v>0.130804705024405</v>
      </c>
      <c r="U151" s="156">
        <f ca="1"/>
        <v>0.20203520530123009</v>
      </c>
      <c r="V151" s="138">
        <f ca="1"/>
        <v>0.30702858396629729</v>
      </c>
      <c r="W151" s="137">
        <f ca="1"/>
        <v>0</v>
      </c>
      <c r="X151" s="156">
        <f ca="1"/>
        <v>0</v>
      </c>
      <c r="Y151" s="156">
        <f ca="1"/>
        <v>6.3187634828203443E-3</v>
      </c>
      <c r="Z151" s="156">
        <f ca="1"/>
        <v>0</v>
      </c>
      <c r="AA151" s="156">
        <f ca="1"/>
        <v>5.092879817675644E-2</v>
      </c>
      <c r="AB151" s="156">
        <f ca="1"/>
        <v>0</v>
      </c>
      <c r="AC151" s="156">
        <f ca="1"/>
        <v>0.13158275231177763</v>
      </c>
      <c r="AD151" s="156">
        <f ca="1"/>
        <v>0.20303115658608661</v>
      </c>
      <c r="AE151" s="138">
        <f ca="1"/>
        <v>0.30827044493846745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6">
        <f ca="1"/>
        <v>0</v>
      </c>
      <c r="P152" s="156">
        <f ca="1"/>
        <v>1.0782425920867755E-3</v>
      </c>
      <c r="Q152" s="156">
        <f ca="1"/>
        <v>0</v>
      </c>
      <c r="R152" s="156">
        <f ca="1"/>
        <v>3.6572416943104757E-3</v>
      </c>
      <c r="S152" s="156">
        <f ca="1"/>
        <v>0</v>
      </c>
      <c r="T152" s="156">
        <f ca="1"/>
        <v>1.0449221562860656E-2</v>
      </c>
      <c r="U152" s="156">
        <f ca="1"/>
        <v>1.8918955560306205E-2</v>
      </c>
      <c r="V152" s="138">
        <f ca="1"/>
        <v>3.6172290453082789E-2</v>
      </c>
      <c r="W152" s="137">
        <f ca="1"/>
        <v>0</v>
      </c>
      <c r="X152" s="156">
        <f ca="1"/>
        <v>0</v>
      </c>
      <c r="Y152" s="156">
        <f ca="1"/>
        <v>1.2811654970750208E-3</v>
      </c>
      <c r="Z152" s="156">
        <f ca="1"/>
        <v>0</v>
      </c>
      <c r="AA152" s="156">
        <f ca="1"/>
        <v>4.193886381309464E-3</v>
      </c>
      <c r="AB152" s="156">
        <f ca="1"/>
        <v>0</v>
      </c>
      <c r="AC152" s="156">
        <f ca="1"/>
        <v>1.1315324385646197E-2</v>
      </c>
      <c r="AD152" s="156">
        <f ca="1"/>
        <v>2.0108423918441032E-2</v>
      </c>
      <c r="AE152" s="138">
        <f ca="1"/>
        <v>3.7828933945860843E-2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6">
        <f ca="1"/>
        <v>0</v>
      </c>
      <c r="P153" s="156">
        <f ca="1"/>
        <v>9.7270292114226553E-4</v>
      </c>
      <c r="Q153" s="156">
        <f ca="1"/>
        <v>0</v>
      </c>
      <c r="R153" s="156">
        <f ca="1"/>
        <v>6.8036144430232426E-3</v>
      </c>
      <c r="S153" s="156">
        <f ca="1"/>
        <v>0</v>
      </c>
      <c r="T153" s="156">
        <f ca="1"/>
        <v>1.8725163721630689E-2</v>
      </c>
      <c r="U153" s="156">
        <f ca="1"/>
        <v>3.2425227950596547E-2</v>
      </c>
      <c r="V153" s="138">
        <f ca="1"/>
        <v>5.520163219877805E-2</v>
      </c>
      <c r="W153" s="137">
        <f ca="1"/>
        <v>0</v>
      </c>
      <c r="X153" s="156">
        <f ca="1"/>
        <v>0</v>
      </c>
      <c r="Y153" s="156">
        <f ca="1"/>
        <v>1.1756482331291007E-3</v>
      </c>
      <c r="Z153" s="156">
        <f ca="1"/>
        <v>0</v>
      </c>
      <c r="AA153" s="156">
        <f ca="1"/>
        <v>7.3387138330583968E-3</v>
      </c>
      <c r="AB153" s="156">
        <f ca="1"/>
        <v>0</v>
      </c>
      <c r="AC153" s="156">
        <f ca="1"/>
        <v>1.9584472299944644E-2</v>
      </c>
      <c r="AD153" s="156">
        <f ca="1"/>
        <v>3.3599693765408944E-2</v>
      </c>
      <c r="AE153" s="138">
        <f ca="1"/>
        <v>5.6824993319683381E-2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6">
        <f ca="1"/>
        <v>0</v>
      </c>
      <c r="P154" s="156">
        <f ca="1"/>
        <v>1.8613262367154215E-3</v>
      </c>
      <c r="Q154" s="156">
        <f ca="1"/>
        <v>0</v>
      </c>
      <c r="R154" s="156">
        <f ca="1"/>
        <v>9.1795092936964862E-3</v>
      </c>
      <c r="S154" s="156">
        <f ca="1"/>
        <v>0</v>
      </c>
      <c r="T154" s="156">
        <f ca="1"/>
        <v>2.2000159719183898E-2</v>
      </c>
      <c r="U154" s="156">
        <f ca="1"/>
        <v>4.3396466065317107E-2</v>
      </c>
      <c r="V154" s="138">
        <f ca="1"/>
        <v>8.4569299929721065E-2</v>
      </c>
      <c r="W154" s="137">
        <f ca="1"/>
        <v>0</v>
      </c>
      <c r="X154" s="156">
        <f ca="1"/>
        <v>0</v>
      </c>
      <c r="Y154" s="156">
        <f ca="1"/>
        <v>2.0640795432311787E-3</v>
      </c>
      <c r="Z154" s="156">
        <f ca="1"/>
        <v>0</v>
      </c>
      <c r="AA154" s="156">
        <f ca="1"/>
        <v>9.7131744362920491E-3</v>
      </c>
      <c r="AB154" s="156">
        <f ca="1"/>
        <v>0</v>
      </c>
      <c r="AC154" s="156">
        <f ca="1"/>
        <v>2.28562495994864E-2</v>
      </c>
      <c r="AD154" s="156">
        <f ca="1"/>
        <v>4.4557880364902935E-2</v>
      </c>
      <c r="AE154" s="138">
        <f ca="1"/>
        <v>8.6163347890434894E-2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6">
        <f ca="1"/>
        <v>0</v>
      </c>
      <c r="P155" s="156">
        <f ca="1"/>
        <v>8.3061282878293952E-4</v>
      </c>
      <c r="Q155" s="156">
        <f ca="1"/>
        <v>0</v>
      </c>
      <c r="R155" s="156">
        <f ca="1"/>
        <v>6.9577593482655908E-3</v>
      </c>
      <c r="S155" s="156">
        <f ca="1"/>
        <v>0</v>
      </c>
      <c r="T155" s="156">
        <f ca="1"/>
        <v>1.6914600806773095E-2</v>
      </c>
      <c r="U155" s="156">
        <f ca="1"/>
        <v>3.418359048155184E-2</v>
      </c>
      <c r="V155" s="138">
        <f ca="1"/>
        <v>5.960521490264592E-2</v>
      </c>
      <c r="W155" s="137">
        <f ca="1"/>
        <v>0</v>
      </c>
      <c r="X155" s="156">
        <f ca="1"/>
        <v>0</v>
      </c>
      <c r="Y155" s="156">
        <f ca="1"/>
        <v>1.0335881415729498E-3</v>
      </c>
      <c r="Z155" s="156">
        <f ca="1"/>
        <v>0</v>
      </c>
      <c r="AA155" s="156">
        <f ca="1"/>
        <v>7.4928038191993673E-3</v>
      </c>
      <c r="AB155" s="156">
        <f ca="1"/>
        <v>0</v>
      </c>
      <c r="AC155" s="156">
        <f ca="1"/>
        <v>1.7775355220203126E-2</v>
      </c>
      <c r="AD155" s="156">
        <f ca="1"/>
        <v>3.5356268499012744E-2</v>
      </c>
      <c r="AE155" s="138">
        <f ca="1"/>
        <v>6.1221975932402639E-2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6">
        <f ca="1"/>
        <v>0</v>
      </c>
      <c r="P156" s="156">
        <f ca="1"/>
        <v>9.1334824019165817E-3</v>
      </c>
      <c r="Q156" s="156">
        <f ca="1"/>
        <v>0</v>
      </c>
      <c r="R156" s="156">
        <f ca="1"/>
        <v>2.9685630711153599E-2</v>
      </c>
      <c r="S156" s="156">
        <f ca="1"/>
        <v>0</v>
      </c>
      <c r="T156" s="156">
        <f ca="1"/>
        <v>6.0323928855265385E-2</v>
      </c>
      <c r="U156" s="156">
        <f ca="1"/>
        <v>8.1970725021782709E-2</v>
      </c>
      <c r="V156" s="138">
        <f ca="1"/>
        <v>0.11357209094013165</v>
      </c>
      <c r="W156" s="137">
        <f ca="1"/>
        <v>0</v>
      </c>
      <c r="X156" s="156">
        <f ca="1"/>
        <v>0</v>
      </c>
      <c r="Y156" s="156">
        <f ca="1"/>
        <v>9.3343393791034401E-3</v>
      </c>
      <c r="Z156" s="156">
        <f ca="1"/>
        <v>0</v>
      </c>
      <c r="AA156" s="156">
        <f ca="1"/>
        <v>3.0205038004257889E-2</v>
      </c>
      <c r="AB156" s="156">
        <f ca="1"/>
        <v>0</v>
      </c>
      <c r="AC156" s="156">
        <f ca="1"/>
        <v>6.1140300158582628E-2</v>
      </c>
      <c r="AD156" s="156">
        <f ca="1"/>
        <v>8.3081682279458446E-2</v>
      </c>
      <c r="AE156" s="138">
        <f ca="1"/>
        <v>0.11507915133575242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6">
        <f ca="1"/>
        <v>0</v>
      </c>
      <c r="P157" s="156">
        <f ca="1"/>
        <v>1.390737551014487E-3</v>
      </c>
      <c r="Q157" s="156">
        <f ca="1"/>
        <v>0</v>
      </c>
      <c r="R157" s="156">
        <f ca="1"/>
        <v>1.0315972570229315E-2</v>
      </c>
      <c r="S157" s="156">
        <f ca="1"/>
        <v>0</v>
      </c>
      <c r="T157" s="156">
        <f ca="1"/>
        <v>2.3719068055240489E-2</v>
      </c>
      <c r="U157" s="156">
        <f ca="1"/>
        <v>4.5169894688860679E-2</v>
      </c>
      <c r="V157" s="138">
        <f ca="1"/>
        <v>8.221748980800192E-2</v>
      </c>
      <c r="W157" s="137">
        <f ca="1"/>
        <v>0</v>
      </c>
      <c r="X157" s="156">
        <f ca="1"/>
        <v>0</v>
      </c>
      <c r="Y157" s="156">
        <f ca="1"/>
        <v>1.5935934882139735E-3</v>
      </c>
      <c r="Z157" s="156">
        <f ca="1"/>
        <v>0</v>
      </c>
      <c r="AA157" s="156">
        <f ca="1"/>
        <v>1.0849065648012246E-2</v>
      </c>
      <c r="AB157" s="156">
        <f ca="1"/>
        <v>0</v>
      </c>
      <c r="AC157" s="156">
        <f ca="1"/>
        <v>2.4573757319510614E-2</v>
      </c>
      <c r="AD157" s="156">
        <f ca="1"/>
        <v>4.6329120785488231E-2</v>
      </c>
      <c r="AE157" s="138">
        <f ca="1"/>
        <v>8.3790095412950238E-2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6">
        <f ca="1"/>
        <v>0</v>
      </c>
      <c r="P158" s="156">
        <f ca="1"/>
        <v>1.8309068910675741E-3</v>
      </c>
      <c r="Q158" s="156">
        <f ca="1"/>
        <v>0</v>
      </c>
      <c r="R158" s="156">
        <f ca="1"/>
        <v>1.1907759770834692E-2</v>
      </c>
      <c r="S158" s="156">
        <f ca="1"/>
        <v>0</v>
      </c>
      <c r="T158" s="156">
        <f ca="1"/>
        <v>3.0692732629090669E-2</v>
      </c>
      <c r="U158" s="156">
        <f ca="1"/>
        <v>5.3817639225814395E-2</v>
      </c>
      <c r="V158" s="138">
        <f ca="1"/>
        <v>9.1037251576597145E-2</v>
      </c>
      <c r="W158" s="137">
        <f ca="1"/>
        <v>0</v>
      </c>
      <c r="X158" s="156">
        <f ca="1"/>
        <v>0</v>
      </c>
      <c r="Y158" s="156">
        <f ca="1"/>
        <v>2.0336668974084704E-3</v>
      </c>
      <c r="Z158" s="156">
        <f ca="1"/>
        <v>0</v>
      </c>
      <c r="AA158" s="156">
        <f ca="1"/>
        <v>1.2439858601669296E-2</v>
      </c>
      <c r="AB158" s="156">
        <f ca="1"/>
        <v>0</v>
      </c>
      <c r="AC158" s="156">
        <f ca="1"/>
        <v>3.1540988435360906E-2</v>
      </c>
      <c r="AD158" s="156">
        <f ca="1"/>
        <v>5.4966685172827323E-2</v>
      </c>
      <c r="AE158" s="138">
        <f ca="1"/>
        <v>9.2593259373810466E-2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6">
        <f ca="1"/>
        <v>0</v>
      </c>
      <c r="P159" s="156">
        <f ca="1"/>
        <v>1.2771142348563247E-3</v>
      </c>
      <c r="Q159" s="156">
        <f ca="1"/>
        <v>0</v>
      </c>
      <c r="R159" s="156">
        <f ca="1"/>
        <v>9.8354557568397505E-3</v>
      </c>
      <c r="S159" s="156">
        <f ca="1"/>
        <v>0</v>
      </c>
      <c r="T159" s="156">
        <f ca="1"/>
        <v>2.3333524207321932E-2</v>
      </c>
      <c r="U159" s="156">
        <f ca="1"/>
        <v>4.0830339697338403E-2</v>
      </c>
      <c r="V159" s="138">
        <f ca="1"/>
        <v>6.8923686530996897E-2</v>
      </c>
      <c r="W159" s="137">
        <f ca="1"/>
        <v>0</v>
      </c>
      <c r="X159" s="156">
        <f ca="1"/>
        <v>0</v>
      </c>
      <c r="Y159" s="156">
        <f ca="1"/>
        <v>1.4799946298756916E-3</v>
      </c>
      <c r="Z159" s="156">
        <f ca="1"/>
        <v>0</v>
      </c>
      <c r="AA159" s="156">
        <f ca="1"/>
        <v>1.036884138664973E-2</v>
      </c>
      <c r="AB159" s="156">
        <f ca="1"/>
        <v>0</v>
      </c>
      <c r="AC159" s="156">
        <f ca="1"/>
        <v>2.418861518359694E-2</v>
      </c>
      <c r="AD159" s="156">
        <f ca="1"/>
        <v>4.1994670980932125E-2</v>
      </c>
      <c r="AE159" s="138">
        <f ca="1"/>
        <v>7.0521888005234068E-2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6">
        <f ca="1"/>
        <v>0</v>
      </c>
      <c r="P160" s="156">
        <f ca="1"/>
        <v>2.5120801053702957E-3</v>
      </c>
      <c r="Q160" s="156">
        <f ca="1"/>
        <v>0</v>
      </c>
      <c r="R160" s="156">
        <f ca="1"/>
        <v>2.2076805239723107E-2</v>
      </c>
      <c r="S160" s="156">
        <f ca="1"/>
        <v>0</v>
      </c>
      <c r="T160" s="156">
        <f ca="1"/>
        <v>5.0422413485344819E-2</v>
      </c>
      <c r="U160" s="156">
        <f ca="1"/>
        <v>9.1437020667296642E-2</v>
      </c>
      <c r="V160" s="138">
        <f ca="1"/>
        <v>0.16208026276430798</v>
      </c>
      <c r="W160" s="137">
        <f ca="1"/>
        <v>0</v>
      </c>
      <c r="X160" s="156">
        <f ca="1"/>
        <v>0</v>
      </c>
      <c r="Y160" s="156">
        <f ca="1"/>
        <v>2.714687870471022E-3</v>
      </c>
      <c r="Z160" s="156">
        <f ca="1"/>
        <v>0</v>
      </c>
      <c r="AA160" s="156">
        <f ca="1"/>
        <v>2.2601839042343252E-2</v>
      </c>
      <c r="AB160" s="156">
        <f ca="1"/>
        <v>0</v>
      </c>
      <c r="AC160" s="156">
        <f ca="1"/>
        <v>5.1250792361861586E-2</v>
      </c>
      <c r="AD160" s="156">
        <f ca="1"/>
        <v>9.2534906199616018E-2</v>
      </c>
      <c r="AE160" s="138">
        <f ca="1"/>
        <v>0.16356173864997359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6">
        <f ca="1"/>
        <v>0</v>
      </c>
      <c r="P161" s="156">
        <f ca="1"/>
        <v>6.7561959848905451E-2</v>
      </c>
      <c r="Q161" s="156">
        <f ca="1"/>
        <v>0</v>
      </c>
      <c r="R161" s="156">
        <f ca="1"/>
        <v>0.16694449381115906</v>
      </c>
      <c r="S161" s="156">
        <f ca="1"/>
        <v>0</v>
      </c>
      <c r="T161" s="156">
        <f ca="1"/>
        <v>0.22642906618305469</v>
      </c>
      <c r="U161" s="156">
        <f ca="1"/>
        <v>0.27914056134571652</v>
      </c>
      <c r="V161" s="138">
        <f ca="1"/>
        <v>0.35931326386121554</v>
      </c>
      <c r="W161" s="137">
        <f ca="1"/>
        <v>0</v>
      </c>
      <c r="X161" s="156">
        <f ca="1"/>
        <v>0</v>
      </c>
      <c r="Y161" s="156">
        <f ca="1"/>
        <v>6.7751370687934354E-2</v>
      </c>
      <c r="Z161" s="156">
        <f ca="1"/>
        <v>0</v>
      </c>
      <c r="AA161" s="156">
        <f ca="1"/>
        <v>0.1673928910572916</v>
      </c>
      <c r="AB161" s="156">
        <f ca="1"/>
        <v>0</v>
      </c>
      <c r="AC161" s="156">
        <f ca="1"/>
        <v>0.2270959827941722</v>
      </c>
      <c r="AD161" s="156">
        <f ca="1"/>
        <v>0.27998107363000624</v>
      </c>
      <c r="AE161" s="138">
        <f ca="1"/>
        <v>0.36038018573958719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6">
        <f ca="1"/>
        <v>0</v>
      </c>
      <c r="P162" s="156">
        <f ca="1"/>
        <v>2.1979056633720795E-3</v>
      </c>
      <c r="Q162" s="156">
        <f ca="1"/>
        <v>0</v>
      </c>
      <c r="R162" s="156">
        <f ca="1"/>
        <v>1.6599214489827152E-2</v>
      </c>
      <c r="S162" s="156">
        <f ca="1"/>
        <v>0</v>
      </c>
      <c r="T162" s="156">
        <f ca="1"/>
        <v>4.3532393195802599E-2</v>
      </c>
      <c r="U162" s="156">
        <f ca="1"/>
        <v>8.0735717936179618E-2</v>
      </c>
      <c r="V162" s="138">
        <f ca="1"/>
        <v>0.15186560684021799</v>
      </c>
      <c r="W162" s="137">
        <f ca="1"/>
        <v>0</v>
      </c>
      <c r="X162" s="156">
        <f ca="1"/>
        <v>0</v>
      </c>
      <c r="Y162" s="156">
        <f ca="1"/>
        <v>2.4005842251512144E-3</v>
      </c>
      <c r="Z162" s="156">
        <f ca="1"/>
        <v>0</v>
      </c>
      <c r="AA162" s="156">
        <f ca="1"/>
        <v>1.7128276229683825E-2</v>
      </c>
      <c r="AB162" s="156">
        <f ca="1"/>
        <v>0</v>
      </c>
      <c r="AC162" s="156">
        <f ca="1"/>
        <v>4.4367625986045156E-2</v>
      </c>
      <c r="AD162" s="156">
        <f ca="1"/>
        <v>8.184947562984568E-2</v>
      </c>
      <c r="AE162" s="138">
        <f ca="1"/>
        <v>0.15336578375289778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6">
        <f ca="1"/>
        <v>0</v>
      </c>
      <c r="P163" s="156">
        <f ca="1"/>
        <v>2.2262867370879125E-3</v>
      </c>
      <c r="Q163" s="156">
        <f ca="1"/>
        <v>0</v>
      </c>
      <c r="R163" s="156">
        <f ca="1"/>
        <v>8.9091832550575178E-3</v>
      </c>
      <c r="S163" s="156">
        <f ca="1"/>
        <v>0</v>
      </c>
      <c r="T163" s="156">
        <f ca="1"/>
        <v>2.1549326207747965E-2</v>
      </c>
      <c r="U163" s="156">
        <f ca="1"/>
        <v>3.2917423986795868E-2</v>
      </c>
      <c r="V163" s="138">
        <f ca="1"/>
        <v>5.83197056325927E-2</v>
      </c>
      <c r="W163" s="137">
        <f ca="1"/>
        <v>0</v>
      </c>
      <c r="X163" s="156">
        <f ca="1"/>
        <v>0</v>
      </c>
      <c r="Y163" s="156">
        <f ca="1"/>
        <v>2.4289589444898008E-3</v>
      </c>
      <c r="Z163" s="156">
        <f ca="1"/>
        <v>0</v>
      </c>
      <c r="AA163" s="156">
        <f ca="1"/>
        <v>9.4429349177518329E-3</v>
      </c>
      <c r="AB163" s="156">
        <f ca="1"/>
        <v>0</v>
      </c>
      <c r="AC163" s="156">
        <f ca="1"/>
        <v>2.2405707440521727E-2</v>
      </c>
      <c r="AD163" s="156">
        <f ca="1"/>
        <v>3.4089980742243009E-2</v>
      </c>
      <c r="AE163" s="138">
        <f ca="1"/>
        <v>5.9935293081642249E-2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6">
        <f ca="1"/>
        <v>0</v>
      </c>
      <c r="P164" s="156">
        <f ca="1"/>
        <v>3.0530411349625197E-3</v>
      </c>
      <c r="Q164" s="156">
        <f ca="1"/>
        <v>0</v>
      </c>
      <c r="R164" s="156">
        <f ca="1"/>
        <v>1.4136531861422497E-2</v>
      </c>
      <c r="S164" s="156">
        <f ca="1"/>
        <v>0</v>
      </c>
      <c r="T164" s="156">
        <f ca="1"/>
        <v>3.3470879291030986E-2</v>
      </c>
      <c r="U164" s="156">
        <f ca="1"/>
        <v>5.9763914666725149E-2</v>
      </c>
      <c r="V164" s="138">
        <f ca="1"/>
        <v>0.10222077745259972</v>
      </c>
      <c r="W164" s="137">
        <f ca="1"/>
        <v>0</v>
      </c>
      <c r="X164" s="156">
        <f ca="1"/>
        <v>0</v>
      </c>
      <c r="Y164" s="156">
        <f ca="1"/>
        <v>3.2555246279344363E-3</v>
      </c>
      <c r="Z164" s="156">
        <f ca="1"/>
        <v>0</v>
      </c>
      <c r="AA164" s="156">
        <f ca="1"/>
        <v>1.4667141020565544E-2</v>
      </c>
      <c r="AB164" s="156">
        <f ca="1"/>
        <v>0</v>
      </c>
      <c r="AC164" s="156">
        <f ca="1"/>
        <v>3.4316155247051006E-2</v>
      </c>
      <c r="AD164" s="156">
        <f ca="1"/>
        <v>6.090477304766917E-2</v>
      </c>
      <c r="AE164" s="138">
        <f ca="1"/>
        <v>0.10378368879989652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6">
        <f ca="1"/>
        <v>0</v>
      </c>
      <c r="P165" s="156">
        <f ca="1"/>
        <v>1.0782425920867755E-3</v>
      </c>
      <c r="Q165" s="156">
        <f ca="1"/>
        <v>0</v>
      </c>
      <c r="R165" s="156">
        <f ca="1"/>
        <v>7.913757820644185E-3</v>
      </c>
      <c r="S165" s="156">
        <f ca="1"/>
        <v>0</v>
      </c>
      <c r="T165" s="156">
        <f ca="1"/>
        <v>1.9046476190233808E-2</v>
      </c>
      <c r="U165" s="156">
        <f ca="1"/>
        <v>3.5209461152056698E-2</v>
      </c>
      <c r="V165" s="138">
        <f ca="1"/>
        <v>7.2148744600980197E-2</v>
      </c>
      <c r="W165" s="137">
        <f ca="1"/>
        <v>0</v>
      </c>
      <c r="X165" s="156">
        <f ca="1"/>
        <v>0</v>
      </c>
      <c r="Y165" s="156">
        <f ca="1"/>
        <v>1.2811654970750208E-3</v>
      </c>
      <c r="Z165" s="156">
        <f ca="1"/>
        <v>0</v>
      </c>
      <c r="AA165" s="156">
        <f ca="1"/>
        <v>8.4482457443388892E-3</v>
      </c>
      <c r="AB165" s="156">
        <f ca="1"/>
        <v>0</v>
      </c>
      <c r="AC165" s="156">
        <f ca="1"/>
        <v>1.9905347256327977E-2</v>
      </c>
      <c r="AD165" s="156">
        <f ca="1"/>
        <v>3.6380593417623674E-2</v>
      </c>
      <c r="AE165" s="138">
        <f ca="1"/>
        <v>7.3739184963288351E-2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6">
        <f ca="1"/>
        <v>0</v>
      </c>
      <c r="P166" s="156">
        <f ca="1"/>
        <v>5.9445721435359311E-2</v>
      </c>
      <c r="Q166" s="156">
        <f ca="1"/>
        <v>0</v>
      </c>
      <c r="R166" s="156">
        <f ca="1"/>
        <v>0.10932453593312275</v>
      </c>
      <c r="S166" s="156">
        <f ca="1"/>
        <v>0</v>
      </c>
      <c r="T166" s="156">
        <f ca="1"/>
        <v>0.14273358925242685</v>
      </c>
      <c r="U166" s="156">
        <f ca="1"/>
        <v>0.17461661284407604</v>
      </c>
      <c r="V166" s="138">
        <f ca="1"/>
        <v>0.22493472290796945</v>
      </c>
      <c r="W166" s="137">
        <f ca="1"/>
        <v>0</v>
      </c>
      <c r="X166" s="156">
        <f ca="1"/>
        <v>0</v>
      </c>
      <c r="Y166" s="156">
        <f ca="1"/>
        <v>5.9636782260322985E-2</v>
      </c>
      <c r="Z166" s="156">
        <f ca="1"/>
        <v>0</v>
      </c>
      <c r="AA166" s="156">
        <f ca="1"/>
        <v>0.10979973606018589</v>
      </c>
      <c r="AB166" s="156">
        <f ca="1"/>
        <v>0</v>
      </c>
      <c r="AC166" s="156">
        <f ca="1"/>
        <v>0.14344768034875688</v>
      </c>
      <c r="AD166" s="156">
        <f ca="1"/>
        <v>0.17557899862822102</v>
      </c>
      <c r="AE166" s="138">
        <f ca="1"/>
        <v>0.22622542248806266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6">
        <f ca="1"/>
        <v>0</v>
      </c>
      <c r="P167" s="156">
        <f ca="1"/>
        <v>1.6727114825744183E-3</v>
      </c>
      <c r="Q167" s="156">
        <f ca="1"/>
        <v>0</v>
      </c>
      <c r="R167" s="156">
        <f ca="1"/>
        <v>1.3813803443643469E-2</v>
      </c>
      <c r="S167" s="156">
        <f ca="1"/>
        <v>0</v>
      </c>
      <c r="T167" s="156">
        <f ca="1"/>
        <v>3.1386564702987507E-2</v>
      </c>
      <c r="U167" s="156">
        <f ca="1"/>
        <v>5.7074837156459335E-2</v>
      </c>
      <c r="V167" s="138">
        <f ca="1"/>
        <v>0.10543629154068224</v>
      </c>
      <c r="W167" s="137">
        <f ca="1"/>
        <v>0</v>
      </c>
      <c r="X167" s="156">
        <f ca="1"/>
        <v>0</v>
      </c>
      <c r="Y167" s="156">
        <f ca="1"/>
        <v>1.8755061841140286E-3</v>
      </c>
      <c r="Z167" s="156">
        <f ca="1"/>
        <v>0</v>
      </c>
      <c r="AA167" s="156">
        <f ca="1"/>
        <v>1.4344736977669137E-2</v>
      </c>
      <c r="AB167" s="156">
        <f ca="1"/>
        <v>0</v>
      </c>
      <c r="AC167" s="156">
        <f ca="1"/>
        <v>3.2234236411819661E-2</v>
      </c>
      <c r="AD167" s="156">
        <f ca="1"/>
        <v>5.8219255380377866E-2</v>
      </c>
      <c r="AE167" s="138">
        <f ca="1"/>
        <v>0.10699823936308439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6">
        <f ca="1"/>
        <v>0</v>
      </c>
      <c r="P168" s="156">
        <f ca="1"/>
        <v>1.390737551014487E-3</v>
      </c>
      <c r="Q168" s="156">
        <f ca="1"/>
        <v>0</v>
      </c>
      <c r="R168" s="156">
        <f ca="1"/>
        <v>1.2392838089953062E-2</v>
      </c>
      <c r="S168" s="156">
        <f ca="1"/>
        <v>0</v>
      </c>
      <c r="T168" s="156">
        <f ca="1"/>
        <v>3.0678489720906477E-2</v>
      </c>
      <c r="U168" s="156">
        <f ca="1"/>
        <v>6.1448835889721498E-2</v>
      </c>
      <c r="V168" s="138">
        <f ca="1"/>
        <v>0.1142133978386044</v>
      </c>
      <c r="W168" s="137">
        <f ca="1"/>
        <v>0</v>
      </c>
      <c r="X168" s="156">
        <f ca="1"/>
        <v>0</v>
      </c>
      <c r="Y168" s="156">
        <f ca="1"/>
        <v>1.5935934882139735E-3</v>
      </c>
      <c r="Z168" s="156">
        <f ca="1"/>
        <v>0</v>
      </c>
      <c r="AA168" s="156">
        <f ca="1"/>
        <v>1.2924689218084762E-2</v>
      </c>
      <c r="AB168" s="156">
        <f ca="1"/>
        <v>0</v>
      </c>
      <c r="AC168" s="156">
        <f ca="1"/>
        <v>3.1526901449128841E-2</v>
      </c>
      <c r="AD168" s="156">
        <f ca="1"/>
        <v>6.2587819918254128E-2</v>
      </c>
      <c r="AE168" s="138">
        <f ca="1"/>
        <v>0.11576575931566391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6">
        <f ca="1"/>
        <v>0</v>
      </c>
      <c r="P169" s="156">
        <f ca="1"/>
        <v>9.2195875962619578E-4</v>
      </c>
      <c r="Q169" s="156">
        <f ca="1"/>
        <v>0</v>
      </c>
      <c r="R169" s="156">
        <f ca="1"/>
        <v>8.5204458968412E-3</v>
      </c>
      <c r="S169" s="156">
        <f ca="1"/>
        <v>0</v>
      </c>
      <c r="T169" s="156">
        <f ca="1"/>
        <v>2.0350534790225527E-2</v>
      </c>
      <c r="U169" s="156">
        <f ca="1"/>
        <v>3.7444192233051288E-2</v>
      </c>
      <c r="V169" s="138">
        <f ca="1"/>
        <v>6.5274099613899628E-2</v>
      </c>
      <c r="W169" s="137">
        <f ca="1"/>
        <v>0</v>
      </c>
      <c r="X169" s="156">
        <f ca="1"/>
        <v>0</v>
      </c>
      <c r="Y169" s="156">
        <f ca="1"/>
        <v>1.1249148075147541E-3</v>
      </c>
      <c r="Z169" s="156">
        <f ca="1"/>
        <v>0</v>
      </c>
      <c r="AA169" s="156">
        <f ca="1"/>
        <v>9.0546266949076415E-3</v>
      </c>
      <c r="AB169" s="156">
        <f ca="1"/>
        <v>0</v>
      </c>
      <c r="AC169" s="156">
        <f ca="1"/>
        <v>2.1208330486947258E-2</v>
      </c>
      <c r="AD169" s="156">
        <f ca="1"/>
        <v>3.8612755284582412E-2</v>
      </c>
      <c r="AE169" s="138">
        <f ca="1"/>
        <v>6.6879558491936164E-2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6">
        <f ca="1"/>
        <v>0</v>
      </c>
      <c r="P170" s="156">
        <f ca="1"/>
        <v>1.4982621013088782E-3</v>
      </c>
      <c r="Q170" s="156">
        <f ca="1"/>
        <v>0</v>
      </c>
      <c r="R170" s="156">
        <f ca="1"/>
        <v>1.1016591148769184E-2</v>
      </c>
      <c r="S170" s="156">
        <f ca="1"/>
        <v>0</v>
      </c>
      <c r="T170" s="156">
        <f ca="1"/>
        <v>2.1833474391695806E-2</v>
      </c>
      <c r="U170" s="156">
        <f ca="1"/>
        <v>3.454840615434096E-2</v>
      </c>
      <c r="V170" s="138">
        <f ca="1"/>
        <v>6.4038254750950596E-2</v>
      </c>
      <c r="W170" s="137">
        <f ca="1"/>
        <v>0</v>
      </c>
      <c r="X170" s="156">
        <f ca="1"/>
        <v>0</v>
      </c>
      <c r="Y170" s="156">
        <f ca="1"/>
        <v>1.7010947787804431E-3</v>
      </c>
      <c r="Z170" s="156">
        <f ca="1"/>
        <v>0</v>
      </c>
      <c r="AA170" s="156">
        <f ca="1"/>
        <v>1.1549260581401599E-2</v>
      </c>
      <c r="AB170" s="156">
        <f ca="1"/>
        <v>0</v>
      </c>
      <c r="AC170" s="156">
        <f ca="1"/>
        <v>2.2689584747940139E-2</v>
      </c>
      <c r="AD170" s="156">
        <f ca="1"/>
        <v>3.5718789465377321E-2</v>
      </c>
      <c r="AE170" s="138">
        <f ca="1"/>
        <v>6.564293732287263E-2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6">
        <f ca="1"/>
        <v>0</v>
      </c>
      <c r="P171" s="156">
        <f ca="1"/>
        <v>1.9789390628687231E-3</v>
      </c>
      <c r="Q171" s="156">
        <f ca="1"/>
        <v>0</v>
      </c>
      <c r="R171" s="156">
        <f ca="1"/>
        <v>1.6868851312365818E-2</v>
      </c>
      <c r="S171" s="156">
        <f ca="1"/>
        <v>0</v>
      </c>
      <c r="T171" s="156">
        <f ca="1"/>
        <v>4.3521735726053556E-2</v>
      </c>
      <c r="U171" s="156">
        <f ca="1"/>
        <v>7.4434684300014431E-2</v>
      </c>
      <c r="V171" s="138">
        <f ca="1"/>
        <v>0.12266168300675651</v>
      </c>
      <c r="W171" s="137">
        <f ca="1"/>
        <v>0</v>
      </c>
      <c r="X171" s="156">
        <f ca="1"/>
        <v>0</v>
      </c>
      <c r="Y171" s="156">
        <f ca="1"/>
        <v>2.1816663792338931E-3</v>
      </c>
      <c r="Z171" s="156">
        <f ca="1"/>
        <v>0</v>
      </c>
      <c r="AA171" s="156">
        <f ca="1"/>
        <v>1.7397735111295276E-2</v>
      </c>
      <c r="AB171" s="156">
        <f ca="1"/>
        <v>0</v>
      </c>
      <c r="AC171" s="156">
        <f ca="1"/>
        <v>4.4357104465983621E-2</v>
      </c>
      <c r="AD171" s="156">
        <f ca="1"/>
        <v>7.5557929041412564E-2</v>
      </c>
      <c r="AE171" s="138">
        <f ca="1"/>
        <v>0.12419382017277047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6">
        <f ca="1"/>
        <v>0</v>
      </c>
      <c r="P172" s="156">
        <f ca="1"/>
        <v>0.15910384945351419</v>
      </c>
      <c r="Q172" s="156">
        <f ca="1"/>
        <v>0</v>
      </c>
      <c r="R172" s="156">
        <f ca="1"/>
        <v>0.2345997643319655</v>
      </c>
      <c r="S172" s="156">
        <f ca="1"/>
        <v>0</v>
      </c>
      <c r="T172" s="156">
        <f ca="1"/>
        <v>0.2671067103405681</v>
      </c>
      <c r="U172" s="156">
        <f ca="1"/>
        <v>0.29091672788250744</v>
      </c>
      <c r="V172" s="138">
        <f ca="1"/>
        <v>0.34514535835865146</v>
      </c>
      <c r="W172" s="137">
        <f ca="1"/>
        <v>0</v>
      </c>
      <c r="X172" s="156">
        <f ca="1"/>
        <v>0</v>
      </c>
      <c r="Y172" s="156">
        <f ca="1"/>
        <v>0.1592746475249962</v>
      </c>
      <c r="Z172" s="156">
        <f ca="1"/>
        <v>0</v>
      </c>
      <c r="AA172" s="156">
        <f ca="1"/>
        <v>0.23498236879070489</v>
      </c>
      <c r="AB172" s="156">
        <f ca="1"/>
        <v>0</v>
      </c>
      <c r="AC172" s="156">
        <f ca="1"/>
        <v>0.2677172003424747</v>
      </c>
      <c r="AD172" s="156">
        <f ca="1"/>
        <v>0.29168859412279258</v>
      </c>
      <c r="AE172" s="138">
        <f ca="1"/>
        <v>0.34616738991466112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6">
        <f ca="1"/>
        <v>0</v>
      </c>
      <c r="P173" s="156">
        <f ca="1"/>
        <v>1.9931327855162717E-3</v>
      </c>
      <c r="Q173" s="156">
        <f ca="1"/>
        <v>0</v>
      </c>
      <c r="R173" s="156">
        <f ca="1"/>
        <v>1.7376742855715444E-2</v>
      </c>
      <c r="S173" s="156">
        <f ca="1"/>
        <v>0</v>
      </c>
      <c r="T173" s="156">
        <f ca="1"/>
        <v>4.0791737605114897E-2</v>
      </c>
      <c r="U173" s="156">
        <f ca="1"/>
        <v>7.2860707728833907E-2</v>
      </c>
      <c r="V173" s="138">
        <f ca="1"/>
        <v>0.12833612827616159</v>
      </c>
      <c r="W173" s="137">
        <f ca="1"/>
        <v>0</v>
      </c>
      <c r="X173" s="156">
        <f ca="1"/>
        <v>0</v>
      </c>
      <c r="Y173" s="156">
        <f ca="1"/>
        <v>2.1958569560368568E-3</v>
      </c>
      <c r="Z173" s="156">
        <f ca="1"/>
        <v>0</v>
      </c>
      <c r="AA173" s="156">
        <f ca="1"/>
        <v>1.7905272060792066E-2</v>
      </c>
      <c r="AB173" s="156">
        <f ca="1"/>
        <v>0</v>
      </c>
      <c r="AC173" s="156">
        <f ca="1"/>
        <v>4.1630190036687886E-2</v>
      </c>
      <c r="AD173" s="156">
        <f ca="1"/>
        <v>7.3984948716529164E-2</v>
      </c>
      <c r="AE173" s="138">
        <f ca="1"/>
        <v>0.12986381939879088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6">
        <f ca="1"/>
        <v>0</v>
      </c>
      <c r="P174" s="156">
        <f ca="1"/>
        <v>2.4472263144620365E-3</v>
      </c>
      <c r="Q174" s="156">
        <f ca="1"/>
        <v>0</v>
      </c>
      <c r="R174" s="156">
        <f ca="1"/>
        <v>1.5489256648511862E-2</v>
      </c>
      <c r="S174" s="156">
        <f ca="1"/>
        <v>0</v>
      </c>
      <c r="T174" s="156">
        <f ca="1"/>
        <v>4.1854260002126442E-2</v>
      </c>
      <c r="U174" s="156">
        <f ca="1"/>
        <v>7.8275677530691645E-2</v>
      </c>
      <c r="V174" s="138">
        <f ca="1"/>
        <v>0.13106234265268402</v>
      </c>
      <c r="W174" s="137">
        <f ca="1"/>
        <v>0</v>
      </c>
      <c r="X174" s="156">
        <f ca="1"/>
        <v>0</v>
      </c>
      <c r="Y174" s="156">
        <f ca="1"/>
        <v>2.6498487759131217E-3</v>
      </c>
      <c r="Z174" s="156">
        <f ca="1"/>
        <v>0</v>
      </c>
      <c r="AA174" s="156">
        <f ca="1"/>
        <v>1.6019049592360557E-2</v>
      </c>
      <c r="AB174" s="156">
        <f ca="1"/>
        <v>0</v>
      </c>
      <c r="AC174" s="156">
        <f ca="1"/>
        <v>4.2691101537942089E-2</v>
      </c>
      <c r="AD174" s="156">
        <f ca="1"/>
        <v>7.9392811104820882E-2</v>
      </c>
      <c r="AE174" s="138">
        <f ca="1"/>
        <v>0.13258577004197336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6">
        <f ca="1"/>
        <v>0</v>
      </c>
      <c r="P175" s="156">
        <f ca="1"/>
        <v>1.0214149121563487E-3</v>
      </c>
      <c r="Q175" s="156">
        <f ca="1"/>
        <v>0</v>
      </c>
      <c r="R175" s="156">
        <f ca="1"/>
        <v>1.1751935120098422E-2</v>
      </c>
      <c r="S175" s="156">
        <f ca="1"/>
        <v>0</v>
      </c>
      <c r="T175" s="156">
        <f ca="1"/>
        <v>2.6288350877562539E-2</v>
      </c>
      <c r="U175" s="156">
        <f ca="1"/>
        <v>4.8006034371661954E-2</v>
      </c>
      <c r="V175" s="138">
        <f ca="1"/>
        <v>8.9228588503588946E-2</v>
      </c>
      <c r="W175" s="137">
        <f ca="1"/>
        <v>0</v>
      </c>
      <c r="X175" s="156">
        <f ca="1"/>
        <v>0</v>
      </c>
      <c r="Y175" s="156">
        <f ca="1"/>
        <v>1.2243498952709819E-3</v>
      </c>
      <c r="Z175" s="156">
        <f ca="1"/>
        <v>0</v>
      </c>
      <c r="AA175" s="156">
        <f ca="1"/>
        <v>1.2284218102774469E-2</v>
      </c>
      <c r="AB175" s="156">
        <f ca="1"/>
        <v>0</v>
      </c>
      <c r="AC175" s="156">
        <f ca="1"/>
        <v>2.7140855388363305E-2</v>
      </c>
      <c r="AD175" s="156">
        <f ca="1"/>
        <v>4.916177418386003E-2</v>
      </c>
      <c r="AE175" s="138">
        <f ca="1"/>
        <v>9.08136415641978E-2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6">
        <f ca="1"/>
        <v>0</v>
      </c>
      <c r="P176" s="156">
        <f ca="1"/>
        <v>3.0996271777754547E-3</v>
      </c>
      <c r="Q176" s="156">
        <f ca="1"/>
        <v>0</v>
      </c>
      <c r="R176" s="156">
        <f ca="1"/>
        <v>1.6055253841522621E-2</v>
      </c>
      <c r="S176" s="156">
        <f ca="1"/>
        <v>0</v>
      </c>
      <c r="T176" s="156">
        <f ca="1"/>
        <v>4.0840448056721379E-2</v>
      </c>
      <c r="U176" s="156">
        <f ca="1"/>
        <v>6.953016243949639E-2</v>
      </c>
      <c r="V176" s="138">
        <f ca="1"/>
        <v>0.13026819867207629</v>
      </c>
      <c r="W176" s="137">
        <f ca="1"/>
        <v>0</v>
      </c>
      <c r="X176" s="156">
        <f ca="1"/>
        <v>0</v>
      </c>
      <c r="Y176" s="156">
        <f ca="1"/>
        <v>3.3020998264415846E-3</v>
      </c>
      <c r="Z176" s="156">
        <f ca="1"/>
        <v>0</v>
      </c>
      <c r="AA176" s="156">
        <f ca="1"/>
        <v>1.6584634487073036E-2</v>
      </c>
      <c r="AB176" s="156">
        <f ca="1"/>
        <v>0</v>
      </c>
      <c r="AC176" s="156">
        <f ca="1"/>
        <v>4.1678308808333897E-2</v>
      </c>
      <c r="AD176" s="156">
        <f ca="1"/>
        <v>7.0659288592262448E-2</v>
      </c>
      <c r="AE176" s="138">
        <f ca="1"/>
        <v>0.13179509142096701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6">
        <f ca="1"/>
        <v>0</v>
      </c>
      <c r="P177" s="156">
        <f ca="1"/>
        <v>1.0944784833617494E-3</v>
      </c>
      <c r="Q177" s="156">
        <f ca="1"/>
        <v>0</v>
      </c>
      <c r="R177" s="156">
        <f ca="1"/>
        <v>9.8496920113763098E-3</v>
      </c>
      <c r="S177" s="156">
        <f ca="1"/>
        <v>0</v>
      </c>
      <c r="T177" s="156">
        <f ca="1"/>
        <v>2.3348040027549311E-2</v>
      </c>
      <c r="U177" s="156">
        <f ca="1"/>
        <v>4.0845057637216575E-2</v>
      </c>
      <c r="V177" s="138">
        <f ca="1"/>
        <v>6.8938470048370393E-2</v>
      </c>
      <c r="W177" s="137">
        <f ca="1"/>
        <v>0</v>
      </c>
      <c r="X177" s="156">
        <f ca="1"/>
        <v>0</v>
      </c>
      <c r="Y177" s="156">
        <f ca="1"/>
        <v>1.2973979320214379E-3</v>
      </c>
      <c r="Z177" s="156">
        <f ca="1"/>
        <v>0</v>
      </c>
      <c r="AA177" s="156">
        <f ca="1"/>
        <v>1.0383095222558536E-2</v>
      </c>
      <c r="AB177" s="156">
        <f ca="1"/>
        <v>0</v>
      </c>
      <c r="AC177" s="156">
        <f ca="1"/>
        <v>2.4203172990807653E-2</v>
      </c>
      <c r="AD177" s="156">
        <f ca="1"/>
        <v>4.200942537858543E-2</v>
      </c>
      <c r="AE177" s="138">
        <f ca="1"/>
        <v>7.053669948651653E-2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6">
        <f ca="1"/>
        <v>0</v>
      </c>
      <c r="P178" s="156">
        <f ca="1"/>
        <v>1.2588521494583116E-3</v>
      </c>
      <c r="Q178" s="156">
        <f ca="1"/>
        <v>0</v>
      </c>
      <c r="R178" s="156">
        <f ca="1"/>
        <v>8.5439401959485073E-3</v>
      </c>
      <c r="S178" s="156">
        <f ca="1"/>
        <v>0</v>
      </c>
      <c r="T178" s="156">
        <f ca="1"/>
        <v>1.9412184979988756E-2</v>
      </c>
      <c r="U178" s="156">
        <f ca="1"/>
        <v>3.5466957557538592E-2</v>
      </c>
      <c r="V178" s="138">
        <f ca="1"/>
        <v>6.5468525890967633E-2</v>
      </c>
      <c r="W178" s="137">
        <f ca="1"/>
        <v>0</v>
      </c>
      <c r="X178" s="156">
        <f ca="1"/>
        <v>0</v>
      </c>
      <c r="Y178" s="156">
        <f ca="1"/>
        <v>1.4617364638445096E-3</v>
      </c>
      <c r="Z178" s="156">
        <f ca="1"/>
        <v>0</v>
      </c>
      <c r="AA178" s="156">
        <f ca="1"/>
        <v>9.0780535966163978E-3</v>
      </c>
      <c r="AB178" s="156">
        <f ca="1"/>
        <v>0</v>
      </c>
      <c r="AC178" s="156">
        <f ca="1"/>
        <v>2.0270623473843674E-2</v>
      </c>
      <c r="AD178" s="156">
        <f ca="1"/>
        <v>3.6637519317175626E-2</v>
      </c>
      <c r="AE178" s="138">
        <f ca="1"/>
        <v>6.7072852420170137E-2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6">
        <f ca="1"/>
        <v>0</v>
      </c>
      <c r="P179" s="156">
        <f ca="1"/>
        <v>2.1330316339264188E-3</v>
      </c>
      <c r="Q179" s="156">
        <f ca="1"/>
        <v>0</v>
      </c>
      <c r="R179" s="156">
        <f ca="1"/>
        <v>1.1955273606066852E-2</v>
      </c>
      <c r="S179" s="156">
        <f ca="1"/>
        <v>0</v>
      </c>
      <c r="T179" s="156">
        <f ca="1"/>
        <v>2.8865709288964592E-2</v>
      </c>
      <c r="U179" s="156">
        <f ca="1"/>
        <v>5.3303297083237888E-2</v>
      </c>
      <c r="V179" s="138">
        <f ca="1"/>
        <v>9.1516561611550973E-2</v>
      </c>
      <c r="W179" s="137">
        <f ca="1"/>
        <v>0</v>
      </c>
      <c r="X179" s="156">
        <f ca="1"/>
        <v>0</v>
      </c>
      <c r="Y179" s="156">
        <f ca="1"/>
        <v>2.3357246904487372E-3</v>
      </c>
      <c r="Z179" s="156">
        <f ca="1"/>
        <v>0</v>
      </c>
      <c r="AA179" s="156">
        <f ca="1"/>
        <v>1.2487308516200168E-2</v>
      </c>
      <c r="AB179" s="156">
        <f ca="1"/>
        <v>0</v>
      </c>
      <c r="AC179" s="156">
        <f ca="1"/>
        <v>2.9715576383105402E-2</v>
      </c>
      <c r="AD179" s="156">
        <f ca="1"/>
        <v>5.4452546170613014E-2</v>
      </c>
      <c r="AE179" s="138">
        <f ca="1"/>
        <v>9.3071624582473866E-2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6">
        <f ca="1"/>
        <v>0</v>
      </c>
      <c r="P180" s="156">
        <f ca="1"/>
        <v>7.4128880042978462E-4</v>
      </c>
      <c r="Q180" s="156">
        <f ca="1"/>
        <v>0</v>
      </c>
      <c r="R180" s="156">
        <f ca="1"/>
        <v>1.3070307903997214E-2</v>
      </c>
      <c r="S180" s="156">
        <f ca="1"/>
        <v>0</v>
      </c>
      <c r="T180" s="156">
        <f ca="1"/>
        <v>2.7071530628354767E-2</v>
      </c>
      <c r="U180" s="156">
        <f ca="1"/>
        <v>4.8585860628154065E-2</v>
      </c>
      <c r="V180" s="138">
        <f ca="1"/>
        <v>8.739407226095619E-2</v>
      </c>
      <c r="W180" s="137">
        <f ca="1"/>
        <v>0</v>
      </c>
      <c r="X180" s="156">
        <f ca="1"/>
        <v>0</v>
      </c>
      <c r="Y180" s="156">
        <f ca="1"/>
        <v>9.4428287612935424E-4</v>
      </c>
      <c r="Z180" s="156">
        <f ca="1"/>
        <v>0</v>
      </c>
      <c r="AA180" s="156">
        <f ca="1"/>
        <v>1.36017912110451E-2</v>
      </c>
      <c r="AB180" s="156">
        <f ca="1"/>
        <v>0</v>
      </c>
      <c r="AC180" s="156">
        <f ca="1"/>
        <v>2.7923361698115823E-2</v>
      </c>
      <c r="AD180" s="156">
        <f ca="1"/>
        <v>4.9740601904831316E-2</v>
      </c>
      <c r="AE180" s="138">
        <f ca="1"/>
        <v>8.8955361559481361E-2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6">
        <f ca="1"/>
        <v>0</v>
      </c>
      <c r="P181" s="156">
        <f ca="1"/>
        <v>2.7815839195883818E-3</v>
      </c>
      <c r="Q181" s="156">
        <f ca="1"/>
        <v>0</v>
      </c>
      <c r="R181" s="156">
        <f ca="1"/>
        <v>1.0476405957794976E-2</v>
      </c>
      <c r="S181" s="156">
        <f ca="1"/>
        <v>0</v>
      </c>
      <c r="T181" s="156">
        <f ca="1"/>
        <v>2.9864082905629585E-2</v>
      </c>
      <c r="U181" s="156">
        <f ca="1"/>
        <v>5.5389824739184745E-2</v>
      </c>
      <c r="V181" s="138">
        <f ca="1"/>
        <v>9.4060523057503675E-2</v>
      </c>
      <c r="W181" s="137">
        <f ca="1"/>
        <v>0</v>
      </c>
      <c r="X181" s="156">
        <f ca="1"/>
        <v>0</v>
      </c>
      <c r="Y181" s="156">
        <f ca="1"/>
        <v>2.9841301514804686E-3</v>
      </c>
      <c r="Z181" s="156">
        <f ca="1"/>
        <v>0</v>
      </c>
      <c r="AA181" s="156">
        <f ca="1"/>
        <v>1.1009205774531017E-2</v>
      </c>
      <c r="AB181" s="156">
        <f ca="1"/>
        <v>0</v>
      </c>
      <c r="AC181" s="156">
        <f ca="1"/>
        <v>3.0712813160546193E-2</v>
      </c>
      <c r="AD181" s="156">
        <f ca="1"/>
        <v>5.6537006608883944E-2</v>
      </c>
      <c r="AE181" s="138">
        <f ca="1"/>
        <v>9.5611468816485967E-2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6">
        <f ca="1"/>
        <v>0</v>
      </c>
      <c r="P182" s="156">
        <f ca="1"/>
        <v>8.9557078570345894E-4</v>
      </c>
      <c r="Q182" s="156">
        <f ca="1"/>
        <v>0</v>
      </c>
      <c r="R182" s="156">
        <f ca="1"/>
        <v>7.9278261961944763E-3</v>
      </c>
      <c r="S182" s="156">
        <f ca="1"/>
        <v>0</v>
      </c>
      <c r="T182" s="156">
        <f ca="1"/>
        <v>1.8162880876170351E-2</v>
      </c>
      <c r="U182" s="156">
        <f ca="1"/>
        <v>3.4662810918439702E-2</v>
      </c>
      <c r="V182" s="138">
        <f ca="1"/>
        <v>6.5550082698519918E-2</v>
      </c>
      <c r="W182" s="137">
        <f ca="1"/>
        <v>0</v>
      </c>
      <c r="X182" s="156">
        <f ca="1"/>
        <v>0</v>
      </c>
      <c r="Y182" s="156">
        <f ca="1"/>
        <v>1.098532406852204E-3</v>
      </c>
      <c r="Z182" s="156">
        <f ca="1"/>
        <v>0</v>
      </c>
      <c r="AA182" s="156">
        <f ca="1"/>
        <v>8.4623375336516649E-3</v>
      </c>
      <c r="AB182" s="156">
        <f ca="1"/>
        <v>0</v>
      </c>
      <c r="AC182" s="156">
        <f ca="1"/>
        <v>1.902249699049996E-2</v>
      </c>
      <c r="AD182" s="156">
        <f ca="1"/>
        <v>3.5834586495487764E-2</v>
      </c>
      <c r="AE182" s="138">
        <f ca="1"/>
        <v>6.7154665099883437E-2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6">
        <f ca="1"/>
        <v>0</v>
      </c>
      <c r="P183" s="156">
        <f ca="1"/>
        <v>1.5550628911922271E-3</v>
      </c>
      <c r="Q183" s="156">
        <f ca="1"/>
        <v>0</v>
      </c>
      <c r="R183" s="156">
        <f ca="1"/>
        <v>1.3680566142349471E-2</v>
      </c>
      <c r="S183" s="156">
        <f ca="1"/>
        <v>0</v>
      </c>
      <c r="T183" s="156">
        <f ca="1"/>
        <v>2.8726656636183678E-2</v>
      </c>
      <c r="U183" s="156">
        <f ca="1"/>
        <v>5.2717386557355805E-2</v>
      </c>
      <c r="V183" s="138">
        <f ca="1"/>
        <v>9.090947146045214E-2</v>
      </c>
      <c r="W183" s="137">
        <f ca="1"/>
        <v>0</v>
      </c>
      <c r="X183" s="156">
        <f ca="1"/>
        <v>0</v>
      </c>
      <c r="Y183" s="156">
        <f ca="1"/>
        <v>1.7578832362525887E-3</v>
      </c>
      <c r="Z183" s="156">
        <f ca="1"/>
        <v>0</v>
      </c>
      <c r="AA183" s="156">
        <f ca="1"/>
        <v>1.4211594199142086E-2</v>
      </c>
      <c r="AB183" s="156">
        <f ca="1"/>
        <v>0</v>
      </c>
      <c r="AC183" s="156">
        <f ca="1"/>
        <v>2.9576768170442191E-2</v>
      </c>
      <c r="AD183" s="156">
        <f ca="1"/>
        <v>5.3866872142366073E-2</v>
      </c>
      <c r="AE183" s="138">
        <f ca="1"/>
        <v>9.246499359864746E-2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6">
        <f ca="1"/>
        <v>0</v>
      </c>
      <c r="P184" s="156">
        <f ca="1"/>
        <v>3.4357929528147091E-3</v>
      </c>
      <c r="Q184" s="156">
        <f ca="1"/>
        <v>0</v>
      </c>
      <c r="R184" s="156">
        <f ca="1"/>
        <v>2.3541891122300651E-2</v>
      </c>
      <c r="S184" s="156">
        <f ca="1"/>
        <v>0</v>
      </c>
      <c r="T184" s="156">
        <f ca="1"/>
        <v>6.5618472403819905E-2</v>
      </c>
      <c r="U184" s="156">
        <f ca="1"/>
        <v>0.11757704929346346</v>
      </c>
      <c r="V184" s="138">
        <f ca="1"/>
        <v>0.21965310210031008</v>
      </c>
      <c r="W184" s="137">
        <f ca="1"/>
        <v>0</v>
      </c>
      <c r="X184" s="156">
        <f ca="1"/>
        <v>0</v>
      </c>
      <c r="Y184" s="156">
        <f ca="1"/>
        <v>3.6381866696482135E-3</v>
      </c>
      <c r="Z184" s="156">
        <f ca="1"/>
        <v>0</v>
      </c>
      <c r="AA184" s="156">
        <f ca="1"/>
        <v>2.4065817465845241E-2</v>
      </c>
      <c r="AB184" s="156">
        <f ca="1"/>
        <v>0</v>
      </c>
      <c r="AC184" s="156">
        <f ca="1"/>
        <v>6.6426428753387889E-2</v>
      </c>
      <c r="AD184" s="156">
        <f ca="1"/>
        <v>0.118670402450478</v>
      </c>
      <c r="AE184" s="138">
        <f ca="1"/>
        <v>0.22105597454630566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6">
        <f ca="1"/>
        <v>6.6393359600602775E-4</v>
      </c>
      <c r="P185" s="156">
        <f ca="1"/>
        <v>1.4258395008969194E-3</v>
      </c>
      <c r="Q185" s="156">
        <f ca="1"/>
        <v>4.1950051468626626E-3</v>
      </c>
      <c r="R185" s="156">
        <f ca="1"/>
        <v>8.4333432461654034E-3</v>
      </c>
      <c r="S185" s="156">
        <f ca="1"/>
        <v>0</v>
      </c>
      <c r="T185" s="156">
        <f ca="1"/>
        <v>2.1314471900430565E-2</v>
      </c>
      <c r="U185" s="156">
        <f ca="1"/>
        <v>3.2872868844326164E-2</v>
      </c>
      <c r="V185" s="138">
        <f ca="1"/>
        <v>5.4221458583555204E-2</v>
      </c>
      <c r="W185" s="137">
        <f ca="1"/>
        <v>0</v>
      </c>
      <c r="X185" s="156">
        <f ca="1"/>
        <v>7.8244552961437286E-4</v>
      </c>
      <c r="Y185" s="156">
        <f ca="1"/>
        <v>1.628712749212835E-3</v>
      </c>
      <c r="Z185" s="156">
        <f ca="1"/>
        <v>4.5645032220111847E-3</v>
      </c>
      <c r="AA185" s="156">
        <f ca="1"/>
        <v>8.9679447788753031E-3</v>
      </c>
      <c r="AB185" s="156">
        <f ca="1"/>
        <v>0</v>
      </c>
      <c r="AC185" s="156">
        <f ca="1"/>
        <v>2.2171453859152535E-2</v>
      </c>
      <c r="AD185" s="156">
        <f ca="1"/>
        <v>3.404604340046069E-2</v>
      </c>
      <c r="AE185" s="138">
        <f ca="1"/>
        <v>5.5844961393181514E-2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6">
        <f ca="1"/>
        <v>0</v>
      </c>
      <c r="P186" s="156">
        <f ca="1"/>
        <v>7.162531671277228E-3</v>
      </c>
      <c r="Q186" s="156">
        <f ca="1"/>
        <v>0</v>
      </c>
      <c r="R186" s="156">
        <f ca="1"/>
        <v>3.4527009067307435E-2</v>
      </c>
      <c r="S186" s="156">
        <f ca="1"/>
        <v>0</v>
      </c>
      <c r="T186" s="156">
        <f ca="1"/>
        <v>9.3053615171096449E-2</v>
      </c>
      <c r="U186" s="156">
        <f ca="1"/>
        <v>0.14674536479515965</v>
      </c>
      <c r="V186" s="138">
        <f ca="1"/>
        <v>0.23625387554175503</v>
      </c>
      <c r="W186" s="137">
        <f ca="1"/>
        <v>0</v>
      </c>
      <c r="X186" s="156">
        <f ca="1"/>
        <v>0</v>
      </c>
      <c r="Y186" s="156">
        <f ca="1"/>
        <v>7.3639652414039247E-3</v>
      </c>
      <c r="Z186" s="156">
        <f ca="1"/>
        <v>0</v>
      </c>
      <c r="AA186" s="156">
        <f ca="1"/>
        <v>3.5041708390378012E-2</v>
      </c>
      <c r="AB186" s="156">
        <f ca="1"/>
        <v>0</v>
      </c>
      <c r="AC186" s="156">
        <f ca="1"/>
        <v>9.3859948763500123E-2</v>
      </c>
      <c r="AD186" s="156">
        <f ca="1"/>
        <v>0.1478008114073327</v>
      </c>
      <c r="AE186" s="138">
        <f ca="1"/>
        <v>0.23761043862057829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6">
        <f ca="1"/>
        <v>0</v>
      </c>
      <c r="P187" s="156">
        <f ca="1"/>
        <v>2.1472231849823942E-3</v>
      </c>
      <c r="Q187" s="156">
        <f ca="1"/>
        <v>0</v>
      </c>
      <c r="R187" s="156">
        <f ca="1"/>
        <v>1.0614009607676334E-2</v>
      </c>
      <c r="S187" s="156">
        <f ca="1"/>
        <v>0</v>
      </c>
      <c r="T187" s="156">
        <f ca="1"/>
        <v>2.3172513814707418E-2</v>
      </c>
      <c r="U187" s="156">
        <f ca="1"/>
        <v>3.3874285732975018E-2</v>
      </c>
      <c r="V187" s="138">
        <f ca="1"/>
        <v>5.5498487968442478E-2</v>
      </c>
      <c r="W187" s="137">
        <f ca="1"/>
        <v>0</v>
      </c>
      <c r="X187" s="156">
        <f ca="1"/>
        <v>0</v>
      </c>
      <c r="Y187" s="156">
        <f ca="1"/>
        <v>2.3499130743489527E-3</v>
      </c>
      <c r="Z187" s="156">
        <f ca="1"/>
        <v>0</v>
      </c>
      <c r="AA187" s="156">
        <f ca="1"/>
        <v>1.1146825803582949E-2</v>
      </c>
      <c r="AB187" s="156">
        <f ca="1"/>
        <v>0</v>
      </c>
      <c r="AC187" s="156">
        <f ca="1"/>
        <v>2.4027398084200291E-2</v>
      </c>
      <c r="AD187" s="156">
        <f ca="1"/>
        <v>3.5045132555014069E-2</v>
      </c>
      <c r="AE187" s="138">
        <f ca="1"/>
        <v>5.7118108491712949E-2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6">
        <f ca="1"/>
        <v>0</v>
      </c>
      <c r="P188" s="156">
        <f ca="1"/>
        <v>2.4472263144620365E-3</v>
      </c>
      <c r="Q188" s="156">
        <f ca="1"/>
        <v>0</v>
      </c>
      <c r="R188" s="156">
        <f ca="1"/>
        <v>1.6513266141334859E-2</v>
      </c>
      <c r="S188" s="156">
        <f ca="1"/>
        <v>0</v>
      </c>
      <c r="T188" s="156">
        <f ca="1"/>
        <v>4.3075541070222045E-2</v>
      </c>
      <c r="U188" s="156">
        <f ca="1"/>
        <v>7.1739645790631745E-2</v>
      </c>
      <c r="V188" s="138">
        <f ca="1"/>
        <v>0.1181092310928572</v>
      </c>
      <c r="W188" s="137">
        <f ca="1"/>
        <v>0</v>
      </c>
      <c r="X188" s="156">
        <f ca="1"/>
        <v>0</v>
      </c>
      <c r="Y188" s="156">
        <f ca="1"/>
        <v>2.6498487759131217E-3</v>
      </c>
      <c r="Z188" s="156">
        <f ca="1"/>
        <v>0</v>
      </c>
      <c r="AA188" s="156">
        <f ca="1"/>
        <v>1.7042376065930176E-2</v>
      </c>
      <c r="AB188" s="156">
        <f ca="1"/>
        <v>0</v>
      </c>
      <c r="AC188" s="156">
        <f ca="1"/>
        <v>4.3911198410122698E-2</v>
      </c>
      <c r="AD188" s="156">
        <f ca="1"/>
        <v>7.2866501946631801E-2</v>
      </c>
      <c r="AE188" s="138">
        <f ca="1"/>
        <v>0.1196470934900663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6">
        <f ca="1"/>
        <v>0</v>
      </c>
      <c r="P189" s="156">
        <f ca="1"/>
        <v>5.3675799409580449E-3</v>
      </c>
      <c r="Q189" s="156">
        <f ca="1"/>
        <v>0</v>
      </c>
      <c r="R189" s="156">
        <f ca="1"/>
        <v>2.6211842629450199E-2</v>
      </c>
      <c r="S189" s="156">
        <f ca="1"/>
        <v>0</v>
      </c>
      <c r="T189" s="156">
        <f ca="1"/>
        <v>6.4214259178323685E-2</v>
      </c>
      <c r="U189" s="156">
        <f ca="1"/>
        <v>0.10167021535029841</v>
      </c>
      <c r="V189" s="138">
        <f ca="1"/>
        <v>0.15975379149404578</v>
      </c>
      <c r="W189" s="137">
        <f ca="1"/>
        <v>0</v>
      </c>
      <c r="X189" s="156">
        <f ca="1"/>
        <v>0</v>
      </c>
      <c r="Y189" s="156">
        <f ca="1"/>
        <v>5.5694961058481152E-3</v>
      </c>
      <c r="Z189" s="156">
        <f ca="1"/>
        <v>0</v>
      </c>
      <c r="AA189" s="156">
        <f ca="1"/>
        <v>2.6733754031619039E-2</v>
      </c>
      <c r="AB189" s="156">
        <f ca="1"/>
        <v>0</v>
      </c>
      <c r="AC189" s="156">
        <f ca="1"/>
        <v>6.5025126084792606E-2</v>
      </c>
      <c r="AD189" s="156">
        <f ca="1"/>
        <v>0.10275718160979708</v>
      </c>
      <c r="AE189" s="138">
        <f ca="1"/>
        <v>0.16122650240504155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6">
        <f ca="1"/>
        <v>0</v>
      </c>
      <c r="P190" s="156">
        <f ca="1"/>
        <v>2.94365673440522E-3</v>
      </c>
      <c r="Q190" s="156">
        <f ca="1"/>
        <v>0</v>
      </c>
      <c r="R190" s="156">
        <f ca="1"/>
        <v>2.3883256360716087E-2</v>
      </c>
      <c r="S190" s="156">
        <f ca="1"/>
        <v>0</v>
      </c>
      <c r="T190" s="156">
        <f ca="1"/>
        <v>6.0332504788136565E-2</v>
      </c>
      <c r="U190" s="156">
        <f ca="1"/>
        <v>9.9348416022000618E-2</v>
      </c>
      <c r="V190" s="138">
        <f ca="1"/>
        <v>0.16983217709479126</v>
      </c>
      <c r="W190" s="137">
        <f ca="1"/>
        <v>0</v>
      </c>
      <c r="X190" s="156">
        <f ca="1"/>
        <v>0</v>
      </c>
      <c r="Y190" s="156">
        <f ca="1"/>
        <v>3.1461656005312699E-3</v>
      </c>
      <c r="Z190" s="156">
        <f ca="1"/>
        <v>0</v>
      </c>
      <c r="AA190" s="156">
        <f ca="1"/>
        <v>2.440686638973788E-2</v>
      </c>
      <c r="AB190" s="156">
        <f ca="1"/>
        <v>0</v>
      </c>
      <c r="AC190" s="156">
        <f ca="1"/>
        <v>6.1148582731053835E-2</v>
      </c>
      <c r="AD190" s="156">
        <f ca="1"/>
        <v>0.10043850453344194</v>
      </c>
      <c r="AE190" s="138">
        <f ca="1"/>
        <v>0.17129855368946767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6">
        <f ca="1"/>
        <v>0</v>
      </c>
      <c r="P191" s="156">
        <f ca="1"/>
        <v>3.425669117533725E-3</v>
      </c>
      <c r="Q191" s="156">
        <f ca="1"/>
        <v>0</v>
      </c>
      <c r="R191" s="156">
        <f ca="1"/>
        <v>1.4353234677239368E-2</v>
      </c>
      <c r="S191" s="156">
        <f ca="1"/>
        <v>0</v>
      </c>
      <c r="T191" s="156">
        <f ca="1"/>
        <v>2.8930224374191016E-2</v>
      </c>
      <c r="U191" s="156">
        <f ca="1"/>
        <v>4.0208717650505821E-2</v>
      </c>
      <c r="V191" s="138">
        <f ca="1"/>
        <v>5.9098392953654155E-2</v>
      </c>
      <c r="W191" s="137">
        <f ca="1"/>
        <v>0</v>
      </c>
      <c r="X191" s="156">
        <f ca="1"/>
        <v>0</v>
      </c>
      <c r="Y191" s="156">
        <f ca="1"/>
        <v>3.6280652290182624E-3</v>
      </c>
      <c r="Z191" s="156">
        <f ca="1"/>
        <v>0</v>
      </c>
      <c r="AA191" s="156">
        <f ca="1"/>
        <v>1.4883673676422737E-2</v>
      </c>
      <c r="AB191" s="156">
        <f ca="1"/>
        <v>0</v>
      </c>
      <c r="AC191" s="156">
        <f ca="1"/>
        <v>2.9779546680451796E-2</v>
      </c>
      <c r="AD191" s="156">
        <f ca="1"/>
        <v>4.1371105422728816E-2</v>
      </c>
      <c r="AE191" s="138">
        <f ca="1"/>
        <v>6.0709269531514121E-2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6">
        <f ca="1"/>
        <v>0</v>
      </c>
      <c r="P192" s="156">
        <f ca="1"/>
        <v>1.0477995906837956E-3</v>
      </c>
      <c r="Q192" s="156">
        <f ca="1"/>
        <v>0</v>
      </c>
      <c r="R192" s="156">
        <f ca="1"/>
        <v>1.0403269523258096E-2</v>
      </c>
      <c r="S192" s="156">
        <f ca="1"/>
        <v>0</v>
      </c>
      <c r="T192" s="156">
        <f ca="1"/>
        <v>2.4635002104626991E-2</v>
      </c>
      <c r="U192" s="156">
        <f ca="1"/>
        <v>4.443411744424719E-2</v>
      </c>
      <c r="V192" s="138">
        <f ca="1"/>
        <v>8.2476222163946122E-2</v>
      </c>
      <c r="W192" s="137">
        <f ca="1"/>
        <v>0</v>
      </c>
      <c r="X192" s="156">
        <f ca="1"/>
        <v>0</v>
      </c>
      <c r="Y192" s="156">
        <f ca="1"/>
        <v>1.2507289698470148E-3</v>
      </c>
      <c r="Z192" s="156">
        <f ca="1"/>
        <v>0</v>
      </c>
      <c r="AA192" s="156">
        <f ca="1"/>
        <v>1.0936357262863572E-2</v>
      </c>
      <c r="AB192" s="156">
        <f ca="1"/>
        <v>0</v>
      </c>
      <c r="AC192" s="156">
        <f ca="1"/>
        <v>2.5489012502980968E-2</v>
      </c>
      <c r="AD192" s="156">
        <f ca="1"/>
        <v>4.5594352195972965E-2</v>
      </c>
      <c r="AE192" s="138">
        <f ca="1"/>
        <v>8.4047328334500238E-2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6">
        <f ca="1"/>
        <v>0</v>
      </c>
      <c r="P193" s="156">
        <f ca="1"/>
        <v>9.7270292114226553E-4</v>
      </c>
      <c r="Q193" s="156">
        <f ca="1"/>
        <v>0</v>
      </c>
      <c r="R193" s="156">
        <f ca="1"/>
        <v>7.3876328803643698E-3</v>
      </c>
      <c r="S193" s="156">
        <f ca="1"/>
        <v>0</v>
      </c>
      <c r="T193" s="156">
        <f ca="1"/>
        <v>1.8662847766886426E-2</v>
      </c>
      <c r="U193" s="156">
        <f ca="1"/>
        <v>3.6633660260190104E-2</v>
      </c>
      <c r="V193" s="138">
        <f ca="1"/>
        <v>7.2063196204571023E-2</v>
      </c>
      <c r="W193" s="137">
        <f ca="1"/>
        <v>0</v>
      </c>
      <c r="X193" s="156">
        <f ca="1"/>
        <v>0</v>
      </c>
      <c r="Y193" s="156">
        <f ca="1"/>
        <v>1.1756482331291007E-3</v>
      </c>
      <c r="Z193" s="156">
        <f ca="1"/>
        <v>0</v>
      </c>
      <c r="AA193" s="156">
        <f ca="1"/>
        <v>7.9224226903794603E-3</v>
      </c>
      <c r="AB193" s="156">
        <f ca="1"/>
        <v>0</v>
      </c>
      <c r="AC193" s="156">
        <f ca="1"/>
        <v>1.9522128210560652E-2</v>
      </c>
      <c r="AD193" s="156">
        <f ca="1"/>
        <v>3.7803490939778972E-2</v>
      </c>
      <c r="AE193" s="138">
        <f ca="1"/>
        <v>7.3655286751229787E-2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6">
        <f ca="1"/>
        <v>0</v>
      </c>
      <c r="P194" s="156">
        <f ca="1"/>
        <v>9.7270292114226553E-4</v>
      </c>
      <c r="Q194" s="156">
        <f ca="1"/>
        <v>0</v>
      </c>
      <c r="R194" s="156">
        <f ca="1"/>
        <v>7.839280663247794E-3</v>
      </c>
      <c r="S194" s="156">
        <f ca="1"/>
        <v>0</v>
      </c>
      <c r="T194" s="156">
        <f ca="1"/>
        <v>1.8614651873814503E-2</v>
      </c>
      <c r="U194" s="156">
        <f ca="1"/>
        <v>3.4830654395972882E-2</v>
      </c>
      <c r="V194" s="138">
        <f ca="1"/>
        <v>6.4212664744463077E-2</v>
      </c>
      <c r="W194" s="137">
        <f ca="1"/>
        <v>0</v>
      </c>
      <c r="X194" s="156">
        <f ca="1"/>
        <v>0</v>
      </c>
      <c r="Y194" s="156">
        <f ca="1"/>
        <v>1.1756482331291007E-3</v>
      </c>
      <c r="Z194" s="156">
        <f ca="1"/>
        <v>0</v>
      </c>
      <c r="AA194" s="156">
        <f ca="1"/>
        <v>8.3738270805161497E-3</v>
      </c>
      <c r="AB194" s="156">
        <f ca="1"/>
        <v>0</v>
      </c>
      <c r="AC194" s="156">
        <f ca="1"/>
        <v>1.9473905878468312E-2</v>
      </c>
      <c r="AD194" s="156">
        <f ca="1"/>
        <v>3.6002254729735395E-2</v>
      </c>
      <c r="AE194" s="138">
        <f ca="1"/>
        <v>6.5819846305116836E-2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6">
        <f ca="1"/>
        <v>0</v>
      </c>
      <c r="P195" s="156">
        <f ca="1"/>
        <v>1.7355869918160849E-3</v>
      </c>
      <c r="Q195" s="156">
        <f ca="1"/>
        <v>0</v>
      </c>
      <c r="R195" s="156">
        <f ca="1"/>
        <v>1.0030636792937919E-2</v>
      </c>
      <c r="S195" s="156">
        <f ca="1"/>
        <v>0</v>
      </c>
      <c r="T195" s="156">
        <f ca="1"/>
        <v>2.5966361234617485E-2</v>
      </c>
      <c r="U195" s="156">
        <f ca="1"/>
        <v>3.8944380095808473E-2</v>
      </c>
      <c r="V195" s="138">
        <f ca="1"/>
        <v>6.6866568294061235E-2</v>
      </c>
      <c r="W195" s="137">
        <f ca="1"/>
        <v>0</v>
      </c>
      <c r="X195" s="156">
        <f ca="1"/>
        <v>0</v>
      </c>
      <c r="Y195" s="156">
        <f ca="1"/>
        <v>1.9383679330085002E-3</v>
      </c>
      <c r="Z195" s="156">
        <f ca="1"/>
        <v>0</v>
      </c>
      <c r="AA195" s="156">
        <f ca="1"/>
        <v>1.056384491792528E-2</v>
      </c>
      <c r="AB195" s="156">
        <f ca="1"/>
        <v>0</v>
      </c>
      <c r="AC195" s="156">
        <f ca="1"/>
        <v>2.6819022377658541E-2</v>
      </c>
      <c r="AD195" s="156">
        <f ca="1"/>
        <v>4.0110406877472471E-2</v>
      </c>
      <c r="AE195" s="138">
        <f ca="1"/>
        <v>6.8466602422007417E-2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6">
        <f ca="1"/>
        <v>0</v>
      </c>
      <c r="P196" s="156">
        <f ca="1"/>
        <v>8.4279276466026065E-4</v>
      </c>
      <c r="Q196" s="156">
        <f ca="1"/>
        <v>0</v>
      </c>
      <c r="R196" s="156">
        <f ca="1"/>
        <v>8.7247431993220381E-3</v>
      </c>
      <c r="S196" s="156">
        <f ca="1"/>
        <v>0</v>
      </c>
      <c r="T196" s="156">
        <f ca="1"/>
        <v>1.853137796686144E-2</v>
      </c>
      <c r="U196" s="156">
        <f ca="1"/>
        <v>3.4528776881192935E-2</v>
      </c>
      <c r="V196" s="138">
        <f ca="1"/>
        <v>6.3454009168952941E-2</v>
      </c>
      <c r="W196" s="137">
        <f ca="1"/>
        <v>0</v>
      </c>
      <c r="X196" s="156">
        <f ca="1"/>
        <v>0</v>
      </c>
      <c r="Y196" s="156">
        <f ca="1"/>
        <v>1.0457655132248833E-3</v>
      </c>
      <c r="Z196" s="156">
        <f ca="1"/>
        <v>0</v>
      </c>
      <c r="AA196" s="156">
        <f ca="1"/>
        <v>9.2588224589903456E-3</v>
      </c>
      <c r="AB196" s="156">
        <f ca="1"/>
        <v>0</v>
      </c>
      <c r="AC196" s="156">
        <f ca="1"/>
        <v>1.9390599001543829E-2</v>
      </c>
      <c r="AD196" s="156">
        <f ca="1"/>
        <v>3.5700407955910674E-2</v>
      </c>
      <c r="AE196" s="138">
        <f ca="1"/>
        <v>6.506225651118791E-2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6">
        <f ca="1"/>
        <v>0</v>
      </c>
      <c r="P197" s="156">
        <f ca="1"/>
        <v>4.4658667747488057E-3</v>
      </c>
      <c r="Q197" s="156">
        <f ca="1"/>
        <v>0</v>
      </c>
      <c r="R197" s="156">
        <f ca="1"/>
        <v>2.0669626509138395E-2</v>
      </c>
      <c r="S197" s="156">
        <f ca="1"/>
        <v>0</v>
      </c>
      <c r="T197" s="156">
        <f ca="1"/>
        <v>4.640021114744497E-2</v>
      </c>
      <c r="U197" s="156">
        <f ca="1"/>
        <v>7.3905089807004054E-2</v>
      </c>
      <c r="V197" s="138">
        <f ca="1"/>
        <v>0.1242702594497973</v>
      </c>
      <c r="W197" s="137">
        <f ca="1"/>
        <v>0</v>
      </c>
      <c r="X197" s="156">
        <f ca="1"/>
        <v>0</v>
      </c>
      <c r="Y197" s="156">
        <f ca="1"/>
        <v>4.6680110371710715E-3</v>
      </c>
      <c r="Z197" s="156">
        <f ca="1"/>
        <v>0</v>
      </c>
      <c r="AA197" s="156">
        <f ca="1"/>
        <v>2.1195783026923154E-2</v>
      </c>
      <c r="AB197" s="156">
        <f ca="1"/>
        <v>0</v>
      </c>
      <c r="AC197" s="156">
        <f ca="1"/>
        <v>4.7232291738535159E-2</v>
      </c>
      <c r="AD197" s="156">
        <f ca="1"/>
        <v>7.5027775699972987E-2</v>
      </c>
      <c r="AE197" s="138">
        <f ca="1"/>
        <v>0.12579735970259753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6">
        <f ca="1"/>
        <v>0</v>
      </c>
      <c r="P198" s="156">
        <f ca="1"/>
        <v>9.950295426871536E-4</v>
      </c>
      <c r="Q198" s="156">
        <f ca="1"/>
        <v>0</v>
      </c>
      <c r="R198" s="156">
        <f ca="1"/>
        <v>8.4487378420841086E-3</v>
      </c>
      <c r="S198" s="156">
        <f ca="1"/>
        <v>0</v>
      </c>
      <c r="T198" s="156">
        <f ca="1"/>
        <v>1.8996500319875098E-2</v>
      </c>
      <c r="U198" s="156">
        <f ca="1"/>
        <v>3.5158900450872443E-2</v>
      </c>
      <c r="V198" s="138">
        <f ca="1"/>
        <v>6.6243485076821651E-2</v>
      </c>
      <c r="W198" s="137">
        <f ca="1"/>
        <v>0</v>
      </c>
      <c r="X198" s="156">
        <f ca="1"/>
        <v>0</v>
      </c>
      <c r="Y198" s="156">
        <f ca="1"/>
        <v>1.1979701232897044E-3</v>
      </c>
      <c r="Z198" s="156">
        <f ca="1"/>
        <v>0</v>
      </c>
      <c r="AA198" s="156">
        <f ca="1"/>
        <v>8.9829466620696685E-3</v>
      </c>
      <c r="AB198" s="156">
        <f ca="1"/>
        <v>0</v>
      </c>
      <c r="AC198" s="156">
        <f ca="1"/>
        <v>1.9855358321495542E-2</v>
      </c>
      <c r="AD198" s="156">
        <f ca="1"/>
        <v>3.632991280031761E-2</v>
      </c>
      <c r="AE198" s="138">
        <f ca="1"/>
        <v>6.7846366962235005E-2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6">
        <f ca="1"/>
        <v>0</v>
      </c>
      <c r="P199" s="156">
        <f ca="1"/>
        <v>1.654456567304452E-3</v>
      </c>
      <c r="Q199" s="156">
        <f ca="1"/>
        <v>0</v>
      </c>
      <c r="R199" s="156">
        <f ca="1"/>
        <v>8.5518686090855223E-3</v>
      </c>
      <c r="S199" s="156">
        <f ca="1"/>
        <v>0</v>
      </c>
      <c r="T199" s="156">
        <f ca="1"/>
        <v>1.7572696746910976E-2</v>
      </c>
      <c r="U199" s="156">
        <f ca="1"/>
        <v>3.2365069910950339E-2</v>
      </c>
      <c r="V199" s="138">
        <f ca="1"/>
        <v>5.9300719514704836E-2</v>
      </c>
      <c r="W199" s="137">
        <f ca="1"/>
        <v>0</v>
      </c>
      <c r="X199" s="156">
        <f ca="1"/>
        <v>0</v>
      </c>
      <c r="Y199" s="156">
        <f ca="1"/>
        <v>1.8572552566659128E-3</v>
      </c>
      <c r="Z199" s="156">
        <f ca="1"/>
        <v>0</v>
      </c>
      <c r="AA199" s="156">
        <f ca="1"/>
        <v>9.0859117172751303E-3</v>
      </c>
      <c r="AB199" s="156">
        <f ca="1"/>
        <v>0</v>
      </c>
      <c r="AC199" s="156">
        <f ca="1"/>
        <v>1.8432430481761242E-2</v>
      </c>
      <c r="AD199" s="156">
        <f ca="1"/>
        <v>3.3538794251716353E-2</v>
      </c>
      <c r="AE199" s="138">
        <f ca="1"/>
        <v>6.0916136710544744E-2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6">
        <f ca="1"/>
        <v>0</v>
      </c>
      <c r="P200" s="156">
        <f ca="1"/>
        <v>9.9908887528354917E-4</v>
      </c>
      <c r="Q200" s="156">
        <f ca="1"/>
        <v>0</v>
      </c>
      <c r="R200" s="156">
        <f ca="1"/>
        <v>9.3069941938532796E-3</v>
      </c>
      <c r="S200" s="156">
        <f ca="1"/>
        <v>0</v>
      </c>
      <c r="T200" s="156">
        <f ca="1"/>
        <v>2.2061865483026022E-2</v>
      </c>
      <c r="U200" s="156">
        <f ca="1"/>
        <v>3.7994479796408243E-2</v>
      </c>
      <c r="V200" s="138">
        <f ca="1"/>
        <v>6.709344908595094E-2</v>
      </c>
      <c r="W200" s="137">
        <f ca="1"/>
        <v>0</v>
      </c>
      <c r="X200" s="156">
        <f ca="1"/>
        <v>0</v>
      </c>
      <c r="Y200" s="156">
        <f ca="1"/>
        <v>1.2020285951426235E-3</v>
      </c>
      <c r="Z200" s="156">
        <f ca="1"/>
        <v>0</v>
      </c>
      <c r="AA200" s="156">
        <f ca="1"/>
        <v>9.8407214398611442E-3</v>
      </c>
      <c r="AB200" s="156">
        <f ca="1"/>
        <v>0</v>
      </c>
      <c r="AC200" s="156">
        <f ca="1"/>
        <v>2.2918151429997535E-2</v>
      </c>
      <c r="AD200" s="156">
        <f ca="1"/>
        <v>3.916213070397756E-2</v>
      </c>
      <c r="AE200" s="138">
        <f ca="1"/>
        <v>6.8694611679442796E-2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6">
        <f ca="1"/>
        <v>0</v>
      </c>
      <c r="P201" s="156">
        <f ca="1"/>
        <v>5.3776842511682466E-3</v>
      </c>
      <c r="Q201" s="156">
        <f ca="1"/>
        <v>0</v>
      </c>
      <c r="R201" s="156">
        <f ca="1"/>
        <v>3.7183679589216867E-2</v>
      </c>
      <c r="S201" s="156">
        <f ca="1"/>
        <v>0</v>
      </c>
      <c r="T201" s="156">
        <f ca="1"/>
        <v>9.2894851539651158E-2</v>
      </c>
      <c r="U201" s="156">
        <f ca="1"/>
        <v>0.14580510205023212</v>
      </c>
      <c r="V201" s="138">
        <f ca="1"/>
        <v>0.24777258058899176</v>
      </c>
      <c r="W201" s="137">
        <f ca="1"/>
        <v>0</v>
      </c>
      <c r="X201" s="156">
        <f ca="1"/>
        <v>0</v>
      </c>
      <c r="Y201" s="156">
        <f ca="1"/>
        <v>5.5795978071089269E-3</v>
      </c>
      <c r="Z201" s="156">
        <f ca="1"/>
        <v>0</v>
      </c>
      <c r="AA201" s="156">
        <f ca="1"/>
        <v>3.7695133221069654E-2</v>
      </c>
      <c r="AB201" s="156">
        <f ca="1"/>
        <v>0</v>
      </c>
      <c r="AC201" s="156">
        <f ca="1"/>
        <v>9.3701206500670153E-2</v>
      </c>
      <c r="AD201" s="156">
        <f ca="1"/>
        <v>0.14686121019551124</v>
      </c>
      <c r="AE201" s="138">
        <f ca="1"/>
        <v>0.24911768869536532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6">
        <f ca="1"/>
        <v>0</v>
      </c>
      <c r="P202" s="156">
        <f ca="1"/>
        <v>3.425669117533725E-3</v>
      </c>
      <c r="Q202" s="156">
        <f ca="1"/>
        <v>0</v>
      </c>
      <c r="R202" s="156">
        <f ca="1"/>
        <v>1.6991811426821268E-2</v>
      </c>
      <c r="S202" s="156">
        <f ca="1"/>
        <v>0</v>
      </c>
      <c r="T202" s="156">
        <f ca="1"/>
        <v>3.623604489281218E-2</v>
      </c>
      <c r="U202" s="156">
        <f ca="1"/>
        <v>5.4588804165673577E-2</v>
      </c>
      <c r="V202" s="138">
        <f ca="1"/>
        <v>8.1507807614732197E-2</v>
      </c>
      <c r="W202" s="137">
        <f ca="1"/>
        <v>0</v>
      </c>
      <c r="X202" s="156">
        <f ca="1"/>
        <v>0</v>
      </c>
      <c r="Y202" s="156">
        <f ca="1"/>
        <v>3.6280652290182624E-3</v>
      </c>
      <c r="Z202" s="156">
        <f ca="1"/>
        <v>0</v>
      </c>
      <c r="AA202" s="156">
        <f ca="1"/>
        <v>1.7520553214884993E-2</v>
      </c>
      <c r="AB202" s="156">
        <f ca="1"/>
        <v>0</v>
      </c>
      <c r="AC202" s="156">
        <f ca="1"/>
        <v>3.7078642526706451E-2</v>
      </c>
      <c r="AD202" s="156">
        <f ca="1"/>
        <v>5.5735149937227502E-2</v>
      </c>
      <c r="AE202" s="138">
        <f ca="1"/>
        <v>8.3079778162860718E-2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6">
        <f ca="1"/>
        <v>0</v>
      </c>
      <c r="P203" s="156">
        <f ca="1"/>
        <v>2.9456824794660275E-3</v>
      </c>
      <c r="Q203" s="156">
        <f ca="1"/>
        <v>0</v>
      </c>
      <c r="R203" s="156">
        <f ca="1"/>
        <v>1.0287773878407847E-2</v>
      </c>
      <c r="S203" s="156">
        <f ca="1"/>
        <v>0</v>
      </c>
      <c r="T203" s="156">
        <f ca="1"/>
        <v>3.4358999740398688E-2</v>
      </c>
      <c r="U203" s="156">
        <f ca="1"/>
        <v>6.6161168956432537E-2</v>
      </c>
      <c r="V203" s="138">
        <f ca="1"/>
        <v>0.11481045997290751</v>
      </c>
      <c r="W203" s="137">
        <f ca="1"/>
        <v>0</v>
      </c>
      <c r="X203" s="156">
        <f ca="1"/>
        <v>0</v>
      </c>
      <c r="Y203" s="156">
        <f ca="1"/>
        <v>3.14819087681939E-3</v>
      </c>
      <c r="Z203" s="156">
        <f ca="1"/>
        <v>0</v>
      </c>
      <c r="AA203" s="156">
        <f ca="1"/>
        <v>1.0820652692804078E-2</v>
      </c>
      <c r="AB203" s="156">
        <f ca="1"/>
        <v>0</v>
      </c>
      <c r="AC203" s="156">
        <f ca="1"/>
        <v>3.5203111544279797E-2</v>
      </c>
      <c r="AD203" s="156">
        <f ca="1"/>
        <v>6.7295107636788365E-2</v>
      </c>
      <c r="AE203" s="138">
        <f ca="1"/>
        <v>0.11635950284805052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6">
        <f ca="1"/>
        <v>0</v>
      </c>
      <c r="P204" s="156">
        <f ca="1"/>
        <v>9.1763835265812554E-2</v>
      </c>
      <c r="Q204" s="156">
        <f ca="1"/>
        <v>0</v>
      </c>
      <c r="R204" s="156">
        <f ca="1"/>
        <v>0.19529789171674394</v>
      </c>
      <c r="S204" s="156">
        <f ca="1"/>
        <v>0</v>
      </c>
      <c r="T204" s="156">
        <f ca="1"/>
        <v>0.24907639340951582</v>
      </c>
      <c r="U204" s="156">
        <f ca="1"/>
        <v>0.2954318375421594</v>
      </c>
      <c r="V204" s="138">
        <f ca="1"/>
        <v>0.34757083794667509</v>
      </c>
      <c r="W204" s="137">
        <f ca="1"/>
        <v>0</v>
      </c>
      <c r="X204" s="156">
        <f ca="1"/>
        <v>0</v>
      </c>
      <c r="Y204" s="156">
        <f ca="1"/>
        <v>9.1948326125500857E-2</v>
      </c>
      <c r="Z204" s="156">
        <f ca="1"/>
        <v>0</v>
      </c>
      <c r="AA204" s="156">
        <f ca="1"/>
        <v>0.19572789489375009</v>
      </c>
      <c r="AB204" s="156">
        <f ca="1"/>
        <v>0</v>
      </c>
      <c r="AC204" s="156">
        <f ca="1"/>
        <v>0.24970190241673351</v>
      </c>
      <c r="AD204" s="156">
        <f ca="1"/>
        <v>0.29625335442035028</v>
      </c>
      <c r="AE204" s="138">
        <f ca="1"/>
        <v>0.34862386923866628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6">
        <f ca="1"/>
        <v>0</v>
      </c>
      <c r="P205" s="156">
        <f ca="1"/>
        <v>5.7090493469198478E-3</v>
      </c>
      <c r="Q205" s="156">
        <f ca="1"/>
        <v>0</v>
      </c>
      <c r="R205" s="156">
        <f ca="1"/>
        <v>2.9081180110483329E-2</v>
      </c>
      <c r="S205" s="156">
        <f ca="1"/>
        <v>0</v>
      </c>
      <c r="T205" s="156">
        <f ca="1"/>
        <v>7.8010423682984498E-2</v>
      </c>
      <c r="U205" s="156">
        <f ca="1"/>
        <v>0.1274578799158852</v>
      </c>
      <c r="V205" s="138">
        <f ca="1"/>
        <v>0.21464451664154327</v>
      </c>
      <c r="W205" s="137">
        <f ca="1"/>
        <v>0</v>
      </c>
      <c r="X205" s="156">
        <f ca="1"/>
        <v>0</v>
      </c>
      <c r="Y205" s="156">
        <f ca="1"/>
        <v>5.9108766820695768E-3</v>
      </c>
      <c r="Z205" s="156">
        <f ca="1"/>
        <v>0</v>
      </c>
      <c r="AA205" s="156">
        <f ca="1"/>
        <v>2.960068227812529E-2</v>
      </c>
      <c r="AB205" s="156">
        <f ca="1"/>
        <v>0</v>
      </c>
      <c r="AC205" s="156">
        <f ca="1"/>
        <v>7.8827582594426127E-2</v>
      </c>
      <c r="AD205" s="156">
        <f ca="1"/>
        <v>0.12853466727811436</v>
      </c>
      <c r="AE205" s="138">
        <f ca="1"/>
        <v>0.21603882200615199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6">
        <f ca="1"/>
        <v>0</v>
      </c>
      <c r="P206" s="156">
        <f ca="1"/>
        <v>1.3448774335399594E-2</v>
      </c>
      <c r="Q206" s="156">
        <f ca="1"/>
        <v>0</v>
      </c>
      <c r="R206" s="156">
        <f ca="1"/>
        <v>6.3624846399043977E-2</v>
      </c>
      <c r="S206" s="156">
        <f ca="1"/>
        <v>0</v>
      </c>
      <c r="T206" s="156">
        <f ca="1"/>
        <v>0.15019080165734777</v>
      </c>
      <c r="U206" s="156">
        <f ca="1"/>
        <v>0.22482182494119163</v>
      </c>
      <c r="V206" s="138">
        <f ca="1"/>
        <v>0.34181784145460115</v>
      </c>
      <c r="W206" s="137">
        <f ca="1"/>
        <v>0</v>
      </c>
      <c r="X206" s="156">
        <f ca="1"/>
        <v>0</v>
      </c>
      <c r="Y206" s="156">
        <f ca="1"/>
        <v>1.3648179805916705E-2</v>
      </c>
      <c r="Z206" s="156">
        <f ca="1"/>
        <v>0</v>
      </c>
      <c r="AA206" s="156">
        <f ca="1"/>
        <v>6.4132266103919755E-2</v>
      </c>
      <c r="AB206" s="156">
        <f ca="1"/>
        <v>0</v>
      </c>
      <c r="AC206" s="156">
        <f ca="1"/>
        <v>0.15095106816415826</v>
      </c>
      <c r="AD206" s="156">
        <f ca="1"/>
        <v>0.22578815829859156</v>
      </c>
      <c r="AE206" s="138">
        <f ca="1"/>
        <v>0.34300192671520735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6">
        <f ca="1"/>
        <v>0</v>
      </c>
      <c r="P207" s="156">
        <f ca="1"/>
        <v>9.564650674969144E-4</v>
      </c>
      <c r="Q207" s="156">
        <f ca="1"/>
        <v>0</v>
      </c>
      <c r="R207" s="156">
        <f ca="1"/>
        <v>1.0311432956838118E-2</v>
      </c>
      <c r="S207" s="156">
        <f ca="1"/>
        <v>0</v>
      </c>
      <c r="T207" s="156">
        <f ca="1"/>
        <v>2.2852919795097071E-2</v>
      </c>
      <c r="U207" s="156">
        <f ca="1"/>
        <v>4.2988554205645957E-2</v>
      </c>
      <c r="V207" s="138">
        <f ca="1"/>
        <v>7.8788592624796649E-2</v>
      </c>
      <c r="W207" s="137">
        <f ca="1"/>
        <v>0</v>
      </c>
      <c r="X207" s="156">
        <f ca="1"/>
        <v>0</v>
      </c>
      <c r="Y207" s="156">
        <f ca="1"/>
        <v>1.1594138175247126E-3</v>
      </c>
      <c r="Z207" s="156">
        <f ca="1"/>
        <v>0</v>
      </c>
      <c r="AA207" s="156">
        <f ca="1"/>
        <v>1.0844586393028877E-2</v>
      </c>
      <c r="AB207" s="156">
        <f ca="1"/>
        <v>0</v>
      </c>
      <c r="AC207" s="156">
        <f ca="1"/>
        <v>2.3708460945984444E-2</v>
      </c>
      <c r="AD207" s="156">
        <f ca="1"/>
        <v>4.4150373817332778E-2</v>
      </c>
      <c r="AE207" s="138">
        <f ca="1"/>
        <v>8.036769370836816E-2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6">
        <f ca="1"/>
        <v>0</v>
      </c>
      <c r="P208" s="156">
        <f ca="1"/>
        <v>2.276965236465589E-3</v>
      </c>
      <c r="Q208" s="156">
        <f ca="1"/>
        <v>0</v>
      </c>
      <c r="R208" s="156">
        <f ca="1"/>
        <v>1.050494261641699E-2</v>
      </c>
      <c r="S208" s="156">
        <f ca="1"/>
        <v>0</v>
      </c>
      <c r="T208" s="156">
        <f ca="1"/>
        <v>2.6769814451885754E-2</v>
      </c>
      <c r="U208" s="156">
        <f ca="1"/>
        <v>4.9569808431069062E-2</v>
      </c>
      <c r="V208" s="138">
        <f ca="1"/>
        <v>9.1214244047190585E-2</v>
      </c>
      <c r="W208" s="137">
        <f ca="1"/>
        <v>0</v>
      </c>
      <c r="X208" s="156">
        <f ca="1"/>
        <v>0</v>
      </c>
      <c r="Y208" s="156">
        <f ca="1"/>
        <v>2.4796260769168743E-3</v>
      </c>
      <c r="Z208" s="156">
        <f ca="1"/>
        <v>0</v>
      </c>
      <c r="AA208" s="156">
        <f ca="1"/>
        <v>1.1037802212840897E-2</v>
      </c>
      <c r="AB208" s="156">
        <f ca="1"/>
        <v>0</v>
      </c>
      <c r="AC208" s="156">
        <f ca="1"/>
        <v>2.7621574743559085E-2</v>
      </c>
      <c r="AD208" s="156">
        <f ca="1"/>
        <v>5.0723815385885107E-2</v>
      </c>
      <c r="AE208" s="138">
        <f ca="1"/>
        <v>9.2796561296654145E-2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6">
        <f ca="1"/>
        <v>0</v>
      </c>
      <c r="P209" s="156">
        <f ca="1"/>
        <v>7.655410832740206E-2</v>
      </c>
      <c r="Q209" s="156">
        <f ca="1"/>
        <v>0</v>
      </c>
      <c r="R209" s="156">
        <f ca="1"/>
        <v>0.19117324591743134</v>
      </c>
      <c r="S209" s="156">
        <f ca="1"/>
        <v>0</v>
      </c>
      <c r="T209" s="156">
        <f ca="1"/>
        <v>0.25404827334456448</v>
      </c>
      <c r="U209" s="156">
        <f ca="1"/>
        <v>0.30903630955760009</v>
      </c>
      <c r="V209" s="138">
        <f ca="1"/>
        <v>0.38236625683866898</v>
      </c>
      <c r="W209" s="137">
        <f ca="1"/>
        <v>0</v>
      </c>
      <c r="X209" s="156">
        <f ca="1"/>
        <v>0</v>
      </c>
      <c r="Y209" s="156">
        <f ca="1"/>
        <v>7.6741691144055713E-2</v>
      </c>
      <c r="Z209" s="156">
        <f ca="1"/>
        <v>0</v>
      </c>
      <c r="AA209" s="156">
        <f ca="1"/>
        <v>0.19160894186819255</v>
      </c>
      <c r="AB209" s="156">
        <f ca="1"/>
        <v>0</v>
      </c>
      <c r="AC209" s="156">
        <f ca="1"/>
        <v>0.25468910539741119</v>
      </c>
      <c r="AD209" s="156">
        <f ca="1"/>
        <v>0.3098419638067712</v>
      </c>
      <c r="AE209" s="138">
        <f ca="1"/>
        <v>0.38339478906234892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6">
        <f ca="1"/>
        <v>0</v>
      </c>
      <c r="P210" s="156">
        <f ca="1"/>
        <v>8.6481573678313106E-3</v>
      </c>
      <c r="Q210" s="156">
        <f ca="1"/>
        <v>0</v>
      </c>
      <c r="R210" s="156">
        <f ca="1"/>
        <v>4.0631700865375042E-2</v>
      </c>
      <c r="S210" s="156">
        <f ca="1"/>
        <v>0</v>
      </c>
      <c r="T210" s="156">
        <f ca="1"/>
        <v>0.10371447405435308</v>
      </c>
      <c r="U210" s="156">
        <f ca="1"/>
        <v>0.1661233928543322</v>
      </c>
      <c r="V210" s="138">
        <f ca="1"/>
        <v>0.27542017970434463</v>
      </c>
      <c r="W210" s="137">
        <f ca="1"/>
        <v>0</v>
      </c>
      <c r="X210" s="156">
        <f ca="1"/>
        <v>0</v>
      </c>
      <c r="Y210" s="156">
        <f ca="1"/>
        <v>8.849161058121946E-3</v>
      </c>
      <c r="Z210" s="156">
        <f ca="1"/>
        <v>0</v>
      </c>
      <c r="AA210" s="156">
        <f ca="1"/>
        <v>4.1140455537957976E-2</v>
      </c>
      <c r="AB210" s="156">
        <f ca="1"/>
        <v>0</v>
      </c>
      <c r="AC210" s="156">
        <f ca="1"/>
        <v>0.1045124738658556</v>
      </c>
      <c r="AD210" s="156">
        <f ca="1"/>
        <v>0.16715889411175489</v>
      </c>
      <c r="AE210" s="138">
        <f ca="1"/>
        <v>0.27672261702255641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6">
        <f ca="1"/>
        <v>0</v>
      </c>
      <c r="P211" s="156">
        <f ca="1"/>
        <v>7.3380184869163978E-3</v>
      </c>
      <c r="Q211" s="156">
        <f ca="1"/>
        <v>0</v>
      </c>
      <c r="R211" s="156">
        <f ca="1"/>
        <v>4.2044640929171706E-2</v>
      </c>
      <c r="S211" s="156">
        <f ca="1"/>
        <v>0</v>
      </c>
      <c r="T211" s="156">
        <f ca="1"/>
        <v>0.10496086887090339</v>
      </c>
      <c r="U211" s="156">
        <f ca="1"/>
        <v>0.16047905130153517</v>
      </c>
      <c r="V211" s="138">
        <f ca="1"/>
        <v>0.25605664833684316</v>
      </c>
      <c r="W211" s="137">
        <f ca="1"/>
        <v>0</v>
      </c>
      <c r="X211" s="156">
        <f ca="1"/>
        <v>0</v>
      </c>
      <c r="Y211" s="156">
        <f ca="1"/>
        <v>7.5394027528543628E-3</v>
      </c>
      <c r="Z211" s="156">
        <f ca="1"/>
        <v>0</v>
      </c>
      <c r="AA211" s="156">
        <f ca="1"/>
        <v>4.2551301595006419E-2</v>
      </c>
      <c r="AB211" s="156">
        <f ca="1"/>
        <v>0</v>
      </c>
      <c r="AC211" s="156">
        <f ca="1"/>
        <v>0.10575826717877101</v>
      </c>
      <c r="AD211" s="156">
        <f ca="1"/>
        <v>0.16151836804698505</v>
      </c>
      <c r="AE211" s="138">
        <f ca="1"/>
        <v>0.25738091626562554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6">
        <f ca="1"/>
        <v>0</v>
      </c>
      <c r="P212" s="156">
        <f ca="1"/>
        <v>1.3724775251410248E-3</v>
      </c>
      <c r="Q212" s="156">
        <f ca="1"/>
        <v>0</v>
      </c>
      <c r="R212" s="156">
        <f ca="1"/>
        <v>6.2936441657680531E-3</v>
      </c>
      <c r="S212" s="156">
        <f ca="1"/>
        <v>0</v>
      </c>
      <c r="T212" s="156">
        <f ca="1"/>
        <v>1.7387884510759344E-2</v>
      </c>
      <c r="U212" s="156">
        <f ca="1"/>
        <v>3.0968897121669281E-2</v>
      </c>
      <c r="V212" s="138">
        <f ca="1"/>
        <v>6.5439361515533423E-2</v>
      </c>
      <c r="W212" s="137">
        <f ca="1"/>
        <v>0</v>
      </c>
      <c r="X212" s="156">
        <f ca="1"/>
        <v>0</v>
      </c>
      <c r="Y212" s="156">
        <f ca="1"/>
        <v>1.575337401278798E-3</v>
      </c>
      <c r="Z212" s="156">
        <f ca="1"/>
        <v>0</v>
      </c>
      <c r="AA212" s="156">
        <f ca="1"/>
        <v>6.8289294670532685E-3</v>
      </c>
      <c r="AB212" s="156">
        <f ca="1"/>
        <v>0</v>
      </c>
      <c r="AC212" s="156">
        <f ca="1"/>
        <v>1.8248211153037763E-2</v>
      </c>
      <c r="AD212" s="156">
        <f ca="1"/>
        <v>3.2144981986935051E-2</v>
      </c>
      <c r="AE212" s="138">
        <f ca="1"/>
        <v>6.704270859481265E-2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6">
        <f ca="1"/>
        <v>0</v>
      </c>
      <c r="P213" s="156">
        <f ca="1"/>
        <v>1.0498291527556436E-3</v>
      </c>
      <c r="Q213" s="156">
        <f ca="1"/>
        <v>0</v>
      </c>
      <c r="R213" s="156">
        <f ca="1"/>
        <v>5.8992847494037104E-3</v>
      </c>
      <c r="S213" s="156">
        <f ca="1"/>
        <v>0</v>
      </c>
      <c r="T213" s="156">
        <f ca="1"/>
        <v>1.7008019361480442E-2</v>
      </c>
      <c r="U213" s="156">
        <f ca="1"/>
        <v>2.7369944370392307E-2</v>
      </c>
      <c r="V213" s="138">
        <f ca="1"/>
        <v>4.9624800070924291E-2</v>
      </c>
      <c r="W213" s="137">
        <f ca="1"/>
        <v>0</v>
      </c>
      <c r="X213" s="156">
        <f ca="1"/>
        <v>0</v>
      </c>
      <c r="Y213" s="156">
        <f ca="1"/>
        <v>1.2527581005654653E-3</v>
      </c>
      <c r="Z213" s="156">
        <f ca="1"/>
        <v>0</v>
      </c>
      <c r="AA213" s="156">
        <f ca="1"/>
        <v>6.4348365090630688E-3</v>
      </c>
      <c r="AB213" s="156">
        <f ca="1"/>
        <v>0</v>
      </c>
      <c r="AC213" s="156">
        <f ca="1"/>
        <v>1.7868799650558209E-2</v>
      </c>
      <c r="AD213" s="156">
        <f ca="1"/>
        <v>2.8549802710823635E-2</v>
      </c>
      <c r="AE213" s="138">
        <f ca="1"/>
        <v>5.1257455925383444E-2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6">
        <f ca="1"/>
        <v>0</v>
      </c>
      <c r="P214" s="156">
        <f ca="1"/>
        <v>1.1614487696777198E-3</v>
      </c>
      <c r="Q214" s="156">
        <f ca="1"/>
        <v>0</v>
      </c>
      <c r="R214" s="156">
        <f ca="1"/>
        <v>1.2669076722760297E-2</v>
      </c>
      <c r="S214" s="156">
        <f ca="1"/>
        <v>0</v>
      </c>
      <c r="T214" s="156">
        <f ca="1"/>
        <v>3.6935741177859249E-2</v>
      </c>
      <c r="U214" s="156">
        <f ca="1"/>
        <v>7.2404091686985583E-2</v>
      </c>
      <c r="V214" s="138">
        <f ca="1"/>
        <v>0.12244140209231813</v>
      </c>
      <c r="W214" s="137">
        <f ca="1"/>
        <v>0</v>
      </c>
      <c r="X214" s="156">
        <f ca="1"/>
        <v>0</v>
      </c>
      <c r="Y214" s="156">
        <f ca="1"/>
        <v>1.3643539348110467E-3</v>
      </c>
      <c r="Z214" s="156">
        <f ca="1"/>
        <v>0</v>
      </c>
      <c r="AA214" s="156">
        <f ca="1"/>
        <v>1.3200778261860724E-2</v>
      </c>
      <c r="AB214" s="156">
        <f ca="1"/>
        <v>0</v>
      </c>
      <c r="AC214" s="156">
        <f ca="1"/>
        <v>3.7777940708660918E-2</v>
      </c>
      <c r="AD214" s="156">
        <f ca="1"/>
        <v>7.3529463704473774E-2</v>
      </c>
      <c r="AE214" s="138">
        <f ca="1"/>
        <v>0.12397914552457867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6">
        <f ca="1"/>
        <v>0</v>
      </c>
      <c r="P215" s="156">
        <f ca="1"/>
        <v>2.7552446224681226E-3</v>
      </c>
      <c r="Q215" s="156">
        <f ca="1"/>
        <v>0</v>
      </c>
      <c r="R215" s="156">
        <f ca="1"/>
        <v>1.3820521125571639E-2</v>
      </c>
      <c r="S215" s="156">
        <f ca="1"/>
        <v>0</v>
      </c>
      <c r="T215" s="156">
        <f ca="1"/>
        <v>4.1130042822849933E-2</v>
      </c>
      <c r="U215" s="156">
        <f ca="1"/>
        <v>7.1440324931475785E-2</v>
      </c>
      <c r="V215" s="138">
        <f ca="1"/>
        <v>0.14289319633223219</v>
      </c>
      <c r="W215" s="137">
        <f ca="1"/>
        <v>0</v>
      </c>
      <c r="X215" s="156">
        <f ca="1"/>
        <v>0</v>
      </c>
      <c r="Y215" s="156">
        <f ca="1"/>
        <v>2.9577969011146399E-3</v>
      </c>
      <c r="Z215" s="156">
        <f ca="1"/>
        <v>0</v>
      </c>
      <c r="AA215" s="156">
        <f ca="1"/>
        <v>1.435135486184369E-2</v>
      </c>
      <c r="AB215" s="156">
        <f ca="1"/>
        <v>0</v>
      </c>
      <c r="AC215" s="156">
        <f ca="1"/>
        <v>4.196728900803437E-2</v>
      </c>
      <c r="AD215" s="156">
        <f ca="1"/>
        <v>7.256789828414012E-2</v>
      </c>
      <c r="AE215" s="138">
        <f ca="1"/>
        <v>0.14440735416451966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6">
        <f ca="1"/>
        <v>0</v>
      </c>
      <c r="P216" s="156">
        <f ca="1"/>
        <v>5.9088333299320617E-2</v>
      </c>
      <c r="Q216" s="156">
        <f ca="1"/>
        <v>0</v>
      </c>
      <c r="R216" s="156">
        <f ca="1"/>
        <v>0.13874080432265434</v>
      </c>
      <c r="S216" s="156">
        <f ca="1"/>
        <v>0</v>
      </c>
      <c r="T216" s="156">
        <f ca="1"/>
        <v>0.19341252044999047</v>
      </c>
      <c r="U216" s="156">
        <f ca="1"/>
        <v>0.21674786161070903</v>
      </c>
      <c r="V216" s="138">
        <f ca="1"/>
        <v>0.24591328108874499</v>
      </c>
      <c r="W216" s="137">
        <f ca="1"/>
        <v>0</v>
      </c>
      <c r="X216" s="156">
        <f ca="1"/>
        <v>0</v>
      </c>
      <c r="Y216" s="156">
        <f ca="1"/>
        <v>5.9279466779900258E-2</v>
      </c>
      <c r="Z216" s="156">
        <f ca="1"/>
        <v>0</v>
      </c>
      <c r="AA216" s="156">
        <f ca="1"/>
        <v>0.13920350997723618</v>
      </c>
      <c r="AB216" s="156">
        <f ca="1"/>
        <v>0</v>
      </c>
      <c r="AC216" s="156">
        <f ca="1"/>
        <v>0.19410999363062531</v>
      </c>
      <c r="AD216" s="156">
        <f ca="1"/>
        <v>0.2176611229327805</v>
      </c>
      <c r="AE216" s="138">
        <f ca="1"/>
        <v>0.24712167381212102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6">
        <f ca="1"/>
        <v>0</v>
      </c>
      <c r="P217" s="156">
        <f ca="1"/>
        <v>2.3884489580410229E-3</v>
      </c>
      <c r="Q217" s="156">
        <f ca="1"/>
        <v>0</v>
      </c>
      <c r="R217" s="156">
        <f ca="1"/>
        <v>1.073244859909428E-2</v>
      </c>
      <c r="S217" s="156">
        <f ca="1"/>
        <v>0</v>
      </c>
      <c r="T217" s="156">
        <f ca="1"/>
        <v>2.1786262764131759E-2</v>
      </c>
      <c r="U217" s="156">
        <f ca="1"/>
        <v>3.9994040387070773E-2</v>
      </c>
      <c r="V217" s="138">
        <f ca="1"/>
        <v>7.1568417781921911E-2</v>
      </c>
      <c r="W217" s="137">
        <f ca="1"/>
        <v>0</v>
      </c>
      <c r="X217" s="156">
        <f ca="1"/>
        <v>0</v>
      </c>
      <c r="Y217" s="156">
        <f ca="1"/>
        <v>2.5910847018704164E-3</v>
      </c>
      <c r="Z217" s="156">
        <f ca="1"/>
        <v>0</v>
      </c>
      <c r="AA217" s="156">
        <f ca="1"/>
        <v>1.1265162634489179E-2</v>
      </c>
      <c r="AB217" s="156">
        <f ca="1"/>
        <v>0</v>
      </c>
      <c r="AC217" s="156">
        <f ca="1"/>
        <v>2.2642179018819264E-2</v>
      </c>
      <c r="AD217" s="156">
        <f ca="1"/>
        <v>4.1158562879236582E-2</v>
      </c>
      <c r="AE217" s="138">
        <f ca="1"/>
        <v>7.3160743636059067E-2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6">
        <f ca="1"/>
        <v>0</v>
      </c>
      <c r="P218" s="156">
        <f ca="1"/>
        <v>1.2345021873045869E-3</v>
      </c>
      <c r="Q218" s="156">
        <f ca="1"/>
        <v>0</v>
      </c>
      <c r="R218" s="156">
        <f ca="1"/>
        <v>9.2226858022192992E-3</v>
      </c>
      <c r="S218" s="156">
        <f ca="1"/>
        <v>0</v>
      </c>
      <c r="T218" s="156">
        <f ca="1"/>
        <v>2.2498460769996287E-2</v>
      </c>
      <c r="U218" s="156">
        <f ca="1"/>
        <v>4.2256022720272957E-2</v>
      </c>
      <c r="V218" s="138">
        <f ca="1"/>
        <v>7.5503085781169821E-2</v>
      </c>
      <c r="W218" s="137">
        <f ca="1"/>
        <v>0</v>
      </c>
      <c r="X218" s="156">
        <f ca="1"/>
        <v>0</v>
      </c>
      <c r="Y218" s="156">
        <f ca="1"/>
        <v>1.4373917227294974E-3</v>
      </c>
      <c r="Z218" s="156">
        <f ca="1"/>
        <v>0</v>
      </c>
      <c r="AA218" s="156">
        <f ca="1"/>
        <v>9.7564254503262893E-3</v>
      </c>
      <c r="AB218" s="156">
        <f ca="1"/>
        <v>0</v>
      </c>
      <c r="AC218" s="156">
        <f ca="1"/>
        <v>2.3354321456239946E-2</v>
      </c>
      <c r="AD218" s="156">
        <f ca="1"/>
        <v>4.3418974890569895E-2</v>
      </c>
      <c r="AE218" s="138">
        <f ca="1"/>
        <v>7.70893035759741E-2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6">
        <f ca="1"/>
        <v>0</v>
      </c>
      <c r="P219" s="156">
        <f ca="1"/>
        <v>5.777733321687073E-3</v>
      </c>
      <c r="Q219" s="156">
        <f ca="1"/>
        <v>0</v>
      </c>
      <c r="R219" s="156">
        <f ca="1"/>
        <v>2.1775502147142412E-2</v>
      </c>
      <c r="S219" s="156">
        <f ca="1"/>
        <v>0</v>
      </c>
      <c r="T219" s="156">
        <f ca="1"/>
        <v>6.1195339705232721E-2</v>
      </c>
      <c r="U219" s="156">
        <f ca="1"/>
        <v>0.10146303098125364</v>
      </c>
      <c r="V219" s="138">
        <f ca="1"/>
        <v>0.17095499674161474</v>
      </c>
      <c r="W219" s="137">
        <f ca="1"/>
        <v>0</v>
      </c>
      <c r="X219" s="156">
        <f ca="1"/>
        <v>0</v>
      </c>
      <c r="Y219" s="156">
        <f ca="1"/>
        <v>5.9795426236188831E-3</v>
      </c>
      <c r="Z219" s="156">
        <f ca="1"/>
        <v>0</v>
      </c>
      <c r="AA219" s="156">
        <f ca="1"/>
        <v>2.2300860855996585E-2</v>
      </c>
      <c r="AB219" s="156">
        <f ca="1"/>
        <v>0</v>
      </c>
      <c r="AC219" s="156">
        <f ca="1"/>
        <v>6.200825305765667E-2</v>
      </c>
      <c r="AD219" s="156">
        <f ca="1"/>
        <v>0.10255005951987617</v>
      </c>
      <c r="AE219" s="138">
        <f ca="1"/>
        <v>0.17241929296761282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6">
        <f ca="1"/>
        <v>0</v>
      </c>
      <c r="P220" s="156">
        <f ca="1"/>
        <v>2.3762876972894809E-3</v>
      </c>
      <c r="Q220" s="156">
        <f ca="1"/>
        <v>0</v>
      </c>
      <c r="R220" s="156">
        <f ca="1"/>
        <v>1.171645575296465E-2</v>
      </c>
      <c r="S220" s="156">
        <f ca="1"/>
        <v>0</v>
      </c>
      <c r="T220" s="156">
        <f ca="1"/>
        <v>2.9763026086800926E-2</v>
      </c>
      <c r="U220" s="156">
        <f ca="1"/>
        <v>4.302424375699665E-2</v>
      </c>
      <c r="V220" s="138">
        <f ca="1"/>
        <v>7.025157299131557E-2</v>
      </c>
      <c r="W220" s="137">
        <f ca="1"/>
        <v>0</v>
      </c>
      <c r="X220" s="156">
        <f ca="1"/>
        <v>0</v>
      </c>
      <c r="Y220" s="156">
        <f ca="1"/>
        <v>2.5789261849225031E-3</v>
      </c>
      <c r="Z220" s="156">
        <f ca="1"/>
        <v>0</v>
      </c>
      <c r="AA220" s="156">
        <f ca="1"/>
        <v>1.2248602026185273E-2</v>
      </c>
      <c r="AB220" s="156">
        <f ca="1"/>
        <v>0</v>
      </c>
      <c r="AC220" s="156">
        <f ca="1"/>
        <v>3.0611991398799221E-2</v>
      </c>
      <c r="AD220" s="156">
        <f ca="1"/>
        <v>4.4185140019455504E-2</v>
      </c>
      <c r="AE220" s="138">
        <f ca="1"/>
        <v>7.1844655151521719E-2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6">
        <f ca="1"/>
        <v>0</v>
      </c>
      <c r="P221" s="156">
        <f ca="1"/>
        <v>1.7193614296450166E-3</v>
      </c>
      <c r="Q221" s="156">
        <f ca="1"/>
        <v>0</v>
      </c>
      <c r="R221" s="156">
        <f ca="1"/>
        <v>1.3036468308284976E-2</v>
      </c>
      <c r="S221" s="156">
        <f ca="1"/>
        <v>0</v>
      </c>
      <c r="T221" s="156">
        <f ca="1"/>
        <v>3.4161762400867435E-2</v>
      </c>
      <c r="U221" s="156">
        <f ca="1"/>
        <v>6.3517288453305398E-2</v>
      </c>
      <c r="V221" s="138">
        <f ca="1"/>
        <v>0.12732488089044347</v>
      </c>
      <c r="W221" s="137">
        <f ca="1"/>
        <v>0</v>
      </c>
      <c r="X221" s="156">
        <f ca="1"/>
        <v>0</v>
      </c>
      <c r="Y221" s="156">
        <f ca="1"/>
        <v>1.9221459255304163E-3</v>
      </c>
      <c r="Z221" s="156">
        <f ca="1"/>
        <v>0</v>
      </c>
      <c r="AA221" s="156">
        <f ca="1"/>
        <v>1.3567888259535144E-2</v>
      </c>
      <c r="AB221" s="156">
        <f ca="1"/>
        <v>0</v>
      </c>
      <c r="AC221" s="156">
        <f ca="1"/>
        <v>3.5006709015151349E-2</v>
      </c>
      <c r="AD221" s="156">
        <f ca="1"/>
        <v>6.4654167235677296E-2</v>
      </c>
      <c r="AE221" s="138">
        <f ca="1"/>
        <v>0.12886117016100407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6">
        <f ca="1"/>
        <v>0</v>
      </c>
      <c r="P222" s="156">
        <f ca="1"/>
        <v>1.9627174206429121E-3</v>
      </c>
      <c r="Q222" s="156">
        <f ca="1"/>
        <v>0</v>
      </c>
      <c r="R222" s="156">
        <f ca="1"/>
        <v>1.1787528356709265E-2</v>
      </c>
      <c r="S222" s="156">
        <f ca="1"/>
        <v>0</v>
      </c>
      <c r="T222" s="156">
        <f ca="1"/>
        <v>2.4859737620926192E-2</v>
      </c>
      <c r="U222" s="156">
        <f ca="1"/>
        <v>4.5402129464398033E-2</v>
      </c>
      <c r="V222" s="138">
        <f ca="1"/>
        <v>8.1860060346387375E-2</v>
      </c>
      <c r="W222" s="137">
        <f ca="1"/>
        <v>0</v>
      </c>
      <c r="X222" s="156">
        <f ca="1"/>
        <v>0</v>
      </c>
      <c r="Y222" s="156">
        <f ca="1"/>
        <v>2.1654483297997018E-3</v>
      </c>
      <c r="Z222" s="156">
        <f ca="1"/>
        <v>0</v>
      </c>
      <c r="AA222" s="156">
        <f ca="1"/>
        <v>1.2319683609381071E-2</v>
      </c>
      <c r="AB222" s="156">
        <f ca="1"/>
        <v>0</v>
      </c>
      <c r="AC222" s="156">
        <f ca="1"/>
        <v>2.5713163189203692E-2</v>
      </c>
      <c r="AD222" s="156">
        <f ca="1"/>
        <v>4.6560461021041499E-2</v>
      </c>
      <c r="AE222" s="138">
        <f ca="1"/>
        <v>8.3432420496051263E-2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6">
        <f ca="1"/>
        <v>0</v>
      </c>
      <c r="P223" s="156">
        <f ca="1"/>
        <v>1.0335925419656666E-3</v>
      </c>
      <c r="Q223" s="156">
        <f ca="1"/>
        <v>0</v>
      </c>
      <c r="R223" s="156">
        <f ca="1"/>
        <v>9.9534409988069061E-3</v>
      </c>
      <c r="S223" s="156">
        <f ca="1"/>
        <v>0</v>
      </c>
      <c r="T223" s="156">
        <f ca="1"/>
        <v>2.4685292592456221E-2</v>
      </c>
      <c r="U223" s="156">
        <f ca="1"/>
        <v>4.3131160269501478E-2</v>
      </c>
      <c r="V223" s="138">
        <f ca="1"/>
        <v>7.9737314035001838E-2</v>
      </c>
      <c r="W223" s="137">
        <f ca="1"/>
        <v>0</v>
      </c>
      <c r="X223" s="156">
        <f ca="1"/>
        <v>0</v>
      </c>
      <c r="Y223" s="156">
        <f ca="1"/>
        <v>1.2365249394025168E-3</v>
      </c>
      <c r="Z223" s="156">
        <f ca="1"/>
        <v>0</v>
      </c>
      <c r="AA223" s="156">
        <f ca="1"/>
        <v>1.0486792729915484E-2</v>
      </c>
      <c r="AB223" s="156">
        <f ca="1"/>
        <v>0</v>
      </c>
      <c r="AC223" s="156">
        <f ca="1"/>
        <v>2.5539295471440293E-2</v>
      </c>
      <c r="AD223" s="156">
        <f ca="1"/>
        <v>4.4293039243971766E-2</v>
      </c>
      <c r="AE223" s="138">
        <f ca="1"/>
        <v>8.1313779100436023E-2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6">
        <f ca="1"/>
        <v>0</v>
      </c>
      <c r="P224" s="156">
        <f ca="1"/>
        <v>7.5956026853374325E-4</v>
      </c>
      <c r="Q224" s="156">
        <f ca="1"/>
        <v>0</v>
      </c>
      <c r="R224" s="156">
        <f ca="1"/>
        <v>9.2650683130710565E-3</v>
      </c>
      <c r="S224" s="156">
        <f ca="1"/>
        <v>0</v>
      </c>
      <c r="T224" s="156">
        <f ca="1"/>
        <v>2.3888872790333582E-2</v>
      </c>
      <c r="U224" s="156">
        <f ca="1"/>
        <v>4.8239637307067373E-2</v>
      </c>
      <c r="V224" s="138">
        <f ca="1"/>
        <v>9.1461683801112859E-2</v>
      </c>
      <c r="W224" s="137">
        <f ca="1"/>
        <v>0</v>
      </c>
      <c r="X224" s="156">
        <f ca="1"/>
        <v>0</v>
      </c>
      <c r="Y224" s="156">
        <f ca="1"/>
        <v>9.6255051228688604E-4</v>
      </c>
      <c r="Z224" s="156">
        <f ca="1"/>
        <v>0</v>
      </c>
      <c r="AA224" s="156">
        <f ca="1"/>
        <v>9.7988543513254367E-3</v>
      </c>
      <c r="AB224" s="156">
        <f ca="1"/>
        <v>0</v>
      </c>
      <c r="AC224" s="156">
        <f ca="1"/>
        <v>2.4743693640761899E-2</v>
      </c>
      <c r="AD224" s="156">
        <f ca="1"/>
        <v>4.9395774280670546E-2</v>
      </c>
      <c r="AE224" s="138">
        <f ca="1"/>
        <v>9.3046389745362057E-2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6">
        <f ca="1"/>
        <v>0</v>
      </c>
      <c r="P225" s="156">
        <f ca="1"/>
        <v>1.2629104192817264E-3</v>
      </c>
      <c r="Q225" s="156">
        <f ca="1"/>
        <v>0</v>
      </c>
      <c r="R225" s="156">
        <f ca="1"/>
        <v>1.2820244529212488E-2</v>
      </c>
      <c r="S225" s="156">
        <f ca="1"/>
        <v>0</v>
      </c>
      <c r="T225" s="156">
        <f ca="1"/>
        <v>2.8848072931188518E-2</v>
      </c>
      <c r="U225" s="156">
        <f ca="1"/>
        <v>5.2611744582561126E-2</v>
      </c>
      <c r="V225" s="138">
        <f ca="1"/>
        <v>9.1250547228606371E-2</v>
      </c>
      <c r="W225" s="137">
        <f ca="1"/>
        <v>0</v>
      </c>
      <c r="X225" s="156">
        <f ca="1"/>
        <v>0</v>
      </c>
      <c r="Y225" s="156">
        <f ca="1"/>
        <v>1.465793862968634E-3</v>
      </c>
      <c r="Z225" s="156">
        <f ca="1"/>
        <v>0</v>
      </c>
      <c r="AA225" s="156">
        <f ca="1"/>
        <v>1.3351842033317185E-2</v>
      </c>
      <c r="AB225" s="156">
        <f ca="1"/>
        <v>0</v>
      </c>
      <c r="AC225" s="156">
        <f ca="1"/>
        <v>2.9698201485331199E-2</v>
      </c>
      <c r="AD225" s="156">
        <f ca="1"/>
        <v>5.3761797984307247E-2</v>
      </c>
      <c r="AE225" s="138">
        <f ca="1"/>
        <v>9.2805562449551959E-2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6">
        <f ca="1"/>
        <v>0</v>
      </c>
      <c r="P226" s="156">
        <f ca="1"/>
        <v>1.4698605053001801E-3</v>
      </c>
      <c r="Q226" s="156">
        <f ca="1"/>
        <v>0</v>
      </c>
      <c r="R226" s="156">
        <f ca="1"/>
        <v>8.6762095675132489E-3</v>
      </c>
      <c r="S226" s="156">
        <f ca="1"/>
        <v>0</v>
      </c>
      <c r="T226" s="156">
        <f ca="1"/>
        <v>2.2985017837149457E-2</v>
      </c>
      <c r="U226" s="156">
        <f ca="1"/>
        <v>3.6938590349188449E-2</v>
      </c>
      <c r="V226" s="138">
        <f ca="1"/>
        <v>7.2065700322330395E-2</v>
      </c>
      <c r="W226" s="137">
        <f ca="1"/>
        <v>0</v>
      </c>
      <c r="X226" s="156">
        <f ca="1"/>
        <v>0</v>
      </c>
      <c r="Y226" s="156">
        <f ca="1"/>
        <v>1.6726993374733823E-3</v>
      </c>
      <c r="Z226" s="156">
        <f ca="1"/>
        <v>0</v>
      </c>
      <c r="AA226" s="156">
        <f ca="1"/>
        <v>9.2102155986930612E-3</v>
      </c>
      <c r="AB226" s="156">
        <f ca="1"/>
        <v>0</v>
      </c>
      <c r="AC226" s="156">
        <f ca="1"/>
        <v>2.3840443938783928E-2</v>
      </c>
      <c r="AD226" s="156">
        <f ca="1"/>
        <v>3.8107395709638281E-2</v>
      </c>
      <c r="AE226" s="138">
        <f ca="1"/>
        <v>7.3655616577214422E-2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6">
        <f ca="1"/>
        <v>0</v>
      </c>
      <c r="P227" s="156">
        <f ca="1"/>
        <v>9.1383945664258448E-4</v>
      </c>
      <c r="Q227" s="156">
        <f ca="1"/>
        <v>0</v>
      </c>
      <c r="R227" s="156">
        <f ca="1"/>
        <v>6.3286139779832329E-3</v>
      </c>
      <c r="S227" s="156">
        <f ca="1"/>
        <v>0</v>
      </c>
      <c r="T227" s="156">
        <f ca="1"/>
        <v>1.8331689958464681E-2</v>
      </c>
      <c r="U227" s="156">
        <f ca="1"/>
        <v>3.3527493941540532E-2</v>
      </c>
      <c r="V227" s="138">
        <f ca="1"/>
        <v>6.495770459075334E-2</v>
      </c>
      <c r="W227" s="137">
        <f ca="1"/>
        <v>0</v>
      </c>
      <c r="X227" s="156">
        <f ca="1"/>
        <v>0</v>
      </c>
      <c r="Y227" s="156">
        <f ca="1"/>
        <v>1.1167972200315512E-3</v>
      </c>
      <c r="Z227" s="156">
        <f ca="1"/>
        <v>0</v>
      </c>
      <c r="AA227" s="156">
        <f ca="1"/>
        <v>6.8639724223927834E-3</v>
      </c>
      <c r="AB227" s="156">
        <f ca="1"/>
        <v>0</v>
      </c>
      <c r="AC227" s="156">
        <f ca="1"/>
        <v>1.9191394598272904E-2</v>
      </c>
      <c r="AD227" s="156">
        <f ca="1"/>
        <v>3.4701052871673577E-2</v>
      </c>
      <c r="AE227" s="138">
        <f ca="1"/>
        <v>6.6563412719978676E-2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6">
        <f ca="1"/>
        <v>0</v>
      </c>
      <c r="P228" s="156">
        <f ca="1"/>
        <v>1.0782425920867755E-3</v>
      </c>
      <c r="Q228" s="156">
        <f ca="1"/>
        <v>0</v>
      </c>
      <c r="R228" s="156">
        <f ca="1"/>
        <v>8.9761940368091597E-3</v>
      </c>
      <c r="S228" s="156">
        <f ca="1"/>
        <v>0</v>
      </c>
      <c r="T228" s="156">
        <f ca="1"/>
        <v>2.3892194799856492E-2</v>
      </c>
      <c r="U228" s="156">
        <f ca="1"/>
        <v>4.7593332565426638E-2</v>
      </c>
      <c r="V228" s="138">
        <f ca="1"/>
        <v>8.6780659339938615E-2</v>
      </c>
      <c r="W228" s="137">
        <f ca="1"/>
        <v>0</v>
      </c>
      <c r="X228" s="156">
        <f ca="1"/>
        <v>0</v>
      </c>
      <c r="Y228" s="156">
        <f ca="1"/>
        <v>1.2811654970750208E-3</v>
      </c>
      <c r="Z228" s="156">
        <f ca="1"/>
        <v>0</v>
      </c>
      <c r="AA228" s="156">
        <f ca="1"/>
        <v>9.5100960340316343E-3</v>
      </c>
      <c r="AB228" s="156">
        <f ca="1"/>
        <v>0</v>
      </c>
      <c r="AC228" s="156">
        <f ca="1"/>
        <v>2.4746935674689885E-2</v>
      </c>
      <c r="AD228" s="156">
        <f ca="1"/>
        <v>4.8750277008079657E-2</v>
      </c>
      <c r="AE228" s="138">
        <f ca="1"/>
        <v>8.8345335035293182E-2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6">
        <f ca="1"/>
        <v>0</v>
      </c>
      <c r="P229" s="156">
        <f ca="1"/>
        <v>3.1320335880973271E-3</v>
      </c>
      <c r="Q229" s="156">
        <f ca="1"/>
        <v>0</v>
      </c>
      <c r="R229" s="156">
        <f ca="1"/>
        <v>1.1997057879149287E-2</v>
      </c>
      <c r="S229" s="156">
        <f ca="1"/>
        <v>0</v>
      </c>
      <c r="T229" s="156">
        <f ca="1"/>
        <v>2.6529806004763179E-2</v>
      </c>
      <c r="U229" s="156">
        <f ca="1"/>
        <v>4.9298448035811071E-2</v>
      </c>
      <c r="V229" s="138">
        <f ca="1"/>
        <v>9.3121806937954799E-2</v>
      </c>
      <c r="W229" s="137">
        <f ca="1"/>
        <v>0</v>
      </c>
      <c r="X229" s="156">
        <f ca="1"/>
        <v>0</v>
      </c>
      <c r="Y229" s="156">
        <f ca="1"/>
        <v>3.3344986796852716E-3</v>
      </c>
      <c r="Z229" s="156">
        <f ca="1"/>
        <v>0</v>
      </c>
      <c r="AA229" s="156">
        <f ca="1"/>
        <v>1.2528941754569534E-2</v>
      </c>
      <c r="AB229" s="156">
        <f ca="1"/>
        <v>0</v>
      </c>
      <c r="AC229" s="156">
        <f ca="1"/>
        <v>2.7381442152157098E-2</v>
      </c>
      <c r="AD229" s="156">
        <f ca="1"/>
        <v>5.0451912169895641E-2</v>
      </c>
      <c r="AE229" s="138">
        <f ca="1"/>
        <v>9.4701465692863307E-2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6">
        <f ca="1"/>
        <v>0</v>
      </c>
      <c r="P230" s="156">
        <f ca="1"/>
        <v>2.0052986742685741E-3</v>
      </c>
      <c r="Q230" s="156">
        <f ca="1"/>
        <v>0</v>
      </c>
      <c r="R230" s="156">
        <f ca="1"/>
        <v>1.1114112396014231E-2</v>
      </c>
      <c r="S230" s="156">
        <f ca="1"/>
        <v>0</v>
      </c>
      <c r="T230" s="156">
        <f ca="1"/>
        <v>2.7174021512154201E-2</v>
      </c>
      <c r="U230" s="156">
        <f ca="1"/>
        <v>4.9175314710237616E-2</v>
      </c>
      <c r="V230" s="138">
        <f ca="1"/>
        <v>8.7798791826269817E-2</v>
      </c>
      <c r="W230" s="137">
        <f ca="1"/>
        <v>0</v>
      </c>
      <c r="X230" s="156">
        <f ca="1"/>
        <v>0</v>
      </c>
      <c r="Y230" s="156">
        <f ca="1"/>
        <v>2.2080201468014371E-3</v>
      </c>
      <c r="Z230" s="156">
        <f ca="1"/>
        <v>0</v>
      </c>
      <c r="AA230" s="156">
        <f ca="1"/>
        <v>1.1646659307133045E-2</v>
      </c>
      <c r="AB230" s="156">
        <f ca="1"/>
        <v>0</v>
      </c>
      <c r="AC230" s="156">
        <f ca="1"/>
        <v>2.8025479447708723E-2</v>
      </c>
      <c r="AD230" s="156">
        <f ca="1"/>
        <v>5.0329702662393339E-2</v>
      </c>
      <c r="AE230" s="138">
        <f ca="1"/>
        <v>8.9359968979816351E-2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6">
        <f ca="1"/>
        <v>0</v>
      </c>
      <c r="P231" s="156">
        <f ca="1"/>
        <v>7.3895717420616625E-2</v>
      </c>
      <c r="Q231" s="156">
        <f ca="1"/>
        <v>0</v>
      </c>
      <c r="R231" s="156">
        <f ca="1"/>
        <v>0.18112178789648437</v>
      </c>
      <c r="S231" s="156">
        <f ca="1"/>
        <v>0</v>
      </c>
      <c r="T231" s="156">
        <f ca="1"/>
        <v>0.24061214518000529</v>
      </c>
      <c r="U231" s="156">
        <f ca="1"/>
        <v>0.28761154054890781</v>
      </c>
      <c r="V231" s="138">
        <f ca="1"/>
        <v>0.36419069988223041</v>
      </c>
      <c r="W231" s="137">
        <f ca="1"/>
        <v>0</v>
      </c>
      <c r="X231" s="156">
        <f ca="1"/>
        <v>0</v>
      </c>
      <c r="Y231" s="156">
        <f ca="1"/>
        <v>7.4083840661207212E-2</v>
      </c>
      <c r="Z231" s="156">
        <f ca="1"/>
        <v>0</v>
      </c>
      <c r="AA231" s="156">
        <f ca="1"/>
        <v>0.18156246973934254</v>
      </c>
      <c r="AB231" s="156">
        <f ca="1"/>
        <v>0</v>
      </c>
      <c r="AC231" s="156">
        <f ca="1"/>
        <v>0.24126462226999923</v>
      </c>
      <c r="AD231" s="156">
        <f ca="1"/>
        <v>0.28844217578684672</v>
      </c>
      <c r="AE231" s="138">
        <f ca="1"/>
        <v>0.36524949947103258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6">
        <f ca="1"/>
        <v>0</v>
      </c>
      <c r="P232" s="156">
        <f ca="1"/>
        <v>2.2283139260179663E-3</v>
      </c>
      <c r="Q232" s="156">
        <f ca="1"/>
        <v>0</v>
      </c>
      <c r="R232" s="156">
        <f ca="1"/>
        <v>1.1931275167013977E-2</v>
      </c>
      <c r="S232" s="156">
        <f ca="1"/>
        <v>0</v>
      </c>
      <c r="T232" s="156">
        <f ca="1"/>
        <v>3.9609281853843159E-2</v>
      </c>
      <c r="U232" s="156">
        <f ca="1"/>
        <v>7.01856572916566E-2</v>
      </c>
      <c r="V232" s="138">
        <f ca="1"/>
        <v>0.12141775867755</v>
      </c>
      <c r="W232" s="137">
        <f ca="1"/>
        <v>0</v>
      </c>
      <c r="X232" s="156">
        <f ca="1"/>
        <v>0</v>
      </c>
      <c r="Y232" s="156">
        <f ca="1"/>
        <v>2.430985679256481E-3</v>
      </c>
      <c r="Z232" s="156">
        <f ca="1"/>
        <v>0</v>
      </c>
      <c r="AA232" s="156">
        <f ca="1"/>
        <v>1.2463312891522693E-2</v>
      </c>
      <c r="AB232" s="156">
        <f ca="1"/>
        <v>0</v>
      </c>
      <c r="AC232" s="156">
        <f ca="1"/>
        <v>4.0448058310774027E-2</v>
      </c>
      <c r="AD232" s="156">
        <f ca="1"/>
        <v>7.1315378164468979E-2</v>
      </c>
      <c r="AE232" s="138">
        <f ca="1"/>
        <v>0.12295608710790151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6">
        <f ca="1"/>
        <v>0</v>
      </c>
      <c r="P233" s="156">
        <f ca="1"/>
        <v>0.23001591104202701</v>
      </c>
      <c r="Q233" s="156">
        <f ca="1"/>
        <v>0</v>
      </c>
      <c r="R233" s="156">
        <f ca="1"/>
        <v>0.36817465745642153</v>
      </c>
      <c r="S233" s="156">
        <f ca="1"/>
        <v>0</v>
      </c>
      <c r="T233" s="156">
        <f ca="1"/>
        <v>0.39220774502318234</v>
      </c>
      <c r="U233" s="156">
        <f ca="1"/>
        <v>0.46318162942734087</v>
      </c>
      <c r="V233" s="138">
        <f ca="1"/>
        <v>0.54141030251696609</v>
      </c>
      <c r="W233" s="137">
        <f ca="1"/>
        <v>0</v>
      </c>
      <c r="X233" s="156">
        <f ca="1"/>
        <v>0</v>
      </c>
      <c r="Y233" s="156">
        <f ca="1"/>
        <v>0.23017223503192508</v>
      </c>
      <c r="Z233" s="156">
        <f ca="1"/>
        <v>0</v>
      </c>
      <c r="AA233" s="156">
        <f ca="1"/>
        <v>0.36849049116268684</v>
      </c>
      <c r="AB233" s="156">
        <f ca="1"/>
        <v>0</v>
      </c>
      <c r="AC233" s="156">
        <f ca="1"/>
        <v>0.39268029857537734</v>
      </c>
      <c r="AD233" s="156">
        <f ca="1"/>
        <v>0.46375562503777024</v>
      </c>
      <c r="AE233" s="138">
        <f ca="1"/>
        <v>0.54208876896036839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6">
        <f ca="1"/>
        <v>0</v>
      </c>
      <c r="P234" s="156">
        <f ca="1"/>
        <v>1.151302042737723E-3</v>
      </c>
      <c r="Q234" s="156">
        <f ca="1"/>
        <v>0</v>
      </c>
      <c r="R234" s="156">
        <f ca="1"/>
        <v>6.845055780257403E-3</v>
      </c>
      <c r="S234" s="156">
        <f ca="1"/>
        <v>0</v>
      </c>
      <c r="T234" s="156">
        <f ca="1"/>
        <v>1.8256176894995035E-2</v>
      </c>
      <c r="U234" s="156">
        <f ca="1"/>
        <v>3.4757337999510862E-2</v>
      </c>
      <c r="V234" s="138">
        <f ca="1"/>
        <v>6.6615966735640408E-2</v>
      </c>
      <c r="W234" s="137">
        <f ca="1"/>
        <v>0</v>
      </c>
      <c r="X234" s="156">
        <f ca="1"/>
        <v>0</v>
      </c>
      <c r="Y234" s="156">
        <f ca="1"/>
        <v>1.3542093747368478E-3</v>
      </c>
      <c r="Z234" s="156">
        <f ca="1"/>
        <v>0</v>
      </c>
      <c r="AA234" s="156">
        <f ca="1"/>
        <v>7.380099669645368E-3</v>
      </c>
      <c r="AB234" s="156">
        <f ca="1"/>
        <v>0</v>
      </c>
      <c r="AC234" s="156">
        <f ca="1"/>
        <v>1.9115802439318319E-2</v>
      </c>
      <c r="AD234" s="156">
        <f ca="1"/>
        <v>3.5929339057429455E-2</v>
      </c>
      <c r="AE234" s="138">
        <f ca="1"/>
        <v>6.8218733743870441E-2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6">
        <f ca="1"/>
        <v>0</v>
      </c>
      <c r="P235" s="156">
        <f ca="1"/>
        <v>1.5428915629848161E-3</v>
      </c>
      <c r="Q235" s="156">
        <f ca="1"/>
        <v>0</v>
      </c>
      <c r="R235" s="156">
        <f ca="1"/>
        <v>1.1326274096111977E-2</v>
      </c>
      <c r="S235" s="156">
        <f ca="1"/>
        <v>0</v>
      </c>
      <c r="T235" s="156">
        <f ca="1"/>
        <v>2.4043284146725519E-2</v>
      </c>
      <c r="U235" s="156">
        <f ca="1"/>
        <v>4.5274893320172982E-2</v>
      </c>
      <c r="V235" s="138">
        <f ca="1"/>
        <v>8.3833839340026195E-2</v>
      </c>
      <c r="W235" s="137">
        <f ca="1"/>
        <v>0</v>
      </c>
      <c r="X235" s="156">
        <f ca="1"/>
        <v>0</v>
      </c>
      <c r="Y235" s="156">
        <f ca="1"/>
        <v>1.7457145532980833E-3</v>
      </c>
      <c r="Z235" s="156">
        <f ca="1"/>
        <v>0</v>
      </c>
      <c r="AA235" s="156">
        <f ca="1"/>
        <v>1.1858754562537377E-2</v>
      </c>
      <c r="AB235" s="156">
        <f ca="1"/>
        <v>0</v>
      </c>
      <c r="AC235" s="156">
        <f ca="1"/>
        <v>2.4897560308134836E-2</v>
      </c>
      <c r="AD235" s="156">
        <f ca="1"/>
        <v>4.6433602451965261E-2</v>
      </c>
      <c r="AE235" s="138">
        <f ca="1"/>
        <v>8.5402218881762249E-2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6">
        <f ca="1"/>
        <v>0</v>
      </c>
      <c r="P236" s="156">
        <f ca="1"/>
        <v>2.3499377951357037E-3</v>
      </c>
      <c r="Q236" s="156">
        <f ca="1"/>
        <v>0</v>
      </c>
      <c r="R236" s="156">
        <f ca="1"/>
        <v>1.8025991194260071E-2</v>
      </c>
      <c r="S236" s="156">
        <f ca="1"/>
        <v>0</v>
      </c>
      <c r="T236" s="156">
        <f ca="1"/>
        <v>4.1126975224408113E-2</v>
      </c>
      <c r="U236" s="156">
        <f ca="1"/>
        <v>7.5495396380028112E-2</v>
      </c>
      <c r="V236" s="138">
        <f ca="1"/>
        <v>0.13122339342457301</v>
      </c>
      <c r="W236" s="137">
        <f ca="1"/>
        <v>0</v>
      </c>
      <c r="X236" s="156">
        <f ca="1"/>
        <v>0</v>
      </c>
      <c r="Y236" s="156">
        <f ca="1"/>
        <v>2.5525822225805905E-3</v>
      </c>
      <c r="Z236" s="156">
        <f ca="1"/>
        <v>0</v>
      </c>
      <c r="AA236" s="156">
        <f ca="1"/>
        <v>1.8554055834660743E-2</v>
      </c>
      <c r="AB236" s="156">
        <f ca="1"/>
        <v>0</v>
      </c>
      <c r="AC236" s="156">
        <f ca="1"/>
        <v>4.1965045580953819E-2</v>
      </c>
      <c r="AD236" s="156">
        <f ca="1"/>
        <v>7.6615499514105734E-2</v>
      </c>
      <c r="AE236" s="138">
        <f ca="1"/>
        <v>0.13274678391358652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6">
        <f ca="1"/>
        <v>0</v>
      </c>
      <c r="P237" s="156">
        <f ca="1"/>
        <v>2.1553325529661826E-3</v>
      </c>
      <c r="Q237" s="156">
        <f ca="1"/>
        <v>0</v>
      </c>
      <c r="R237" s="156">
        <f ca="1"/>
        <v>1.0745238682942304E-2</v>
      </c>
      <c r="S237" s="156">
        <f ca="1"/>
        <v>0</v>
      </c>
      <c r="T237" s="156">
        <f ca="1"/>
        <v>2.7648072281163505E-2</v>
      </c>
      <c r="U237" s="156">
        <f ca="1"/>
        <v>4.6811963014582014E-2</v>
      </c>
      <c r="V237" s="138">
        <f ca="1"/>
        <v>9.7510105654866064E-2</v>
      </c>
      <c r="W237" s="137">
        <f ca="1"/>
        <v>0</v>
      </c>
      <c r="X237" s="156">
        <f ca="1"/>
        <v>0</v>
      </c>
      <c r="Y237" s="156">
        <f ca="1"/>
        <v>2.3580206316002883E-3</v>
      </c>
      <c r="Z237" s="156">
        <f ca="1"/>
        <v>0</v>
      </c>
      <c r="AA237" s="156">
        <f ca="1"/>
        <v>1.1277978563660751E-2</v>
      </c>
      <c r="AB237" s="156">
        <f ca="1"/>
        <v>0</v>
      </c>
      <c r="AC237" s="156">
        <f ca="1"/>
        <v>2.8499068070989786E-2</v>
      </c>
      <c r="AD237" s="156">
        <f ca="1"/>
        <v>4.7969236353960332E-2</v>
      </c>
      <c r="AE237" s="138">
        <f ca="1"/>
        <v>9.9086495114181106E-2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6">
        <f ca="1"/>
        <v>0</v>
      </c>
      <c r="P238" s="156">
        <f ca="1"/>
        <v>2.0945107015288844E-3</v>
      </c>
      <c r="Q238" s="156">
        <f ca="1"/>
        <v>0</v>
      </c>
      <c r="R238" s="156">
        <f ca="1"/>
        <v>9.8596944966176103E-3</v>
      </c>
      <c r="S238" s="156">
        <f ca="1"/>
        <v>0</v>
      </c>
      <c r="T238" s="156">
        <f ca="1"/>
        <v>2.370665860713328E-2</v>
      </c>
      <c r="U238" s="156">
        <f ca="1"/>
        <v>4.3722027698656074E-2</v>
      </c>
      <c r="V238" s="138">
        <f ca="1"/>
        <v>7.912593291817005E-2</v>
      </c>
      <c r="W238" s="137">
        <f ca="1"/>
        <v>0</v>
      </c>
      <c r="X238" s="156">
        <f ca="1"/>
        <v>0</v>
      </c>
      <c r="Y238" s="156">
        <f ca="1"/>
        <v>2.2972123447417836E-3</v>
      </c>
      <c r="Z238" s="156">
        <f ca="1"/>
        <v>0</v>
      </c>
      <c r="AA238" s="156">
        <f ca="1"/>
        <v>1.0392945062606795E-2</v>
      </c>
      <c r="AB238" s="156">
        <f ca="1"/>
        <v>0</v>
      </c>
      <c r="AC238" s="156">
        <f ca="1"/>
        <v>2.4561185283767939E-2</v>
      </c>
      <c r="AD238" s="156">
        <f ca="1"/>
        <v>4.4882883324006917E-2</v>
      </c>
      <c r="AE238" s="138">
        <f ca="1"/>
        <v>8.0704297545836523E-2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6">
        <f ca="1"/>
        <v>0</v>
      </c>
      <c r="P239" s="156">
        <f ca="1"/>
        <v>1.2223269855525798E-3</v>
      </c>
      <c r="Q239" s="156">
        <f ca="1"/>
        <v>0</v>
      </c>
      <c r="R239" s="156">
        <f ca="1"/>
        <v>1.1087721894093128E-2</v>
      </c>
      <c r="S239" s="156">
        <f ca="1"/>
        <v>0</v>
      </c>
      <c r="T239" s="156">
        <f ca="1"/>
        <v>2.2297728632653335E-2</v>
      </c>
      <c r="U239" s="156">
        <f ca="1"/>
        <v>4.3582799289291763E-2</v>
      </c>
      <c r="V239" s="138">
        <f ca="1"/>
        <v>7.9590799529941414E-2</v>
      </c>
      <c r="W239" s="137">
        <f ca="1"/>
        <v>0</v>
      </c>
      <c r="X239" s="156">
        <f ca="1"/>
        <v>0</v>
      </c>
      <c r="Y239" s="156">
        <f ca="1"/>
        <v>1.4252191293907535E-3</v>
      </c>
      <c r="Z239" s="156">
        <f ca="1"/>
        <v>0</v>
      </c>
      <c r="AA239" s="156">
        <f ca="1"/>
        <v>1.1620383134443135E-2</v>
      </c>
      <c r="AB239" s="156">
        <f ca="1"/>
        <v>0</v>
      </c>
      <c r="AC239" s="156">
        <f ca="1"/>
        <v>2.3153545981328127E-2</v>
      </c>
      <c r="AD239" s="156">
        <f ca="1"/>
        <v>4.4743511560395244E-2</v>
      </c>
      <c r="AE239" s="138">
        <f ca="1"/>
        <v>8.1168401963601422E-2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6">
        <f ca="1"/>
        <v>0</v>
      </c>
      <c r="P240" s="156">
        <f ca="1"/>
        <v>1.909995278825849E-3</v>
      </c>
      <c r="Q240" s="156">
        <f ca="1"/>
        <v>0</v>
      </c>
      <c r="R240" s="156">
        <f ca="1"/>
        <v>1.1110615974700755E-2</v>
      </c>
      <c r="S240" s="156">
        <f ca="1"/>
        <v>0</v>
      </c>
      <c r="T240" s="156">
        <f ca="1"/>
        <v>2.8076525749755166E-2</v>
      </c>
      <c r="U240" s="156">
        <f ca="1"/>
        <v>5.0358550306445315E-2</v>
      </c>
      <c r="V240" s="138">
        <f ca="1"/>
        <v>8.9387718022938989E-2</v>
      </c>
      <c r="W240" s="137">
        <f ca="1"/>
        <v>0</v>
      </c>
      <c r="X240" s="156">
        <f ca="1"/>
        <v>0</v>
      </c>
      <c r="Y240" s="156">
        <f ca="1"/>
        <v>2.1127378470661151E-3</v>
      </c>
      <c r="Z240" s="156">
        <f ca="1"/>
        <v>0</v>
      </c>
      <c r="AA240" s="156">
        <f ca="1"/>
        <v>1.1643177425285645E-2</v>
      </c>
      <c r="AB240" s="156">
        <f ca="1"/>
        <v>0</v>
      </c>
      <c r="AC240" s="156">
        <f ca="1"/>
        <v>2.8927197459818754E-2</v>
      </c>
      <c r="AD240" s="156">
        <f ca="1"/>
        <v>5.1511673782190126E-2</v>
      </c>
      <c r="AE240" s="138">
        <f ca="1"/>
        <v>9.0945877862715796E-2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6">
        <f ca="1"/>
        <v>0</v>
      </c>
      <c r="P241" s="156">
        <f ca="1"/>
        <v>2.0438230191605067E-3</v>
      </c>
      <c r="Q241" s="156">
        <f ca="1"/>
        <v>0</v>
      </c>
      <c r="R241" s="156">
        <f ca="1"/>
        <v>1.3339856665453009E-2</v>
      </c>
      <c r="S241" s="156">
        <f ca="1"/>
        <v>0</v>
      </c>
      <c r="T241" s="156">
        <f ca="1"/>
        <v>2.4683049873032936E-2</v>
      </c>
      <c r="U241" s="156">
        <f ca="1"/>
        <v>4.1774642911341808E-2</v>
      </c>
      <c r="V241" s="138">
        <f ca="1"/>
        <v>6.5890991582606806E-2</v>
      </c>
      <c r="W241" s="137">
        <f ca="1"/>
        <v>0</v>
      </c>
      <c r="X241" s="156">
        <f ca="1"/>
        <v>0</v>
      </c>
      <c r="Y241" s="156">
        <f ca="1"/>
        <v>2.2465359385470673E-3</v>
      </c>
      <c r="Z241" s="156">
        <f ca="1"/>
        <v>0</v>
      </c>
      <c r="AA241" s="156">
        <f ca="1"/>
        <v>1.3871056955343075E-2</v>
      </c>
      <c r="AB241" s="156">
        <f ca="1"/>
        <v>0</v>
      </c>
      <c r="AC241" s="156">
        <f ca="1"/>
        <v>2.5536427850543109E-2</v>
      </c>
      <c r="AD241" s="156">
        <f ca="1"/>
        <v>4.2936424743472479E-2</v>
      </c>
      <c r="AE241" s="138">
        <f ca="1"/>
        <v>6.7493116573622558E-2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6">
        <f ca="1"/>
        <v>0</v>
      </c>
      <c r="P242" s="156">
        <f ca="1"/>
        <v>4.2150225603493352E-3</v>
      </c>
      <c r="Q242" s="156">
        <f ca="1"/>
        <v>0</v>
      </c>
      <c r="R242" s="156">
        <f ca="1"/>
        <v>1.8993020681719375E-2</v>
      </c>
      <c r="S242" s="156">
        <f ca="1"/>
        <v>0</v>
      </c>
      <c r="T242" s="156">
        <f ca="1"/>
        <v>4.5736836820057469E-2</v>
      </c>
      <c r="U242" s="156">
        <f ca="1"/>
        <v>7.4692341250145122E-2</v>
      </c>
      <c r="V242" s="138">
        <f ca="1"/>
        <v>0.12013474244325795</v>
      </c>
      <c r="W242" s="137">
        <f ca="1"/>
        <v>0</v>
      </c>
      <c r="X242" s="156">
        <f ca="1"/>
        <v>0</v>
      </c>
      <c r="Y242" s="156">
        <f ca="1"/>
        <v>4.417228642871307E-3</v>
      </c>
      <c r="Z242" s="156">
        <f ca="1"/>
        <v>0</v>
      </c>
      <c r="AA242" s="156">
        <f ca="1"/>
        <v>1.9520368681275713E-2</v>
      </c>
      <c r="AB242" s="156">
        <f ca="1"/>
        <v>0</v>
      </c>
      <c r="AC242" s="156">
        <f ca="1"/>
        <v>4.6569410579344717E-2</v>
      </c>
      <c r="AD242" s="156">
        <f ca="1"/>
        <v>7.5814470521486044E-2</v>
      </c>
      <c r="AE242" s="138">
        <f ca="1"/>
        <v>0.12166688278001436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6">
        <f ca="1"/>
        <v>0</v>
      </c>
      <c r="P243" s="156">
        <f ca="1"/>
        <v>1.4029107176996014E-3</v>
      </c>
      <c r="Q243" s="156">
        <f ca="1"/>
        <v>0</v>
      </c>
      <c r="R243" s="156">
        <f ca="1"/>
        <v>1.5836597392660856E-2</v>
      </c>
      <c r="S243" s="156">
        <f ca="1"/>
        <v>0</v>
      </c>
      <c r="T243" s="156">
        <f ca="1"/>
        <v>3.7452130714755172E-2</v>
      </c>
      <c r="U243" s="156">
        <f ca="1"/>
        <v>6.5806205651529726E-2</v>
      </c>
      <c r="V243" s="138">
        <f ca="1"/>
        <v>0.11520054782159328</v>
      </c>
      <c r="W243" s="137">
        <f ca="1"/>
        <v>0</v>
      </c>
      <c r="X243" s="156">
        <f ca="1"/>
        <v>0</v>
      </c>
      <c r="Y243" s="156">
        <f ca="1"/>
        <v>1.6057640272509888E-3</v>
      </c>
      <c r="Z243" s="156">
        <f ca="1"/>
        <v>0</v>
      </c>
      <c r="AA243" s="156">
        <f ca="1"/>
        <v>1.6366211089846261E-2</v>
      </c>
      <c r="AB243" s="156">
        <f ca="1"/>
        <v>0</v>
      </c>
      <c r="AC243" s="156">
        <f ca="1"/>
        <v>3.8294072638731191E-2</v>
      </c>
      <c r="AD243" s="156">
        <f ca="1"/>
        <v>6.693998598072326E-2</v>
      </c>
      <c r="AE243" s="138">
        <f ca="1"/>
        <v>0.1167462555080232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6">
        <f ca="1"/>
        <v>0</v>
      </c>
      <c r="P244" s="156">
        <f ca="1"/>
        <v>5.074510765655682E-3</v>
      </c>
      <c r="Q244" s="156">
        <f ca="1"/>
        <v>0</v>
      </c>
      <c r="R244" s="156">
        <f ca="1"/>
        <v>3.3644314932851138E-2</v>
      </c>
      <c r="S244" s="156">
        <f ca="1"/>
        <v>0</v>
      </c>
      <c r="T244" s="156">
        <f ca="1"/>
        <v>7.2956217504756893E-2</v>
      </c>
      <c r="U244" s="156">
        <f ca="1"/>
        <v>0.11976842789459541</v>
      </c>
      <c r="V244" s="138">
        <f ca="1"/>
        <v>0.20565139998723636</v>
      </c>
      <c r="W244" s="137">
        <f ca="1"/>
        <v>0</v>
      </c>
      <c r="X244" s="156">
        <f ca="1"/>
        <v>0</v>
      </c>
      <c r="Y244" s="156">
        <f ca="1"/>
        <v>5.2765020860040535E-3</v>
      </c>
      <c r="Z244" s="156">
        <f ca="1"/>
        <v>0</v>
      </c>
      <c r="AA244" s="156">
        <f ca="1"/>
        <v>3.4159386273478032E-2</v>
      </c>
      <c r="AB244" s="156">
        <f ca="1"/>
        <v>0</v>
      </c>
      <c r="AC244" s="156">
        <f ca="1"/>
        <v>7.3758278460204552E-2</v>
      </c>
      <c r="AD244" s="156">
        <f ca="1"/>
        <v>0.12085389502332589</v>
      </c>
      <c r="AE244" s="138">
        <f ca="1"/>
        <v>0.20706125929214581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6">
        <f ca="1"/>
        <v>0</v>
      </c>
      <c r="P245" s="156">
        <f ca="1"/>
        <v>6.3431876489891126E-3</v>
      </c>
      <c r="Q245" s="156">
        <f ca="1"/>
        <v>0</v>
      </c>
      <c r="R245" s="156">
        <f ca="1"/>
        <v>3.8222754959982841E-2</v>
      </c>
      <c r="S245" s="156">
        <f ca="1"/>
        <v>0</v>
      </c>
      <c r="T245" s="156">
        <f ca="1"/>
        <v>0.10102155869436591</v>
      </c>
      <c r="U245" s="156">
        <f ca="1"/>
        <v>0.15848505938343393</v>
      </c>
      <c r="V245" s="138">
        <f ca="1"/>
        <v>0.25210118625357258</v>
      </c>
      <c r="W245" s="137">
        <f ca="1"/>
        <v>0</v>
      </c>
      <c r="X245" s="156">
        <f ca="1"/>
        <v>0</v>
      </c>
      <c r="Y245" s="156">
        <f ca="1"/>
        <v>6.5448463494107711E-3</v>
      </c>
      <c r="Z245" s="156">
        <f ca="1"/>
        <v>0</v>
      </c>
      <c r="AA245" s="156">
        <f ca="1"/>
        <v>3.8733387916586204E-2</v>
      </c>
      <c r="AB245" s="156">
        <f ca="1"/>
        <v>0</v>
      </c>
      <c r="AC245" s="156">
        <f ca="1"/>
        <v>0.10182254994870343</v>
      </c>
      <c r="AD245" s="156">
        <f ca="1"/>
        <v>0.15952850006333574</v>
      </c>
      <c r="AE245" s="138">
        <f ca="1"/>
        <v>0.25343307435808282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6">
        <f ca="1"/>
        <v>0</v>
      </c>
      <c r="P246" s="156">
        <f ca="1"/>
        <v>1.2974050526386449E-3</v>
      </c>
      <c r="Q246" s="156">
        <f ca="1"/>
        <v>0</v>
      </c>
      <c r="R246" s="156">
        <f ca="1"/>
        <v>7.8968786944515479E-3</v>
      </c>
      <c r="S246" s="156">
        <f ca="1"/>
        <v>0</v>
      </c>
      <c r="T246" s="156">
        <f ca="1"/>
        <v>2.3084585522593626E-2</v>
      </c>
      <c r="U246" s="156">
        <f ca="1"/>
        <v>4.1908751911477471E-2</v>
      </c>
      <c r="V246" s="138">
        <f ca="1"/>
        <v>7.8272694858994463E-2</v>
      </c>
      <c r="W246" s="137">
        <f ca="1"/>
        <v>0</v>
      </c>
      <c r="X246" s="156">
        <f ca="1"/>
        <v>0</v>
      </c>
      <c r="Y246" s="156">
        <f ca="1"/>
        <v>1.5002810890881735E-3</v>
      </c>
      <c r="Z246" s="156">
        <f ca="1"/>
        <v>0</v>
      </c>
      <c r="AA246" s="156">
        <f ca="1"/>
        <v>8.4313377503706377E-3</v>
      </c>
      <c r="AB246" s="156">
        <f ca="1"/>
        <v>0</v>
      </c>
      <c r="AC246" s="156">
        <f ca="1"/>
        <v>2.3940033047920917E-2</v>
      </c>
      <c r="AD246" s="156">
        <f ca="1"/>
        <v>4.3072615913769208E-2</v>
      </c>
      <c r="AE246" s="138">
        <f ca="1"/>
        <v>7.9852881716476309E-2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6">
        <f ca="1"/>
        <v>0</v>
      </c>
      <c r="P247" s="156">
        <f ca="1"/>
        <v>1.2385605552102108E-3</v>
      </c>
      <c r="Q247" s="156">
        <f ca="1"/>
        <v>0</v>
      </c>
      <c r="R247" s="156">
        <f ca="1"/>
        <v>1.2673942030708152E-2</v>
      </c>
      <c r="S247" s="156">
        <f ca="1"/>
        <v>0</v>
      </c>
      <c r="T247" s="156">
        <f ca="1"/>
        <v>2.392339274754085E-2</v>
      </c>
      <c r="U247" s="156">
        <f ca="1"/>
        <v>4.4503814842679734E-2</v>
      </c>
      <c r="V247" s="138">
        <f ca="1"/>
        <v>8.6688871127616252E-2</v>
      </c>
      <c r="W247" s="137">
        <f ca="1"/>
        <v>0</v>
      </c>
      <c r="X247" s="156">
        <f ca="1"/>
        <v>0</v>
      </c>
      <c r="Y247" s="156">
        <f ca="1"/>
        <v>1.4414492208448815E-3</v>
      </c>
      <c r="Z247" s="156">
        <f ca="1"/>
        <v>0</v>
      </c>
      <c r="AA247" s="156">
        <f ca="1"/>
        <v>1.3205633366721758E-2</v>
      </c>
      <c r="AB247" s="156">
        <f ca="1"/>
        <v>0</v>
      </c>
      <c r="AC247" s="156">
        <f ca="1"/>
        <v>2.477770791549383E-2</v>
      </c>
      <c r="AD247" s="156">
        <f ca="1"/>
        <v>4.5663008897902868E-2</v>
      </c>
      <c r="AE247" s="138">
        <f ca="1"/>
        <v>8.8278367942545843E-2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6">
        <f ca="1"/>
        <v>0</v>
      </c>
      <c r="P248" s="156">
        <f ca="1"/>
        <v>4.8142769793243945E-2</v>
      </c>
      <c r="Q248" s="156">
        <f ca="1"/>
        <v>0</v>
      </c>
      <c r="R248" s="156">
        <f ca="1"/>
        <v>0.12187825213680648</v>
      </c>
      <c r="S248" s="156">
        <f ca="1"/>
        <v>0</v>
      </c>
      <c r="T248" s="156">
        <f ca="1"/>
        <v>0.17150375547312935</v>
      </c>
      <c r="U248" s="156">
        <f ca="1"/>
        <v>0.21938794760626779</v>
      </c>
      <c r="V248" s="138">
        <f ca="1"/>
        <v>0.28231481436615125</v>
      </c>
      <c r="W248" s="137">
        <f ca="1"/>
        <v>0</v>
      </c>
      <c r="X248" s="156">
        <f ca="1"/>
        <v>0</v>
      </c>
      <c r="Y248" s="156">
        <f ca="1"/>
        <v>4.833612849946145E-2</v>
      </c>
      <c r="Z248" s="156">
        <f ca="1"/>
        <v>0</v>
      </c>
      <c r="AA248" s="156">
        <f ca="1"/>
        <v>0.12235110103637747</v>
      </c>
      <c r="AB248" s="156">
        <f ca="1"/>
        <v>0</v>
      </c>
      <c r="AC248" s="156">
        <f ca="1"/>
        <v>0.17222243833907558</v>
      </c>
      <c r="AD248" s="156">
        <f ca="1"/>
        <v>0.2203215669644818</v>
      </c>
      <c r="AE248" s="138">
        <f ca="1"/>
        <v>0.28350996011076779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6">
        <f ca="1"/>
        <v>0</v>
      </c>
      <c r="P249" s="156">
        <f ca="1"/>
        <v>3.1765906987987202E-3</v>
      </c>
      <c r="Q249" s="156">
        <f ca="1"/>
        <v>0</v>
      </c>
      <c r="R249" s="156">
        <f ca="1"/>
        <v>1.2712184264612625E-2</v>
      </c>
      <c r="S249" s="156">
        <f ca="1"/>
        <v>0</v>
      </c>
      <c r="T249" s="156">
        <f ca="1"/>
        <v>2.4195212301513669E-2</v>
      </c>
      <c r="U249" s="156">
        <f ca="1"/>
        <v>4.3974259274395133E-2</v>
      </c>
      <c r="V249" s="138">
        <f ca="1"/>
        <v>7.5170032884772198E-2</v>
      </c>
      <c r="W249" s="137">
        <f ca="1"/>
        <v>0</v>
      </c>
      <c r="X249" s="156">
        <f ca="1"/>
        <v>0</v>
      </c>
      <c r="Y249" s="156">
        <f ca="1"/>
        <v>3.3790453818498545E-3</v>
      </c>
      <c r="Z249" s="156">
        <f ca="1"/>
        <v>0</v>
      </c>
      <c r="AA249" s="156">
        <f ca="1"/>
        <v>1.3243643451830489E-2</v>
      </c>
      <c r="AB249" s="156">
        <f ca="1"/>
        <v>0</v>
      </c>
      <c r="AC249" s="156">
        <f ca="1"/>
        <v>2.5048711849906868E-2</v>
      </c>
      <c r="AD249" s="156">
        <f ca="1"/>
        <v>4.5133451974678995E-2</v>
      </c>
      <c r="AE249" s="138">
        <f ca="1"/>
        <v>7.6755335732261343E-2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6">
        <f ca="1"/>
        <v>0</v>
      </c>
      <c r="P250" s="156">
        <f ca="1"/>
        <v>1.4171125596131873E-3</v>
      </c>
      <c r="Q250" s="156">
        <f ca="1"/>
        <v>0</v>
      </c>
      <c r="R250" s="156">
        <f ca="1"/>
        <v>8.8838942360893736E-3</v>
      </c>
      <c r="S250" s="156">
        <f ca="1"/>
        <v>0</v>
      </c>
      <c r="T250" s="156">
        <f ca="1"/>
        <v>2.387237119108776E-2</v>
      </c>
      <c r="U250" s="156">
        <f ca="1"/>
        <v>4.5853898508207758E-2</v>
      </c>
      <c r="V250" s="138">
        <f ca="1"/>
        <v>8.7810132069304547E-2</v>
      </c>
      <c r="W250" s="137">
        <f ca="1"/>
        <v>0</v>
      </c>
      <c r="X250" s="156">
        <f ca="1"/>
        <v>0</v>
      </c>
      <c r="Y250" s="156">
        <f ca="1"/>
        <v>1.619962801739816E-3</v>
      </c>
      <c r="Z250" s="156">
        <f ca="1"/>
        <v>0</v>
      </c>
      <c r="AA250" s="156">
        <f ca="1"/>
        <v>9.4177943657516305E-3</v>
      </c>
      <c r="AB250" s="156">
        <f ca="1"/>
        <v>0</v>
      </c>
      <c r="AC250" s="156">
        <f ca="1"/>
        <v>2.472703295780676E-2</v>
      </c>
      <c r="AD250" s="156">
        <f ca="1"/>
        <v>4.7012868449331946E-2</v>
      </c>
      <c r="AE250" s="138">
        <f ca="1"/>
        <v>8.9399424721597232E-2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6">
        <f ca="1"/>
        <v>0</v>
      </c>
      <c r="P251" s="156">
        <f ca="1"/>
        <v>3.909474559493531E-3</v>
      </c>
      <c r="Q251" s="156">
        <f ca="1"/>
        <v>0</v>
      </c>
      <c r="R251" s="156">
        <f ca="1"/>
        <v>2.5428939071581724E-2</v>
      </c>
      <c r="S251" s="156">
        <f ca="1"/>
        <v>0</v>
      </c>
      <c r="T251" s="156">
        <f ca="1"/>
        <v>5.9168614560900279E-2</v>
      </c>
      <c r="U251" s="156">
        <f ca="1"/>
        <v>0.10236138169738684</v>
      </c>
      <c r="V251" s="138">
        <f ca="1"/>
        <v>0.1689355608287898</v>
      </c>
      <c r="W251" s="137">
        <f ca="1"/>
        <v>0</v>
      </c>
      <c r="X251" s="156">
        <f ca="1"/>
        <v>0</v>
      </c>
      <c r="Y251" s="156">
        <f ca="1"/>
        <v>4.111755003921802E-3</v>
      </c>
      <c r="Z251" s="156">
        <f ca="1"/>
        <v>0</v>
      </c>
      <c r="AA251" s="156">
        <f ca="1"/>
        <v>2.5951358996714524E-2</v>
      </c>
      <c r="AB251" s="156">
        <f ca="1"/>
        <v>0</v>
      </c>
      <c r="AC251" s="156">
        <f ca="1"/>
        <v>5.9986621403483986E-2</v>
      </c>
      <c r="AD251" s="156">
        <f ca="1"/>
        <v>0.10344442741849247</v>
      </c>
      <c r="AE251" s="138">
        <f ca="1"/>
        <v>0.17040164127978585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6">
        <f ca="1"/>
        <v>0</v>
      </c>
      <c r="P252" s="156">
        <f ca="1"/>
        <v>1.2223269855525798E-3</v>
      </c>
      <c r="Q252" s="156">
        <f ca="1"/>
        <v>0</v>
      </c>
      <c r="R252" s="156">
        <f ca="1"/>
        <v>1.5719670372076888E-2</v>
      </c>
      <c r="S252" s="156">
        <f ca="1"/>
        <v>0</v>
      </c>
      <c r="T252" s="156">
        <f ca="1"/>
        <v>3.3904997594077724E-2</v>
      </c>
      <c r="U252" s="156">
        <f ca="1"/>
        <v>5.6944739404096834E-2</v>
      </c>
      <c r="V252" s="138">
        <f ca="1"/>
        <v>9.9163757373920691E-2</v>
      </c>
      <c r="W252" s="137">
        <f ca="1"/>
        <v>0</v>
      </c>
      <c r="X252" s="156">
        <f ca="1"/>
        <v>0</v>
      </c>
      <c r="Y252" s="156">
        <f ca="1"/>
        <v>1.4252191293907535E-3</v>
      </c>
      <c r="Z252" s="156">
        <f ca="1"/>
        <v>0</v>
      </c>
      <c r="AA252" s="156">
        <f ca="1"/>
        <v>1.6249371092550535E-2</v>
      </c>
      <c r="AB252" s="156">
        <f ca="1"/>
        <v>0</v>
      </c>
      <c r="AC252" s="156">
        <f ca="1"/>
        <v>3.4750473430061435E-2</v>
      </c>
      <c r="AD252" s="156">
        <f ca="1"/>
        <v>5.8089232626280851E-2</v>
      </c>
      <c r="AE252" s="138">
        <f ca="1"/>
        <v>0.10073061822337548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6">
        <f ca="1"/>
        <v>0</v>
      </c>
      <c r="P253" s="156">
        <f ca="1"/>
        <v>7.5956026853374325E-4</v>
      </c>
      <c r="Q253" s="156">
        <f ca="1"/>
        <v>0</v>
      </c>
      <c r="R253" s="156">
        <f ca="1"/>
        <v>6.8750249985041201E-3</v>
      </c>
      <c r="S253" s="156">
        <f ca="1"/>
        <v>0</v>
      </c>
      <c r="T253" s="156">
        <f ca="1"/>
        <v>1.7378867245225416E-2</v>
      </c>
      <c r="U253" s="156">
        <f ca="1"/>
        <v>3.818681961960213E-2</v>
      </c>
      <c r="V253" s="138">
        <f ca="1"/>
        <v>6.2337102540565348E-2</v>
      </c>
      <c r="W253" s="137">
        <f ca="1"/>
        <v>0</v>
      </c>
      <c r="X253" s="156">
        <f ca="1"/>
        <v>0</v>
      </c>
      <c r="Y253" s="156">
        <f ca="1"/>
        <v>9.6255051228688604E-4</v>
      </c>
      <c r="Z253" s="156">
        <f ca="1"/>
        <v>0</v>
      </c>
      <c r="AA253" s="156">
        <f ca="1"/>
        <v>7.4101263645588444E-3</v>
      </c>
      <c r="AB253" s="156">
        <f ca="1"/>
        <v>0</v>
      </c>
      <c r="AC253" s="156">
        <f ca="1"/>
        <v>1.8239296840049768E-2</v>
      </c>
      <c r="AD253" s="156">
        <f ca="1"/>
        <v>3.9355103331962682E-2</v>
      </c>
      <c r="AE253" s="138">
        <f ca="1"/>
        <v>6.3950273199981589E-2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6">
        <f ca="1"/>
        <v>0</v>
      </c>
      <c r="P254" s="156">
        <f ca="1"/>
        <v>2.2039873893519024E-3</v>
      </c>
      <c r="Q254" s="156">
        <f ca="1"/>
        <v>0</v>
      </c>
      <c r="R254" s="156">
        <f ca="1"/>
        <v>7.0288360870323086E-3</v>
      </c>
      <c r="S254" s="156">
        <f ca="1"/>
        <v>0</v>
      </c>
      <c r="T254" s="156">
        <f ca="1"/>
        <v>1.9492363265677493E-2</v>
      </c>
      <c r="U254" s="156">
        <f ca="1"/>
        <v>3.6458359909822935E-2</v>
      </c>
      <c r="V254" s="138">
        <f ca="1"/>
        <v>6.0193067107986109E-2</v>
      </c>
      <c r="W254" s="137">
        <f ca="1"/>
        <v>0</v>
      </c>
      <c r="X254" s="156">
        <f ca="1"/>
        <v>0</v>
      </c>
      <c r="Y254" s="156">
        <f ca="1"/>
        <v>2.4066645901684725E-3</v>
      </c>
      <c r="Z254" s="156">
        <f ca="1"/>
        <v>0</v>
      </c>
      <c r="AA254" s="156">
        <f ca="1"/>
        <v>7.5635783658688505E-3</v>
      </c>
      <c r="AB254" s="156">
        <f ca="1"/>
        <v>0</v>
      </c>
      <c r="AC254" s="156">
        <f ca="1"/>
        <v>2.0350654206627072E-2</v>
      </c>
      <c r="AD254" s="156">
        <f ca="1"/>
        <v>3.7628145049263928E-2</v>
      </c>
      <c r="AE254" s="138">
        <f ca="1"/>
        <v>6.1808083502012945E-2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6">
        <f ca="1"/>
        <v>0</v>
      </c>
      <c r="P255" s="156">
        <f ca="1"/>
        <v>1.4110260804088837E-3</v>
      </c>
      <c r="Q255" s="156">
        <f ca="1"/>
        <v>0</v>
      </c>
      <c r="R255" s="156">
        <f ca="1"/>
        <v>8.4165933486308742E-3</v>
      </c>
      <c r="S255" s="156">
        <f ca="1"/>
        <v>0</v>
      </c>
      <c r="T255" s="156">
        <f ca="1"/>
        <v>2.0767626917670201E-2</v>
      </c>
      <c r="U255" s="156">
        <f ca="1"/>
        <v>4.0155830192659892E-2</v>
      </c>
      <c r="V255" s="138">
        <f ca="1"/>
        <v>8.1653070948654816E-2</v>
      </c>
      <c r="W255" s="137">
        <f ca="1"/>
        <v>0</v>
      </c>
      <c r="X255" s="156">
        <f ca="1"/>
        <v>0</v>
      </c>
      <c r="Y255" s="156">
        <f ca="1"/>
        <v>1.6138776374133856E-3</v>
      </c>
      <c r="Z255" s="156">
        <f ca="1"/>
        <v>0</v>
      </c>
      <c r="AA255" s="156">
        <f ca="1"/>
        <v>8.9507512473051554E-3</v>
      </c>
      <c r="AB255" s="156">
        <f ca="1"/>
        <v>0</v>
      </c>
      <c r="AC255" s="156">
        <f ca="1"/>
        <v>2.1624949384880798E-2</v>
      </c>
      <c r="AD255" s="156">
        <f ca="1"/>
        <v>4.1321303702035017E-2</v>
      </c>
      <c r="AE255" s="138">
        <f ca="1"/>
        <v>8.3252295082091643E-2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6">
        <f ca="1"/>
        <v>0</v>
      </c>
      <c r="P256" s="156">
        <f ca="1"/>
        <v>4.1556970983082642E-2</v>
      </c>
      <c r="Q256" s="156">
        <f ca="1"/>
        <v>0</v>
      </c>
      <c r="R256" s="156">
        <f ca="1"/>
        <v>9.7059206436636014E-2</v>
      </c>
      <c r="S256" s="156">
        <f ca="1"/>
        <v>0</v>
      </c>
      <c r="T256" s="156">
        <f ca="1"/>
        <v>0.12695496416016483</v>
      </c>
      <c r="U256" s="156">
        <f ca="1"/>
        <v>0.16498767647561152</v>
      </c>
      <c r="V256" s="138">
        <f ca="1"/>
        <v>0.21081188614445046</v>
      </c>
      <c r="W256" s="137">
        <f ca="1"/>
        <v>0</v>
      </c>
      <c r="X256" s="156">
        <f ca="1"/>
        <v>0</v>
      </c>
      <c r="Y256" s="156">
        <f ca="1"/>
        <v>4.1737878747291735E-2</v>
      </c>
      <c r="Z256" s="156">
        <f ca="1"/>
        <v>0</v>
      </c>
      <c r="AA256" s="156">
        <f ca="1"/>
        <v>9.7546162901281819E-2</v>
      </c>
      <c r="AB256" s="156">
        <f ca="1"/>
        <v>0</v>
      </c>
      <c r="AC256" s="156">
        <f ca="1"/>
        <v>0.12768219863358021</v>
      </c>
      <c r="AD256" s="156">
        <f ca="1"/>
        <v>0.16596128946836131</v>
      </c>
      <c r="AE256" s="138">
        <f ca="1"/>
        <v>0.21215250349889514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6">
        <f ca="1"/>
        <v>0</v>
      </c>
      <c r="P257" s="156">
        <f ca="1"/>
        <v>2.7228260799461168E-3</v>
      </c>
      <c r="Q257" s="156">
        <f ca="1"/>
        <v>0</v>
      </c>
      <c r="R257" s="156">
        <f ca="1"/>
        <v>1.3751840539438343E-2</v>
      </c>
      <c r="S257" s="156">
        <f ca="1"/>
        <v>0</v>
      </c>
      <c r="T257" s="156">
        <f ca="1"/>
        <v>2.9505989270647293E-2</v>
      </c>
      <c r="U257" s="156">
        <f ca="1"/>
        <v>4.1634914764977715E-2</v>
      </c>
      <c r="V257" s="138">
        <f ca="1"/>
        <v>6.004863357856749E-2</v>
      </c>
      <c r="W257" s="137">
        <f ca="1"/>
        <v>0</v>
      </c>
      <c r="X257" s="156">
        <f ca="1"/>
        <v>0</v>
      </c>
      <c r="Y257" s="156">
        <f ca="1"/>
        <v>2.9253857911937242E-3</v>
      </c>
      <c r="Z257" s="156">
        <f ca="1"/>
        <v>0</v>
      </c>
      <c r="AA257" s="156">
        <f ca="1"/>
        <v>1.4282719964792134E-2</v>
      </c>
      <c r="AB257" s="156">
        <f ca="1"/>
        <v>0</v>
      </c>
      <c r="AC257" s="156">
        <f ca="1"/>
        <v>3.0355049399234946E-2</v>
      </c>
      <c r="AD257" s="156">
        <f ca="1"/>
        <v>4.2796318692318702E-2</v>
      </c>
      <c r="AE257" s="138">
        <f ca="1"/>
        <v>6.1658474527585216E-2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6">
        <f ca="1"/>
        <v>0</v>
      </c>
      <c r="P258" s="156">
        <f ca="1"/>
        <v>5.7656129612837503E-3</v>
      </c>
      <c r="Q258" s="156">
        <f ca="1"/>
        <v>0</v>
      </c>
      <c r="R258" s="156">
        <f ca="1"/>
        <v>2.3616707506036283E-2</v>
      </c>
      <c r="S258" s="156">
        <f ca="1"/>
        <v>0</v>
      </c>
      <c r="T258" s="156">
        <f ca="1"/>
        <v>6.2733864609243351E-2</v>
      </c>
      <c r="U258" s="156">
        <f ca="1"/>
        <v>0.10379378179881249</v>
      </c>
      <c r="V258" s="138">
        <f ca="1"/>
        <v>0.1745141934401484</v>
      </c>
      <c r="W258" s="137">
        <f ca="1"/>
        <v>0</v>
      </c>
      <c r="X258" s="156">
        <f ca="1"/>
        <v>0</v>
      </c>
      <c r="Y258" s="156">
        <f ca="1"/>
        <v>5.9674254494637147E-3</v>
      </c>
      <c r="Z258" s="156">
        <f ca="1"/>
        <v>0</v>
      </c>
      <c r="AA258" s="156">
        <f ca="1"/>
        <v>2.4140701441463963E-2</v>
      </c>
      <c r="AB258" s="156">
        <f ca="1"/>
        <v>0</v>
      </c>
      <c r="AC258" s="156">
        <f ca="1"/>
        <v>6.3545453008286512E-2</v>
      </c>
      <c r="AD258" s="156">
        <f ca="1"/>
        <v>0.10487707783489808</v>
      </c>
      <c r="AE258" s="138">
        <f ca="1"/>
        <v>0.17597283688580478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6">
        <f ca="1"/>
        <v>0</v>
      </c>
      <c r="P259" s="156">
        <f ca="1"/>
        <v>2.3925026789509696E-3</v>
      </c>
      <c r="Q259" s="156">
        <f ca="1"/>
        <v>0</v>
      </c>
      <c r="R259" s="156">
        <f ca="1"/>
        <v>1.3882417255449586E-2</v>
      </c>
      <c r="S259" s="156">
        <f ca="1"/>
        <v>0</v>
      </c>
      <c r="T259" s="156">
        <f ca="1"/>
        <v>4.1156876278242382E-2</v>
      </c>
      <c r="U259" s="156">
        <f ca="1"/>
        <v>6.9997202962308935E-2</v>
      </c>
      <c r="V259" s="138">
        <f ca="1"/>
        <v>0.11507312905814104</v>
      </c>
      <c r="W259" s="137">
        <f ca="1"/>
        <v>0</v>
      </c>
      <c r="X259" s="156">
        <f ca="1"/>
        <v>0</v>
      </c>
      <c r="Y259" s="156">
        <f ca="1"/>
        <v>2.5951375078610006E-3</v>
      </c>
      <c r="Z259" s="156">
        <f ca="1"/>
        <v>0</v>
      </c>
      <c r="AA259" s="156">
        <f ca="1"/>
        <v>1.4413246194873053E-2</v>
      </c>
      <c r="AB259" s="156">
        <f ca="1"/>
        <v>0</v>
      </c>
      <c r="AC259" s="156">
        <f ca="1"/>
        <v>4.1994215912750321E-2</v>
      </c>
      <c r="AD259" s="156">
        <f ca="1"/>
        <v>7.1126887257005555E-2</v>
      </c>
      <c r="AE259" s="138">
        <f ca="1"/>
        <v>0.11661657020684491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6">
        <f ca="1"/>
        <v>0</v>
      </c>
      <c r="P260" s="156">
        <f ca="1"/>
        <v>1.1715953944625435E-3</v>
      </c>
      <c r="Q260" s="156">
        <f ca="1"/>
        <v>0</v>
      </c>
      <c r="R260" s="156">
        <f ca="1"/>
        <v>6.264867512344896E-3</v>
      </c>
      <c r="S260" s="156">
        <f ca="1"/>
        <v>0</v>
      </c>
      <c r="T260" s="156">
        <f ca="1"/>
        <v>1.7857584156065975E-2</v>
      </c>
      <c r="U260" s="156">
        <f ca="1"/>
        <v>3.2503424146923421E-2</v>
      </c>
      <c r="V260" s="138">
        <f ca="1"/>
        <v>6.0850514218364848E-2</v>
      </c>
      <c r="W260" s="137">
        <f ca="1"/>
        <v>0</v>
      </c>
      <c r="X260" s="156">
        <f ca="1"/>
        <v>0</v>
      </c>
      <c r="Y260" s="156">
        <f ca="1"/>
        <v>1.3744983917727271E-3</v>
      </c>
      <c r="Z260" s="156">
        <f ca="1"/>
        <v>0</v>
      </c>
      <c r="AA260" s="156">
        <f ca="1"/>
        <v>6.8002079323825626E-3</v>
      </c>
      <c r="AB260" s="156">
        <f ca="1"/>
        <v>0</v>
      </c>
      <c r="AC260" s="156">
        <f ca="1"/>
        <v>1.8717601349811708E-2</v>
      </c>
      <c r="AD260" s="156">
        <f ca="1"/>
        <v>3.3678001018247361E-2</v>
      </c>
      <c r="AE260" s="138">
        <f ca="1"/>
        <v>6.2463989174519119E-2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6">
        <f ca="1"/>
        <v>0</v>
      </c>
      <c r="P261" s="156">
        <f ca="1"/>
        <v>5.1674936861749732E-3</v>
      </c>
      <c r="Q261" s="156">
        <f ca="1"/>
        <v>0</v>
      </c>
      <c r="R261" s="156">
        <f ca="1"/>
        <v>2.0791095619975719E-2</v>
      </c>
      <c r="S261" s="156">
        <f ca="1"/>
        <v>0</v>
      </c>
      <c r="T261" s="156">
        <f ca="1"/>
        <v>4.3658562181091654E-2</v>
      </c>
      <c r="U261" s="156">
        <f ca="1"/>
        <v>6.7317647546453308E-2</v>
      </c>
      <c r="V261" s="138">
        <f ca="1"/>
        <v>0.1085156895361794</v>
      </c>
      <c r="W261" s="137">
        <f ca="1"/>
        <v>0</v>
      </c>
      <c r="X261" s="156">
        <f ca="1"/>
        <v>0</v>
      </c>
      <c r="Y261" s="156">
        <f ca="1"/>
        <v>5.3694612692680721E-3</v>
      </c>
      <c r="Z261" s="156">
        <f ca="1"/>
        <v>0</v>
      </c>
      <c r="AA261" s="156">
        <f ca="1"/>
        <v>2.1317162519063459E-2</v>
      </c>
      <c r="AB261" s="156">
        <f ca="1"/>
        <v>0</v>
      </c>
      <c r="AC261" s="156">
        <f ca="1"/>
        <v>4.4493430487840602E-2</v>
      </c>
      <c r="AD261" s="156">
        <f ca="1"/>
        <v>6.8447923323245008E-2</v>
      </c>
      <c r="AE261" s="138">
        <f ca="1"/>
        <v>0.11006204234180084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6">
        <f ca="1"/>
        <v>0</v>
      </c>
      <c r="P262" s="156">
        <f ca="1"/>
        <v>4.9844908636683227E-2</v>
      </c>
      <c r="Q262" s="156">
        <f ca="1"/>
        <v>0</v>
      </c>
      <c r="R262" s="156">
        <f ca="1"/>
        <v>0.12600548994503569</v>
      </c>
      <c r="S262" s="156">
        <f ca="1"/>
        <v>0</v>
      </c>
      <c r="T262" s="156">
        <f ca="1"/>
        <v>0.17709476779508881</v>
      </c>
      <c r="U262" s="156">
        <f ca="1"/>
        <v>0.22627958095993328</v>
      </c>
      <c r="V262" s="138">
        <f ca="1"/>
        <v>0.29075791443369481</v>
      </c>
      <c r="W262" s="137">
        <f ca="1"/>
        <v>0</v>
      </c>
      <c r="X262" s="156">
        <f ca="1"/>
        <v>0</v>
      </c>
      <c r="Y262" s="156">
        <f ca="1"/>
        <v>5.0037921295019272E-2</v>
      </c>
      <c r="Z262" s="156">
        <f ca="1"/>
        <v>0</v>
      </c>
      <c r="AA262" s="156">
        <f ca="1"/>
        <v>0.12647611281392057</v>
      </c>
      <c r="AB262" s="156">
        <f ca="1"/>
        <v>0</v>
      </c>
      <c r="AC262" s="156">
        <f ca="1"/>
        <v>0.17780837889048906</v>
      </c>
      <c r="AD262" s="156">
        <f ca="1"/>
        <v>0.22720453461848245</v>
      </c>
      <c r="AE262" s="138">
        <f ca="1"/>
        <v>0.29193900006490758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6">
        <f ca="1"/>
        <v>0</v>
      </c>
      <c r="P263" s="156">
        <f ca="1"/>
        <v>8.9603228045365135E-3</v>
      </c>
      <c r="Q263" s="156">
        <f ca="1"/>
        <v>0</v>
      </c>
      <c r="R263" s="156">
        <f ca="1"/>
        <v>4.2080465177413262E-2</v>
      </c>
      <c r="S263" s="156">
        <f ca="1"/>
        <v>0</v>
      </c>
      <c r="T263" s="156">
        <f ca="1"/>
        <v>0.10732489379487131</v>
      </c>
      <c r="U263" s="156">
        <f ca="1"/>
        <v>0.17174257168947404</v>
      </c>
      <c r="V263" s="138">
        <f ca="1"/>
        <v>0.28425629284919529</v>
      </c>
      <c r="W263" s="137">
        <f ca="1"/>
        <v>0</v>
      </c>
      <c r="X263" s="156">
        <f ca="1"/>
        <v>0</v>
      </c>
      <c r="Y263" s="156">
        <f ca="1"/>
        <v>9.1612324907252018E-3</v>
      </c>
      <c r="Z263" s="156">
        <f ca="1"/>
        <v>0</v>
      </c>
      <c r="AA263" s="156">
        <f ca="1"/>
        <v>4.2587705545904964E-2</v>
      </c>
      <c r="AB263" s="156">
        <f ca="1"/>
        <v>0</v>
      </c>
      <c r="AC263" s="156">
        <f ca="1"/>
        <v>0.10812031675788925</v>
      </c>
      <c r="AD263" s="156">
        <f ca="1"/>
        <v>0.17277226548504199</v>
      </c>
      <c r="AE263" s="138">
        <f ca="1"/>
        <v>0.28554562354193713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6">
        <f ca="1"/>
        <v>2.6057464618509663E-3</v>
      </c>
      <c r="P264" s="156">
        <f ca="1"/>
        <v>5.8997178468107592E-3</v>
      </c>
      <c r="Q264" s="156">
        <f ca="1"/>
        <v>1.7900745538031226E-2</v>
      </c>
      <c r="R264" s="156">
        <f ca="1"/>
        <v>3.7458416709762354E-2</v>
      </c>
      <c r="S264" s="156">
        <f ca="1"/>
        <v>6.9233371050265613E-2</v>
      </c>
      <c r="T264" s="156">
        <f ca="1"/>
        <v>0.10544584131908064</v>
      </c>
      <c r="U264" s="156">
        <f ca="1"/>
        <v>0.1796333527447358</v>
      </c>
      <c r="V264" s="138">
        <f ca="1"/>
        <v>0.28012063124619158</v>
      </c>
      <c r="W264" s="137">
        <f ca="1"/>
        <v>0</v>
      </c>
      <c r="X264" s="156">
        <f ca="1"/>
        <v>2.7240085678207349E-3</v>
      </c>
      <c r="Y264" s="156">
        <f ca="1"/>
        <v>6.1017288055316143E-3</v>
      </c>
      <c r="Z264" s="156">
        <f ca="1"/>
        <v>1.8265249051030774E-2</v>
      </c>
      <c r="AA264" s="156">
        <f ca="1"/>
        <v>3.7978271525094698E-2</v>
      </c>
      <c r="AB264" s="156">
        <f ca="1"/>
        <v>6.9895124322393642E-2</v>
      </c>
      <c r="AC264" s="156">
        <f ca="1"/>
        <v>0.10623783636606776</v>
      </c>
      <c r="AD264" s="156">
        <f ca="1"/>
        <v>0.18066171018124422</v>
      </c>
      <c r="AE264" s="138">
        <f ca="1"/>
        <v>0.28141507236991514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6">
        <f ca="1"/>
        <v>6.3838684652566258E-3</v>
      </c>
      <c r="P265" s="156">
        <f ca="1"/>
        <v>1.0910951426281401E-2</v>
      </c>
      <c r="Q265" s="156">
        <f ca="1"/>
        <v>2.9953441824725369E-2</v>
      </c>
      <c r="R265" s="156">
        <f ca="1"/>
        <v>5.2404442013583963E-2</v>
      </c>
      <c r="S265" s="156">
        <f ca="1"/>
        <v>0</v>
      </c>
      <c r="T265" s="156">
        <f ca="1"/>
        <v>0.10701009094049374</v>
      </c>
      <c r="U265" s="156">
        <f ca="1"/>
        <v>0.17235810883856784</v>
      </c>
      <c r="V265" s="138">
        <f ca="1"/>
        <v>0.25295630085795995</v>
      </c>
      <c r="W265" s="137">
        <f ca="1"/>
        <v>0</v>
      </c>
      <c r="X265" s="156">
        <f ca="1"/>
        <v>6.5015748076869828E-3</v>
      </c>
      <c r="Y265" s="156">
        <f ca="1"/>
        <v>1.1111837687171833E-2</v>
      </c>
      <c r="Z265" s="156">
        <f ca="1"/>
        <v>3.0312600949151447E-2</v>
      </c>
      <c r="AA265" s="156">
        <f ca="1"/>
        <v>5.2915301477846177E-2</v>
      </c>
      <c r="AB265" s="156">
        <f ca="1"/>
        <v>0</v>
      </c>
      <c r="AC265" s="156">
        <f ca="1"/>
        <v>0.10780110623843875</v>
      </c>
      <c r="AD265" s="156">
        <f ca="1"/>
        <v>0.17338287956500698</v>
      </c>
      <c r="AE265" s="138">
        <f ca="1"/>
        <v>0.25427267209014226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6">
        <f ca="1"/>
        <v>0</v>
      </c>
      <c r="P266" s="156">
        <f ca="1"/>
        <v>7.6042158101123913E-3</v>
      </c>
      <c r="Q266" s="156">
        <f ca="1"/>
        <v>0</v>
      </c>
      <c r="R266" s="156">
        <f ca="1"/>
        <v>4.3545676664132671E-2</v>
      </c>
      <c r="S266" s="156">
        <f ca="1"/>
        <v>0</v>
      </c>
      <c r="T266" s="156">
        <f ca="1"/>
        <v>0.10861065087449884</v>
      </c>
      <c r="U266" s="156">
        <f ca="1"/>
        <v>0.16590195269073682</v>
      </c>
      <c r="V266" s="138">
        <f ca="1"/>
        <v>0.26430587385157289</v>
      </c>
      <c r="W266" s="137">
        <f ca="1"/>
        <v>0</v>
      </c>
      <c r="X266" s="156">
        <f ca="1"/>
        <v>0</v>
      </c>
      <c r="Y266" s="156">
        <f ca="1"/>
        <v>7.8055245423436226E-3</v>
      </c>
      <c r="Z266" s="156">
        <f ca="1"/>
        <v>0</v>
      </c>
      <c r="AA266" s="156">
        <f ca="1"/>
        <v>4.405065921456397E-2</v>
      </c>
      <c r="AB266" s="156">
        <f ca="1"/>
        <v>0</v>
      </c>
      <c r="AC266" s="156">
        <f ca="1"/>
        <v>0.10940546763674996</v>
      </c>
      <c r="AD266" s="156">
        <f ca="1"/>
        <v>0.16693560693597076</v>
      </c>
      <c r="AE266" s="138">
        <f ca="1"/>
        <v>0.26561770168436971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6">
        <f ca="1"/>
        <v>0</v>
      </c>
      <c r="P267" s="156">
        <f ca="1"/>
        <v>5.5615649567387626E-3</v>
      </c>
      <c r="Q267" s="156">
        <f ca="1"/>
        <v>0</v>
      </c>
      <c r="R267" s="156">
        <f ca="1"/>
        <v>2.7151162758185299E-2</v>
      </c>
      <c r="S267" s="156">
        <f ca="1"/>
        <v>0</v>
      </c>
      <c r="T267" s="156">
        <f ca="1"/>
        <v>6.6484077901994065E-2</v>
      </c>
      <c r="U267" s="156">
        <f ca="1"/>
        <v>0.10520220959292803</v>
      </c>
      <c r="V267" s="138">
        <f ca="1"/>
        <v>0.16515576802118492</v>
      </c>
      <c r="W267" s="137">
        <f ca="1"/>
        <v>0</v>
      </c>
      <c r="X267" s="156">
        <f ca="1"/>
        <v>0</v>
      </c>
      <c r="Y267" s="156">
        <f ca="1"/>
        <v>5.7634308262557443E-3</v>
      </c>
      <c r="Z267" s="156">
        <f ca="1"/>
        <v>0</v>
      </c>
      <c r="AA267" s="156">
        <f ca="1"/>
        <v>2.7672310845165637E-2</v>
      </c>
      <c r="AB267" s="156">
        <f ca="1"/>
        <v>0</v>
      </c>
      <c r="AC267" s="156">
        <f ca="1"/>
        <v>6.7292038112152786E-2</v>
      </c>
      <c r="AD267" s="156">
        <f ca="1"/>
        <v>0.10628431146709838</v>
      </c>
      <c r="AE267" s="138">
        <f ca="1"/>
        <v>0.1666206577337247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6">
        <f ca="1"/>
        <v>0</v>
      </c>
      <c r="P268" s="156">
        <f ca="1"/>
        <v>2.603273681748286E-3</v>
      </c>
      <c r="Q268" s="156">
        <f ca="1"/>
        <v>0</v>
      </c>
      <c r="R268" s="156">
        <f ca="1"/>
        <v>2.2870931539424766E-2</v>
      </c>
      <c r="S268" s="156">
        <f ca="1"/>
        <v>0</v>
      </c>
      <c r="T268" s="156">
        <f ca="1"/>
        <v>5.2211289395607596E-2</v>
      </c>
      <c r="U268" s="156">
        <f ca="1"/>
        <v>9.4635336702613593E-2</v>
      </c>
      <c r="V268" s="138">
        <f ca="1"/>
        <v>0.16758771269995387</v>
      </c>
      <c r="W268" s="137">
        <f ca="1"/>
        <v>0</v>
      </c>
      <c r="X268" s="156">
        <f ca="1"/>
        <v>0</v>
      </c>
      <c r="Y268" s="156">
        <f ca="1"/>
        <v>2.8058607090296617E-3</v>
      </c>
      <c r="Z268" s="156">
        <f ca="1"/>
        <v>0</v>
      </c>
      <c r="AA268" s="156">
        <f ca="1"/>
        <v>2.3395337781193182E-2</v>
      </c>
      <c r="AB268" s="156">
        <f ca="1"/>
        <v>0</v>
      </c>
      <c r="AC268" s="156">
        <f ca="1"/>
        <v>5.3037706829292985E-2</v>
      </c>
      <c r="AD268" s="156">
        <f ca="1"/>
        <v>9.5728535089791067E-2</v>
      </c>
      <c r="AE268" s="138">
        <f ca="1"/>
        <v>0.16906158575075902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6">
        <f ca="1"/>
        <v>8.2983566879302195E-4</v>
      </c>
      <c r="P269" s="156">
        <f ca="1"/>
        <v>2.8642941472619698E-3</v>
      </c>
      <c r="Q269" s="156">
        <f ca="1"/>
        <v>9.3774002127985367E-3</v>
      </c>
      <c r="R269" s="156">
        <f ca="1"/>
        <v>1.9692790800470261E-2</v>
      </c>
      <c r="S269" s="156">
        <f ca="1"/>
        <v>0</v>
      </c>
      <c r="T269" s="156">
        <f ca="1"/>
        <v>4.9854230071452621E-2</v>
      </c>
      <c r="U269" s="156">
        <f ca="1"/>
        <v>8.5893940737007735E-2</v>
      </c>
      <c r="V269" s="138">
        <f ca="1"/>
        <v>0.14788976665231668</v>
      </c>
      <c r="W269" s="137">
        <f ca="1"/>
        <v>0</v>
      </c>
      <c r="X269" s="156">
        <f ca="1"/>
        <v>9.4832545884104835E-4</v>
      </c>
      <c r="Y269" s="156">
        <f ca="1"/>
        <v>3.0669356256665115E-3</v>
      </c>
      <c r="Z269" s="156">
        <f ca="1"/>
        <v>9.7451949310437547E-3</v>
      </c>
      <c r="AA269" s="156">
        <f ca="1"/>
        <v>2.022214267033251E-2</v>
      </c>
      <c r="AB269" s="156">
        <f ca="1"/>
        <v>0</v>
      </c>
      <c r="AC269" s="156">
        <f ca="1"/>
        <v>5.0684034635900432E-2</v>
      </c>
      <c r="AD269" s="156">
        <f ca="1"/>
        <v>8.7003507689336623E-2</v>
      </c>
      <c r="AE269" s="138">
        <f ca="1"/>
        <v>0.14938828623029077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6">
        <f ca="1"/>
        <v>0</v>
      </c>
      <c r="P270" s="156">
        <f ca="1"/>
        <v>5.824193349577178E-3</v>
      </c>
      <c r="Q270" s="156">
        <f ca="1"/>
        <v>0</v>
      </c>
      <c r="R270" s="156">
        <f ca="1"/>
        <v>6.0782772809121477E-2</v>
      </c>
      <c r="S270" s="156">
        <f ca="1"/>
        <v>0</v>
      </c>
      <c r="T270" s="156">
        <f ca="1"/>
        <v>9.7553206514066848E-2</v>
      </c>
      <c r="U270" s="156">
        <f ca="1"/>
        <v>0.12491651478270316</v>
      </c>
      <c r="V270" s="138">
        <f ca="1"/>
        <v>0.16600497669336256</v>
      </c>
      <c r="W270" s="137">
        <f ca="1"/>
        <v>0</v>
      </c>
      <c r="X270" s="156">
        <f ca="1"/>
        <v>0</v>
      </c>
      <c r="Y270" s="156">
        <f ca="1"/>
        <v>6.0259904215260729E-3</v>
      </c>
      <c r="Z270" s="156">
        <f ca="1"/>
        <v>0</v>
      </c>
      <c r="AA270" s="156">
        <f ca="1"/>
        <v>6.129340955220175E-2</v>
      </c>
      <c r="AB270" s="156">
        <f ca="1"/>
        <v>0</v>
      </c>
      <c r="AC270" s="156">
        <f ca="1"/>
        <v>9.8330840630781902E-2</v>
      </c>
      <c r="AD270" s="156">
        <f ca="1"/>
        <v>0.12596929829213865</v>
      </c>
      <c r="AE270" s="138">
        <f ca="1"/>
        <v>0.16743489896165265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6">
        <f ca="1"/>
        <v>0</v>
      </c>
      <c r="P271" s="156">
        <f ca="1"/>
        <v>3.98030520578041E-3</v>
      </c>
      <c r="Q271" s="156">
        <f ca="1"/>
        <v>0</v>
      </c>
      <c r="R271" s="156">
        <f ca="1"/>
        <v>2.3392296817628111E-2</v>
      </c>
      <c r="S271" s="156">
        <f ca="1"/>
        <v>0</v>
      </c>
      <c r="T271" s="156">
        <f ca="1"/>
        <v>6.346235484137841E-2</v>
      </c>
      <c r="U271" s="156">
        <f ca="1"/>
        <v>9.7242811668238227E-2</v>
      </c>
      <c r="V271" s="138">
        <f ca="1"/>
        <v>0.15627877651027922</v>
      </c>
      <c r="W271" s="137">
        <f ca="1"/>
        <v>0</v>
      </c>
      <c r="X271" s="156">
        <f ca="1"/>
        <v>0</v>
      </c>
      <c r="Y271" s="156">
        <f ca="1"/>
        <v>4.1825685032713666E-3</v>
      </c>
      <c r="Z271" s="156">
        <f ca="1"/>
        <v>0</v>
      </c>
      <c r="AA271" s="156">
        <f ca="1"/>
        <v>2.3916378424685969E-2</v>
      </c>
      <c r="AB271" s="156">
        <f ca="1"/>
        <v>0</v>
      </c>
      <c r="AC271" s="156">
        <f ca="1"/>
        <v>6.4273326765556416E-2</v>
      </c>
      <c r="AD271" s="156">
        <f ca="1"/>
        <v>9.8338077507126309E-2</v>
      </c>
      <c r="AE271" s="138">
        <f ca="1"/>
        <v>0.15775824202148492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6">
        <f ca="1"/>
        <v>0</v>
      </c>
      <c r="P272" s="156">
        <f ca="1"/>
        <v>4.0551778959819762E-3</v>
      </c>
      <c r="Q272" s="156">
        <f ca="1"/>
        <v>0</v>
      </c>
      <c r="R272" s="156">
        <f ca="1"/>
        <v>1.8929746937384917E-2</v>
      </c>
      <c r="S272" s="156">
        <f ca="1"/>
        <v>0</v>
      </c>
      <c r="T272" s="156">
        <f ca="1"/>
        <v>4.4257296056215867E-2</v>
      </c>
      <c r="U272" s="156">
        <f ca="1"/>
        <v>8.4139897843023115E-2</v>
      </c>
      <c r="V272" s="138">
        <f ca="1"/>
        <v>0.15189395535896333</v>
      </c>
      <c r="W272" s="137">
        <f ca="1"/>
        <v>0</v>
      </c>
      <c r="X272" s="156">
        <f ca="1"/>
        <v>0</v>
      </c>
      <c r="Y272" s="156">
        <f ca="1"/>
        <v>4.2574230082350617E-3</v>
      </c>
      <c r="Z272" s="156">
        <f ca="1"/>
        <v>0</v>
      </c>
      <c r="AA272" s="156">
        <f ca="1"/>
        <v>1.9457142976913588E-2</v>
      </c>
      <c r="AB272" s="156">
        <f ca="1"/>
        <v>0</v>
      </c>
      <c r="AC272" s="156">
        <f ca="1"/>
        <v>4.5091575532500983E-2</v>
      </c>
      <c r="AD272" s="156">
        <f ca="1"/>
        <v>8.5246989717956523E-2</v>
      </c>
      <c r="AE272" s="138">
        <f ca="1"/>
        <v>0.15339129649894034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6">
        <f ca="1"/>
        <v>0</v>
      </c>
      <c r="P273" s="156">
        <f ca="1"/>
        <v>4.4213667202557261E-3</v>
      </c>
      <c r="Q273" s="156">
        <f ca="1"/>
        <v>0</v>
      </c>
      <c r="R273" s="156">
        <f ca="1"/>
        <v>2.1534984116185041E-2</v>
      </c>
      <c r="S273" s="156">
        <f ca="1"/>
        <v>0</v>
      </c>
      <c r="T273" s="156">
        <f ca="1"/>
        <v>4.8519299018933593E-2</v>
      </c>
      <c r="U273" s="156">
        <f ca="1"/>
        <v>7.3483161805634079E-2</v>
      </c>
      <c r="V273" s="138">
        <f ca="1"/>
        <v>0.11993728218377608</v>
      </c>
      <c r="W273" s="137">
        <f ca="1"/>
        <v>0</v>
      </c>
      <c r="X273" s="156">
        <f ca="1"/>
        <v>0</v>
      </c>
      <c r="Y273" s="156">
        <f ca="1"/>
        <v>4.6235220007824207E-3</v>
      </c>
      <c r="Z273" s="156">
        <f ca="1"/>
        <v>0</v>
      </c>
      <c r="AA273" s="156">
        <f ca="1"/>
        <v>2.2060505966928989E-2</v>
      </c>
      <c r="AB273" s="156">
        <f ca="1"/>
        <v>0</v>
      </c>
      <c r="AC273" s="156">
        <f ca="1"/>
        <v>4.9349161123939278E-2</v>
      </c>
      <c r="AD273" s="156">
        <f ca="1"/>
        <v>7.4606695344171525E-2</v>
      </c>
      <c r="AE273" s="138">
        <f ca="1"/>
        <v>0.12146782226971098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6">
        <f ca="1"/>
        <v>1.1852695147550607E-3</v>
      </c>
      <c r="P274" s="156">
        <f ca="1"/>
        <v>3.2660960174130116E-3</v>
      </c>
      <c r="Q274" s="156">
        <f ca="1"/>
        <v>8.9729000813560944E-3</v>
      </c>
      <c r="R274" s="156">
        <f ca="1"/>
        <v>1.6883461971419322E-2</v>
      </c>
      <c r="S274" s="156">
        <f ca="1"/>
        <v>0</v>
      </c>
      <c r="T274" s="156">
        <f ca="1"/>
        <v>4.6405338297784371E-2</v>
      </c>
      <c r="U274" s="156">
        <f ca="1"/>
        <v>7.7366777861660352E-2</v>
      </c>
      <c r="V274" s="138">
        <f ca="1"/>
        <v>0.12339684830639919</v>
      </c>
      <c r="W274" s="137">
        <f ca="1"/>
        <v>0</v>
      </c>
      <c r="X274" s="156">
        <f ca="1"/>
        <v>1.3037152360358961E-3</v>
      </c>
      <c r="Y274" s="156">
        <f ca="1"/>
        <v>3.4686430370044485E-3</v>
      </c>
      <c r="Z274" s="156">
        <f ca="1"/>
        <v>9.3407527311551997E-3</v>
      </c>
      <c r="AA274" s="156">
        <f ca="1"/>
        <v>1.7413949247645832E-2</v>
      </c>
      <c r="AB274" s="156">
        <f ca="1"/>
        <v>0</v>
      </c>
      <c r="AC274" s="156">
        <f ca="1"/>
        <v>4.7238326039413137E-2</v>
      </c>
      <c r="AD274" s="156">
        <f ca="1"/>
        <v>7.8488127365071714E-2</v>
      </c>
      <c r="AE274" s="138">
        <f ca="1"/>
        <v>0.12492579785252733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6">
        <f ca="1"/>
        <v>0</v>
      </c>
      <c r="P275" s="156">
        <f ca="1"/>
        <v>7.5901010567830385E-3</v>
      </c>
      <c r="Q275" s="156">
        <f ca="1"/>
        <v>0</v>
      </c>
      <c r="R275" s="156">
        <f ca="1"/>
        <v>4.0305224828668496E-2</v>
      </c>
      <c r="S275" s="156">
        <f ca="1"/>
        <v>0</v>
      </c>
      <c r="T275" s="156">
        <f ca="1"/>
        <v>0.13121619605457635</v>
      </c>
      <c r="U275" s="156">
        <f ca="1"/>
        <v>0.20199673901285042</v>
      </c>
      <c r="V275" s="138">
        <f ca="1"/>
        <v>0.29915531705061604</v>
      </c>
      <c r="W275" s="137">
        <f ca="1"/>
        <v>0</v>
      </c>
      <c r="X275" s="156">
        <f ca="1"/>
        <v>0</v>
      </c>
      <c r="Y275" s="156">
        <f ca="1"/>
        <v>7.7410167304712285E-3</v>
      </c>
      <c r="Z275" s="156">
        <f ca="1"/>
        <v>0</v>
      </c>
      <c r="AA275" s="156">
        <f ca="1"/>
        <v>4.068424670284887E-2</v>
      </c>
      <c r="AB275" s="156">
        <f ca="1"/>
        <v>0</v>
      </c>
      <c r="AC275" s="156">
        <f ca="1"/>
        <v>0.13180340183013406</v>
      </c>
      <c r="AD275" s="156">
        <f ca="1"/>
        <v>0.20274754391710881</v>
      </c>
      <c r="AE275" s="138">
        <f ca="1"/>
        <v>0.30009659881378381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6">
        <f ca="1"/>
        <v>2.1993278771876845E-2</v>
      </c>
      <c r="P276" s="156">
        <f ca="1"/>
        <v>3.7377072813727819E-2</v>
      </c>
      <c r="Q276" s="156">
        <f ca="1"/>
        <v>6.175381017225734E-2</v>
      </c>
      <c r="R276" s="156">
        <f ca="1"/>
        <v>8.4534241072995786E-2</v>
      </c>
      <c r="S276" s="156">
        <f ca="1"/>
        <v>0</v>
      </c>
      <c r="T276" s="156">
        <f ca="1"/>
        <v>0.12114096468305391</v>
      </c>
      <c r="U276" s="156">
        <f ca="1"/>
        <v>0.16429386767607812</v>
      </c>
      <c r="V276" s="138">
        <f ca="1"/>
        <v>0.22518004978064332</v>
      </c>
      <c r="W276" s="137">
        <f ca="1"/>
        <v>0</v>
      </c>
      <c r="X276" s="156">
        <f ca="1"/>
        <v>2.2107124122094368E-2</v>
      </c>
      <c r="Y276" s="156">
        <f ca="1"/>
        <v>3.7571972730508163E-2</v>
      </c>
      <c r="Z276" s="156">
        <f ca="1"/>
        <v>6.2097730584516397E-2</v>
      </c>
      <c r="AA276" s="156">
        <f ca="1"/>
        <v>8.5023227309111382E-2</v>
      </c>
      <c r="AB276" s="156">
        <f ca="1"/>
        <v>0</v>
      </c>
      <c r="AC276" s="156">
        <f ca="1"/>
        <v>0.12187304213787309</v>
      </c>
      <c r="AD276" s="156">
        <f ca="1"/>
        <v>0.16530562555690054</v>
      </c>
      <c r="AE276" s="138">
        <f ca="1"/>
        <v>0.22650835396052926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6">
        <f ca="1"/>
        <v>1.0147775685422578E-2</v>
      </c>
      <c r="P277" s="156">
        <f ca="1"/>
        <v>1.7320435601452577E-2</v>
      </c>
      <c r="Q277" s="156">
        <f ca="1"/>
        <v>3.1401865098285575E-2</v>
      </c>
      <c r="R277" s="156">
        <f ca="1"/>
        <v>4.6819695518414028E-2</v>
      </c>
      <c r="S277" s="156">
        <f ca="1"/>
        <v>0</v>
      </c>
      <c r="T277" s="156">
        <f ca="1"/>
        <v>8.0389435829773648E-2</v>
      </c>
      <c r="U277" s="156">
        <f ca="1"/>
        <v>0.109258768289625</v>
      </c>
      <c r="V277" s="138">
        <f ca="1"/>
        <v>0.15091565775442206</v>
      </c>
      <c r="W277" s="137">
        <f ca="1"/>
        <v>0</v>
      </c>
      <c r="X277" s="156">
        <f ca="1"/>
        <v>1.0264809805258568E-2</v>
      </c>
      <c r="Y277" s="156">
        <f ca="1"/>
        <v>1.7519948151900055E-2</v>
      </c>
      <c r="Z277" s="156">
        <f ca="1"/>
        <v>3.176019964861565E-2</v>
      </c>
      <c r="AA277" s="156">
        <f ca="1"/>
        <v>4.733236194686552E-2</v>
      </c>
      <c r="AB277" s="156">
        <f ca="1"/>
        <v>0</v>
      </c>
      <c r="AC277" s="156">
        <f ca="1"/>
        <v>8.1184163477425519E-2</v>
      </c>
      <c r="AD277" s="156">
        <f ca="1"/>
        <v>0.11033094156954215</v>
      </c>
      <c r="AE277" s="138">
        <f ca="1"/>
        <v>0.15237547505503091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6">
        <f ca="1"/>
        <v>0</v>
      </c>
      <c r="P278" s="156">
        <f ca="1"/>
        <v>5.3554546346284981E-3</v>
      </c>
      <c r="Q278" s="156">
        <f ca="1"/>
        <v>0</v>
      </c>
      <c r="R278" s="156">
        <f ca="1"/>
        <v>2.1538498034137876E-2</v>
      </c>
      <c r="S278" s="156">
        <f ca="1"/>
        <v>0</v>
      </c>
      <c r="T278" s="156">
        <f ca="1"/>
        <v>4.5210413185557186E-2</v>
      </c>
      <c r="U278" s="156">
        <f ca="1"/>
        <v>6.9693897254980097E-2</v>
      </c>
      <c r="V278" s="138">
        <f ca="1"/>
        <v>0.1122643615140374</v>
      </c>
      <c r="W278" s="137">
        <f ca="1"/>
        <v>0</v>
      </c>
      <c r="X278" s="156">
        <f ca="1"/>
        <v>0</v>
      </c>
      <c r="Y278" s="156">
        <f ca="1"/>
        <v>5.5573739286992607E-3</v>
      </c>
      <c r="Z278" s="156">
        <f ca="1"/>
        <v>0</v>
      </c>
      <c r="AA278" s="156">
        <f ca="1"/>
        <v>2.2064027239557804E-2</v>
      </c>
      <c r="AB278" s="156">
        <f ca="1"/>
        <v>0</v>
      </c>
      <c r="AC278" s="156">
        <f ca="1"/>
        <v>4.6043672585669659E-2</v>
      </c>
      <c r="AD278" s="156">
        <f ca="1"/>
        <v>7.0821165641866801E-2</v>
      </c>
      <c r="AE278" s="138">
        <f ca="1"/>
        <v>0.11380506021842518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6">
        <f ca="1"/>
        <v>1.4221554576263618E-3</v>
      </c>
      <c r="P279" s="156">
        <f ca="1"/>
        <v>3.4651839813418794E-3</v>
      </c>
      <c r="Q279" s="156">
        <f ca="1"/>
        <v>1.0473714624058994E-2</v>
      </c>
      <c r="R279" s="156">
        <f ca="1"/>
        <v>1.9034928801856754E-2</v>
      </c>
      <c r="S279" s="156">
        <f ca="1"/>
        <v>0</v>
      </c>
      <c r="T279" s="156">
        <f ca="1"/>
        <v>3.9711109467132855E-2</v>
      </c>
      <c r="U279" s="156">
        <f ca="1"/>
        <v>6.3349043378318814E-2</v>
      </c>
      <c r="V279" s="138">
        <f ca="1"/>
        <v>0.10685471888894027</v>
      </c>
      <c r="W279" s="137">
        <f ca="1"/>
        <v>0</v>
      </c>
      <c r="X279" s="156">
        <f ca="1"/>
        <v>1.5405714051989206E-3</v>
      </c>
      <c r="Y279" s="156">
        <f ca="1"/>
        <v>3.6676784452275291E-3</v>
      </c>
      <c r="Z279" s="156">
        <f ca="1"/>
        <v>1.0841049605207376E-2</v>
      </c>
      <c r="AA279" s="156">
        <f ca="1"/>
        <v>1.9564317504587092E-2</v>
      </c>
      <c r="AB279" s="156">
        <f ca="1"/>
        <v>0</v>
      </c>
      <c r="AC279" s="156">
        <f ca="1"/>
        <v>4.0551212081818999E-2</v>
      </c>
      <c r="AD279" s="156">
        <f ca="1"/>
        <v>6.4485842364492285E-2</v>
      </c>
      <c r="AE279" s="138">
        <f ca="1"/>
        <v>0.10840732212361037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6">
        <f ca="1"/>
        <v>1.3037194799899732E-3</v>
      </c>
      <c r="P280" s="156">
        <f ca="1"/>
        <v>3.0566114245655918E-3</v>
      </c>
      <c r="Q280" s="156">
        <f ca="1"/>
        <v>7.0809024618746497E-3</v>
      </c>
      <c r="R280" s="156">
        <f ca="1"/>
        <v>1.4174410864874365E-2</v>
      </c>
      <c r="S280" s="156">
        <f ca="1"/>
        <v>0</v>
      </c>
      <c r="T280" s="156">
        <f ca="1"/>
        <v>3.3845933544582096E-2</v>
      </c>
      <c r="U280" s="156">
        <f ca="1"/>
        <v>5.8030893640535819E-2</v>
      </c>
      <c r="V280" s="138">
        <f ca="1"/>
        <v>9.9470598151953582E-2</v>
      </c>
      <c r="W280" s="137">
        <f ca="1"/>
        <v>0</v>
      </c>
      <c r="X280" s="156">
        <f ca="1"/>
        <v>1.4221503544191716E-3</v>
      </c>
      <c r="Y280" s="156">
        <f ca="1"/>
        <v>3.2591786827247393E-3</v>
      </c>
      <c r="Z280" s="156">
        <f ca="1"/>
        <v>7.4493387727756488E-3</v>
      </c>
      <c r="AA280" s="156">
        <f ca="1"/>
        <v>1.470622647070674E-2</v>
      </c>
      <c r="AB280" s="156">
        <f ca="1"/>
        <v>0</v>
      </c>
      <c r="AC280" s="156">
        <f ca="1"/>
        <v>3.4691847060404291E-2</v>
      </c>
      <c r="AD280" s="156">
        <f ca="1"/>
        <v>5.9175442668554012E-2</v>
      </c>
      <c r="AE280" s="138">
        <f ca="1"/>
        <v>0.10103733947696947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6">
        <f ca="1"/>
        <v>1.3037194799899732E-3</v>
      </c>
      <c r="P281" s="156">
        <f ca="1"/>
        <v>3.2626401793691695E-3</v>
      </c>
      <c r="Q281" s="156">
        <f ca="1"/>
        <v>7.4528972592016185E-3</v>
      </c>
      <c r="R281" s="156">
        <f ca="1"/>
        <v>1.5271164008381022E-2</v>
      </c>
      <c r="S281" s="156">
        <f ca="1"/>
        <v>0</v>
      </c>
      <c r="T281" s="156">
        <f ca="1"/>
        <v>3.4656053147240518E-2</v>
      </c>
      <c r="U281" s="156">
        <f ca="1"/>
        <v>5.6493508146069127E-2</v>
      </c>
      <c r="V281" s="138">
        <f ca="1"/>
        <v>9.7514137086637143E-2</v>
      </c>
      <c r="W281" s="137">
        <f ca="1"/>
        <v>0</v>
      </c>
      <c r="X281" s="156">
        <f ca="1"/>
        <v>1.4221503544191716E-3</v>
      </c>
      <c r="Y281" s="156">
        <f ca="1"/>
        <v>3.4651764677990915E-3</v>
      </c>
      <c r="Z281" s="156">
        <f ca="1"/>
        <v>7.8212025056658696E-3</v>
      </c>
      <c r="AA281" s="156">
        <f ca="1"/>
        <v>1.5802464452943643E-2</v>
      </c>
      <c r="AB281" s="156">
        <f ca="1"/>
        <v>0</v>
      </c>
      <c r="AC281" s="156">
        <f ca="1"/>
        <v>3.5501196363179055E-2</v>
      </c>
      <c r="AD281" s="156">
        <f ca="1"/>
        <v>5.7639522603666782E-2</v>
      </c>
      <c r="AE281" s="138">
        <f ca="1"/>
        <v>9.9082731977023553E-2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6">
        <f ca="1"/>
        <v>0</v>
      </c>
      <c r="P282" s="156">
        <f ca="1"/>
        <v>1.8958003844987692E-3</v>
      </c>
      <c r="Q282" s="156">
        <f ca="1"/>
        <v>0</v>
      </c>
      <c r="R282" s="156">
        <f ca="1"/>
        <v>1.2336373785777899E-2</v>
      </c>
      <c r="S282" s="156">
        <f ca="1"/>
        <v>0</v>
      </c>
      <c r="T282" s="156">
        <f ca="1"/>
        <v>3.1791418197398613E-2</v>
      </c>
      <c r="U282" s="156">
        <f ca="1"/>
        <v>5.5736209093212974E-2</v>
      </c>
      <c r="V282" s="138">
        <f ca="1"/>
        <v>9.4237563850891326E-2</v>
      </c>
      <c r="W282" s="137">
        <f ca="1"/>
        <v>0</v>
      </c>
      <c r="X282" s="156">
        <f ca="1"/>
        <v>0</v>
      </c>
      <c r="Y282" s="156">
        <f ca="1"/>
        <v>2.0985460870632799E-3</v>
      </c>
      <c r="Z282" s="156">
        <f ca="1"/>
        <v>0</v>
      </c>
      <c r="AA282" s="156">
        <f ca="1"/>
        <v>1.2868206506866486E-2</v>
      </c>
      <c r="AB282" s="156">
        <f ca="1"/>
        <v>0</v>
      </c>
      <c r="AC282" s="156">
        <f ca="1"/>
        <v>3.2638610940755153E-2</v>
      </c>
      <c r="AD282" s="156">
        <f ca="1"/>
        <v>5.6882895475123485E-2</v>
      </c>
      <c r="AE282" s="138">
        <f ca="1"/>
        <v>9.5787151536440907E-2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6">
        <f ca="1"/>
        <v>9.4832761164653778E-4</v>
      </c>
      <c r="P283" s="156">
        <f ca="1"/>
        <v>2.0363581548150655E-3</v>
      </c>
      <c r="Q283" s="156">
        <f ca="1"/>
        <v>7.1277570026859749E-3</v>
      </c>
      <c r="R283" s="156">
        <f ca="1"/>
        <v>1.3098914180217802E-2</v>
      </c>
      <c r="S283" s="156">
        <f ca="1"/>
        <v>0</v>
      </c>
      <c r="T283" s="156">
        <f ca="1"/>
        <v>3.398065397556449E-2</v>
      </c>
      <c r="U283" s="156">
        <f ca="1"/>
        <v>5.5516804598165992E-2</v>
      </c>
      <c r="V283" s="138">
        <f ca="1"/>
        <v>9.4205660424646842E-2</v>
      </c>
      <c r="W283" s="137">
        <f ca="1"/>
        <v>0</v>
      </c>
      <c r="X283" s="156">
        <f ca="1"/>
        <v>1.0668027899637389E-3</v>
      </c>
      <c r="Y283" s="156">
        <f ca="1"/>
        <v>2.2391115883493296E-3</v>
      </c>
      <c r="Z283" s="156">
        <f ca="1"/>
        <v>7.496311996131988E-3</v>
      </c>
      <c r="AA283" s="156">
        <f ca="1"/>
        <v>1.3631326459947912E-2</v>
      </c>
      <c r="AB283" s="156">
        <f ca="1"/>
        <v>0</v>
      </c>
      <c r="AC283" s="156">
        <f ca="1"/>
        <v>3.4826520309762077E-2</v>
      </c>
      <c r="AD283" s="156">
        <f ca="1"/>
        <v>5.6664808110524989E-2</v>
      </c>
      <c r="AE283" s="138">
        <f ca="1"/>
        <v>9.5756959009671183E-2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5.7910242987380123E-4</v>
      </c>
      <c r="O284" s="156">
        <f ca="1"/>
        <v>8.8909408947601687E-4</v>
      </c>
      <c r="P284" s="156">
        <f ca="1"/>
        <v>1.9865123687140551E-3</v>
      </c>
      <c r="Q284" s="156">
        <f ca="1"/>
        <v>4.473017267018542E-3</v>
      </c>
      <c r="R284" s="156">
        <f ca="1"/>
        <v>9.4350537713906446E-3</v>
      </c>
      <c r="S284" s="156">
        <f ca="1"/>
        <v>1.5143372271119615E-2</v>
      </c>
      <c r="T284" s="156">
        <f ca="1"/>
        <v>2.220522581834472E-2</v>
      </c>
      <c r="U284" s="156">
        <f ca="1"/>
        <v>4.1492852952173864E-2</v>
      </c>
      <c r="V284" s="138">
        <f ca="1"/>
        <v>7.2420529296157943E-2</v>
      </c>
      <c r="W284" s="137">
        <f ca="1"/>
        <v>6.369936649724961E-4</v>
      </c>
      <c r="X284" s="156">
        <f ca="1"/>
        <v>9.7795988288629232E-4</v>
      </c>
      <c r="Y284" s="156">
        <f ca="1"/>
        <v>2.1385920821933579E-3</v>
      </c>
      <c r="Z284" s="156">
        <f ca="1"/>
        <v>4.750024735407643E-3</v>
      </c>
      <c r="AA284" s="156">
        <f ca="1"/>
        <v>9.8356172685587495E-3</v>
      </c>
      <c r="AB284" s="156">
        <f ca="1"/>
        <v>1.5666358830090266E-2</v>
      </c>
      <c r="AC284" s="156">
        <f ca="1"/>
        <v>2.2848319006070539E-2</v>
      </c>
      <c r="AD284" s="156">
        <f ca="1"/>
        <v>4.2364844194969775E-2</v>
      </c>
      <c r="AE284" s="138">
        <f ca="1"/>
        <v>7.3611278895884591E-2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6">
        <f ca="1"/>
        <v>0</v>
      </c>
      <c r="P285" s="156">
        <f ca="1"/>
        <v>1.7639810966235681E-3</v>
      </c>
      <c r="Q285" s="156">
        <f ca="1"/>
        <v>0</v>
      </c>
      <c r="R285" s="156">
        <f ca="1"/>
        <v>1.2379751319805177E-2</v>
      </c>
      <c r="S285" s="156">
        <f ca="1"/>
        <v>0</v>
      </c>
      <c r="T285" s="156">
        <f ca="1"/>
        <v>2.9009963069565492E-2</v>
      </c>
      <c r="U285" s="156">
        <f ca="1"/>
        <v>5.2771309949930179E-2</v>
      </c>
      <c r="V285" s="138">
        <f ca="1"/>
        <v>9.3330416545733597E-2</v>
      </c>
      <c r="W285" s="137">
        <f ca="1"/>
        <v>0</v>
      </c>
      <c r="X285" s="156">
        <f ca="1"/>
        <v>0</v>
      </c>
      <c r="Y285" s="156">
        <f ca="1"/>
        <v>1.9667558109944805E-3</v>
      </c>
      <c r="Z285" s="156">
        <f ca="1"/>
        <v>0</v>
      </c>
      <c r="AA285" s="156">
        <f ca="1"/>
        <v>1.2911571843033043E-2</v>
      </c>
      <c r="AB285" s="156">
        <f ca="1"/>
        <v>0</v>
      </c>
      <c r="AC285" s="156">
        <f ca="1"/>
        <v>2.9859803207405666E-2</v>
      </c>
      <c r="AD285" s="156">
        <f ca="1"/>
        <v>5.3921200773408118E-2</v>
      </c>
      <c r="AE285" s="138">
        <f ca="1"/>
        <v>9.4907910057401734E-2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6">
        <f ca="1"/>
        <v>7.1132972843845899E-4</v>
      </c>
      <c r="P286" s="156">
        <f ca="1"/>
        <v>1.6307230605586698E-3</v>
      </c>
      <c r="Q286" s="156">
        <f ca="1"/>
        <v>4.8707374961430849E-3</v>
      </c>
      <c r="R286" s="156">
        <f ca="1"/>
        <v>1.041745201957478E-2</v>
      </c>
      <c r="S286" s="156">
        <f ca="1"/>
        <v>0</v>
      </c>
      <c r="T286" s="156">
        <f ca="1"/>
        <v>2.7854622752487179E-2</v>
      </c>
      <c r="U286" s="156">
        <f ca="1"/>
        <v>4.9917986694937189E-2</v>
      </c>
      <c r="V286" s="138">
        <f ca="1"/>
        <v>8.8430970003193443E-2</v>
      </c>
      <c r="W286" s="137">
        <f ca="1"/>
        <v>0</v>
      </c>
      <c r="X286" s="156">
        <f ca="1"/>
        <v>8.2983405341885419E-4</v>
      </c>
      <c r="Y286" s="156">
        <f ca="1"/>
        <v>1.8335595656702175E-3</v>
      </c>
      <c r="Z286" s="156">
        <f ca="1"/>
        <v>5.240031066541917E-3</v>
      </c>
      <c r="AA286" s="156">
        <f ca="1"/>
        <v>1.0951278611157522E-2</v>
      </c>
      <c r="AB286" s="156">
        <f ca="1"/>
        <v>0</v>
      </c>
      <c r="AC286" s="156">
        <f ca="1"/>
        <v>2.8706455903422134E-2</v>
      </c>
      <c r="AD286" s="156">
        <f ca="1"/>
        <v>5.1073225535769873E-2</v>
      </c>
      <c r="AE286" s="138">
        <f ca="1"/>
        <v>8.9994676912239502E-2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6">
        <f ca="1"/>
        <v>5.92809788134252E-4</v>
      </c>
      <c r="P287" s="156">
        <f ca="1"/>
        <v>1.4278436744080691E-3</v>
      </c>
      <c r="Q287" s="156">
        <f ca="1"/>
        <v>4.8812840602459051E-3</v>
      </c>
      <c r="R287" s="156">
        <f ca="1"/>
        <v>9.302584076257725E-3</v>
      </c>
      <c r="S287" s="156">
        <f ca="1"/>
        <v>0</v>
      </c>
      <c r="T287" s="156">
        <f ca="1"/>
        <v>2.6095822749383824E-2</v>
      </c>
      <c r="U287" s="156">
        <f ca="1"/>
        <v>4.8878961539223442E-2</v>
      </c>
      <c r="V287" s="138">
        <f ca="1"/>
        <v>8.6965804672334945E-2</v>
      </c>
      <c r="W287" s="137">
        <f ca="1"/>
        <v>0</v>
      </c>
      <c r="X287" s="156">
        <f ca="1"/>
        <v>7.1132857205080668E-4</v>
      </c>
      <c r="Y287" s="156">
        <f ca="1"/>
        <v>1.6307216884168252E-3</v>
      </c>
      <c r="Z287" s="156">
        <f ca="1"/>
        <v>5.250608015920033E-3</v>
      </c>
      <c r="AA287" s="156">
        <f ca="1"/>
        <v>9.8368787881814024E-3</v>
      </c>
      <c r="AB287" s="156">
        <f ca="1"/>
        <v>0</v>
      </c>
      <c r="AC287" s="156">
        <f ca="1"/>
        <v>2.6949218208454973E-2</v>
      </c>
      <c r="AD287" s="156">
        <f ca="1"/>
        <v>5.0035628200055582E-2</v>
      </c>
      <c r="AE287" s="138">
        <f ca="1"/>
        <v>8.8533065686677515E-2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6">
        <f ca="1"/>
        <v>8.2983566879302195E-4</v>
      </c>
      <c r="P288" s="156">
        <f ca="1"/>
        <v>1.6273624074436555E-3</v>
      </c>
      <c r="Q288" s="156">
        <f ca="1"/>
        <v>4.8673217536403524E-3</v>
      </c>
      <c r="R288" s="156">
        <f ca="1"/>
        <v>1.0976588735009951E-2</v>
      </c>
      <c r="S288" s="156">
        <f ca="1"/>
        <v>0</v>
      </c>
      <c r="T288" s="156">
        <f ca="1"/>
        <v>2.9660623050000834E-2</v>
      </c>
      <c r="U288" s="156">
        <f ca="1"/>
        <v>4.9675042981566553E-2</v>
      </c>
      <c r="V288" s="138">
        <f ca="1"/>
        <v>8.6237297933127288E-2</v>
      </c>
      <c r="W288" s="137">
        <f ca="1"/>
        <v>0</v>
      </c>
      <c r="X288" s="156">
        <f ca="1"/>
        <v>9.4832545884104835E-4</v>
      </c>
      <c r="Y288" s="156">
        <f ca="1"/>
        <v>1.8301875899737752E-3</v>
      </c>
      <c r="Z288" s="156">
        <f ca="1"/>
        <v>5.2366042259883727E-3</v>
      </c>
      <c r="AA288" s="156">
        <f ca="1"/>
        <v>1.1510183933181706E-2</v>
      </c>
      <c r="AB288" s="156">
        <f ca="1"/>
        <v>0</v>
      </c>
      <c r="AC288" s="156">
        <f ca="1"/>
        <v>3.0510843423529166E-2</v>
      </c>
      <c r="AD288" s="156">
        <f ca="1"/>
        <v>5.0830479895276559E-2</v>
      </c>
      <c r="AE288" s="138">
        <f ca="1"/>
        <v>8.7804740368961354E-2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6">
        <f ca="1"/>
        <v>0</v>
      </c>
      <c r="P289" s="156">
        <f ca="1"/>
        <v>1.1168024067352844E-3</v>
      </c>
      <c r="Q289" s="156">
        <f ca="1"/>
        <v>0</v>
      </c>
      <c r="R289" s="156">
        <f ca="1"/>
        <v>9.2978498797968712E-3</v>
      </c>
      <c r="S289" s="156">
        <f ca="1"/>
        <v>0</v>
      </c>
      <c r="T289" s="156">
        <f ca="1"/>
        <v>2.4749398742403339E-2</v>
      </c>
      <c r="U289" s="156">
        <f ca="1"/>
        <v>4.9285728349104607E-2</v>
      </c>
      <c r="V289" s="138">
        <f ca="1"/>
        <v>8.9806719666030932E-2</v>
      </c>
      <c r="W289" s="137">
        <f ca="1"/>
        <v>0</v>
      </c>
      <c r="X289" s="156">
        <f ca="1"/>
        <v>0</v>
      </c>
      <c r="Y289" s="156">
        <f ca="1"/>
        <v>1.3197170988300533E-3</v>
      </c>
      <c r="Z289" s="156">
        <f ca="1"/>
        <v>0</v>
      </c>
      <c r="AA289" s="156">
        <f ca="1"/>
        <v>9.8315648625757479E-3</v>
      </c>
      <c r="AB289" s="156">
        <f ca="1"/>
        <v>0</v>
      </c>
      <c r="AC289" s="156">
        <f ca="1"/>
        <v>2.5603359761505518E-2</v>
      </c>
      <c r="AD289" s="156">
        <f ca="1"/>
        <v>5.0440587379862123E-2</v>
      </c>
      <c r="AE289" s="138">
        <f ca="1"/>
        <v>9.1392285951539365E-2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6">
        <f ca="1"/>
        <v>8.2983566879302195E-4</v>
      </c>
      <c r="P290" s="156">
        <f ca="1"/>
        <v>1.8335612178990157E-3</v>
      </c>
      <c r="Q290" s="156">
        <f ca="1"/>
        <v>4.8601926658906613E-3</v>
      </c>
      <c r="R290" s="156">
        <f ca="1"/>
        <v>9.8440240106640875E-3</v>
      </c>
      <c r="S290" s="156">
        <f ca="1"/>
        <v>0</v>
      </c>
      <c r="T290" s="156">
        <f ca="1"/>
        <v>2.6032190210172779E-2</v>
      </c>
      <c r="U290" s="156">
        <f ca="1"/>
        <v>4.4815130743587006E-2</v>
      </c>
      <c r="V290" s="138">
        <f ca="1"/>
        <v>7.7692911880260951E-2</v>
      </c>
      <c r="W290" s="137">
        <f ca="1"/>
        <v>0</v>
      </c>
      <c r="X290" s="156">
        <f ca="1"/>
        <v>9.4832545884104835E-4</v>
      </c>
      <c r="Y290" s="156">
        <f ca="1"/>
        <v>2.0363561961922461E-3</v>
      </c>
      <c r="Z290" s="156">
        <f ca="1"/>
        <v>5.2294555185565805E-3</v>
      </c>
      <c r="AA290" s="156">
        <f ca="1"/>
        <v>1.0378035072031166E-2</v>
      </c>
      <c r="AB290" s="156">
        <f ca="1"/>
        <v>0</v>
      </c>
      <c r="AC290" s="156">
        <f ca="1"/>
        <v>2.6885568146458705E-2</v>
      </c>
      <c r="AD290" s="156">
        <f ca="1"/>
        <v>4.5976095974274434E-2</v>
      </c>
      <c r="AE290" s="138">
        <f ca="1"/>
        <v>7.9276917088092813E-2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6">
        <f ca="1"/>
        <v>7.1132972843845899E-4</v>
      </c>
      <c r="P291" s="156">
        <f ca="1"/>
        <v>1.424494769770468E-3</v>
      </c>
      <c r="Q291" s="156">
        <f ca="1"/>
        <v>4.4978604330765393E-3</v>
      </c>
      <c r="R291" s="156">
        <f ca="1"/>
        <v>9.8797475120157019E-3</v>
      </c>
      <c r="S291" s="156">
        <f ca="1"/>
        <v>0</v>
      </c>
      <c r="T291" s="156">
        <f ca="1"/>
        <v>2.5141899370640153E-2</v>
      </c>
      <c r="U291" s="156">
        <f ca="1"/>
        <v>4.361553303207133E-2</v>
      </c>
      <c r="V291" s="138">
        <f ca="1"/>
        <v>7.8015557618591913E-2</v>
      </c>
      <c r="W291" s="137">
        <f ca="1"/>
        <v>0</v>
      </c>
      <c r="X291" s="156">
        <f ca="1"/>
        <v>8.2983405341885419E-4</v>
      </c>
      <c r="Y291" s="156">
        <f ca="1"/>
        <v>1.6273614157106264E-3</v>
      </c>
      <c r="Z291" s="156">
        <f ca="1"/>
        <v>4.8672840036253495E-3</v>
      </c>
      <c r="AA291" s="156">
        <f ca="1"/>
        <v>1.041385873674594E-2</v>
      </c>
      <c r="AB291" s="156">
        <f ca="1"/>
        <v>0</v>
      </c>
      <c r="AC291" s="156">
        <f ca="1"/>
        <v>2.5996171692597381E-2</v>
      </c>
      <c r="AD291" s="156">
        <f ca="1"/>
        <v>4.4777913366505939E-2</v>
      </c>
      <c r="AE291" s="138">
        <f ca="1"/>
        <v>7.9598707501547628E-2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6">
        <f ca="1"/>
        <v>0</v>
      </c>
      <c r="P292" s="156">
        <f ca="1"/>
        <v>6.1533817073365249E-2</v>
      </c>
      <c r="Q292" s="156">
        <f ca="1"/>
        <v>0</v>
      </c>
      <c r="R292" s="156">
        <f ca="1"/>
        <v>0.11302072807644026</v>
      </c>
      <c r="S292" s="156">
        <f ca="1"/>
        <v>0</v>
      </c>
      <c r="T292" s="156">
        <f ca="1"/>
        <v>0.14742310633323708</v>
      </c>
      <c r="U292" s="156">
        <f ca="1"/>
        <v>0.18021500035016835</v>
      </c>
      <c r="V292" s="138">
        <f ca="1"/>
        <v>0.23187809603715015</v>
      </c>
      <c r="W292" s="137">
        <f ca="1"/>
        <v>0</v>
      </c>
      <c r="X292" s="156">
        <f ca="1"/>
        <v>0</v>
      </c>
      <c r="Y292" s="156">
        <f ca="1"/>
        <v>6.1724453397193457E-2</v>
      </c>
      <c r="Z292" s="156">
        <f ca="1"/>
        <v>0</v>
      </c>
      <c r="AA292" s="156">
        <f ca="1"/>
        <v>0.11349378613391081</v>
      </c>
      <c r="AB292" s="156">
        <f ca="1"/>
        <v>0</v>
      </c>
      <c r="AC292" s="156">
        <f ca="1"/>
        <v>0.14813329112655038</v>
      </c>
      <c r="AD292" s="156">
        <f ca="1"/>
        <v>0.1811708584907642</v>
      </c>
      <c r="AE292" s="138">
        <f ca="1"/>
        <v>0.23315723296684965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6">
        <f ca="1"/>
        <v>5.3816945441286235E-3</v>
      </c>
      <c r="P293" s="156">
        <f ca="1"/>
        <v>1.15178732195933E-2</v>
      </c>
      <c r="Q293" s="156">
        <f ca="1"/>
        <v>2.9403196370689777E-2</v>
      </c>
      <c r="R293" s="156">
        <f ca="1"/>
        <v>5.2559371478914763E-2</v>
      </c>
      <c r="S293" s="156">
        <f ca="1"/>
        <v>0</v>
      </c>
      <c r="T293" s="156">
        <f ca="1"/>
        <v>0.10704600672672482</v>
      </c>
      <c r="U293" s="156">
        <f ca="1"/>
        <v>0.14999958688224024</v>
      </c>
      <c r="V293" s="138">
        <f ca="1"/>
        <v>0.21286009719309473</v>
      </c>
      <c r="W293" s="137">
        <f ca="1"/>
        <v>0</v>
      </c>
      <c r="X293" s="156">
        <f ca="1"/>
        <v>5.499558820391548E-3</v>
      </c>
      <c r="Y293" s="156">
        <f ca="1"/>
        <v>1.1718736137394714E-2</v>
      </c>
      <c r="Z293" s="156">
        <f ca="1"/>
        <v>2.9762737588384436E-2</v>
      </c>
      <c r="AA293" s="156">
        <f ca="1"/>
        <v>5.307012236592934E-2</v>
      </c>
      <c r="AB293" s="156">
        <f ca="1"/>
        <v>0</v>
      </c>
      <c r="AC293" s="156">
        <f ca="1"/>
        <v>0.10783708790712021</v>
      </c>
      <c r="AD293" s="156">
        <f ca="1"/>
        <v>0.1510408213391381</v>
      </c>
      <c r="AE293" s="138">
        <f ca="1"/>
        <v>0.21422705563868527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6">
        <f ca="1"/>
        <v>1.2000765254251977E-3</v>
      </c>
      <c r="P294" s="156">
        <f ca="1"/>
        <v>3.5540898239964092E-3</v>
      </c>
      <c r="Q294" s="156">
        <f ca="1"/>
        <v>1.0808786023340899E-2</v>
      </c>
      <c r="R294" s="156">
        <f ca="1"/>
        <v>2.184850020545781E-2</v>
      </c>
      <c r="S294" s="156">
        <f ca="1"/>
        <v>0</v>
      </c>
      <c r="T294" s="156">
        <f ca="1"/>
        <v>4.7726017568622048E-2</v>
      </c>
      <c r="U294" s="156">
        <f ca="1"/>
        <v>7.2710214365171222E-2</v>
      </c>
      <c r="V294" s="138">
        <f ca="1"/>
        <v>0.10680453439248938</v>
      </c>
      <c r="W294" s="137">
        <f ca="1"/>
        <v>0</v>
      </c>
      <c r="X294" s="156">
        <f ca="1"/>
        <v>1.2889098580469716E-3</v>
      </c>
      <c r="Y294" s="156">
        <f ca="1"/>
        <v>3.705967577888547E-3</v>
      </c>
      <c r="Z294" s="156">
        <f ca="1"/>
        <v>1.1084179881212353E-2</v>
      </c>
      <c r="AA294" s="156">
        <f ca="1"/>
        <v>2.2244525548201222E-2</v>
      </c>
      <c r="AB294" s="156">
        <f ca="1"/>
        <v>0</v>
      </c>
      <c r="AC294" s="156">
        <f ca="1"/>
        <v>4.8348849581563602E-2</v>
      </c>
      <c r="AD294" s="156">
        <f ca="1"/>
        <v>7.3553366745357285E-2</v>
      </c>
      <c r="AE294" s="138">
        <f ca="1"/>
        <v>0.10796413730060805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6">
        <f ca="1"/>
        <v>6.7577521646711158E-4</v>
      </c>
      <c r="P295" s="156">
        <f ca="1"/>
        <v>2.5389448711954365E-3</v>
      </c>
      <c r="Q295" s="156">
        <f ca="1"/>
        <v>7.3080171956233508E-3</v>
      </c>
      <c r="R295" s="156">
        <f ca="1"/>
        <v>1.4596468389244333E-2</v>
      </c>
      <c r="S295" s="156">
        <f ca="1"/>
        <v>0</v>
      </c>
      <c r="T295" s="156">
        <f ca="1"/>
        <v>3.5690281804451218E-2</v>
      </c>
      <c r="U295" s="156">
        <f ca="1"/>
        <v>6.0609595348061873E-2</v>
      </c>
      <c r="V295" s="138">
        <f ca="1"/>
        <v>0.11024493761012955</v>
      </c>
      <c r="W295" s="137">
        <f ca="1"/>
        <v>0</v>
      </c>
      <c r="X295" s="156">
        <f ca="1"/>
        <v>7.9428388706370701E-4</v>
      </c>
      <c r="Y295" s="156">
        <f ca="1"/>
        <v>2.7416500648504982E-3</v>
      </c>
      <c r="Z295" s="156">
        <f ca="1"/>
        <v>7.6765001722489679E-3</v>
      </c>
      <c r="AA295" s="156">
        <f ca="1"/>
        <v>1.5128222919506773E-2</v>
      </c>
      <c r="AB295" s="156">
        <f ca="1"/>
        <v>0</v>
      </c>
      <c r="AC295" s="156">
        <f ca="1"/>
        <v>3.6534582306212648E-2</v>
      </c>
      <c r="AD295" s="156">
        <f ca="1"/>
        <v>6.1751268000029835E-2</v>
      </c>
      <c r="AE295" s="138">
        <f ca="1"/>
        <v>0.11179877373497915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6">
        <f ca="1"/>
        <v>0</v>
      </c>
      <c r="P296" s="156">
        <f ca="1"/>
        <v>1.3075503082676798E-3</v>
      </c>
      <c r="Q296" s="156">
        <f ca="1"/>
        <v>0</v>
      </c>
      <c r="R296" s="156">
        <f ca="1"/>
        <v>1.3283266634672941E-2</v>
      </c>
      <c r="S296" s="156">
        <f ca="1"/>
        <v>0</v>
      </c>
      <c r="T296" s="156">
        <f ca="1"/>
        <v>2.988055530623257E-2</v>
      </c>
      <c r="U296" s="156">
        <f ca="1"/>
        <v>5.4484293466979583E-2</v>
      </c>
      <c r="V296" s="138">
        <f ca="1"/>
        <v>9.4420772847040646E-2</v>
      </c>
      <c r="W296" s="137">
        <f ca="1"/>
        <v>0</v>
      </c>
      <c r="X296" s="156">
        <f ca="1"/>
        <v>0</v>
      </c>
      <c r="Y296" s="156">
        <f ca="1"/>
        <v>1.5104241639727345E-3</v>
      </c>
      <c r="Z296" s="156">
        <f ca="1"/>
        <v>0</v>
      </c>
      <c r="AA296" s="156">
        <f ca="1"/>
        <v>1.3814567994012483E-2</v>
      </c>
      <c r="AB296" s="156">
        <f ca="1"/>
        <v>0</v>
      </c>
      <c r="AC296" s="156">
        <f ca="1"/>
        <v>3.072972764227988E-2</v>
      </c>
      <c r="AD296" s="156">
        <f ca="1"/>
        <v>5.5632010823647438E-2</v>
      </c>
      <c r="AE296" s="138">
        <f ca="1"/>
        <v>9.5995971565651872E-2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6">
        <f ca="1"/>
        <v>0</v>
      </c>
      <c r="P297" s="156">
        <f ca="1"/>
        <v>1.266968672701152E-3</v>
      </c>
      <c r="Q297" s="156">
        <f ca="1"/>
        <v>0</v>
      </c>
      <c r="R297" s="156">
        <f ca="1"/>
        <v>1.1485346088583759E-2</v>
      </c>
      <c r="S297" s="156">
        <f ca="1"/>
        <v>0</v>
      </c>
      <c r="T297" s="156">
        <f ca="1"/>
        <v>2.3099404198673179E-2</v>
      </c>
      <c r="U297" s="156">
        <f ca="1"/>
        <v>4.5139095418595065E-2</v>
      </c>
      <c r="V297" s="138">
        <f ca="1"/>
        <v>8.2394669242799368E-2</v>
      </c>
      <c r="W297" s="137">
        <f ca="1"/>
        <v>0</v>
      </c>
      <c r="X297" s="156">
        <f ca="1"/>
        <v>0</v>
      </c>
      <c r="Y297" s="156">
        <f ca="1"/>
        <v>1.4698512455946222E-3</v>
      </c>
      <c r="Z297" s="156">
        <f ca="1"/>
        <v>0</v>
      </c>
      <c r="AA297" s="156">
        <f ca="1"/>
        <v>1.2017763830551642E-2</v>
      </c>
      <c r="AB297" s="156">
        <f ca="1"/>
        <v>0</v>
      </c>
      <c r="AC297" s="156">
        <f ca="1"/>
        <v>2.3954516558509442E-2</v>
      </c>
      <c r="AD297" s="156">
        <f ca="1"/>
        <v>4.6297893827857095E-2</v>
      </c>
      <c r="AE297" s="138">
        <f ca="1"/>
        <v>8.3966678913808379E-2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6">
        <f ca="1"/>
        <v>0</v>
      </c>
      <c r="P298" s="156">
        <f ca="1"/>
        <v>2.4350657635655582E-3</v>
      </c>
      <c r="Q298" s="156">
        <f ca="1"/>
        <v>0</v>
      </c>
      <c r="R298" s="156">
        <f ca="1"/>
        <v>1.0844149221055255E-2</v>
      </c>
      <c r="S298" s="156">
        <f ca="1"/>
        <v>0</v>
      </c>
      <c r="T298" s="156">
        <f ca="1"/>
        <v>2.6792971923125797E-2</v>
      </c>
      <c r="U298" s="156">
        <f ca="1"/>
        <v>5.0062159052043698E-2</v>
      </c>
      <c r="V298" s="138">
        <f ca="1"/>
        <v>9.8965321495499414E-2</v>
      </c>
      <c r="W298" s="137">
        <f ca="1"/>
        <v>0</v>
      </c>
      <c r="X298" s="156">
        <f ca="1"/>
        <v>0</v>
      </c>
      <c r="Y298" s="156">
        <f ca="1"/>
        <v>2.6376909759359135E-3</v>
      </c>
      <c r="Z298" s="156">
        <f ca="1"/>
        <v>0</v>
      </c>
      <c r="AA298" s="156">
        <f ca="1"/>
        <v>1.1376792862768714E-2</v>
      </c>
      <c r="AB298" s="156">
        <f ca="1"/>
        <v>0</v>
      </c>
      <c r="AC298" s="156">
        <f ca="1"/>
        <v>2.7644650444995644E-2</v>
      </c>
      <c r="AD298" s="156">
        <f ca="1"/>
        <v>5.121539158753885E-2</v>
      </c>
      <c r="AE298" s="138">
        <f ca="1"/>
        <v>0.1005392313195087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6">
        <f ca="1"/>
        <v>0</v>
      </c>
      <c r="P299" s="156">
        <f ca="1"/>
        <v>2.4350657635655582E-3</v>
      </c>
      <c r="Q299" s="156">
        <f ca="1"/>
        <v>0</v>
      </c>
      <c r="R299" s="156">
        <f ca="1"/>
        <v>1.0844149221055255E-2</v>
      </c>
      <c r="S299" s="156">
        <f ca="1"/>
        <v>0</v>
      </c>
      <c r="T299" s="156">
        <f ca="1"/>
        <v>2.6792971923125797E-2</v>
      </c>
      <c r="U299" s="156">
        <f ca="1"/>
        <v>5.0062159052043698E-2</v>
      </c>
      <c r="V299" s="138">
        <f ca="1"/>
        <v>9.8965321495499414E-2</v>
      </c>
      <c r="W299" s="137">
        <f ca="1"/>
        <v>0</v>
      </c>
      <c r="X299" s="156">
        <f ca="1"/>
        <v>0</v>
      </c>
      <c r="Y299" s="156">
        <f ca="1"/>
        <v>2.6376909759359135E-3</v>
      </c>
      <c r="Z299" s="156">
        <f ca="1"/>
        <v>0</v>
      </c>
      <c r="AA299" s="156">
        <f ca="1"/>
        <v>1.1376792862768714E-2</v>
      </c>
      <c r="AB299" s="156">
        <f ca="1"/>
        <v>0</v>
      </c>
      <c r="AC299" s="156">
        <f ca="1"/>
        <v>2.7644650444995644E-2</v>
      </c>
      <c r="AD299" s="156">
        <f ca="1"/>
        <v>5.121539158753885E-2</v>
      </c>
      <c r="AE299" s="138">
        <f ca="1"/>
        <v>0.1005392313195087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6">
        <f ca="1"/>
        <v>0</v>
      </c>
      <c r="P300" s="156">
        <f ca="1"/>
        <v>9.9097019373151074E-4</v>
      </c>
      <c r="Q300" s="156">
        <f ca="1"/>
        <v>0</v>
      </c>
      <c r="R300" s="156">
        <f ca="1"/>
        <v>1.0682623318428286E-2</v>
      </c>
      <c r="S300" s="156">
        <f ca="1"/>
        <v>0</v>
      </c>
      <c r="T300" s="156">
        <f ca="1"/>
        <v>2.3677118121073315E-2</v>
      </c>
      <c r="U300" s="156">
        <f ca="1"/>
        <v>4.4520061216844375E-2</v>
      </c>
      <c r="V300" s="138">
        <f ca="1"/>
        <v>8.1560237590661666E-2</v>
      </c>
      <c r="W300" s="137">
        <f ca="1"/>
        <v>0</v>
      </c>
      <c r="X300" s="156">
        <f ca="1"/>
        <v>0</v>
      </c>
      <c r="Y300" s="156">
        <f ca="1"/>
        <v>1.1939116349340972E-3</v>
      </c>
      <c r="Z300" s="156">
        <f ca="1"/>
        <v>0</v>
      </c>
      <c r="AA300" s="156">
        <f ca="1"/>
        <v>1.1215553556407132E-2</v>
      </c>
      <c r="AB300" s="156">
        <f ca="1"/>
        <v>0</v>
      </c>
      <c r="AC300" s="156">
        <f ca="1"/>
        <v>2.4531929911472683E-2</v>
      </c>
      <c r="AD300" s="156">
        <f ca="1"/>
        <v>4.5680031628290152E-2</v>
      </c>
      <c r="AE300" s="138">
        <f ca="1"/>
        <v>8.3133813710516424E-2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6">
        <f ca="1"/>
        <v>0</v>
      </c>
      <c r="P301" s="156">
        <f ca="1"/>
        <v>1.4658030690567481E-3</v>
      </c>
      <c r="Q301" s="156">
        <f ca="1"/>
        <v>0</v>
      </c>
      <c r="R301" s="156">
        <f ca="1"/>
        <v>9.7382574296536184E-3</v>
      </c>
      <c r="S301" s="156">
        <f ca="1"/>
        <v>0</v>
      </c>
      <c r="T301" s="156">
        <f ca="1"/>
        <v>2.2804996553616341E-2</v>
      </c>
      <c r="U301" s="156">
        <f ca="1"/>
        <v>4.3636968022953804E-2</v>
      </c>
      <c r="V301" s="138">
        <f ca="1"/>
        <v>7.7690342952627778E-2</v>
      </c>
      <c r="W301" s="137">
        <f ca="1"/>
        <v>0</v>
      </c>
      <c r="X301" s="156">
        <f ca="1"/>
        <v>0</v>
      </c>
      <c r="Y301" s="156">
        <f ca="1"/>
        <v>1.6686427798721093E-3</v>
      </c>
      <c r="Z301" s="156">
        <f ca="1"/>
        <v>0</v>
      </c>
      <c r="AA301" s="156">
        <f ca="1"/>
        <v>1.0271671156952489E-2</v>
      </c>
      <c r="AB301" s="156">
        <f ca="1"/>
        <v>0</v>
      </c>
      <c r="AC301" s="156">
        <f ca="1"/>
        <v>2.3660481380007869E-2</v>
      </c>
      <c r="AD301" s="156">
        <f ca="1"/>
        <v>4.4798090460469453E-2</v>
      </c>
      <c r="AE301" s="138">
        <f ca="1"/>
        <v>7.9272412148428173E-2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6">
        <f ca="1"/>
        <v>7.1132972843845899E-4</v>
      </c>
      <c r="P302" s="156">
        <f ca="1"/>
        <v>1.218249062401866E-3</v>
      </c>
      <c r="Q302" s="156">
        <f ca="1"/>
        <v>4.5049651185464779E-3</v>
      </c>
      <c r="R302" s="156">
        <f ca="1"/>
        <v>9.886988031648114E-3</v>
      </c>
      <c r="S302" s="156">
        <f ca="1"/>
        <v>0</v>
      </c>
      <c r="T302" s="156">
        <f ca="1"/>
        <v>2.6076517613087935E-2</v>
      </c>
      <c r="U302" s="156">
        <f ca="1"/>
        <v>4.35260840199444E-2</v>
      </c>
      <c r="V302" s="138">
        <f ca="1"/>
        <v>7.9883526911694425E-2</v>
      </c>
      <c r="W302" s="137">
        <f ca="1"/>
        <v>0</v>
      </c>
      <c r="X302" s="156">
        <f ca="1"/>
        <v>8.2983405341885419E-4</v>
      </c>
      <c r="Y302" s="156">
        <f ca="1"/>
        <v>1.421145689021297E-3</v>
      </c>
      <c r="Z302" s="156">
        <f ca="1"/>
        <v>4.8744082750875606E-3</v>
      </c>
      <c r="AA302" s="156">
        <f ca="1"/>
        <v>1.0421122701779972E-2</v>
      </c>
      <c r="AB302" s="156">
        <f ca="1"/>
        <v>0</v>
      </c>
      <c r="AC302" s="156">
        <f ca="1"/>
        <v>2.6930018754537266E-2</v>
      </c>
      <c r="AD302" s="156">
        <f ca="1"/>
        <v>4.4688576527667556E-2</v>
      </c>
      <c r="AE302" s="138">
        <f ca="1"/>
        <v>8.1462378040241257E-2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6">
        <f ca="1"/>
        <v>0</v>
      </c>
      <c r="P303" s="156">
        <f ca="1"/>
        <v>1.3237825047575091E-3</v>
      </c>
      <c r="Q303" s="156">
        <f ca="1"/>
        <v>0</v>
      </c>
      <c r="R303" s="156">
        <f ca="1"/>
        <v>1.0189251445500203E-2</v>
      </c>
      <c r="S303" s="156">
        <f ca="1"/>
        <v>0</v>
      </c>
      <c r="T303" s="156">
        <f ca="1"/>
        <v>2.4167728605434591E-2</v>
      </c>
      <c r="U303" s="156">
        <f ca="1"/>
        <v>4.2281726423016974E-2</v>
      </c>
      <c r="V303" s="138">
        <f ca="1"/>
        <v>7.1340288277268349E-2</v>
      </c>
      <c r="W303" s="137">
        <f ca="1"/>
        <v>0</v>
      </c>
      <c r="X303" s="156">
        <f ca="1"/>
        <v>0</v>
      </c>
      <c r="Y303" s="156">
        <f ca="1"/>
        <v>1.5266528692908787E-3</v>
      </c>
      <c r="Z303" s="156">
        <f ca="1"/>
        <v>0</v>
      </c>
      <c r="AA303" s="156">
        <f ca="1"/>
        <v>1.0722427003253765E-2</v>
      </c>
      <c r="AB303" s="156">
        <f ca="1"/>
        <v>0</v>
      </c>
      <c r="AC303" s="156">
        <f ca="1"/>
        <v>2.5022070061557211E-2</v>
      </c>
      <c r="AD303" s="156">
        <f ca="1"/>
        <v>4.3444343464087209E-2</v>
      </c>
      <c r="AE303" s="138">
        <f ca="1"/>
        <v>7.2933999656345061E-2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6">
        <f ca="1"/>
        <v>5.92809788134252E-4</v>
      </c>
      <c r="P304" s="156">
        <f ca="1"/>
        <v>1.0153107015465901E-3</v>
      </c>
      <c r="Q304" s="156">
        <f ca="1"/>
        <v>3.7551447461027232E-3</v>
      </c>
      <c r="R304" s="156">
        <f ca="1"/>
        <v>8.2437028239036314E-3</v>
      </c>
      <c r="S304" s="156">
        <f ca="1"/>
        <v>0</v>
      </c>
      <c r="T304" s="156">
        <f ca="1"/>
        <v>2.3464812619025444E-2</v>
      </c>
      <c r="U304" s="156">
        <f ca="1"/>
        <v>4.1318839883262126E-2</v>
      </c>
      <c r="V304" s="138">
        <f ca="1"/>
        <v>7.0918225231064502E-2</v>
      </c>
      <c r="W304" s="137">
        <f ca="1"/>
        <v>0</v>
      </c>
      <c r="X304" s="156">
        <f ca="1"/>
        <v>7.1132857205080668E-4</v>
      </c>
      <c r="Y304" s="156">
        <f ca="1"/>
        <v>1.218248712366865E-3</v>
      </c>
      <c r="Z304" s="156">
        <f ca="1"/>
        <v>4.1248388616055287E-3</v>
      </c>
      <c r="AA304" s="156">
        <f ca="1"/>
        <v>8.7786096641413458E-3</v>
      </c>
      <c r="AB304" s="156">
        <f ca="1"/>
        <v>0</v>
      </c>
      <c r="AC304" s="156">
        <f ca="1"/>
        <v>2.4320722561518293E-2</v>
      </c>
      <c r="AD304" s="156">
        <f ca="1"/>
        <v>4.2484364087254978E-2</v>
      </c>
      <c r="AE304" s="138">
        <f ca="1"/>
        <v>7.2515645095470482E-2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6">
        <f ca="1"/>
        <v>4.7427584534542877E-4</v>
      </c>
      <c r="P305" s="156">
        <f ca="1"/>
        <v>1.2249230507697106E-3</v>
      </c>
      <c r="Q305" s="156">
        <f ca="1"/>
        <v>4.1316556763268952E-3</v>
      </c>
      <c r="R305" s="156">
        <f ca="1"/>
        <v>7.6590768215092364E-3</v>
      </c>
      <c r="S305" s="156">
        <f ca="1"/>
        <v>0</v>
      </c>
      <c r="T305" s="156">
        <f ca="1"/>
        <v>2.1626165709569878E-2</v>
      </c>
      <c r="U305" s="156">
        <f ca="1"/>
        <v>4.019368627930664E-2</v>
      </c>
      <c r="V305" s="138">
        <f ca="1"/>
        <v>7.3282216881875639E-2</v>
      </c>
      <c r="W305" s="137">
        <f ca="1"/>
        <v>0</v>
      </c>
      <c r="X305" s="156">
        <f ca="1"/>
        <v>5.9280901297664723E-4</v>
      </c>
      <c r="Y305" s="156">
        <f ca="1"/>
        <v>1.4278425560112495E-3</v>
      </c>
      <c r="Z305" s="156">
        <f ca="1"/>
        <v>4.5012312816126165E-3</v>
      </c>
      <c r="AA305" s="156">
        <f ca="1"/>
        <v>8.1941367183677727E-3</v>
      </c>
      <c r="AB305" s="156">
        <f ca="1"/>
        <v>0</v>
      </c>
      <c r="AC305" s="156">
        <f ca="1"/>
        <v>2.2483535623289974E-2</v>
      </c>
      <c r="AD305" s="156">
        <f ca="1"/>
        <v>4.1360511138388567E-2</v>
      </c>
      <c r="AE305" s="138">
        <f ca="1"/>
        <v>7.487526347594553E-2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6">
        <f ca="1"/>
        <v>0</v>
      </c>
      <c r="P306" s="156">
        <f ca="1"/>
        <v>7.8595180432661227E-4</v>
      </c>
      <c r="Q306" s="156">
        <f ca="1"/>
        <v>0</v>
      </c>
      <c r="R306" s="156">
        <f ca="1"/>
        <v>7.1209774340232901E-3</v>
      </c>
      <c r="S306" s="156">
        <f ca="1"/>
        <v>0</v>
      </c>
      <c r="T306" s="156">
        <f ca="1"/>
        <v>1.8005642636324315E-2</v>
      </c>
      <c r="U306" s="156">
        <f ca="1"/>
        <v>3.9548478145092769E-2</v>
      </c>
      <c r="V306" s="138">
        <f ca="1"/>
        <v>6.4547268553195702E-2</v>
      </c>
      <c r="W306" s="137">
        <f ca="1"/>
        <v>0</v>
      </c>
      <c r="X306" s="156">
        <f ca="1"/>
        <v>0</v>
      </c>
      <c r="Y306" s="156">
        <f ca="1"/>
        <v>9.8893650767106767E-4</v>
      </c>
      <c r="Z306" s="156">
        <f ca="1"/>
        <v>0</v>
      </c>
      <c r="AA306" s="156">
        <f ca="1"/>
        <v>7.6559432266545269E-3</v>
      </c>
      <c r="AB306" s="156">
        <f ca="1"/>
        <v>0</v>
      </c>
      <c r="AC306" s="156">
        <f ca="1"/>
        <v>1.8865536675840122E-2</v>
      </c>
      <c r="AD306" s="156">
        <f ca="1"/>
        <v>4.0715131099638646E-2</v>
      </c>
      <c r="AE306" s="138">
        <f ca="1"/>
        <v>6.6156576176144233E-2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6">
        <f ca="1"/>
        <v>4.7427584534542877E-4</v>
      </c>
      <c r="P307" s="156">
        <f ca="1"/>
        <v>1.843680337743514E-3</v>
      </c>
      <c r="Q307" s="156">
        <f ca="1"/>
        <v>5.2503551541845939E-3</v>
      </c>
      <c r="R307" s="156">
        <f ca="1"/>
        <v>9.2739025279040543E-3</v>
      </c>
      <c r="S307" s="156">
        <f ca="1"/>
        <v>0</v>
      </c>
      <c r="T307" s="156">
        <f ca="1"/>
        <v>2.2355737914402707E-2</v>
      </c>
      <c r="U307" s="156">
        <f ca="1"/>
        <v>3.5883190342468674E-2</v>
      </c>
      <c r="V307" s="138">
        <f ca="1"/>
        <v>5.97549953393266E-2</v>
      </c>
      <c r="W307" s="137">
        <f ca="1"/>
        <v>0</v>
      </c>
      <c r="X307" s="156">
        <f ca="1"/>
        <v>5.9280901297664723E-4</v>
      </c>
      <c r="Y307" s="156">
        <f ca="1"/>
        <v>2.0465088302080714E-3</v>
      </c>
      <c r="Z307" s="156">
        <f ca="1"/>
        <v>5.6195407345783766E-3</v>
      </c>
      <c r="AA307" s="156">
        <f ca="1"/>
        <v>9.8081150182210974E-3</v>
      </c>
      <c r="AB307" s="156">
        <f ca="1"/>
        <v>0</v>
      </c>
      <c r="AC307" s="156">
        <f ca="1"/>
        <v>2.3212162033931061E-2</v>
      </c>
      <c r="AD307" s="156">
        <f ca="1"/>
        <v>3.7053621362015621E-2</v>
      </c>
      <c r="AE307" s="138">
        <f ca="1"/>
        <v>6.1370469252284954E-2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6">
        <f ca="1"/>
        <v>5.92809788134252E-4</v>
      </c>
      <c r="P308" s="156">
        <f ca="1"/>
        <v>1.4278436744080691E-3</v>
      </c>
      <c r="Q308" s="156">
        <f ca="1"/>
        <v>4.1211827516709487E-3</v>
      </c>
      <c r="R308" s="156">
        <f ca="1"/>
        <v>8.7749433701209689E-3</v>
      </c>
      <c r="S308" s="156">
        <f ca="1"/>
        <v>0</v>
      </c>
      <c r="T308" s="156">
        <f ca="1"/>
        <v>2.0604511855394581E-2</v>
      </c>
      <c r="U308" s="156">
        <f ca="1"/>
        <v>3.6180700387551279E-2</v>
      </c>
      <c r="V308" s="138">
        <f ca="1"/>
        <v>6.5968390801418808E-2</v>
      </c>
      <c r="W308" s="137">
        <f ca="1"/>
        <v>0</v>
      </c>
      <c r="X308" s="156">
        <f ca="1"/>
        <v>7.1132857205080668E-4</v>
      </c>
      <c r="Y308" s="156">
        <f ca="1"/>
        <v>1.6307216884168252E-3</v>
      </c>
      <c r="Z308" s="156">
        <f ca="1"/>
        <v>4.4907270290319712E-3</v>
      </c>
      <c r="AA308" s="156">
        <f ca="1"/>
        <v>9.3095430577327942E-3</v>
      </c>
      <c r="AB308" s="156">
        <f ca="1"/>
        <v>0</v>
      </c>
      <c r="AC308" s="156">
        <f ca="1"/>
        <v>2.14626020978812E-2</v>
      </c>
      <c r="AD308" s="156">
        <f ca="1"/>
        <v>3.7351375962172306E-2</v>
      </c>
      <c r="AE308" s="138">
        <f ca="1"/>
        <v>6.7573829489665282E-2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6">
        <f ca="1"/>
        <v>4.7427584534542877E-4</v>
      </c>
      <c r="P309" s="156">
        <f ca="1"/>
        <v>1.0186357831003523E-3</v>
      </c>
      <c r="Q309" s="156">
        <f ca="1"/>
        <v>3.3782543653901875E-3</v>
      </c>
      <c r="R309" s="156">
        <f ca="1"/>
        <v>7.7012847647218718E-3</v>
      </c>
      <c r="S309" s="156">
        <f ca="1"/>
        <v>0</v>
      </c>
      <c r="T309" s="156">
        <f ca="1"/>
        <v>1.8880263545405285E-2</v>
      </c>
      <c r="U309" s="156">
        <f ca="1"/>
        <v>3.5168276476748805E-2</v>
      </c>
      <c r="V309" s="138">
        <f ca="1"/>
        <v>6.0563150979091707E-2</v>
      </c>
      <c r="W309" s="137">
        <f ca="1"/>
        <v>0</v>
      </c>
      <c r="X309" s="156">
        <f ca="1"/>
        <v>5.9280901297664723E-4</v>
      </c>
      <c r="Y309" s="156">
        <f ca="1"/>
        <v>1.2215853039712066E-3</v>
      </c>
      <c r="Z309" s="156">
        <f ca="1"/>
        <v>3.7480682373655094E-3</v>
      </c>
      <c r="AA309" s="156">
        <f ca="1"/>
        <v>8.236462255734267E-3</v>
      </c>
      <c r="AB309" s="156">
        <f ca="1"/>
        <v>0</v>
      </c>
      <c r="AC309" s="156">
        <f ca="1"/>
        <v>1.9739977150469379E-2</v>
      </c>
      <c r="AD309" s="156">
        <f ca="1"/>
        <v>3.6340602551200085E-2</v>
      </c>
      <c r="AE309" s="138">
        <f ca="1"/>
        <v>6.2179320773017577E-2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6">
        <f ca="1"/>
        <v>5.92809788134252E-4</v>
      </c>
      <c r="P310" s="156">
        <f ca="1"/>
        <v>1.2215858978688043E-3</v>
      </c>
      <c r="Q310" s="156">
        <f ca="1"/>
        <v>4.5083702662991332E-3</v>
      </c>
      <c r="R310" s="156">
        <f ca="1"/>
        <v>8.7644789715565219E-3</v>
      </c>
      <c r="S310" s="156">
        <f ca="1"/>
        <v>0</v>
      </c>
      <c r="T310" s="156">
        <f ca="1"/>
        <v>2.0593856483350215E-2</v>
      </c>
      <c r="U310" s="156">
        <f ca="1"/>
        <v>3.3491059664730538E-2</v>
      </c>
      <c r="V310" s="138">
        <f ca="1"/>
        <v>5.8431859839286782E-2</v>
      </c>
      <c r="W310" s="137">
        <f ca="1"/>
        <v>0</v>
      </c>
      <c r="X310" s="156">
        <f ca="1"/>
        <v>7.1132857205080668E-4</v>
      </c>
      <c r="Y310" s="156">
        <f ca="1"/>
        <v>1.4244939898572229E-3</v>
      </c>
      <c r="Z310" s="156">
        <f ca="1"/>
        <v>4.8778245277686372E-3</v>
      </c>
      <c r="AA310" s="156">
        <f ca="1"/>
        <v>9.2990568694159004E-3</v>
      </c>
      <c r="AB310" s="156">
        <f ca="1"/>
        <v>0</v>
      </c>
      <c r="AC310" s="156">
        <f ca="1"/>
        <v>2.1451914720507004E-2</v>
      </c>
      <c r="AD310" s="156">
        <f ca="1"/>
        <v>3.4664351501637158E-2</v>
      </c>
      <c r="AE310" s="138">
        <f ca="1"/>
        <v>6.0050052604858406E-2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6">
        <f ca="1"/>
        <v>3.5572789762250423E-4</v>
      </c>
      <c r="P311" s="156">
        <f ca="1"/>
        <v>1.0219611809689777E-3</v>
      </c>
      <c r="Q311" s="156">
        <f ca="1"/>
        <v>3.3816248583075081E-3</v>
      </c>
      <c r="R311" s="156">
        <f ca="1"/>
        <v>7.1411517392131474E-3</v>
      </c>
      <c r="S311" s="156">
        <f ca="1"/>
        <v>0</v>
      </c>
      <c r="T311" s="156">
        <f ca="1"/>
        <v>1.89242348014248E-2</v>
      </c>
      <c r="U311" s="156">
        <f ca="1"/>
        <v>3.3871972473283773E-2</v>
      </c>
      <c r="V311" s="138">
        <f ca="1"/>
        <v>6.0790809747725549E-2</v>
      </c>
      <c r="W311" s="137">
        <f ca="1"/>
        <v>0</v>
      </c>
      <c r="X311" s="156">
        <f ca="1"/>
        <v>4.7427537457878088E-4</v>
      </c>
      <c r="Y311" s="156">
        <f ca="1"/>
        <v>1.2249221600106885E-3</v>
      </c>
      <c r="Z311" s="156">
        <f ca="1"/>
        <v>3.7514498578111732E-3</v>
      </c>
      <c r="AA311" s="156">
        <f ca="1"/>
        <v>7.6765526935037576E-3</v>
      </c>
      <c r="AB311" s="156">
        <f ca="1"/>
        <v>0</v>
      </c>
      <c r="AC311" s="156">
        <f ca="1"/>
        <v>1.978396984629649E-2</v>
      </c>
      <c r="AD311" s="156">
        <f ca="1"/>
        <v>3.5045778666520033E-2</v>
      </c>
      <c r="AE311" s="138">
        <f ca="1"/>
        <v>6.2406336420824049E-2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6">
        <f ca="1"/>
        <v>1.1274358832003673E-2</v>
      </c>
      <c r="P312" s="156">
        <f ca="1"/>
        <v>1.9235362641972342E-2</v>
      </c>
      <c r="Q312" s="156">
        <f ca="1"/>
        <v>3.3766290679749678E-2</v>
      </c>
      <c r="R312" s="156">
        <f ca="1"/>
        <v>4.7633889884795E-2</v>
      </c>
      <c r="S312" s="156">
        <f ca="1"/>
        <v>0</v>
      </c>
      <c r="T312" s="156">
        <f ca="1"/>
        <v>7.1948169220859781E-2</v>
      </c>
      <c r="U312" s="156">
        <f ca="1"/>
        <v>9.8344652098259044E-2</v>
      </c>
      <c r="V312" s="138">
        <f ca="1"/>
        <v>0.13657921153319497</v>
      </c>
      <c r="W312" s="137">
        <f ca="1"/>
        <v>0</v>
      </c>
      <c r="X312" s="156">
        <f ca="1"/>
        <v>1.1391167252355117E-2</v>
      </c>
      <c r="Y312" s="156">
        <f ca="1"/>
        <v>1.9434458708634694E-2</v>
      </c>
      <c r="Z312" s="156">
        <f ca="1"/>
        <v>3.4123534815100109E-2</v>
      </c>
      <c r="AA312" s="156">
        <f ca="1"/>
        <v>4.8145582728365999E-2</v>
      </c>
      <c r="AB312" s="156">
        <f ca="1"/>
        <v>0</v>
      </c>
      <c r="AC312" s="156">
        <f ca="1"/>
        <v>7.2751579901525698E-2</v>
      </c>
      <c r="AD312" s="156">
        <f ca="1"/>
        <v>9.942645681088913E-2</v>
      </c>
      <c r="AE312" s="138">
        <f ca="1"/>
        <v>0.13805906769779186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6">
        <f ca="1"/>
        <v>1.9993306234008523E-3</v>
      </c>
      <c r="P313" s="156">
        <f ca="1"/>
        <v>4.5806468219583563E-3</v>
      </c>
      <c r="Q313" s="156">
        <f ca="1"/>
        <v>1.2590290796251069E-2</v>
      </c>
      <c r="R313" s="156">
        <f ca="1"/>
        <v>2.2738480948629514E-2</v>
      </c>
      <c r="S313" s="156">
        <f ca="1"/>
        <v>0</v>
      </c>
      <c r="T313" s="156">
        <f ca="1"/>
        <v>4.9536160386337236E-2</v>
      </c>
      <c r="U313" s="156">
        <f ca="1"/>
        <v>7.4196281079661808E-2</v>
      </c>
      <c r="V313" s="138">
        <f ca="1"/>
        <v>0.11249254534037034</v>
      </c>
      <c r="W313" s="137">
        <f ca="1"/>
        <v>0</v>
      </c>
      <c r="X313" s="156">
        <f ca="1"/>
        <v>2.0880858263350177E-3</v>
      </c>
      <c r="Y313" s="156">
        <f ca="1"/>
        <v>4.7323505244049047E-3</v>
      </c>
      <c r="Z313" s="156">
        <f ca="1"/>
        <v>1.2865116996097492E-2</v>
      </c>
      <c r="AA313" s="156">
        <f ca="1"/>
        <v>2.3133960072593274E-2</v>
      </c>
      <c r="AB313" s="156">
        <f ca="1"/>
        <v>0</v>
      </c>
      <c r="AC313" s="156">
        <f ca="1"/>
        <v>5.0157125494669885E-2</v>
      </c>
      <c r="AD313" s="156">
        <f ca="1"/>
        <v>7.5037720473583813E-2</v>
      </c>
      <c r="AE313" s="138">
        <f ca="1"/>
        <v>0.11364616428916141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6">
        <f ca="1"/>
        <v>0</v>
      </c>
      <c r="P314" s="156">
        <f ca="1"/>
        <v>4.0551778959819762E-3</v>
      </c>
      <c r="Q314" s="156">
        <f ca="1"/>
        <v>0</v>
      </c>
      <c r="R314" s="156">
        <f ca="1"/>
        <v>1.8929746937384917E-2</v>
      </c>
      <c r="S314" s="156">
        <f ca="1"/>
        <v>0</v>
      </c>
      <c r="T314" s="156">
        <f ca="1"/>
        <v>3.964438762221445E-2</v>
      </c>
      <c r="U314" s="156">
        <f ca="1"/>
        <v>6.7413380186574501E-2</v>
      </c>
      <c r="V314" s="138">
        <f ca="1"/>
        <v>0.11259041475223053</v>
      </c>
      <c r="W314" s="137">
        <f ca="1"/>
        <v>0</v>
      </c>
      <c r="X314" s="156">
        <f ca="1"/>
        <v>0</v>
      </c>
      <c r="Y314" s="156">
        <f ca="1"/>
        <v>4.2574230082350617E-3</v>
      </c>
      <c r="Z314" s="156">
        <f ca="1"/>
        <v>0</v>
      </c>
      <c r="AA314" s="156">
        <f ca="1"/>
        <v>1.9457142976913588E-2</v>
      </c>
      <c r="AB314" s="156">
        <f ca="1"/>
        <v>0</v>
      </c>
      <c r="AC314" s="156">
        <f ca="1"/>
        <v>4.0483545346799765E-2</v>
      </c>
      <c r="AD314" s="156">
        <f ca="1"/>
        <v>6.8543591249264235E-2</v>
      </c>
      <c r="AE314" s="138">
        <f ca="1"/>
        <v>0.11413526027709997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6.9488270714945788E-4</v>
      </c>
      <c r="O315" s="156">
        <f ca="1"/>
        <v>1.0668178853665555E-3</v>
      </c>
      <c r="P315" s="156">
        <f ca="1"/>
        <v>2.4452400736947322E-3</v>
      </c>
      <c r="Q315" s="156">
        <f ca="1"/>
        <v>5.5912239803103114E-3</v>
      </c>
      <c r="R315" s="156">
        <f ca="1"/>
        <v>1.1469687513745663E-2</v>
      </c>
      <c r="S315" s="156">
        <f ca="1"/>
        <v>1.8356162045277014E-2</v>
      </c>
      <c r="T315" s="156">
        <f ca="1"/>
        <v>2.6855698607950118E-2</v>
      </c>
      <c r="U315" s="156">
        <f ca="1"/>
        <v>5.0803713660901861E-2</v>
      </c>
      <c r="V315" s="138">
        <f ca="1"/>
        <v>8.7970824478587173E-2</v>
      </c>
      <c r="W315" s="137">
        <f ca="1"/>
        <v>7.527669870300846E-4</v>
      </c>
      <c r="X315" s="156">
        <f ca="1"/>
        <v>1.1556678171285029E-3</v>
      </c>
      <c r="Y315" s="156">
        <f ca="1"/>
        <v>2.5972555107200979E-3</v>
      </c>
      <c r="Z315" s="156">
        <f ca="1"/>
        <v>5.8679354023307706E-3</v>
      </c>
      <c r="AA315" s="156">
        <f ca="1"/>
        <v>1.1869477107237181E-2</v>
      </c>
      <c r="AB315" s="156">
        <f ca="1"/>
        <v>1.8877588280939328E-2</v>
      </c>
      <c r="AC315" s="156">
        <f ca="1"/>
        <v>2.7496045269132185E-2</v>
      </c>
      <c r="AD315" s="156">
        <f ca="1"/>
        <v>5.1666601148153801E-2</v>
      </c>
      <c r="AE315" s="138">
        <f ca="1"/>
        <v>8.9160032162831304E-2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6">
        <f ca="1"/>
        <v>1.2267285938355466E-3</v>
      </c>
      <c r="P316" s="156">
        <f ca="1"/>
        <v>3.244283560399186E-3</v>
      </c>
      <c r="Q316" s="156">
        <f ca="1"/>
        <v>8.7449903580039123E-3</v>
      </c>
      <c r="R316" s="156">
        <f ca="1"/>
        <v>1.599694860094214E-2</v>
      </c>
      <c r="S316" s="156">
        <f ca="1"/>
        <v>0</v>
      </c>
      <c r="T316" s="156">
        <f ca="1"/>
        <v>3.3844044475762614E-2</v>
      </c>
      <c r="U316" s="156">
        <f ca="1"/>
        <v>5.333397804567408E-2</v>
      </c>
      <c r="V316" s="138">
        <f ca="1"/>
        <v>8.3873917874935477E-2</v>
      </c>
      <c r="W316" s="137">
        <f ca="1"/>
        <v>0</v>
      </c>
      <c r="X316" s="156">
        <f ca="1"/>
        <v>1.3155593819849098E-3</v>
      </c>
      <c r="Y316" s="156">
        <f ca="1"/>
        <v>3.3961953769704456E-3</v>
      </c>
      <c r="Z316" s="156">
        <f ca="1"/>
        <v>9.0209153112020823E-3</v>
      </c>
      <c r="AA316" s="156">
        <f ca="1"/>
        <v>1.6395080165918841E-2</v>
      </c>
      <c r="AB316" s="156">
        <f ca="1"/>
        <v>0</v>
      </c>
      <c r="AC316" s="156">
        <f ca="1"/>
        <v>3.4477731818473356E-2</v>
      </c>
      <c r="AD316" s="156">
        <f ca="1"/>
        <v>5.4195140315079215E-2</v>
      </c>
      <c r="AE316" s="138">
        <f ca="1"/>
        <v>8.5048643895749843E-2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6">
        <f ca="1"/>
        <v>1.3422127068437595E-3</v>
      </c>
      <c r="P317" s="156">
        <f ca="1"/>
        <v>3.2563666940148561E-3</v>
      </c>
      <c r="Q317" s="156">
        <f ca="1"/>
        <v>8.2576837590077057E-3</v>
      </c>
      <c r="R317" s="156">
        <f ca="1"/>
        <v>1.504880915541873E-2</v>
      </c>
      <c r="S317" s="156">
        <f ca="1"/>
        <v>0</v>
      </c>
      <c r="T317" s="156">
        <f ca="1"/>
        <v>3.3245980508930573E-2</v>
      </c>
      <c r="U317" s="156">
        <f ca="1"/>
        <v>5.2308733724457657E-2</v>
      </c>
      <c r="V317" s="138">
        <f ca="1"/>
        <v>8.1291706466054214E-2</v>
      </c>
      <c r="W317" s="137">
        <f ca="1"/>
        <v>0</v>
      </c>
      <c r="X317" s="156">
        <f ca="1"/>
        <v>1.4310324221570303E-3</v>
      </c>
      <c r="Y317" s="156">
        <f ca="1"/>
        <v>3.4082690934001958E-3</v>
      </c>
      <c r="Z317" s="156">
        <f ca="1"/>
        <v>8.5337166494316996E-3</v>
      </c>
      <c r="AA317" s="156">
        <f ca="1"/>
        <v>1.5447265505629804E-2</v>
      </c>
      <c r="AB317" s="156">
        <f ca="1"/>
        <v>0</v>
      </c>
      <c r="AC317" s="156">
        <f ca="1"/>
        <v>3.3880069506391552E-2</v>
      </c>
      <c r="AD317" s="156">
        <f ca="1"/>
        <v>5.3171033244283072E-2</v>
      </c>
      <c r="AE317" s="138">
        <f ca="1"/>
        <v>8.2470619945479773E-2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6">
        <f ca="1"/>
        <v>0</v>
      </c>
      <c r="P318" s="156">
        <f ca="1"/>
        <v>2.5019469759053337E-3</v>
      </c>
      <c r="Q318" s="156">
        <f ca="1"/>
        <v>0</v>
      </c>
      <c r="R318" s="156">
        <f ca="1"/>
        <v>1.3670789783008619E-2</v>
      </c>
      <c r="S318" s="156">
        <f ca="1"/>
        <v>0</v>
      </c>
      <c r="T318" s="156">
        <f ca="1"/>
        <v>3.2515681175660061E-2</v>
      </c>
      <c r="U318" s="156">
        <f ca="1"/>
        <v>4.6285089981403793E-2</v>
      </c>
      <c r="V318" s="138">
        <f ca="1"/>
        <v>6.831998059602562E-2</v>
      </c>
      <c r="W318" s="137">
        <f ca="1"/>
        <v>0</v>
      </c>
      <c r="X318" s="156">
        <f ca="1"/>
        <v>0</v>
      </c>
      <c r="Y318" s="156">
        <f ca="1"/>
        <v>2.7045570400513474E-3</v>
      </c>
      <c r="Z318" s="156">
        <f ca="1"/>
        <v>0</v>
      </c>
      <c r="AA318" s="156">
        <f ca="1"/>
        <v>1.4201740741919378E-2</v>
      </c>
      <c r="AB318" s="156">
        <f ca="1"/>
        <v>0</v>
      </c>
      <c r="AC318" s="156">
        <f ca="1"/>
        <v>3.336203075630817E-2</v>
      </c>
      <c r="AD318" s="156">
        <f ca="1"/>
        <v>4.7441795145315213E-2</v>
      </c>
      <c r="AE318" s="138">
        <f ca="1"/>
        <v>6.9915980508928999E-2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6">
        <f ca="1"/>
        <v>1.4221772130014187E-3</v>
      </c>
      <c r="P319" s="156">
        <f ca="1"/>
        <v>2.8986585177027679E-3</v>
      </c>
      <c r="Q319" s="156">
        <f ca="1"/>
        <v>6.9877466675097866E-3</v>
      </c>
      <c r="R319" s="156">
        <f ca="1"/>
        <v>1.2216184658570883E-2</v>
      </c>
      <c r="S319" s="156">
        <f ca="1"/>
        <v>0</v>
      </c>
      <c r="T319" s="156">
        <f ca="1"/>
        <v>2.4547634651118755E-2</v>
      </c>
      <c r="U319" s="156">
        <f ca="1"/>
        <v>3.5619975152813677E-2</v>
      </c>
      <c r="V319" s="138">
        <f ca="1"/>
        <v>5.1249760843725456E-2</v>
      </c>
      <c r="W319" s="137">
        <f ca="1"/>
        <v>0</v>
      </c>
      <c r="X319" s="156">
        <f ca="1"/>
        <v>1.510990586437555E-3</v>
      </c>
      <c r="Y319" s="156">
        <f ca="1"/>
        <v>3.050597540269373E-3</v>
      </c>
      <c r="Z319" s="156">
        <f ca="1"/>
        <v>7.2640808208107588E-3</v>
      </c>
      <c r="AA319" s="156">
        <f ca="1"/>
        <v>1.261555820042437E-2</v>
      </c>
      <c r="AB319" s="156">
        <f ca="1"/>
        <v>0</v>
      </c>
      <c r="AC319" s="156">
        <f ca="1"/>
        <v>2.5187428620434327E-2</v>
      </c>
      <c r="AD319" s="156">
        <f ca="1"/>
        <v>3.6496057770131984E-2</v>
      </c>
      <c r="AE319" s="138">
        <f ca="1"/>
        <v>5.2468259378926518E-2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6">
        <f ca="1"/>
        <v>0</v>
      </c>
      <c r="P320" s="156">
        <f ca="1"/>
        <v>0</v>
      </c>
      <c r="Q320" s="156">
        <f ca="1"/>
        <v>0</v>
      </c>
      <c r="R320" s="156">
        <f ca="1"/>
        <v>0</v>
      </c>
      <c r="S320" s="156">
        <f ca="1"/>
        <v>0</v>
      </c>
      <c r="T320" s="156">
        <f ca="1"/>
        <v>1.7347149338240775E-2</v>
      </c>
      <c r="U320" s="156">
        <f ca="1"/>
        <v>4.5818565416397949E-2</v>
      </c>
      <c r="V320" s="138">
        <f ca="1"/>
        <v>8.8910088877902305E-2</v>
      </c>
      <c r="W320" s="137">
        <f ca="1"/>
        <v>0</v>
      </c>
      <c r="X320" s="156">
        <f ca="1"/>
        <v>0</v>
      </c>
      <c r="Y320" s="156">
        <f ca="1"/>
        <v>0</v>
      </c>
      <c r="Z320" s="156">
        <f ca="1"/>
        <v>0</v>
      </c>
      <c r="AA320" s="156">
        <f ca="1"/>
        <v>0</v>
      </c>
      <c r="AB320" s="156">
        <f ca="1"/>
        <v>0</v>
      </c>
      <c r="AC320" s="156">
        <f ca="1"/>
        <v>1.8199821487533963E-2</v>
      </c>
      <c r="AD320" s="156">
        <f ca="1"/>
        <v>4.6976279590975722E-2</v>
      </c>
      <c r="AE320" s="138">
        <f ca="1"/>
        <v>9.050079337250394E-2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6">
        <f ca="1"/>
        <v>1.4103124892311802E-3</v>
      </c>
      <c r="P321" s="156">
        <f ca="1"/>
        <v>2.9092894158903038E-3</v>
      </c>
      <c r="Q321" s="156">
        <f ca="1"/>
        <v>7.12079701124535E-3</v>
      </c>
      <c r="R321" s="156">
        <f ca="1"/>
        <v>1.2602295388482232E-2</v>
      </c>
      <c r="S321" s="156">
        <f ca="1"/>
        <v>0</v>
      </c>
      <c r="T321" s="156">
        <f ca="1"/>
        <v>2.74982812473058E-2</v>
      </c>
      <c r="U321" s="156">
        <f ca="1"/>
        <v>4.3033273381142045E-2</v>
      </c>
      <c r="V321" s="138">
        <f ca="1"/>
        <v>6.7480194831133544E-2</v>
      </c>
      <c r="W321" s="137">
        <f ca="1"/>
        <v>0</v>
      </c>
      <c r="X321" s="156">
        <f ca="1"/>
        <v>1.528729933109263E-3</v>
      </c>
      <c r="Y321" s="156">
        <f ca="1"/>
        <v>3.1118683905739797E-3</v>
      </c>
      <c r="Z321" s="156">
        <f ca="1"/>
        <v>7.4892245062432306E-3</v>
      </c>
      <c r="AA321" s="156">
        <f ca="1"/>
        <v>1.3134738663732382E-2</v>
      </c>
      <c r="AB321" s="156">
        <f ca="1"/>
        <v>0</v>
      </c>
      <c r="AC321" s="156">
        <f ca="1"/>
        <v>2.8349782689956138E-2</v>
      </c>
      <c r="AD321" s="156">
        <f ca="1"/>
        <v>4.4194629527009588E-2</v>
      </c>
      <c r="AE321" s="138">
        <f ca="1"/>
        <v>6.9080585389218241E-2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6">
        <f ca="1"/>
        <v>5.92809788134252E-4</v>
      </c>
      <c r="P322" s="156">
        <f ca="1"/>
        <v>1.6340840333609608E-3</v>
      </c>
      <c r="Q322" s="156">
        <f ca="1"/>
        <v>4.4941602991660501E-3</v>
      </c>
      <c r="R322" s="156">
        <f ca="1"/>
        <v>8.7500997392806479E-3</v>
      </c>
      <c r="S322" s="156">
        <f ca="1"/>
        <v>0</v>
      </c>
      <c r="T322" s="156">
        <f ca="1"/>
        <v>2.3365100753740542E-2</v>
      </c>
      <c r="U322" s="156">
        <f ca="1"/>
        <v>3.9881317159762841E-2</v>
      </c>
      <c r="V322" s="138">
        <f ca="1"/>
        <v>6.3134206072532284E-2</v>
      </c>
      <c r="W322" s="137">
        <f ca="1"/>
        <v>0</v>
      </c>
      <c r="X322" s="156">
        <f ca="1"/>
        <v>7.1132857205080668E-4</v>
      </c>
      <c r="Y322" s="156">
        <f ca="1"/>
        <v>1.8369318085654784E-3</v>
      </c>
      <c r="Z322" s="156">
        <f ca="1"/>
        <v>4.8635750615072526E-3</v>
      </c>
      <c r="AA322" s="156">
        <f ca="1"/>
        <v>9.2846307174944132E-3</v>
      </c>
      <c r="AB322" s="156">
        <f ca="1"/>
        <v>0</v>
      </c>
      <c r="AC322" s="156">
        <f ca="1"/>
        <v>2.4220867839421678E-2</v>
      </c>
      <c r="AD322" s="156">
        <f ca="1"/>
        <v>4.1047973943989735E-2</v>
      </c>
      <c r="AE322" s="138">
        <f ca="1"/>
        <v>6.4744816599963895E-2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6">
        <f ca="1"/>
        <v>0</v>
      </c>
      <c r="P323" s="156">
        <f ca="1"/>
        <v>1.2182685522738046E-3</v>
      </c>
      <c r="Q323" s="156">
        <f ca="1"/>
        <v>0</v>
      </c>
      <c r="R323" s="156">
        <f ca="1"/>
        <v>6.5368694224100521E-3</v>
      </c>
      <c r="S323" s="156">
        <f ca="1"/>
        <v>0</v>
      </c>
      <c r="T323" s="156">
        <f ca="1"/>
        <v>1.896630638820096E-2</v>
      </c>
      <c r="U323" s="156">
        <f ca="1"/>
        <v>3.8104201379315028E-2</v>
      </c>
      <c r="V323" s="138">
        <f ca="1"/>
        <v>7.4763972849097082E-2</v>
      </c>
      <c r="W323" s="137">
        <f ca="1"/>
        <v>0</v>
      </c>
      <c r="X323" s="156">
        <f ca="1"/>
        <v>0</v>
      </c>
      <c r="Y323" s="156">
        <f ca="1"/>
        <v>1.4211615652799381E-3</v>
      </c>
      <c r="Z323" s="156">
        <f ca="1"/>
        <v>0</v>
      </c>
      <c r="AA323" s="156">
        <f ca="1"/>
        <v>7.0720605767453648E-3</v>
      </c>
      <c r="AB323" s="156">
        <f ca="1"/>
        <v>0</v>
      </c>
      <c r="AC323" s="156">
        <f ca="1"/>
        <v>1.9825379109620123E-2</v>
      </c>
      <c r="AD323" s="156">
        <f ca="1"/>
        <v>3.9272660447894014E-2</v>
      </c>
      <c r="AE323" s="138">
        <f ca="1"/>
        <v>7.6351312239965718E-2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6">
        <f ca="1"/>
        <v>3.5572789762250423E-4</v>
      </c>
      <c r="P324" s="156">
        <f ca="1"/>
        <v>1.0219611809689777E-3</v>
      </c>
      <c r="Q324" s="156">
        <f ca="1"/>
        <v>3.7619092724474612E-3</v>
      </c>
      <c r="R324" s="156">
        <f ca="1"/>
        <v>8.2505755641008038E-3</v>
      </c>
      <c r="S324" s="156">
        <f ca="1"/>
        <v>0</v>
      </c>
      <c r="T324" s="156">
        <f ca="1"/>
        <v>2.0684925326025505E-2</v>
      </c>
      <c r="U324" s="156">
        <f ca="1"/>
        <v>3.6262024045093488E-2</v>
      </c>
      <c r="V324" s="138">
        <f ca="1"/>
        <v>6.0134024671485098E-2</v>
      </c>
      <c r="W324" s="137">
        <f ca="1"/>
        <v>0</v>
      </c>
      <c r="X324" s="156">
        <f ca="1"/>
        <v>4.7427537457878088E-4</v>
      </c>
      <c r="Y324" s="156">
        <f ca="1"/>
        <v>1.2249221600106885E-3</v>
      </c>
      <c r="Z324" s="156">
        <f ca="1"/>
        <v>4.1316256285031105E-3</v>
      </c>
      <c r="AA324" s="156">
        <f ca="1"/>
        <v>8.7855034063959447E-3</v>
      </c>
      <c r="AB324" s="156">
        <f ca="1"/>
        <v>0</v>
      </c>
      <c r="AC324" s="156">
        <f ca="1"/>
        <v>2.1543132853244051E-2</v>
      </c>
      <c r="AD324" s="156">
        <f ca="1"/>
        <v>3.7432913937551215E-2</v>
      </c>
      <c r="AE324" s="138">
        <f ca="1"/>
        <v>6.1750315745877415E-2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6">
        <f ca="1"/>
        <v>0</v>
      </c>
      <c r="P325" s="156">
        <f ca="1"/>
        <v>1.0072074913496376E-3</v>
      </c>
      <c r="Q325" s="156">
        <f ca="1"/>
        <v>0</v>
      </c>
      <c r="R325" s="156">
        <f ca="1"/>
        <v>7.0489288444023357E-3</v>
      </c>
      <c r="S325" s="156">
        <f ca="1"/>
        <v>0</v>
      </c>
      <c r="T325" s="156">
        <f ca="1"/>
        <v>1.9397603648567352E-2</v>
      </c>
      <c r="U325" s="156">
        <f ca="1"/>
        <v>3.3579482534716543E-2</v>
      </c>
      <c r="V325" s="138">
        <f ca="1"/>
        <v>5.7164049399899164E-2</v>
      </c>
      <c r="W325" s="137">
        <f ca="1"/>
        <v>0</v>
      </c>
      <c r="X325" s="156">
        <f ca="1"/>
        <v>0</v>
      </c>
      <c r="Y325" s="156">
        <f ca="1"/>
        <v>1.2101454892916585E-3</v>
      </c>
      <c r="Z325" s="156">
        <f ca="1"/>
        <v>0</v>
      </c>
      <c r="AA325" s="156">
        <f ca="1"/>
        <v>7.5838925372135879E-3</v>
      </c>
      <c r="AB325" s="156">
        <f ca="1"/>
        <v>0</v>
      </c>
      <c r="AC325" s="156">
        <f ca="1"/>
        <v>2.0256326292841798E-2</v>
      </c>
      <c r="AD325" s="156">
        <f ca="1"/>
        <v>3.4752639631425719E-2</v>
      </c>
      <c r="AE325" s="138">
        <f ca="1"/>
        <v>5.8783933446531655E-2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6">
        <f ca="1"/>
        <v>6.0303664733204476E-3</v>
      </c>
      <c r="P326" s="156">
        <f ca="1"/>
        <v>1.0308026793227176E-2</v>
      </c>
      <c r="Q326" s="156">
        <f ca="1"/>
        <v>1.8741721288047741E-2</v>
      </c>
      <c r="R326" s="156">
        <f ca="1"/>
        <v>2.971514500592265E-2</v>
      </c>
      <c r="S326" s="156">
        <f ca="1"/>
        <v>0</v>
      </c>
      <c r="T326" s="156">
        <f ca="1"/>
        <v>5.1635101517365056E-2</v>
      </c>
      <c r="U326" s="156">
        <f ca="1"/>
        <v>7.3313678288012829E-2</v>
      </c>
      <c r="V326" s="138">
        <f ca="1"/>
        <v>0.10363511350881216</v>
      </c>
      <c r="W326" s="137">
        <f ca="1"/>
        <v>0</v>
      </c>
      <c r="X326" s="156">
        <f ca="1"/>
        <v>6.1481314623175187E-3</v>
      </c>
      <c r="Y326" s="156">
        <f ca="1"/>
        <v>1.0509042338397667E-2</v>
      </c>
      <c r="Z326" s="156">
        <f ca="1"/>
        <v>1.9105368029357028E-2</v>
      </c>
      <c r="AA326" s="156">
        <f ca="1"/>
        <v>3.0237683666401449E-2</v>
      </c>
      <c r="AB326" s="156">
        <f ca="1"/>
        <v>0</v>
      </c>
      <c r="AC326" s="156">
        <f ca="1"/>
        <v>5.2461004276067258E-2</v>
      </c>
      <c r="AD326" s="156">
        <f ca="1"/>
        <v>7.4432922772694643E-2</v>
      </c>
      <c r="AE326" s="138">
        <f ca="1"/>
        <v>0.10515995113883536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6">
        <f ca="1"/>
        <v>0</v>
      </c>
      <c r="P327" s="156">
        <f ca="1"/>
        <v>2.4857337565813431E-3</v>
      </c>
      <c r="Q327" s="156">
        <f ca="1"/>
        <v>0</v>
      </c>
      <c r="R327" s="156">
        <f ca="1"/>
        <v>1.3310131509530199E-2</v>
      </c>
      <c r="S327" s="156">
        <f ca="1"/>
        <v>0</v>
      </c>
      <c r="T327" s="156">
        <f ca="1"/>
        <v>4.4136791701462008E-2</v>
      </c>
      <c r="U327" s="156">
        <f ca="1"/>
        <v>6.9549816297618028E-2</v>
      </c>
      <c r="V327" s="138">
        <f ca="1"/>
        <v>0.11007127347130574</v>
      </c>
      <c r="W327" s="137">
        <f ca="1"/>
        <v>0</v>
      </c>
      <c r="X327" s="156">
        <f ca="1"/>
        <v>0</v>
      </c>
      <c r="Y327" s="156">
        <f ca="1"/>
        <v>2.6883474971681753E-3</v>
      </c>
      <c r="Z327" s="156">
        <f ca="1"/>
        <v>0</v>
      </c>
      <c r="AA327" s="156">
        <f ca="1"/>
        <v>1.3841307044265339E-2</v>
      </c>
      <c r="AB327" s="156">
        <f ca="1"/>
        <v>0</v>
      </c>
      <c r="AC327" s="156">
        <f ca="1"/>
        <v>4.4970433208460059E-2</v>
      </c>
      <c r="AD327" s="156">
        <f ca="1"/>
        <v>7.0681210573913411E-2</v>
      </c>
      <c r="AE327" s="138">
        <f ca="1"/>
        <v>0.11161908289660716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6">
        <f ca="1"/>
        <v>8.3576059836709682E-4</v>
      </c>
      <c r="P328" s="156">
        <f ca="1"/>
        <v>1.5395548721748309E-3</v>
      </c>
      <c r="Q328" s="156">
        <f ca="1"/>
        <v>5.6584371039899439E-3</v>
      </c>
      <c r="R328" s="156">
        <f ca="1"/>
        <v>1.2390359607298951E-2</v>
      </c>
      <c r="S328" s="156">
        <f ca="1"/>
        <v>0</v>
      </c>
      <c r="T328" s="156">
        <f ca="1"/>
        <v>3.2290212912128857E-2</v>
      </c>
      <c r="U328" s="156">
        <f ca="1"/>
        <v>5.0895982239534843E-2</v>
      </c>
      <c r="V328" s="138">
        <f ca="1"/>
        <v>8.0686775877188199E-2</v>
      </c>
      <c r="W328" s="137">
        <f ca="1"/>
        <v>0</v>
      </c>
      <c r="X328" s="156">
        <f ca="1"/>
        <v>9.2462830474548952E-4</v>
      </c>
      <c r="Y328" s="156">
        <f ca="1"/>
        <v>1.6916866044287548E-3</v>
      </c>
      <c r="Z328" s="156">
        <f ca="1"/>
        <v>5.9352276207617072E-3</v>
      </c>
      <c r="AA328" s="156">
        <f ca="1"/>
        <v>1.2790055421115332E-2</v>
      </c>
      <c r="AB328" s="156">
        <f ca="1"/>
        <v>0</v>
      </c>
      <c r="AC328" s="156">
        <f ca="1"/>
        <v>3.2925275690992462E-2</v>
      </c>
      <c r="AD328" s="156">
        <f ca="1"/>
        <v>5.1760653335330309E-2</v>
      </c>
      <c r="AE328" s="138">
        <f ca="1"/>
        <v>8.1867434285107121E-2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6">
        <f ca="1"/>
        <v>1.1290008805268092E-3</v>
      </c>
      <c r="P329" s="156">
        <f ca="1"/>
        <v>2.7371325518932288E-3</v>
      </c>
      <c r="Q329" s="156">
        <f ca="1"/>
        <v>7.2587390751942538E-3</v>
      </c>
      <c r="R329" s="156">
        <f ca="1"/>
        <v>1.339749925222955E-2</v>
      </c>
      <c r="S329" s="156">
        <f ca="1"/>
        <v>0</v>
      </c>
      <c r="T329" s="156">
        <f ca="1"/>
        <v>3.0683923567875304E-2</v>
      </c>
      <c r="U329" s="156">
        <f ca="1"/>
        <v>4.9028653805899824E-2</v>
      </c>
      <c r="V329" s="138">
        <f ca="1"/>
        <v>7.6475633187695347E-2</v>
      </c>
      <c r="W329" s="137">
        <f ca="1"/>
        <v>0</v>
      </c>
      <c r="X329" s="156">
        <f ca="1"/>
        <v>1.2178409786779421E-3</v>
      </c>
      <c r="Y329" s="156">
        <f ca="1"/>
        <v>2.8891091996758878E-3</v>
      </c>
      <c r="Z329" s="156">
        <f ca="1"/>
        <v>7.5350568222453118E-3</v>
      </c>
      <c r="AA329" s="156">
        <f ca="1"/>
        <v>1.3796615665525591E-2</v>
      </c>
      <c r="AB329" s="156">
        <f ca="1"/>
        <v>0</v>
      </c>
      <c r="AC329" s="156">
        <f ca="1"/>
        <v>3.1319967432982154E-2</v>
      </c>
      <c r="AD329" s="156">
        <f ca="1"/>
        <v>4.989422178286429E-2</v>
      </c>
      <c r="AE329" s="138">
        <f ca="1"/>
        <v>7.7661973967843911E-2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6">
        <f ca="1"/>
        <v>8.3576059836709682E-4</v>
      </c>
      <c r="P330" s="156">
        <f ca="1"/>
        <v>2.544642766868721E-3</v>
      </c>
      <c r="Q330" s="156">
        <f ca="1"/>
        <v>7.2175708534477634E-3</v>
      </c>
      <c r="R330" s="156">
        <f ca="1"/>
        <v>1.4047964451919692E-2</v>
      </c>
      <c r="S330" s="156">
        <f ca="1"/>
        <v>0</v>
      </c>
      <c r="T330" s="156">
        <f ca="1"/>
        <v>3.2040720649385124E-2</v>
      </c>
      <c r="U330" s="156">
        <f ca="1"/>
        <v>5.1342802500368934E-2</v>
      </c>
      <c r="V330" s="138">
        <f ca="1"/>
        <v>8.0338993976905915E-2</v>
      </c>
      <c r="W330" s="137">
        <f ca="1"/>
        <v>0</v>
      </c>
      <c r="X330" s="156">
        <f ca="1"/>
        <v>9.2462830474548952E-4</v>
      </c>
      <c r="Y330" s="156">
        <f ca="1"/>
        <v>2.6966620652084661E-3</v>
      </c>
      <c r="Z330" s="156">
        <f ca="1"/>
        <v>7.4939331949034349E-3</v>
      </c>
      <c r="AA330" s="156">
        <f ca="1"/>
        <v>1.4446923690302982E-2</v>
      </c>
      <c r="AB330" s="156">
        <f ca="1"/>
        <v>0</v>
      </c>
      <c r="AC330" s="156">
        <f ca="1"/>
        <v>3.2675867139769887E-2</v>
      </c>
      <c r="AD330" s="156">
        <f ca="1"/>
        <v>5.2206335032248141E-2</v>
      </c>
      <c r="AE330" s="138">
        <f ca="1"/>
        <v>8.1519809483968531E-2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6">
        <f ca="1"/>
        <v>9.8683447963099358E-4</v>
      </c>
      <c r="P331" s="156">
        <f ca="1"/>
        <v>2.6484974642914105E-3</v>
      </c>
      <c r="Q331" s="156">
        <f ca="1"/>
        <v>7.2662066720018403E-3</v>
      </c>
      <c r="R331" s="156">
        <f ca="1"/>
        <v>1.3699893957367371E-2</v>
      </c>
      <c r="S331" s="156">
        <f ca="1"/>
        <v>0</v>
      </c>
      <c r="T331" s="156">
        <f ca="1"/>
        <v>3.2054727374754788E-2</v>
      </c>
      <c r="U331" s="156">
        <f ca="1"/>
        <v>5.1456346815638931E-2</v>
      </c>
      <c r="V331" s="138">
        <f ca="1"/>
        <v>8.0338817709700527E-2</v>
      </c>
      <c r="W331" s="137">
        <f ca="1"/>
        <v>0</v>
      </c>
      <c r="X331" s="156">
        <f ca="1"/>
        <v>1.075688023475907E-3</v>
      </c>
      <c r="Y331" s="156">
        <f ca="1"/>
        <v>2.8004942593131688E-3</v>
      </c>
      <c r="Z331" s="156">
        <f ca="1"/>
        <v>7.5425393034563859E-3</v>
      </c>
      <c r="AA331" s="156">
        <f ca="1"/>
        <v>1.4098936156583863E-2</v>
      </c>
      <c r="AB331" s="156">
        <f ca="1"/>
        <v>0</v>
      </c>
      <c r="AC331" s="156">
        <f ca="1"/>
        <v>3.2689794393712002E-2</v>
      </c>
      <c r="AD331" s="156">
        <f ca="1"/>
        <v>5.231982625829168E-2</v>
      </c>
      <c r="AE331" s="138">
        <f ca="1"/>
        <v>8.1519743019021318E-2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6">
        <f ca="1"/>
        <v>9.4240334690909311E-4</v>
      </c>
      <c r="P332" s="156">
        <f ca="1"/>
        <v>2.3405962555131943E-3</v>
      </c>
      <c r="Q332" s="156">
        <f ca="1"/>
        <v>6.9369405865841172E-3</v>
      </c>
      <c r="R332" s="156">
        <f ca="1"/>
        <v>1.3475977531967831E-2</v>
      </c>
      <c r="S332" s="156">
        <f ca="1"/>
        <v>0</v>
      </c>
      <c r="T332" s="156">
        <f ca="1"/>
        <v>3.1410811880867584E-2</v>
      </c>
      <c r="U332" s="156">
        <f ca="1"/>
        <v>4.9985702886686023E-2</v>
      </c>
      <c r="V332" s="138">
        <f ca="1"/>
        <v>7.7760493467207925E-2</v>
      </c>
      <c r="W332" s="137">
        <f ca="1"/>
        <v>0</v>
      </c>
      <c r="X332" s="156">
        <f ca="1"/>
        <v>1.0312610693350432E-3</v>
      </c>
      <c r="Y332" s="156">
        <f ca="1"/>
        <v>2.4926310593684775E-3</v>
      </c>
      <c r="Z332" s="156">
        <f ca="1"/>
        <v>7.2133732194588074E-3</v>
      </c>
      <c r="AA332" s="156">
        <f ca="1"/>
        <v>1.3875148875971743E-2</v>
      </c>
      <c r="AB332" s="156">
        <f ca="1"/>
        <v>0</v>
      </c>
      <c r="AC332" s="156">
        <f ca="1"/>
        <v>3.2046421373683631E-2</v>
      </c>
      <c r="AD332" s="156">
        <f ca="1"/>
        <v>5.0850574055483322E-2</v>
      </c>
      <c r="AE332" s="138">
        <f ca="1"/>
        <v>7.8945147579976838E-2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6">
        <f ca="1"/>
        <v>1.3629392170944055E-3</v>
      </c>
      <c r="P333" s="156">
        <f ca="1"/>
        <v>3.6935035072079847E-3</v>
      </c>
      <c r="Q333" s="156">
        <f ca="1"/>
        <v>1.0467248760520964E-2</v>
      </c>
      <c r="R333" s="156">
        <f ca="1"/>
        <v>1.9028350150834927E-2</v>
      </c>
      <c r="S333" s="156">
        <f ca="1"/>
        <v>0</v>
      </c>
      <c r="T333" s="156">
        <f ca="1"/>
        <v>4.0622714248587655E-2</v>
      </c>
      <c r="U333" s="156">
        <f ca="1"/>
        <v>6.3240914663364123E-2</v>
      </c>
      <c r="V333" s="138">
        <f ca="1"/>
        <v>9.714446317254033E-2</v>
      </c>
      <c r="W333" s="137">
        <f ca="1"/>
        <v>0</v>
      </c>
      <c r="X333" s="156">
        <f ca="1"/>
        <v>1.4813626381441347E-3</v>
      </c>
      <c r="Y333" s="156">
        <f ca="1"/>
        <v>3.8959689190745106E-3</v>
      </c>
      <c r="Z333" s="156">
        <f ca="1"/>
        <v>1.0834575173736871E-2</v>
      </c>
      <c r="AA333" s="156">
        <f ca="1"/>
        <v>1.9557718270047153E-2</v>
      </c>
      <c r="AB333" s="156">
        <f ca="1"/>
        <v>0</v>
      </c>
      <c r="AC333" s="156">
        <f ca="1"/>
        <v>4.1461906631134138E-2</v>
      </c>
      <c r="AD333" s="156">
        <f ca="1"/>
        <v>6.4377932308637198E-2</v>
      </c>
      <c r="AE333" s="138">
        <f ca="1"/>
        <v>9.8689453409355199E-2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6">
        <f ca="1"/>
        <v>1.4488237876403298E-3</v>
      </c>
      <c r="P334" s="156">
        <f ca="1"/>
        <v>2.8051714634845792E-3</v>
      </c>
      <c r="Q334" s="156">
        <f ca="1"/>
        <v>6.2503812746163012E-3</v>
      </c>
      <c r="R334" s="156">
        <f ca="1"/>
        <v>1.1411461080024554E-2</v>
      </c>
      <c r="S334" s="156">
        <f ca="1"/>
        <v>0</v>
      </c>
      <c r="T334" s="156">
        <f ca="1"/>
        <v>3.0937874155155254E-2</v>
      </c>
      <c r="U334" s="156">
        <f ca="1"/>
        <v>4.5531776464209694E-2</v>
      </c>
      <c r="V334" s="138">
        <f ca="1"/>
        <v>7.1621331950577516E-2</v>
      </c>
      <c r="W334" s="137">
        <f ca="1"/>
        <v>0</v>
      </c>
      <c r="X334" s="156">
        <f ca="1"/>
        <v>1.537634582960079E-3</v>
      </c>
      <c r="Y334" s="156">
        <f ca="1"/>
        <v>2.9571191147885756E-3</v>
      </c>
      <c r="Z334" s="156">
        <f ca="1"/>
        <v>6.5268886276813598E-3</v>
      </c>
      <c r="AA334" s="156">
        <f ca="1"/>
        <v>1.1811148306898667E-2</v>
      </c>
      <c r="AB334" s="156">
        <f ca="1"/>
        <v>0</v>
      </c>
      <c r="AC334" s="156">
        <f ca="1"/>
        <v>3.1572930066313787E-2</v>
      </c>
      <c r="AD334" s="156">
        <f ca="1"/>
        <v>4.6400299489488095E-2</v>
      </c>
      <c r="AE334" s="138">
        <f ca="1"/>
        <v>7.281252991587428E-2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6">
        <f ca="1"/>
        <v>0</v>
      </c>
      <c r="P335" s="156">
        <f ca="1"/>
        <v>3.5491729503193126E-3</v>
      </c>
      <c r="Q335" s="156">
        <f ca="1"/>
        <v>0</v>
      </c>
      <c r="R335" s="156">
        <f ca="1"/>
        <v>1.7605158616959105E-2</v>
      </c>
      <c r="S335" s="156">
        <f ca="1"/>
        <v>0</v>
      </c>
      <c r="T335" s="156">
        <f ca="1"/>
        <v>3.7533097279389249E-2</v>
      </c>
      <c r="U335" s="156">
        <f ca="1"/>
        <v>5.6524969742851372E-2</v>
      </c>
      <c r="V335" s="138">
        <f ca="1"/>
        <v>8.4348094484895109E-2</v>
      </c>
      <c r="W335" s="137">
        <f ca="1"/>
        <v>0</v>
      </c>
      <c r="X335" s="156">
        <f ca="1"/>
        <v>0</v>
      </c>
      <c r="Y335" s="156">
        <f ca="1"/>
        <v>3.7515397744865009E-3</v>
      </c>
      <c r="Z335" s="156">
        <f ca="1"/>
        <v>0</v>
      </c>
      <c r="AA335" s="156">
        <f ca="1"/>
        <v>1.8133481568743948E-2</v>
      </c>
      <c r="AB335" s="156">
        <f ca="1"/>
        <v>0</v>
      </c>
      <c r="AC335" s="156">
        <f ca="1"/>
        <v>3.8374420679829879E-2</v>
      </c>
      <c r="AD335" s="156">
        <f ca="1"/>
        <v>5.7668962099649002E-2</v>
      </c>
      <c r="AE335" s="138">
        <f ca="1"/>
        <v>8.5914727870414764E-2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6">
        <f ca="1"/>
        <v>0</v>
      </c>
      <c r="P336" s="156">
        <f ca="1"/>
        <v>1.5423844210948889E-3</v>
      </c>
      <c r="Q336" s="156">
        <f ca="1"/>
        <v>0</v>
      </c>
      <c r="R336" s="156">
        <f ca="1"/>
        <v>8.2757264504850214E-3</v>
      </c>
      <c r="S336" s="156">
        <f ca="1"/>
        <v>0</v>
      </c>
      <c r="T336" s="156">
        <f ca="1"/>
        <v>2.4832504767175467E-2</v>
      </c>
      <c r="U336" s="156">
        <f ca="1"/>
        <v>3.9050927637133914E-2</v>
      </c>
      <c r="V336" s="138">
        <f ca="1"/>
        <v>6.2281064420204868E-2</v>
      </c>
      <c r="W336" s="137">
        <f ca="1"/>
        <v>0</v>
      </c>
      <c r="X336" s="156">
        <f ca="1"/>
        <v>0</v>
      </c>
      <c r="Y336" s="156">
        <f ca="1"/>
        <v>1.6945030537176553E-3</v>
      </c>
      <c r="Z336" s="156">
        <f ca="1"/>
        <v>0</v>
      </c>
      <c r="AA336" s="156">
        <f ca="1"/>
        <v>8.6763247423833345E-3</v>
      </c>
      <c r="AB336" s="156">
        <f ca="1"/>
        <v>0</v>
      </c>
      <c r="AC336" s="156">
        <f ca="1"/>
        <v>2.5472316159531383E-2</v>
      </c>
      <c r="AD336" s="156">
        <f ca="1"/>
        <v>3.99256849911509E-2</v>
      </c>
      <c r="AE336" s="138">
        <f ca="1"/>
        <v>6.3486733168461207E-2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6">
        <f ca="1"/>
        <v>4.446401714739423E-4</v>
      </c>
      <c r="P337" s="156">
        <f ca="1"/>
        <v>1.5351601532357373E-3</v>
      </c>
      <c r="Q337" s="156">
        <f ca="1"/>
        <v>4.5019684728005993E-3</v>
      </c>
      <c r="R337" s="156">
        <f ca="1"/>
        <v>9.0395196688718427E-3</v>
      </c>
      <c r="S337" s="156">
        <f ca="1"/>
        <v>0</v>
      </c>
      <c r="T337" s="156">
        <f ca="1"/>
        <v>2.2192257741611598E-2</v>
      </c>
      <c r="U337" s="156">
        <f ca="1"/>
        <v>3.6310517639111417E-2</v>
      </c>
      <c r="V337" s="138">
        <f ca="1"/>
        <v>5.9309103091712334E-2</v>
      </c>
      <c r="W337" s="137">
        <f ca="1"/>
        <v>0</v>
      </c>
      <c r="X337" s="156">
        <f ca="1"/>
        <v>5.3354395477478445E-4</v>
      </c>
      <c r="Y337" s="156">
        <f ca="1"/>
        <v>1.6873212649423097E-3</v>
      </c>
      <c r="Z337" s="156">
        <f ca="1"/>
        <v>4.7790524687831848E-3</v>
      </c>
      <c r="AA337" s="156">
        <f ca="1"/>
        <v>9.4403644986126301E-3</v>
      </c>
      <c r="AB337" s="156">
        <f ca="1"/>
        <v>0</v>
      </c>
      <c r="AC337" s="156">
        <f ca="1"/>
        <v>2.2834546459027605E-2</v>
      </c>
      <c r="AD337" s="156">
        <f ca="1"/>
        <v>3.7187977167651098E-2</v>
      </c>
      <c r="AE337" s="138">
        <f ca="1"/>
        <v>6.0520147899941756E-2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6">
        <f ca="1"/>
        <v>0</v>
      </c>
      <c r="P338" s="156">
        <f ca="1"/>
        <v>2.7694274065467317E-3</v>
      </c>
      <c r="Q338" s="156">
        <f ca="1"/>
        <v>0</v>
      </c>
      <c r="R338" s="156">
        <f ca="1"/>
        <v>2.0106580383494999E-2</v>
      </c>
      <c r="S338" s="156">
        <f ca="1"/>
        <v>0</v>
      </c>
      <c r="T338" s="156">
        <f ca="1"/>
        <v>3.7781812258830483E-2</v>
      </c>
      <c r="U338" s="156">
        <f ca="1"/>
        <v>5.2233685799574769E-2</v>
      </c>
      <c r="V338" s="138">
        <f ca="1"/>
        <v>7.3785897698673608E-2</v>
      </c>
      <c r="W338" s="137">
        <f ca="1"/>
        <v>0</v>
      </c>
      <c r="X338" s="156">
        <f ca="1"/>
        <v>0</v>
      </c>
      <c r="Y338" s="156">
        <f ca="1"/>
        <v>2.9719764301261442E-3</v>
      </c>
      <c r="Z338" s="156">
        <f ca="1"/>
        <v>0</v>
      </c>
      <c r="AA338" s="156">
        <f ca="1"/>
        <v>2.0633134571198308E-2</v>
      </c>
      <c r="AB338" s="156">
        <f ca="1"/>
        <v>0</v>
      </c>
      <c r="AC338" s="156">
        <f ca="1"/>
        <v>3.8623251279923165E-2</v>
      </c>
      <c r="AD338" s="156">
        <f ca="1"/>
        <v>5.3381667730749816E-2</v>
      </c>
      <c r="AE338" s="138">
        <f ca="1"/>
        <v>7.5369518538218605E-2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6">
        <f ca="1"/>
        <v>0</v>
      </c>
      <c r="P339" s="156">
        <f ca="1"/>
        <v>1.5667269427421804E-3</v>
      </c>
      <c r="Q339" s="156">
        <f ca="1"/>
        <v>0</v>
      </c>
      <c r="R339" s="156">
        <f ca="1"/>
        <v>1.0311832662130982E-2</v>
      </c>
      <c r="S339" s="156">
        <f ca="1"/>
        <v>0</v>
      </c>
      <c r="T339" s="156">
        <f ca="1"/>
        <v>2.3783282680918449E-2</v>
      </c>
      <c r="U339" s="156">
        <f ca="1"/>
        <v>3.2464014062430713E-2</v>
      </c>
      <c r="V339" s="138">
        <f ca="1"/>
        <v>5.1441020879250843E-2</v>
      </c>
      <c r="W339" s="137">
        <f ca="1"/>
        <v>0</v>
      </c>
      <c r="X339" s="156">
        <f ca="1"/>
        <v>0</v>
      </c>
      <c r="Y339" s="156">
        <f ca="1"/>
        <v>1.7188415208535535E-3</v>
      </c>
      <c r="Z339" s="156">
        <f ca="1"/>
        <v>0</v>
      </c>
      <c r="AA339" s="156">
        <f ca="1"/>
        <v>1.0711512342648111E-2</v>
      </c>
      <c r="AB339" s="156">
        <f ca="1"/>
        <v>0</v>
      </c>
      <c r="AC339" s="156">
        <f ca="1"/>
        <v>2.4423895605787171E-2</v>
      </c>
      <c r="AD339" s="156">
        <f ca="1"/>
        <v>3.3343306914339732E-2</v>
      </c>
      <c r="AE339" s="138">
        <f ca="1"/>
        <v>5.2659650248331302E-2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6">
        <f ca="1"/>
        <v>0</v>
      </c>
      <c r="P340" s="156">
        <f ca="1"/>
        <v>1.0097445454774201E-3</v>
      </c>
      <c r="Q340" s="156">
        <f ca="1"/>
        <v>0</v>
      </c>
      <c r="R340" s="156">
        <f ca="1"/>
        <v>6.2799607477853625E-3</v>
      </c>
      <c r="S340" s="156">
        <f ca="1"/>
        <v>0</v>
      </c>
      <c r="T340" s="156">
        <f ca="1"/>
        <v>1.7958857770950631E-2</v>
      </c>
      <c r="U340" s="156">
        <f ca="1"/>
        <v>3.2560049272828406E-2</v>
      </c>
      <c r="V340" s="138">
        <f ca="1"/>
        <v>5.7800234508196158E-2</v>
      </c>
      <c r="W340" s="137">
        <f ca="1"/>
        <v>0</v>
      </c>
      <c r="X340" s="156">
        <f ca="1"/>
        <v>0</v>
      </c>
      <c r="Y340" s="156">
        <f ca="1"/>
        <v>1.1619504641212641E-3</v>
      </c>
      <c r="Z340" s="156">
        <f ca="1"/>
        <v>0</v>
      </c>
      <c r="AA340" s="156">
        <f ca="1"/>
        <v>6.6814585959565909E-3</v>
      </c>
      <c r="AB340" s="156">
        <f ca="1"/>
        <v>0</v>
      </c>
      <c r="AC340" s="156">
        <f ca="1"/>
        <v>1.8603620341116289E-2</v>
      </c>
      <c r="AD340" s="156">
        <f ca="1"/>
        <v>3.3440635687161269E-2</v>
      </c>
      <c r="AE340" s="138">
        <f ca="1"/>
        <v>5.9012613667751901E-2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6">
        <f ca="1"/>
        <v>5.92809788134252E-4</v>
      </c>
      <c r="P341" s="156">
        <f ca="1"/>
        <v>1.4278436744080691E-3</v>
      </c>
      <c r="Q341" s="156">
        <f ca="1"/>
        <v>4.1211827516709487E-3</v>
      </c>
      <c r="R341" s="156">
        <f ca="1"/>
        <v>8.7749433701209689E-3</v>
      </c>
      <c r="S341" s="156">
        <f ca="1"/>
        <v>0</v>
      </c>
      <c r="T341" s="156">
        <f ca="1"/>
        <v>2.3390671858469103E-2</v>
      </c>
      <c r="U341" s="156">
        <f ca="1"/>
        <v>4.1243739794954104E-2</v>
      </c>
      <c r="V341" s="138">
        <f ca="1"/>
        <v>7.2806739049033897E-2</v>
      </c>
      <c r="W341" s="137">
        <f ca="1"/>
        <v>0</v>
      </c>
      <c r="X341" s="156">
        <f ca="1"/>
        <v>7.1132857205080668E-4</v>
      </c>
      <c r="Y341" s="156">
        <f ca="1"/>
        <v>1.6307216884168252E-3</v>
      </c>
      <c r="Z341" s="156">
        <f ca="1"/>
        <v>4.4907270290319712E-3</v>
      </c>
      <c r="AA341" s="156">
        <f ca="1"/>
        <v>9.3095430577327942E-3</v>
      </c>
      <c r="AB341" s="156">
        <f ca="1"/>
        <v>0</v>
      </c>
      <c r="AC341" s="156">
        <f ca="1"/>
        <v>2.4246512122205188E-2</v>
      </c>
      <c r="AD341" s="156">
        <f ca="1"/>
        <v>4.2409063829264904E-2</v>
      </c>
      <c r="AE341" s="138">
        <f ca="1"/>
        <v>7.4400204399716729E-2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6">
        <f ca="1"/>
        <v>9.4832761164653778E-4</v>
      </c>
      <c r="P342" s="156">
        <f ca="1"/>
        <v>2.5929284142911513E-3</v>
      </c>
      <c r="Q342" s="156">
        <f ca="1"/>
        <v>6.9942654069580223E-3</v>
      </c>
      <c r="R342" s="156">
        <f ca="1"/>
        <v>1.2522681795566593E-2</v>
      </c>
      <c r="S342" s="156">
        <f ca="1"/>
        <v>0</v>
      </c>
      <c r="T342" s="156">
        <f ca="1"/>
        <v>2.476325355382647E-2</v>
      </c>
      <c r="U342" s="156">
        <f ca="1"/>
        <v>3.923056739983799E-2</v>
      </c>
      <c r="V342" s="138">
        <f ca="1"/>
        <v>6.4452174620303726E-2</v>
      </c>
      <c r="W342" s="137">
        <f ca="1"/>
        <v>0</v>
      </c>
      <c r="X342" s="156">
        <f ca="1"/>
        <v>1.0668027899637389E-3</v>
      </c>
      <c r="Y342" s="156">
        <f ca="1"/>
        <v>2.7955992998581758E-3</v>
      </c>
      <c r="Z342" s="156">
        <f ca="1"/>
        <v>7.3628096018083511E-3</v>
      </c>
      <c r="AA342" s="156">
        <f ca="1"/>
        <v>1.3055263459755606E-2</v>
      </c>
      <c r="AB342" s="156">
        <f ca="1"/>
        <v>0</v>
      </c>
      <c r="AC342" s="156">
        <f ca="1"/>
        <v>2.5617111226641454E-2</v>
      </c>
      <c r="AD342" s="156">
        <f ca="1"/>
        <v>4.0396072812563188E-2</v>
      </c>
      <c r="AE342" s="138">
        <f ca="1"/>
        <v>6.6057974423232246E-2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6">
        <f ca="1"/>
        <v>0</v>
      </c>
      <c r="P343" s="156">
        <f ca="1"/>
        <v>2.5612243366551768E-3</v>
      </c>
      <c r="Q343" s="156">
        <f ca="1"/>
        <v>0</v>
      </c>
      <c r="R343" s="156">
        <f ca="1"/>
        <v>1.3021638901614896E-2</v>
      </c>
      <c r="S343" s="156">
        <f ca="1"/>
        <v>0</v>
      </c>
      <c r="T343" s="156">
        <f ca="1"/>
        <v>3.385916220452756E-2</v>
      </c>
      <c r="U343" s="156">
        <f ca="1"/>
        <v>6.4736589788023879E-2</v>
      </c>
      <c r="V343" s="138">
        <f ca="1"/>
        <v>8.8582109660898301E-2</v>
      </c>
      <c r="W343" s="137">
        <f ca="1"/>
        <v>0</v>
      </c>
      <c r="X343" s="156">
        <f ca="1"/>
        <v>0</v>
      </c>
      <c r="Y343" s="156">
        <f ca="1"/>
        <v>2.7131682543257707E-3</v>
      </c>
      <c r="Z343" s="156">
        <f ca="1"/>
        <v>0</v>
      </c>
      <c r="AA343" s="156">
        <f ca="1"/>
        <v>1.3419953954922015E-2</v>
      </c>
      <c r="AB343" s="156">
        <f ca="1"/>
        <v>0</v>
      </c>
      <c r="AC343" s="156">
        <f ca="1"/>
        <v>3.4491974973003159E-2</v>
      </c>
      <c r="AD343" s="156">
        <f ca="1"/>
        <v>6.5585482856702737E-2</v>
      </c>
      <c r="AE343" s="138">
        <f ca="1"/>
        <v>8.9755301535783816E-2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6">
        <f ca="1"/>
        <v>0</v>
      </c>
      <c r="P344" s="156">
        <f ca="1"/>
        <v>4.3667503263318252E-3</v>
      </c>
      <c r="Q344" s="156">
        <f ca="1"/>
        <v>0</v>
      </c>
      <c r="R344" s="156">
        <f ca="1"/>
        <v>1.8696525794989483E-2</v>
      </c>
      <c r="S344" s="156">
        <f ca="1"/>
        <v>0</v>
      </c>
      <c r="T344" s="156">
        <f ca="1"/>
        <v>3.9295843403901465E-2</v>
      </c>
      <c r="U344" s="156">
        <f ca="1"/>
        <v>5.7690389711120504E-2</v>
      </c>
      <c r="V344" s="138">
        <f ca="1"/>
        <v>9.2275539934033701E-2</v>
      </c>
      <c r="W344" s="137">
        <f ca="1"/>
        <v>0</v>
      </c>
      <c r="X344" s="156">
        <f ca="1"/>
        <v>0</v>
      </c>
      <c r="Y344" s="156">
        <f ca="1"/>
        <v>4.5183581863610378E-3</v>
      </c>
      <c r="Z344" s="156">
        <f ca="1"/>
        <v>0</v>
      </c>
      <c r="AA344" s="156">
        <f ca="1"/>
        <v>1.909178423858815E-2</v>
      </c>
      <c r="AB344" s="156">
        <f ca="1"/>
        <v>0</v>
      </c>
      <c r="AC344" s="156">
        <f ca="1"/>
        <v>3.9924481161084602E-2</v>
      </c>
      <c r="AD344" s="156">
        <f ca="1"/>
        <v>5.8546431771982821E-2</v>
      </c>
      <c r="AE344" s="138">
        <f ca="1"/>
        <v>9.3453132172756082E-2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6">
        <f ca="1"/>
        <v>1.0223779689106927E-3</v>
      </c>
      <c r="P345" s="156">
        <f ca="1"/>
        <v>2.5392658669534107E-3</v>
      </c>
      <c r="Q345" s="156">
        <f ca="1"/>
        <v>7.92335505748476E-3</v>
      </c>
      <c r="R345" s="156">
        <f ca="1"/>
        <v>1.5944378159235661E-2</v>
      </c>
      <c r="S345" s="156">
        <f ca="1"/>
        <v>0</v>
      </c>
      <c r="T345" s="156">
        <f ca="1"/>
        <v>3.6693055095085025E-2</v>
      </c>
      <c r="U345" s="156">
        <f ca="1"/>
        <v>5.6993639677602737E-2</v>
      </c>
      <c r="V345" s="138">
        <f ca="1"/>
        <v>8.4860179630760535E-2</v>
      </c>
      <c r="W345" s="137">
        <f ca="1"/>
        <v>0</v>
      </c>
      <c r="X345" s="156">
        <f ca="1"/>
        <v>1.1112281619509723E-3</v>
      </c>
      <c r="Y345" s="156">
        <f ca="1"/>
        <v>2.6912725209089494E-3</v>
      </c>
      <c r="Z345" s="156">
        <f ca="1"/>
        <v>8.1995340578744358E-3</v>
      </c>
      <c r="AA345" s="156">
        <f ca="1"/>
        <v>1.6342667406107125E-2</v>
      </c>
      <c r="AB345" s="156">
        <f ca="1"/>
        <v>0</v>
      </c>
      <c r="AC345" s="156">
        <f ca="1"/>
        <v>3.7324707251759071E-2</v>
      </c>
      <c r="AD345" s="156">
        <f ca="1"/>
        <v>5.7852019008610811E-2</v>
      </c>
      <c r="AE345" s="138">
        <f ca="1"/>
        <v>8.6034774805823E-2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6">
        <f ca="1"/>
        <v>1.3244467857319586E-3</v>
      </c>
      <c r="P346" s="156">
        <f ca="1"/>
        <v>3.3341406588058842E-3</v>
      </c>
      <c r="Q346" s="156">
        <f ca="1"/>
        <v>8.68189572101985E-3</v>
      </c>
      <c r="R346" s="156">
        <f ca="1"/>
        <v>1.6245717171666008E-2</v>
      </c>
      <c r="S346" s="156">
        <f ca="1"/>
        <v>0</v>
      </c>
      <c r="T346" s="156">
        <f ca="1"/>
        <v>3.5203197921656271E-2</v>
      </c>
      <c r="U346" s="156">
        <f ca="1"/>
        <v>5.395711383390156E-2</v>
      </c>
      <c r="V346" s="138">
        <f ca="1"/>
        <v>8.0674866847993187E-2</v>
      </c>
      <c r="W346" s="137">
        <f ca="1"/>
        <v>0</v>
      </c>
      <c r="X346" s="156">
        <f ca="1"/>
        <v>1.4132682094992743E-3</v>
      </c>
      <c r="Y346" s="156">
        <f ca="1"/>
        <v>3.4860353538088695E-3</v>
      </c>
      <c r="Z346" s="156">
        <f ca="1"/>
        <v>8.9578234420061298E-3</v>
      </c>
      <c r="AA346" s="156">
        <f ca="1"/>
        <v>1.6643756435366752E-2</v>
      </c>
      <c r="AB346" s="156">
        <f ca="1"/>
        <v>0</v>
      </c>
      <c r="AC346" s="156">
        <f ca="1"/>
        <v>3.5835866075555889E-2</v>
      </c>
      <c r="AD346" s="156">
        <f ca="1"/>
        <v>5.4817803073837768E-2</v>
      </c>
      <c r="AE346" s="138">
        <f ca="1"/>
        <v>8.1854718627945355E-2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6">
        <f ca="1"/>
        <v>1.2356124592282081E-3</v>
      </c>
      <c r="P347" s="156">
        <f ca="1"/>
        <v>3.1976675558834655E-3</v>
      </c>
      <c r="Q347" s="156">
        <f ca="1"/>
        <v>8.5473825870422404E-3</v>
      </c>
      <c r="R347" s="156">
        <f ca="1"/>
        <v>1.5923937084080242E-2</v>
      </c>
      <c r="S347" s="156">
        <f ca="1"/>
        <v>0</v>
      </c>
      <c r="T347" s="156">
        <f ca="1"/>
        <v>3.5243961654925826E-2</v>
      </c>
      <c r="U347" s="156">
        <f ca="1"/>
        <v>5.4990967507429267E-2</v>
      </c>
      <c r="V347" s="138">
        <f ca="1"/>
        <v>8.494689643814457E-2</v>
      </c>
      <c r="W347" s="137">
        <f ca="1"/>
        <v>0</v>
      </c>
      <c r="X347" s="156">
        <f ca="1"/>
        <v>1.3244423983495013E-3</v>
      </c>
      <c r="Y347" s="156">
        <f ca="1"/>
        <v>3.3495841185975372E-3</v>
      </c>
      <c r="Z347" s="156">
        <f ca="1"/>
        <v>8.8233573917463337E-3</v>
      </c>
      <c r="AA347" s="156">
        <f ca="1"/>
        <v>1.6322109426799014E-2</v>
      </c>
      <c r="AB347" s="156">
        <f ca="1"/>
        <v>0</v>
      </c>
      <c r="AC347" s="156">
        <f ca="1"/>
        <v>3.5876594956818275E-2</v>
      </c>
      <c r="AD347" s="156">
        <f ca="1"/>
        <v>5.5850833338779382E-2</v>
      </c>
      <c r="AE347" s="138">
        <f ca="1"/>
        <v>8.6120448192195109E-2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6">
        <f ca="1"/>
        <v>0</v>
      </c>
      <c r="P348" s="156">
        <f ca="1"/>
        <v>5.0664248879347396E-3</v>
      </c>
      <c r="Q348" s="156">
        <f ca="1"/>
        <v>0</v>
      </c>
      <c r="R348" s="156">
        <f ca="1"/>
        <v>1.9937791741632571E-2</v>
      </c>
      <c r="S348" s="156">
        <f ca="1"/>
        <v>0</v>
      </c>
      <c r="T348" s="156">
        <f ca="1"/>
        <v>4.4043920937210879E-2</v>
      </c>
      <c r="U348" s="156">
        <f ca="1"/>
        <v>7.0616940614830703E-2</v>
      </c>
      <c r="V348" s="138">
        <f ca="1"/>
        <v>0.1209184122526118</v>
      </c>
      <c r="W348" s="137">
        <f ca="1"/>
        <v>0</v>
      </c>
      <c r="X348" s="156">
        <f ca="1"/>
        <v>0</v>
      </c>
      <c r="Y348" s="156">
        <f ca="1"/>
        <v>5.2684182678314206E-3</v>
      </c>
      <c r="Z348" s="156">
        <f ca="1"/>
        <v>0</v>
      </c>
      <c r="AA348" s="156">
        <f ca="1"/>
        <v>2.0464461865575934E-2</v>
      </c>
      <c r="AB348" s="156">
        <f ca="1"/>
        <v>0</v>
      </c>
      <c r="AC348" s="156">
        <f ca="1"/>
        <v>4.4878285567648946E-2</v>
      </c>
      <c r="AD348" s="156">
        <f ca="1"/>
        <v>7.1743417975360324E-2</v>
      </c>
      <c r="AE348" s="138">
        <f ca="1"/>
        <v>0.12245108221142698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6">
        <f ca="1"/>
        <v>1.0845760447221187E-3</v>
      </c>
      <c r="P349" s="156">
        <f ca="1"/>
        <v>2.7847861615249991E-3</v>
      </c>
      <c r="Q349" s="156">
        <f ca="1"/>
        <v>7.4860115970590835E-3</v>
      </c>
      <c r="R349" s="156">
        <f ca="1"/>
        <v>1.4060020461655331E-2</v>
      </c>
      <c r="S349" s="156">
        <f ca="1"/>
        <v>0</v>
      </c>
      <c r="T349" s="156">
        <f ca="1"/>
        <v>3.2006733294831502E-2</v>
      </c>
      <c r="U349" s="156">
        <f ca="1"/>
        <v>5.0611701115392149E-2</v>
      </c>
      <c r="V349" s="138">
        <f ca="1"/>
        <v>7.8941593920848985E-2</v>
      </c>
      <c r="W349" s="137">
        <f ca="1"/>
        <v>0</v>
      </c>
      <c r="X349" s="156">
        <f ca="1"/>
        <v>1.1734203568184443E-3</v>
      </c>
      <c r="Y349" s="156">
        <f ca="1"/>
        <v>2.9367605388995743E-3</v>
      </c>
      <c r="Z349" s="156">
        <f ca="1"/>
        <v>7.7622763075766432E-3</v>
      </c>
      <c r="AA349" s="156">
        <f ca="1"/>
        <v>1.4458912106194544E-2</v>
      </c>
      <c r="AB349" s="156">
        <f ca="1"/>
        <v>0</v>
      </c>
      <c r="AC349" s="156">
        <f ca="1"/>
        <v>3.2641824742711822E-2</v>
      </c>
      <c r="AD349" s="156">
        <f ca="1"/>
        <v>5.1475802634869283E-2</v>
      </c>
      <c r="AE349" s="138">
        <f ca="1"/>
        <v>8.0124213282140366E-2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6">
        <f ca="1"/>
        <v>1.2622635833557938E-3</v>
      </c>
      <c r="P350" s="156">
        <f ca="1"/>
        <v>2.7023689491373348E-3</v>
      </c>
      <c r="Q350" s="156">
        <f ca="1"/>
        <v>7.4550596416497195E-3</v>
      </c>
      <c r="R350" s="156">
        <f ca="1"/>
        <v>1.3974631894752565E-2</v>
      </c>
      <c r="S350" s="156">
        <f ca="1"/>
        <v>0</v>
      </c>
      <c r="T350" s="156">
        <f ca="1"/>
        <v>3.0626894819626105E-2</v>
      </c>
      <c r="U350" s="156">
        <f ca="1"/>
        <v>4.8174221529529659E-2</v>
      </c>
      <c r="V350" s="138">
        <f ca="1"/>
        <v>7.5066102519882771E-2</v>
      </c>
      <c r="W350" s="137">
        <f ca="1"/>
        <v>0</v>
      </c>
      <c r="X350" s="156">
        <f ca="1"/>
        <v>1.3510909726087705E-3</v>
      </c>
      <c r="Y350" s="156">
        <f ca="1"/>
        <v>2.8543400286595855E-3</v>
      </c>
      <c r="Z350" s="156">
        <f ca="1"/>
        <v>7.7313226540770552E-3</v>
      </c>
      <c r="AA350" s="156">
        <f ca="1"/>
        <v>1.4373546505277557E-2</v>
      </c>
      <c r="AB350" s="156">
        <f ca="1"/>
        <v>0</v>
      </c>
      <c r="AC350" s="156">
        <f ca="1"/>
        <v>3.1262998395350738E-2</v>
      </c>
      <c r="AD350" s="156">
        <f ca="1"/>
        <v>4.9040371697305574E-2</v>
      </c>
      <c r="AE350" s="138">
        <f ca="1"/>
        <v>7.6254095382452092E-2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6">
        <f ca="1"/>
        <v>2.191648536059132E-3</v>
      </c>
      <c r="P351" s="156">
        <f ca="1"/>
        <v>4.2044094475753857E-3</v>
      </c>
      <c r="Q351" s="156">
        <f ca="1"/>
        <v>1.0460488872299001E-2</v>
      </c>
      <c r="R351" s="156">
        <f ca="1"/>
        <v>1.763737862155923E-2</v>
      </c>
      <c r="S351" s="156">
        <f ca="1"/>
        <v>0</v>
      </c>
      <c r="T351" s="156">
        <f ca="1"/>
        <v>3.6083599761741469E-2</v>
      </c>
      <c r="U351" s="156">
        <f ca="1"/>
        <v>5.5878370594035109E-2</v>
      </c>
      <c r="V351" s="138">
        <f ca="1"/>
        <v>8.5297383171299312E-2</v>
      </c>
      <c r="W351" s="137">
        <f ca="1"/>
        <v>0</v>
      </c>
      <c r="X351" s="156">
        <f ca="1"/>
        <v>2.3099654549080251E-3</v>
      </c>
      <c r="Y351" s="156">
        <f ca="1"/>
        <v>4.4067192913296305E-3</v>
      </c>
      <c r="Z351" s="156">
        <f ca="1"/>
        <v>1.0827691311912635E-2</v>
      </c>
      <c r="AA351" s="156">
        <f ca="1"/>
        <v>1.8167164569952599E-2</v>
      </c>
      <c r="AB351" s="156">
        <f ca="1"/>
        <v>0</v>
      </c>
      <c r="AC351" s="156">
        <f ca="1"/>
        <v>3.6926810951268041E-2</v>
      </c>
      <c r="AD351" s="156">
        <f ca="1"/>
        <v>5.7023677232526659E-2</v>
      </c>
      <c r="AE351" s="138">
        <f ca="1"/>
        <v>8.6864129568764437E-2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6">
        <f ca="1"/>
        <v>1.6708510455817338E-3</v>
      </c>
      <c r="P352" s="156">
        <f ca="1"/>
        <v>4.4669184392384098E-3</v>
      </c>
      <c r="Q352" s="156">
        <f ca="1"/>
        <v>1.1980418798851034E-2</v>
      </c>
      <c r="R352" s="156">
        <f ca="1"/>
        <v>2.0199857247801711E-2</v>
      </c>
      <c r="S352" s="156">
        <f ca="1"/>
        <v>0</v>
      </c>
      <c r="T352" s="156">
        <f ca="1"/>
        <v>3.9516761094089414E-2</v>
      </c>
      <c r="U352" s="156">
        <f ca="1"/>
        <v>5.9129815666302599E-2</v>
      </c>
      <c r="V352" s="138">
        <f ca="1"/>
        <v>8.9573736339546017E-2</v>
      </c>
      <c r="W352" s="137">
        <f ca="1"/>
        <v>0</v>
      </c>
      <c r="X352" s="156">
        <f ca="1"/>
        <v>1.7892372075868357E-3</v>
      </c>
      <c r="Y352" s="156">
        <f ca="1"/>
        <v>4.6692388008445773E-3</v>
      </c>
      <c r="Z352" s="156">
        <f ca="1"/>
        <v>1.2347146722935798E-2</v>
      </c>
      <c r="AA352" s="156">
        <f ca="1"/>
        <v>2.0728328022903475E-2</v>
      </c>
      <c r="AB352" s="156">
        <f ca="1"/>
        <v>0</v>
      </c>
      <c r="AC352" s="156">
        <f ca="1"/>
        <v>4.0355964089433871E-2</v>
      </c>
      <c r="AD352" s="156">
        <f ca="1"/>
        <v>6.0269708281169621E-2</v>
      </c>
      <c r="AE352" s="138">
        <f ca="1"/>
        <v>9.1129183648750223E-2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6">
        <f ca="1"/>
        <v>1.208960626934652E-3</v>
      </c>
      <c r="P353" s="156">
        <f ca="1"/>
        <v>3.1417838717772151E-3</v>
      </c>
      <c r="Q353" s="156">
        <f ca="1"/>
        <v>7.6497002546447312E-3</v>
      </c>
      <c r="R353" s="156">
        <f ca="1"/>
        <v>1.5044867185741162E-2</v>
      </c>
      <c r="S353" s="156">
        <f ca="1"/>
        <v>0</v>
      </c>
      <c r="T353" s="156">
        <f ca="1"/>
        <v>3.8356241104500755E-2</v>
      </c>
      <c r="U353" s="156">
        <f ca="1"/>
        <v>6.1397928627981657E-2</v>
      </c>
      <c r="V353" s="138">
        <f ca="1"/>
        <v>9.2517961721003239E-2</v>
      </c>
      <c r="W353" s="137">
        <f ca="1"/>
        <v>0</v>
      </c>
      <c r="X353" s="156">
        <f ca="1"/>
        <v>1.3274033852079814E-3</v>
      </c>
      <c r="Y353" s="156">
        <f ca="1"/>
        <v>3.3443474012293528E-3</v>
      </c>
      <c r="Z353" s="156">
        <f ca="1"/>
        <v>8.0179677597168597E-3</v>
      </c>
      <c r="AA353" s="156">
        <f ca="1"/>
        <v>1.5576264662734429E-2</v>
      </c>
      <c r="AB353" s="156">
        <f ca="1"/>
        <v>0</v>
      </c>
      <c r="AC353" s="156">
        <f ca="1"/>
        <v>3.9197764153212078E-2</v>
      </c>
      <c r="AD353" s="156">
        <f ca="1"/>
        <v>6.2538674214638212E-2</v>
      </c>
      <c r="AE353" s="138">
        <f ca="1"/>
        <v>9.4074119874051454E-2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6">
        <f ca="1"/>
        <v>1.9549443271165146E-3</v>
      </c>
      <c r="P354" s="156">
        <f ca="1"/>
        <v>5.1582575638342565E-3</v>
      </c>
      <c r="Q354" s="156">
        <f ca="1"/>
        <v>1.2021968527421878E-2</v>
      </c>
      <c r="R354" s="156">
        <f ca="1"/>
        <v>1.9098077516489731E-2</v>
      </c>
      <c r="S354" s="156">
        <f ca="1"/>
        <v>0</v>
      </c>
      <c r="T354" s="156">
        <f ca="1"/>
        <v>3.6774760621987812E-2</v>
      </c>
      <c r="U354" s="156">
        <f ca="1"/>
        <v>5.5551001175305204E-2</v>
      </c>
      <c r="V354" s="138">
        <f ca="1"/>
        <v>8.4973800176150638E-2</v>
      </c>
      <c r="W354" s="137">
        <f ca="1"/>
        <v>0</v>
      </c>
      <c r="X354" s="156">
        <f ca="1"/>
        <v>2.0732920928702159E-3</v>
      </c>
      <c r="Y354" s="156">
        <f ca="1"/>
        <v>5.3604427608898719E-3</v>
      </c>
      <c r="Z354" s="156">
        <f ca="1"/>
        <v>1.2388623083622985E-2</v>
      </c>
      <c r="AA354" s="156">
        <f ca="1"/>
        <v>1.9626996347336778E-2</v>
      </c>
      <c r="AB354" s="156">
        <f ca="1"/>
        <v>0</v>
      </c>
      <c r="AC354" s="156">
        <f ca="1"/>
        <v>3.7617036160661255E-2</v>
      </c>
      <c r="AD354" s="156">
        <f ca="1"/>
        <v>5.6695864453331413E-2</v>
      </c>
      <c r="AE354" s="138">
        <f ca="1"/>
        <v>8.6539881734290058E-2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6">
        <f ca="1"/>
        <v>1.2563411725228235E-3</v>
      </c>
      <c r="P355" s="156">
        <f ca="1"/>
        <v>3.4494378236537004E-3</v>
      </c>
      <c r="Q355" s="156">
        <f ca="1"/>
        <v>7.485643069845116E-3</v>
      </c>
      <c r="R355" s="156">
        <f ca="1"/>
        <v>1.3804849549649112E-2</v>
      </c>
      <c r="S355" s="156">
        <f ca="1"/>
        <v>0</v>
      </c>
      <c r="T355" s="156">
        <f ca="1"/>
        <v>3.1992275805848625E-2</v>
      </c>
      <c r="U355" s="156">
        <f ca="1"/>
        <v>5.0928953120612297E-2</v>
      </c>
      <c r="V355" s="138">
        <f ca="1"/>
        <v>7.9367578675347827E-2</v>
      </c>
      <c r="W355" s="137">
        <f ca="1"/>
        <v>0</v>
      </c>
      <c r="X355" s="156">
        <f ca="1"/>
        <v>1.3747779952766326E-3</v>
      </c>
      <c r="Y355" s="156">
        <f ca="1"/>
        <v>3.6519503538919862E-3</v>
      </c>
      <c r="Z355" s="156">
        <f ca="1"/>
        <v>7.8539254242029344E-3</v>
      </c>
      <c r="AA355" s="156">
        <f ca="1"/>
        <v>1.4336719151773036E-2</v>
      </c>
      <c r="AB355" s="156">
        <f ca="1"/>
        <v>0</v>
      </c>
      <c r="AC355" s="156">
        <f ca="1"/>
        <v>3.2839750783862476E-2</v>
      </c>
      <c r="AD355" s="156">
        <f ca="1"/>
        <v>5.2081456741649323E-2</v>
      </c>
      <c r="AE355" s="138">
        <f ca="1"/>
        <v>8.0946971819271241E-2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6">
        <f ca="1"/>
        <v>9.6906226269510842E-4</v>
      </c>
      <c r="P356" s="156">
        <f ca="1"/>
        <v>2.3862102389983209E-3</v>
      </c>
      <c r="Q356" s="156">
        <f ca="1"/>
        <v>6.1374767453997725E-3</v>
      </c>
      <c r="R356" s="156">
        <f ca="1"/>
        <v>1.1151292989965311E-2</v>
      </c>
      <c r="S356" s="156">
        <f ca="1"/>
        <v>0</v>
      </c>
      <c r="T356" s="156">
        <f ca="1"/>
        <v>2.3294032004904763E-2</v>
      </c>
      <c r="U356" s="156">
        <f ca="1"/>
        <v>3.6879482749675896E-2</v>
      </c>
      <c r="V356" s="138">
        <f ca="1"/>
        <v>6.0217353137827057E-2</v>
      </c>
      <c r="W356" s="137">
        <f ca="1"/>
        <v>0</v>
      </c>
      <c r="X356" s="156">
        <f ca="1"/>
        <v>1.0579174792708645E-3</v>
      </c>
      <c r="Y356" s="156">
        <f ca="1"/>
        <v>2.5382379892879836E-3</v>
      </c>
      <c r="Z356" s="156">
        <f ca="1"/>
        <v>6.4140899649413052E-3</v>
      </c>
      <c r="AA356" s="156">
        <f ca="1"/>
        <v>1.1551234593688786E-2</v>
      </c>
      <c r="AB356" s="156">
        <f ca="1"/>
        <v>0</v>
      </c>
      <c r="AC356" s="156">
        <f ca="1"/>
        <v>2.3935272672433006E-2</v>
      </c>
      <c r="AD356" s="156">
        <f ca="1"/>
        <v>3.7755654967862706E-2</v>
      </c>
      <c r="AE356" s="138">
        <f ca="1"/>
        <v>6.1426095388117274E-2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6">
        <f ca="1"/>
        <v>2.0614681370747512E-3</v>
      </c>
      <c r="P357" s="156">
        <f ca="1"/>
        <v>4.2494423433347972E-3</v>
      </c>
      <c r="Q357" s="156">
        <f ca="1"/>
        <v>1.034936936610531E-2</v>
      </c>
      <c r="R357" s="156">
        <f ca="1"/>
        <v>1.8037418403043626E-2</v>
      </c>
      <c r="S357" s="156">
        <f ca="1"/>
        <v>0</v>
      </c>
      <c r="T357" s="156">
        <f ca="1"/>
        <v>3.5141744541859921E-2</v>
      </c>
      <c r="U357" s="156">
        <f ca="1"/>
        <v>5.3971957429586492E-2</v>
      </c>
      <c r="V357" s="138">
        <f ca="1"/>
        <v>8.5657496721443627E-2</v>
      </c>
      <c r="W357" s="137">
        <f ca="1"/>
        <v>0</v>
      </c>
      <c r="X357" s="156">
        <f ca="1"/>
        <v>2.1798020638453819E-3</v>
      </c>
      <c r="Y357" s="156">
        <f ca="1"/>
        <v>4.4517576555793692E-3</v>
      </c>
      <c r="Z357" s="156">
        <f ca="1"/>
        <v>1.0716617060878897E-2</v>
      </c>
      <c r="AA357" s="156">
        <f ca="1"/>
        <v>1.8567061043924027E-2</v>
      </c>
      <c r="AB357" s="156">
        <f ca="1"/>
        <v>0</v>
      </c>
      <c r="AC357" s="156">
        <f ca="1"/>
        <v>3.5985853175364069E-2</v>
      </c>
      <c r="AD357" s="156">
        <f ca="1"/>
        <v>5.5119238106668411E-2</v>
      </c>
      <c r="AE357" s="138">
        <f ca="1"/>
        <v>8.7222838989659324E-2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6">
        <f ca="1"/>
        <v>1.2622635833557938E-3</v>
      </c>
      <c r="P358" s="156">
        <f ca="1"/>
        <v>2.8105541828312708E-3</v>
      </c>
      <c r="Q358" s="156">
        <f ca="1"/>
        <v>7.1382764142413624E-3</v>
      </c>
      <c r="R358" s="156">
        <f ca="1"/>
        <v>1.369100266197254E-2</v>
      </c>
      <c r="S358" s="156">
        <f ca="1"/>
        <v>0</v>
      </c>
      <c r="T358" s="156">
        <f ca="1"/>
        <v>3.2045592651888222E-2</v>
      </c>
      <c r="U358" s="156">
        <f ca="1"/>
        <v>5.0650633048703875E-2</v>
      </c>
      <c r="V358" s="138">
        <f ca="1"/>
        <v>7.7517681923320314E-2</v>
      </c>
      <c r="W358" s="137">
        <f ca="1"/>
        <v>0</v>
      </c>
      <c r="X358" s="156">
        <f ca="1"/>
        <v>1.3510909726087705E-3</v>
      </c>
      <c r="Y358" s="156">
        <f ca="1"/>
        <v>2.9625130342153527E-3</v>
      </c>
      <c r="Z358" s="156">
        <f ca="1"/>
        <v>7.4146073120815448E-3</v>
      </c>
      <c r="AA358" s="156">
        <f ca="1"/>
        <v>1.4090019148581545E-2</v>
      </c>
      <c r="AB358" s="156">
        <f ca="1"/>
        <v>0</v>
      </c>
      <c r="AC358" s="156">
        <f ca="1"/>
        <v>3.2680643120362451E-2</v>
      </c>
      <c r="AD358" s="156">
        <f ca="1"/>
        <v>5.1514818642613203E-2</v>
      </c>
      <c r="AE358" s="138">
        <f ca="1"/>
        <v>7.8702707791697302E-2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6">
        <f ca="1"/>
        <v>0</v>
      </c>
      <c r="P359" s="156">
        <f ca="1"/>
        <v>2.1918239006518681E-3</v>
      </c>
      <c r="Q359" s="156">
        <f ca="1"/>
        <v>0</v>
      </c>
      <c r="R359" s="156">
        <f ca="1"/>
        <v>9.3146878239676045E-3</v>
      </c>
      <c r="S359" s="156">
        <f ca="1"/>
        <v>0</v>
      </c>
      <c r="T359" s="156">
        <f ca="1"/>
        <v>2.4186312912965358E-2</v>
      </c>
      <c r="U359" s="156">
        <f ca="1"/>
        <v>4.2970532962035457E-2</v>
      </c>
      <c r="V359" s="138">
        <f ca="1"/>
        <v>7.3654248754002394E-2</v>
      </c>
      <c r="W359" s="137">
        <f ca="1"/>
        <v>0</v>
      </c>
      <c r="X359" s="156">
        <f ca="1"/>
        <v>0</v>
      </c>
      <c r="Y359" s="156">
        <f ca="1"/>
        <v>2.3438323649462856E-3</v>
      </c>
      <c r="Z359" s="156">
        <f ca="1"/>
        <v>0</v>
      </c>
      <c r="AA359" s="156">
        <f ca="1"/>
        <v>9.7147685397979133E-3</v>
      </c>
      <c r="AB359" s="156">
        <f ca="1"/>
        <v>0</v>
      </c>
      <c r="AC359" s="156">
        <f ca="1"/>
        <v>2.4826488737022645E-2</v>
      </c>
      <c r="AD359" s="156">
        <f ca="1"/>
        <v>4.3841303254823605E-2</v>
      </c>
      <c r="AE359" s="138">
        <f ca="1"/>
        <v>7.4843088661536106E-2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6">
        <f ca="1"/>
        <v>0</v>
      </c>
      <c r="P360" s="156">
        <f ca="1"/>
        <v>7.30411561115345E-2</v>
      </c>
      <c r="Q360" s="156">
        <f ca="1"/>
        <v>0</v>
      </c>
      <c r="R360" s="156">
        <f ca="1"/>
        <v>0.15588300026302604</v>
      </c>
      <c r="S360" s="156">
        <f ca="1"/>
        <v>0</v>
      </c>
      <c r="T360" s="156">
        <f ca="1"/>
        <v>0.21142455939093208</v>
      </c>
      <c r="U360" s="156">
        <f ca="1"/>
        <v>0.23911916654561283</v>
      </c>
      <c r="V360" s="138">
        <f ca="1"/>
        <v>0.27274389895681572</v>
      </c>
      <c r="W360" s="137">
        <f ca="1"/>
        <v>0</v>
      </c>
      <c r="X360" s="156">
        <f ca="1"/>
        <v>0</v>
      </c>
      <c r="Y360" s="156">
        <f ca="1"/>
        <v>7.3229453076271489E-2</v>
      </c>
      <c r="Z360" s="156">
        <f ca="1"/>
        <v>0</v>
      </c>
      <c r="AA360" s="156">
        <f ca="1"/>
        <v>0.15633468770063075</v>
      </c>
      <c r="AB360" s="156">
        <f ca="1"/>
        <v>0</v>
      </c>
      <c r="AC360" s="156">
        <f ca="1"/>
        <v>0.21210228429028632</v>
      </c>
      <c r="AD360" s="156">
        <f ca="1"/>
        <v>0.24000634323092773</v>
      </c>
      <c r="AE360" s="138">
        <f ca="1"/>
        <v>0.27392172918813784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5" t="s">
        <v>87</v>
      </c>
      <c r="G361" s="155">
        <v>1.75E-3</v>
      </c>
      <c r="H361" s="155" t="s">
        <v>87</v>
      </c>
      <c r="I361" s="155">
        <v>2.7499999999999998E-3</v>
      </c>
      <c r="J361" s="155" t="s">
        <v>87</v>
      </c>
      <c r="K361" s="155">
        <v>3.3999999999999998E-3</v>
      </c>
      <c r="L361" s="155">
        <v>3.4499999999999999E-3</v>
      </c>
      <c r="M361" s="155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6">
        <f ca="1"/>
        <v>0</v>
      </c>
      <c r="P361" s="156">
        <f ca="1"/>
        <v>3.5491729503193126E-3</v>
      </c>
      <c r="Q361" s="156">
        <f ca="1"/>
        <v>0</v>
      </c>
      <c r="R361" s="156">
        <f ca="1"/>
        <v>1.4869154000782703E-2</v>
      </c>
      <c r="S361" s="156">
        <f ca="1"/>
        <v>0</v>
      </c>
      <c r="T361" s="156">
        <f ca="1"/>
        <v>2.9966696444775898E-2</v>
      </c>
      <c r="U361" s="156">
        <f ca="1"/>
        <v>4.1643215121322519E-2</v>
      </c>
      <c r="V361" s="138">
        <f ca="1"/>
        <v>6.1180774901726798E-2</v>
      </c>
      <c r="W361" s="137">
        <f ca="1"/>
        <v>0</v>
      </c>
      <c r="X361" s="156">
        <f ca="1"/>
        <v>0</v>
      </c>
      <c r="Y361" s="156">
        <f ca="1"/>
        <v>3.7515397744865009E-3</v>
      </c>
      <c r="Z361" s="156">
        <f ca="1"/>
        <v>0</v>
      </c>
      <c r="AA361" s="156">
        <f ca="1"/>
        <v>1.5399260584782581E-2</v>
      </c>
      <c r="AB361" s="156">
        <f ca="1"/>
        <v>0</v>
      </c>
      <c r="AC361" s="156">
        <f ca="1"/>
        <v>3.0815049255221716E-2</v>
      </c>
      <c r="AD361" s="156">
        <f ca="1"/>
        <v>4.2803891397060978E-2</v>
      </c>
      <c r="AE361" s="138">
        <f ca="1"/>
        <v>6.2787868329003182E-2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1.6515377020415056E-2</v>
      </c>
      <c r="S362" s="133">
        <f ca="1"/>
        <v>0</v>
      </c>
      <c r="T362" s="133">
        <f ca="1"/>
        <v>4.0527009624213073E-2</v>
      </c>
      <c r="U362" s="133">
        <f ca="1"/>
        <v>7.7875132590975671E-2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1.704164607911629E-2</v>
      </c>
      <c r="AB362" s="133">
        <f ca="1"/>
        <v>0</v>
      </c>
      <c r="AC362" s="133">
        <f ca="1"/>
        <v>4.1365647046868959E-2</v>
      </c>
      <c r="AD362" s="133">
        <f ca="1"/>
        <v>7.8993044438717464E-2</v>
      </c>
      <c r="AE362" s="134">
        <f ca="1"/>
        <v>0</v>
      </c>
    </row>
    <row r="363" spans="1:50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5"/>
      <c r="G363" s="155"/>
      <c r="H363" s="155"/>
      <c r="I363" s="155">
        <v>2.9420000000000002E-3</v>
      </c>
      <c r="J363" s="155"/>
      <c r="K363" s="155">
        <v>4.9529999999999999E-3</v>
      </c>
      <c r="L363" s="155">
        <v>7.0489999999999997E-3</v>
      </c>
      <c r="M363" s="155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6">
        <f ca="1"/>
        <v>0</v>
      </c>
      <c r="P363" s="156">
        <f ca="1"/>
        <v>0</v>
      </c>
      <c r="Q363" s="156">
        <f ca="1"/>
        <v>0</v>
      </c>
      <c r="R363" s="156">
        <f ca="1"/>
        <v>1.5730428518950568E-2</v>
      </c>
      <c r="S363" s="156">
        <f ca="1"/>
        <v>0</v>
      </c>
      <c r="T363" s="156">
        <f ca="1"/>
        <v>4.3923064493854302E-2</v>
      </c>
      <c r="U363" s="156">
        <f ca="1"/>
        <v>8.7221359899943063E-2</v>
      </c>
      <c r="V363" s="138">
        <f ca="1"/>
        <v>0</v>
      </c>
      <c r="W363" s="137">
        <f ca="1"/>
        <v>0</v>
      </c>
      <c r="X363" s="156">
        <f ca="1"/>
        <v>0</v>
      </c>
      <c r="Y363" s="156">
        <f ca="1"/>
        <v>0</v>
      </c>
      <c r="Z363" s="156">
        <f ca="1"/>
        <v>0</v>
      </c>
      <c r="AA363" s="156">
        <f ca="1"/>
        <v>1.6257463937848216E-2</v>
      </c>
      <c r="AB363" s="156">
        <f ca="1"/>
        <v>0</v>
      </c>
      <c r="AC363" s="156">
        <f ca="1"/>
        <v>4.475803114019572E-2</v>
      </c>
      <c r="AD363" s="156">
        <f ca="1"/>
        <v>8.8326575378518402E-2</v>
      </c>
      <c r="AE363" s="138">
        <f ca="1"/>
        <v>0</v>
      </c>
    </row>
    <row r="364" spans="1:50" ht="10.5" customHeight="1">
      <c r="A364" s="96">
        <v>353</v>
      </c>
      <c r="B364" s="68" t="s">
        <v>531</v>
      </c>
      <c r="C364" s="97">
        <v>0.4</v>
      </c>
      <c r="D364" s="69" t="s">
        <v>66</v>
      </c>
      <c r="E364" s="136"/>
      <c r="F364" s="155"/>
      <c r="G364" s="155"/>
      <c r="H364" s="155"/>
      <c r="I364" s="155">
        <v>3.0409999999999999E-3</v>
      </c>
      <c r="J364" s="155"/>
      <c r="K364" s="155">
        <v>5.1590000000000004E-3</v>
      </c>
      <c r="L364" s="155">
        <v>6.8450000000000004E-3</v>
      </c>
      <c r="M364" s="155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6">
        <f ca="1"/>
        <v>0</v>
      </c>
      <c r="P364" s="156">
        <f ca="1"/>
        <v>0</v>
      </c>
      <c r="Q364" s="156">
        <f ca="1"/>
        <v>0</v>
      </c>
      <c r="R364" s="156">
        <f ca="1"/>
        <v>1.6255562613570751E-2</v>
      </c>
      <c r="S364" s="156">
        <f ca="1"/>
        <v>0</v>
      </c>
      <c r="T364" s="156">
        <f ca="1"/>
        <v>4.5737066144319716E-2</v>
      </c>
      <c r="U364" s="156">
        <f ca="1"/>
        <v>8.4253537629583652E-2</v>
      </c>
      <c r="V364" s="138">
        <f ca="1"/>
        <v>0</v>
      </c>
      <c r="W364" s="137">
        <f ca="1"/>
        <v>0</v>
      </c>
      <c r="X364" s="156">
        <f ca="1"/>
        <v>0</v>
      </c>
      <c r="Y364" s="156">
        <f ca="1"/>
        <v>0</v>
      </c>
      <c r="Z364" s="156">
        <f ca="1"/>
        <v>0</v>
      </c>
      <c r="AA364" s="156">
        <f ca="1"/>
        <v>1.6782087471985063E-2</v>
      </c>
      <c r="AB364" s="156">
        <f ca="1"/>
        <v>0</v>
      </c>
      <c r="AC364" s="156">
        <f ca="1"/>
        <v>4.6570047504706502E-2</v>
      </c>
      <c r="AD364" s="156">
        <f ca="1"/>
        <v>8.5364192860150956E-2</v>
      </c>
      <c r="AE364" s="138">
        <f ca="1"/>
        <v>0</v>
      </c>
      <c r="AH364" s="135" t="s">
        <v>632</v>
      </c>
      <c r="AL364" s="135" t="s">
        <v>636</v>
      </c>
      <c r="AM364" s="135"/>
      <c r="AS364" s="135" t="s">
        <v>640</v>
      </c>
      <c r="AT364" s="135"/>
    </row>
    <row r="365" spans="1:50" ht="10.5" customHeight="1">
      <c r="A365" s="96">
        <v>354</v>
      </c>
      <c r="B365" s="68" t="s">
        <v>625</v>
      </c>
      <c r="C365" s="97">
        <v>0.4</v>
      </c>
      <c r="D365" s="69" t="s">
        <v>66</v>
      </c>
      <c r="E365" s="136"/>
      <c r="F365" s="155"/>
      <c r="G365" s="155"/>
      <c r="H365" s="155"/>
      <c r="I365" s="155">
        <v>9.8239999999999994E-3</v>
      </c>
      <c r="J365" s="155"/>
      <c r="K365" s="155">
        <v>1.4659E-2</v>
      </c>
      <c r="L365" s="155">
        <v>1.8731999999999999E-2</v>
      </c>
      <c r="M365" s="155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6">
        <f ca="1"/>
        <v>0</v>
      </c>
      <c r="P365" s="156">
        <f ca="1"/>
        <v>0</v>
      </c>
      <c r="Q365" s="156">
        <f ca="1"/>
        <v>0</v>
      </c>
      <c r="R365" s="156">
        <f ca="1"/>
        <v>5.1557323932886923E-2</v>
      </c>
      <c r="S365" s="156">
        <f ca="1"/>
        <v>0</v>
      </c>
      <c r="T365" s="156">
        <f ca="1"/>
        <v>0.12487791255393921</v>
      </c>
      <c r="U365" s="156">
        <f ca="1"/>
        <v>0.21675917135189415</v>
      </c>
      <c r="V365" s="138">
        <f ca="1"/>
        <v>0</v>
      </c>
      <c r="W365" s="137">
        <f ca="1"/>
        <v>0</v>
      </c>
      <c r="X365" s="156">
        <f ca="1"/>
        <v>0</v>
      </c>
      <c r="Y365" s="156">
        <f ca="1"/>
        <v>0</v>
      </c>
      <c r="Z365" s="156">
        <f ca="1"/>
        <v>0</v>
      </c>
      <c r="AA365" s="156">
        <f ca="1"/>
        <v>5.2068224626124482E-2</v>
      </c>
      <c r="AB365" s="156">
        <f ca="1"/>
        <v>0</v>
      </c>
      <c r="AC365" s="156">
        <f ca="1"/>
        <v>0.12565555067710776</v>
      </c>
      <c r="AD365" s="156">
        <f ca="1"/>
        <v>0.21774243761914935</v>
      </c>
      <c r="AE365" s="138">
        <f ca="1"/>
        <v>0</v>
      </c>
      <c r="AG365" s="135"/>
      <c r="AH365" s="135"/>
      <c r="AI365" s="135"/>
      <c r="AJ365" s="135"/>
      <c r="AK365" s="135"/>
      <c r="AL365" s="135" t="s">
        <v>637</v>
      </c>
      <c r="AM365" s="135">
        <f ca="1">0.00359635/AG366</f>
        <v>0.92976266815071684</v>
      </c>
      <c r="AO365" s="135"/>
      <c r="AP365" s="135"/>
      <c r="AQ365" s="135"/>
      <c r="AS365" s="135" t="s">
        <v>637</v>
      </c>
      <c r="AT365" s="135">
        <f ca="1">0.00094748/AG366</f>
        <v>0.24495155722314046</v>
      </c>
    </row>
    <row r="366" spans="1:50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5"/>
      <c r="G366" s="155"/>
      <c r="H366" s="155"/>
      <c r="I366" s="155">
        <v>4.7670000000000004E-3</v>
      </c>
      <c r="J366" s="155"/>
      <c r="K366" s="155">
        <v>1.0057999999999999E-2</v>
      </c>
      <c r="L366" s="155">
        <v>1.5502E-2</v>
      </c>
      <c r="M366" s="155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6">
        <f ca="1"/>
        <v>0</v>
      </c>
      <c r="P366" s="156">
        <f ca="1"/>
        <v>0</v>
      </c>
      <c r="Q366" s="156">
        <f ca="1"/>
        <v>0</v>
      </c>
      <c r="R366" s="156">
        <f ca="1"/>
        <v>2.5367490764384049E-2</v>
      </c>
      <c r="S366" s="156">
        <f ca="1"/>
        <v>0</v>
      </c>
      <c r="T366" s="156">
        <f ca="1"/>
        <v>8.8736024161161442E-2</v>
      </c>
      <c r="U366" s="156">
        <f ca="1"/>
        <v>0.18779680007024457</v>
      </c>
      <c r="V366" s="138">
        <f ca="1"/>
        <v>0</v>
      </c>
      <c r="W366" s="137">
        <f ca="1"/>
        <v>0</v>
      </c>
      <c r="X366" s="156">
        <f ca="1"/>
        <v>0</v>
      </c>
      <c r="Y366" s="156">
        <f ca="1"/>
        <v>0</v>
      </c>
      <c r="Z366" s="156">
        <f ca="1"/>
        <v>0</v>
      </c>
      <c r="AA366" s="156">
        <f ca="1"/>
        <v>2.5883713733029001E-2</v>
      </c>
      <c r="AB366" s="156">
        <f ca="1"/>
        <v>0</v>
      </c>
      <c r="AC366" s="156">
        <f ca="1"/>
        <v>8.9548116504346686E-2</v>
      </c>
      <c r="AD366" s="156">
        <f ca="1"/>
        <v>0.1888268709582831</v>
      </c>
      <c r="AE366" s="138">
        <f ca="1"/>
        <v>0</v>
      </c>
      <c r="AF366" s="135" t="s">
        <v>633</v>
      </c>
      <c r="AG366" s="135">
        <v>3.8680301147744327E-3</v>
      </c>
      <c r="AH366" s="538" t="s">
        <v>55</v>
      </c>
      <c r="AI366" s="538" t="s">
        <v>57</v>
      </c>
      <c r="AJ366" s="538" t="s">
        <v>59</v>
      </c>
      <c r="AK366" s="135"/>
      <c r="AL366" s="135" t="s">
        <v>639</v>
      </c>
      <c r="AM366" s="135">
        <f ca="1">0.00928509/AG367</f>
        <v>1.2891936052810362</v>
      </c>
      <c r="AO366" s="538" t="s">
        <v>55</v>
      </c>
      <c r="AP366" s="538" t="s">
        <v>57</v>
      </c>
      <c r="AQ366" s="538" t="s">
        <v>59</v>
      </c>
      <c r="AS366" s="135" t="s">
        <v>639</v>
      </c>
      <c r="AT366" s="135">
        <f ca="1">0.00224398/AG367</f>
        <v>0.31156668016987882</v>
      </c>
      <c r="AV366" s="538" t="s">
        <v>55</v>
      </c>
      <c r="AW366" s="538" t="s">
        <v>57</v>
      </c>
      <c r="AX366" s="538" t="s">
        <v>59</v>
      </c>
    </row>
    <row r="367" spans="1:50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5"/>
      <c r="G367" s="155"/>
      <c r="H367" s="155"/>
      <c r="I367" s="155">
        <v>6.8230000000000001E-3</v>
      </c>
      <c r="J367" s="155"/>
      <c r="K367" s="155">
        <v>1.3924000000000001E-2</v>
      </c>
      <c r="L367" s="155">
        <v>2.0253E-2</v>
      </c>
      <c r="M367" s="155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6">
        <f ca="1"/>
        <v>0</v>
      </c>
      <c r="P367" s="156">
        <f ca="1"/>
        <v>0</v>
      </c>
      <c r="Q367" s="156">
        <f ca="1"/>
        <v>0</v>
      </c>
      <c r="R367" s="156">
        <f ca="1"/>
        <v>3.6096358246144766E-2</v>
      </c>
      <c r="S367" s="156">
        <f ca="1"/>
        <v>0</v>
      </c>
      <c r="T367" s="156">
        <f ca="1"/>
        <v>0.1212432408213957</v>
      </c>
      <c r="U367" s="156">
        <f ca="1"/>
        <v>0.23923236515208168</v>
      </c>
      <c r="V367" s="138">
        <f ca="1"/>
        <v>0</v>
      </c>
      <c r="W367" s="137">
        <f ca="1"/>
        <v>0</v>
      </c>
      <c r="X367" s="156">
        <f ca="1"/>
        <v>0</v>
      </c>
      <c r="Y367" s="156">
        <f ca="1"/>
        <v>0</v>
      </c>
      <c r="Z367" s="156">
        <f ca="1"/>
        <v>0</v>
      </c>
      <c r="AA367" s="156">
        <f ca="1"/>
        <v>3.6615589734396936E-2</v>
      </c>
      <c r="AB367" s="156">
        <f ca="1"/>
        <v>0</v>
      </c>
      <c r="AC367" s="156">
        <f ca="1"/>
        <v>0.12202989987863666</v>
      </c>
      <c r="AD367" s="156">
        <f ca="1"/>
        <v>0.24020715158776307</v>
      </c>
      <c r="AE367" s="138">
        <f ca="1"/>
        <v>0</v>
      </c>
      <c r="AF367" s="135" t="s">
        <v>634</v>
      </c>
      <c r="AG367" s="135">
        <v>7.2022463980310446E-3</v>
      </c>
      <c r="AH367" s="135">
        <v>3.0899999999999999E-3</v>
      </c>
      <c r="AI367" s="135">
        <v>4.5950000000000001E-3</v>
      </c>
      <c r="AJ367" s="135">
        <v>6.3160000000000004E-3</v>
      </c>
      <c r="AK367" s="135"/>
      <c r="AL367" s="135" t="s">
        <v>638</v>
      </c>
      <c r="AM367" s="135">
        <f ca="1">0.01555165/AG368</f>
        <v>1.8271160077870305</v>
      </c>
      <c r="AO367" s="135">
        <f t="shared" ref="AO367:AO398" ca="1" si="8">AH367*$AM$365</f>
        <v>2.8729666445857149E-3</v>
      </c>
      <c r="AP367" s="135">
        <f t="shared" ref="AP367:AP398" ca="1" si="9">AI367*$AM$366</f>
        <v>5.9238446162663619E-3</v>
      </c>
      <c r="AQ367" s="135">
        <f t="shared" ref="AQ367:AQ398" ca="1" si="10">AJ367*$AM$367</f>
        <v>1.1540064705182885E-2</v>
      </c>
      <c r="AS367" s="135" t="s">
        <v>638</v>
      </c>
      <c r="AT367" s="135">
        <f ca="1">0.00370112/AG368</f>
        <v>0.43483331985613966</v>
      </c>
      <c r="AV367" s="538">
        <f ca="1">AH367*$AT$365</f>
        <v>7.5690031181950405E-4</v>
      </c>
      <c r="AW367" s="538">
        <f ca="1">AI367*$AT$366</f>
        <v>1.4316488953805932E-3</v>
      </c>
      <c r="AX367" s="538">
        <f ca="1">AJ367*$AT$367</f>
        <v>2.7464072482113783E-3</v>
      </c>
    </row>
    <row r="368" spans="1:50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5"/>
      <c r="G368" s="155"/>
      <c r="H368" s="155"/>
      <c r="I368" s="155">
        <v>2.196E-3</v>
      </c>
      <c r="J368" s="155"/>
      <c r="K368" s="155">
        <v>3.117E-3</v>
      </c>
      <c r="L368" s="155">
        <v>4.3610000000000003E-3</v>
      </c>
      <c r="M368" s="155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6">
        <f ca="1"/>
        <v>0</v>
      </c>
      <c r="P368" s="156">
        <f ca="1"/>
        <v>0</v>
      </c>
      <c r="Q368" s="156">
        <f ca="1"/>
        <v>0</v>
      </c>
      <c r="R368" s="156">
        <f ca="1"/>
        <v>1.1764605722618615E-2</v>
      </c>
      <c r="S368" s="156">
        <f ca="1"/>
        <v>0</v>
      </c>
      <c r="T368" s="156">
        <f ca="1"/>
        <v>2.7560875251291583E-2</v>
      </c>
      <c r="U368" s="156">
        <f ca="1"/>
        <v>5.4239256672735769E-2</v>
      </c>
      <c r="V368" s="138">
        <f ca="1"/>
        <v>0</v>
      </c>
      <c r="W368" s="137">
        <f ca="1"/>
        <v>0</v>
      </c>
      <c r="X368" s="156">
        <f ca="1"/>
        <v>0</v>
      </c>
      <c r="Y368" s="156">
        <f ca="1"/>
        <v>0</v>
      </c>
      <c r="Z368" s="156">
        <f ca="1"/>
        <v>0</v>
      </c>
      <c r="AA368" s="156">
        <f ca="1"/>
        <v>1.2295225052703862E-2</v>
      </c>
      <c r="AB368" s="156">
        <f ca="1"/>
        <v>0</v>
      </c>
      <c r="AC368" s="156">
        <f ca="1"/>
        <v>2.8412026426864245E-2</v>
      </c>
      <c r="AD368" s="156">
        <f ca="1"/>
        <v>5.5387922580402371E-2</v>
      </c>
      <c r="AE368" s="138">
        <f ca="1"/>
        <v>0</v>
      </c>
      <c r="AF368" s="135" t="s">
        <v>635</v>
      </c>
      <c r="AG368" s="135">
        <v>8.5115832457928458E-3</v>
      </c>
      <c r="AH368" s="135">
        <v>2.9420000000000002E-3</v>
      </c>
      <c r="AI368" s="135">
        <v>4.9529999999999999E-3</v>
      </c>
      <c r="AJ368" s="135">
        <v>7.0489999999999997E-3</v>
      </c>
      <c r="AK368" s="135"/>
      <c r="AO368" s="135">
        <f t="shared" ca="1" si="8"/>
        <v>2.7353617696994092E-3</v>
      </c>
      <c r="AP368" s="135">
        <f t="shared" ca="1" si="9"/>
        <v>6.3853759269569725E-3</v>
      </c>
      <c r="AQ368" s="135">
        <f t="shared" ca="1" si="10"/>
        <v>1.2879340738890778E-2</v>
      </c>
      <c r="AV368" s="538">
        <f t="shared" ref="AV368:AV431" ca="1" si="11">AH368*$AT$365</f>
        <v>7.2064748135047926E-4</v>
      </c>
      <c r="AW368" s="538">
        <f t="shared" ref="AW368:AW431" ca="1" si="12">AI368*$AT$366</f>
        <v>1.5431897668814099E-3</v>
      </c>
      <c r="AX368" s="538">
        <f t="shared" ref="AX368:AX431" ca="1" si="13">AJ368*$AT$367</f>
        <v>3.0651400716659285E-3</v>
      </c>
    </row>
    <row r="369" spans="1:50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5"/>
      <c r="G369" s="155"/>
      <c r="H369" s="155"/>
      <c r="I369" s="155">
        <v>2.016E-3</v>
      </c>
      <c r="J369" s="155"/>
      <c r="K369" s="155">
        <v>3.4150000000000001E-3</v>
      </c>
      <c r="L369" s="155">
        <v>5.3829999999999998E-3</v>
      </c>
      <c r="M369" s="155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6">
        <f ca="1"/>
        <v>0</v>
      </c>
      <c r="P369" s="156">
        <f ca="1"/>
        <v>0</v>
      </c>
      <c r="Q369" s="156">
        <f ca="1"/>
        <v>0</v>
      </c>
      <c r="R369" s="156">
        <f ca="1"/>
        <v>1.0805384467412305E-2</v>
      </c>
      <c r="S369" s="156">
        <f ca="1"/>
        <v>0</v>
      </c>
      <c r="T369" s="156">
        <f ca="1"/>
        <v>3.0444384981949346E-2</v>
      </c>
      <c r="U369" s="156">
        <f ca="1"/>
        <v>6.7619717846899685E-2</v>
      </c>
      <c r="V369" s="138">
        <f ca="1"/>
        <v>0</v>
      </c>
      <c r="W369" s="137">
        <f ca="1"/>
        <v>0</v>
      </c>
      <c r="X369" s="156">
        <f ca="1"/>
        <v>0</v>
      </c>
      <c r="Y369" s="156">
        <f ca="1"/>
        <v>0</v>
      </c>
      <c r="Z369" s="156">
        <f ca="1"/>
        <v>0</v>
      </c>
      <c r="AA369" s="156">
        <f ca="1"/>
        <v>1.1336800730676222E-2</v>
      </c>
      <c r="AB369" s="156">
        <f ca="1"/>
        <v>0</v>
      </c>
      <c r="AC369" s="156">
        <f ca="1"/>
        <v>3.1293085898508877E-2</v>
      </c>
      <c r="AD369" s="156">
        <f ca="1"/>
        <v>6.875148628544836E-2</v>
      </c>
      <c r="AE369" s="138">
        <f ca="1"/>
        <v>0</v>
      </c>
      <c r="AG369" s="135"/>
      <c r="AH369" s="135">
        <v>3.0409999999999999E-3</v>
      </c>
      <c r="AI369" s="135">
        <v>5.1590000000000004E-3</v>
      </c>
      <c r="AJ369" s="135">
        <v>6.8450000000000004E-3</v>
      </c>
      <c r="AK369" s="135"/>
      <c r="AO369" s="135">
        <f t="shared" ca="1" si="8"/>
        <v>2.8274082738463297E-3</v>
      </c>
      <c r="AP369" s="135">
        <f t="shared" ca="1" si="9"/>
        <v>6.6509498096448665E-3</v>
      </c>
      <c r="AQ369" s="135">
        <f t="shared" ca="1" si="10"/>
        <v>1.2506609073302226E-2</v>
      </c>
      <c r="AV369" s="538">
        <f t="shared" ca="1" si="11"/>
        <v>7.448976855155701E-4</v>
      </c>
      <c r="AW369" s="538">
        <f t="shared" ca="1" si="12"/>
        <v>1.6073725029964049E-3</v>
      </c>
      <c r="AX369" s="538">
        <f t="shared" ca="1" si="13"/>
        <v>2.976434074415276E-3</v>
      </c>
    </row>
    <row r="370" spans="1:50" ht="10.5" customHeight="1">
      <c r="A370" s="96">
        <v>359</v>
      </c>
      <c r="B370" s="68" t="s">
        <v>532</v>
      </c>
      <c r="C370" s="97">
        <v>0.4</v>
      </c>
      <c r="D370" s="69" t="s">
        <v>66</v>
      </c>
      <c r="E370" s="136"/>
      <c r="F370" s="155"/>
      <c r="G370" s="155"/>
      <c r="H370" s="155"/>
      <c r="I370" s="155">
        <v>2.222E-3</v>
      </c>
      <c r="J370" s="155"/>
      <c r="K370" s="155">
        <v>4.2570000000000004E-3</v>
      </c>
      <c r="L370" s="155">
        <v>6.2550000000000001E-3</v>
      </c>
      <c r="M370" s="155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6">
        <f ca="1"/>
        <v>0</v>
      </c>
      <c r="P370" s="156">
        <f ca="1"/>
        <v>0</v>
      </c>
      <c r="Q370" s="156">
        <f ca="1"/>
        <v>0</v>
      </c>
      <c r="R370" s="156">
        <f ca="1"/>
        <v>1.1903085203907038E-2</v>
      </c>
      <c r="S370" s="156">
        <f ca="1"/>
        <v>0</v>
      </c>
      <c r="T370" s="156">
        <f ca="1"/>
        <v>3.8062537165464039E-2</v>
      </c>
      <c r="U370" s="156">
        <f ca="1"/>
        <v>7.8096635237933532E-2</v>
      </c>
      <c r="V370" s="138">
        <f ca="1"/>
        <v>0</v>
      </c>
      <c r="W370" s="137">
        <f ca="1"/>
        <v>0</v>
      </c>
      <c r="X370" s="156">
        <f ca="1"/>
        <v>0</v>
      </c>
      <c r="Y370" s="156">
        <f ca="1"/>
        <v>0</v>
      </c>
      <c r="Z370" s="156">
        <f ca="1"/>
        <v>0</v>
      </c>
      <c r="AA370" s="156">
        <f ca="1"/>
        <v>1.2433587283248282E-2</v>
      </c>
      <c r="AB370" s="156">
        <f ca="1"/>
        <v>0</v>
      </c>
      <c r="AC370" s="156">
        <f ca="1"/>
        <v>3.8903631385763249E-2</v>
      </c>
      <c r="AD370" s="156">
        <f ca="1"/>
        <v>7.9215256048919991E-2</v>
      </c>
      <c r="AE370" s="138">
        <f ca="1"/>
        <v>0</v>
      </c>
      <c r="AG370" s="135"/>
      <c r="AH370" s="135">
        <v>9.8239999999999994E-3</v>
      </c>
      <c r="AI370" s="135">
        <v>1.4659E-2</v>
      </c>
      <c r="AJ370" s="135">
        <v>1.8731999999999999E-2</v>
      </c>
      <c r="AK370" s="135"/>
      <c r="AO370" s="135">
        <f t="shared" ca="1" si="8"/>
        <v>9.1339884519126419E-3</v>
      </c>
      <c r="AP370" s="135">
        <f t="shared" ca="1" si="9"/>
        <v>1.8898289059814711E-2</v>
      </c>
      <c r="AQ370" s="135">
        <f t="shared" ca="1" si="10"/>
        <v>3.4225537057866656E-2</v>
      </c>
      <c r="AV370" s="538">
        <f t="shared" ca="1" si="11"/>
        <v>2.4064040981601319E-3</v>
      </c>
      <c r="AW370" s="538">
        <f t="shared" ca="1" si="12"/>
        <v>4.5672559646102538E-3</v>
      </c>
      <c r="AX370" s="538">
        <f t="shared" ca="1" si="13"/>
        <v>8.1452977475452073E-3</v>
      </c>
    </row>
    <row r="371" spans="1:50" ht="10.5" customHeight="1">
      <c r="A371" s="96">
        <v>360</v>
      </c>
      <c r="B371" s="68" t="s">
        <v>533</v>
      </c>
      <c r="C371" s="97">
        <v>0.4</v>
      </c>
      <c r="D371" s="69" t="s">
        <v>66</v>
      </c>
      <c r="E371" s="136"/>
      <c r="F371" s="155"/>
      <c r="G371" s="155"/>
      <c r="H371" s="155"/>
      <c r="I371" s="155">
        <v>7.633E-3</v>
      </c>
      <c r="J371" s="155"/>
      <c r="K371" s="155">
        <v>1.1407E-2</v>
      </c>
      <c r="L371" s="155">
        <v>1.4759E-2</v>
      </c>
      <c r="M371" s="155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6">
        <f ca="1"/>
        <v>0</v>
      </c>
      <c r="P371" s="156">
        <f ca="1"/>
        <v>0</v>
      </c>
      <c r="Q371" s="156">
        <f ca="1"/>
        <v>0</v>
      </c>
      <c r="R371" s="156">
        <f ca="1"/>
        <v>4.0294097872483503E-2</v>
      </c>
      <c r="S371" s="156">
        <f ca="1"/>
        <v>0</v>
      </c>
      <c r="T371" s="156">
        <f ca="1"/>
        <v>9.8280541172497404E-2</v>
      </c>
      <c r="U371" s="156">
        <f ca="1"/>
        <v>0.17416045570883587</v>
      </c>
      <c r="V371" s="138">
        <f ca="1"/>
        <v>0</v>
      </c>
      <c r="W371" s="137">
        <f ca="1"/>
        <v>0</v>
      </c>
      <c r="X371" s="156">
        <f ca="1"/>
        <v>0</v>
      </c>
      <c r="Y371" s="156">
        <f ca="1"/>
        <v>0</v>
      </c>
      <c r="Z371" s="156">
        <f ca="1"/>
        <v>0</v>
      </c>
      <c r="AA371" s="156">
        <f ca="1"/>
        <v>4.0811067500573284E-2</v>
      </c>
      <c r="AB371" s="156">
        <f ca="1"/>
        <v>0</v>
      </c>
      <c r="AC371" s="156">
        <f ca="1"/>
        <v>9.907886982697689E-2</v>
      </c>
      <c r="AD371" s="156">
        <f ca="1"/>
        <v>0.1751890536773022</v>
      </c>
      <c r="AE371" s="138">
        <f ca="1"/>
        <v>0</v>
      </c>
      <c r="AG371" s="135"/>
      <c r="AH371" s="135">
        <v>4.7670000000000004E-3</v>
      </c>
      <c r="AI371" s="135">
        <v>1.0057999999999999E-2</v>
      </c>
      <c r="AJ371" s="135">
        <v>1.5502E-2</v>
      </c>
      <c r="AK371" s="135"/>
      <c r="AO371" s="135">
        <f t="shared" ca="1" si="8"/>
        <v>4.432178639074468E-3</v>
      </c>
      <c r="AP371" s="135">
        <f t="shared" ca="1" si="9"/>
        <v>1.2966709281916662E-2</v>
      </c>
      <c r="AQ371" s="135">
        <f t="shared" ca="1" si="10"/>
        <v>2.8323952352714548E-2</v>
      </c>
      <c r="AV371" s="538">
        <f t="shared" ca="1" si="11"/>
        <v>1.1676840732827106E-3</v>
      </c>
      <c r="AW371" s="538">
        <f t="shared" ca="1" si="12"/>
        <v>3.1337376691486407E-3</v>
      </c>
      <c r="AX371" s="538">
        <f t="shared" ca="1" si="13"/>
        <v>6.7407861244098768E-3</v>
      </c>
    </row>
    <row r="372" spans="1:50" ht="10.5" customHeight="1">
      <c r="A372" s="96">
        <v>361</v>
      </c>
      <c r="B372" s="68" t="s">
        <v>534</v>
      </c>
      <c r="C372" s="97">
        <v>0.4</v>
      </c>
      <c r="D372" s="69" t="s">
        <v>66</v>
      </c>
      <c r="E372" s="136"/>
      <c r="F372" s="155"/>
      <c r="G372" s="155"/>
      <c r="H372" s="155"/>
      <c r="I372" s="155">
        <v>2.836E-3</v>
      </c>
      <c r="J372" s="155"/>
      <c r="K372" s="155">
        <v>5.025E-3</v>
      </c>
      <c r="L372" s="155">
        <v>7.2620000000000002E-3</v>
      </c>
      <c r="M372" s="155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6">
        <f ca="1"/>
        <v>0</v>
      </c>
      <c r="P372" s="156">
        <f ca="1"/>
        <v>0</v>
      </c>
      <c r="Q372" s="156">
        <f ca="1"/>
        <v>0</v>
      </c>
      <c r="R372" s="156">
        <f ca="1"/>
        <v>1.5167862546973554E-2</v>
      </c>
      <c r="S372" s="156">
        <f ca="1"/>
        <v>0</v>
      </c>
      <c r="T372" s="156">
        <f ca="1"/>
        <v>4.466345713223252E-2</v>
      </c>
      <c r="U372" s="156">
        <f ca="1"/>
        <v>9.0015106770475639E-2</v>
      </c>
      <c r="V372" s="138">
        <f ca="1"/>
        <v>0</v>
      </c>
      <c r="W372" s="137">
        <f ca="1"/>
        <v>0</v>
      </c>
      <c r="X372" s="156">
        <f ca="1"/>
        <v>0</v>
      </c>
      <c r="Y372" s="156">
        <f ca="1"/>
        <v>0</v>
      </c>
      <c r="Z372" s="156">
        <f ca="1"/>
        <v>0</v>
      </c>
      <c r="AA372" s="156">
        <f ca="1"/>
        <v>1.5695435401552937E-2</v>
      </c>
      <c r="AB372" s="156">
        <f ca="1"/>
        <v>0</v>
      </c>
      <c r="AC372" s="156">
        <f ca="1"/>
        <v>4.5497531980078443E-2</v>
      </c>
      <c r="AD372" s="156">
        <f ca="1"/>
        <v>9.1116331729400701E-2</v>
      </c>
      <c r="AE372" s="138">
        <f ca="1"/>
        <v>0</v>
      </c>
      <c r="AG372" s="135"/>
      <c r="AH372" s="135">
        <v>6.8230000000000001E-3</v>
      </c>
      <c r="AI372" s="135">
        <v>1.3924000000000001E-2</v>
      </c>
      <c r="AJ372" s="135">
        <v>2.0253E-2</v>
      </c>
      <c r="AK372" s="135"/>
      <c r="AO372" s="135">
        <f t="shared" ca="1" si="8"/>
        <v>6.3437706847923412E-3</v>
      </c>
      <c r="AP372" s="135">
        <f t="shared" ca="1" si="9"/>
        <v>1.7950731759933149E-2</v>
      </c>
      <c r="AQ372" s="135">
        <f t="shared" ca="1" si="10"/>
        <v>3.7004580505710732E-2</v>
      </c>
      <c r="AV372" s="538">
        <f t="shared" ca="1" si="11"/>
        <v>1.6713044749334875E-3</v>
      </c>
      <c r="AW372" s="538">
        <f t="shared" ca="1" si="12"/>
        <v>4.3382544546853932E-3</v>
      </c>
      <c r="AX372" s="538">
        <f t="shared" ca="1" si="13"/>
        <v>8.8066792270463969E-3</v>
      </c>
    </row>
    <row r="373" spans="1:50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5"/>
      <c r="G373" s="155"/>
      <c r="H373" s="155"/>
      <c r="I373" s="155">
        <v>2.2030000000000001E-3</v>
      </c>
      <c r="J373" s="155"/>
      <c r="K373" s="155">
        <v>3.3639999999999998E-3</v>
      </c>
      <c r="L373" s="155">
        <v>4.9129999999999998E-3</v>
      </c>
      <c r="M373" s="155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6">
        <f ca="1"/>
        <v>0</v>
      </c>
      <c r="P373" s="156">
        <f ca="1"/>
        <v>0</v>
      </c>
      <c r="Q373" s="156">
        <f ca="1"/>
        <v>0</v>
      </c>
      <c r="R373" s="156">
        <f ca="1"/>
        <v>1.1801890513976176E-2</v>
      </c>
      <c r="S373" s="156">
        <f ca="1"/>
        <v>0</v>
      </c>
      <c r="T373" s="156">
        <f ca="1"/>
        <v>2.983872570209456E-2</v>
      </c>
      <c r="U373" s="156">
        <f ca="1"/>
        <v>6.1308656281088392E-2</v>
      </c>
      <c r="V373" s="138">
        <f ca="1"/>
        <v>0</v>
      </c>
      <c r="W373" s="137">
        <f ca="1"/>
        <v>0</v>
      </c>
      <c r="X373" s="156">
        <f ca="1"/>
        <v>0</v>
      </c>
      <c r="Y373" s="156">
        <f ca="1"/>
        <v>0</v>
      </c>
      <c r="Z373" s="156">
        <f ca="1"/>
        <v>0</v>
      </c>
      <c r="AA373" s="156">
        <f ca="1"/>
        <v>1.2332478329870056E-2</v>
      </c>
      <c r="AB373" s="156">
        <f ca="1"/>
        <v>0</v>
      </c>
      <c r="AC373" s="156">
        <f ca="1"/>
        <v>3.0687872346838563E-2</v>
      </c>
      <c r="AD373" s="156">
        <f ca="1"/>
        <v>6.2448652642727032E-2</v>
      </c>
      <c r="AE373" s="138">
        <f ca="1"/>
        <v>0</v>
      </c>
      <c r="AG373" s="135"/>
      <c r="AH373" s="135">
        <v>2.196E-3</v>
      </c>
      <c r="AI373" s="135">
        <v>3.117E-3</v>
      </c>
      <c r="AJ373" s="135">
        <v>4.3610000000000003E-3</v>
      </c>
      <c r="AK373" s="135"/>
      <c r="AO373" s="135">
        <f t="shared" ca="1" si="8"/>
        <v>2.0417588192589743E-3</v>
      </c>
      <c r="AP373" s="135">
        <f t="shared" ca="1" si="9"/>
        <v>4.0184164676609901E-3</v>
      </c>
      <c r="AQ373" s="135">
        <f t="shared" ca="1" si="10"/>
        <v>7.9680529099592414E-3</v>
      </c>
      <c r="AV373" s="538">
        <f t="shared" ca="1" si="11"/>
        <v>5.3791361966201647E-4</v>
      </c>
      <c r="AW373" s="538">
        <f t="shared" ca="1" si="12"/>
        <v>9.7115334208951231E-4</v>
      </c>
      <c r="AX373" s="538">
        <f t="shared" ca="1" si="13"/>
        <v>1.8963081078926252E-3</v>
      </c>
    </row>
    <row r="374" spans="1:50" ht="10.5" customHeight="1">
      <c r="A374" s="96">
        <v>363</v>
      </c>
      <c r="B374" s="68" t="s">
        <v>626</v>
      </c>
      <c r="C374" s="97">
        <v>0.4</v>
      </c>
      <c r="D374" s="69" t="s">
        <v>66</v>
      </c>
      <c r="E374" s="136"/>
      <c r="F374" s="155"/>
      <c r="G374" s="155"/>
      <c r="H374" s="155"/>
      <c r="I374" s="155">
        <v>5.3819999999999996E-3</v>
      </c>
      <c r="J374" s="155"/>
      <c r="K374" s="155">
        <v>8.8269999999999998E-3</v>
      </c>
      <c r="L374" s="155">
        <v>1.2491E-2</v>
      </c>
      <c r="M374" s="155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6">
        <f ca="1"/>
        <v>0</v>
      </c>
      <c r="P374" s="156">
        <f ca="1"/>
        <v>0</v>
      </c>
      <c r="Q374" s="156">
        <f ca="1"/>
        <v>0</v>
      </c>
      <c r="R374" s="156">
        <f ca="1"/>
        <v>2.8594480158324331E-2</v>
      </c>
      <c r="S374" s="156">
        <f ca="1"/>
        <v>0</v>
      </c>
      <c r="T374" s="156">
        <f ca="1"/>
        <v>7.7164606619914089E-2</v>
      </c>
      <c r="U374" s="156">
        <f ca="1"/>
        <v>0.15084581982664891</v>
      </c>
      <c r="V374" s="138">
        <f ca="1"/>
        <v>0</v>
      </c>
      <c r="W374" s="137">
        <f ca="1"/>
        <v>0</v>
      </c>
      <c r="X374" s="156">
        <f ca="1"/>
        <v>0</v>
      </c>
      <c r="Y374" s="156">
        <f ca="1"/>
        <v>0</v>
      </c>
      <c r="Z374" s="156">
        <f ca="1"/>
        <v>0</v>
      </c>
      <c r="AA374" s="156">
        <f ca="1"/>
        <v>2.9106356178237869E-2</v>
      </c>
      <c r="AB374" s="156">
        <f ca="1"/>
        <v>0</v>
      </c>
      <c r="AC374" s="156">
        <f ca="1"/>
        <v>7.7982451817681153E-2</v>
      </c>
      <c r="AD374" s="156">
        <f ca="1"/>
        <v>0.15190601750463462</v>
      </c>
      <c r="AE374" s="138">
        <f ca="1"/>
        <v>0</v>
      </c>
      <c r="AG374" s="135"/>
      <c r="AH374" s="135">
        <v>2.016E-3</v>
      </c>
      <c r="AI374" s="135">
        <v>3.4150000000000001E-3</v>
      </c>
      <c r="AJ374" s="135">
        <v>5.3829999999999998E-3</v>
      </c>
      <c r="AK374" s="135"/>
      <c r="AO374" s="135">
        <f t="shared" ca="1" si="8"/>
        <v>1.8744015389918452E-3</v>
      </c>
      <c r="AP374" s="135">
        <f t="shared" ca="1" si="9"/>
        <v>4.4025961620347389E-3</v>
      </c>
      <c r="AQ374" s="135">
        <f t="shared" ca="1" si="10"/>
        <v>9.8353654699175844E-3</v>
      </c>
      <c r="AV374" s="538">
        <f t="shared" ca="1" si="11"/>
        <v>4.9382233936185122E-4</v>
      </c>
      <c r="AW374" s="538">
        <f t="shared" ca="1" si="12"/>
        <v>1.0640002127801362E-3</v>
      </c>
      <c r="AX374" s="538">
        <f t="shared" ca="1" si="13"/>
        <v>2.3407077607855995E-3</v>
      </c>
    </row>
    <row r="375" spans="1:50" ht="10.5" customHeight="1">
      <c r="A375" s="96">
        <v>364</v>
      </c>
      <c r="B375" s="68" t="s">
        <v>518</v>
      </c>
      <c r="C375" s="97">
        <v>0.4</v>
      </c>
      <c r="D375" s="69" t="s">
        <v>66</v>
      </c>
      <c r="E375" s="136"/>
      <c r="F375" s="155"/>
      <c r="G375" s="155"/>
      <c r="H375" s="155"/>
      <c r="I375" s="155">
        <v>2.905E-3</v>
      </c>
      <c r="J375" s="155"/>
      <c r="K375" s="155">
        <v>4.709E-2</v>
      </c>
      <c r="L375" s="155">
        <v>6.6230000000000004E-3</v>
      </c>
      <c r="M375" s="155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6">
        <f ca="1"/>
        <v>0</v>
      </c>
      <c r="P375" s="156">
        <f ca="1"/>
        <v>0</v>
      </c>
      <c r="Q375" s="156">
        <f ca="1"/>
        <v>0</v>
      </c>
      <c r="R375" s="156">
        <f ca="1"/>
        <v>1.5534096549296939E-2</v>
      </c>
      <c r="S375" s="156">
        <f ca="1"/>
        <v>0</v>
      </c>
      <c r="T375" s="156">
        <f ca="1"/>
        <v>0.4018521482800459</v>
      </c>
      <c r="U375" s="156">
        <f ca="1"/>
        <v>3.7158040676029458E-2</v>
      </c>
      <c r="V375" s="138">
        <f ca="1"/>
        <v>0</v>
      </c>
      <c r="W375" s="137">
        <f ca="1"/>
        <v>0</v>
      </c>
      <c r="X375" s="156">
        <f ca="1"/>
        <v>0</v>
      </c>
      <c r="Y375" s="156">
        <f ca="1"/>
        <v>0</v>
      </c>
      <c r="Z375" s="156">
        <f ca="1"/>
        <v>0</v>
      </c>
      <c r="AA375" s="156">
        <f ca="1"/>
        <v>1.6061320643789068E-2</v>
      </c>
      <c r="AB375" s="156">
        <f ca="1"/>
        <v>0</v>
      </c>
      <c r="AC375" s="156">
        <f ca="1"/>
        <v>0.40247846660573283</v>
      </c>
      <c r="AD375" s="156">
        <f ca="1"/>
        <v>3.8182376691802022E-2</v>
      </c>
      <c r="AE375" s="138">
        <f ca="1"/>
        <v>0</v>
      </c>
      <c r="AG375" s="135"/>
      <c r="AH375" s="135">
        <v>2.222E-3</v>
      </c>
      <c r="AI375" s="135">
        <v>4.2570000000000004E-3</v>
      </c>
      <c r="AJ375" s="135">
        <v>6.2550000000000001E-3</v>
      </c>
      <c r="AK375" s="135"/>
      <c r="AO375" s="135">
        <f t="shared" ca="1" si="8"/>
        <v>2.0659326486308928E-3</v>
      </c>
      <c r="AP375" s="135">
        <f t="shared" ca="1" si="9"/>
        <v>5.4880971776813713E-3</v>
      </c>
      <c r="AQ375" s="135">
        <f t="shared" ca="1" si="10"/>
        <v>1.1428610628707876E-2</v>
      </c>
      <c r="AV375" s="538">
        <f t="shared" ca="1" si="11"/>
        <v>5.4428236014981816E-4</v>
      </c>
      <c r="AW375" s="538">
        <f t="shared" ca="1" si="12"/>
        <v>1.3263393574831743E-3</v>
      </c>
      <c r="AX375" s="538">
        <f t="shared" ca="1" si="13"/>
        <v>2.7198824157001534E-3</v>
      </c>
    </row>
    <row r="376" spans="1:50" ht="10.5" customHeight="1">
      <c r="A376" s="96">
        <v>365</v>
      </c>
      <c r="B376" s="68" t="s">
        <v>519</v>
      </c>
      <c r="C376" s="97">
        <v>0.4</v>
      </c>
      <c r="D376" s="69" t="s">
        <v>66</v>
      </c>
      <c r="E376" s="136"/>
      <c r="F376" s="155"/>
      <c r="G376" s="155"/>
      <c r="H376" s="155"/>
      <c r="I376" s="155">
        <v>5.1570000000000001E-3</v>
      </c>
      <c r="J376" s="155"/>
      <c r="K376" s="155">
        <v>9.7490000000000007E-3</v>
      </c>
      <c r="L376" s="155">
        <v>1.2806E-2</v>
      </c>
      <c r="M376" s="155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6">
        <f ca="1"/>
        <v>0</v>
      </c>
      <c r="P376" s="156">
        <f ca="1"/>
        <v>0</v>
      </c>
      <c r="Q376" s="156">
        <f ca="1"/>
        <v>0</v>
      </c>
      <c r="R376" s="156">
        <f ca="1"/>
        <v>2.741507014324851E-2</v>
      </c>
      <c r="S376" s="156">
        <f ca="1"/>
        <v>0</v>
      </c>
      <c r="T376" s="156">
        <f ca="1"/>
        <v>8.5632656131627849E-2</v>
      </c>
      <c r="U376" s="156">
        <f ca="1"/>
        <v>0.1539242386449291</v>
      </c>
      <c r="V376" s="138">
        <f ca="1"/>
        <v>0</v>
      </c>
      <c r="W376" s="137">
        <f ca="1"/>
        <v>0</v>
      </c>
      <c r="X376" s="156">
        <f ca="1"/>
        <v>0</v>
      </c>
      <c r="Y376" s="156">
        <f ca="1"/>
        <v>0</v>
      </c>
      <c r="Z376" s="156">
        <f ca="1"/>
        <v>0</v>
      </c>
      <c r="AA376" s="156">
        <f ca="1"/>
        <v>2.7928579608478277E-2</v>
      </c>
      <c r="AB376" s="156">
        <f ca="1"/>
        <v>0</v>
      </c>
      <c r="AC376" s="156">
        <f ca="1"/>
        <v>8.6445914339366769E-2</v>
      </c>
      <c r="AD376" s="156">
        <f ca="1"/>
        <v>0.15497966002398933</v>
      </c>
      <c r="AE376" s="138">
        <f ca="1"/>
        <v>0</v>
      </c>
      <c r="AG376" s="135"/>
      <c r="AH376" s="135">
        <v>7.633E-3</v>
      </c>
      <c r="AI376" s="135">
        <v>1.1407E-2</v>
      </c>
      <c r="AJ376" s="135">
        <v>1.4759E-2</v>
      </c>
      <c r="AK376" s="135"/>
      <c r="AO376" s="135">
        <f t="shared" ca="1" si="8"/>
        <v>7.096878445994422E-3</v>
      </c>
      <c r="AP376" s="135">
        <f t="shared" ca="1" si="9"/>
        <v>1.4705831455440781E-2</v>
      </c>
      <c r="AQ376" s="135">
        <f t="shared" ca="1" si="10"/>
        <v>2.6966405158928782E-2</v>
      </c>
      <c r="AV376" s="538">
        <f t="shared" ca="1" si="11"/>
        <v>1.8697152362842312E-3</v>
      </c>
      <c r="AW376" s="538">
        <f t="shared" ca="1" si="12"/>
        <v>3.5540411206978076E-3</v>
      </c>
      <c r="AX376" s="538">
        <f t="shared" ca="1" si="13"/>
        <v>6.4177049677567651E-3</v>
      </c>
    </row>
    <row r="377" spans="1:50" ht="10.5" customHeight="1">
      <c r="A377" s="96">
        <v>366</v>
      </c>
      <c r="B377" s="68" t="s">
        <v>535</v>
      </c>
      <c r="C377" s="97">
        <v>0.4</v>
      </c>
      <c r="D377" s="69" t="s">
        <v>66</v>
      </c>
      <c r="E377" s="136"/>
      <c r="F377" s="155"/>
      <c r="G377" s="155"/>
      <c r="H377" s="155"/>
      <c r="I377" s="155">
        <v>5.1190000000000003E-3</v>
      </c>
      <c r="J377" s="155"/>
      <c r="K377" s="155">
        <v>1.0839E-2</v>
      </c>
      <c r="L377" s="155">
        <v>1.6057999999999999E-2</v>
      </c>
      <c r="M377" s="155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6">
        <f ca="1"/>
        <v>0</v>
      </c>
      <c r="P377" s="156">
        <f ca="1"/>
        <v>0</v>
      </c>
      <c r="Q377" s="156">
        <f ca="1"/>
        <v>0</v>
      </c>
      <c r="R377" s="156">
        <f ca="1"/>
        <v>2.7215744822020271E-2</v>
      </c>
      <c r="S377" s="156">
        <f ca="1"/>
        <v>0</v>
      </c>
      <c r="T377" s="156">
        <f ca="1"/>
        <v>9.5421695137584694E-2</v>
      </c>
      <c r="U377" s="156">
        <f ca="1"/>
        <v>0.19340378763289878</v>
      </c>
      <c r="V377" s="138">
        <f ca="1"/>
        <v>0</v>
      </c>
      <c r="W377" s="137">
        <f ca="1"/>
        <v>0</v>
      </c>
      <c r="X377" s="156">
        <f ca="1"/>
        <v>0</v>
      </c>
      <c r="Y377" s="156">
        <f ca="1"/>
        <v>0</v>
      </c>
      <c r="Z377" s="156">
        <f ca="1"/>
        <v>0</v>
      </c>
      <c r="AA377" s="156">
        <f ca="1"/>
        <v>2.7729525214362449E-2</v>
      </c>
      <c r="AB377" s="156">
        <f ca="1"/>
        <v>0</v>
      </c>
      <c r="AC377" s="156">
        <f ca="1"/>
        <v>9.6229278191715117E-2</v>
      </c>
      <c r="AD377" s="156">
        <f ca="1"/>
        <v>0.19442690800232831</v>
      </c>
      <c r="AE377" s="138">
        <f ca="1"/>
        <v>0</v>
      </c>
      <c r="AG377" s="135"/>
      <c r="AH377" s="135">
        <v>2.836E-3</v>
      </c>
      <c r="AI377" s="135">
        <v>5.025E-3</v>
      </c>
      <c r="AJ377" s="135">
        <v>7.2620000000000002E-3</v>
      </c>
      <c r="AK377" s="135"/>
      <c r="AO377" s="135">
        <f t="shared" ca="1" si="8"/>
        <v>2.636806926875433E-3</v>
      </c>
      <c r="AP377" s="135">
        <f t="shared" ca="1" si="9"/>
        <v>6.4781978665372072E-3</v>
      </c>
      <c r="AQ377" s="135">
        <f t="shared" ca="1" si="10"/>
        <v>1.3268516448549416E-2</v>
      </c>
      <c r="AV377" s="538">
        <f t="shared" ca="1" si="11"/>
        <v>6.946826162848263E-4</v>
      </c>
      <c r="AW377" s="538">
        <f t="shared" ca="1" si="12"/>
        <v>1.5656225678536411E-3</v>
      </c>
      <c r="AX377" s="538">
        <f t="shared" ca="1" si="13"/>
        <v>3.1577595687952865E-3</v>
      </c>
    </row>
    <row r="378" spans="1:50" ht="10.5" customHeight="1">
      <c r="A378" s="96">
        <v>367</v>
      </c>
      <c r="B378" s="68" t="s">
        <v>521</v>
      </c>
      <c r="C378" s="97">
        <v>0.4</v>
      </c>
      <c r="D378" s="69" t="s">
        <v>66</v>
      </c>
      <c r="E378" s="136"/>
      <c r="F378" s="155"/>
      <c r="G378" s="155"/>
      <c r="H378" s="155"/>
      <c r="I378" s="155">
        <v>1.5269999999999999E-3</v>
      </c>
      <c r="J378" s="155"/>
      <c r="K378" s="155">
        <v>2.49E-3</v>
      </c>
      <c r="L378" s="155">
        <v>3.63E-3</v>
      </c>
      <c r="M378" s="155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6">
        <f ca="1"/>
        <v>0</v>
      </c>
      <c r="P378" s="156">
        <f ca="1"/>
        <v>0</v>
      </c>
      <c r="Q378" s="156">
        <f ca="1"/>
        <v>0</v>
      </c>
      <c r="R378" s="156">
        <f ca="1"/>
        <v>8.1949291095414489E-3</v>
      </c>
      <c r="S378" s="156">
        <f ca="1"/>
        <v>0</v>
      </c>
      <c r="T378" s="156">
        <f ca="1"/>
        <v>2.2224724555135245E-2</v>
      </c>
      <c r="U378" s="156">
        <f ca="1"/>
        <v>4.5609373751937743E-2</v>
      </c>
      <c r="V378" s="138">
        <f ca="1"/>
        <v>0</v>
      </c>
      <c r="W378" s="137">
        <f ca="1"/>
        <v>0</v>
      </c>
      <c r="X378" s="156">
        <f ca="1"/>
        <v>0</v>
      </c>
      <c r="Y378" s="156">
        <f ca="1"/>
        <v>0</v>
      </c>
      <c r="Z378" s="156">
        <f ca="1"/>
        <v>0</v>
      </c>
      <c r="AA378" s="156">
        <f ca="1"/>
        <v>8.7283822290853408E-3</v>
      </c>
      <c r="AB378" s="156">
        <f ca="1"/>
        <v>0</v>
      </c>
      <c r="AC378" s="156">
        <f ca="1"/>
        <v>2.3081007464373249E-2</v>
      </c>
      <c r="AD378" s="156">
        <f ca="1"/>
        <v>4.6769421995556004E-2</v>
      </c>
      <c r="AE378" s="138">
        <f ca="1"/>
        <v>0</v>
      </c>
      <c r="AG378" s="135"/>
      <c r="AH378" s="135">
        <v>2.2030000000000001E-3</v>
      </c>
      <c r="AI378" s="135">
        <v>3.3639999999999998E-3</v>
      </c>
      <c r="AJ378" s="135">
        <v>4.9129999999999998E-3</v>
      </c>
      <c r="AK378" s="135"/>
      <c r="AO378" s="135">
        <f t="shared" ca="1" si="8"/>
        <v>2.0482671579360292E-3</v>
      </c>
      <c r="AP378" s="135">
        <f t="shared" ca="1" si="9"/>
        <v>4.3368472881654052E-3</v>
      </c>
      <c r="AQ378" s="135">
        <f t="shared" ca="1" si="10"/>
        <v>8.976620946257681E-3</v>
      </c>
      <c r="AV378" s="538">
        <f t="shared" ca="1" si="11"/>
        <v>5.3962828056257849E-4</v>
      </c>
      <c r="AW378" s="538">
        <f t="shared" ca="1" si="12"/>
        <v>1.0481103120914723E-3</v>
      </c>
      <c r="AX378" s="538">
        <f t="shared" ca="1" si="13"/>
        <v>2.1363361004532139E-3</v>
      </c>
    </row>
    <row r="379" spans="1:50" ht="10.5" customHeight="1">
      <c r="A379" s="96">
        <v>368</v>
      </c>
      <c r="B379" s="68" t="s">
        <v>536</v>
      </c>
      <c r="C379" s="97">
        <v>0.4</v>
      </c>
      <c r="D379" s="69" t="s">
        <v>66</v>
      </c>
      <c r="E379" s="136"/>
      <c r="F379" s="155"/>
      <c r="G379" s="155"/>
      <c r="H379" s="155"/>
      <c r="I379" s="155">
        <v>5.0749999999999997E-3</v>
      </c>
      <c r="J379" s="155"/>
      <c r="K379" s="155">
        <v>8.8369999999999994E-3</v>
      </c>
      <c r="L379" s="155">
        <v>1.3018E-2</v>
      </c>
      <c r="M379" s="155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6">
        <f ca="1"/>
        <v>0</v>
      </c>
      <c r="P379" s="156">
        <f ca="1"/>
        <v>0</v>
      </c>
      <c r="Q379" s="156">
        <f ca="1"/>
        <v>0</v>
      </c>
      <c r="R379" s="156">
        <f ca="1"/>
        <v>2.6984897917597062E-2</v>
      </c>
      <c r="S379" s="156">
        <f ca="1"/>
        <v>0</v>
      </c>
      <c r="T379" s="156">
        <f ca="1"/>
        <v>7.7509104784922678E-2</v>
      </c>
      <c r="U379" s="156">
        <f ca="1"/>
        <v>0.15777902940731758</v>
      </c>
      <c r="V379" s="138">
        <f ca="1"/>
        <v>0</v>
      </c>
      <c r="W379" s="137">
        <f ca="1"/>
        <v>0</v>
      </c>
      <c r="X379" s="156">
        <f ca="1"/>
        <v>0</v>
      </c>
      <c r="Y379" s="156">
        <f ca="1"/>
        <v>0</v>
      </c>
      <c r="Z379" s="156">
        <f ca="1"/>
        <v>0</v>
      </c>
      <c r="AA379" s="156">
        <f ca="1"/>
        <v>2.7498990241080157E-2</v>
      </c>
      <c r="AB379" s="156">
        <f ca="1"/>
        <v>0</v>
      </c>
      <c r="AC379" s="156">
        <f ca="1"/>
        <v>7.8327257650166571E-2</v>
      </c>
      <c r="AD379" s="156">
        <f ca="1"/>
        <v>0.15883451033832008</v>
      </c>
      <c r="AE379" s="138">
        <f ca="1"/>
        <v>0</v>
      </c>
      <c r="AG379" s="135"/>
      <c r="AH379" s="135">
        <v>5.3819999999999996E-3</v>
      </c>
      <c r="AI379" s="135">
        <v>8.8269999999999998E-3</v>
      </c>
      <c r="AJ379" s="135">
        <v>1.2491E-2</v>
      </c>
      <c r="AK379" s="135"/>
      <c r="AO379" s="135">
        <f t="shared" ca="1" si="8"/>
        <v>5.0039826799871574E-3</v>
      </c>
      <c r="AP379" s="135">
        <f t="shared" ca="1" si="9"/>
        <v>1.1379711953815706E-2</v>
      </c>
      <c r="AQ379" s="135">
        <f t="shared" ca="1" si="10"/>
        <v>2.2822506053267799E-2</v>
      </c>
      <c r="AV379" s="538">
        <f t="shared" ca="1" si="11"/>
        <v>1.3183292809749419E-3</v>
      </c>
      <c r="AW379" s="538">
        <f t="shared" ca="1" si="12"/>
        <v>2.7501990858595201E-3</v>
      </c>
      <c r="AX379" s="538">
        <f t="shared" ca="1" si="13"/>
        <v>5.4315029983230409E-3</v>
      </c>
    </row>
    <row r="380" spans="1:50" ht="10.5" customHeight="1">
      <c r="A380" s="96">
        <v>369</v>
      </c>
      <c r="B380" s="68" t="s">
        <v>537</v>
      </c>
      <c r="C380" s="97">
        <v>0.4</v>
      </c>
      <c r="D380" s="69" t="s">
        <v>66</v>
      </c>
      <c r="E380" s="136"/>
      <c r="F380" s="155"/>
      <c r="G380" s="155"/>
      <c r="H380" s="155"/>
      <c r="I380" s="155">
        <v>4.0559999999999997E-3</v>
      </c>
      <c r="J380" s="155"/>
      <c r="K380" s="155">
        <v>7.1669999999999998E-3</v>
      </c>
      <c r="L380" s="155">
        <v>1.0695E-2</v>
      </c>
      <c r="M380" s="155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6">
        <f ca="1"/>
        <v>0</v>
      </c>
      <c r="P380" s="156">
        <f ca="1"/>
        <v>0</v>
      </c>
      <c r="Q380" s="156">
        <f ca="1"/>
        <v>0</v>
      </c>
      <c r="R380" s="156">
        <f ca="1"/>
        <v>2.162389102363127E-2</v>
      </c>
      <c r="S380" s="156">
        <f ca="1"/>
        <v>0</v>
      </c>
      <c r="T380" s="156">
        <f ca="1"/>
        <v>6.3264435016258225E-2</v>
      </c>
      <c r="U380" s="156">
        <f ca="1"/>
        <v>0.13105573277521887</v>
      </c>
      <c r="V380" s="138">
        <f ca="1"/>
        <v>0</v>
      </c>
      <c r="W380" s="137">
        <f ca="1"/>
        <v>0</v>
      </c>
      <c r="X380" s="156">
        <f ca="1"/>
        <v>0</v>
      </c>
      <c r="Y380" s="156">
        <f ca="1"/>
        <v>0</v>
      </c>
      <c r="Z380" s="156">
        <f ca="1"/>
        <v>0</v>
      </c>
      <c r="AA380" s="156">
        <f ca="1"/>
        <v>2.2144686902850208E-2</v>
      </c>
      <c r="AB380" s="156">
        <f ca="1"/>
        <v>0</v>
      </c>
      <c r="AC380" s="156">
        <f ca="1"/>
        <v>6.407630314252688E-2</v>
      </c>
      <c r="AD380" s="156">
        <f ca="1"/>
        <v>0.13213967241944191</v>
      </c>
      <c r="AE380" s="138">
        <f ca="1"/>
        <v>0</v>
      </c>
      <c r="AG380" s="135"/>
      <c r="AH380" s="135">
        <v>2.905E-3</v>
      </c>
      <c r="AI380" s="135">
        <v>4.709E-2</v>
      </c>
      <c r="AJ380" s="135">
        <v>6.6230000000000004E-3</v>
      </c>
      <c r="AK380" s="135"/>
      <c r="AO380" s="135">
        <f t="shared" ca="1" si="8"/>
        <v>2.7009605509778324E-3</v>
      </c>
      <c r="AP380" s="135">
        <f t="shared" ca="1" si="9"/>
        <v>6.0708126872683996E-2</v>
      </c>
      <c r="AQ380" s="135">
        <f t="shared" ca="1" si="10"/>
        <v>1.2100989319573504E-2</v>
      </c>
      <c r="AV380" s="538">
        <f t="shared" ca="1" si="11"/>
        <v>7.1158427373322307E-4</v>
      </c>
      <c r="AW380" s="538">
        <f t="shared" ca="1" si="12"/>
        <v>1.4671674969199593E-2</v>
      </c>
      <c r="AX380" s="538">
        <f t="shared" ca="1" si="13"/>
        <v>2.8799010774072133E-3</v>
      </c>
    </row>
    <row r="381" spans="1:50" ht="10.5" customHeight="1">
      <c r="A381" s="96">
        <v>370</v>
      </c>
      <c r="B381" s="68" t="s">
        <v>627</v>
      </c>
      <c r="C381" s="97">
        <v>0.4</v>
      </c>
      <c r="D381" s="69" t="s">
        <v>66</v>
      </c>
      <c r="E381" s="136"/>
      <c r="F381" s="155"/>
      <c r="G381" s="155"/>
      <c r="H381" s="155"/>
      <c r="I381" s="155">
        <v>1.191E-3</v>
      </c>
      <c r="J381" s="155"/>
      <c r="K381" s="155">
        <v>1.908E-3</v>
      </c>
      <c r="L381" s="155">
        <v>2.9069999999999999E-3</v>
      </c>
      <c r="M381" s="155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6">
        <f ca="1"/>
        <v>0</v>
      </c>
      <c r="P381" s="156">
        <f ca="1"/>
        <v>0</v>
      </c>
      <c r="Q381" s="156">
        <f ca="1"/>
        <v>0</v>
      </c>
      <c r="R381" s="156">
        <f ca="1"/>
        <v>6.3973586260651638E-3</v>
      </c>
      <c r="S381" s="156">
        <f ca="1"/>
        <v>0</v>
      </c>
      <c r="T381" s="156">
        <f ca="1"/>
        <v>1.7048417004148497E-2</v>
      </c>
      <c r="U381" s="156">
        <f ca="1"/>
        <v>3.6738962778555817E-2</v>
      </c>
      <c r="V381" s="138">
        <f ca="1"/>
        <v>0</v>
      </c>
      <c r="W381" s="137">
        <f ca="1"/>
        <v>0</v>
      </c>
      <c r="X381" s="156">
        <f ca="1"/>
        <v>0</v>
      </c>
      <c r="Y381" s="156">
        <f ca="1"/>
        <v>0</v>
      </c>
      <c r="Z381" s="156">
        <f ca="1"/>
        <v>0</v>
      </c>
      <c r="AA381" s="156">
        <f ca="1"/>
        <v>6.9321057342385251E-3</v>
      </c>
      <c r="AB381" s="156">
        <f ca="1"/>
        <v>0</v>
      </c>
      <c r="AC381" s="156">
        <f ca="1"/>
        <v>1.7909223629676285E-2</v>
      </c>
      <c r="AD381" s="156">
        <f ca="1"/>
        <v>3.7909613577758128E-2</v>
      </c>
      <c r="AE381" s="138">
        <f ca="1"/>
        <v>0</v>
      </c>
      <c r="AG381" s="135"/>
      <c r="AH381" s="135">
        <v>5.1570000000000001E-3</v>
      </c>
      <c r="AI381" s="135">
        <v>9.7490000000000007E-3</v>
      </c>
      <c r="AJ381" s="135">
        <v>1.2806E-2</v>
      </c>
      <c r="AK381" s="135"/>
      <c r="AO381" s="135">
        <f t="shared" ca="1" si="8"/>
        <v>4.7947860796532472E-3</v>
      </c>
      <c r="AP381" s="135">
        <f t="shared" ca="1" si="9"/>
        <v>1.2568348457884824E-2</v>
      </c>
      <c r="AQ381" s="135">
        <f t="shared" ca="1" si="10"/>
        <v>2.3398047595720714E-2</v>
      </c>
      <c r="AV381" s="538">
        <f t="shared" ca="1" si="11"/>
        <v>1.2632151805997355E-3</v>
      </c>
      <c r="AW381" s="538">
        <f t="shared" ca="1" si="12"/>
        <v>3.037463564976149E-3</v>
      </c>
      <c r="AX381" s="538">
        <f t="shared" ca="1" si="13"/>
        <v>5.5684754940777239E-3</v>
      </c>
    </row>
    <row r="382" spans="1:50" ht="10.5" customHeight="1">
      <c r="A382" s="96">
        <v>371</v>
      </c>
      <c r="B382" s="68" t="s">
        <v>522</v>
      </c>
      <c r="C382" s="97">
        <v>0.4</v>
      </c>
      <c r="D382" s="69" t="s">
        <v>66</v>
      </c>
      <c r="E382" s="136"/>
      <c r="F382" s="155"/>
      <c r="G382" s="155"/>
      <c r="H382" s="155"/>
      <c r="I382" s="155">
        <v>1.2049999999999999E-3</v>
      </c>
      <c r="J382" s="155"/>
      <c r="K382" s="155">
        <v>1.9740000000000001E-3</v>
      </c>
      <c r="L382" s="155">
        <v>3.055E-3</v>
      </c>
      <c r="M382" s="155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6">
        <f ca="1"/>
        <v>0</v>
      </c>
      <c r="P382" s="156">
        <f ca="1"/>
        <v>0</v>
      </c>
      <c r="Q382" s="156">
        <f ca="1"/>
        <v>0</v>
      </c>
      <c r="R382" s="156">
        <f ca="1"/>
        <v>6.4723206842522973E-3</v>
      </c>
      <c r="S382" s="156">
        <f ca="1"/>
        <v>0</v>
      </c>
      <c r="T382" s="156">
        <f ca="1"/>
        <v>1.7652975598230869E-2</v>
      </c>
      <c r="U382" s="156">
        <f ca="1"/>
        <v>3.8649227406468034E-2</v>
      </c>
      <c r="V382" s="138">
        <f ca="1"/>
        <v>0</v>
      </c>
      <c r="W382" s="137">
        <f ca="1"/>
        <v>0</v>
      </c>
      <c r="X382" s="156">
        <f ca="1"/>
        <v>0</v>
      </c>
      <c r="Y382" s="156">
        <f ca="1"/>
        <v>0</v>
      </c>
      <c r="Z382" s="156">
        <f ca="1"/>
        <v>0</v>
      </c>
      <c r="AA382" s="156">
        <f ca="1"/>
        <v>7.0070155534313061E-3</v>
      </c>
      <c r="AB382" s="156">
        <f ca="1"/>
        <v>0</v>
      </c>
      <c r="AC382" s="156">
        <f ca="1"/>
        <v>1.8513299687166307E-2</v>
      </c>
      <c r="AD382" s="156">
        <f ca="1"/>
        <v>3.9817753534737932E-2</v>
      </c>
      <c r="AE382" s="138">
        <f ca="1"/>
        <v>0</v>
      </c>
      <c r="AG382" s="135"/>
      <c r="AH382" s="135">
        <v>5.1190000000000003E-3</v>
      </c>
      <c r="AI382" s="135">
        <v>1.0839E-2</v>
      </c>
      <c r="AJ382" s="135">
        <v>1.6057999999999999E-2</v>
      </c>
      <c r="AK382" s="135"/>
      <c r="AO382" s="135">
        <f t="shared" ca="1" si="8"/>
        <v>4.7594550982635198E-3</v>
      </c>
      <c r="AP382" s="135">
        <f t="shared" ca="1" si="9"/>
        <v>1.3973569487641151E-2</v>
      </c>
      <c r="AQ382" s="135">
        <f t="shared" ca="1" si="10"/>
        <v>2.9339828853044134E-2</v>
      </c>
      <c r="AV382" s="538">
        <f t="shared" ca="1" si="11"/>
        <v>1.2539070214252562E-3</v>
      </c>
      <c r="AW382" s="538">
        <f t="shared" ca="1" si="12"/>
        <v>3.3770712463613165E-3</v>
      </c>
      <c r="AX382" s="538">
        <f t="shared" ca="1" si="13"/>
        <v>6.9825534502498902E-3</v>
      </c>
    </row>
    <row r="383" spans="1:50" ht="10.5" customHeight="1">
      <c r="A383" s="96">
        <v>372</v>
      </c>
      <c r="B383" s="68" t="s">
        <v>628</v>
      </c>
      <c r="C383" s="97">
        <v>0.4</v>
      </c>
      <c r="D383" s="69" t="s">
        <v>66</v>
      </c>
      <c r="E383" s="136"/>
      <c r="F383" s="155"/>
      <c r="G383" s="155"/>
      <c r="H383" s="155"/>
      <c r="I383" s="155">
        <v>1.1557E-2</v>
      </c>
      <c r="J383" s="155"/>
      <c r="K383" s="155">
        <v>1.7305000000000001E-2</v>
      </c>
      <c r="L383" s="155">
        <v>2.0903000000000001E-2</v>
      </c>
      <c r="M383" s="155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6">
        <f ca="1"/>
        <v>0</v>
      </c>
      <c r="P383" s="156">
        <f ca="1"/>
        <v>0</v>
      </c>
      <c r="Q383" s="156">
        <f ca="1"/>
        <v>0</v>
      </c>
      <c r="R383" s="156">
        <f ca="1"/>
        <v>6.0372390472298143E-2</v>
      </c>
      <c r="S383" s="156">
        <f ca="1"/>
        <v>0</v>
      </c>
      <c r="T383" s="156">
        <f ca="1"/>
        <v>0.14612282604526994</v>
      </c>
      <c r="U383" s="156">
        <f ca="1"/>
        <v>0.23762213023691159</v>
      </c>
      <c r="V383" s="138">
        <f ca="1"/>
        <v>0</v>
      </c>
      <c r="W383" s="137">
        <f ca="1"/>
        <v>0</v>
      </c>
      <c r="X383" s="156">
        <f ca="1"/>
        <v>0</v>
      </c>
      <c r="Y383" s="156">
        <f ca="1"/>
        <v>0</v>
      </c>
      <c r="Z383" s="156">
        <f ca="1"/>
        <v>0</v>
      </c>
      <c r="AA383" s="156">
        <f ca="1"/>
        <v>6.0878541363828531E-2</v>
      </c>
      <c r="AB383" s="156">
        <f ca="1"/>
        <v>0</v>
      </c>
      <c r="AC383" s="156">
        <f ca="1"/>
        <v>0.1468840565949775</v>
      </c>
      <c r="AD383" s="156">
        <f ca="1"/>
        <v>0.2385790836085061</v>
      </c>
      <c r="AE383" s="138">
        <f ca="1"/>
        <v>0</v>
      </c>
      <c r="AG383" s="135"/>
      <c r="AH383" s="135">
        <v>1.5269999999999999E-3</v>
      </c>
      <c r="AI383" s="135">
        <v>2.49E-3</v>
      </c>
      <c r="AJ383" s="135">
        <v>3.63E-3</v>
      </c>
      <c r="AK383" s="135"/>
      <c r="AO383" s="135">
        <f t="shared" ca="1" si="8"/>
        <v>1.4197475942661446E-3</v>
      </c>
      <c r="AP383" s="135">
        <f t="shared" ca="1" si="9"/>
        <v>3.2100920771497804E-3</v>
      </c>
      <c r="AQ383" s="135">
        <f t="shared" ca="1" si="10"/>
        <v>6.6324311082669209E-3</v>
      </c>
      <c r="AV383" s="538">
        <f t="shared" ca="1" si="11"/>
        <v>3.7404102787973545E-4</v>
      </c>
      <c r="AW383" s="538">
        <f t="shared" ca="1" si="12"/>
        <v>7.7580103362299827E-4</v>
      </c>
      <c r="AX383" s="538">
        <f t="shared" ca="1" si="13"/>
        <v>1.5784449510777869E-3</v>
      </c>
    </row>
    <row r="384" spans="1:50" ht="10.5" customHeight="1">
      <c r="A384" s="96">
        <v>373</v>
      </c>
      <c r="B384" s="68" t="s">
        <v>538</v>
      </c>
      <c r="C384" s="97">
        <v>0.4</v>
      </c>
      <c r="D384" s="69" t="s">
        <v>66</v>
      </c>
      <c r="E384" s="136"/>
      <c r="F384" s="155"/>
      <c r="G384" s="155"/>
      <c r="H384" s="155"/>
      <c r="I384" s="155">
        <v>3.4970000000000001E-3</v>
      </c>
      <c r="J384" s="155"/>
      <c r="K384" s="155">
        <v>6.7010000000000004E-3</v>
      </c>
      <c r="L384" s="155">
        <v>1.042E-2</v>
      </c>
      <c r="M384" s="155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6">
        <f ca="1"/>
        <v>0</v>
      </c>
      <c r="P384" s="156">
        <f ca="1"/>
        <v>0</v>
      </c>
      <c r="Q384" s="156">
        <f ca="1"/>
        <v>0</v>
      </c>
      <c r="R384" s="156">
        <f ca="1"/>
        <v>1.8670860368200981E-2</v>
      </c>
      <c r="S384" s="156">
        <f ca="1"/>
        <v>0</v>
      </c>
      <c r="T384" s="156">
        <f ca="1"/>
        <v>5.947164500423574E-2</v>
      </c>
      <c r="U384" s="156">
        <f ca="1"/>
        <v>0.12853834459707225</v>
      </c>
      <c r="V384" s="138">
        <f ca="1"/>
        <v>0</v>
      </c>
      <c r="W384" s="137">
        <f ca="1"/>
        <v>0</v>
      </c>
      <c r="X384" s="156">
        <f ca="1"/>
        <v>0</v>
      </c>
      <c r="Y384" s="156">
        <f ca="1"/>
        <v>0</v>
      </c>
      <c r="Z384" s="156">
        <f ca="1"/>
        <v>0</v>
      </c>
      <c r="AA384" s="156">
        <f ca="1"/>
        <v>1.9194924359476895E-2</v>
      </c>
      <c r="AB384" s="156">
        <f ca="1"/>
        <v>0</v>
      </c>
      <c r="AC384" s="156">
        <f ca="1"/>
        <v>6.0287749632498278E-2</v>
      </c>
      <c r="AD384" s="156">
        <f ca="1"/>
        <v>0.1296263890163587</v>
      </c>
      <c r="AE384" s="138">
        <f ca="1"/>
        <v>0</v>
      </c>
      <c r="AG384" s="135"/>
      <c r="AH384" s="135">
        <v>5.0749999999999997E-3</v>
      </c>
      <c r="AI384" s="135">
        <v>8.8369999999999994E-3</v>
      </c>
      <c r="AJ384" s="135">
        <v>1.3018E-2</v>
      </c>
      <c r="AK384" s="135"/>
      <c r="AO384" s="135">
        <f t="shared" ca="1" si="8"/>
        <v>4.7185455408648878E-3</v>
      </c>
      <c r="AP384" s="135">
        <f t="shared" ca="1" si="9"/>
        <v>1.1392603889868517E-2</v>
      </c>
      <c r="AQ384" s="135">
        <f t="shared" ca="1" si="10"/>
        <v>2.3785396189371564E-2</v>
      </c>
      <c r="AV384" s="538">
        <f t="shared" ca="1" si="11"/>
        <v>1.2431291529074377E-3</v>
      </c>
      <c r="AW384" s="538">
        <f t="shared" ca="1" si="12"/>
        <v>2.7533147526612187E-3</v>
      </c>
      <c r="AX384" s="538">
        <f t="shared" ca="1" si="13"/>
        <v>5.6606601578872264E-3</v>
      </c>
    </row>
    <row r="385" spans="1:50" ht="10.5" customHeight="1">
      <c r="A385" s="96">
        <v>374</v>
      </c>
      <c r="B385" s="68" t="s">
        <v>523</v>
      </c>
      <c r="C385" s="97">
        <v>0.4</v>
      </c>
      <c r="D385" s="69" t="s">
        <v>66</v>
      </c>
      <c r="E385" s="136"/>
      <c r="F385" s="155"/>
      <c r="G385" s="155"/>
      <c r="H385" s="155"/>
      <c r="I385" s="155">
        <v>2.7599999999999999E-3</v>
      </c>
      <c r="J385" s="155"/>
      <c r="K385" s="155">
        <v>4.8069999999999996E-3</v>
      </c>
      <c r="L385" s="155">
        <v>6.9220000000000002E-3</v>
      </c>
      <c r="M385" s="155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6">
        <f ca="1"/>
        <v>0</v>
      </c>
      <c r="P385" s="156">
        <f ca="1"/>
        <v>0</v>
      </c>
      <c r="Q385" s="156">
        <f ca="1"/>
        <v>0</v>
      </c>
      <c r="R385" s="156">
        <f ca="1"/>
        <v>1.476432150328566E-2</v>
      </c>
      <c r="S385" s="156">
        <f ca="1"/>
        <v>0</v>
      </c>
      <c r="T385" s="156">
        <f ca="1"/>
        <v>4.2719952262936123E-2</v>
      </c>
      <c r="U385" s="156">
        <f ca="1"/>
        <v>8.585663862361248E-2</v>
      </c>
      <c r="V385" s="138">
        <f ca="1"/>
        <v>0</v>
      </c>
      <c r="W385" s="137">
        <f ca="1"/>
        <v>0</v>
      </c>
      <c r="X385" s="156">
        <f ca="1"/>
        <v>0</v>
      </c>
      <c r="Y385" s="156">
        <f ca="1"/>
        <v>0</v>
      </c>
      <c r="Z385" s="156">
        <f ca="1"/>
        <v>0</v>
      </c>
      <c r="AA385" s="156">
        <f ca="1"/>
        <v>1.5292273858184768E-2</v>
      </c>
      <c r="AB385" s="156">
        <f ca="1"/>
        <v>0</v>
      </c>
      <c r="AC385" s="156">
        <f ca="1"/>
        <v>4.3556166185703682E-2</v>
      </c>
      <c r="AD385" s="156">
        <f ca="1"/>
        <v>8.6963879508601516E-2</v>
      </c>
      <c r="AE385" s="138">
        <f ca="1"/>
        <v>0</v>
      </c>
      <c r="AG385" s="135"/>
      <c r="AH385" s="135">
        <v>4.0559999999999997E-3</v>
      </c>
      <c r="AI385" s="135">
        <v>7.1669999999999998E-3</v>
      </c>
      <c r="AJ385" s="135">
        <v>1.0695E-2</v>
      </c>
      <c r="AK385" s="135"/>
      <c r="AO385" s="135">
        <f t="shared" ca="1" si="8"/>
        <v>3.7711173820193073E-3</v>
      </c>
      <c r="AP385" s="135">
        <f t="shared" ca="1" si="9"/>
        <v>9.2396505690491865E-3</v>
      </c>
      <c r="AQ385" s="135">
        <f t="shared" ca="1" si="10"/>
        <v>1.954100570328229E-2</v>
      </c>
      <c r="AV385" s="538">
        <f t="shared" ca="1" si="11"/>
        <v>9.9352351609705773E-4</v>
      </c>
      <c r="AW385" s="538">
        <f t="shared" ca="1" si="12"/>
        <v>2.2329983967775214E-3</v>
      </c>
      <c r="AX385" s="538">
        <f t="shared" ca="1" si="13"/>
        <v>4.6505423558614138E-3</v>
      </c>
    </row>
    <row r="386" spans="1:50" ht="10.5" customHeight="1">
      <c r="A386" s="96">
        <v>375</v>
      </c>
      <c r="B386" s="68" t="s">
        <v>539</v>
      </c>
      <c r="C386" s="97">
        <v>0.4</v>
      </c>
      <c r="D386" s="69" t="s">
        <v>66</v>
      </c>
      <c r="E386" s="136"/>
      <c r="F386" s="155"/>
      <c r="G386" s="155"/>
      <c r="H386" s="155"/>
      <c r="I386" s="155">
        <v>8.0549999999999997E-3</v>
      </c>
      <c r="J386" s="155"/>
      <c r="K386" s="155">
        <v>1.2508999999999999E-2</v>
      </c>
      <c r="L386" s="155">
        <v>1.5117E-2</v>
      </c>
      <c r="M386" s="155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6">
        <f ca="1"/>
        <v>0</v>
      </c>
      <c r="P386" s="156">
        <f ca="1"/>
        <v>0</v>
      </c>
      <c r="Q386" s="156">
        <f ca="1"/>
        <v>0</v>
      </c>
      <c r="R386" s="156">
        <f ca="1"/>
        <v>4.2473818321095758E-2</v>
      </c>
      <c r="S386" s="156">
        <f ca="1"/>
        <v>0</v>
      </c>
      <c r="T386" s="156">
        <f ca="1"/>
        <v>0.10764946726772384</v>
      </c>
      <c r="U386" s="156">
        <f ca="1"/>
        <v>0.17684729664475407</v>
      </c>
      <c r="V386" s="138">
        <f ca="1"/>
        <v>0</v>
      </c>
      <c r="W386" s="137">
        <f ca="1"/>
        <v>0</v>
      </c>
      <c r="X386" s="156">
        <f ca="1"/>
        <v>0</v>
      </c>
      <c r="Y386" s="156">
        <f ca="1"/>
        <v>0</v>
      </c>
      <c r="Z386" s="156">
        <f ca="1"/>
        <v>0</v>
      </c>
      <c r="AA386" s="156">
        <f ca="1"/>
        <v>4.2989613455385101E-2</v>
      </c>
      <c r="AB386" s="156">
        <f ca="1"/>
        <v>0</v>
      </c>
      <c r="AC386" s="156">
        <f ca="1"/>
        <v>0.10844130172722422</v>
      </c>
      <c r="AD386" s="156">
        <f ca="1"/>
        <v>0.17786976094763607</v>
      </c>
      <c r="AE386" s="138">
        <f ca="1"/>
        <v>0</v>
      </c>
      <c r="AG386" s="135"/>
      <c r="AH386" s="135">
        <v>1.191E-3</v>
      </c>
      <c r="AI386" s="135">
        <v>1.908E-3</v>
      </c>
      <c r="AJ386" s="135">
        <v>2.9069999999999999E-3</v>
      </c>
      <c r="AK386" s="135"/>
      <c r="AO386" s="135">
        <f t="shared" ca="1" si="8"/>
        <v>1.1073473377675037E-3</v>
      </c>
      <c r="AP386" s="135">
        <f t="shared" ca="1" si="9"/>
        <v>2.4597813988762171E-3</v>
      </c>
      <c r="AQ386" s="135">
        <f t="shared" ca="1" si="10"/>
        <v>5.3114262346368978E-3</v>
      </c>
      <c r="AV386" s="538">
        <f t="shared" ca="1" si="11"/>
        <v>2.917373046527603E-4</v>
      </c>
      <c r="AW386" s="538">
        <f t="shared" ca="1" si="12"/>
        <v>5.9446922576412878E-4</v>
      </c>
      <c r="AX386" s="538">
        <f t="shared" ca="1" si="13"/>
        <v>1.2640604608217978E-3</v>
      </c>
    </row>
    <row r="387" spans="1:50" ht="10.5" customHeight="1">
      <c r="A387" s="96">
        <v>376</v>
      </c>
      <c r="B387" s="68" t="s">
        <v>524</v>
      </c>
      <c r="C387" s="97">
        <v>0.4</v>
      </c>
      <c r="D387" s="69" t="s">
        <v>66</v>
      </c>
      <c r="E387" s="136"/>
      <c r="F387" s="155"/>
      <c r="G387" s="155"/>
      <c r="H387" s="155"/>
      <c r="I387" s="155">
        <v>3.4320000000000002E-3</v>
      </c>
      <c r="J387" s="155"/>
      <c r="K387" s="155">
        <v>5.6519999999999999E-3</v>
      </c>
      <c r="L387" s="155">
        <v>8.0560000000000007E-3</v>
      </c>
      <c r="M387" s="155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6">
        <f ca="1"/>
        <v>0</v>
      </c>
      <c r="P387" s="156">
        <f ca="1"/>
        <v>0</v>
      </c>
      <c r="Q387" s="156">
        <f ca="1"/>
        <v>0</v>
      </c>
      <c r="R387" s="156">
        <f ca="1"/>
        <v>1.8326925706155461E-2</v>
      </c>
      <c r="S387" s="156">
        <f ca="1"/>
        <v>0</v>
      </c>
      <c r="T387" s="156">
        <f ca="1"/>
        <v>4.9951096782969384E-2</v>
      </c>
      <c r="U387" s="156">
        <f ca="1"/>
        <v>9.9194432933156884E-2</v>
      </c>
      <c r="V387" s="138">
        <f ca="1"/>
        <v>0</v>
      </c>
      <c r="W387" s="137">
        <f ca="1"/>
        <v>0</v>
      </c>
      <c r="X387" s="156">
        <f ca="1"/>
        <v>0</v>
      </c>
      <c r="Y387" s="156">
        <f ca="1"/>
        <v>0</v>
      </c>
      <c r="Z387" s="156">
        <f ca="1"/>
        <v>0</v>
      </c>
      <c r="AA387" s="156">
        <f ca="1"/>
        <v>1.8851351574784014E-2</v>
      </c>
      <c r="AB387" s="156">
        <f ca="1"/>
        <v>0</v>
      </c>
      <c r="AC387" s="156">
        <f ca="1"/>
        <v>5.0779477346682533E-2</v>
      </c>
      <c r="AD387" s="156">
        <f ca="1"/>
        <v>0.10030666832576673</v>
      </c>
      <c r="AE387" s="138">
        <f ca="1"/>
        <v>0</v>
      </c>
      <c r="AG387" s="135"/>
      <c r="AH387" s="135">
        <v>1.2049999999999999E-3</v>
      </c>
      <c r="AI387" s="135">
        <v>1.9740000000000001E-3</v>
      </c>
      <c r="AJ387" s="135">
        <v>3.055E-3</v>
      </c>
      <c r="AK387" s="135"/>
      <c r="AO387" s="135">
        <f t="shared" ca="1" si="8"/>
        <v>1.1203640151216138E-3</v>
      </c>
      <c r="AP387" s="135">
        <f t="shared" ca="1" si="9"/>
        <v>2.5448681768247654E-3</v>
      </c>
      <c r="AQ387" s="135">
        <f t="shared" ca="1" si="10"/>
        <v>5.5818394037893786E-3</v>
      </c>
      <c r="AV387" s="538">
        <f t="shared" ca="1" si="11"/>
        <v>2.9516662645388424E-4</v>
      </c>
      <c r="AW387" s="538">
        <f t="shared" ca="1" si="12"/>
        <v>6.1503262665534085E-4</v>
      </c>
      <c r="AX387" s="538">
        <f t="shared" ca="1" si="13"/>
        <v>1.3284157921605066E-3</v>
      </c>
    </row>
    <row r="388" spans="1:50" ht="10.5" customHeight="1">
      <c r="A388" s="96">
        <v>377</v>
      </c>
      <c r="B388" s="68" t="s">
        <v>525</v>
      </c>
      <c r="C388" s="97">
        <v>0.4</v>
      </c>
      <c r="D388" s="69" t="s">
        <v>66</v>
      </c>
      <c r="E388" s="136"/>
      <c r="F388" s="155"/>
      <c r="G388" s="155"/>
      <c r="H388" s="155"/>
      <c r="I388" s="155">
        <v>2.0699999999999998E-3</v>
      </c>
      <c r="J388" s="155"/>
      <c r="K388" s="155">
        <v>3.297E-3</v>
      </c>
      <c r="L388" s="155">
        <v>4.411E-3</v>
      </c>
      <c r="M388" s="155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6">
        <f ca="1"/>
        <v>0</v>
      </c>
      <c r="P388" s="156">
        <f ca="1"/>
        <v>0</v>
      </c>
      <c r="Q388" s="156">
        <f ca="1"/>
        <v>0</v>
      </c>
      <c r="R388" s="156">
        <f ca="1"/>
        <v>1.1093245777042848E-2</v>
      </c>
      <c r="S388" s="156">
        <f ca="1"/>
        <v>0</v>
      </c>
      <c r="T388" s="156">
        <f ca="1"/>
        <v>2.9314984919313392E-2</v>
      </c>
      <c r="U388" s="156">
        <f ca="1"/>
        <v>5.4816432515355284E-2</v>
      </c>
      <c r="V388" s="138">
        <f ca="1"/>
        <v>0</v>
      </c>
      <c r="W388" s="137">
        <f ca="1"/>
        <v>0</v>
      </c>
      <c r="X388" s="156">
        <f ca="1"/>
        <v>0</v>
      </c>
      <c r="Y388" s="156">
        <f ca="1"/>
        <v>0</v>
      </c>
      <c r="Z388" s="156">
        <f ca="1"/>
        <v>0</v>
      </c>
      <c r="AA388" s="156">
        <f ca="1"/>
        <v>1.1624425665276217E-2</v>
      </c>
      <c r="AB388" s="156">
        <f ca="1"/>
        <v>0</v>
      </c>
      <c r="AC388" s="156">
        <f ca="1"/>
        <v>3.0164687926765188E-2</v>
      </c>
      <c r="AD388" s="156">
        <f ca="1"/>
        <v>5.5964964395417982E-2</v>
      </c>
      <c r="AE388" s="138">
        <f ca="1"/>
        <v>0</v>
      </c>
      <c r="AG388" s="135"/>
      <c r="AH388" s="135">
        <v>1.1557E-2</v>
      </c>
      <c r="AI388" s="135">
        <v>1.7305000000000001E-2</v>
      </c>
      <c r="AJ388" s="135">
        <v>2.0903000000000001E-2</v>
      </c>
      <c r="AK388" s="135"/>
      <c r="AO388" s="135">
        <f t="shared" ca="1" si="8"/>
        <v>1.0745267155817834E-2</v>
      </c>
      <c r="AP388" s="135">
        <f t="shared" ca="1" si="9"/>
        <v>2.2309495339388332E-2</v>
      </c>
      <c r="AQ388" s="135">
        <f t="shared" ca="1" si="10"/>
        <v>3.8192205910772305E-2</v>
      </c>
      <c r="AV388" s="538">
        <f t="shared" ca="1" si="11"/>
        <v>2.8309051468278341E-3</v>
      </c>
      <c r="AW388" s="538">
        <f t="shared" ca="1" si="12"/>
        <v>5.3916614003397534E-3</v>
      </c>
      <c r="AX388" s="538">
        <f t="shared" ca="1" si="13"/>
        <v>9.0893208849528884E-3</v>
      </c>
    </row>
    <row r="389" spans="1:50" ht="10.5" customHeight="1">
      <c r="A389" s="96">
        <v>378</v>
      </c>
      <c r="B389" s="68" t="s">
        <v>526</v>
      </c>
      <c r="C389" s="97">
        <v>0.4</v>
      </c>
      <c r="D389" s="69" t="s">
        <v>66</v>
      </c>
      <c r="E389" s="136"/>
      <c r="F389" s="155"/>
      <c r="G389" s="155"/>
      <c r="H389" s="155"/>
      <c r="I389" s="155">
        <v>2.3649999999999999E-3</v>
      </c>
      <c r="J389" s="155"/>
      <c r="K389" s="155">
        <v>3.4499999999999999E-3</v>
      </c>
      <c r="L389" s="155">
        <v>4.6579999999999998E-3</v>
      </c>
      <c r="M389" s="155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6">
        <f ca="1"/>
        <v>0</v>
      </c>
      <c r="P389" s="156">
        <f ca="1"/>
        <v>0</v>
      </c>
      <c r="Q389" s="156">
        <f ca="1"/>
        <v>0</v>
      </c>
      <c r="R389" s="156">
        <f ca="1"/>
        <v>1.2664385601411809E-2</v>
      </c>
      <c r="S389" s="156">
        <f ca="1"/>
        <v>0</v>
      </c>
      <c r="T389" s="156">
        <f ca="1"/>
        <v>3.0516522598022067E-2</v>
      </c>
      <c r="U389" s="156">
        <f ca="1"/>
        <v>5.7723082092104194E-2</v>
      </c>
      <c r="V389" s="138">
        <f ca="1"/>
        <v>0</v>
      </c>
      <c r="W389" s="137">
        <f ca="1"/>
        <v>0</v>
      </c>
      <c r="X389" s="156">
        <f ca="1"/>
        <v>0</v>
      </c>
      <c r="Y389" s="156">
        <f ca="1"/>
        <v>0</v>
      </c>
      <c r="Z389" s="156">
        <f ca="1"/>
        <v>0</v>
      </c>
      <c r="AA389" s="156">
        <f ca="1"/>
        <v>1.3194233064888317E-2</v>
      </c>
      <c r="AB389" s="156">
        <f ca="1"/>
        <v>0</v>
      </c>
      <c r="AC389" s="156">
        <f ca="1"/>
        <v>3.1364958473398374E-2</v>
      </c>
      <c r="AD389" s="156">
        <f ca="1"/>
        <v>5.8867488339755636E-2</v>
      </c>
      <c r="AE389" s="138">
        <f ca="1"/>
        <v>0</v>
      </c>
      <c r="AG389" s="135"/>
      <c r="AH389" s="135">
        <v>3.4970000000000001E-3</v>
      </c>
      <c r="AI389" s="135">
        <v>6.7010000000000004E-3</v>
      </c>
      <c r="AJ389" s="135">
        <v>1.042E-2</v>
      </c>
      <c r="AK389" s="135"/>
      <c r="AO389" s="135">
        <f t="shared" ca="1" si="8"/>
        <v>3.251380050523057E-3</v>
      </c>
      <c r="AP389" s="135">
        <f t="shared" ca="1" si="9"/>
        <v>8.6388863489882239E-3</v>
      </c>
      <c r="AQ389" s="135">
        <f t="shared" ca="1" si="10"/>
        <v>1.9038548801140857E-2</v>
      </c>
      <c r="AV389" s="538">
        <f t="shared" ca="1" si="11"/>
        <v>8.5659559560932221E-4</v>
      </c>
      <c r="AW389" s="538">
        <f t="shared" ca="1" si="12"/>
        <v>2.087808323818358E-3</v>
      </c>
      <c r="AX389" s="538">
        <f t="shared" ca="1" si="13"/>
        <v>4.5309631929009754E-3</v>
      </c>
    </row>
    <row r="390" spans="1:50" ht="10.5" customHeight="1">
      <c r="A390" s="96">
        <v>379</v>
      </c>
      <c r="B390" s="68" t="s">
        <v>540</v>
      </c>
      <c r="C390" s="97">
        <v>0.4</v>
      </c>
      <c r="D390" s="69" t="s">
        <v>66</v>
      </c>
      <c r="E390" s="136"/>
      <c r="F390" s="155"/>
      <c r="G390" s="155"/>
      <c r="H390" s="155"/>
      <c r="I390" s="155">
        <v>2.9680000000000002E-3</v>
      </c>
      <c r="J390" s="155"/>
      <c r="K390" s="155">
        <v>4.8170000000000001E-3</v>
      </c>
      <c r="L390" s="155">
        <v>7.1079999999999997E-3</v>
      </c>
      <c r="M390" s="155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6">
        <f ca="1"/>
        <v>0</v>
      </c>
      <c r="P390" s="156">
        <f ca="1"/>
        <v>0</v>
      </c>
      <c r="Q390" s="156">
        <f ca="1"/>
        <v>0</v>
      </c>
      <c r="R390" s="156">
        <f ca="1"/>
        <v>1.586836882139353E-2</v>
      </c>
      <c r="S390" s="156">
        <f ca="1"/>
        <v>0</v>
      </c>
      <c r="T390" s="156">
        <f ca="1"/>
        <v>4.265575756165596E-2</v>
      </c>
      <c r="U390" s="156">
        <f ca="1"/>
        <v>8.811897163075344E-2</v>
      </c>
      <c r="V390" s="138">
        <f ca="1"/>
        <v>0</v>
      </c>
      <c r="W390" s="137">
        <f ca="1"/>
        <v>0</v>
      </c>
      <c r="X390" s="156">
        <f ca="1"/>
        <v>0</v>
      </c>
      <c r="Y390" s="156">
        <f ca="1"/>
        <v>0</v>
      </c>
      <c r="Z390" s="156">
        <f ca="1"/>
        <v>0</v>
      </c>
      <c r="AA390" s="156">
        <f ca="1"/>
        <v>1.639527096200788E-2</v>
      </c>
      <c r="AB390" s="156">
        <f ca="1"/>
        <v>0</v>
      </c>
      <c r="AC390" s="156">
        <f ca="1"/>
        <v>4.3492124965737289E-2</v>
      </c>
      <c r="AD390" s="156">
        <f ca="1"/>
        <v>8.9221871688227483E-2</v>
      </c>
      <c r="AE390" s="138">
        <f ca="1"/>
        <v>0</v>
      </c>
      <c r="AG390" s="135"/>
      <c r="AH390" s="135">
        <v>2.7599999999999999E-3</v>
      </c>
      <c r="AI390" s="135">
        <v>4.8069999999999996E-3</v>
      </c>
      <c r="AJ390" s="135">
        <v>6.9220000000000002E-3</v>
      </c>
      <c r="AK390" s="135"/>
      <c r="AO390" s="135">
        <f t="shared" ca="1" si="8"/>
        <v>2.5661449640959782E-3</v>
      </c>
      <c r="AP390" s="135">
        <f t="shared" ca="1" si="9"/>
        <v>6.1971536605859405E-3</v>
      </c>
      <c r="AQ390" s="135">
        <f t="shared" ca="1" si="10"/>
        <v>1.2647297005901826E-2</v>
      </c>
      <c r="AV390" s="538">
        <f t="shared" ca="1" si="11"/>
        <v>6.7606629793586762E-4</v>
      </c>
      <c r="AW390" s="538">
        <f t="shared" ca="1" si="12"/>
        <v>1.4977010315766074E-3</v>
      </c>
      <c r="AX390" s="538">
        <f t="shared" ca="1" si="13"/>
        <v>3.009916240044199E-3</v>
      </c>
    </row>
    <row r="391" spans="1:50" ht="10.5" customHeight="1">
      <c r="A391" s="96">
        <v>380</v>
      </c>
      <c r="B391" s="68" t="s">
        <v>541</v>
      </c>
      <c r="C391" s="97">
        <v>0.4</v>
      </c>
      <c r="D391" s="69" t="s">
        <v>66</v>
      </c>
      <c r="E391" s="136"/>
      <c r="F391" s="155"/>
      <c r="G391" s="155"/>
      <c r="H391" s="155"/>
      <c r="I391" s="155">
        <v>5.1580000000000003E-3</v>
      </c>
      <c r="J391" s="155"/>
      <c r="K391" s="155">
        <v>8.1840000000000003E-3</v>
      </c>
      <c r="L391" s="155">
        <v>1.0449999999999999E-2</v>
      </c>
      <c r="M391" s="155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6">
        <f ca="1"/>
        <v>0</v>
      </c>
      <c r="P391" s="156">
        <f ca="1"/>
        <v>0</v>
      </c>
      <c r="Q391" s="156">
        <f ca="1"/>
        <v>0</v>
      </c>
      <c r="R391" s="156">
        <f ca="1"/>
        <v>2.7420315015006747E-2</v>
      </c>
      <c r="S391" s="156">
        <f ca="1"/>
        <v>0</v>
      </c>
      <c r="T391" s="156">
        <f ca="1"/>
        <v>7.1578089380004206E-2</v>
      </c>
      <c r="U391" s="156">
        <f ca="1"/>
        <v>0.12581355787483239</v>
      </c>
      <c r="V391" s="138">
        <f ca="1"/>
        <v>0</v>
      </c>
      <c r="W391" s="137">
        <f ca="1"/>
        <v>0</v>
      </c>
      <c r="X391" s="156">
        <f ca="1"/>
        <v>0</v>
      </c>
      <c r="Y391" s="156">
        <f ca="1"/>
        <v>0</v>
      </c>
      <c r="Z391" s="156">
        <f ca="1"/>
        <v>0</v>
      </c>
      <c r="AA391" s="156">
        <f ca="1"/>
        <v>2.793381733151723E-2</v>
      </c>
      <c r="AB391" s="156">
        <f ca="1"/>
        <v>0</v>
      </c>
      <c r="AC391" s="156">
        <f ca="1"/>
        <v>7.2380377227484916E-2</v>
      </c>
      <c r="AD391" s="156">
        <f ca="1"/>
        <v>0.12689687521870652</v>
      </c>
      <c r="AE391" s="138">
        <f ca="1"/>
        <v>0</v>
      </c>
      <c r="AG391" s="135"/>
      <c r="AH391" s="135">
        <v>8.0549999999999997E-3</v>
      </c>
      <c r="AI391" s="135">
        <v>1.2508999999999999E-2</v>
      </c>
      <c r="AJ391" s="135">
        <v>1.5117E-2</v>
      </c>
      <c r="AK391" s="135"/>
      <c r="AO391" s="135">
        <f t="shared" ca="1" si="8"/>
        <v>7.4892382919540239E-3</v>
      </c>
      <c r="AP391" s="135">
        <f t="shared" ca="1" si="9"/>
        <v>1.612652280846048E-2</v>
      </c>
      <c r="AQ391" s="135">
        <f t="shared" ca="1" si="10"/>
        <v>2.7620512689716541E-2</v>
      </c>
      <c r="AV391" s="538">
        <f t="shared" ca="1" si="11"/>
        <v>1.9730847934323966E-3</v>
      </c>
      <c r="AW391" s="538">
        <f t="shared" ca="1" si="12"/>
        <v>3.8973876022450138E-3</v>
      </c>
      <c r="AX391" s="538">
        <f t="shared" ca="1" si="13"/>
        <v>6.5733752962652634E-3</v>
      </c>
    </row>
    <row r="392" spans="1:50" ht="10.5" customHeight="1">
      <c r="A392" s="96">
        <v>381</v>
      </c>
      <c r="B392" s="68" t="s">
        <v>542</v>
      </c>
      <c r="C392" s="97">
        <v>0.4</v>
      </c>
      <c r="D392" s="69" t="s">
        <v>66</v>
      </c>
      <c r="E392" s="136"/>
      <c r="F392" s="155"/>
      <c r="G392" s="155"/>
      <c r="H392" s="155"/>
      <c r="I392" s="155">
        <v>5.8869999999999999E-3</v>
      </c>
      <c r="J392" s="155"/>
      <c r="K392" s="155">
        <v>1.0245000000000001E-2</v>
      </c>
      <c r="L392" s="155">
        <v>1.4839E-2</v>
      </c>
      <c r="M392" s="155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6">
        <f ca="1"/>
        <v>0</v>
      </c>
      <c r="P392" s="156">
        <f ca="1"/>
        <v>0</v>
      </c>
      <c r="Q392" s="156">
        <f ca="1"/>
        <v>0</v>
      </c>
      <c r="R392" s="156">
        <f ca="1"/>
        <v>3.1236591023474536E-2</v>
      </c>
      <c r="S392" s="156">
        <f ca="1"/>
        <v>0</v>
      </c>
      <c r="T392" s="156">
        <f ca="1"/>
        <v>8.9449894250532624E-2</v>
      </c>
      <c r="U392" s="156">
        <f ca="1"/>
        <v>0.17821534285075313</v>
      </c>
      <c r="V392" s="138">
        <f ca="1"/>
        <v>0</v>
      </c>
      <c r="W392" s="137">
        <f ca="1"/>
        <v>0</v>
      </c>
      <c r="X392" s="156">
        <f ca="1"/>
        <v>0</v>
      </c>
      <c r="Y392" s="156">
        <f ca="1"/>
        <v>0</v>
      </c>
      <c r="Z392" s="156">
        <f ca="1"/>
        <v>0</v>
      </c>
      <c r="AA392" s="156">
        <f ca="1"/>
        <v>3.1744615686132183E-2</v>
      </c>
      <c r="AB392" s="156">
        <f ca="1"/>
        <v>0</v>
      </c>
      <c r="AC392" s="156">
        <f ca="1"/>
        <v>9.0259770075112988E-2</v>
      </c>
      <c r="AD392" s="156">
        <f ca="1"/>
        <v>0.17925048988338532</v>
      </c>
      <c r="AE392" s="138">
        <f ca="1"/>
        <v>0</v>
      </c>
      <c r="AG392" s="135"/>
      <c r="AH392" s="135">
        <v>3.4320000000000002E-3</v>
      </c>
      <c r="AI392" s="135">
        <v>5.6519999999999999E-3</v>
      </c>
      <c r="AJ392" s="135">
        <v>8.0560000000000007E-3</v>
      </c>
      <c r="AK392" s="135"/>
      <c r="AO392" s="135">
        <f t="shared" ca="1" si="8"/>
        <v>3.1909454770932605E-3</v>
      </c>
      <c r="AP392" s="135">
        <f t="shared" ca="1" si="9"/>
        <v>7.2865222570484165E-3</v>
      </c>
      <c r="AQ392" s="135">
        <f t="shared" ca="1" si="10"/>
        <v>1.4719246558732319E-2</v>
      </c>
      <c r="AV392" s="538">
        <f t="shared" ca="1" si="11"/>
        <v>8.4067374438981813E-4</v>
      </c>
      <c r="AW392" s="538">
        <f t="shared" ca="1" si="12"/>
        <v>1.7609748763201551E-3</v>
      </c>
      <c r="AX392" s="538">
        <f t="shared" ca="1" si="13"/>
        <v>3.5030172247610615E-3</v>
      </c>
    </row>
    <row r="393" spans="1:50" ht="10.5" customHeight="1">
      <c r="A393" s="96">
        <v>382</v>
      </c>
      <c r="B393" s="68" t="s">
        <v>527</v>
      </c>
      <c r="C393" s="97">
        <v>0.4</v>
      </c>
      <c r="D393" s="69" t="s">
        <v>66</v>
      </c>
      <c r="E393" s="136"/>
      <c r="F393" s="155"/>
      <c r="G393" s="155"/>
      <c r="H393" s="155"/>
      <c r="I393" s="155">
        <v>4.9649999999999998E-3</v>
      </c>
      <c r="J393" s="155"/>
      <c r="K393" s="155">
        <v>8.1279999999999998E-3</v>
      </c>
      <c r="L393" s="155">
        <v>1.1226999999999999E-2</v>
      </c>
      <c r="M393" s="155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6">
        <f ca="1"/>
        <v>0</v>
      </c>
      <c r="P393" s="156">
        <f ca="1"/>
        <v>0</v>
      </c>
      <c r="Q393" s="156">
        <f ca="1"/>
        <v>0</v>
      </c>
      <c r="R393" s="156">
        <f ca="1"/>
        <v>2.6407549709464684E-2</v>
      </c>
      <c r="S393" s="156">
        <f ca="1"/>
        <v>0</v>
      </c>
      <c r="T393" s="156">
        <f ca="1"/>
        <v>7.1211055584241789E-2</v>
      </c>
      <c r="U393" s="156">
        <f ca="1"/>
        <v>0.13596723284181689</v>
      </c>
      <c r="V393" s="138">
        <f ca="1"/>
        <v>0</v>
      </c>
      <c r="W393" s="137">
        <f ca="1"/>
        <v>0</v>
      </c>
      <c r="X393" s="156">
        <f ca="1"/>
        <v>0</v>
      </c>
      <c r="Y393" s="156">
        <f ca="1"/>
        <v>0</v>
      </c>
      <c r="Z393" s="156">
        <f ca="1"/>
        <v>0</v>
      </c>
      <c r="AA393" s="156">
        <f ca="1"/>
        <v>2.6922413565853454E-2</v>
      </c>
      <c r="AB393" s="156">
        <f ca="1"/>
        <v>0</v>
      </c>
      <c r="AC393" s="156">
        <f ca="1"/>
        <v>7.203308413411369E-2</v>
      </c>
      <c r="AD393" s="156">
        <f ca="1"/>
        <v>0.13704109913865548</v>
      </c>
      <c r="AE393" s="138">
        <f ca="1"/>
        <v>0</v>
      </c>
      <c r="AG393" s="135"/>
      <c r="AH393" s="135">
        <v>2.0699999999999998E-3</v>
      </c>
      <c r="AI393" s="135">
        <v>3.297E-3</v>
      </c>
      <c r="AJ393" s="135">
        <v>4.411E-3</v>
      </c>
      <c r="AK393" s="135"/>
      <c r="AO393" s="135">
        <f t="shared" ca="1" si="8"/>
        <v>1.9246087230719838E-3</v>
      </c>
      <c r="AP393" s="135">
        <f t="shared" ca="1" si="9"/>
        <v>4.2504713166115768E-3</v>
      </c>
      <c r="AQ393" s="135">
        <f t="shared" ca="1" si="10"/>
        <v>8.0594087103485913E-3</v>
      </c>
      <c r="AV393" s="538">
        <f t="shared" ca="1" si="11"/>
        <v>5.0704972345190068E-4</v>
      </c>
      <c r="AW393" s="538">
        <f t="shared" ca="1" si="12"/>
        <v>1.0272353445200904E-3</v>
      </c>
      <c r="AX393" s="538">
        <f t="shared" ca="1" si="13"/>
        <v>1.9180497738854321E-3</v>
      </c>
    </row>
    <row r="394" spans="1:50" ht="10.5" customHeight="1">
      <c r="A394" s="96">
        <v>383</v>
      </c>
      <c r="B394" s="68" t="s">
        <v>528</v>
      </c>
      <c r="C394" s="97">
        <v>0.4</v>
      </c>
      <c r="D394" s="69" t="s">
        <v>66</v>
      </c>
      <c r="E394" s="136"/>
      <c r="F394" s="155"/>
      <c r="G394" s="155"/>
      <c r="H394" s="155"/>
      <c r="I394" s="155">
        <v>6.7450000000000001E-3</v>
      </c>
      <c r="J394" s="155"/>
      <c r="K394" s="155">
        <v>1.1979999999999999E-2</v>
      </c>
      <c r="L394" s="155">
        <v>1.6924999999999999E-2</v>
      </c>
      <c r="M394" s="155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6">
        <f ca="1"/>
        <v>0</v>
      </c>
      <c r="P394" s="156">
        <f ca="1"/>
        <v>0</v>
      </c>
      <c r="Q394" s="156">
        <f ca="1"/>
        <v>0</v>
      </c>
      <c r="R394" s="156">
        <f ca="1"/>
        <v>3.5691163302354667E-2</v>
      </c>
      <c r="S394" s="156">
        <f ca="1"/>
        <v>0</v>
      </c>
      <c r="T394" s="156">
        <f ca="1"/>
        <v>0.10414394967162022</v>
      </c>
      <c r="U394" s="156">
        <f ca="1"/>
        <v>0.20113058183759436</v>
      </c>
      <c r="V394" s="138">
        <f ca="1"/>
        <v>0</v>
      </c>
      <c r="W394" s="137">
        <f ca="1"/>
        <v>0</v>
      </c>
      <c r="X394" s="156">
        <f ca="1"/>
        <v>0</v>
      </c>
      <c r="Y394" s="156">
        <f ca="1"/>
        <v>0</v>
      </c>
      <c r="Z394" s="156">
        <f ca="1"/>
        <v>0</v>
      </c>
      <c r="AA394" s="156">
        <f ca="1"/>
        <v>3.6210613121247182E-2</v>
      </c>
      <c r="AB394" s="156">
        <f ca="1"/>
        <v>0</v>
      </c>
      <c r="AC394" s="156">
        <f ca="1"/>
        <v>0.10494088436864935</v>
      </c>
      <c r="AD394" s="156">
        <f ca="1"/>
        <v>0.2021393973205311</v>
      </c>
      <c r="AE394" s="138">
        <f ca="1"/>
        <v>0</v>
      </c>
      <c r="AG394" s="135"/>
      <c r="AH394" s="135">
        <v>2.3649999999999999E-3</v>
      </c>
      <c r="AI394" s="135">
        <v>3.4499999999999999E-3</v>
      </c>
      <c r="AJ394" s="135">
        <v>4.6579999999999998E-3</v>
      </c>
      <c r="AK394" s="135"/>
      <c r="AO394" s="135">
        <f t="shared" ca="1" si="8"/>
        <v>2.1988887101764454E-3</v>
      </c>
      <c r="AP394" s="135">
        <f t="shared" ca="1" si="9"/>
        <v>4.4477179382195753E-3</v>
      </c>
      <c r="AQ394" s="135">
        <f t="shared" ca="1" si="10"/>
        <v>8.5107063642719874E-3</v>
      </c>
      <c r="AV394" s="538">
        <f t="shared" ca="1" si="11"/>
        <v>5.7931043283272721E-4</v>
      </c>
      <c r="AW394" s="538">
        <f t="shared" ca="1" si="12"/>
        <v>1.0749050465860819E-3</v>
      </c>
      <c r="AX394" s="538">
        <f t="shared" ca="1" si="13"/>
        <v>2.0254536038898986E-3</v>
      </c>
    </row>
    <row r="395" spans="1:50" ht="10.5" customHeight="1">
      <c r="A395" s="96">
        <v>384</v>
      </c>
      <c r="B395" s="68" t="s">
        <v>529</v>
      </c>
      <c r="C395" s="97">
        <v>0.4</v>
      </c>
      <c r="D395" s="69" t="s">
        <v>66</v>
      </c>
      <c r="E395" s="136"/>
      <c r="F395" s="155"/>
      <c r="G395" s="155"/>
      <c r="H395" s="155"/>
      <c r="I395" s="155">
        <v>1.9369999999999999E-3</v>
      </c>
      <c r="J395" s="155"/>
      <c r="K395" s="155">
        <v>3.101E-3</v>
      </c>
      <c r="L395" s="155">
        <v>4.6010000000000001E-3</v>
      </c>
      <c r="M395" s="155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6">
        <f ca="1"/>
        <v>0</v>
      </c>
      <c r="P395" s="156">
        <f ca="1"/>
        <v>0</v>
      </c>
      <c r="Q395" s="156">
        <f ca="1"/>
        <v>0</v>
      </c>
      <c r="R395" s="156">
        <f ca="1"/>
        <v>1.0384107334054371E-2</v>
      </c>
      <c r="S395" s="156">
        <f ca="1"/>
        <v>0</v>
      </c>
      <c r="T395" s="156">
        <f ca="1"/>
        <v>2.759738654515187E-2</v>
      </c>
      <c r="U395" s="156">
        <f ca="1"/>
        <v>5.7632535866128598E-2</v>
      </c>
      <c r="V395" s="138">
        <f ca="1"/>
        <v>0</v>
      </c>
      <c r="W395" s="137">
        <f ca="1"/>
        <v>0</v>
      </c>
      <c r="X395" s="156">
        <f ca="1"/>
        <v>0</v>
      </c>
      <c r="Y395" s="156">
        <f ca="1"/>
        <v>0</v>
      </c>
      <c r="Z395" s="156">
        <f ca="1"/>
        <v>0</v>
      </c>
      <c r="AA395" s="156">
        <f ca="1"/>
        <v>1.0915865257071444E-2</v>
      </c>
      <c r="AB395" s="156">
        <f ca="1"/>
        <v>0</v>
      </c>
      <c r="AC395" s="156">
        <f ca="1"/>
        <v>2.8448713772154299E-2</v>
      </c>
      <c r="AD395" s="156">
        <f ca="1"/>
        <v>5.8777525601654057E-2</v>
      </c>
      <c r="AE395" s="138">
        <f ca="1"/>
        <v>0</v>
      </c>
      <c r="AG395" s="135"/>
      <c r="AH395" s="135">
        <v>2.9680000000000002E-3</v>
      </c>
      <c r="AI395" s="135">
        <v>4.8170000000000001E-3</v>
      </c>
      <c r="AJ395" s="135">
        <v>7.1079999999999997E-3</v>
      </c>
      <c r="AK395" s="135"/>
      <c r="AO395" s="135">
        <f t="shared" ca="1" si="8"/>
        <v>2.7595355990713277E-3</v>
      </c>
      <c r="AP395" s="135">
        <f t="shared" ca="1" si="9"/>
        <v>6.2100455966387514E-3</v>
      </c>
      <c r="AQ395" s="135">
        <f t="shared" ca="1" si="10"/>
        <v>1.2987140583350213E-2</v>
      </c>
      <c r="AV395" s="538">
        <f t="shared" ca="1" si="11"/>
        <v>7.2701622183828096E-4</v>
      </c>
      <c r="AW395" s="538">
        <f t="shared" ca="1" si="12"/>
        <v>1.5008166983783062E-3</v>
      </c>
      <c r="AX395" s="538">
        <f t="shared" ca="1" si="13"/>
        <v>3.0907952375374406E-3</v>
      </c>
    </row>
    <row r="396" spans="1:50" ht="10.5" customHeight="1">
      <c r="A396" s="96">
        <v>385</v>
      </c>
      <c r="B396" s="68" t="s">
        <v>543</v>
      </c>
      <c r="C396" s="97">
        <v>0.4</v>
      </c>
      <c r="D396" s="69" t="s">
        <v>66</v>
      </c>
      <c r="E396" s="136"/>
      <c r="F396" s="155"/>
      <c r="G396" s="155"/>
      <c r="H396" s="155"/>
      <c r="I396" s="155">
        <v>4.7990000000000003E-3</v>
      </c>
      <c r="J396" s="155"/>
      <c r="K396" s="155">
        <v>8.7480000000000006E-3</v>
      </c>
      <c r="L396" s="155">
        <v>1.2120000000000001E-2</v>
      </c>
      <c r="M396" s="155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6">
        <f ca="1"/>
        <v>0</v>
      </c>
      <c r="P396" s="156">
        <f ca="1"/>
        <v>0</v>
      </c>
      <c r="Q396" s="156">
        <f ca="1"/>
        <v>0</v>
      </c>
      <c r="R396" s="156">
        <f ca="1"/>
        <v>2.5535653636994615E-2</v>
      </c>
      <c r="S396" s="156">
        <f ca="1"/>
        <v>0</v>
      </c>
      <c r="T396" s="156">
        <f ca="1"/>
        <v>7.6936697779617536E-2</v>
      </c>
      <c r="U396" s="156">
        <f ca="1"/>
        <v>0.14674804863810265</v>
      </c>
      <c r="V396" s="138">
        <f ca="1"/>
        <v>0</v>
      </c>
      <c r="W396" s="137">
        <f ca="1"/>
        <v>0</v>
      </c>
      <c r="X396" s="156">
        <f ca="1"/>
        <v>0</v>
      </c>
      <c r="Y396" s="156">
        <f ca="1"/>
        <v>0</v>
      </c>
      <c r="Z396" s="156">
        <f ca="1"/>
        <v>0</v>
      </c>
      <c r="AA396" s="156">
        <f ca="1"/>
        <v>2.6051659518684711E-2</v>
      </c>
      <c r="AB396" s="156">
        <f ca="1"/>
        <v>0</v>
      </c>
      <c r="AC396" s="156">
        <f ca="1"/>
        <v>7.7755657850922533E-2</v>
      </c>
      <c r="AD396" s="156">
        <f ca="1"/>
        <v>0.14781231461133271</v>
      </c>
      <c r="AE396" s="138">
        <f ca="1"/>
        <v>0</v>
      </c>
      <c r="AG396" s="135"/>
      <c r="AH396" s="135">
        <v>5.1580000000000003E-3</v>
      </c>
      <c r="AI396" s="135">
        <v>8.1840000000000003E-3</v>
      </c>
      <c r="AJ396" s="135">
        <v>1.0449999999999999E-2</v>
      </c>
      <c r="AK396" s="135"/>
      <c r="AO396" s="135">
        <f t="shared" ca="1" si="8"/>
        <v>4.7957158423213974E-3</v>
      </c>
      <c r="AP396" s="135">
        <f t="shared" ca="1" si="9"/>
        <v>1.055076046562E-2</v>
      </c>
      <c r="AQ396" s="135">
        <f t="shared" ca="1" si="10"/>
        <v>1.9093362281374468E-2</v>
      </c>
      <c r="AV396" s="538">
        <f t="shared" ca="1" si="11"/>
        <v>1.2634601321569587E-3</v>
      </c>
      <c r="AW396" s="538">
        <f t="shared" ca="1" si="12"/>
        <v>2.5498617105102882E-3</v>
      </c>
      <c r="AX396" s="538">
        <f t="shared" ca="1" si="13"/>
        <v>4.5440081924966588E-3</v>
      </c>
    </row>
    <row r="397" spans="1:50" ht="10.5" customHeight="1">
      <c r="A397" s="96">
        <v>386</v>
      </c>
      <c r="B397" s="68" t="s">
        <v>530</v>
      </c>
      <c r="C397" s="97">
        <v>0.4</v>
      </c>
      <c r="D397" s="69" t="s">
        <v>66</v>
      </c>
      <c r="E397" s="136"/>
      <c r="F397" s="155"/>
      <c r="G397" s="155"/>
      <c r="H397" s="155"/>
      <c r="I397" s="155">
        <v>4.2960000000000003E-3</v>
      </c>
      <c r="J397" s="155"/>
      <c r="K397" s="155">
        <v>6.79E-3</v>
      </c>
      <c r="L397" s="155">
        <v>9.9900000000000006E-3</v>
      </c>
      <c r="M397" s="155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6">
        <f ca="1"/>
        <v>0</v>
      </c>
      <c r="P397" s="156">
        <f ca="1"/>
        <v>0</v>
      </c>
      <c r="Q397" s="156">
        <f ca="1"/>
        <v>0</v>
      </c>
      <c r="R397" s="156">
        <f ca="1"/>
        <v>2.2889102682549067E-2</v>
      </c>
      <c r="S397" s="156">
        <f ca="1"/>
        <v>0</v>
      </c>
      <c r="T397" s="156">
        <f ca="1"/>
        <v>5.9648792356503666E-2</v>
      </c>
      <c r="U397" s="156">
        <f ca="1"/>
        <v>0.12222952544421928</v>
      </c>
      <c r="V397" s="138">
        <f ca="1"/>
        <v>0</v>
      </c>
      <c r="W397" s="137">
        <f ca="1"/>
        <v>0</v>
      </c>
      <c r="X397" s="156">
        <f ca="1"/>
        <v>0</v>
      </c>
      <c r="Y397" s="156">
        <f ca="1"/>
        <v>0</v>
      </c>
      <c r="Z397" s="156">
        <f ca="1"/>
        <v>0</v>
      </c>
      <c r="AA397" s="156">
        <f ca="1"/>
        <v>2.3408407984828572E-2</v>
      </c>
      <c r="AB397" s="156">
        <f ca="1"/>
        <v>0</v>
      </c>
      <c r="AC397" s="156">
        <f ca="1"/>
        <v>6.0466125649571656E-2</v>
      </c>
      <c r="AD397" s="156">
        <f ca="1"/>
        <v>0.12332025031586336</v>
      </c>
      <c r="AE397" s="138">
        <f ca="1"/>
        <v>0</v>
      </c>
      <c r="AG397" s="135"/>
      <c r="AH397" s="135">
        <v>5.8869999999999999E-3</v>
      </c>
      <c r="AI397" s="135">
        <v>1.0245000000000001E-2</v>
      </c>
      <c r="AJ397" s="135">
        <v>1.4839E-2</v>
      </c>
      <c r="AK397" s="135"/>
      <c r="AO397" s="135">
        <f t="shared" ca="1" si="8"/>
        <v>5.4735128274032699E-3</v>
      </c>
      <c r="AP397" s="135">
        <f t="shared" ca="1" si="9"/>
        <v>1.3207788486104217E-2</v>
      </c>
      <c r="AQ397" s="135">
        <f t="shared" ca="1" si="10"/>
        <v>2.7112574439551746E-2</v>
      </c>
      <c r="AV397" s="538">
        <f t="shared" ca="1" si="11"/>
        <v>1.442029817372628E-3</v>
      </c>
      <c r="AW397" s="538">
        <f t="shared" ca="1" si="12"/>
        <v>3.1920006383404087E-3</v>
      </c>
      <c r="AX397" s="538">
        <f t="shared" ca="1" si="13"/>
        <v>6.4524916333452559E-3</v>
      </c>
    </row>
    <row r="398" spans="1:50" ht="10.5" customHeight="1">
      <c r="A398" s="96">
        <v>387</v>
      </c>
      <c r="B398" s="68" t="s">
        <v>546</v>
      </c>
      <c r="C398" s="97">
        <v>0.4</v>
      </c>
      <c r="D398" s="69" t="s">
        <v>66</v>
      </c>
      <c r="E398" s="136"/>
      <c r="F398" s="155"/>
      <c r="G398" s="155"/>
      <c r="H398" s="155"/>
      <c r="I398" s="155">
        <v>1.0371E-2</v>
      </c>
      <c r="J398" s="155"/>
      <c r="K398" s="155">
        <v>1.6621E-2</v>
      </c>
      <c r="L398" s="155">
        <v>1.9375E-2</v>
      </c>
      <c r="M398" s="155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6">
        <f ca="1"/>
        <v>0</v>
      </c>
      <c r="P398" s="156">
        <f ca="1"/>
        <v>0</v>
      </c>
      <c r="Q398" s="156">
        <f ca="1"/>
        <v>0</v>
      </c>
      <c r="R398" s="156">
        <f ca="1"/>
        <v>5.4348588263843367E-2</v>
      </c>
      <c r="S398" s="156">
        <f ca="1"/>
        <v>0</v>
      </c>
      <c r="T398" s="156">
        <f ca="1"/>
        <v>0.14138693717571538</v>
      </c>
      <c r="U398" s="156">
        <f ca="1"/>
        <v>0.22138122439875285</v>
      </c>
      <c r="V398" s="138">
        <f ca="1"/>
        <v>0</v>
      </c>
      <c r="W398" s="137">
        <f ca="1"/>
        <v>0</v>
      </c>
      <c r="X398" s="156">
        <f ca="1"/>
        <v>0</v>
      </c>
      <c r="Y398" s="156">
        <f ca="1"/>
        <v>0</v>
      </c>
      <c r="Z398" s="156">
        <f ca="1"/>
        <v>0</v>
      </c>
      <c r="AA398" s="156">
        <f ca="1"/>
        <v>5.4857984947617178E-2</v>
      </c>
      <c r="AB398" s="156">
        <f ca="1"/>
        <v>0</v>
      </c>
      <c r="AC398" s="156">
        <f ca="1"/>
        <v>0.14215362166623224</v>
      </c>
      <c r="AD398" s="156">
        <f ca="1"/>
        <v>0.22235431745344469</v>
      </c>
      <c r="AE398" s="138">
        <f ca="1"/>
        <v>0</v>
      </c>
      <c r="AG398" s="135"/>
      <c r="AH398" s="135">
        <v>4.9649999999999998E-3</v>
      </c>
      <c r="AI398" s="135">
        <v>8.1279999999999998E-3</v>
      </c>
      <c r="AJ398" s="135">
        <v>1.1226999999999999E-2</v>
      </c>
      <c r="AK398" s="135"/>
      <c r="AO398" s="135">
        <f t="shared" ca="1" si="8"/>
        <v>4.616271647368309E-3</v>
      </c>
      <c r="AP398" s="135">
        <f t="shared" ca="1" si="9"/>
        <v>1.0478565623724262E-2</v>
      </c>
      <c r="AQ398" s="135">
        <f t="shared" ca="1" si="10"/>
        <v>2.0513031419424989E-2</v>
      </c>
      <c r="AV398" s="538">
        <f t="shared" ca="1" si="11"/>
        <v>1.2161844816128923E-3</v>
      </c>
      <c r="AW398" s="538">
        <f t="shared" ca="1" si="12"/>
        <v>2.5324139764207748E-3</v>
      </c>
      <c r="AX398" s="538">
        <f t="shared" ca="1" si="13"/>
        <v>4.8818736820248794E-3</v>
      </c>
    </row>
    <row r="399" spans="1:50" ht="10.5" customHeight="1">
      <c r="A399" s="96">
        <v>388</v>
      </c>
      <c r="B399" s="68" t="s">
        <v>547</v>
      </c>
      <c r="C399" s="97">
        <v>0.4</v>
      </c>
      <c r="D399" s="69" t="s">
        <v>66</v>
      </c>
      <c r="E399" s="136"/>
      <c r="F399" s="155"/>
      <c r="G399" s="155"/>
      <c r="H399" s="155"/>
      <c r="I399" s="155">
        <v>2.5300000000000001E-3</v>
      </c>
      <c r="J399" s="155"/>
      <c r="K399" s="155">
        <v>3.9699999999999996E-3</v>
      </c>
      <c r="L399" s="155">
        <v>5.692E-3</v>
      </c>
      <c r="M399" s="155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6">
        <f ca="1"/>
        <v>0</v>
      </c>
      <c r="P399" s="156">
        <f ca="1"/>
        <v>0</v>
      </c>
      <c r="Q399" s="156">
        <f ca="1"/>
        <v>0</v>
      </c>
      <c r="R399" s="156">
        <f ca="1"/>
        <v>1.3542101616499935E-2</v>
      </c>
      <c r="S399" s="156">
        <f ca="1"/>
        <v>0</v>
      </c>
      <c r="T399" s="156">
        <f ca="1"/>
        <v>3.5192392392203731E-2</v>
      </c>
      <c r="U399" s="156">
        <f ca="1"/>
        <v>7.0741536268531746E-2</v>
      </c>
      <c r="V399" s="138">
        <f ca="1"/>
        <v>0</v>
      </c>
      <c r="W399" s="137">
        <f ca="1"/>
        <v>0</v>
      </c>
      <c r="X399" s="156">
        <f ca="1"/>
        <v>0</v>
      </c>
      <c r="Y399" s="156">
        <f ca="1"/>
        <v>0</v>
      </c>
      <c r="Z399" s="156">
        <f ca="1"/>
        <v>0</v>
      </c>
      <c r="AA399" s="156">
        <f ca="1"/>
        <v>1.4071173095838052E-2</v>
      </c>
      <c r="AB399" s="156">
        <f ca="1"/>
        <v>0</v>
      </c>
      <c r="AC399" s="156">
        <f ca="1"/>
        <v>3.603639070475273E-2</v>
      </c>
      <c r="AD399" s="156">
        <f ca="1"/>
        <v>7.186923329120487E-2</v>
      </c>
      <c r="AE399" s="138">
        <f ca="1"/>
        <v>0</v>
      </c>
      <c r="AG399" s="135"/>
      <c r="AH399" s="135">
        <v>6.7450000000000001E-3</v>
      </c>
      <c r="AI399" s="135">
        <v>1.1979999999999999E-2</v>
      </c>
      <c r="AJ399" s="135">
        <v>1.6924999999999999E-2</v>
      </c>
      <c r="AK399" s="135"/>
      <c r="AO399" s="135">
        <f t="shared" ref="AO399:AO430" ca="1" si="14">AH399*$AM$365</f>
        <v>6.2712491966765852E-3</v>
      </c>
      <c r="AP399" s="135">
        <f t="shared" ref="AP399:AP430" ca="1" si="15">AI399*$AM$366</f>
        <v>1.5444539391266813E-2</v>
      </c>
      <c r="AQ399" s="135">
        <f t="shared" ref="AQ399:AQ430" ca="1" si="16">AJ399*$AM$367</f>
        <v>3.092393843179549E-2</v>
      </c>
      <c r="AV399" s="538">
        <f t="shared" ca="1" si="11"/>
        <v>1.6521982534700825E-3</v>
      </c>
      <c r="AW399" s="538">
        <f t="shared" ca="1" si="12"/>
        <v>3.7325688284351481E-3</v>
      </c>
      <c r="AX399" s="538">
        <f t="shared" ca="1" si="13"/>
        <v>7.3595539385651635E-3</v>
      </c>
    </row>
    <row r="400" spans="1:50" ht="10.5" customHeight="1">
      <c r="A400" s="96">
        <v>389</v>
      </c>
      <c r="B400" s="68" t="s">
        <v>548</v>
      </c>
      <c r="C400" s="97">
        <v>0.4</v>
      </c>
      <c r="D400" s="69" t="s">
        <v>66</v>
      </c>
      <c r="E400" s="136"/>
      <c r="F400" s="155"/>
      <c r="G400" s="155"/>
      <c r="H400" s="155"/>
      <c r="I400" s="155">
        <v>3.9449999999999997E-3</v>
      </c>
      <c r="J400" s="155"/>
      <c r="K400" s="155">
        <v>6.7390000000000002E-3</v>
      </c>
      <c r="L400" s="155">
        <v>9.7630000000000008E-3</v>
      </c>
      <c r="M400" s="155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6">
        <f ca="1"/>
        <v>0</v>
      </c>
      <c r="P400" s="156">
        <f ca="1"/>
        <v>0</v>
      </c>
      <c r="Q400" s="156">
        <f ca="1"/>
        <v>0</v>
      </c>
      <c r="R400" s="156">
        <f ca="1"/>
        <v>2.1038195497765422E-2</v>
      </c>
      <c r="S400" s="156">
        <f ca="1"/>
        <v>0</v>
      </c>
      <c r="T400" s="156">
        <f ca="1"/>
        <v>5.9462889595135793E-2</v>
      </c>
      <c r="U400" s="156">
        <f ca="1"/>
        <v>0.11965981103086909</v>
      </c>
      <c r="V400" s="138">
        <f ca="1"/>
        <v>0</v>
      </c>
      <c r="W400" s="137">
        <f ca="1"/>
        <v>0</v>
      </c>
      <c r="X400" s="156">
        <f ca="1"/>
        <v>0</v>
      </c>
      <c r="Y400" s="156">
        <f ca="1"/>
        <v>0</v>
      </c>
      <c r="Z400" s="156">
        <f ca="1"/>
        <v>0</v>
      </c>
      <c r="AA400" s="156">
        <f ca="1"/>
        <v>2.155966282108901E-2</v>
      </c>
      <c r="AB400" s="156">
        <f ca="1"/>
        <v>0</v>
      </c>
      <c r="AC400" s="156">
        <f ca="1"/>
        <v>6.0279854026063506E-2</v>
      </c>
      <c r="AD400" s="156">
        <f ca="1"/>
        <v>0.12075329735375251</v>
      </c>
      <c r="AE400" s="138">
        <f ca="1"/>
        <v>0</v>
      </c>
      <c r="AG400" s="135"/>
      <c r="AH400" s="135">
        <v>1.9369999999999999E-3</v>
      </c>
      <c r="AI400" s="135">
        <v>3.101E-3</v>
      </c>
      <c r="AJ400" s="135">
        <v>4.6010000000000001E-3</v>
      </c>
      <c r="AK400" s="135"/>
      <c r="AO400" s="135">
        <f t="shared" ca="1" si="14"/>
        <v>1.8009502882079384E-3</v>
      </c>
      <c r="AP400" s="135">
        <f t="shared" ca="1" si="15"/>
        <v>3.9977893699764937E-3</v>
      </c>
      <c r="AQ400" s="135">
        <f t="shared" ca="1" si="16"/>
        <v>8.406560751828128E-3</v>
      </c>
      <c r="AV400" s="538">
        <f t="shared" ca="1" si="11"/>
        <v>4.7447116634122304E-4</v>
      </c>
      <c r="AW400" s="538">
        <f t="shared" ca="1" si="12"/>
        <v>9.661682752067942E-4</v>
      </c>
      <c r="AX400" s="538">
        <f t="shared" ca="1" si="13"/>
        <v>2.0006681046580987E-3</v>
      </c>
    </row>
    <row r="401" spans="1:50" ht="10.5" customHeight="1">
      <c r="A401" s="96">
        <v>390</v>
      </c>
      <c r="B401" s="68" t="s">
        <v>564</v>
      </c>
      <c r="C401" s="97">
        <v>0.4</v>
      </c>
      <c r="D401" s="69" t="s">
        <v>66</v>
      </c>
      <c r="E401" s="136"/>
      <c r="F401" s="155"/>
      <c r="G401" s="155"/>
      <c r="H401" s="155"/>
      <c r="I401" s="155">
        <v>1.738E-3</v>
      </c>
      <c r="J401" s="155"/>
      <c r="K401" s="155">
        <v>2.9610000000000001E-3</v>
      </c>
      <c r="L401" s="155">
        <v>4.1469999999999996E-3</v>
      </c>
      <c r="M401" s="155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6">
        <f ca="1"/>
        <v>0</v>
      </c>
      <c r="P401" s="156">
        <f ca="1"/>
        <v>0</v>
      </c>
      <c r="Q401" s="156">
        <f ca="1"/>
        <v>0</v>
      </c>
      <c r="R401" s="156">
        <f ca="1"/>
        <v>9.3221424894119886E-3</v>
      </c>
      <c r="S401" s="156">
        <f ca="1"/>
        <v>0</v>
      </c>
      <c r="T401" s="156">
        <f ca="1"/>
        <v>2.6442898935638448E-2</v>
      </c>
      <c r="U401" s="156">
        <f ca="1"/>
        <v>5.1883843997432511E-2</v>
      </c>
      <c r="V401" s="138">
        <f ca="1"/>
        <v>0</v>
      </c>
      <c r="W401" s="137">
        <f ca="1"/>
        <v>0</v>
      </c>
      <c r="X401" s="156">
        <f ca="1"/>
        <v>0</v>
      </c>
      <c r="Y401" s="156">
        <f ca="1"/>
        <v>0</v>
      </c>
      <c r="Z401" s="156">
        <f ca="1"/>
        <v>0</v>
      </c>
      <c r="AA401" s="156">
        <f ca="1"/>
        <v>9.8547394073684735E-3</v>
      </c>
      <c r="AB401" s="156">
        <f ca="1"/>
        <v>0</v>
      </c>
      <c r="AC401" s="156">
        <f ca="1"/>
        <v>2.7295396748481249E-2</v>
      </c>
      <c r="AD401" s="156">
        <f ca="1"/>
        <v>5.3036368083548058E-2</v>
      </c>
      <c r="AE401" s="138">
        <f ca="1"/>
        <v>0</v>
      </c>
      <c r="AG401" s="135"/>
      <c r="AH401" s="135">
        <v>4.7990000000000003E-3</v>
      </c>
      <c r="AI401" s="135">
        <v>8.7480000000000006E-3</v>
      </c>
      <c r="AJ401" s="135">
        <v>1.2120000000000001E-2</v>
      </c>
      <c r="AK401" s="135"/>
      <c r="AO401" s="135">
        <f t="shared" ca="1" si="14"/>
        <v>4.4619310444552907E-3</v>
      </c>
      <c r="AP401" s="135">
        <f t="shared" ca="1" si="15"/>
        <v>1.1277865658998505E-2</v>
      </c>
      <c r="AQ401" s="135">
        <f t="shared" ca="1" si="16"/>
        <v>2.2144646014378811E-2</v>
      </c>
      <c r="AV401" s="538">
        <f t="shared" ca="1" si="11"/>
        <v>1.1755225231138511E-3</v>
      </c>
      <c r="AW401" s="538">
        <f t="shared" ca="1" si="12"/>
        <v>2.7255853181261001E-3</v>
      </c>
      <c r="AX401" s="538">
        <f t="shared" ca="1" si="13"/>
        <v>5.2701798366564133E-3</v>
      </c>
    </row>
    <row r="402" spans="1:50" ht="10.5" customHeight="1">
      <c r="A402" s="96">
        <v>391</v>
      </c>
      <c r="B402" s="68" t="s">
        <v>549</v>
      </c>
      <c r="C402" s="97">
        <v>0.4</v>
      </c>
      <c r="D402" s="69" t="s">
        <v>66</v>
      </c>
      <c r="E402" s="136"/>
      <c r="F402" s="155"/>
      <c r="G402" s="155"/>
      <c r="H402" s="155"/>
      <c r="I402" s="155">
        <v>2.8939999999999999E-3</v>
      </c>
      <c r="J402" s="155"/>
      <c r="K402" s="155">
        <v>5.0400000000000002E-3</v>
      </c>
      <c r="L402" s="155">
        <v>7.5799999999999999E-3</v>
      </c>
      <c r="M402" s="155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6">
        <f ca="1"/>
        <v>0</v>
      </c>
      <c r="P402" s="156">
        <f ca="1"/>
        <v>0</v>
      </c>
      <c r="Q402" s="156">
        <f ca="1"/>
        <v>0</v>
      </c>
      <c r="R402" s="156">
        <f ca="1"/>
        <v>1.5475720265528126E-2</v>
      </c>
      <c r="S402" s="156">
        <f ca="1"/>
        <v>0</v>
      </c>
      <c r="T402" s="156">
        <f ca="1"/>
        <v>4.4757249468883264E-2</v>
      </c>
      <c r="U402" s="156">
        <f ca="1"/>
        <v>9.4085842373741735E-2</v>
      </c>
      <c r="V402" s="138">
        <f ca="1"/>
        <v>0</v>
      </c>
      <c r="W402" s="137">
        <f ca="1"/>
        <v>0</v>
      </c>
      <c r="X402" s="156">
        <f ca="1"/>
        <v>0</v>
      </c>
      <c r="Y402" s="156">
        <f ca="1"/>
        <v>0</v>
      </c>
      <c r="Z402" s="156">
        <f ca="1"/>
        <v>0</v>
      </c>
      <c r="AA402" s="156">
        <f ca="1"/>
        <v>1.6003000229151798E-2</v>
      </c>
      <c r="AB402" s="156">
        <f ca="1"/>
        <v>0</v>
      </c>
      <c r="AC402" s="156">
        <f ca="1"/>
        <v>4.5591252993241738E-2</v>
      </c>
      <c r="AD402" s="156">
        <f ca="1"/>
        <v>9.5204578856655675E-2</v>
      </c>
      <c r="AE402" s="138">
        <f ca="1"/>
        <v>0</v>
      </c>
      <c r="AG402" s="135"/>
      <c r="AH402" s="135">
        <v>4.2960000000000003E-3</v>
      </c>
      <c r="AI402" s="135">
        <v>6.79E-3</v>
      </c>
      <c r="AJ402" s="135">
        <v>9.9900000000000006E-3</v>
      </c>
      <c r="AK402" s="135"/>
      <c r="AO402" s="135">
        <f t="shared" ca="1" si="14"/>
        <v>3.9942604223754796E-3</v>
      </c>
      <c r="AP402" s="135">
        <f t="shared" ca="1" si="15"/>
        <v>8.7536245798582359E-3</v>
      </c>
      <c r="AQ402" s="135">
        <f t="shared" ca="1" si="16"/>
        <v>1.8252888917792438E-2</v>
      </c>
      <c r="AV402" s="538">
        <f t="shared" ca="1" si="11"/>
        <v>1.0523118898306115E-3</v>
      </c>
      <c r="AW402" s="538">
        <f t="shared" ca="1" si="12"/>
        <v>2.115537758353477E-3</v>
      </c>
      <c r="AX402" s="538">
        <f t="shared" ca="1" si="13"/>
        <v>4.3439848653628356E-3</v>
      </c>
    </row>
    <row r="403" spans="1:50" ht="10.5" customHeight="1">
      <c r="A403" s="96">
        <v>392</v>
      </c>
      <c r="B403" s="68" t="s">
        <v>550</v>
      </c>
      <c r="C403" s="97">
        <v>0.4</v>
      </c>
      <c r="D403" s="69" t="s">
        <v>66</v>
      </c>
      <c r="E403" s="136"/>
      <c r="F403" s="155"/>
      <c r="G403" s="155"/>
      <c r="H403" s="155"/>
      <c r="I403" s="155">
        <v>1.31E-3</v>
      </c>
      <c r="J403" s="155"/>
      <c r="K403" s="155">
        <v>2.2300000000000002E-3</v>
      </c>
      <c r="L403" s="155">
        <v>3.3579999999999999E-3</v>
      </c>
      <c r="M403" s="155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6">
        <f ca="1"/>
        <v>0</v>
      </c>
      <c r="P403" s="156">
        <f ca="1"/>
        <v>0</v>
      </c>
      <c r="Q403" s="156">
        <f ca="1"/>
        <v>0</v>
      </c>
      <c r="R403" s="156">
        <f ca="1"/>
        <v>7.0343606034075634E-3</v>
      </c>
      <c r="S403" s="156">
        <f ca="1"/>
        <v>0</v>
      </c>
      <c r="T403" s="156">
        <f ca="1"/>
        <v>1.9961079103302137E-2</v>
      </c>
      <c r="U403" s="156">
        <f ca="1"/>
        <v>4.2383442288579598E-2</v>
      </c>
      <c r="V403" s="138">
        <f ca="1"/>
        <v>0</v>
      </c>
      <c r="W403" s="137">
        <f ca="1"/>
        <v>0</v>
      </c>
      <c r="X403" s="156">
        <f ca="1"/>
        <v>0</v>
      </c>
      <c r="Y403" s="156">
        <f ca="1"/>
        <v>0</v>
      </c>
      <c r="Z403" s="156">
        <f ca="1"/>
        <v>0</v>
      </c>
      <c r="AA403" s="156">
        <f ca="1"/>
        <v>7.5686590601646841E-3</v>
      </c>
      <c r="AB403" s="156">
        <f ca="1"/>
        <v>0</v>
      </c>
      <c r="AC403" s="156">
        <f ca="1"/>
        <v>2.0819452363937674E-2</v>
      </c>
      <c r="AD403" s="156">
        <f ca="1"/>
        <v>4.3547595870815026E-2</v>
      </c>
      <c r="AE403" s="138">
        <f ca="1"/>
        <v>0</v>
      </c>
      <c r="AG403" s="135"/>
      <c r="AH403" s="135">
        <v>1.0371E-2</v>
      </c>
      <c r="AI403" s="135">
        <v>1.6621E-2</v>
      </c>
      <c r="AJ403" s="135">
        <v>1.9375E-2</v>
      </c>
      <c r="AK403" s="135"/>
      <c r="AO403" s="135">
        <f t="shared" ca="1" si="14"/>
        <v>9.6425686313910842E-3</v>
      </c>
      <c r="AP403" s="135">
        <f t="shared" ca="1" si="15"/>
        <v>2.1427686913376102E-2</v>
      </c>
      <c r="AQ403" s="135">
        <f t="shared" ca="1" si="16"/>
        <v>3.5400372650873715E-2</v>
      </c>
      <c r="AV403" s="538">
        <f t="shared" ca="1" si="11"/>
        <v>2.5403925999611899E-3</v>
      </c>
      <c r="AW403" s="538">
        <f t="shared" ca="1" si="12"/>
        <v>5.1785497911035561E-3</v>
      </c>
      <c r="AX403" s="538">
        <f t="shared" ca="1" si="13"/>
        <v>8.424895572212706E-3</v>
      </c>
    </row>
    <row r="404" spans="1:50" ht="10.5" customHeight="1">
      <c r="A404" s="96">
        <v>393</v>
      </c>
      <c r="B404" s="68" t="s">
        <v>565</v>
      </c>
      <c r="C404" s="97">
        <v>0.4</v>
      </c>
      <c r="D404" s="69" t="s">
        <v>66</v>
      </c>
      <c r="E404" s="136"/>
      <c r="F404" s="155"/>
      <c r="G404" s="155"/>
      <c r="H404" s="155"/>
      <c r="I404" s="155">
        <v>2.1749999999999999E-3</v>
      </c>
      <c r="J404" s="155"/>
      <c r="K404" s="155">
        <v>3.539E-3</v>
      </c>
      <c r="L404" s="155">
        <v>4.816E-3</v>
      </c>
      <c r="M404" s="155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6">
        <f ca="1"/>
        <v>0</v>
      </c>
      <c r="P404" s="156">
        <f ca="1"/>
        <v>0</v>
      </c>
      <c r="Q404" s="156">
        <f ca="1"/>
        <v>0</v>
      </c>
      <c r="R404" s="156">
        <f ca="1"/>
        <v>1.1652743150973977E-2</v>
      </c>
      <c r="S404" s="156">
        <f ca="1"/>
        <v>0</v>
      </c>
      <c r="T404" s="156">
        <f ca="1"/>
        <v>3.1475214776142679E-2</v>
      </c>
      <c r="U404" s="156">
        <f ca="1"/>
        <v>5.9867812065398707E-2</v>
      </c>
      <c r="V404" s="138">
        <f ca="1"/>
        <v>0</v>
      </c>
      <c r="W404" s="137">
        <f ca="1"/>
        <v>0</v>
      </c>
      <c r="X404" s="156">
        <f ca="1"/>
        <v>0</v>
      </c>
      <c r="Y404" s="156">
        <f ca="1"/>
        <v>0</v>
      </c>
      <c r="Z404" s="156">
        <f ca="1"/>
        <v>0</v>
      </c>
      <c r="AA404" s="156">
        <f ca="1"/>
        <v>1.2183456787734581E-2</v>
      </c>
      <c r="AB404" s="156">
        <f ca="1"/>
        <v>0</v>
      </c>
      <c r="AC404" s="156">
        <f ca="1"/>
        <v>3.2322878014418466E-2</v>
      </c>
      <c r="AD404" s="156">
        <f ca="1"/>
        <v>6.1010151431274862E-2</v>
      </c>
      <c r="AE404" s="138">
        <f ca="1"/>
        <v>0</v>
      </c>
      <c r="AG404" s="135"/>
      <c r="AH404" s="135">
        <v>2.5300000000000001E-3</v>
      </c>
      <c r="AI404" s="135">
        <v>3.9699999999999996E-3</v>
      </c>
      <c r="AJ404" s="135">
        <v>5.692E-3</v>
      </c>
      <c r="AK404" s="135"/>
      <c r="AO404" s="135">
        <f t="shared" ca="1" si="14"/>
        <v>2.3522995504213135E-3</v>
      </c>
      <c r="AP404" s="135">
        <f t="shared" ca="1" si="15"/>
        <v>5.1180986129657135E-3</v>
      </c>
      <c r="AQ404" s="135">
        <f t="shared" ca="1" si="16"/>
        <v>1.0399944316323777E-2</v>
      </c>
      <c r="AV404" s="538">
        <f t="shared" ca="1" si="11"/>
        <v>6.1972743977454538E-4</v>
      </c>
      <c r="AW404" s="538">
        <f t="shared" ca="1" si="12"/>
        <v>1.2369197202744188E-3</v>
      </c>
      <c r="AX404" s="538">
        <f t="shared" ca="1" si="13"/>
        <v>2.4750712566211468E-3</v>
      </c>
    </row>
    <row r="405" spans="1:50" ht="10.5" customHeight="1">
      <c r="A405" s="96">
        <v>394</v>
      </c>
      <c r="B405" s="68" t="s">
        <v>551</v>
      </c>
      <c r="C405" s="97">
        <v>0.4</v>
      </c>
      <c r="D405" s="69" t="s">
        <v>66</v>
      </c>
      <c r="E405" s="136"/>
      <c r="F405" s="155"/>
      <c r="G405" s="155"/>
      <c r="H405" s="155"/>
      <c r="I405" s="155">
        <v>1.6999999999999999E-3</v>
      </c>
      <c r="J405" s="155"/>
      <c r="K405" s="155">
        <v>2.6360000000000001E-2</v>
      </c>
      <c r="L405" s="155">
        <v>3.9090000000000001E-3</v>
      </c>
      <c r="M405" s="155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6">
        <f ca="1"/>
        <v>0</v>
      </c>
      <c r="P405" s="156">
        <f ca="1"/>
        <v>0</v>
      </c>
      <c r="Q405" s="156">
        <f ca="1"/>
        <v>0</v>
      </c>
      <c r="R405" s="156">
        <f ca="1"/>
        <v>9.1192292771665739E-3</v>
      </c>
      <c r="S405" s="156">
        <f ca="1"/>
        <v>0</v>
      </c>
      <c r="T405" s="156">
        <f ca="1"/>
        <v>0.23434442807525002</v>
      </c>
      <c r="U405" s="156">
        <f ca="1"/>
        <v>2.5821673485782348E-2</v>
      </c>
      <c r="V405" s="138">
        <f ca="1"/>
        <v>0</v>
      </c>
      <c r="W405" s="137">
        <f ca="1"/>
        <v>0</v>
      </c>
      <c r="X405" s="156">
        <f ca="1"/>
        <v>0</v>
      </c>
      <c r="Y405" s="156">
        <f ca="1"/>
        <v>0</v>
      </c>
      <c r="Z405" s="156">
        <f ca="1"/>
        <v>0</v>
      </c>
      <c r="AA405" s="156">
        <f ca="1"/>
        <v>9.6519829127960088E-3</v>
      </c>
      <c r="AB405" s="156">
        <f ca="1"/>
        <v>0</v>
      </c>
      <c r="AC405" s="156">
        <f ca="1"/>
        <v>0.23507546580283456</v>
      </c>
      <c r="AD405" s="156">
        <f ca="1"/>
        <v>2.6923346664679992E-2</v>
      </c>
      <c r="AE405" s="138">
        <f ca="1"/>
        <v>0</v>
      </c>
      <c r="AG405" s="135"/>
      <c r="AH405" s="135">
        <v>3.9449999999999997E-3</v>
      </c>
      <c r="AI405" s="135">
        <v>6.7390000000000002E-3</v>
      </c>
      <c r="AJ405" s="135">
        <v>9.7630000000000008E-3</v>
      </c>
      <c r="AK405" s="135"/>
      <c r="AO405" s="135">
        <f t="shared" ca="1" si="14"/>
        <v>3.6679137258545775E-3</v>
      </c>
      <c r="AP405" s="135">
        <f t="shared" ca="1" si="15"/>
        <v>8.6878757059889039E-3</v>
      </c>
      <c r="AQ405" s="135">
        <f t="shared" ca="1" si="16"/>
        <v>1.7838133584024779E-2</v>
      </c>
      <c r="AV405" s="538">
        <f t="shared" ca="1" si="11"/>
        <v>9.6633389324528903E-4</v>
      </c>
      <c r="AW405" s="538">
        <f t="shared" ca="1" si="12"/>
        <v>2.0996478576648134E-3</v>
      </c>
      <c r="AX405" s="538">
        <f t="shared" ca="1" si="13"/>
        <v>4.2452777017554918E-3</v>
      </c>
    </row>
    <row r="406" spans="1:50" ht="10.5" customHeight="1">
      <c r="A406" s="96">
        <v>395</v>
      </c>
      <c r="B406" s="68" t="s">
        <v>629</v>
      </c>
      <c r="C406" s="97">
        <v>0.4</v>
      </c>
      <c r="D406" s="69" t="s">
        <v>66</v>
      </c>
      <c r="E406" s="136"/>
      <c r="F406" s="155"/>
      <c r="G406" s="155"/>
      <c r="H406" s="155"/>
      <c r="I406" s="155">
        <v>1.7680000000000001E-2</v>
      </c>
      <c r="J406" s="155"/>
      <c r="K406" s="155">
        <v>2.5177000000000001E-2</v>
      </c>
      <c r="L406" s="155">
        <v>3.0232999999999999E-2</v>
      </c>
      <c r="M406" s="155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6">
        <f ca="1"/>
        <v>0</v>
      </c>
      <c r="P406" s="156">
        <f ca="1"/>
        <v>0</v>
      </c>
      <c r="Q406" s="156">
        <f ca="1"/>
        <v>0</v>
      </c>
      <c r="R406" s="156">
        <f ca="1"/>
        <v>9.0866451638676127E-2</v>
      </c>
      <c r="S406" s="156">
        <f ca="1"/>
        <v>0</v>
      </c>
      <c r="T406" s="156">
        <f ca="1"/>
        <v>0.20598187834047998</v>
      </c>
      <c r="U406" s="156">
        <f ca="1"/>
        <v>0.32781841398595979</v>
      </c>
      <c r="V406" s="138">
        <f ca="1"/>
        <v>0</v>
      </c>
      <c r="W406" s="137">
        <f ca="1"/>
        <v>0</v>
      </c>
      <c r="X406" s="156">
        <f ca="1"/>
        <v>0</v>
      </c>
      <c r="Y406" s="156">
        <f ca="1"/>
        <v>0</v>
      </c>
      <c r="Z406" s="156">
        <f ca="1"/>
        <v>0</v>
      </c>
      <c r="AA406" s="156">
        <f ca="1"/>
        <v>9.1356171203088143E-2</v>
      </c>
      <c r="AB406" s="156">
        <f ca="1"/>
        <v>0</v>
      </c>
      <c r="AC406" s="156">
        <f ca="1"/>
        <v>0.20669459558436598</v>
      </c>
      <c r="AD406" s="156">
        <f ca="1"/>
        <v>0.32867660703138502</v>
      </c>
      <c r="AE406" s="138">
        <f ca="1"/>
        <v>0</v>
      </c>
      <c r="AG406" s="135"/>
      <c r="AH406" s="135">
        <v>1.738E-3</v>
      </c>
      <c r="AI406" s="135">
        <v>2.9610000000000001E-3</v>
      </c>
      <c r="AJ406" s="135">
        <v>4.1469999999999996E-3</v>
      </c>
      <c r="AK406" s="135"/>
      <c r="AO406" s="135">
        <f t="shared" ca="1" si="14"/>
        <v>1.6159275172459458E-3</v>
      </c>
      <c r="AP406" s="135">
        <f t="shared" ca="1" si="15"/>
        <v>3.8173022652371485E-3</v>
      </c>
      <c r="AQ406" s="135">
        <f t="shared" ca="1" si="16"/>
        <v>7.577050084292815E-3</v>
      </c>
      <c r="AV406" s="538">
        <f t="shared" ca="1" si="11"/>
        <v>4.2572580645381812E-4</v>
      </c>
      <c r="AW406" s="538">
        <f t="shared" ca="1" si="12"/>
        <v>9.2254893998301116E-4</v>
      </c>
      <c r="AX406" s="538">
        <f t="shared" ca="1" si="13"/>
        <v>1.803253777443411E-3</v>
      </c>
    </row>
    <row r="407" spans="1:50" ht="10.5" customHeight="1">
      <c r="A407" s="96">
        <v>396</v>
      </c>
      <c r="B407" s="68" t="s">
        <v>566</v>
      </c>
      <c r="C407" s="97">
        <v>0.4</v>
      </c>
      <c r="D407" s="69" t="s">
        <v>66</v>
      </c>
      <c r="E407" s="136"/>
      <c r="F407" s="155"/>
      <c r="G407" s="155"/>
      <c r="H407" s="155"/>
      <c r="I407" s="155">
        <v>1.828E-3</v>
      </c>
      <c r="J407" s="155"/>
      <c r="K407" s="155">
        <v>3.0709999999999999E-3</v>
      </c>
      <c r="L407" s="155">
        <v>4.3569999999999998E-3</v>
      </c>
      <c r="M407" s="155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6">
        <f ca="1"/>
        <v>0</v>
      </c>
      <c r="P407" s="156">
        <f ca="1"/>
        <v>0</v>
      </c>
      <c r="Q407" s="156">
        <f ca="1"/>
        <v>0</v>
      </c>
      <c r="R407" s="156">
        <f ca="1"/>
        <v>9.8025652514578399E-3</v>
      </c>
      <c r="S407" s="156">
        <f ca="1"/>
        <v>0</v>
      </c>
      <c r="T407" s="156">
        <f ca="1"/>
        <v>2.7397398231163161E-2</v>
      </c>
      <c r="U407" s="156">
        <f ca="1"/>
        <v>5.4501494993862254E-2</v>
      </c>
      <c r="V407" s="138">
        <f ca="1"/>
        <v>0</v>
      </c>
      <c r="W407" s="137">
        <f ca="1"/>
        <v>0</v>
      </c>
      <c r="X407" s="156">
        <f ca="1"/>
        <v>0</v>
      </c>
      <c r="Y407" s="156">
        <f ca="1"/>
        <v>0</v>
      </c>
      <c r="Z407" s="156">
        <f ca="1"/>
        <v>0</v>
      </c>
      <c r="AA407" s="156">
        <f ca="1"/>
        <v>1.0334786542351204E-2</v>
      </c>
      <c r="AB407" s="156">
        <f ca="1"/>
        <v>0</v>
      </c>
      <c r="AC407" s="156">
        <f ca="1"/>
        <v>2.8248983866813626E-2</v>
      </c>
      <c r="AD407" s="156">
        <f ca="1"/>
        <v>5.5650719884529298E-2</v>
      </c>
      <c r="AE407" s="138">
        <f ca="1"/>
        <v>0</v>
      </c>
      <c r="AG407" s="135"/>
      <c r="AH407" s="135">
        <v>2.8939999999999999E-3</v>
      </c>
      <c r="AI407" s="135">
        <v>5.0400000000000002E-3</v>
      </c>
      <c r="AJ407" s="135">
        <v>7.5799999999999999E-3</v>
      </c>
      <c r="AK407" s="135"/>
      <c r="AO407" s="135">
        <f t="shared" ca="1" si="14"/>
        <v>2.6907331616281742E-3</v>
      </c>
      <c r="AP407" s="135">
        <f t="shared" ca="1" si="15"/>
        <v>6.4975357706164227E-3</v>
      </c>
      <c r="AQ407" s="135">
        <f t="shared" ca="1" si="16"/>
        <v>1.3849539339025692E-2</v>
      </c>
      <c r="AV407" s="538">
        <f t="shared" ca="1" si="11"/>
        <v>7.0888980660376846E-4</v>
      </c>
      <c r="AW407" s="538">
        <f t="shared" ca="1" si="12"/>
        <v>1.5702960680561893E-3</v>
      </c>
      <c r="AX407" s="538">
        <f t="shared" ca="1" si="13"/>
        <v>3.2960365645095385E-3</v>
      </c>
    </row>
    <row r="408" spans="1:50" ht="10.5" customHeight="1">
      <c r="A408" s="96">
        <v>397</v>
      </c>
      <c r="B408" s="68" t="s">
        <v>552</v>
      </c>
      <c r="C408" s="97">
        <v>0.4</v>
      </c>
      <c r="D408" s="69" t="s">
        <v>66</v>
      </c>
      <c r="E408" s="136"/>
      <c r="F408" s="155"/>
      <c r="G408" s="155"/>
      <c r="H408" s="155"/>
      <c r="I408" s="155">
        <v>1.338E-3</v>
      </c>
      <c r="J408" s="155"/>
      <c r="K408" s="155">
        <v>2.0349999999999999E-3</v>
      </c>
      <c r="L408" s="155">
        <v>2.843E-3</v>
      </c>
      <c r="M408" s="155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6">
        <f ca="1"/>
        <v>0</v>
      </c>
      <c r="P408" s="156">
        <f ca="1"/>
        <v>0</v>
      </c>
      <c r="Q408" s="156">
        <f ca="1"/>
        <v>0</v>
      </c>
      <c r="R408" s="156">
        <f ca="1"/>
        <v>7.1841856239994728E-3</v>
      </c>
      <c r="S408" s="156">
        <f ca="1"/>
        <v>0</v>
      </c>
      <c r="T408" s="156">
        <f ca="1"/>
        <v>1.8128826868048398E-2</v>
      </c>
      <c r="U408" s="156">
        <f ca="1"/>
        <v>3.5656703166430659E-2</v>
      </c>
      <c r="V408" s="138">
        <f ca="1"/>
        <v>0</v>
      </c>
      <c r="W408" s="137">
        <f ca="1"/>
        <v>0</v>
      </c>
      <c r="X408" s="156">
        <f ca="1"/>
        <v>0</v>
      </c>
      <c r="Y408" s="156">
        <f ca="1"/>
        <v>0</v>
      </c>
      <c r="Z408" s="156">
        <f ca="1"/>
        <v>0</v>
      </c>
      <c r="AA408" s="156">
        <f ca="1"/>
        <v>7.7183769882624986E-3</v>
      </c>
      <c r="AB408" s="156">
        <f ca="1"/>
        <v>0</v>
      </c>
      <c r="AC408" s="156">
        <f ca="1"/>
        <v>1.8988597636055982E-2</v>
      </c>
      <c r="AD408" s="156">
        <f ca="1"/>
        <v>3.6828118697833978E-2</v>
      </c>
      <c r="AE408" s="138">
        <f ca="1"/>
        <v>0</v>
      </c>
      <c r="AG408" s="135"/>
      <c r="AH408" s="135">
        <v>1.31E-3</v>
      </c>
      <c r="AI408" s="135">
        <v>2.2300000000000002E-3</v>
      </c>
      <c r="AJ408" s="135">
        <v>3.3579999999999999E-3</v>
      </c>
      <c r="AK408" s="135"/>
      <c r="AO408" s="135">
        <f t="shared" ca="1" si="14"/>
        <v>1.217989095277439E-3</v>
      </c>
      <c r="AP408" s="135">
        <f t="shared" ca="1" si="15"/>
        <v>2.8749017397767108E-3</v>
      </c>
      <c r="AQ408" s="135">
        <f t="shared" ca="1" si="16"/>
        <v>6.1354555541488481E-3</v>
      </c>
      <c r="AV408" s="538">
        <f t="shared" ca="1" si="11"/>
        <v>3.20886539962314E-4</v>
      </c>
      <c r="AW408" s="538">
        <f t="shared" ca="1" si="12"/>
        <v>6.9479369677882981E-4</v>
      </c>
      <c r="AX408" s="538">
        <f t="shared" ca="1" si="13"/>
        <v>1.4601702880769169E-3</v>
      </c>
    </row>
    <row r="409" spans="1:50" ht="10.5" customHeight="1">
      <c r="A409" s="96">
        <v>398</v>
      </c>
      <c r="B409" s="68" t="s">
        <v>567</v>
      </c>
      <c r="C409" s="97">
        <v>0.4</v>
      </c>
      <c r="D409" s="69" t="s">
        <v>66</v>
      </c>
      <c r="E409" s="136"/>
      <c r="F409" s="155"/>
      <c r="G409" s="155"/>
      <c r="H409" s="155"/>
      <c r="I409" s="155">
        <v>4.5620000000000001E-3</v>
      </c>
      <c r="J409" s="155"/>
      <c r="K409" s="155">
        <v>7.5360000000000002E-3</v>
      </c>
      <c r="L409" s="155">
        <v>1.0989000000000001E-2</v>
      </c>
      <c r="M409" s="155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6">
        <f ca="1"/>
        <v>0</v>
      </c>
      <c r="P409" s="156">
        <f ca="1"/>
        <v>0</v>
      </c>
      <c r="Q409" s="156">
        <f ca="1"/>
        <v>0</v>
      </c>
      <c r="R409" s="156">
        <f ca="1"/>
        <v>2.428953321356575E-2</v>
      </c>
      <c r="S409" s="156">
        <f ca="1"/>
        <v>0</v>
      </c>
      <c r="T409" s="156">
        <f ca="1"/>
        <v>6.6204169307215288E-2</v>
      </c>
      <c r="U409" s="156">
        <f ca="1"/>
        <v>0.13396001866266827</v>
      </c>
      <c r="V409" s="138">
        <f ca="1"/>
        <v>0</v>
      </c>
      <c r="W409" s="137">
        <f ca="1"/>
        <v>0</v>
      </c>
      <c r="X409" s="156">
        <f ca="1"/>
        <v>0</v>
      </c>
      <c r="Y409" s="156">
        <f ca="1"/>
        <v>0</v>
      </c>
      <c r="Z409" s="156">
        <f ca="1"/>
        <v>0</v>
      </c>
      <c r="AA409" s="156">
        <f ca="1"/>
        <v>2.4807123608042825E-2</v>
      </c>
      <c r="AB409" s="156">
        <f ca="1"/>
        <v>0</v>
      </c>
      <c r="AC409" s="156">
        <f ca="1"/>
        <v>6.7012934663739476E-2</v>
      </c>
      <c r="AD409" s="156">
        <f ca="1"/>
        <v>0.13503995222296505</v>
      </c>
      <c r="AE409" s="138">
        <f ca="1"/>
        <v>0</v>
      </c>
      <c r="AG409" s="135"/>
      <c r="AH409" s="135">
        <v>2.1749999999999999E-3</v>
      </c>
      <c r="AI409" s="135">
        <v>3.539E-3</v>
      </c>
      <c r="AJ409" s="135">
        <v>4.816E-3</v>
      </c>
      <c r="AK409" s="135"/>
      <c r="AO409" s="135">
        <f t="shared" ca="1" si="14"/>
        <v>2.0222338032278089E-3</v>
      </c>
      <c r="AP409" s="135">
        <f t="shared" ca="1" si="15"/>
        <v>4.5624561690895873E-3</v>
      </c>
      <c r="AQ409" s="135">
        <f t="shared" ca="1" si="16"/>
        <v>8.7993906935023396E-3</v>
      </c>
      <c r="AV409" s="538">
        <f t="shared" ca="1" si="11"/>
        <v>5.327696369603305E-4</v>
      </c>
      <c r="AW409" s="538">
        <f t="shared" ca="1" si="12"/>
        <v>1.1026344811212012E-3</v>
      </c>
      <c r="AX409" s="538">
        <f t="shared" ca="1" si="13"/>
        <v>2.0941572684271686E-3</v>
      </c>
    </row>
    <row r="410" spans="1:50" ht="10.5" customHeight="1">
      <c r="A410" s="96">
        <v>399</v>
      </c>
      <c r="B410" s="68" t="s">
        <v>553</v>
      </c>
      <c r="C410" s="97">
        <v>0.4</v>
      </c>
      <c r="D410" s="69" t="s">
        <v>66</v>
      </c>
      <c r="E410" s="136"/>
      <c r="F410" s="155"/>
      <c r="G410" s="155"/>
      <c r="H410" s="155"/>
      <c r="I410" s="155">
        <v>2.6589999999999999E-3</v>
      </c>
      <c r="J410" s="155"/>
      <c r="K410" s="155">
        <v>4.2420000000000001E-3</v>
      </c>
      <c r="L410" s="155">
        <v>5.659E-3</v>
      </c>
      <c r="M410" s="155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6">
        <f ca="1"/>
        <v>0</v>
      </c>
      <c r="P410" s="156">
        <f ca="1"/>
        <v>0</v>
      </c>
      <c r="Q410" s="156">
        <f ca="1"/>
        <v>0</v>
      </c>
      <c r="R410" s="156">
        <f ca="1"/>
        <v>1.4227788549613929E-2</v>
      </c>
      <c r="S410" s="156">
        <f ca="1"/>
        <v>0</v>
      </c>
      <c r="T410" s="156">
        <f ca="1"/>
        <v>3.7601916719981698E-2</v>
      </c>
      <c r="U410" s="156">
        <f ca="1"/>
        <v>6.9928252856860107E-2</v>
      </c>
      <c r="V410" s="138">
        <f ca="1"/>
        <v>0</v>
      </c>
      <c r="W410" s="137">
        <f ca="1"/>
        <v>0</v>
      </c>
      <c r="X410" s="156">
        <f ca="1"/>
        <v>0</v>
      </c>
      <c r="Y410" s="156">
        <f ca="1"/>
        <v>0</v>
      </c>
      <c r="Z410" s="156">
        <f ca="1"/>
        <v>0</v>
      </c>
      <c r="AA410" s="156">
        <f ca="1"/>
        <v>1.4756237757531321E-2</v>
      </c>
      <c r="AB410" s="156">
        <f ca="1"/>
        <v>0</v>
      </c>
      <c r="AC410" s="156">
        <f ca="1"/>
        <v>3.844351283696501E-2</v>
      </c>
      <c r="AD410" s="156">
        <f ca="1"/>
        <v>7.1057589280111966E-2</v>
      </c>
      <c r="AE410" s="138">
        <f ca="1"/>
        <v>0</v>
      </c>
      <c r="AG410" s="135"/>
      <c r="AH410" s="135">
        <v>1.6999999999999999E-3</v>
      </c>
      <c r="AI410" s="135">
        <v>2.6360000000000001E-2</v>
      </c>
      <c r="AJ410" s="135">
        <v>3.9090000000000001E-3</v>
      </c>
      <c r="AK410" s="135"/>
      <c r="AO410" s="135">
        <f t="shared" ca="1" si="14"/>
        <v>1.5805965358562186E-3</v>
      </c>
      <c r="AP410" s="135">
        <f t="shared" ca="1" si="15"/>
        <v>3.398314343520812E-2</v>
      </c>
      <c r="AQ410" s="135">
        <f t="shared" ca="1" si="16"/>
        <v>7.1421964744395024E-3</v>
      </c>
      <c r="AV410" s="538">
        <f t="shared" ca="1" si="11"/>
        <v>4.1641764727933878E-4</v>
      </c>
      <c r="AW410" s="538">
        <f t="shared" ca="1" si="12"/>
        <v>8.2128976892780065E-3</v>
      </c>
      <c r="AX410" s="538">
        <f t="shared" ca="1" si="13"/>
        <v>1.6997634473176499E-3</v>
      </c>
    </row>
    <row r="411" spans="1:50" ht="10.5" customHeight="1">
      <c r="A411" s="96">
        <v>400</v>
      </c>
      <c r="B411" s="68" t="s">
        <v>554</v>
      </c>
      <c r="C411" s="97">
        <v>0.4</v>
      </c>
      <c r="D411" s="69" t="s">
        <v>66</v>
      </c>
      <c r="E411" s="136"/>
      <c r="F411" s="155"/>
      <c r="G411" s="155"/>
      <c r="H411" s="155"/>
      <c r="I411" s="155">
        <v>1.866E-3</v>
      </c>
      <c r="J411" s="155"/>
      <c r="K411" s="155">
        <v>3.0259999999999999E-2</v>
      </c>
      <c r="L411" s="155">
        <v>4.2849999999999997E-3</v>
      </c>
      <c r="M411" s="155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6">
        <f ca="1"/>
        <v>0</v>
      </c>
      <c r="P411" s="156">
        <f ca="1"/>
        <v>0</v>
      </c>
      <c r="Q411" s="156">
        <f ca="1"/>
        <v>0</v>
      </c>
      <c r="R411" s="156">
        <f ca="1"/>
        <v>1.000534240125206E-2</v>
      </c>
      <c r="S411" s="156">
        <f ca="1"/>
        <v>0</v>
      </c>
      <c r="T411" s="156">
        <f ca="1"/>
        <v>0.26706731769245406</v>
      </c>
      <c r="U411" s="156">
        <f ca="1"/>
        <v>2.6590899237264876E-2</v>
      </c>
      <c r="V411" s="138">
        <f ca="1"/>
        <v>0</v>
      </c>
      <c r="W411" s="137">
        <f ca="1"/>
        <v>0</v>
      </c>
      <c r="X411" s="156">
        <f ca="1"/>
        <v>0</v>
      </c>
      <c r="Y411" s="156">
        <f ca="1"/>
        <v>0</v>
      </c>
      <c r="Z411" s="156">
        <f ca="1"/>
        <v>0</v>
      </c>
      <c r="AA411" s="156">
        <f ca="1"/>
        <v>1.0537403204743612E-2</v>
      </c>
      <c r="AB411" s="156">
        <f ca="1"/>
        <v>0</v>
      </c>
      <c r="AC411" s="156">
        <f ca="1"/>
        <v>0.26777825477894857</v>
      </c>
      <c r="AD411" s="156">
        <f ca="1"/>
        <v>2.7679059661341099E-2</v>
      </c>
      <c r="AE411" s="138">
        <f ca="1"/>
        <v>0</v>
      </c>
      <c r="AG411" s="135"/>
      <c r="AH411" s="135">
        <v>1.7680000000000001E-2</v>
      </c>
      <c r="AI411" s="135">
        <v>2.5177000000000001E-2</v>
      </c>
      <c r="AJ411" s="135">
        <v>3.0232999999999999E-2</v>
      </c>
      <c r="AK411" s="135"/>
      <c r="AO411" s="135">
        <f t="shared" ca="1" si="14"/>
        <v>1.6438203972904675E-2</v>
      </c>
      <c r="AP411" s="135">
        <f t="shared" ca="1" si="15"/>
        <v>3.2458027400160648E-2</v>
      </c>
      <c r="AQ411" s="135">
        <f t="shared" ca="1" si="16"/>
        <v>5.5239198263425292E-2</v>
      </c>
      <c r="AV411" s="538">
        <f t="shared" ca="1" si="11"/>
        <v>4.3307435317051241E-3</v>
      </c>
      <c r="AW411" s="538">
        <f t="shared" ca="1" si="12"/>
        <v>7.8443143066370402E-3</v>
      </c>
      <c r="AX411" s="538">
        <f t="shared" ca="1" si="13"/>
        <v>1.314631575921067E-2</v>
      </c>
    </row>
    <row r="412" spans="1:50" ht="10.5" customHeight="1">
      <c r="A412" s="96">
        <v>401</v>
      </c>
      <c r="B412" s="68" t="s">
        <v>555</v>
      </c>
      <c r="C412" s="97">
        <v>0.4</v>
      </c>
      <c r="D412" s="69" t="s">
        <v>66</v>
      </c>
      <c r="E412" s="136"/>
      <c r="F412" s="155"/>
      <c r="G412" s="155"/>
      <c r="H412" s="155"/>
      <c r="I412" s="155">
        <v>3.153E-3</v>
      </c>
      <c r="J412" s="155"/>
      <c r="K412" s="155">
        <v>4.9170000000000004E-3</v>
      </c>
      <c r="L412" s="155">
        <v>6.8279999999999999E-3</v>
      </c>
      <c r="M412" s="155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6">
        <f ca="1"/>
        <v>0</v>
      </c>
      <c r="P412" s="156">
        <f ca="1"/>
        <v>0</v>
      </c>
      <c r="Q412" s="156">
        <f ca="1"/>
        <v>0</v>
      </c>
      <c r="R412" s="156">
        <f ca="1"/>
        <v>1.6849326435425138E-2</v>
      </c>
      <c r="S412" s="156">
        <f ca="1"/>
        <v>0</v>
      </c>
      <c r="T412" s="156">
        <f ca="1"/>
        <v>4.3434180514500209E-2</v>
      </c>
      <c r="U412" s="156">
        <f ca="1"/>
        <v>8.4200766547664507E-2</v>
      </c>
      <c r="V412" s="138">
        <f ca="1"/>
        <v>0</v>
      </c>
      <c r="W412" s="137">
        <f ca="1"/>
        <v>0</v>
      </c>
      <c r="X412" s="156">
        <f ca="1"/>
        <v>0</v>
      </c>
      <c r="Y412" s="156">
        <f ca="1"/>
        <v>0</v>
      </c>
      <c r="Z412" s="156">
        <f ca="1"/>
        <v>0</v>
      </c>
      <c r="AA412" s="156">
        <f ca="1"/>
        <v>1.7375263578854772E-2</v>
      </c>
      <c r="AB412" s="156">
        <f ca="1"/>
        <v>0</v>
      </c>
      <c r="AC412" s="156">
        <f ca="1"/>
        <v>4.4269775111482002E-2</v>
      </c>
      <c r="AD412" s="156">
        <f ca="1"/>
        <v>8.5310100642788322E-2</v>
      </c>
      <c r="AE412" s="138">
        <f ca="1"/>
        <v>0</v>
      </c>
      <c r="AG412" s="135"/>
      <c r="AH412" s="135">
        <v>1.828E-3</v>
      </c>
      <c r="AI412" s="135">
        <v>3.0709999999999999E-3</v>
      </c>
      <c r="AJ412" s="135">
        <v>4.3569999999999998E-3</v>
      </c>
      <c r="AK412" s="135"/>
      <c r="AO412" s="135">
        <f t="shared" ca="1" si="14"/>
        <v>1.6996061573795105E-3</v>
      </c>
      <c r="AP412" s="135">
        <f t="shared" ca="1" si="15"/>
        <v>3.9591135618180619E-3</v>
      </c>
      <c r="AQ412" s="135">
        <f t="shared" ca="1" si="16"/>
        <v>7.9607444459280918E-3</v>
      </c>
      <c r="AV412" s="538">
        <f t="shared" ca="1" si="11"/>
        <v>4.4777144660390074E-4</v>
      </c>
      <c r="AW412" s="538">
        <f t="shared" ca="1" si="12"/>
        <v>9.5682127480169784E-4</v>
      </c>
      <c r="AX412" s="538">
        <f t="shared" ca="1" si="13"/>
        <v>1.8945687746132003E-3</v>
      </c>
    </row>
    <row r="413" spans="1:50" ht="10.5" customHeight="1">
      <c r="A413" s="96">
        <v>402</v>
      </c>
      <c r="B413" s="68" t="s">
        <v>556</v>
      </c>
      <c r="C413" s="97">
        <v>0.4</v>
      </c>
      <c r="D413" s="69" t="s">
        <v>66</v>
      </c>
      <c r="E413" s="136"/>
      <c r="F413" s="155"/>
      <c r="G413" s="155"/>
      <c r="H413" s="155"/>
      <c r="I413" s="155">
        <v>6.7999999999999996E-3</v>
      </c>
      <c r="J413" s="155"/>
      <c r="K413" s="155">
        <v>1.1743E-2</v>
      </c>
      <c r="L413" s="155">
        <v>1.5325E-2</v>
      </c>
      <c r="M413" s="155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6">
        <f ca="1"/>
        <v>0</v>
      </c>
      <c r="P413" s="156">
        <f ca="1"/>
        <v>0</v>
      </c>
      <c r="Q413" s="156">
        <f ca="1"/>
        <v>0</v>
      </c>
      <c r="R413" s="156">
        <f ca="1"/>
        <v>3.5976895394277397E-2</v>
      </c>
      <c r="S413" s="156">
        <f ca="1"/>
        <v>0</v>
      </c>
      <c r="T413" s="156">
        <f ca="1"/>
        <v>0.10199362868577255</v>
      </c>
      <c r="U413" s="156">
        <f ca="1"/>
        <v>0.18154972360403687</v>
      </c>
      <c r="V413" s="138">
        <f ca="1"/>
        <v>0</v>
      </c>
      <c r="W413" s="137">
        <f ca="1"/>
        <v>0</v>
      </c>
      <c r="X413" s="156">
        <f ca="1"/>
        <v>0</v>
      </c>
      <c r="Y413" s="156">
        <f ca="1"/>
        <v>0</v>
      </c>
      <c r="Z413" s="156">
        <f ca="1"/>
        <v>0</v>
      </c>
      <c r="AA413" s="156">
        <f ca="1"/>
        <v>3.6496191252589072E-2</v>
      </c>
      <c r="AB413" s="156">
        <f ca="1"/>
        <v>0</v>
      </c>
      <c r="AC413" s="156">
        <f ca="1"/>
        <v>0.10279170402557802</v>
      </c>
      <c r="AD413" s="156">
        <f ca="1"/>
        <v>0.1825735754370017</v>
      </c>
      <c r="AE413" s="138">
        <f ca="1"/>
        <v>0</v>
      </c>
      <c r="AG413" s="135"/>
      <c r="AH413" s="135">
        <v>1.338E-3</v>
      </c>
      <c r="AI413" s="135">
        <v>2.0349999999999999E-3</v>
      </c>
      <c r="AJ413" s="135">
        <v>2.843E-3</v>
      </c>
      <c r="AK413" s="135"/>
      <c r="AO413" s="135">
        <f t="shared" ca="1" si="14"/>
        <v>1.2440224499856592E-3</v>
      </c>
      <c r="AP413" s="135">
        <f t="shared" ca="1" si="15"/>
        <v>2.6235089867469087E-3</v>
      </c>
      <c r="AQ413" s="135">
        <f t="shared" ca="1" si="16"/>
        <v>5.1944908101385278E-3</v>
      </c>
      <c r="AV413" s="538">
        <f t="shared" ca="1" si="11"/>
        <v>3.2774518356456193E-4</v>
      </c>
      <c r="AW413" s="538">
        <f t="shared" ca="1" si="12"/>
        <v>6.3403819414570338E-4</v>
      </c>
      <c r="AX413" s="538">
        <f t="shared" ca="1" si="13"/>
        <v>1.2362311283510051E-3</v>
      </c>
    </row>
    <row r="414" spans="1:50" ht="10.5" customHeight="1">
      <c r="A414" s="96">
        <v>403</v>
      </c>
      <c r="B414" s="68" t="s">
        <v>557</v>
      </c>
      <c r="C414" s="97">
        <v>0.4</v>
      </c>
      <c r="D414" s="69" t="s">
        <v>66</v>
      </c>
      <c r="E414" s="136"/>
      <c r="F414" s="155"/>
      <c r="G414" s="155"/>
      <c r="H414" s="155"/>
      <c r="I414" s="155">
        <v>1.8079999999999999E-3</v>
      </c>
      <c r="J414" s="155"/>
      <c r="K414" s="155">
        <v>3.0379999999999999E-3</v>
      </c>
      <c r="L414" s="155">
        <v>4.2700000000000004E-3</v>
      </c>
      <c r="M414" s="155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6">
        <f ca="1"/>
        <v>0</v>
      </c>
      <c r="P414" s="156">
        <f ca="1"/>
        <v>0</v>
      </c>
      <c r="Q414" s="156">
        <f ca="1"/>
        <v>0</v>
      </c>
      <c r="R414" s="156">
        <f ca="1"/>
        <v>9.6958242178299958E-3</v>
      </c>
      <c r="S414" s="156">
        <f ca="1"/>
        <v>0</v>
      </c>
      <c r="T414" s="156">
        <f ca="1"/>
        <v>2.7106153644256614E-2</v>
      </c>
      <c r="U414" s="156">
        <f ca="1"/>
        <v>5.3392418633785854E-2</v>
      </c>
      <c r="V414" s="138">
        <f ca="1"/>
        <v>0</v>
      </c>
      <c r="W414" s="137">
        <f ca="1"/>
        <v>0</v>
      </c>
      <c r="X414" s="156">
        <f ca="1"/>
        <v>0</v>
      </c>
      <c r="Y414" s="156">
        <f ca="1"/>
        <v>0</v>
      </c>
      <c r="Z414" s="156">
        <f ca="1"/>
        <v>0</v>
      </c>
      <c r="AA414" s="156">
        <f ca="1"/>
        <v>1.0228129524196938E-2</v>
      </c>
      <c r="AB414" s="156">
        <f ca="1"/>
        <v>0</v>
      </c>
      <c r="AC414" s="156">
        <f ca="1"/>
        <v>2.7958012358284434E-2</v>
      </c>
      <c r="AD414" s="156">
        <f ca="1"/>
        <v>5.4543020572003997E-2</v>
      </c>
      <c r="AE414" s="138">
        <f ca="1"/>
        <v>0</v>
      </c>
      <c r="AG414" s="135"/>
      <c r="AH414" s="135">
        <v>4.5620000000000001E-3</v>
      </c>
      <c r="AI414" s="135">
        <v>7.5360000000000002E-3</v>
      </c>
      <c r="AJ414" s="135">
        <v>1.0989000000000001E-2</v>
      </c>
      <c r="AK414" s="135"/>
      <c r="AO414" s="135">
        <f t="shared" ca="1" si="14"/>
        <v>4.2415772921035703E-3</v>
      </c>
      <c r="AP414" s="135">
        <f t="shared" ca="1" si="15"/>
        <v>9.7153630093978899E-3</v>
      </c>
      <c r="AQ414" s="135">
        <f t="shared" ca="1" si="16"/>
        <v>2.007817780957168E-2</v>
      </c>
      <c r="AV414" s="538">
        <f t="shared" ca="1" si="11"/>
        <v>1.1174690040519667E-3</v>
      </c>
      <c r="AW414" s="538">
        <f t="shared" ca="1" si="12"/>
        <v>2.3479665017602067E-3</v>
      </c>
      <c r="AX414" s="538">
        <f t="shared" ca="1" si="13"/>
        <v>4.778383351899119E-3</v>
      </c>
    </row>
    <row r="415" spans="1:50" ht="10.5" customHeight="1">
      <c r="A415" s="96">
        <v>404</v>
      </c>
      <c r="B415" s="68" t="s">
        <v>558</v>
      </c>
      <c r="C415" s="97">
        <v>0.4</v>
      </c>
      <c r="D415" s="69" t="s">
        <v>66</v>
      </c>
      <c r="E415" s="136"/>
      <c r="F415" s="155"/>
      <c r="G415" s="155"/>
      <c r="H415" s="155"/>
      <c r="I415" s="155">
        <v>1.957E-3</v>
      </c>
      <c r="J415" s="155"/>
      <c r="K415" s="155">
        <v>2.7009999999999998E-3</v>
      </c>
      <c r="L415" s="155">
        <v>3.7780000000000001E-3</v>
      </c>
      <c r="M415" s="155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6">
        <f ca="1"/>
        <v>0</v>
      </c>
      <c r="P415" s="156">
        <f ca="1"/>
        <v>0</v>
      </c>
      <c r="Q415" s="156">
        <f ca="1"/>
        <v>0</v>
      </c>
      <c r="R415" s="156">
        <f ca="1"/>
        <v>1.0490776252936707E-2</v>
      </c>
      <c r="S415" s="156">
        <f ca="1"/>
        <v>0</v>
      </c>
      <c r="T415" s="156">
        <f ca="1"/>
        <v>2.3879777238775102E-2</v>
      </c>
      <c r="U415" s="156">
        <f ca="1"/>
        <v>4.7067599972171803E-2</v>
      </c>
      <c r="V415" s="138">
        <f ca="1"/>
        <v>0</v>
      </c>
      <c r="W415" s="137">
        <f ca="1"/>
        <v>0</v>
      </c>
      <c r="X415" s="156">
        <f ca="1"/>
        <v>0</v>
      </c>
      <c r="Y415" s="156">
        <f ca="1"/>
        <v>0</v>
      </c>
      <c r="Z415" s="156">
        <f ca="1"/>
        <v>0</v>
      </c>
      <c r="AA415" s="156">
        <f ca="1"/>
        <v>1.1022448144168862E-2</v>
      </c>
      <c r="AB415" s="156">
        <f ca="1"/>
        <v>0</v>
      </c>
      <c r="AC415" s="156">
        <f ca="1"/>
        <v>2.4734232062116002E-2</v>
      </c>
      <c r="AD415" s="156">
        <f ca="1"/>
        <v>4.8225019146369008E-2</v>
      </c>
      <c r="AE415" s="138">
        <f ca="1"/>
        <v>0</v>
      </c>
      <c r="AG415" s="135"/>
      <c r="AH415" s="135">
        <v>2.6589999999999999E-3</v>
      </c>
      <c r="AI415" s="135">
        <v>4.2420000000000001E-3</v>
      </c>
      <c r="AJ415" s="135">
        <v>5.659E-3</v>
      </c>
      <c r="AK415" s="135"/>
      <c r="AO415" s="135">
        <f t="shared" ca="1" si="14"/>
        <v>2.472238934612756E-3</v>
      </c>
      <c r="AP415" s="135">
        <f t="shared" ca="1" si="15"/>
        <v>5.4687592736021558E-3</v>
      </c>
      <c r="AQ415" s="135">
        <f t="shared" ca="1" si="16"/>
        <v>1.0339649488066805E-2</v>
      </c>
      <c r="AV415" s="538">
        <f t="shared" ca="1" si="11"/>
        <v>6.5132619065633049E-4</v>
      </c>
      <c r="AW415" s="538">
        <f t="shared" ca="1" si="12"/>
        <v>1.3216658572806259E-3</v>
      </c>
      <c r="AX415" s="538">
        <f t="shared" ca="1" si="13"/>
        <v>2.4607217570658943E-3</v>
      </c>
    </row>
    <row r="416" spans="1:50" ht="10.5" customHeight="1">
      <c r="A416" s="96">
        <v>405</v>
      </c>
      <c r="B416" s="68" t="s">
        <v>559</v>
      </c>
      <c r="C416" s="97">
        <v>0.4</v>
      </c>
      <c r="D416" s="69" t="s">
        <v>66</v>
      </c>
      <c r="E416" s="136"/>
      <c r="F416" s="155"/>
      <c r="G416" s="155"/>
      <c r="H416" s="155"/>
      <c r="I416" s="155">
        <v>2.3579999999999999E-3</v>
      </c>
      <c r="J416" s="155"/>
      <c r="K416" s="155">
        <v>4.816E-3</v>
      </c>
      <c r="L416" s="155">
        <v>7.6169999999999996E-3</v>
      </c>
      <c r="M416" s="155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6">
        <f ca="1"/>
        <v>0</v>
      </c>
      <c r="P416" s="156">
        <f ca="1"/>
        <v>0</v>
      </c>
      <c r="Q416" s="156">
        <f ca="1"/>
        <v>0</v>
      </c>
      <c r="R416" s="156">
        <f ca="1"/>
        <v>1.2627132408139952E-2</v>
      </c>
      <c r="S416" s="156">
        <f ca="1"/>
        <v>0</v>
      </c>
      <c r="T416" s="156">
        <f ca="1"/>
        <v>4.3104469536133005E-2</v>
      </c>
      <c r="U416" s="156">
        <f ca="1"/>
        <v>9.5238541444579772E-2</v>
      </c>
      <c r="V416" s="138">
        <f ca="1"/>
        <v>0</v>
      </c>
      <c r="W416" s="137">
        <f ca="1"/>
        <v>0</v>
      </c>
      <c r="X416" s="156">
        <f ca="1"/>
        <v>0</v>
      </c>
      <c r="Y416" s="156">
        <f ca="1"/>
        <v>0</v>
      </c>
      <c r="Z416" s="156">
        <f ca="1"/>
        <v>0</v>
      </c>
      <c r="AA416" s="156">
        <f ca="1"/>
        <v>1.3157012301024507E-2</v>
      </c>
      <c r="AB416" s="156">
        <f ca="1"/>
        <v>0</v>
      </c>
      <c r="AC416" s="156">
        <f ca="1"/>
        <v>4.3940036298352858E-2</v>
      </c>
      <c r="AD416" s="156">
        <f ca="1"/>
        <v>9.6358221216570006E-2</v>
      </c>
      <c r="AE416" s="138">
        <f ca="1"/>
        <v>0</v>
      </c>
      <c r="AG416" s="135"/>
      <c r="AH416" s="135">
        <v>1.866E-3</v>
      </c>
      <c r="AI416" s="135">
        <v>3.0259999999999999E-2</v>
      </c>
      <c r="AJ416" s="135">
        <v>4.2849999999999997E-3</v>
      </c>
      <c r="AK416" s="135"/>
      <c r="AO416" s="135">
        <f t="shared" ca="1" si="14"/>
        <v>1.7349371387692376E-3</v>
      </c>
      <c r="AP416" s="135">
        <f t="shared" ca="1" si="15"/>
        <v>3.9010998495804153E-2</v>
      </c>
      <c r="AQ416" s="135">
        <f t="shared" ca="1" si="16"/>
        <v>7.8291920933674253E-3</v>
      </c>
      <c r="AV416" s="538">
        <f t="shared" ca="1" si="11"/>
        <v>4.5707960577838014E-4</v>
      </c>
      <c r="AW416" s="538">
        <f t="shared" ca="1" si="12"/>
        <v>9.428007741940532E-3</v>
      </c>
      <c r="AX416" s="538">
        <f t="shared" ca="1" si="13"/>
        <v>1.8632607755835584E-3</v>
      </c>
    </row>
    <row r="417" spans="1:50" ht="10.5" customHeight="1">
      <c r="A417" s="96">
        <v>406</v>
      </c>
      <c r="B417" s="68" t="s">
        <v>560</v>
      </c>
      <c r="C417" s="97">
        <v>0.4</v>
      </c>
      <c r="D417" s="69" t="s">
        <v>66</v>
      </c>
      <c r="E417" s="136"/>
      <c r="F417" s="155"/>
      <c r="G417" s="155"/>
      <c r="H417" s="155"/>
      <c r="I417" s="155">
        <v>2.2920000000000002E-3</v>
      </c>
      <c r="J417" s="155"/>
      <c r="K417" s="155">
        <v>3.6840000000000002E-3</v>
      </c>
      <c r="L417" s="155">
        <v>5.0730000000000003E-3</v>
      </c>
      <c r="M417" s="155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6">
        <f ca="1"/>
        <v>0</v>
      </c>
      <c r="P417" s="156">
        <f ca="1"/>
        <v>0</v>
      </c>
      <c r="Q417" s="156">
        <f ca="1"/>
        <v>0</v>
      </c>
      <c r="R417" s="156">
        <f ca="1"/>
        <v>1.2275820920315428E-2</v>
      </c>
      <c r="S417" s="156">
        <f ca="1"/>
        <v>0</v>
      </c>
      <c r="T417" s="156">
        <f ca="1"/>
        <v>3.272892711423514E-2</v>
      </c>
      <c r="U417" s="156">
        <f ca="1"/>
        <v>6.3036668870357637E-2</v>
      </c>
      <c r="V417" s="138">
        <f ca="1"/>
        <v>0</v>
      </c>
      <c r="W417" s="137">
        <f ca="1"/>
        <v>0</v>
      </c>
      <c r="X417" s="156">
        <f ca="1"/>
        <v>0</v>
      </c>
      <c r="Y417" s="156">
        <f ca="1"/>
        <v>0</v>
      </c>
      <c r="Z417" s="156">
        <f ca="1"/>
        <v>0</v>
      </c>
      <c r="AA417" s="156">
        <f ca="1"/>
        <v>1.2806004622463063E-2</v>
      </c>
      <c r="AB417" s="156">
        <f ca="1"/>
        <v>0</v>
      </c>
      <c r="AC417" s="156">
        <f ca="1"/>
        <v>3.3575361981870722E-2</v>
      </c>
      <c r="AD417" s="156">
        <f ca="1"/>
        <v>6.4174874074645727E-2</v>
      </c>
      <c r="AE417" s="138">
        <f ca="1"/>
        <v>0</v>
      </c>
      <c r="AG417" s="135"/>
      <c r="AH417" s="135">
        <v>3.153E-3</v>
      </c>
      <c r="AI417" s="135">
        <v>4.9170000000000004E-3</v>
      </c>
      <c r="AJ417" s="135">
        <v>6.8279999999999999E-3</v>
      </c>
      <c r="AK417" s="135"/>
      <c r="AO417" s="135">
        <f t="shared" ca="1" si="14"/>
        <v>2.9315416926792102E-3</v>
      </c>
      <c r="AP417" s="135">
        <f t="shared" ca="1" si="15"/>
        <v>6.3389649571668552E-3</v>
      </c>
      <c r="AQ417" s="135">
        <f t="shared" ca="1" si="16"/>
        <v>1.2475548101169845E-2</v>
      </c>
      <c r="AV417" s="538">
        <f t="shared" ca="1" si="11"/>
        <v>7.7233225992456183E-4</v>
      </c>
      <c r="AW417" s="538">
        <f t="shared" ca="1" si="12"/>
        <v>1.5319733663952942E-3</v>
      </c>
      <c r="AX417" s="538">
        <f t="shared" ca="1" si="13"/>
        <v>2.9690419079777216E-3</v>
      </c>
    </row>
    <row r="418" spans="1:50" ht="10.5" customHeight="1">
      <c r="A418" s="96">
        <v>407</v>
      </c>
      <c r="B418" s="68" t="s">
        <v>568</v>
      </c>
      <c r="C418" s="97">
        <v>0.4</v>
      </c>
      <c r="D418" s="69" t="s">
        <v>66</v>
      </c>
      <c r="E418" s="136"/>
      <c r="F418" s="155"/>
      <c r="G418" s="155"/>
      <c r="H418" s="155"/>
      <c r="I418" s="155">
        <v>1.598E-3</v>
      </c>
      <c r="J418" s="155"/>
      <c r="K418" s="155">
        <v>2.627E-3</v>
      </c>
      <c r="L418" s="155">
        <v>3.8070000000000001E-3</v>
      </c>
      <c r="M418" s="155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6">
        <f ca="1"/>
        <v>0</v>
      </c>
      <c r="P418" s="156">
        <f ca="1"/>
        <v>0</v>
      </c>
      <c r="Q418" s="156">
        <f ca="1"/>
        <v>0</v>
      </c>
      <c r="R418" s="156">
        <f ca="1"/>
        <v>8.5743676033696037E-3</v>
      </c>
      <c r="S418" s="156">
        <f ca="1"/>
        <v>0</v>
      </c>
      <c r="T418" s="156">
        <f ca="1"/>
        <v>2.3446076874456323E-2</v>
      </c>
      <c r="U418" s="156">
        <f ca="1"/>
        <v>4.7785603666398058E-2</v>
      </c>
      <c r="V418" s="138">
        <f ca="1"/>
        <v>0</v>
      </c>
      <c r="W418" s="137">
        <f ca="1"/>
        <v>0</v>
      </c>
      <c r="X418" s="156">
        <f ca="1"/>
        <v>0</v>
      </c>
      <c r="Y418" s="156">
        <f ca="1"/>
        <v>0</v>
      </c>
      <c r="Z418" s="156">
        <f ca="1"/>
        <v>0</v>
      </c>
      <c r="AA418" s="156">
        <f ca="1"/>
        <v>9.1075364166843809E-3</v>
      </c>
      <c r="AB418" s="156">
        <f ca="1"/>
        <v>0</v>
      </c>
      <c r="AC418" s="156">
        <f ca="1"/>
        <v>2.4301271806164371E-2</v>
      </c>
      <c r="AD418" s="156">
        <f ca="1"/>
        <v>4.8943032264746278E-2</v>
      </c>
      <c r="AE418" s="138">
        <f ca="1"/>
        <v>0</v>
      </c>
      <c r="AG418" s="135"/>
      <c r="AH418" s="135">
        <v>6.7999999999999996E-3</v>
      </c>
      <c r="AI418" s="135">
        <v>1.1743E-2</v>
      </c>
      <c r="AJ418" s="135">
        <v>1.5325E-2</v>
      </c>
      <c r="AK418" s="135"/>
      <c r="AO418" s="135">
        <f t="shared" ca="1" si="14"/>
        <v>6.3223861434248746E-3</v>
      </c>
      <c r="AP418" s="135">
        <f t="shared" ca="1" si="15"/>
        <v>1.5139000506815208E-2</v>
      </c>
      <c r="AQ418" s="135">
        <f t="shared" ca="1" si="16"/>
        <v>2.8000552819336243E-2</v>
      </c>
      <c r="AV418" s="538">
        <f t="shared" ca="1" si="11"/>
        <v>1.6656705891173551E-3</v>
      </c>
      <c r="AW418" s="538">
        <f t="shared" ca="1" si="12"/>
        <v>3.6587275252348869E-3</v>
      </c>
      <c r="AX418" s="538">
        <f t="shared" ca="1" si="13"/>
        <v>6.6638206267953404E-3</v>
      </c>
    </row>
    <row r="419" spans="1:50" ht="10.5" customHeight="1">
      <c r="A419" s="96">
        <v>408</v>
      </c>
      <c r="B419" s="68" t="s">
        <v>561</v>
      </c>
      <c r="C419" s="97">
        <v>0.4</v>
      </c>
      <c r="D419" s="69" t="s">
        <v>66</v>
      </c>
      <c r="E419" s="136"/>
      <c r="F419" s="155"/>
      <c r="G419" s="155"/>
      <c r="H419" s="155"/>
      <c r="I419" s="155">
        <v>4.0590000000000001E-3</v>
      </c>
      <c r="J419" s="155"/>
      <c r="K419" s="155">
        <v>6.953E-3</v>
      </c>
      <c r="L419" s="155">
        <v>1.0121E-2</v>
      </c>
      <c r="M419" s="155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6">
        <f ca="1"/>
        <v>0</v>
      </c>
      <c r="P419" s="156">
        <f ca="1"/>
        <v>0</v>
      </c>
      <c r="Q419" s="156">
        <f ca="1"/>
        <v>0</v>
      </c>
      <c r="R419" s="156">
        <f ca="1"/>
        <v>2.1639715932191494E-2</v>
      </c>
      <c r="S419" s="156">
        <f ca="1"/>
        <v>0</v>
      </c>
      <c r="T419" s="156">
        <f ca="1"/>
        <v>6.1318048409339299E-2</v>
      </c>
      <c r="U419" s="156">
        <f ca="1"/>
        <v>0.12392825294761367</v>
      </c>
      <c r="V419" s="138">
        <f ca="1"/>
        <v>0</v>
      </c>
      <c r="W419" s="137">
        <f ca="1"/>
        <v>0</v>
      </c>
      <c r="X419" s="156">
        <f ca="1"/>
        <v>0</v>
      </c>
      <c r="Y419" s="156">
        <f ca="1"/>
        <v>0</v>
      </c>
      <c r="Z419" s="156">
        <f ca="1"/>
        <v>0</v>
      </c>
      <c r="AA419" s="156">
        <f ca="1"/>
        <v>2.2160493507428658E-2</v>
      </c>
      <c r="AB419" s="156">
        <f ca="1"/>
        <v>0</v>
      </c>
      <c r="AC419" s="156">
        <f ca="1"/>
        <v>6.2132677982814855E-2</v>
      </c>
      <c r="AD419" s="156">
        <f ca="1"/>
        <v>0.12501788025834004</v>
      </c>
      <c r="AE419" s="138">
        <f ca="1"/>
        <v>0</v>
      </c>
      <c r="AG419" s="135"/>
      <c r="AH419" s="135">
        <v>1.8079999999999999E-3</v>
      </c>
      <c r="AI419" s="135">
        <v>3.0379999999999999E-3</v>
      </c>
      <c r="AJ419" s="135">
        <v>4.2700000000000004E-3</v>
      </c>
      <c r="AK419" s="135"/>
      <c r="AO419" s="135">
        <f t="shared" ca="1" si="14"/>
        <v>1.6810109040164959E-3</v>
      </c>
      <c r="AP419" s="135">
        <f t="shared" ca="1" si="15"/>
        <v>3.9165701728437882E-3</v>
      </c>
      <c r="AQ419" s="135">
        <f t="shared" ca="1" si="16"/>
        <v>7.8017853532506209E-3</v>
      </c>
      <c r="AV419" s="538">
        <f t="shared" ca="1" si="11"/>
        <v>4.4287241545943793E-4</v>
      </c>
      <c r="AW419" s="538">
        <f t="shared" ca="1" si="12"/>
        <v>9.4653957435609181E-4</v>
      </c>
      <c r="AX419" s="538">
        <f t="shared" ca="1" si="13"/>
        <v>1.8567382757857165E-3</v>
      </c>
    </row>
    <row r="420" spans="1:50" ht="10.5" customHeight="1">
      <c r="A420" s="96">
        <v>409</v>
      </c>
      <c r="B420" s="68" t="s">
        <v>562</v>
      </c>
      <c r="C420" s="97">
        <v>0.4</v>
      </c>
      <c r="D420" s="69" t="s">
        <v>66</v>
      </c>
      <c r="E420" s="136"/>
      <c r="F420" s="155"/>
      <c r="G420" s="155"/>
      <c r="H420" s="155"/>
      <c r="I420" s="155">
        <v>3.114E-3</v>
      </c>
      <c r="J420" s="155"/>
      <c r="K420" s="155">
        <v>5.1929999999999997E-3</v>
      </c>
      <c r="L420" s="155">
        <v>7.737E-3</v>
      </c>
      <c r="M420" s="155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6">
        <f ca="1"/>
        <v>0</v>
      </c>
      <c r="P420" s="156">
        <f ca="1"/>
        <v>0</v>
      </c>
      <c r="Q420" s="156">
        <f ca="1"/>
        <v>0</v>
      </c>
      <c r="R420" s="156">
        <f ca="1"/>
        <v>1.6642608800173209E-2</v>
      </c>
      <c r="S420" s="156">
        <f ca="1"/>
        <v>0</v>
      </c>
      <c r="T420" s="156">
        <f ca="1"/>
        <v>4.599329671515473E-2</v>
      </c>
      <c r="U420" s="156">
        <f ca="1"/>
        <v>9.5793378307485022E-2</v>
      </c>
      <c r="V420" s="138">
        <f ca="1"/>
        <v>0</v>
      </c>
      <c r="W420" s="137">
        <f ca="1"/>
        <v>0</v>
      </c>
      <c r="X420" s="156">
        <f ca="1"/>
        <v>0</v>
      </c>
      <c r="Y420" s="156">
        <f ca="1"/>
        <v>0</v>
      </c>
      <c r="Z420" s="156">
        <f ca="1"/>
        <v>0</v>
      </c>
      <c r="AA420" s="156">
        <f ca="1"/>
        <v>1.7168751817598915E-2</v>
      </c>
      <c r="AB420" s="156">
        <f ca="1"/>
        <v>0</v>
      </c>
      <c r="AC420" s="156">
        <f ca="1"/>
        <v>4.6826033809134304E-2</v>
      </c>
      <c r="AD420" s="156">
        <f ca="1"/>
        <v>9.6909974052329928E-2</v>
      </c>
      <c r="AE420" s="138">
        <f ca="1"/>
        <v>0</v>
      </c>
      <c r="AG420" s="135"/>
      <c r="AH420" s="135">
        <v>1.957E-3</v>
      </c>
      <c r="AI420" s="135">
        <v>2.7009999999999998E-3</v>
      </c>
      <c r="AJ420" s="135">
        <v>3.7780000000000001E-3</v>
      </c>
      <c r="AK420" s="135"/>
      <c r="AO420" s="135">
        <f t="shared" ca="1" si="14"/>
        <v>1.8195455415709529E-3</v>
      </c>
      <c r="AP420" s="135">
        <f t="shared" ca="1" si="15"/>
        <v>3.4821119278640785E-3</v>
      </c>
      <c r="AQ420" s="135">
        <f t="shared" ca="1" si="16"/>
        <v>6.9028442774194017E-3</v>
      </c>
      <c r="AV420" s="538">
        <f t="shared" ca="1" si="11"/>
        <v>4.7937019748568586E-4</v>
      </c>
      <c r="AW420" s="538">
        <f t="shared" ca="1" si="12"/>
        <v>8.4154160313884259E-4</v>
      </c>
      <c r="AX420" s="538">
        <f t="shared" ca="1" si="13"/>
        <v>1.6428002824164956E-3</v>
      </c>
    </row>
    <row r="421" spans="1:50" ht="10.5" customHeight="1">
      <c r="A421" s="96">
        <v>410</v>
      </c>
      <c r="B421" s="68" t="s">
        <v>563</v>
      </c>
      <c r="C421" s="97">
        <v>0.4</v>
      </c>
      <c r="D421" s="69" t="s">
        <v>66</v>
      </c>
      <c r="E421" s="136"/>
      <c r="F421" s="155"/>
      <c r="G421" s="155"/>
      <c r="H421" s="155"/>
      <c r="I421" s="155">
        <v>1.8439999999999999E-3</v>
      </c>
      <c r="J421" s="155"/>
      <c r="K421" s="155">
        <v>2.6050000000000001E-3</v>
      </c>
      <c r="L421" s="155">
        <v>3.6050000000000001E-3</v>
      </c>
      <c r="M421" s="155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6">
        <f ca="1"/>
        <v>0</v>
      </c>
      <c r="P421" s="156">
        <f ca="1"/>
        <v>0</v>
      </c>
      <c r="Q421" s="156">
        <f ca="1"/>
        <v>0</v>
      </c>
      <c r="R421" s="156">
        <f ca="1"/>
        <v>9.8879500249420271E-3</v>
      </c>
      <c r="S421" s="156">
        <f ca="1"/>
        <v>0</v>
      </c>
      <c r="T421" s="156">
        <f ca="1"/>
        <v>2.3069452267581281E-2</v>
      </c>
      <c r="U421" s="156">
        <f ca="1"/>
        <v>4.4936196765048342E-2</v>
      </c>
      <c r="V421" s="138">
        <f ca="1"/>
        <v>0</v>
      </c>
      <c r="W421" s="137">
        <f ca="1"/>
        <v>0</v>
      </c>
      <c r="X421" s="156">
        <f ca="1"/>
        <v>0</v>
      </c>
      <c r="Y421" s="156">
        <f ca="1"/>
        <v>0</v>
      </c>
      <c r="Z421" s="156">
        <f ca="1"/>
        <v>0</v>
      </c>
      <c r="AA421" s="156">
        <f ca="1"/>
        <v>1.0420103879343889E-2</v>
      </c>
      <c r="AB421" s="156">
        <f ca="1"/>
        <v>0</v>
      </c>
      <c r="AC421" s="156">
        <f ca="1"/>
        <v>2.3924690062577136E-2</v>
      </c>
      <c r="AD421" s="156">
        <f ca="1"/>
        <v>4.6096286775945683E-2</v>
      </c>
      <c r="AE421" s="138">
        <f ca="1"/>
        <v>0</v>
      </c>
      <c r="AG421" s="135"/>
      <c r="AH421" s="135">
        <v>2.3579999999999999E-3</v>
      </c>
      <c r="AI421" s="135">
        <v>4.816E-3</v>
      </c>
      <c r="AJ421" s="135">
        <v>7.6169999999999996E-3</v>
      </c>
      <c r="AK421" s="135"/>
      <c r="AO421" s="135">
        <f t="shared" ca="1" si="14"/>
        <v>2.1923803714993901E-3</v>
      </c>
      <c r="AP421" s="135">
        <f t="shared" ca="1" si="15"/>
        <v>6.2087564030334705E-3</v>
      </c>
      <c r="AQ421" s="135">
        <f t="shared" ca="1" si="16"/>
        <v>1.3917142631313811E-2</v>
      </c>
      <c r="AV421" s="538">
        <f t="shared" ca="1" si="11"/>
        <v>5.7759577193216519E-4</v>
      </c>
      <c r="AW421" s="538">
        <f t="shared" ca="1" si="12"/>
        <v>1.5005051316981364E-3</v>
      </c>
      <c r="AX421" s="538">
        <f t="shared" ca="1" si="13"/>
        <v>3.3121253973442157E-3</v>
      </c>
    </row>
    <row r="422" spans="1:50" ht="10.5" customHeight="1">
      <c r="A422" s="96">
        <v>411</v>
      </c>
      <c r="B422" s="68" t="s">
        <v>570</v>
      </c>
      <c r="C422" s="97">
        <v>0.4</v>
      </c>
      <c r="D422" s="69" t="s">
        <v>66</v>
      </c>
      <c r="E422" s="136"/>
      <c r="F422" s="155"/>
      <c r="G422" s="155"/>
      <c r="H422" s="155"/>
      <c r="I422" s="155">
        <v>2.9399999999999999E-3</v>
      </c>
      <c r="J422" s="155"/>
      <c r="K422" s="155">
        <v>5.1380000000000002E-3</v>
      </c>
      <c r="L422" s="155">
        <v>7.4939999999999998E-3</v>
      </c>
      <c r="M422" s="155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6">
        <f ca="1"/>
        <v>0</v>
      </c>
      <c r="P422" s="156">
        <f ca="1"/>
        <v>0</v>
      </c>
      <c r="Q422" s="156">
        <f ca="1"/>
        <v>0</v>
      </c>
      <c r="R422" s="156">
        <f ca="1"/>
        <v>1.5719816950341525E-2</v>
      </c>
      <c r="S422" s="156">
        <f ca="1"/>
        <v>0</v>
      </c>
      <c r="T422" s="156">
        <f ca="1"/>
        <v>4.5621076550656059E-2</v>
      </c>
      <c r="U422" s="156">
        <f ca="1"/>
        <v>9.2821338665879383E-2</v>
      </c>
      <c r="V422" s="138">
        <f ca="1"/>
        <v>0</v>
      </c>
      <c r="W422" s="137">
        <f ca="1"/>
        <v>0</v>
      </c>
      <c r="X422" s="156">
        <f ca="1"/>
        <v>0</v>
      </c>
      <c r="Y422" s="156">
        <f ca="1"/>
        <v>0</v>
      </c>
      <c r="Z422" s="156">
        <f ca="1"/>
        <v>0</v>
      </c>
      <c r="AA422" s="156">
        <f ca="1"/>
        <v>1.6246862597696476E-2</v>
      </c>
      <c r="AB422" s="156">
        <f ca="1"/>
        <v>0</v>
      </c>
      <c r="AC422" s="156">
        <f ca="1"/>
        <v>4.6454123555431881E-2</v>
      </c>
      <c r="AD422" s="156">
        <f ca="1"/>
        <v>9.39406560513385E-2</v>
      </c>
      <c r="AE422" s="138">
        <f ca="1"/>
        <v>0</v>
      </c>
      <c r="AG422" s="135"/>
      <c r="AH422" s="135">
        <v>2.2920000000000002E-3</v>
      </c>
      <c r="AI422" s="135">
        <v>3.6840000000000002E-3</v>
      </c>
      <c r="AJ422" s="135">
        <v>5.0730000000000003E-3</v>
      </c>
      <c r="AK422" s="135"/>
      <c r="AO422" s="135">
        <f t="shared" ca="1" si="14"/>
        <v>2.1310160354014434E-3</v>
      </c>
      <c r="AP422" s="135">
        <f t="shared" ca="1" si="15"/>
        <v>4.7493892418553375E-3</v>
      </c>
      <c r="AQ422" s="135">
        <f t="shared" ca="1" si="16"/>
        <v>9.2689595075036071E-3</v>
      </c>
      <c r="AV422" s="538">
        <f t="shared" ca="1" si="11"/>
        <v>5.6142896915543797E-4</v>
      </c>
      <c r="AW422" s="538">
        <f t="shared" ca="1" si="12"/>
        <v>1.1478116497458336E-3</v>
      </c>
      <c r="AX422" s="538">
        <f t="shared" ca="1" si="13"/>
        <v>2.2059094316301967E-3</v>
      </c>
    </row>
    <row r="423" spans="1:50" ht="10.5" customHeight="1">
      <c r="A423" s="96">
        <v>412</v>
      </c>
      <c r="B423" s="68" t="s">
        <v>571</v>
      </c>
      <c r="C423" s="97">
        <v>0.4</v>
      </c>
      <c r="D423" s="69" t="s">
        <v>66</v>
      </c>
      <c r="E423" s="136"/>
      <c r="F423" s="155"/>
      <c r="G423" s="155"/>
      <c r="H423" s="155"/>
      <c r="I423" s="155">
        <v>3.604E-3</v>
      </c>
      <c r="J423" s="155"/>
      <c r="K423" s="155">
        <v>6.306E-3</v>
      </c>
      <c r="L423" s="155">
        <v>9.0629999999999999E-3</v>
      </c>
      <c r="M423" s="155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6">
        <f ca="1"/>
        <v>0</v>
      </c>
      <c r="P423" s="156">
        <f ca="1"/>
        <v>0</v>
      </c>
      <c r="Q423" s="156">
        <f ca="1"/>
        <v>0</v>
      </c>
      <c r="R423" s="156">
        <f ca="1"/>
        <v>1.923677578903904E-2</v>
      </c>
      <c r="S423" s="156">
        <f ca="1"/>
        <v>0</v>
      </c>
      <c r="T423" s="156">
        <f ca="1"/>
        <v>5.5788034141505349E-2</v>
      </c>
      <c r="U423" s="156">
        <f ca="1"/>
        <v>0.11139349989110292</v>
      </c>
      <c r="V423" s="138">
        <f ca="1"/>
        <v>0</v>
      </c>
      <c r="W423" s="137">
        <f ca="1"/>
        <v>0</v>
      </c>
      <c r="X423" s="156">
        <f ca="1"/>
        <v>0</v>
      </c>
      <c r="Y423" s="156">
        <f ca="1"/>
        <v>0</v>
      </c>
      <c r="Z423" s="156">
        <f ca="1"/>
        <v>0</v>
      </c>
      <c r="AA423" s="156">
        <f ca="1"/>
        <v>1.9760235931855052E-2</v>
      </c>
      <c r="AB423" s="156">
        <f ca="1"/>
        <v>0</v>
      </c>
      <c r="AC423" s="156">
        <f ca="1"/>
        <v>5.6609330570817851E-2</v>
      </c>
      <c r="AD423" s="156">
        <f ca="1"/>
        <v>0.11249480460999195</v>
      </c>
      <c r="AE423" s="138">
        <f ca="1"/>
        <v>0</v>
      </c>
      <c r="AG423" s="135"/>
      <c r="AH423" s="135">
        <v>1.598E-3</v>
      </c>
      <c r="AI423" s="135">
        <v>2.627E-3</v>
      </c>
      <c r="AJ423" s="135">
        <v>3.8070000000000001E-3</v>
      </c>
      <c r="AK423" s="135"/>
      <c r="AO423" s="135">
        <f t="shared" ca="1" si="14"/>
        <v>1.4857607437048456E-3</v>
      </c>
      <c r="AP423" s="135">
        <f t="shared" ca="1" si="15"/>
        <v>3.386711601073282E-3</v>
      </c>
      <c r="AQ423" s="135">
        <f t="shared" ca="1" si="16"/>
        <v>6.9558306416452253E-3</v>
      </c>
      <c r="AV423" s="538">
        <f t="shared" ca="1" si="11"/>
        <v>3.9143258844257845E-4</v>
      </c>
      <c r="AW423" s="538">
        <f t="shared" ca="1" si="12"/>
        <v>8.1848566880627163E-4</v>
      </c>
      <c r="AX423" s="538">
        <f t="shared" ca="1" si="13"/>
        <v>1.6554104486923237E-3</v>
      </c>
    </row>
    <row r="424" spans="1:50" ht="10.5" customHeight="1">
      <c r="A424" s="96">
        <v>413</v>
      </c>
      <c r="B424" s="68" t="s">
        <v>581</v>
      </c>
      <c r="C424" s="97">
        <v>0.4</v>
      </c>
      <c r="D424" s="69" t="s">
        <v>66</v>
      </c>
      <c r="E424" s="136"/>
      <c r="F424" s="155"/>
      <c r="G424" s="155"/>
      <c r="H424" s="155"/>
      <c r="I424" s="155">
        <v>2.4229999999999998E-3</v>
      </c>
      <c r="J424" s="155"/>
      <c r="K424" s="155">
        <v>3.9830000000000004E-3</v>
      </c>
      <c r="L424" s="155">
        <v>6.0039999999999998E-3</v>
      </c>
      <c r="M424" s="155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6">
        <f ca="1"/>
        <v>0</v>
      </c>
      <c r="P424" s="156">
        <f ca="1"/>
        <v>0</v>
      </c>
      <c r="Q424" s="156">
        <f ca="1"/>
        <v>0</v>
      </c>
      <c r="R424" s="156">
        <f ca="1"/>
        <v>1.2973002434464198E-2</v>
      </c>
      <c r="S424" s="156">
        <f ca="1"/>
        <v>0</v>
      </c>
      <c r="T424" s="156">
        <f ca="1"/>
        <v>3.5390443104290625E-2</v>
      </c>
      <c r="U424" s="156">
        <f ca="1"/>
        <v>7.4922852969337206E-2</v>
      </c>
      <c r="V424" s="138">
        <f ca="1"/>
        <v>0</v>
      </c>
      <c r="W424" s="137">
        <f ca="1"/>
        <v>0</v>
      </c>
      <c r="X424" s="156">
        <f ca="1"/>
        <v>0</v>
      </c>
      <c r="Y424" s="156">
        <f ca="1"/>
        <v>0</v>
      </c>
      <c r="Z424" s="156">
        <f ca="1"/>
        <v>0</v>
      </c>
      <c r="AA424" s="156">
        <f ca="1"/>
        <v>1.350257966382995E-2</v>
      </c>
      <c r="AB424" s="156">
        <f ca="1"/>
        <v>0</v>
      </c>
      <c r="AC424" s="156">
        <f ca="1"/>
        <v>3.6234269417883214E-2</v>
      </c>
      <c r="AD424" s="156">
        <f ca="1"/>
        <v>7.6044653056015821E-2</v>
      </c>
      <c r="AE424" s="138">
        <f ca="1"/>
        <v>0</v>
      </c>
      <c r="AG424" s="135"/>
      <c r="AH424" s="135">
        <v>4.0590000000000001E-3</v>
      </c>
      <c r="AI424" s="135">
        <v>6.953E-3</v>
      </c>
      <c r="AJ424" s="135">
        <v>1.0121E-2</v>
      </c>
      <c r="AK424" s="135"/>
      <c r="AO424" s="135">
        <f t="shared" ca="1" si="14"/>
        <v>3.7739066700237596E-3</v>
      </c>
      <c r="AP424" s="135">
        <f t="shared" ca="1" si="15"/>
        <v>8.9637631375190444E-3</v>
      </c>
      <c r="AQ424" s="135">
        <f t="shared" ca="1" si="16"/>
        <v>1.8492241114812534E-2</v>
      </c>
      <c r="AV424" s="538">
        <f t="shared" ca="1" si="11"/>
        <v>9.9425837076872717E-4</v>
      </c>
      <c r="AW424" s="538">
        <f t="shared" ca="1" si="12"/>
        <v>2.1663231272211676E-3</v>
      </c>
      <c r="AX424" s="538">
        <f t="shared" ca="1" si="13"/>
        <v>4.4009480302639892E-3</v>
      </c>
    </row>
    <row r="425" spans="1:50" ht="10.5" customHeight="1">
      <c r="A425" s="96">
        <v>414</v>
      </c>
      <c r="B425" s="68" t="s">
        <v>630</v>
      </c>
      <c r="C425" s="97">
        <v>0.4</v>
      </c>
      <c r="D425" s="69" t="s">
        <v>66</v>
      </c>
      <c r="E425" s="136"/>
      <c r="F425" s="155"/>
      <c r="G425" s="155"/>
      <c r="H425" s="155"/>
      <c r="I425" s="155">
        <v>4.1190000000000003E-3</v>
      </c>
      <c r="J425" s="155"/>
      <c r="K425" s="155">
        <v>6.1469999999999997E-3</v>
      </c>
      <c r="L425" s="155">
        <v>8.4799999999999997E-3</v>
      </c>
      <c r="M425" s="155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6">
        <f ca="1"/>
        <v>0</v>
      </c>
      <c r="P425" s="156">
        <f ca="1"/>
        <v>0</v>
      </c>
      <c r="Q425" s="156">
        <f ca="1"/>
        <v>0</v>
      </c>
      <c r="R425" s="156">
        <f ca="1"/>
        <v>2.1956162174997851E-2</v>
      </c>
      <c r="S425" s="156">
        <f ca="1"/>
        <v>0</v>
      </c>
      <c r="T425" s="156">
        <f ca="1"/>
        <v>5.3937435965902725E-2</v>
      </c>
      <c r="U425" s="156">
        <f ca="1"/>
        <v>0.1036023265466347</v>
      </c>
      <c r="V425" s="138">
        <f ca="1"/>
        <v>0</v>
      </c>
      <c r="W425" s="137">
        <f ca="1"/>
        <v>0</v>
      </c>
      <c r="X425" s="156">
        <f ca="1"/>
        <v>0</v>
      </c>
      <c r="Y425" s="156">
        <f ca="1"/>
        <v>0</v>
      </c>
      <c r="Z425" s="156">
        <f ca="1"/>
        <v>0</v>
      </c>
      <c r="AA425" s="156">
        <f ca="1"/>
        <v>2.2476571934415324E-2</v>
      </c>
      <c r="AB425" s="156">
        <f ca="1"/>
        <v>0</v>
      </c>
      <c r="AC425" s="156">
        <f ca="1"/>
        <v>5.4761750537122067E-2</v>
      </c>
      <c r="AD425" s="156">
        <f ca="1"/>
        <v>0.10470862920375346</v>
      </c>
      <c r="AE425" s="138">
        <f ca="1"/>
        <v>0</v>
      </c>
      <c r="AG425" s="135"/>
      <c r="AH425" s="135">
        <v>3.114E-3</v>
      </c>
      <c r="AI425" s="135">
        <v>5.1929999999999997E-3</v>
      </c>
      <c r="AJ425" s="135">
        <v>7.737E-3</v>
      </c>
      <c r="AK425" s="135"/>
      <c r="AO425" s="135">
        <f t="shared" ca="1" si="14"/>
        <v>2.8952809486213322E-3</v>
      </c>
      <c r="AP425" s="135">
        <f t="shared" ca="1" si="15"/>
        <v>6.6947823922244203E-3</v>
      </c>
      <c r="AQ425" s="135">
        <f t="shared" ca="1" si="16"/>
        <v>1.4136396552248255E-2</v>
      </c>
      <c r="AV425" s="538">
        <f t="shared" ca="1" si="11"/>
        <v>7.6277914919285945E-4</v>
      </c>
      <c r="AW425" s="538">
        <f t="shared" ca="1" si="12"/>
        <v>1.6179657701221805E-3</v>
      </c>
      <c r="AX425" s="538">
        <f t="shared" ca="1" si="13"/>
        <v>3.3643053957269527E-3</v>
      </c>
    </row>
    <row r="426" spans="1:50" ht="10.5" customHeight="1">
      <c r="A426" s="96">
        <v>415</v>
      </c>
      <c r="B426" s="68" t="s">
        <v>572</v>
      </c>
      <c r="C426" s="97">
        <v>0.4</v>
      </c>
      <c r="D426" s="69" t="s">
        <v>66</v>
      </c>
      <c r="E426" s="136"/>
      <c r="F426" s="155"/>
      <c r="G426" s="155"/>
      <c r="H426" s="155"/>
      <c r="I426" s="155">
        <v>4.1130000000000003E-3</v>
      </c>
      <c r="J426" s="155"/>
      <c r="K426" s="155">
        <v>6.5919999999999998E-3</v>
      </c>
      <c r="L426" s="155">
        <v>9.4090000000000007E-3</v>
      </c>
      <c r="M426" s="155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6">
        <f ca="1"/>
        <v>0</v>
      </c>
      <c r="P426" s="156">
        <f ca="1"/>
        <v>0</v>
      </c>
      <c r="Q426" s="156">
        <f ca="1"/>
        <v>0</v>
      </c>
      <c r="R426" s="156">
        <f ca="1"/>
        <v>2.1924522000973501E-2</v>
      </c>
      <c r="S426" s="156">
        <f ca="1"/>
        <v>0</v>
      </c>
      <c r="T426" s="156">
        <f ca="1"/>
        <v>5.7993097487516576E-2</v>
      </c>
      <c r="U426" s="156">
        <f ca="1"/>
        <v>0.11512229308582067</v>
      </c>
      <c r="V426" s="138">
        <f ca="1"/>
        <v>0</v>
      </c>
      <c r="W426" s="137">
        <f ca="1"/>
        <v>0</v>
      </c>
      <c r="X426" s="156">
        <f ca="1"/>
        <v>0</v>
      </c>
      <c r="Y426" s="156">
        <f ca="1"/>
        <v>0</v>
      </c>
      <c r="Z426" s="156">
        <f ca="1"/>
        <v>0</v>
      </c>
      <c r="AA426" s="156">
        <f ca="1"/>
        <v>2.2444968691101463E-2</v>
      </c>
      <c r="AB426" s="156">
        <f ca="1"/>
        <v>0</v>
      </c>
      <c r="AC426" s="156">
        <f ca="1"/>
        <v>5.8812305429414735E-2</v>
      </c>
      <c r="AD426" s="156">
        <f ca="1"/>
        <v>0.11621908323376839</v>
      </c>
      <c r="AE426" s="138">
        <f ca="1"/>
        <v>0</v>
      </c>
      <c r="AG426" s="135"/>
      <c r="AH426" s="135">
        <v>1.8439999999999999E-3</v>
      </c>
      <c r="AI426" s="135">
        <v>2.6050000000000001E-3</v>
      </c>
      <c r="AJ426" s="135">
        <v>3.6050000000000001E-3</v>
      </c>
      <c r="AK426" s="135"/>
      <c r="AO426" s="135">
        <f t="shared" ca="1" si="14"/>
        <v>1.7144823600699218E-3</v>
      </c>
      <c r="AP426" s="135">
        <f t="shared" ca="1" si="15"/>
        <v>3.3583493417570997E-3</v>
      </c>
      <c r="AQ426" s="135">
        <f t="shared" ca="1" si="16"/>
        <v>6.5867532080722451E-3</v>
      </c>
      <c r="AV426" s="538">
        <f t="shared" ca="1" si="11"/>
        <v>4.5169067151947098E-4</v>
      </c>
      <c r="AW426" s="538">
        <f t="shared" ca="1" si="12"/>
        <v>8.1163120184253438E-4</v>
      </c>
      <c r="AX426" s="538">
        <f t="shared" ca="1" si="13"/>
        <v>1.5675741180813836E-3</v>
      </c>
    </row>
    <row r="427" spans="1:50" ht="10.5" customHeight="1">
      <c r="A427" s="96">
        <v>416</v>
      </c>
      <c r="B427" s="68" t="s">
        <v>582</v>
      </c>
      <c r="C427" s="97">
        <v>0.4</v>
      </c>
      <c r="D427" s="69" t="s">
        <v>66</v>
      </c>
      <c r="E427" s="136"/>
      <c r="F427" s="155"/>
      <c r="G427" s="155"/>
      <c r="H427" s="155"/>
      <c r="I427" s="155">
        <v>3.3249999999999998E-3</v>
      </c>
      <c r="J427" s="155"/>
      <c r="K427" s="155">
        <v>6.195E-3</v>
      </c>
      <c r="L427" s="155">
        <v>9.2610000000000001E-3</v>
      </c>
      <c r="M427" s="155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6">
        <f ca="1"/>
        <v>0</v>
      </c>
      <c r="P427" s="156">
        <f ca="1"/>
        <v>0</v>
      </c>
      <c r="Q427" s="156">
        <f ca="1"/>
        <v>0</v>
      </c>
      <c r="R427" s="156">
        <f ca="1"/>
        <v>1.77605022085775E-2</v>
      </c>
      <c r="S427" s="156">
        <f ca="1"/>
        <v>0</v>
      </c>
      <c r="T427" s="156">
        <f ca="1"/>
        <v>5.4993547175271607E-2</v>
      </c>
      <c r="U427" s="156">
        <f ca="1"/>
        <v>0.11430888258085359</v>
      </c>
      <c r="V427" s="138">
        <f ca="1"/>
        <v>0</v>
      </c>
      <c r="W427" s="137">
        <f ca="1"/>
        <v>0</v>
      </c>
      <c r="X427" s="156">
        <f ca="1"/>
        <v>0</v>
      </c>
      <c r="Y427" s="156">
        <f ca="1"/>
        <v>0</v>
      </c>
      <c r="Z427" s="156">
        <f ca="1"/>
        <v>0</v>
      </c>
      <c r="AA427" s="156">
        <f ca="1"/>
        <v>1.8285515693560961E-2</v>
      </c>
      <c r="AB427" s="156">
        <f ca="1"/>
        <v>0</v>
      </c>
      <c r="AC427" s="156">
        <f ca="1"/>
        <v>5.5815460464749167E-2</v>
      </c>
      <c r="AD427" s="156">
        <f ca="1"/>
        <v>0.11540892407207004</v>
      </c>
      <c r="AE427" s="138">
        <f ca="1"/>
        <v>0</v>
      </c>
      <c r="AG427" s="135"/>
      <c r="AH427" s="135">
        <v>2.9399999999999999E-3</v>
      </c>
      <c r="AI427" s="135">
        <v>5.1380000000000002E-3</v>
      </c>
      <c r="AJ427" s="135">
        <v>7.4939999999999998E-3</v>
      </c>
      <c r="AK427" s="135"/>
      <c r="AO427" s="135">
        <f t="shared" ca="1" si="14"/>
        <v>2.7335022443631075E-3</v>
      </c>
      <c r="AP427" s="135">
        <f t="shared" ca="1" si="15"/>
        <v>6.6238767439339647E-3</v>
      </c>
      <c r="AQ427" s="135">
        <f t="shared" ca="1" si="16"/>
        <v>1.3692407362356007E-2</v>
      </c>
      <c r="AV427" s="538">
        <f t="shared" ca="1" si="11"/>
        <v>7.2015757823603297E-4</v>
      </c>
      <c r="AW427" s="538">
        <f t="shared" ca="1" si="12"/>
        <v>1.6008296027128373E-3</v>
      </c>
      <c r="AX427" s="538">
        <f t="shared" ca="1" si="13"/>
        <v>3.2586408990019104E-3</v>
      </c>
    </row>
    <row r="428" spans="1:50" ht="10.5" customHeight="1">
      <c r="A428" s="96">
        <v>417</v>
      </c>
      <c r="B428" s="68" t="s">
        <v>573</v>
      </c>
      <c r="C428" s="97">
        <v>0.4</v>
      </c>
      <c r="D428" s="69" t="s">
        <v>66</v>
      </c>
      <c r="E428" s="136"/>
      <c r="F428" s="155"/>
      <c r="G428" s="155"/>
      <c r="H428" s="155"/>
      <c r="I428" s="155">
        <v>2.6879999999999999E-3</v>
      </c>
      <c r="J428" s="155"/>
      <c r="K428" s="155">
        <v>4.4660000000000004E-3</v>
      </c>
      <c r="L428" s="155">
        <v>5.9670000000000001E-3</v>
      </c>
      <c r="M428" s="155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6">
        <f ca="1"/>
        <v>0</v>
      </c>
      <c r="P428" s="156">
        <f ca="1"/>
        <v>0</v>
      </c>
      <c r="Q428" s="156">
        <f ca="1"/>
        <v>0</v>
      </c>
      <c r="R428" s="156">
        <f ca="1"/>
        <v>1.4381871560159243E-2</v>
      </c>
      <c r="S428" s="156">
        <f ca="1"/>
        <v>0</v>
      </c>
      <c r="T428" s="156">
        <f ca="1"/>
        <v>3.9640681710685244E-2</v>
      </c>
      <c r="U428" s="156">
        <f ca="1"/>
        <v>7.3730472862371665E-2</v>
      </c>
      <c r="V428" s="138">
        <f ca="1"/>
        <v>0</v>
      </c>
      <c r="W428" s="137">
        <f ca="1"/>
        <v>0</v>
      </c>
      <c r="X428" s="156">
        <f ca="1"/>
        <v>0</v>
      </c>
      <c r="Y428" s="156">
        <f ca="1"/>
        <v>0</v>
      </c>
      <c r="Z428" s="156">
        <f ca="1"/>
        <v>0</v>
      </c>
      <c r="AA428" s="156">
        <f ca="1"/>
        <v>1.4910178978102429E-2</v>
      </c>
      <c r="AB428" s="156">
        <f ca="1"/>
        <v>0</v>
      </c>
      <c r="AC428" s="156">
        <f ca="1"/>
        <v>4.0480185460800455E-2</v>
      </c>
      <c r="AD428" s="156">
        <f ca="1"/>
        <v>7.4855082373858073E-2</v>
      </c>
      <c r="AE428" s="138">
        <f ca="1"/>
        <v>0</v>
      </c>
      <c r="AG428" s="135"/>
      <c r="AH428" s="135">
        <v>3.604E-3</v>
      </c>
      <c r="AI428" s="135">
        <v>6.306E-3</v>
      </c>
      <c r="AJ428" s="135">
        <v>9.0629999999999999E-3</v>
      </c>
      <c r="AK428" s="135"/>
      <c r="AO428" s="135">
        <f t="shared" ca="1" si="14"/>
        <v>3.3508646560151834E-3</v>
      </c>
      <c r="AP428" s="135">
        <f t="shared" ca="1" si="15"/>
        <v>8.129654874902215E-3</v>
      </c>
      <c r="AQ428" s="135">
        <f t="shared" ca="1" si="16"/>
        <v>1.6559152378573857E-2</v>
      </c>
      <c r="AV428" s="538">
        <f t="shared" ca="1" si="11"/>
        <v>8.8280541223219821E-4</v>
      </c>
      <c r="AW428" s="538">
        <f t="shared" ca="1" si="12"/>
        <v>1.9647394851512556E-3</v>
      </c>
      <c r="AX428" s="538">
        <f t="shared" ca="1" si="13"/>
        <v>3.9408943778561937E-3</v>
      </c>
    </row>
    <row r="429" spans="1:50" ht="10.5" customHeight="1">
      <c r="A429" s="96">
        <v>418</v>
      </c>
      <c r="B429" s="68" t="s">
        <v>574</v>
      </c>
      <c r="C429" s="97">
        <v>0.4</v>
      </c>
      <c r="D429" s="69" t="s">
        <v>66</v>
      </c>
      <c r="E429" s="136"/>
      <c r="F429" s="155"/>
      <c r="G429" s="155"/>
      <c r="H429" s="155"/>
      <c r="I429" s="155">
        <v>3.4719999999999998E-3</v>
      </c>
      <c r="J429" s="155"/>
      <c r="K429" s="155">
        <v>5.6010000000000001E-3</v>
      </c>
      <c r="L429" s="155">
        <v>7.7669999999999996E-3</v>
      </c>
      <c r="M429" s="155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6">
        <f ca="1"/>
        <v>0</v>
      </c>
      <c r="P429" s="156">
        <f ca="1"/>
        <v>0</v>
      </c>
      <c r="Q429" s="156">
        <f ca="1"/>
        <v>0</v>
      </c>
      <c r="R429" s="156">
        <f ca="1"/>
        <v>1.8538591609048471E-2</v>
      </c>
      <c r="S429" s="156">
        <f ca="1"/>
        <v>0</v>
      </c>
      <c r="T429" s="156">
        <f ca="1"/>
        <v>4.945422629332108E-2</v>
      </c>
      <c r="U429" s="156">
        <f ca="1"/>
        <v>9.5457990736348308E-2</v>
      </c>
      <c r="V429" s="138">
        <f ca="1"/>
        <v>0</v>
      </c>
      <c r="W429" s="137">
        <f ca="1"/>
        <v>0</v>
      </c>
      <c r="X429" s="156">
        <f ca="1"/>
        <v>0</v>
      </c>
      <c r="Y429" s="156">
        <f ca="1"/>
        <v>0</v>
      </c>
      <c r="Z429" s="156">
        <f ca="1"/>
        <v>0</v>
      </c>
      <c r="AA429" s="156">
        <f ca="1"/>
        <v>1.906279522500276E-2</v>
      </c>
      <c r="AB429" s="156">
        <f ca="1"/>
        <v>0</v>
      </c>
      <c r="AC429" s="156">
        <f ca="1"/>
        <v>5.0283232693262625E-2</v>
      </c>
      <c r="AD429" s="156">
        <f ca="1"/>
        <v>9.6573019444342267E-2</v>
      </c>
      <c r="AE429" s="138">
        <f ca="1"/>
        <v>0</v>
      </c>
      <c r="AG429" s="135"/>
      <c r="AH429" s="135">
        <v>2.4229999999999998E-3</v>
      </c>
      <c r="AI429" s="135">
        <v>3.9830000000000004E-3</v>
      </c>
      <c r="AJ429" s="135">
        <v>6.0039999999999998E-3</v>
      </c>
      <c r="AK429" s="135"/>
      <c r="AO429" s="135">
        <f t="shared" ca="1" si="14"/>
        <v>2.2528149449291867E-3</v>
      </c>
      <c r="AP429" s="135">
        <f t="shared" ca="1" si="15"/>
        <v>5.134858129834368E-3</v>
      </c>
      <c r="AQ429" s="135">
        <f t="shared" ca="1" si="16"/>
        <v>1.097000451075333E-2</v>
      </c>
      <c r="AV429" s="538">
        <f t="shared" ca="1" si="11"/>
        <v>5.9351762315166927E-4</v>
      </c>
      <c r="AW429" s="538">
        <f t="shared" ca="1" si="12"/>
        <v>1.2409700871166274E-3</v>
      </c>
      <c r="AX429" s="538">
        <f t="shared" ca="1" si="13"/>
        <v>2.6107392524162623E-3</v>
      </c>
    </row>
    <row r="430" spans="1:50" ht="10.5" customHeight="1">
      <c r="A430" s="96">
        <v>419</v>
      </c>
      <c r="B430" s="68" t="s">
        <v>583</v>
      </c>
      <c r="C430" s="97">
        <v>0.4</v>
      </c>
      <c r="D430" s="69" t="s">
        <v>66</v>
      </c>
      <c r="E430" s="136"/>
      <c r="F430" s="155"/>
      <c r="G430" s="155"/>
      <c r="H430" s="155"/>
      <c r="I430" s="155">
        <v>1.7849999999999999E-3</v>
      </c>
      <c r="J430" s="155"/>
      <c r="K430" s="155">
        <v>2.7560000000000002E-3</v>
      </c>
      <c r="L430" s="155">
        <v>3.7669999999999999E-3</v>
      </c>
      <c r="M430" s="155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6">
        <f ca="1"/>
        <v>0</v>
      </c>
      <c r="P430" s="156">
        <f ca="1"/>
        <v>0</v>
      </c>
      <c r="Q430" s="156">
        <f ca="1"/>
        <v>0</v>
      </c>
      <c r="R430" s="156">
        <f ca="1"/>
        <v>9.5730581987567565E-3</v>
      </c>
      <c r="S430" s="156">
        <f ca="1"/>
        <v>0</v>
      </c>
      <c r="T430" s="156">
        <f ca="1"/>
        <v>2.4510471216627305E-2</v>
      </c>
      <c r="U430" s="156">
        <f ca="1"/>
        <v>4.6991207536825508E-2</v>
      </c>
      <c r="V430" s="138">
        <f ca="1"/>
        <v>0</v>
      </c>
      <c r="W430" s="137">
        <f ca="1"/>
        <v>0</v>
      </c>
      <c r="X430" s="156">
        <f ca="1"/>
        <v>0</v>
      </c>
      <c r="Y430" s="156">
        <f ca="1"/>
        <v>0</v>
      </c>
      <c r="Z430" s="156">
        <f ca="1"/>
        <v>0</v>
      </c>
      <c r="AA430" s="156">
        <f ca="1"/>
        <v>1.0105459739131906E-2</v>
      </c>
      <c r="AB430" s="156">
        <f ca="1"/>
        <v>0</v>
      </c>
      <c r="AC430" s="156">
        <f ca="1"/>
        <v>2.5364586142693213E-2</v>
      </c>
      <c r="AD430" s="156">
        <f ca="1"/>
        <v>4.8149188352991312E-2</v>
      </c>
      <c r="AE430" s="138">
        <f ca="1"/>
        <v>0</v>
      </c>
      <c r="AG430" s="135"/>
      <c r="AH430" s="135">
        <v>4.1190000000000003E-3</v>
      </c>
      <c r="AI430" s="135">
        <v>6.1469999999999997E-3</v>
      </c>
      <c r="AJ430" s="135">
        <v>8.4799999999999997E-3</v>
      </c>
      <c r="AK430" s="135"/>
      <c r="AO430" s="135">
        <f t="shared" ca="1" si="14"/>
        <v>3.829692430112803E-3</v>
      </c>
      <c r="AP430" s="135">
        <f t="shared" ca="1" si="15"/>
        <v>7.9246730916625284E-3</v>
      </c>
      <c r="AQ430" s="135">
        <f t="shared" ca="1" si="16"/>
        <v>1.5493943746034019E-2</v>
      </c>
      <c r="AV430" s="538">
        <f t="shared" ca="1" si="11"/>
        <v>1.0089554642021157E-3</v>
      </c>
      <c r="AW430" s="538">
        <f t="shared" ca="1" si="12"/>
        <v>1.915200383004245E-3</v>
      </c>
      <c r="AX430" s="538">
        <f t="shared" ca="1" si="13"/>
        <v>3.687386552380064E-3</v>
      </c>
    </row>
    <row r="431" spans="1:50" ht="10.5" customHeight="1">
      <c r="A431" s="96">
        <v>420</v>
      </c>
      <c r="B431" s="68" t="s">
        <v>575</v>
      </c>
      <c r="C431" s="97">
        <v>0.4</v>
      </c>
      <c r="D431" s="69" t="s">
        <v>66</v>
      </c>
      <c r="E431" s="136"/>
      <c r="F431" s="155"/>
      <c r="G431" s="155"/>
      <c r="H431" s="155"/>
      <c r="I431" s="155">
        <v>2.5920000000000001E-3</v>
      </c>
      <c r="J431" s="155"/>
      <c r="K431" s="155">
        <v>4.5840000000000004E-3</v>
      </c>
      <c r="L431" s="155">
        <v>6.4619999999999999E-3</v>
      </c>
      <c r="M431" s="155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6">
        <f ca="1"/>
        <v>0</v>
      </c>
      <c r="P431" s="156">
        <f ca="1"/>
        <v>0</v>
      </c>
      <c r="Q431" s="156">
        <f ca="1"/>
        <v>0</v>
      </c>
      <c r="R431" s="156">
        <f ca="1"/>
        <v>1.3871714308640426E-2</v>
      </c>
      <c r="S431" s="156">
        <f ca="1"/>
        <v>0</v>
      </c>
      <c r="T431" s="156">
        <f ca="1"/>
        <v>4.0796872731967304E-2</v>
      </c>
      <c r="U431" s="156">
        <f ca="1"/>
        <v>8.0188564216143732E-2</v>
      </c>
      <c r="V431" s="138">
        <f ca="1"/>
        <v>0</v>
      </c>
      <c r="W431" s="137">
        <f ca="1"/>
        <v>0</v>
      </c>
      <c r="X431" s="156">
        <f ca="1"/>
        <v>0</v>
      </c>
      <c r="Y431" s="156">
        <f ca="1"/>
        <v>0</v>
      </c>
      <c r="Z431" s="156">
        <f ca="1"/>
        <v>0</v>
      </c>
      <c r="AA431" s="156">
        <f ca="1"/>
        <v>1.4400488429687663E-2</v>
      </c>
      <c r="AB431" s="156">
        <f ca="1"/>
        <v>0</v>
      </c>
      <c r="AC431" s="156">
        <f ca="1"/>
        <v>4.1635124924871314E-2</v>
      </c>
      <c r="AD431" s="156">
        <f ca="1"/>
        <v>8.1304290229672782E-2</v>
      </c>
      <c r="AE431" s="138">
        <f ca="1"/>
        <v>0</v>
      </c>
      <c r="AG431" s="135"/>
      <c r="AH431" s="135">
        <v>4.1130000000000003E-3</v>
      </c>
      <c r="AI431" s="135">
        <v>6.5919999999999998E-3</v>
      </c>
      <c r="AJ431" s="135">
        <v>9.4090000000000007E-3</v>
      </c>
      <c r="AK431" s="135"/>
      <c r="AO431" s="135">
        <f t="shared" ref="AO431:AO461" ca="1" si="17">AH431*$AM$365</f>
        <v>3.8241138541038988E-3</v>
      </c>
      <c r="AP431" s="135">
        <f t="shared" ref="AP431:AP461" ca="1" si="18">AI431*$AM$366</f>
        <v>8.4983642460125901E-3</v>
      </c>
      <c r="AQ431" s="135">
        <f t="shared" ref="AQ431:AQ461" ca="1" si="19">AJ431*$AM$367</f>
        <v>1.7191334517268172E-2</v>
      </c>
      <c r="AV431" s="538">
        <f t="shared" ca="1" si="11"/>
        <v>1.0074857548587769E-3</v>
      </c>
      <c r="AW431" s="538">
        <f t="shared" ca="1" si="12"/>
        <v>2.0538475556798413E-3</v>
      </c>
      <c r="AX431" s="538">
        <f t="shared" ca="1" si="13"/>
        <v>4.0913467065264181E-3</v>
      </c>
    </row>
    <row r="432" spans="1:50" ht="10.5" customHeight="1">
      <c r="A432" s="96">
        <v>421</v>
      </c>
      <c r="B432" s="68" t="s">
        <v>576</v>
      </c>
      <c r="C432" s="97">
        <v>0.4</v>
      </c>
      <c r="D432" s="69" t="s">
        <v>66</v>
      </c>
      <c r="E432" s="136"/>
      <c r="F432" s="155"/>
      <c r="G432" s="155"/>
      <c r="H432" s="155"/>
      <c r="I432" s="155">
        <v>2.307E-3</v>
      </c>
      <c r="J432" s="155"/>
      <c r="K432" s="155">
        <v>3.8999999999999998E-3</v>
      </c>
      <c r="L432" s="155">
        <v>5.7710000000000001E-3</v>
      </c>
      <c r="M432" s="155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6">
        <f ca="1"/>
        <v>0</v>
      </c>
      <c r="P432" s="156">
        <f ca="1"/>
        <v>0</v>
      </c>
      <c r="Q432" s="156">
        <f ca="1"/>
        <v>0</v>
      </c>
      <c r="R432" s="156">
        <f ca="1"/>
        <v>1.235567509516744E-2</v>
      </c>
      <c r="S432" s="156">
        <f ca="1"/>
        <v>0</v>
      </c>
      <c r="T432" s="156">
        <f ca="1"/>
        <v>3.4710223939354523E-2</v>
      </c>
      <c r="U432" s="156">
        <f ca="1"/>
        <v>7.202553903136355E-2</v>
      </c>
      <c r="V432" s="138">
        <f ca="1"/>
        <v>0</v>
      </c>
      <c r="W432" s="137">
        <f ca="1"/>
        <v>0</v>
      </c>
      <c r="X432" s="156">
        <f ca="1"/>
        <v>0</v>
      </c>
      <c r="Y432" s="156">
        <f ca="1"/>
        <v>0</v>
      </c>
      <c r="Z432" s="156">
        <f ca="1"/>
        <v>0</v>
      </c>
      <c r="AA432" s="156">
        <f ca="1"/>
        <v>1.288579005939805E-2</v>
      </c>
      <c r="AB432" s="156">
        <f ca="1"/>
        <v>0</v>
      </c>
      <c r="AC432" s="156">
        <f ca="1"/>
        <v>3.5554742349143464E-2</v>
      </c>
      <c r="AD432" s="156">
        <f ca="1"/>
        <v>7.3151721884770593E-2</v>
      </c>
      <c r="AE432" s="138">
        <f ca="1"/>
        <v>0</v>
      </c>
      <c r="AG432" s="135"/>
      <c r="AH432" s="135">
        <v>3.3249999999999998E-3</v>
      </c>
      <c r="AI432" s="135">
        <v>6.195E-3</v>
      </c>
      <c r="AJ432" s="135">
        <v>9.2610000000000001E-3</v>
      </c>
      <c r="AK432" s="135"/>
      <c r="AO432" s="135">
        <f t="shared" ca="1" si="17"/>
        <v>3.0914608716011331E-3</v>
      </c>
      <c r="AP432" s="135">
        <f t="shared" ca="1" si="18"/>
        <v>7.9865543847160193E-3</v>
      </c>
      <c r="AQ432" s="135">
        <f t="shared" ca="1" si="19"/>
        <v>1.6920921348115691E-2</v>
      </c>
      <c r="AV432" s="538">
        <f t="shared" ref="AV432:AV461" ca="1" si="20">AH432*$AT$365</f>
        <v>8.1446392776694202E-4</v>
      </c>
      <c r="AW432" s="538">
        <f t="shared" ref="AW432:AW461" ca="1" si="21">AI432*$AT$366</f>
        <v>1.9301555836523992E-3</v>
      </c>
      <c r="AX432" s="538">
        <f t="shared" ref="AX432:AX461" ca="1" si="22">AJ432*$AT$367</f>
        <v>4.0269913751877096E-3</v>
      </c>
    </row>
    <row r="433" spans="1:50" ht="10.5" customHeight="1">
      <c r="A433" s="96">
        <v>422</v>
      </c>
      <c r="B433" s="68" t="s">
        <v>577</v>
      </c>
      <c r="C433" s="97">
        <v>0.4</v>
      </c>
      <c r="D433" s="69" t="s">
        <v>66</v>
      </c>
      <c r="E433" s="136"/>
      <c r="F433" s="155"/>
      <c r="G433" s="155"/>
      <c r="H433" s="155"/>
      <c r="I433" s="155">
        <v>3.751E-3</v>
      </c>
      <c r="J433" s="155"/>
      <c r="K433" s="155">
        <v>5.8129999999999996E-3</v>
      </c>
      <c r="L433" s="155">
        <v>8.0239999999999999E-3</v>
      </c>
      <c r="M433" s="155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6">
        <f ca="1"/>
        <v>0</v>
      </c>
      <c r="P433" s="156">
        <f ca="1"/>
        <v>0</v>
      </c>
      <c r="Q433" s="156">
        <f ca="1"/>
        <v>0</v>
      </c>
      <c r="R433" s="156">
        <f ca="1"/>
        <v>2.0013733600238282E-2</v>
      </c>
      <c r="S433" s="156">
        <f ca="1"/>
        <v>0</v>
      </c>
      <c r="T433" s="156">
        <f ca="1"/>
        <v>5.1176401644972169E-2</v>
      </c>
      <c r="U433" s="156">
        <f ca="1"/>
        <v>9.8347514181928664E-2</v>
      </c>
      <c r="V433" s="138">
        <f ca="1"/>
        <v>0</v>
      </c>
      <c r="W433" s="137">
        <f ca="1"/>
        <v>0</v>
      </c>
      <c r="X433" s="156">
        <f ca="1"/>
        <v>0</v>
      </c>
      <c r="Y433" s="156">
        <f ca="1"/>
        <v>0</v>
      </c>
      <c r="Z433" s="156">
        <f ca="1"/>
        <v>0</v>
      </c>
      <c r="AA433" s="156">
        <f ca="1"/>
        <v>2.0536347512686626E-2</v>
      </c>
      <c r="AB433" s="156">
        <f ca="1"/>
        <v>0</v>
      </c>
      <c r="AC433" s="156">
        <f ca="1"/>
        <v>5.2003633372772362E-2</v>
      </c>
      <c r="AD433" s="156">
        <f ca="1"/>
        <v>9.9459283874914317E-2</v>
      </c>
      <c r="AE433" s="138">
        <f ca="1"/>
        <v>0</v>
      </c>
      <c r="AG433" s="135"/>
      <c r="AH433" s="135">
        <v>2.6879999999999999E-3</v>
      </c>
      <c r="AI433" s="135">
        <v>4.4660000000000004E-3</v>
      </c>
      <c r="AJ433" s="135">
        <v>5.9670000000000001E-3</v>
      </c>
      <c r="AK433" s="135"/>
      <c r="AO433" s="135">
        <f t="shared" ca="1" si="17"/>
        <v>2.4992020519891268E-3</v>
      </c>
      <c r="AP433" s="135">
        <f t="shared" ca="1" si="18"/>
        <v>5.757538641185108E-3</v>
      </c>
      <c r="AQ433" s="135">
        <f t="shared" ca="1" si="19"/>
        <v>1.0902401218465212E-2</v>
      </c>
      <c r="AV433" s="538">
        <f t="shared" ca="1" si="20"/>
        <v>6.5842978581580152E-4</v>
      </c>
      <c r="AW433" s="538">
        <f t="shared" ca="1" si="21"/>
        <v>1.391456793638679E-3</v>
      </c>
      <c r="AX433" s="538">
        <f t="shared" ca="1" si="22"/>
        <v>2.5946504195815852E-3</v>
      </c>
    </row>
    <row r="434" spans="1:50" ht="10.5" customHeight="1">
      <c r="A434" s="96">
        <v>423</v>
      </c>
      <c r="B434" s="68" t="s">
        <v>578</v>
      </c>
      <c r="C434" s="97">
        <v>0.4</v>
      </c>
      <c r="D434" s="69" t="s">
        <v>66</v>
      </c>
      <c r="E434" s="136"/>
      <c r="F434" s="155"/>
      <c r="G434" s="155"/>
      <c r="H434" s="155"/>
      <c r="I434" s="155">
        <v>2.993E-3</v>
      </c>
      <c r="J434" s="155"/>
      <c r="K434" s="155">
        <v>4.7149999999999996E-3</v>
      </c>
      <c r="L434" s="155">
        <v>6.6360000000000004E-3</v>
      </c>
      <c r="M434" s="155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6">
        <f ca="1"/>
        <v>0</v>
      </c>
      <c r="P434" s="156">
        <f ca="1"/>
        <v>0</v>
      </c>
      <c r="Q434" s="156">
        <f ca="1"/>
        <v>0</v>
      </c>
      <c r="R434" s="156">
        <f ca="1"/>
        <v>1.6000986059604982E-2</v>
      </c>
      <c r="S434" s="156">
        <f ca="1"/>
        <v>0</v>
      </c>
      <c r="T434" s="156">
        <f ca="1"/>
        <v>4.1700910816808268E-2</v>
      </c>
      <c r="U434" s="156">
        <f ca="1"/>
        <v>8.2023070141465815E-2</v>
      </c>
      <c r="V434" s="138">
        <f ca="1"/>
        <v>0</v>
      </c>
      <c r="W434" s="137">
        <f ca="1"/>
        <v>0</v>
      </c>
      <c r="X434" s="156">
        <f ca="1"/>
        <v>0</v>
      </c>
      <c r="Y434" s="156">
        <f ca="1"/>
        <v>0</v>
      </c>
      <c r="Z434" s="156">
        <f ca="1"/>
        <v>0</v>
      </c>
      <c r="AA434" s="156">
        <f ca="1"/>
        <v>1.6527759505570061E-2</v>
      </c>
      <c r="AB434" s="156">
        <f ca="1"/>
        <v>0</v>
      </c>
      <c r="AC434" s="156">
        <f ca="1"/>
        <v>4.2538307874385728E-2</v>
      </c>
      <c r="AD434" s="156">
        <f ca="1"/>
        <v>8.313537358895895E-2</v>
      </c>
      <c r="AE434" s="138">
        <f ca="1"/>
        <v>0</v>
      </c>
      <c r="AG434" s="135"/>
      <c r="AH434" s="135">
        <v>3.4719999999999998E-3</v>
      </c>
      <c r="AI434" s="135">
        <v>5.6010000000000001E-3</v>
      </c>
      <c r="AJ434" s="135">
        <v>7.7669999999999996E-3</v>
      </c>
      <c r="AK434" s="135"/>
      <c r="AO434" s="135">
        <f t="shared" ca="1" si="17"/>
        <v>3.2281359838192887E-3</v>
      </c>
      <c r="AP434" s="135">
        <f t="shared" ca="1" si="18"/>
        <v>7.2207733831790837E-3</v>
      </c>
      <c r="AQ434" s="135">
        <f t="shared" ca="1" si="19"/>
        <v>1.4191210032481865E-2</v>
      </c>
      <c r="AV434" s="538">
        <f t="shared" ca="1" si="20"/>
        <v>8.5047180667874366E-4</v>
      </c>
      <c r="AW434" s="538">
        <f t="shared" ca="1" si="21"/>
        <v>1.7450849756314912E-3</v>
      </c>
      <c r="AX434" s="538">
        <f t="shared" ca="1" si="22"/>
        <v>3.3773503953226365E-3</v>
      </c>
    </row>
    <row r="435" spans="1:50" ht="10.5" customHeight="1">
      <c r="A435" s="96">
        <v>424</v>
      </c>
      <c r="B435" s="68" t="s">
        <v>579</v>
      </c>
      <c r="C435" s="97">
        <v>0.4</v>
      </c>
      <c r="D435" s="69" t="s">
        <v>66</v>
      </c>
      <c r="E435" s="136"/>
      <c r="F435" s="155"/>
      <c r="G435" s="155"/>
      <c r="H435" s="155"/>
      <c r="I435" s="155">
        <v>4.0020000000000003E-3</v>
      </c>
      <c r="J435" s="155"/>
      <c r="K435" s="155">
        <v>6.0629999999999998E-3</v>
      </c>
      <c r="L435" s="155">
        <v>8.3820000000000006E-3</v>
      </c>
      <c r="M435" s="155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6">
        <f ca="1"/>
        <v>0</v>
      </c>
      <c r="P435" s="156">
        <f ca="1"/>
        <v>0</v>
      </c>
      <c r="Q435" s="156">
        <f ca="1"/>
        <v>0</v>
      </c>
      <c r="R435" s="156">
        <f ca="1"/>
        <v>2.1339000374233197E-2</v>
      </c>
      <c r="S435" s="156">
        <f ca="1"/>
        <v>0</v>
      </c>
      <c r="T435" s="156">
        <f ca="1"/>
        <v>5.3262813340832604E-2</v>
      </c>
      <c r="U435" s="156">
        <f ca="1"/>
        <v>0.10251905194081024</v>
      </c>
      <c r="V435" s="138">
        <f ca="1"/>
        <v>0</v>
      </c>
      <c r="W435" s="137">
        <f ca="1"/>
        <v>0</v>
      </c>
      <c r="X435" s="156">
        <f ca="1"/>
        <v>0</v>
      </c>
      <c r="Y435" s="156">
        <f ca="1"/>
        <v>0</v>
      </c>
      <c r="Z435" s="156">
        <f ca="1"/>
        <v>0</v>
      </c>
      <c r="AA435" s="156">
        <f ca="1"/>
        <v>2.1860124310435047E-2</v>
      </c>
      <c r="AB435" s="156">
        <f ca="1"/>
        <v>0</v>
      </c>
      <c r="AC435" s="156">
        <f ca="1"/>
        <v>5.4087810836297989E-2</v>
      </c>
      <c r="AD435" s="156">
        <f ca="1"/>
        <v>0.10362660228039022</v>
      </c>
      <c r="AE435" s="138">
        <f ca="1"/>
        <v>0</v>
      </c>
      <c r="AG435" s="135"/>
      <c r="AH435" s="135">
        <v>1.7849999999999999E-3</v>
      </c>
      <c r="AI435" s="135">
        <v>2.7560000000000002E-3</v>
      </c>
      <c r="AJ435" s="135">
        <v>3.7669999999999999E-3</v>
      </c>
      <c r="AK435" s="135"/>
      <c r="AO435" s="135">
        <f t="shared" ca="1" si="17"/>
        <v>1.6596263626490295E-3</v>
      </c>
      <c r="AP435" s="135">
        <f t="shared" ca="1" si="18"/>
        <v>3.5530175761545359E-3</v>
      </c>
      <c r="AQ435" s="135">
        <f t="shared" ca="1" si="19"/>
        <v>6.8827460013337442E-3</v>
      </c>
      <c r="AV435" s="538">
        <f t="shared" ca="1" si="20"/>
        <v>4.3723852964330573E-4</v>
      </c>
      <c r="AW435" s="538">
        <f t="shared" ca="1" si="21"/>
        <v>8.5867777054818609E-4</v>
      </c>
      <c r="AX435" s="538">
        <f t="shared" ca="1" si="22"/>
        <v>1.6380171158980781E-3</v>
      </c>
    </row>
    <row r="436" spans="1:50" ht="10.5" customHeight="1">
      <c r="A436" s="96">
        <v>425</v>
      </c>
      <c r="B436" s="68" t="s">
        <v>584</v>
      </c>
      <c r="C436" s="97">
        <v>0.4</v>
      </c>
      <c r="D436" s="69" t="s">
        <v>66</v>
      </c>
      <c r="E436" s="136"/>
      <c r="F436" s="155"/>
      <c r="G436" s="155"/>
      <c r="H436" s="155"/>
      <c r="I436" s="155">
        <v>1.9380000000000001E-3</v>
      </c>
      <c r="J436" s="155"/>
      <c r="K436" s="155">
        <v>3.1410000000000001E-3</v>
      </c>
      <c r="L436" s="155">
        <v>4.7060000000000001E-3</v>
      </c>
      <c r="M436" s="155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6">
        <f ca="1"/>
        <v>0</v>
      </c>
      <c r="P436" s="156">
        <f ca="1"/>
        <v>0</v>
      </c>
      <c r="Q436" s="156">
        <f ca="1"/>
        <v>0</v>
      </c>
      <c r="R436" s="156">
        <f ca="1"/>
        <v>1.0389441045301595E-2</v>
      </c>
      <c r="S436" s="156">
        <f ca="1"/>
        <v>0</v>
      </c>
      <c r="T436" s="156">
        <f ca="1"/>
        <v>2.7966759226616844E-2</v>
      </c>
      <c r="U436" s="156">
        <f ca="1"/>
        <v>5.8985381413903415E-2</v>
      </c>
      <c r="V436" s="138">
        <f ca="1"/>
        <v>0</v>
      </c>
      <c r="W436" s="137">
        <f ca="1"/>
        <v>0</v>
      </c>
      <c r="X436" s="156">
        <f ca="1"/>
        <v>0</v>
      </c>
      <c r="Y436" s="156">
        <f ca="1"/>
        <v>0</v>
      </c>
      <c r="Z436" s="156">
        <f ca="1"/>
        <v>0</v>
      </c>
      <c r="AA436" s="156">
        <f ca="1"/>
        <v>1.0921194674406443E-2</v>
      </c>
      <c r="AB436" s="156">
        <f ca="1"/>
        <v>0</v>
      </c>
      <c r="AC436" s="156">
        <f ca="1"/>
        <v>2.881775881037818E-2</v>
      </c>
      <c r="AD436" s="156">
        <f ca="1"/>
        <v>6.0128669553532577E-2</v>
      </c>
      <c r="AE436" s="138">
        <f ca="1"/>
        <v>0</v>
      </c>
      <c r="AG436" s="135"/>
      <c r="AH436" s="135">
        <v>2.5920000000000001E-3</v>
      </c>
      <c r="AI436" s="135">
        <v>4.5840000000000004E-3</v>
      </c>
      <c r="AJ436" s="135">
        <v>6.4619999999999999E-3</v>
      </c>
      <c r="AK436" s="135"/>
      <c r="AO436" s="135">
        <f t="shared" ca="1" si="17"/>
        <v>2.4099448358466582E-3</v>
      </c>
      <c r="AP436" s="135">
        <f t="shared" ca="1" si="18"/>
        <v>5.9096634866082709E-3</v>
      </c>
      <c r="AQ436" s="135">
        <f t="shared" ca="1" si="19"/>
        <v>1.180682364231979E-2</v>
      </c>
      <c r="AV436" s="538">
        <f t="shared" ca="1" si="20"/>
        <v>6.3491443632238012E-4</v>
      </c>
      <c r="AW436" s="538">
        <f t="shared" ca="1" si="21"/>
        <v>1.4282216618987245E-3</v>
      </c>
      <c r="AX436" s="538">
        <f t="shared" ca="1" si="22"/>
        <v>2.8098929129103745E-3</v>
      </c>
    </row>
    <row r="437" spans="1:50" ht="10.5" customHeight="1">
      <c r="A437" s="96">
        <v>426</v>
      </c>
      <c r="B437" s="68" t="s">
        <v>585</v>
      </c>
      <c r="C437" s="97">
        <v>0.4</v>
      </c>
      <c r="D437" s="69" t="s">
        <v>66</v>
      </c>
      <c r="E437" s="136"/>
      <c r="F437" s="155"/>
      <c r="G437" s="155"/>
      <c r="H437" s="155"/>
      <c r="I437" s="155">
        <v>1.7650000000000001E-3</v>
      </c>
      <c r="J437" s="155"/>
      <c r="K437" s="155">
        <v>2.9750000000000002E-3</v>
      </c>
      <c r="L437" s="155">
        <v>4.2370000000000003E-3</v>
      </c>
      <c r="M437" s="155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6">
        <f ca="1"/>
        <v>0</v>
      </c>
      <c r="P437" s="156">
        <f ca="1"/>
        <v>0</v>
      </c>
      <c r="Q437" s="156">
        <f ca="1"/>
        <v>0</v>
      </c>
      <c r="R437" s="156">
        <f ca="1"/>
        <v>9.4662931104467773E-3</v>
      </c>
      <c r="S437" s="156">
        <f ca="1"/>
        <v>0</v>
      </c>
      <c r="T437" s="156">
        <f ca="1"/>
        <v>2.6553386962728687E-2</v>
      </c>
      <c r="U437" s="156">
        <f ca="1"/>
        <v>5.3047524640018939E-2</v>
      </c>
      <c r="V437" s="138">
        <f ca="1"/>
        <v>0</v>
      </c>
      <c r="W437" s="137">
        <f ca="1"/>
        <v>0</v>
      </c>
      <c r="X437" s="156">
        <f ca="1"/>
        <v>0</v>
      </c>
      <c r="Y437" s="156">
        <f ca="1"/>
        <v>0</v>
      </c>
      <c r="Z437" s="156">
        <f ca="1"/>
        <v>0</v>
      </c>
      <c r="AA437" s="156">
        <f ca="1"/>
        <v>9.9987779991231873E-3</v>
      </c>
      <c r="AB437" s="156">
        <f ca="1"/>
        <v>0</v>
      </c>
      <c r="AC437" s="156">
        <f ca="1"/>
        <v>2.7405766243642438E-2</v>
      </c>
      <c r="AD437" s="156">
        <f ca="1"/>
        <v>5.4198574514854547E-2</v>
      </c>
      <c r="AE437" s="138">
        <f ca="1"/>
        <v>0</v>
      </c>
      <c r="AG437" s="135"/>
      <c r="AH437" s="135">
        <v>2.307E-3</v>
      </c>
      <c r="AI437" s="135">
        <v>3.8999999999999998E-3</v>
      </c>
      <c r="AJ437" s="135">
        <v>5.7710000000000001E-3</v>
      </c>
      <c r="AK437" s="135"/>
      <c r="AO437" s="135">
        <f t="shared" ca="1" si="17"/>
        <v>2.1449624754237037E-3</v>
      </c>
      <c r="AP437" s="135">
        <f t="shared" ca="1" si="18"/>
        <v>5.0278550605960407E-3</v>
      </c>
      <c r="AQ437" s="135">
        <f t="shared" ca="1" si="19"/>
        <v>1.0544286480938954E-2</v>
      </c>
      <c r="AV437" s="538">
        <f t="shared" ca="1" si="20"/>
        <v>5.6510324251378505E-4</v>
      </c>
      <c r="AW437" s="538">
        <f t="shared" ca="1" si="21"/>
        <v>1.2151100526625273E-3</v>
      </c>
      <c r="AX437" s="538">
        <f t="shared" ca="1" si="22"/>
        <v>2.509423088889782E-3</v>
      </c>
    </row>
    <row r="438" spans="1:50" ht="10.5" customHeight="1">
      <c r="A438" s="96">
        <v>427</v>
      </c>
      <c r="B438" s="68" t="s">
        <v>580</v>
      </c>
      <c r="C438" s="97">
        <v>0.4</v>
      </c>
      <c r="D438" s="69" t="s">
        <v>66</v>
      </c>
      <c r="E438" s="136"/>
      <c r="F438" s="155"/>
      <c r="G438" s="155"/>
      <c r="H438" s="155"/>
      <c r="I438" s="155">
        <v>2.5079999999999998E-3</v>
      </c>
      <c r="J438" s="155"/>
      <c r="K438" s="155">
        <v>4.2789999999999998E-3</v>
      </c>
      <c r="L438" s="155">
        <v>5.8820000000000001E-3</v>
      </c>
      <c r="M438" s="155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6">
        <f ca="1"/>
        <v>0</v>
      </c>
      <c r="P438" s="156">
        <f ca="1"/>
        <v>0</v>
      </c>
      <c r="Q438" s="156">
        <f ca="1"/>
        <v>0</v>
      </c>
      <c r="R438" s="156">
        <f ca="1"/>
        <v>1.3425116580570551E-2</v>
      </c>
      <c r="S438" s="156">
        <f ca="1"/>
        <v>0</v>
      </c>
      <c r="T438" s="156">
        <f ca="1"/>
        <v>3.8053823983240309E-2</v>
      </c>
      <c r="U438" s="156">
        <f ca="1"/>
        <v>7.2942857526153371E-2</v>
      </c>
      <c r="V438" s="138">
        <f ca="1"/>
        <v>0</v>
      </c>
      <c r="W438" s="137">
        <f ca="1"/>
        <v>0</v>
      </c>
      <c r="X438" s="156">
        <f ca="1"/>
        <v>0</v>
      </c>
      <c r="Y438" s="156">
        <f ca="1"/>
        <v>0</v>
      </c>
      <c r="Z438" s="156">
        <f ca="1"/>
        <v>0</v>
      </c>
      <c r="AA438" s="156">
        <f ca="1"/>
        <v>1.3954292812935587E-2</v>
      </c>
      <c r="AB438" s="156">
        <f ca="1"/>
        <v>0</v>
      </c>
      <c r="AC438" s="156">
        <f ca="1"/>
        <v>3.8894957979187406E-2</v>
      </c>
      <c r="AD438" s="156">
        <f ca="1"/>
        <v>7.4068472697119692E-2</v>
      </c>
      <c r="AE438" s="138">
        <f ca="1"/>
        <v>0</v>
      </c>
      <c r="AG438" s="135"/>
      <c r="AH438" s="135">
        <v>3.751E-3</v>
      </c>
      <c r="AI438" s="135">
        <v>5.8129999999999996E-3</v>
      </c>
      <c r="AJ438" s="135">
        <v>8.0239999999999999E-3</v>
      </c>
      <c r="AK438" s="135"/>
      <c r="AO438" s="135">
        <f t="shared" ca="1" si="17"/>
        <v>3.4875397682333389E-3</v>
      </c>
      <c r="AP438" s="135">
        <f t="shared" ca="1" si="18"/>
        <v>7.4940824274986632E-3</v>
      </c>
      <c r="AQ438" s="135">
        <f t="shared" ca="1" si="19"/>
        <v>1.4660778846483133E-2</v>
      </c>
      <c r="AV438" s="538">
        <f t="shared" ca="1" si="20"/>
        <v>9.1881329114399985E-4</v>
      </c>
      <c r="AW438" s="538">
        <f t="shared" ca="1" si="21"/>
        <v>1.8111371118275054E-3</v>
      </c>
      <c r="AX438" s="538">
        <f t="shared" ca="1" si="22"/>
        <v>3.4891025585256645E-3</v>
      </c>
    </row>
    <row r="439" spans="1:50" ht="10.5" customHeight="1">
      <c r="A439" s="96">
        <v>428</v>
      </c>
      <c r="B439" s="68" t="s">
        <v>588</v>
      </c>
      <c r="C439" s="97">
        <v>0.4</v>
      </c>
      <c r="D439" s="69" t="s">
        <v>66</v>
      </c>
      <c r="E439" s="136"/>
      <c r="F439" s="155"/>
      <c r="G439" s="155"/>
      <c r="H439" s="155"/>
      <c r="I439" s="155">
        <v>2.1419999999999998E-3</v>
      </c>
      <c r="J439" s="155"/>
      <c r="K439" s="155">
        <v>3.333E-3</v>
      </c>
      <c r="L439" s="155">
        <v>4.7910000000000001E-3</v>
      </c>
      <c r="M439" s="155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6">
        <f ca="1"/>
        <v>0</v>
      </c>
      <c r="P439" s="156">
        <f ca="1"/>
        <v>0</v>
      </c>
      <c r="Q439" s="156">
        <f ca="1"/>
        <v>0</v>
      </c>
      <c r="R439" s="156">
        <f ca="1"/>
        <v>1.1476934261314686E-2</v>
      </c>
      <c r="S439" s="156">
        <f ca="1"/>
        <v>0</v>
      </c>
      <c r="T439" s="156">
        <f ca="1"/>
        <v>2.9596075108230369E-2</v>
      </c>
      <c r="U439" s="156">
        <f ca="1"/>
        <v>5.9768418592810901E-2</v>
      </c>
      <c r="V439" s="138">
        <f ca="1"/>
        <v>0</v>
      </c>
      <c r="W439" s="137">
        <f ca="1"/>
        <v>0</v>
      </c>
      <c r="X439" s="156">
        <f ca="1"/>
        <v>0</v>
      </c>
      <c r="Y439" s="156">
        <f ca="1"/>
        <v>0</v>
      </c>
      <c r="Z439" s="156">
        <f ca="1"/>
        <v>0</v>
      </c>
      <c r="AA439" s="156">
        <f ca="1"/>
        <v>1.2007795381531627E-2</v>
      </c>
      <c r="AB439" s="156">
        <f ca="1"/>
        <v>0</v>
      </c>
      <c r="AC439" s="156">
        <f ca="1"/>
        <v>3.0445478878332155E-2</v>
      </c>
      <c r="AD439" s="156">
        <f ca="1"/>
        <v>6.0910554605616229E-2</v>
      </c>
      <c r="AE439" s="138">
        <f ca="1"/>
        <v>0</v>
      </c>
      <c r="AG439" s="135"/>
      <c r="AH439" s="135">
        <v>2.993E-3</v>
      </c>
      <c r="AI439" s="135">
        <v>4.7149999999999996E-3</v>
      </c>
      <c r="AJ439" s="135">
        <v>6.6360000000000004E-3</v>
      </c>
      <c r="AK439" s="135"/>
      <c r="AO439" s="135">
        <f t="shared" ca="1" si="17"/>
        <v>2.7827796657750956E-3</v>
      </c>
      <c r="AP439" s="135">
        <f t="shared" ca="1" si="18"/>
        <v>6.0785478489000849E-3</v>
      </c>
      <c r="AQ439" s="135">
        <f t="shared" ca="1" si="19"/>
        <v>1.2124741827674736E-2</v>
      </c>
      <c r="AV439" s="538">
        <f t="shared" ca="1" si="20"/>
        <v>7.331400107688594E-4</v>
      </c>
      <c r="AW439" s="538">
        <f t="shared" ca="1" si="21"/>
        <v>1.4690368970009784E-3</v>
      </c>
      <c r="AX439" s="538">
        <f t="shared" ca="1" si="22"/>
        <v>2.8855539105653431E-3</v>
      </c>
    </row>
    <row r="440" spans="1:50" ht="10.5" customHeight="1">
      <c r="A440" s="96">
        <v>429</v>
      </c>
      <c r="B440" s="68" t="s">
        <v>589</v>
      </c>
      <c r="C440" s="97">
        <v>0.4</v>
      </c>
      <c r="D440" s="69" t="s">
        <v>66</v>
      </c>
      <c r="E440" s="136"/>
      <c r="F440" s="155"/>
      <c r="G440" s="155"/>
      <c r="H440" s="155"/>
      <c r="I440" s="155">
        <v>3.7789999999999998E-3</v>
      </c>
      <c r="J440" s="155"/>
      <c r="K440" s="155">
        <v>7.345E-3</v>
      </c>
      <c r="L440" s="155">
        <v>1.0267999999999999E-2</v>
      </c>
      <c r="M440" s="155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6">
        <f ca="1"/>
        <v>0</v>
      </c>
      <c r="P440" s="156">
        <f ca="1"/>
        <v>0</v>
      </c>
      <c r="Q440" s="156">
        <f ca="1"/>
        <v>0</v>
      </c>
      <c r="R440" s="156">
        <f ca="1"/>
        <v>2.0161658057914367E-2</v>
      </c>
      <c r="S440" s="156">
        <f ca="1"/>
        <v>0</v>
      </c>
      <c r="T440" s="156">
        <f ca="1"/>
        <v>6.5103459076141013E-2</v>
      </c>
      <c r="U440" s="156">
        <f ca="1"/>
        <v>0.12560606997469281</v>
      </c>
      <c r="V440" s="138">
        <f ca="1"/>
        <v>0</v>
      </c>
      <c r="W440" s="137">
        <f ca="1"/>
        <v>0</v>
      </c>
      <c r="X440" s="156">
        <f ca="1"/>
        <v>0</v>
      </c>
      <c r="Y440" s="156">
        <f ca="1"/>
        <v>0</v>
      </c>
      <c r="Z440" s="156">
        <f ca="1"/>
        <v>0</v>
      </c>
      <c r="AA440" s="156">
        <f ca="1"/>
        <v>2.0684108585226513E-2</v>
      </c>
      <c r="AB440" s="156">
        <f ca="1"/>
        <v>0</v>
      </c>
      <c r="AC440" s="156">
        <f ca="1"/>
        <v>6.5911955329786331E-2</v>
      </c>
      <c r="AD440" s="156">
        <f ca="1"/>
        <v>0.12669427566556302</v>
      </c>
      <c r="AE440" s="138">
        <f ca="1"/>
        <v>0</v>
      </c>
      <c r="AG440" s="135"/>
      <c r="AH440" s="135">
        <v>4.0020000000000003E-3</v>
      </c>
      <c r="AI440" s="135">
        <v>6.0629999999999998E-3</v>
      </c>
      <c r="AJ440" s="135">
        <v>8.3820000000000006E-3</v>
      </c>
      <c r="AK440" s="135"/>
      <c r="AO440" s="135">
        <f t="shared" ca="1" si="17"/>
        <v>3.720910197939169E-3</v>
      </c>
      <c r="AP440" s="135">
        <f t="shared" ca="1" si="18"/>
        <v>7.8163808288189227E-3</v>
      </c>
      <c r="AQ440" s="135">
        <f t="shared" ca="1" si="19"/>
        <v>1.5314886377270891E-2</v>
      </c>
      <c r="AV440" s="538">
        <f t="shared" ca="1" si="20"/>
        <v>9.8029613200700826E-4</v>
      </c>
      <c r="AW440" s="538">
        <f t="shared" ca="1" si="21"/>
        <v>1.8890287818699753E-3</v>
      </c>
      <c r="AX440" s="538">
        <f t="shared" ca="1" si="22"/>
        <v>3.6447728870341628E-3</v>
      </c>
    </row>
    <row r="441" spans="1:50" ht="10.5" customHeight="1">
      <c r="A441" s="96">
        <v>430</v>
      </c>
      <c r="B441" s="68" t="s">
        <v>590</v>
      </c>
      <c r="C441" s="97">
        <v>0.4</v>
      </c>
      <c r="D441" s="69" t="s">
        <v>66</v>
      </c>
      <c r="E441" s="136"/>
      <c r="F441" s="155"/>
      <c r="G441" s="155"/>
      <c r="H441" s="155"/>
      <c r="I441" s="155">
        <v>2.137E-3</v>
      </c>
      <c r="J441" s="155"/>
      <c r="K441" s="155">
        <v>3.2109999999999999E-3</v>
      </c>
      <c r="L441" s="155">
        <v>4.6039999999999996E-3</v>
      </c>
      <c r="M441" s="155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6">
        <f ca="1"/>
        <v>0</v>
      </c>
      <c r="P441" s="156">
        <f ca="1"/>
        <v>0</v>
      </c>
      <c r="Q441" s="156">
        <f ca="1"/>
        <v>0</v>
      </c>
      <c r="R441" s="156">
        <f ca="1"/>
        <v>1.1450293900992725E-2</v>
      </c>
      <c r="S441" s="156">
        <f ca="1"/>
        <v>0</v>
      </c>
      <c r="T441" s="156">
        <f ca="1"/>
        <v>2.8472035415669561E-2</v>
      </c>
      <c r="U441" s="156">
        <f ca="1"/>
        <v>5.7414543884256486E-2</v>
      </c>
      <c r="V441" s="138">
        <f ca="1"/>
        <v>0</v>
      </c>
      <c r="W441" s="137">
        <f ca="1"/>
        <v>0</v>
      </c>
      <c r="X441" s="156">
        <f ca="1"/>
        <v>0</v>
      </c>
      <c r="Y441" s="156">
        <f ca="1"/>
        <v>0</v>
      </c>
      <c r="Z441" s="156">
        <f ca="1"/>
        <v>0</v>
      </c>
      <c r="AA441" s="156">
        <f ca="1"/>
        <v>1.1981177291296885E-2</v>
      </c>
      <c r="AB441" s="156">
        <f ca="1"/>
        <v>0</v>
      </c>
      <c r="AC441" s="156">
        <f ca="1"/>
        <v>2.9322442651603331E-2</v>
      </c>
      <c r="AD441" s="156">
        <f ca="1"/>
        <v>5.855950952150657E-2</v>
      </c>
      <c r="AE441" s="138">
        <f ca="1"/>
        <v>0</v>
      </c>
      <c r="AG441" s="135"/>
      <c r="AH441" s="135">
        <v>1.9380000000000001E-3</v>
      </c>
      <c r="AI441" s="135">
        <v>3.1410000000000001E-3</v>
      </c>
      <c r="AJ441" s="135">
        <v>4.7060000000000001E-3</v>
      </c>
      <c r="AK441" s="135"/>
      <c r="AO441" s="135">
        <f t="shared" ca="1" si="17"/>
        <v>1.8018800508760892E-3</v>
      </c>
      <c r="AP441" s="135">
        <f t="shared" ca="1" si="18"/>
        <v>4.0493571141877347E-3</v>
      </c>
      <c r="AQ441" s="135">
        <f t="shared" ca="1" si="19"/>
        <v>8.5984079326457651E-3</v>
      </c>
      <c r="AV441" s="538">
        <f t="shared" ca="1" si="20"/>
        <v>4.7471611789844624E-4</v>
      </c>
      <c r="AW441" s="538">
        <f t="shared" ca="1" si="21"/>
        <v>9.7863094241358931E-4</v>
      </c>
      <c r="AX441" s="538">
        <f t="shared" ca="1" si="22"/>
        <v>2.0463256032429932E-3</v>
      </c>
    </row>
    <row r="442" spans="1:50" ht="10.5" customHeight="1">
      <c r="A442" s="96">
        <v>431</v>
      </c>
      <c r="B442" s="68" t="s">
        <v>591</v>
      </c>
      <c r="C442" s="97">
        <v>0.4</v>
      </c>
      <c r="D442" s="69" t="s">
        <v>66</v>
      </c>
      <c r="E442" s="136"/>
      <c r="F442" s="155"/>
      <c r="G442" s="155"/>
      <c r="H442" s="155"/>
      <c r="I442" s="155">
        <v>4.9890000000000004E-3</v>
      </c>
      <c r="J442" s="155"/>
      <c r="K442" s="155">
        <v>1.01E-2</v>
      </c>
      <c r="L442" s="155">
        <v>1.474E-2</v>
      </c>
      <c r="M442" s="155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6">
        <f ca="1"/>
        <v>0</v>
      </c>
      <c r="P442" s="156">
        <f ca="1"/>
        <v>0</v>
      </c>
      <c r="Q442" s="156">
        <f ca="1"/>
        <v>0</v>
      </c>
      <c r="R442" s="156">
        <f ca="1"/>
        <v>2.6533544739700932E-2</v>
      </c>
      <c r="S442" s="156">
        <f ca="1"/>
        <v>0</v>
      </c>
      <c r="T442" s="156">
        <f ca="1"/>
        <v>8.892226228099942E-2</v>
      </c>
      <c r="U442" s="156">
        <f ca="1"/>
        <v>0.17799076133516445</v>
      </c>
      <c r="V442" s="138">
        <f ca="1"/>
        <v>0</v>
      </c>
      <c r="W442" s="137">
        <f ca="1"/>
        <v>0</v>
      </c>
      <c r="X442" s="156">
        <f ca="1"/>
        <v>0</v>
      </c>
      <c r="Y442" s="156">
        <f ca="1"/>
        <v>0</v>
      </c>
      <c r="Z442" s="156">
        <f ca="1"/>
        <v>0</v>
      </c>
      <c r="AA442" s="156">
        <f ca="1"/>
        <v>2.7048241269732043E-2</v>
      </c>
      <c r="AB442" s="156">
        <f ca="1"/>
        <v>0</v>
      </c>
      <c r="AC442" s="156">
        <f ca="1"/>
        <v>8.9733870805894234E-2</v>
      </c>
      <c r="AD442" s="156">
        <f ca="1"/>
        <v>0.17902763467995175</v>
      </c>
      <c r="AE442" s="138">
        <f ca="1"/>
        <v>0</v>
      </c>
      <c r="AG442" s="135"/>
      <c r="AH442" s="135">
        <v>1.7650000000000001E-3</v>
      </c>
      <c r="AI442" s="135">
        <v>2.9750000000000002E-3</v>
      </c>
      <c r="AJ442" s="135">
        <v>4.2370000000000003E-3</v>
      </c>
      <c r="AK442" s="135"/>
      <c r="AO442" s="135">
        <f t="shared" ca="1" si="17"/>
        <v>1.6410311092860154E-3</v>
      </c>
      <c r="AP442" s="135">
        <f t="shared" ca="1" si="18"/>
        <v>3.8353509757110831E-3</v>
      </c>
      <c r="AQ442" s="135">
        <f t="shared" ca="1" si="19"/>
        <v>7.7414905249936486E-3</v>
      </c>
      <c r="AV442" s="538">
        <f t="shared" ca="1" si="20"/>
        <v>4.3233949849884296E-4</v>
      </c>
      <c r="AW442" s="538">
        <f t="shared" ca="1" si="21"/>
        <v>9.2691087350538952E-4</v>
      </c>
      <c r="AX442" s="538">
        <f t="shared" ca="1" si="22"/>
        <v>1.8423887762304639E-3</v>
      </c>
    </row>
    <row r="443" spans="1:50" ht="10.5" customHeight="1">
      <c r="A443" s="96">
        <v>432</v>
      </c>
      <c r="B443" s="68" t="s">
        <v>601</v>
      </c>
      <c r="C443" s="97">
        <v>0.4</v>
      </c>
      <c r="D443" s="69" t="s">
        <v>66</v>
      </c>
      <c r="E443" s="136"/>
      <c r="F443" s="155"/>
      <c r="G443" s="155"/>
      <c r="H443" s="155"/>
      <c r="I443" s="155">
        <v>2.7200000000000002E-3</v>
      </c>
      <c r="J443" s="155"/>
      <c r="K443" s="155">
        <v>4.6210000000000001E-3</v>
      </c>
      <c r="L443" s="155">
        <v>6.9170000000000004E-3</v>
      </c>
      <c r="M443" s="155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6">
        <f ca="1"/>
        <v>0</v>
      </c>
      <c r="P443" s="156">
        <f ca="1"/>
        <v>0</v>
      </c>
      <c r="Q443" s="156">
        <f ca="1"/>
        <v>0</v>
      </c>
      <c r="R443" s="156">
        <f ca="1"/>
        <v>1.4551867083997472E-2</v>
      </c>
      <c r="S443" s="156">
        <f ca="1"/>
        <v>0</v>
      </c>
      <c r="T443" s="156">
        <f ca="1"/>
        <v>4.1041468426832539E-2</v>
      </c>
      <c r="U443" s="156">
        <f ca="1"/>
        <v>8.6020944311047898E-2</v>
      </c>
      <c r="V443" s="138">
        <f ca="1"/>
        <v>0</v>
      </c>
      <c r="W443" s="137">
        <f ca="1"/>
        <v>0</v>
      </c>
      <c r="X443" s="156">
        <f ca="1"/>
        <v>0</v>
      </c>
      <c r="Y443" s="156">
        <f ca="1"/>
        <v>0</v>
      </c>
      <c r="Z443" s="156">
        <f ca="1"/>
        <v>0</v>
      </c>
      <c r="AA443" s="156">
        <f ca="1"/>
        <v>1.5080017230761467E-2</v>
      </c>
      <c r="AB443" s="156">
        <f ca="1"/>
        <v>0</v>
      </c>
      <c r="AC443" s="156">
        <f ca="1"/>
        <v>4.1879494805942996E-2</v>
      </c>
      <c r="AD443" s="156">
        <f ca="1"/>
        <v>8.7127046186671664E-2</v>
      </c>
      <c r="AE443" s="138">
        <f ca="1"/>
        <v>0</v>
      </c>
      <c r="AG443" s="135"/>
      <c r="AH443" s="135">
        <v>2.5079999999999998E-3</v>
      </c>
      <c r="AI443" s="135">
        <v>4.2789999999999998E-3</v>
      </c>
      <c r="AJ443" s="135">
        <v>5.8820000000000001E-3</v>
      </c>
      <c r="AK443" s="135"/>
      <c r="AO443" s="135">
        <f t="shared" ca="1" si="17"/>
        <v>2.3318447717219975E-3</v>
      </c>
      <c r="AP443" s="135">
        <f t="shared" ca="1" si="18"/>
        <v>5.5164594369975541E-3</v>
      </c>
      <c r="AQ443" s="135">
        <f t="shared" ca="1" si="19"/>
        <v>1.0747096357803314E-2</v>
      </c>
      <c r="AV443" s="538">
        <f t="shared" ca="1" si="20"/>
        <v>6.1433850551563627E-4</v>
      </c>
      <c r="AW443" s="538">
        <f t="shared" ca="1" si="21"/>
        <v>1.3331938244469114E-3</v>
      </c>
      <c r="AX443" s="538">
        <f t="shared" ca="1" si="22"/>
        <v>2.5576895873938134E-3</v>
      </c>
    </row>
    <row r="444" spans="1:50" ht="10.5" customHeight="1">
      <c r="A444" s="96">
        <v>433</v>
      </c>
      <c r="B444" s="68" t="s">
        <v>592</v>
      </c>
      <c r="C444" s="97">
        <v>0.4</v>
      </c>
      <c r="D444" s="69" t="s">
        <v>66</v>
      </c>
      <c r="E444" s="136"/>
      <c r="F444" s="155"/>
      <c r="G444" s="155"/>
      <c r="H444" s="155"/>
      <c r="I444" s="155">
        <v>1.753E-3</v>
      </c>
      <c r="J444" s="155"/>
      <c r="K444" s="155">
        <v>3.101E-3</v>
      </c>
      <c r="L444" s="155">
        <v>4.653E-3</v>
      </c>
      <c r="M444" s="155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6">
        <f ca="1"/>
        <v>0</v>
      </c>
      <c r="P444" s="156">
        <f ca="1"/>
        <v>0</v>
      </c>
      <c r="Q444" s="156">
        <f ca="1"/>
        <v>0</v>
      </c>
      <c r="R444" s="156">
        <f ca="1"/>
        <v>9.4022286860031556E-3</v>
      </c>
      <c r="S444" s="156">
        <f ca="1"/>
        <v>0</v>
      </c>
      <c r="T444" s="156">
        <f ca="1"/>
        <v>2.7728545251413883E-2</v>
      </c>
      <c r="U444" s="156">
        <f ca="1"/>
        <v>5.8458999115118981E-2</v>
      </c>
      <c r="V444" s="138">
        <f ca="1"/>
        <v>0</v>
      </c>
      <c r="W444" s="137">
        <f ca="1"/>
        <v>0</v>
      </c>
      <c r="X444" s="156">
        <f ca="1"/>
        <v>0</v>
      </c>
      <c r="Y444" s="156">
        <f ca="1"/>
        <v>0</v>
      </c>
      <c r="Z444" s="156">
        <f ca="1"/>
        <v>0</v>
      </c>
      <c r="AA444" s="156">
        <f ca="1"/>
        <v>9.9347634350771541E-3</v>
      </c>
      <c r="AB444" s="156">
        <f ca="1"/>
        <v>0</v>
      </c>
      <c r="AC444" s="156">
        <f ca="1"/>
        <v>2.8579887817717586E-2</v>
      </c>
      <c r="AD444" s="156">
        <f ca="1"/>
        <v>5.9603392466863414E-2</v>
      </c>
      <c r="AE444" s="138">
        <f ca="1"/>
        <v>0</v>
      </c>
      <c r="AG444" s="135"/>
      <c r="AH444" s="135">
        <v>2.1419999999999998E-3</v>
      </c>
      <c r="AI444" s="135">
        <v>3.333E-3</v>
      </c>
      <c r="AJ444" s="135">
        <v>4.7910000000000001E-3</v>
      </c>
      <c r="AK444" s="135"/>
      <c r="AO444" s="135">
        <f t="shared" ca="1" si="17"/>
        <v>1.9915516351788351E-3</v>
      </c>
      <c r="AP444" s="135">
        <f t="shared" ca="1" si="18"/>
        <v>4.2968822864016942E-3</v>
      </c>
      <c r="AQ444" s="135">
        <f t="shared" ca="1" si="19"/>
        <v>8.7537127933076629E-3</v>
      </c>
      <c r="AV444" s="538">
        <f t="shared" ca="1" si="20"/>
        <v>5.2468623557196678E-4</v>
      </c>
      <c r="AW444" s="538">
        <f t="shared" ca="1" si="21"/>
        <v>1.0384517450062062E-3</v>
      </c>
      <c r="AX444" s="538">
        <f t="shared" ca="1" si="22"/>
        <v>2.083286435430765E-3</v>
      </c>
    </row>
    <row r="445" spans="1:50" ht="10.5" customHeight="1">
      <c r="A445" s="96">
        <v>434</v>
      </c>
      <c r="B445" s="68" t="s">
        <v>593</v>
      </c>
      <c r="C445" s="97">
        <v>0.4</v>
      </c>
      <c r="D445" s="69" t="s">
        <v>66</v>
      </c>
      <c r="E445" s="136"/>
      <c r="F445" s="155"/>
      <c r="G445" s="155"/>
      <c r="H445" s="155"/>
      <c r="I445" s="155">
        <v>3.1080000000000001E-3</v>
      </c>
      <c r="J445" s="155"/>
      <c r="K445" s="155">
        <v>5.4169999999999999E-3</v>
      </c>
      <c r="L445" s="155">
        <v>8.0789999999999994E-3</v>
      </c>
      <c r="M445" s="155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6">
        <f ca="1"/>
        <v>0</v>
      </c>
      <c r="P445" s="156">
        <f ca="1"/>
        <v>0</v>
      </c>
      <c r="Q445" s="156">
        <f ca="1"/>
        <v>0</v>
      </c>
      <c r="R445" s="156">
        <f ca="1"/>
        <v>1.6610802350206288E-2</v>
      </c>
      <c r="S445" s="156">
        <f ca="1"/>
        <v>0</v>
      </c>
      <c r="T445" s="156">
        <f ca="1"/>
        <v>4.8049366117775327E-2</v>
      </c>
      <c r="U445" s="156">
        <f ca="1"/>
        <v>0.10001016492302739</v>
      </c>
      <c r="V445" s="138">
        <f ca="1"/>
        <v>0</v>
      </c>
      <c r="W445" s="137">
        <f ca="1"/>
        <v>0</v>
      </c>
      <c r="X445" s="156">
        <f ca="1"/>
        <v>0</v>
      </c>
      <c r="Y445" s="156">
        <f ca="1"/>
        <v>0</v>
      </c>
      <c r="Z445" s="156">
        <f ca="1"/>
        <v>0</v>
      </c>
      <c r="AA445" s="156">
        <f ca="1"/>
        <v>1.7136976924344682E-2</v>
      </c>
      <c r="AB445" s="156">
        <f ca="1"/>
        <v>0</v>
      </c>
      <c r="AC445" s="156">
        <f ca="1"/>
        <v>4.8879710773735652E-2</v>
      </c>
      <c r="AD445" s="156">
        <f ca="1"/>
        <v>0.10112309842341471</v>
      </c>
      <c r="AE445" s="138">
        <f ca="1"/>
        <v>0</v>
      </c>
      <c r="AG445" s="135"/>
      <c r="AH445" s="135">
        <v>3.7789999999999998E-3</v>
      </c>
      <c r="AI445" s="135">
        <v>7.345E-3</v>
      </c>
      <c r="AJ445" s="135">
        <v>1.0267999999999999E-2</v>
      </c>
      <c r="AK445" s="135"/>
      <c r="AO445" s="135">
        <f t="shared" ca="1" si="17"/>
        <v>3.5135731229415587E-3</v>
      </c>
      <c r="AP445" s="135">
        <f t="shared" ca="1" si="18"/>
        <v>9.4691270307892105E-3</v>
      </c>
      <c r="AQ445" s="135">
        <f t="shared" ca="1" si="19"/>
        <v>1.8760827167957229E-2</v>
      </c>
      <c r="AV445" s="538">
        <f t="shared" ca="1" si="20"/>
        <v>9.2567193474624773E-4</v>
      </c>
      <c r="AW445" s="538">
        <f t="shared" ca="1" si="21"/>
        <v>2.2884572658477599E-3</v>
      </c>
      <c r="AX445" s="538">
        <f t="shared" ca="1" si="22"/>
        <v>4.4648685282828414E-3</v>
      </c>
    </row>
    <row r="446" spans="1:50" ht="10.5" customHeight="1">
      <c r="A446" s="96">
        <v>435</v>
      </c>
      <c r="B446" s="68" t="s">
        <v>602</v>
      </c>
      <c r="C446" s="97">
        <v>0.4</v>
      </c>
      <c r="D446" s="69" t="s">
        <v>66</v>
      </c>
      <c r="E446" s="136"/>
      <c r="F446" s="155"/>
      <c r="G446" s="155"/>
      <c r="H446" s="155"/>
      <c r="I446" s="155">
        <v>2.4889999999999999E-3</v>
      </c>
      <c r="J446" s="155"/>
      <c r="K446" s="155">
        <v>4.5339999999999998E-3</v>
      </c>
      <c r="L446" s="155">
        <v>6.875E-3</v>
      </c>
      <c r="M446" s="155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6">
        <f ca="1"/>
        <v>0</v>
      </c>
      <c r="P446" s="156">
        <f ca="1"/>
        <v>0</v>
      </c>
      <c r="Q446" s="156">
        <f ca="1"/>
        <v>0</v>
      </c>
      <c r="R446" s="156">
        <f ca="1"/>
        <v>1.3324073215986165E-2</v>
      </c>
      <c r="S446" s="156">
        <f ca="1"/>
        <v>0</v>
      </c>
      <c r="T446" s="156">
        <f ca="1"/>
        <v>4.0413891771560517E-2</v>
      </c>
      <c r="U446" s="156">
        <f ca="1"/>
        <v>8.5744030613455813E-2</v>
      </c>
      <c r="V446" s="138">
        <f ca="1"/>
        <v>0</v>
      </c>
      <c r="W446" s="137">
        <f ca="1"/>
        <v>0</v>
      </c>
      <c r="X446" s="156">
        <f ca="1"/>
        <v>0</v>
      </c>
      <c r="Y446" s="156">
        <f ca="1"/>
        <v>0</v>
      </c>
      <c r="Z446" s="156">
        <f ca="1"/>
        <v>0</v>
      </c>
      <c r="AA446" s="156">
        <f ca="1"/>
        <v>1.3853339596650915E-2</v>
      </c>
      <c r="AB446" s="156">
        <f ca="1"/>
        <v>0</v>
      </c>
      <c r="AC446" s="156">
        <f ca="1"/>
        <v>4.1252527159204577E-2</v>
      </c>
      <c r="AD446" s="156">
        <f ca="1"/>
        <v>8.6850806769716016E-2</v>
      </c>
      <c r="AE446" s="138">
        <f ca="1"/>
        <v>0</v>
      </c>
      <c r="AG446" s="135"/>
      <c r="AH446" s="135">
        <v>2.137E-3</v>
      </c>
      <c r="AI446" s="135">
        <v>3.2109999999999999E-3</v>
      </c>
      <c r="AJ446" s="135">
        <v>4.6039999999999996E-3</v>
      </c>
      <c r="AK446" s="135"/>
      <c r="AO446" s="135">
        <f t="shared" ca="1" si="17"/>
        <v>1.986902821838082E-3</v>
      </c>
      <c r="AP446" s="135">
        <f t="shared" ca="1" si="18"/>
        <v>4.1396006665574067E-3</v>
      </c>
      <c r="AQ446" s="135">
        <f t="shared" ca="1" si="19"/>
        <v>8.412042099851488E-3</v>
      </c>
      <c r="AV446" s="538">
        <f t="shared" ca="1" si="20"/>
        <v>5.2346147778585116E-4</v>
      </c>
      <c r="AW446" s="538">
        <f t="shared" ca="1" si="21"/>
        <v>1.0004406100254809E-3</v>
      </c>
      <c r="AX446" s="538">
        <f t="shared" ca="1" si="22"/>
        <v>2.001972604617667E-3</v>
      </c>
    </row>
    <row r="447" spans="1:50" ht="10.5" customHeight="1">
      <c r="A447" s="96">
        <v>436</v>
      </c>
      <c r="B447" s="68" t="s">
        <v>594</v>
      </c>
      <c r="C447" s="97">
        <v>0.4</v>
      </c>
      <c r="D447" s="69" t="s">
        <v>66</v>
      </c>
      <c r="E447" s="136"/>
      <c r="F447" s="155"/>
      <c r="G447" s="155"/>
      <c r="H447" s="155"/>
      <c r="I447" s="155">
        <v>9.5580000000000005E-3</v>
      </c>
      <c r="J447" s="155"/>
      <c r="K447" s="155">
        <v>1.5862999999999999E-2</v>
      </c>
      <c r="L447" s="155">
        <v>1.9740000000000001E-2</v>
      </c>
      <c r="M447" s="155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6">
        <f ca="1"/>
        <v>0</v>
      </c>
      <c r="P447" s="156">
        <f ca="1"/>
        <v>0</v>
      </c>
      <c r="Q447" s="156">
        <f ca="1"/>
        <v>0</v>
      </c>
      <c r="R447" s="156">
        <f ca="1"/>
        <v>5.0196986501639729E-2</v>
      </c>
      <c r="S447" s="156">
        <f ca="1"/>
        <v>0</v>
      </c>
      <c r="T447" s="156">
        <f ca="1"/>
        <v>0.13560631011645141</v>
      </c>
      <c r="U447" s="156">
        <f ca="1"/>
        <v>0.22761107114424217</v>
      </c>
      <c r="V447" s="138">
        <f ca="1"/>
        <v>0</v>
      </c>
      <c r="W447" s="137">
        <f ca="1"/>
        <v>0</v>
      </c>
      <c r="X447" s="156">
        <f ca="1"/>
        <v>0</v>
      </c>
      <c r="Y447" s="156">
        <f ca="1"/>
        <v>0</v>
      </c>
      <c r="Z447" s="156">
        <f ca="1"/>
        <v>0</v>
      </c>
      <c r="AA447" s="156">
        <f ca="1"/>
        <v>5.0708620181647346E-2</v>
      </c>
      <c r="AB447" s="156">
        <f ca="1"/>
        <v>0</v>
      </c>
      <c r="AC447" s="156">
        <f ca="1"/>
        <v>0.13637823836895058</v>
      </c>
      <c r="AD447" s="156">
        <f ca="1"/>
        <v>0.22858338284019752</v>
      </c>
      <c r="AE447" s="138">
        <f ca="1"/>
        <v>0</v>
      </c>
      <c r="AG447" s="135"/>
      <c r="AH447" s="135">
        <v>4.9890000000000004E-3</v>
      </c>
      <c r="AI447" s="135">
        <v>1.01E-2</v>
      </c>
      <c r="AJ447" s="135">
        <v>1.474E-2</v>
      </c>
      <c r="AK447" s="135"/>
      <c r="AO447" s="135">
        <f t="shared" ca="1" si="17"/>
        <v>4.6385859514039268E-3</v>
      </c>
      <c r="AP447" s="135">
        <f t="shared" ca="1" si="18"/>
        <v>1.3020855413338465E-2</v>
      </c>
      <c r="AQ447" s="135">
        <f t="shared" ca="1" si="19"/>
        <v>2.6931689954780829E-2</v>
      </c>
      <c r="AV447" s="538">
        <f t="shared" ca="1" si="20"/>
        <v>1.2220633189862478E-3</v>
      </c>
      <c r="AW447" s="538">
        <f t="shared" ca="1" si="21"/>
        <v>3.1468234697157758E-3</v>
      </c>
      <c r="AX447" s="538">
        <f t="shared" ca="1" si="22"/>
        <v>6.4094431346794984E-3</v>
      </c>
    </row>
    <row r="448" spans="1:50" ht="10.5" customHeight="1">
      <c r="A448" s="96">
        <v>437</v>
      </c>
      <c r="B448" s="68" t="s">
        <v>631</v>
      </c>
      <c r="C448" s="97">
        <v>0.4</v>
      </c>
      <c r="D448" s="69" t="s">
        <v>66</v>
      </c>
      <c r="E448" s="136"/>
      <c r="F448" s="155"/>
      <c r="G448" s="155"/>
      <c r="H448" s="155"/>
      <c r="I448" s="155">
        <v>7.8799999999999996E-4</v>
      </c>
      <c r="J448" s="155"/>
      <c r="K448" s="155">
        <v>1.3649999999999999E-3</v>
      </c>
      <c r="L448" s="155">
        <v>2.568E-3</v>
      </c>
      <c r="M448" s="155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6">
        <f ca="1"/>
        <v>0</v>
      </c>
      <c r="P448" s="156">
        <f ca="1"/>
        <v>0</v>
      </c>
      <c r="Q448" s="156">
        <f ca="1"/>
        <v>0</v>
      </c>
      <c r="R448" s="156">
        <f ca="1"/>
        <v>4.2371583731951601E-3</v>
      </c>
      <c r="S448" s="156">
        <f ca="1"/>
        <v>0</v>
      </c>
      <c r="T448" s="156">
        <f ca="1"/>
        <v>1.2261886950573286E-2</v>
      </c>
      <c r="U448" s="156">
        <f ca="1"/>
        <v>3.2986621482142153E-2</v>
      </c>
      <c r="V448" s="138">
        <f ca="1"/>
        <v>0</v>
      </c>
      <c r="W448" s="137">
        <f ca="1"/>
        <v>0</v>
      </c>
      <c r="X448" s="156">
        <f ca="1"/>
        <v>0</v>
      </c>
      <c r="Y448" s="156">
        <f ca="1"/>
        <v>0</v>
      </c>
      <c r="Z448" s="156">
        <f ca="1"/>
        <v>0</v>
      </c>
      <c r="AA448" s="156">
        <f ca="1"/>
        <v>4.7733480657902172E-3</v>
      </c>
      <c r="AB448" s="156">
        <f ca="1"/>
        <v>0</v>
      </c>
      <c r="AC448" s="156">
        <f ca="1"/>
        <v>1.3126869112931483E-2</v>
      </c>
      <c r="AD448" s="156">
        <f ca="1"/>
        <v>3.4162369958348204E-2</v>
      </c>
      <c r="AE448" s="138">
        <f ca="1"/>
        <v>0</v>
      </c>
      <c r="AG448" s="135"/>
      <c r="AH448" s="135">
        <v>2.7200000000000002E-3</v>
      </c>
      <c r="AI448" s="135">
        <v>4.6210000000000001E-3</v>
      </c>
      <c r="AJ448" s="135">
        <v>6.9170000000000004E-3</v>
      </c>
      <c r="AK448" s="135"/>
      <c r="AO448" s="135">
        <f t="shared" ca="1" si="17"/>
        <v>2.52895445736995E-3</v>
      </c>
      <c r="AP448" s="135">
        <f t="shared" ca="1" si="18"/>
        <v>5.9573636500036683E-3</v>
      </c>
      <c r="AQ448" s="135">
        <f t="shared" ca="1" si="19"/>
        <v>1.263816142586289E-2</v>
      </c>
      <c r="AV448" s="538">
        <f t="shared" ca="1" si="20"/>
        <v>6.6626823564694209E-4</v>
      </c>
      <c r="AW448" s="538">
        <f t="shared" ca="1" si="21"/>
        <v>1.4397496290650101E-3</v>
      </c>
      <c r="AX448" s="538">
        <f t="shared" ca="1" si="22"/>
        <v>3.007742073444918E-3</v>
      </c>
    </row>
    <row r="449" spans="1:50" ht="10.5" customHeight="1">
      <c r="A449" s="96">
        <v>438</v>
      </c>
      <c r="B449" s="68" t="s">
        <v>595</v>
      </c>
      <c r="C449" s="97">
        <v>0.4</v>
      </c>
      <c r="D449" s="69" t="s">
        <v>66</v>
      </c>
      <c r="E449" s="136"/>
      <c r="F449" s="155"/>
      <c r="G449" s="155"/>
      <c r="H449" s="155"/>
      <c r="I449" s="155">
        <v>1.861E-3</v>
      </c>
      <c r="J449" s="155"/>
      <c r="K449" s="155">
        <v>3.0709999999999999E-3</v>
      </c>
      <c r="L449" s="155">
        <v>4.4549999999999998E-3</v>
      </c>
      <c r="M449" s="155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6">
        <f ca="1"/>
        <v>0</v>
      </c>
      <c r="P449" s="156">
        <f ca="1"/>
        <v>0</v>
      </c>
      <c r="Q449" s="156">
        <f ca="1"/>
        <v>0</v>
      </c>
      <c r="R449" s="156">
        <f ca="1"/>
        <v>9.9786635039151861E-3</v>
      </c>
      <c r="S449" s="156">
        <f ca="1"/>
        <v>0</v>
      </c>
      <c r="T449" s="156">
        <f ca="1"/>
        <v>2.7373898498345817E-2</v>
      </c>
      <c r="U449" s="156">
        <f ca="1"/>
        <v>5.5779503065126357E-2</v>
      </c>
      <c r="V449" s="138">
        <f ca="1"/>
        <v>0</v>
      </c>
      <c r="W449" s="137">
        <f ca="1"/>
        <v>0</v>
      </c>
      <c r="X449" s="156">
        <f ca="1"/>
        <v>0</v>
      </c>
      <c r="Y449" s="156">
        <f ca="1"/>
        <v>0</v>
      </c>
      <c r="Z449" s="156">
        <f ca="1"/>
        <v>0</v>
      </c>
      <c r="AA449" s="156">
        <f ca="1"/>
        <v>1.051074548855524E-2</v>
      </c>
      <c r="AB449" s="156">
        <f ca="1"/>
        <v>0</v>
      </c>
      <c r="AC449" s="156">
        <f ca="1"/>
        <v>2.8225480384313717E-2</v>
      </c>
      <c r="AD449" s="156">
        <f ca="1"/>
        <v>5.6927029691235975E-2</v>
      </c>
      <c r="AE449" s="138">
        <f ca="1"/>
        <v>0</v>
      </c>
      <c r="AG449" s="135"/>
      <c r="AH449" s="135">
        <v>1.753E-3</v>
      </c>
      <c r="AI449" s="135">
        <v>3.101E-3</v>
      </c>
      <c r="AJ449" s="135">
        <v>4.653E-3</v>
      </c>
      <c r="AK449" s="135"/>
      <c r="AO449" s="135">
        <f t="shared" ca="1" si="17"/>
        <v>1.6298739572682065E-3</v>
      </c>
      <c r="AP449" s="135">
        <f t="shared" ca="1" si="18"/>
        <v>3.9977893699764937E-3</v>
      </c>
      <c r="AQ449" s="135">
        <f t="shared" ca="1" si="19"/>
        <v>8.5015707842330535E-3</v>
      </c>
      <c r="AV449" s="538">
        <f t="shared" ca="1" si="20"/>
        <v>4.2940007981216526E-4</v>
      </c>
      <c r="AW449" s="538">
        <f t="shared" ca="1" si="21"/>
        <v>9.661682752067942E-4</v>
      </c>
      <c r="AX449" s="538">
        <f t="shared" ca="1" si="22"/>
        <v>2.023279437290618E-3</v>
      </c>
    </row>
    <row r="450" spans="1:50" ht="10.5" customHeight="1">
      <c r="A450" s="96">
        <v>439</v>
      </c>
      <c r="B450" s="68" t="s">
        <v>603</v>
      </c>
      <c r="C450" s="97">
        <v>0.4</v>
      </c>
      <c r="D450" s="69" t="s">
        <v>66</v>
      </c>
      <c r="E450" s="136"/>
      <c r="F450" s="155"/>
      <c r="G450" s="155"/>
      <c r="H450" s="155"/>
      <c r="I450" s="155">
        <v>3.8760000000000001E-3</v>
      </c>
      <c r="J450" s="155"/>
      <c r="K450" s="155">
        <v>6.6940000000000003E-3</v>
      </c>
      <c r="L450" s="155">
        <v>1.0071999999999999E-2</v>
      </c>
      <c r="M450" s="155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6">
        <f ca="1"/>
        <v>0</v>
      </c>
      <c r="P450" s="156">
        <f ca="1"/>
        <v>0</v>
      </c>
      <c r="Q450" s="156">
        <f ca="1"/>
        <v>0</v>
      </c>
      <c r="R450" s="156">
        <f ca="1"/>
        <v>2.0673943718342191E-2</v>
      </c>
      <c r="S450" s="156">
        <f ca="1"/>
        <v>0</v>
      </c>
      <c r="T450" s="156">
        <f ca="1"/>
        <v>5.9108065381729524E-2</v>
      </c>
      <c r="U450" s="156">
        <f ca="1"/>
        <v>0.12374749655536132</v>
      </c>
      <c r="V450" s="138">
        <f ca="1"/>
        <v>0</v>
      </c>
      <c r="W450" s="137">
        <f ca="1"/>
        <v>0</v>
      </c>
      <c r="X450" s="156">
        <f ca="1"/>
        <v>0</v>
      </c>
      <c r="Y450" s="156">
        <f ca="1"/>
        <v>0</v>
      </c>
      <c r="Z450" s="156">
        <f ca="1"/>
        <v>0</v>
      </c>
      <c r="AA450" s="156">
        <f ca="1"/>
        <v>2.1195822758122151E-2</v>
      </c>
      <c r="AB450" s="156">
        <f ca="1"/>
        <v>0</v>
      </c>
      <c r="AC450" s="156">
        <f ca="1"/>
        <v>5.9925387274781694E-2</v>
      </c>
      <c r="AD450" s="156">
        <f ca="1"/>
        <v>0.12483822827779856</v>
      </c>
      <c r="AE450" s="138">
        <f ca="1"/>
        <v>0</v>
      </c>
      <c r="AG450" s="135"/>
      <c r="AH450" s="135">
        <v>3.1080000000000001E-3</v>
      </c>
      <c r="AI450" s="135">
        <v>5.4169999999999999E-3</v>
      </c>
      <c r="AJ450" s="135">
        <v>8.0789999999999994E-3</v>
      </c>
      <c r="AK450" s="135"/>
      <c r="AO450" s="135">
        <f t="shared" ca="1" si="17"/>
        <v>2.889702372612428E-3</v>
      </c>
      <c r="AP450" s="135">
        <f t="shared" ca="1" si="18"/>
        <v>6.9835617598073734E-3</v>
      </c>
      <c r="AQ450" s="135">
        <f t="shared" ca="1" si="19"/>
        <v>1.4761270226911418E-2</v>
      </c>
      <c r="AV450" s="538">
        <f t="shared" ca="1" si="20"/>
        <v>7.6130943984952057E-4</v>
      </c>
      <c r="AW450" s="538">
        <f t="shared" ca="1" si="21"/>
        <v>1.6877567064802336E-3</v>
      </c>
      <c r="AX450" s="538">
        <f t="shared" ca="1" si="22"/>
        <v>3.513018391117752E-3</v>
      </c>
    </row>
    <row r="451" spans="1:50" ht="10.5" customHeight="1">
      <c r="A451" s="96">
        <v>440</v>
      </c>
      <c r="B451" s="68" t="s">
        <v>596</v>
      </c>
      <c r="C451" s="97">
        <v>0.4</v>
      </c>
      <c r="D451" s="69" t="s">
        <v>66</v>
      </c>
      <c r="E451" s="136"/>
      <c r="F451" s="155"/>
      <c r="G451" s="155"/>
      <c r="H451" s="155"/>
      <c r="I451" s="155">
        <v>1.3079999999999999E-3</v>
      </c>
      <c r="J451" s="155"/>
      <c r="K451" s="155">
        <v>2.3080000000000002E-3</v>
      </c>
      <c r="L451" s="155">
        <v>3.643E-3</v>
      </c>
      <c r="M451" s="155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6">
        <f ca="1"/>
        <v>0</v>
      </c>
      <c r="P451" s="156">
        <f ca="1"/>
        <v>0</v>
      </c>
      <c r="Q451" s="156">
        <f ca="1"/>
        <v>0</v>
      </c>
      <c r="R451" s="156">
        <f ca="1"/>
        <v>7.0236579739636484E-3</v>
      </c>
      <c r="S451" s="156">
        <f ca="1"/>
        <v>0</v>
      </c>
      <c r="T451" s="156">
        <f ca="1"/>
        <v>2.068732652258054E-2</v>
      </c>
      <c r="U451" s="156">
        <f ca="1"/>
        <v>4.6118100975694687E-2</v>
      </c>
      <c r="V451" s="138">
        <f ca="1"/>
        <v>0</v>
      </c>
      <c r="W451" s="137">
        <f ca="1"/>
        <v>0</v>
      </c>
      <c r="X451" s="156">
        <f ca="1"/>
        <v>0</v>
      </c>
      <c r="Y451" s="156">
        <f ca="1"/>
        <v>0</v>
      </c>
      <c r="Z451" s="156">
        <f ca="1"/>
        <v>0</v>
      </c>
      <c r="AA451" s="156">
        <f ca="1"/>
        <v>7.5579640578282703E-3</v>
      </c>
      <c r="AB451" s="156">
        <f ca="1"/>
        <v>0</v>
      </c>
      <c r="AC451" s="156">
        <f ca="1"/>
        <v>2.1545116274810483E-2</v>
      </c>
      <c r="AD451" s="156">
        <f ca="1"/>
        <v>4.7277947054936931E-2</v>
      </c>
      <c r="AE451" s="138">
        <f ca="1"/>
        <v>0</v>
      </c>
      <c r="AG451" s="135"/>
      <c r="AH451" s="135">
        <v>2.4889999999999999E-3</v>
      </c>
      <c r="AI451" s="135">
        <v>4.5339999999999998E-3</v>
      </c>
      <c r="AJ451" s="135">
        <v>6.875E-3</v>
      </c>
      <c r="AK451" s="135"/>
      <c r="AO451" s="135">
        <f t="shared" ca="1" si="17"/>
        <v>2.3141792810271343E-3</v>
      </c>
      <c r="AP451" s="135">
        <f t="shared" ca="1" si="18"/>
        <v>5.8452038063442182E-3</v>
      </c>
      <c r="AQ451" s="135">
        <f t="shared" ca="1" si="19"/>
        <v>1.2561422553535834E-2</v>
      </c>
      <c r="AV451" s="538">
        <f t="shared" ca="1" si="20"/>
        <v>6.096844259283966E-4</v>
      </c>
      <c r="AW451" s="538">
        <f t="shared" ca="1" si="21"/>
        <v>1.4126433278902305E-3</v>
      </c>
      <c r="AX451" s="538">
        <f t="shared" ca="1" si="22"/>
        <v>2.9894790740109603E-3</v>
      </c>
    </row>
    <row r="452" spans="1:50" ht="10.5" customHeight="1">
      <c r="A452" s="96">
        <v>441</v>
      </c>
      <c r="B452" s="68" t="s">
        <v>604</v>
      </c>
      <c r="C452" s="97">
        <v>0.4</v>
      </c>
      <c r="D452" s="69" t="s">
        <v>66</v>
      </c>
      <c r="E452" s="136"/>
      <c r="F452" s="155"/>
      <c r="G452" s="155"/>
      <c r="H452" s="155"/>
      <c r="I452" s="155">
        <v>1.5479999999999999E-3</v>
      </c>
      <c r="J452" s="155"/>
      <c r="K452" s="155">
        <v>2.565E-3</v>
      </c>
      <c r="L452" s="155">
        <v>3.594E-3</v>
      </c>
      <c r="M452" s="155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6">
        <f ca="1"/>
        <v>0</v>
      </c>
      <c r="P452" s="156">
        <f ca="1"/>
        <v>0</v>
      </c>
      <c r="Q452" s="156">
        <f ca="1"/>
        <v>0</v>
      </c>
      <c r="R452" s="156">
        <f ca="1"/>
        <v>8.307172108541816E-3</v>
      </c>
      <c r="S452" s="156">
        <f ca="1"/>
        <v>0</v>
      </c>
      <c r="T452" s="156">
        <f ca="1"/>
        <v>2.2906000241332714E-2</v>
      </c>
      <c r="U452" s="156">
        <f ca="1"/>
        <v>4.5040747601490461E-2</v>
      </c>
      <c r="V452" s="138">
        <f ca="1"/>
        <v>0</v>
      </c>
      <c r="W452" s="137">
        <f ca="1"/>
        <v>0</v>
      </c>
      <c r="X452" s="156">
        <f ca="1"/>
        <v>0</v>
      </c>
      <c r="Y452" s="156">
        <f ca="1"/>
        <v>0</v>
      </c>
      <c r="Z452" s="156">
        <f ca="1"/>
        <v>0</v>
      </c>
      <c r="AA452" s="156">
        <f ca="1"/>
        <v>8.8405415366105133E-3</v>
      </c>
      <c r="AB452" s="156">
        <f ca="1"/>
        <v>0</v>
      </c>
      <c r="AC452" s="156">
        <f ca="1"/>
        <v>2.3761697572964868E-2</v>
      </c>
      <c r="AD452" s="156">
        <f ca="1"/>
        <v>4.6201446932829016E-2</v>
      </c>
      <c r="AE452" s="138">
        <f ca="1"/>
        <v>0</v>
      </c>
      <c r="AG452" s="135"/>
      <c r="AH452" s="135">
        <v>9.5580000000000005E-3</v>
      </c>
      <c r="AI452" s="135">
        <v>1.5862999999999999E-2</v>
      </c>
      <c r="AJ452" s="135">
        <v>1.9740000000000001E-2</v>
      </c>
      <c r="AK452" s="135"/>
      <c r="AO452" s="135">
        <f t="shared" ca="1" si="17"/>
        <v>8.8866715821845528E-3</v>
      </c>
      <c r="AP452" s="135">
        <f t="shared" ca="1" si="18"/>
        <v>2.0450478160573077E-2</v>
      </c>
      <c r="AQ452" s="135">
        <f t="shared" ca="1" si="19"/>
        <v>3.6067269993715984E-2</v>
      </c>
      <c r="AV452" s="538">
        <f t="shared" ca="1" si="20"/>
        <v>2.3412469839387768E-3</v>
      </c>
      <c r="AW452" s="538">
        <f t="shared" ca="1" si="21"/>
        <v>4.9423822475347873E-3</v>
      </c>
      <c r="AX452" s="538">
        <f t="shared" ca="1" si="22"/>
        <v>8.5836097339601972E-3</v>
      </c>
    </row>
    <row r="453" spans="1:50" ht="10.5" customHeight="1">
      <c r="A453" s="96">
        <v>442</v>
      </c>
      <c r="B453" s="68" t="s">
        <v>597</v>
      </c>
      <c r="C453" s="97">
        <v>0.4</v>
      </c>
      <c r="D453" s="69" t="s">
        <v>66</v>
      </c>
      <c r="E453" s="136"/>
      <c r="F453" s="155"/>
      <c r="G453" s="155"/>
      <c r="H453" s="155"/>
      <c r="I453" s="155">
        <v>1.606E-3</v>
      </c>
      <c r="J453" s="155"/>
      <c r="K453" s="155">
        <v>2.6679999999999998E-3</v>
      </c>
      <c r="L453" s="155">
        <v>3.9750000000000002E-3</v>
      </c>
      <c r="M453" s="155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6">
        <f ca="1"/>
        <v>0</v>
      </c>
      <c r="P453" s="156">
        <f ca="1"/>
        <v>0</v>
      </c>
      <c r="Q453" s="156">
        <f ca="1"/>
        <v>0</v>
      </c>
      <c r="R453" s="156">
        <f ca="1"/>
        <v>8.617112382567238E-3</v>
      </c>
      <c r="S453" s="156">
        <f ca="1"/>
        <v>0</v>
      </c>
      <c r="T453" s="156">
        <f ca="1"/>
        <v>2.3820709823048736E-2</v>
      </c>
      <c r="U453" s="156">
        <f ca="1"/>
        <v>4.9978865611798429E-2</v>
      </c>
      <c r="V453" s="138">
        <f ca="1"/>
        <v>0</v>
      </c>
      <c r="W453" s="137">
        <f ca="1"/>
        <v>0</v>
      </c>
      <c r="X453" s="156">
        <f ca="1"/>
        <v>0</v>
      </c>
      <c r="Y453" s="156">
        <f ca="1"/>
        <v>0</v>
      </c>
      <c r="Z453" s="156">
        <f ca="1"/>
        <v>0</v>
      </c>
      <c r="AA453" s="156">
        <f ca="1"/>
        <v>9.1502489205965709E-3</v>
      </c>
      <c r="AB453" s="156">
        <f ca="1"/>
        <v>0</v>
      </c>
      <c r="AC453" s="156">
        <f ca="1"/>
        <v>2.4675582174733868E-2</v>
      </c>
      <c r="AD453" s="156">
        <f ca="1"/>
        <v>5.1133680782010416E-2</v>
      </c>
      <c r="AE453" s="138">
        <f ca="1"/>
        <v>0</v>
      </c>
      <c r="AG453" s="135"/>
      <c r="AH453" s="135">
        <v>7.8799999999999996E-4</v>
      </c>
      <c r="AI453" s="135">
        <v>1.3649999999999999E-3</v>
      </c>
      <c r="AJ453" s="135">
        <v>2.568E-3</v>
      </c>
      <c r="AK453" s="135"/>
      <c r="AO453" s="135">
        <f t="shared" ca="1" si="17"/>
        <v>7.3265298250276489E-4</v>
      </c>
      <c r="AP453" s="135">
        <f t="shared" ca="1" si="18"/>
        <v>1.7597492712086143E-3</v>
      </c>
      <c r="AQ453" s="135">
        <f t="shared" ca="1" si="19"/>
        <v>4.6920339079970941E-3</v>
      </c>
      <c r="AV453" s="538">
        <f t="shared" ca="1" si="20"/>
        <v>1.9302182709183467E-4</v>
      </c>
      <c r="AW453" s="538">
        <f t="shared" ca="1" si="21"/>
        <v>4.2528851843188456E-4</v>
      </c>
      <c r="AX453" s="538">
        <f t="shared" ca="1" si="22"/>
        <v>1.1166519653905667E-3</v>
      </c>
    </row>
    <row r="454" spans="1:50" ht="10.5" customHeight="1">
      <c r="A454" s="96">
        <v>443</v>
      </c>
      <c r="B454" s="68" t="s">
        <v>598</v>
      </c>
      <c r="C454" s="97">
        <v>0.4</v>
      </c>
      <c r="D454" s="69" t="s">
        <v>66</v>
      </c>
      <c r="E454" s="136"/>
      <c r="F454" s="155"/>
      <c r="G454" s="155"/>
      <c r="H454" s="155"/>
      <c r="I454" s="155">
        <v>3.0330000000000001E-3</v>
      </c>
      <c r="J454" s="155"/>
      <c r="K454" s="155">
        <v>5.5510000000000004E-3</v>
      </c>
      <c r="L454" s="155">
        <v>8.4740000000000006E-3</v>
      </c>
      <c r="M454" s="155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6">
        <f ca="1"/>
        <v>0</v>
      </c>
      <c r="P454" s="156">
        <f ca="1"/>
        <v>0</v>
      </c>
      <c r="Q454" s="156">
        <f ca="1"/>
        <v>0</v>
      </c>
      <c r="R454" s="156">
        <f ca="1"/>
        <v>1.6213137620404994E-2</v>
      </c>
      <c r="S454" s="156">
        <f ca="1"/>
        <v>0</v>
      </c>
      <c r="T454" s="156">
        <f ca="1"/>
        <v>4.9333383169644196E-2</v>
      </c>
      <c r="U454" s="156">
        <f ca="1"/>
        <v>0.10506110397785051</v>
      </c>
      <c r="V454" s="138">
        <f ca="1"/>
        <v>0</v>
      </c>
      <c r="W454" s="137">
        <f ca="1"/>
        <v>0</v>
      </c>
      <c r="X454" s="156">
        <f ca="1"/>
        <v>0</v>
      </c>
      <c r="Y454" s="156">
        <f ca="1"/>
        <v>0</v>
      </c>
      <c r="Z454" s="156">
        <f ca="1"/>
        <v>0</v>
      </c>
      <c r="AA454" s="156">
        <f ca="1"/>
        <v>1.6739704046626835E-2</v>
      </c>
      <c r="AB454" s="156">
        <f ca="1"/>
        <v>0</v>
      </c>
      <c r="AC454" s="156">
        <f ca="1"/>
        <v>5.0162112118617763E-2</v>
      </c>
      <c r="AD454" s="156">
        <f ca="1"/>
        <v>0.10617014934996694</v>
      </c>
      <c r="AE454" s="138">
        <f ca="1"/>
        <v>0</v>
      </c>
      <c r="AG454" s="135"/>
      <c r="AH454" s="135">
        <v>1.861E-3</v>
      </c>
      <c r="AI454" s="135">
        <v>3.0709999999999999E-3</v>
      </c>
      <c r="AJ454" s="135">
        <v>4.4549999999999998E-3</v>
      </c>
      <c r="AK454" s="135"/>
      <c r="AO454" s="135">
        <f t="shared" ca="1" si="17"/>
        <v>1.730288325428484E-3</v>
      </c>
      <c r="AP454" s="135">
        <f t="shared" ca="1" si="18"/>
        <v>3.9591135618180619E-3</v>
      </c>
      <c r="AQ454" s="135">
        <f t="shared" ca="1" si="19"/>
        <v>8.1398018146912211E-3</v>
      </c>
      <c r="AV454" s="538">
        <f t="shared" ca="1" si="20"/>
        <v>4.5585484799226441E-4</v>
      </c>
      <c r="AW454" s="538">
        <f t="shared" ca="1" si="21"/>
        <v>9.5682127480169784E-4</v>
      </c>
      <c r="AX454" s="538">
        <f t="shared" ca="1" si="22"/>
        <v>1.9371824399591021E-3</v>
      </c>
    </row>
    <row r="455" spans="1:50" ht="10.5" customHeight="1">
      <c r="A455" s="96">
        <v>444</v>
      </c>
      <c r="B455" s="68" t="s">
        <v>599</v>
      </c>
      <c r="C455" s="97">
        <v>0.4</v>
      </c>
      <c r="D455" s="69" t="s">
        <v>66</v>
      </c>
      <c r="E455" s="136"/>
      <c r="F455" s="155"/>
      <c r="G455" s="155"/>
      <c r="H455" s="155"/>
      <c r="I455" s="155">
        <v>3.7399999999999998E-3</v>
      </c>
      <c r="J455" s="155"/>
      <c r="K455" s="155">
        <v>6.6239999999999997E-3</v>
      </c>
      <c r="L455" s="155">
        <v>9.2910000000000006E-3</v>
      </c>
      <c r="M455" s="155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6">
        <f ca="1"/>
        <v>0</v>
      </c>
      <c r="P455" s="156">
        <f ca="1"/>
        <v>0</v>
      </c>
      <c r="Q455" s="156">
        <f ca="1"/>
        <v>0</v>
      </c>
      <c r="R455" s="156">
        <f ca="1"/>
        <v>1.9955614512272568E-2</v>
      </c>
      <c r="S455" s="156">
        <f ca="1"/>
        <v>0</v>
      </c>
      <c r="T455" s="156">
        <f ca="1"/>
        <v>5.8578366938316528E-2</v>
      </c>
      <c r="U455" s="156">
        <f ca="1"/>
        <v>0.11387259063419997</v>
      </c>
      <c r="V455" s="138">
        <f ca="1"/>
        <v>0</v>
      </c>
      <c r="W455" s="137">
        <f ca="1"/>
        <v>0</v>
      </c>
      <c r="X455" s="156">
        <f ca="1"/>
        <v>0</v>
      </c>
      <c r="Y455" s="156">
        <f ca="1"/>
        <v>0</v>
      </c>
      <c r="Z455" s="156">
        <f ca="1"/>
        <v>0</v>
      </c>
      <c r="AA455" s="156">
        <f ca="1"/>
        <v>2.0478292418779409E-2</v>
      </c>
      <c r="AB455" s="156">
        <f ca="1"/>
        <v>0</v>
      </c>
      <c r="AC455" s="156">
        <f ca="1"/>
        <v>5.9396165110678578E-2</v>
      </c>
      <c r="AD455" s="156">
        <f ca="1"/>
        <v>0.11497104420749604</v>
      </c>
      <c r="AE455" s="138">
        <f ca="1"/>
        <v>0</v>
      </c>
      <c r="AG455" s="135"/>
      <c r="AH455" s="135">
        <v>3.8760000000000001E-3</v>
      </c>
      <c r="AI455" s="135">
        <v>6.6940000000000003E-3</v>
      </c>
      <c r="AJ455" s="135">
        <v>1.0071999999999999E-2</v>
      </c>
      <c r="AK455" s="135"/>
      <c r="AO455" s="135">
        <f t="shared" ca="1" si="17"/>
        <v>3.6037601017521784E-3</v>
      </c>
      <c r="AP455" s="135">
        <f t="shared" ca="1" si="18"/>
        <v>8.6298619937512575E-3</v>
      </c>
      <c r="AQ455" s="135">
        <f t="shared" ca="1" si="19"/>
        <v>1.840271243043097E-2</v>
      </c>
      <c r="AV455" s="538">
        <f t="shared" ca="1" si="20"/>
        <v>9.4943223579689248E-4</v>
      </c>
      <c r="AW455" s="538">
        <f t="shared" ca="1" si="21"/>
        <v>2.085627357057169E-3</v>
      </c>
      <c r="AX455" s="538">
        <f t="shared" ca="1" si="22"/>
        <v>4.3796411975910382E-3</v>
      </c>
    </row>
    <row r="456" spans="1:50" ht="10.5" customHeight="1">
      <c r="A456" s="96">
        <v>445</v>
      </c>
      <c r="B456" s="68" t="s">
        <v>600</v>
      </c>
      <c r="C456" s="97">
        <v>0.4</v>
      </c>
      <c r="D456" s="69" t="s">
        <v>66</v>
      </c>
      <c r="E456" s="136"/>
      <c r="F456" s="155"/>
      <c r="G456" s="155"/>
      <c r="H456" s="155"/>
      <c r="I456" s="155">
        <v>3.8470000000000002E-3</v>
      </c>
      <c r="J456" s="155"/>
      <c r="K456" s="155">
        <v>6.4609999999999997E-3</v>
      </c>
      <c r="L456" s="155">
        <v>8.9420000000000003E-3</v>
      </c>
      <c r="M456" s="155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6">
        <f ca="1"/>
        <v>0</v>
      </c>
      <c r="P456" s="156">
        <f ca="1"/>
        <v>0</v>
      </c>
      <c r="Q456" s="156">
        <f ca="1"/>
        <v>0</v>
      </c>
      <c r="R456" s="156">
        <f ca="1"/>
        <v>2.0520813291612039E-2</v>
      </c>
      <c r="S456" s="156">
        <f ca="1"/>
        <v>0</v>
      </c>
      <c r="T456" s="156">
        <f ca="1"/>
        <v>5.7009920038595951E-2</v>
      </c>
      <c r="U456" s="156">
        <f ca="1"/>
        <v>0.10945682915629207</v>
      </c>
      <c r="V456" s="138">
        <f ca="1"/>
        <v>0</v>
      </c>
      <c r="W456" s="137">
        <f ca="1"/>
        <v>0</v>
      </c>
      <c r="X456" s="156">
        <f ca="1"/>
        <v>0</v>
      </c>
      <c r="Y456" s="156">
        <f ca="1"/>
        <v>0</v>
      </c>
      <c r="Z456" s="156">
        <f ca="1"/>
        <v>0</v>
      </c>
      <c r="AA456" s="156">
        <f ca="1"/>
        <v>2.1042864080676238E-2</v>
      </c>
      <c r="AB456" s="156">
        <f ca="1"/>
        <v>0</v>
      </c>
      <c r="AC456" s="156">
        <f ca="1"/>
        <v>5.7829992892077797E-2</v>
      </c>
      <c r="AD456" s="156">
        <f ca="1"/>
        <v>0.11055866382644841</v>
      </c>
      <c r="AE456" s="138">
        <f ca="1"/>
        <v>0</v>
      </c>
      <c r="AG456" s="135"/>
      <c r="AH456" s="135">
        <v>1.3079999999999999E-3</v>
      </c>
      <c r="AI456" s="135">
        <v>2.3080000000000002E-3</v>
      </c>
      <c r="AJ456" s="135">
        <v>3.643E-3</v>
      </c>
      <c r="AK456" s="135"/>
      <c r="AO456" s="135">
        <f t="shared" ca="1" si="17"/>
        <v>1.2161295699411375E-3</v>
      </c>
      <c r="AP456" s="135">
        <f t="shared" ca="1" si="18"/>
        <v>2.9754588409886319E-3</v>
      </c>
      <c r="AQ456" s="135">
        <f t="shared" ca="1" si="19"/>
        <v>6.6561836163681522E-3</v>
      </c>
      <c r="AV456" s="538">
        <f t="shared" ca="1" si="20"/>
        <v>3.2039663684786771E-4</v>
      </c>
      <c r="AW456" s="538">
        <f t="shared" ca="1" si="21"/>
        <v>7.1909589783208038E-4</v>
      </c>
      <c r="AX456" s="538">
        <f t="shared" ca="1" si="22"/>
        <v>1.5840977842359167E-3</v>
      </c>
    </row>
    <row r="457" spans="1:50" ht="10.5" customHeight="1">
      <c r="A457" s="96"/>
      <c r="B457" s="68"/>
      <c r="C457" s="97"/>
      <c r="D457" s="69"/>
      <c r="E457" s="136"/>
      <c r="F457" s="155"/>
      <c r="G457" s="155"/>
      <c r="H457" s="155"/>
      <c r="I457" s="155"/>
      <c r="J457" s="155"/>
      <c r="K457" s="155"/>
      <c r="L457" s="155"/>
      <c r="M457" s="155"/>
      <c r="N457" s="137"/>
      <c r="O457" s="156"/>
      <c r="P457" s="156"/>
      <c r="Q457" s="156"/>
      <c r="R457" s="156"/>
      <c r="S457" s="156"/>
      <c r="T457" s="156"/>
      <c r="U457" s="156"/>
      <c r="V457" s="138"/>
      <c r="W457" s="137"/>
      <c r="X457" s="156"/>
      <c r="Y457" s="156"/>
      <c r="Z457" s="156"/>
      <c r="AA457" s="156"/>
      <c r="AB457" s="156"/>
      <c r="AC457" s="156"/>
      <c r="AD457" s="156"/>
      <c r="AE457" s="138"/>
      <c r="AG457" s="135"/>
      <c r="AH457" s="135">
        <v>1.5479999999999999E-3</v>
      </c>
      <c r="AI457" s="135">
        <v>2.565E-3</v>
      </c>
      <c r="AJ457" s="135">
        <v>3.594E-3</v>
      </c>
      <c r="AK457" s="135"/>
      <c r="AO457" s="135">
        <f t="shared" ca="1" si="17"/>
        <v>1.4392726102973096E-3</v>
      </c>
      <c r="AP457" s="135">
        <f t="shared" ca="1" si="18"/>
        <v>3.3067815975458578E-3</v>
      </c>
      <c r="AQ457" s="135">
        <f t="shared" ca="1" si="19"/>
        <v>6.5666549319865876E-3</v>
      </c>
      <c r="AV457" s="538">
        <f t="shared" ca="1" si="20"/>
        <v>3.7918501058142141E-4</v>
      </c>
      <c r="AW457" s="538">
        <f t="shared" ca="1" si="21"/>
        <v>7.9916853463573917E-4</v>
      </c>
      <c r="AX457" s="538">
        <f t="shared" ca="1" si="22"/>
        <v>1.5627909515629659E-3</v>
      </c>
    </row>
    <row r="458" spans="1:50" ht="10.5" customHeight="1">
      <c r="A458" s="96"/>
      <c r="B458" s="68"/>
      <c r="C458" s="97"/>
      <c r="D458" s="69"/>
      <c r="E458" s="136"/>
      <c r="F458" s="155"/>
      <c r="G458" s="155"/>
      <c r="H458" s="155"/>
      <c r="I458" s="155"/>
      <c r="J458" s="155"/>
      <c r="K458" s="155"/>
      <c r="L458" s="155"/>
      <c r="M458" s="155"/>
      <c r="N458" s="137"/>
      <c r="O458" s="156"/>
      <c r="P458" s="156"/>
      <c r="Q458" s="156"/>
      <c r="R458" s="156"/>
      <c r="S458" s="156"/>
      <c r="T458" s="156"/>
      <c r="U458" s="156"/>
      <c r="V458" s="138"/>
      <c r="W458" s="137"/>
      <c r="X458" s="156"/>
      <c r="Y458" s="156"/>
      <c r="Z458" s="156"/>
      <c r="AA458" s="156"/>
      <c r="AB458" s="156"/>
      <c r="AC458" s="156"/>
      <c r="AD458" s="156"/>
      <c r="AE458" s="138"/>
      <c r="AG458" s="135"/>
      <c r="AH458" s="135">
        <v>1.606E-3</v>
      </c>
      <c r="AI458" s="135">
        <v>2.6679999999999998E-3</v>
      </c>
      <c r="AJ458" s="135">
        <v>3.9750000000000002E-3</v>
      </c>
      <c r="AK458" s="135"/>
      <c r="AO458" s="135">
        <f t="shared" ca="1" si="17"/>
        <v>1.4931988450500513E-3</v>
      </c>
      <c r="AP458" s="135">
        <f t="shared" ca="1" si="18"/>
        <v>3.4395685388898044E-3</v>
      </c>
      <c r="AQ458" s="135">
        <f t="shared" ca="1" si="19"/>
        <v>7.2627861309534471E-3</v>
      </c>
      <c r="AV458" s="538">
        <f t="shared" ca="1" si="20"/>
        <v>3.9339220090036357E-4</v>
      </c>
      <c r="AW458" s="538">
        <f t="shared" ca="1" si="21"/>
        <v>8.3125990269323667E-4</v>
      </c>
      <c r="AX458" s="538">
        <f t="shared" ca="1" si="22"/>
        <v>1.7284624464281551E-3</v>
      </c>
    </row>
    <row r="459" spans="1:50" ht="10.5" customHeight="1">
      <c r="A459" s="96"/>
      <c r="B459" s="68"/>
      <c r="C459" s="97"/>
      <c r="D459" s="69"/>
      <c r="E459" s="136"/>
      <c r="F459" s="155"/>
      <c r="G459" s="155"/>
      <c r="H459" s="155"/>
      <c r="I459" s="155"/>
      <c r="J459" s="155"/>
      <c r="K459" s="155"/>
      <c r="L459" s="155"/>
      <c r="M459" s="155"/>
      <c r="N459" s="137"/>
      <c r="O459" s="156"/>
      <c r="P459" s="156"/>
      <c r="Q459" s="156"/>
      <c r="R459" s="156"/>
      <c r="S459" s="156"/>
      <c r="T459" s="156"/>
      <c r="U459" s="156"/>
      <c r="V459" s="138"/>
      <c r="W459" s="137"/>
      <c r="X459" s="156"/>
      <c r="Y459" s="156"/>
      <c r="Z459" s="156"/>
      <c r="AA459" s="156"/>
      <c r="AB459" s="156"/>
      <c r="AC459" s="156"/>
      <c r="AD459" s="156"/>
      <c r="AE459" s="138"/>
      <c r="AG459" s="135"/>
      <c r="AH459" s="135">
        <v>3.0330000000000001E-3</v>
      </c>
      <c r="AI459" s="135">
        <v>5.5510000000000004E-3</v>
      </c>
      <c r="AJ459" s="135">
        <v>8.4740000000000006E-3</v>
      </c>
      <c r="AK459" s="135"/>
      <c r="AO459" s="135">
        <f t="shared" ca="1" si="17"/>
        <v>2.8199701725011243E-3</v>
      </c>
      <c r="AP459" s="135">
        <f t="shared" ca="1" si="18"/>
        <v>7.1563137029150327E-3</v>
      </c>
      <c r="AQ459" s="135">
        <f t="shared" ca="1" si="19"/>
        <v>1.5482981049987297E-2</v>
      </c>
      <c r="AV459" s="538">
        <f t="shared" ca="1" si="20"/>
        <v>7.4293807305778504E-4</v>
      </c>
      <c r="AW459" s="538">
        <f t="shared" ca="1" si="21"/>
        <v>1.7295066416229974E-3</v>
      </c>
      <c r="AX459" s="538">
        <f t="shared" ca="1" si="22"/>
        <v>3.6847775524609279E-3</v>
      </c>
    </row>
    <row r="460" spans="1:50" ht="10.5" customHeight="1">
      <c r="A460" s="96"/>
      <c r="B460" s="68"/>
      <c r="C460" s="97"/>
      <c r="D460" s="69"/>
      <c r="E460" s="136"/>
      <c r="F460" s="155"/>
      <c r="G460" s="155"/>
      <c r="H460" s="155"/>
      <c r="I460" s="155"/>
      <c r="J460" s="155"/>
      <c r="K460" s="155"/>
      <c r="L460" s="155"/>
      <c r="M460" s="155"/>
      <c r="N460" s="137"/>
      <c r="O460" s="156"/>
      <c r="P460" s="156"/>
      <c r="Q460" s="156"/>
      <c r="R460" s="156"/>
      <c r="S460" s="156"/>
      <c r="T460" s="156"/>
      <c r="U460" s="156"/>
      <c r="V460" s="138"/>
      <c r="W460" s="137"/>
      <c r="X460" s="156"/>
      <c r="Y460" s="156"/>
      <c r="Z460" s="156"/>
      <c r="AA460" s="156"/>
      <c r="AB460" s="156"/>
      <c r="AC460" s="156"/>
      <c r="AD460" s="156"/>
      <c r="AE460" s="138"/>
      <c r="AG460" s="135"/>
      <c r="AH460" s="135">
        <v>3.7399999999999998E-3</v>
      </c>
      <c r="AI460" s="135">
        <v>6.6239999999999997E-3</v>
      </c>
      <c r="AJ460" s="135">
        <v>9.2910000000000006E-3</v>
      </c>
      <c r="AK460" s="135"/>
      <c r="AO460" s="135">
        <f t="shared" ca="1" si="17"/>
        <v>3.4773123788836807E-3</v>
      </c>
      <c r="AP460" s="135">
        <f t="shared" ca="1" si="18"/>
        <v>8.5396184413815829E-3</v>
      </c>
      <c r="AQ460" s="135">
        <f t="shared" ca="1" si="19"/>
        <v>1.6975734828349302E-2</v>
      </c>
      <c r="AV460" s="538">
        <f t="shared" ca="1" si="20"/>
        <v>9.1611882401454534E-4</v>
      </c>
      <c r="AW460" s="538">
        <f t="shared" ca="1" si="21"/>
        <v>2.0638176894452773E-3</v>
      </c>
      <c r="AX460" s="538">
        <f t="shared" ca="1" si="22"/>
        <v>4.0400363747833939E-3</v>
      </c>
    </row>
    <row r="461" spans="1:50" ht="10.5" customHeight="1">
      <c r="A461" s="96"/>
      <c r="B461" s="68"/>
      <c r="C461" s="97"/>
      <c r="D461" s="69"/>
      <c r="E461" s="136"/>
      <c r="F461" s="155"/>
      <c r="G461" s="155"/>
      <c r="H461" s="155"/>
      <c r="I461" s="155"/>
      <c r="J461" s="155"/>
      <c r="K461" s="155"/>
      <c r="L461" s="155"/>
      <c r="M461" s="155"/>
      <c r="N461" s="137"/>
      <c r="O461" s="156"/>
      <c r="P461" s="156"/>
      <c r="Q461" s="156"/>
      <c r="R461" s="156"/>
      <c r="S461" s="156"/>
      <c r="T461" s="156"/>
      <c r="U461" s="156"/>
      <c r="V461" s="138"/>
      <c r="W461" s="137"/>
      <c r="X461" s="156"/>
      <c r="Y461" s="156"/>
      <c r="Z461" s="156"/>
      <c r="AA461" s="156"/>
      <c r="AB461" s="156"/>
      <c r="AC461" s="156"/>
      <c r="AD461" s="156"/>
      <c r="AE461" s="138"/>
      <c r="AG461" s="135"/>
      <c r="AH461" s="135">
        <v>3.8470000000000002E-3</v>
      </c>
      <c r="AI461" s="135">
        <v>6.4609999999999997E-3</v>
      </c>
      <c r="AJ461" s="135">
        <v>8.9420000000000003E-3</v>
      </c>
      <c r="AK461" s="135"/>
      <c r="AO461" s="135">
        <f t="shared" ca="1" si="17"/>
        <v>3.576796984375808E-3</v>
      </c>
      <c r="AP461" s="135">
        <f t="shared" ca="1" si="18"/>
        <v>8.3294798837207744E-3</v>
      </c>
      <c r="AQ461" s="135">
        <f t="shared" ca="1" si="19"/>
        <v>1.6338071341631628E-2</v>
      </c>
      <c r="AV461" s="538">
        <f t="shared" ca="1" si="20"/>
        <v>9.4232864063742146E-4</v>
      </c>
      <c r="AW461" s="538">
        <f t="shared" ca="1" si="21"/>
        <v>2.0130323205775871E-3</v>
      </c>
      <c r="AX461" s="538">
        <f t="shared" ca="1" si="22"/>
        <v>3.8882795461536008E-3</v>
      </c>
    </row>
    <row r="462" spans="1:50" ht="10.5" customHeight="1" thickBot="1">
      <c r="A462" s="329"/>
      <c r="B462" s="74"/>
      <c r="C462" s="529"/>
      <c r="D462" s="75"/>
      <c r="E462" s="530"/>
      <c r="F462" s="531"/>
      <c r="G462" s="531"/>
      <c r="H462" s="531"/>
      <c r="I462" s="531"/>
      <c r="J462" s="531"/>
      <c r="K462" s="531"/>
      <c r="L462" s="531"/>
      <c r="M462" s="531"/>
      <c r="N462" s="532"/>
      <c r="O462" s="533"/>
      <c r="P462" s="533"/>
      <c r="Q462" s="533"/>
      <c r="R462" s="533"/>
      <c r="S462" s="533"/>
      <c r="T462" s="533"/>
      <c r="U462" s="533"/>
      <c r="V462" s="534"/>
      <c r="W462" s="532"/>
      <c r="X462" s="533"/>
      <c r="Y462" s="533"/>
      <c r="Z462" s="533"/>
      <c r="AA462" s="533"/>
      <c r="AB462" s="533"/>
      <c r="AC462" s="533"/>
      <c r="AD462" s="533"/>
      <c r="AE462" s="534"/>
      <c r="AG462" s="135"/>
      <c r="AH462" s="135"/>
      <c r="AI462" s="135"/>
      <c r="AJ462" s="135"/>
      <c r="AK462" s="135"/>
    </row>
    <row r="463" spans="1:50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37</xdr:col>
                    <xdr:colOff>695325</xdr:colOff>
                    <xdr:row>372</xdr:row>
                    <xdr:rowOff>9525</xdr:rowOff>
                  </from>
                  <to>
                    <xdr:col>38</xdr:col>
                    <xdr:colOff>476250</xdr:colOff>
                    <xdr:row>373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0"/>
      <c r="K2" s="169"/>
    </row>
    <row r="3" spans="2:11">
      <c r="J3" s="260"/>
    </row>
    <row r="5" spans="2:11" ht="15.75" thickBot="1"/>
    <row r="6" spans="2:11" ht="15.75" thickBot="1">
      <c r="B6" s="173" t="s">
        <v>423</v>
      </c>
      <c r="C6" s="179" t="b">
        <v>1</v>
      </c>
      <c r="H6" s="174" t="s">
        <v>424</v>
      </c>
      <c r="I6" s="609">
        <v>1</v>
      </c>
      <c r="J6" s="610"/>
      <c r="K6" s="611"/>
    </row>
    <row r="7" spans="2:11" ht="15.75" thickBot="1">
      <c r="D7" s="163"/>
      <c r="H7" s="175" t="s">
        <v>425</v>
      </c>
      <c r="I7" s="612" t="str" cm="1">
        <f t="array" aca="1" ref="I7" ca="1">GetGetCDSName(I6)</f>
        <v>ABNAMRO_MMR.EUR.SU</v>
      </c>
      <c r="J7" s="613"/>
      <c r="K7" s="614"/>
    </row>
    <row r="8" spans="2:11" ht="15.75" thickBot="1"/>
    <row r="9" spans="2:11" ht="15.75" thickBot="1">
      <c r="B9" s="166"/>
      <c r="C9" s="167" t="s">
        <v>426</v>
      </c>
      <c r="D9" s="168" t="s">
        <v>427</v>
      </c>
      <c r="E9" s="165" t="s">
        <v>428</v>
      </c>
    </row>
    <row r="10" spans="2:11">
      <c r="B10" s="176" t="str">
        <f ca="1">ROW()-ROW($B$9)&amp;"M"</f>
        <v>1M</v>
      </c>
      <c r="C10" s="207">
        <f ca="1">MAX(0,(DATE(YEAR(CDSRollDate),MONTH(CDSRollDate)+ROW()-ROW($B$9),DAY(CDSRollDate))-Parameter_Date)/365)</f>
        <v>0.29315068493150687</v>
      </c>
      <c r="D10" s="170">
        <f ca="1">IF(NOT($C$6),"",IF(GetConvertDate(CDSRollDate,B10)&lt;Parameter_Date,0,GetGetDefaultprob($I$6,B10)))</f>
        <v>6.5395615599728174E-4</v>
      </c>
      <c r="E10" s="208">
        <f ca="1">IF(NOT($C$6),"",IF(C11=0,0,-LN(1-D11)/$C11))</f>
        <v>2.2315147540802873E-3</v>
      </c>
    </row>
    <row r="11" spans="2:11">
      <c r="B11" s="177" t="str">
        <f t="shared" ref="B11:B74" ca="1" si="0">ROW()-ROW($B$9)&amp;"M"</f>
        <v>2M</v>
      </c>
      <c r="C11" s="209">
        <f ca="1">MAX(0,(DATE(YEAR(CDSRollDate),MONTH(CDSRollDate)+ROW()-ROW($B$9),DAY(CDSRollDate))-Parameter_Date)/365)</f>
        <v>0.37808219178082192</v>
      </c>
      <c r="D11" s="162">
        <f ca="1">IF(NOT($C$6),"",IF(GetConvertDate(CDSRollDate,B11)&lt;Parameter_Date,0,GetGetDefaultprob($I$6,B11)))</f>
        <v>8.4334017782539128E-4</v>
      </c>
      <c r="E11" s="171">
        <f ca="1">IF(NOT($C$6),"",IF(C11=0,0,-LN((1-D11)/(1-D10))/($C11-$C10)))</f>
        <v>2.2315147540814123E-3</v>
      </c>
      <c r="F11" s="157"/>
      <c r="G11" s="158"/>
    </row>
    <row r="12" spans="2:11">
      <c r="B12" s="177" t="str">
        <f t="shared" ca="1" si="0"/>
        <v>3M</v>
      </c>
      <c r="C12" s="209">
        <f ca="1">MAX(0,(DATE(YEAR(CDSRollDate),MONTH(CDSRollDate)+ROW()-ROW($B$9),DAY(CDSRollDate))-Parameter_Date)/365)</f>
        <v>0.46027397260273972</v>
      </c>
      <c r="D12" s="162">
        <f ca="1">IF(NOT($C$6),"",IF(GetConvertDate(CDSRollDate,B12)&lt;Parameter_Date,0,GetGetDefaultprob($I$6,B12)))</f>
        <v>1.0265808657402564E-3</v>
      </c>
      <c r="E12" s="171">
        <f ca="1">IF(NOT($C$6),"",IF(C12=0,0,-LN((1-D12)/(1-D11))/($C12-$C11)))</f>
        <v>2.2315147540799413E-3</v>
      </c>
      <c r="F12" s="157"/>
      <c r="G12" s="158"/>
    </row>
    <row r="13" spans="2:11">
      <c r="B13" s="177" t="str">
        <f t="shared" ca="1" si="0"/>
        <v>4M</v>
      </c>
      <c r="C13" s="209">
        <f t="shared" ref="C13:C41" ca="1" si="1">MAX(0,(DATE(YEAR(CDSRollDate),MONTH(CDSRollDate)+ROW()-ROW($B$9),DAY(CDSRollDate))-Parameter_Date)/365)</f>
        <v>0.54520547945205478</v>
      </c>
      <c r="D13" s="162">
        <f ca="1">IF(NOT($C$6),"",IF(GetConvertDate(CDSRollDate,B13)&lt;Parameter_Date,0,GetGetDefaultprob($I$6,B13)))</f>
        <v>1.215894272222795E-3</v>
      </c>
      <c r="E13" s="171">
        <f t="shared" ref="E13:E75" ca="1" si="2">IF(NOT($C$6),"",IF(C13=0,0,-LN((1-D13)/(1-D12))/($C13-$C12)))</f>
        <v>2.2315147540801052E-3</v>
      </c>
      <c r="F13" s="157"/>
      <c r="G13" s="158"/>
    </row>
    <row r="14" spans="2:11">
      <c r="B14" s="177" t="str">
        <f t="shared" ca="1" si="0"/>
        <v>5M</v>
      </c>
      <c r="C14" s="209">
        <f t="shared" ca="1" si="1"/>
        <v>0.63013698630136983</v>
      </c>
      <c r="D14" s="162">
        <f ca="1">IF(NOT($C$6),"",IF(GetConvertDate(CDSRollDate,B14)&lt;Parameter_Date,0,GetGetDefaultprob($I$6,B14)))</f>
        <v>1.4051718023094795E-3</v>
      </c>
      <c r="E14" s="171">
        <f t="shared" ca="1" si="2"/>
        <v>2.2315147540801052E-3</v>
      </c>
      <c r="F14" s="157"/>
      <c r="G14" s="158"/>
    </row>
    <row r="15" spans="2:11">
      <c r="B15" s="177" t="str">
        <f t="shared" ca="1" si="0"/>
        <v>6M</v>
      </c>
      <c r="C15" s="209">
        <f t="shared" ca="1" si="1"/>
        <v>0.70684931506849313</v>
      </c>
      <c r="D15" s="162">
        <f ca="1">IF(NOT($C$6),"",IF(GetConvertDate(CDSRollDate,B15)&lt;Parameter_Date,0,GetGetDefaultprob($I$6,B15)))</f>
        <v>1.576101321192791E-3</v>
      </c>
      <c r="E15" s="171">
        <f t="shared" ca="1" si="2"/>
        <v>2.2315147540793536E-3</v>
      </c>
      <c r="F15" s="157"/>
      <c r="G15" s="158"/>
    </row>
    <row r="16" spans="2:11">
      <c r="B16" s="177" t="str">
        <f t="shared" ca="1" si="0"/>
        <v>7M</v>
      </c>
      <c r="C16" s="209">
        <f t="shared" ca="1" si="1"/>
        <v>0.79178082191780819</v>
      </c>
      <c r="D16" s="162">
        <f ca="1">IF(NOT($C$6),"",IF(GetConvertDate(CDSRollDate,B16)&lt;Parameter_Date,0,GetGetDefaultprob($I$6,B16)))</f>
        <v>1.9981450245645238E-3</v>
      </c>
      <c r="E16" s="171">
        <f t="shared" ca="1" si="2"/>
        <v>4.9781208385098145E-3</v>
      </c>
      <c r="F16" s="157"/>
      <c r="G16" s="158"/>
    </row>
    <row r="17" spans="2:7">
      <c r="B17" s="177" t="str">
        <f t="shared" ca="1" si="0"/>
        <v>8M</v>
      </c>
      <c r="C17" s="209">
        <f t="shared" ca="1" si="1"/>
        <v>0.87397260273972599</v>
      </c>
      <c r="D17" s="162">
        <f ca="1">IF(NOT($C$6),"",IF(GetConvertDate(CDSRollDate,B17)&lt;Parameter_Date,0,GetGetDefaultprob($I$6,B17)))</f>
        <v>2.4064045516217769E-3</v>
      </c>
      <c r="E17" s="171">
        <f t="shared" ca="1" si="2"/>
        <v>4.9781208385089671E-3</v>
      </c>
      <c r="F17" s="157"/>
      <c r="G17" s="158"/>
    </row>
    <row r="18" spans="2:7">
      <c r="B18" s="177" t="str">
        <f t="shared" ca="1" si="0"/>
        <v>9M</v>
      </c>
      <c r="C18" s="209">
        <f t="shared" ca="1" si="1"/>
        <v>0.95890410958904104</v>
      </c>
      <c r="D18" s="162">
        <f ca="1">IF(NOT($C$6),"",IF(GetConvertDate(CDSRollDate,B18)&lt;Parameter_Date,0,GetGetDefaultprob($I$6,B18)))</f>
        <v>2.8280972775672764E-3</v>
      </c>
      <c r="E18" s="171">
        <f t="shared" ca="1" si="2"/>
        <v>4.9781208385098145E-3</v>
      </c>
      <c r="F18" s="157"/>
      <c r="G18" s="158"/>
    </row>
    <row r="19" spans="2:7">
      <c r="B19" s="177" t="str">
        <f t="shared" ca="1" si="0"/>
        <v>10M</v>
      </c>
      <c r="C19" s="209">
        <f t="shared" ca="1" si="1"/>
        <v>1.0410958904109588</v>
      </c>
      <c r="D19" s="162">
        <f ca="1">IF(NOT($C$6),"",IF(GetConvertDate(CDSRollDate,B19)&lt;Parameter_Date,0,GetGetDefaultprob($I$6,B19)))</f>
        <v>3.2360172903115325E-3</v>
      </c>
      <c r="E19" s="171">
        <f t="shared" ca="1" si="2"/>
        <v>4.9781208385103184E-3</v>
      </c>
      <c r="F19" s="157"/>
      <c r="G19" s="158"/>
    </row>
    <row r="20" spans="2:7">
      <c r="B20" s="177" t="str">
        <f t="shared" ca="1" si="0"/>
        <v>11M</v>
      </c>
      <c r="C20" s="209">
        <f t="shared" ca="1" si="1"/>
        <v>1.1260273972602739</v>
      </c>
      <c r="D20" s="162">
        <f ca="1">IF(NOT($C$6),"",IF(GetConvertDate(CDSRollDate,B20)&lt;Parameter_Date,0,GetGetDefaultprob($I$6,B20)))</f>
        <v>3.6573593307083208E-3</v>
      </c>
      <c r="E20" s="171">
        <f t="shared" ca="1" si="2"/>
        <v>4.9781208385085065E-3</v>
      </c>
      <c r="F20" s="157"/>
      <c r="G20" s="158"/>
    </row>
    <row r="21" spans="2:7">
      <c r="B21" s="177" t="str">
        <f t="shared" ca="1" si="0"/>
        <v>12M</v>
      </c>
      <c r="C21" s="209">
        <f t="shared" ca="1" si="1"/>
        <v>1.210958904109589</v>
      </c>
      <c r="D21" s="162">
        <f ca="1">IF(NOT($C$6),"",IF(GetConvertDate(CDSRollDate,B21)&lt;Parameter_Date,0,GetGetDefaultprob($I$6,B21)))</f>
        <v>4.0785232656379566E-3</v>
      </c>
      <c r="E21" s="171">
        <f t="shared" ca="1" si="2"/>
        <v>4.9781208385111216E-3</v>
      </c>
      <c r="F21" s="157"/>
      <c r="G21" s="158"/>
    </row>
    <row r="22" spans="2:7">
      <c r="B22" s="177" t="str">
        <f t="shared" ca="1" si="0"/>
        <v>13M</v>
      </c>
      <c r="C22" s="209">
        <f t="shared" ca="1" si="1"/>
        <v>1.2931506849315069</v>
      </c>
      <c r="D22" s="162">
        <f ca="1">IF(NOT($C$6),"",IF(GetConvertDate(CDSRollDate,B22)&lt;Parameter_Date,0,GetGetDefaultprob($I$6,B22)))</f>
        <v>4.5408704107210429E-3</v>
      </c>
      <c r="E22" s="171">
        <f t="shared" ca="1" si="2"/>
        <v>5.6495716406230563E-3</v>
      </c>
      <c r="F22" s="157"/>
      <c r="G22" s="158"/>
    </row>
    <row r="23" spans="2:7">
      <c r="B23" s="177" t="str">
        <f t="shared" ca="1" si="0"/>
        <v>14M</v>
      </c>
      <c r="C23" s="209">
        <f t="shared" ca="1" si="1"/>
        <v>1.3780821917808219</v>
      </c>
      <c r="D23" s="162">
        <f ca="1">IF(NOT($C$6),"",IF(GetConvertDate(CDSRollDate,B23)&lt;Parameter_Date,0,GetGetDefaultprob($I$6,B23)))</f>
        <v>5.0184036369126384E-3</v>
      </c>
      <c r="E23" s="171">
        <f t="shared" ca="1" si="2"/>
        <v>5.6495716406237354E-3</v>
      </c>
      <c r="F23" s="157"/>
      <c r="G23" s="158"/>
    </row>
    <row r="24" spans="2:7">
      <c r="B24" s="177" t="str">
        <f t="shared" ca="1" si="0"/>
        <v>15M</v>
      </c>
      <c r="C24" s="209">
        <f t="shared" ca="1" si="1"/>
        <v>1.4602739726027398</v>
      </c>
      <c r="D24" s="162">
        <f ca="1">IF(NOT($C$6),"",IF(GetConvertDate(CDSRollDate,B24)&lt;Parameter_Date,0,GetGetDefaultprob($I$6,B24)))</f>
        <v>5.4803144514049551E-3</v>
      </c>
      <c r="E24" s="171">
        <f t="shared" ca="1" si="2"/>
        <v>5.6495716406244076E-3</v>
      </c>
      <c r="F24" s="157"/>
      <c r="G24" s="158"/>
    </row>
    <row r="25" spans="2:7">
      <c r="B25" s="177" t="str">
        <f t="shared" ca="1" si="0"/>
        <v>16M</v>
      </c>
      <c r="C25" s="209">
        <f t="shared" ca="1" si="1"/>
        <v>1.5452054794520549</v>
      </c>
      <c r="D25" s="162">
        <f ca="1">IF(NOT($C$6),"",IF(GetConvertDate(CDSRollDate,B25)&lt;Parameter_Date,0,GetGetDefaultprob($I$6,B25)))</f>
        <v>5.957397015454613E-3</v>
      </c>
      <c r="E25" s="171">
        <f t="shared" ca="1" si="2"/>
        <v>5.6495716406237354E-3</v>
      </c>
      <c r="F25" s="157"/>
      <c r="G25" s="158"/>
    </row>
    <row r="26" spans="2:7">
      <c r="B26" s="177" t="str">
        <f t="shared" ca="1" si="0"/>
        <v>17M</v>
      </c>
      <c r="C26" s="209">
        <f t="shared" ca="1" si="1"/>
        <v>1.6301369863013699</v>
      </c>
      <c r="D26" s="162">
        <f ca="1">IF(NOT($C$6),"",IF(GetConvertDate(CDSRollDate,B26)&lt;Parameter_Date,0,GetGetDefaultprob($I$6,B26)))</f>
        <v>6.4342507174954822E-3</v>
      </c>
      <c r="E26" s="171">
        <f t="shared" ca="1" si="2"/>
        <v>5.6495716406224274E-3</v>
      </c>
      <c r="F26" s="157"/>
      <c r="G26" s="158"/>
    </row>
    <row r="27" spans="2:7">
      <c r="B27" s="177" t="str">
        <f t="shared" ca="1" si="0"/>
        <v>18M</v>
      </c>
      <c r="C27" s="209">
        <f t="shared" ca="1" si="1"/>
        <v>1.7068493150684931</v>
      </c>
      <c r="D27" s="162">
        <f ca="1">IF(NOT($C$6),"",IF(GetConvertDate(CDSRollDate,B27)&lt;Parameter_Date,0,GetGetDefaultprob($I$6,B27)))</f>
        <v>6.8647606666243366E-3</v>
      </c>
      <c r="E27" s="171">
        <f t="shared" ca="1" si="2"/>
        <v>5.6495716406246999E-3</v>
      </c>
      <c r="F27" s="157"/>
      <c r="G27" s="158"/>
    </row>
    <row r="28" spans="2:7">
      <c r="B28" s="177" t="str">
        <f t="shared" ca="1" si="0"/>
        <v>19M</v>
      </c>
      <c r="C28" s="209">
        <f t="shared" ca="1" si="1"/>
        <v>1.7917808219178082</v>
      </c>
      <c r="D28" s="162">
        <f ca="1">IF(NOT($C$6),"",IF(GetConvertDate(CDSRollDate,B28)&lt;Parameter_Date,0,GetGetDefaultprob($I$6,B28)))</f>
        <v>7.3411790958561873E-3</v>
      </c>
      <c r="E28" s="171">
        <f t="shared" ca="1" si="2"/>
        <v>5.6495716406237354E-3</v>
      </c>
      <c r="F28" s="157"/>
      <c r="G28" s="158"/>
    </row>
    <row r="29" spans="2:7">
      <c r="B29" s="177" t="str">
        <f t="shared" ca="1" si="0"/>
        <v>20M</v>
      </c>
      <c r="C29" s="209">
        <f t="shared" ca="1" si="1"/>
        <v>1.8739726027397261</v>
      </c>
      <c r="D29" s="162">
        <f ca="1">IF(NOT($C$6),"",IF(GetConvertDate(CDSRollDate,B29)&lt;Parameter_Date,0,GetGetDefaultprob($I$6,B29)))</f>
        <v>7.8020115837662551E-3</v>
      </c>
      <c r="E29" s="171">
        <f t="shared" ca="1" si="2"/>
        <v>5.6495716406230563E-3</v>
      </c>
      <c r="F29" s="157"/>
      <c r="G29" s="158"/>
    </row>
    <row r="30" spans="2:7">
      <c r="B30" s="177" t="str">
        <f t="shared" ca="1" si="0"/>
        <v>21M</v>
      </c>
      <c r="C30" s="209">
        <f t="shared" ca="1" si="1"/>
        <v>1.9589041095890412</v>
      </c>
      <c r="D30" s="162">
        <f ca="1">IF(NOT($C$6),"",IF(GetConvertDate(CDSRollDate,B30)&lt;Parameter_Date,0,GetGetDefaultprob($I$6,B30)))</f>
        <v>8.2779804029229354E-3</v>
      </c>
      <c r="E30" s="171">
        <f t="shared" ca="1" si="2"/>
        <v>5.6495716406250434E-3</v>
      </c>
      <c r="F30" s="157"/>
      <c r="G30" s="158"/>
    </row>
    <row r="31" spans="2:7">
      <c r="B31" s="177" t="str">
        <f t="shared" ca="1" si="0"/>
        <v>22M</v>
      </c>
      <c r="C31" s="209">
        <f t="shared" ca="1" si="1"/>
        <v>2.0410958904109591</v>
      </c>
      <c r="D31" s="162">
        <f ca="1">IF(NOT($C$6),"",IF(GetConvertDate(CDSRollDate,B31)&lt;Parameter_Date,0,GetGetDefaultprob($I$6,B31)))</f>
        <v>8.7383779896685887E-3</v>
      </c>
      <c r="E31" s="171">
        <f t="shared" ca="1" si="2"/>
        <v>5.6495716406217049E-3</v>
      </c>
      <c r="F31" s="157"/>
      <c r="G31" s="158"/>
    </row>
    <row r="32" spans="2:7">
      <c r="B32" s="177" t="str">
        <f t="shared" ca="1" si="0"/>
        <v>23M</v>
      </c>
      <c r="C32" s="209">
        <f t="shared" ca="1" si="1"/>
        <v>2.1260273972602741</v>
      </c>
      <c r="D32" s="162">
        <f ca="1">IF(NOT($C$6),"",IF(GetConvertDate(CDSRollDate,B32)&lt;Parameter_Date,0,GetGetDefaultprob($I$6,B32)))</f>
        <v>9.2138976230600189E-3</v>
      </c>
      <c r="E32" s="171">
        <f t="shared" ca="1" si="2"/>
        <v>5.6495716406224274E-3</v>
      </c>
      <c r="F32" s="157"/>
      <c r="G32" s="158"/>
    </row>
    <row r="33" spans="2:7">
      <c r="B33" s="177" t="str">
        <f t="shared" ca="1" si="0"/>
        <v>24M</v>
      </c>
      <c r="C33" s="209">
        <f t="shared" ca="1" si="1"/>
        <v>2.2109589041095892</v>
      </c>
      <c r="D33" s="162">
        <f ca="1">IF(NOT($C$6),"",IF(GetConvertDate(CDSRollDate,B33)&lt;Parameter_Date,0,GetGetDefaultprob($I$6,B33)))</f>
        <v>9.6891891441988065E-3</v>
      </c>
      <c r="E33" s="171">
        <f t="shared" ca="1" si="2"/>
        <v>5.6495716406250434E-3</v>
      </c>
      <c r="F33" s="157"/>
      <c r="G33" s="158"/>
    </row>
    <row r="34" spans="2:7">
      <c r="B34" s="177" t="str">
        <f t="shared" ca="1" si="0"/>
        <v>25M</v>
      </c>
      <c r="C34" s="209">
        <f t="shared" ca="1" si="1"/>
        <v>2.2931506849315069</v>
      </c>
      <c r="D34" s="162">
        <f ca="1">IF(NOT($C$6),"",IF(GetConvertDate(CDSRollDate,B34)&lt;Parameter_Date,0,GetGetDefaultprob($I$6,B34)))</f>
        <v>1.0303746273536696E-2</v>
      </c>
      <c r="E34" s="171">
        <f t="shared" ca="1" si="2"/>
        <v>7.5526114165264521E-3</v>
      </c>
      <c r="F34" s="157"/>
      <c r="G34" s="158"/>
    </row>
    <row r="35" spans="2:7">
      <c r="B35" s="177" t="str">
        <f t="shared" ca="1" si="0"/>
        <v>26M</v>
      </c>
      <c r="C35" s="209">
        <f t="shared" ca="1" si="1"/>
        <v>2.3780821917808219</v>
      </c>
      <c r="D35" s="162">
        <f ca="1">IF(NOT($C$6),"",IF(GetConvertDate(CDSRollDate,B35)&lt;Parameter_Date,0,GetGetDefaultprob($I$6,B35)))</f>
        <v>1.0938387986936138E-2</v>
      </c>
      <c r="E35" s="171">
        <f t="shared" ca="1" si="2"/>
        <v>7.552611416526943E-3</v>
      </c>
      <c r="F35" s="157"/>
      <c r="G35" s="158"/>
    </row>
    <row r="36" spans="2:7">
      <c r="B36" s="177" t="str">
        <f t="shared" ca="1" si="0"/>
        <v>27M</v>
      </c>
      <c r="C36" s="209">
        <f t="shared" ca="1" si="1"/>
        <v>2.4602739726027396</v>
      </c>
      <c r="D36" s="162">
        <f ca="1">IF(NOT($C$6),"",IF(GetConvertDate(CDSRollDate,B36)&lt;Parameter_Date,0,GetGetDefaultprob($I$6,B36)))</f>
        <v>1.1552169901011933E-2</v>
      </c>
      <c r="E36" s="171">
        <f t="shared" ca="1" si="2"/>
        <v>7.5526114165264521E-3</v>
      </c>
      <c r="F36" s="157"/>
      <c r="G36" s="158"/>
    </row>
    <row r="37" spans="2:7">
      <c r="B37" s="177" t="str">
        <f t="shared" ca="1" si="0"/>
        <v>28M</v>
      </c>
      <c r="C37" s="209">
        <f t="shared" ca="1" si="1"/>
        <v>2.5452054794520547</v>
      </c>
      <c r="D37" s="162">
        <f ca="1">IF(NOT($C$6),"",IF(GetConvertDate(CDSRollDate,B37)&lt;Parameter_Date,0,GetGetDefaultprob($I$6,B37)))</f>
        <v>1.2186011064033386E-2</v>
      </c>
      <c r="E37" s="171">
        <f t="shared" ca="1" si="2"/>
        <v>7.552611416526943E-3</v>
      </c>
      <c r="F37" s="157"/>
      <c r="G37" s="158"/>
    </row>
    <row r="38" spans="2:7">
      <c r="B38" s="177" t="str">
        <f t="shared" ca="1" si="0"/>
        <v>29M</v>
      </c>
      <c r="C38" s="209">
        <f t="shared" ca="1" si="1"/>
        <v>2.6301369863013697</v>
      </c>
      <c r="D38" s="162">
        <f ca="1">IF(NOT($C$6),"",IF(GetConvertDate(CDSRollDate,B38)&lt;Parameter_Date,0,GetGetDefaultprob($I$6,B38)))</f>
        <v>1.2819445777055294E-2</v>
      </c>
      <c r="E38" s="171">
        <f t="shared" ca="1" si="2"/>
        <v>7.5526114165243262E-3</v>
      </c>
      <c r="F38" s="157"/>
      <c r="G38" s="158"/>
    </row>
    <row r="39" spans="2:7">
      <c r="B39" s="177" t="str">
        <f t="shared" ca="1" si="0"/>
        <v>30M</v>
      </c>
      <c r="C39" s="209">
        <f t="shared" ca="1" si="1"/>
        <v>2.7068493150684931</v>
      </c>
      <c r="D39" s="162">
        <f ca="1">IF(NOT($C$6),"",IF(GetConvertDate(CDSRollDate,B39)&lt;Parameter_Date,0,GetGetDefaultprob($I$6,B39)))</f>
        <v>1.3391231220913125E-2</v>
      </c>
      <c r="E39" s="171">
        <f t="shared" ca="1" si="2"/>
        <v>7.5526114165279865E-3</v>
      </c>
      <c r="F39" s="157"/>
      <c r="G39" s="158"/>
    </row>
    <row r="40" spans="2:7">
      <c r="B40" s="177" t="str">
        <f t="shared" ca="1" si="0"/>
        <v>31M</v>
      </c>
      <c r="C40" s="209">
        <f t="shared" ca="1" si="1"/>
        <v>2.7917808219178082</v>
      </c>
      <c r="D40" s="162">
        <f ca="1">IF(NOT($C$6),"",IF(GetConvertDate(CDSRollDate,B40)&lt;Parameter_Date,0,GetGetDefaultprob($I$6,B40)))</f>
        <v>1.4023893087738548E-2</v>
      </c>
      <c r="E40" s="171">
        <f t="shared" ca="1" si="2"/>
        <v>7.5526114165256342E-3</v>
      </c>
      <c r="F40" s="157"/>
      <c r="G40" s="158"/>
    </row>
    <row r="41" spans="2:7">
      <c r="B41" s="177" t="str">
        <f t="shared" ca="1" si="0"/>
        <v>32M</v>
      </c>
      <c r="C41" s="209">
        <f t="shared" ca="1" si="1"/>
        <v>2.8739726027397259</v>
      </c>
      <c r="D41" s="162">
        <f ca="1">IF(NOT($C$6),"",IF(GetConvertDate(CDSRollDate,B41)&lt;Parameter_Date,0,GetGetDefaultprob($I$6,B41)))</f>
        <v>1.4635760230071515E-2</v>
      </c>
      <c r="E41" s="171">
        <f t="shared" ca="1" si="2"/>
        <v>7.5526114165278026E-3</v>
      </c>
      <c r="F41" s="157"/>
      <c r="G41" s="158"/>
    </row>
    <row r="42" spans="2:7">
      <c r="B42" s="177" t="str">
        <f t="shared" ca="1" si="0"/>
        <v>33M</v>
      </c>
      <c r="C42" s="209">
        <f t="shared" ref="C42:C73" ca="1" si="3">MAX(0,(DATE(YEAR(CDSRollDate),MONTH(CDSRollDate)+ROW()-ROW($B$9),DAY(CDSRollDate))-Parameter_Date)/365)</f>
        <v>2.9589041095890409</v>
      </c>
      <c r="D42" s="162">
        <f ca="1">IF(NOT($C$6),"",IF(GetConvertDate(CDSRollDate,B42)&lt;Parameter_Date,0,GetGetDefaultprob($I$6,B42)))</f>
        <v>1.526762404393911E-2</v>
      </c>
      <c r="E42" s="171">
        <f t="shared" ca="1" si="2"/>
        <v>7.552611416526943E-3</v>
      </c>
      <c r="F42" s="157"/>
      <c r="G42" s="158"/>
    </row>
    <row r="43" spans="2:7">
      <c r="B43" s="177" t="str">
        <f t="shared" ca="1" si="0"/>
        <v>34M</v>
      </c>
      <c r="C43" s="209">
        <f t="shared" ca="1" si="3"/>
        <v>3.0410958904109591</v>
      </c>
      <c r="D43" s="162">
        <f ca="1">IF(NOT($C$6),"",IF(GetConvertDate(CDSRollDate,B43)&lt;Parameter_Date,0,GetGetDefaultprob($I$6,B43)))</f>
        <v>1.5878719364216032E-2</v>
      </c>
      <c r="E43" s="171">
        <f t="shared" ca="1" si="2"/>
        <v>7.5526114165264113E-3</v>
      </c>
      <c r="F43" s="157"/>
      <c r="G43" s="158"/>
    </row>
    <row r="44" spans="2:7">
      <c r="B44" s="177" t="str">
        <f t="shared" ca="1" si="0"/>
        <v>35M</v>
      </c>
      <c r="C44" s="209">
        <f t="shared" ca="1" si="3"/>
        <v>3.1260273972602741</v>
      </c>
      <c r="D44" s="162">
        <f ca="1">IF(NOT($C$6),"",IF(GetConvertDate(CDSRollDate,B44)&lt;Parameter_Date,0,GetGetDefaultprob($I$6,B44)))</f>
        <v>1.6509786131806536E-2</v>
      </c>
      <c r="E44" s="171">
        <f t="shared" ca="1" si="2"/>
        <v>7.552611416526943E-3</v>
      </c>
      <c r="F44" s="157"/>
      <c r="G44" s="158"/>
    </row>
    <row r="45" spans="2:7">
      <c r="B45" s="177" t="str">
        <f t="shared" ca="1" si="0"/>
        <v>36M</v>
      </c>
      <c r="C45" s="209">
        <f t="shared" ca="1" si="3"/>
        <v>3.2109589041095892</v>
      </c>
      <c r="D45" s="162">
        <f ca="1">IF(NOT($C$6),"",IF(GetConvertDate(CDSRollDate,B45)&lt;Parameter_Date,0,GetGetDefaultprob($I$6,B45)))</f>
        <v>1.7140448228475824E-2</v>
      </c>
      <c r="E45" s="171">
        <f t="shared" ca="1" si="2"/>
        <v>7.552611416526943E-3</v>
      </c>
      <c r="F45" s="157"/>
      <c r="G45" s="158"/>
    </row>
    <row r="46" spans="2:7">
      <c r="B46" s="177" t="str">
        <f t="shared" ca="1" si="0"/>
        <v>37M</v>
      </c>
      <c r="C46" s="209">
        <f t="shared" ca="1" si="3"/>
        <v>3.2931506849315069</v>
      </c>
      <c r="D46" s="162">
        <f ca="1">IF(NOT($C$6),"",IF(GetConvertDate(CDSRollDate,B46)&lt;Parameter_Date,0,GetGetDefaultprob($I$6,B46)))</f>
        <v>1.7891162903759472E-2</v>
      </c>
      <c r="E46" s="171">
        <f t="shared" ca="1" si="2"/>
        <v>9.2965319056387483E-3</v>
      </c>
      <c r="F46" s="157"/>
      <c r="G46" s="158"/>
    </row>
    <row r="47" spans="2:7">
      <c r="B47" s="177" t="str">
        <f t="shared" ca="1" si="0"/>
        <v>38M</v>
      </c>
      <c r="C47" s="209">
        <f t="shared" ca="1" si="3"/>
        <v>3.3780821917808219</v>
      </c>
      <c r="D47" s="162">
        <f ca="1">IF(NOT($C$6),"",IF(GetConvertDate(CDSRollDate,B47)&lt;Parameter_Date,0,GetGetDefaultprob($I$6,B47)))</f>
        <v>1.8666299017194521E-2</v>
      </c>
      <c r="E47" s="171">
        <f t="shared" ca="1" si="2"/>
        <v>9.2965319056379919E-3</v>
      </c>
      <c r="F47" s="157"/>
      <c r="G47" s="158"/>
    </row>
    <row r="48" spans="2:7">
      <c r="B48" s="177" t="str">
        <f t="shared" ca="1" si="0"/>
        <v>39M</v>
      </c>
      <c r="C48" s="209">
        <f t="shared" ca="1" si="3"/>
        <v>3.4602739726027396</v>
      </c>
      <c r="D48" s="162">
        <f ca="1">IF(NOT($C$6),"",IF(GetConvertDate(CDSRollDate,B48)&lt;Parameter_Date,0,GetGetDefaultprob($I$6,B48)))</f>
        <v>1.9415848237477662E-2</v>
      </c>
      <c r="E48" s="171">
        <f t="shared" ca="1" si="2"/>
        <v>9.2965319056387483E-3</v>
      </c>
      <c r="F48" s="157"/>
      <c r="G48" s="158"/>
    </row>
    <row r="49" spans="2:7">
      <c r="B49" s="177" t="str">
        <f t="shared" ca="1" si="0"/>
        <v>40M</v>
      </c>
      <c r="C49" s="209">
        <f t="shared" ca="1" si="3"/>
        <v>3.5452054794520547</v>
      </c>
      <c r="D49" s="162">
        <f ca="1">IF(NOT($C$6),"",IF(GetConvertDate(CDSRollDate,B49)&lt;Parameter_Date,0,GetGetDefaultprob($I$6,B49)))</f>
        <v>2.0189780982590277E-2</v>
      </c>
      <c r="E49" s="171">
        <f t="shared" ca="1" si="2"/>
        <v>9.2965319056392999E-3</v>
      </c>
      <c r="F49" s="157"/>
      <c r="G49" s="158"/>
    </row>
    <row r="50" spans="2:7">
      <c r="B50" s="177" t="str">
        <f t="shared" ca="1" si="0"/>
        <v>41M</v>
      </c>
      <c r="C50" s="209">
        <f t="shared" ca="1" si="3"/>
        <v>3.6301369863013697</v>
      </c>
      <c r="D50" s="162">
        <f ca="1">IF(NOT($C$6),"",IF(GetConvertDate(CDSRollDate,B50)&lt;Parameter_Date,0,GetGetDefaultprob($I$6,B50)))</f>
        <v>2.0963102895993013E-2</v>
      </c>
      <c r="E50" s="171">
        <f t="shared" ca="1" si="2"/>
        <v>9.2965319056366839E-3</v>
      </c>
      <c r="F50" s="157"/>
      <c r="G50" s="158"/>
    </row>
    <row r="51" spans="2:7">
      <c r="B51" s="177" t="str">
        <f t="shared" ca="1" si="0"/>
        <v>42M</v>
      </c>
      <c r="C51" s="209">
        <f t="shared" ca="1" si="3"/>
        <v>3.7095890410958905</v>
      </c>
      <c r="D51" s="162">
        <f ca="1">IF(NOT($C$6),"",IF(GetConvertDate(CDSRollDate,B51)&lt;Parameter_Date,0,GetGetDefaultprob($I$6,B51)))</f>
        <v>2.168598050991255E-2</v>
      </c>
      <c r="E51" s="171">
        <f t="shared" ca="1" si="2"/>
        <v>9.2965319056389946E-3</v>
      </c>
      <c r="F51" s="157"/>
      <c r="G51" s="158"/>
    </row>
    <row r="52" spans="2:7">
      <c r="B52" s="177" t="str">
        <f t="shared" ca="1" si="0"/>
        <v>43M</v>
      </c>
      <c r="C52" s="209">
        <f t="shared" ca="1" si="3"/>
        <v>3.7945205479452055</v>
      </c>
      <c r="D52" s="162">
        <f ca="1">IF(NOT($C$6),"",IF(GetConvertDate(CDSRollDate,B52)&lt;Parameter_Date,0,GetGetDefaultprob($I$6,B52)))</f>
        <v>2.2458121537610398E-2</v>
      </c>
      <c r="E52" s="171">
        <f t="shared" ca="1" si="2"/>
        <v>9.2965319056392999E-3</v>
      </c>
      <c r="F52" s="157"/>
      <c r="G52" s="158"/>
    </row>
    <row r="53" spans="2:7">
      <c r="B53" s="177" t="str">
        <f t="shared" ca="1" si="0"/>
        <v>44M</v>
      </c>
      <c r="C53" s="209">
        <f t="shared" ca="1" si="3"/>
        <v>3.8767123287671232</v>
      </c>
      <c r="D53" s="162">
        <f ca="1">IF(NOT($C$6),"",IF(GetConvertDate(CDSRollDate,B53)&lt;Parameter_Date,0,GetGetDefaultprob($I$6,B53)))</f>
        <v>2.3204774538584161E-2</v>
      </c>
      <c r="E53" s="171">
        <f t="shared" ca="1" si="2"/>
        <v>9.2965319056373969E-3</v>
      </c>
      <c r="F53" s="157"/>
      <c r="G53" s="158"/>
    </row>
    <row r="54" spans="2:7">
      <c r="B54" s="177" t="str">
        <f t="shared" ca="1" si="0"/>
        <v>45M</v>
      </c>
      <c r="C54" s="209">
        <f t="shared" ca="1" si="3"/>
        <v>3.9616438356164383</v>
      </c>
      <c r="D54" s="162">
        <f ca="1">IF(NOT($C$6),"",IF(GetConvertDate(CDSRollDate,B54)&lt;Parameter_Date,0,GetGetDefaultprob($I$6,B54)))</f>
        <v>2.3975716847712381E-2</v>
      </c>
      <c r="E54" s="171">
        <f t="shared" ca="1" si="2"/>
        <v>9.2965319056406079E-3</v>
      </c>
      <c r="F54" s="157"/>
      <c r="G54" s="158"/>
    </row>
    <row r="55" spans="2:7">
      <c r="B55" s="177" t="str">
        <f t="shared" ca="1" si="0"/>
        <v>46M</v>
      </c>
      <c r="C55" s="209">
        <f t="shared" ca="1" si="3"/>
        <v>4.043835616438356</v>
      </c>
      <c r="D55" s="162">
        <f ca="1">IF(NOT($C$6),"",IF(GetConvertDate(CDSRollDate,B55)&lt;Parameter_Date,0,GetGetDefaultprob($I$6,B55)))</f>
        <v>2.4721210699275353E-2</v>
      </c>
      <c r="E55" s="171">
        <f t="shared" ca="1" si="2"/>
        <v>9.2965319056387483E-3</v>
      </c>
      <c r="F55" s="157"/>
      <c r="G55" s="158"/>
    </row>
    <row r="56" spans="2:7">
      <c r="B56" s="177" t="str">
        <f t="shared" ca="1" si="0"/>
        <v>47M</v>
      </c>
      <c r="C56" s="209">
        <f t="shared" ca="1" si="3"/>
        <v>4.1287671232876715</v>
      </c>
      <c r="D56" s="162">
        <f ca="1">IF(NOT($C$6),"",IF(GetConvertDate(CDSRollDate,B56)&lt;Parameter_Date,0,GetGetDefaultprob($I$6,B56)))</f>
        <v>2.5490956150797106E-2</v>
      </c>
      <c r="E56" s="171">
        <f t="shared" ca="1" si="2"/>
        <v>9.2965319056379433E-3</v>
      </c>
      <c r="F56" s="157"/>
      <c r="G56" s="158"/>
    </row>
    <row r="57" spans="2:7">
      <c r="B57" s="177" t="str">
        <f t="shared" ca="1" si="0"/>
        <v>48M</v>
      </c>
      <c r="C57" s="209">
        <f t="shared" ca="1" si="3"/>
        <v>4.2136986301369861</v>
      </c>
      <c r="D57" s="162">
        <f ca="1">IF(NOT($C$6),"",IF(GetConvertDate(CDSRollDate,B57)&lt;Parameter_Date,0,GetGetDefaultprob($I$6,B57)))</f>
        <v>2.6260094075459373E-2</v>
      </c>
      <c r="E57" s="171">
        <f t="shared" ca="1" si="2"/>
        <v>9.2965319056393485E-3</v>
      </c>
      <c r="F57" s="157"/>
      <c r="G57" s="158"/>
    </row>
    <row r="58" spans="2:7">
      <c r="B58" s="177" t="str">
        <f t="shared" ca="1" si="0"/>
        <v>49M</v>
      </c>
      <c r="C58" s="209">
        <f t="shared" ca="1" si="3"/>
        <v>4.2958904109589042</v>
      </c>
      <c r="D58" s="162">
        <f ca="1">IF(NOT($C$6),"",IF(GetConvertDate(CDSRollDate,B58)&lt;Parameter_Date,0,GetGetDefaultprob($I$6,B58)))</f>
        <v>2.7003843104473013E-2</v>
      </c>
      <c r="E58" s="171">
        <f t="shared" ca="1" si="2"/>
        <v>9.296531905638698E-3</v>
      </c>
      <c r="F58" s="157"/>
      <c r="G58" s="158"/>
    </row>
    <row r="59" spans="2:7">
      <c r="B59" s="177" t="str">
        <f t="shared" ca="1" si="0"/>
        <v>50M</v>
      </c>
      <c r="C59" s="209">
        <f t="shared" ca="1" si="3"/>
        <v>4.3808219178082188</v>
      </c>
      <c r="D59" s="162">
        <f ca="1">IF(NOT($C$6),"",IF(GetConvertDate(CDSRollDate,B59)&lt;Parameter_Date,0,GetGetDefaultprob($I$6,B59)))</f>
        <v>2.7771786972764723E-2</v>
      </c>
      <c r="E59" s="171">
        <f t="shared" ca="1" si="2"/>
        <v>9.2965319056380405E-3</v>
      </c>
      <c r="F59" s="157"/>
      <c r="G59" s="158"/>
    </row>
    <row r="60" spans="2:7">
      <c r="B60" s="177" t="str">
        <f t="shared" ca="1" si="0"/>
        <v>51M</v>
      </c>
      <c r="C60" s="209">
        <f t="shared" ca="1" si="3"/>
        <v>4.463013698630137</v>
      </c>
      <c r="D60" s="162">
        <f ca="1">IF(NOT($C$6),"",IF(GetConvertDate(CDSRollDate,B60)&lt;Parameter_Date,0,GetGetDefaultprob($I$6,B60)))</f>
        <v>2.8514381360669749E-2</v>
      </c>
      <c r="E60" s="171">
        <f t="shared" ca="1" si="2"/>
        <v>9.2965319056400493E-3</v>
      </c>
      <c r="F60" s="157"/>
      <c r="G60" s="158"/>
    </row>
    <row r="61" spans="2:7">
      <c r="B61" s="177" t="str">
        <f t="shared" ca="1" si="0"/>
        <v>52M</v>
      </c>
      <c r="C61" s="209">
        <f t="shared" ca="1" si="3"/>
        <v>4.5479452054794525</v>
      </c>
      <c r="D61" s="162">
        <f ca="1">IF(NOT($C$6),"",IF(GetConvertDate(CDSRollDate,B61)&lt;Parameter_Date,0,GetGetDefaultprob($I$6,B61)))</f>
        <v>2.9281133026316741E-2</v>
      </c>
      <c r="E61" s="171">
        <f t="shared" ca="1" si="2"/>
        <v>9.2965319056392513E-3</v>
      </c>
      <c r="F61" s="157"/>
      <c r="G61" s="158"/>
    </row>
    <row r="62" spans="2:7">
      <c r="B62" s="177" t="str">
        <f t="shared" ca="1" si="0"/>
        <v>53M</v>
      </c>
      <c r="C62" s="209">
        <f t="shared" ca="1" si="3"/>
        <v>4.6328767123287671</v>
      </c>
      <c r="D62" s="162">
        <f ca="1">IF(NOT($C$6),"",IF(GetConvertDate(CDSRollDate,B62)&lt;Parameter_Date,0,GetGetDefaultprob($I$6,B62)))</f>
        <v>3.0047279527970039E-2</v>
      </c>
      <c r="E62" s="171">
        <f t="shared" ca="1" si="2"/>
        <v>9.2965319056380405E-3</v>
      </c>
      <c r="F62" s="157"/>
      <c r="G62" s="158"/>
    </row>
    <row r="63" spans="2:7">
      <c r="B63" s="177" t="str">
        <f t="shared" ca="1" si="0"/>
        <v>54M</v>
      </c>
      <c r="C63" s="209">
        <f t="shared" ca="1" si="3"/>
        <v>4.7095890410958905</v>
      </c>
      <c r="D63" s="162">
        <f ca="1">IF(NOT($C$6),"",IF(GetConvertDate(CDSRollDate,B63)&lt;Parameter_Date,0,GetGetDefaultprob($I$6,B63)))</f>
        <v>3.0738763065721542E-2</v>
      </c>
      <c r="E63" s="171">
        <f t="shared" ca="1" si="2"/>
        <v>9.2965319056369199E-3</v>
      </c>
      <c r="F63" s="157"/>
      <c r="G63" s="158"/>
    </row>
    <row r="64" spans="2:7">
      <c r="B64" s="177" t="str">
        <f t="shared" ca="1" si="0"/>
        <v>55M</v>
      </c>
      <c r="C64" s="209">
        <f t="shared" ca="1" si="3"/>
        <v>4.7945205479452051</v>
      </c>
      <c r="D64" s="162">
        <f ca="1">IF(NOT($C$6),"",IF(GetConvertDate(CDSRollDate,B64)&lt;Parameter_Date,0,GetGetDefaultprob($I$6,B64)))</f>
        <v>3.1503759122901931E-2</v>
      </c>
      <c r="E64" s="171">
        <f t="shared" ca="1" si="2"/>
        <v>9.2965319056406565E-3</v>
      </c>
      <c r="F64" s="157"/>
      <c r="G64" s="158"/>
    </row>
    <row r="65" spans="2:7">
      <c r="B65" s="177" t="str">
        <f t="shared" ca="1" si="0"/>
        <v>56M</v>
      </c>
      <c r="C65" s="209">
        <f t="shared" ca="1" si="3"/>
        <v>4.8767123287671232</v>
      </c>
      <c r="D65" s="162">
        <f ca="1">IF(NOT($C$6),"",IF(GetConvertDate(CDSRollDate,B65)&lt;Parameter_Date,0,GetGetDefaultprob($I$6,B65)))</f>
        <v>3.2243503005609186E-2</v>
      </c>
      <c r="E65" s="171">
        <f t="shared" ca="1" si="2"/>
        <v>9.2965319056373466E-3</v>
      </c>
      <c r="F65" s="157"/>
      <c r="G65" s="158"/>
    </row>
    <row r="66" spans="2:7">
      <c r="B66" s="177" t="str">
        <f t="shared" ca="1" si="0"/>
        <v>57M</v>
      </c>
      <c r="C66" s="209">
        <f t="shared" ca="1" si="3"/>
        <v>4.9616438356164387</v>
      </c>
      <c r="D66" s="162">
        <f ca="1">IF(NOT($C$6),"",IF(GetConvertDate(CDSRollDate,B66)&lt;Parameter_Date,0,GetGetDefaultprob($I$6,B66)))</f>
        <v>3.3007311436505371E-2</v>
      </c>
      <c r="E66" s="171">
        <f t="shared" ca="1" si="2"/>
        <v>9.2965319056379433E-3</v>
      </c>
      <c r="F66" s="157"/>
      <c r="G66" s="158"/>
    </row>
    <row r="67" spans="2:7">
      <c r="B67" s="177" t="str">
        <f t="shared" ca="1" si="0"/>
        <v>58M</v>
      </c>
      <c r="C67" s="209">
        <f t="shared" ca="1" si="3"/>
        <v>5.043835616438356</v>
      </c>
      <c r="D67" s="162">
        <f ca="1">IF(NOT($C$6),"",IF(GetConvertDate(CDSRollDate,B67)&lt;Parameter_Date,0,GetGetDefaultprob($I$6,B67)))</f>
        <v>3.374590689593604E-2</v>
      </c>
      <c r="E67" s="171">
        <f t="shared" ca="1" si="2"/>
        <v>9.2965319056374472E-3</v>
      </c>
      <c r="F67" s="157"/>
      <c r="G67" s="158"/>
    </row>
    <row r="68" spans="2:7">
      <c r="B68" s="177" t="str">
        <f t="shared" ca="1" si="0"/>
        <v>59M</v>
      </c>
      <c r="C68" s="209">
        <f t="shared" ca="1" si="3"/>
        <v>5.1287671232876715</v>
      </c>
      <c r="D68" s="162">
        <f ca="1">IF(NOT($C$6),"",IF(GetConvertDate(CDSRollDate,B68)&lt;Parameter_Date,0,GetGetDefaultprob($I$6,B68)))</f>
        <v>3.45085295442914E-2</v>
      </c>
      <c r="E68" s="171">
        <f t="shared" ca="1" si="2"/>
        <v>9.2965319056405593E-3</v>
      </c>
      <c r="F68" s="157"/>
      <c r="G68" s="158"/>
    </row>
    <row r="69" spans="2:7">
      <c r="B69" s="177" t="str">
        <f t="shared" ca="1" si="0"/>
        <v>60M</v>
      </c>
      <c r="C69" s="209">
        <f t="shared" ca="1" si="3"/>
        <v>5.2136986301369861</v>
      </c>
      <c r="D69" s="162">
        <f ca="1">IF(NOT($C$6),"",IF(GetConvertDate(CDSRollDate,B69)&lt;Parameter_Date,0,GetGetDefaultprob($I$6,B69)))</f>
        <v>3.5270550287508029E-2</v>
      </c>
      <c r="E69" s="171">
        <f t="shared" ca="1" si="2"/>
        <v>9.2965319056380405E-3</v>
      </c>
      <c r="F69" s="157"/>
      <c r="G69" s="158"/>
    </row>
    <row r="70" spans="2:7">
      <c r="B70" s="177" t="str">
        <f t="shared" ca="1" si="0"/>
        <v>61M</v>
      </c>
      <c r="C70" s="209">
        <f t="shared" ca="1" si="3"/>
        <v>5.2958904109589042</v>
      </c>
      <c r="D70" s="162">
        <f ca="1">IF(NOT($C$6),"",IF(GetConvertDate(CDSRollDate,B70)&lt;Parameter_Date,0,GetGetDefaultprob($I$6,B70)))</f>
        <v>3.6024014225081169E-2</v>
      </c>
      <c r="E70" s="171">
        <f t="shared" ca="1" si="2"/>
        <v>9.5060084048905445E-3</v>
      </c>
      <c r="F70" s="157"/>
      <c r="G70" s="158"/>
    </row>
    <row r="71" spans="2:7">
      <c r="B71" s="177" t="str">
        <f t="shared" ca="1" si="0"/>
        <v>62M</v>
      </c>
      <c r="C71" s="209">
        <f t="shared" ca="1" si="3"/>
        <v>5.3808219178082188</v>
      </c>
      <c r="D71" s="162">
        <f ca="1">IF(NOT($C$6),"",IF(GetConvertDate(CDSRollDate,B71)&lt;Parameter_Date,0,GetGetDefaultprob($I$6,B71)))</f>
        <v>3.6801975419184618E-2</v>
      </c>
      <c r="E71" s="171">
        <f t="shared" ca="1" si="2"/>
        <v>9.5060084048901334E-3</v>
      </c>
      <c r="F71" s="157"/>
      <c r="G71" s="158"/>
    </row>
    <row r="72" spans="2:7">
      <c r="B72" s="177" t="str">
        <f t="shared" ca="1" si="0"/>
        <v>63M</v>
      </c>
      <c r="C72" s="209">
        <f t="shared" ca="1" si="3"/>
        <v>5.463013698630137</v>
      </c>
      <c r="D72" s="162">
        <f ca="1">IF(NOT($C$6),"",IF(GetConvertDate(CDSRollDate,B72)&lt;Parameter_Date,0,GetGetDefaultprob($I$6,B72)))</f>
        <v>3.7554243297478918E-2</v>
      </c>
      <c r="E72" s="171">
        <f t="shared" ca="1" si="2"/>
        <v>9.5060084048891914E-3</v>
      </c>
      <c r="F72" s="157"/>
      <c r="G72" s="158"/>
    </row>
    <row r="73" spans="2:7">
      <c r="B73" s="177" t="str">
        <f t="shared" ca="1" si="0"/>
        <v>64M</v>
      </c>
      <c r="C73" s="209">
        <f t="shared" ca="1" si="3"/>
        <v>5.5479452054794525</v>
      </c>
      <c r="D73" s="162">
        <f ca="1">IF(NOT($C$6),"",IF(GetConvertDate(CDSRollDate,B73)&lt;Parameter_Date,0,GetGetDefaultprob($I$6,B73)))</f>
        <v>3.8330969545013138E-2</v>
      </c>
      <c r="E73" s="171">
        <f t="shared" ca="1" si="2"/>
        <v>9.5060084048900345E-3</v>
      </c>
      <c r="F73" s="157"/>
      <c r="G73" s="158"/>
    </row>
    <row r="74" spans="2:7">
      <c r="B74" s="177" t="str">
        <f t="shared" ca="1" si="0"/>
        <v>65M</v>
      </c>
      <c r="C74" s="209">
        <f t="shared" ref="C74:C105" ca="1" si="4">MAX(0,(DATE(YEAR(CDSRollDate),MONTH(CDSRollDate)+ROW()-ROW($B$9),DAY(CDSRollDate))-Parameter_Date)/365)</f>
        <v>5.6328767123287671</v>
      </c>
      <c r="D74" s="162">
        <f ca="1">IF(NOT($C$6),"",IF(GetConvertDate(CDSRollDate,B74)&lt;Parameter_Date,0,GetGetDefaultprob($I$6,B74)))</f>
        <v>3.9107068948219359E-2</v>
      </c>
      <c r="E74" s="171">
        <f t="shared" ca="1" si="2"/>
        <v>9.5060084048901334E-3</v>
      </c>
      <c r="F74" s="157"/>
      <c r="G74" s="158"/>
    </row>
    <row r="75" spans="2:7">
      <c r="B75" s="177" t="str">
        <f t="shared" ref="B75:B129" ca="1" si="5">ROW()-ROW($B$9)&amp;"M"</f>
        <v>66M</v>
      </c>
      <c r="C75" s="209">
        <f t="shared" ca="1" si="4"/>
        <v>5.7095890410958905</v>
      </c>
      <c r="D75" s="162">
        <f ca="1">IF(NOT($C$6),"",IF(GetConvertDate(CDSRollDate,B75)&lt;Parameter_Date,0,GetGetDefaultprob($I$6,B75)))</f>
        <v>3.9807523592295557E-2</v>
      </c>
      <c r="E75" s="171">
        <f t="shared" ca="1" si="2"/>
        <v>9.5060084048906191E-3</v>
      </c>
      <c r="F75" s="157"/>
      <c r="G75" s="158"/>
    </row>
    <row r="76" spans="2:7">
      <c r="B76" s="177" t="str">
        <f t="shared" ca="1" si="5"/>
        <v>67M</v>
      </c>
      <c r="C76" s="209">
        <f t="shared" ca="1" si="4"/>
        <v>5.7945205479452051</v>
      </c>
      <c r="D76" s="162">
        <f ca="1">IF(NOT($C$6),"",IF(GetConvertDate(CDSRollDate,B76)&lt;Parameter_Date,0,GetGetDefaultprob($I$6,B76)))</f>
        <v>4.0582431366491645E-2</v>
      </c>
      <c r="E76" s="171">
        <f t="shared" ref="E76:E129" ca="1" si="6">IF(NOT($C$6),"",IF(C76=0,0,-LN((1-D76)/(1-D75))/($C76-$C75)))</f>
        <v>9.5060084048914414E-3</v>
      </c>
      <c r="F76" s="157"/>
      <c r="G76" s="158"/>
    </row>
    <row r="77" spans="2:7">
      <c r="B77" s="177" t="str">
        <f t="shared" ca="1" si="5"/>
        <v>68M</v>
      </c>
      <c r="C77" s="209">
        <f t="shared" ca="1" si="4"/>
        <v>5.8767123287671232</v>
      </c>
      <c r="D77" s="162">
        <f ca="1">IF(NOT($C$6),"",IF(GetConvertDate(CDSRollDate,B77)&lt;Parameter_Date,0,GetGetDefaultprob($I$6,B77)))</f>
        <v>4.133174666857431E-2</v>
      </c>
      <c r="E77" s="171">
        <f t="shared" ca="1" si="6"/>
        <v>9.5060084048891914E-3</v>
      </c>
      <c r="F77" s="157"/>
      <c r="G77" s="158"/>
    </row>
    <row r="78" spans="2:7">
      <c r="B78" s="177" t="str">
        <f t="shared" ca="1" si="5"/>
        <v>69M</v>
      </c>
      <c r="C78" s="209">
        <f t="shared" ca="1" si="4"/>
        <v>5.9616438356164387</v>
      </c>
      <c r="D78" s="162">
        <f ca="1">IF(NOT($C$6),"",IF(GetConvertDate(CDSRollDate,B78)&lt;Parameter_Date,0,GetGetDefaultprob($I$6,B78)))</f>
        <v>4.2105424343242936E-2</v>
      </c>
      <c r="E78" s="171">
        <f t="shared" ca="1" si="6"/>
        <v>9.5060084048900345E-3</v>
      </c>
      <c r="F78" s="157"/>
      <c r="G78" s="158"/>
    </row>
    <row r="79" spans="2:7">
      <c r="B79" s="177" t="str">
        <f t="shared" ca="1" si="5"/>
        <v>70M</v>
      </c>
      <c r="C79" s="209">
        <f t="shared" ca="1" si="4"/>
        <v>6.043835616438356</v>
      </c>
      <c r="D79" s="162">
        <f ca="1">IF(NOT($C$6),"",IF(GetConvertDate(CDSRollDate,B79)&lt;Parameter_Date,0,GetGetDefaultprob($I$6,B79)))</f>
        <v>4.285355017164949E-2</v>
      </c>
      <c r="E79" s="171">
        <f t="shared" ca="1" si="6"/>
        <v>9.5060084048906469E-3</v>
      </c>
      <c r="F79" s="157"/>
      <c r="G79" s="158"/>
    </row>
    <row r="80" spans="2:7">
      <c r="B80" s="177" t="str">
        <f t="shared" ca="1" si="5"/>
        <v>71M</v>
      </c>
      <c r="C80" s="209">
        <f t="shared" ca="1" si="4"/>
        <v>6.1287671232876715</v>
      </c>
      <c r="D80" s="162">
        <f ca="1">IF(NOT($C$6),"",IF(GetConvertDate(CDSRollDate,B80)&lt;Parameter_Date,0,GetGetDefaultprob($I$6,B80)))</f>
        <v>4.362599969946801E-2</v>
      </c>
      <c r="E80" s="171">
        <f t="shared" ca="1" si="6"/>
        <v>9.5060084048887248E-3</v>
      </c>
      <c r="F80" s="157"/>
      <c r="G80" s="158"/>
    </row>
    <row r="81" spans="2:7">
      <c r="B81" s="177" t="str">
        <f t="shared" ca="1" si="5"/>
        <v>72M</v>
      </c>
      <c r="C81" s="209">
        <f t="shared" ca="1" si="4"/>
        <v>6.2136986301369861</v>
      </c>
      <c r="D81" s="162">
        <f ca="1">IF(NOT($C$6),"",IF(GetConvertDate(CDSRollDate,B81)&lt;Parameter_Date,0,GetGetDefaultprob($I$6,B81)))</f>
        <v>4.4397825834415983E-2</v>
      </c>
      <c r="E81" s="171">
        <f t="shared" ca="1" si="6"/>
        <v>9.5060084048914414E-3</v>
      </c>
      <c r="F81" s="157"/>
      <c r="G81" s="158"/>
    </row>
    <row r="82" spans="2:7">
      <c r="B82" s="177" t="str">
        <f t="shared" ca="1" si="5"/>
        <v>73M</v>
      </c>
      <c r="C82" s="209">
        <f t="shared" ca="1" si="4"/>
        <v>6.2958904109589042</v>
      </c>
      <c r="D82" s="162">
        <f ca="1">IF(NOT($C$6),"",IF(GetConvertDate(CDSRollDate,B82)&lt;Parameter_Date,0,GetGetDefaultprob($I$6,B82)))</f>
        <v>4.5144161272931749E-2</v>
      </c>
      <c r="E82" s="171">
        <f t="shared" ca="1" si="6"/>
        <v>9.5060084048891914E-3</v>
      </c>
      <c r="F82" s="157"/>
      <c r="G82" s="158"/>
    </row>
    <row r="83" spans="2:7">
      <c r="B83" s="177" t="str">
        <f t="shared" ca="1" si="5"/>
        <v>74M</v>
      </c>
      <c r="C83" s="209">
        <f t="shared" ca="1" si="4"/>
        <v>6.3808219178082188</v>
      </c>
      <c r="D83" s="162">
        <f ca="1">IF(NOT($C$6),"",IF(GetConvertDate(CDSRollDate,B83)&lt;Parameter_Date,0,GetGetDefaultprob($I$6,B83)))</f>
        <v>4.5914762200189863E-2</v>
      </c>
      <c r="E83" s="171">
        <f t="shared" ca="1" si="6"/>
        <v>9.5060084048901334E-3</v>
      </c>
      <c r="F83" s="157"/>
      <c r="G83" s="158"/>
    </row>
    <row r="84" spans="2:7">
      <c r="B84" s="177" t="str">
        <f t="shared" ca="1" si="5"/>
        <v>75M</v>
      </c>
      <c r="C84" s="209">
        <f t="shared" ca="1" si="4"/>
        <v>6.463013698630137</v>
      </c>
      <c r="D84" s="162">
        <f ca="1">IF(NOT($C$6),"",IF(GetConvertDate(CDSRollDate,B84)&lt;Parameter_Date,0,GetGetDefaultprob($I$6,B84)))</f>
        <v>4.6659912895306799E-2</v>
      </c>
      <c r="E84" s="171">
        <f t="shared" ca="1" si="6"/>
        <v>9.5060084048891914E-3</v>
      </c>
      <c r="F84" s="157"/>
      <c r="G84" s="158"/>
    </row>
    <row r="85" spans="2:7">
      <c r="B85" s="177" t="str">
        <f t="shared" ca="1" si="5"/>
        <v>76M</v>
      </c>
      <c r="C85" s="209">
        <f t="shared" ca="1" si="4"/>
        <v>6.5479452054794525</v>
      </c>
      <c r="D85" s="162">
        <f ca="1">IF(NOT($C$6),"",IF(GetConvertDate(CDSRollDate,B85)&lt;Parameter_Date,0,GetGetDefaultprob($I$6,B85)))</f>
        <v>4.7429290559787174E-2</v>
      </c>
      <c r="E85" s="171">
        <f t="shared" ca="1" si="6"/>
        <v>9.5060084048913425E-3</v>
      </c>
      <c r="F85" s="157"/>
      <c r="G85" s="158"/>
    </row>
    <row r="86" spans="2:7">
      <c r="B86" s="177" t="str">
        <f t="shared" ca="1" si="5"/>
        <v>77M</v>
      </c>
      <c r="C86" s="209">
        <f t="shared" ca="1" si="4"/>
        <v>6.6328767123287671</v>
      </c>
      <c r="D86" s="162">
        <f ca="1">IF(NOT($C$6),"",IF(GetConvertDate(CDSRollDate,B86)&lt;Parameter_Date,0,GetGetDefaultprob($I$6,B86)))</f>
        <v>4.8198047310494263E-2</v>
      </c>
      <c r="E86" s="171">
        <f t="shared" ca="1" si="6"/>
        <v>9.5060084048901334E-3</v>
      </c>
      <c r="F86" s="157"/>
      <c r="G86" s="158"/>
    </row>
    <row r="87" spans="2:7">
      <c r="B87" s="177" t="str">
        <f t="shared" ca="1" si="5"/>
        <v>78M</v>
      </c>
      <c r="C87" s="209">
        <f t="shared" ca="1" si="4"/>
        <v>6.7095890410958905</v>
      </c>
      <c r="D87" s="162">
        <f ca="1">IF(NOT($C$6),"",IF(GetConvertDate(CDSRollDate,B87)&lt;Parameter_Date,0,GetGetDefaultprob($I$6,B87)))</f>
        <v>4.8891874974802629E-2</v>
      </c>
      <c r="E87" s="171">
        <f t="shared" ca="1" si="6"/>
        <v>9.5060084048891706E-3</v>
      </c>
      <c r="F87" s="157"/>
      <c r="G87" s="158"/>
    </row>
    <row r="88" spans="2:7">
      <c r="B88" s="177" t="str">
        <f t="shared" ca="1" si="5"/>
        <v>79M</v>
      </c>
      <c r="C88" s="209">
        <f t="shared" ca="1" si="4"/>
        <v>6.7945205479452051</v>
      </c>
      <c r="D88" s="162">
        <f ca="1">IF(NOT($C$6),"",IF(GetConvertDate(CDSRollDate,B88)&lt;Parameter_Date,0,GetGetDefaultprob($I$6,B88)))</f>
        <v>4.9659451370464902E-2</v>
      </c>
      <c r="E88" s="171">
        <f t="shared" ca="1" si="6"/>
        <v>9.5060084048914414E-3</v>
      </c>
      <c r="F88" s="157"/>
      <c r="G88" s="158"/>
    </row>
    <row r="89" spans="2:7">
      <c r="B89" s="177" t="str">
        <f t="shared" ca="1" si="5"/>
        <v>80M</v>
      </c>
      <c r="C89" s="209">
        <f t="shared" ca="1" si="4"/>
        <v>6.8767123287671232</v>
      </c>
      <c r="D89" s="162">
        <f ca="1">IF(NOT($C$6),"",IF(GetConvertDate(CDSRollDate,B89)&lt;Parameter_Date,0,GetGetDefaultprob($I$6,B89)))</f>
        <v>5.0401677423602687E-2</v>
      </c>
      <c r="E89" s="171">
        <f t="shared" ca="1" si="6"/>
        <v>9.5060084048905445E-3</v>
      </c>
      <c r="F89" s="157"/>
      <c r="G89" s="158"/>
    </row>
    <row r="90" spans="2:7">
      <c r="B90" s="177" t="str">
        <f t="shared" ca="1" si="5"/>
        <v>81M</v>
      </c>
      <c r="C90" s="209">
        <f t="shared" ca="1" si="4"/>
        <v>6.9616438356164387</v>
      </c>
      <c r="D90" s="162">
        <f ca="1">IF(NOT($C$6),"",IF(GetConvertDate(CDSRollDate,B90)&lt;Parameter_Date,0,GetGetDefaultprob($I$6,B90)))</f>
        <v>5.1168035357671227E-2</v>
      </c>
      <c r="E90" s="171">
        <f t="shared" ca="1" si="6"/>
        <v>9.5060084048900345E-3</v>
      </c>
      <c r="F90" s="157"/>
      <c r="G90" s="158"/>
    </row>
    <row r="91" spans="2:7">
      <c r="B91" s="177" t="str">
        <f t="shared" ca="1" si="5"/>
        <v>82M</v>
      </c>
      <c r="C91" s="209">
        <f t="shared" ca="1" si="4"/>
        <v>7.043835616438356</v>
      </c>
      <c r="D91" s="162">
        <f ca="1">IF(NOT($C$6),"",IF(GetConvertDate(CDSRollDate,B91)&lt;Parameter_Date,0,GetGetDefaultprob($I$6,B91)))</f>
        <v>5.1909083190706307E-2</v>
      </c>
      <c r="E91" s="171">
        <f t="shared" ca="1" si="6"/>
        <v>9.5060084048892955E-3</v>
      </c>
      <c r="F91" s="157"/>
      <c r="G91" s="158"/>
    </row>
    <row r="92" spans="2:7">
      <c r="B92" s="177" t="str">
        <f t="shared" ca="1" si="5"/>
        <v>83M</v>
      </c>
      <c r="C92" s="209">
        <f t="shared" ca="1" si="4"/>
        <v>7.1287671232876715</v>
      </c>
      <c r="D92" s="162">
        <f ca="1">IF(NOT($C$6),"",IF(GetConvertDate(CDSRollDate,B92)&lt;Parameter_Date,0,GetGetDefaultprob($I$6,B92)))</f>
        <v>5.2674224597384245E-2</v>
      </c>
      <c r="E92" s="171">
        <f t="shared" ca="1" si="6"/>
        <v>9.5060084048900345E-3</v>
      </c>
      <c r="F92" s="157"/>
      <c r="G92" s="158"/>
    </row>
    <row r="93" spans="2:7">
      <c r="B93" s="177" t="str">
        <f t="shared" ca="1" si="5"/>
        <v>84M</v>
      </c>
      <c r="C93" s="209">
        <f t="shared" ca="1" si="4"/>
        <v>7.2136986301369861</v>
      </c>
      <c r="D93" s="162">
        <f ca="1">IF(NOT($C$6),"",IF(GetConvertDate(CDSRollDate,B93)&lt;Parameter_Date,0,GetGetDefaultprob($I$6,B93)))</f>
        <v>5.3438748509092249E-2</v>
      </c>
      <c r="E93" s="171">
        <f t="shared" ca="1" si="6"/>
        <v>9.5060084048914414E-3</v>
      </c>
      <c r="F93" s="157"/>
      <c r="G93" s="158"/>
    </row>
    <row r="94" spans="2:7">
      <c r="B94" s="177" t="str">
        <f t="shared" ca="1" si="5"/>
        <v>85M</v>
      </c>
      <c r="C94" s="209">
        <f t="shared" ca="1" si="4"/>
        <v>7.2958904109589042</v>
      </c>
      <c r="D94" s="162">
        <f ca="1">IF(NOT($C$6),"",IF(GetConvertDate(CDSRollDate,B94)&lt;Parameter_Date,0,GetGetDefaultprob($I$6,B94)))</f>
        <v>5.4232090605970451E-2</v>
      </c>
      <c r="E94" s="171">
        <f t="shared" ca="1" si="6"/>
        <v>1.0201533232564083E-2</v>
      </c>
      <c r="F94" s="157"/>
      <c r="G94" s="158"/>
    </row>
    <row r="95" spans="2:7">
      <c r="B95" s="177" t="str">
        <f t="shared" ca="1" si="5"/>
        <v>86M</v>
      </c>
      <c r="C95" s="209">
        <f t="shared" ca="1" si="4"/>
        <v>7.3808219178082188</v>
      </c>
      <c r="D95" s="162">
        <f ca="1">IF(NOT($C$6),"",IF(GetConvertDate(CDSRollDate,B95)&lt;Parameter_Date,0,GetGetDefaultprob($I$6,B95)))</f>
        <v>5.5051178905883624E-2</v>
      </c>
      <c r="E95" s="171">
        <f t="shared" ca="1" si="6"/>
        <v>1.0201533232563637E-2</v>
      </c>
      <c r="F95" s="157"/>
      <c r="G95" s="158"/>
    </row>
    <row r="96" spans="2:7">
      <c r="B96" s="177" t="str">
        <f t="shared" ca="1" si="5"/>
        <v>87M</v>
      </c>
      <c r="C96" s="209">
        <f t="shared" ca="1" si="4"/>
        <v>7.463013698630137</v>
      </c>
      <c r="D96" s="162">
        <f ca="1">IF(NOT($C$6),"",IF(GetConvertDate(CDSRollDate,B96)&lt;Parameter_Date,0,GetGetDefaultprob($I$6,B96)))</f>
        <v>5.5843169575254925E-2</v>
      </c>
      <c r="E96" s="171">
        <f t="shared" ca="1" si="6"/>
        <v>1.020153323256138E-2</v>
      </c>
      <c r="F96" s="157"/>
      <c r="G96" s="158"/>
    </row>
    <row r="97" spans="2:7">
      <c r="B97" s="177" t="str">
        <f t="shared" ca="1" si="5"/>
        <v>88M</v>
      </c>
      <c r="C97" s="209">
        <f t="shared" ca="1" si="4"/>
        <v>7.5479452054794525</v>
      </c>
      <c r="D97" s="162">
        <f ca="1">IF(NOT($C$6),"",IF(GetConvertDate(CDSRollDate,B97)&lt;Parameter_Date,0,GetGetDefaultprob($I$6,B97)))</f>
        <v>5.6660862590002692E-2</v>
      </c>
      <c r="E97" s="171">
        <f t="shared" ca="1" si="6"/>
        <v>1.0201533232564839E-2</v>
      </c>
      <c r="F97" s="157"/>
      <c r="G97" s="158"/>
    </row>
    <row r="98" spans="2:7">
      <c r="B98" s="177" t="str">
        <f t="shared" ca="1" si="5"/>
        <v>89M</v>
      </c>
      <c r="C98" s="209">
        <f t="shared" ca="1" si="4"/>
        <v>7.6328767123287671</v>
      </c>
      <c r="D98" s="162">
        <f ca="1">IF(NOT($C$6),"",IF(GetConvertDate(CDSRollDate,B98)&lt;Parameter_Date,0,GetGetDefaultprob($I$6,B98)))</f>
        <v>5.7477847436525731E-2</v>
      </c>
      <c r="E98" s="171">
        <f t="shared" ca="1" si="6"/>
        <v>1.0201533232563637E-2</v>
      </c>
      <c r="F98" s="157"/>
      <c r="G98" s="158"/>
    </row>
    <row r="99" spans="2:7">
      <c r="B99" s="177" t="str">
        <f t="shared" ca="1" si="5"/>
        <v>90M</v>
      </c>
      <c r="C99" s="209">
        <f t="shared" ca="1" si="4"/>
        <v>7.7123287671232879</v>
      </c>
      <c r="D99" s="162">
        <f ca="1">IF(NOT($C$6),"",IF(GetConvertDate(CDSRollDate,B99)&lt;Parameter_Date,0,GetGetDefaultprob($I$6,B99)))</f>
        <v>5.8241483016946205E-2</v>
      </c>
      <c r="E99" s="171">
        <f t="shared" ca="1" si="6"/>
        <v>1.0201533232563759E-2</v>
      </c>
      <c r="F99" s="157"/>
      <c r="G99" s="158"/>
    </row>
    <row r="100" spans="2:7">
      <c r="B100" s="177" t="str">
        <f t="shared" ca="1" si="5"/>
        <v>91M</v>
      </c>
      <c r="C100" s="209">
        <f t="shared" ca="1" si="4"/>
        <v>7.7972602739726025</v>
      </c>
      <c r="D100" s="162">
        <f ca="1">IF(NOT($C$6),"",IF(GetConvertDate(CDSRollDate,B100)&lt;Parameter_Date,0,GetGetDefaultprob($I$6,B100)))</f>
        <v>5.9057098957117637E-2</v>
      </c>
      <c r="E100" s="171">
        <f t="shared" ca="1" si="6"/>
        <v>1.0201533232563637E-2</v>
      </c>
      <c r="F100" s="157"/>
      <c r="G100" s="158"/>
    </row>
    <row r="101" spans="2:7">
      <c r="B101" s="177" t="str">
        <f t="shared" ca="1" si="5"/>
        <v>92M</v>
      </c>
      <c r="C101" s="209">
        <f t="shared" ca="1" si="4"/>
        <v>7.8794520547945206</v>
      </c>
      <c r="D101" s="162">
        <f ca="1">IF(NOT($C$6),"",IF(GetConvertDate(CDSRollDate,B101)&lt;Parameter_Date,0,GetGetDefaultprob($I$6,B101)))</f>
        <v>5.9845732141689867E-2</v>
      </c>
      <c r="E101" s="171">
        <f t="shared" ca="1" si="6"/>
        <v>1.0201533232562732E-2</v>
      </c>
      <c r="F101" s="157"/>
      <c r="G101" s="158"/>
    </row>
    <row r="102" spans="2:7">
      <c r="B102" s="177" t="str">
        <f t="shared" ca="1" si="5"/>
        <v>93M</v>
      </c>
      <c r="C102" s="209">
        <f t="shared" ca="1" si="4"/>
        <v>7.9643835616438352</v>
      </c>
      <c r="D102" s="162">
        <f ca="1">IF(NOT($C$6),"",IF(GetConvertDate(CDSRollDate,B102)&lt;Parameter_Date,0,GetGetDefaultprob($I$6,B102)))</f>
        <v>6.0659958711726025E-2</v>
      </c>
      <c r="E102" s="171">
        <f t="shared" ca="1" si="6"/>
        <v>1.0201533232563637E-2</v>
      </c>
      <c r="F102" s="157"/>
      <c r="G102" s="158"/>
    </row>
    <row r="103" spans="2:7">
      <c r="B103" s="177" t="str">
        <f t="shared" ca="1" si="5"/>
        <v>94M</v>
      </c>
      <c r="C103" s="209">
        <f t="shared" ca="1" si="4"/>
        <v>8.0465753424657542</v>
      </c>
      <c r="D103" s="162">
        <f ca="1">IF(NOT($C$6),"",IF(GetConvertDate(CDSRollDate,B103)&lt;Parameter_Date,0,GetGetDefaultprob($I$6,B103)))</f>
        <v>6.1447248490241191E-2</v>
      </c>
      <c r="E103" s="171">
        <f t="shared" ca="1" si="6"/>
        <v>1.0201533232563974E-2</v>
      </c>
      <c r="F103" s="157"/>
      <c r="G103" s="158"/>
    </row>
    <row r="104" spans="2:7">
      <c r="B104" s="177" t="str">
        <f t="shared" ca="1" si="5"/>
        <v>95M</v>
      </c>
      <c r="C104" s="209">
        <f t="shared" ca="1" si="4"/>
        <v>8.131506849315068</v>
      </c>
      <c r="D104" s="162">
        <f ca="1">IF(NOT($C$6),"",IF(GetConvertDate(CDSRollDate,B104)&lt;Parameter_Date,0,GetGetDefaultprob($I$6,B104)))</f>
        <v>6.2260088056880214E-2</v>
      </c>
      <c r="E104" s="171">
        <f t="shared" ca="1" si="6"/>
        <v>1.0201533232563745E-2</v>
      </c>
      <c r="F104" s="157"/>
      <c r="G104" s="158"/>
    </row>
    <row r="105" spans="2:7">
      <c r="B105" s="177" t="str">
        <f t="shared" ca="1" si="5"/>
        <v>96M</v>
      </c>
      <c r="C105" s="209">
        <f t="shared" ca="1" si="4"/>
        <v>8.2164383561643834</v>
      </c>
      <c r="D105" s="162">
        <f ca="1">IF(NOT($C$6),"",IF(GetConvertDate(CDSRollDate,B105)&lt;Parameter_Date,0,GetGetDefaultprob($I$6,B105)))</f>
        <v>6.307222365865417E-2</v>
      </c>
      <c r="E105" s="171">
        <f t="shared" ca="1" si="6"/>
        <v>1.0201533232563531E-2</v>
      </c>
      <c r="F105" s="157"/>
      <c r="G105" s="158"/>
    </row>
    <row r="106" spans="2:7">
      <c r="B106" s="177" t="str">
        <f t="shared" ca="1" si="5"/>
        <v>97M</v>
      </c>
      <c r="C106" s="209">
        <f t="shared" ref="C106:C129" ca="1" si="7">MAX(0,(DATE(YEAR(CDSRollDate),MONTH(CDSRollDate)+ROW()-ROW($B$9),DAY(CDSRollDate))-Parameter_Date)/365)</f>
        <v>8.2986301369863007</v>
      </c>
      <c r="D106" s="162">
        <f ca="1">IF(NOT($C$6),"",IF(GetConvertDate(CDSRollDate,B106)&lt;Parameter_Date,0,GetGetDefaultprob($I$6,B106)))</f>
        <v>6.3857491643726783E-2</v>
      </c>
      <c r="E106" s="171">
        <f t="shared" ca="1" si="6"/>
        <v>1.0201533232564194E-2</v>
      </c>
      <c r="F106" s="157"/>
      <c r="G106" s="158"/>
    </row>
    <row r="107" spans="2:7">
      <c r="B107" s="177" t="str">
        <f t="shared" ca="1" si="5"/>
        <v>98M</v>
      </c>
      <c r="C107" s="209">
        <f t="shared" ca="1" si="7"/>
        <v>8.3835616438356162</v>
      </c>
      <c r="D107" s="162">
        <f ca="1">IF(NOT($C$6),"",IF(GetConvertDate(CDSRollDate,B107)&lt;Parameter_Date,0,GetGetDefaultprob($I$6,B107)))</f>
        <v>6.4668243803986947E-2</v>
      </c>
      <c r="E107" s="171">
        <f t="shared" ca="1" si="6"/>
        <v>1.0201533232562222E-2</v>
      </c>
      <c r="F107" s="157"/>
      <c r="G107" s="158"/>
    </row>
    <row r="108" spans="2:7">
      <c r="B108" s="177" t="str">
        <f t="shared" ca="1" si="5"/>
        <v>99M</v>
      </c>
      <c r="C108" s="209">
        <f t="shared" ca="1" si="7"/>
        <v>8.4657534246575334</v>
      </c>
      <c r="D108" s="162">
        <f ca="1">IF(NOT($C$6),"",IF(GetConvertDate(CDSRollDate,B108)&lt;Parameter_Date,0,GetGetDefaultprob($I$6,B108)))</f>
        <v>6.5452174115489203E-2</v>
      </c>
      <c r="E108" s="171">
        <f t="shared" ca="1" si="6"/>
        <v>1.0201533232562843E-2</v>
      </c>
      <c r="F108" s="157"/>
      <c r="G108" s="158"/>
    </row>
    <row r="109" spans="2:7">
      <c r="B109" s="177" t="str">
        <f t="shared" ca="1" si="5"/>
        <v>100M</v>
      </c>
      <c r="C109" s="209">
        <f t="shared" ca="1" si="7"/>
        <v>8.5506849315068489</v>
      </c>
      <c r="D109" s="162">
        <f ca="1">IF(NOT($C$6),"",IF(GetConvertDate(CDSRollDate,B109)&lt;Parameter_Date,0,GetGetDefaultprob($I$6,B109)))</f>
        <v>6.6261545190874682E-2</v>
      </c>
      <c r="E109" s="171">
        <f t="shared" ca="1" si="6"/>
        <v>1.0201533232563531E-2</v>
      </c>
      <c r="F109" s="157"/>
      <c r="G109" s="158"/>
    </row>
    <row r="110" spans="2:7">
      <c r="B110" s="177" t="str">
        <f t="shared" ca="1" si="5"/>
        <v>101M</v>
      </c>
      <c r="C110" s="209">
        <f t="shared" ca="1" si="7"/>
        <v>8.6356164383561644</v>
      </c>
      <c r="D110" s="162">
        <f ca="1">IF(NOT($C$6),"",IF(GetConvertDate(CDSRollDate,B110)&lt;Parameter_Date,0,GetGetDefaultprob($I$6,B110)))</f>
        <v>6.7070215305303882E-2</v>
      </c>
      <c r="E110" s="171">
        <f t="shared" ca="1" si="6"/>
        <v>1.0201533232563531E-2</v>
      </c>
      <c r="F110" s="157"/>
      <c r="G110" s="158"/>
    </row>
    <row r="111" spans="2:7">
      <c r="B111" s="177" t="str">
        <f t="shared" ca="1" si="5"/>
        <v>102M</v>
      </c>
      <c r="C111" s="209">
        <f t="shared" ca="1" si="7"/>
        <v>8.712328767123287</v>
      </c>
      <c r="D111" s="162">
        <f ca="1">IF(NOT($C$6),"",IF(GetConvertDate(CDSRollDate,B111)&lt;Parameter_Date,0,GetGetDefaultprob($I$6,B111)))</f>
        <v>6.7800025035637534E-2</v>
      </c>
      <c r="E111" s="171">
        <f t="shared" ca="1" si="6"/>
        <v>1.0201533232564747E-2</v>
      </c>
      <c r="F111" s="157"/>
      <c r="G111" s="158"/>
    </row>
    <row r="112" spans="2:7">
      <c r="B112" s="177" t="str">
        <f t="shared" ca="1" si="5"/>
        <v>103M</v>
      </c>
      <c r="C112" s="209">
        <f t="shared" ca="1" si="7"/>
        <v>8.7972602739726025</v>
      </c>
      <c r="D112" s="162">
        <f ca="1">IF(NOT($C$6),"",IF(GetConvertDate(CDSRollDate,B112)&lt;Parameter_Date,0,GetGetDefaultprob($I$6,B112)))</f>
        <v>6.860736273983381E-2</v>
      </c>
      <c r="E112" s="171">
        <f t="shared" ca="1" si="6"/>
        <v>1.0201533232563531E-2</v>
      </c>
      <c r="F112" s="157"/>
      <c r="G112" s="158"/>
    </row>
    <row r="113" spans="2:7">
      <c r="B113" s="177" t="str">
        <f t="shared" ca="1" si="5"/>
        <v>104M</v>
      </c>
      <c r="C113" s="209">
        <f t="shared" ca="1" si="7"/>
        <v>8.8794520547945197</v>
      </c>
      <c r="D113" s="162">
        <f ca="1">IF(NOT($C$6),"",IF(GetConvertDate(CDSRollDate,B113)&lt;Parameter_Date,0,GetGetDefaultprob($I$6,B113)))</f>
        <v>6.9387991554606177E-2</v>
      </c>
      <c r="E113" s="171">
        <f t="shared" ca="1" si="6"/>
        <v>1.0201533232562843E-2</v>
      </c>
      <c r="F113" s="157"/>
      <c r="G113" s="158"/>
    </row>
    <row r="114" spans="2:7">
      <c r="B114" s="177" t="str">
        <f t="shared" ca="1" si="5"/>
        <v>105M</v>
      </c>
      <c r="C114" s="209">
        <f t="shared" ca="1" si="7"/>
        <v>8.9643835616438352</v>
      </c>
      <c r="D114" s="162">
        <f ca="1">IF(NOT($C$6),"",IF(GetConvertDate(CDSRollDate,B114)&lt;Parameter_Date,0,GetGetDefaultprob($I$6,B114)))</f>
        <v>7.0193953990321245E-2</v>
      </c>
      <c r="E114" s="171">
        <f t="shared" ca="1" si="6"/>
        <v>1.0201533232563531E-2</v>
      </c>
      <c r="F114" s="157"/>
      <c r="G114" s="158"/>
    </row>
    <row r="115" spans="2:7">
      <c r="B115" s="177" t="str">
        <f t="shared" ca="1" si="5"/>
        <v>106M</v>
      </c>
      <c r="C115" s="209">
        <f t="shared" ca="1" si="7"/>
        <v>9.0465753424657542</v>
      </c>
      <c r="D115" s="162">
        <f ca="1">IF(NOT($C$6),"",IF(GetConvertDate(CDSRollDate,B115)&lt;Parameter_Date,0,GetGetDefaultprob($I$6,B115)))</f>
        <v>7.0973253034170125E-2</v>
      </c>
      <c r="E115" s="171">
        <f t="shared" ca="1" si="6"/>
        <v>1.0201533232562621E-2</v>
      </c>
      <c r="F115" s="157"/>
      <c r="G115" s="158"/>
    </row>
    <row r="116" spans="2:7">
      <c r="B116" s="177" t="str">
        <f t="shared" ca="1" si="5"/>
        <v>107M</v>
      </c>
      <c r="C116" s="209">
        <f t="shared" ca="1" si="7"/>
        <v>9.131506849315068</v>
      </c>
      <c r="D116" s="162">
        <f ca="1">IF(NOT($C$6),"",IF(GetConvertDate(CDSRollDate,B116)&lt;Parameter_Date,0,GetGetDefaultprob($I$6,B116)))</f>
        <v>7.1777842544120563E-2</v>
      </c>
      <c r="E116" s="171">
        <f t="shared" ca="1" si="6"/>
        <v>1.0201533232565053E-2</v>
      </c>
      <c r="F116" s="157"/>
      <c r="G116" s="158"/>
    </row>
    <row r="117" spans="2:7">
      <c r="B117" s="177" t="str">
        <f t="shared" ca="1" si="5"/>
        <v>108M</v>
      </c>
      <c r="C117" s="209">
        <f t="shared" ca="1" si="7"/>
        <v>9.2164383561643834</v>
      </c>
      <c r="D117" s="162">
        <f ca="1">IF(NOT($C$6),"",IF(GetConvertDate(CDSRollDate,B117)&lt;Parameter_Date,0,GetGetDefaultprob($I$6,B117)))</f>
        <v>7.2581735234219735E-2</v>
      </c>
      <c r="E117" s="171">
        <f t="shared" ca="1" si="6"/>
        <v>1.0201533232562222E-2</v>
      </c>
      <c r="F117" s="157"/>
      <c r="G117" s="158"/>
    </row>
    <row r="118" spans="2:7">
      <c r="B118" s="177" t="str">
        <f t="shared" ca="1" si="5"/>
        <v>109M</v>
      </c>
      <c r="C118" s="209">
        <f t="shared" ca="1" si="7"/>
        <v>9.2986301369863007</v>
      </c>
      <c r="D118" s="162">
        <f ca="1">IF(NOT($C$6),"",IF(GetConvertDate(CDSRollDate,B118)&lt;Parameter_Date,0,GetGetDefaultprob($I$6,B118)))</f>
        <v>7.3359033005170549E-2</v>
      </c>
      <c r="E118" s="171">
        <f t="shared" ca="1" si="6"/>
        <v>1.0201533232562843E-2</v>
      </c>
      <c r="F118" s="157"/>
      <c r="G118" s="158"/>
    </row>
    <row r="119" spans="2:7">
      <c r="B119" s="177" t="str">
        <f t="shared" ca="1" si="5"/>
        <v>110M</v>
      </c>
      <c r="C119" s="209">
        <f t="shared" ca="1" si="7"/>
        <v>9.3835616438356162</v>
      </c>
      <c r="D119" s="162">
        <f ca="1">IF(NOT($C$6),"",IF(GetConvertDate(CDSRollDate,B119)&lt;Parameter_Date,0,GetGetDefaultprob($I$6,B119)))</f>
        <v>7.4161556295236575E-2</v>
      </c>
      <c r="E119" s="171">
        <f t="shared" ca="1" si="6"/>
        <v>1.0201533232563531E-2</v>
      </c>
      <c r="F119" s="157"/>
      <c r="G119" s="158"/>
    </row>
    <row r="120" spans="2:7">
      <c r="B120" s="177" t="str">
        <f t="shared" ca="1" si="5"/>
        <v>111M</v>
      </c>
      <c r="C120" s="209">
        <f t="shared" ca="1" si="7"/>
        <v>9.4657534246575334</v>
      </c>
      <c r="D120" s="162">
        <f ca="1">IF(NOT($C$6),"",IF(GetConvertDate(CDSRollDate,B120)&lt;Parameter_Date,0,GetGetDefaultprob($I$6,B120)))</f>
        <v>7.4937529969567929E-2</v>
      </c>
      <c r="E120" s="171">
        <f t="shared" ca="1" si="6"/>
        <v>1.0201533232562843E-2</v>
      </c>
      <c r="F120" s="157"/>
      <c r="G120" s="158"/>
    </row>
    <row r="121" spans="2:7">
      <c r="B121" s="177" t="str">
        <f t="shared" ca="1" si="5"/>
        <v>112M</v>
      </c>
      <c r="C121" s="209">
        <f t="shared" ca="1" si="7"/>
        <v>9.5506849315068489</v>
      </c>
      <c r="D121" s="162">
        <f ca="1">IF(NOT($C$6),"",IF(GetConvertDate(CDSRollDate,B121)&lt;Parameter_Date,0,GetGetDefaultprob($I$6,B121)))</f>
        <v>7.5738686192320492E-2</v>
      </c>
      <c r="E121" s="171">
        <f t="shared" ca="1" si="6"/>
        <v>1.0201533232563531E-2</v>
      </c>
      <c r="F121" s="157"/>
      <c r="G121" s="158"/>
    </row>
    <row r="122" spans="2:7">
      <c r="B122" s="177" t="str">
        <f t="shared" ca="1" si="5"/>
        <v>113M</v>
      </c>
      <c r="C122" s="209">
        <f t="shared" ca="1" si="7"/>
        <v>9.6356164383561644</v>
      </c>
      <c r="D122" s="162">
        <f ca="1">IF(NOT($C$6),"",IF(GetConvertDate(CDSRollDate,B122)&lt;Parameter_Date,0,GetGetDefaultprob($I$6,B122)))</f>
        <v>7.653914856864219E-2</v>
      </c>
      <c r="E122" s="171">
        <f t="shared" ca="1" si="6"/>
        <v>1.0201533232564839E-2</v>
      </c>
      <c r="F122" s="157"/>
      <c r="G122" s="158"/>
    </row>
    <row r="123" spans="2:7">
      <c r="B123" s="177" t="str">
        <f t="shared" ca="1" si="5"/>
        <v>114M</v>
      </c>
      <c r="C123" s="209">
        <f t="shared" ca="1" si="7"/>
        <v>9.712328767123287</v>
      </c>
      <c r="D123" s="162">
        <f ca="1">IF(NOT($C$6),"",IF(GetConvertDate(CDSRollDate,B123)&lt;Parameter_Date,0,GetGetDefaultprob($I$6,B123)))</f>
        <v>7.7261550968065307E-2</v>
      </c>
      <c r="E123" s="171">
        <f t="shared" ca="1" si="6"/>
        <v>1.0201533232563299E-2</v>
      </c>
      <c r="F123" s="157"/>
      <c r="G123" s="158"/>
    </row>
    <row r="124" spans="2:7">
      <c r="B124" s="177" t="str">
        <f t="shared" ca="1" si="5"/>
        <v>115M</v>
      </c>
      <c r="C124" s="209">
        <f t="shared" ca="1" si="7"/>
        <v>9.7972602739726025</v>
      </c>
      <c r="D124" s="162">
        <f ca="1">IF(NOT($C$6),"",IF(GetConvertDate(CDSRollDate,B124)&lt;Parameter_Date,0,GetGetDefaultprob($I$6,B124)))</f>
        <v>7.8060694457683599E-2</v>
      </c>
      <c r="E124" s="171">
        <f t="shared" ca="1" si="6"/>
        <v>1.0201533232563531E-2</v>
      </c>
      <c r="F124" s="157"/>
      <c r="G124" s="158"/>
    </row>
    <row r="125" spans="2:7">
      <c r="B125" s="177" t="str">
        <f t="shared" ca="1" si="5"/>
        <v>116M</v>
      </c>
      <c r="C125" s="209">
        <f t="shared" ca="1" si="7"/>
        <v>9.8794520547945197</v>
      </c>
      <c r="D125" s="162">
        <f ca="1">IF(NOT($C$6),"",IF(GetConvertDate(CDSRollDate,B125)&lt;Parameter_Date,0,GetGetDefaultprob($I$6,B125)))</f>
        <v>7.8833400144400878E-2</v>
      </c>
      <c r="E125" s="171">
        <f t="shared" ca="1" si="6"/>
        <v>1.0201533232562843E-2</v>
      </c>
      <c r="F125" s="157"/>
      <c r="G125" s="158"/>
    </row>
    <row r="126" spans="2:7">
      <c r="B126" s="177" t="str">
        <f t="shared" ca="1" si="5"/>
        <v>117M</v>
      </c>
      <c r="C126" s="209">
        <f t="shared" ca="1" si="7"/>
        <v>9.9643835616438352</v>
      </c>
      <c r="D126" s="162">
        <f ca="1">IF(NOT($C$6),"",IF(GetConvertDate(CDSRollDate,B126)&lt;Parameter_Date,0,GetGetDefaultprob($I$6,B126)))</f>
        <v>7.9631182324064742E-2</v>
      </c>
      <c r="E126" s="171">
        <f t="shared" ca="1" si="6"/>
        <v>1.0201533232563531E-2</v>
      </c>
      <c r="F126" s="157"/>
      <c r="G126" s="158"/>
    </row>
    <row r="127" spans="2:7">
      <c r="B127" s="177" t="str">
        <f t="shared" ca="1" si="5"/>
        <v>118M</v>
      </c>
      <c r="C127" s="209">
        <f t="shared" ca="1" si="7"/>
        <v>10.046575342465754</v>
      </c>
      <c r="D127" s="162">
        <f ca="1">IF(NOT($C$6),"",IF(GetConvertDate(CDSRollDate,B127)&lt;Parameter_Date,0,GetGetDefaultprob($I$6,B127)))</f>
        <v>8.0402571736600148E-2</v>
      </c>
      <c r="E127" s="171">
        <f t="shared" ca="1" si="6"/>
        <v>1.0201533232563974E-2</v>
      </c>
      <c r="F127" s="157"/>
      <c r="G127" s="158"/>
    </row>
    <row r="128" spans="2:7">
      <c r="B128" s="177" t="str">
        <f t="shared" ca="1" si="5"/>
        <v>119M</v>
      </c>
      <c r="C128" s="209">
        <f t="shared" ca="1" si="7"/>
        <v>10.131506849315068</v>
      </c>
      <c r="D128" s="162">
        <f ca="1">IF(NOT($C$6),"",IF(GetConvertDate(CDSRollDate,B128)&lt;Parameter_Date,0,GetGetDefaultprob($I$6,B128)))</f>
        <v>8.1198994925248402E-2</v>
      </c>
      <c r="E128" s="171">
        <f t="shared" ca="1" si="6"/>
        <v>1.0201533232563745E-2</v>
      </c>
      <c r="F128" s="157"/>
      <c r="G128" s="158"/>
    </row>
    <row r="129" spans="2:7" ht="15.75" thickBot="1">
      <c r="B129" s="178" t="str">
        <f t="shared" ca="1" si="5"/>
        <v>120M</v>
      </c>
      <c r="C129" s="210">
        <f t="shared" ca="1" si="7"/>
        <v>10.216438356164383</v>
      </c>
      <c r="D129" s="172">
        <f ca="1">IF(NOT($C$6),"",IF(GetConvertDate(CDSRollDate,B129)&lt;Parameter_Date,0,GetGetDefaultprob($I$6,B129)))</f>
        <v>8.1994728366539871E-2</v>
      </c>
      <c r="E129" s="211">
        <f t="shared" ca="1" si="6"/>
        <v>1.0201533232562222E-2</v>
      </c>
      <c r="F129" s="157"/>
      <c r="G129" s="158"/>
    </row>
    <row r="130" spans="2:7">
      <c r="B130" s="16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topLeftCell="A2" zoomScaleNormal="100" workbookViewId="0">
      <selection activeCell="G6" sqref="G6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17" t="s">
        <v>456</v>
      </c>
      <c r="D3" s="618"/>
      <c r="E3" s="619"/>
    </row>
    <row r="4" spans="2:11">
      <c r="C4" s="620"/>
      <c r="D4" s="621"/>
      <c r="E4" s="622"/>
    </row>
    <row r="5" spans="2:11" ht="15.75" thickBot="1">
      <c r="C5" s="623"/>
      <c r="D5" s="624"/>
      <c r="E5" s="625"/>
      <c r="G5" s="466"/>
    </row>
    <row r="6" spans="2:11" ht="15.75" thickBot="1"/>
    <row r="7" spans="2:11" ht="16.5" thickBot="1">
      <c r="B7" s="615" t="s">
        <v>454</v>
      </c>
      <c r="C7" s="616"/>
      <c r="D7" s="79"/>
      <c r="E7" s="615" t="s">
        <v>455</v>
      </c>
      <c r="F7" s="616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0" t="s">
        <v>431</v>
      </c>
      <c r="C9" s="213" t="str">
        <f ca="1">GetGetCDSName(C8)</f>
        <v>ABNAMRO_MMR.EUR.SU</v>
      </c>
      <c r="D9" s="79"/>
      <c r="E9" s="200" t="s">
        <v>453</v>
      </c>
      <c r="F9" s="204" t="b">
        <v>1</v>
      </c>
      <c r="I9" s="79"/>
      <c r="J9" s="79"/>
      <c r="K9" s="262"/>
    </row>
    <row r="10" spans="2:11">
      <c r="B10" s="201" t="s">
        <v>432</v>
      </c>
      <c r="C10" s="187" t="s">
        <v>57</v>
      </c>
      <c r="D10" s="79"/>
      <c r="E10" s="201" t="s">
        <v>433</v>
      </c>
      <c r="F10" s="205">
        <f ca="1">GetConvertDate(CDSRollDate,C10)</f>
        <v>47381</v>
      </c>
      <c r="I10" s="79"/>
      <c r="J10" s="79"/>
      <c r="K10" s="79"/>
    </row>
    <row r="11" spans="2:11" ht="15.75" thickBot="1">
      <c r="B11" s="201" t="s">
        <v>434</v>
      </c>
      <c r="C11" s="188">
        <v>0.01</v>
      </c>
      <c r="D11" s="79"/>
      <c r="E11" s="202" t="s">
        <v>425</v>
      </c>
      <c r="F11" s="206" t="str">
        <f ca="1">GetGetCDSName(C8)</f>
        <v>ABNAMRO_MMR.EUR.SU</v>
      </c>
      <c r="H11" s="441"/>
      <c r="I11" s="79"/>
      <c r="J11" s="79"/>
      <c r="K11" s="79"/>
    </row>
    <row r="12" spans="2:11">
      <c r="B12" s="201" t="s">
        <v>85</v>
      </c>
      <c r="C12" s="188">
        <v>0.4</v>
      </c>
      <c r="D12" s="79"/>
      <c r="E12" s="196"/>
      <c r="F12" s="389"/>
      <c r="H12" s="472"/>
      <c r="I12" s="79"/>
      <c r="J12" s="79"/>
      <c r="K12" s="79"/>
    </row>
    <row r="13" spans="2:11" ht="15.75" thickBot="1">
      <c r="B13" s="202" t="s">
        <v>496</v>
      </c>
      <c r="C13" s="440">
        <v>1</v>
      </c>
      <c r="D13" s="79"/>
      <c r="E13" s="79"/>
      <c r="F13" s="79"/>
      <c r="G13" s="215"/>
      <c r="H13" s="79"/>
      <c r="I13" s="79"/>
      <c r="J13" s="79"/>
      <c r="K13" s="79"/>
    </row>
    <row r="14" spans="2:11" ht="15.75" thickBot="1">
      <c r="B14" s="195"/>
      <c r="C14" s="79"/>
      <c r="F14" s="169" t="s">
        <v>75</v>
      </c>
    </row>
    <row r="15" spans="2:11">
      <c r="B15" s="200" t="s">
        <v>82</v>
      </c>
      <c r="C15" s="63" t="s">
        <v>65</v>
      </c>
      <c r="E15" s="217" t="s">
        <v>435</v>
      </c>
      <c r="F15" s="469" cm="1">
        <f t="array" aca="1" ref="F15:K22" ca="1">IF(NOT($F$9),"",getcds(C9,C10,C11,C12,C13,C19,C20,C21,C15,C16,C17,C23,C24,C26,C28:C30,C32))</f>
        <v>-2.7755891428530698E-2</v>
      </c>
      <c r="G15" s="254">
        <f ca="1"/>
        <v>-2.7755891428530698E-2</v>
      </c>
      <c r="H15" s="250">
        <f ca="1"/>
        <v>0</v>
      </c>
      <c r="I15" s="452">
        <f ca="1"/>
        <v>0</v>
      </c>
      <c r="J15" s="254">
        <f ca="1"/>
        <v>0</v>
      </c>
      <c r="K15" s="250">
        <f ca="1"/>
        <v>0</v>
      </c>
    </row>
    <row r="16" spans="2:11">
      <c r="B16" s="201" t="s">
        <v>437</v>
      </c>
      <c r="C16" s="69">
        <v>0</v>
      </c>
      <c r="E16" s="218" t="s">
        <v>436</v>
      </c>
      <c r="F16" s="451">
        <f ca="1"/>
        <v>2.0417791310441899E-2</v>
      </c>
      <c r="G16" s="255">
        <f ca="1"/>
        <v>2.0417791310441899E-2</v>
      </c>
      <c r="H16" s="251">
        <f ca="1"/>
        <v>0</v>
      </c>
      <c r="I16" s="453">
        <f ca="1"/>
        <v>0</v>
      </c>
      <c r="J16" s="255">
        <f ca="1"/>
        <v>0</v>
      </c>
      <c r="K16" s="251">
        <f ca="1"/>
        <v>0</v>
      </c>
    </row>
    <row r="17" spans="2:11" ht="15.75" thickBot="1">
      <c r="B17" s="202" t="s">
        <v>439</v>
      </c>
      <c r="C17" s="189">
        <v>0</v>
      </c>
      <c r="E17" s="218" t="s">
        <v>438</v>
      </c>
      <c r="F17" s="451">
        <f ca="1"/>
        <v>4.8173682738972601E-2</v>
      </c>
      <c r="G17" s="255">
        <f ca="1"/>
        <v>4.8173682738972601E-2</v>
      </c>
      <c r="H17" s="251">
        <f ca="1"/>
        <v>0</v>
      </c>
      <c r="I17" s="453">
        <f ca="1"/>
        <v>0</v>
      </c>
      <c r="J17" s="255">
        <f ca="1"/>
        <v>0</v>
      </c>
      <c r="K17" s="251">
        <f ca="1"/>
        <v>0</v>
      </c>
    </row>
    <row r="18" spans="2:11" ht="15.75" thickBot="1">
      <c r="B18" s="195"/>
      <c r="C18" s="79"/>
      <c r="E18" s="218" t="s">
        <v>440</v>
      </c>
      <c r="F18" s="465">
        <f ca="1"/>
        <v>4.2383704441022298E-3</v>
      </c>
      <c r="G18" s="255">
        <f ca="1"/>
        <v>4.2383704441022298E-3</v>
      </c>
      <c r="H18" s="251">
        <f ca="1"/>
        <v>0</v>
      </c>
      <c r="I18" s="453">
        <f ca="1"/>
        <v>0</v>
      </c>
      <c r="J18" s="255">
        <f ca="1"/>
        <v>0</v>
      </c>
      <c r="K18" s="251">
        <f ca="1"/>
        <v>0</v>
      </c>
    </row>
    <row r="19" spans="2:11">
      <c r="B19" s="200" t="s">
        <v>442</v>
      </c>
      <c r="C19" s="63" t="s">
        <v>83</v>
      </c>
      <c r="E19" s="218" t="s">
        <v>441</v>
      </c>
      <c r="F19" s="451">
        <f ca="1"/>
        <v>4.8173682738972596</v>
      </c>
      <c r="G19" s="256">
        <f ca="1"/>
        <v>4.8173682738972596</v>
      </c>
      <c r="H19" s="251">
        <f ca="1"/>
        <v>0</v>
      </c>
      <c r="I19" s="454">
        <f ca="1"/>
        <v>0</v>
      </c>
      <c r="J19" s="256">
        <f ca="1"/>
        <v>0</v>
      </c>
      <c r="K19" s="251">
        <f ca="1"/>
        <v>0</v>
      </c>
    </row>
    <row r="20" spans="2:11" ht="15.75" thickBot="1">
      <c r="B20" s="201" t="s">
        <v>444</v>
      </c>
      <c r="C20" s="69" t="s">
        <v>445</v>
      </c>
      <c r="E20" s="218" t="s">
        <v>443</v>
      </c>
      <c r="F20" s="261" t="str">
        <f ca="1"/>
        <v>00:00:00.0075065</v>
      </c>
      <c r="G20" s="257" t="str">
        <f ca="1"/>
        <v>00:00:00.0075065</v>
      </c>
      <c r="H20" s="251">
        <f ca="1"/>
        <v>0</v>
      </c>
      <c r="I20" s="455">
        <f ca="1"/>
        <v>0</v>
      </c>
      <c r="J20" s="257">
        <f ca="1"/>
        <v>0</v>
      </c>
      <c r="K20" s="251">
        <f ca="1"/>
        <v>0</v>
      </c>
    </row>
    <row r="21" spans="2:11" ht="15.75" thickBot="1">
      <c r="B21" s="202" t="s">
        <v>446</v>
      </c>
      <c r="C21" s="467"/>
      <c r="E21" s="219"/>
      <c r="F21" s="252" t="str">
        <f ca="1"/>
        <v>dPV</v>
      </c>
      <c r="G21" s="252" t="str">
        <f ca="1"/>
        <v>dHedge</v>
      </c>
      <c r="H21" s="253" t="str">
        <f ca="1"/>
        <v>delta not. (Hedge Crncy)</v>
      </c>
      <c r="I21" s="252" t="str">
        <f ca="1"/>
        <v>delta not. (Product CCY)</v>
      </c>
      <c r="J21" s="252" t="str">
        <f ca="1"/>
        <v>dPV(dBeta)</v>
      </c>
      <c r="K21" s="253" t="str">
        <f ca="1"/>
        <v>Name</v>
      </c>
    </row>
    <row r="22" spans="2:11" ht="15.75" thickBot="1">
      <c r="B22" s="195"/>
      <c r="C22" s="79"/>
      <c r="E22" s="220"/>
      <c r="F22" s="463">
        <f ca="1"/>
        <v>5.1169609644378402E-4</v>
      </c>
      <c r="G22" s="258">
        <f ca="1"/>
        <v>4.61608014944087E-4</v>
      </c>
      <c r="H22" s="259">
        <f ca="1"/>
        <v>6.6954403953397397E-3</v>
      </c>
      <c r="I22" s="258">
        <f ca="1"/>
        <v>1.1085078245570801</v>
      </c>
      <c r="J22" s="258">
        <f ca="1"/>
        <v>-2.0417791310441899E-2</v>
      </c>
      <c r="K22" s="259" t="str">
        <f ca="1"/>
        <v>ABNAMRO_MMR.EUR.SU</v>
      </c>
    </row>
    <row r="23" spans="2:11">
      <c r="B23" s="203" t="s">
        <v>447</v>
      </c>
      <c r="C23" s="190" t="b">
        <v>1</v>
      </c>
    </row>
    <row r="24" spans="2:11" ht="15.75" thickBot="1">
      <c r="B24" s="202" t="s">
        <v>448</v>
      </c>
      <c r="C24" s="191" t="b">
        <v>1</v>
      </c>
    </row>
    <row r="25" spans="2:11" ht="15.75" thickBot="1">
      <c r="B25" s="196"/>
      <c r="C25" s="85"/>
      <c r="D25" s="192"/>
      <c r="F25" s="508"/>
    </row>
    <row r="26" spans="2:11" ht="15.75" thickBot="1">
      <c r="B26" s="173" t="s">
        <v>449</v>
      </c>
      <c r="C26" s="190" t="b">
        <v>1</v>
      </c>
      <c r="D26" s="85"/>
      <c r="F26" s="508"/>
    </row>
    <row r="27" spans="2:11" ht="15.75" thickBot="1">
      <c r="B27" s="198" t="s">
        <v>450</v>
      </c>
      <c r="C27" s="212"/>
      <c r="D27" s="85"/>
    </row>
    <row r="28" spans="2:11">
      <c r="B28" s="198" t="s">
        <v>434</v>
      </c>
      <c r="C28" s="216"/>
      <c r="D28" s="85"/>
    </row>
    <row r="29" spans="2:11">
      <c r="B29" s="198" t="s">
        <v>447</v>
      </c>
      <c r="C29" s="193" t="b">
        <v>1</v>
      </c>
      <c r="D29" s="85"/>
    </row>
    <row r="30" spans="2:11" ht="15.75" thickBot="1">
      <c r="B30" s="199" t="s">
        <v>448</v>
      </c>
      <c r="C30" s="194" t="b">
        <v>1</v>
      </c>
      <c r="D30" s="85"/>
    </row>
    <row r="31" spans="2:11" ht="15.75" thickBot="1">
      <c r="B31" s="197"/>
      <c r="C31" s="79"/>
      <c r="D31" s="85"/>
    </row>
    <row r="32" spans="2:11" ht="15.75" thickBot="1">
      <c r="B32" s="173" t="s">
        <v>451</v>
      </c>
      <c r="C32" s="179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A5" zoomScale="115" zoomScaleNormal="115" workbookViewId="0">
      <selection activeCell="T15" sqref="T15"/>
    </sheetView>
  </sheetViews>
  <sheetFormatPr defaultColWidth="11.42578125" defaultRowHeight="11.25"/>
  <cols>
    <col min="1" max="1" width="3.140625" style="221" customWidth="1"/>
    <col min="2" max="2" width="17.140625" style="221" customWidth="1"/>
    <col min="3" max="3" width="20" style="222" customWidth="1"/>
    <col min="4" max="4" width="12.28515625" style="222" bestFit="1" customWidth="1"/>
    <col min="5" max="5" width="11" style="222" bestFit="1" customWidth="1"/>
    <col min="6" max="6" width="7.42578125" style="222" customWidth="1"/>
    <col min="7" max="7" width="9.7109375" style="222" customWidth="1"/>
    <col min="8" max="8" width="11.28515625" style="222" customWidth="1"/>
    <col min="9" max="10" width="13.140625" style="221" customWidth="1"/>
    <col min="11" max="11" width="18.5703125" style="221" customWidth="1"/>
    <col min="12" max="12" width="18.42578125" style="221" customWidth="1"/>
    <col min="13" max="13" width="13.140625" style="221" customWidth="1"/>
    <col min="14" max="14" width="27.5703125" style="221" customWidth="1"/>
    <col min="15" max="16" width="13.140625" style="221" hidden="1" customWidth="1"/>
    <col min="17" max="18" width="19.28515625" style="221" hidden="1" customWidth="1"/>
    <col min="19" max="29" width="13.140625" style="221" customWidth="1"/>
    <col min="30" max="30" width="11.42578125" style="221"/>
    <col min="31" max="31" width="13.140625" style="221" customWidth="1"/>
    <col min="32" max="32" width="13.5703125" style="221" customWidth="1"/>
    <col min="33" max="33" width="12.7109375" style="221" customWidth="1"/>
    <col min="34" max="34" width="13.5703125" style="221" customWidth="1"/>
    <col min="35" max="35" width="12.42578125" style="221" customWidth="1"/>
    <col min="36" max="36" width="13" style="221" customWidth="1"/>
    <col min="37" max="37" width="11.42578125" style="221" customWidth="1"/>
    <col min="38" max="39" width="11.42578125" style="221"/>
    <col min="40" max="40" width="25.140625" style="221" customWidth="1"/>
    <col min="41" max="50" width="9.7109375" style="221" customWidth="1"/>
    <col min="51" max="16384" width="11.42578125" style="221"/>
  </cols>
  <sheetData>
    <row r="1" spans="1:32">
      <c r="S1" s="222"/>
    </row>
    <row r="2" spans="1:32" ht="29.25" customHeight="1">
      <c r="N2" s="477"/>
      <c r="O2" s="477"/>
      <c r="P2" s="477"/>
    </row>
    <row r="3" spans="1:32">
      <c r="N3" s="477"/>
      <c r="O3" s="477"/>
      <c r="P3" s="477"/>
    </row>
    <row r="4" spans="1:32" ht="12" thickBot="1">
      <c r="N4" s="478"/>
      <c r="O4" s="477"/>
      <c r="P4" s="477"/>
    </row>
    <row r="5" spans="1:32" ht="12" thickBot="1">
      <c r="H5" s="263" t="s">
        <v>423</v>
      </c>
      <c r="I5" s="140" t="b">
        <v>1</v>
      </c>
      <c r="K5" s="263" t="s">
        <v>508</v>
      </c>
      <c r="L5" s="140" t="b">
        <v>0</v>
      </c>
      <c r="N5" s="477"/>
      <c r="O5" s="477"/>
      <c r="P5" s="477"/>
    </row>
    <row r="6" spans="1:32" ht="12" thickBot="1">
      <c r="B6" s="264" t="s">
        <v>432</v>
      </c>
      <c r="C6" s="223" t="s">
        <v>57</v>
      </c>
      <c r="F6" s="398"/>
      <c r="K6" s="263" t="s">
        <v>509</v>
      </c>
      <c r="L6" s="140" t="b">
        <v>0</v>
      </c>
      <c r="N6" s="477"/>
      <c r="O6" s="477"/>
      <c r="P6" s="477"/>
    </row>
    <row r="7" spans="1:32" customFormat="1" ht="15.75" thickBot="1">
      <c r="A7" s="221"/>
      <c r="B7" s="264" t="s">
        <v>457</v>
      </c>
      <c r="C7" s="224" cm="1">
        <f t="array" aca="1" ref="C7" ca="1">GetConvertDate([0]!CDSRollDate,C6)</f>
        <v>47381</v>
      </c>
      <c r="D7" s="475"/>
      <c r="E7" s="474"/>
      <c r="F7" s="222"/>
      <c r="G7" s="222"/>
      <c r="I7" s="391"/>
      <c r="J7" s="390"/>
      <c r="K7" s="390"/>
      <c r="L7" s="390"/>
      <c r="M7" s="390"/>
      <c r="N7" s="390"/>
      <c r="O7" s="390"/>
      <c r="P7" s="390"/>
      <c r="Q7" s="390"/>
      <c r="R7" s="390"/>
      <c r="S7" s="438"/>
      <c r="T7" s="79"/>
      <c r="U7" s="79"/>
      <c r="V7" s="79"/>
      <c r="W7" s="428"/>
      <c r="X7" s="79"/>
      <c r="Y7" s="79"/>
      <c r="Z7" s="79"/>
      <c r="AA7" s="79"/>
      <c r="AB7" s="79"/>
      <c r="AC7" s="79"/>
    </row>
    <row r="8" spans="1:32" customFormat="1" ht="15">
      <c r="A8" s="221"/>
      <c r="B8" s="265" t="s">
        <v>82</v>
      </c>
      <c r="C8" s="225" t="s">
        <v>66</v>
      </c>
      <c r="D8" s="222"/>
      <c r="E8" s="222"/>
      <c r="F8" s="222"/>
      <c r="G8" s="222"/>
      <c r="H8" s="306" t="s">
        <v>435</v>
      </c>
      <c r="I8" s="392" cm="1">
        <f t="array" aca="1" ref="I8:N109" ca="1">IF(NOT($I$5),"",GETCDO(C6,C19:C20,C21:C22,G39:G338,C8,C17,C39:C338,D39:D338,C12,C13,C14,C15,C9,C10,E39:E338,F39:F338,C24,C25,C27,L5,L6,C29:C31,C36,C33,,C34,))</f>
        <v>0.72893477624140601</v>
      </c>
      <c r="J8" s="393">
        <f ca="1"/>
        <v>0.242978258747135</v>
      </c>
      <c r="K8" s="402" t="str">
        <f ca="1"/>
        <v/>
      </c>
      <c r="L8" s="402">
        <f ca="1"/>
        <v>0</v>
      </c>
      <c r="M8" s="403">
        <f ca="1"/>
        <v>0</v>
      </c>
      <c r="N8" s="443">
        <f ca="1"/>
        <v>0</v>
      </c>
      <c r="O8" s="403"/>
      <c r="P8" s="403"/>
      <c r="Q8" s="403"/>
      <c r="R8" s="443"/>
      <c r="S8" s="438"/>
      <c r="T8" s="221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1"/>
      <c r="B9" s="265" t="s">
        <v>437</v>
      </c>
      <c r="C9" s="226">
        <v>-0.05</v>
      </c>
      <c r="D9" s="475"/>
      <c r="E9" s="222"/>
      <c r="F9" s="222"/>
      <c r="G9" s="222"/>
      <c r="H9" s="380" t="s">
        <v>436</v>
      </c>
      <c r="I9" s="394">
        <f ca="1"/>
        <v>1.27786578982596</v>
      </c>
      <c r="J9" s="395">
        <f ca="1"/>
        <v>0.42595526327532002</v>
      </c>
      <c r="K9" s="404" t="str">
        <f ca="1"/>
        <v/>
      </c>
      <c r="L9" s="404">
        <f ca="1"/>
        <v>0</v>
      </c>
      <c r="M9" s="326">
        <f ca="1"/>
        <v>0</v>
      </c>
      <c r="N9" s="444">
        <f ca="1"/>
        <v>0</v>
      </c>
      <c r="O9" s="326"/>
      <c r="P9" s="326"/>
      <c r="Q9" s="326"/>
      <c r="R9" s="444"/>
      <c r="S9" s="438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1"/>
      <c r="B10" s="266" t="s">
        <v>439</v>
      </c>
      <c r="C10" s="227">
        <v>0.1</v>
      </c>
      <c r="D10" s="222"/>
      <c r="E10" s="221"/>
      <c r="F10" s="222"/>
      <c r="G10" s="222"/>
      <c r="H10" s="380" t="s">
        <v>438</v>
      </c>
      <c r="I10" s="396">
        <f ca="1"/>
        <v>0.54893101358455398</v>
      </c>
      <c r="J10" s="395">
        <f ca="1"/>
        <v>0.18297700452818499</v>
      </c>
      <c r="K10" s="404" t="str">
        <f ca="1"/>
        <v/>
      </c>
      <c r="L10" s="404">
        <f ca="1"/>
        <v>0</v>
      </c>
      <c r="M10" s="326">
        <f ca="1"/>
        <v>0</v>
      </c>
      <c r="N10" s="444">
        <f ca="1"/>
        <v>0</v>
      </c>
      <c r="O10" s="326"/>
      <c r="P10" s="326"/>
      <c r="Q10" s="326"/>
      <c r="R10" s="444"/>
      <c r="S10" s="438"/>
      <c r="T10" s="79"/>
      <c r="U10" s="79"/>
      <c r="V10" s="79"/>
      <c r="W10" s="79"/>
      <c r="X10" s="79"/>
      <c r="Y10" s="470" t="s">
        <v>434</v>
      </c>
      <c r="Z10" s="426">
        <f ca="1">C29</f>
        <v>0</v>
      </c>
      <c r="AA10" s="79"/>
      <c r="AB10" s="470" t="s">
        <v>504</v>
      </c>
      <c r="AC10" s="426">
        <v>0.95</v>
      </c>
    </row>
    <row r="11" spans="1:32" customFormat="1" ht="15.75" thickBot="1">
      <c r="A11" s="221"/>
      <c r="B11" s="221"/>
      <c r="C11" s="221"/>
      <c r="D11" s="222"/>
      <c r="E11" s="222"/>
      <c r="F11" s="222"/>
      <c r="H11" s="380" t="s">
        <v>440</v>
      </c>
      <c r="I11" s="397">
        <f ca="1"/>
        <v>0.11639584558006801</v>
      </c>
      <c r="J11" s="397">
        <f ca="1"/>
        <v>0.11639584558006801</v>
      </c>
      <c r="K11" s="404" t="str">
        <f ca="1"/>
        <v/>
      </c>
      <c r="L11" s="404">
        <f ca="1"/>
        <v>0</v>
      </c>
      <c r="M11" s="326">
        <f ca="1"/>
        <v>0</v>
      </c>
      <c r="N11" s="444">
        <f ca="1"/>
        <v>0</v>
      </c>
      <c r="O11" s="326"/>
      <c r="P11" s="326"/>
      <c r="Q11" s="326"/>
      <c r="R11" s="444"/>
      <c r="S11" s="438"/>
      <c r="T11" s="79"/>
      <c r="U11" s="79"/>
      <c r="V11" s="79"/>
      <c r="W11" s="79"/>
      <c r="X11" s="79"/>
      <c r="Y11" s="470" t="s">
        <v>505</v>
      </c>
      <c r="Z11" s="427">
        <f ca="1">SUM(Z15:Z314)</f>
        <v>-0.23555073037165766</v>
      </c>
      <c r="AA11" s="79"/>
      <c r="AB11" s="470" t="s">
        <v>505</v>
      </c>
      <c r="AC11" s="427">
        <f ca="1">SUM(AC15:AC314)</f>
        <v>-1.6287162914593756E-2</v>
      </c>
    </row>
    <row r="12" spans="1:32" customFormat="1" ht="15.75" thickBot="1">
      <c r="A12" s="221"/>
      <c r="B12" s="264" t="s">
        <v>434</v>
      </c>
      <c r="C12" s="228">
        <v>0.05</v>
      </c>
      <c r="D12" s="222"/>
      <c r="E12" s="222"/>
      <c r="F12" s="222"/>
      <c r="G12" s="222"/>
      <c r="H12" s="380" t="s">
        <v>497</v>
      </c>
      <c r="I12" s="398">
        <f ca="1"/>
        <v>3.6595400905636901</v>
      </c>
      <c r="J12" s="398">
        <f ca="1"/>
        <v>3.6595400905636901</v>
      </c>
      <c r="K12" s="404" t="str">
        <f ca="1"/>
        <v/>
      </c>
      <c r="L12" s="404">
        <f ca="1"/>
        <v>0</v>
      </c>
      <c r="M12" s="326">
        <f ca="1"/>
        <v>0</v>
      </c>
      <c r="N12" s="444">
        <f ca="1"/>
        <v>0</v>
      </c>
      <c r="O12" s="326"/>
      <c r="P12" s="326"/>
      <c r="Q12" s="326"/>
      <c r="R12" s="444"/>
      <c r="S12" s="439"/>
      <c r="T12" s="277" t="s">
        <v>423</v>
      </c>
      <c r="U12" s="432" t="b">
        <v>1</v>
      </c>
      <c r="V12" s="79"/>
      <c r="W12" s="79"/>
      <c r="X12" s="79"/>
      <c r="Y12" s="470" t="s">
        <v>498</v>
      </c>
      <c r="Z12" s="411">
        <f ca="1">$J$8+Z11</f>
        <v>7.4275283754773325E-3</v>
      </c>
      <c r="AA12" s="79"/>
      <c r="AB12" s="470" t="s">
        <v>498</v>
      </c>
      <c r="AC12" s="411">
        <f ca="1">$J$8+AC11</f>
        <v>0.22669109583254124</v>
      </c>
    </row>
    <row r="13" spans="1:32" customFormat="1" ht="15.75" thickBot="1">
      <c r="A13" s="221"/>
      <c r="B13" s="265" t="s">
        <v>458</v>
      </c>
      <c r="C13" s="225" t="s">
        <v>459</v>
      </c>
      <c r="D13" s="222"/>
      <c r="E13" s="222" t="s">
        <v>75</v>
      </c>
      <c r="F13" s="222"/>
      <c r="G13" s="222"/>
      <c r="H13" s="380" t="s">
        <v>443</v>
      </c>
      <c r="I13" s="399" t="str">
        <f ca="1"/>
        <v>00:00:01.0999515</v>
      </c>
      <c r="J13" s="399" t="str">
        <f ca="1"/>
        <v>00:00:01.0999515</v>
      </c>
      <c r="K13" s="405" t="str">
        <f ca="1"/>
        <v>Leverage=</v>
      </c>
      <c r="L13" s="406">
        <f ca="1"/>
        <v>7.4164577345060403</v>
      </c>
      <c r="M13" s="326">
        <f ca="1"/>
        <v>0</v>
      </c>
      <c r="N13" s="444">
        <f ca="1"/>
        <v>0</v>
      </c>
      <c r="O13" s="326"/>
      <c r="P13" s="450"/>
      <c r="Q13" s="449"/>
      <c r="R13" s="444"/>
      <c r="S13" s="439"/>
      <c r="T13" s="281" t="s">
        <v>499</v>
      </c>
      <c r="U13" s="412">
        <f ca="1">L13</f>
        <v>7.4164577345060403</v>
      </c>
      <c r="V13" s="413"/>
      <c r="W13" s="79"/>
      <c r="X13" s="79"/>
      <c r="Y13" s="470" t="s">
        <v>500</v>
      </c>
      <c r="Z13" s="414">
        <f ca="1">Z12*(C20-C21)</f>
        <v>1.9311573776241066E-2</v>
      </c>
      <c r="AA13" s="79"/>
      <c r="AB13" s="470" t="s">
        <v>500</v>
      </c>
      <c r="AC13" s="415">
        <f ca="1">AC12*(C20-C21)</f>
        <v>0.58939684916460722</v>
      </c>
      <c r="AD13" s="221"/>
    </row>
    <row r="14" spans="1:32" customFormat="1" ht="15">
      <c r="A14" s="221"/>
      <c r="B14" s="265" t="s">
        <v>461</v>
      </c>
      <c r="C14" s="225" t="s">
        <v>445</v>
      </c>
      <c r="D14" s="222"/>
      <c r="E14" s="222"/>
      <c r="F14" s="222"/>
      <c r="G14" s="222"/>
      <c r="H14" s="380" t="s">
        <v>460</v>
      </c>
      <c r="I14" s="400" t="str">
        <f ca="1"/>
        <v>dPV</v>
      </c>
      <c r="J14" s="401" t="str">
        <f ca="1"/>
        <v>dHedge</v>
      </c>
      <c r="K14" s="401" t="str">
        <f ca="1"/>
        <v>delta not. (Hedge Crncy)</v>
      </c>
      <c r="L14" s="400" t="str">
        <f ca="1"/>
        <v>delta not. (Product CCY)</v>
      </c>
      <c r="M14" s="400" t="str">
        <f ca="1"/>
        <v>dPV(dBeta)</v>
      </c>
      <c r="N14" s="445" t="str">
        <f ca="1"/>
        <v>Name</v>
      </c>
      <c r="O14" s="400"/>
      <c r="P14" s="400"/>
      <c r="Q14" s="400"/>
      <c r="R14" s="445"/>
      <c r="S14" s="151"/>
      <c r="T14" s="468" t="s">
        <v>501</v>
      </c>
      <c r="U14" s="400" t="s">
        <v>436</v>
      </c>
      <c r="V14" s="400" t="s">
        <v>438</v>
      </c>
      <c r="W14" s="400" t="s">
        <v>440</v>
      </c>
      <c r="X14" s="400" t="s">
        <v>441</v>
      </c>
      <c r="Y14" s="400" t="s">
        <v>506</v>
      </c>
      <c r="Z14" s="400" t="s">
        <v>502</v>
      </c>
      <c r="AA14" s="400" t="s">
        <v>503</v>
      </c>
      <c r="AB14" s="400" t="s">
        <v>507</v>
      </c>
      <c r="AC14" s="400" t="s">
        <v>502</v>
      </c>
      <c r="AD14" s="221"/>
      <c r="AE14" s="221"/>
    </row>
    <row r="15" spans="1:32" customFormat="1" ht="15.75" thickBot="1">
      <c r="A15" s="221"/>
      <c r="B15" s="266" t="s">
        <v>462</v>
      </c>
      <c r="C15" s="229"/>
      <c r="D15" s="222"/>
      <c r="E15" s="222"/>
      <c r="F15" s="222"/>
      <c r="G15" s="222"/>
      <c r="H15" s="380">
        <v>1</v>
      </c>
      <c r="I15" s="407">
        <f ca="1"/>
        <v>9.2945860383619803E-5</v>
      </c>
      <c r="J15" s="407">
        <f ca="1"/>
        <v>4.6879676406290502E-4</v>
      </c>
      <c r="K15" s="407">
        <f ca="1"/>
        <v>0.198264722601942</v>
      </c>
      <c r="L15" s="407">
        <f ca="1"/>
        <v>0.198264722601942</v>
      </c>
      <c r="M15" s="407">
        <f ca="1"/>
        <v>-1.6702034992916999E-4</v>
      </c>
      <c r="N15" s="446" t="str">
        <f ca="1"/>
        <v>AIRBUS SE</v>
      </c>
      <c r="O15" s="407"/>
      <c r="P15" s="407"/>
      <c r="Q15" s="407"/>
      <c r="R15" s="446"/>
      <c r="S15" s="436"/>
      <c r="T15" s="416" t="e" cm="1">
        <f t="array" aca="1" ref="T15:X15" ca="1">IF(AND($U$12,B39&lt;=$C$17,C39&lt;&gt;""),TRANSPOSE(INDEX(getcds(C39,$C$6,G39/10000,F39,D39,$C$13,$C$14,$C$15,$C$8,,,TRUE,TRUE,FALSE,$C$29:$C$31,$C$33),{1;2;3;4;5})),"")</f>
        <v>#VALUE!</v>
      </c>
      <c r="U15" s="417" t="e">
        <f ca="1"/>
        <v>#VALUE!</v>
      </c>
      <c r="V15" s="417" t="e">
        <f ca="1"/>
        <v>#VALUE!</v>
      </c>
      <c r="W15" s="418" t="e">
        <f ca="1"/>
        <v>#VALUE!</v>
      </c>
      <c r="X15" s="419" t="e">
        <f ca="1"/>
        <v>#VALUE!</v>
      </c>
      <c r="Y15" s="420">
        <f ca="1">IF($U$12,IF(T15="","",$U$13*D39/$C$18),"")</f>
        <v>7.8067976152695159E-2</v>
      </c>
      <c r="Z15" s="421">
        <f ca="1">IF($U$12,IF(Y15="","",Y15*($Z$10-W15)*X15),"")</f>
        <v>-1.6602615551878628E-3</v>
      </c>
      <c r="AA15" s="420">
        <f ca="1">IF($U$12,IF(OR(T15="",L15=""),"",L15/($C$20-$C$19)),"")</f>
        <v>6.6088240867314005E-2</v>
      </c>
      <c r="AB15" s="422">
        <f ca="1">IF($U$12,IF(W15="","",W15*$AC$10),"")</f>
        <v>4.5609574645488005E-3</v>
      </c>
      <c r="AC15" s="421">
        <f ca="1">IF($U$12,IF(AA15="","",AA15*(AB15-W15)*X15),"")</f>
        <v>-7.0274503688545284E-5</v>
      </c>
      <c r="AD15" s="221"/>
      <c r="AE15" s="221"/>
      <c r="AF15" s="537"/>
    </row>
    <row r="16" spans="1:32" customFormat="1" ht="15.75" thickBot="1">
      <c r="A16" s="221"/>
      <c r="B16" s="221"/>
      <c r="C16" s="222"/>
      <c r="D16" s="222"/>
      <c r="E16" s="222"/>
      <c r="F16" s="222"/>
      <c r="G16" s="222"/>
      <c r="H16" s="380">
        <v>2</v>
      </c>
      <c r="I16" s="407">
        <f ca="1"/>
        <v>9.6080122543185101E-5</v>
      </c>
      <c r="J16" s="407">
        <f ca="1"/>
        <v>4.6700593018548798E-4</v>
      </c>
      <c r="K16" s="407">
        <f ca="1"/>
        <v>0.20573640789748299</v>
      </c>
      <c r="L16" s="407">
        <f ca="1"/>
        <v>0.20573640789748299</v>
      </c>
      <c r="M16" s="407">
        <f ca="1"/>
        <v>-1.8094774460701801E-4</v>
      </c>
      <c r="N16" s="446" t="str">
        <f ca="1"/>
        <v>AKTIEBOLAGET VOLVO</v>
      </c>
      <c r="O16" s="407"/>
      <c r="P16" s="407"/>
      <c r="Q16" s="407"/>
      <c r="R16" s="446"/>
      <c r="S16" s="437"/>
      <c r="T16" s="416" cm="1">
        <f t="array" aca="1" ref="T16:X16" ca="1">IF(AND($U$12,B40&lt;=$C$17,C40&lt;&gt;""),TRANSPOSE(INDEX(getcds(C40,$C$6,G40/10000,F40,D40,$C$13,$C$14,$C$15,$C$8,,,TRUE,TRUE,FALSE,$C$29:$C$31,$C$33),{1;2;3;4;5})),"")</f>
        <v>-2.1373257299416901E-2</v>
      </c>
      <c r="U16" s="417">
        <f ca="1"/>
        <v>2.29196797362229E-2</v>
      </c>
      <c r="V16" s="417">
        <f ca="1"/>
        <v>4.4292937035639801E-2</v>
      </c>
      <c r="W16" s="418">
        <f ca="1"/>
        <v>5.1745676105833397E-3</v>
      </c>
      <c r="X16" s="419">
        <f ca="1"/>
        <v>4.4292937035639799</v>
      </c>
      <c r="Y16" s="420">
        <f ca="1">IF($U$12,IF(T16="","",$U$13*D40/$C$18),"")</f>
        <v>7.8067976152695159E-2</v>
      </c>
      <c r="Z16" s="421">
        <f ca="1">IF($U$12,IF(Y16="","",Y16*($Z$10-W16)*X16),"")</f>
        <v>-1.7892930110748593E-3</v>
      </c>
      <c r="AA16" s="420">
        <f t="shared" ref="AA16:AA79" ca="1" si="0">IF($U$12,IF(OR(T16="",L16=""),"",L16/($C$20-$C$19)),"")</f>
        <v>6.8578802632494329E-2</v>
      </c>
      <c r="AB16" s="422">
        <f t="shared" ref="AB16:AB79" ca="1" si="1">IF($U$12,IF(W16="","",W16*$AC$10),"")</f>
        <v>4.9158392300541727E-3</v>
      </c>
      <c r="AC16" s="421">
        <f ca="1">IF($U$12,IF(AA16="","",AA16*(AB16-W16)*X16),"")</f>
        <v>-7.859020965152046E-5</v>
      </c>
      <c r="AD16" s="221"/>
      <c r="AE16" s="221"/>
      <c r="AF16" s="536"/>
    </row>
    <row r="17" spans="1:31" customFormat="1" ht="15">
      <c r="A17" s="221"/>
      <c r="B17" s="264" t="s">
        <v>463</v>
      </c>
      <c r="C17" s="230">
        <f ca="1">COUNTA(C39:C338)</f>
        <v>95</v>
      </c>
      <c r="D17" s="222"/>
      <c r="E17" s="407"/>
      <c r="F17" s="535"/>
      <c r="G17" s="222"/>
      <c r="H17" s="380">
        <v>3</v>
      </c>
      <c r="I17" s="407">
        <f ca="1"/>
        <v>9.8180217340293507E-5</v>
      </c>
      <c r="J17" s="407">
        <f ca="1"/>
        <v>4.6596663538798702E-4</v>
      </c>
      <c r="K17" s="407">
        <f ca="1"/>
        <v>0.21070224750865199</v>
      </c>
      <c r="L17" s="407">
        <f ca="1"/>
        <v>0.21070224750865199</v>
      </c>
      <c r="M17" s="407">
        <f ca="1"/>
        <v>-1.8997081991261E-4</v>
      </c>
      <c r="N17" s="446" t="str">
        <f ca="1"/>
        <v>AKZO NOBEL N.V.</v>
      </c>
      <c r="O17" s="407"/>
      <c r="P17" s="407"/>
      <c r="Q17" s="407"/>
      <c r="R17" s="446"/>
      <c r="S17" s="437"/>
      <c r="T17" s="416" cm="1">
        <f t="array" aca="1" ref="T17:X17" ca="1">IF(AND($U$12,B41&lt;=$C$17,C41&lt;&gt;""),TRANSPOSE(INDEX(getcds(C41,$C$6,G41/10000,F41,D41,$C$13,$C$14,$C$15,$C$8,,,TRUE,TRUE,FALSE,$C$29:$C$31,$C$33),{1;2;3;4;5})),"")</f>
        <v>-2.0410051773046601E-2</v>
      </c>
      <c r="U17" s="417">
        <f ca="1"/>
        <v>2.3859012059322001E-2</v>
      </c>
      <c r="V17" s="417">
        <f ca="1"/>
        <v>4.4269063832368602E-2</v>
      </c>
      <c r="W17" s="418">
        <f ca="1"/>
        <v>5.3895452024166797E-3</v>
      </c>
      <c r="X17" s="419">
        <f ca="1"/>
        <v>4.4269063832368598</v>
      </c>
      <c r="Y17" s="420">
        <f ca="1">IF($U$12,IF(T17="","",$U$13*D41/$C$18),"")</f>
        <v>7.8067976152695159E-2</v>
      </c>
      <c r="Z17" s="421">
        <f t="shared" ref="Z17:Z79" ca="1" si="2">IF($U$12,IF(Y17="","",Y17*($Z$10-W17)*X17),"")</f>
        <v>-1.8626247844740155E-3</v>
      </c>
      <c r="AA17" s="420">
        <f t="shared" ca="1" si="0"/>
        <v>7.0234082502884002E-2</v>
      </c>
      <c r="AB17" s="422">
        <f t="shared" ca="1" si="1"/>
        <v>5.1200679422958454E-3</v>
      </c>
      <c r="AC17" s="421">
        <f t="shared" ref="AC17:AC79" ca="1" si="3">IF($U$12,IF(AA17="","",AA17*(AB17-W17)*X17),"")</f>
        <v>-8.3785791070586368E-5</v>
      </c>
      <c r="AD17" s="221"/>
      <c r="AE17" s="221"/>
    </row>
    <row r="18" spans="1:31" customFormat="1" ht="15">
      <c r="A18" s="221"/>
      <c r="B18" s="265" t="s">
        <v>464</v>
      </c>
      <c r="C18" s="231">
        <f ca="1">SUM(OFFSET(D38,1,0,C17))</f>
        <v>95</v>
      </c>
      <c r="D18" s="222"/>
      <c r="E18" s="222"/>
      <c r="F18" s="222"/>
      <c r="G18" s="232"/>
      <c r="H18" s="380">
        <v>4</v>
      </c>
      <c r="I18" s="407">
        <f ca="1"/>
        <v>1.7061591697491399E-4</v>
      </c>
      <c r="J18" s="407">
        <f ca="1"/>
        <v>4.37105530279313E-4</v>
      </c>
      <c r="K18" s="407">
        <f ca="1"/>
        <v>0.39033117898528902</v>
      </c>
      <c r="L18" s="407">
        <f ca="1"/>
        <v>0.39033117898528902</v>
      </c>
      <c r="M18" s="407">
        <f ca="1"/>
        <v>-5.8914888167027602E-4</v>
      </c>
      <c r="N18" s="446" t="str">
        <f ca="1"/>
        <v>ALSTOM</v>
      </c>
      <c r="O18" s="407"/>
      <c r="P18" s="407"/>
      <c r="Q18" s="407"/>
      <c r="R18" s="446"/>
      <c r="S18" s="437"/>
      <c r="T18" s="416" cm="1">
        <f t="array" aca="1" ref="T18:X18" ca="1">IF(AND($U$12,B42&lt;=$C$17,C42&lt;&gt;""),TRANSPOSE(INDEX(getcds(C42,$C$6,G42/10000,F42,D42,$C$13,$C$14,$C$15,$C$8,,,TRUE,TRUE,FALSE,$C$29:$C$31,$C$33),{1;2;3;4;5})),"")</f>
        <v>2.2663248436668299E-2</v>
      </c>
      <c r="U18" s="417">
        <f ca="1"/>
        <v>6.5597546977238796E-2</v>
      </c>
      <c r="V18" s="417">
        <f ca="1"/>
        <v>4.2934298540570501E-2</v>
      </c>
      <c r="W18" s="418">
        <f ca="1"/>
        <v>1.52785882632397E-2</v>
      </c>
      <c r="X18" s="419">
        <f ca="1"/>
        <v>4.2934298540570497</v>
      </c>
      <c r="Y18" s="420">
        <f t="shared" ref="Y18:Y79" ca="1" si="4">IF($U$12,IF(T18="","",$U$13*D42/$C$18),"")</f>
        <v>7.8067976152695159E-2</v>
      </c>
      <c r="Z18" s="421">
        <f t="shared" ca="1" si="2"/>
        <v>-5.1210677330943933E-3</v>
      </c>
      <c r="AA18" s="420">
        <f t="shared" ca="1" si="0"/>
        <v>0.13011039299509633</v>
      </c>
      <c r="AB18" s="422">
        <f t="shared" ca="1" si="1"/>
        <v>1.4514658850077715E-2</v>
      </c>
      <c r="AC18" s="421">
        <f t="shared" ca="1" si="3"/>
        <v>-4.2674613083614312E-4</v>
      </c>
      <c r="AD18" s="221"/>
      <c r="AE18" s="221"/>
    </row>
    <row r="19" spans="1:31" customFormat="1" ht="15">
      <c r="A19" s="221"/>
      <c r="B19" s="265" t="s">
        <v>465</v>
      </c>
      <c r="C19" s="233">
        <v>0</v>
      </c>
      <c r="D19" s="222"/>
      <c r="E19" s="222"/>
      <c r="F19" s="222"/>
      <c r="G19" s="235"/>
      <c r="H19" s="380">
        <v>5</v>
      </c>
      <c r="I19" s="407">
        <f ca="1"/>
        <v>1.4054214220493599E-4</v>
      </c>
      <c r="J19" s="407">
        <f ca="1"/>
        <v>4.54729518676965E-4</v>
      </c>
      <c r="K19" s="407">
        <f ca="1"/>
        <v>0.309067558696966</v>
      </c>
      <c r="L19" s="407">
        <f ca="1"/>
        <v>0.309067558696966</v>
      </c>
      <c r="M19" s="407">
        <f ca="1"/>
        <v>-4.0113206143666002E-4</v>
      </c>
      <c r="N19" s="446" t="str">
        <f ca="1"/>
        <v>ANGLO AMERICAN PLC</v>
      </c>
      <c r="O19" s="407"/>
      <c r="P19" s="407"/>
      <c r="Q19" s="407"/>
      <c r="R19" s="446"/>
      <c r="S19" s="437"/>
      <c r="T19" s="456" cm="1">
        <f t="array" aca="1" ref="T19:X19" ca="1">IF(AND($U$12,B43&lt;=$C$17,C43&lt;&gt;""),TRANSPOSE(INDEX(getcds(C43,$C$6,G43/10000,F43,D43,$C$13,$C$14,$C$15,$C$8,,,TRUE,TRUE,FALSE,$C$29:$C$31,$C$33),{1;2;3;4;5})),"")</f>
        <v>2.1525379678870998E-3</v>
      </c>
      <c r="U19" s="417">
        <f ca="1"/>
        <v>4.5930910871089803E-2</v>
      </c>
      <c r="V19" s="417">
        <f ca="1"/>
        <v>4.3778372903202703E-2</v>
      </c>
      <c r="W19" s="418">
        <f ca="1"/>
        <v>1.04916898059794E-2</v>
      </c>
      <c r="X19" s="419">
        <f ca="1"/>
        <v>4.3778372903202696</v>
      </c>
      <c r="Y19" s="420">
        <f t="shared" ca="1" si="4"/>
        <v>7.8067976152695159E-2</v>
      </c>
      <c r="Z19" s="421">
        <f t="shared" ca="1" si="2"/>
        <v>-3.5857332545557938E-3</v>
      </c>
      <c r="AA19" s="420">
        <f t="shared" ca="1" si="0"/>
        <v>0.10302251956565533</v>
      </c>
      <c r="AB19" s="422">
        <f t="shared" ca="1" si="1"/>
        <v>9.9671053156804301E-3</v>
      </c>
      <c r="AC19" s="421">
        <f t="shared" ca="1" si="3"/>
        <v>-2.3659590819426009E-4</v>
      </c>
      <c r="AD19" s="221"/>
      <c r="AE19" s="221"/>
    </row>
    <row r="20" spans="1:31" customFormat="1" ht="15">
      <c r="A20" s="221"/>
      <c r="B20" s="265" t="s">
        <v>466</v>
      </c>
      <c r="C20" s="233">
        <v>3</v>
      </c>
      <c r="D20" s="234"/>
      <c r="E20" s="407"/>
      <c r="F20" s="222"/>
      <c r="G20" s="235"/>
      <c r="H20" s="380">
        <v>6</v>
      </c>
      <c r="I20" s="407">
        <f ca="1"/>
        <v>1.6612573852246E-4</v>
      </c>
      <c r="J20" s="407">
        <f ca="1"/>
        <v>4.42259853171117E-4</v>
      </c>
      <c r="K20" s="407">
        <f ca="1"/>
        <v>0.37562925355149401</v>
      </c>
      <c r="L20" s="407">
        <f ca="1"/>
        <v>0.37562925355149401</v>
      </c>
      <c r="M20" s="407">
        <f ca="1"/>
        <v>-5.5680835644566996E-4</v>
      </c>
      <c r="N20" s="446" t="str">
        <f ca="1"/>
        <v>ARCELORMITTAL</v>
      </c>
      <c r="O20" s="407"/>
      <c r="P20" s="407"/>
      <c r="Q20" s="407"/>
      <c r="R20" s="446"/>
      <c r="S20" s="437"/>
      <c r="T20" s="416" cm="1">
        <f t="array" aca="1" ref="T20:X20" ca="1">IF(AND($U$12,B44&lt;=$C$17,C44&lt;&gt;""),TRANSPOSE(INDEX(getcds(C44,$C$6,G44/10000,F44,D44,$C$13,$C$14,$C$15,$C$8,,,TRUE,TRUE,FALSE,$C$29:$C$31,$C$33),{1;2;3;4;5})),"")</f>
        <v>1.9537007103996602E-2</v>
      </c>
      <c r="U20" s="417">
        <f ca="1"/>
        <v>6.2853148479472307E-2</v>
      </c>
      <c r="V20" s="417">
        <f ca="1"/>
        <v>4.3316141375475702E-2</v>
      </c>
      <c r="W20" s="418">
        <f ca="1"/>
        <v>1.4510329517729801E-2</v>
      </c>
      <c r="X20" s="419">
        <f ca="1"/>
        <v>4.3316141375475699</v>
      </c>
      <c r="Y20" s="420">
        <f t="shared" ca="1" si="4"/>
        <v>7.8067976152695159E-2</v>
      </c>
      <c r="Z20" s="421">
        <f t="shared" ca="1" si="2"/>
        <v>-4.9068180966172449E-3</v>
      </c>
      <c r="AA20" s="420">
        <f t="shared" ca="1" si="0"/>
        <v>0.12520975118383135</v>
      </c>
      <c r="AB20" s="422">
        <f t="shared" ca="1" si="1"/>
        <v>1.378481304184331E-2</v>
      </c>
      <c r="AC20" s="421">
        <f t="shared" ca="1" si="3"/>
        <v>-3.9349135411175651E-4</v>
      </c>
      <c r="AD20" s="221"/>
      <c r="AE20" s="221"/>
    </row>
    <row r="21" spans="1:31" customFormat="1" ht="15">
      <c r="A21" s="221"/>
      <c r="B21" s="265" t="s">
        <v>467</v>
      </c>
      <c r="C21" s="236">
        <v>0.4</v>
      </c>
      <c r="D21" s="222"/>
      <c r="E21" s="407"/>
      <c r="F21" s="222"/>
      <c r="G21" s="237"/>
      <c r="H21" s="380">
        <v>7</v>
      </c>
      <c r="I21" s="407">
        <f ca="1"/>
        <v>7.5168859484819899E-5</v>
      </c>
      <c r="J21" s="407">
        <f ca="1"/>
        <v>4.7542635597309501E-4</v>
      </c>
      <c r="K21" s="407">
        <f ca="1"/>
        <v>0.158108313812274</v>
      </c>
      <c r="L21" s="407">
        <f ca="1"/>
        <v>0.158108313812274</v>
      </c>
      <c r="M21" s="407">
        <f ca="1"/>
        <v>-1.03502933892341E-4</v>
      </c>
      <c r="N21" s="446" t="str">
        <f ca="1"/>
        <v>ASTRAZENECA PLC</v>
      </c>
      <c r="O21" s="407"/>
      <c r="P21" s="407"/>
      <c r="Q21" s="407"/>
      <c r="R21" s="446"/>
      <c r="S21" s="437"/>
      <c r="T21" s="416" cm="1">
        <f t="array" aca="1" ref="T21:X21" ca="1">IF(AND($U$12,B45&lt;=$C$17,C45&lt;&gt;""),TRANSPOSE(INDEX(getcds(C45,$C$6,G45/10000,F45,D45,$C$13,$C$14,$C$15,$C$8,,,TRUE,TRUE,FALSE,$C$29:$C$31,$C$33),{1;2;3;4;5})),"")</f>
        <v>-2.9996343570463602E-2</v>
      </c>
      <c r="U21" s="417">
        <f ca="1"/>
        <v>1.44937990974069E-2</v>
      </c>
      <c r="V21" s="417">
        <f ca="1"/>
        <v>4.4490142667870498E-2</v>
      </c>
      <c r="W21" s="418">
        <f ca="1"/>
        <v>3.25775514041539E-3</v>
      </c>
      <c r="X21" s="419">
        <f ca="1"/>
        <v>4.4490142667870503</v>
      </c>
      <c r="Y21" s="420">
        <f t="shared" ca="1" si="4"/>
        <v>7.8067976152695159E-2</v>
      </c>
      <c r="Z21" s="421">
        <f t="shared" ca="1" si="2"/>
        <v>-1.1315015622983182E-3</v>
      </c>
      <c r="AA21" s="420">
        <f ca="1">IF($U$12,IF(OR(T21="",L21=""),"",L21/($C$20-$C$19)),"")</f>
        <v>5.2702771270758002E-2</v>
      </c>
      <c r="AB21" s="422">
        <f t="shared" ca="1" si="1"/>
        <v>3.0948673833946206E-3</v>
      </c>
      <c r="AC21" s="421">
        <f t="shared" ca="1" si="3"/>
        <v>-3.8193168933747767E-5</v>
      </c>
      <c r="AD21" s="221"/>
      <c r="AE21" s="221"/>
    </row>
    <row r="22" spans="1:31" customFormat="1" ht="15.75" thickBot="1">
      <c r="A22" s="221"/>
      <c r="B22" s="266" t="s">
        <v>468</v>
      </c>
      <c r="C22" s="238">
        <v>0.5</v>
      </c>
      <c r="D22" s="222"/>
      <c r="E22" s="407"/>
      <c r="F22" s="222"/>
      <c r="G22" s="237"/>
      <c r="H22" s="380">
        <v>8</v>
      </c>
      <c r="I22" s="407">
        <f ca="1"/>
        <v>7.8100705138606198E-5</v>
      </c>
      <c r="J22" s="407">
        <f ca="1"/>
        <v>4.7425411616339999E-4</v>
      </c>
      <c r="K22" s="407">
        <f ca="1"/>
        <v>0.16468113291334599</v>
      </c>
      <c r="L22" s="407">
        <f ca="1"/>
        <v>0.16468113291334599</v>
      </c>
      <c r="M22" s="407">
        <f ca="1"/>
        <v>-1.1388677987334001E-4</v>
      </c>
      <c r="N22" s="446" t="str">
        <f ca="1"/>
        <v>BAE SYSTEMS PLC</v>
      </c>
      <c r="O22" s="407"/>
      <c r="P22" s="407"/>
      <c r="Q22" s="407"/>
      <c r="R22" s="446"/>
      <c r="S22" s="437"/>
      <c r="T22" s="416" cm="1">
        <f t="array" aca="1" ref="T22:X22" ca="1">IF(AND($U$12,B46&lt;=$C$17,C46&lt;&gt;""),TRANSPOSE(INDEX(getcds(C46,$C$6,G46/10000,F46,D46,$C$13,$C$14,$C$15,$C$8,,,TRUE,TRUE,FALSE,$C$29:$C$31,$C$33),{1;2;3;4;5})),"")</f>
        <v>-2.8614334954257099E-2</v>
      </c>
      <c r="U22" s="417">
        <f ca="1"/>
        <v>1.5879474696807599E-2</v>
      </c>
      <c r="V22" s="417">
        <f ca="1"/>
        <v>4.4493809651064697E-2</v>
      </c>
      <c r="W22" s="418">
        <f ca="1"/>
        <v>3.5689177486350901E-3</v>
      </c>
      <c r="X22" s="419">
        <f ca="1"/>
        <v>4.44938096510647</v>
      </c>
      <c r="Y22" s="420">
        <f t="shared" ca="1" si="4"/>
        <v>7.8067976152695159E-2</v>
      </c>
      <c r="Z22" s="421">
        <f t="shared" ca="1" si="2"/>
        <v>-1.2396784519477025E-3</v>
      </c>
      <c r="AA22" s="420">
        <f t="shared" ca="1" si="0"/>
        <v>5.4893710971115332E-2</v>
      </c>
      <c r="AB22" s="422">
        <f t="shared" ca="1" si="1"/>
        <v>3.3904718612033356E-3</v>
      </c>
      <c r="AC22" s="421">
        <f t="shared" ca="1" si="3"/>
        <v>-4.3584164718984812E-5</v>
      </c>
      <c r="AD22" s="221"/>
      <c r="AE22" s="221"/>
    </row>
    <row r="23" spans="1:31" customFormat="1" ht="15.75" thickBot="1">
      <c r="A23" s="221"/>
      <c r="B23" s="221"/>
      <c r="C23" s="222"/>
      <c r="D23" s="222"/>
      <c r="E23" s="407"/>
      <c r="F23" s="222"/>
      <c r="G23" s="222"/>
      <c r="H23" s="380">
        <v>9</v>
      </c>
      <c r="I23" s="407">
        <f ca="1"/>
        <v>8.7649881862938997E-5</v>
      </c>
      <c r="J23" s="407">
        <f ca="1"/>
        <v>4.7035523634513698E-4</v>
      </c>
      <c r="K23" s="407">
        <f ca="1"/>
        <v>0.186348264226878</v>
      </c>
      <c r="L23" s="407">
        <f ca="1"/>
        <v>0.186348264226878</v>
      </c>
      <c r="M23" s="407">
        <f ca="1"/>
        <v>-1.4857090023396899E-4</v>
      </c>
      <c r="N23" s="446" t="str">
        <f ca="1"/>
        <v>BASF SE</v>
      </c>
      <c r="O23" s="407"/>
      <c r="P23" s="407"/>
      <c r="Q23" s="407"/>
      <c r="R23" s="446"/>
      <c r="S23" s="437"/>
      <c r="T23" s="416" cm="1">
        <f t="array" aca="1" ref="T23:X23" ca="1">IF(AND($U$12,B47&lt;=$C$17,C47&lt;&gt;""),TRANSPOSE(INDEX(getcds(C47,$C$6,G47/10000,F47,D47,$C$13,$C$14,$C$15,$C$8,,,TRUE,TRUE,FALSE,$C$29:$C$31,$C$33),{1;2;3;4;5})),"")</f>
        <v>-2.4661557118040099E-2</v>
      </c>
      <c r="U23" s="417">
        <f ca="1"/>
        <v>1.9757766896328299E-2</v>
      </c>
      <c r="V23" s="417">
        <f ca="1"/>
        <v>4.4419324014368398E-2</v>
      </c>
      <c r="W23" s="418">
        <f ca="1"/>
        <v>4.4480116108784598E-3</v>
      </c>
      <c r="X23" s="419">
        <f ca="1"/>
        <v>4.4419324014368398</v>
      </c>
      <c r="Y23" s="420">
        <f t="shared" ca="1" si="4"/>
        <v>7.8067976152695159E-2</v>
      </c>
      <c r="Z23" s="421">
        <f t="shared" ca="1" si="2"/>
        <v>-1.5424488748930678E-3</v>
      </c>
      <c r="AA23" s="420">
        <f t="shared" ca="1" si="0"/>
        <v>6.2116088075625998E-2</v>
      </c>
      <c r="AB23" s="422">
        <f t="shared" ca="1" si="1"/>
        <v>4.2256110303345367E-3</v>
      </c>
      <c r="AC23" s="421">
        <f t="shared" ca="1" si="3"/>
        <v>-6.1363759435500843E-5</v>
      </c>
      <c r="AD23" s="221"/>
      <c r="AE23" s="221"/>
    </row>
    <row r="24" spans="1:31" customFormat="1" ht="15">
      <c r="A24" s="239"/>
      <c r="B24" s="267" t="s">
        <v>447</v>
      </c>
      <c r="C24" s="63" t="b">
        <v>1</v>
      </c>
      <c r="D24" s="222"/>
      <c r="E24" s="407"/>
      <c r="F24" s="222"/>
      <c r="G24" s="222"/>
      <c r="H24" s="380">
        <v>10</v>
      </c>
      <c r="I24" s="407">
        <f ca="1"/>
        <v>1.5136347972057799E-4</v>
      </c>
      <c r="J24" s="407">
        <f ca="1"/>
        <v>4.4793849740997702E-4</v>
      </c>
      <c r="K24" s="407">
        <f ca="1"/>
        <v>0.33791129942118397</v>
      </c>
      <c r="L24" s="407">
        <f ca="1"/>
        <v>0.33791129942118397</v>
      </c>
      <c r="M24" s="407">
        <f ca="1"/>
        <v>-4.6326231213960099E-4</v>
      </c>
      <c r="N24" s="446" t="str">
        <f ca="1"/>
        <v>BAYER AKTIENGESELLSCHAFT</v>
      </c>
      <c r="O24" s="407"/>
      <c r="P24" s="407"/>
      <c r="Q24" s="407"/>
      <c r="R24" s="446"/>
      <c r="S24" s="437"/>
      <c r="T24" s="416" cm="1">
        <f t="array" aca="1" ref="T24:X24" ca="1">IF(AND($U$12,B48&lt;=$C$17,C48&lt;&gt;""),TRANSPOSE(INDEX(getcds(C48,$C$6,G48/10000,F48,D48,$C$13,$C$14,$C$15,$C$8,,,TRUE,TRUE,FALSE,$C$29:$C$31,$C$33),{1;2;3;4;5})),"")</f>
        <v>8.2319432310282992E-3</v>
      </c>
      <c r="U24" s="417">
        <f ca="1"/>
        <v>5.1602344389365097E-2</v>
      </c>
      <c r="V24" s="417">
        <f ca="1"/>
        <v>4.3370401158336798E-2</v>
      </c>
      <c r="W24" s="418">
        <f ca="1"/>
        <v>1.18980555888739E-2</v>
      </c>
      <c r="X24" s="419">
        <f ca="1"/>
        <v>4.3370401158336804</v>
      </c>
      <c r="Y24" s="420">
        <f t="shared" ca="1" si="4"/>
        <v>7.8067976152695159E-2</v>
      </c>
      <c r="Z24" s="421">
        <f t="shared" ca="1" si="2"/>
        <v>-4.0284905912121279E-3</v>
      </c>
      <c r="AA24" s="420">
        <f t="shared" ca="1" si="0"/>
        <v>0.11263709980706132</v>
      </c>
      <c r="AB24" s="422">
        <f t="shared" ca="1" si="1"/>
        <v>1.1303152809430205E-2</v>
      </c>
      <c r="AC24" s="421">
        <f t="shared" ca="1" si="3"/>
        <v>-2.9061692076316406E-4</v>
      </c>
      <c r="AD24" s="221"/>
      <c r="AE24" s="221"/>
    </row>
    <row r="25" spans="1:31" customFormat="1" ht="15.75" thickBot="1">
      <c r="A25" s="239"/>
      <c r="B25" s="430" t="s">
        <v>448</v>
      </c>
      <c r="C25" s="431" t="b">
        <v>1</v>
      </c>
      <c r="D25" s="222"/>
      <c r="E25" s="407"/>
      <c r="F25" s="222"/>
      <c r="G25" s="222"/>
      <c r="H25" s="380">
        <v>11</v>
      </c>
      <c r="I25" s="407">
        <f ca="1"/>
        <v>9.6531150690171199E-5</v>
      </c>
      <c r="J25" s="407">
        <f ca="1"/>
        <v>4.6659725745651999E-4</v>
      </c>
      <c r="K25" s="407">
        <f ca="1"/>
        <v>0.20688323634042499</v>
      </c>
      <c r="L25" s="407">
        <f ca="1"/>
        <v>0.20688323634042499</v>
      </c>
      <c r="M25" s="407">
        <f ca="1"/>
        <v>-1.83372561732798E-4</v>
      </c>
      <c r="N25" s="446" t="str">
        <f ca="1"/>
        <v>BAYERISCHE MOTOREN WERKE AKTIENGESELLSCHAFT</v>
      </c>
      <c r="O25" s="407"/>
      <c r="P25" s="407"/>
      <c r="Q25" s="407"/>
      <c r="R25" s="446"/>
      <c r="S25" s="437"/>
      <c r="T25" s="416" cm="1">
        <f t="array" aca="1" ref="T25:X25" ca="1">IF(AND($U$12,B49&lt;=$C$17,C49&lt;&gt;""),TRANSPOSE(INDEX(getcds(C49,$C$6,G49/10000,F49,D49,$C$13,$C$14,$C$15,$C$8,,,TRUE,TRUE,FALSE,$C$29:$C$31,$C$33),{1;2;3;4;5})),"")</f>
        <v>-2.1044522219398201E-2</v>
      </c>
      <c r="U25" s="417">
        <f ca="1"/>
        <v>2.3256649140180701E-2</v>
      </c>
      <c r="V25" s="417">
        <f ca="1"/>
        <v>4.4301171359578902E-2</v>
      </c>
      <c r="W25" s="418">
        <f ca="1"/>
        <v>5.2496691230607996E-3</v>
      </c>
      <c r="X25" s="419">
        <f ca="1"/>
        <v>4.4301171359578904</v>
      </c>
      <c r="Y25" s="420">
        <f t="shared" ca="1" si="4"/>
        <v>7.8067976152695159E-2</v>
      </c>
      <c r="Z25" s="421">
        <f t="shared" ca="1" si="2"/>
        <v>-1.8155995304672237E-3</v>
      </c>
      <c r="AA25" s="420">
        <f t="shared" ca="1" si="0"/>
        <v>6.8961078780141669E-2</v>
      </c>
      <c r="AB25" s="422">
        <f t="shared" ca="1" si="1"/>
        <v>4.9871856669077598E-3</v>
      </c>
      <c r="AC25" s="421">
        <f t="shared" ca="1" si="3"/>
        <v>-8.0190180675905636E-5</v>
      </c>
      <c r="AD25" s="221"/>
      <c r="AE25" s="221"/>
    </row>
    <row r="26" spans="1:31" customFormat="1" ht="15.75" thickBot="1">
      <c r="A26" s="221"/>
      <c r="B26" s="221"/>
      <c r="C26" s="222"/>
      <c r="D26" s="222"/>
      <c r="E26" s="407"/>
      <c r="F26" s="222"/>
      <c r="G26" s="222"/>
      <c r="H26" s="380">
        <v>12</v>
      </c>
      <c r="I26" s="407">
        <f ca="1"/>
        <v>7.8037390448248899E-5</v>
      </c>
      <c r="J26" s="407">
        <f ca="1"/>
        <v>4.7441568063849701E-4</v>
      </c>
      <c r="K26" s="407">
        <f ca="1"/>
        <v>0.164491591726525</v>
      </c>
      <c r="L26" s="407">
        <f ca="1"/>
        <v>0.164491591726525</v>
      </c>
      <c r="M26" s="407">
        <f ca="1"/>
        <v>-1.1302088129017101E-4</v>
      </c>
      <c r="N26" s="446" t="str">
        <f ca="1"/>
        <v>BOUYGUES</v>
      </c>
      <c r="O26" s="407"/>
      <c r="P26" s="407"/>
      <c r="Q26" s="407"/>
      <c r="R26" s="446"/>
      <c r="S26" s="437"/>
      <c r="T26" s="416" cm="1">
        <f t="array" aca="1" ref="T26:X26" ca="1">IF(AND($U$12,B50&lt;=$C$17,C50&lt;&gt;""),TRANSPOSE(INDEX(getcds(C50,$C$6,G50/10000,F50,D50,$C$13,$C$14,$C$15,$C$8,,,TRUE,TRUE,FALSE,$C$29:$C$31,$C$33),{1;2;3;4;5})),"")</f>
        <v>-2.88387015007242E-2</v>
      </c>
      <c r="U26" s="417">
        <f ca="1"/>
        <v>1.5635938074035599E-2</v>
      </c>
      <c r="V26" s="417">
        <f ca="1"/>
        <v>4.4474639574759799E-2</v>
      </c>
      <c r="W26" s="418">
        <f ca="1"/>
        <v>3.5156975353903201E-3</v>
      </c>
      <c r="X26" s="419">
        <f ca="1"/>
        <v>4.4474639574759802</v>
      </c>
      <c r="Y26" s="420">
        <f t="shared" ca="1" si="4"/>
        <v>7.8067976152695159E-2</v>
      </c>
      <c r="Z26" s="421">
        <f t="shared" ca="1" si="2"/>
        <v>-1.220666040688828E-3</v>
      </c>
      <c r="AA26" s="420">
        <f t="shared" ca="1" si="0"/>
        <v>5.4830530575508331E-2</v>
      </c>
      <c r="AB26" s="422">
        <f t="shared" ca="1" si="1"/>
        <v>3.3399126586208037E-3</v>
      </c>
      <c r="AC26" s="421">
        <f t="shared" ca="1" si="3"/>
        <v>-4.2866339032258233E-5</v>
      </c>
      <c r="AD26" s="221"/>
      <c r="AE26" s="221"/>
    </row>
    <row r="27" spans="1:31" customFormat="1" ht="15.75" thickBot="1">
      <c r="A27" s="221"/>
      <c r="B27" s="435" t="s">
        <v>449</v>
      </c>
      <c r="C27" s="179" t="b">
        <v>1</v>
      </c>
      <c r="D27" s="222"/>
      <c r="E27" s="407"/>
      <c r="F27" s="222"/>
      <c r="G27" s="222"/>
      <c r="H27" s="380">
        <v>13</v>
      </c>
      <c r="I27" s="407">
        <f ca="1"/>
        <v>1.3211353052822199E-4</v>
      </c>
      <c r="J27" s="407">
        <f ca="1"/>
        <v>4.5726508181719998E-4</v>
      </c>
      <c r="K27" s="407">
        <f ca="1"/>
        <v>0.28892110021433198</v>
      </c>
      <c r="L27" s="407">
        <f ca="1"/>
        <v>0.28892110021433198</v>
      </c>
      <c r="M27" s="407">
        <f ca="1"/>
        <v>-3.5289018931685702E-4</v>
      </c>
      <c r="N27" s="446" t="str">
        <f ca="1"/>
        <v>CNH INDUSTRIAL N.V</v>
      </c>
      <c r="O27" s="407"/>
      <c r="P27" s="407"/>
      <c r="Q27" s="407"/>
      <c r="R27" s="446"/>
      <c r="S27" s="437"/>
      <c r="T27" s="416" cm="1">
        <f t="array" aca="1" ref="T27:X27" ca="1">IF(AND($U$12,B51&lt;=$C$17,C51&lt;&gt;""),TRANSPOSE(INDEX(getcds(C51,$C$6,G51/10000,F51,D51,$C$13,$C$14,$C$15,$C$8,,,TRUE,TRUE,FALSE,$C$29:$C$31,$C$33),{1;2;3;4;5})),"")</f>
        <v>-3.4501967806785999E-3</v>
      </c>
      <c r="U27" s="417">
        <f ca="1"/>
        <v>4.0329258119119998E-2</v>
      </c>
      <c r="V27" s="417">
        <f ca="1"/>
        <v>4.3779454899798599E-2</v>
      </c>
      <c r="W27" s="418">
        <f ca="1"/>
        <v>9.2119141755932499E-3</v>
      </c>
      <c r="X27" s="419">
        <f ca="1"/>
        <v>4.3779454899798598</v>
      </c>
      <c r="Y27" s="420">
        <f t="shared" ca="1" si="4"/>
        <v>7.8067976152695159E-2</v>
      </c>
      <c r="Z27" s="421">
        <f t="shared" ca="1" si="2"/>
        <v>-3.1484235610993484E-3</v>
      </c>
      <c r="AA27" s="420">
        <f t="shared" ca="1" si="0"/>
        <v>9.6307033404777323E-2</v>
      </c>
      <c r="AB27" s="422">
        <f t="shared" ca="1" si="1"/>
        <v>8.751318466813587E-3</v>
      </c>
      <c r="AC27" s="421">
        <f t="shared" ca="1" si="3"/>
        <v>-1.9419956044339901E-4</v>
      </c>
      <c r="AD27" s="221"/>
      <c r="AE27" s="221"/>
    </row>
    <row r="28" spans="1:31" customFormat="1" ht="15.75" thickBot="1">
      <c r="A28" s="221"/>
      <c r="B28" s="265" t="s">
        <v>450</v>
      </c>
      <c r="C28" s="240"/>
      <c r="D28" s="222"/>
      <c r="E28" s="407"/>
      <c r="F28" s="222"/>
      <c r="G28" s="222"/>
      <c r="H28" s="380">
        <v>14</v>
      </c>
      <c r="I28" s="407">
        <f ca="1"/>
        <v>2.5680260006108999E-4</v>
      </c>
      <c r="J28" s="407">
        <f ca="1"/>
        <v>3.6242445934144002E-4</v>
      </c>
      <c r="K28" s="407">
        <f ca="1"/>
        <v>0.70856862290068601</v>
      </c>
      <c r="L28" s="407">
        <f ca="1"/>
        <v>0.70856862290068601</v>
      </c>
      <c r="M28" s="407">
        <f ca="1"/>
        <v>-1.03493255016314E-3</v>
      </c>
      <c r="N28" s="446" t="str">
        <f ca="1"/>
        <v>COMPAGNIE DE SAINT-GOBAIN</v>
      </c>
      <c r="O28" s="407"/>
      <c r="P28" s="407"/>
      <c r="Q28" s="407"/>
      <c r="R28" s="446"/>
      <c r="S28" s="437"/>
      <c r="T28" s="416" cm="1">
        <f t="array" aca="1" ref="T28:X28" ca="1">IF(AND($U$12,B52&lt;=$C$17,C52&lt;&gt;""),TRANSPOSE(INDEX(getcds(C52,$C$6,G52/10000,F52,D52,$C$13,$C$14,$C$15,$C$8,,,TRUE,TRUE,FALSE,$C$29:$C$31,$C$33),{1;2;3;4;5})),"")</f>
        <v>0.16091681458091001</v>
      </c>
      <c r="U28" s="417">
        <f ca="1"/>
        <v>0.20267379105953301</v>
      </c>
      <c r="V28" s="417">
        <f ca="1"/>
        <v>4.1756976478623399E-2</v>
      </c>
      <c r="W28" s="418">
        <f ca="1"/>
        <v>4.8536510099884203E-2</v>
      </c>
      <c r="X28" s="419">
        <f ca="1"/>
        <v>4.1756976478623402</v>
      </c>
      <c r="Y28" s="420">
        <f t="shared" ca="1" si="4"/>
        <v>7.8067976152695159E-2</v>
      </c>
      <c r="Z28" s="421">
        <f t="shared" ca="1" si="2"/>
        <v>-1.5822332687211959E-2</v>
      </c>
      <c r="AA28" s="420">
        <f t="shared" ca="1" si="0"/>
        <v>0.23618954096689534</v>
      </c>
      <c r="AB28" s="422">
        <f t="shared" ca="1" si="1"/>
        <v>4.6109684594889989E-2</v>
      </c>
      <c r="AC28" s="421">
        <f t="shared" ca="1" si="3"/>
        <v>-2.3934714838185836E-3</v>
      </c>
      <c r="AD28" s="221"/>
      <c r="AE28" s="221"/>
    </row>
    <row r="29" spans="1:31" customFormat="1" ht="15.75" thickBot="1">
      <c r="A29" s="221"/>
      <c r="B29" s="265" t="s">
        <v>469</v>
      </c>
      <c r="C29" s="241"/>
      <c r="D29" s="222"/>
      <c r="E29" s="407"/>
      <c r="F29" s="222"/>
      <c r="G29" s="222"/>
      <c r="H29" s="380">
        <v>15</v>
      </c>
      <c r="I29" s="407">
        <f ca="1"/>
        <v>1.38640509143473E-4</v>
      </c>
      <c r="J29" s="407">
        <f ca="1"/>
        <v>4.5509757568615398E-4</v>
      </c>
      <c r="K29" s="407">
        <f ca="1"/>
        <v>0.30463908522132599</v>
      </c>
      <c r="L29" s="407">
        <f ca="1"/>
        <v>0.30463908522132599</v>
      </c>
      <c r="M29" s="407">
        <f ca="1"/>
        <v>-3.8994255244919598E-4</v>
      </c>
      <c r="N29" s="446" t="str">
        <f ca="1"/>
        <v>CONTINENTAL AKTIENGESELLSCHAFT</v>
      </c>
      <c r="O29" s="407"/>
      <c r="P29" s="407"/>
      <c r="Q29" s="407"/>
      <c r="R29" s="446"/>
      <c r="S29" s="437"/>
      <c r="T29" s="416" cm="1">
        <f t="array" aca="1" ref="T29:X29" ca="1">IF(AND($U$12,B53&lt;=$C$17,C53&lt;&gt;""),TRANSPOSE(INDEX(getcds(C53,$C$6,G53/10000,F53,D53,$C$13,$C$14,$C$15,$C$8,,,TRUE,TRUE,FALSE,$C$29:$C$31,$C$33),{1;2;3;4;5})),"")</f>
        <v>7.4753854039160501E-4</v>
      </c>
      <c r="U29" s="417">
        <f ca="1"/>
        <v>4.4498946914394703E-2</v>
      </c>
      <c r="V29" s="417">
        <f ca="1"/>
        <v>4.3751408374003098E-2</v>
      </c>
      <c r="W29" s="418">
        <f ca="1"/>
        <v>1.01708604518514E-2</v>
      </c>
      <c r="X29" s="419">
        <f ca="1"/>
        <v>4.37514083740031</v>
      </c>
      <c r="Y29" s="420">
        <f t="shared" ca="1" si="4"/>
        <v>7.8067976152695159E-2</v>
      </c>
      <c r="Z29" s="421">
        <f t="shared" ca="1" si="2"/>
        <v>-3.4739427265330237E-3</v>
      </c>
      <c r="AA29" s="420">
        <f t="shared" ca="1" si="0"/>
        <v>0.101546361740442</v>
      </c>
      <c r="AB29" s="422">
        <f t="shared" ca="1" si="1"/>
        <v>9.66231742925883E-3</v>
      </c>
      <c r="AC29" s="421">
        <f t="shared" ca="1" si="3"/>
        <v>-2.2593530802189331E-4</v>
      </c>
      <c r="AD29" s="221"/>
      <c r="AE29" s="221"/>
    </row>
    <row r="30" spans="1:31" customFormat="1" ht="15">
      <c r="A30" s="221"/>
      <c r="B30" s="265" t="s">
        <v>447</v>
      </c>
      <c r="C30" s="63" t="b">
        <v>1</v>
      </c>
      <c r="D30" s="222"/>
      <c r="E30" s="222"/>
      <c r="F30" s="222"/>
      <c r="G30" s="222"/>
      <c r="H30" s="380">
        <v>16</v>
      </c>
      <c r="I30" s="407">
        <f ca="1"/>
        <v>1.4604871708290301E-4</v>
      </c>
      <c r="J30" s="407">
        <f ca="1"/>
        <v>4.5227589364876802E-4</v>
      </c>
      <c r="K30" s="407">
        <f ca="1"/>
        <v>0.32291952574488197</v>
      </c>
      <c r="L30" s="407">
        <f ca="1"/>
        <v>0.32291952574488197</v>
      </c>
      <c r="M30" s="407">
        <f ca="1"/>
        <v>-4.3375792137756398E-4</v>
      </c>
      <c r="N30" s="446" t="str">
        <f ca="1"/>
        <v>GLENCORE INTERNATIONAL AG</v>
      </c>
      <c r="O30" s="407"/>
      <c r="P30" s="407"/>
      <c r="Q30" s="407"/>
      <c r="R30" s="446"/>
      <c r="S30" s="437"/>
      <c r="T30" s="416" cm="1">
        <f t="array" aca="1" ref="T30:X30" ca="1">IF(AND($U$12,B54&lt;=$C$17,C54&lt;&gt;""),TRANSPOSE(INDEX(getcds(C54,$C$6,G54/10000,F54,D54,$C$13,$C$14,$C$15,$C$8,,,TRUE,TRUE,FALSE,$C$29:$C$31,$C$33),{1;2;3;4;5})),"")</f>
        <v>5.6976651215823997E-3</v>
      </c>
      <c r="U30" s="417">
        <f ca="1"/>
        <v>4.9389424724424098E-2</v>
      </c>
      <c r="V30" s="417">
        <f ca="1"/>
        <v>4.3691759602841697E-2</v>
      </c>
      <c r="W30" s="418">
        <f ca="1"/>
        <v>1.13040594321159E-2</v>
      </c>
      <c r="X30" s="419">
        <f ca="1"/>
        <v>4.3691759602841698</v>
      </c>
      <c r="Y30" s="420">
        <f t="shared" ca="1" si="4"/>
        <v>7.8067976152695159E-2</v>
      </c>
      <c r="Z30" s="421">
        <f t="shared" ca="1" si="2"/>
        <v>-3.8557324315816903E-3</v>
      </c>
      <c r="AA30" s="420">
        <f t="shared" ca="1" si="0"/>
        <v>0.10763984191496066</v>
      </c>
      <c r="AB30" s="422">
        <f t="shared" ca="1" si="1"/>
        <v>1.0738856460510105E-2</v>
      </c>
      <c r="AC30" s="421">
        <f t="shared" ca="1" si="3"/>
        <v>-2.6581349348039408E-4</v>
      </c>
      <c r="AD30" s="221"/>
      <c r="AE30" s="221"/>
    </row>
    <row r="31" spans="1:31" customFormat="1" ht="15.75" thickBot="1">
      <c r="A31" s="221"/>
      <c r="B31" s="266" t="s">
        <v>448</v>
      </c>
      <c r="C31" s="431" t="b">
        <v>1</v>
      </c>
      <c r="D31" s="222"/>
      <c r="E31" s="222"/>
      <c r="F31" s="222"/>
      <c r="G31" s="222"/>
      <c r="H31" s="380">
        <v>17</v>
      </c>
      <c r="I31" s="407">
        <f ca="1"/>
        <v>6.5396846125898006E-5</v>
      </c>
      <c r="J31" s="407">
        <f ca="1"/>
        <v>4.7822145609925301E-4</v>
      </c>
      <c r="K31" s="407">
        <f ca="1"/>
        <v>0.13675012965609201</v>
      </c>
      <c r="L31" s="407">
        <f ca="1"/>
        <v>0.13675012965609201</v>
      </c>
      <c r="M31" s="407">
        <f ca="1"/>
        <v>-7.6080569355552196E-5</v>
      </c>
      <c r="N31" s="446" t="str">
        <f ca="1"/>
        <v>GSK PLC</v>
      </c>
      <c r="O31" s="407"/>
      <c r="P31" s="407"/>
      <c r="Q31" s="407"/>
      <c r="R31" s="446"/>
      <c r="S31" s="437"/>
      <c r="T31" s="416" cm="1">
        <f t="array" aca="1" ref="T31:X31" ca="1">IF(AND($U$12,B55&lt;=$C$17,C55&lt;&gt;""),TRANSPOSE(INDEX(getcds(C55,$C$6,G55/10000,F55,D55,$C$13,$C$14,$C$15,$C$8,,,TRUE,TRUE,FALSE,$C$29:$C$31,$C$33),{1;2;3;4;5})),"")</f>
        <v>-3.2996959415006397E-2</v>
      </c>
      <c r="U31" s="417">
        <f ca="1"/>
        <v>1.16100895258719E-2</v>
      </c>
      <c r="V31" s="417">
        <f ca="1"/>
        <v>4.4607048940878302E-2</v>
      </c>
      <c r="W31" s="418">
        <f ca="1"/>
        <v>2.6027477274409702E-3</v>
      </c>
      <c r="X31" s="419">
        <f ca="1"/>
        <v>4.4607048940878302</v>
      </c>
      <c r="Y31" s="420">
        <f t="shared" ca="1" si="4"/>
        <v>7.8067976152695159E-2</v>
      </c>
      <c r="Z31" s="421">
        <f t="shared" ca="1" si="2"/>
        <v>-9.0637619223642445E-4</v>
      </c>
      <c r="AA31" s="420">
        <f t="shared" ca="1" si="0"/>
        <v>4.5583376552030673E-2</v>
      </c>
      <c r="AB31" s="422">
        <f t="shared" ca="1" si="1"/>
        <v>2.4726103410689215E-3</v>
      </c>
      <c r="AC31" s="421">
        <f t="shared" ca="1" si="3"/>
        <v>-2.6461354133030381E-5</v>
      </c>
      <c r="AD31" s="221"/>
      <c r="AE31" s="221"/>
    </row>
    <row r="32" spans="1:31" customFormat="1" ht="15.75" thickBot="1">
      <c r="A32" s="221"/>
      <c r="B32" s="221"/>
      <c r="C32" s="222"/>
      <c r="D32" s="222"/>
      <c r="E32" s="222"/>
      <c r="F32" s="222"/>
      <c r="G32" s="222"/>
      <c r="H32" s="380">
        <v>18</v>
      </c>
      <c r="I32" s="407">
        <f ca="1"/>
        <v>1.3201163546718901E-4</v>
      </c>
      <c r="J32" s="407">
        <f ca="1"/>
        <v>4.57596210558471E-4</v>
      </c>
      <c r="K32" s="407">
        <f ca="1"/>
        <v>0.28848935463446301</v>
      </c>
      <c r="L32" s="407">
        <f ca="1"/>
        <v>0.28848935463446301</v>
      </c>
      <c r="M32" s="407">
        <f ca="1"/>
        <v>-3.5223295565018899E-4</v>
      </c>
      <c r="N32" s="446" t="str">
        <f ca="1"/>
        <v>HEIDELBERG MATERIALS AG</v>
      </c>
      <c r="O32" s="407"/>
      <c r="P32" s="407"/>
      <c r="Q32" s="407"/>
      <c r="R32" s="446"/>
      <c r="S32" s="437"/>
      <c r="T32" s="416" cm="1">
        <f t="array" aca="1" ref="T32:X32" ca="1">IF(AND($U$12,B56&lt;=$C$17,C56&lt;&gt;""),TRANSPOSE(INDEX(getcds(C56,$C$6,G56/10000,F56,D56,$C$13,$C$14,$C$15,$C$8,,,TRUE,TRUE,FALSE,$C$29:$C$31,$C$33),{1;2;3;4;5})),"")</f>
        <v>-3.4089013797725999E-3</v>
      </c>
      <c r="U32" s="417">
        <f ca="1"/>
        <v>4.0405560140997498E-2</v>
      </c>
      <c r="V32" s="417">
        <f ca="1"/>
        <v>4.38144615207701E-2</v>
      </c>
      <c r="W32" s="418">
        <f ca="1"/>
        <v>9.2219688976077907E-3</v>
      </c>
      <c r="X32" s="419">
        <f ca="1"/>
        <v>4.38144615207701</v>
      </c>
      <c r="Y32" s="420">
        <f t="shared" ca="1" si="4"/>
        <v>7.8067976152695159E-2</v>
      </c>
      <c r="Z32" s="421">
        <f t="shared" ca="1" si="2"/>
        <v>-3.1543803055236849E-3</v>
      </c>
      <c r="AA32" s="420">
        <f t="shared" ca="1" si="0"/>
        <v>9.6163118211487666E-2</v>
      </c>
      <c r="AB32" s="422">
        <f t="shared" ca="1" si="1"/>
        <v>8.7608704527274012E-3</v>
      </c>
      <c r="AC32" s="421">
        <f t="shared" ca="1" si="3"/>
        <v>-1.9427623281200596E-4</v>
      </c>
      <c r="AD32" s="221"/>
      <c r="AE32" s="221"/>
    </row>
    <row r="33" spans="1:31" customFormat="1" ht="15">
      <c r="A33" s="221"/>
      <c r="B33" s="264" t="s">
        <v>451</v>
      </c>
      <c r="C33" s="242" t="s">
        <v>452</v>
      </c>
      <c r="D33" s="243"/>
      <c r="E33" s="243"/>
      <c r="F33" s="243"/>
      <c r="G33" s="222"/>
      <c r="H33" s="380">
        <v>19</v>
      </c>
      <c r="I33" s="407">
        <f ca="1"/>
        <v>1.1634962683961801E-4</v>
      </c>
      <c r="J33" s="407">
        <f ca="1"/>
        <v>4.5488022313238102E-4</v>
      </c>
      <c r="K33" s="407">
        <f ca="1"/>
        <v>0.25578079881867599</v>
      </c>
      <c r="L33" s="407">
        <f ca="1"/>
        <v>0.25578079881867599</v>
      </c>
      <c r="M33" s="407">
        <f ca="1"/>
        <v>-2.7872693897161799E-4</v>
      </c>
      <c r="N33" s="446" t="str">
        <f ca="1"/>
        <v>HOLCIM AG</v>
      </c>
      <c r="O33" s="407"/>
      <c r="P33" s="407"/>
      <c r="Q33" s="407"/>
      <c r="R33" s="446"/>
      <c r="S33" s="437"/>
      <c r="T33" s="416" cm="1">
        <f t="array" aca="1" ref="T33:X33" ca="1">IF(AND($U$12,B57&lt;=$C$17,C57&lt;&gt;""),TRANSPOSE(INDEX(getcds(C57,$C$6,G57/10000,F57,D57,$C$13,$C$14,$C$15,$C$8,,,TRUE,TRUE,FALSE,$C$29:$C$31,$C$33),{1;2;3;4;5})),"")</f>
        <v>-1.10777119420321E-2</v>
      </c>
      <c r="U33" s="417">
        <f ca="1"/>
        <v>3.2953546876916998E-2</v>
      </c>
      <c r="V33" s="417">
        <f ca="1"/>
        <v>4.40312588189491E-2</v>
      </c>
      <c r="W33" s="418">
        <f ca="1"/>
        <v>7.4841255419059796E-3</v>
      </c>
      <c r="X33" s="419">
        <f ca="1"/>
        <v>4.4031258818949102</v>
      </c>
      <c r="Y33" s="420">
        <f t="shared" ca="1" si="4"/>
        <v>7.8067976152695159E-2</v>
      </c>
      <c r="Z33" s="421">
        <f t="shared" ca="1" si="2"/>
        <v>-2.5726167117338774E-3</v>
      </c>
      <c r="AA33" s="420">
        <f t="shared" ca="1" si="0"/>
        <v>8.5260266272892002E-2</v>
      </c>
      <c r="AB33" s="422">
        <f t="shared" ca="1" si="1"/>
        <v>7.1099192648106805E-3</v>
      </c>
      <c r="AC33" s="421">
        <f t="shared" ca="1" si="3"/>
        <v>-1.4048140906810862E-4</v>
      </c>
      <c r="AD33" s="221"/>
      <c r="AE33" s="221"/>
    </row>
    <row r="34" spans="1:31" customFormat="1" ht="15">
      <c r="A34" s="221"/>
      <c r="B34" s="265" t="s">
        <v>470</v>
      </c>
      <c r="C34" s="244">
        <v>0.01</v>
      </c>
      <c r="D34" s="243"/>
      <c r="E34" s="243"/>
      <c r="F34" s="243"/>
      <c r="G34" s="222"/>
      <c r="H34" s="380">
        <v>20</v>
      </c>
      <c r="I34" s="407">
        <f ca="1"/>
        <v>5.61491479998954E-5</v>
      </c>
      <c r="J34" s="407">
        <f ca="1"/>
        <v>4.8059246118860001E-4</v>
      </c>
      <c r="K34" s="407">
        <f ca="1"/>
        <v>0.116833185150319</v>
      </c>
      <c r="L34" s="407">
        <f ca="1"/>
        <v>0.116833185150319</v>
      </c>
      <c r="M34" s="407">
        <f ca="1"/>
        <v>-5.36275353031579E-5</v>
      </c>
      <c r="N34" s="446" t="str">
        <f ca="1"/>
        <v>DSM B.V</v>
      </c>
      <c r="O34" s="407"/>
      <c r="P34" s="407"/>
      <c r="Q34" s="407"/>
      <c r="R34" s="446"/>
      <c r="S34" s="437"/>
      <c r="T34" s="416" cm="1">
        <f t="array" aca="1" ref="T34:X34" ca="1">IF(AND($U$12,B58&lt;=$C$17,C58&lt;&gt;""),TRANSPOSE(INDEX(getcds(C58,$C$6,G58/10000,F58,D58,$C$13,$C$14,$C$15,$C$8,,,TRUE,TRUE,FALSE,$C$29:$C$31,$C$33),{1;2;3;4;5})),"")</f>
        <v>-3.5769412542687798E-2</v>
      </c>
      <c r="U34" s="417">
        <f ca="1"/>
        <v>8.9124415142795392E-3</v>
      </c>
      <c r="V34" s="417">
        <f ca="1"/>
        <v>4.4681854056967299E-2</v>
      </c>
      <c r="W34" s="418">
        <f ca="1"/>
        <v>1.9946445156274399E-3</v>
      </c>
      <c r="X34" s="419">
        <f ca="1"/>
        <v>4.4681854056967296</v>
      </c>
      <c r="Y34" s="420">
        <f t="shared" ca="1" si="4"/>
        <v>7.8067976152695159E-2</v>
      </c>
      <c r="Z34" s="421">
        <f t="shared" ca="1" si="2"/>
        <v>-6.9577627159906621E-4</v>
      </c>
      <c r="AA34" s="420">
        <f t="shared" ca="1" si="0"/>
        <v>3.8944395050106335E-2</v>
      </c>
      <c r="AB34" s="422">
        <f t="shared" ca="1" si="1"/>
        <v>1.8949122898460678E-3</v>
      </c>
      <c r="AC34" s="421">
        <f t="shared" ca="1" si="3"/>
        <v>-1.7354482159653546E-5</v>
      </c>
      <c r="AD34" s="221"/>
      <c r="AE34" s="221"/>
    </row>
    <row r="35" spans="1:31" customFormat="1" ht="15">
      <c r="A35" s="221"/>
      <c r="B35" s="265" t="s">
        <v>471</v>
      </c>
      <c r="C35" s="244">
        <v>1</v>
      </c>
      <c r="D35" s="222"/>
      <c r="E35" s="222"/>
      <c r="F35" s="222"/>
      <c r="G35" s="222"/>
      <c r="H35" s="380">
        <v>21</v>
      </c>
      <c r="I35" s="407">
        <f ca="1"/>
        <v>5.7148029284403897E-5</v>
      </c>
      <c r="J35" s="407">
        <f ca="1"/>
        <v>4.8034609787307698E-4</v>
      </c>
      <c r="K35" s="407">
        <f ca="1"/>
        <v>0.11897261066020801</v>
      </c>
      <c r="L35" s="407">
        <f ca="1"/>
        <v>0.11897261066020801</v>
      </c>
      <c r="M35" s="407">
        <f ca="1"/>
        <v>-5.5933302641397702E-5</v>
      </c>
      <c r="N35" s="446" t="str">
        <f ca="1"/>
        <v>L'AIR LIQUIDE SOCIETE ANONYME POUR L'ETUDE ET L'EXPLOITATION DES PROCEDES GEORGES CLAUDE</v>
      </c>
      <c r="O35" s="407"/>
      <c r="P35" s="407"/>
      <c r="Q35" s="407"/>
      <c r="R35" s="446"/>
      <c r="S35" s="437"/>
      <c r="T35" s="416" cm="1">
        <f t="array" aca="1" ref="T35:X35" ca="1">IF(AND($U$12,B59&lt;=$C$17,C59&lt;&gt;""),TRANSPOSE(INDEX(getcds(C59,$C$6,G59/10000,F59,D59,$C$13,$C$14,$C$15,$C$8,,,TRUE,TRUE,FALSE,$C$29:$C$31,$C$33),{1;2;3;4;5})),"")</f>
        <v>-3.5456808888388598E-2</v>
      </c>
      <c r="U35" s="417">
        <f ca="1"/>
        <v>9.21943490890593E-3</v>
      </c>
      <c r="V35" s="417">
        <f ca="1"/>
        <v>4.4676243797294499E-2</v>
      </c>
      <c r="W35" s="418">
        <f ca="1"/>
        <v>2.0636101259399599E-3</v>
      </c>
      <c r="X35" s="419">
        <f ca="1"/>
        <v>4.4676243797294504</v>
      </c>
      <c r="Y35" s="420">
        <f t="shared" ca="1" si="4"/>
        <v>7.8067976152695159E-2</v>
      </c>
      <c r="Z35" s="421">
        <f t="shared" ca="1" si="2"/>
        <v>-7.1974262460979314E-4</v>
      </c>
      <c r="AA35" s="420">
        <f t="shared" ca="1" si="0"/>
        <v>3.9657536886736004E-2</v>
      </c>
      <c r="AB35" s="422">
        <f t="shared" ca="1" si="1"/>
        <v>1.9604296196429616E-3</v>
      </c>
      <c r="AC35" s="421">
        <f t="shared" ca="1" si="3"/>
        <v>-1.8281003998739965E-5</v>
      </c>
      <c r="AD35" s="221"/>
      <c r="AE35" s="221"/>
    </row>
    <row r="36" spans="1:31" customFormat="1" ht="15.75" thickBot="1">
      <c r="A36" s="221"/>
      <c r="B36" s="266" t="s">
        <v>472</v>
      </c>
      <c r="C36" s="245"/>
      <c r="D36" s="222"/>
      <c r="E36" s="222"/>
      <c r="F36" s="222"/>
      <c r="G36" s="222"/>
      <c r="H36" s="380">
        <v>22</v>
      </c>
      <c r="I36" s="407">
        <f ca="1"/>
        <v>1.8376665965737999E-4</v>
      </c>
      <c r="J36" s="407">
        <f ca="1"/>
        <v>4.2851878357780298E-4</v>
      </c>
      <c r="K36" s="407">
        <f ca="1"/>
        <v>0.42884155070886099</v>
      </c>
      <c r="L36" s="407">
        <f ca="1"/>
        <v>0.42884155070886099</v>
      </c>
      <c r="M36" s="407">
        <f ca="1"/>
        <v>-6.8112803872020199E-4</v>
      </c>
      <c r="N36" s="446" t="str">
        <f ca="1"/>
        <v>LANXESS AKTIENGESELLSCHAFT</v>
      </c>
      <c r="O36" s="407"/>
      <c r="P36" s="407"/>
      <c r="Q36" s="407"/>
      <c r="R36" s="446"/>
      <c r="S36" s="437"/>
      <c r="T36" s="416" cm="1">
        <f t="array" aca="1" ref="T36:X36" ca="1">IF(AND($U$12,B60&lt;=$C$17,C60&lt;&gt;""),TRANSPOSE(INDEX(getcds(C60,$C$6,G60/10000,F60,D60,$C$13,$C$14,$C$15,$C$8,,,TRUE,TRUE,FALSE,$C$29:$C$31,$C$33),{1;2;3;4;5})),"")</f>
        <v>3.4179303121091603E-2</v>
      </c>
      <c r="U36" s="417">
        <f ca="1"/>
        <v>7.6768378225031797E-2</v>
      </c>
      <c r="V36" s="417">
        <f ca="1"/>
        <v>4.2589075103940201E-2</v>
      </c>
      <c r="W36" s="418">
        <f ca="1"/>
        <v>1.80253687213624E-2</v>
      </c>
      <c r="X36" s="419">
        <f ca="1"/>
        <v>4.2589075103940202</v>
      </c>
      <c r="Y36" s="420">
        <f t="shared" ca="1" si="4"/>
        <v>7.8067976152695159E-2</v>
      </c>
      <c r="Z36" s="421">
        <f t="shared" ca="1" si="2"/>
        <v>-5.9931519205528635E-3</v>
      </c>
      <c r="AA36" s="420">
        <f t="shared" ca="1" si="0"/>
        <v>0.14294718356962033</v>
      </c>
      <c r="AB36" s="422">
        <f t="shared" ca="1" si="1"/>
        <v>1.7124100285294281E-2</v>
      </c>
      <c r="AC36" s="421">
        <f t="shared" ca="1" si="3"/>
        <v>-5.4869117272378278E-4</v>
      </c>
      <c r="AD36" s="221"/>
      <c r="AE36" s="221"/>
    </row>
    <row r="37" spans="1:31" customFormat="1" ht="15.75" thickBot="1">
      <c r="A37" s="221"/>
      <c r="B37" s="221"/>
      <c r="C37" s="222"/>
      <c r="D37" s="222"/>
      <c r="E37" s="222"/>
      <c r="F37" s="222"/>
      <c r="G37" s="222"/>
      <c r="H37" s="380">
        <v>23</v>
      </c>
      <c r="I37" s="407">
        <f ca="1"/>
        <v>1.11930244408942E-4</v>
      </c>
      <c r="J37" s="407">
        <f ca="1"/>
        <v>4.5726748612993202E-4</v>
      </c>
      <c r="K37" s="407">
        <f ca="1"/>
        <v>0.244780676090181</v>
      </c>
      <c r="L37" s="407">
        <f ca="1"/>
        <v>0.244780676090181</v>
      </c>
      <c r="M37" s="407">
        <f ca="1"/>
        <v>-2.56688163516982E-4</v>
      </c>
      <c r="N37" s="446" t="str">
        <f ca="1"/>
        <v>LEONARDO SOCIETA' PER AZIONI</v>
      </c>
      <c r="O37" s="407"/>
      <c r="P37" s="407"/>
      <c r="Q37" s="407"/>
      <c r="R37" s="446"/>
      <c r="S37" s="437"/>
      <c r="T37" s="416" cm="1">
        <f t="array" aca="1" ref="T37:X37" ca="1">IF(AND($U$12,B61&lt;=$C$17,C61&lt;&gt;""),TRANSPOSE(INDEX(getcds(C61,$C$6,G61/10000,F61,D61,$C$13,$C$14,$C$15,$C$8,,,TRUE,TRUE,FALSE,$C$29:$C$31,$C$33),{1;2;3;4;5})),"")</f>
        <v>-1.32457644104491E-2</v>
      </c>
      <c r="U37" s="417">
        <f ca="1"/>
        <v>3.0878438587494499E-2</v>
      </c>
      <c r="V37" s="417">
        <f ca="1"/>
        <v>4.4124202997943597E-2</v>
      </c>
      <c r="W37" s="418">
        <f ca="1"/>
        <v>6.9980728238725502E-3</v>
      </c>
      <c r="X37" s="419">
        <f ca="1"/>
        <v>4.41242029979436</v>
      </c>
      <c r="Y37" s="420">
        <f t="shared" ca="1" si="4"/>
        <v>7.8067976152695159E-2</v>
      </c>
      <c r="Z37" s="421">
        <f t="shared" ca="1" si="2"/>
        <v>-2.4106172072809813E-3</v>
      </c>
      <c r="AA37" s="420">
        <f t="shared" ca="1" si="0"/>
        <v>8.1593558696727006E-2</v>
      </c>
      <c r="AB37" s="422">
        <f t="shared" ca="1" si="1"/>
        <v>6.6481691826789221E-3</v>
      </c>
      <c r="AC37" s="421">
        <f t="shared" ca="1" si="3"/>
        <v>-1.2597408456760075E-4</v>
      </c>
      <c r="AD37" s="221"/>
      <c r="AE37" s="221"/>
    </row>
    <row r="38" spans="1:31" customFormat="1" ht="15.75" thickBot="1">
      <c r="A38" s="221"/>
      <c r="B38" s="268" t="s">
        <v>460</v>
      </c>
      <c r="C38" s="246" t="s">
        <v>80</v>
      </c>
      <c r="D38" s="246" t="s">
        <v>473</v>
      </c>
      <c r="E38" s="246" t="s">
        <v>474</v>
      </c>
      <c r="F38" s="246" t="s">
        <v>85</v>
      </c>
      <c r="G38" s="246" t="s">
        <v>434</v>
      </c>
      <c r="H38" s="380">
        <v>24</v>
      </c>
      <c r="I38" s="407">
        <f ca="1"/>
        <v>9.4324992830352396E-5</v>
      </c>
      <c r="J38" s="407">
        <f ca="1"/>
        <v>4.6770398889915801E-4</v>
      </c>
      <c r="K38" s="407">
        <f ca="1"/>
        <v>0.20167669096080701</v>
      </c>
      <c r="L38" s="407">
        <f ca="1"/>
        <v>0.20167669096080701</v>
      </c>
      <c r="M38" s="407">
        <f ca="1"/>
        <v>-1.73983104042486E-4</v>
      </c>
      <c r="N38" s="446" t="str">
        <f ca="1"/>
        <v>MERCEDES-BENZ GROUP AG</v>
      </c>
      <c r="O38" s="407"/>
      <c r="P38" s="407"/>
      <c r="Q38" s="407"/>
      <c r="R38" s="446"/>
      <c r="S38" s="437"/>
      <c r="T38" s="416" cm="1">
        <f t="array" aca="1" ref="T38:X38" ca="1">IF(AND($U$12,B62&lt;=$C$17,C62&lt;&gt;""),TRANSPOSE(INDEX(getcds(C62,$C$6,G62/10000,F62,D62,$C$13,$C$14,$C$15,$C$8,,,TRUE,TRUE,FALSE,$C$29:$C$31,$C$33),{1;2;3;4;5})),"")</f>
        <v>-2.2063293565247898E-2</v>
      </c>
      <c r="U38" s="417">
        <f ca="1"/>
        <v>2.2259770920800701E-2</v>
      </c>
      <c r="V38" s="417">
        <f ca="1"/>
        <v>4.4323064486048599E-2</v>
      </c>
      <c r="W38" s="418">
        <f ca="1"/>
        <v>5.0221642341105096E-3</v>
      </c>
      <c r="X38" s="419">
        <f ca="1"/>
        <v>4.4323064486048596</v>
      </c>
      <c r="Y38" s="420">
        <f t="shared" ca="1" si="4"/>
        <v>7.8067976152695159E-2</v>
      </c>
      <c r="Z38" s="421">
        <f t="shared" ca="1" si="2"/>
        <v>-1.737775265409526E-3</v>
      </c>
      <c r="AA38" s="420">
        <f t="shared" ca="1" si="0"/>
        <v>6.7225563653602341E-2</v>
      </c>
      <c r="AB38" s="422">
        <f t="shared" ca="1" si="1"/>
        <v>4.7710560224049842E-3</v>
      </c>
      <c r="AC38" s="421">
        <f t="shared" ca="1" si="3"/>
        <v>-7.4821282347544644E-5</v>
      </c>
      <c r="AD38" s="221"/>
      <c r="AE38" s="221"/>
    </row>
    <row r="39" spans="1:31" customFormat="1" ht="15">
      <c r="A39" s="221"/>
      <c r="B39" s="269">
        <v>1</v>
      </c>
      <c r="C39" s="62" t="s">
        <v>510</v>
      </c>
      <c r="D39" s="247">
        <v>1</v>
      </c>
      <c r="E39" s="241"/>
      <c r="F39" s="226">
        <v>0.4</v>
      </c>
      <c r="G39" s="429">
        <v>100</v>
      </c>
      <c r="H39" s="380">
        <v>25</v>
      </c>
      <c r="I39" s="407">
        <f ca="1"/>
        <v>1.5826425541414299E-4</v>
      </c>
      <c r="J39" s="407">
        <f ca="1"/>
        <v>4.4459388177060799E-4</v>
      </c>
      <c r="K39" s="407">
        <f ca="1"/>
        <v>0.35597488382847498</v>
      </c>
      <c r="L39" s="407">
        <f ca="1"/>
        <v>0.35597488382847498</v>
      </c>
      <c r="M39" s="407">
        <f ca="1"/>
        <v>-5.0677722763932105E-4</v>
      </c>
      <c r="N39" s="446" t="str">
        <f ca="1"/>
        <v>POSTNL N.V.</v>
      </c>
      <c r="O39" s="407"/>
      <c r="P39" s="407"/>
      <c r="Q39" s="407"/>
      <c r="R39" s="446"/>
      <c r="S39" s="437"/>
      <c r="T39" s="416" cm="1">
        <f t="array" aca="1" ref="T39:X39" ca="1">IF(AND($U$12,B63&lt;=$C$17,C63&lt;&gt;""),TRANSPOSE(INDEX(getcds(C63,$C$6,G63/10000,F63,D63,$C$13,$C$14,$C$15,$C$8,,,TRUE,TRUE,FALSE,$C$29:$C$31,$C$33),{1;2;3;4;5})),"")</f>
        <v>1.31663077199704E-2</v>
      </c>
      <c r="U39" s="417">
        <f ca="1"/>
        <v>5.6424706948204797E-2</v>
      </c>
      <c r="V39" s="417">
        <f ca="1"/>
        <v>4.32583992282344E-2</v>
      </c>
      <c r="W39" s="418">
        <f ca="1"/>
        <v>1.3043641918070999E-2</v>
      </c>
      <c r="X39" s="419">
        <f ca="1"/>
        <v>4.3258399228234401</v>
      </c>
      <c r="Y39" s="420">
        <f t="shared" ca="1" si="4"/>
        <v>7.8067976152695159E-2</v>
      </c>
      <c r="Z39" s="421">
        <f t="shared" ca="1" si="2"/>
        <v>-4.4049626764552678E-3</v>
      </c>
      <c r="AA39" s="420">
        <f t="shared" ca="1" si="0"/>
        <v>0.11865829460949166</v>
      </c>
      <c r="AB39" s="422">
        <f t="shared" ca="1" si="1"/>
        <v>1.2391459822167449E-2</v>
      </c>
      <c r="AC39" s="421">
        <f t="shared" ca="1" si="3"/>
        <v>-3.3476297501571612E-4</v>
      </c>
      <c r="AD39" s="221"/>
      <c r="AE39" s="221"/>
    </row>
    <row r="40" spans="1:31" customFormat="1" ht="15">
      <c r="A40" s="221"/>
      <c r="B40" s="270">
        <v>2</v>
      </c>
      <c r="C40" s="68" t="s">
        <v>511</v>
      </c>
      <c r="D40" s="249">
        <v>1</v>
      </c>
      <c r="E40" s="241"/>
      <c r="F40" s="226">
        <v>0.4</v>
      </c>
      <c r="G40" s="429">
        <v>100</v>
      </c>
      <c r="H40" s="380">
        <v>26</v>
      </c>
      <c r="I40" s="407">
        <f ca="1"/>
        <v>1.03283852900815E-4</v>
      </c>
      <c r="J40" s="407">
        <f ca="1"/>
        <v>4.6348762926098702E-4</v>
      </c>
      <c r="K40" s="407">
        <f ca="1"/>
        <v>0.22284058166880799</v>
      </c>
      <c r="L40" s="407">
        <f ca="1"/>
        <v>0.22284058166880799</v>
      </c>
      <c r="M40" s="407">
        <f ca="1"/>
        <v>-2.12396280205885E-4</v>
      </c>
      <c r="N40" s="446" t="str">
        <f ca="1"/>
        <v>RENTOKIL INITIAL PLC</v>
      </c>
      <c r="O40" s="407"/>
      <c r="P40" s="407"/>
      <c r="Q40" s="407"/>
      <c r="R40" s="446"/>
      <c r="S40" s="437"/>
      <c r="T40" s="416" cm="1">
        <f t="array" aca="1" ref="T40:X40" ca="1">IF(AND($U$12,B64&lt;=$C$17,C64&lt;&gt;""),TRANSPOSE(INDEX(getcds(C64,$C$6,G64/10000,F64,D64,$C$13,$C$14,$C$15,$C$8,,,TRUE,TRUE,FALSE,$C$29:$C$31,$C$33),{1;2;3;4;5})),"")</f>
        <v>-1.8101792194409799E-2</v>
      </c>
      <c r="U40" s="417">
        <f ca="1"/>
        <v>2.6092082895116501E-2</v>
      </c>
      <c r="V40" s="417">
        <f ca="1"/>
        <v>4.4193875089526297E-2</v>
      </c>
      <c r="W40" s="418">
        <f ca="1"/>
        <v>5.9040043088007402E-3</v>
      </c>
      <c r="X40" s="419">
        <f ca="1"/>
        <v>4.4193875089526298</v>
      </c>
      <c r="Y40" s="420">
        <f t="shared" ca="1" si="4"/>
        <v>7.8067976152695159E-2</v>
      </c>
      <c r="Z40" s="421">
        <f t="shared" ca="1" si="2"/>
        <v>-2.0369561052300997E-3</v>
      </c>
      <c r="AA40" s="420">
        <f t="shared" ca="1" si="0"/>
        <v>7.4280193889602664E-2</v>
      </c>
      <c r="AB40" s="422">
        <f t="shared" ca="1" si="1"/>
        <v>5.6088040933607031E-3</v>
      </c>
      <c r="AC40" s="421">
        <f t="shared" ca="1" si="3"/>
        <v>-9.6906248821641971E-5</v>
      </c>
      <c r="AD40" s="221"/>
      <c r="AE40" s="221"/>
    </row>
    <row r="41" spans="1:31" customFormat="1" ht="12.75" customHeight="1">
      <c r="A41" s="221"/>
      <c r="B41" s="270">
        <v>3</v>
      </c>
      <c r="C41" s="68" t="s">
        <v>531</v>
      </c>
      <c r="D41" s="249">
        <v>1</v>
      </c>
      <c r="E41" s="241"/>
      <c r="F41" s="226">
        <v>0.4</v>
      </c>
      <c r="G41" s="429">
        <v>100</v>
      </c>
      <c r="H41" s="380">
        <v>27</v>
      </c>
      <c r="I41" s="407">
        <f ca="1"/>
        <v>7.6914159722818402E-5</v>
      </c>
      <c r="J41" s="407">
        <f ca="1"/>
        <v>4.7474047383206698E-4</v>
      </c>
      <c r="K41" s="407">
        <f ca="1"/>
        <v>0.162013066006303</v>
      </c>
      <c r="L41" s="407">
        <f ca="1"/>
        <v>0.162013066006303</v>
      </c>
      <c r="M41" s="407">
        <f ca="1"/>
        <v>-1.0964074008326101E-4</v>
      </c>
      <c r="N41" s="446" t="str">
        <f ca="1"/>
        <v>SANOFI</v>
      </c>
      <c r="O41" s="407"/>
      <c r="P41" s="407"/>
      <c r="Q41" s="407"/>
      <c r="R41" s="446"/>
      <c r="S41" s="437"/>
      <c r="T41" s="416" cm="1">
        <f t="array" aca="1" ref="T41:X41" ca="1">IF(AND($U$12,B65&lt;=$C$17,C65&lt;&gt;""),TRANSPOSE(INDEX(getcds(C65,$C$6,G65/10000,F65,D65,$C$13,$C$14,$C$15,$C$8,,,TRUE,TRUE,FALSE,$C$29:$C$31,$C$33),{1;2;3;4;5})),"")</f>
        <v>-2.9162937950806399E-2</v>
      </c>
      <c r="U41" s="417">
        <f ca="1"/>
        <v>1.53314741979097E-2</v>
      </c>
      <c r="V41" s="417">
        <f ca="1"/>
        <v>4.4494412148716099E-2</v>
      </c>
      <c r="W41" s="418">
        <f ca="1"/>
        <v>3.4457077771173801E-3</v>
      </c>
      <c r="X41" s="419">
        <f ca="1"/>
        <v>4.4494412148716096</v>
      </c>
      <c r="Y41" s="420">
        <f t="shared" ca="1" si="4"/>
        <v>7.8067976152695159E-2</v>
      </c>
      <c r="Z41" s="421">
        <f t="shared" ca="1" si="2"/>
        <v>-1.1968971620680763E-3</v>
      </c>
      <c r="AA41" s="420">
        <f t="shared" ca="1" si="0"/>
        <v>5.400435533543433E-2</v>
      </c>
      <c r="AB41" s="422">
        <f t="shared" ca="1" si="1"/>
        <v>3.2734223882615108E-3</v>
      </c>
      <c r="AC41" s="421">
        <f t="shared" ca="1" si="3"/>
        <v>-4.1398319019998013E-5</v>
      </c>
      <c r="AD41" s="221"/>
      <c r="AE41" s="221"/>
    </row>
    <row r="42" spans="1:31" customFormat="1" ht="15">
      <c r="A42" s="221"/>
      <c r="B42" s="270">
        <v>4</v>
      </c>
      <c r="C42" s="68" t="s">
        <v>625</v>
      </c>
      <c r="D42" s="249">
        <v>1</v>
      </c>
      <c r="E42" s="241"/>
      <c r="F42" s="226">
        <v>0.4</v>
      </c>
      <c r="G42" s="429">
        <v>100</v>
      </c>
      <c r="H42" s="380">
        <v>28</v>
      </c>
      <c r="I42" s="407">
        <f ca="1"/>
        <v>7.9417915600821305E-5</v>
      </c>
      <c r="J42" s="407">
        <f ca="1"/>
        <v>4.7400182134054402E-4</v>
      </c>
      <c r="K42" s="407">
        <f ca="1"/>
        <v>0.16754770134894501</v>
      </c>
      <c r="L42" s="407">
        <f ca="1"/>
        <v>0.16754770134894501</v>
      </c>
      <c r="M42" s="407">
        <f ca="1"/>
        <v>-1.17306309501198E-4</v>
      </c>
      <c r="N42" s="446" t="str">
        <f ca="1"/>
        <v>SIEMENS AKTIENGESELLSCHAFT</v>
      </c>
      <c r="O42" s="407"/>
      <c r="P42" s="407"/>
      <c r="Q42" s="407"/>
      <c r="R42" s="446"/>
      <c r="S42" s="437"/>
      <c r="T42" s="416" cm="1">
        <f t="array" aca="1" ref="T42:X42" ca="1">IF(AND($U$12,B66&lt;=$C$17,C66&lt;&gt;""),TRANSPOSE(INDEX(getcds(C66,$C$6,G66/10000,F66,D66,$C$13,$C$14,$C$15,$C$8,,,TRUE,TRUE,FALSE,$C$29:$C$31,$C$33),{1;2;3;4;5})),"")</f>
        <v>-2.84236070165126E-2</v>
      </c>
      <c r="U42" s="417">
        <f ca="1"/>
        <v>1.6026704251645402E-2</v>
      </c>
      <c r="V42" s="417">
        <f ca="1"/>
        <v>4.4450311268158002E-2</v>
      </c>
      <c r="W42" s="418">
        <f ca="1"/>
        <v>3.6055325135880699E-3</v>
      </c>
      <c r="X42" s="419">
        <f ca="1"/>
        <v>4.4450311268157998</v>
      </c>
      <c r="Y42" s="420">
        <f t="shared" ca="1" si="4"/>
        <v>7.8067976152695159E-2</v>
      </c>
      <c r="Z42" s="421">
        <f t="shared" ca="1" si="2"/>
        <v>-1.2511723653237498E-3</v>
      </c>
      <c r="AA42" s="420">
        <f t="shared" ca="1" si="0"/>
        <v>5.5849233782981671E-2</v>
      </c>
      <c r="AB42" s="422">
        <f t="shared" ca="1" si="1"/>
        <v>3.4252558879086662E-3</v>
      </c>
      <c r="AC42" s="421">
        <f t="shared" ca="1" si="3"/>
        <v>-4.4753957626042513E-5</v>
      </c>
      <c r="AD42" s="221"/>
      <c r="AE42" s="221"/>
    </row>
    <row r="43" spans="1:31" customFormat="1" ht="15">
      <c r="A43" s="221"/>
      <c r="B43" s="270">
        <v>5</v>
      </c>
      <c r="C43" s="68" t="s">
        <v>512</v>
      </c>
      <c r="D43" s="249">
        <v>1</v>
      </c>
      <c r="E43" s="241"/>
      <c r="F43" s="226">
        <v>0.4</v>
      </c>
      <c r="G43" s="429">
        <v>100</v>
      </c>
      <c r="H43" s="380">
        <v>29</v>
      </c>
      <c r="I43" s="407">
        <f ca="1"/>
        <v>9.4850213249464394E-5</v>
      </c>
      <c r="J43" s="407">
        <f ca="1"/>
        <v>4.67701594843967E-4</v>
      </c>
      <c r="K43" s="407">
        <f ca="1"/>
        <v>0.20280070518277399</v>
      </c>
      <c r="L43" s="407">
        <f ca="1"/>
        <v>0.20280070518277399</v>
      </c>
      <c r="M43" s="407">
        <f ca="1"/>
        <v>-1.7548179988389199E-4</v>
      </c>
      <c r="N43" s="446" t="str">
        <f ca="1"/>
        <v>SMURFIT KAPPA ACQUISITIONS UNLIMITED COMPANY</v>
      </c>
      <c r="O43" s="407"/>
      <c r="P43" s="407"/>
      <c r="Q43" s="407"/>
      <c r="R43" s="446"/>
      <c r="S43" s="437"/>
      <c r="T43" s="416" cm="1">
        <f t="array" aca="1" ref="T43:X43" ca="1">IF(AND($U$12,B67&lt;=$C$17,C67&lt;&gt;""),TRANSPOSE(INDEX(getcds(C67,$C$6,G67/10000,F67,D67,$C$13,$C$14,$C$15,$C$8,,,TRUE,TRUE,FALSE,$C$29:$C$31,$C$33),{1;2;3;4;5})),"")</f>
        <v>-2.2004307203258699E-2</v>
      </c>
      <c r="U43" s="417">
        <f ca="1"/>
        <v>2.2293620137015201E-2</v>
      </c>
      <c r="V43" s="417">
        <f ca="1"/>
        <v>4.42979273402739E-2</v>
      </c>
      <c r="W43" s="418">
        <f ca="1"/>
        <v>5.0326553578380904E-3</v>
      </c>
      <c r="X43" s="419">
        <f ca="1"/>
        <v>4.4297927340273899</v>
      </c>
      <c r="Y43" s="420">
        <f t="shared" ca="1" si="4"/>
        <v>7.8067976152695159E-2</v>
      </c>
      <c r="Z43" s="421">
        <f t="shared" ca="1" si="2"/>
        <v>-1.7404178052137461E-3</v>
      </c>
      <c r="AA43" s="420">
        <f t="shared" ca="1" si="0"/>
        <v>6.7600235060924663E-2</v>
      </c>
      <c r="AB43" s="422">
        <f t="shared" ca="1" si="1"/>
        <v>4.7810225899461859E-3</v>
      </c>
      <c r="AC43" s="421">
        <f t="shared" ca="1" si="3"/>
        <v>-7.535269808105949E-5</v>
      </c>
      <c r="AD43" s="221"/>
      <c r="AE43" s="221"/>
    </row>
    <row r="44" spans="1:31" customFormat="1" ht="15">
      <c r="A44" s="221"/>
      <c r="B44" s="270">
        <v>6</v>
      </c>
      <c r="C44" s="68" t="s">
        <v>513</v>
      </c>
      <c r="D44" s="249">
        <v>1</v>
      </c>
      <c r="E44" s="241"/>
      <c r="F44" s="226">
        <v>0.4</v>
      </c>
      <c r="G44" s="429">
        <v>100</v>
      </c>
      <c r="H44" s="380">
        <v>30</v>
      </c>
      <c r="I44" s="407">
        <f ca="1"/>
        <v>1.2489457177538099E-4</v>
      </c>
      <c r="J44" s="407">
        <f ca="1"/>
        <v>4.4948242717784601E-4</v>
      </c>
      <c r="K44" s="407">
        <f ca="1"/>
        <v>0.27786308034232499</v>
      </c>
      <c r="L44" s="407">
        <f ca="1"/>
        <v>0.27786308034232499</v>
      </c>
      <c r="M44" s="407">
        <f ca="1"/>
        <v>-3.2554794521555403E-4</v>
      </c>
      <c r="N44" s="446" t="str">
        <f ca="1"/>
        <v>SOLVAY</v>
      </c>
      <c r="O44" s="407"/>
      <c r="P44" s="407"/>
      <c r="Q44" s="407"/>
      <c r="R44" s="446"/>
      <c r="S44" s="437"/>
      <c r="T44" s="416" cm="1">
        <f t="array" aca="1" ref="T44:X44" ca="1">IF(AND($U$12,B68&lt;=$C$17,C68&lt;&gt;""),TRANSPOSE(INDEX(getcds(C68,$C$6,G68/10000,F68,D68,$C$13,$C$14,$C$15,$C$8,,,TRUE,TRUE,FALSE,$C$29:$C$31,$C$33),{1;2;3;4;5})),"")</f>
        <v>-6.3809417098144999E-3</v>
      </c>
      <c r="U44" s="417">
        <f ca="1"/>
        <v>3.74620872994334E-2</v>
      </c>
      <c r="V44" s="417">
        <f ca="1"/>
        <v>4.38430290092479E-2</v>
      </c>
      <c r="W44" s="418">
        <f ca="1"/>
        <v>8.5445937805828705E-3</v>
      </c>
      <c r="X44" s="419">
        <f ca="1"/>
        <v>4.3843029009247898</v>
      </c>
      <c r="Y44" s="420">
        <f t="shared" ca="1" si="4"/>
        <v>7.8067976152695159E-2</v>
      </c>
      <c r="Z44" s="421">
        <f t="shared" ca="1" si="2"/>
        <v>-2.9245893379223507E-3</v>
      </c>
      <c r="AA44" s="420">
        <f t="shared" ca="1" si="0"/>
        <v>9.2621026780774995E-2</v>
      </c>
      <c r="AB44" s="422">
        <f t="shared" ca="1" si="1"/>
        <v>8.1173640915537266E-3</v>
      </c>
      <c r="AC44" s="421">
        <f t="shared" ca="1" si="3"/>
        <v>-1.7348884955122775E-4</v>
      </c>
      <c r="AD44" s="221"/>
      <c r="AE44" s="221"/>
    </row>
    <row r="45" spans="1:31" customFormat="1" ht="15">
      <c r="A45" s="221"/>
      <c r="B45" s="270">
        <v>7</v>
      </c>
      <c r="C45" s="68" t="s">
        <v>514</v>
      </c>
      <c r="D45" s="249">
        <v>1</v>
      </c>
      <c r="E45" s="241"/>
      <c r="F45" s="226">
        <v>0.4</v>
      </c>
      <c r="G45" s="429">
        <v>100</v>
      </c>
      <c r="H45" s="380">
        <v>31</v>
      </c>
      <c r="I45" s="407">
        <f ca="1"/>
        <v>1.4241274985284899E-4</v>
      </c>
      <c r="J45" s="407">
        <f ca="1"/>
        <v>4.5296488972332202E-4</v>
      </c>
      <c r="K45" s="407">
        <f ca="1"/>
        <v>0.31440129927031901</v>
      </c>
      <c r="L45" s="407">
        <f ca="1"/>
        <v>0.31440129927031901</v>
      </c>
      <c r="M45" s="407">
        <f ca="1"/>
        <v>-4.1241221354086898E-4</v>
      </c>
      <c r="N45" s="446" t="str">
        <f ca="1"/>
        <v>STELLANTIS N.V.</v>
      </c>
      <c r="O45" s="407"/>
      <c r="P45" s="407"/>
      <c r="Q45" s="407"/>
      <c r="R45" s="446"/>
      <c r="S45" s="437"/>
      <c r="T45" s="416" cm="1">
        <f t="array" aca="1" ref="T45:X45" ca="1">IF(AND($U$12,B69&lt;=$C$17,C69&lt;&gt;""),TRANSPOSE(INDEX(getcds(C69,$C$6,G69/10000,F69,D69,$C$13,$C$14,$C$15,$C$8,,,TRUE,TRUE,FALSE,$C$29:$C$31,$C$33),{1;2;3;4;5})),"")</f>
        <v>3.0006367548759999E-3</v>
      </c>
      <c r="U45" s="417">
        <f ca="1"/>
        <v>4.6638661416917797E-2</v>
      </c>
      <c r="V45" s="417">
        <f ca="1"/>
        <v>4.3638024662041801E-2</v>
      </c>
      <c r="W45" s="418">
        <f ca="1"/>
        <v>1.0687619748628601E-2</v>
      </c>
      <c r="X45" s="419">
        <f ca="1"/>
        <v>4.3638024662041799</v>
      </c>
      <c r="Y45" s="420">
        <f t="shared" ca="1" si="4"/>
        <v>7.8067976152695159E-2</v>
      </c>
      <c r="Z45" s="421">
        <f t="shared" ca="1" si="2"/>
        <v>-3.640985907289577E-3</v>
      </c>
      <c r="AA45" s="420">
        <f t="shared" ca="1" si="0"/>
        <v>0.10480043309010634</v>
      </c>
      <c r="AB45" s="422">
        <f t="shared" ca="1" si="1"/>
        <v>1.015323876119717E-2</v>
      </c>
      <c r="AC45" s="421">
        <f t="shared" ca="1" si="3"/>
        <v>-2.4438759576179232E-4</v>
      </c>
      <c r="AD45" s="221"/>
      <c r="AE45" s="221"/>
    </row>
    <row r="46" spans="1:31" customFormat="1" ht="15">
      <c r="A46" s="221"/>
      <c r="B46" s="270">
        <v>8</v>
      </c>
      <c r="C46" s="68" t="s">
        <v>515</v>
      </c>
      <c r="D46" s="249">
        <v>1</v>
      </c>
      <c r="E46" s="241"/>
      <c r="F46" s="226">
        <v>0.4</v>
      </c>
      <c r="G46" s="429">
        <v>100</v>
      </c>
      <c r="H46" s="380">
        <v>32</v>
      </c>
      <c r="I46" s="407">
        <f ca="1"/>
        <v>1.26570453794827E-4</v>
      </c>
      <c r="J46" s="407">
        <f ca="1"/>
        <v>4.5959939519936498E-4</v>
      </c>
      <c r="K46" s="407">
        <f ca="1"/>
        <v>0.27539299467512002</v>
      </c>
      <c r="L46" s="407">
        <f ca="1"/>
        <v>0.27539299467512002</v>
      </c>
      <c r="M46" s="407">
        <f ca="1"/>
        <v>-3.22427454704233E-4</v>
      </c>
      <c r="N46" s="446" t="str">
        <f ca="1"/>
        <v>STORA ENSO OYJ</v>
      </c>
      <c r="O46" s="407"/>
      <c r="P46" s="407"/>
      <c r="Q46" s="407"/>
      <c r="R46" s="446"/>
      <c r="S46" s="437"/>
      <c r="T46" s="416" cm="1">
        <f t="array" aca="1" ref="T46:X46" ca="1">IF(AND($U$12,B70&lt;=$C$17,C70&lt;&gt;""),TRANSPOSE(INDEX(getcds(C70,$C$6,G70/10000,F70,D70,$C$13,$C$14,$C$15,$C$8,,,TRUE,TRUE,FALSE,$C$29:$C$31,$C$33),{1;2;3;4;5})),"")</f>
        <v>-6.6510838305307999E-3</v>
      </c>
      <c r="U46" s="417">
        <f ca="1"/>
        <v>3.7217784016399601E-2</v>
      </c>
      <c r="V46" s="417">
        <f ca="1"/>
        <v>4.38688678469304E-2</v>
      </c>
      <c r="W46" s="418">
        <f ca="1"/>
        <v>8.4838715569915991E-3</v>
      </c>
      <c r="X46" s="419">
        <f ca="1"/>
        <v>4.3868867846930399</v>
      </c>
      <c r="Y46" s="420">
        <f t="shared" ca="1" si="4"/>
        <v>7.8067976152695159E-2</v>
      </c>
      <c r="Z46" s="421">
        <f t="shared" ca="1" si="2"/>
        <v>-2.9055170750484438E-3</v>
      </c>
      <c r="AA46" s="420">
        <f t="shared" ca="1" si="0"/>
        <v>9.1797664891706668E-2</v>
      </c>
      <c r="AB46" s="422">
        <f t="shared" ca="1" si="1"/>
        <v>8.0596779791420187E-3</v>
      </c>
      <c r="AC46" s="421">
        <f t="shared" ca="1" si="3"/>
        <v>-1.7082528325746861E-4</v>
      </c>
      <c r="AD46" s="221"/>
      <c r="AE46" s="221"/>
    </row>
    <row r="47" spans="1:31" customFormat="1" ht="15">
      <c r="A47" s="221"/>
      <c r="B47" s="270">
        <v>9</v>
      </c>
      <c r="C47" s="68" t="s">
        <v>532</v>
      </c>
      <c r="D47" s="249">
        <v>1</v>
      </c>
      <c r="E47" s="241"/>
      <c r="F47" s="226">
        <v>0.4</v>
      </c>
      <c r="G47" s="429">
        <v>100</v>
      </c>
      <c r="H47" s="380">
        <v>33</v>
      </c>
      <c r="I47" s="407">
        <f ca="1"/>
        <v>1.5465136091656899E-4</v>
      </c>
      <c r="J47" s="407">
        <f ca="1"/>
        <v>4.47427835689692E-4</v>
      </c>
      <c r="K47" s="407">
        <f ca="1"/>
        <v>0.34564537246141602</v>
      </c>
      <c r="L47" s="407">
        <f ca="1"/>
        <v>0.34564537246141602</v>
      </c>
      <c r="M47" s="407">
        <f ca="1"/>
        <v>-4.83411296086578E-4</v>
      </c>
      <c r="N47" s="446" t="str">
        <f ca="1"/>
        <v>UNIBAIL-RODAMCO-WESTFIELD SE</v>
      </c>
      <c r="O47" s="407"/>
      <c r="P47" s="407"/>
      <c r="Q47" s="407"/>
      <c r="R47" s="446"/>
      <c r="S47" s="437"/>
      <c r="T47" s="416" cm="1">
        <f t="array" aca="1" ref="T47:X47" ca="1">IF(AND($U$12,B71&lt;=$C$17,C71&lt;&gt;""),TRANSPOSE(INDEX(getcds(C71,$C$6,G71/10000,F71,D71,$C$13,$C$14,$C$15,$C$8,,,TRUE,TRUE,FALSE,$C$29:$C$31,$C$33),{1;2;3;4;5})),"")</f>
        <v>1.08250906281316E-2</v>
      </c>
      <c r="U47" s="417">
        <f ca="1"/>
        <v>5.4263587434152501E-2</v>
      </c>
      <c r="V47" s="417">
        <f ca="1"/>
        <v>4.3438496806020903E-2</v>
      </c>
      <c r="W47" s="418">
        <f ca="1"/>
        <v>1.24920500072717E-2</v>
      </c>
      <c r="X47" s="419">
        <f ca="1"/>
        <v>4.3438496806020899</v>
      </c>
      <c r="Y47" s="420">
        <f t="shared" ca="1" si="4"/>
        <v>7.8067976152695159E-2</v>
      </c>
      <c r="Z47" s="421">
        <f t="shared" ca="1" si="2"/>
        <v>-4.2362484497691071E-3</v>
      </c>
      <c r="AA47" s="420">
        <f t="shared" ca="1" si="0"/>
        <v>0.11521512415380535</v>
      </c>
      <c r="AB47" s="422">
        <f t="shared" ca="1" si="1"/>
        <v>1.1867447506908114E-2</v>
      </c>
      <c r="AC47" s="421">
        <f t="shared" ca="1" si="3"/>
        <v>-3.1259929816283805E-4</v>
      </c>
      <c r="AD47" s="221"/>
      <c r="AE47" s="221"/>
    </row>
    <row r="48" spans="1:31" customFormat="1" ht="15">
      <c r="A48" s="221"/>
      <c r="B48" s="270">
        <v>10</v>
      </c>
      <c r="C48" s="68" t="s">
        <v>533</v>
      </c>
      <c r="D48" s="249">
        <v>1</v>
      </c>
      <c r="E48" s="241"/>
      <c r="F48" s="226">
        <v>0.4</v>
      </c>
      <c r="G48" s="429">
        <v>100</v>
      </c>
      <c r="H48" s="380">
        <v>34</v>
      </c>
      <c r="I48" s="407">
        <f ca="1"/>
        <v>7.4258669047377795E-5</v>
      </c>
      <c r="J48" s="407">
        <f ca="1"/>
        <v>4.7560131113514502E-4</v>
      </c>
      <c r="K48" s="407">
        <f ca="1"/>
        <v>0.15613638421252499</v>
      </c>
      <c r="L48" s="407">
        <f ca="1"/>
        <v>0.15613638421252499</v>
      </c>
      <c r="M48" s="407">
        <f ca="1"/>
        <v>-1.0132710315897699E-4</v>
      </c>
      <c r="N48" s="446" t="str">
        <f ca="1"/>
        <v>VINCI</v>
      </c>
      <c r="O48" s="407"/>
      <c r="P48" s="407"/>
      <c r="Q48" s="407"/>
      <c r="R48" s="446"/>
      <c r="S48" s="437"/>
      <c r="T48" s="416" cm="1">
        <f t="array" aca="1" ref="T48:X48" ca="1">IF(AND($U$12,B72&lt;=$C$17,C72&lt;&gt;""),TRANSPOSE(INDEX(getcds(C72,$C$6,G72/10000,F72,D72,$C$13,$C$14,$C$15,$C$8,,,TRUE,TRUE,FALSE,$C$29:$C$31,$C$33),{1;2;3;4;5})),"")</f>
        <v>-3.0092334190767199E-2</v>
      </c>
      <c r="U48" s="417">
        <f ca="1"/>
        <v>1.4429535142179799E-2</v>
      </c>
      <c r="V48" s="417">
        <f ca="1"/>
        <v>4.4521869332947002E-2</v>
      </c>
      <c r="W48" s="418">
        <f ca="1"/>
        <v>3.2409993916184599E-3</v>
      </c>
      <c r="X48" s="419">
        <f ca="1"/>
        <v>4.4521869332947004</v>
      </c>
      <c r="Y48" s="420">
        <f t="shared" ca="1" si="4"/>
        <v>7.8067976152695159E-2</v>
      </c>
      <c r="Z48" s="421">
        <f t="shared" ca="1" si="2"/>
        <v>-1.126484605374168E-3</v>
      </c>
      <c r="AA48" s="420">
        <f t="shared" ca="1" si="0"/>
        <v>5.2045461404174993E-2</v>
      </c>
      <c r="AB48" s="422">
        <f t="shared" ca="1" si="1"/>
        <v>3.078949422037537E-3</v>
      </c>
      <c r="AC48" s="421">
        <f t="shared" ca="1" si="3"/>
        <v>-3.7549590716125215E-5</v>
      </c>
      <c r="AD48" s="221"/>
      <c r="AE48" s="221"/>
    </row>
    <row r="49" spans="1:31" customFormat="1" ht="15">
      <c r="A49" s="221"/>
      <c r="B49" s="270">
        <v>11</v>
      </c>
      <c r="C49" s="68" t="s">
        <v>534</v>
      </c>
      <c r="D49" s="249">
        <v>1</v>
      </c>
      <c r="E49" s="241"/>
      <c r="F49" s="226">
        <v>0.4</v>
      </c>
      <c r="G49" s="429">
        <v>100</v>
      </c>
      <c r="H49" s="380">
        <v>35</v>
      </c>
      <c r="I49" s="407">
        <f ca="1"/>
        <v>1.3116449434189499E-4</v>
      </c>
      <c r="J49" s="407">
        <f ca="1"/>
        <v>4.5815314219886498E-4</v>
      </c>
      <c r="K49" s="407">
        <f ca="1"/>
        <v>0.286289631699092</v>
      </c>
      <c r="L49" s="407">
        <f ca="1"/>
        <v>0.286289631699092</v>
      </c>
      <c r="M49" s="407">
        <f ca="1"/>
        <v>-3.47553596224626E-4</v>
      </c>
      <c r="N49" s="446" t="str">
        <f ca="1"/>
        <v>VOLKSWAGEN AKTIENGESELLSCHAFT</v>
      </c>
      <c r="O49" s="407"/>
      <c r="P49" s="407"/>
      <c r="Q49" s="407"/>
      <c r="R49" s="446"/>
      <c r="S49" s="437"/>
      <c r="T49" s="416" cm="1">
        <f t="array" aca="1" ref="T49:X49" ca="1">IF(AND($U$12,B73&lt;=$C$17,C73&lt;&gt;""),TRANSPOSE(INDEX(getcds(C73,$C$6,G73/10000,F73,D73,$C$13,$C$14,$C$15,$C$8,,,TRUE,TRUE,FALSE,$C$29:$C$31,$C$33),{1;2;3;4;5})),"")</f>
        <v>-3.8193264208023999E-3</v>
      </c>
      <c r="U49" s="417">
        <f ca="1"/>
        <v>4.0032396575374003E-2</v>
      </c>
      <c r="V49" s="417">
        <f ca="1"/>
        <v>4.3851722996176401E-2</v>
      </c>
      <c r="W49" s="418">
        <f ca="1"/>
        <v>9.1290361792316799E-3</v>
      </c>
      <c r="X49" s="419">
        <f ca="1"/>
        <v>4.3851722996176399</v>
      </c>
      <c r="Y49" s="420">
        <f t="shared" ca="1" si="4"/>
        <v>7.8067976152695159E-2</v>
      </c>
      <c r="Z49" s="421">
        <f t="shared" ca="1" si="2"/>
        <v>-3.1252481811815339E-3</v>
      </c>
      <c r="AA49" s="420">
        <f t="shared" ca="1" si="0"/>
        <v>9.542987723303066E-2</v>
      </c>
      <c r="AB49" s="422">
        <f t="shared" ca="1" si="1"/>
        <v>8.6725843702700964E-3</v>
      </c>
      <c r="AC49" s="421">
        <f t="shared" ca="1" si="3"/>
        <v>-1.9101433452659681E-4</v>
      </c>
      <c r="AD49" s="221"/>
      <c r="AE49" s="221"/>
    </row>
    <row r="50" spans="1:31" customFormat="1" ht="15">
      <c r="A50" s="221"/>
      <c r="B50" s="270">
        <v>12</v>
      </c>
      <c r="C50" s="68" t="s">
        <v>516</v>
      </c>
      <c r="D50" s="249">
        <v>1</v>
      </c>
      <c r="E50" s="241"/>
      <c r="F50" s="226">
        <v>0.4</v>
      </c>
      <c r="G50" s="429">
        <v>100</v>
      </c>
      <c r="H50" s="380">
        <v>36</v>
      </c>
      <c r="I50" s="407">
        <f ca="1"/>
        <v>1.13892829113094E-4</v>
      </c>
      <c r="J50" s="407">
        <f ca="1"/>
        <v>4.5752383056922E-4</v>
      </c>
      <c r="K50" s="407">
        <f ca="1"/>
        <v>0.24893310796816001</v>
      </c>
      <c r="L50" s="407">
        <f ca="1"/>
        <v>0.24893310796816001</v>
      </c>
      <c r="M50" s="407">
        <f ca="1"/>
        <v>-2.6390873268453699E-4</v>
      </c>
      <c r="N50" s="446" t="str">
        <f ca="1"/>
        <v>WENDEL</v>
      </c>
      <c r="O50" s="407"/>
      <c r="P50" s="407"/>
      <c r="Q50" s="407"/>
      <c r="R50" s="446"/>
      <c r="S50" s="437"/>
      <c r="T50" s="416" cm="1">
        <f t="array" aca="1" ref="T50:X50" ca="1">IF(AND($U$12,B74&lt;=$C$17,C74&lt;&gt;""),TRANSPOSE(INDEX(getcds(C74,$C$6,G74/10000,F74,D74,$C$13,$C$14,$C$15,$C$8,,,TRUE,TRUE,FALSE,$C$29:$C$31,$C$33),{1;2;3;4;5})),"")</f>
        <v>-1.28062968489994E-2</v>
      </c>
      <c r="U50" s="417">
        <f ca="1"/>
        <v>3.1219148037513501E-2</v>
      </c>
      <c r="V50" s="417">
        <f ca="1"/>
        <v>4.4025444886512902E-2</v>
      </c>
      <c r="W50" s="418">
        <f ca="1"/>
        <v>7.0911601502242697E-3</v>
      </c>
      <c r="X50" s="419">
        <f ca="1"/>
        <v>4.4025444886512899</v>
      </c>
      <c r="Y50" s="420">
        <f t="shared" ca="1" si="4"/>
        <v>7.8067976152695159E-2</v>
      </c>
      <c r="Z50" s="421">
        <f t="shared" ca="1" si="2"/>
        <v>-2.4372157045000646E-3</v>
      </c>
      <c r="AA50" s="420">
        <f t="shared" ca="1" si="0"/>
        <v>8.2977702656053337E-2</v>
      </c>
      <c r="AB50" s="422">
        <f t="shared" ca="1" si="1"/>
        <v>6.7366021427130562E-3</v>
      </c>
      <c r="AC50" s="421">
        <f t="shared" ca="1" si="3"/>
        <v>-1.2952465915160534E-4</v>
      </c>
      <c r="AD50" s="221"/>
      <c r="AE50" s="221"/>
    </row>
    <row r="51" spans="1:31" customFormat="1" ht="15">
      <c r="A51" s="221"/>
      <c r="B51" s="270">
        <v>13</v>
      </c>
      <c r="C51" s="68" t="s">
        <v>626</v>
      </c>
      <c r="D51" s="249">
        <v>1</v>
      </c>
      <c r="E51" s="241"/>
      <c r="F51" s="226">
        <v>0.4</v>
      </c>
      <c r="G51" s="429">
        <v>100</v>
      </c>
      <c r="H51" s="380">
        <v>37</v>
      </c>
      <c r="I51" s="407">
        <f ca="1"/>
        <v>1.80638936528421E-4</v>
      </c>
      <c r="J51" s="407">
        <f ca="1"/>
        <v>4.3149960247393197E-4</v>
      </c>
      <c r="K51" s="407">
        <f ca="1"/>
        <v>0.41863059778678202</v>
      </c>
      <c r="L51" s="407">
        <f ca="1"/>
        <v>0.41863059778678202</v>
      </c>
      <c r="M51" s="407">
        <f ca="1"/>
        <v>-6.5744273996757305E-4</v>
      </c>
      <c r="N51" s="446" t="str">
        <f ca="1"/>
        <v>AKTIEBOLAGET ELECTROLUX</v>
      </c>
      <c r="O51" s="407"/>
      <c r="P51" s="407"/>
      <c r="Q51" s="407"/>
      <c r="R51" s="446"/>
      <c r="S51" s="437"/>
      <c r="T51" s="416" cm="1">
        <f t="array" aca="1" ref="T51:X51" ca="1">IF(AND($U$12,B75&lt;=$C$17,C75&lt;&gt;""),TRANSPOSE(INDEX(getcds(C75,$C$6,G75/10000,F75,D75,$C$13,$C$14,$C$15,$C$8,,,TRUE,TRUE,FALSE,$C$29:$C$31,$C$33),{1;2;3;4;5})),"")</f>
        <v>3.1274768094819598E-2</v>
      </c>
      <c r="U51" s="417">
        <f ca="1"/>
        <v>7.4035005298407897E-2</v>
      </c>
      <c r="V51" s="417">
        <f ca="1"/>
        <v>4.2760237203588299E-2</v>
      </c>
      <c r="W51" s="418">
        <f ca="1"/>
        <v>1.73139837709308E-2</v>
      </c>
      <c r="X51" s="419">
        <f ca="1"/>
        <v>4.2760237203588298</v>
      </c>
      <c r="Y51" s="420">
        <f t="shared" ca="1" si="4"/>
        <v>7.8067976152695159E-2</v>
      </c>
      <c r="Z51" s="421">
        <f t="shared" ca="1" si="2"/>
        <v>-5.7797630281007694E-3</v>
      </c>
      <c r="AA51" s="420">
        <f t="shared" ca="1" si="0"/>
        <v>0.13954353259559402</v>
      </c>
      <c r="AB51" s="422">
        <f t="shared" ca="1" si="1"/>
        <v>1.6448284582384259E-2</v>
      </c>
      <c r="AC51" s="421">
        <f t="shared" ca="1" si="3"/>
        <v>-5.1655530875366839E-4</v>
      </c>
      <c r="AD51" s="221"/>
      <c r="AE51" s="221"/>
    </row>
    <row r="52" spans="1:31" customFormat="1" ht="15">
      <c r="A52" s="221"/>
      <c r="B52" s="270">
        <v>14</v>
      </c>
      <c r="C52" s="68" t="s">
        <v>518</v>
      </c>
      <c r="D52" s="249">
        <v>1</v>
      </c>
      <c r="E52" s="241"/>
      <c r="F52" s="226">
        <v>0.4</v>
      </c>
      <c r="G52" s="429">
        <v>100</v>
      </c>
      <c r="H52" s="380">
        <v>38</v>
      </c>
      <c r="I52" s="407">
        <f ca="1"/>
        <v>8.54540094057388E-5</v>
      </c>
      <c r="J52" s="407">
        <f ca="1"/>
        <v>4.71709592977554E-4</v>
      </c>
      <c r="K52" s="407">
        <f ca="1"/>
        <v>0.18115809107533901</v>
      </c>
      <c r="L52" s="407">
        <f ca="1"/>
        <v>0.18115809107533901</v>
      </c>
      <c r="M52" s="407">
        <f ca="1"/>
        <v>-1.38755127649714E-4</v>
      </c>
      <c r="N52" s="446" t="str">
        <f ca="1"/>
        <v>ANHEUSER-BUSCH INBEV</v>
      </c>
      <c r="O52" s="407"/>
      <c r="P52" s="407"/>
      <c r="Q52" s="407"/>
      <c r="R52" s="446"/>
      <c r="S52" s="437"/>
      <c r="T52" s="416" cm="1">
        <f t="array" aca="1" ref="T52:X52" ca="1">IF(AND($U$12,B76&lt;=$C$17,C76&lt;&gt;""),TRANSPOSE(INDEX(getcds(C76,$C$6,G76/10000,F76,D76,$C$13,$C$14,$C$15,$C$8,,,TRUE,TRUE,FALSE,$C$29:$C$31,$C$33),{1;2;3;4;5})),"")</f>
        <v>-2.5980661328796499E-2</v>
      </c>
      <c r="U52" s="417">
        <f ca="1"/>
        <v>1.8419238611931298E-2</v>
      </c>
      <c r="V52" s="417">
        <f ca="1"/>
        <v>4.4399899940727801E-2</v>
      </c>
      <c r="W52" s="418">
        <f ca="1"/>
        <v>4.1484865138255497E-3</v>
      </c>
      <c r="X52" s="419">
        <f ca="1"/>
        <v>4.4399899940727803</v>
      </c>
      <c r="Y52" s="420">
        <f t="shared" ca="1" si="4"/>
        <v>7.8067976152695159E-2</v>
      </c>
      <c r="Z52" s="421">
        <f t="shared" ca="1" si="2"/>
        <v>-1.4379526807070553E-3</v>
      </c>
      <c r="AA52" s="420">
        <f t="shared" ca="1" si="0"/>
        <v>6.0386030358446335E-2</v>
      </c>
      <c r="AB52" s="422">
        <f t="shared" ca="1" si="1"/>
        <v>3.9410621881342716E-3</v>
      </c>
      <c r="AC52" s="421">
        <f t="shared" ca="1" si="3"/>
        <v>-5.5613235099977718E-5</v>
      </c>
      <c r="AD52" s="221"/>
      <c r="AE52" s="221"/>
    </row>
    <row r="53" spans="1:31" customFormat="1" ht="15">
      <c r="A53" s="221"/>
      <c r="B53" s="270">
        <v>15</v>
      </c>
      <c r="C53" s="68" t="s">
        <v>519</v>
      </c>
      <c r="D53" s="249">
        <v>1</v>
      </c>
      <c r="E53" s="241"/>
      <c r="F53" s="226">
        <v>0.4</v>
      </c>
      <c r="G53" s="429">
        <v>100</v>
      </c>
      <c r="H53" s="380">
        <v>39</v>
      </c>
      <c r="I53" s="407">
        <f ca="1"/>
        <v>1.12982231651282E-4</v>
      </c>
      <c r="J53" s="407">
        <f ca="1"/>
        <v>4.5750356340999899E-4</v>
      </c>
      <c r="K53" s="407">
        <f ca="1"/>
        <v>0.246953774106523</v>
      </c>
      <c r="L53" s="407">
        <f ca="1"/>
        <v>0.246953774106523</v>
      </c>
      <c r="M53" s="407">
        <f ca="1"/>
        <v>-2.6027775292294399E-4</v>
      </c>
      <c r="N53" s="446" t="str">
        <f ca="1"/>
        <v>BRITISH AMERICAN TOBACCO P.L.C.</v>
      </c>
      <c r="O53" s="407"/>
      <c r="P53" s="407"/>
      <c r="Q53" s="407"/>
      <c r="R53" s="446"/>
      <c r="S53" s="437"/>
      <c r="T53" s="416" cm="1">
        <f t="array" aca="1" ref="T53:X53" ca="1">IF(AND($U$12,B77&lt;=$C$17,C77&lt;&gt;""),TRANSPOSE(INDEX(getcds(C77,$C$6,G77/10000,F77,D77,$C$13,$C$14,$C$15,$C$8,,,TRUE,TRUE,FALSE,$C$29:$C$31,$C$33),{1;2;3;4;5})),"")</f>
        <v>-1.30540431834116E-2</v>
      </c>
      <c r="U53" s="417">
        <f ca="1"/>
        <v>3.1015454105194601E-2</v>
      </c>
      <c r="V53" s="417">
        <f ca="1"/>
        <v>4.4069497288606201E-2</v>
      </c>
      <c r="W53" s="418">
        <f ca="1"/>
        <v>7.0378506707434998E-3</v>
      </c>
      <c r="X53" s="419">
        <f ca="1"/>
        <v>4.4069497288606199</v>
      </c>
      <c r="Y53" s="420">
        <f t="shared" ca="1" si="4"/>
        <v>7.8067976152695159E-2</v>
      </c>
      <c r="Z53" s="421">
        <f t="shared" ca="1" si="2"/>
        <v>-2.421313731449343E-3</v>
      </c>
      <c r="AA53" s="420">
        <f t="shared" ca="1" si="0"/>
        <v>8.2317924702174333E-2</v>
      </c>
      <c r="AB53" s="422">
        <f t="shared" ca="1" si="1"/>
        <v>6.6859581372063241E-3</v>
      </c>
      <c r="AC53" s="421">
        <f t="shared" ca="1" si="3"/>
        <v>-1.2765639078175789E-4</v>
      </c>
      <c r="AD53" s="221"/>
      <c r="AE53" s="221"/>
    </row>
    <row r="54" spans="1:31" customFormat="1" ht="15">
      <c r="A54" s="221"/>
      <c r="B54" s="270">
        <v>16</v>
      </c>
      <c r="C54" s="68" t="s">
        <v>535</v>
      </c>
      <c r="D54" s="249">
        <v>1</v>
      </c>
      <c r="E54" s="241"/>
      <c r="F54" s="226">
        <v>0.4</v>
      </c>
      <c r="G54" s="429">
        <v>100</v>
      </c>
      <c r="H54" s="380">
        <v>40</v>
      </c>
      <c r="I54" s="407">
        <f ca="1"/>
        <v>7.1976521819072697E-5</v>
      </c>
      <c r="J54" s="407">
        <f ca="1"/>
        <v>4.76253490211228E-4</v>
      </c>
      <c r="K54" s="407">
        <f ca="1"/>
        <v>0.15113069677904001</v>
      </c>
      <c r="L54" s="407">
        <f ca="1"/>
        <v>0.15113069677904001</v>
      </c>
      <c r="M54" s="407">
        <f ca="1"/>
        <v>-9.4797057463336194E-5</v>
      </c>
      <c r="N54" s="446" t="str">
        <f ca="1"/>
        <v>CARLSBERG BREWERIES A/S</v>
      </c>
      <c r="O54" s="407"/>
      <c r="P54" s="407"/>
      <c r="Q54" s="407"/>
      <c r="R54" s="446"/>
      <c r="S54" s="437"/>
      <c r="T54" s="416" cm="1">
        <f t="array" aca="1" ref="T54:X54" ca="1">IF(AND($U$12,B78&lt;=$C$17,C78&lt;&gt;""),TRANSPOSE(INDEX(getcds(C78,$C$6,G78/10000,F78,D78,$C$13,$C$14,$C$15,$C$8,,,TRUE,TRUE,FALSE,$C$29:$C$31,$C$33),{1;2;3;4;5})),"")</f>
        <v>-3.0765546605159001E-2</v>
      </c>
      <c r="U54" s="417">
        <f ca="1"/>
        <v>1.37883214515867E-2</v>
      </c>
      <c r="V54" s="417">
        <f ca="1"/>
        <v>4.4553868056745702E-2</v>
      </c>
      <c r="W54" s="418">
        <f ca="1"/>
        <v>3.0947529480549901E-3</v>
      </c>
      <c r="X54" s="419">
        <f ca="1"/>
        <v>4.4553868056745696</v>
      </c>
      <c r="Y54" s="420">
        <f t="shared" ca="1" si="4"/>
        <v>7.8067976152695159E-2</v>
      </c>
      <c r="Z54" s="421">
        <f t="shared" ca="1" si="2"/>
        <v>-1.076426350268164E-3</v>
      </c>
      <c r="AA54" s="420">
        <f t="shared" ca="1" si="0"/>
        <v>5.0376898926346669E-2</v>
      </c>
      <c r="AB54" s="422">
        <f t="shared" ca="1" si="1"/>
        <v>2.9400153006522403E-3</v>
      </c>
      <c r="AC54" s="421">
        <f t="shared" ca="1" si="3"/>
        <v>-3.4730643806528042E-5</v>
      </c>
      <c r="AD54" s="221"/>
      <c r="AE54" s="221"/>
    </row>
    <row r="55" spans="1:31" customFormat="1" ht="15">
      <c r="A55" s="221"/>
      <c r="B55" s="270">
        <v>17</v>
      </c>
      <c r="C55" s="68" t="s">
        <v>521</v>
      </c>
      <c r="D55" s="249">
        <v>1</v>
      </c>
      <c r="E55" s="241"/>
      <c r="F55" s="226">
        <v>0.4</v>
      </c>
      <c r="G55" s="429">
        <v>100</v>
      </c>
      <c r="H55" s="380">
        <v>41</v>
      </c>
      <c r="I55" s="407">
        <f ca="1"/>
        <v>9.6791030765608406E-5</v>
      </c>
      <c r="J55" s="407">
        <f ca="1"/>
        <v>4.66539117338406E-4</v>
      </c>
      <c r="K55" s="407">
        <f ca="1"/>
        <v>0.207466056260832</v>
      </c>
      <c r="L55" s="407">
        <f ca="1"/>
        <v>0.207466056260832</v>
      </c>
      <c r="M55" s="407">
        <f ca="1"/>
        <v>-1.8429328817093401E-4</v>
      </c>
      <c r="N55" s="446" t="str">
        <f ca="1"/>
        <v>CARREFOUR</v>
      </c>
      <c r="O55" s="407"/>
      <c r="P55" s="407"/>
      <c r="Q55" s="407"/>
      <c r="R55" s="446"/>
      <c r="S55" s="437"/>
      <c r="T55" s="416" cm="1">
        <f t="array" aca="1" ref="T55:X55" ca="1">IF(AND($U$12,B79&lt;=$C$17,C79&lt;&gt;""),TRANSPOSE(INDEX(getcds(C79,$C$6,G79/10000,F79,D79,$C$13,$C$14,$C$15,$C$8,,,TRUE,TRUE,FALSE,$C$29:$C$31,$C$33),{1;2;3;4;5})),"")</f>
        <v>-2.0971453803113702E-2</v>
      </c>
      <c r="U55" s="417">
        <f ca="1"/>
        <v>2.33219882062882E-2</v>
      </c>
      <c r="V55" s="417">
        <f ca="1"/>
        <v>4.4293442009401898E-2</v>
      </c>
      <c r="W55" s="418">
        <f ca="1"/>
        <v>5.26533661604754E-3</v>
      </c>
      <c r="X55" s="419">
        <f ca="1"/>
        <v>4.4293442009401902</v>
      </c>
      <c r="Y55" s="420">
        <f t="shared" ca="1" si="4"/>
        <v>7.8067976152695159E-2</v>
      </c>
      <c r="Z55" s="421">
        <f t="shared" ca="1" si="2"/>
        <v>-1.8207004191219463E-3</v>
      </c>
      <c r="AA55" s="420">
        <f t="shared" ca="1" si="0"/>
        <v>6.9155352086943997E-2</v>
      </c>
      <c r="AB55" s="422">
        <f t="shared" ca="1" si="1"/>
        <v>5.0020697852451628E-3</v>
      </c>
      <c r="AC55" s="421">
        <f t="shared" ca="1" si="3"/>
        <v>-8.0642015288670942E-5</v>
      </c>
      <c r="AD55" s="221"/>
      <c r="AE55" s="221"/>
    </row>
    <row r="56" spans="1:31" customFormat="1" ht="15">
      <c r="A56" s="221"/>
      <c r="B56" s="270">
        <v>18</v>
      </c>
      <c r="C56" s="68" t="s">
        <v>536</v>
      </c>
      <c r="D56" s="249">
        <v>1</v>
      </c>
      <c r="E56" s="241"/>
      <c r="F56" s="226">
        <v>0.4</v>
      </c>
      <c r="G56" s="429">
        <v>100</v>
      </c>
      <c r="H56" s="380">
        <v>42</v>
      </c>
      <c r="I56" s="407">
        <f ca="1"/>
        <v>6.1125956588115098E-5</v>
      </c>
      <c r="J56" s="407">
        <f ca="1"/>
        <v>4.7933591340068799E-4</v>
      </c>
      <c r="K56" s="407">
        <f ca="1"/>
        <v>0.12752217156952</v>
      </c>
      <c r="L56" s="407">
        <f ca="1"/>
        <v>0.12752217156952</v>
      </c>
      <c r="M56" s="407">
        <f ca="1"/>
        <v>-6.5426127834378195E-5</v>
      </c>
      <c r="N56" s="446" t="str">
        <f ca="1"/>
        <v>COMPASS GROUP PLC</v>
      </c>
      <c r="O56" s="407"/>
      <c r="P56" s="407"/>
      <c r="Q56" s="407"/>
      <c r="R56" s="446"/>
      <c r="S56" s="437"/>
      <c r="T56" s="416" cm="1">
        <f t="array" aca="1" ref="T56:X56" ca="1">IF(AND($U$12,B80&lt;=$C$17,C80&lt;&gt;""),TRANSPOSE(INDEX(getcds(C80,$C$6,G80/10000,F80,D80,$C$13,$C$14,$C$15,$C$8,,,TRUE,TRUE,FALSE,$C$29:$C$31,$C$33),{1;2;3;4;5})),"")</f>
        <v>-3.4240446130152202E-2</v>
      </c>
      <c r="U56" s="417">
        <f ca="1"/>
        <v>1.04079880837868E-2</v>
      </c>
      <c r="V56" s="417">
        <f ca="1"/>
        <v>4.4648434213938999E-2</v>
      </c>
      <c r="W56" s="418">
        <f ca="1"/>
        <v>2.33109811509078E-3</v>
      </c>
      <c r="X56" s="419">
        <f ca="1"/>
        <v>4.4648434213939003</v>
      </c>
      <c r="Y56" s="420">
        <f t="shared" ca="1" si="4"/>
        <v>7.8067976152695159E-2</v>
      </c>
      <c r="Z56" s="421">
        <f t="shared" ca="1" si="2"/>
        <v>-8.125305655226026E-4</v>
      </c>
      <c r="AA56" s="420">
        <f t="shared" ca="1" si="0"/>
        <v>4.2507390523173337E-2</v>
      </c>
      <c r="AB56" s="422">
        <f t="shared" ca="1" si="1"/>
        <v>2.2145432093362409E-3</v>
      </c>
      <c r="AC56" s="421">
        <f t="shared" ca="1" si="3"/>
        <v>-2.2120820701903005E-5</v>
      </c>
      <c r="AD56" s="221"/>
      <c r="AE56" s="221"/>
    </row>
    <row r="57" spans="1:31" customFormat="1" ht="15">
      <c r="A57" s="221"/>
      <c r="B57" s="270">
        <v>19</v>
      </c>
      <c r="C57" s="68" t="s">
        <v>537</v>
      </c>
      <c r="D57" s="249">
        <v>1</v>
      </c>
      <c r="E57" s="241"/>
      <c r="F57" s="226">
        <v>0.4</v>
      </c>
      <c r="G57" s="429">
        <v>100</v>
      </c>
      <c r="H57" s="380">
        <v>43</v>
      </c>
      <c r="I57" s="407">
        <f ca="1"/>
        <v>7.9925478978037901E-5</v>
      </c>
      <c r="J57" s="407">
        <f ca="1"/>
        <v>4.7367879801215798E-4</v>
      </c>
      <c r="K57" s="407">
        <f ca="1"/>
        <v>0.16873349475098601</v>
      </c>
      <c r="L57" s="407">
        <f ca="1"/>
        <v>0.16873349475098601</v>
      </c>
      <c r="M57" s="407">
        <f ca="1"/>
        <v>-1.1966748246115E-4</v>
      </c>
      <c r="N57" s="446" t="str">
        <f ca="1"/>
        <v>DANONE</v>
      </c>
      <c r="O57" s="407"/>
      <c r="P57" s="407"/>
      <c r="Q57" s="407"/>
      <c r="R57" s="446"/>
      <c r="S57" s="437"/>
      <c r="T57" s="416" cm="1">
        <f t="array" aca="1" ref="T57:X57" ca="1">IF(AND($U$12,B81&lt;=$C$17,C81&lt;&gt;""),TRANSPOSE(INDEX(getcds(C81,$C$6,G81/10000,F81,D81,$C$13,$C$14,$C$15,$C$8,,,TRUE,TRUE,FALSE,$C$29:$C$31,$C$33),{1;2;3;4;5})),"")</f>
        <v>-2.8021566181302901E-2</v>
      </c>
      <c r="U57" s="417">
        <f ca="1"/>
        <v>1.6445999027623899E-2</v>
      </c>
      <c r="V57" s="417">
        <f ca="1"/>
        <v>4.44675652089268E-2</v>
      </c>
      <c r="W57" s="418">
        <f ca="1"/>
        <v>3.6984257964999601E-3</v>
      </c>
      <c r="X57" s="419">
        <f ca="1"/>
        <v>4.4467565208926798</v>
      </c>
      <c r="Y57" s="420">
        <f t="shared" ca="1" si="4"/>
        <v>7.8067976152695159E-2</v>
      </c>
      <c r="Z57" s="421">
        <f t="shared" ca="1" si="2"/>
        <v>-1.2839058598957905E-3</v>
      </c>
      <c r="AA57" s="420">
        <f t="shared" ca="1" si="0"/>
        <v>5.6244498250328671E-2</v>
      </c>
      <c r="AB57" s="422">
        <f t="shared" ca="1" si="1"/>
        <v>3.5135045066749622E-3</v>
      </c>
      <c r="AC57" s="421">
        <f t="shared" ca="1" si="3"/>
        <v>-4.6249848176704975E-5</v>
      </c>
      <c r="AD57" s="221"/>
      <c r="AE57" s="221"/>
    </row>
    <row r="58" spans="1:31" customFormat="1" ht="15">
      <c r="A58" s="221"/>
      <c r="B58" s="270">
        <v>20</v>
      </c>
      <c r="C58" s="68" t="s">
        <v>627</v>
      </c>
      <c r="D58" s="249">
        <v>1</v>
      </c>
      <c r="E58" s="241"/>
      <c r="F58" s="226">
        <v>0.4</v>
      </c>
      <c r="G58" s="429">
        <v>100</v>
      </c>
      <c r="H58" s="380">
        <v>44</v>
      </c>
      <c r="I58" s="407">
        <f ca="1"/>
        <v>2.1432219536865501E-4</v>
      </c>
      <c r="J58" s="407">
        <f ca="1"/>
        <v>4.153849401427E-4</v>
      </c>
      <c r="K58" s="407">
        <f ca="1"/>
        <v>0.51596043731153896</v>
      </c>
      <c r="L58" s="407">
        <f ca="1"/>
        <v>0.51596043731153896</v>
      </c>
      <c r="M58" s="407">
        <f ca="1"/>
        <v>-8.8711424362657501E-4</v>
      </c>
      <c r="N58" s="446" t="str">
        <f ca="1"/>
        <v>DIAGEO PLC</v>
      </c>
      <c r="O58" s="407"/>
      <c r="P58" s="407"/>
      <c r="Q58" s="407"/>
      <c r="R58" s="446"/>
      <c r="S58" s="437"/>
      <c r="T58" s="416" cm="1">
        <f t="array" aca="1" ref="T58:X58" ca="1">IF(AND($U$12,B82&lt;=$C$17,C82&lt;&gt;""),TRANSPOSE(INDEX(getcds(C82,$C$6,G82/10000,F82,D82,$C$13,$C$14,$C$15,$C$8,,,TRUE,TRUE,FALSE,$C$29:$C$31,$C$33),{1;2;3;4;5})),"")</f>
        <v>7.4845185833663494E-2</v>
      </c>
      <c r="U58" s="417">
        <f ca="1"/>
        <v>0.117999740265175</v>
      </c>
      <c r="V58" s="417">
        <f ca="1"/>
        <v>4.3154554431511498E-2</v>
      </c>
      <c r="W58" s="418">
        <f ca="1"/>
        <v>2.7343519547269698E-2</v>
      </c>
      <c r="X58" s="419">
        <f ca="1"/>
        <v>4.3154554431511496</v>
      </c>
      <c r="Y58" s="420">
        <f t="shared" ca="1" si="4"/>
        <v>7.8067976152695159E-2</v>
      </c>
      <c r="Z58" s="421">
        <f t="shared" ca="1" si="2"/>
        <v>-9.2120009090458956E-3</v>
      </c>
      <c r="AA58" s="420">
        <f t="shared" ca="1" si="0"/>
        <v>0.17198681243717964</v>
      </c>
      <c r="AB58" s="422">
        <f t="shared" ca="1" si="1"/>
        <v>2.5976343569906211E-2</v>
      </c>
      <c r="AC58" s="421">
        <f t="shared" ca="1" si="3"/>
        <v>-1.0147199598311289E-3</v>
      </c>
      <c r="AD58" s="221"/>
      <c r="AE58" s="221"/>
    </row>
    <row r="59" spans="1:31" customFormat="1" ht="15">
      <c r="A59" s="221"/>
      <c r="B59" s="270">
        <v>21</v>
      </c>
      <c r="C59" s="68" t="s">
        <v>522</v>
      </c>
      <c r="D59" s="249">
        <v>1</v>
      </c>
      <c r="E59" s="241"/>
      <c r="F59" s="226">
        <v>0.4</v>
      </c>
      <c r="G59" s="429">
        <v>100</v>
      </c>
      <c r="H59" s="380">
        <v>45</v>
      </c>
      <c r="I59" s="407">
        <f ca="1"/>
        <v>2.1264707824151301E-4</v>
      </c>
      <c r="J59" s="407">
        <f ca="1"/>
        <v>4.0294331515527997E-4</v>
      </c>
      <c r="K59" s="407">
        <f ca="1"/>
        <v>0.52773447341983204</v>
      </c>
      <c r="L59" s="407">
        <f ca="1"/>
        <v>0.52773447341983204</v>
      </c>
      <c r="M59" s="407">
        <f ca="1"/>
        <v>-8.9765877970031697E-4</v>
      </c>
      <c r="N59" s="446" t="str">
        <f ca="1"/>
        <v>ELO</v>
      </c>
      <c r="O59" s="407"/>
      <c r="P59" s="407"/>
      <c r="Q59" s="407"/>
      <c r="R59" s="446"/>
      <c r="S59" s="437"/>
      <c r="T59" s="416" cm="1">
        <f t="array" aca="1" ref="T59:X59" ca="1">IF(AND($U$12,B83&lt;=$C$17,C83&lt;&gt;""),TRANSPOSE(INDEX(getcds(C83,$C$6,G83/10000,F83,D83,$C$13,$C$14,$C$15,$C$8,,,TRUE,TRUE,FALSE,$C$29:$C$31,$C$33),{1;2;3;4;5})),"")</f>
        <v>6.7117913286847006E-2</v>
      </c>
      <c r="U59" s="417">
        <f ca="1"/>
        <v>0.10859720165153899</v>
      </c>
      <c r="V59" s="417">
        <f ca="1"/>
        <v>4.1479288364692002E-2</v>
      </c>
      <c r="W59" s="418">
        <f ca="1"/>
        <v>2.6181066728227499E-2</v>
      </c>
      <c r="X59" s="419">
        <f ca="1"/>
        <v>4.1479288364692</v>
      </c>
      <c r="Y59" s="420">
        <f t="shared" ca="1" si="4"/>
        <v>7.8067976152695159E-2</v>
      </c>
      <c r="Z59" s="421">
        <f t="shared" ca="1" si="2"/>
        <v>-8.4779637487817881E-3</v>
      </c>
      <c r="AA59" s="420">
        <f t="shared" ca="1" si="0"/>
        <v>0.175911491139944</v>
      </c>
      <c r="AB59" s="422">
        <f t="shared" ca="1" si="1"/>
        <v>2.4872013391816123E-2</v>
      </c>
      <c r="AC59" s="421">
        <f t="shared" ca="1" si="3"/>
        <v>-9.5517478380737267E-4</v>
      </c>
      <c r="AD59" s="221"/>
      <c r="AE59" s="221"/>
    </row>
    <row r="60" spans="1:31" customFormat="1" ht="15">
      <c r="A60" s="221"/>
      <c r="B60" s="270">
        <v>22</v>
      </c>
      <c r="C60" s="68" t="s">
        <v>628</v>
      </c>
      <c r="D60" s="249">
        <v>1</v>
      </c>
      <c r="E60" s="241"/>
      <c r="F60" s="226">
        <v>0.4</v>
      </c>
      <c r="G60" s="429">
        <v>100</v>
      </c>
      <c r="H60" s="380">
        <v>46</v>
      </c>
      <c r="I60" s="407">
        <f ca="1"/>
        <v>7.35730369119558E-5</v>
      </c>
      <c r="J60" s="407">
        <f ca="1"/>
        <v>4.7576630746462703E-4</v>
      </c>
      <c r="K60" s="407">
        <f ca="1"/>
        <v>0.15464112476570399</v>
      </c>
      <c r="L60" s="407">
        <f ca="1"/>
        <v>0.15464112476570399</v>
      </c>
      <c r="M60" s="407">
        <f ca="1"/>
        <v>-9.9517264934823106E-5</v>
      </c>
      <c r="N60" s="446" t="str">
        <f ca="1"/>
        <v>HEINEKEN N.V.</v>
      </c>
      <c r="O60" s="407"/>
      <c r="P60" s="407"/>
      <c r="Q60" s="407"/>
      <c r="R60" s="446"/>
      <c r="S60" s="437"/>
      <c r="T60" s="416" cm="1">
        <f t="array" aca="1" ref="T60:X60" ca="1">IF(AND($U$12,B84&lt;=$C$17,C84&lt;&gt;""),TRANSPOSE(INDEX(getcds(C84,$C$6,G84/10000,F84,D84,$C$13,$C$14,$C$15,$C$8,,,TRUE,TRUE,FALSE,$C$29:$C$31,$C$33),{1;2;3;4;5})),"")</f>
        <v>-3.02419176680261E-2</v>
      </c>
      <c r="U60" s="417">
        <f ca="1"/>
        <v>1.4294696787473801E-2</v>
      </c>
      <c r="V60" s="417">
        <f ca="1"/>
        <v>4.4536614455499897E-2</v>
      </c>
      <c r="W60" s="418">
        <f ca="1"/>
        <v>3.2096505228875801E-3</v>
      </c>
      <c r="X60" s="419">
        <f ca="1"/>
        <v>4.4536614455499901</v>
      </c>
      <c r="Y60" s="420">
        <f t="shared" ca="1" si="4"/>
        <v>7.8067976152695159E-2</v>
      </c>
      <c r="Z60" s="421">
        <f t="shared" ca="1" si="2"/>
        <v>-1.1159580479145111E-3</v>
      </c>
      <c r="AA60" s="420">
        <f t="shared" ca="1" si="0"/>
        <v>5.1547041588567995E-2</v>
      </c>
      <c r="AB60" s="422">
        <f t="shared" ca="1" si="1"/>
        <v>3.0491679967432008E-3</v>
      </c>
      <c r="AC60" s="421">
        <f t="shared" ca="1" si="3"/>
        <v>-3.6842466489994091E-5</v>
      </c>
      <c r="AD60" s="221"/>
      <c r="AE60" s="221"/>
    </row>
    <row r="61" spans="1:31" customFormat="1" ht="15">
      <c r="A61" s="221"/>
      <c r="B61" s="270">
        <v>23</v>
      </c>
      <c r="C61" s="68" t="s">
        <v>538</v>
      </c>
      <c r="D61" s="249">
        <v>1</v>
      </c>
      <c r="E61" s="241"/>
      <c r="F61" s="226">
        <v>0.4</v>
      </c>
      <c r="G61" s="429">
        <v>100</v>
      </c>
      <c r="H61" s="380">
        <v>47</v>
      </c>
      <c r="I61" s="407">
        <f ca="1"/>
        <v>5.8574297583624502E-5</v>
      </c>
      <c r="J61" s="407">
        <f ca="1"/>
        <v>4.8003008131045598E-4</v>
      </c>
      <c r="K61" s="407">
        <f ca="1"/>
        <v>0.122022139578669</v>
      </c>
      <c r="L61" s="407">
        <f ca="1"/>
        <v>0.122022139578669</v>
      </c>
      <c r="M61" s="407">
        <f ca="1"/>
        <v>-5.8891372678337899E-5</v>
      </c>
      <c r="N61" s="446" t="str">
        <f ca="1"/>
        <v>HENKEL AG &amp; CO. KGAA</v>
      </c>
      <c r="O61" s="407"/>
      <c r="P61" s="407"/>
      <c r="Q61" s="407"/>
      <c r="R61" s="446"/>
      <c r="S61" s="437"/>
      <c r="T61" s="416" cm="1">
        <f t="array" aca="1" ref="T61:X61" ca="1">IF(AND($U$12,B85&lt;=$C$17,C85&lt;&gt;""),TRANSPOSE(INDEX(getcds(C85,$C$6,G85/10000,F85,D85,$C$13,$C$14,$C$15,$C$8,,,TRUE,TRUE,FALSE,$C$29:$C$31,$C$33),{1;2;3;4;5})),"")</f>
        <v>-3.5156622815562297E-2</v>
      </c>
      <c r="U61" s="417">
        <f ca="1"/>
        <v>9.5000941049087594E-3</v>
      </c>
      <c r="V61" s="417">
        <f ca="1"/>
        <v>4.4656716920471101E-2</v>
      </c>
      <c r="W61" s="418">
        <f ca="1"/>
        <v>2.1273606212089901E-3</v>
      </c>
      <c r="X61" s="419">
        <f ca="1"/>
        <v>4.4656716920471098</v>
      </c>
      <c r="Y61" s="420">
        <f t="shared" ca="1" si="4"/>
        <v>7.8067976152695159E-2</v>
      </c>
      <c r="Z61" s="421">
        <f t="shared" ca="1" si="2"/>
        <v>-7.416531200303755E-4</v>
      </c>
      <c r="AA61" s="420">
        <f t="shared" ca="1" si="0"/>
        <v>4.0674046526223001E-2</v>
      </c>
      <c r="AB61" s="422">
        <f t="shared" ca="1" si="1"/>
        <v>2.0209925901485404E-3</v>
      </c>
      <c r="AC61" s="421">
        <f t="shared" ca="1" si="3"/>
        <v>-1.9320363481327788E-5</v>
      </c>
      <c r="AD61" s="221"/>
      <c r="AE61" s="221"/>
    </row>
    <row r="62" spans="1:31" customFormat="1" ht="15">
      <c r="A62" s="221"/>
      <c r="B62" s="270">
        <v>24</v>
      </c>
      <c r="C62" s="68" t="s">
        <v>523</v>
      </c>
      <c r="D62" s="249">
        <v>1</v>
      </c>
      <c r="E62" s="241"/>
      <c r="F62" s="226">
        <v>0.4</v>
      </c>
      <c r="G62" s="429">
        <v>100</v>
      </c>
      <c r="H62" s="380">
        <v>48</v>
      </c>
      <c r="I62" s="407">
        <f ca="1"/>
        <v>1.19730983675326E-4</v>
      </c>
      <c r="J62" s="407">
        <f ca="1"/>
        <v>4.53068133818245E-4</v>
      </c>
      <c r="K62" s="407">
        <f ca="1"/>
        <v>0.264267059937077</v>
      </c>
      <c r="L62" s="407">
        <f ca="1"/>
        <v>0.264267059937077</v>
      </c>
      <c r="M62" s="407">
        <f ca="1"/>
        <v>-2.9625879317784999E-4</v>
      </c>
      <c r="N62" s="446" t="str">
        <f ca="1"/>
        <v>IMPERIAL BRANDS PLC</v>
      </c>
      <c r="O62" s="407"/>
      <c r="P62" s="407"/>
      <c r="Q62" s="407"/>
      <c r="R62" s="446"/>
      <c r="S62" s="437"/>
      <c r="T62" s="416" cm="1">
        <f t="array" aca="1" ref="T62:X62" ca="1">IF(AND($U$12,B86&lt;=$C$17,C86&lt;&gt;""),TRANSPOSE(INDEX(getcds(C86,$C$6,G86/10000,F86,D86,$C$13,$C$14,$C$15,$C$8,,,TRUE,TRUE,FALSE,$C$29:$C$31,$C$33),{1;2;3;4;5})),"")</f>
        <v>-9.3659275718274999E-3</v>
      </c>
      <c r="U62" s="417">
        <f ca="1"/>
        <v>3.4584536932091202E-2</v>
      </c>
      <c r="V62" s="417">
        <f ca="1"/>
        <v>4.39504645039187E-2</v>
      </c>
      <c r="W62" s="418">
        <f ca="1"/>
        <v>7.8689809817613192E-3</v>
      </c>
      <c r="X62" s="419">
        <f ca="1"/>
        <v>4.3950464503918703</v>
      </c>
      <c r="Y62" s="420">
        <f t="shared" ca="1" si="4"/>
        <v>7.8067976152695159E-2</v>
      </c>
      <c r="Z62" s="421">
        <f t="shared" ca="1" si="2"/>
        <v>-2.6999448044665027E-3</v>
      </c>
      <c r="AA62" s="420">
        <f t="shared" ca="1" si="0"/>
        <v>8.8089019979025671E-2</v>
      </c>
      <c r="AB62" s="422">
        <f t="shared" ca="1" si="1"/>
        <v>7.4755319326732525E-3</v>
      </c>
      <c r="AC62" s="421">
        <f t="shared" ca="1" si="3"/>
        <v>-1.5232589823881702E-4</v>
      </c>
      <c r="AD62" s="221"/>
      <c r="AE62" s="221"/>
    </row>
    <row r="63" spans="1:31" customFormat="1" ht="15">
      <c r="A63" s="221"/>
      <c r="B63" s="270">
        <v>25</v>
      </c>
      <c r="C63" s="68" t="s">
        <v>539</v>
      </c>
      <c r="D63" s="249">
        <v>1</v>
      </c>
      <c r="E63" s="241"/>
      <c r="F63" s="226">
        <v>0.4</v>
      </c>
      <c r="G63" s="429">
        <v>100</v>
      </c>
      <c r="H63" s="380">
        <v>49</v>
      </c>
      <c r="I63" s="407">
        <f ca="1"/>
        <v>8.8554404719221101E-5</v>
      </c>
      <c r="J63" s="407">
        <f ca="1"/>
        <v>4.7045285174925099E-4</v>
      </c>
      <c r="K63" s="407">
        <f ca="1"/>
        <v>0.18823226257414699</v>
      </c>
      <c r="L63" s="407">
        <f ca="1"/>
        <v>0.18823226257414699</v>
      </c>
      <c r="M63" s="407">
        <f ca="1"/>
        <v>-1.5039663321800899E-4</v>
      </c>
      <c r="N63" s="446" t="str">
        <f ca="1"/>
        <v>KERING</v>
      </c>
      <c r="O63" s="407"/>
      <c r="P63" s="407"/>
      <c r="Q63" s="407"/>
      <c r="R63" s="446"/>
      <c r="S63" s="437"/>
      <c r="T63" s="416" cm="1">
        <f t="array" aca="1" ref="T63:X63" ca="1">IF(AND($U$12,B87&lt;=$C$17,C87&lt;&gt;""),TRANSPOSE(INDEX(getcds(C87,$C$6,G87/10000,F87,D87,$C$13,$C$14,$C$15,$C$8,,,TRUE,TRUE,FALSE,$C$29:$C$31,$C$33),{1;2;3;4;5})),"")</f>
        <v>-2.4702367975887599E-2</v>
      </c>
      <c r="U63" s="417">
        <f ca="1"/>
        <v>1.96661343978939E-2</v>
      </c>
      <c r="V63" s="417">
        <f ca="1"/>
        <v>4.4368502373781503E-2</v>
      </c>
      <c r="W63" s="418">
        <f ca="1"/>
        <v>4.4324539584899604E-3</v>
      </c>
      <c r="X63" s="419">
        <f ca="1"/>
        <v>4.4368502373781498</v>
      </c>
      <c r="Y63" s="420">
        <f t="shared" ca="1" si="4"/>
        <v>7.8067976152695159E-2</v>
      </c>
      <c r="Z63" s="421">
        <f t="shared" ca="1" si="2"/>
        <v>-1.5352953111904791E-3</v>
      </c>
      <c r="AA63" s="420">
        <f t="shared" ca="1" si="0"/>
        <v>6.2744087524715664E-2</v>
      </c>
      <c r="AB63" s="422">
        <f t="shared" ca="1" si="1"/>
        <v>4.2108312605654624E-3</v>
      </c>
      <c r="AC63" s="421">
        <f t="shared" ca="1" si="3"/>
        <v>-6.1696682896713814E-5</v>
      </c>
      <c r="AD63" s="221"/>
      <c r="AE63" s="221"/>
    </row>
    <row r="64" spans="1:31" customFormat="1" ht="15">
      <c r="A64" s="221"/>
      <c r="B64" s="270">
        <v>26</v>
      </c>
      <c r="C64" s="68" t="s">
        <v>524</v>
      </c>
      <c r="D64" s="249">
        <v>1</v>
      </c>
      <c r="E64" s="241"/>
      <c r="F64" s="226">
        <v>0.4</v>
      </c>
      <c r="G64" s="429">
        <v>100</v>
      </c>
      <c r="H64" s="380">
        <v>50</v>
      </c>
      <c r="I64" s="407">
        <f ca="1"/>
        <v>2.2620411805420701E-4</v>
      </c>
      <c r="J64" s="407">
        <f ca="1"/>
        <v>4.0524923245882801E-4</v>
      </c>
      <c r="K64" s="407">
        <f ca="1"/>
        <v>0.55818518564915098</v>
      </c>
      <c r="L64" s="407">
        <f ca="1"/>
        <v>0.55818518564915098</v>
      </c>
      <c r="M64" s="407">
        <f ca="1"/>
        <v>-9.5276350018846999E-4</v>
      </c>
      <c r="N64" s="446" t="str">
        <f ca="1"/>
        <v>KONINKLIJKE AHOLD DELHAIZE N.V.</v>
      </c>
      <c r="O64" s="407"/>
      <c r="P64" s="407"/>
      <c r="Q64" s="407"/>
      <c r="R64" s="446"/>
      <c r="S64" s="437"/>
      <c r="T64" s="416" cm="1">
        <f t="array" aca="1" ref="T64:X64" ca="1">IF(AND($U$12,B88&lt;=$C$17,C88&lt;&gt;""),TRANSPOSE(INDEX(getcds(C88,$C$6,G88/10000,F88,D88,$C$13,$C$14,$C$15,$C$8,,,TRUE,TRUE,FALSE,$C$29:$C$31,$C$33),{1;2;3;4;5})),"")</f>
        <v>9.15942246105967E-2</v>
      </c>
      <c r="U64" s="417">
        <f ca="1"/>
        <v>0.134493687970313</v>
      </c>
      <c r="V64" s="417">
        <f ca="1"/>
        <v>4.2899463359716297E-2</v>
      </c>
      <c r="W64" s="418">
        <f ca="1"/>
        <v>3.1350902187882897E-2</v>
      </c>
      <c r="X64" s="419">
        <f ca="1"/>
        <v>4.2899463359716297</v>
      </c>
      <c r="Y64" s="420">
        <f t="shared" ca="1" si="4"/>
        <v>7.8067976152695159E-2</v>
      </c>
      <c r="Z64" s="421">
        <f t="shared" ca="1" si="2"/>
        <v>-1.0499650025154432E-2</v>
      </c>
      <c r="AA64" s="420">
        <f t="shared" ca="1" si="0"/>
        <v>0.186061728549717</v>
      </c>
      <c r="AB64" s="422">
        <f t="shared" ca="1" si="1"/>
        <v>2.978335707848875E-2</v>
      </c>
      <c r="AC64" s="421">
        <f t="shared" ca="1" si="3"/>
        <v>-1.2512064031391388E-3</v>
      </c>
      <c r="AD64" s="221"/>
      <c r="AE64" s="221"/>
    </row>
    <row r="65" spans="1:31" customFormat="1" ht="15">
      <c r="A65" s="221"/>
      <c r="B65" s="270">
        <v>27</v>
      </c>
      <c r="C65" s="68" t="s">
        <v>525</v>
      </c>
      <c r="D65" s="249">
        <v>1</v>
      </c>
      <c r="E65" s="241"/>
      <c r="F65" s="226">
        <v>0.4</v>
      </c>
      <c r="G65" s="429">
        <v>100</v>
      </c>
      <c r="H65" s="380">
        <v>51</v>
      </c>
      <c r="I65" s="407">
        <f ca="1"/>
        <v>9.6150559441121594E-5</v>
      </c>
      <c r="J65" s="407">
        <f ca="1"/>
        <v>4.6723871697158299E-4</v>
      </c>
      <c r="K65" s="407">
        <f ca="1"/>
        <v>0.205784657710567</v>
      </c>
      <c r="L65" s="407">
        <f ca="1"/>
        <v>0.205784657710567</v>
      </c>
      <c r="M65" s="407">
        <f ca="1"/>
        <v>-1.8054241112921499E-4</v>
      </c>
      <c r="N65" s="446" t="str">
        <f ca="1"/>
        <v>KONINKLIJKE PHILIPS N.V.</v>
      </c>
      <c r="O65" s="407"/>
      <c r="P65" s="407"/>
      <c r="Q65" s="407"/>
      <c r="R65" s="446"/>
      <c r="S65" s="437"/>
      <c r="T65" s="416" cm="1">
        <f t="array" aca="1" ref="T65:X65" ca="1">IF(AND($U$12,B89&lt;=$C$17,C89&lt;&gt;""),TRANSPOSE(INDEX(getcds(C89,$C$6,G89/10000,F89,D89,$C$13,$C$14,$C$15,$C$8,,,TRUE,TRUE,FALSE,$C$29:$C$31,$C$33),{1;2;3;4;5})),"")</f>
        <v>-2.1528324613138399E-2</v>
      </c>
      <c r="U65" s="417">
        <f ca="1"/>
        <v>2.27418682442742E-2</v>
      </c>
      <c r="V65" s="417">
        <f ca="1"/>
        <v>4.4270192857412599E-2</v>
      </c>
      <c r="W65" s="418">
        <f ca="1"/>
        <v>5.1370610282910302E-3</v>
      </c>
      <c r="X65" s="419">
        <f ca="1"/>
        <v>4.4270192857412596</v>
      </c>
      <c r="Y65" s="420">
        <f t="shared" ca="1" si="4"/>
        <v>7.8067976152695159E-2</v>
      </c>
      <c r="Z65" s="421">
        <f t="shared" ca="1" si="2"/>
        <v>-1.7754116277617349E-3</v>
      </c>
      <c r="AA65" s="420">
        <f t="shared" ca="1" si="0"/>
        <v>6.8594885903522335E-2</v>
      </c>
      <c r="AB65" s="422">
        <f t="shared" ca="1" si="1"/>
        <v>4.8802079768764783E-3</v>
      </c>
      <c r="AC65" s="421">
        <f t="shared" ca="1" si="3"/>
        <v>-7.7998792872446511E-5</v>
      </c>
      <c r="AD65" s="221"/>
      <c r="AE65" s="221"/>
    </row>
    <row r="66" spans="1:31" customFormat="1" ht="15">
      <c r="A66" s="221"/>
      <c r="B66" s="270">
        <v>28</v>
      </c>
      <c r="C66" s="68" t="s">
        <v>526</v>
      </c>
      <c r="D66" s="249">
        <v>1</v>
      </c>
      <c r="E66" s="241"/>
      <c r="F66" s="226">
        <v>0.4</v>
      </c>
      <c r="G66" s="429">
        <v>100</v>
      </c>
      <c r="H66" s="380">
        <v>52</v>
      </c>
      <c r="I66" s="407">
        <f ca="1"/>
        <v>1.53199678913385E-4</v>
      </c>
      <c r="J66" s="407">
        <f ca="1"/>
        <v>4.4798796423011698E-4</v>
      </c>
      <c r="K66" s="407">
        <f ca="1"/>
        <v>0.34197275629193302</v>
      </c>
      <c r="L66" s="407">
        <f ca="1"/>
        <v>0.34197275629193302</v>
      </c>
      <c r="M66" s="407">
        <f ca="1"/>
        <v>-4.7435658336780702E-4</v>
      </c>
      <c r="N66" s="446" t="str">
        <f ca="1"/>
        <v>LOUIS DREYFUS COMPANY B.V.</v>
      </c>
      <c r="O66" s="407"/>
      <c r="P66" s="407"/>
      <c r="Q66" s="407"/>
      <c r="R66" s="446"/>
      <c r="S66" s="437"/>
      <c r="T66" s="416" cm="1">
        <f t="array" aca="1" ref="T66:X66" ca="1">IF(AND($U$12,B90&lt;=$C$17,C90&lt;&gt;""),TRANSPOSE(INDEX(getcds(C90,$C$6,G90/10000,F90,D90,$C$13,$C$14,$C$15,$C$8,,,TRUE,TRUE,FALSE,$C$29:$C$31,$C$33),{1;2;3;4;5})),"")</f>
        <v>9.7576560165127998E-3</v>
      </c>
      <c r="U66" s="417">
        <f ca="1"/>
        <v>5.32036871018952E-2</v>
      </c>
      <c r="V66" s="417">
        <f ca="1"/>
        <v>4.3446031085382399E-2</v>
      </c>
      <c r="W66" s="418">
        <f ca="1"/>
        <v>1.2245925754952499E-2</v>
      </c>
      <c r="X66" s="419">
        <f ca="1"/>
        <v>4.3446031085382399</v>
      </c>
      <c r="Y66" s="420">
        <f t="shared" ca="1" si="4"/>
        <v>7.8067976152695159E-2</v>
      </c>
      <c r="Z66" s="421">
        <f t="shared" ca="1" si="2"/>
        <v>-4.1535041759062034E-3</v>
      </c>
      <c r="AA66" s="420">
        <f t="shared" ca="1" si="0"/>
        <v>0.11399091876397767</v>
      </c>
      <c r="AB66" s="422">
        <f t="shared" ca="1" si="1"/>
        <v>1.1633629467204873E-2</v>
      </c>
      <c r="AC66" s="421">
        <f t="shared" ca="1" si="3"/>
        <v>-3.032368587188112E-4</v>
      </c>
      <c r="AD66" s="221"/>
      <c r="AE66" s="221"/>
    </row>
    <row r="67" spans="1:31" customFormat="1" ht="15">
      <c r="A67" s="221"/>
      <c r="B67" s="270">
        <v>29</v>
      </c>
      <c r="C67" s="68" t="s">
        <v>540</v>
      </c>
      <c r="D67" s="249">
        <v>1</v>
      </c>
      <c r="E67" s="241"/>
      <c r="F67" s="226">
        <v>0.4</v>
      </c>
      <c r="G67" s="429">
        <v>100</v>
      </c>
      <c r="H67" s="380">
        <v>53</v>
      </c>
      <c r="I67" s="407">
        <f ca="1"/>
        <v>7.3119780452501903E-5</v>
      </c>
      <c r="J67" s="407">
        <f ca="1"/>
        <v>4.75910017156526E-4</v>
      </c>
      <c r="K67" s="407">
        <f ca="1"/>
        <v>0.153642028569558</v>
      </c>
      <c r="L67" s="407">
        <f ca="1"/>
        <v>0.153642028569558</v>
      </c>
      <c r="M67" s="407">
        <f ca="1"/>
        <v>-9.8141582095534501E-5</v>
      </c>
      <c r="N67" s="446" t="str">
        <f ca="1"/>
        <v>LVMH MOET HENNESSY LOUIS VUITTON</v>
      </c>
      <c r="O67" s="407"/>
      <c r="P67" s="407"/>
      <c r="Q67" s="407"/>
      <c r="R67" s="446"/>
      <c r="S67" s="437"/>
      <c r="T67" s="416" cm="1">
        <f t="array" aca="1" ref="T67:X67" ca="1">IF(AND($U$12,B91&lt;=$C$17,C91&lt;&gt;""),TRANSPOSE(INDEX(getcds(C91,$C$6,G91/10000,F91,D91,$C$13,$C$14,$C$15,$C$8,,,TRUE,TRUE,FALSE,$C$29:$C$31,$C$33),{1;2;3;4;5})),"")</f>
        <v>-3.0398388614942901E-2</v>
      </c>
      <c r="U67" s="417">
        <f ca="1"/>
        <v>1.4142568381258601E-2</v>
      </c>
      <c r="V67" s="417">
        <f ca="1"/>
        <v>4.4540956996201503E-2</v>
      </c>
      <c r="W67" s="418">
        <f ca="1"/>
        <v>3.1751828732518501E-3</v>
      </c>
      <c r="X67" s="419">
        <f ca="1"/>
        <v>4.45409569962015</v>
      </c>
      <c r="Y67" s="420">
        <f t="shared" ca="1" si="4"/>
        <v>7.8067976152695159E-2</v>
      </c>
      <c r="Z67" s="421">
        <f t="shared" ca="1" si="2"/>
        <v>-1.1040816911259584E-3</v>
      </c>
      <c r="AA67" s="420">
        <f t="shared" ca="1" si="0"/>
        <v>5.1214009523185999E-2</v>
      </c>
      <c r="AB67" s="422">
        <f t="shared" ca="1" si="1"/>
        <v>3.0164237295892573E-3</v>
      </c>
      <c r="AC67" s="421">
        <f t="shared" ca="1" si="3"/>
        <v>-3.6214881588004457E-5</v>
      </c>
      <c r="AD67" s="221"/>
      <c r="AE67" s="221"/>
    </row>
    <row r="68" spans="1:31" customFormat="1" ht="15">
      <c r="A68" s="221"/>
      <c r="B68" s="270">
        <v>30</v>
      </c>
      <c r="C68" s="68" t="s">
        <v>541</v>
      </c>
      <c r="D68" s="249">
        <v>1</v>
      </c>
      <c r="E68" s="241"/>
      <c r="F68" s="226">
        <v>0.4</v>
      </c>
      <c r="G68" s="429">
        <v>100</v>
      </c>
      <c r="H68" s="380">
        <v>54</v>
      </c>
      <c r="I68" s="407">
        <f ca="1"/>
        <v>6.9477212814428297E-5</v>
      </c>
      <c r="J68" s="407">
        <f ca="1"/>
        <v>4.7716748445712401E-4</v>
      </c>
      <c r="K68" s="407">
        <f ca="1"/>
        <v>0.145603409866607</v>
      </c>
      <c r="L68" s="407">
        <f ca="1"/>
        <v>0.145603409866607</v>
      </c>
      <c r="M68" s="407">
        <f ca="1"/>
        <v>-8.6489176972803794E-5</v>
      </c>
      <c r="N68" s="446" t="str">
        <f ca="1"/>
        <v>NESTLE S.A.</v>
      </c>
      <c r="O68" s="407"/>
      <c r="P68" s="407"/>
      <c r="Q68" s="407"/>
      <c r="R68" s="446"/>
      <c r="S68" s="437"/>
      <c r="T68" s="416" cm="1">
        <f t="array" aca="1" ref="T68:X68" ca="1">IF(AND($U$12,B92&lt;=$C$17,C92&lt;&gt;""),TRANSPOSE(INDEX(getcds(C92,$C$6,G92/10000,F92,D92,$C$13,$C$14,$C$15,$C$8,,,TRUE,TRUE,FALSE,$C$29:$C$31,$C$33),{1;2;3;4;5})),"")</f>
        <v>-3.1967728947558498E-2</v>
      </c>
      <c r="U68" s="417">
        <f ca="1"/>
        <v>1.25755470094696E-2</v>
      </c>
      <c r="V68" s="417">
        <f ca="1"/>
        <v>4.4543275957028103E-2</v>
      </c>
      <c r="W68" s="418">
        <f ca="1"/>
        <v>2.82322005718697E-3</v>
      </c>
      <c r="X68" s="419">
        <f ca="1"/>
        <v>4.4543275957028099</v>
      </c>
      <c r="Y68" s="420">
        <f t="shared" ca="1" si="4"/>
        <v>7.8067976152695159E-2</v>
      </c>
      <c r="Z68" s="421">
        <f t="shared" ca="1" si="2"/>
        <v>-9.8174750404236844E-4</v>
      </c>
      <c r="AA68" s="420">
        <f t="shared" ca="1" si="0"/>
        <v>4.8534469955535668E-2</v>
      </c>
      <c r="AB68" s="422">
        <f t="shared" ca="1" si="1"/>
        <v>2.6820590543276215E-3</v>
      </c>
      <c r="AC68" s="421">
        <f t="shared" ca="1" si="3"/>
        <v>-3.05173754252764E-5</v>
      </c>
      <c r="AD68" s="221"/>
      <c r="AE68" s="221"/>
    </row>
    <row r="69" spans="1:31" customFormat="1" ht="15">
      <c r="A69" s="221"/>
      <c r="B69" s="270">
        <v>31</v>
      </c>
      <c r="C69" s="68" t="s">
        <v>542</v>
      </c>
      <c r="D69" s="249">
        <v>1</v>
      </c>
      <c r="E69" s="241"/>
      <c r="F69" s="226">
        <v>0.4</v>
      </c>
      <c r="G69" s="429">
        <v>100</v>
      </c>
      <c r="H69" s="380">
        <v>55</v>
      </c>
      <c r="I69" s="407">
        <f ca="1"/>
        <v>9.3467797052126995E-5</v>
      </c>
      <c r="J69" s="407">
        <f ca="1"/>
        <v>4.6752316055857101E-4</v>
      </c>
      <c r="K69" s="407">
        <f ca="1"/>
        <v>0.199921212331934</v>
      </c>
      <c r="L69" s="407">
        <f ca="1"/>
        <v>0.199921212331934</v>
      </c>
      <c r="M69" s="407">
        <f ca="1"/>
        <v>-1.7219076796375299E-4</v>
      </c>
      <c r="N69" s="446" t="str">
        <f ca="1"/>
        <v>NEXT PLC</v>
      </c>
      <c r="O69" s="407"/>
      <c r="P69" s="407"/>
      <c r="Q69" s="407"/>
      <c r="R69" s="446"/>
      <c r="S69" s="437"/>
      <c r="T69" s="416" cm="1">
        <f t="array" aca="1" ref="T69:X69" ca="1">IF(AND($U$12,B93&lt;=$C$17,C93&lt;&gt;""),TRANSPOSE(INDEX(getcds(C93,$C$6,G93/10000,F93,D93,$C$13,$C$14,$C$15,$C$8,,,TRUE,TRUE,FALSE,$C$29:$C$31,$C$33),{1;2;3;4;5})),"")</f>
        <v>-2.2045428674499899E-2</v>
      </c>
      <c r="U69" s="417">
        <f ca="1"/>
        <v>2.23245850035758E-2</v>
      </c>
      <c r="V69" s="417">
        <f ca="1"/>
        <v>4.43700136780757E-2</v>
      </c>
      <c r="W69" s="418">
        <f ca="1"/>
        <v>5.0314577691029502E-3</v>
      </c>
      <c r="X69" s="419">
        <f ca="1"/>
        <v>4.4370013678075697</v>
      </c>
      <c r="Y69" s="420">
        <f t="shared" ca="1" si="4"/>
        <v>7.8067976152695159E-2</v>
      </c>
      <c r="Z69" s="421">
        <f t="shared" ca="1" si="2"/>
        <v>-1.7428351696779725E-3</v>
      </c>
      <c r="AA69" s="420">
        <f t="shared" ca="1" si="0"/>
        <v>6.664040411064466E-2</v>
      </c>
      <c r="AB69" s="422">
        <f t="shared" ca="1" si="1"/>
        <v>4.7798848806478028E-3</v>
      </c>
      <c r="AC69" s="421">
        <f t="shared" ca="1" si="3"/>
        <v>-7.4385968312036456E-5</v>
      </c>
      <c r="AD69" s="221"/>
      <c r="AE69" s="221"/>
    </row>
    <row r="70" spans="1:31" customFormat="1" ht="15">
      <c r="A70" s="221"/>
      <c r="B70" s="270">
        <v>32</v>
      </c>
      <c r="C70" s="68" t="s">
        <v>527</v>
      </c>
      <c r="D70" s="249">
        <v>1</v>
      </c>
      <c r="E70" s="241"/>
      <c r="F70" s="226">
        <v>0.4</v>
      </c>
      <c r="G70" s="429">
        <v>100</v>
      </c>
      <c r="H70" s="380">
        <v>56</v>
      </c>
      <c r="I70" s="407">
        <f ca="1"/>
        <v>8.1821863026099195E-5</v>
      </c>
      <c r="J70" s="407">
        <f ca="1"/>
        <v>4.7302044818529302E-4</v>
      </c>
      <c r="K70" s="407">
        <f ca="1"/>
        <v>0.17297743330125101</v>
      </c>
      <c r="L70" s="407">
        <f ca="1"/>
        <v>0.17297743330125101</v>
      </c>
      <c r="M70" s="407">
        <f ca="1"/>
        <v>-1.26046728293061E-4</v>
      </c>
      <c r="N70" s="446" t="str">
        <f ca="1"/>
        <v>PERNOD RICARD</v>
      </c>
      <c r="O70" s="407"/>
      <c r="P70" s="407"/>
      <c r="Q70" s="407"/>
      <c r="R70" s="446"/>
      <c r="S70" s="437"/>
      <c r="T70" s="416" cm="1">
        <f t="array" aca="1" ref="T70:X70" ca="1">IF(AND($U$12,B94&lt;=$C$17,C94&lt;&gt;""),TRANSPOSE(INDEX(getcds(C94,$C$6,G94/10000,F94,D94,$C$13,$C$14,$C$15,$C$8,,,TRUE,TRUE,FALSE,$C$29:$C$31,$C$33),{1;2;3;4;5})),"")</f>
        <v>-2.7334404518352499E-2</v>
      </c>
      <c r="U70" s="417">
        <f ca="1"/>
        <v>1.7110669677939599E-2</v>
      </c>
      <c r="V70" s="417">
        <f ca="1"/>
        <v>4.4445074196292102E-2</v>
      </c>
      <c r="W70" s="418">
        <f ca="1"/>
        <v>3.8498461274628902E-3</v>
      </c>
      <c r="X70" s="419">
        <f ca="1"/>
        <v>4.4445074196292103</v>
      </c>
      <c r="Y70" s="420">
        <f t="shared" ca="1" si="4"/>
        <v>7.8067976152695159E-2</v>
      </c>
      <c r="Z70" s="421">
        <f t="shared" ca="1" si="2"/>
        <v>-1.3357953523740326E-3</v>
      </c>
      <c r="AA70" s="420">
        <f t="shared" ca="1" si="0"/>
        <v>5.7659144433750337E-2</v>
      </c>
      <c r="AB70" s="422">
        <f t="shared" ca="1" si="1"/>
        <v>3.6573538210897456E-3</v>
      </c>
      <c r="AC70" s="421">
        <f t="shared" ca="1" si="3"/>
        <v>-4.9329328715925602E-5</v>
      </c>
      <c r="AD70" s="221"/>
      <c r="AE70" s="221"/>
    </row>
    <row r="71" spans="1:31" customFormat="1" ht="15">
      <c r="A71" s="221"/>
      <c r="B71" s="270">
        <v>33</v>
      </c>
      <c r="C71" s="68" t="s">
        <v>528</v>
      </c>
      <c r="D71" s="249">
        <v>1</v>
      </c>
      <c r="E71" s="241"/>
      <c r="F71" s="226">
        <v>0.4</v>
      </c>
      <c r="G71" s="429">
        <v>100</v>
      </c>
      <c r="H71" s="380">
        <v>57</v>
      </c>
      <c r="I71" s="407">
        <f ca="1"/>
        <v>6.7397154647497206E-5</v>
      </c>
      <c r="J71" s="407">
        <f ca="1"/>
        <v>4.7765301485581398E-4</v>
      </c>
      <c r="K71" s="407">
        <f ca="1"/>
        <v>0.141100657907167</v>
      </c>
      <c r="L71" s="407">
        <f ca="1"/>
        <v>0.141100657907167</v>
      </c>
      <c r="M71" s="407">
        <f ca="1"/>
        <v>-8.15101706470367E-5</v>
      </c>
      <c r="N71" s="446" t="str">
        <f ca="1"/>
        <v>SODEXO</v>
      </c>
      <c r="O71" s="407"/>
      <c r="P71" s="407"/>
      <c r="Q71" s="407"/>
      <c r="R71" s="446"/>
      <c r="S71" s="437"/>
      <c r="T71" s="416" cm="1">
        <f t="array" aca="1" ref="T71:X71" ca="1">IF(AND($U$12,B95&lt;=$C$17,C95&lt;&gt;""),TRANSPOSE(INDEX(getcds(C95,$C$6,G95/10000,F95,D95,$C$13,$C$14,$C$15,$C$8,,,TRUE,TRUE,FALSE,$C$29:$C$31,$C$33),{1;2;3;4;5})),"")</f>
        <v>-3.2346477939204303E-2</v>
      </c>
      <c r="U71" s="417">
        <f ca="1"/>
        <v>1.2243948165274901E-2</v>
      </c>
      <c r="V71" s="417">
        <f ca="1"/>
        <v>4.4590426104479199E-2</v>
      </c>
      <c r="W71" s="418">
        <f ca="1"/>
        <v>2.74586928965116E-3</v>
      </c>
      <c r="X71" s="419">
        <f ca="1"/>
        <v>4.4590426104479199</v>
      </c>
      <c r="Y71" s="420">
        <f t="shared" ca="1" si="4"/>
        <v>7.8067976152695159E-2</v>
      </c>
      <c r="Z71" s="421">
        <f t="shared" ca="1" si="2"/>
        <v>-9.5586025338151531E-4</v>
      </c>
      <c r="AA71" s="420">
        <f t="shared" ca="1" si="0"/>
        <v>4.7033552635722335E-2</v>
      </c>
      <c r="AB71" s="422">
        <f t="shared" ca="1" si="1"/>
        <v>2.608575825168602E-3</v>
      </c>
      <c r="AC71" s="421">
        <f t="shared" ca="1" si="3"/>
        <v>-2.8793819025025613E-5</v>
      </c>
      <c r="AD71" s="221"/>
      <c r="AE71" s="221"/>
    </row>
    <row r="72" spans="1:31" customFormat="1" ht="15">
      <c r="A72" s="221"/>
      <c r="B72" s="270">
        <v>34</v>
      </c>
      <c r="C72" s="68" t="s">
        <v>529</v>
      </c>
      <c r="D72" s="249">
        <v>1</v>
      </c>
      <c r="E72" s="241"/>
      <c r="F72" s="226">
        <v>0.4</v>
      </c>
      <c r="G72" s="429">
        <v>100</v>
      </c>
      <c r="H72" s="380">
        <v>58</v>
      </c>
      <c r="I72" s="407">
        <f ca="1"/>
        <v>1.14777612289396E-4</v>
      </c>
      <c r="J72" s="407">
        <f ca="1"/>
        <v>4.5627256601961797E-4</v>
      </c>
      <c r="K72" s="407">
        <f ca="1"/>
        <v>0.25155492755280201</v>
      </c>
      <c r="L72" s="407">
        <f ca="1"/>
        <v>0.25155492755280201</v>
      </c>
      <c r="M72" s="407">
        <f ca="1"/>
        <v>-2.6975371759412298E-4</v>
      </c>
      <c r="N72" s="446" t="str">
        <f ca="1"/>
        <v>SUEDZUCKER AG</v>
      </c>
      <c r="O72" s="407"/>
      <c r="P72" s="407"/>
      <c r="Q72" s="407"/>
      <c r="R72" s="446"/>
      <c r="S72" s="437"/>
      <c r="T72" s="416" cm="1">
        <f t="array" aca="1" ref="T72:X72" ca="1">IF(AND($U$12,B96&lt;=$C$17,C96&lt;&gt;""),TRANSPOSE(INDEX(getcds(C96,$C$6,G96/10000,F96,D96,$C$13,$C$14,$C$15,$C$8,,,TRUE,TRUE,FALSE,$C$29:$C$31,$C$33),{1;2;3;4;5})),"")</f>
        <v>-1.20634380541665E-2</v>
      </c>
      <c r="U72" s="417">
        <f ca="1"/>
        <v>3.1980097497307798E-2</v>
      </c>
      <c r="V72" s="417">
        <f ca="1"/>
        <v>4.4043535551474298E-2</v>
      </c>
      <c r="W72" s="418">
        <f ca="1"/>
        <v>7.2610196018283299E-3</v>
      </c>
      <c r="X72" s="419">
        <f ca="1"/>
        <v>4.4043535551474298</v>
      </c>
      <c r="Y72" s="420">
        <f t="shared" ca="1" si="4"/>
        <v>7.8067976152695159E-2</v>
      </c>
      <c r="Z72" s="421">
        <f t="shared" ca="1" si="2"/>
        <v>-2.4966214887806896E-3</v>
      </c>
      <c r="AA72" s="420">
        <f t="shared" ca="1" si="0"/>
        <v>8.3851642517600675E-2</v>
      </c>
      <c r="AB72" s="422">
        <f t="shared" ca="1" si="1"/>
        <v>6.8979686217369128E-3</v>
      </c>
      <c r="AC72" s="421">
        <f t="shared" ca="1" si="3"/>
        <v>-1.340791851511136E-4</v>
      </c>
      <c r="AD72" s="221"/>
      <c r="AE72" s="221"/>
    </row>
    <row r="73" spans="1:31" customFormat="1" ht="15">
      <c r="A73" s="221"/>
      <c r="B73" s="270">
        <v>35</v>
      </c>
      <c r="C73" s="68" t="s">
        <v>543</v>
      </c>
      <c r="D73" s="249">
        <v>1</v>
      </c>
      <c r="E73" s="241"/>
      <c r="F73" s="226">
        <v>0.4</v>
      </c>
      <c r="G73" s="429">
        <v>100</v>
      </c>
      <c r="H73" s="380">
        <v>59</v>
      </c>
      <c r="I73" s="407">
        <f ca="1"/>
        <v>9.8631388733161395E-5</v>
      </c>
      <c r="J73" s="407">
        <f ca="1"/>
        <v>4.65814493669275E-4</v>
      </c>
      <c r="K73" s="407">
        <f ca="1"/>
        <v>0.211739630418604</v>
      </c>
      <c r="L73" s="407">
        <f ca="1"/>
        <v>0.211739630418604</v>
      </c>
      <c r="M73" s="407">
        <f ca="1"/>
        <v>-1.9174798384487E-4</v>
      </c>
      <c r="N73" s="446" t="str">
        <f ca="1"/>
        <v>TESCO PLC</v>
      </c>
      <c r="O73" s="407"/>
      <c r="P73" s="407"/>
      <c r="Q73" s="407"/>
      <c r="R73" s="446"/>
      <c r="S73" s="437"/>
      <c r="T73" s="416" cm="1">
        <f t="array" aca="1" ref="T73:X73" ca="1">IF(AND($U$12,B97&lt;=$C$17,C97&lt;&gt;""),TRANSPOSE(INDEX(getcds(C97,$C$6,G97/10000,F97,D97,$C$13,$C$14,$C$15,$C$8,,,TRUE,TRUE,FALSE,$C$29:$C$31,$C$33),{1;2;3;4;5})),"")</f>
        <v>-2.0248057309483401E-2</v>
      </c>
      <c r="U73" s="417">
        <f ca="1"/>
        <v>2.4010392942300701E-2</v>
      </c>
      <c r="V73" s="417">
        <f ca="1"/>
        <v>4.4258450251784098E-2</v>
      </c>
      <c r="W73" s="418">
        <f ca="1"/>
        <v>5.4250415018390298E-3</v>
      </c>
      <c r="X73" s="419">
        <f ca="1"/>
        <v>4.4258450251784103</v>
      </c>
      <c r="Y73" s="420">
        <f t="shared" ca="1" si="4"/>
        <v>7.8067976152695159E-2</v>
      </c>
      <c r="Z73" s="421">
        <f t="shared" ca="1" si="2"/>
        <v>-1.8744427836363698E-3</v>
      </c>
      <c r="AA73" s="420">
        <f t="shared" ca="1" si="0"/>
        <v>7.0579876806201328E-2</v>
      </c>
      <c r="AB73" s="422">
        <f t="shared" ca="1" si="1"/>
        <v>5.1537894267470784E-3</v>
      </c>
      <c r="AC73" s="421">
        <f t="shared" ca="1" si="3"/>
        <v>-8.4732528796803357E-5</v>
      </c>
      <c r="AD73" s="221"/>
      <c r="AE73" s="221"/>
    </row>
    <row r="74" spans="1:31" customFormat="1" ht="15">
      <c r="A74" s="221"/>
      <c r="B74" s="270">
        <v>36</v>
      </c>
      <c r="C74" s="68" t="s">
        <v>530</v>
      </c>
      <c r="D74" s="249">
        <v>1</v>
      </c>
      <c r="E74" s="241"/>
      <c r="F74" s="226">
        <v>0.4</v>
      </c>
      <c r="G74" s="429">
        <v>100</v>
      </c>
      <c r="H74" s="380">
        <v>60</v>
      </c>
      <c r="I74" s="407">
        <f ca="1"/>
        <v>6.7932109779844706E-5</v>
      </c>
      <c r="J74" s="407">
        <f ca="1"/>
        <v>4.77597700065972E-4</v>
      </c>
      <c r="K74" s="407">
        <f ca="1"/>
        <v>0.14223709571981</v>
      </c>
      <c r="L74" s="407">
        <f ca="1"/>
        <v>0.14223709571981</v>
      </c>
      <c r="M74" s="407">
        <f ca="1"/>
        <v>-8.2271809255751805E-5</v>
      </c>
      <c r="N74" s="446" t="str">
        <f ca="1"/>
        <v>UNILEVER PLC</v>
      </c>
      <c r="O74" s="407"/>
      <c r="P74" s="407"/>
      <c r="Q74" s="407"/>
      <c r="R74" s="446"/>
      <c r="S74" s="437"/>
      <c r="T74" s="416" cm="1">
        <f t="array" aca="1" ref="T74:X74" ca="1">IF(AND($U$12,B98&lt;=$C$17,C98&lt;&gt;""),TRANSPOSE(INDEX(getcds(C98,$C$6,G98/10000,F98,D98,$C$13,$C$14,$C$15,$C$8,,,TRUE,TRUE,FALSE,$C$29:$C$31,$C$33),{1;2;3;4;5})),"")</f>
        <v>-3.2428426636292002E-2</v>
      </c>
      <c r="U74" s="417">
        <f ca="1"/>
        <v>1.2134008297009301E-2</v>
      </c>
      <c r="V74" s="417">
        <f ca="1"/>
        <v>4.4562434933301302E-2</v>
      </c>
      <c r="W74" s="418">
        <f ca="1"/>
        <v>2.7229230887340101E-3</v>
      </c>
      <c r="X74" s="419">
        <f ca="1"/>
        <v>4.4562434933301303</v>
      </c>
      <c r="Y74" s="420">
        <f t="shared" ca="1" si="4"/>
        <v>7.8067976152695159E-2</v>
      </c>
      <c r="Z74" s="421">
        <f t="shared" ca="1" si="2"/>
        <v>-9.472774703675283E-4</v>
      </c>
      <c r="AA74" s="420">
        <f t="shared" ca="1" si="0"/>
        <v>4.7412365239936666E-2</v>
      </c>
      <c r="AB74" s="422">
        <f t="shared" ca="1" si="1"/>
        <v>2.5867769342973095E-3</v>
      </c>
      <c r="AC74" s="421">
        <f t="shared" ca="1" si="3"/>
        <v>-2.876510166011139E-5</v>
      </c>
      <c r="AD74" s="221"/>
      <c r="AE74" s="221"/>
    </row>
    <row r="75" spans="1:31" customFormat="1" ht="15">
      <c r="A75" s="221"/>
      <c r="B75" s="270">
        <v>37</v>
      </c>
      <c r="C75" s="68" t="s">
        <v>546</v>
      </c>
      <c r="D75" s="249">
        <v>1</v>
      </c>
      <c r="E75" s="241"/>
      <c r="F75" s="226">
        <v>0.4</v>
      </c>
      <c r="G75" s="429">
        <v>100</v>
      </c>
      <c r="H75" s="380">
        <v>61</v>
      </c>
      <c r="I75" s="407">
        <f ca="1"/>
        <v>9.7786481084649604E-5</v>
      </c>
      <c r="J75" s="407">
        <f ca="1"/>
        <v>4.6603925224457198E-4</v>
      </c>
      <c r="K75" s="407">
        <f ca="1"/>
        <v>0.20982456008519301</v>
      </c>
      <c r="L75" s="407">
        <f ca="1"/>
        <v>0.20982456008519301</v>
      </c>
      <c r="M75" s="407">
        <f ca="1"/>
        <v>-1.8858626699342899E-4</v>
      </c>
      <c r="N75" s="446" t="str">
        <f ca="1"/>
        <v>BP P.L.C.</v>
      </c>
      <c r="O75" s="407"/>
      <c r="P75" s="407"/>
      <c r="Q75" s="407"/>
      <c r="R75" s="446"/>
      <c r="S75" s="437"/>
      <c r="T75" s="416" cm="1">
        <f t="array" aca="1" ref="T75:X75" ca="1">IF(AND($U$12,B99&lt;=$C$17,C99&lt;&gt;""),TRANSPOSE(INDEX(getcds(C99,$C$6,G99/10000,F99,D99,$C$13,$C$14,$C$15,$C$8,,,TRUE,TRUE,FALSE,$C$29:$C$31,$C$33),{1;2;3;4;5})),"")</f>
        <v>-2.05132675624001E-2</v>
      </c>
      <c r="U75" s="417">
        <f ca="1"/>
        <v>2.3768943413735699E-2</v>
      </c>
      <c r="V75" s="417">
        <f ca="1"/>
        <v>4.42822109761358E-2</v>
      </c>
      <c r="W75" s="418">
        <f ca="1"/>
        <v>5.3676053859517204E-3</v>
      </c>
      <c r="X75" s="419">
        <f ca="1"/>
        <v>4.4282210976135801</v>
      </c>
      <c r="Y75" s="420">
        <f t="shared" ca="1" si="4"/>
        <v>7.8067976152695159E-2</v>
      </c>
      <c r="Z75" s="421">
        <f t="shared" ca="1" si="2"/>
        <v>-1.8555933075982787E-3</v>
      </c>
      <c r="AA75" s="420">
        <f t="shared" ca="1" si="0"/>
        <v>6.9941520028397666E-2</v>
      </c>
      <c r="AB75" s="422">
        <f t="shared" ca="1" si="1"/>
        <v>5.099225116654134E-3</v>
      </c>
      <c r="AC75" s="421">
        <f t="shared" ca="1" si="3"/>
        <v>-8.3121801591282384E-5</v>
      </c>
      <c r="AD75" s="221"/>
      <c r="AE75" s="221"/>
    </row>
    <row r="76" spans="1:31" customFormat="1" ht="15">
      <c r="A76" s="221"/>
      <c r="B76" s="270">
        <v>38</v>
      </c>
      <c r="C76" s="68" t="s">
        <v>547</v>
      </c>
      <c r="D76" s="249">
        <v>1</v>
      </c>
      <c r="E76" s="241"/>
      <c r="F76" s="226">
        <v>0.4</v>
      </c>
      <c r="G76" s="429">
        <v>100</v>
      </c>
      <c r="H76" s="380">
        <v>62</v>
      </c>
      <c r="I76" s="407">
        <f ca="1"/>
        <v>1.09030471226612E-4</v>
      </c>
      <c r="J76" s="407">
        <f ca="1"/>
        <v>4.5984132894215E-4</v>
      </c>
      <c r="K76" s="407">
        <f ca="1"/>
        <v>0.237104549687678</v>
      </c>
      <c r="L76" s="407">
        <f ca="1"/>
        <v>0.237104549687678</v>
      </c>
      <c r="M76" s="407">
        <f ca="1"/>
        <v>-2.4057788739042499E-4</v>
      </c>
      <c r="N76" s="446" t="str">
        <f ca="1"/>
        <v>CENTRICA PLC</v>
      </c>
      <c r="O76" s="407"/>
      <c r="P76" s="407"/>
      <c r="Q76" s="407"/>
      <c r="R76" s="446"/>
      <c r="S76" s="437"/>
      <c r="T76" s="416" cm="1">
        <f t="array" aca="1" ref="T76:X76" ca="1">IF(AND($U$12,B100&lt;=$C$17,C100&lt;&gt;""),TRANSPOSE(INDEX(getcds(C100,$C$6,G100/10000,F100,D100,$C$13,$C$14,$C$15,$C$8,,,TRUE,TRUE,FALSE,$C$29:$C$31,$C$33),{1;2;3;4;5})),"")</f>
        <v>-1.50667990350814E-2</v>
      </c>
      <c r="U76" s="417">
        <f ca="1"/>
        <v>2.9068218710050001E-2</v>
      </c>
      <c r="V76" s="417">
        <f ca="1"/>
        <v>4.41350177451314E-2</v>
      </c>
      <c r="W76" s="418">
        <f ca="1"/>
        <v>6.58620301863514E-3</v>
      </c>
      <c r="X76" s="419">
        <f ca="1"/>
        <v>4.41350177451314</v>
      </c>
      <c r="Y76" s="420">
        <f t="shared" ca="1" si="4"/>
        <v>7.8067976152695159E-2</v>
      </c>
      <c r="Z76" s="421">
        <f t="shared" ca="1" si="2"/>
        <v>-2.2692970050575099E-3</v>
      </c>
      <c r="AA76" s="420">
        <f t="shared" ca="1" si="0"/>
        <v>7.903484989589267E-2</v>
      </c>
      <c r="AB76" s="422">
        <f t="shared" ca="1" si="1"/>
        <v>6.2568928677033831E-3</v>
      </c>
      <c r="AC76" s="421">
        <f t="shared" ca="1" si="3"/>
        <v>-1.1487011512448894E-4</v>
      </c>
      <c r="AD76" s="221"/>
      <c r="AE76" s="221"/>
    </row>
    <row r="77" spans="1:31" customFormat="1" ht="15">
      <c r="A77" s="221"/>
      <c r="B77" s="270">
        <v>39</v>
      </c>
      <c r="C77" s="68" t="s">
        <v>548</v>
      </c>
      <c r="D77" s="249">
        <v>1</v>
      </c>
      <c r="E77" s="241"/>
      <c r="F77" s="226">
        <v>0.4</v>
      </c>
      <c r="G77" s="429">
        <v>100</v>
      </c>
      <c r="H77" s="380">
        <v>63</v>
      </c>
      <c r="I77" s="407">
        <f ca="1"/>
        <v>8.5338226094622301E-5</v>
      </c>
      <c r="J77" s="407">
        <f ca="1"/>
        <v>4.7166136937409599E-4</v>
      </c>
      <c r="K77" s="407">
        <f ca="1"/>
        <v>0.18093113329986699</v>
      </c>
      <c r="L77" s="407">
        <f ca="1"/>
        <v>0.18093113329986699</v>
      </c>
      <c r="M77" s="407">
        <f ca="1"/>
        <v>-1.3867387721986399E-4</v>
      </c>
      <c r="N77" s="446" t="str">
        <f ca="1"/>
        <v>E.ON SE</v>
      </c>
      <c r="O77" s="407"/>
      <c r="P77" s="407"/>
      <c r="Q77" s="407"/>
      <c r="R77" s="446"/>
      <c r="S77" s="437"/>
      <c r="T77" s="416" cm="1">
        <f t="array" aca="1" ref="T77:X77" ca="1">IF(AND($U$12,B101&lt;=$C$17,C101&lt;&gt;""),TRANSPOSE(INDEX(getcds(C101,$C$6,G101/10000,F101,D101,$C$13,$C$14,$C$15,$C$8,,,TRUE,TRUE,FALSE,$C$29:$C$31,$C$33),{1;2;3;4;5})),"")</f>
        <v>-2.5927457843612001E-2</v>
      </c>
      <c r="U77" s="417">
        <f ca="1"/>
        <v>1.8484339810389099E-2</v>
      </c>
      <c r="V77" s="417">
        <f ca="1"/>
        <v>4.4411797654001099E-2</v>
      </c>
      <c r="W77" s="418">
        <f ca="1"/>
        <v>4.1620336907762703E-3</v>
      </c>
      <c r="X77" s="419">
        <f ca="1"/>
        <v>4.4411797654001104</v>
      </c>
      <c r="Y77" s="420">
        <f t="shared" ca="1" si="4"/>
        <v>7.8067976152695159E-2</v>
      </c>
      <c r="Z77" s="421">
        <f t="shared" ca="1" si="2"/>
        <v>-1.4430349995157709E-3</v>
      </c>
      <c r="AA77" s="420">
        <f t="shared" ca="1" si="0"/>
        <v>6.0310377766622326E-2</v>
      </c>
      <c r="AB77" s="422">
        <f t="shared" ca="1" si="1"/>
        <v>3.9539320062374561E-3</v>
      </c>
      <c r="AC77" s="421">
        <f t="shared" ca="1" si="3"/>
        <v>-5.5739875836559334E-5</v>
      </c>
      <c r="AD77" s="221"/>
      <c r="AE77" s="221"/>
    </row>
    <row r="78" spans="1:31" customFormat="1" ht="15">
      <c r="A78" s="221"/>
      <c r="B78" s="270">
        <v>40</v>
      </c>
      <c r="C78" s="68" t="s">
        <v>564</v>
      </c>
      <c r="D78" s="249">
        <v>1</v>
      </c>
      <c r="E78" s="241"/>
      <c r="F78" s="226">
        <v>0.4</v>
      </c>
      <c r="G78" s="429">
        <v>100</v>
      </c>
      <c r="H78" s="380">
        <v>64</v>
      </c>
      <c r="I78" s="407">
        <f ca="1"/>
        <v>1.08535752852923E-4</v>
      </c>
      <c r="J78" s="407">
        <f ca="1"/>
        <v>4.6112979923399199E-4</v>
      </c>
      <c r="K78" s="407">
        <f ca="1"/>
        <v>0.23536920197570799</v>
      </c>
      <c r="L78" s="407">
        <f ca="1"/>
        <v>0.23536920197570799</v>
      </c>
      <c r="M78" s="407">
        <f ca="1"/>
        <v>-2.3621258226818101E-4</v>
      </c>
      <c r="N78" s="446" t="str">
        <f ca="1"/>
        <v>EDP - ENERGIAS DE PORTUGAL S.A.</v>
      </c>
      <c r="O78" s="407"/>
      <c r="P78" s="407"/>
      <c r="Q78" s="407"/>
      <c r="R78" s="446"/>
      <c r="S78" s="437"/>
      <c r="T78" s="416" cm="1">
        <f t="array" aca="1" ref="T78:X78" ca="1">IF(AND($U$12,B102&lt;=$C$17,C102&lt;&gt;""),TRANSPOSE(INDEX(getcds(C102,$C$6,G102/10000,F102,D102,$C$13,$C$14,$C$15,$C$8,,,TRUE,TRUE,FALSE,$C$29:$C$31,$C$33),{1;2;3;4;5})),"")</f>
        <v>-1.5779613698502198E-2</v>
      </c>
      <c r="U78" s="417">
        <f ca="1"/>
        <v>2.8304432920665899E-2</v>
      </c>
      <c r="V78" s="417">
        <f ca="1"/>
        <v>4.40840466191681E-2</v>
      </c>
      <c r="W78" s="418">
        <f ca="1"/>
        <v>6.4205614255835796E-3</v>
      </c>
      <c r="X78" s="419">
        <f ca="1"/>
        <v>4.4084046619168102</v>
      </c>
      <c r="Y78" s="420">
        <f t="shared" ca="1" si="4"/>
        <v>7.8067976152695159E-2</v>
      </c>
      <c r="Z78" s="421">
        <f t="shared" ca="1" si="2"/>
        <v>-2.2096697942661048E-3</v>
      </c>
      <c r="AA78" s="420">
        <f t="shared" ca="1" si="0"/>
        <v>7.8456400658569334E-2</v>
      </c>
      <c r="AB78" s="422">
        <f t="shared" ca="1" si="1"/>
        <v>6.0995333543044008E-3</v>
      </c>
      <c r="AC78" s="421">
        <f t="shared" ca="1" si="3"/>
        <v>-1.1103319648186811E-4</v>
      </c>
      <c r="AD78" s="221"/>
      <c r="AE78" s="221"/>
    </row>
    <row r="79" spans="1:31" customFormat="1" ht="15">
      <c r="A79" s="221"/>
      <c r="B79" s="270">
        <v>41</v>
      </c>
      <c r="C79" s="68" t="s">
        <v>549</v>
      </c>
      <c r="D79" s="249">
        <v>1</v>
      </c>
      <c r="E79" s="241"/>
      <c r="F79" s="226">
        <v>0.4</v>
      </c>
      <c r="G79" s="429">
        <v>100</v>
      </c>
      <c r="H79" s="380">
        <v>65</v>
      </c>
      <c r="I79" s="407">
        <f ca="1"/>
        <v>1.12099998776638E-4</v>
      </c>
      <c r="J79" s="407">
        <f ca="1"/>
        <v>4.5855724693878898E-4</v>
      </c>
      <c r="K79" s="407">
        <f ca="1"/>
        <v>0.244462386157866</v>
      </c>
      <c r="L79" s="407">
        <f ca="1"/>
        <v>0.244462386157866</v>
      </c>
      <c r="M79" s="407">
        <f ca="1"/>
        <v>-2.5483108485129202E-4</v>
      </c>
      <c r="N79" s="446" t="str">
        <f ca="1"/>
        <v>ELECTRICITE DE FRANCE</v>
      </c>
      <c r="O79" s="407"/>
      <c r="P79" s="407"/>
      <c r="Q79" s="407"/>
      <c r="R79" s="446"/>
      <c r="S79" s="437"/>
      <c r="T79" s="416" cm="1">
        <f t="array" aca="1" ref="T79:X79" ca="1">IF(AND($U$12,B103&lt;=$C$17,C103&lt;&gt;""),TRANSPOSE(INDEX(getcds(C103,$C$6,G103/10000,F103,D103,$C$13,$C$14,$C$15,$C$8,,,TRUE,TRUE,FALSE,$C$29:$C$31,$C$33),{1;2;3;4;5})),"")</f>
        <v>-1.37258492014696E-2</v>
      </c>
      <c r="U79" s="417">
        <f ca="1"/>
        <v>3.0332664398698202E-2</v>
      </c>
      <c r="V79" s="417">
        <f ca="1"/>
        <v>4.4058513600167798E-2</v>
      </c>
      <c r="W79" s="418">
        <f ca="1"/>
        <v>6.8846318044153603E-3</v>
      </c>
      <c r="X79" s="419">
        <f ca="1"/>
        <v>4.4058513600167801</v>
      </c>
      <c r="Y79" s="420">
        <f t="shared" ca="1" si="4"/>
        <v>7.8067976152695159E-2</v>
      </c>
      <c r="Z79" s="421">
        <f t="shared" ca="1" si="2"/>
        <v>-2.368009720925276E-3</v>
      </c>
      <c r="AA79" s="420">
        <f t="shared" ca="1" si="0"/>
        <v>8.1487462052622001E-2</v>
      </c>
      <c r="AB79" s="422">
        <f t="shared" ca="1" si="1"/>
        <v>6.5404002141945918E-3</v>
      </c>
      <c r="AC79" s="421">
        <f t="shared" ca="1" si="3"/>
        <v>-1.2358659195719205E-4</v>
      </c>
      <c r="AD79" s="221"/>
      <c r="AE79" s="221"/>
    </row>
    <row r="80" spans="1:31" customFormat="1" ht="15">
      <c r="A80" s="221"/>
      <c r="B80" s="270">
        <v>42</v>
      </c>
      <c r="C80" s="68" t="s">
        <v>550</v>
      </c>
      <c r="D80" s="249">
        <v>1</v>
      </c>
      <c r="E80" s="241"/>
      <c r="F80" s="226">
        <v>0.4</v>
      </c>
      <c r="G80" s="429">
        <v>100</v>
      </c>
      <c r="H80" s="380">
        <v>66</v>
      </c>
      <c r="I80" s="407">
        <f ca="1"/>
        <v>1.07636090357399E-4</v>
      </c>
      <c r="J80" s="407">
        <f ca="1"/>
        <v>4.6027063138097299E-4</v>
      </c>
      <c r="K80" s="407">
        <f ca="1"/>
        <v>0.23385391771456901</v>
      </c>
      <c r="L80" s="407">
        <f ca="1"/>
        <v>0.23385391771456901</v>
      </c>
      <c r="M80" s="407">
        <f ca="1"/>
        <v>-2.34620590138745E-4</v>
      </c>
      <c r="N80" s="446" t="str">
        <f ca="1"/>
        <v>ENEL S.P.A.</v>
      </c>
      <c r="O80" s="407"/>
      <c r="P80" s="407"/>
      <c r="Q80" s="407"/>
      <c r="R80" s="446"/>
      <c r="S80" s="437"/>
      <c r="T80" s="416" cm="1">
        <f t="array" aca="1" ref="T80:X80" ca="1">IF(AND($U$12,B104&lt;=$C$17,C104&lt;&gt;""),TRANSPOSE(INDEX(getcds(C104,$C$6,G104/10000,F104,D104,$C$13,$C$14,$C$15,$C$8,,,TRUE,TRUE,FALSE,$C$29:$C$31,$C$33),{1;2;3;4;5})),"")</f>
        <v>-1.5591991810685201E-2</v>
      </c>
      <c r="U80" s="417">
        <f ca="1"/>
        <v>2.85823286660788E-2</v>
      </c>
      <c r="V80" s="417">
        <f ca="1"/>
        <v>4.4174320476763999E-2</v>
      </c>
      <c r="W80" s="418">
        <f ca="1"/>
        <v>6.4703493698591904E-3</v>
      </c>
      <c r="X80" s="419">
        <f ca="1"/>
        <v>4.4174320476764004</v>
      </c>
      <c r="Y80" s="420">
        <f t="shared" ref="Y80:Y143" ca="1" si="5">IF($U$12,IF(T80="","",$U$13*D104/$C$18),"")</f>
        <v>7.8067976152695159E-2</v>
      </c>
      <c r="Z80" s="421">
        <f t="shared" ref="Z80:Z143" ca="1" si="6">IF($U$12,IF(Y80="","",Y80*($Z$10-W80)*X80),"")</f>
        <v>-2.2313645526919339E-3</v>
      </c>
      <c r="AA80" s="420">
        <f t="shared" ref="AA80:AA143" ca="1" si="7">IF($U$12,IF(OR(T80="",L80=""),"",L80/($C$20-$C$19)),"")</f>
        <v>7.7951305904856341E-2</v>
      </c>
      <c r="AB80" s="422">
        <f t="shared" ref="AB80:AB143" ca="1" si="8">IF($U$12,IF(W80="","",W80*$AC$10),"")</f>
        <v>6.146831901366231E-3</v>
      </c>
      <c r="AC80" s="421">
        <f t="shared" ref="AC80:AC143" ca="1" si="9">IF($U$12,IF(AA80="","",AA80*(AB80-W80)*X80),"")</f>
        <v>-1.1140149226613257E-4</v>
      </c>
      <c r="AD80" s="221"/>
      <c r="AE80" s="221"/>
    </row>
    <row r="81" spans="1:31" customFormat="1" ht="15">
      <c r="A81" s="221"/>
      <c r="B81" s="270">
        <v>43</v>
      </c>
      <c r="C81" s="68" t="s">
        <v>565</v>
      </c>
      <c r="D81" s="249">
        <v>1</v>
      </c>
      <c r="E81" s="241"/>
      <c r="F81" s="226">
        <v>0.4</v>
      </c>
      <c r="G81" s="429">
        <v>100</v>
      </c>
      <c r="H81" s="380">
        <v>67</v>
      </c>
      <c r="I81" s="407">
        <f ca="1"/>
        <v>9.0863793728623802E-5</v>
      </c>
      <c r="J81" s="407">
        <f ca="1"/>
        <v>4.6938831500639499E-4</v>
      </c>
      <c r="K81" s="407">
        <f ca="1"/>
        <v>0.19357915573033799</v>
      </c>
      <c r="L81" s="407">
        <f ca="1"/>
        <v>0.19357915573033799</v>
      </c>
      <c r="M81" s="407">
        <f ca="1"/>
        <v>-1.59639614324458E-4</v>
      </c>
      <c r="N81" s="446" t="str">
        <f ca="1"/>
        <v>ENGIE</v>
      </c>
      <c r="O81" s="407"/>
      <c r="P81" s="407"/>
      <c r="Q81" s="407"/>
      <c r="R81" s="446"/>
      <c r="S81" s="437"/>
      <c r="T81" s="416" cm="1">
        <f t="array" aca="1" ref="T81:X81" ca="1">IF(AND($U$12,B105&lt;=$C$17,C105&lt;&gt;""),TRANSPOSE(INDEX(getcds(C105,$C$6,G105/10000,F105,D105,$C$13,$C$14,$C$15,$C$8,,,TRUE,TRUE,FALSE,$C$29:$C$31,$C$33),{1;2;3;4;5})),"")</f>
        <v>-2.3656067282331002E-2</v>
      </c>
      <c r="U81" s="417">
        <f ca="1"/>
        <v>2.0695722754976598E-2</v>
      </c>
      <c r="V81" s="417">
        <f ca="1"/>
        <v>4.4351790037307597E-2</v>
      </c>
      <c r="W81" s="418">
        <f ca="1"/>
        <v>4.6662654962895296E-3</v>
      </c>
      <c r="X81" s="419">
        <f ca="1"/>
        <v>4.4351790037307603</v>
      </c>
      <c r="Y81" s="420">
        <f t="shared" ca="1" si="5"/>
        <v>7.8067976152695159E-2</v>
      </c>
      <c r="Z81" s="421">
        <f t="shared" ca="1" si="6"/>
        <v>-1.6156731904983053E-3</v>
      </c>
      <c r="AA81" s="420">
        <f t="shared" ca="1" si="7"/>
        <v>6.4526385243445991E-2</v>
      </c>
      <c r="AB81" s="422">
        <f t="shared" ca="1" si="8"/>
        <v>4.4329522214750531E-3</v>
      </c>
      <c r="AC81" s="421">
        <f t="shared" ca="1" si="9"/>
        <v>-6.6771008968958634E-5</v>
      </c>
      <c r="AD81" s="221"/>
      <c r="AE81" s="221"/>
    </row>
    <row r="82" spans="1:31" customFormat="1" ht="15">
      <c r="A82" s="221"/>
      <c r="B82" s="270">
        <v>44</v>
      </c>
      <c r="C82" s="68" t="s">
        <v>551</v>
      </c>
      <c r="D82" s="249">
        <v>1</v>
      </c>
      <c r="E82" s="241"/>
      <c r="F82" s="226">
        <v>0.4</v>
      </c>
      <c r="G82" s="429">
        <v>100</v>
      </c>
      <c r="H82" s="380">
        <v>68</v>
      </c>
      <c r="I82" s="407">
        <f ca="1"/>
        <v>1.02909991166555E-4</v>
      </c>
      <c r="J82" s="407">
        <f ca="1"/>
        <v>4.6378616949514399E-4</v>
      </c>
      <c r="K82" s="407">
        <f ca="1"/>
        <v>0.22189103068463201</v>
      </c>
      <c r="L82" s="407">
        <f ca="1"/>
        <v>0.22189103068463201</v>
      </c>
      <c r="M82" s="407">
        <f ca="1"/>
        <v>-2.1046041063785799E-4</v>
      </c>
      <c r="N82" s="446" t="str">
        <f ca="1"/>
        <v>ENI S.P.A.</v>
      </c>
      <c r="O82" s="407"/>
      <c r="P82" s="407"/>
      <c r="Q82" s="407"/>
      <c r="R82" s="446"/>
      <c r="S82" s="437"/>
      <c r="T82" s="416" cm="1">
        <f t="array" aca="1" ref="T82:X82" ca="1">IF(AND($U$12,B106&lt;=$C$17,C106&lt;&gt;""),TRANSPOSE(INDEX(getcds(C106,$C$6,G106/10000,F106,D106,$C$13,$C$14,$C$15,$C$8,,,TRUE,TRUE,FALSE,$C$29:$C$31,$C$33),{1;2;3;4;5})),"")</f>
        <v>-1.83361593061716E-2</v>
      </c>
      <c r="U82" s="417">
        <f ca="1"/>
        <v>2.5856029794183201E-2</v>
      </c>
      <c r="V82" s="417">
        <f ca="1"/>
        <v>4.4192189100354801E-2</v>
      </c>
      <c r="W82" s="418">
        <f ca="1"/>
        <v>5.85081443588763E-3</v>
      </c>
      <c r="X82" s="419">
        <f ca="1"/>
        <v>4.4192189100354797</v>
      </c>
      <c r="Y82" s="420">
        <f t="shared" ca="1" si="5"/>
        <v>7.8067976152695159E-2</v>
      </c>
      <c r="Z82" s="421">
        <f t="shared" ca="1" si="6"/>
        <v>-2.018527917375668E-3</v>
      </c>
      <c r="AA82" s="420">
        <f t="shared" ca="1" si="7"/>
        <v>7.3963676894877331E-2</v>
      </c>
      <c r="AB82" s="422">
        <f t="shared" ca="1" si="8"/>
        <v>5.5582737140932479E-3</v>
      </c>
      <c r="AC82" s="421">
        <f t="shared" ca="1" si="9"/>
        <v>-9.5620351674064513E-5</v>
      </c>
      <c r="AD82" s="221"/>
      <c r="AE82" s="221"/>
    </row>
    <row r="83" spans="1:31" customFormat="1" ht="15">
      <c r="A83" s="221"/>
      <c r="B83" s="270">
        <v>45</v>
      </c>
      <c r="C83" s="68" t="s">
        <v>629</v>
      </c>
      <c r="D83" s="249">
        <v>1</v>
      </c>
      <c r="E83" s="241"/>
      <c r="F83" s="226">
        <v>0.4</v>
      </c>
      <c r="G83" s="429">
        <v>100</v>
      </c>
      <c r="H83" s="380">
        <v>69</v>
      </c>
      <c r="I83" s="407">
        <f ca="1"/>
        <v>6.9634241961491497E-5</v>
      </c>
      <c r="J83" s="407">
        <f ca="1"/>
        <v>4.7705199383695998E-4</v>
      </c>
      <c r="K83" s="407">
        <f ca="1"/>
        <v>0.14596782501927899</v>
      </c>
      <c r="L83" s="407">
        <f ca="1"/>
        <v>0.14596782501927899</v>
      </c>
      <c r="M83" s="407">
        <f ca="1"/>
        <v>-8.7438905991077406E-5</v>
      </c>
      <c r="N83" s="446" t="str">
        <f ca="1"/>
        <v>EQUINOR ASA</v>
      </c>
      <c r="O83" s="407"/>
      <c r="P83" s="407"/>
      <c r="Q83" s="407"/>
      <c r="R83" s="446"/>
      <c r="S83" s="437"/>
      <c r="T83" s="416" cm="1">
        <f t="array" aca="1" ref="T83:X83" ca="1">IF(AND($U$12,B107&lt;=$C$17,C107&lt;&gt;""),TRANSPOSE(INDEX(getcds(C107,$C$6,G107/10000,F107,D107,$C$13,$C$14,$C$15,$C$8,,,TRUE,TRUE,FALSE,$C$29:$C$31,$C$33),{1;2;3;4;5})),"")</f>
        <v>-3.1724192514111599E-2</v>
      </c>
      <c r="U83" s="417">
        <f ca="1"/>
        <v>1.2836282854285499E-2</v>
      </c>
      <c r="V83" s="417">
        <f ca="1"/>
        <v>4.45604753683971E-2</v>
      </c>
      <c r="W83" s="418">
        <f ca="1"/>
        <v>2.8806431592489599E-3</v>
      </c>
      <c r="X83" s="419">
        <f ca="1"/>
        <v>4.4560475368397103</v>
      </c>
      <c r="Y83" s="420">
        <f t="shared" ca="1" si="5"/>
        <v>7.8067976152695159E-2</v>
      </c>
      <c r="Z83" s="421">
        <f t="shared" ca="1" si="6"/>
        <v>-1.0021026237576093E-3</v>
      </c>
      <c r="AA83" s="420">
        <f t="shared" ca="1" si="7"/>
        <v>4.8655941673092999E-2</v>
      </c>
      <c r="AB83" s="422">
        <f t="shared" ca="1" si="8"/>
        <v>2.736611001286512E-3</v>
      </c>
      <c r="AC83" s="421">
        <f t="shared" ca="1" si="9"/>
        <v>-3.1228071492871905E-5</v>
      </c>
      <c r="AD83" s="221"/>
      <c r="AE83" s="221"/>
    </row>
    <row r="84" spans="1:31" customFormat="1" ht="15">
      <c r="A84" s="221"/>
      <c r="B84" s="270">
        <v>46</v>
      </c>
      <c r="C84" s="68" t="s">
        <v>566</v>
      </c>
      <c r="D84" s="249">
        <v>1</v>
      </c>
      <c r="E84" s="241"/>
      <c r="F84" s="226">
        <v>0.4</v>
      </c>
      <c r="G84" s="429">
        <v>100</v>
      </c>
      <c r="H84" s="380">
        <v>70</v>
      </c>
      <c r="I84" s="407">
        <f ca="1"/>
        <v>9.1807069854077394E-5</v>
      </c>
      <c r="J84" s="407">
        <f ca="1"/>
        <v>4.6879317618784601E-4</v>
      </c>
      <c r="K84" s="407">
        <f ca="1"/>
        <v>0.19583704396177101</v>
      </c>
      <c r="L84" s="407">
        <f ca="1"/>
        <v>0.19583704396177101</v>
      </c>
      <c r="M84" s="407">
        <f ca="1"/>
        <v>-1.6393678153636701E-4</v>
      </c>
      <c r="N84" s="446" t="str">
        <f ca="1"/>
        <v>FORTUM OYJ</v>
      </c>
      <c r="O84" s="407"/>
      <c r="P84" s="407"/>
      <c r="Q84" s="407"/>
      <c r="R84" s="446"/>
      <c r="S84" s="437"/>
      <c r="T84" s="416" cm="1">
        <f t="array" aca="1" ref="T84:X84" ca="1">IF(AND($U$12,B108&lt;=$C$17,C108&lt;&gt;""),TRANSPOSE(INDEX(getcds(C108,$C$6,G108/10000,F108,D108,$C$13,$C$14,$C$15,$C$8,,,TRUE,TRUE,FALSE,$C$29:$C$31,$C$33),{1;2;3;4;5})),"")</f>
        <v>-2.3112220634666999E-2</v>
      </c>
      <c r="U84" s="417">
        <f ca="1"/>
        <v>2.1243914189713199E-2</v>
      </c>
      <c r="V84" s="417">
        <f ca="1"/>
        <v>4.4356134824380201E-2</v>
      </c>
      <c r="W84" s="418">
        <f ca="1"/>
        <v>4.7893970639742399E-3</v>
      </c>
      <c r="X84" s="419">
        <f ca="1"/>
        <v>4.4356134824380202</v>
      </c>
      <c r="Y84" s="420">
        <f t="shared" ca="1" si="5"/>
        <v>7.8067976152695159E-2</v>
      </c>
      <c r="Z84" s="421">
        <f t="shared" ca="1" si="6"/>
        <v>-1.6584693863524332E-3</v>
      </c>
      <c r="AA84" s="420">
        <f t="shared" ca="1" si="7"/>
        <v>6.5279014653923675E-2</v>
      </c>
      <c r="AB84" s="422">
        <f t="shared" ca="1" si="8"/>
        <v>4.5499272107755277E-3</v>
      </c>
      <c r="AC84" s="421">
        <f t="shared" ca="1" si="9"/>
        <v>-6.9339089284849338E-5</v>
      </c>
      <c r="AD84" s="221"/>
      <c r="AE84" s="221"/>
    </row>
    <row r="85" spans="1:31" customFormat="1" ht="15">
      <c r="A85" s="221"/>
      <c r="B85" s="270">
        <v>47</v>
      </c>
      <c r="C85" s="68" t="s">
        <v>552</v>
      </c>
      <c r="D85" s="249">
        <v>1</v>
      </c>
      <c r="E85" s="241"/>
      <c r="F85" s="226">
        <v>0.4</v>
      </c>
      <c r="G85" s="429">
        <v>100</v>
      </c>
      <c r="H85" s="380">
        <v>71</v>
      </c>
      <c r="I85" s="407">
        <f ca="1"/>
        <v>8.41774582564181E-5</v>
      </c>
      <c r="J85" s="407">
        <f ca="1"/>
        <v>4.72050520740446E-4</v>
      </c>
      <c r="K85" s="407">
        <f ca="1"/>
        <v>0.17832298569309801</v>
      </c>
      <c r="L85" s="407">
        <f ca="1"/>
        <v>0.17832298569309801</v>
      </c>
      <c r="M85" s="407">
        <f ca="1"/>
        <v>-1.3469991127108599E-4</v>
      </c>
      <c r="N85" s="446" t="str">
        <f ca="1"/>
        <v>IBERDROLA, S.A.</v>
      </c>
      <c r="O85" s="407"/>
      <c r="P85" s="407"/>
      <c r="Q85" s="407"/>
      <c r="R85" s="446"/>
      <c r="S85" s="437"/>
      <c r="T85" s="416" cm="1">
        <f t="array" aca="1" ref="T85:X85" ca="1">IF(AND($U$12,B109&lt;=$C$17,C109&lt;&gt;""),TRANSPOSE(INDEX(getcds(C109,$C$6,G109/10000,F109,D109,$C$13,$C$14,$C$15,$C$8,,,TRUE,TRUE,FALSE,$C$29:$C$31,$C$33),{1;2;3;4;5})),"")</f>
        <v>-2.6323453030814601E-2</v>
      </c>
      <c r="U85" s="417">
        <f ca="1"/>
        <v>1.8107014215206298E-2</v>
      </c>
      <c r="V85" s="417">
        <f ca="1"/>
        <v>4.4430467246020899E-2</v>
      </c>
      <c r="W85" s="418">
        <f ca="1"/>
        <v>4.0753598459687401E-3</v>
      </c>
      <c r="X85" s="419">
        <f ca="1"/>
        <v>4.4430467246020902</v>
      </c>
      <c r="Y85" s="420">
        <f t="shared" ca="1" si="5"/>
        <v>7.8067976152695159E-2</v>
      </c>
      <c r="Z85" s="421">
        <f t="shared" ca="1" si="6"/>
        <v>-1.4135779539492367E-3</v>
      </c>
      <c r="AA85" s="420">
        <f t="shared" ca="1" si="7"/>
        <v>5.9440995231032669E-2</v>
      </c>
      <c r="AB85" s="422">
        <f t="shared" ca="1" si="8"/>
        <v>3.871591853670303E-3</v>
      </c>
      <c r="AC85" s="421">
        <f t="shared" ca="1" si="9"/>
        <v>-5.3814947280715915E-5</v>
      </c>
      <c r="AD85" s="221"/>
      <c r="AE85" s="221"/>
    </row>
    <row r="86" spans="1:31" customFormat="1" ht="15">
      <c r="A86" s="221"/>
      <c r="B86" s="270">
        <v>48</v>
      </c>
      <c r="C86" s="68" t="s">
        <v>567</v>
      </c>
      <c r="D86" s="249">
        <v>1</v>
      </c>
      <c r="E86" s="241"/>
      <c r="F86" s="226">
        <v>0.4</v>
      </c>
      <c r="G86" s="429">
        <v>100</v>
      </c>
      <c r="H86" s="380">
        <v>72</v>
      </c>
      <c r="I86" s="407">
        <f ca="1"/>
        <v>1.05192198317861E-4</v>
      </c>
      <c r="J86" s="407">
        <f ca="1"/>
        <v>4.6276986464259897E-4</v>
      </c>
      <c r="K86" s="407">
        <f ca="1"/>
        <v>0.227309957615978</v>
      </c>
      <c r="L86" s="407">
        <f ca="1"/>
        <v>0.227309957615978</v>
      </c>
      <c r="M86" s="407">
        <f ca="1"/>
        <v>-2.2060888741672901E-4</v>
      </c>
      <c r="N86" s="446" t="str">
        <f ca="1"/>
        <v>NATIONAL GRID PLC</v>
      </c>
      <c r="O86" s="407"/>
      <c r="P86" s="407"/>
      <c r="Q86" s="407"/>
      <c r="R86" s="446"/>
      <c r="S86" s="437"/>
      <c r="T86" s="416" cm="1">
        <f t="array" aca="1" ref="T86:X86" ca="1">IF(AND($U$12,B110&lt;=$C$17,C110&lt;&gt;""),TRANSPOSE(INDEX(getcds(C110,$C$6,G110/10000,F110,D110,$C$13,$C$14,$C$15,$C$8,,,TRUE,TRUE,FALSE,$C$29:$C$31,$C$33),{1;2;3;4;5})),"")</f>
        <v>-1.7340653682780999E-2</v>
      </c>
      <c r="U86" s="417">
        <f ca="1"/>
        <v>2.6806242573208999E-2</v>
      </c>
      <c r="V86" s="417">
        <f ca="1"/>
        <v>4.4146896255989998E-2</v>
      </c>
      <c r="W86" s="418">
        <f ca="1"/>
        <v>6.07205598730439E-3</v>
      </c>
      <c r="X86" s="419">
        <f ca="1"/>
        <v>4.4146896255990002</v>
      </c>
      <c r="Y86" s="420">
        <f t="shared" ca="1" si="5"/>
        <v>7.8067976152695159E-2</v>
      </c>
      <c r="Z86" s="421">
        <f t="shared" ca="1" si="6"/>
        <v>-2.0927091059486408E-3</v>
      </c>
      <c r="AA86" s="420">
        <f t="shared" ca="1" si="7"/>
        <v>7.5769985871992671E-2</v>
      </c>
      <c r="AB86" s="422">
        <f t="shared" ca="1" si="8"/>
        <v>5.7684531879391701E-3</v>
      </c>
      <c r="AC86" s="421">
        <f t="shared" ca="1" si="9"/>
        <v>-1.0155543105266279E-4</v>
      </c>
      <c r="AD86" s="221"/>
      <c r="AE86" s="221"/>
    </row>
    <row r="87" spans="1:31" customFormat="1" ht="15">
      <c r="A87" s="221"/>
      <c r="B87" s="270">
        <v>49</v>
      </c>
      <c r="C87" s="68" t="s">
        <v>553</v>
      </c>
      <c r="D87" s="249">
        <v>1</v>
      </c>
      <c r="E87" s="241"/>
      <c r="F87" s="226">
        <v>0.4</v>
      </c>
      <c r="G87" s="429">
        <v>100</v>
      </c>
      <c r="H87" s="380">
        <v>73</v>
      </c>
      <c r="I87" s="407">
        <f ca="1"/>
        <v>9.3923981446874998E-5</v>
      </c>
      <c r="J87" s="407">
        <f ca="1"/>
        <v>4.6821051260066801E-4</v>
      </c>
      <c r="K87" s="407">
        <f ca="1"/>
        <v>0.200602034595882</v>
      </c>
      <c r="L87" s="407">
        <f ca="1"/>
        <v>0.200602034595882</v>
      </c>
      <c r="M87" s="407">
        <f ca="1"/>
        <v>-1.71425272368286E-4</v>
      </c>
      <c r="N87" s="446" t="str">
        <f ca="1"/>
        <v>NATURGY ENERGY GROUP, S.A.</v>
      </c>
      <c r="O87" s="407"/>
      <c r="P87" s="407"/>
      <c r="Q87" s="407"/>
      <c r="R87" s="446"/>
      <c r="S87" s="437"/>
      <c r="T87" s="416" cm="1">
        <f t="array" aca="1" ref="T87:X87" ca="1">IF(AND($U$12,B111&lt;=$C$17,C111&lt;&gt;""),TRANSPOSE(INDEX(getcds(C111,$C$6,G111/10000,F111,D111,$C$13,$C$14,$C$15,$C$8,,,TRUE,TRUE,FALSE,$C$29:$C$31,$C$33),{1;2;3;4;5})),"")</f>
        <v>-2.2477375949704101E-2</v>
      </c>
      <c r="U87" s="417">
        <f ca="1"/>
        <v>2.18236434194461E-2</v>
      </c>
      <c r="V87" s="417">
        <f ca="1"/>
        <v>4.43010193691502E-2</v>
      </c>
      <c r="W87" s="418">
        <f ca="1"/>
        <v>4.92621698782926E-3</v>
      </c>
      <c r="X87" s="419">
        <f ca="1"/>
        <v>4.4301019369150199</v>
      </c>
      <c r="Y87" s="420">
        <f t="shared" ca="1" si="5"/>
        <v>7.8067976152695159E-2</v>
      </c>
      <c r="Z87" s="421">
        <f t="shared" ca="1" si="6"/>
        <v>-1.7037276740342392E-3</v>
      </c>
      <c r="AA87" s="420">
        <f t="shared" ca="1" si="7"/>
        <v>6.6867344865293998E-2</v>
      </c>
      <c r="AB87" s="422">
        <f t="shared" ca="1" si="8"/>
        <v>4.679906138437797E-3</v>
      </c>
      <c r="AC87" s="421">
        <f t="shared" ca="1" si="9"/>
        <v>-7.2964454537265236E-5</v>
      </c>
      <c r="AD87" s="221"/>
      <c r="AE87" s="221"/>
    </row>
    <row r="88" spans="1:31" customFormat="1" ht="15">
      <c r="A88" s="221"/>
      <c r="B88" s="270">
        <v>50</v>
      </c>
      <c r="C88" s="68" t="s">
        <v>554</v>
      </c>
      <c r="D88" s="249">
        <v>1</v>
      </c>
      <c r="E88" s="241"/>
      <c r="F88" s="226">
        <v>0.4</v>
      </c>
      <c r="G88" s="429">
        <v>100</v>
      </c>
      <c r="H88" s="380">
        <v>74</v>
      </c>
      <c r="I88" s="407">
        <f ca="1"/>
        <v>1.07674035449934E-4</v>
      </c>
      <c r="J88" s="407">
        <f ca="1"/>
        <v>4.6152906607826397E-4</v>
      </c>
      <c r="K88" s="407">
        <f ca="1"/>
        <v>0.233298492692712</v>
      </c>
      <c r="L88" s="407">
        <f ca="1"/>
        <v>0.233298492692712</v>
      </c>
      <c r="M88" s="407">
        <f ca="1"/>
        <v>-2.3218613296096499E-4</v>
      </c>
      <c r="N88" s="446" t="str">
        <f ca="1"/>
        <v>REPSOL, S.A.</v>
      </c>
      <c r="O88" s="407"/>
      <c r="P88" s="407"/>
      <c r="Q88" s="407"/>
      <c r="R88" s="446"/>
      <c r="S88" s="437"/>
      <c r="T88" s="416" cm="1">
        <f t="array" aca="1" ref="T88:X88" ca="1">IF(AND($U$12,B112&lt;=$C$17,C112&lt;&gt;""),TRANSPOSE(INDEX(getcds(C112,$C$6,G112/10000,F112,D112,$C$13,$C$14,$C$15,$C$8,,,TRUE,TRUE,FALSE,$C$29:$C$31,$C$33),{1;2;3;4;5})),"")</f>
        <v>-1.6172868422390799E-2</v>
      </c>
      <c r="U88" s="417">
        <f ca="1"/>
        <v>2.7929838569601802E-2</v>
      </c>
      <c r="V88" s="417">
        <f ca="1"/>
        <v>4.4102706991992598E-2</v>
      </c>
      <c r="W88" s="418">
        <f ca="1"/>
        <v>6.3329079946663602E-3</v>
      </c>
      <c r="X88" s="419">
        <f ca="1"/>
        <v>4.41027069919926</v>
      </c>
      <c r="Y88" s="420">
        <f t="shared" ca="1" si="5"/>
        <v>7.8067976152695159E-2</v>
      </c>
      <c r="Z88" s="421">
        <f t="shared" ca="1" si="6"/>
        <v>-2.180425971400298E-3</v>
      </c>
      <c r="AA88" s="420">
        <f t="shared" ca="1" si="7"/>
        <v>7.7766164230904003E-2</v>
      </c>
      <c r="AB88" s="422">
        <f t="shared" ca="1" si="8"/>
        <v>6.0162625949330417E-3</v>
      </c>
      <c r="AC88" s="421">
        <f t="shared" ca="1" si="9"/>
        <v>-1.0859982065731464E-4</v>
      </c>
      <c r="AD88" s="221"/>
      <c r="AE88" s="221"/>
    </row>
    <row r="89" spans="1:31" customFormat="1" ht="15">
      <c r="A89" s="221"/>
      <c r="B89" s="270">
        <v>51</v>
      </c>
      <c r="C89" s="68" t="s">
        <v>555</v>
      </c>
      <c r="D89" s="249">
        <v>1</v>
      </c>
      <c r="E89" s="241"/>
      <c r="F89" s="226">
        <v>0.4</v>
      </c>
      <c r="G89" s="429">
        <v>100</v>
      </c>
      <c r="H89" s="380">
        <v>75</v>
      </c>
      <c r="I89" s="407">
        <f ca="1"/>
        <v>7.47304397310744E-5</v>
      </c>
      <c r="J89" s="407">
        <f ca="1"/>
        <v>4.75436169359179E-4</v>
      </c>
      <c r="K89" s="407">
        <f ca="1"/>
        <v>0.15718290813212701</v>
      </c>
      <c r="L89" s="407">
        <f ca="1"/>
        <v>0.15718290813212701</v>
      </c>
      <c r="M89" s="407">
        <f ca="1"/>
        <v>-1.02857460174177E-4</v>
      </c>
      <c r="N89" s="446" t="str">
        <f ca="1"/>
        <v>SHELL PLC</v>
      </c>
      <c r="O89" s="407"/>
      <c r="P89" s="407"/>
      <c r="Q89" s="407"/>
      <c r="R89" s="446"/>
      <c r="S89" s="437"/>
      <c r="T89" s="416" cm="1">
        <f t="array" aca="1" ref="T89:X89" ca="1">IF(AND($U$12,B113&lt;=$C$17,C113&lt;&gt;""),TRANSPOSE(INDEX(getcds(C113,$C$6,G113/10000,F113,D113,$C$13,$C$14,$C$15,$C$8,,,TRUE,TRUE,FALSE,$C$29:$C$31,$C$33),{1;2;3;4;5})),"")</f>
        <v>-2.99046702741371E-2</v>
      </c>
      <c r="U89" s="417">
        <f ca="1"/>
        <v>1.4614701172704201E-2</v>
      </c>
      <c r="V89" s="417">
        <f ca="1"/>
        <v>4.4519371446841302E-2</v>
      </c>
      <c r="W89" s="418">
        <f ca="1"/>
        <v>3.2827734753971098E-3</v>
      </c>
      <c r="X89" s="419">
        <f ca="1"/>
        <v>4.4519371446841296</v>
      </c>
      <c r="Y89" s="420">
        <f t="shared" ca="1" si="5"/>
        <v>7.8067976152695159E-2</v>
      </c>
      <c r="Z89" s="421">
        <f t="shared" ca="1" si="6"/>
        <v>-1.140940142629438E-3</v>
      </c>
      <c r="AA89" s="420">
        <f t="shared" ca="1" si="7"/>
        <v>5.2394302710709002E-2</v>
      </c>
      <c r="AB89" s="422">
        <f t="shared" ca="1" si="8"/>
        <v>3.1186348016272541E-3</v>
      </c>
      <c r="AC89" s="421">
        <f t="shared" ca="1" si="9"/>
        <v>-3.8286353863460959E-5</v>
      </c>
      <c r="AD89" s="221"/>
      <c r="AE89" s="221"/>
    </row>
    <row r="90" spans="1:31" customFormat="1" ht="15">
      <c r="A90" s="221"/>
      <c r="B90" s="270">
        <v>52</v>
      </c>
      <c r="C90" s="68" t="s">
        <v>556</v>
      </c>
      <c r="D90" s="249">
        <v>1</v>
      </c>
      <c r="E90" s="241"/>
      <c r="F90" s="226">
        <v>0.4</v>
      </c>
      <c r="G90" s="429">
        <v>100</v>
      </c>
      <c r="H90" s="380">
        <v>76</v>
      </c>
      <c r="I90" s="407">
        <f ca="1"/>
        <v>7.2232067089417201E-5</v>
      </c>
      <c r="J90" s="407">
        <f ca="1"/>
        <v>4.76185420397418E-4</v>
      </c>
      <c r="K90" s="407">
        <f ca="1"/>
        <v>0.151688951394466</v>
      </c>
      <c r="L90" s="407">
        <f ca="1"/>
        <v>0.151688951394466</v>
      </c>
      <c r="M90" s="407">
        <f ca="1"/>
        <v>-9.5493036757465793E-5</v>
      </c>
      <c r="N90" s="446" t="str">
        <f ca="1"/>
        <v>TOTALENERGIES SE</v>
      </c>
      <c r="O90" s="407"/>
      <c r="P90" s="407"/>
      <c r="Q90" s="407"/>
      <c r="R90" s="446"/>
      <c r="S90" s="437"/>
      <c r="T90" s="416" cm="1">
        <f t="array" aca="1" ref="T90:X90" ca="1">IF(AND($U$12,B114&lt;=$C$17,C114&lt;&gt;""),TRANSPOSE(INDEX(getcds(C114,$C$6,G114/10000,F114,D114,$C$13,$C$14,$C$15,$C$8,,,TRUE,TRUE,FALSE,$C$29:$C$31,$C$33),{1;2;3;4;5})),"")</f>
        <v>-3.0697594188480701E-2</v>
      </c>
      <c r="U90" s="417">
        <f ca="1"/>
        <v>1.385222780209E-2</v>
      </c>
      <c r="V90" s="417">
        <f ca="1"/>
        <v>4.4549821990570698E-2</v>
      </c>
      <c r="W90" s="418">
        <f ca="1"/>
        <v>3.1093789342237798E-3</v>
      </c>
      <c r="X90" s="419">
        <f ca="1"/>
        <v>4.4549821990570697</v>
      </c>
      <c r="Y90" s="420">
        <f t="shared" ca="1" si="5"/>
        <v>7.8067976152695159E-2</v>
      </c>
      <c r="Z90" s="421">
        <f t="shared" ca="1" si="6"/>
        <v>-1.0814153897152616E-3</v>
      </c>
      <c r="AA90" s="420">
        <f t="shared" ca="1" si="7"/>
        <v>5.0562983798155332E-2</v>
      </c>
      <c r="AB90" s="422">
        <f t="shared" ca="1" si="8"/>
        <v>2.9539099875125906E-3</v>
      </c>
      <c r="AC90" s="421">
        <f t="shared" ca="1" si="9"/>
        <v>-3.5020498496271687E-5</v>
      </c>
      <c r="AD90" s="221"/>
      <c r="AE90" s="221"/>
    </row>
    <row r="91" spans="1:31" customFormat="1" ht="15">
      <c r="A91" s="221"/>
      <c r="B91" s="270">
        <v>53</v>
      </c>
      <c r="C91" s="68" t="s">
        <v>557</v>
      </c>
      <c r="D91" s="249">
        <v>1</v>
      </c>
      <c r="E91" s="241"/>
      <c r="F91" s="226">
        <v>0.4</v>
      </c>
      <c r="G91" s="429">
        <v>100</v>
      </c>
      <c r="H91" s="380">
        <v>77</v>
      </c>
      <c r="I91" s="407">
        <f ca="1"/>
        <v>8.8586349465802306E-5</v>
      </c>
      <c r="J91" s="407">
        <f ca="1"/>
        <v>4.7027525735409499E-4</v>
      </c>
      <c r="K91" s="407">
        <f ca="1"/>
        <v>0.18837127422823599</v>
      </c>
      <c r="L91" s="407">
        <f ca="1"/>
        <v>0.18837127422823599</v>
      </c>
      <c r="M91" s="407">
        <f ca="1"/>
        <v>-1.5106333648917599E-4</v>
      </c>
      <c r="N91" s="446" t="str">
        <f ca="1"/>
        <v>VEOLIA ENVIRONNEMENT</v>
      </c>
      <c r="O91" s="407"/>
      <c r="P91" s="407"/>
      <c r="Q91" s="407"/>
      <c r="R91" s="446"/>
      <c r="S91" s="437"/>
      <c r="T91" s="416" cm="1">
        <f t="array" aca="1" ref="T91:X91" ca="1">IF(AND($U$12,B115&lt;=$C$17,C115&lt;&gt;""),TRANSPOSE(INDEX(getcds(C115,$C$6,G115/10000,F115,D115,$C$13,$C$14,$C$15,$C$8,,,TRUE,TRUE,FALSE,$C$29:$C$31,$C$33),{1;2;3;4;5})),"")</f>
        <v>-2.4539832660266801E-2</v>
      </c>
      <c r="U91" s="417">
        <f ca="1"/>
        <v>1.9844334392265801E-2</v>
      </c>
      <c r="V91" s="417">
        <f ca="1"/>
        <v>4.4384167052532598E-2</v>
      </c>
      <c r="W91" s="418">
        <f ca="1"/>
        <v>4.47103904614866E-3</v>
      </c>
      <c r="X91" s="419">
        <f ca="1"/>
        <v>4.4384167052532604</v>
      </c>
      <c r="Y91" s="420">
        <f t="shared" ca="1" si="5"/>
        <v>7.8067976152695159E-2</v>
      </c>
      <c r="Z91" s="421">
        <f t="shared" ca="1" si="6"/>
        <v>-1.5492070241015161E-3</v>
      </c>
      <c r="AA91" s="420">
        <f t="shared" ca="1" si="7"/>
        <v>6.2790424742745335E-2</v>
      </c>
      <c r="AB91" s="422">
        <f t="shared" ca="1" si="8"/>
        <v>4.2474870938412268E-3</v>
      </c>
      <c r="AC91" s="421">
        <f t="shared" ca="1" si="9"/>
        <v>-6.2301709261372045E-5</v>
      </c>
      <c r="AD91" s="221"/>
      <c r="AE91" s="221"/>
    </row>
    <row r="92" spans="1:31" customFormat="1" ht="15">
      <c r="A92" s="221"/>
      <c r="B92" s="270">
        <v>54</v>
      </c>
      <c r="C92" s="68" t="s">
        <v>558</v>
      </c>
      <c r="D92" s="249">
        <v>1</v>
      </c>
      <c r="E92" s="241"/>
      <c r="F92" s="226">
        <v>0.4</v>
      </c>
      <c r="G92" s="429">
        <v>100</v>
      </c>
      <c r="H92" s="380">
        <v>78</v>
      </c>
      <c r="I92" s="407">
        <f ca="1"/>
        <v>7.7522681486019696E-5</v>
      </c>
      <c r="J92" s="407">
        <f ca="1"/>
        <v>4.7456577360877901E-4</v>
      </c>
      <c r="K92" s="407">
        <f ca="1"/>
        <v>0.16335497795491599</v>
      </c>
      <c r="L92" s="407">
        <f ca="1"/>
        <v>0.16335497795491599</v>
      </c>
      <c r="M92" s="407">
        <f ca="1"/>
        <v>-1.11460318317791E-4</v>
      </c>
      <c r="N92" s="446" t="str">
        <f ca="1"/>
        <v>BERTELSMANN SE &amp; CO. KGAA</v>
      </c>
      <c r="O92" s="407"/>
      <c r="P92" s="407"/>
      <c r="Q92" s="407"/>
      <c r="R92" s="446"/>
      <c r="S92" s="437"/>
      <c r="T92" s="416" cm="1">
        <f t="array" aca="1" ref="T92:X92" ca="1">IF(AND($U$12,B116&lt;=$C$17,C116&lt;&gt;""),TRANSPOSE(INDEX(getcds(C116,$C$6,G116/10000,F116,D116,$C$13,$C$14,$C$15,$C$8,,,TRUE,TRUE,FALSE,$C$29:$C$31,$C$33),{1;2;3;4;5})),"")</f>
        <v>-2.8988643637412801E-2</v>
      </c>
      <c r="U92" s="417">
        <f ca="1"/>
        <v>1.5495079153681099E-2</v>
      </c>
      <c r="V92" s="417">
        <f ca="1"/>
        <v>4.4483722791093902E-2</v>
      </c>
      <c r="W92" s="418">
        <f ca="1"/>
        <v>3.4833143859046298E-3</v>
      </c>
      <c r="X92" s="419">
        <f ca="1"/>
        <v>4.4483722791093898</v>
      </c>
      <c r="Y92" s="420">
        <f t="shared" ca="1" si="5"/>
        <v>7.8067976152695159E-2</v>
      </c>
      <c r="Z92" s="421">
        <f t="shared" ca="1" si="6"/>
        <v>-1.2096694698537002E-3</v>
      </c>
      <c r="AA92" s="420">
        <f t="shared" ca="1" si="7"/>
        <v>5.4451659318305333E-2</v>
      </c>
      <c r="AB92" s="422">
        <f t="shared" ca="1" si="8"/>
        <v>3.3091486666093984E-3</v>
      </c>
      <c r="AC92" s="421">
        <f t="shared" ca="1" si="9"/>
        <v>-4.2186638559320904E-5</v>
      </c>
      <c r="AD92" s="221"/>
      <c r="AE92" s="221"/>
    </row>
    <row r="93" spans="1:31" customFormat="1" ht="15">
      <c r="A93" s="221"/>
      <c r="B93" s="270">
        <v>55</v>
      </c>
      <c r="C93" s="68" t="s">
        <v>559</v>
      </c>
      <c r="D93" s="249">
        <v>1</v>
      </c>
      <c r="E93" s="241"/>
      <c r="F93" s="226">
        <v>0.4</v>
      </c>
      <c r="G93" s="429">
        <v>100</v>
      </c>
      <c r="H93" s="380">
        <v>79</v>
      </c>
      <c r="I93" s="407">
        <f ca="1"/>
        <v>1.171621245045E-4</v>
      </c>
      <c r="J93" s="407">
        <f ca="1"/>
        <v>4.5330404239656198E-4</v>
      </c>
      <c r="K93" s="407">
        <f ca="1"/>
        <v>0.25846256275385998</v>
      </c>
      <c r="L93" s="407">
        <f ca="1"/>
        <v>0.25846256275385998</v>
      </c>
      <c r="M93" s="407">
        <f ca="1"/>
        <v>-2.8501998881675999E-4</v>
      </c>
      <c r="N93" s="446" t="str">
        <f ca="1"/>
        <v>BRITISH TELECOMMUNICATIONS PUBLIC LIMITED COMPANY</v>
      </c>
      <c r="O93" s="407"/>
      <c r="P93" s="407"/>
      <c r="Q93" s="407"/>
      <c r="R93" s="446"/>
      <c r="S93" s="437"/>
      <c r="T93" s="416" cm="1">
        <f t="array" aca="1" ref="T93:X93" ca="1">IF(AND($U$12,B117&lt;=$C$17,C117&lt;&gt;""),TRANSPOSE(INDEX(getcds(C117,$C$6,G117/10000,F117,D117,$C$13,$C$14,$C$15,$C$8,,,TRUE,TRUE,FALSE,$C$29:$C$31,$C$33),{1;2;3;4;5})),"")</f>
        <v>-1.0266202103366E-2</v>
      </c>
      <c r="U93" s="417">
        <f ca="1"/>
        <v>3.3786915037852298E-2</v>
      </c>
      <c r="V93" s="417">
        <f ca="1"/>
        <v>4.4053117141218297E-2</v>
      </c>
      <c r="W93" s="418">
        <f ca="1"/>
        <v>7.6695855436389902E-3</v>
      </c>
      <c r="X93" s="419">
        <f ca="1"/>
        <v>4.4053117141218303</v>
      </c>
      <c r="Y93" s="420">
        <f t="shared" ca="1" si="5"/>
        <v>7.8067976152695159E-2</v>
      </c>
      <c r="Z93" s="421">
        <f t="shared" ca="1" si="6"/>
        <v>-2.6376760774481896E-3</v>
      </c>
      <c r="AA93" s="420">
        <f t="shared" ca="1" si="7"/>
        <v>8.6154187584619998E-2</v>
      </c>
      <c r="AB93" s="422">
        <f t="shared" ca="1" si="8"/>
        <v>7.2861062664570401E-3</v>
      </c>
      <c r="AC93" s="421">
        <f t="shared" ca="1" si="9"/>
        <v>-1.4554421080383744E-4</v>
      </c>
      <c r="AD93" s="221"/>
      <c r="AE93" s="221"/>
    </row>
    <row r="94" spans="1:31" customFormat="1" ht="15">
      <c r="A94" s="221"/>
      <c r="B94" s="270">
        <v>56</v>
      </c>
      <c r="C94" s="68" t="s">
        <v>560</v>
      </c>
      <c r="D94" s="249">
        <v>1</v>
      </c>
      <c r="E94" s="241"/>
      <c r="F94" s="226">
        <v>0.4</v>
      </c>
      <c r="G94" s="429">
        <v>100</v>
      </c>
      <c r="H94" s="380">
        <v>80</v>
      </c>
      <c r="I94" s="407">
        <f ca="1"/>
        <v>7.6107949028569904E-5</v>
      </c>
      <c r="J94" s="407">
        <f ca="1"/>
        <v>4.7507226485866901E-4</v>
      </c>
      <c r="K94" s="407">
        <f ca="1"/>
        <v>0.16020288839890801</v>
      </c>
      <c r="L94" s="407">
        <f ca="1"/>
        <v>0.16020288839890801</v>
      </c>
      <c r="M94" s="407">
        <f ca="1"/>
        <v>-1.06736781369077E-4</v>
      </c>
      <c r="N94" s="446" t="str">
        <f ca="1"/>
        <v>DEUTSCHE TELEKOM AG</v>
      </c>
      <c r="O94" s="407"/>
      <c r="P94" s="407"/>
      <c r="Q94" s="407"/>
      <c r="R94" s="446"/>
      <c r="S94" s="437"/>
      <c r="T94" s="416" cm="1">
        <f t="array" aca="1" ref="T94:X94" ca="1">IF(AND($U$12,B118&lt;=$C$17,C118&lt;&gt;""),TRANSPOSE(INDEX(getcds(C118,$C$6,G118/10000,F118,D118,$C$13,$C$14,$C$15,$C$8,,,TRUE,TRUE,FALSE,$C$29:$C$31,$C$33),{1;2;3;4;5})),"")</f>
        <v>-2.9560590392325701E-2</v>
      </c>
      <c r="U94" s="417">
        <f ca="1"/>
        <v>1.4930975402608499E-2</v>
      </c>
      <c r="V94" s="417">
        <f ca="1"/>
        <v>4.4491565794934199E-2</v>
      </c>
      <c r="W94" s="418">
        <f ca="1"/>
        <v>3.3559114263199399E-3</v>
      </c>
      <c r="X94" s="419">
        <f ca="1"/>
        <v>4.4491565794934198</v>
      </c>
      <c r="Y94" s="420">
        <f t="shared" ca="1" si="5"/>
        <v>7.8067976152695159E-2</v>
      </c>
      <c r="Z94" s="421">
        <f t="shared" ca="1" si="6"/>
        <v>-1.1656310316673188E-3</v>
      </c>
      <c r="AA94" s="420">
        <f t="shared" ca="1" si="7"/>
        <v>5.3400962799636E-2</v>
      </c>
      <c r="AB94" s="422">
        <f t="shared" ca="1" si="8"/>
        <v>3.1881158550039427E-3</v>
      </c>
      <c r="AC94" s="421">
        <f t="shared" ca="1" si="9"/>
        <v>-3.9866423101848906E-5</v>
      </c>
      <c r="AD94" s="221"/>
      <c r="AE94" s="221"/>
    </row>
    <row r="95" spans="1:31" customFormat="1" ht="15">
      <c r="A95" s="221"/>
      <c r="B95" s="270">
        <v>57</v>
      </c>
      <c r="C95" s="68" t="s">
        <v>568</v>
      </c>
      <c r="D95" s="249">
        <v>1</v>
      </c>
      <c r="E95" s="241"/>
      <c r="F95" s="226">
        <v>0.4</v>
      </c>
      <c r="G95" s="429">
        <v>100</v>
      </c>
      <c r="H95" s="380">
        <v>81</v>
      </c>
      <c r="I95" s="407">
        <f ca="1"/>
        <v>1.40980795503132E-4</v>
      </c>
      <c r="J95" s="407">
        <f ca="1"/>
        <v>4.5436566599314098E-4</v>
      </c>
      <c r="K95" s="407">
        <f ca="1"/>
        <v>0.31028047683792198</v>
      </c>
      <c r="L95" s="407">
        <f ca="1"/>
        <v>0.31028047683792198</v>
      </c>
      <c r="M95" s="407">
        <f ca="1"/>
        <v>-4.0361757650320102E-4</v>
      </c>
      <c r="N95" s="446" t="str">
        <f ca="1"/>
        <v>ITV PLC</v>
      </c>
      <c r="O95" s="407"/>
      <c r="P95" s="407"/>
      <c r="Q95" s="407"/>
      <c r="R95" s="446"/>
      <c r="S95" s="437"/>
      <c r="T95" s="416" cm="1">
        <f t="array" aca="1" ref="T95:X95" ca="1">IF(AND($U$12,B119&lt;=$C$17,C119&lt;&gt;""),TRANSPOSE(INDEX(getcds(C119,$C$6,G119/10000,F119,D119,$C$13,$C$14,$C$15,$C$8,,,TRUE,TRUE,FALSE,$C$29:$C$31,$C$33),{1;2;3;4;5})),"")</f>
        <v>2.3434944334398099E-3</v>
      </c>
      <c r="U95" s="417">
        <f ca="1"/>
        <v>4.6093711947234203E-2</v>
      </c>
      <c r="V95" s="417">
        <f ca="1"/>
        <v>4.3750217513794397E-2</v>
      </c>
      <c r="W95" s="418">
        <f ca="1"/>
        <v>1.053565320737E-2</v>
      </c>
      <c r="X95" s="419">
        <f ca="1"/>
        <v>4.3750217513794398</v>
      </c>
      <c r="Y95" s="420">
        <f t="shared" ca="1" si="5"/>
        <v>7.8067976152695159E-2</v>
      </c>
      <c r="Z95" s="421">
        <f t="shared" ca="1" si="6"/>
        <v>-3.598442805085888E-3</v>
      </c>
      <c r="AA95" s="420">
        <f t="shared" ca="1" si="7"/>
        <v>0.10342682561264066</v>
      </c>
      <c r="AB95" s="422">
        <f t="shared" ca="1" si="8"/>
        <v>1.0008870547001499E-2</v>
      </c>
      <c r="AC95" s="421">
        <f t="shared" ca="1" si="9"/>
        <v>-2.3836631537029523E-4</v>
      </c>
      <c r="AD95" s="221"/>
      <c r="AE95" s="221"/>
    </row>
    <row r="96" spans="1:31" customFormat="1" ht="15">
      <c r="A96" s="221"/>
      <c r="B96" s="270">
        <v>58</v>
      </c>
      <c r="C96" s="68" t="s">
        <v>561</v>
      </c>
      <c r="D96" s="249">
        <v>1</v>
      </c>
      <c r="E96" s="241"/>
      <c r="F96" s="226">
        <v>0.4</v>
      </c>
      <c r="G96" s="429">
        <v>100</v>
      </c>
      <c r="H96" s="380">
        <v>82</v>
      </c>
      <c r="I96" s="407">
        <f ca="1"/>
        <v>9.24524556410011E-5</v>
      </c>
      <c r="J96" s="407">
        <f ca="1"/>
        <v>4.6863217113921898E-4</v>
      </c>
      <c r="K96" s="407">
        <f ca="1"/>
        <v>0.197281495669096</v>
      </c>
      <c r="L96" s="407">
        <f ca="1"/>
        <v>0.197281495669096</v>
      </c>
      <c r="M96" s="407">
        <f ca="1"/>
        <v>-1.6613895431403299E-4</v>
      </c>
      <c r="N96" s="446" t="str">
        <f ca="1"/>
        <v>KONINKLIJKE KPN N.V.</v>
      </c>
      <c r="O96" s="407"/>
      <c r="P96" s="407"/>
      <c r="Q96" s="407"/>
      <c r="R96" s="446"/>
      <c r="S96" s="437"/>
      <c r="T96" s="416" cm="1">
        <f t="array" aca="1" ref="T96:X96" ca="1">IF(AND($U$12,B120&lt;=$C$17,C120&lt;&gt;""),TRANSPOSE(INDEX(getcds(C120,$C$6,G120/10000,F120,D120,$C$13,$C$14,$C$15,$C$8,,,TRUE,TRUE,FALSE,$C$29:$C$31,$C$33),{1;2;3;4;5})),"")</f>
        <v>-2.2931840954321801E-2</v>
      </c>
      <c r="U96" s="417">
        <f ca="1"/>
        <v>2.1406976456084501E-2</v>
      </c>
      <c r="V96" s="417">
        <f ca="1"/>
        <v>4.4338817410406302E-2</v>
      </c>
      <c r="W96" s="418">
        <f ca="1"/>
        <v>4.8280440720686203E-3</v>
      </c>
      <c r="X96" s="419">
        <f ca="1"/>
        <v>4.4338817410406302</v>
      </c>
      <c r="Y96" s="420">
        <f t="shared" ca="1" si="5"/>
        <v>7.8067976152695159E-2</v>
      </c>
      <c r="Z96" s="421">
        <f t="shared" ca="1" si="6"/>
        <v>-1.6711993274749122E-3</v>
      </c>
      <c r="AA96" s="420">
        <f t="shared" ca="1" si="7"/>
        <v>6.5760498556365329E-2</v>
      </c>
      <c r="AB96" s="422">
        <f t="shared" ca="1" si="8"/>
        <v>4.5866418684651893E-3</v>
      </c>
      <c r="AC96" s="421">
        <f t="shared" ca="1" si="9"/>
        <v>-7.0386672216824563E-5</v>
      </c>
      <c r="AD96" s="221"/>
      <c r="AE96" s="221"/>
    </row>
    <row r="97" spans="1:31" customFormat="1" ht="15">
      <c r="A97" s="221"/>
      <c r="B97" s="270">
        <v>59</v>
      </c>
      <c r="C97" s="68" t="s">
        <v>562</v>
      </c>
      <c r="D97" s="249">
        <v>1</v>
      </c>
      <c r="E97" s="241"/>
      <c r="F97" s="226">
        <v>0.4</v>
      </c>
      <c r="G97" s="429">
        <v>100</v>
      </c>
      <c r="H97" s="380">
        <v>83</v>
      </c>
      <c r="I97" s="407">
        <f ca="1"/>
        <v>7.3686560139907194E-5</v>
      </c>
      <c r="J97" s="407">
        <f ca="1"/>
        <v>4.7566764536961402E-4</v>
      </c>
      <c r="K97" s="407">
        <f ca="1"/>
        <v>0.15491186095419501</v>
      </c>
      <c r="L97" s="407">
        <f ca="1"/>
        <v>0.15491186095419501</v>
      </c>
      <c r="M97" s="407">
        <f ca="1"/>
        <v>-1.00195215080579E-4</v>
      </c>
      <c r="N97" s="446" t="str">
        <f ca="1"/>
        <v>ORANGE</v>
      </c>
      <c r="O97" s="407"/>
      <c r="P97" s="407"/>
      <c r="Q97" s="407"/>
      <c r="R97" s="446"/>
      <c r="S97" s="437"/>
      <c r="T97" s="416" cm="1">
        <f t="array" aca="1" ref="T97:X97" ca="1">IF(AND($U$12,B121&lt;=$C$17,C121&lt;&gt;""),TRANSPOSE(INDEX(getcds(C121,$C$6,G121/10000,F121,D121,$C$13,$C$14,$C$15,$C$8,,,TRUE,TRUE,FALSE,$C$29:$C$31,$C$33),{1;2;3;4;5})),"")</f>
        <v>-3.0107256091584999E-2</v>
      </c>
      <c r="U97" s="417">
        <f ca="1"/>
        <v>1.44364931644695E-2</v>
      </c>
      <c r="V97" s="417">
        <f ca="1"/>
        <v>4.4543749256054498E-2</v>
      </c>
      <c r="W97" s="418">
        <f ca="1"/>
        <v>3.2409694750845999E-3</v>
      </c>
      <c r="X97" s="419">
        <f ca="1"/>
        <v>4.4543749256054497</v>
      </c>
      <c r="Y97" s="420">
        <f t="shared" ca="1" si="5"/>
        <v>7.8067976152695159E-2</v>
      </c>
      <c r="Z97" s="421">
        <f t="shared" ca="1" si="6"/>
        <v>-1.1270278040923516E-3</v>
      </c>
      <c r="AA97" s="420">
        <f t="shared" ca="1" si="7"/>
        <v>5.1637286984731669E-2</v>
      </c>
      <c r="AB97" s="422">
        <f t="shared" ca="1" si="8"/>
        <v>3.0789210013303699E-3</v>
      </c>
      <c r="AC97" s="421">
        <f t="shared" ca="1" si="9"/>
        <v>-3.7273067029341428E-5</v>
      </c>
      <c r="AD97" s="221"/>
      <c r="AE97" s="221"/>
    </row>
    <row r="98" spans="1:31" customFormat="1" ht="15">
      <c r="A98" s="221"/>
      <c r="B98" s="270">
        <v>60</v>
      </c>
      <c r="C98" s="68" t="s">
        <v>563</v>
      </c>
      <c r="D98" s="249">
        <v>1</v>
      </c>
      <c r="E98" s="241"/>
      <c r="F98" s="226">
        <v>0.4</v>
      </c>
      <c r="G98" s="429">
        <v>100</v>
      </c>
      <c r="H98" s="380">
        <v>84</v>
      </c>
      <c r="I98" s="407">
        <f ca="1"/>
        <v>1.0063155191035699E-4</v>
      </c>
      <c r="J98" s="407">
        <f ca="1"/>
        <v>4.6461093164904601E-4</v>
      </c>
      <c r="K98" s="407">
        <f ca="1"/>
        <v>0.21659316442078699</v>
      </c>
      <c r="L98" s="407">
        <f ca="1"/>
        <v>0.21659316442078699</v>
      </c>
      <c r="M98" s="407">
        <f ca="1"/>
        <v>-2.01022438993048E-4</v>
      </c>
      <c r="N98" s="446" t="str">
        <f ca="1"/>
        <v>PEARSON PLC</v>
      </c>
      <c r="O98" s="407"/>
      <c r="P98" s="407"/>
      <c r="Q98" s="407"/>
      <c r="R98" s="446"/>
      <c r="S98" s="437"/>
      <c r="T98" s="416" cm="1">
        <f t="array" aca="1" ref="T98:X98" ca="1">IF(AND($U$12,B122&lt;=$C$17,C122&lt;&gt;""),TRANSPOSE(INDEX(getcds(C122,$C$6,G122/10000,F122,D122,$C$13,$C$14,$C$15,$C$8,,,TRUE,TRUE,FALSE,$C$29:$C$31,$C$33),{1;2;3;4;5})),"")</f>
        <v>-1.9208264460054799E-2</v>
      </c>
      <c r="U98" s="417">
        <f ca="1"/>
        <v>2.5037628589212099E-2</v>
      </c>
      <c r="V98" s="417">
        <f ca="1"/>
        <v>4.4245893049266898E-2</v>
      </c>
      <c r="W98" s="418">
        <f ca="1"/>
        <v>5.6587463521943597E-3</v>
      </c>
      <c r="X98" s="419">
        <f ca="1"/>
        <v>4.4245893049266902</v>
      </c>
      <c r="Y98" s="420">
        <f t="shared" ca="1" si="5"/>
        <v>7.8067976152695159E-2</v>
      </c>
      <c r="Z98" s="421">
        <f t="shared" ca="1" si="6"/>
        <v>-1.9546369916226478E-3</v>
      </c>
      <c r="AA98" s="420">
        <f t="shared" ca="1" si="7"/>
        <v>7.2197721473595669E-2</v>
      </c>
      <c r="AB98" s="422">
        <f t="shared" ca="1" si="8"/>
        <v>5.3758090345846412E-3</v>
      </c>
      <c r="AC98" s="421">
        <f t="shared" ca="1" si="9"/>
        <v>-9.0382986762163682E-5</v>
      </c>
      <c r="AD98" s="221"/>
      <c r="AE98" s="221"/>
    </row>
    <row r="99" spans="1:31" customFormat="1" ht="15">
      <c r="A99" s="221"/>
      <c r="B99" s="270">
        <v>61</v>
      </c>
      <c r="C99" s="68" t="s">
        <v>570</v>
      </c>
      <c r="D99" s="249">
        <v>1</v>
      </c>
      <c r="E99" s="241"/>
      <c r="F99" s="226">
        <v>0.4</v>
      </c>
      <c r="G99" s="429">
        <v>100</v>
      </c>
      <c r="H99" s="380">
        <v>85</v>
      </c>
      <c r="I99" s="407">
        <f ca="1"/>
        <v>9.1078038501590802E-5</v>
      </c>
      <c r="J99" s="407">
        <f ca="1"/>
        <v>4.6902342205429299E-4</v>
      </c>
      <c r="K99" s="407">
        <f ca="1"/>
        <v>0.19418654638328001</v>
      </c>
      <c r="L99" s="407">
        <f ca="1"/>
        <v>0.19418654638328001</v>
      </c>
      <c r="M99" s="407">
        <f ca="1"/>
        <v>-1.61331826789968E-4</v>
      </c>
      <c r="N99" s="446" t="str">
        <f ca="1"/>
        <v>PUBLICIS GROUPE SA</v>
      </c>
      <c r="O99" s="407"/>
      <c r="P99" s="407"/>
      <c r="Q99" s="407"/>
      <c r="R99" s="446"/>
      <c r="S99" s="437"/>
      <c r="T99" s="416" cm="1">
        <f t="array" aca="1" ref="T99:X99" ca="1">IF(AND($U$12,B123&lt;=$C$17,C123&lt;&gt;""),TRANSPOSE(INDEX(getcds(C123,$C$6,G123/10000,F123,D123,$C$13,$C$14,$C$15,$C$8,,,TRUE,TRUE,FALSE,$C$29:$C$31,$C$33),{1;2;3;4;5})),"")</f>
        <v>-2.3351765563839399E-2</v>
      </c>
      <c r="U99" s="417">
        <f ca="1"/>
        <v>2.1019511762402899E-2</v>
      </c>
      <c r="V99" s="417">
        <f ca="1"/>
        <v>4.4371277326242298E-2</v>
      </c>
      <c r="W99" s="418">
        <f ca="1"/>
        <v>4.7371887917167102E-3</v>
      </c>
      <c r="X99" s="419">
        <f ca="1"/>
        <v>4.43712773262423</v>
      </c>
      <c r="Y99" s="420">
        <f t="shared" ca="1" si="5"/>
        <v>7.8067976152695159E-2</v>
      </c>
      <c r="Z99" s="421">
        <f t="shared" ca="1" si="6"/>
        <v>-1.6409507430085637E-3</v>
      </c>
      <c r="AA99" s="420">
        <f t="shared" ca="1" si="7"/>
        <v>6.4728848794426669E-2</v>
      </c>
      <c r="AB99" s="422">
        <f t="shared" ca="1" si="8"/>
        <v>4.5003293521308748E-3</v>
      </c>
      <c r="AC99" s="421">
        <f t="shared" ca="1" si="9"/>
        <v>-6.8028439930062424E-5</v>
      </c>
      <c r="AD99" s="221"/>
      <c r="AE99" s="221"/>
    </row>
    <row r="100" spans="1:31" customFormat="1" ht="15">
      <c r="A100" s="221"/>
      <c r="B100" s="270">
        <v>62</v>
      </c>
      <c r="C100" s="68" t="s">
        <v>571</v>
      </c>
      <c r="D100" s="249">
        <v>1</v>
      </c>
      <c r="E100" s="241"/>
      <c r="F100" s="226">
        <v>0.4</v>
      </c>
      <c r="G100" s="429">
        <v>100</v>
      </c>
      <c r="H100" s="380">
        <v>86</v>
      </c>
      <c r="I100" s="407">
        <f ca="1"/>
        <v>1.7690190000458901E-4</v>
      </c>
      <c r="J100" s="407">
        <f ca="1"/>
        <v>4.3429840467642899E-4</v>
      </c>
      <c r="K100" s="407">
        <f ca="1"/>
        <v>0.40732799867498598</v>
      </c>
      <c r="L100" s="407">
        <f ca="1"/>
        <v>0.40732799867498598</v>
      </c>
      <c r="M100" s="407">
        <f ca="1"/>
        <v>-6.3079591593906404E-4</v>
      </c>
      <c r="N100" s="446" t="str">
        <f ca="1"/>
        <v>SES</v>
      </c>
      <c r="O100" s="407"/>
      <c r="P100" s="407"/>
      <c r="Q100" s="407"/>
      <c r="R100" s="446"/>
      <c r="S100" s="437"/>
      <c r="T100" s="416" cm="1">
        <f t="array" aca="1" ref="T100:X100" ca="1">IF(AND($U$12,B124&lt;=$C$17,C124&lt;&gt;""),TRANSPOSE(INDEX(getcds(C124,$C$6,G124/10000,F124,D124,$C$13,$C$14,$C$15,$C$8,,,TRUE,TRUE,FALSE,$C$29:$C$31,$C$33),{1;2;3;4;5})),"")</f>
        <v>2.7995776915870799E-2</v>
      </c>
      <c r="U100" s="417">
        <f ca="1"/>
        <v>7.0890581877806502E-2</v>
      </c>
      <c r="V100" s="417">
        <f ca="1"/>
        <v>4.2894804961935699E-2</v>
      </c>
      <c r="W100" s="418">
        <f ca="1"/>
        <v>1.6526612474567499E-2</v>
      </c>
      <c r="X100" s="419">
        <f ca="1"/>
        <v>4.28948049619357</v>
      </c>
      <c r="Y100" s="420">
        <f t="shared" ca="1" si="5"/>
        <v>7.8067976152695159E-2</v>
      </c>
      <c r="Z100" s="421">
        <f t="shared" ca="1" si="6"/>
        <v>-5.5342842554872923E-3</v>
      </c>
      <c r="AA100" s="420">
        <f t="shared" ca="1" si="7"/>
        <v>0.13577599955832867</v>
      </c>
      <c r="AB100" s="422">
        <f t="shared" ca="1" si="8"/>
        <v>1.5700281850839125E-2</v>
      </c>
      <c r="AC100" s="421">
        <f t="shared" ca="1" si="9"/>
        <v>-4.8126198068653662E-4</v>
      </c>
      <c r="AD100" s="221"/>
      <c r="AE100" s="221"/>
    </row>
    <row r="101" spans="1:31" customFormat="1" ht="15">
      <c r="A101" s="221"/>
      <c r="B101" s="270">
        <v>63</v>
      </c>
      <c r="C101" s="68" t="s">
        <v>581</v>
      </c>
      <c r="D101" s="249">
        <v>1</v>
      </c>
      <c r="E101" s="241"/>
      <c r="F101" s="226">
        <v>0.4</v>
      </c>
      <c r="G101" s="429">
        <v>100</v>
      </c>
      <c r="H101" s="380">
        <v>87</v>
      </c>
      <c r="I101" s="407">
        <f ca="1"/>
        <v>4.5789378796268202E-5</v>
      </c>
      <c r="J101" s="407">
        <f ca="1"/>
        <v>4.8279823740779302E-4</v>
      </c>
      <c r="K101" s="407">
        <f ca="1"/>
        <v>9.4841644497538694E-2</v>
      </c>
      <c r="L101" s="407">
        <f ca="1"/>
        <v>9.4841644497538694E-2</v>
      </c>
      <c r="M101" s="407">
        <f ca="1"/>
        <v>-3.3658165979799697E-5</v>
      </c>
      <c r="N101" s="446" t="str">
        <f ca="1"/>
        <v>SKY LIMITED</v>
      </c>
      <c r="O101" s="407"/>
      <c r="P101" s="407"/>
      <c r="Q101" s="407"/>
      <c r="R101" s="446"/>
      <c r="S101" s="437"/>
      <c r="T101" s="416" cm="1">
        <f t="array" aca="1" ref="T101:X101" ca="1">IF(AND($U$12,B125&lt;=$C$17,C125&lt;&gt;""),TRANSPOSE(INDEX(getcds(C125,$C$6,G125/10000,F125,D125,$C$13,$C$14,$C$15,$C$8,,,TRUE,TRUE,FALSE,$C$29:$C$31,$C$33),{1;2;3;4;5})),"")</f>
        <v>-3.83742291750509E-2</v>
      </c>
      <c r="U101" s="417">
        <f ca="1"/>
        <v>6.3882790300237198E-3</v>
      </c>
      <c r="V101" s="417">
        <f ca="1"/>
        <v>4.4762508205074603E-2</v>
      </c>
      <c r="W101" s="418">
        <f ca="1"/>
        <v>1.4271494798183599E-3</v>
      </c>
      <c r="X101" s="419">
        <f ca="1"/>
        <v>4.4762508205074596</v>
      </c>
      <c r="Y101" s="420">
        <f t="shared" ca="1" si="5"/>
        <v>7.8067976152695159E-2</v>
      </c>
      <c r="Z101" s="421">
        <f t="shared" ca="1" si="6"/>
        <v>-4.9872001497265497E-4</v>
      </c>
      <c r="AA101" s="420">
        <f t="shared" ca="1" si="7"/>
        <v>3.1613881499179562E-2</v>
      </c>
      <c r="AB101" s="422">
        <f t="shared" ca="1" si="8"/>
        <v>1.3557920058274418E-3</v>
      </c>
      <c r="AC101" s="421">
        <f t="shared" ca="1" si="9"/>
        <v>-1.009791481194321E-5</v>
      </c>
      <c r="AD101" s="221"/>
      <c r="AE101" s="221"/>
    </row>
    <row r="102" spans="1:31" customFormat="1" ht="15">
      <c r="A102" s="221"/>
      <c r="B102" s="270">
        <v>64</v>
      </c>
      <c r="C102" s="68" t="s">
        <v>630</v>
      </c>
      <c r="D102" s="249">
        <v>1</v>
      </c>
      <c r="E102" s="241"/>
      <c r="F102" s="226">
        <v>0.4</v>
      </c>
      <c r="G102" s="429">
        <v>100</v>
      </c>
      <c r="H102" s="380">
        <v>88</v>
      </c>
      <c r="I102" s="407">
        <f ca="1"/>
        <v>7.3675574094056394E-5</v>
      </c>
      <c r="J102" s="407">
        <f ca="1"/>
        <v>4.7575390535557001E-4</v>
      </c>
      <c r="K102" s="407">
        <f ca="1"/>
        <v>0.15486068167741601</v>
      </c>
      <c r="L102" s="407">
        <f ca="1"/>
        <v>0.15486068167741601</v>
      </c>
      <c r="M102" s="407">
        <f ca="1"/>
        <v>-9.9720578158657398E-5</v>
      </c>
      <c r="N102" s="446" t="str">
        <f ca="1"/>
        <v>STMICROELECTRONICS N.V.</v>
      </c>
      <c r="O102" s="407"/>
      <c r="P102" s="407"/>
      <c r="Q102" s="407"/>
      <c r="R102" s="446"/>
      <c r="S102" s="437"/>
      <c r="T102" s="416" cm="1">
        <f t="array" aca="1" ref="T102:X102" ca="1">IF(AND($U$12,B126&lt;=$C$17,C126&lt;&gt;""),TRANSPOSE(INDEX(getcds(C126,$C$6,G126/10000,F126,D126,$C$13,$C$14,$C$15,$C$8,,,TRUE,TRUE,FALSE,$C$29:$C$31,$C$33),{1;2;3;4;5})),"")</f>
        <v>-3.0239229064649299E-2</v>
      </c>
      <c r="U102" s="417">
        <f ca="1"/>
        <v>1.4293460966140301E-2</v>
      </c>
      <c r="V102" s="417">
        <f ca="1"/>
        <v>4.45326900307896E-2</v>
      </c>
      <c r="W102" s="418">
        <f ca="1"/>
        <v>3.2096558632002501E-3</v>
      </c>
      <c r="X102" s="419">
        <f ca="1"/>
        <v>4.4532690030789599</v>
      </c>
      <c r="Y102" s="420">
        <f t="shared" ca="1" si="5"/>
        <v>7.8067976152695159E-2</v>
      </c>
      <c r="Z102" s="421">
        <f t="shared" ca="1" si="6"/>
        <v>-1.1158615698441214E-3</v>
      </c>
      <c r="AA102" s="420">
        <f t="shared" ca="1" si="7"/>
        <v>5.1620227225805337E-2</v>
      </c>
      <c r="AB102" s="422">
        <f t="shared" ca="1" si="8"/>
        <v>3.0491730700402376E-3</v>
      </c>
      <c r="AC102" s="421">
        <f t="shared" ca="1" si="9"/>
        <v>-3.6891585145767109E-5</v>
      </c>
      <c r="AD102" s="221"/>
      <c r="AE102" s="221"/>
    </row>
    <row r="103" spans="1:31" customFormat="1" ht="15">
      <c r="A103" s="221"/>
      <c r="B103" s="270">
        <v>65</v>
      </c>
      <c r="C103" s="68" t="s">
        <v>572</v>
      </c>
      <c r="D103" s="249">
        <v>1</v>
      </c>
      <c r="E103" s="241"/>
      <c r="F103" s="226">
        <v>0.4</v>
      </c>
      <c r="G103" s="429">
        <v>100</v>
      </c>
      <c r="H103" s="380">
        <v>89</v>
      </c>
      <c r="I103" s="407">
        <f ca="1"/>
        <v>1.1252751403783E-4</v>
      </c>
      <c r="J103" s="407">
        <f ca="1"/>
        <v>4.5771540784302701E-4</v>
      </c>
      <c r="K103" s="407">
        <f ca="1"/>
        <v>0.24584602595773</v>
      </c>
      <c r="L103" s="407">
        <f ca="1"/>
        <v>0.24584602595773</v>
      </c>
      <c r="M103" s="407">
        <f ca="1"/>
        <v>-2.5808730313139298E-4</v>
      </c>
      <c r="N103" s="446" t="str">
        <f ca="1"/>
        <v>TELEFONICA, S.A.</v>
      </c>
      <c r="O103" s="407"/>
      <c r="P103" s="407"/>
      <c r="Q103" s="407"/>
      <c r="R103" s="446"/>
      <c r="S103" s="437"/>
      <c r="T103" s="416" cm="1">
        <f t="array" aca="1" ref="T103:X103" ca="1">IF(AND($U$12,B127&lt;=$C$17,C127&lt;&gt;""),TRANSPOSE(INDEX(getcds(C127,$C$6,G127/10000,F127,D127,$C$13,$C$14,$C$15,$C$8,,,TRUE,TRUE,FALSE,$C$29:$C$31,$C$33),{1;2;3;4;5})),"")</f>
        <v>-1.3264164012367401E-2</v>
      </c>
      <c r="U103" s="417">
        <f ca="1"/>
        <v>3.08160648572538E-2</v>
      </c>
      <c r="V103" s="417">
        <f ca="1"/>
        <v>4.4080228869621201E-2</v>
      </c>
      <c r="W103" s="418">
        <f ca="1"/>
        <v>6.9909040056031404E-3</v>
      </c>
      <c r="X103" s="419">
        <f ca="1"/>
        <v>4.4080228869621196</v>
      </c>
      <c r="Y103" s="420">
        <f t="shared" ca="1" si="5"/>
        <v>7.8067976152695159E-2</v>
      </c>
      <c r="Z103" s="421">
        <f t="shared" ca="1" si="6"/>
        <v>-2.4057478163959974E-3</v>
      </c>
      <c r="AA103" s="420">
        <f t="shared" ca="1" si="7"/>
        <v>8.1948675319243339E-2</v>
      </c>
      <c r="AB103" s="422">
        <f t="shared" ca="1" si="8"/>
        <v>6.6413588053229828E-3</v>
      </c>
      <c r="AC103" s="421">
        <f t="shared" ca="1" si="9"/>
        <v>-1.2626678468019204E-4</v>
      </c>
      <c r="AD103" s="221"/>
      <c r="AE103" s="221"/>
    </row>
    <row r="104" spans="1:31" customFormat="1" ht="15">
      <c r="A104" s="221"/>
      <c r="B104" s="270">
        <v>66</v>
      </c>
      <c r="C104" s="68" t="s">
        <v>582</v>
      </c>
      <c r="D104" s="249">
        <v>1</v>
      </c>
      <c r="E104" s="241"/>
      <c r="F104" s="226">
        <v>0.4</v>
      </c>
      <c r="G104" s="429">
        <v>100</v>
      </c>
      <c r="H104" s="380">
        <v>90</v>
      </c>
      <c r="I104" s="407">
        <f ca="1"/>
        <v>6.2159301674658004E-5</v>
      </c>
      <c r="J104" s="407">
        <f ca="1"/>
        <v>4.7904319401306903E-4</v>
      </c>
      <c r="K104" s="407">
        <f ca="1"/>
        <v>0.129757196118232</v>
      </c>
      <c r="L104" s="407">
        <f ca="1"/>
        <v>0.129757196118232</v>
      </c>
      <c r="M104" s="407">
        <f ca="1"/>
        <v>-6.81538191632303E-5</v>
      </c>
      <c r="N104" s="446" t="str">
        <f ca="1"/>
        <v>TELEKOM AUSTRIA AKTIENGESELLSCHAFT</v>
      </c>
      <c r="O104" s="407"/>
      <c r="P104" s="407"/>
      <c r="Q104" s="407"/>
      <c r="R104" s="446"/>
      <c r="S104" s="437"/>
      <c r="T104" s="416" cm="1">
        <f t="array" aca="1" ref="T104:X104" ca="1">IF(AND($U$12,B128&lt;=$C$17,C128&lt;&gt;""),TRANSPOSE(INDEX(getcds(C128,$C$6,G128/10000,F128,D128,$C$13,$C$14,$C$15,$C$8,,,TRUE,TRUE,FALSE,$C$29:$C$31,$C$33),{1;2;3;4;5})),"")</f>
        <v>-3.3873255693877398E-2</v>
      </c>
      <c r="U104" s="417">
        <f ca="1"/>
        <v>1.07707660090247E-2</v>
      </c>
      <c r="V104" s="417">
        <f ca="1"/>
        <v>4.4644021702902097E-2</v>
      </c>
      <c r="W104" s="418">
        <f ca="1"/>
        <v>2.4125886508841398E-3</v>
      </c>
      <c r="X104" s="419">
        <f ca="1"/>
        <v>4.4644021702902101</v>
      </c>
      <c r="Y104" s="420">
        <f t="shared" ca="1" si="5"/>
        <v>7.8067976152695159E-2</v>
      </c>
      <c r="Z104" s="421">
        <f t="shared" ca="1" si="6"/>
        <v>-8.4085190393879869E-4</v>
      </c>
      <c r="AA104" s="420">
        <f t="shared" ca="1" si="7"/>
        <v>4.3252398706077333E-2</v>
      </c>
      <c r="AB104" s="422">
        <f t="shared" ca="1" si="8"/>
        <v>2.2919592183399326E-3</v>
      </c>
      <c r="AC104" s="421">
        <f t="shared" ca="1" si="9"/>
        <v>-2.3293073289610084E-5</v>
      </c>
      <c r="AD104" s="221"/>
      <c r="AE104" s="221"/>
    </row>
    <row r="105" spans="1:31" customFormat="1" ht="15">
      <c r="A105" s="221"/>
      <c r="B105" s="270">
        <v>67</v>
      </c>
      <c r="C105" s="68" t="s">
        <v>573</v>
      </c>
      <c r="D105" s="249">
        <v>1</v>
      </c>
      <c r="E105" s="241"/>
      <c r="F105" s="226">
        <v>0.4</v>
      </c>
      <c r="G105" s="429">
        <v>100</v>
      </c>
      <c r="H105" s="380">
        <v>91</v>
      </c>
      <c r="I105" s="407">
        <f ca="1"/>
        <v>6.6433302180079996E-5</v>
      </c>
      <c r="J105" s="407">
        <f ca="1"/>
        <v>4.7792074739951999E-4</v>
      </c>
      <c r="K105" s="407">
        <f ca="1"/>
        <v>0.13900485078657801</v>
      </c>
      <c r="L105" s="407">
        <f ca="1"/>
        <v>0.13900485078657801</v>
      </c>
      <c r="M105" s="407">
        <f ca="1"/>
        <v>-7.8929770892410795E-5</v>
      </c>
      <c r="N105" s="446" t="str">
        <f ca="1"/>
        <v>TELENOR ASA</v>
      </c>
      <c r="O105" s="407"/>
      <c r="P105" s="407"/>
      <c r="Q105" s="407"/>
      <c r="R105" s="446"/>
      <c r="S105" s="437"/>
      <c r="T105" s="416" cm="1">
        <f t="array" aca="1" ref="T105:X105" ca="1">IF(AND($U$12,B129&lt;=$C$17,C129&lt;&gt;""),TRANSPOSE(INDEX(getcds(C129,$C$6,G129/10000,F129,D129,$C$13,$C$14,$C$15,$C$8,,,TRUE,TRUE,FALSE,$C$29:$C$31,$C$33),{1;2;3;4;5})),"")</f>
        <v>-3.2642361166372501E-2</v>
      </c>
      <c r="U105" s="417">
        <f ca="1"/>
        <v>1.19577165100518E-2</v>
      </c>
      <c r="V105" s="417">
        <f ca="1"/>
        <v>4.46000776764243E-2</v>
      </c>
      <c r="W105" s="418">
        <f ca="1"/>
        <v>2.6810976870501402E-3</v>
      </c>
      <c r="X105" s="419">
        <f ca="1"/>
        <v>4.4600077676424297</v>
      </c>
      <c r="Y105" s="420">
        <f t="shared" ca="1" si="5"/>
        <v>7.8067976152695159E-2</v>
      </c>
      <c r="Z105" s="421">
        <f t="shared" ca="1" si="6"/>
        <v>-9.3351472734741134E-4</v>
      </c>
      <c r="AA105" s="420">
        <f t="shared" ca="1" si="7"/>
        <v>4.633495026219267E-2</v>
      </c>
      <c r="AB105" s="422">
        <f t="shared" ca="1" si="8"/>
        <v>2.547042802697633E-3</v>
      </c>
      <c r="AC105" s="421">
        <f t="shared" ca="1" si="9"/>
        <v>-2.7703009987132505E-5</v>
      </c>
      <c r="AD105" s="221"/>
      <c r="AE105" s="221"/>
    </row>
    <row r="106" spans="1:31" customFormat="1" ht="15">
      <c r="A106" s="221"/>
      <c r="B106" s="270">
        <v>68</v>
      </c>
      <c r="C106" s="68" t="s">
        <v>574</v>
      </c>
      <c r="D106" s="249">
        <v>1</v>
      </c>
      <c r="E106" s="241"/>
      <c r="F106" s="226">
        <v>0.4</v>
      </c>
      <c r="G106" s="429">
        <v>100</v>
      </c>
      <c r="H106" s="380">
        <v>92</v>
      </c>
      <c r="I106" s="407">
        <f ca="1"/>
        <v>6.7940220747964006E-5</v>
      </c>
      <c r="J106" s="407">
        <f ca="1"/>
        <v>4.77488382434505E-4</v>
      </c>
      <c r="K106" s="407">
        <f ca="1"/>
        <v>0.142286646643771</v>
      </c>
      <c r="L106" s="407">
        <f ca="1"/>
        <v>0.142286646643771</v>
      </c>
      <c r="M106" s="407">
        <f ca="1"/>
        <v>-8.3063112887060703E-5</v>
      </c>
      <c r="N106" s="446" t="str">
        <f ca="1"/>
        <v>TELIA COMPANY AB</v>
      </c>
      <c r="O106" s="407"/>
      <c r="P106" s="407"/>
      <c r="Q106" s="407"/>
      <c r="R106" s="446"/>
      <c r="S106" s="437"/>
      <c r="T106" s="416" cm="1">
        <f t="array" aca="1" ref="T106:X106" ca="1">IF(AND($U$12,B130&lt;=$C$17,C130&lt;&gt;""),TRANSPOSE(INDEX(getcds(C130,$C$6,G130/10000,F130,D130,$C$13,$C$14,$C$15,$C$8,,,TRUE,TRUE,FALSE,$C$29:$C$31,$C$33),{1;2;3;4;5})),"")</f>
        <v>-3.2153055320808498E-2</v>
      </c>
      <c r="U106" s="417">
        <f ca="1"/>
        <v>1.24339757569346E-2</v>
      </c>
      <c r="V106" s="417">
        <f ca="1"/>
        <v>4.4587031077743103E-2</v>
      </c>
      <c r="W106" s="418">
        <f ca="1"/>
        <v>2.78869784697133E-3</v>
      </c>
      <c r="X106" s="419">
        <f ca="1"/>
        <v>4.4587031077743102</v>
      </c>
      <c r="Y106" s="420">
        <f t="shared" ca="1" si="5"/>
        <v>7.8067976152695159E-2</v>
      </c>
      <c r="Z106" s="421">
        <f t="shared" ca="1" si="6"/>
        <v>-9.7069532287555977E-4</v>
      </c>
      <c r="AA106" s="420">
        <f t="shared" ca="1" si="7"/>
        <v>4.742888221459033E-2</v>
      </c>
      <c r="AB106" s="422">
        <f t="shared" ca="1" si="8"/>
        <v>2.6492629546227635E-3</v>
      </c>
      <c r="AC106" s="421">
        <f t="shared" ca="1" si="9"/>
        <v>-2.9486478581736129E-5</v>
      </c>
      <c r="AD106" s="221"/>
      <c r="AE106" s="221"/>
    </row>
    <row r="107" spans="1:31" customFormat="1" ht="15">
      <c r="A107" s="221"/>
      <c r="B107" s="270">
        <v>69</v>
      </c>
      <c r="C107" s="68" t="s">
        <v>583</v>
      </c>
      <c r="D107" s="249">
        <v>1</v>
      </c>
      <c r="E107" s="241"/>
      <c r="F107" s="226">
        <v>0.4</v>
      </c>
      <c r="G107" s="429">
        <v>100</v>
      </c>
      <c r="H107" s="380">
        <v>93</v>
      </c>
      <c r="I107" s="407">
        <f ca="1"/>
        <v>1.01660949774374E-4</v>
      </c>
      <c r="J107" s="407">
        <f ca="1"/>
        <v>4.63826015369575E-4</v>
      </c>
      <c r="K107" s="407">
        <f ca="1"/>
        <v>0.21917905940090701</v>
      </c>
      <c r="L107" s="407">
        <f ca="1"/>
        <v>0.21917905940090701</v>
      </c>
      <c r="M107" s="407">
        <f ca="1"/>
        <v>-2.062334287537E-4</v>
      </c>
      <c r="N107" s="446" t="str">
        <f ca="1"/>
        <v>VIVENDI SE</v>
      </c>
      <c r="O107" s="407"/>
      <c r="P107" s="407"/>
      <c r="Q107" s="407"/>
      <c r="R107" s="446"/>
      <c r="S107" s="437"/>
      <c r="T107" s="416" cm="1">
        <f t="array" aca="1" ref="T107:X107" ca="1">IF(AND($U$12,B131&lt;=$C$17,C131&lt;&gt;""),TRANSPOSE(INDEX(getcds(C131,$C$6,G131/10000,F131,D131,$C$13,$C$14,$C$15,$C$8,,,TRUE,TRUE,FALSE,$C$29:$C$31,$C$33),{1;2;3;4;5})),"")</f>
        <v>-1.8590197120229E-2</v>
      </c>
      <c r="U107" s="417">
        <f ca="1"/>
        <v>2.5656587567464199E-2</v>
      </c>
      <c r="V107" s="417">
        <f ca="1"/>
        <v>4.4246784687693198E-2</v>
      </c>
      <c r="W107" s="418">
        <f ca="1"/>
        <v>5.7985202198433004E-3</v>
      </c>
      <c r="X107" s="419">
        <f ca="1"/>
        <v>4.4246784687693204</v>
      </c>
      <c r="Y107" s="420">
        <f t="shared" ca="1" si="5"/>
        <v>7.8067976152695159E-2</v>
      </c>
      <c r="Z107" s="421">
        <f t="shared" ca="1" si="6"/>
        <v>-2.0029578663763301E-3</v>
      </c>
      <c r="AA107" s="420">
        <f t="shared" ca="1" si="7"/>
        <v>7.3059686466969004E-2</v>
      </c>
      <c r="AB107" s="422">
        <f t="shared" ca="1" si="8"/>
        <v>5.5085942088511355E-3</v>
      </c>
      <c r="AC107" s="421">
        <f t="shared" ca="1" si="9"/>
        <v>-9.3723112174563418E-5</v>
      </c>
      <c r="AD107" s="221"/>
      <c r="AE107" s="221"/>
    </row>
    <row r="108" spans="1:31" customFormat="1" ht="15">
      <c r="A108" s="221"/>
      <c r="B108" s="270">
        <v>70</v>
      </c>
      <c r="C108" s="68" t="s">
        <v>575</v>
      </c>
      <c r="D108" s="249">
        <v>1</v>
      </c>
      <c r="E108" s="241"/>
      <c r="F108" s="226">
        <v>0.4</v>
      </c>
      <c r="G108" s="429">
        <v>100</v>
      </c>
      <c r="H108" s="380">
        <v>94</v>
      </c>
      <c r="I108" s="407">
        <f ca="1"/>
        <v>1.1176503262309E-4</v>
      </c>
      <c r="J108" s="407">
        <f ca="1"/>
        <v>4.5801671220280801E-4</v>
      </c>
      <c r="K108" s="407">
        <f ca="1"/>
        <v>0.24401955135122</v>
      </c>
      <c r="L108" s="407">
        <f ca="1"/>
        <v>0.24401955135122</v>
      </c>
      <c r="M108" s="407">
        <f ca="1"/>
        <v>-2.5454638491955199E-4</v>
      </c>
      <c r="N108" s="446" t="str">
        <f ca="1"/>
        <v>VODAFONE GROUP PUBLIC LIMITED COMPANY</v>
      </c>
      <c r="O108" s="407"/>
      <c r="P108" s="407"/>
      <c r="Q108" s="407"/>
      <c r="R108" s="446"/>
      <c r="S108" s="437"/>
      <c r="T108" s="416" cm="1">
        <f t="array" aca="1" ref="T108:X108" ca="1">IF(AND($U$12,B132&lt;=$C$17,C132&lt;&gt;""),TRANSPOSE(INDEX(getcds(C132,$C$6,G132/10000,F132,D132,$C$13,$C$14,$C$15,$C$8,,,TRUE,TRUE,FALSE,$C$29:$C$31,$C$33),{1;2;3;4;5})),"")</f>
        <v>-1.3592304371421501E-2</v>
      </c>
      <c r="U108" s="417">
        <f ca="1"/>
        <v>3.0507982472812101E-2</v>
      </c>
      <c r="V108" s="417">
        <f ca="1"/>
        <v>4.4100286844233602E-2</v>
      </c>
      <c r="W108" s="418">
        <f ca="1"/>
        <v>6.9178648611899502E-3</v>
      </c>
      <c r="X108" s="419">
        <f ca="1"/>
        <v>4.4100286844233603</v>
      </c>
      <c r="Y108" s="420">
        <f t="shared" ca="1" si="5"/>
        <v>7.8067976152695159E-2</v>
      </c>
      <c r="Z108" s="421">
        <f t="shared" ca="1" si="6"/>
        <v>-2.3816964481543374E-3</v>
      </c>
      <c r="AA108" s="420">
        <f t="shared" ca="1" si="7"/>
        <v>8.1339850450406662E-2</v>
      </c>
      <c r="AB108" s="422">
        <f t="shared" ca="1" si="8"/>
        <v>6.5719716181304524E-3</v>
      </c>
      <c r="AC108" s="421">
        <f t="shared" ca="1" si="9"/>
        <v>-1.2407573659410832E-4</v>
      </c>
      <c r="AD108" s="221"/>
      <c r="AE108" s="221"/>
    </row>
    <row r="109" spans="1:31" customFormat="1" ht="15">
      <c r="A109" s="221"/>
      <c r="B109" s="270">
        <v>71</v>
      </c>
      <c r="C109" s="68" t="s">
        <v>576</v>
      </c>
      <c r="D109" s="249">
        <v>1</v>
      </c>
      <c r="E109" s="241"/>
      <c r="F109" s="226">
        <v>0.4</v>
      </c>
      <c r="G109" s="429">
        <v>100</v>
      </c>
      <c r="H109" s="380">
        <v>95</v>
      </c>
      <c r="I109" s="407">
        <f ca="1"/>
        <v>1.10665180030201E-4</v>
      </c>
      <c r="J109" s="407">
        <f ca="1"/>
        <v>4.5911647563779898E-4</v>
      </c>
      <c r="K109" s="407">
        <f ca="1"/>
        <v>0.24103944402445199</v>
      </c>
      <c r="L109" s="407">
        <f ca="1"/>
        <v>0.24103944402445199</v>
      </c>
      <c r="M109" s="407">
        <f ca="1"/>
        <v>-2.4817673269452698E-4</v>
      </c>
      <c r="N109" s="446" t="str">
        <f ca="1"/>
        <v>WPP 2005 LIMITED</v>
      </c>
      <c r="O109" s="407"/>
      <c r="P109" s="407"/>
      <c r="Q109" s="407"/>
      <c r="R109" s="446"/>
      <c r="S109" s="437"/>
      <c r="T109" s="416" cm="1">
        <f t="array" aca="1" ref="T109:X109" ca="1">IF(AND($U$12,B133&lt;=$C$17,C133&lt;&gt;""),TRANSPOSE(INDEX(getcds(C133,$C$6,G133/10000,F133,D133,$C$13,$C$14,$C$15,$C$8,,,TRUE,TRUE,FALSE,$C$29:$C$31,$C$33),{1;2;3;4;5})),"")</f>
        <v>-1.43407813847209E-2</v>
      </c>
      <c r="U109" s="417">
        <f ca="1"/>
        <v>2.9756600141478299E-2</v>
      </c>
      <c r="V109" s="417">
        <f ca="1"/>
        <v>4.40973815261992E-2</v>
      </c>
      <c r="W109" s="418">
        <f ca="1"/>
        <v>6.7479290405937703E-3</v>
      </c>
      <c r="X109" s="419">
        <f ca="1"/>
        <v>4.4097381526199202</v>
      </c>
      <c r="Y109" s="420">
        <f t="shared" ca="1" si="5"/>
        <v>7.8067976152695159E-2</v>
      </c>
      <c r="Z109" s="421">
        <f t="shared" ca="1" si="6"/>
        <v>-2.3230375502302121E-3</v>
      </c>
      <c r="AA109" s="420">
        <f t="shared" ca="1" si="7"/>
        <v>8.0346481341483991E-2</v>
      </c>
      <c r="AB109" s="422">
        <f t="shared" ca="1" si="8"/>
        <v>6.4105325885640812E-3</v>
      </c>
      <c r="AC109" s="421">
        <f t="shared" ca="1" si="9"/>
        <v>-1.1954190590266445E-4</v>
      </c>
      <c r="AD109" s="221"/>
      <c r="AE109" s="221"/>
    </row>
    <row r="110" spans="1:31" customFormat="1" ht="15">
      <c r="A110" s="221"/>
      <c r="B110" s="270">
        <v>72</v>
      </c>
      <c r="C110" s="68" t="s">
        <v>577</v>
      </c>
      <c r="D110" s="249">
        <v>1</v>
      </c>
      <c r="E110" s="241"/>
      <c r="F110" s="226">
        <v>0.4</v>
      </c>
      <c r="G110" s="429">
        <v>100</v>
      </c>
      <c r="H110" s="380">
        <v>96</v>
      </c>
      <c r="I110" s="407"/>
      <c r="J110" s="407"/>
      <c r="K110" s="407"/>
      <c r="L110" s="407"/>
      <c r="M110" s="407"/>
      <c r="N110" s="446"/>
      <c r="O110" s="407"/>
      <c r="P110" s="407"/>
      <c r="Q110" s="407"/>
      <c r="R110" s="446"/>
      <c r="S110" s="437"/>
      <c r="T110" s="416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7"/>
      <c r="V110" s="417"/>
      <c r="W110" s="418"/>
      <c r="X110" s="419"/>
      <c r="Y110" s="420" t="str">
        <f t="shared" ca="1" si="5"/>
        <v/>
      </c>
      <c r="Z110" s="421" t="str">
        <f t="shared" ca="1" si="6"/>
        <v/>
      </c>
      <c r="AA110" s="420" t="str">
        <f t="shared" ca="1" si="7"/>
        <v/>
      </c>
      <c r="AB110" s="422" t="str">
        <f t="shared" ca="1" si="8"/>
        <v/>
      </c>
      <c r="AC110" s="421" t="str">
        <f t="shared" ca="1" si="9"/>
        <v/>
      </c>
      <c r="AD110" s="221"/>
    </row>
    <row r="111" spans="1:31" customFormat="1" ht="15">
      <c r="A111" s="221"/>
      <c r="B111" s="270">
        <v>73</v>
      </c>
      <c r="C111" s="68" t="s">
        <v>578</v>
      </c>
      <c r="D111" s="249">
        <v>1</v>
      </c>
      <c r="E111" s="241"/>
      <c r="F111" s="226">
        <v>0.4</v>
      </c>
      <c r="G111" s="429">
        <v>100</v>
      </c>
      <c r="H111" s="380">
        <v>97</v>
      </c>
      <c r="I111" s="407"/>
      <c r="J111" s="407"/>
      <c r="K111" s="407"/>
      <c r="L111" s="407"/>
      <c r="M111" s="407"/>
      <c r="N111" s="446"/>
      <c r="O111" s="407"/>
      <c r="P111" s="407"/>
      <c r="Q111" s="407"/>
      <c r="R111" s="446"/>
      <c r="S111" s="437"/>
      <c r="T111" s="416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7"/>
      <c r="V111" s="417"/>
      <c r="W111" s="418"/>
      <c r="X111" s="419"/>
      <c r="Y111" s="420" t="str">
        <f t="shared" ca="1" si="5"/>
        <v/>
      </c>
      <c r="Z111" s="421" t="str">
        <f t="shared" ca="1" si="6"/>
        <v/>
      </c>
      <c r="AA111" s="420" t="str">
        <f t="shared" ca="1" si="7"/>
        <v/>
      </c>
      <c r="AB111" s="422" t="str">
        <f t="shared" ca="1" si="8"/>
        <v/>
      </c>
      <c r="AC111" s="421" t="str">
        <f t="shared" ca="1" si="9"/>
        <v/>
      </c>
      <c r="AD111" s="221"/>
    </row>
    <row r="112" spans="1:31" customFormat="1" ht="15">
      <c r="A112" s="221"/>
      <c r="B112" s="270">
        <v>74</v>
      </c>
      <c r="C112" s="68" t="s">
        <v>579</v>
      </c>
      <c r="D112" s="249">
        <v>1</v>
      </c>
      <c r="E112" s="241"/>
      <c r="F112" s="226">
        <v>0.4</v>
      </c>
      <c r="G112" s="429">
        <v>100</v>
      </c>
      <c r="H112" s="380">
        <v>98</v>
      </c>
      <c r="I112" s="407"/>
      <c r="J112" s="407"/>
      <c r="K112" s="407"/>
      <c r="L112" s="407"/>
      <c r="M112" s="407"/>
      <c r="N112" s="446"/>
      <c r="O112" s="407"/>
      <c r="P112" s="407"/>
      <c r="Q112" s="407"/>
      <c r="R112" s="446"/>
      <c r="S112" s="437"/>
      <c r="T112" s="416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7"/>
      <c r="V112" s="417"/>
      <c r="W112" s="418"/>
      <c r="X112" s="419"/>
      <c r="Y112" s="420" t="str">
        <f t="shared" ca="1" si="5"/>
        <v/>
      </c>
      <c r="Z112" s="421" t="str">
        <f t="shared" ca="1" si="6"/>
        <v/>
      </c>
      <c r="AA112" s="420" t="str">
        <f t="shared" ca="1" si="7"/>
        <v/>
      </c>
      <c r="AB112" s="422" t="str">
        <f t="shared" ca="1" si="8"/>
        <v/>
      </c>
      <c r="AC112" s="421" t="str">
        <f t="shared" ca="1" si="9"/>
        <v/>
      </c>
      <c r="AD112" s="221"/>
    </row>
    <row r="113" spans="1:30" customFormat="1" ht="15">
      <c r="A113" s="221"/>
      <c r="B113" s="270">
        <v>75</v>
      </c>
      <c r="C113" s="68" t="s">
        <v>584</v>
      </c>
      <c r="D113" s="249">
        <v>1</v>
      </c>
      <c r="E113" s="241"/>
      <c r="F113" s="226">
        <v>0.4</v>
      </c>
      <c r="G113" s="429">
        <v>100</v>
      </c>
      <c r="H113" s="380">
        <v>99</v>
      </c>
      <c r="I113" s="407"/>
      <c r="J113" s="407"/>
      <c r="K113" s="407"/>
      <c r="L113" s="407"/>
      <c r="M113" s="407"/>
      <c r="N113" s="446"/>
      <c r="O113" s="407"/>
      <c r="P113" s="407"/>
      <c r="Q113" s="407"/>
      <c r="R113" s="446"/>
      <c r="S113" s="437"/>
      <c r="T113" s="416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7"/>
      <c r="V113" s="417"/>
      <c r="W113" s="418"/>
      <c r="X113" s="419"/>
      <c r="Y113" s="420" t="str">
        <f t="shared" ca="1" si="5"/>
        <v/>
      </c>
      <c r="Z113" s="421" t="str">
        <f t="shared" ca="1" si="6"/>
        <v/>
      </c>
      <c r="AA113" s="420" t="str">
        <f t="shared" ca="1" si="7"/>
        <v/>
      </c>
      <c r="AB113" s="422" t="str">
        <f t="shared" ca="1" si="8"/>
        <v/>
      </c>
      <c r="AC113" s="421" t="str">
        <f t="shared" ca="1" si="9"/>
        <v/>
      </c>
      <c r="AD113" s="221"/>
    </row>
    <row r="114" spans="1:30" customFormat="1" ht="15">
      <c r="A114" s="221"/>
      <c r="B114" s="270">
        <v>76</v>
      </c>
      <c r="C114" s="68" t="s">
        <v>585</v>
      </c>
      <c r="D114" s="249">
        <v>1</v>
      </c>
      <c r="E114" s="241"/>
      <c r="F114" s="226">
        <v>0.4</v>
      </c>
      <c r="G114" s="429">
        <v>100</v>
      </c>
      <c r="H114" s="380">
        <v>100</v>
      </c>
      <c r="I114" s="407"/>
      <c r="J114" s="407"/>
      <c r="K114" s="407"/>
      <c r="L114" s="407"/>
      <c r="M114" s="407"/>
      <c r="N114" s="446"/>
      <c r="O114" s="407"/>
      <c r="P114" s="407"/>
      <c r="Q114" s="407"/>
      <c r="R114" s="446"/>
      <c r="S114" s="437"/>
      <c r="T114" s="416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7"/>
      <c r="V114" s="417"/>
      <c r="W114" s="418"/>
      <c r="X114" s="419"/>
      <c r="Y114" s="420" t="str">
        <f t="shared" ca="1" si="5"/>
        <v/>
      </c>
      <c r="Z114" s="421" t="str">
        <f t="shared" ca="1" si="6"/>
        <v/>
      </c>
      <c r="AA114" s="420" t="str">
        <f t="shared" ca="1" si="7"/>
        <v/>
      </c>
      <c r="AB114" s="422" t="str">
        <f t="shared" ca="1" si="8"/>
        <v/>
      </c>
      <c r="AC114" s="421" t="str">
        <f t="shared" ca="1" si="9"/>
        <v/>
      </c>
      <c r="AD114" s="221"/>
    </row>
    <row r="115" spans="1:30" customFormat="1" ht="15">
      <c r="A115" s="221"/>
      <c r="B115" s="270">
        <v>77</v>
      </c>
      <c r="C115" s="68" t="s">
        <v>580</v>
      </c>
      <c r="D115" s="249">
        <v>1</v>
      </c>
      <c r="E115" s="241"/>
      <c r="F115" s="226">
        <v>0.4</v>
      </c>
      <c r="G115" s="429">
        <v>100</v>
      </c>
      <c r="H115" s="380">
        <v>101</v>
      </c>
      <c r="I115" s="398"/>
      <c r="J115" s="398"/>
      <c r="K115" s="407"/>
      <c r="L115" s="407"/>
      <c r="M115" s="407"/>
      <c r="N115" s="446"/>
      <c r="O115" s="407"/>
      <c r="P115" s="407"/>
      <c r="Q115" s="407"/>
      <c r="R115" s="446"/>
      <c r="S115" s="437"/>
      <c r="T115" s="416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7"/>
      <c r="V115" s="417"/>
      <c r="W115" s="418"/>
      <c r="X115" s="419"/>
      <c r="Y115" s="420" t="str">
        <f t="shared" ca="1" si="5"/>
        <v/>
      </c>
      <c r="Z115" s="421" t="str">
        <f t="shared" ca="1" si="6"/>
        <v/>
      </c>
      <c r="AA115" s="420" t="str">
        <f t="shared" ca="1" si="7"/>
        <v/>
      </c>
      <c r="AB115" s="422" t="str">
        <f t="shared" ca="1" si="8"/>
        <v/>
      </c>
      <c r="AC115" s="421" t="str">
        <f t="shared" ca="1" si="9"/>
        <v/>
      </c>
      <c r="AD115" s="221"/>
    </row>
    <row r="116" spans="1:30" customFormat="1" ht="15">
      <c r="A116" s="221"/>
      <c r="B116" s="270">
        <v>78</v>
      </c>
      <c r="C116" s="68" t="s">
        <v>588</v>
      </c>
      <c r="D116" s="249">
        <v>1</v>
      </c>
      <c r="E116" s="241"/>
      <c r="F116" s="226">
        <v>0.4</v>
      </c>
      <c r="G116" s="429">
        <v>100</v>
      </c>
      <c r="H116" s="380">
        <v>102</v>
      </c>
      <c r="I116" s="398"/>
      <c r="J116" s="398"/>
      <c r="K116" s="407"/>
      <c r="L116" s="407"/>
      <c r="M116" s="407"/>
      <c r="N116" s="446"/>
      <c r="O116" s="407"/>
      <c r="P116" s="407"/>
      <c r="Q116" s="407"/>
      <c r="R116" s="446"/>
      <c r="S116" s="437"/>
      <c r="T116" s="416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7"/>
      <c r="V116" s="417"/>
      <c r="W116" s="418"/>
      <c r="X116" s="419"/>
      <c r="Y116" s="420" t="str">
        <f t="shared" ca="1" si="5"/>
        <v/>
      </c>
      <c r="Z116" s="421" t="str">
        <f t="shared" ca="1" si="6"/>
        <v/>
      </c>
      <c r="AA116" s="420" t="str">
        <f t="shared" ca="1" si="7"/>
        <v/>
      </c>
      <c r="AB116" s="422" t="str">
        <f t="shared" ca="1" si="8"/>
        <v/>
      </c>
      <c r="AC116" s="421" t="str">
        <f t="shared" ca="1" si="9"/>
        <v/>
      </c>
      <c r="AD116" s="221"/>
    </row>
    <row r="117" spans="1:30" customFormat="1" ht="15">
      <c r="A117" s="221"/>
      <c r="B117" s="270">
        <v>79</v>
      </c>
      <c r="C117" s="68" t="s">
        <v>589</v>
      </c>
      <c r="D117" s="249">
        <v>1</v>
      </c>
      <c r="E117" s="241"/>
      <c r="F117" s="226">
        <v>0.4</v>
      </c>
      <c r="G117" s="429">
        <v>100</v>
      </c>
      <c r="H117" s="380">
        <v>103</v>
      </c>
      <c r="I117" s="398"/>
      <c r="J117" s="398"/>
      <c r="K117" s="407"/>
      <c r="L117" s="407"/>
      <c r="M117" s="407"/>
      <c r="N117" s="446"/>
      <c r="O117" s="407"/>
      <c r="P117" s="407"/>
      <c r="Q117" s="407"/>
      <c r="R117" s="446"/>
      <c r="S117" s="437"/>
      <c r="T117" s="416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7"/>
      <c r="V117" s="417"/>
      <c r="W117" s="418"/>
      <c r="X117" s="419"/>
      <c r="Y117" s="420" t="str">
        <f t="shared" ca="1" si="5"/>
        <v/>
      </c>
      <c r="Z117" s="421" t="str">
        <f t="shared" ca="1" si="6"/>
        <v/>
      </c>
      <c r="AA117" s="420" t="str">
        <f t="shared" ca="1" si="7"/>
        <v/>
      </c>
      <c r="AB117" s="422" t="str">
        <f t="shared" ca="1" si="8"/>
        <v/>
      </c>
      <c r="AC117" s="421" t="str">
        <f t="shared" ca="1" si="9"/>
        <v/>
      </c>
      <c r="AD117" s="221"/>
    </row>
    <row r="118" spans="1:30" customFormat="1" ht="15">
      <c r="A118" s="221"/>
      <c r="B118" s="270">
        <v>80</v>
      </c>
      <c r="C118" s="68" t="s">
        <v>590</v>
      </c>
      <c r="D118" s="249">
        <v>1</v>
      </c>
      <c r="E118" s="241"/>
      <c r="F118" s="226">
        <v>0.4</v>
      </c>
      <c r="G118" s="429">
        <v>100</v>
      </c>
      <c r="H118" s="380">
        <v>104</v>
      </c>
      <c r="I118" s="398"/>
      <c r="J118" s="398"/>
      <c r="K118" s="407"/>
      <c r="L118" s="407"/>
      <c r="M118" s="407"/>
      <c r="N118" s="446"/>
      <c r="O118" s="407"/>
      <c r="P118" s="407"/>
      <c r="Q118" s="407"/>
      <c r="R118" s="446"/>
      <c r="S118" s="437"/>
      <c r="T118" s="416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7"/>
      <c r="V118" s="417"/>
      <c r="W118" s="418"/>
      <c r="X118" s="419"/>
      <c r="Y118" s="420" t="str">
        <f t="shared" ca="1" si="5"/>
        <v/>
      </c>
      <c r="Z118" s="421" t="str">
        <f t="shared" ca="1" si="6"/>
        <v/>
      </c>
      <c r="AA118" s="420" t="str">
        <f t="shared" ca="1" si="7"/>
        <v/>
      </c>
      <c r="AB118" s="422" t="str">
        <f t="shared" ca="1" si="8"/>
        <v/>
      </c>
      <c r="AC118" s="421" t="str">
        <f t="shared" ca="1" si="9"/>
        <v/>
      </c>
      <c r="AD118" s="221"/>
    </row>
    <row r="119" spans="1:30" customFormat="1" ht="15">
      <c r="A119" s="221"/>
      <c r="B119" s="270">
        <v>81</v>
      </c>
      <c r="C119" s="68" t="s">
        <v>591</v>
      </c>
      <c r="D119" s="249">
        <v>1</v>
      </c>
      <c r="E119" s="241"/>
      <c r="F119" s="226">
        <v>0.4</v>
      </c>
      <c r="G119" s="429">
        <v>100</v>
      </c>
      <c r="H119" s="380">
        <v>105</v>
      </c>
      <c r="I119" s="398"/>
      <c r="J119" s="398"/>
      <c r="K119" s="407"/>
      <c r="L119" s="407"/>
      <c r="M119" s="407"/>
      <c r="N119" s="446"/>
      <c r="O119" s="407"/>
      <c r="P119" s="407"/>
      <c r="Q119" s="407"/>
      <c r="R119" s="446"/>
      <c r="S119" s="437"/>
      <c r="T119" s="416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7"/>
      <c r="V119" s="417"/>
      <c r="W119" s="418"/>
      <c r="X119" s="419"/>
      <c r="Y119" s="420" t="str">
        <f t="shared" ca="1" si="5"/>
        <v/>
      </c>
      <c r="Z119" s="421" t="str">
        <f t="shared" ca="1" si="6"/>
        <v/>
      </c>
      <c r="AA119" s="420" t="str">
        <f t="shared" ca="1" si="7"/>
        <v/>
      </c>
      <c r="AB119" s="422" t="str">
        <f t="shared" ca="1" si="8"/>
        <v/>
      </c>
      <c r="AC119" s="421" t="str">
        <f t="shared" ca="1" si="9"/>
        <v/>
      </c>
      <c r="AD119" s="221"/>
    </row>
    <row r="120" spans="1:30" customFormat="1" ht="15">
      <c r="A120" s="221"/>
      <c r="B120" s="270">
        <v>82</v>
      </c>
      <c r="C120" s="68" t="s">
        <v>601</v>
      </c>
      <c r="D120" s="249">
        <v>1</v>
      </c>
      <c r="E120" s="241"/>
      <c r="F120" s="226">
        <v>0.4</v>
      </c>
      <c r="G120" s="429">
        <v>100</v>
      </c>
      <c r="H120" s="380">
        <v>106</v>
      </c>
      <c r="I120" s="398"/>
      <c r="J120" s="398"/>
      <c r="K120" s="407"/>
      <c r="L120" s="407"/>
      <c r="M120" s="407"/>
      <c r="N120" s="446"/>
      <c r="O120" s="407"/>
      <c r="P120" s="407"/>
      <c r="Q120" s="407"/>
      <c r="R120" s="446"/>
      <c r="S120" s="437"/>
      <c r="T120" s="416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7"/>
      <c r="V120" s="417"/>
      <c r="W120" s="418"/>
      <c r="X120" s="419"/>
      <c r="Y120" s="420" t="str">
        <f t="shared" ca="1" si="5"/>
        <v/>
      </c>
      <c r="Z120" s="421" t="str">
        <f t="shared" ca="1" si="6"/>
        <v/>
      </c>
      <c r="AA120" s="420" t="str">
        <f t="shared" ca="1" si="7"/>
        <v/>
      </c>
      <c r="AB120" s="422" t="str">
        <f t="shared" ca="1" si="8"/>
        <v/>
      </c>
      <c r="AC120" s="421" t="str">
        <f t="shared" ca="1" si="9"/>
        <v/>
      </c>
      <c r="AD120" s="221"/>
    </row>
    <row r="121" spans="1:30" customFormat="1" ht="15">
      <c r="A121" s="221"/>
      <c r="B121" s="270">
        <v>83</v>
      </c>
      <c r="C121" s="68" t="s">
        <v>592</v>
      </c>
      <c r="D121" s="249">
        <v>1</v>
      </c>
      <c r="E121" s="241"/>
      <c r="F121" s="226">
        <v>0.4</v>
      </c>
      <c r="G121" s="429">
        <v>100</v>
      </c>
      <c r="H121" s="380">
        <v>107</v>
      </c>
      <c r="I121" s="398"/>
      <c r="J121" s="398"/>
      <c r="K121" s="407"/>
      <c r="L121" s="407"/>
      <c r="M121" s="407"/>
      <c r="N121" s="446"/>
      <c r="O121" s="407"/>
      <c r="P121" s="407"/>
      <c r="Q121" s="407"/>
      <c r="R121" s="446"/>
      <c r="S121" s="437"/>
      <c r="T121" s="416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7"/>
      <c r="V121" s="417"/>
      <c r="W121" s="418"/>
      <c r="X121" s="419"/>
      <c r="Y121" s="420" t="str">
        <f t="shared" ca="1" si="5"/>
        <v/>
      </c>
      <c r="Z121" s="421" t="str">
        <f t="shared" ca="1" si="6"/>
        <v/>
      </c>
      <c r="AA121" s="420" t="str">
        <f t="shared" ca="1" si="7"/>
        <v/>
      </c>
      <c r="AB121" s="422" t="str">
        <f t="shared" ca="1" si="8"/>
        <v/>
      </c>
      <c r="AC121" s="421" t="str">
        <f t="shared" ca="1" si="9"/>
        <v/>
      </c>
      <c r="AD121" s="221"/>
    </row>
    <row r="122" spans="1:30" customFormat="1" ht="15">
      <c r="A122" s="221"/>
      <c r="B122" s="270">
        <v>84</v>
      </c>
      <c r="C122" s="68" t="s">
        <v>593</v>
      </c>
      <c r="D122" s="249">
        <v>1</v>
      </c>
      <c r="E122" s="241"/>
      <c r="F122" s="226">
        <v>0.4</v>
      </c>
      <c r="G122" s="429">
        <v>100</v>
      </c>
      <c r="H122" s="380">
        <v>108</v>
      </c>
      <c r="I122" s="398"/>
      <c r="J122" s="398"/>
      <c r="K122" s="407"/>
      <c r="L122" s="407"/>
      <c r="M122" s="407"/>
      <c r="N122" s="446"/>
      <c r="O122" s="407"/>
      <c r="P122" s="407"/>
      <c r="Q122" s="407"/>
      <c r="R122" s="446"/>
      <c r="S122" s="437"/>
      <c r="T122" s="416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7"/>
      <c r="V122" s="417"/>
      <c r="W122" s="418"/>
      <c r="X122" s="419"/>
      <c r="Y122" s="420" t="str">
        <f t="shared" ca="1" si="5"/>
        <v/>
      </c>
      <c r="Z122" s="421" t="str">
        <f t="shared" ca="1" si="6"/>
        <v/>
      </c>
      <c r="AA122" s="420" t="str">
        <f t="shared" ca="1" si="7"/>
        <v/>
      </c>
      <c r="AB122" s="422" t="str">
        <f t="shared" ca="1" si="8"/>
        <v/>
      </c>
      <c r="AC122" s="421" t="str">
        <f t="shared" ca="1" si="9"/>
        <v/>
      </c>
      <c r="AD122" s="221"/>
    </row>
    <row r="123" spans="1:30" customFormat="1" ht="15">
      <c r="A123" s="221"/>
      <c r="B123" s="270">
        <v>85</v>
      </c>
      <c r="C123" s="68" t="s">
        <v>602</v>
      </c>
      <c r="D123" s="249">
        <v>1</v>
      </c>
      <c r="E123" s="241"/>
      <c r="F123" s="226">
        <v>0.4</v>
      </c>
      <c r="G123" s="429">
        <v>100</v>
      </c>
      <c r="H123" s="380">
        <v>109</v>
      </c>
      <c r="I123" s="398"/>
      <c r="J123" s="398"/>
      <c r="K123" s="407"/>
      <c r="L123" s="407"/>
      <c r="M123" s="407"/>
      <c r="N123" s="446"/>
      <c r="O123" s="407"/>
      <c r="P123" s="407"/>
      <c r="Q123" s="407"/>
      <c r="R123" s="446"/>
      <c r="S123" s="437"/>
      <c r="T123" s="416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7"/>
      <c r="V123" s="417"/>
      <c r="W123" s="418"/>
      <c r="X123" s="419"/>
      <c r="Y123" s="420" t="str">
        <f t="shared" ca="1" si="5"/>
        <v/>
      </c>
      <c r="Z123" s="421" t="str">
        <f t="shared" ca="1" si="6"/>
        <v/>
      </c>
      <c r="AA123" s="420" t="str">
        <f t="shared" ca="1" si="7"/>
        <v/>
      </c>
      <c r="AB123" s="422" t="str">
        <f t="shared" ca="1" si="8"/>
        <v/>
      </c>
      <c r="AC123" s="421" t="str">
        <f t="shared" ca="1" si="9"/>
        <v/>
      </c>
      <c r="AD123" s="221"/>
    </row>
    <row r="124" spans="1:30" customFormat="1" ht="15">
      <c r="A124" s="221"/>
      <c r="B124" s="270">
        <v>86</v>
      </c>
      <c r="C124" s="68" t="s">
        <v>594</v>
      </c>
      <c r="D124" s="249">
        <v>1</v>
      </c>
      <c r="E124" s="241"/>
      <c r="F124" s="226">
        <v>0.4</v>
      </c>
      <c r="G124" s="429">
        <v>100</v>
      </c>
      <c r="H124" s="380">
        <v>110</v>
      </c>
      <c r="I124" s="398"/>
      <c r="J124" s="398"/>
      <c r="K124" s="407"/>
      <c r="L124" s="407"/>
      <c r="M124" s="407"/>
      <c r="N124" s="446"/>
      <c r="O124" s="407"/>
      <c r="P124" s="407"/>
      <c r="Q124" s="407"/>
      <c r="R124" s="446"/>
      <c r="S124" s="437"/>
      <c r="T124" s="416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7"/>
      <c r="V124" s="417"/>
      <c r="W124" s="418"/>
      <c r="X124" s="419"/>
      <c r="Y124" s="420" t="str">
        <f t="shared" ca="1" si="5"/>
        <v/>
      </c>
      <c r="Z124" s="421" t="str">
        <f t="shared" ca="1" si="6"/>
        <v/>
      </c>
      <c r="AA124" s="420" t="str">
        <f t="shared" ca="1" si="7"/>
        <v/>
      </c>
      <c r="AB124" s="422" t="str">
        <f t="shared" ca="1" si="8"/>
        <v/>
      </c>
      <c r="AC124" s="421" t="str">
        <f t="shared" ca="1" si="9"/>
        <v/>
      </c>
      <c r="AD124" s="221"/>
    </row>
    <row r="125" spans="1:30" customFormat="1" ht="15">
      <c r="A125" s="221"/>
      <c r="B125" s="270">
        <v>87</v>
      </c>
      <c r="C125" s="68" t="s">
        <v>631</v>
      </c>
      <c r="D125" s="249">
        <v>1</v>
      </c>
      <c r="E125" s="241"/>
      <c r="F125" s="226">
        <v>0.4</v>
      </c>
      <c r="G125" s="429">
        <v>100</v>
      </c>
      <c r="H125" s="380">
        <v>111</v>
      </c>
      <c r="I125" s="398"/>
      <c r="J125" s="398"/>
      <c r="K125" s="407"/>
      <c r="L125" s="407"/>
      <c r="M125" s="407"/>
      <c r="N125" s="446"/>
      <c r="O125" s="407"/>
      <c r="P125" s="407"/>
      <c r="Q125" s="407"/>
      <c r="R125" s="446"/>
      <c r="S125" s="437"/>
      <c r="T125" s="416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7"/>
      <c r="V125" s="417"/>
      <c r="W125" s="418"/>
      <c r="X125" s="419"/>
      <c r="Y125" s="420" t="str">
        <f t="shared" ca="1" si="5"/>
        <v/>
      </c>
      <c r="Z125" s="421" t="str">
        <f t="shared" ca="1" si="6"/>
        <v/>
      </c>
      <c r="AA125" s="420" t="str">
        <f t="shared" ca="1" si="7"/>
        <v/>
      </c>
      <c r="AB125" s="422" t="str">
        <f t="shared" ca="1" si="8"/>
        <v/>
      </c>
      <c r="AC125" s="421" t="str">
        <f t="shared" ca="1" si="9"/>
        <v/>
      </c>
      <c r="AD125" s="221"/>
    </row>
    <row r="126" spans="1:30" customFormat="1" ht="15">
      <c r="A126" s="221"/>
      <c r="B126" s="270">
        <v>88</v>
      </c>
      <c r="C126" s="68" t="s">
        <v>595</v>
      </c>
      <c r="D126" s="249">
        <v>1</v>
      </c>
      <c r="E126" s="241"/>
      <c r="F126" s="226">
        <v>0.4</v>
      </c>
      <c r="G126" s="429">
        <v>100</v>
      </c>
      <c r="H126" s="380">
        <v>112</v>
      </c>
      <c r="I126" s="398"/>
      <c r="J126" s="398"/>
      <c r="K126" s="407"/>
      <c r="L126" s="407"/>
      <c r="M126" s="407"/>
      <c r="N126" s="446"/>
      <c r="O126" s="407"/>
      <c r="P126" s="407"/>
      <c r="Q126" s="407"/>
      <c r="R126" s="446"/>
      <c r="S126" s="437"/>
      <c r="T126" s="416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7"/>
      <c r="V126" s="417"/>
      <c r="W126" s="418"/>
      <c r="X126" s="419"/>
      <c r="Y126" s="420" t="str">
        <f t="shared" ca="1" si="5"/>
        <v/>
      </c>
      <c r="Z126" s="421" t="str">
        <f t="shared" ca="1" si="6"/>
        <v/>
      </c>
      <c r="AA126" s="420" t="str">
        <f t="shared" ca="1" si="7"/>
        <v/>
      </c>
      <c r="AB126" s="422" t="str">
        <f t="shared" ca="1" si="8"/>
        <v/>
      </c>
      <c r="AC126" s="421" t="str">
        <f t="shared" ca="1" si="9"/>
        <v/>
      </c>
      <c r="AD126" s="221"/>
    </row>
    <row r="127" spans="1:30" customFormat="1" ht="15">
      <c r="A127" s="221"/>
      <c r="B127" s="270">
        <v>89</v>
      </c>
      <c r="C127" s="68" t="s">
        <v>603</v>
      </c>
      <c r="D127" s="249">
        <v>1</v>
      </c>
      <c r="E127" s="241"/>
      <c r="F127" s="226">
        <v>0.4</v>
      </c>
      <c r="G127" s="429">
        <v>100</v>
      </c>
      <c r="H127" s="380">
        <v>113</v>
      </c>
      <c r="I127" s="398"/>
      <c r="J127" s="398"/>
      <c r="K127" s="407"/>
      <c r="L127" s="407"/>
      <c r="M127" s="407"/>
      <c r="N127" s="446"/>
      <c r="O127" s="407"/>
      <c r="P127" s="407"/>
      <c r="Q127" s="407"/>
      <c r="R127" s="446"/>
      <c r="S127" s="437"/>
      <c r="T127" s="416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7"/>
      <c r="V127" s="417"/>
      <c r="W127" s="418"/>
      <c r="X127" s="419"/>
      <c r="Y127" s="420" t="str">
        <f t="shared" ca="1" si="5"/>
        <v/>
      </c>
      <c r="Z127" s="421" t="str">
        <f t="shared" ca="1" si="6"/>
        <v/>
      </c>
      <c r="AA127" s="420" t="str">
        <f t="shared" ca="1" si="7"/>
        <v/>
      </c>
      <c r="AB127" s="422" t="str">
        <f t="shared" ca="1" si="8"/>
        <v/>
      </c>
      <c r="AC127" s="421" t="str">
        <f t="shared" ca="1" si="9"/>
        <v/>
      </c>
      <c r="AD127" s="221"/>
    </row>
    <row r="128" spans="1:30" customFormat="1" ht="15">
      <c r="A128" s="221"/>
      <c r="B128" s="270">
        <v>90</v>
      </c>
      <c r="C128" s="68" t="s">
        <v>596</v>
      </c>
      <c r="D128" s="249">
        <v>1</v>
      </c>
      <c r="E128" s="241"/>
      <c r="F128" s="226">
        <v>0.4</v>
      </c>
      <c r="G128" s="429">
        <v>100</v>
      </c>
      <c r="H128" s="380">
        <v>114</v>
      </c>
      <c r="I128" s="398"/>
      <c r="J128" s="398"/>
      <c r="K128" s="407"/>
      <c r="L128" s="407"/>
      <c r="M128" s="407"/>
      <c r="N128" s="446"/>
      <c r="O128" s="407"/>
      <c r="P128" s="407"/>
      <c r="Q128" s="407"/>
      <c r="R128" s="446"/>
      <c r="S128" s="437"/>
      <c r="T128" s="416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7"/>
      <c r="V128" s="417"/>
      <c r="W128" s="418"/>
      <c r="X128" s="419"/>
      <c r="Y128" s="420" t="str">
        <f t="shared" ca="1" si="5"/>
        <v/>
      </c>
      <c r="Z128" s="421" t="str">
        <f t="shared" ca="1" si="6"/>
        <v/>
      </c>
      <c r="AA128" s="420" t="str">
        <f t="shared" ca="1" si="7"/>
        <v/>
      </c>
      <c r="AB128" s="422" t="str">
        <f t="shared" ca="1" si="8"/>
        <v/>
      </c>
      <c r="AC128" s="421" t="str">
        <f t="shared" ca="1" si="9"/>
        <v/>
      </c>
      <c r="AD128" s="221"/>
    </row>
    <row r="129" spans="1:30" customFormat="1" ht="15">
      <c r="A129" s="221"/>
      <c r="B129" s="270">
        <v>91</v>
      </c>
      <c r="C129" s="68" t="s">
        <v>604</v>
      </c>
      <c r="D129" s="249">
        <v>1</v>
      </c>
      <c r="E129" s="241"/>
      <c r="F129" s="226">
        <v>0.4</v>
      </c>
      <c r="G129" s="429">
        <v>100</v>
      </c>
      <c r="H129" s="380">
        <v>115</v>
      </c>
      <c r="I129" s="398"/>
      <c r="J129" s="398"/>
      <c r="K129" s="407"/>
      <c r="L129" s="407"/>
      <c r="M129" s="407"/>
      <c r="N129" s="446"/>
      <c r="O129" s="407"/>
      <c r="P129" s="407"/>
      <c r="Q129" s="407"/>
      <c r="R129" s="446"/>
      <c r="S129" s="437"/>
      <c r="T129" s="416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7"/>
      <c r="V129" s="417"/>
      <c r="W129" s="418"/>
      <c r="X129" s="419"/>
      <c r="Y129" s="420" t="str">
        <f t="shared" ca="1" si="5"/>
        <v/>
      </c>
      <c r="Z129" s="421" t="str">
        <f t="shared" ca="1" si="6"/>
        <v/>
      </c>
      <c r="AA129" s="420" t="str">
        <f t="shared" ca="1" si="7"/>
        <v/>
      </c>
      <c r="AB129" s="422" t="str">
        <f t="shared" ca="1" si="8"/>
        <v/>
      </c>
      <c r="AC129" s="421" t="str">
        <f t="shared" ca="1" si="9"/>
        <v/>
      </c>
      <c r="AD129" s="221"/>
    </row>
    <row r="130" spans="1:30" customFormat="1" ht="15">
      <c r="A130" s="221"/>
      <c r="B130" s="270">
        <v>92</v>
      </c>
      <c r="C130" s="68" t="s">
        <v>597</v>
      </c>
      <c r="D130" s="249">
        <v>1</v>
      </c>
      <c r="E130" s="241"/>
      <c r="F130" s="226">
        <v>0.4</v>
      </c>
      <c r="G130" s="429">
        <v>100</v>
      </c>
      <c r="H130" s="380">
        <v>116</v>
      </c>
      <c r="I130" s="398"/>
      <c r="J130" s="398"/>
      <c r="K130" s="407"/>
      <c r="L130" s="407"/>
      <c r="M130" s="407"/>
      <c r="N130" s="446"/>
      <c r="O130" s="407"/>
      <c r="P130" s="407"/>
      <c r="Q130" s="407"/>
      <c r="R130" s="446"/>
      <c r="S130" s="437"/>
      <c r="T130" s="416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7"/>
      <c r="V130" s="417"/>
      <c r="W130" s="418"/>
      <c r="X130" s="419"/>
      <c r="Y130" s="420" t="str">
        <f t="shared" ca="1" si="5"/>
        <v/>
      </c>
      <c r="Z130" s="421" t="str">
        <f t="shared" ca="1" si="6"/>
        <v/>
      </c>
      <c r="AA130" s="420" t="str">
        <f t="shared" ca="1" si="7"/>
        <v/>
      </c>
      <c r="AB130" s="422" t="str">
        <f t="shared" ca="1" si="8"/>
        <v/>
      </c>
      <c r="AC130" s="421" t="str">
        <f t="shared" ca="1" si="9"/>
        <v/>
      </c>
      <c r="AD130" s="221"/>
    </row>
    <row r="131" spans="1:30" customFormat="1" ht="15">
      <c r="A131" s="221"/>
      <c r="B131" s="270">
        <v>93</v>
      </c>
      <c r="C131" s="68" t="s">
        <v>598</v>
      </c>
      <c r="D131" s="249">
        <v>1</v>
      </c>
      <c r="E131" s="241"/>
      <c r="F131" s="226">
        <v>0.4</v>
      </c>
      <c r="G131" s="429">
        <v>100</v>
      </c>
      <c r="H131" s="380">
        <v>117</v>
      </c>
      <c r="I131" s="398"/>
      <c r="J131" s="398"/>
      <c r="K131" s="407"/>
      <c r="L131" s="407"/>
      <c r="M131" s="407"/>
      <c r="N131" s="446"/>
      <c r="O131" s="407"/>
      <c r="P131" s="407"/>
      <c r="Q131" s="407"/>
      <c r="R131" s="446"/>
      <c r="S131" s="437"/>
      <c r="T131" s="416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7"/>
      <c r="V131" s="417"/>
      <c r="W131" s="418"/>
      <c r="X131" s="419"/>
      <c r="Y131" s="420" t="str">
        <f t="shared" ca="1" si="5"/>
        <v/>
      </c>
      <c r="Z131" s="421" t="str">
        <f t="shared" ca="1" si="6"/>
        <v/>
      </c>
      <c r="AA131" s="420" t="str">
        <f t="shared" ca="1" si="7"/>
        <v/>
      </c>
      <c r="AB131" s="422" t="str">
        <f t="shared" ca="1" si="8"/>
        <v/>
      </c>
      <c r="AC131" s="421" t="str">
        <f t="shared" ca="1" si="9"/>
        <v/>
      </c>
      <c r="AD131" s="221"/>
    </row>
    <row r="132" spans="1:30" customFormat="1" ht="15">
      <c r="A132" s="221"/>
      <c r="B132" s="270">
        <v>94</v>
      </c>
      <c r="C132" s="68" t="s">
        <v>599</v>
      </c>
      <c r="D132" s="249">
        <v>1</v>
      </c>
      <c r="E132" s="241"/>
      <c r="F132" s="226">
        <v>0.4</v>
      </c>
      <c r="G132" s="429">
        <v>100</v>
      </c>
      <c r="H132" s="380">
        <v>118</v>
      </c>
      <c r="I132" s="398"/>
      <c r="J132" s="398"/>
      <c r="K132" s="407"/>
      <c r="L132" s="407"/>
      <c r="M132" s="407"/>
      <c r="N132" s="446"/>
      <c r="O132" s="407"/>
      <c r="P132" s="407"/>
      <c r="Q132" s="407"/>
      <c r="R132" s="446"/>
      <c r="S132" s="437"/>
      <c r="T132" s="416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7"/>
      <c r="V132" s="417"/>
      <c r="W132" s="418"/>
      <c r="X132" s="419"/>
      <c r="Y132" s="420" t="str">
        <f t="shared" ca="1" si="5"/>
        <v/>
      </c>
      <c r="Z132" s="421" t="str">
        <f t="shared" ca="1" si="6"/>
        <v/>
      </c>
      <c r="AA132" s="420" t="str">
        <f t="shared" ca="1" si="7"/>
        <v/>
      </c>
      <c r="AB132" s="422" t="str">
        <f t="shared" ca="1" si="8"/>
        <v/>
      </c>
      <c r="AC132" s="421" t="str">
        <f t="shared" ca="1" si="9"/>
        <v/>
      </c>
      <c r="AD132" s="221"/>
    </row>
    <row r="133" spans="1:30" customFormat="1" ht="15">
      <c r="A133" s="221"/>
      <c r="B133" s="270">
        <v>95</v>
      </c>
      <c r="C133" s="68" t="s">
        <v>600</v>
      </c>
      <c r="D133" s="249">
        <v>1</v>
      </c>
      <c r="E133" s="241"/>
      <c r="F133" s="226">
        <v>0.4</v>
      </c>
      <c r="G133" s="429">
        <v>100</v>
      </c>
      <c r="H133" s="380">
        <v>119</v>
      </c>
      <c r="I133" s="398"/>
      <c r="J133" s="398"/>
      <c r="K133" s="407"/>
      <c r="L133" s="407"/>
      <c r="M133" s="407"/>
      <c r="N133" s="446"/>
      <c r="O133" s="407"/>
      <c r="P133" s="407"/>
      <c r="Q133" s="407"/>
      <c r="R133" s="446"/>
      <c r="S133" s="437"/>
      <c r="T133" s="416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7"/>
      <c r="V133" s="417"/>
      <c r="W133" s="418"/>
      <c r="X133" s="419"/>
      <c r="Y133" s="420" t="str">
        <f t="shared" ca="1" si="5"/>
        <v/>
      </c>
      <c r="Z133" s="421" t="str">
        <f t="shared" ca="1" si="6"/>
        <v/>
      </c>
      <c r="AA133" s="420" t="str">
        <f t="shared" ca="1" si="7"/>
        <v/>
      </c>
      <c r="AB133" s="422" t="str">
        <f t="shared" ca="1" si="8"/>
        <v/>
      </c>
      <c r="AC133" s="421" t="str">
        <f t="shared" ca="1" si="9"/>
        <v/>
      </c>
      <c r="AD133" s="221"/>
    </row>
    <row r="134" spans="1:30" customFormat="1" ht="15">
      <c r="A134" s="221"/>
      <c r="B134" s="270">
        <v>96</v>
      </c>
      <c r="C134" s="248"/>
      <c r="D134" s="249"/>
      <c r="E134" s="241"/>
      <c r="F134" s="226"/>
      <c r="G134" s="429"/>
      <c r="H134" s="380">
        <v>120</v>
      </c>
      <c r="I134" s="398"/>
      <c r="J134" s="398"/>
      <c r="K134" s="407"/>
      <c r="L134" s="407"/>
      <c r="M134" s="407"/>
      <c r="N134" s="446"/>
      <c r="O134" s="407"/>
      <c r="P134" s="407"/>
      <c r="Q134" s="407"/>
      <c r="R134" s="446"/>
      <c r="S134" s="437"/>
      <c r="T134" s="416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7"/>
      <c r="V134" s="417"/>
      <c r="W134" s="418"/>
      <c r="X134" s="419"/>
      <c r="Y134" s="420" t="str">
        <f t="shared" ca="1" si="5"/>
        <v/>
      </c>
      <c r="Z134" s="421" t="str">
        <f t="shared" ca="1" si="6"/>
        <v/>
      </c>
      <c r="AA134" s="420" t="str">
        <f t="shared" ca="1" si="7"/>
        <v/>
      </c>
      <c r="AB134" s="422" t="str">
        <f t="shared" ca="1" si="8"/>
        <v/>
      </c>
      <c r="AC134" s="421" t="str">
        <f t="shared" ca="1" si="9"/>
        <v/>
      </c>
      <c r="AD134" s="221"/>
    </row>
    <row r="135" spans="1:30" customFormat="1" ht="15">
      <c r="A135" s="221"/>
      <c r="B135" s="270">
        <v>97</v>
      </c>
      <c r="C135" s="248"/>
      <c r="D135" s="249"/>
      <c r="E135" s="241"/>
      <c r="F135" s="226"/>
      <c r="G135" s="429"/>
      <c r="H135" s="380">
        <v>121</v>
      </c>
      <c r="I135" s="398"/>
      <c r="J135" s="398"/>
      <c r="K135" s="407"/>
      <c r="L135" s="407"/>
      <c r="M135" s="407"/>
      <c r="N135" s="446"/>
      <c r="O135" s="407"/>
      <c r="P135" s="407"/>
      <c r="Q135" s="407"/>
      <c r="R135" s="446"/>
      <c r="S135" s="437"/>
      <c r="T135" s="416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7"/>
      <c r="V135" s="417"/>
      <c r="W135" s="418"/>
      <c r="X135" s="419"/>
      <c r="Y135" s="420" t="str">
        <f t="shared" ca="1" si="5"/>
        <v/>
      </c>
      <c r="Z135" s="421" t="str">
        <f t="shared" ca="1" si="6"/>
        <v/>
      </c>
      <c r="AA135" s="420" t="str">
        <f t="shared" ca="1" si="7"/>
        <v/>
      </c>
      <c r="AB135" s="422" t="str">
        <f t="shared" ca="1" si="8"/>
        <v/>
      </c>
      <c r="AC135" s="421" t="str">
        <f t="shared" ca="1" si="9"/>
        <v/>
      </c>
      <c r="AD135" s="221"/>
    </row>
    <row r="136" spans="1:30" customFormat="1" ht="15">
      <c r="A136" s="221"/>
      <c r="B136" s="270">
        <v>98</v>
      </c>
      <c r="C136" s="248"/>
      <c r="D136" s="249"/>
      <c r="E136" s="241"/>
      <c r="F136" s="226"/>
      <c r="G136" s="429"/>
      <c r="H136" s="380">
        <v>122</v>
      </c>
      <c r="I136" s="398"/>
      <c r="J136" s="398"/>
      <c r="K136" s="407"/>
      <c r="L136" s="407"/>
      <c r="M136" s="407"/>
      <c r="N136" s="446"/>
      <c r="O136" s="407"/>
      <c r="P136" s="407"/>
      <c r="Q136" s="407"/>
      <c r="R136" s="446"/>
      <c r="S136" s="437"/>
      <c r="T136" s="416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7"/>
      <c r="V136" s="417"/>
      <c r="W136" s="418"/>
      <c r="X136" s="419"/>
      <c r="Y136" s="420" t="str">
        <f t="shared" ca="1" si="5"/>
        <v/>
      </c>
      <c r="Z136" s="421" t="str">
        <f t="shared" ca="1" si="6"/>
        <v/>
      </c>
      <c r="AA136" s="420" t="str">
        <f t="shared" ca="1" si="7"/>
        <v/>
      </c>
      <c r="AB136" s="422" t="str">
        <f t="shared" ca="1" si="8"/>
        <v/>
      </c>
      <c r="AC136" s="421" t="str">
        <f t="shared" ca="1" si="9"/>
        <v/>
      </c>
      <c r="AD136" s="221"/>
    </row>
    <row r="137" spans="1:30" customFormat="1" ht="15">
      <c r="A137" s="221"/>
      <c r="B137" s="270">
        <v>99</v>
      </c>
      <c r="C137" s="248"/>
      <c r="D137" s="249"/>
      <c r="E137" s="241"/>
      <c r="F137" s="226"/>
      <c r="G137" s="429"/>
      <c r="H137" s="380">
        <v>123</v>
      </c>
      <c r="I137" s="398"/>
      <c r="J137" s="398"/>
      <c r="K137" s="407"/>
      <c r="L137" s="407"/>
      <c r="M137" s="407"/>
      <c r="N137" s="446"/>
      <c r="O137" s="407"/>
      <c r="P137" s="407"/>
      <c r="Q137" s="407"/>
      <c r="R137" s="446"/>
      <c r="S137" s="437"/>
      <c r="T137" s="416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7"/>
      <c r="V137" s="417"/>
      <c r="W137" s="418"/>
      <c r="X137" s="419"/>
      <c r="Y137" s="420" t="str">
        <f t="shared" ca="1" si="5"/>
        <v/>
      </c>
      <c r="Z137" s="421" t="str">
        <f t="shared" ca="1" si="6"/>
        <v/>
      </c>
      <c r="AA137" s="420" t="str">
        <f t="shared" ca="1" si="7"/>
        <v/>
      </c>
      <c r="AB137" s="422" t="str">
        <f t="shared" ca="1" si="8"/>
        <v/>
      </c>
      <c r="AC137" s="421" t="str">
        <f t="shared" ca="1" si="9"/>
        <v/>
      </c>
      <c r="AD137" s="221"/>
    </row>
    <row r="138" spans="1:30" customFormat="1" ht="15">
      <c r="A138" s="221"/>
      <c r="B138" s="270">
        <v>100</v>
      </c>
      <c r="C138" s="248"/>
      <c r="D138" s="249"/>
      <c r="E138" s="241"/>
      <c r="F138" s="226"/>
      <c r="G138" s="429"/>
      <c r="H138" s="380">
        <v>124</v>
      </c>
      <c r="I138" s="398"/>
      <c r="J138" s="398"/>
      <c r="K138" s="407"/>
      <c r="L138" s="407"/>
      <c r="M138" s="407"/>
      <c r="N138" s="446"/>
      <c r="O138" s="407"/>
      <c r="P138" s="407"/>
      <c r="Q138" s="407"/>
      <c r="R138" s="446"/>
      <c r="S138" s="437"/>
      <c r="T138" s="416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7"/>
      <c r="V138" s="417"/>
      <c r="W138" s="418"/>
      <c r="X138" s="419"/>
      <c r="Y138" s="420" t="str">
        <f t="shared" ca="1" si="5"/>
        <v/>
      </c>
      <c r="Z138" s="421" t="str">
        <f t="shared" ca="1" si="6"/>
        <v/>
      </c>
      <c r="AA138" s="420" t="str">
        <f t="shared" ca="1" si="7"/>
        <v/>
      </c>
      <c r="AB138" s="422" t="str">
        <f t="shared" ca="1" si="8"/>
        <v/>
      </c>
      <c r="AC138" s="421" t="str">
        <f t="shared" ca="1" si="9"/>
        <v/>
      </c>
      <c r="AD138" s="221"/>
    </row>
    <row r="139" spans="1:30" customFormat="1" ht="15">
      <c r="A139" s="221"/>
      <c r="B139" s="270">
        <v>101</v>
      </c>
      <c r="C139" s="248"/>
      <c r="D139" s="249"/>
      <c r="E139" s="241"/>
      <c r="F139" s="226"/>
      <c r="G139" s="233"/>
      <c r="H139" s="380">
        <v>125</v>
      </c>
      <c r="I139" s="398"/>
      <c r="J139" s="398"/>
      <c r="K139" s="407"/>
      <c r="L139" s="407"/>
      <c r="M139" s="407"/>
      <c r="N139" s="446"/>
      <c r="O139" s="407"/>
      <c r="P139" s="407"/>
      <c r="Q139" s="407"/>
      <c r="R139" s="446"/>
      <c r="S139" s="437"/>
      <c r="T139" s="416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7"/>
      <c r="V139" s="417"/>
      <c r="W139" s="418"/>
      <c r="X139" s="419"/>
      <c r="Y139" s="420" t="str">
        <f t="shared" ca="1" si="5"/>
        <v/>
      </c>
      <c r="Z139" s="421" t="str">
        <f t="shared" ca="1" si="6"/>
        <v/>
      </c>
      <c r="AA139" s="420" t="str">
        <f t="shared" ca="1" si="7"/>
        <v/>
      </c>
      <c r="AB139" s="422" t="str">
        <f t="shared" ca="1" si="8"/>
        <v/>
      </c>
      <c r="AC139" s="421" t="str">
        <f t="shared" ca="1" si="9"/>
        <v/>
      </c>
      <c r="AD139" s="221"/>
    </row>
    <row r="140" spans="1:30" customFormat="1" ht="15">
      <c r="A140" s="221"/>
      <c r="B140" s="270">
        <v>102</v>
      </c>
      <c r="C140" s="248"/>
      <c r="D140" s="249"/>
      <c r="E140" s="241"/>
      <c r="F140" s="226"/>
      <c r="G140" s="233"/>
      <c r="H140" s="380">
        <v>126</v>
      </c>
      <c r="I140" s="398"/>
      <c r="J140" s="398"/>
      <c r="K140" s="407"/>
      <c r="L140" s="407"/>
      <c r="M140" s="398"/>
      <c r="N140" s="447"/>
      <c r="O140" s="398"/>
      <c r="P140" s="398"/>
      <c r="Q140" s="398"/>
      <c r="R140" s="447"/>
      <c r="S140" s="437"/>
      <c r="T140" s="416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7"/>
      <c r="V140" s="417"/>
      <c r="W140" s="418"/>
      <c r="X140" s="419"/>
      <c r="Y140" s="420" t="str">
        <f t="shared" ca="1" si="5"/>
        <v/>
      </c>
      <c r="Z140" s="421" t="str">
        <f t="shared" ca="1" si="6"/>
        <v/>
      </c>
      <c r="AA140" s="420" t="str">
        <f t="shared" ca="1" si="7"/>
        <v/>
      </c>
      <c r="AB140" s="422" t="str">
        <f t="shared" ca="1" si="8"/>
        <v/>
      </c>
      <c r="AC140" s="421" t="str">
        <f t="shared" ca="1" si="9"/>
        <v/>
      </c>
      <c r="AD140" s="221"/>
    </row>
    <row r="141" spans="1:30" customFormat="1" ht="15">
      <c r="A141" s="221"/>
      <c r="B141" s="270">
        <v>103</v>
      </c>
      <c r="C141" s="248"/>
      <c r="D141" s="249"/>
      <c r="E141" s="241"/>
      <c r="F141" s="226"/>
      <c r="G141" s="233"/>
      <c r="H141" s="380">
        <v>127</v>
      </c>
      <c r="I141" s="398"/>
      <c r="J141" s="398"/>
      <c r="K141" s="407"/>
      <c r="L141" s="407"/>
      <c r="M141" s="398"/>
      <c r="N141" s="447"/>
      <c r="O141" s="398"/>
      <c r="P141" s="398"/>
      <c r="Q141" s="398"/>
      <c r="R141" s="447"/>
      <c r="S141" s="437"/>
      <c r="T141" s="416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7"/>
      <c r="V141" s="417"/>
      <c r="W141" s="418"/>
      <c r="X141" s="419"/>
      <c r="Y141" s="420" t="str">
        <f t="shared" ca="1" si="5"/>
        <v/>
      </c>
      <c r="Z141" s="421" t="str">
        <f t="shared" ca="1" si="6"/>
        <v/>
      </c>
      <c r="AA141" s="420" t="str">
        <f t="shared" ca="1" si="7"/>
        <v/>
      </c>
      <c r="AB141" s="422" t="str">
        <f t="shared" ca="1" si="8"/>
        <v/>
      </c>
      <c r="AC141" s="421" t="str">
        <f t="shared" ca="1" si="9"/>
        <v/>
      </c>
      <c r="AD141" s="221"/>
    </row>
    <row r="142" spans="1:30" customFormat="1" ht="15">
      <c r="A142" s="221"/>
      <c r="B142" s="270">
        <v>104</v>
      </c>
      <c r="C142" s="248"/>
      <c r="D142" s="249"/>
      <c r="E142" s="241"/>
      <c r="F142" s="226"/>
      <c r="G142" s="233"/>
      <c r="H142" s="380">
        <v>128</v>
      </c>
      <c r="I142" s="398"/>
      <c r="J142" s="398"/>
      <c r="K142" s="407"/>
      <c r="L142" s="407"/>
      <c r="M142" s="398"/>
      <c r="N142" s="447"/>
      <c r="O142" s="398"/>
      <c r="P142" s="398"/>
      <c r="Q142" s="398"/>
      <c r="R142" s="447"/>
      <c r="S142" s="437"/>
      <c r="T142" s="416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7"/>
      <c r="V142" s="417"/>
      <c r="W142" s="418"/>
      <c r="X142" s="419"/>
      <c r="Y142" s="420" t="str">
        <f t="shared" ca="1" si="5"/>
        <v/>
      </c>
      <c r="Z142" s="421" t="str">
        <f t="shared" ca="1" si="6"/>
        <v/>
      </c>
      <c r="AA142" s="420" t="str">
        <f t="shared" ca="1" si="7"/>
        <v/>
      </c>
      <c r="AB142" s="422" t="str">
        <f t="shared" ca="1" si="8"/>
        <v/>
      </c>
      <c r="AC142" s="421" t="str">
        <f t="shared" ca="1" si="9"/>
        <v/>
      </c>
      <c r="AD142" s="221"/>
    </row>
    <row r="143" spans="1:30" customFormat="1" ht="15">
      <c r="A143" s="221"/>
      <c r="B143" s="270">
        <v>105</v>
      </c>
      <c r="C143" s="248"/>
      <c r="D143" s="249"/>
      <c r="E143" s="241"/>
      <c r="F143" s="226"/>
      <c r="G143" s="233"/>
      <c r="H143" s="380">
        <v>129</v>
      </c>
      <c r="I143" s="398"/>
      <c r="J143" s="398"/>
      <c r="K143" s="407"/>
      <c r="L143" s="407"/>
      <c r="M143" s="398"/>
      <c r="N143" s="447"/>
      <c r="O143" s="398"/>
      <c r="P143" s="398"/>
      <c r="Q143" s="398"/>
      <c r="R143" s="447"/>
      <c r="S143" s="437"/>
      <c r="T143" s="416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7"/>
      <c r="V143" s="417"/>
      <c r="W143" s="418"/>
      <c r="X143" s="419"/>
      <c r="Y143" s="420" t="str">
        <f t="shared" ca="1" si="5"/>
        <v/>
      </c>
      <c r="Z143" s="421" t="str">
        <f t="shared" ca="1" si="6"/>
        <v/>
      </c>
      <c r="AA143" s="420" t="str">
        <f t="shared" ca="1" si="7"/>
        <v/>
      </c>
      <c r="AB143" s="422" t="str">
        <f t="shared" ca="1" si="8"/>
        <v/>
      </c>
      <c r="AC143" s="421" t="str">
        <f t="shared" ca="1" si="9"/>
        <v/>
      </c>
      <c r="AD143" s="221"/>
    </row>
    <row r="144" spans="1:30" customFormat="1" ht="15">
      <c r="A144" s="221"/>
      <c r="B144" s="270">
        <v>106</v>
      </c>
      <c r="C144" s="248"/>
      <c r="D144" s="249"/>
      <c r="E144" s="241"/>
      <c r="F144" s="226"/>
      <c r="G144" s="233"/>
      <c r="H144" s="380">
        <v>130</v>
      </c>
      <c r="I144" s="398"/>
      <c r="J144" s="398"/>
      <c r="K144" s="407"/>
      <c r="L144" s="407"/>
      <c r="M144" s="398"/>
      <c r="N144" s="447"/>
      <c r="O144" s="398"/>
      <c r="P144" s="398"/>
      <c r="Q144" s="398"/>
      <c r="R144" s="447"/>
      <c r="S144" s="437"/>
      <c r="T144" s="416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7"/>
      <c r="V144" s="417"/>
      <c r="W144" s="418"/>
      <c r="X144" s="419"/>
      <c r="Y144" s="420" t="str">
        <f t="shared" ref="Y144:Y207" ca="1" si="10">IF($U$12,IF(T144="","",$U$13*D168/$C$18),"")</f>
        <v/>
      </c>
      <c r="Z144" s="421" t="str">
        <f t="shared" ref="Z144:Z207" ca="1" si="11">IF($U$12,IF(Y144="","",Y144*($Z$10-W144)*X144),"")</f>
        <v/>
      </c>
      <c r="AA144" s="420" t="str">
        <f t="shared" ref="AA144:AA207" ca="1" si="12">IF($U$12,IF(OR(T144="",L144=""),"",L144/($C$20-$C$19)),"")</f>
        <v/>
      </c>
      <c r="AB144" s="422" t="str">
        <f t="shared" ref="AB144:AB207" ca="1" si="13">IF($U$12,IF(W144="","",W144*$AC$10),"")</f>
        <v/>
      </c>
      <c r="AC144" s="421" t="str">
        <f t="shared" ref="AC144:AC207" ca="1" si="14">IF($U$12,IF(AA144="","",AA144*(AB144-W144)*X144),"")</f>
        <v/>
      </c>
      <c r="AD144" s="221"/>
    </row>
    <row r="145" spans="1:30" customFormat="1" ht="15">
      <c r="A145" s="221"/>
      <c r="B145" s="270">
        <v>107</v>
      </c>
      <c r="C145" s="248"/>
      <c r="D145" s="249"/>
      <c r="E145" s="241"/>
      <c r="F145" s="226"/>
      <c r="G145" s="233"/>
      <c r="H145" s="380">
        <v>131</v>
      </c>
      <c r="I145" s="398"/>
      <c r="J145" s="398"/>
      <c r="K145" s="407"/>
      <c r="L145" s="407"/>
      <c r="M145" s="398"/>
      <c r="N145" s="447"/>
      <c r="O145" s="398"/>
      <c r="P145" s="398"/>
      <c r="Q145" s="398"/>
      <c r="R145" s="447"/>
      <c r="S145" s="437"/>
      <c r="T145" s="416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7"/>
      <c r="V145" s="417"/>
      <c r="W145" s="418"/>
      <c r="X145" s="419"/>
      <c r="Y145" s="420" t="str">
        <f t="shared" ca="1" si="10"/>
        <v/>
      </c>
      <c r="Z145" s="421" t="str">
        <f t="shared" ca="1" si="11"/>
        <v/>
      </c>
      <c r="AA145" s="420" t="str">
        <f t="shared" ca="1" si="12"/>
        <v/>
      </c>
      <c r="AB145" s="422" t="str">
        <f t="shared" ca="1" si="13"/>
        <v/>
      </c>
      <c r="AC145" s="421" t="str">
        <f t="shared" ca="1" si="14"/>
        <v/>
      </c>
      <c r="AD145" s="221"/>
    </row>
    <row r="146" spans="1:30" customFormat="1" ht="15">
      <c r="A146" s="221"/>
      <c r="B146" s="270">
        <v>108</v>
      </c>
      <c r="C146" s="248"/>
      <c r="D146" s="249"/>
      <c r="E146" s="241"/>
      <c r="F146" s="226"/>
      <c r="G146" s="233"/>
      <c r="H146" s="380">
        <v>132</v>
      </c>
      <c r="I146" s="398"/>
      <c r="J146" s="398"/>
      <c r="K146" s="407"/>
      <c r="L146" s="407"/>
      <c r="M146" s="398"/>
      <c r="N146" s="447"/>
      <c r="O146" s="398"/>
      <c r="P146" s="398"/>
      <c r="Q146" s="398"/>
      <c r="R146" s="447"/>
      <c r="S146" s="437"/>
      <c r="T146" s="416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7"/>
      <c r="V146" s="417"/>
      <c r="W146" s="418"/>
      <c r="X146" s="419"/>
      <c r="Y146" s="420" t="str">
        <f t="shared" ca="1" si="10"/>
        <v/>
      </c>
      <c r="Z146" s="421" t="str">
        <f t="shared" ca="1" si="11"/>
        <v/>
      </c>
      <c r="AA146" s="420" t="str">
        <f t="shared" ca="1" si="12"/>
        <v/>
      </c>
      <c r="AB146" s="422" t="str">
        <f t="shared" ca="1" si="13"/>
        <v/>
      </c>
      <c r="AC146" s="421" t="str">
        <f t="shared" ca="1" si="14"/>
        <v/>
      </c>
      <c r="AD146" s="221"/>
    </row>
    <row r="147" spans="1:30" customFormat="1" ht="15">
      <c r="A147" s="221"/>
      <c r="B147" s="270">
        <v>109</v>
      </c>
      <c r="C147" s="248"/>
      <c r="D147" s="249"/>
      <c r="E147" s="241"/>
      <c r="F147" s="226"/>
      <c r="G147" s="233"/>
      <c r="H147" s="380">
        <v>133</v>
      </c>
      <c r="I147" s="398"/>
      <c r="J147" s="398"/>
      <c r="K147" s="407"/>
      <c r="L147" s="407"/>
      <c r="M147" s="398"/>
      <c r="N147" s="447"/>
      <c r="O147" s="398"/>
      <c r="P147" s="398"/>
      <c r="Q147" s="398"/>
      <c r="R147" s="447"/>
      <c r="S147" s="437"/>
      <c r="T147" s="416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7"/>
      <c r="V147" s="417"/>
      <c r="W147" s="418"/>
      <c r="X147" s="419"/>
      <c r="Y147" s="420" t="str">
        <f t="shared" ca="1" si="10"/>
        <v/>
      </c>
      <c r="Z147" s="421" t="str">
        <f t="shared" ca="1" si="11"/>
        <v/>
      </c>
      <c r="AA147" s="420" t="str">
        <f t="shared" ca="1" si="12"/>
        <v/>
      </c>
      <c r="AB147" s="422" t="str">
        <f t="shared" ca="1" si="13"/>
        <v/>
      </c>
      <c r="AC147" s="421" t="str">
        <f t="shared" ca="1" si="14"/>
        <v/>
      </c>
      <c r="AD147" s="221"/>
    </row>
    <row r="148" spans="1:30" customFormat="1" ht="15">
      <c r="A148" s="221"/>
      <c r="B148" s="270">
        <v>110</v>
      </c>
      <c r="C148" s="248"/>
      <c r="D148" s="249"/>
      <c r="E148" s="241"/>
      <c r="F148" s="226"/>
      <c r="G148" s="233"/>
      <c r="H148" s="380">
        <v>134</v>
      </c>
      <c r="I148" s="398"/>
      <c r="J148" s="398"/>
      <c r="K148" s="407"/>
      <c r="L148" s="407"/>
      <c r="M148" s="398"/>
      <c r="N148" s="447"/>
      <c r="O148" s="398"/>
      <c r="P148" s="398"/>
      <c r="Q148" s="398"/>
      <c r="R148" s="447"/>
      <c r="S148" s="437"/>
      <c r="T148" s="416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7"/>
      <c r="V148" s="417"/>
      <c r="W148" s="418"/>
      <c r="X148" s="419"/>
      <c r="Y148" s="420" t="str">
        <f t="shared" ca="1" si="10"/>
        <v/>
      </c>
      <c r="Z148" s="421" t="str">
        <f t="shared" ca="1" si="11"/>
        <v/>
      </c>
      <c r="AA148" s="420" t="str">
        <f t="shared" ca="1" si="12"/>
        <v/>
      </c>
      <c r="AB148" s="422" t="str">
        <f t="shared" ca="1" si="13"/>
        <v/>
      </c>
      <c r="AC148" s="421" t="str">
        <f t="shared" ca="1" si="14"/>
        <v/>
      </c>
      <c r="AD148" s="221"/>
    </row>
    <row r="149" spans="1:30" customFormat="1" ht="15">
      <c r="A149" s="221"/>
      <c r="B149" s="270">
        <v>111</v>
      </c>
      <c r="C149" s="248"/>
      <c r="D149" s="249"/>
      <c r="E149" s="241"/>
      <c r="F149" s="226"/>
      <c r="G149" s="233"/>
      <c r="H149" s="380">
        <v>135</v>
      </c>
      <c r="I149" s="398"/>
      <c r="J149" s="398"/>
      <c r="K149" s="407"/>
      <c r="L149" s="407"/>
      <c r="M149" s="398"/>
      <c r="N149" s="447"/>
      <c r="O149" s="398"/>
      <c r="P149" s="398"/>
      <c r="Q149" s="398"/>
      <c r="R149" s="447"/>
      <c r="S149" s="437"/>
      <c r="T149" s="416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7"/>
      <c r="V149" s="417"/>
      <c r="W149" s="418"/>
      <c r="X149" s="419"/>
      <c r="Y149" s="420" t="str">
        <f t="shared" ca="1" si="10"/>
        <v/>
      </c>
      <c r="Z149" s="421" t="str">
        <f t="shared" ca="1" si="11"/>
        <v/>
      </c>
      <c r="AA149" s="420" t="str">
        <f t="shared" ca="1" si="12"/>
        <v/>
      </c>
      <c r="AB149" s="422" t="str">
        <f t="shared" ca="1" si="13"/>
        <v/>
      </c>
      <c r="AC149" s="421" t="str">
        <f t="shared" ca="1" si="14"/>
        <v/>
      </c>
      <c r="AD149" s="221"/>
    </row>
    <row r="150" spans="1:30" customFormat="1" ht="15">
      <c r="A150" s="221"/>
      <c r="B150" s="270">
        <v>112</v>
      </c>
      <c r="C150" s="248"/>
      <c r="D150" s="249"/>
      <c r="E150" s="241"/>
      <c r="F150" s="226"/>
      <c r="G150" s="233"/>
      <c r="H150" s="380">
        <v>136</v>
      </c>
      <c r="I150" s="398"/>
      <c r="J150" s="398"/>
      <c r="K150" s="407"/>
      <c r="L150" s="407"/>
      <c r="M150" s="398"/>
      <c r="N150" s="447"/>
      <c r="O150" s="398"/>
      <c r="P150" s="398"/>
      <c r="Q150" s="398"/>
      <c r="R150" s="447"/>
      <c r="S150" s="437"/>
      <c r="T150" s="416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7"/>
      <c r="V150" s="417"/>
      <c r="W150" s="418"/>
      <c r="X150" s="419"/>
      <c r="Y150" s="420" t="str">
        <f t="shared" ca="1" si="10"/>
        <v/>
      </c>
      <c r="Z150" s="421" t="str">
        <f t="shared" ca="1" si="11"/>
        <v/>
      </c>
      <c r="AA150" s="420" t="str">
        <f t="shared" ca="1" si="12"/>
        <v/>
      </c>
      <c r="AB150" s="422" t="str">
        <f t="shared" ca="1" si="13"/>
        <v/>
      </c>
      <c r="AC150" s="421" t="str">
        <f t="shared" ca="1" si="14"/>
        <v/>
      </c>
      <c r="AD150" s="221"/>
    </row>
    <row r="151" spans="1:30" customFormat="1" ht="15">
      <c r="A151" s="221"/>
      <c r="B151" s="270">
        <v>113</v>
      </c>
      <c r="C151" s="248"/>
      <c r="D151" s="249"/>
      <c r="E151" s="241"/>
      <c r="F151" s="226"/>
      <c r="G151" s="233"/>
      <c r="H151" s="380">
        <v>137</v>
      </c>
      <c r="I151" s="398"/>
      <c r="J151" s="398"/>
      <c r="K151" s="407"/>
      <c r="L151" s="407"/>
      <c r="M151" s="398"/>
      <c r="N151" s="447"/>
      <c r="O151" s="398"/>
      <c r="P151" s="398"/>
      <c r="Q151" s="398"/>
      <c r="R151" s="447"/>
      <c r="S151" s="437"/>
      <c r="T151" s="416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7"/>
      <c r="V151" s="417"/>
      <c r="W151" s="418"/>
      <c r="X151" s="419"/>
      <c r="Y151" s="420" t="str">
        <f t="shared" ca="1" si="10"/>
        <v/>
      </c>
      <c r="Z151" s="421" t="str">
        <f t="shared" ca="1" si="11"/>
        <v/>
      </c>
      <c r="AA151" s="420" t="str">
        <f t="shared" ca="1" si="12"/>
        <v/>
      </c>
      <c r="AB151" s="422" t="str">
        <f t="shared" ca="1" si="13"/>
        <v/>
      </c>
      <c r="AC151" s="421" t="str">
        <f t="shared" ca="1" si="14"/>
        <v/>
      </c>
      <c r="AD151" s="221"/>
    </row>
    <row r="152" spans="1:30" customFormat="1" ht="15">
      <c r="A152" s="221"/>
      <c r="B152" s="270">
        <v>114</v>
      </c>
      <c r="C152" s="248"/>
      <c r="D152" s="249"/>
      <c r="E152" s="241"/>
      <c r="F152" s="226"/>
      <c r="G152" s="233"/>
      <c r="H152" s="380">
        <v>138</v>
      </c>
      <c r="I152" s="398"/>
      <c r="J152" s="398"/>
      <c r="K152" s="407"/>
      <c r="L152" s="407"/>
      <c r="M152" s="398"/>
      <c r="N152" s="447"/>
      <c r="O152" s="398"/>
      <c r="P152" s="398"/>
      <c r="Q152" s="398"/>
      <c r="R152" s="447"/>
      <c r="S152" s="437"/>
      <c r="T152" s="416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7"/>
      <c r="V152" s="417"/>
      <c r="W152" s="418"/>
      <c r="X152" s="419"/>
      <c r="Y152" s="420" t="str">
        <f t="shared" ca="1" si="10"/>
        <v/>
      </c>
      <c r="Z152" s="421" t="str">
        <f t="shared" ca="1" si="11"/>
        <v/>
      </c>
      <c r="AA152" s="420" t="str">
        <f t="shared" ca="1" si="12"/>
        <v/>
      </c>
      <c r="AB152" s="422" t="str">
        <f t="shared" ca="1" si="13"/>
        <v/>
      </c>
      <c r="AC152" s="421" t="str">
        <f t="shared" ca="1" si="14"/>
        <v/>
      </c>
      <c r="AD152" s="221"/>
    </row>
    <row r="153" spans="1:30" customFormat="1" ht="15">
      <c r="A153" s="221"/>
      <c r="B153" s="270">
        <v>115</v>
      </c>
      <c r="C153" s="248"/>
      <c r="D153" s="249"/>
      <c r="E153" s="241"/>
      <c r="F153" s="226"/>
      <c r="G153" s="233"/>
      <c r="H153" s="380">
        <v>139</v>
      </c>
      <c r="I153" s="398"/>
      <c r="J153" s="398"/>
      <c r="K153" s="407"/>
      <c r="L153" s="407"/>
      <c r="M153" s="398"/>
      <c r="N153" s="447"/>
      <c r="O153" s="398"/>
      <c r="P153" s="398"/>
      <c r="Q153" s="398"/>
      <c r="R153" s="447"/>
      <c r="S153" s="437"/>
      <c r="T153" s="416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7"/>
      <c r="V153" s="417"/>
      <c r="W153" s="418"/>
      <c r="X153" s="419"/>
      <c r="Y153" s="420" t="str">
        <f t="shared" ca="1" si="10"/>
        <v/>
      </c>
      <c r="Z153" s="421" t="str">
        <f t="shared" ca="1" si="11"/>
        <v/>
      </c>
      <c r="AA153" s="420" t="str">
        <f t="shared" ca="1" si="12"/>
        <v/>
      </c>
      <c r="AB153" s="422" t="str">
        <f t="shared" ca="1" si="13"/>
        <v/>
      </c>
      <c r="AC153" s="421" t="str">
        <f t="shared" ca="1" si="14"/>
        <v/>
      </c>
      <c r="AD153" s="221"/>
    </row>
    <row r="154" spans="1:30" customFormat="1" ht="15">
      <c r="A154" s="221"/>
      <c r="B154" s="270">
        <v>116</v>
      </c>
      <c r="C154" s="248"/>
      <c r="D154" s="249"/>
      <c r="E154" s="241"/>
      <c r="F154" s="226"/>
      <c r="G154" s="233"/>
      <c r="H154" s="380">
        <v>140</v>
      </c>
      <c r="I154" s="398"/>
      <c r="J154" s="398"/>
      <c r="K154" s="407"/>
      <c r="L154" s="407"/>
      <c r="M154" s="398"/>
      <c r="N154" s="447"/>
      <c r="O154" s="398"/>
      <c r="P154" s="398"/>
      <c r="Q154" s="398"/>
      <c r="R154" s="447"/>
      <c r="S154" s="437"/>
      <c r="T154" s="416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7"/>
      <c r="V154" s="417"/>
      <c r="W154" s="418"/>
      <c r="X154" s="419"/>
      <c r="Y154" s="420" t="str">
        <f t="shared" ca="1" si="10"/>
        <v/>
      </c>
      <c r="Z154" s="421" t="str">
        <f t="shared" ca="1" si="11"/>
        <v/>
      </c>
      <c r="AA154" s="420" t="str">
        <f t="shared" ca="1" si="12"/>
        <v/>
      </c>
      <c r="AB154" s="422" t="str">
        <f t="shared" ca="1" si="13"/>
        <v/>
      </c>
      <c r="AC154" s="421" t="str">
        <f t="shared" ca="1" si="14"/>
        <v/>
      </c>
      <c r="AD154" s="221"/>
    </row>
    <row r="155" spans="1:30" customFormat="1" ht="15">
      <c r="A155" s="221"/>
      <c r="B155" s="270">
        <v>117</v>
      </c>
      <c r="C155" s="248"/>
      <c r="D155" s="249"/>
      <c r="E155" s="241"/>
      <c r="F155" s="226"/>
      <c r="G155" s="233"/>
      <c r="H155" s="380">
        <v>141</v>
      </c>
      <c r="I155" s="398"/>
      <c r="J155" s="398"/>
      <c r="K155" s="407"/>
      <c r="L155" s="407"/>
      <c r="M155" s="398"/>
      <c r="N155" s="447"/>
      <c r="O155" s="398"/>
      <c r="P155" s="398"/>
      <c r="Q155" s="398"/>
      <c r="R155" s="447"/>
      <c r="S155" s="437"/>
      <c r="T155" s="416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7"/>
      <c r="V155" s="417"/>
      <c r="W155" s="418"/>
      <c r="X155" s="419"/>
      <c r="Y155" s="420" t="str">
        <f t="shared" ca="1" si="10"/>
        <v/>
      </c>
      <c r="Z155" s="421" t="str">
        <f t="shared" ca="1" si="11"/>
        <v/>
      </c>
      <c r="AA155" s="420" t="str">
        <f t="shared" ca="1" si="12"/>
        <v/>
      </c>
      <c r="AB155" s="422" t="str">
        <f t="shared" ca="1" si="13"/>
        <v/>
      </c>
      <c r="AC155" s="421" t="str">
        <f t="shared" ca="1" si="14"/>
        <v/>
      </c>
      <c r="AD155" s="221"/>
    </row>
    <row r="156" spans="1:30" customFormat="1" ht="15">
      <c r="A156" s="221"/>
      <c r="B156" s="270">
        <v>118</v>
      </c>
      <c r="C156" s="248"/>
      <c r="D156" s="249"/>
      <c r="E156" s="241"/>
      <c r="F156" s="226"/>
      <c r="G156" s="233"/>
      <c r="H156" s="380">
        <v>142</v>
      </c>
      <c r="I156" s="398"/>
      <c r="J156" s="398"/>
      <c r="K156" s="407"/>
      <c r="L156" s="407"/>
      <c r="M156" s="398"/>
      <c r="N156" s="447"/>
      <c r="O156" s="398"/>
      <c r="P156" s="398"/>
      <c r="Q156" s="398"/>
      <c r="R156" s="447"/>
      <c r="S156" s="437"/>
      <c r="T156" s="416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7"/>
      <c r="V156" s="417"/>
      <c r="W156" s="418"/>
      <c r="X156" s="419"/>
      <c r="Y156" s="420" t="str">
        <f t="shared" ca="1" si="10"/>
        <v/>
      </c>
      <c r="Z156" s="421" t="str">
        <f t="shared" ca="1" si="11"/>
        <v/>
      </c>
      <c r="AA156" s="420" t="str">
        <f t="shared" ca="1" si="12"/>
        <v/>
      </c>
      <c r="AB156" s="422" t="str">
        <f t="shared" ca="1" si="13"/>
        <v/>
      </c>
      <c r="AC156" s="421" t="str">
        <f t="shared" ca="1" si="14"/>
        <v/>
      </c>
      <c r="AD156" s="221"/>
    </row>
    <row r="157" spans="1:30" customFormat="1" ht="15">
      <c r="A157" s="221"/>
      <c r="B157" s="270">
        <v>119</v>
      </c>
      <c r="C157" s="248"/>
      <c r="D157" s="249"/>
      <c r="E157" s="241"/>
      <c r="F157" s="226"/>
      <c r="G157" s="233"/>
      <c r="H157" s="380">
        <v>143</v>
      </c>
      <c r="I157" s="398"/>
      <c r="J157" s="398"/>
      <c r="K157" s="407"/>
      <c r="L157" s="407"/>
      <c r="M157" s="398"/>
      <c r="N157" s="447"/>
      <c r="O157" s="398"/>
      <c r="P157" s="398"/>
      <c r="Q157" s="398"/>
      <c r="R157" s="447"/>
      <c r="S157" s="437"/>
      <c r="T157" s="416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7"/>
      <c r="V157" s="417"/>
      <c r="W157" s="418"/>
      <c r="X157" s="419"/>
      <c r="Y157" s="420" t="str">
        <f t="shared" ca="1" si="10"/>
        <v/>
      </c>
      <c r="Z157" s="421" t="str">
        <f t="shared" ca="1" si="11"/>
        <v/>
      </c>
      <c r="AA157" s="420" t="str">
        <f t="shared" ca="1" si="12"/>
        <v/>
      </c>
      <c r="AB157" s="422" t="str">
        <f t="shared" ca="1" si="13"/>
        <v/>
      </c>
      <c r="AC157" s="421" t="str">
        <f t="shared" ca="1" si="14"/>
        <v/>
      </c>
      <c r="AD157" s="221"/>
    </row>
    <row r="158" spans="1:30" customFormat="1" ht="15">
      <c r="A158" s="221"/>
      <c r="B158" s="270">
        <v>120</v>
      </c>
      <c r="C158" s="248"/>
      <c r="D158" s="249"/>
      <c r="E158" s="241"/>
      <c r="F158" s="226"/>
      <c r="G158" s="233"/>
      <c r="H158" s="380">
        <v>144</v>
      </c>
      <c r="I158" s="398"/>
      <c r="J158" s="398"/>
      <c r="K158" s="407"/>
      <c r="L158" s="407"/>
      <c r="M158" s="398"/>
      <c r="N158" s="447"/>
      <c r="O158" s="398"/>
      <c r="P158" s="398"/>
      <c r="Q158" s="398"/>
      <c r="R158" s="447"/>
      <c r="S158" s="437"/>
      <c r="T158" s="416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7"/>
      <c r="V158" s="417"/>
      <c r="W158" s="418"/>
      <c r="X158" s="419"/>
      <c r="Y158" s="420" t="str">
        <f t="shared" ca="1" si="10"/>
        <v/>
      </c>
      <c r="Z158" s="421" t="str">
        <f t="shared" ca="1" si="11"/>
        <v/>
      </c>
      <c r="AA158" s="420" t="str">
        <f t="shared" ca="1" si="12"/>
        <v/>
      </c>
      <c r="AB158" s="422" t="str">
        <f t="shared" ca="1" si="13"/>
        <v/>
      </c>
      <c r="AC158" s="421" t="str">
        <f t="shared" ca="1" si="14"/>
        <v/>
      </c>
      <c r="AD158" s="221"/>
    </row>
    <row r="159" spans="1:30" customFormat="1" ht="15">
      <c r="A159" s="221"/>
      <c r="B159" s="270">
        <v>121</v>
      </c>
      <c r="C159" s="248"/>
      <c r="D159" s="249"/>
      <c r="E159" s="241"/>
      <c r="F159" s="226"/>
      <c r="G159" s="233"/>
      <c r="H159" s="380">
        <v>145</v>
      </c>
      <c r="I159" s="398"/>
      <c r="J159" s="398"/>
      <c r="K159" s="407"/>
      <c r="L159" s="407"/>
      <c r="M159" s="398"/>
      <c r="N159" s="447"/>
      <c r="O159" s="398"/>
      <c r="P159" s="398"/>
      <c r="Q159" s="398"/>
      <c r="R159" s="447"/>
      <c r="S159" s="437"/>
      <c r="T159" s="416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7"/>
      <c r="V159" s="417"/>
      <c r="W159" s="418"/>
      <c r="X159" s="419"/>
      <c r="Y159" s="420" t="str">
        <f t="shared" ca="1" si="10"/>
        <v/>
      </c>
      <c r="Z159" s="421" t="str">
        <f t="shared" ca="1" si="11"/>
        <v/>
      </c>
      <c r="AA159" s="420" t="str">
        <f t="shared" ca="1" si="12"/>
        <v/>
      </c>
      <c r="AB159" s="422" t="str">
        <f t="shared" ca="1" si="13"/>
        <v/>
      </c>
      <c r="AC159" s="421" t="str">
        <f t="shared" ca="1" si="14"/>
        <v/>
      </c>
      <c r="AD159" s="221"/>
    </row>
    <row r="160" spans="1:30" customFormat="1" ht="15">
      <c r="A160" s="221"/>
      <c r="B160" s="270">
        <v>122</v>
      </c>
      <c r="C160" s="248"/>
      <c r="D160" s="249"/>
      <c r="E160" s="241"/>
      <c r="F160" s="226"/>
      <c r="G160" s="233"/>
      <c r="H160" s="380">
        <v>146</v>
      </c>
      <c r="I160" s="398"/>
      <c r="J160" s="398"/>
      <c r="K160" s="407"/>
      <c r="L160" s="407"/>
      <c r="M160" s="398"/>
      <c r="N160" s="447"/>
      <c r="O160" s="398"/>
      <c r="P160" s="398"/>
      <c r="Q160" s="398"/>
      <c r="R160" s="447"/>
      <c r="S160" s="437"/>
      <c r="T160" s="416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7"/>
      <c r="V160" s="417"/>
      <c r="W160" s="418"/>
      <c r="X160" s="419"/>
      <c r="Y160" s="420" t="str">
        <f t="shared" ca="1" si="10"/>
        <v/>
      </c>
      <c r="Z160" s="421" t="str">
        <f t="shared" ca="1" si="11"/>
        <v/>
      </c>
      <c r="AA160" s="420" t="str">
        <f t="shared" ca="1" si="12"/>
        <v/>
      </c>
      <c r="AB160" s="422" t="str">
        <f t="shared" ca="1" si="13"/>
        <v/>
      </c>
      <c r="AC160" s="421" t="str">
        <f t="shared" ca="1" si="14"/>
        <v/>
      </c>
      <c r="AD160" s="221"/>
    </row>
    <row r="161" spans="1:30" customFormat="1" ht="15">
      <c r="A161" s="221"/>
      <c r="B161" s="270">
        <v>123</v>
      </c>
      <c r="C161" s="248"/>
      <c r="D161" s="249"/>
      <c r="E161" s="241"/>
      <c r="F161" s="226"/>
      <c r="G161" s="233"/>
      <c r="H161" s="380">
        <v>147</v>
      </c>
      <c r="I161" s="398"/>
      <c r="J161" s="398"/>
      <c r="K161" s="407"/>
      <c r="L161" s="407"/>
      <c r="M161" s="398"/>
      <c r="N161" s="447"/>
      <c r="O161" s="398"/>
      <c r="P161" s="398"/>
      <c r="Q161" s="398"/>
      <c r="R161" s="447"/>
      <c r="S161" s="437"/>
      <c r="T161" s="416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7"/>
      <c r="V161" s="417"/>
      <c r="W161" s="418"/>
      <c r="X161" s="419"/>
      <c r="Y161" s="420" t="str">
        <f t="shared" ca="1" si="10"/>
        <v/>
      </c>
      <c r="Z161" s="421" t="str">
        <f t="shared" ca="1" si="11"/>
        <v/>
      </c>
      <c r="AA161" s="420" t="str">
        <f t="shared" ca="1" si="12"/>
        <v/>
      </c>
      <c r="AB161" s="422" t="str">
        <f t="shared" ca="1" si="13"/>
        <v/>
      </c>
      <c r="AC161" s="421" t="str">
        <f t="shared" ca="1" si="14"/>
        <v/>
      </c>
      <c r="AD161" s="221"/>
    </row>
    <row r="162" spans="1:30" customFormat="1" ht="15">
      <c r="A162" s="221"/>
      <c r="B162" s="270">
        <v>124</v>
      </c>
      <c r="C162" s="248"/>
      <c r="D162" s="249"/>
      <c r="E162" s="241"/>
      <c r="F162" s="226"/>
      <c r="G162" s="233"/>
      <c r="H162" s="380">
        <v>148</v>
      </c>
      <c r="I162" s="398"/>
      <c r="J162" s="398"/>
      <c r="K162" s="407"/>
      <c r="L162" s="407"/>
      <c r="M162" s="398"/>
      <c r="N162" s="447"/>
      <c r="O162" s="398"/>
      <c r="P162" s="398"/>
      <c r="Q162" s="398"/>
      <c r="R162" s="447"/>
      <c r="S162" s="437"/>
      <c r="T162" s="416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7"/>
      <c r="V162" s="417"/>
      <c r="W162" s="418"/>
      <c r="X162" s="419"/>
      <c r="Y162" s="420" t="str">
        <f t="shared" ca="1" si="10"/>
        <v/>
      </c>
      <c r="Z162" s="421" t="str">
        <f t="shared" ca="1" si="11"/>
        <v/>
      </c>
      <c r="AA162" s="420" t="str">
        <f t="shared" ca="1" si="12"/>
        <v/>
      </c>
      <c r="AB162" s="422" t="str">
        <f t="shared" ca="1" si="13"/>
        <v/>
      </c>
      <c r="AC162" s="421" t="str">
        <f t="shared" ca="1" si="14"/>
        <v/>
      </c>
      <c r="AD162" s="221"/>
    </row>
    <row r="163" spans="1:30" customFormat="1" ht="15">
      <c r="A163" s="221"/>
      <c r="B163" s="270">
        <v>125</v>
      </c>
      <c r="C163" s="248"/>
      <c r="D163" s="249"/>
      <c r="E163" s="241"/>
      <c r="F163" s="226"/>
      <c r="G163" s="233"/>
      <c r="H163" s="380">
        <v>149</v>
      </c>
      <c r="I163" s="398"/>
      <c r="J163" s="398"/>
      <c r="K163" s="407"/>
      <c r="L163" s="407"/>
      <c r="M163" s="407"/>
      <c r="N163" s="446"/>
      <c r="O163" s="407"/>
      <c r="P163" s="407"/>
      <c r="Q163" s="407"/>
      <c r="R163" s="446"/>
      <c r="S163" s="437"/>
      <c r="T163" s="416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7"/>
      <c r="V163" s="417"/>
      <c r="W163" s="418"/>
      <c r="X163" s="419"/>
      <c r="Y163" s="420" t="str">
        <f t="shared" ca="1" si="10"/>
        <v/>
      </c>
      <c r="Z163" s="421" t="str">
        <f t="shared" ca="1" si="11"/>
        <v/>
      </c>
      <c r="AA163" s="420" t="str">
        <f t="shared" ca="1" si="12"/>
        <v/>
      </c>
      <c r="AB163" s="422" t="str">
        <f t="shared" ca="1" si="13"/>
        <v/>
      </c>
      <c r="AC163" s="421" t="str">
        <f t="shared" ca="1" si="14"/>
        <v/>
      </c>
      <c r="AD163" s="221"/>
    </row>
    <row r="164" spans="1:30" customFormat="1" ht="15">
      <c r="A164" s="221"/>
      <c r="B164" s="270">
        <v>126</v>
      </c>
      <c r="C164" s="248"/>
      <c r="D164" s="249"/>
      <c r="E164" s="241"/>
      <c r="F164" s="226"/>
      <c r="G164" s="233"/>
      <c r="H164" s="380">
        <v>150</v>
      </c>
      <c r="I164" s="398"/>
      <c r="J164" s="398"/>
      <c r="K164" s="407"/>
      <c r="L164" s="407"/>
      <c r="M164" s="407"/>
      <c r="N164" s="446"/>
      <c r="O164" s="407"/>
      <c r="P164" s="407"/>
      <c r="Q164" s="407"/>
      <c r="R164" s="446"/>
      <c r="S164" s="437"/>
      <c r="T164" s="416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7"/>
      <c r="V164" s="417"/>
      <c r="W164" s="418"/>
      <c r="X164" s="419"/>
      <c r="Y164" s="420" t="str">
        <f t="shared" ca="1" si="10"/>
        <v/>
      </c>
      <c r="Z164" s="421" t="str">
        <f t="shared" ca="1" si="11"/>
        <v/>
      </c>
      <c r="AA164" s="420" t="str">
        <f t="shared" ca="1" si="12"/>
        <v/>
      </c>
      <c r="AB164" s="422" t="str">
        <f t="shared" ca="1" si="13"/>
        <v/>
      </c>
      <c r="AC164" s="421" t="str">
        <f t="shared" ca="1" si="14"/>
        <v/>
      </c>
      <c r="AD164" s="221"/>
    </row>
    <row r="165" spans="1:30" customFormat="1" ht="15">
      <c r="A165" s="221"/>
      <c r="B165" s="270">
        <v>127</v>
      </c>
      <c r="C165" s="248"/>
      <c r="D165" s="249"/>
      <c r="E165" s="241"/>
      <c r="F165" s="226"/>
      <c r="G165" s="233"/>
      <c r="H165" s="380">
        <v>151</v>
      </c>
      <c r="I165" s="398"/>
      <c r="J165" s="398"/>
      <c r="K165" s="407"/>
      <c r="L165" s="407"/>
      <c r="M165" s="407"/>
      <c r="N165" s="446"/>
      <c r="O165" s="407"/>
      <c r="P165" s="407"/>
      <c r="Q165" s="407"/>
      <c r="R165" s="446"/>
      <c r="S165" s="437"/>
      <c r="T165" s="416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7"/>
      <c r="V165" s="417"/>
      <c r="W165" s="418"/>
      <c r="X165" s="419"/>
      <c r="Y165" s="420" t="str">
        <f t="shared" ca="1" si="10"/>
        <v/>
      </c>
      <c r="Z165" s="421" t="str">
        <f t="shared" ca="1" si="11"/>
        <v/>
      </c>
      <c r="AA165" s="420" t="str">
        <f t="shared" ca="1" si="12"/>
        <v/>
      </c>
      <c r="AB165" s="422" t="str">
        <f t="shared" ca="1" si="13"/>
        <v/>
      </c>
      <c r="AC165" s="421" t="str">
        <f t="shared" ca="1" si="14"/>
        <v/>
      </c>
      <c r="AD165" s="221"/>
    </row>
    <row r="166" spans="1:30" customFormat="1" ht="15">
      <c r="A166" s="221"/>
      <c r="B166" s="270">
        <v>128</v>
      </c>
      <c r="C166" s="248"/>
      <c r="D166" s="249"/>
      <c r="E166" s="241"/>
      <c r="F166" s="226"/>
      <c r="G166" s="233"/>
      <c r="H166" s="380">
        <v>152</v>
      </c>
      <c r="I166" s="398"/>
      <c r="J166" s="398"/>
      <c r="K166" s="407"/>
      <c r="L166" s="407"/>
      <c r="M166" s="407"/>
      <c r="N166" s="446"/>
      <c r="O166" s="407"/>
      <c r="P166" s="407"/>
      <c r="Q166" s="407"/>
      <c r="R166" s="446"/>
      <c r="S166" s="437"/>
      <c r="T166" s="416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7"/>
      <c r="V166" s="417"/>
      <c r="W166" s="418"/>
      <c r="X166" s="419"/>
      <c r="Y166" s="420" t="str">
        <f t="shared" ca="1" si="10"/>
        <v/>
      </c>
      <c r="Z166" s="421" t="str">
        <f t="shared" ca="1" si="11"/>
        <v/>
      </c>
      <c r="AA166" s="420" t="str">
        <f t="shared" ca="1" si="12"/>
        <v/>
      </c>
      <c r="AB166" s="422" t="str">
        <f t="shared" ca="1" si="13"/>
        <v/>
      </c>
      <c r="AC166" s="421" t="str">
        <f t="shared" ca="1" si="14"/>
        <v/>
      </c>
      <c r="AD166" s="221"/>
    </row>
    <row r="167" spans="1:30" customFormat="1" ht="15">
      <c r="A167" s="221"/>
      <c r="B167" s="270">
        <v>129</v>
      </c>
      <c r="C167" s="248"/>
      <c r="D167" s="249"/>
      <c r="E167" s="241"/>
      <c r="F167" s="226"/>
      <c r="G167" s="233"/>
      <c r="H167" s="380">
        <v>153</v>
      </c>
      <c r="I167" s="398"/>
      <c r="J167" s="398"/>
      <c r="K167" s="407"/>
      <c r="L167" s="407"/>
      <c r="M167" s="407"/>
      <c r="N167" s="446"/>
      <c r="O167" s="407"/>
      <c r="P167" s="407"/>
      <c r="Q167" s="407"/>
      <c r="R167" s="446"/>
      <c r="S167" s="437"/>
      <c r="T167" s="416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7"/>
      <c r="V167" s="417"/>
      <c r="W167" s="418"/>
      <c r="X167" s="419"/>
      <c r="Y167" s="420" t="str">
        <f t="shared" ca="1" si="10"/>
        <v/>
      </c>
      <c r="Z167" s="421" t="str">
        <f t="shared" ca="1" si="11"/>
        <v/>
      </c>
      <c r="AA167" s="420" t="str">
        <f t="shared" ca="1" si="12"/>
        <v/>
      </c>
      <c r="AB167" s="422" t="str">
        <f t="shared" ca="1" si="13"/>
        <v/>
      </c>
      <c r="AC167" s="421" t="str">
        <f t="shared" ca="1" si="14"/>
        <v/>
      </c>
      <c r="AD167" s="221"/>
    </row>
    <row r="168" spans="1:30" customFormat="1" ht="15">
      <c r="A168" s="221"/>
      <c r="B168" s="270">
        <v>130</v>
      </c>
      <c r="C168" s="248"/>
      <c r="D168" s="249"/>
      <c r="E168" s="241"/>
      <c r="F168" s="226"/>
      <c r="G168" s="233"/>
      <c r="H168" s="380">
        <v>154</v>
      </c>
      <c r="I168" s="398"/>
      <c r="J168" s="398"/>
      <c r="K168" s="407"/>
      <c r="L168" s="407"/>
      <c r="M168" s="407"/>
      <c r="N168" s="446"/>
      <c r="O168" s="407"/>
      <c r="P168" s="407"/>
      <c r="Q168" s="407"/>
      <c r="R168" s="446"/>
      <c r="S168" s="437"/>
      <c r="T168" s="416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7"/>
      <c r="V168" s="417"/>
      <c r="W168" s="418"/>
      <c r="X168" s="419"/>
      <c r="Y168" s="420" t="str">
        <f t="shared" ca="1" si="10"/>
        <v/>
      </c>
      <c r="Z168" s="421" t="str">
        <f t="shared" ca="1" si="11"/>
        <v/>
      </c>
      <c r="AA168" s="420" t="str">
        <f t="shared" ca="1" si="12"/>
        <v/>
      </c>
      <c r="AB168" s="422" t="str">
        <f t="shared" ca="1" si="13"/>
        <v/>
      </c>
      <c r="AC168" s="421" t="str">
        <f t="shared" ca="1" si="14"/>
        <v/>
      </c>
      <c r="AD168" s="221"/>
    </row>
    <row r="169" spans="1:30" customFormat="1" ht="15">
      <c r="A169" s="221"/>
      <c r="B169" s="270">
        <v>131</v>
      </c>
      <c r="C169" s="248"/>
      <c r="D169" s="249"/>
      <c r="E169" s="241"/>
      <c r="F169" s="226"/>
      <c r="G169" s="233"/>
      <c r="H169" s="380">
        <v>155</v>
      </c>
      <c r="I169" s="398"/>
      <c r="J169" s="398"/>
      <c r="K169" s="407"/>
      <c r="L169" s="407"/>
      <c r="M169" s="407"/>
      <c r="N169" s="446"/>
      <c r="O169" s="407"/>
      <c r="P169" s="407"/>
      <c r="Q169" s="407"/>
      <c r="R169" s="446"/>
      <c r="S169" s="437"/>
      <c r="T169" s="416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7"/>
      <c r="V169" s="417"/>
      <c r="W169" s="418"/>
      <c r="X169" s="419"/>
      <c r="Y169" s="420" t="str">
        <f t="shared" ca="1" si="10"/>
        <v/>
      </c>
      <c r="Z169" s="421" t="str">
        <f t="shared" ca="1" si="11"/>
        <v/>
      </c>
      <c r="AA169" s="420" t="str">
        <f t="shared" ca="1" si="12"/>
        <v/>
      </c>
      <c r="AB169" s="422" t="str">
        <f t="shared" ca="1" si="13"/>
        <v/>
      </c>
      <c r="AC169" s="421" t="str">
        <f t="shared" ca="1" si="14"/>
        <v/>
      </c>
      <c r="AD169" s="221"/>
    </row>
    <row r="170" spans="1:30" customFormat="1" ht="15">
      <c r="A170" s="221"/>
      <c r="B170" s="270">
        <v>132</v>
      </c>
      <c r="C170" s="248"/>
      <c r="D170" s="249"/>
      <c r="E170" s="241"/>
      <c r="F170" s="226"/>
      <c r="G170" s="233"/>
      <c r="H170" s="380">
        <v>156</v>
      </c>
      <c r="I170" s="398"/>
      <c r="J170" s="398"/>
      <c r="K170" s="407"/>
      <c r="L170" s="407"/>
      <c r="M170" s="407"/>
      <c r="N170" s="446"/>
      <c r="O170" s="407"/>
      <c r="P170" s="407"/>
      <c r="Q170" s="407"/>
      <c r="R170" s="446"/>
      <c r="S170" s="437"/>
      <c r="T170" s="416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7"/>
      <c r="V170" s="417"/>
      <c r="W170" s="418"/>
      <c r="X170" s="419"/>
      <c r="Y170" s="420" t="str">
        <f t="shared" ca="1" si="10"/>
        <v/>
      </c>
      <c r="Z170" s="421" t="str">
        <f t="shared" ca="1" si="11"/>
        <v/>
      </c>
      <c r="AA170" s="420" t="str">
        <f t="shared" ca="1" si="12"/>
        <v/>
      </c>
      <c r="AB170" s="422" t="str">
        <f t="shared" ca="1" si="13"/>
        <v/>
      </c>
      <c r="AC170" s="421" t="str">
        <f t="shared" ca="1" si="14"/>
        <v/>
      </c>
      <c r="AD170" s="221"/>
    </row>
    <row r="171" spans="1:30" customFormat="1" ht="15">
      <c r="A171" s="221"/>
      <c r="B171" s="270">
        <v>133</v>
      </c>
      <c r="C171" s="248"/>
      <c r="D171" s="249"/>
      <c r="E171" s="241"/>
      <c r="F171" s="226"/>
      <c r="G171" s="233"/>
      <c r="H171" s="380">
        <v>157</v>
      </c>
      <c r="I171" s="398"/>
      <c r="J171" s="398"/>
      <c r="K171" s="407"/>
      <c r="L171" s="407"/>
      <c r="M171" s="407"/>
      <c r="N171" s="446"/>
      <c r="O171" s="407"/>
      <c r="P171" s="407"/>
      <c r="Q171" s="407"/>
      <c r="R171" s="446"/>
      <c r="S171" s="437"/>
      <c r="T171" s="416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7"/>
      <c r="V171" s="417"/>
      <c r="W171" s="418"/>
      <c r="X171" s="419"/>
      <c r="Y171" s="420" t="str">
        <f t="shared" ca="1" si="10"/>
        <v/>
      </c>
      <c r="Z171" s="421" t="str">
        <f t="shared" ca="1" si="11"/>
        <v/>
      </c>
      <c r="AA171" s="420" t="str">
        <f t="shared" ca="1" si="12"/>
        <v/>
      </c>
      <c r="AB171" s="422" t="str">
        <f t="shared" ca="1" si="13"/>
        <v/>
      </c>
      <c r="AC171" s="421" t="str">
        <f t="shared" ca="1" si="14"/>
        <v/>
      </c>
      <c r="AD171" s="221"/>
    </row>
    <row r="172" spans="1:30" customFormat="1" ht="15">
      <c r="A172" s="221"/>
      <c r="B172" s="270">
        <v>134</v>
      </c>
      <c r="C172" s="248"/>
      <c r="D172" s="249"/>
      <c r="E172" s="241"/>
      <c r="F172" s="226"/>
      <c r="G172" s="233"/>
      <c r="H172" s="380">
        <v>158</v>
      </c>
      <c r="I172" s="398"/>
      <c r="J172" s="398"/>
      <c r="K172" s="407"/>
      <c r="L172" s="407"/>
      <c r="M172" s="407"/>
      <c r="N172" s="446"/>
      <c r="O172" s="407"/>
      <c r="P172" s="407"/>
      <c r="Q172" s="407"/>
      <c r="R172" s="446"/>
      <c r="S172" s="437"/>
      <c r="T172" s="416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7"/>
      <c r="V172" s="417"/>
      <c r="W172" s="418"/>
      <c r="X172" s="419"/>
      <c r="Y172" s="420" t="str">
        <f t="shared" ca="1" si="10"/>
        <v/>
      </c>
      <c r="Z172" s="421" t="str">
        <f t="shared" ca="1" si="11"/>
        <v/>
      </c>
      <c r="AA172" s="420" t="str">
        <f t="shared" ca="1" si="12"/>
        <v/>
      </c>
      <c r="AB172" s="422" t="str">
        <f t="shared" ca="1" si="13"/>
        <v/>
      </c>
      <c r="AC172" s="421" t="str">
        <f t="shared" ca="1" si="14"/>
        <v/>
      </c>
      <c r="AD172" s="221"/>
    </row>
    <row r="173" spans="1:30" customFormat="1" ht="15">
      <c r="A173" s="221"/>
      <c r="B173" s="270">
        <v>135</v>
      </c>
      <c r="C173" s="248"/>
      <c r="D173" s="249"/>
      <c r="E173" s="241"/>
      <c r="F173" s="226"/>
      <c r="G173" s="233"/>
      <c r="H173" s="380">
        <v>159</v>
      </c>
      <c r="I173" s="398"/>
      <c r="J173" s="398"/>
      <c r="K173" s="407"/>
      <c r="L173" s="407"/>
      <c r="M173" s="407"/>
      <c r="N173" s="446"/>
      <c r="O173" s="407"/>
      <c r="P173" s="407"/>
      <c r="Q173" s="407"/>
      <c r="R173" s="446"/>
      <c r="S173" s="437"/>
      <c r="T173" s="416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7"/>
      <c r="V173" s="417"/>
      <c r="W173" s="418"/>
      <c r="X173" s="419"/>
      <c r="Y173" s="420" t="str">
        <f t="shared" ca="1" si="10"/>
        <v/>
      </c>
      <c r="Z173" s="421" t="str">
        <f t="shared" ca="1" si="11"/>
        <v/>
      </c>
      <c r="AA173" s="420" t="str">
        <f t="shared" ca="1" si="12"/>
        <v/>
      </c>
      <c r="AB173" s="422" t="str">
        <f t="shared" ca="1" si="13"/>
        <v/>
      </c>
      <c r="AC173" s="421" t="str">
        <f t="shared" ca="1" si="14"/>
        <v/>
      </c>
      <c r="AD173" s="221"/>
    </row>
    <row r="174" spans="1:30" customFormat="1" ht="15">
      <c r="A174" s="221"/>
      <c r="B174" s="270">
        <v>136</v>
      </c>
      <c r="C174" s="248"/>
      <c r="D174" s="249"/>
      <c r="E174" s="241"/>
      <c r="F174" s="226"/>
      <c r="G174" s="233"/>
      <c r="H174" s="380">
        <v>160</v>
      </c>
      <c r="I174" s="398"/>
      <c r="J174" s="398"/>
      <c r="K174" s="407"/>
      <c r="L174" s="407"/>
      <c r="M174" s="407"/>
      <c r="N174" s="446"/>
      <c r="O174" s="407"/>
      <c r="P174" s="407"/>
      <c r="Q174" s="407"/>
      <c r="R174" s="446"/>
      <c r="S174" s="437"/>
      <c r="T174" s="416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7"/>
      <c r="V174" s="417"/>
      <c r="W174" s="418"/>
      <c r="X174" s="419"/>
      <c r="Y174" s="420" t="str">
        <f t="shared" ca="1" si="10"/>
        <v/>
      </c>
      <c r="Z174" s="421" t="str">
        <f t="shared" ca="1" si="11"/>
        <v/>
      </c>
      <c r="AA174" s="420" t="str">
        <f t="shared" ca="1" si="12"/>
        <v/>
      </c>
      <c r="AB174" s="422" t="str">
        <f t="shared" ca="1" si="13"/>
        <v/>
      </c>
      <c r="AC174" s="421" t="str">
        <f t="shared" ca="1" si="14"/>
        <v/>
      </c>
      <c r="AD174" s="221"/>
    </row>
    <row r="175" spans="1:30" customFormat="1" ht="15">
      <c r="A175" s="221"/>
      <c r="B175" s="270">
        <v>137</v>
      </c>
      <c r="C175" s="248"/>
      <c r="D175" s="249"/>
      <c r="E175" s="241"/>
      <c r="F175" s="226"/>
      <c r="G175" s="233"/>
      <c r="H175" s="380">
        <v>161</v>
      </c>
      <c r="I175" s="398"/>
      <c r="J175" s="398"/>
      <c r="K175" s="407"/>
      <c r="L175" s="407"/>
      <c r="M175" s="407"/>
      <c r="N175" s="446"/>
      <c r="O175" s="407"/>
      <c r="P175" s="407"/>
      <c r="Q175" s="407"/>
      <c r="R175" s="446"/>
      <c r="S175" s="437"/>
      <c r="T175" s="416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7"/>
      <c r="V175" s="417"/>
      <c r="W175" s="418"/>
      <c r="X175" s="419"/>
      <c r="Y175" s="420" t="str">
        <f t="shared" ca="1" si="10"/>
        <v/>
      </c>
      <c r="Z175" s="421" t="str">
        <f t="shared" ca="1" si="11"/>
        <v/>
      </c>
      <c r="AA175" s="420" t="str">
        <f t="shared" ca="1" si="12"/>
        <v/>
      </c>
      <c r="AB175" s="422" t="str">
        <f t="shared" ca="1" si="13"/>
        <v/>
      </c>
      <c r="AC175" s="421" t="str">
        <f t="shared" ca="1" si="14"/>
        <v/>
      </c>
      <c r="AD175" s="221"/>
    </row>
    <row r="176" spans="1:30" customFormat="1" ht="15">
      <c r="A176" s="221"/>
      <c r="B176" s="270">
        <v>138</v>
      </c>
      <c r="C176" s="248"/>
      <c r="D176" s="249"/>
      <c r="E176" s="241"/>
      <c r="F176" s="226"/>
      <c r="G176" s="233"/>
      <c r="H176" s="380">
        <v>162</v>
      </c>
      <c r="I176" s="398"/>
      <c r="J176" s="398"/>
      <c r="K176" s="407"/>
      <c r="L176" s="407"/>
      <c r="M176" s="407"/>
      <c r="N176" s="446"/>
      <c r="O176" s="407"/>
      <c r="P176" s="407"/>
      <c r="Q176" s="407"/>
      <c r="R176" s="446"/>
      <c r="S176" s="437"/>
      <c r="T176" s="416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7"/>
      <c r="V176" s="417"/>
      <c r="W176" s="418"/>
      <c r="X176" s="419"/>
      <c r="Y176" s="420" t="str">
        <f t="shared" ca="1" si="10"/>
        <v/>
      </c>
      <c r="Z176" s="421" t="str">
        <f t="shared" ca="1" si="11"/>
        <v/>
      </c>
      <c r="AA176" s="420" t="str">
        <f t="shared" ca="1" si="12"/>
        <v/>
      </c>
      <c r="AB176" s="422" t="str">
        <f t="shared" ca="1" si="13"/>
        <v/>
      </c>
      <c r="AC176" s="421" t="str">
        <f t="shared" ca="1" si="14"/>
        <v/>
      </c>
      <c r="AD176" s="221"/>
    </row>
    <row r="177" spans="1:30" customFormat="1" ht="15">
      <c r="A177" s="221"/>
      <c r="B177" s="270">
        <v>139</v>
      </c>
      <c r="C177" s="248"/>
      <c r="D177" s="249"/>
      <c r="E177" s="241"/>
      <c r="F177" s="226"/>
      <c r="G177" s="233"/>
      <c r="H177" s="380">
        <v>163</v>
      </c>
      <c r="I177" s="398"/>
      <c r="J177" s="398"/>
      <c r="K177" s="407"/>
      <c r="L177" s="407"/>
      <c r="M177" s="407"/>
      <c r="N177" s="446"/>
      <c r="O177" s="407"/>
      <c r="P177" s="407"/>
      <c r="Q177" s="407"/>
      <c r="R177" s="446"/>
      <c r="S177" s="437"/>
      <c r="T177" s="416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7"/>
      <c r="V177" s="417"/>
      <c r="W177" s="418"/>
      <c r="X177" s="419"/>
      <c r="Y177" s="420" t="str">
        <f t="shared" ca="1" si="10"/>
        <v/>
      </c>
      <c r="Z177" s="421" t="str">
        <f t="shared" ca="1" si="11"/>
        <v/>
      </c>
      <c r="AA177" s="420" t="str">
        <f t="shared" ca="1" si="12"/>
        <v/>
      </c>
      <c r="AB177" s="422" t="str">
        <f t="shared" ca="1" si="13"/>
        <v/>
      </c>
      <c r="AC177" s="421" t="str">
        <f t="shared" ca="1" si="14"/>
        <v/>
      </c>
      <c r="AD177" s="221"/>
    </row>
    <row r="178" spans="1:30" customFormat="1" ht="15">
      <c r="A178" s="221"/>
      <c r="B178" s="270">
        <v>140</v>
      </c>
      <c r="C178" s="248"/>
      <c r="D178" s="249"/>
      <c r="E178" s="241"/>
      <c r="F178" s="226"/>
      <c r="G178" s="233"/>
      <c r="H178" s="380">
        <v>164</v>
      </c>
      <c r="I178" s="398"/>
      <c r="J178" s="398"/>
      <c r="K178" s="407"/>
      <c r="L178" s="407"/>
      <c r="M178" s="407"/>
      <c r="N178" s="446"/>
      <c r="O178" s="407"/>
      <c r="P178" s="407"/>
      <c r="Q178" s="407"/>
      <c r="R178" s="446"/>
      <c r="S178" s="437"/>
      <c r="T178" s="416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7"/>
      <c r="V178" s="417"/>
      <c r="W178" s="418"/>
      <c r="X178" s="419"/>
      <c r="Y178" s="420" t="str">
        <f t="shared" ca="1" si="10"/>
        <v/>
      </c>
      <c r="Z178" s="421" t="str">
        <f t="shared" ca="1" si="11"/>
        <v/>
      </c>
      <c r="AA178" s="420" t="str">
        <f t="shared" ca="1" si="12"/>
        <v/>
      </c>
      <c r="AB178" s="422" t="str">
        <f t="shared" ca="1" si="13"/>
        <v/>
      </c>
      <c r="AC178" s="421" t="str">
        <f t="shared" ca="1" si="14"/>
        <v/>
      </c>
      <c r="AD178" s="221"/>
    </row>
    <row r="179" spans="1:30" customFormat="1" ht="15">
      <c r="A179" s="221"/>
      <c r="B179" s="270">
        <v>141</v>
      </c>
      <c r="C179" s="248"/>
      <c r="D179" s="249"/>
      <c r="E179" s="241"/>
      <c r="F179" s="226"/>
      <c r="G179" s="233"/>
      <c r="H179" s="380">
        <v>165</v>
      </c>
      <c r="I179" s="398"/>
      <c r="J179" s="398"/>
      <c r="K179" s="407"/>
      <c r="L179" s="407"/>
      <c r="M179" s="407"/>
      <c r="N179" s="446"/>
      <c r="O179" s="407"/>
      <c r="P179" s="407"/>
      <c r="Q179" s="407"/>
      <c r="R179" s="446"/>
      <c r="S179" s="437"/>
      <c r="T179" s="416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7"/>
      <c r="V179" s="417"/>
      <c r="W179" s="418"/>
      <c r="X179" s="419"/>
      <c r="Y179" s="420" t="str">
        <f t="shared" ca="1" si="10"/>
        <v/>
      </c>
      <c r="Z179" s="421" t="str">
        <f t="shared" ca="1" si="11"/>
        <v/>
      </c>
      <c r="AA179" s="420" t="str">
        <f t="shared" ca="1" si="12"/>
        <v/>
      </c>
      <c r="AB179" s="422" t="str">
        <f t="shared" ca="1" si="13"/>
        <v/>
      </c>
      <c r="AC179" s="421" t="str">
        <f t="shared" ca="1" si="14"/>
        <v/>
      </c>
      <c r="AD179" s="221"/>
    </row>
    <row r="180" spans="1:30" customFormat="1" ht="15">
      <c r="A180" s="221"/>
      <c r="B180" s="270">
        <v>142</v>
      </c>
      <c r="C180" s="248"/>
      <c r="D180" s="249"/>
      <c r="E180" s="241"/>
      <c r="F180" s="226"/>
      <c r="G180" s="233"/>
      <c r="H180" s="380">
        <v>166</v>
      </c>
      <c r="I180" s="398"/>
      <c r="J180" s="398"/>
      <c r="K180" s="407"/>
      <c r="L180" s="407"/>
      <c r="M180" s="407"/>
      <c r="N180" s="446"/>
      <c r="O180" s="407"/>
      <c r="P180" s="407"/>
      <c r="Q180" s="407"/>
      <c r="R180" s="446"/>
      <c r="S180" s="437"/>
      <c r="T180" s="416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7"/>
      <c r="V180" s="417"/>
      <c r="W180" s="418"/>
      <c r="X180" s="419"/>
      <c r="Y180" s="420" t="str">
        <f t="shared" ca="1" si="10"/>
        <v/>
      </c>
      <c r="Z180" s="421" t="str">
        <f t="shared" ca="1" si="11"/>
        <v/>
      </c>
      <c r="AA180" s="420" t="str">
        <f t="shared" ca="1" si="12"/>
        <v/>
      </c>
      <c r="AB180" s="422" t="str">
        <f t="shared" ca="1" si="13"/>
        <v/>
      </c>
      <c r="AC180" s="421" t="str">
        <f t="shared" ca="1" si="14"/>
        <v/>
      </c>
      <c r="AD180" s="221"/>
    </row>
    <row r="181" spans="1:30" customFormat="1" ht="15">
      <c r="A181" s="221"/>
      <c r="B181" s="270">
        <v>143</v>
      </c>
      <c r="C181" s="248"/>
      <c r="D181" s="249"/>
      <c r="E181" s="241"/>
      <c r="F181" s="226"/>
      <c r="G181" s="233"/>
      <c r="H181" s="380">
        <v>167</v>
      </c>
      <c r="I181" s="398"/>
      <c r="J181" s="398"/>
      <c r="K181" s="407"/>
      <c r="L181" s="407"/>
      <c r="M181" s="407"/>
      <c r="N181" s="446"/>
      <c r="O181" s="407"/>
      <c r="P181" s="407"/>
      <c r="Q181" s="407"/>
      <c r="R181" s="446"/>
      <c r="S181" s="437"/>
      <c r="T181" s="416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7"/>
      <c r="V181" s="417"/>
      <c r="W181" s="418"/>
      <c r="X181" s="419"/>
      <c r="Y181" s="420" t="str">
        <f t="shared" ca="1" si="10"/>
        <v/>
      </c>
      <c r="Z181" s="421" t="str">
        <f t="shared" ca="1" si="11"/>
        <v/>
      </c>
      <c r="AA181" s="420" t="str">
        <f t="shared" ca="1" si="12"/>
        <v/>
      </c>
      <c r="AB181" s="422" t="str">
        <f t="shared" ca="1" si="13"/>
        <v/>
      </c>
      <c r="AC181" s="421" t="str">
        <f t="shared" ca="1" si="14"/>
        <v/>
      </c>
      <c r="AD181" s="221"/>
    </row>
    <row r="182" spans="1:30" customFormat="1" ht="15">
      <c r="A182" s="221"/>
      <c r="B182" s="270">
        <v>144</v>
      </c>
      <c r="C182" s="248"/>
      <c r="D182" s="249"/>
      <c r="E182" s="241"/>
      <c r="F182" s="226"/>
      <c r="G182" s="233"/>
      <c r="H182" s="380">
        <v>168</v>
      </c>
      <c r="I182" s="398"/>
      <c r="J182" s="398"/>
      <c r="K182" s="407"/>
      <c r="L182" s="407"/>
      <c r="M182" s="407"/>
      <c r="N182" s="446"/>
      <c r="O182" s="407"/>
      <c r="P182" s="407"/>
      <c r="Q182" s="407"/>
      <c r="R182" s="446"/>
      <c r="S182" s="437"/>
      <c r="T182" s="416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7"/>
      <c r="V182" s="417"/>
      <c r="W182" s="418"/>
      <c r="X182" s="419"/>
      <c r="Y182" s="420" t="str">
        <f t="shared" ca="1" si="10"/>
        <v/>
      </c>
      <c r="Z182" s="421" t="str">
        <f t="shared" ca="1" si="11"/>
        <v/>
      </c>
      <c r="AA182" s="420" t="str">
        <f t="shared" ca="1" si="12"/>
        <v/>
      </c>
      <c r="AB182" s="422" t="str">
        <f t="shared" ca="1" si="13"/>
        <v/>
      </c>
      <c r="AC182" s="421" t="str">
        <f t="shared" ca="1" si="14"/>
        <v/>
      </c>
      <c r="AD182" s="221"/>
    </row>
    <row r="183" spans="1:30" customFormat="1" ht="15">
      <c r="A183" s="221"/>
      <c r="B183" s="270">
        <v>145</v>
      </c>
      <c r="C183" s="248"/>
      <c r="D183" s="249"/>
      <c r="E183" s="241"/>
      <c r="F183" s="226"/>
      <c r="G183" s="233"/>
      <c r="H183" s="380">
        <v>169</v>
      </c>
      <c r="I183" s="398"/>
      <c r="J183" s="398"/>
      <c r="K183" s="407"/>
      <c r="L183" s="407"/>
      <c r="M183" s="407"/>
      <c r="N183" s="446"/>
      <c r="O183" s="407"/>
      <c r="P183" s="407"/>
      <c r="Q183" s="407"/>
      <c r="R183" s="446"/>
      <c r="S183" s="437"/>
      <c r="T183" s="416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7"/>
      <c r="V183" s="417"/>
      <c r="W183" s="418"/>
      <c r="X183" s="419"/>
      <c r="Y183" s="420" t="str">
        <f t="shared" ca="1" si="10"/>
        <v/>
      </c>
      <c r="Z183" s="421" t="str">
        <f t="shared" ca="1" si="11"/>
        <v/>
      </c>
      <c r="AA183" s="420" t="str">
        <f t="shared" ca="1" si="12"/>
        <v/>
      </c>
      <c r="AB183" s="422" t="str">
        <f t="shared" ca="1" si="13"/>
        <v/>
      </c>
      <c r="AC183" s="421" t="str">
        <f t="shared" ca="1" si="14"/>
        <v/>
      </c>
      <c r="AD183" s="221"/>
    </row>
    <row r="184" spans="1:30" customFormat="1" ht="15">
      <c r="A184" s="221"/>
      <c r="B184" s="270">
        <v>146</v>
      </c>
      <c r="C184" s="248"/>
      <c r="D184" s="249"/>
      <c r="E184" s="241"/>
      <c r="F184" s="226"/>
      <c r="G184" s="233"/>
      <c r="H184" s="380">
        <v>170</v>
      </c>
      <c r="I184" s="398"/>
      <c r="J184" s="398"/>
      <c r="K184" s="407"/>
      <c r="L184" s="407"/>
      <c r="M184" s="407"/>
      <c r="N184" s="446"/>
      <c r="O184" s="407"/>
      <c r="P184" s="407"/>
      <c r="Q184" s="407"/>
      <c r="R184" s="446"/>
      <c r="S184" s="437"/>
      <c r="T184" s="416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7"/>
      <c r="V184" s="417"/>
      <c r="W184" s="418"/>
      <c r="X184" s="419"/>
      <c r="Y184" s="420" t="str">
        <f t="shared" ca="1" si="10"/>
        <v/>
      </c>
      <c r="Z184" s="421" t="str">
        <f t="shared" ca="1" si="11"/>
        <v/>
      </c>
      <c r="AA184" s="420" t="str">
        <f t="shared" ca="1" si="12"/>
        <v/>
      </c>
      <c r="AB184" s="422" t="str">
        <f t="shared" ca="1" si="13"/>
        <v/>
      </c>
      <c r="AC184" s="421" t="str">
        <f t="shared" ca="1" si="14"/>
        <v/>
      </c>
      <c r="AD184" s="221"/>
    </row>
    <row r="185" spans="1:30" customFormat="1" ht="15">
      <c r="A185" s="221"/>
      <c r="B185" s="270">
        <v>147</v>
      </c>
      <c r="C185" s="248"/>
      <c r="D185" s="249"/>
      <c r="E185" s="241"/>
      <c r="F185" s="226"/>
      <c r="G185" s="233"/>
      <c r="H185" s="380">
        <v>171</v>
      </c>
      <c r="I185" s="398"/>
      <c r="J185" s="398"/>
      <c r="K185" s="407"/>
      <c r="L185" s="407"/>
      <c r="M185" s="407"/>
      <c r="N185" s="446"/>
      <c r="O185" s="407"/>
      <c r="P185" s="407"/>
      <c r="Q185" s="407"/>
      <c r="R185" s="446"/>
      <c r="S185" s="437"/>
      <c r="T185" s="416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7"/>
      <c r="V185" s="417"/>
      <c r="W185" s="418"/>
      <c r="X185" s="419"/>
      <c r="Y185" s="420" t="str">
        <f t="shared" ca="1" si="10"/>
        <v/>
      </c>
      <c r="Z185" s="421" t="str">
        <f t="shared" ca="1" si="11"/>
        <v/>
      </c>
      <c r="AA185" s="420" t="str">
        <f t="shared" ca="1" si="12"/>
        <v/>
      </c>
      <c r="AB185" s="422" t="str">
        <f t="shared" ca="1" si="13"/>
        <v/>
      </c>
      <c r="AC185" s="421" t="str">
        <f t="shared" ca="1" si="14"/>
        <v/>
      </c>
      <c r="AD185" s="221"/>
    </row>
    <row r="186" spans="1:30" customFormat="1" ht="15">
      <c r="A186" s="221"/>
      <c r="B186" s="270">
        <v>148</v>
      </c>
      <c r="C186" s="248"/>
      <c r="D186" s="249"/>
      <c r="E186" s="241"/>
      <c r="F186" s="226"/>
      <c r="G186" s="233"/>
      <c r="H186" s="380">
        <v>172</v>
      </c>
      <c r="I186" s="398"/>
      <c r="J186" s="398"/>
      <c r="K186" s="407"/>
      <c r="L186" s="407"/>
      <c r="M186" s="407"/>
      <c r="N186" s="446"/>
      <c r="O186" s="407"/>
      <c r="P186" s="407"/>
      <c r="Q186" s="407"/>
      <c r="R186" s="446"/>
      <c r="S186" s="437"/>
      <c r="T186" s="416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7"/>
      <c r="V186" s="417"/>
      <c r="W186" s="418"/>
      <c r="X186" s="419"/>
      <c r="Y186" s="420" t="str">
        <f t="shared" ca="1" si="10"/>
        <v/>
      </c>
      <c r="Z186" s="421" t="str">
        <f t="shared" ca="1" si="11"/>
        <v/>
      </c>
      <c r="AA186" s="420" t="str">
        <f t="shared" ca="1" si="12"/>
        <v/>
      </c>
      <c r="AB186" s="422" t="str">
        <f t="shared" ca="1" si="13"/>
        <v/>
      </c>
      <c r="AC186" s="421" t="str">
        <f t="shared" ca="1" si="14"/>
        <v/>
      </c>
      <c r="AD186" s="221"/>
    </row>
    <row r="187" spans="1:30" customFormat="1" ht="15">
      <c r="A187" s="221"/>
      <c r="B187" s="270">
        <v>149</v>
      </c>
      <c r="C187" s="248"/>
      <c r="D187" s="249"/>
      <c r="E187" s="241"/>
      <c r="F187" s="226"/>
      <c r="G187" s="233"/>
      <c r="H187" s="380">
        <v>173</v>
      </c>
      <c r="I187" s="398"/>
      <c r="J187" s="398"/>
      <c r="K187" s="407"/>
      <c r="L187" s="407"/>
      <c r="M187" s="407"/>
      <c r="N187" s="446"/>
      <c r="O187" s="407"/>
      <c r="P187" s="407"/>
      <c r="Q187" s="407"/>
      <c r="R187" s="446"/>
      <c r="S187" s="437"/>
      <c r="T187" s="416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7"/>
      <c r="V187" s="417"/>
      <c r="W187" s="418"/>
      <c r="X187" s="419"/>
      <c r="Y187" s="420" t="str">
        <f t="shared" ca="1" si="10"/>
        <v/>
      </c>
      <c r="Z187" s="421" t="str">
        <f t="shared" ca="1" si="11"/>
        <v/>
      </c>
      <c r="AA187" s="420" t="str">
        <f t="shared" ca="1" si="12"/>
        <v/>
      </c>
      <c r="AB187" s="422" t="str">
        <f t="shared" ca="1" si="13"/>
        <v/>
      </c>
      <c r="AC187" s="421" t="str">
        <f t="shared" ca="1" si="14"/>
        <v/>
      </c>
      <c r="AD187" s="221"/>
    </row>
    <row r="188" spans="1:30" customFormat="1" ht="15">
      <c r="A188" s="221"/>
      <c r="B188" s="270">
        <v>150</v>
      </c>
      <c r="C188" s="248"/>
      <c r="D188" s="249"/>
      <c r="E188" s="241"/>
      <c r="F188" s="226"/>
      <c r="G188" s="233"/>
      <c r="H188" s="380">
        <v>174</v>
      </c>
      <c r="I188" s="398"/>
      <c r="J188" s="398"/>
      <c r="K188" s="407"/>
      <c r="L188" s="407"/>
      <c r="M188" s="407"/>
      <c r="N188" s="446"/>
      <c r="O188" s="407"/>
      <c r="P188" s="407"/>
      <c r="Q188" s="407"/>
      <c r="R188" s="446"/>
      <c r="S188" s="437"/>
      <c r="T188" s="416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7"/>
      <c r="V188" s="417"/>
      <c r="W188" s="418"/>
      <c r="X188" s="419"/>
      <c r="Y188" s="420" t="str">
        <f t="shared" ca="1" si="10"/>
        <v/>
      </c>
      <c r="Z188" s="421" t="str">
        <f t="shared" ca="1" si="11"/>
        <v/>
      </c>
      <c r="AA188" s="420" t="str">
        <f t="shared" ca="1" si="12"/>
        <v/>
      </c>
      <c r="AB188" s="422" t="str">
        <f t="shared" ca="1" si="13"/>
        <v/>
      </c>
      <c r="AC188" s="421" t="str">
        <f t="shared" ca="1" si="14"/>
        <v/>
      </c>
      <c r="AD188" s="221"/>
    </row>
    <row r="189" spans="1:30" customFormat="1" ht="15">
      <c r="A189" s="221"/>
      <c r="B189" s="270">
        <v>151</v>
      </c>
      <c r="C189" s="248"/>
      <c r="D189" s="249"/>
      <c r="E189" s="241"/>
      <c r="F189" s="226"/>
      <c r="G189" s="233"/>
      <c r="H189" s="380">
        <v>175</v>
      </c>
      <c r="I189" s="398"/>
      <c r="J189" s="398"/>
      <c r="K189" s="407"/>
      <c r="L189" s="407"/>
      <c r="M189" s="407"/>
      <c r="N189" s="446"/>
      <c r="O189" s="407"/>
      <c r="P189" s="407"/>
      <c r="Q189" s="407"/>
      <c r="R189" s="446"/>
      <c r="S189" s="437"/>
      <c r="T189" s="416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7"/>
      <c r="V189" s="417"/>
      <c r="W189" s="418"/>
      <c r="X189" s="419"/>
      <c r="Y189" s="420" t="str">
        <f t="shared" ca="1" si="10"/>
        <v/>
      </c>
      <c r="Z189" s="421" t="str">
        <f t="shared" ca="1" si="11"/>
        <v/>
      </c>
      <c r="AA189" s="420" t="str">
        <f t="shared" ca="1" si="12"/>
        <v/>
      </c>
      <c r="AB189" s="422" t="str">
        <f t="shared" ca="1" si="13"/>
        <v/>
      </c>
      <c r="AC189" s="421" t="str">
        <f t="shared" ca="1" si="14"/>
        <v/>
      </c>
      <c r="AD189" s="221"/>
    </row>
    <row r="190" spans="1:30" customFormat="1" ht="15">
      <c r="A190" s="221"/>
      <c r="B190" s="270">
        <v>152</v>
      </c>
      <c r="C190" s="248"/>
      <c r="D190" s="249"/>
      <c r="E190" s="241"/>
      <c r="F190" s="226"/>
      <c r="G190" s="233"/>
      <c r="H190" s="380">
        <v>176</v>
      </c>
      <c r="I190" s="398"/>
      <c r="J190" s="398"/>
      <c r="K190" s="407"/>
      <c r="L190" s="407"/>
      <c r="M190" s="407"/>
      <c r="N190" s="446"/>
      <c r="O190" s="407"/>
      <c r="P190" s="407"/>
      <c r="Q190" s="407"/>
      <c r="R190" s="446"/>
      <c r="S190" s="437"/>
      <c r="T190" s="416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7"/>
      <c r="V190" s="417"/>
      <c r="W190" s="418"/>
      <c r="X190" s="419"/>
      <c r="Y190" s="420" t="str">
        <f t="shared" ca="1" si="10"/>
        <v/>
      </c>
      <c r="Z190" s="421" t="str">
        <f t="shared" ca="1" si="11"/>
        <v/>
      </c>
      <c r="AA190" s="420" t="str">
        <f t="shared" ca="1" si="12"/>
        <v/>
      </c>
      <c r="AB190" s="422" t="str">
        <f t="shared" ca="1" si="13"/>
        <v/>
      </c>
      <c r="AC190" s="421" t="str">
        <f t="shared" ca="1" si="14"/>
        <v/>
      </c>
      <c r="AD190" s="221"/>
    </row>
    <row r="191" spans="1:30" customFormat="1" ht="15">
      <c r="A191" s="221"/>
      <c r="B191" s="270">
        <v>153</v>
      </c>
      <c r="C191" s="248"/>
      <c r="D191" s="249"/>
      <c r="E191" s="241"/>
      <c r="F191" s="226"/>
      <c r="G191" s="233"/>
      <c r="H191" s="380">
        <v>177</v>
      </c>
      <c r="I191" s="398"/>
      <c r="J191" s="398"/>
      <c r="K191" s="407"/>
      <c r="L191" s="407"/>
      <c r="M191" s="407"/>
      <c r="N191" s="446"/>
      <c r="O191" s="407"/>
      <c r="P191" s="407"/>
      <c r="Q191" s="407"/>
      <c r="R191" s="446"/>
      <c r="S191" s="437"/>
      <c r="T191" s="416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7"/>
      <c r="V191" s="417"/>
      <c r="W191" s="418"/>
      <c r="X191" s="419"/>
      <c r="Y191" s="420" t="str">
        <f t="shared" ca="1" si="10"/>
        <v/>
      </c>
      <c r="Z191" s="421" t="str">
        <f t="shared" ca="1" si="11"/>
        <v/>
      </c>
      <c r="AA191" s="420" t="str">
        <f t="shared" ca="1" si="12"/>
        <v/>
      </c>
      <c r="AB191" s="422" t="str">
        <f t="shared" ca="1" si="13"/>
        <v/>
      </c>
      <c r="AC191" s="421" t="str">
        <f t="shared" ca="1" si="14"/>
        <v/>
      </c>
      <c r="AD191" s="221"/>
    </row>
    <row r="192" spans="1:30" customFormat="1" ht="15">
      <c r="A192" s="221"/>
      <c r="B192" s="270">
        <v>154</v>
      </c>
      <c r="C192" s="248"/>
      <c r="D192" s="249"/>
      <c r="E192" s="241"/>
      <c r="F192" s="226"/>
      <c r="G192" s="233"/>
      <c r="H192" s="380">
        <v>178</v>
      </c>
      <c r="I192" s="398"/>
      <c r="J192" s="398"/>
      <c r="K192" s="407"/>
      <c r="L192" s="407"/>
      <c r="M192" s="407"/>
      <c r="N192" s="446"/>
      <c r="O192" s="407"/>
      <c r="P192" s="407"/>
      <c r="Q192" s="407"/>
      <c r="R192" s="446"/>
      <c r="S192" s="437"/>
      <c r="T192" s="416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7"/>
      <c r="V192" s="417"/>
      <c r="W192" s="418"/>
      <c r="X192" s="419"/>
      <c r="Y192" s="420" t="str">
        <f t="shared" ca="1" si="10"/>
        <v/>
      </c>
      <c r="Z192" s="421" t="str">
        <f t="shared" ca="1" si="11"/>
        <v/>
      </c>
      <c r="AA192" s="420" t="str">
        <f t="shared" ca="1" si="12"/>
        <v/>
      </c>
      <c r="AB192" s="422" t="str">
        <f t="shared" ca="1" si="13"/>
        <v/>
      </c>
      <c r="AC192" s="421" t="str">
        <f t="shared" ca="1" si="14"/>
        <v/>
      </c>
      <c r="AD192" s="221"/>
    </row>
    <row r="193" spans="1:30" customFormat="1" ht="15">
      <c r="A193" s="221"/>
      <c r="B193" s="270">
        <v>155</v>
      </c>
      <c r="C193" s="248"/>
      <c r="D193" s="249"/>
      <c r="E193" s="241"/>
      <c r="F193" s="226"/>
      <c r="G193" s="233"/>
      <c r="H193" s="380">
        <v>179</v>
      </c>
      <c r="I193" s="398"/>
      <c r="J193" s="398"/>
      <c r="K193" s="407"/>
      <c r="L193" s="407"/>
      <c r="M193" s="407"/>
      <c r="N193" s="446"/>
      <c r="O193" s="407"/>
      <c r="P193" s="407"/>
      <c r="Q193" s="407"/>
      <c r="R193" s="446"/>
      <c r="S193" s="437"/>
      <c r="T193" s="416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7"/>
      <c r="V193" s="417"/>
      <c r="W193" s="418"/>
      <c r="X193" s="419"/>
      <c r="Y193" s="420" t="str">
        <f t="shared" ca="1" si="10"/>
        <v/>
      </c>
      <c r="Z193" s="421" t="str">
        <f t="shared" ca="1" si="11"/>
        <v/>
      </c>
      <c r="AA193" s="420" t="str">
        <f t="shared" ca="1" si="12"/>
        <v/>
      </c>
      <c r="AB193" s="422" t="str">
        <f t="shared" ca="1" si="13"/>
        <v/>
      </c>
      <c r="AC193" s="421" t="str">
        <f t="shared" ca="1" si="14"/>
        <v/>
      </c>
      <c r="AD193" s="221"/>
    </row>
    <row r="194" spans="1:30" customFormat="1" ht="15">
      <c r="A194" s="221"/>
      <c r="B194" s="270">
        <v>156</v>
      </c>
      <c r="C194" s="248"/>
      <c r="D194" s="249"/>
      <c r="E194" s="241"/>
      <c r="F194" s="226"/>
      <c r="G194" s="233"/>
      <c r="H194" s="380">
        <v>180</v>
      </c>
      <c r="I194" s="398"/>
      <c r="J194" s="398"/>
      <c r="K194" s="407"/>
      <c r="L194" s="407"/>
      <c r="M194" s="407"/>
      <c r="N194" s="446"/>
      <c r="O194" s="407"/>
      <c r="P194" s="407"/>
      <c r="Q194" s="407"/>
      <c r="R194" s="446"/>
      <c r="S194" s="437"/>
      <c r="T194" s="416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7"/>
      <c r="V194" s="417"/>
      <c r="W194" s="418"/>
      <c r="X194" s="419"/>
      <c r="Y194" s="420" t="str">
        <f t="shared" ca="1" si="10"/>
        <v/>
      </c>
      <c r="Z194" s="421" t="str">
        <f t="shared" ca="1" si="11"/>
        <v/>
      </c>
      <c r="AA194" s="420" t="str">
        <f t="shared" ca="1" si="12"/>
        <v/>
      </c>
      <c r="AB194" s="422" t="str">
        <f t="shared" ca="1" si="13"/>
        <v/>
      </c>
      <c r="AC194" s="421" t="str">
        <f t="shared" ca="1" si="14"/>
        <v/>
      </c>
      <c r="AD194" s="221"/>
    </row>
    <row r="195" spans="1:30" customFormat="1" ht="15">
      <c r="A195" s="221"/>
      <c r="B195" s="270">
        <v>157</v>
      </c>
      <c r="C195" s="248"/>
      <c r="D195" s="249"/>
      <c r="E195" s="241"/>
      <c r="F195" s="226"/>
      <c r="G195" s="233"/>
      <c r="H195" s="380">
        <v>181</v>
      </c>
      <c r="I195" s="398"/>
      <c r="J195" s="398"/>
      <c r="K195" s="407"/>
      <c r="L195" s="407"/>
      <c r="M195" s="407"/>
      <c r="N195" s="446"/>
      <c r="O195" s="407"/>
      <c r="P195" s="407"/>
      <c r="Q195" s="407"/>
      <c r="R195" s="446"/>
      <c r="S195" s="437"/>
      <c r="T195" s="416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7"/>
      <c r="V195" s="417"/>
      <c r="W195" s="418"/>
      <c r="X195" s="419"/>
      <c r="Y195" s="420" t="str">
        <f t="shared" ca="1" si="10"/>
        <v/>
      </c>
      <c r="Z195" s="421" t="str">
        <f t="shared" ca="1" si="11"/>
        <v/>
      </c>
      <c r="AA195" s="420" t="str">
        <f t="shared" ca="1" si="12"/>
        <v/>
      </c>
      <c r="AB195" s="422" t="str">
        <f t="shared" ca="1" si="13"/>
        <v/>
      </c>
      <c r="AC195" s="421" t="str">
        <f t="shared" ca="1" si="14"/>
        <v/>
      </c>
      <c r="AD195" s="221"/>
    </row>
    <row r="196" spans="1:30" customFormat="1" ht="15">
      <c r="A196" s="221"/>
      <c r="B196" s="270">
        <v>158</v>
      </c>
      <c r="C196" s="248"/>
      <c r="D196" s="249"/>
      <c r="E196" s="241"/>
      <c r="F196" s="226"/>
      <c r="G196" s="233"/>
      <c r="H196" s="380">
        <v>182</v>
      </c>
      <c r="I196" s="398"/>
      <c r="J196" s="398"/>
      <c r="K196" s="407"/>
      <c r="L196" s="407"/>
      <c r="M196" s="407"/>
      <c r="N196" s="446"/>
      <c r="O196" s="407"/>
      <c r="P196" s="407"/>
      <c r="Q196" s="407"/>
      <c r="R196" s="446"/>
      <c r="S196" s="437"/>
      <c r="T196" s="416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7"/>
      <c r="V196" s="417"/>
      <c r="W196" s="418"/>
      <c r="X196" s="419"/>
      <c r="Y196" s="420" t="str">
        <f t="shared" ca="1" si="10"/>
        <v/>
      </c>
      <c r="Z196" s="421" t="str">
        <f t="shared" ca="1" si="11"/>
        <v/>
      </c>
      <c r="AA196" s="420" t="str">
        <f t="shared" ca="1" si="12"/>
        <v/>
      </c>
      <c r="AB196" s="422" t="str">
        <f t="shared" ca="1" si="13"/>
        <v/>
      </c>
      <c r="AC196" s="421" t="str">
        <f t="shared" ca="1" si="14"/>
        <v/>
      </c>
      <c r="AD196" s="221"/>
    </row>
    <row r="197" spans="1:30" customFormat="1" ht="15">
      <c r="A197" s="221"/>
      <c r="B197" s="270">
        <v>159</v>
      </c>
      <c r="C197" s="248"/>
      <c r="D197" s="249"/>
      <c r="E197" s="241"/>
      <c r="F197" s="226"/>
      <c r="G197" s="233"/>
      <c r="H197" s="380">
        <v>183</v>
      </c>
      <c r="I197" s="398"/>
      <c r="J197" s="398"/>
      <c r="K197" s="407"/>
      <c r="L197" s="407"/>
      <c r="M197" s="407"/>
      <c r="N197" s="446"/>
      <c r="O197" s="407"/>
      <c r="P197" s="407"/>
      <c r="Q197" s="407"/>
      <c r="R197" s="446"/>
      <c r="S197" s="437"/>
      <c r="T197" s="416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7"/>
      <c r="V197" s="417"/>
      <c r="W197" s="418"/>
      <c r="X197" s="419"/>
      <c r="Y197" s="420" t="str">
        <f t="shared" ca="1" si="10"/>
        <v/>
      </c>
      <c r="Z197" s="421" t="str">
        <f t="shared" ca="1" si="11"/>
        <v/>
      </c>
      <c r="AA197" s="420" t="str">
        <f t="shared" ca="1" si="12"/>
        <v/>
      </c>
      <c r="AB197" s="422" t="str">
        <f t="shared" ca="1" si="13"/>
        <v/>
      </c>
      <c r="AC197" s="421" t="str">
        <f t="shared" ca="1" si="14"/>
        <v/>
      </c>
      <c r="AD197" s="221"/>
    </row>
    <row r="198" spans="1:30" customFormat="1" ht="15">
      <c r="A198" s="221"/>
      <c r="B198" s="270">
        <v>160</v>
      </c>
      <c r="C198" s="248"/>
      <c r="D198" s="249"/>
      <c r="E198" s="241"/>
      <c r="F198" s="226"/>
      <c r="G198" s="233"/>
      <c r="H198" s="380">
        <v>184</v>
      </c>
      <c r="I198" s="398"/>
      <c r="J198" s="398"/>
      <c r="K198" s="407"/>
      <c r="L198" s="407"/>
      <c r="M198" s="407"/>
      <c r="N198" s="446"/>
      <c r="O198" s="407"/>
      <c r="P198" s="407"/>
      <c r="Q198" s="407"/>
      <c r="R198" s="446"/>
      <c r="S198" s="437"/>
      <c r="T198" s="416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7"/>
      <c r="V198" s="417"/>
      <c r="W198" s="418"/>
      <c r="X198" s="419"/>
      <c r="Y198" s="420" t="str">
        <f t="shared" ca="1" si="10"/>
        <v/>
      </c>
      <c r="Z198" s="421" t="str">
        <f t="shared" ca="1" si="11"/>
        <v/>
      </c>
      <c r="AA198" s="420" t="str">
        <f t="shared" ca="1" si="12"/>
        <v/>
      </c>
      <c r="AB198" s="422" t="str">
        <f t="shared" ca="1" si="13"/>
        <v/>
      </c>
      <c r="AC198" s="421" t="str">
        <f t="shared" ca="1" si="14"/>
        <v/>
      </c>
      <c r="AD198" s="221"/>
    </row>
    <row r="199" spans="1:30" customFormat="1" ht="15">
      <c r="A199" s="221"/>
      <c r="B199" s="270">
        <v>161</v>
      </c>
      <c r="C199" s="248"/>
      <c r="D199" s="249"/>
      <c r="E199" s="241"/>
      <c r="F199" s="226"/>
      <c r="G199" s="233"/>
      <c r="H199" s="380">
        <v>185</v>
      </c>
      <c r="I199" s="398"/>
      <c r="J199" s="398"/>
      <c r="K199" s="407"/>
      <c r="L199" s="407"/>
      <c r="M199" s="407"/>
      <c r="N199" s="446"/>
      <c r="O199" s="407"/>
      <c r="P199" s="407"/>
      <c r="Q199" s="407"/>
      <c r="R199" s="446"/>
      <c r="S199" s="437"/>
      <c r="T199" s="416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7"/>
      <c r="V199" s="417"/>
      <c r="W199" s="418"/>
      <c r="X199" s="419"/>
      <c r="Y199" s="420" t="str">
        <f t="shared" ca="1" si="10"/>
        <v/>
      </c>
      <c r="Z199" s="421" t="str">
        <f t="shared" ca="1" si="11"/>
        <v/>
      </c>
      <c r="AA199" s="420" t="str">
        <f t="shared" ca="1" si="12"/>
        <v/>
      </c>
      <c r="AB199" s="422" t="str">
        <f t="shared" ca="1" si="13"/>
        <v/>
      </c>
      <c r="AC199" s="421" t="str">
        <f t="shared" ca="1" si="14"/>
        <v/>
      </c>
      <c r="AD199" s="221"/>
    </row>
    <row r="200" spans="1:30" customFormat="1" ht="15">
      <c r="A200" s="221"/>
      <c r="B200" s="270">
        <v>162</v>
      </c>
      <c r="C200" s="248"/>
      <c r="D200" s="249"/>
      <c r="E200" s="241"/>
      <c r="F200" s="226"/>
      <c r="G200" s="233"/>
      <c r="H200" s="380">
        <v>186</v>
      </c>
      <c r="I200" s="398"/>
      <c r="J200" s="398"/>
      <c r="K200" s="407"/>
      <c r="L200" s="407"/>
      <c r="M200" s="407"/>
      <c r="N200" s="446"/>
      <c r="O200" s="407"/>
      <c r="P200" s="407"/>
      <c r="Q200" s="407"/>
      <c r="R200" s="446"/>
      <c r="S200" s="437"/>
      <c r="T200" s="416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7"/>
      <c r="V200" s="417"/>
      <c r="W200" s="418"/>
      <c r="X200" s="419"/>
      <c r="Y200" s="420" t="str">
        <f t="shared" ca="1" si="10"/>
        <v/>
      </c>
      <c r="Z200" s="421" t="str">
        <f t="shared" ca="1" si="11"/>
        <v/>
      </c>
      <c r="AA200" s="420" t="str">
        <f t="shared" ca="1" si="12"/>
        <v/>
      </c>
      <c r="AB200" s="422" t="str">
        <f t="shared" ca="1" si="13"/>
        <v/>
      </c>
      <c r="AC200" s="421" t="str">
        <f t="shared" ca="1" si="14"/>
        <v/>
      </c>
      <c r="AD200" s="221"/>
    </row>
    <row r="201" spans="1:30" customFormat="1" ht="15">
      <c r="A201" s="221"/>
      <c r="B201" s="270">
        <v>163</v>
      </c>
      <c r="C201" s="248"/>
      <c r="D201" s="249"/>
      <c r="E201" s="241"/>
      <c r="F201" s="226"/>
      <c r="G201" s="233"/>
      <c r="H201" s="380">
        <v>187</v>
      </c>
      <c r="I201" s="398"/>
      <c r="J201" s="398"/>
      <c r="K201" s="407"/>
      <c r="L201" s="407"/>
      <c r="M201" s="407"/>
      <c r="N201" s="446"/>
      <c r="O201" s="407"/>
      <c r="P201" s="407"/>
      <c r="Q201" s="407"/>
      <c r="R201" s="446"/>
      <c r="S201" s="437"/>
      <c r="T201" s="416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7"/>
      <c r="V201" s="417"/>
      <c r="W201" s="418"/>
      <c r="X201" s="419"/>
      <c r="Y201" s="420" t="str">
        <f t="shared" ca="1" si="10"/>
        <v/>
      </c>
      <c r="Z201" s="421" t="str">
        <f t="shared" ca="1" si="11"/>
        <v/>
      </c>
      <c r="AA201" s="420" t="str">
        <f t="shared" ca="1" si="12"/>
        <v/>
      </c>
      <c r="AB201" s="422" t="str">
        <f t="shared" ca="1" si="13"/>
        <v/>
      </c>
      <c r="AC201" s="421" t="str">
        <f t="shared" ca="1" si="14"/>
        <v/>
      </c>
      <c r="AD201" s="221"/>
    </row>
    <row r="202" spans="1:30" customFormat="1" ht="15">
      <c r="A202" s="221"/>
      <c r="B202" s="270">
        <v>164</v>
      </c>
      <c r="C202" s="248"/>
      <c r="D202" s="249"/>
      <c r="E202" s="241"/>
      <c r="F202" s="226"/>
      <c r="G202" s="233"/>
      <c r="H202" s="380">
        <v>188</v>
      </c>
      <c r="I202" s="398"/>
      <c r="J202" s="398"/>
      <c r="K202" s="407"/>
      <c r="L202" s="407"/>
      <c r="M202" s="407"/>
      <c r="N202" s="446"/>
      <c r="O202" s="407"/>
      <c r="P202" s="407"/>
      <c r="Q202" s="407"/>
      <c r="R202" s="446"/>
      <c r="S202" s="437"/>
      <c r="T202" s="416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7"/>
      <c r="V202" s="417"/>
      <c r="W202" s="418"/>
      <c r="X202" s="419"/>
      <c r="Y202" s="420" t="str">
        <f t="shared" ca="1" si="10"/>
        <v/>
      </c>
      <c r="Z202" s="421" t="str">
        <f t="shared" ca="1" si="11"/>
        <v/>
      </c>
      <c r="AA202" s="420" t="str">
        <f t="shared" ca="1" si="12"/>
        <v/>
      </c>
      <c r="AB202" s="422" t="str">
        <f t="shared" ca="1" si="13"/>
        <v/>
      </c>
      <c r="AC202" s="421" t="str">
        <f t="shared" ca="1" si="14"/>
        <v/>
      </c>
      <c r="AD202" s="221"/>
    </row>
    <row r="203" spans="1:30" customFormat="1" ht="15">
      <c r="A203" s="221"/>
      <c r="B203" s="270">
        <v>165</v>
      </c>
      <c r="C203" s="248"/>
      <c r="D203" s="249"/>
      <c r="E203" s="241"/>
      <c r="F203" s="226"/>
      <c r="G203" s="233"/>
      <c r="H203" s="380">
        <v>189</v>
      </c>
      <c r="I203" s="398"/>
      <c r="J203" s="398"/>
      <c r="K203" s="407"/>
      <c r="L203" s="407"/>
      <c r="M203" s="407"/>
      <c r="N203" s="446"/>
      <c r="O203" s="407"/>
      <c r="P203" s="407"/>
      <c r="Q203" s="407"/>
      <c r="R203" s="446"/>
      <c r="S203" s="437"/>
      <c r="T203" s="416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7"/>
      <c r="V203" s="417"/>
      <c r="W203" s="418"/>
      <c r="X203" s="419"/>
      <c r="Y203" s="420" t="str">
        <f t="shared" ca="1" si="10"/>
        <v/>
      </c>
      <c r="Z203" s="421" t="str">
        <f t="shared" ca="1" si="11"/>
        <v/>
      </c>
      <c r="AA203" s="420" t="str">
        <f t="shared" ca="1" si="12"/>
        <v/>
      </c>
      <c r="AB203" s="422" t="str">
        <f t="shared" ca="1" si="13"/>
        <v/>
      </c>
      <c r="AC203" s="421" t="str">
        <f t="shared" ca="1" si="14"/>
        <v/>
      </c>
      <c r="AD203" s="221"/>
    </row>
    <row r="204" spans="1:30" customFormat="1" ht="15">
      <c r="A204" s="221"/>
      <c r="B204" s="270">
        <v>166</v>
      </c>
      <c r="C204" s="248"/>
      <c r="D204" s="249"/>
      <c r="E204" s="241"/>
      <c r="F204" s="226"/>
      <c r="G204" s="233"/>
      <c r="H204" s="380">
        <v>190</v>
      </c>
      <c r="I204" s="398"/>
      <c r="J204" s="398"/>
      <c r="K204" s="407"/>
      <c r="L204" s="407"/>
      <c r="M204" s="407"/>
      <c r="N204" s="446"/>
      <c r="O204" s="407"/>
      <c r="P204" s="407"/>
      <c r="Q204" s="407"/>
      <c r="R204" s="446"/>
      <c r="S204" s="437"/>
      <c r="T204" s="416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7"/>
      <c r="V204" s="417"/>
      <c r="W204" s="418"/>
      <c r="X204" s="419"/>
      <c r="Y204" s="420" t="str">
        <f t="shared" ca="1" si="10"/>
        <v/>
      </c>
      <c r="Z204" s="421" t="str">
        <f t="shared" ca="1" si="11"/>
        <v/>
      </c>
      <c r="AA204" s="420" t="str">
        <f t="shared" ca="1" si="12"/>
        <v/>
      </c>
      <c r="AB204" s="422" t="str">
        <f t="shared" ca="1" si="13"/>
        <v/>
      </c>
      <c r="AC204" s="421" t="str">
        <f t="shared" ca="1" si="14"/>
        <v/>
      </c>
      <c r="AD204" s="221"/>
    </row>
    <row r="205" spans="1:30" customFormat="1" ht="15">
      <c r="A205" s="221"/>
      <c r="B205" s="270">
        <v>167</v>
      </c>
      <c r="C205" s="248"/>
      <c r="D205" s="249"/>
      <c r="E205" s="241"/>
      <c r="F205" s="226"/>
      <c r="G205" s="233"/>
      <c r="H205" s="380">
        <v>191</v>
      </c>
      <c r="I205" s="398"/>
      <c r="J205" s="398"/>
      <c r="K205" s="407"/>
      <c r="L205" s="407"/>
      <c r="M205" s="407"/>
      <c r="N205" s="446"/>
      <c r="O205" s="407"/>
      <c r="P205" s="407"/>
      <c r="Q205" s="407"/>
      <c r="R205" s="446"/>
      <c r="S205" s="437"/>
      <c r="T205" s="416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7"/>
      <c r="V205" s="417"/>
      <c r="W205" s="418"/>
      <c r="X205" s="419"/>
      <c r="Y205" s="420" t="str">
        <f t="shared" ca="1" si="10"/>
        <v/>
      </c>
      <c r="Z205" s="421" t="str">
        <f t="shared" ca="1" si="11"/>
        <v/>
      </c>
      <c r="AA205" s="420" t="str">
        <f t="shared" ca="1" si="12"/>
        <v/>
      </c>
      <c r="AB205" s="422" t="str">
        <f t="shared" ca="1" si="13"/>
        <v/>
      </c>
      <c r="AC205" s="421" t="str">
        <f t="shared" ca="1" si="14"/>
        <v/>
      </c>
      <c r="AD205" s="221"/>
    </row>
    <row r="206" spans="1:30" customFormat="1" ht="15">
      <c r="A206" s="221"/>
      <c r="B206" s="270">
        <v>168</v>
      </c>
      <c r="C206" s="248"/>
      <c r="D206" s="249"/>
      <c r="E206" s="241"/>
      <c r="F206" s="226"/>
      <c r="G206" s="233"/>
      <c r="H206" s="380">
        <v>192</v>
      </c>
      <c r="I206" s="398"/>
      <c r="J206" s="398"/>
      <c r="K206" s="407"/>
      <c r="L206" s="407"/>
      <c r="M206" s="407"/>
      <c r="N206" s="446"/>
      <c r="O206" s="407"/>
      <c r="P206" s="407"/>
      <c r="Q206" s="407"/>
      <c r="R206" s="446"/>
      <c r="S206" s="437"/>
      <c r="T206" s="416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7"/>
      <c r="V206" s="417"/>
      <c r="W206" s="418"/>
      <c r="X206" s="419"/>
      <c r="Y206" s="420" t="str">
        <f t="shared" ca="1" si="10"/>
        <v/>
      </c>
      <c r="Z206" s="421" t="str">
        <f t="shared" ca="1" si="11"/>
        <v/>
      </c>
      <c r="AA206" s="420" t="str">
        <f t="shared" ca="1" si="12"/>
        <v/>
      </c>
      <c r="AB206" s="422" t="str">
        <f t="shared" ca="1" si="13"/>
        <v/>
      </c>
      <c r="AC206" s="421" t="str">
        <f t="shared" ca="1" si="14"/>
        <v/>
      </c>
      <c r="AD206" s="221"/>
    </row>
    <row r="207" spans="1:30" customFormat="1" ht="15">
      <c r="A207" s="221"/>
      <c r="B207" s="270">
        <v>169</v>
      </c>
      <c r="C207" s="248"/>
      <c r="D207" s="249"/>
      <c r="E207" s="241"/>
      <c r="F207" s="226"/>
      <c r="G207" s="233"/>
      <c r="H207" s="380">
        <v>193</v>
      </c>
      <c r="I207" s="398"/>
      <c r="J207" s="398"/>
      <c r="K207" s="407"/>
      <c r="L207" s="407"/>
      <c r="M207" s="407"/>
      <c r="N207" s="446"/>
      <c r="O207" s="407"/>
      <c r="P207" s="407"/>
      <c r="Q207" s="407"/>
      <c r="R207" s="446"/>
      <c r="S207" s="437"/>
      <c r="T207" s="416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7"/>
      <c r="V207" s="417"/>
      <c r="W207" s="418"/>
      <c r="X207" s="419"/>
      <c r="Y207" s="420" t="str">
        <f t="shared" ca="1" si="10"/>
        <v/>
      </c>
      <c r="Z207" s="421" t="str">
        <f t="shared" ca="1" si="11"/>
        <v/>
      </c>
      <c r="AA207" s="420" t="str">
        <f t="shared" ca="1" si="12"/>
        <v/>
      </c>
      <c r="AB207" s="422" t="str">
        <f t="shared" ca="1" si="13"/>
        <v/>
      </c>
      <c r="AC207" s="421" t="str">
        <f t="shared" ca="1" si="14"/>
        <v/>
      </c>
      <c r="AD207" s="221"/>
    </row>
    <row r="208" spans="1:30" customFormat="1" ht="15">
      <c r="A208" s="221"/>
      <c r="B208" s="270">
        <v>170</v>
      </c>
      <c r="C208" s="248"/>
      <c r="D208" s="249"/>
      <c r="E208" s="241"/>
      <c r="F208" s="226"/>
      <c r="G208" s="233"/>
      <c r="H208" s="380">
        <v>194</v>
      </c>
      <c r="I208" s="398"/>
      <c r="J208" s="398"/>
      <c r="K208" s="407"/>
      <c r="L208" s="407"/>
      <c r="M208" s="407"/>
      <c r="N208" s="446"/>
      <c r="O208" s="407"/>
      <c r="P208" s="407"/>
      <c r="Q208" s="407"/>
      <c r="R208" s="446"/>
      <c r="S208" s="437"/>
      <c r="T208" s="416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7"/>
      <c r="V208" s="417"/>
      <c r="W208" s="418"/>
      <c r="X208" s="419"/>
      <c r="Y208" s="420" t="str">
        <f t="shared" ref="Y208:Y271" ca="1" si="15">IF($U$12,IF(T208="","",$U$13*D232/$C$18),"")</f>
        <v/>
      </c>
      <c r="Z208" s="421" t="str">
        <f t="shared" ref="Z208:Z271" ca="1" si="16">IF($U$12,IF(Y208="","",Y208*($Z$10-W208)*X208),"")</f>
        <v/>
      </c>
      <c r="AA208" s="420" t="str">
        <f t="shared" ref="AA208:AA271" ca="1" si="17">IF($U$12,IF(OR(T208="",L208=""),"",L208/($C$20-$C$19)),"")</f>
        <v/>
      </c>
      <c r="AB208" s="422" t="str">
        <f t="shared" ref="AB208:AB271" ca="1" si="18">IF($U$12,IF(W208="","",W208*$AC$10),"")</f>
        <v/>
      </c>
      <c r="AC208" s="421" t="str">
        <f t="shared" ref="AC208:AC271" ca="1" si="19">IF($U$12,IF(AA208="","",AA208*(AB208-W208)*X208),"")</f>
        <v/>
      </c>
      <c r="AD208" s="221"/>
    </row>
    <row r="209" spans="1:30" customFormat="1" ht="15">
      <c r="A209" s="221"/>
      <c r="B209" s="270">
        <v>171</v>
      </c>
      <c r="C209" s="248"/>
      <c r="D209" s="249"/>
      <c r="E209" s="241"/>
      <c r="F209" s="226"/>
      <c r="G209" s="233"/>
      <c r="H209" s="380">
        <v>195</v>
      </c>
      <c r="I209" s="398"/>
      <c r="J209" s="398"/>
      <c r="K209" s="407"/>
      <c r="L209" s="407"/>
      <c r="M209" s="407"/>
      <c r="N209" s="446"/>
      <c r="O209" s="407"/>
      <c r="P209" s="407"/>
      <c r="Q209" s="407"/>
      <c r="R209" s="446"/>
      <c r="S209" s="437"/>
      <c r="T209" s="416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7"/>
      <c r="V209" s="417"/>
      <c r="W209" s="418"/>
      <c r="X209" s="419"/>
      <c r="Y209" s="420" t="str">
        <f t="shared" ca="1" si="15"/>
        <v/>
      </c>
      <c r="Z209" s="421" t="str">
        <f t="shared" ca="1" si="16"/>
        <v/>
      </c>
      <c r="AA209" s="420" t="str">
        <f t="shared" ca="1" si="17"/>
        <v/>
      </c>
      <c r="AB209" s="422" t="str">
        <f t="shared" ca="1" si="18"/>
        <v/>
      </c>
      <c r="AC209" s="421" t="str">
        <f t="shared" ca="1" si="19"/>
        <v/>
      </c>
      <c r="AD209" s="221"/>
    </row>
    <row r="210" spans="1:30" customFormat="1" ht="15">
      <c r="A210" s="221"/>
      <c r="B210" s="270">
        <v>172</v>
      </c>
      <c r="C210" s="248"/>
      <c r="D210" s="249"/>
      <c r="E210" s="241"/>
      <c r="F210" s="226"/>
      <c r="G210" s="233"/>
      <c r="H210" s="380">
        <v>196</v>
      </c>
      <c r="I210" s="398"/>
      <c r="J210" s="398"/>
      <c r="K210" s="407"/>
      <c r="L210" s="407"/>
      <c r="M210" s="407"/>
      <c r="N210" s="446"/>
      <c r="O210" s="407"/>
      <c r="P210" s="407"/>
      <c r="Q210" s="407"/>
      <c r="R210" s="446"/>
      <c r="S210" s="437"/>
      <c r="T210" s="416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7"/>
      <c r="V210" s="417"/>
      <c r="W210" s="418"/>
      <c r="X210" s="419"/>
      <c r="Y210" s="420" t="str">
        <f t="shared" ca="1" si="15"/>
        <v/>
      </c>
      <c r="Z210" s="421" t="str">
        <f t="shared" ca="1" si="16"/>
        <v/>
      </c>
      <c r="AA210" s="420" t="str">
        <f t="shared" ca="1" si="17"/>
        <v/>
      </c>
      <c r="AB210" s="422" t="str">
        <f t="shared" ca="1" si="18"/>
        <v/>
      </c>
      <c r="AC210" s="421" t="str">
        <f t="shared" ca="1" si="19"/>
        <v/>
      </c>
      <c r="AD210" s="221"/>
    </row>
    <row r="211" spans="1:30" customFormat="1" ht="15">
      <c r="A211" s="221"/>
      <c r="B211" s="270">
        <v>173</v>
      </c>
      <c r="C211" s="248"/>
      <c r="D211" s="249"/>
      <c r="E211" s="241"/>
      <c r="F211" s="226"/>
      <c r="G211" s="233"/>
      <c r="H211" s="380">
        <v>197</v>
      </c>
      <c r="I211" s="398"/>
      <c r="J211" s="398"/>
      <c r="K211" s="407"/>
      <c r="L211" s="407"/>
      <c r="M211" s="407"/>
      <c r="N211" s="446"/>
      <c r="O211" s="407"/>
      <c r="P211" s="407"/>
      <c r="Q211" s="407"/>
      <c r="R211" s="446"/>
      <c r="S211" s="437"/>
      <c r="T211" s="416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7"/>
      <c r="V211" s="417"/>
      <c r="W211" s="418"/>
      <c r="X211" s="419"/>
      <c r="Y211" s="420" t="str">
        <f t="shared" ca="1" si="15"/>
        <v/>
      </c>
      <c r="Z211" s="421" t="str">
        <f t="shared" ca="1" si="16"/>
        <v/>
      </c>
      <c r="AA211" s="420" t="str">
        <f t="shared" ca="1" si="17"/>
        <v/>
      </c>
      <c r="AB211" s="422" t="str">
        <f t="shared" ca="1" si="18"/>
        <v/>
      </c>
      <c r="AC211" s="421" t="str">
        <f t="shared" ca="1" si="19"/>
        <v/>
      </c>
      <c r="AD211" s="221"/>
    </row>
    <row r="212" spans="1:30" customFormat="1" ht="15">
      <c r="A212" s="221"/>
      <c r="B212" s="270">
        <v>174</v>
      </c>
      <c r="C212" s="248"/>
      <c r="D212" s="249"/>
      <c r="E212" s="241"/>
      <c r="F212" s="226"/>
      <c r="G212" s="233"/>
      <c r="H212" s="380">
        <v>198</v>
      </c>
      <c r="I212" s="398"/>
      <c r="J212" s="398"/>
      <c r="K212" s="407"/>
      <c r="L212" s="407"/>
      <c r="M212" s="407"/>
      <c r="N212" s="446"/>
      <c r="O212" s="407"/>
      <c r="P212" s="407"/>
      <c r="Q212" s="407"/>
      <c r="R212" s="446"/>
      <c r="S212" s="437"/>
      <c r="T212" s="416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7"/>
      <c r="V212" s="417"/>
      <c r="W212" s="418"/>
      <c r="X212" s="419"/>
      <c r="Y212" s="420" t="str">
        <f t="shared" ca="1" si="15"/>
        <v/>
      </c>
      <c r="Z212" s="421" t="str">
        <f t="shared" ca="1" si="16"/>
        <v/>
      </c>
      <c r="AA212" s="420" t="str">
        <f t="shared" ca="1" si="17"/>
        <v/>
      </c>
      <c r="AB212" s="422" t="str">
        <f t="shared" ca="1" si="18"/>
        <v/>
      </c>
      <c r="AC212" s="421" t="str">
        <f t="shared" ca="1" si="19"/>
        <v/>
      </c>
      <c r="AD212" s="221"/>
    </row>
    <row r="213" spans="1:30" customFormat="1" ht="15">
      <c r="A213" s="221"/>
      <c r="B213" s="270">
        <v>175</v>
      </c>
      <c r="C213" s="248"/>
      <c r="D213" s="249"/>
      <c r="E213" s="241"/>
      <c r="F213" s="226"/>
      <c r="G213" s="233"/>
      <c r="H213" s="380">
        <v>199</v>
      </c>
      <c r="I213" s="398"/>
      <c r="J213" s="398"/>
      <c r="K213" s="407"/>
      <c r="L213" s="407"/>
      <c r="M213" s="407"/>
      <c r="N213" s="446"/>
      <c r="O213" s="407"/>
      <c r="P213" s="407"/>
      <c r="Q213" s="407"/>
      <c r="R213" s="446"/>
      <c r="S213" s="437"/>
      <c r="T213" s="416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7"/>
      <c r="V213" s="417"/>
      <c r="W213" s="418"/>
      <c r="X213" s="419"/>
      <c r="Y213" s="420" t="str">
        <f t="shared" ca="1" si="15"/>
        <v/>
      </c>
      <c r="Z213" s="421" t="str">
        <f t="shared" ca="1" si="16"/>
        <v/>
      </c>
      <c r="AA213" s="420" t="str">
        <f t="shared" ca="1" si="17"/>
        <v/>
      </c>
      <c r="AB213" s="422" t="str">
        <f t="shared" ca="1" si="18"/>
        <v/>
      </c>
      <c r="AC213" s="421" t="str">
        <f t="shared" ca="1" si="19"/>
        <v/>
      </c>
      <c r="AD213" s="221"/>
    </row>
    <row r="214" spans="1:30" customFormat="1" ht="15">
      <c r="A214" s="221"/>
      <c r="B214" s="270">
        <v>176</v>
      </c>
      <c r="C214" s="248"/>
      <c r="D214" s="249"/>
      <c r="E214" s="241"/>
      <c r="F214" s="226"/>
      <c r="G214" s="233"/>
      <c r="H214" s="380">
        <v>200</v>
      </c>
      <c r="I214" s="398"/>
      <c r="J214" s="398"/>
      <c r="K214" s="407"/>
      <c r="L214" s="407"/>
      <c r="M214" s="407"/>
      <c r="N214" s="446"/>
      <c r="O214" s="407"/>
      <c r="P214" s="407"/>
      <c r="Q214" s="407"/>
      <c r="R214" s="446"/>
      <c r="S214" s="437"/>
      <c r="T214" s="416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7"/>
      <c r="V214" s="417"/>
      <c r="W214" s="418"/>
      <c r="X214" s="419"/>
      <c r="Y214" s="420" t="str">
        <f t="shared" ca="1" si="15"/>
        <v/>
      </c>
      <c r="Z214" s="421" t="str">
        <f t="shared" ca="1" si="16"/>
        <v/>
      </c>
      <c r="AA214" s="420" t="str">
        <f t="shared" ca="1" si="17"/>
        <v/>
      </c>
      <c r="AB214" s="422" t="str">
        <f t="shared" ca="1" si="18"/>
        <v/>
      </c>
      <c r="AC214" s="421" t="str">
        <f t="shared" ca="1" si="19"/>
        <v/>
      </c>
      <c r="AD214" s="221"/>
    </row>
    <row r="215" spans="1:30" customFormat="1" ht="15">
      <c r="A215" s="221"/>
      <c r="B215" s="270">
        <v>177</v>
      </c>
      <c r="C215" s="248"/>
      <c r="D215" s="249"/>
      <c r="E215" s="241"/>
      <c r="F215" s="226"/>
      <c r="G215" s="233"/>
      <c r="H215" s="380">
        <v>201</v>
      </c>
      <c r="I215" s="398"/>
      <c r="J215" s="398"/>
      <c r="K215" s="407"/>
      <c r="L215" s="407"/>
      <c r="M215" s="407"/>
      <c r="N215" s="446"/>
      <c r="O215" s="407"/>
      <c r="P215" s="407"/>
      <c r="Q215" s="407"/>
      <c r="R215" s="446"/>
      <c r="S215" s="437"/>
      <c r="T215" s="416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7"/>
      <c r="V215" s="417"/>
      <c r="W215" s="418"/>
      <c r="X215" s="419"/>
      <c r="Y215" s="420" t="str">
        <f t="shared" ca="1" si="15"/>
        <v/>
      </c>
      <c r="Z215" s="421" t="str">
        <f t="shared" ca="1" si="16"/>
        <v/>
      </c>
      <c r="AA215" s="420" t="str">
        <f t="shared" ca="1" si="17"/>
        <v/>
      </c>
      <c r="AB215" s="422" t="str">
        <f t="shared" ca="1" si="18"/>
        <v/>
      </c>
      <c r="AC215" s="421" t="str">
        <f t="shared" ca="1" si="19"/>
        <v/>
      </c>
      <c r="AD215" s="221"/>
    </row>
    <row r="216" spans="1:30" customFormat="1" ht="15">
      <c r="A216" s="221"/>
      <c r="B216" s="270">
        <v>178</v>
      </c>
      <c r="C216" s="248"/>
      <c r="D216" s="249"/>
      <c r="E216" s="241"/>
      <c r="F216" s="226"/>
      <c r="G216" s="233"/>
      <c r="H216" s="380">
        <v>202</v>
      </c>
      <c r="I216" s="398"/>
      <c r="J216" s="398"/>
      <c r="K216" s="407"/>
      <c r="L216" s="407"/>
      <c r="M216" s="407"/>
      <c r="N216" s="446"/>
      <c r="O216" s="407"/>
      <c r="P216" s="407"/>
      <c r="Q216" s="407"/>
      <c r="R216" s="446"/>
      <c r="S216" s="437"/>
      <c r="T216" s="416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7"/>
      <c r="V216" s="417"/>
      <c r="W216" s="418"/>
      <c r="X216" s="419"/>
      <c r="Y216" s="420" t="str">
        <f t="shared" ca="1" si="15"/>
        <v/>
      </c>
      <c r="Z216" s="421" t="str">
        <f t="shared" ca="1" si="16"/>
        <v/>
      </c>
      <c r="AA216" s="420" t="str">
        <f t="shared" ca="1" si="17"/>
        <v/>
      </c>
      <c r="AB216" s="422" t="str">
        <f t="shared" ca="1" si="18"/>
        <v/>
      </c>
      <c r="AC216" s="421" t="str">
        <f t="shared" ca="1" si="19"/>
        <v/>
      </c>
      <c r="AD216" s="221"/>
    </row>
    <row r="217" spans="1:30" customFormat="1" ht="15">
      <c r="A217" s="221"/>
      <c r="B217" s="270">
        <v>179</v>
      </c>
      <c r="C217" s="248"/>
      <c r="D217" s="249"/>
      <c r="E217" s="241"/>
      <c r="F217" s="226"/>
      <c r="G217" s="233"/>
      <c r="H217" s="380">
        <v>203</v>
      </c>
      <c r="I217" s="398"/>
      <c r="J217" s="398"/>
      <c r="K217" s="407"/>
      <c r="L217" s="407"/>
      <c r="M217" s="407"/>
      <c r="N217" s="446"/>
      <c r="O217" s="407"/>
      <c r="P217" s="407"/>
      <c r="Q217" s="407"/>
      <c r="R217" s="446"/>
      <c r="S217" s="437"/>
      <c r="T217" s="416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7"/>
      <c r="V217" s="417"/>
      <c r="W217" s="418"/>
      <c r="X217" s="419"/>
      <c r="Y217" s="420" t="str">
        <f t="shared" ca="1" si="15"/>
        <v/>
      </c>
      <c r="Z217" s="421" t="str">
        <f t="shared" ca="1" si="16"/>
        <v/>
      </c>
      <c r="AA217" s="420" t="str">
        <f t="shared" ca="1" si="17"/>
        <v/>
      </c>
      <c r="AB217" s="422" t="str">
        <f t="shared" ca="1" si="18"/>
        <v/>
      </c>
      <c r="AC217" s="421" t="str">
        <f t="shared" ca="1" si="19"/>
        <v/>
      </c>
      <c r="AD217" s="221"/>
    </row>
    <row r="218" spans="1:30" customFormat="1" ht="15">
      <c r="A218" s="221"/>
      <c r="B218" s="270">
        <v>180</v>
      </c>
      <c r="C218" s="248"/>
      <c r="D218" s="249"/>
      <c r="E218" s="241"/>
      <c r="F218" s="226"/>
      <c r="G218" s="233"/>
      <c r="H218" s="380">
        <v>204</v>
      </c>
      <c r="I218" s="398"/>
      <c r="J218" s="398"/>
      <c r="K218" s="407"/>
      <c r="L218" s="407"/>
      <c r="M218" s="407"/>
      <c r="N218" s="446"/>
      <c r="O218" s="407"/>
      <c r="P218" s="407"/>
      <c r="Q218" s="407"/>
      <c r="R218" s="446"/>
      <c r="S218" s="437"/>
      <c r="T218" s="416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7"/>
      <c r="V218" s="417"/>
      <c r="W218" s="418"/>
      <c r="X218" s="419"/>
      <c r="Y218" s="420" t="str">
        <f t="shared" ca="1" si="15"/>
        <v/>
      </c>
      <c r="Z218" s="421" t="str">
        <f t="shared" ca="1" si="16"/>
        <v/>
      </c>
      <c r="AA218" s="420" t="str">
        <f t="shared" ca="1" si="17"/>
        <v/>
      </c>
      <c r="AB218" s="422" t="str">
        <f t="shared" ca="1" si="18"/>
        <v/>
      </c>
      <c r="AC218" s="421" t="str">
        <f t="shared" ca="1" si="19"/>
        <v/>
      </c>
      <c r="AD218" s="221"/>
    </row>
    <row r="219" spans="1:30" customFormat="1" ht="15">
      <c r="A219" s="221"/>
      <c r="B219" s="270">
        <v>181</v>
      </c>
      <c r="C219" s="248"/>
      <c r="D219" s="249"/>
      <c r="E219" s="241"/>
      <c r="F219" s="226"/>
      <c r="G219" s="233"/>
      <c r="H219" s="380">
        <v>205</v>
      </c>
      <c r="I219" s="398"/>
      <c r="J219" s="398"/>
      <c r="K219" s="407"/>
      <c r="L219" s="407"/>
      <c r="M219" s="407"/>
      <c r="N219" s="446"/>
      <c r="O219" s="407"/>
      <c r="P219" s="407"/>
      <c r="Q219" s="407"/>
      <c r="R219" s="446"/>
      <c r="S219" s="437"/>
      <c r="T219" s="416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7"/>
      <c r="V219" s="417"/>
      <c r="W219" s="418"/>
      <c r="X219" s="419"/>
      <c r="Y219" s="420" t="str">
        <f t="shared" ca="1" si="15"/>
        <v/>
      </c>
      <c r="Z219" s="421" t="str">
        <f t="shared" ca="1" si="16"/>
        <v/>
      </c>
      <c r="AA219" s="420" t="str">
        <f t="shared" ca="1" si="17"/>
        <v/>
      </c>
      <c r="AB219" s="422" t="str">
        <f t="shared" ca="1" si="18"/>
        <v/>
      </c>
      <c r="AC219" s="421" t="str">
        <f t="shared" ca="1" si="19"/>
        <v/>
      </c>
      <c r="AD219" s="221"/>
    </row>
    <row r="220" spans="1:30" customFormat="1" ht="15">
      <c r="A220" s="221"/>
      <c r="B220" s="270">
        <v>182</v>
      </c>
      <c r="C220" s="248"/>
      <c r="D220" s="249"/>
      <c r="E220" s="241"/>
      <c r="F220" s="226"/>
      <c r="G220" s="233"/>
      <c r="H220" s="380">
        <v>206</v>
      </c>
      <c r="I220" s="398"/>
      <c r="J220" s="398"/>
      <c r="K220" s="407"/>
      <c r="L220" s="407"/>
      <c r="M220" s="407"/>
      <c r="N220" s="446"/>
      <c r="O220" s="407"/>
      <c r="P220" s="407"/>
      <c r="Q220" s="407"/>
      <c r="R220" s="446"/>
      <c r="S220" s="437"/>
      <c r="T220" s="416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7"/>
      <c r="V220" s="417"/>
      <c r="W220" s="418"/>
      <c r="X220" s="419"/>
      <c r="Y220" s="420" t="str">
        <f t="shared" ca="1" si="15"/>
        <v/>
      </c>
      <c r="Z220" s="421" t="str">
        <f t="shared" ca="1" si="16"/>
        <v/>
      </c>
      <c r="AA220" s="420" t="str">
        <f t="shared" ca="1" si="17"/>
        <v/>
      </c>
      <c r="AB220" s="422" t="str">
        <f t="shared" ca="1" si="18"/>
        <v/>
      </c>
      <c r="AC220" s="421" t="str">
        <f t="shared" ca="1" si="19"/>
        <v/>
      </c>
      <c r="AD220" s="221"/>
    </row>
    <row r="221" spans="1:30" customFormat="1" ht="15">
      <c r="A221" s="221"/>
      <c r="B221" s="270">
        <v>183</v>
      </c>
      <c r="C221" s="248"/>
      <c r="D221" s="249"/>
      <c r="E221" s="241"/>
      <c r="F221" s="226"/>
      <c r="G221" s="233"/>
      <c r="H221" s="380">
        <v>207</v>
      </c>
      <c r="I221" s="398"/>
      <c r="J221" s="398"/>
      <c r="K221" s="407"/>
      <c r="L221" s="407"/>
      <c r="M221" s="407"/>
      <c r="N221" s="446"/>
      <c r="O221" s="407"/>
      <c r="P221" s="407"/>
      <c r="Q221" s="407"/>
      <c r="R221" s="446"/>
      <c r="S221" s="437"/>
      <c r="T221" s="416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7"/>
      <c r="V221" s="417"/>
      <c r="W221" s="418"/>
      <c r="X221" s="419"/>
      <c r="Y221" s="420" t="str">
        <f t="shared" ca="1" si="15"/>
        <v/>
      </c>
      <c r="Z221" s="421" t="str">
        <f t="shared" ca="1" si="16"/>
        <v/>
      </c>
      <c r="AA221" s="420" t="str">
        <f t="shared" ca="1" si="17"/>
        <v/>
      </c>
      <c r="AB221" s="422" t="str">
        <f t="shared" ca="1" si="18"/>
        <v/>
      </c>
      <c r="AC221" s="421" t="str">
        <f t="shared" ca="1" si="19"/>
        <v/>
      </c>
      <c r="AD221" s="221"/>
    </row>
    <row r="222" spans="1:30" customFormat="1" ht="15">
      <c r="A222" s="221"/>
      <c r="B222" s="270">
        <v>184</v>
      </c>
      <c r="C222" s="248"/>
      <c r="D222" s="249"/>
      <c r="E222" s="241"/>
      <c r="F222" s="226"/>
      <c r="G222" s="233"/>
      <c r="H222" s="380">
        <v>208</v>
      </c>
      <c r="I222" s="398"/>
      <c r="J222" s="398"/>
      <c r="K222" s="407"/>
      <c r="L222" s="407"/>
      <c r="M222" s="407"/>
      <c r="N222" s="446"/>
      <c r="O222" s="407"/>
      <c r="P222" s="407"/>
      <c r="Q222" s="407"/>
      <c r="R222" s="446"/>
      <c r="S222" s="437"/>
      <c r="T222" s="416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7"/>
      <c r="V222" s="417"/>
      <c r="W222" s="418"/>
      <c r="X222" s="419"/>
      <c r="Y222" s="420" t="str">
        <f t="shared" ca="1" si="15"/>
        <v/>
      </c>
      <c r="Z222" s="421" t="str">
        <f t="shared" ca="1" si="16"/>
        <v/>
      </c>
      <c r="AA222" s="420" t="str">
        <f t="shared" ca="1" si="17"/>
        <v/>
      </c>
      <c r="AB222" s="422" t="str">
        <f t="shared" ca="1" si="18"/>
        <v/>
      </c>
      <c r="AC222" s="421" t="str">
        <f t="shared" ca="1" si="19"/>
        <v/>
      </c>
      <c r="AD222" s="221"/>
    </row>
    <row r="223" spans="1:30" customFormat="1" ht="15">
      <c r="A223" s="221"/>
      <c r="B223" s="270">
        <v>185</v>
      </c>
      <c r="C223" s="248"/>
      <c r="D223" s="249"/>
      <c r="E223" s="241"/>
      <c r="F223" s="226"/>
      <c r="G223" s="233"/>
      <c r="H223" s="380">
        <v>209</v>
      </c>
      <c r="I223" s="398"/>
      <c r="J223" s="398"/>
      <c r="K223" s="407"/>
      <c r="L223" s="407"/>
      <c r="M223" s="407"/>
      <c r="N223" s="446"/>
      <c r="O223" s="407"/>
      <c r="P223" s="407"/>
      <c r="Q223" s="407"/>
      <c r="R223" s="446"/>
      <c r="S223" s="437"/>
      <c r="T223" s="416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7"/>
      <c r="V223" s="417"/>
      <c r="W223" s="418"/>
      <c r="X223" s="419"/>
      <c r="Y223" s="420" t="str">
        <f t="shared" ca="1" si="15"/>
        <v/>
      </c>
      <c r="Z223" s="421" t="str">
        <f t="shared" ca="1" si="16"/>
        <v/>
      </c>
      <c r="AA223" s="420" t="str">
        <f t="shared" ca="1" si="17"/>
        <v/>
      </c>
      <c r="AB223" s="422" t="str">
        <f t="shared" ca="1" si="18"/>
        <v/>
      </c>
      <c r="AC223" s="421" t="str">
        <f t="shared" ca="1" si="19"/>
        <v/>
      </c>
      <c r="AD223" s="221"/>
    </row>
    <row r="224" spans="1:30" customFormat="1" ht="15">
      <c r="A224" s="221"/>
      <c r="B224" s="270">
        <v>186</v>
      </c>
      <c r="C224" s="248"/>
      <c r="D224" s="249"/>
      <c r="E224" s="241"/>
      <c r="F224" s="226"/>
      <c r="G224" s="233"/>
      <c r="H224" s="380">
        <v>210</v>
      </c>
      <c r="I224" s="398"/>
      <c r="J224" s="398"/>
      <c r="K224" s="407"/>
      <c r="L224" s="407"/>
      <c r="M224" s="407"/>
      <c r="N224" s="446"/>
      <c r="O224" s="407"/>
      <c r="P224" s="407"/>
      <c r="Q224" s="407"/>
      <c r="R224" s="446"/>
      <c r="S224" s="437"/>
      <c r="T224" s="416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7"/>
      <c r="V224" s="417"/>
      <c r="W224" s="418"/>
      <c r="X224" s="419"/>
      <c r="Y224" s="420" t="str">
        <f t="shared" ca="1" si="15"/>
        <v/>
      </c>
      <c r="Z224" s="421" t="str">
        <f t="shared" ca="1" si="16"/>
        <v/>
      </c>
      <c r="AA224" s="420" t="str">
        <f t="shared" ca="1" si="17"/>
        <v/>
      </c>
      <c r="AB224" s="422" t="str">
        <f t="shared" ca="1" si="18"/>
        <v/>
      </c>
      <c r="AC224" s="421" t="str">
        <f t="shared" ca="1" si="19"/>
        <v/>
      </c>
      <c r="AD224" s="221"/>
    </row>
    <row r="225" spans="1:30" customFormat="1" ht="15">
      <c r="A225" s="221"/>
      <c r="B225" s="270">
        <v>187</v>
      </c>
      <c r="C225" s="248"/>
      <c r="D225" s="249"/>
      <c r="E225" s="241"/>
      <c r="F225" s="226"/>
      <c r="G225" s="233"/>
      <c r="H225" s="380">
        <v>211</v>
      </c>
      <c r="I225" s="398"/>
      <c r="J225" s="398"/>
      <c r="K225" s="407"/>
      <c r="L225" s="407"/>
      <c r="M225" s="407"/>
      <c r="N225" s="446"/>
      <c r="O225" s="407"/>
      <c r="P225" s="407"/>
      <c r="Q225" s="407"/>
      <c r="R225" s="446"/>
      <c r="S225" s="437"/>
      <c r="T225" s="416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7"/>
      <c r="V225" s="417"/>
      <c r="W225" s="418"/>
      <c r="X225" s="419"/>
      <c r="Y225" s="420" t="str">
        <f t="shared" ca="1" si="15"/>
        <v/>
      </c>
      <c r="Z225" s="421" t="str">
        <f t="shared" ca="1" si="16"/>
        <v/>
      </c>
      <c r="AA225" s="420" t="str">
        <f t="shared" ca="1" si="17"/>
        <v/>
      </c>
      <c r="AB225" s="422" t="str">
        <f t="shared" ca="1" si="18"/>
        <v/>
      </c>
      <c r="AC225" s="421" t="str">
        <f t="shared" ca="1" si="19"/>
        <v/>
      </c>
      <c r="AD225" s="221"/>
    </row>
    <row r="226" spans="1:30" customFormat="1" ht="15">
      <c r="A226" s="221"/>
      <c r="B226" s="270">
        <v>188</v>
      </c>
      <c r="C226" s="248"/>
      <c r="D226" s="249"/>
      <c r="E226" s="241"/>
      <c r="F226" s="226"/>
      <c r="G226" s="233"/>
      <c r="H226" s="380">
        <v>212</v>
      </c>
      <c r="I226" s="398"/>
      <c r="J226" s="398"/>
      <c r="K226" s="407"/>
      <c r="L226" s="407"/>
      <c r="M226" s="407"/>
      <c r="N226" s="446"/>
      <c r="O226" s="407"/>
      <c r="P226" s="407"/>
      <c r="Q226" s="407"/>
      <c r="R226" s="446"/>
      <c r="S226" s="437"/>
      <c r="T226" s="416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7"/>
      <c r="V226" s="417"/>
      <c r="W226" s="418"/>
      <c r="X226" s="419"/>
      <c r="Y226" s="420" t="str">
        <f t="shared" ca="1" si="15"/>
        <v/>
      </c>
      <c r="Z226" s="421" t="str">
        <f t="shared" ca="1" si="16"/>
        <v/>
      </c>
      <c r="AA226" s="420" t="str">
        <f t="shared" ca="1" si="17"/>
        <v/>
      </c>
      <c r="AB226" s="422" t="str">
        <f t="shared" ca="1" si="18"/>
        <v/>
      </c>
      <c r="AC226" s="421" t="str">
        <f t="shared" ca="1" si="19"/>
        <v/>
      </c>
      <c r="AD226" s="221"/>
    </row>
    <row r="227" spans="1:30" customFormat="1" ht="15">
      <c r="A227" s="221"/>
      <c r="B227" s="270">
        <v>189</v>
      </c>
      <c r="C227" s="248"/>
      <c r="D227" s="249"/>
      <c r="E227" s="241"/>
      <c r="F227" s="226"/>
      <c r="G227" s="233"/>
      <c r="H227" s="380">
        <v>213</v>
      </c>
      <c r="I227" s="398"/>
      <c r="J227" s="398"/>
      <c r="K227" s="407"/>
      <c r="L227" s="407"/>
      <c r="M227" s="407"/>
      <c r="N227" s="446"/>
      <c r="O227" s="407"/>
      <c r="P227" s="407"/>
      <c r="Q227" s="407"/>
      <c r="R227" s="446"/>
      <c r="S227" s="437"/>
      <c r="T227" s="416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7"/>
      <c r="V227" s="417"/>
      <c r="W227" s="418"/>
      <c r="X227" s="419"/>
      <c r="Y227" s="420" t="str">
        <f t="shared" ca="1" si="15"/>
        <v/>
      </c>
      <c r="Z227" s="421" t="str">
        <f t="shared" ca="1" si="16"/>
        <v/>
      </c>
      <c r="AA227" s="420" t="str">
        <f t="shared" ca="1" si="17"/>
        <v/>
      </c>
      <c r="AB227" s="422" t="str">
        <f t="shared" ca="1" si="18"/>
        <v/>
      </c>
      <c r="AC227" s="421" t="str">
        <f t="shared" ca="1" si="19"/>
        <v/>
      </c>
      <c r="AD227" s="221"/>
    </row>
    <row r="228" spans="1:30" customFormat="1" ht="15">
      <c r="A228" s="221"/>
      <c r="B228" s="270">
        <v>190</v>
      </c>
      <c r="C228" s="248"/>
      <c r="D228" s="249"/>
      <c r="E228" s="241"/>
      <c r="F228" s="226"/>
      <c r="G228" s="233"/>
      <c r="H228" s="380">
        <v>214</v>
      </c>
      <c r="I228" s="398"/>
      <c r="J228" s="398"/>
      <c r="K228" s="407"/>
      <c r="L228" s="407"/>
      <c r="M228" s="407"/>
      <c r="N228" s="446"/>
      <c r="O228" s="407"/>
      <c r="P228" s="407"/>
      <c r="Q228" s="407"/>
      <c r="R228" s="446"/>
      <c r="S228" s="437"/>
      <c r="T228" s="416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7"/>
      <c r="V228" s="417"/>
      <c r="W228" s="418"/>
      <c r="X228" s="419"/>
      <c r="Y228" s="420" t="str">
        <f t="shared" ca="1" si="15"/>
        <v/>
      </c>
      <c r="Z228" s="421" t="str">
        <f t="shared" ca="1" si="16"/>
        <v/>
      </c>
      <c r="AA228" s="420" t="str">
        <f t="shared" ca="1" si="17"/>
        <v/>
      </c>
      <c r="AB228" s="422" t="str">
        <f t="shared" ca="1" si="18"/>
        <v/>
      </c>
      <c r="AC228" s="421" t="str">
        <f t="shared" ca="1" si="19"/>
        <v/>
      </c>
      <c r="AD228" s="221"/>
    </row>
    <row r="229" spans="1:30" customFormat="1" ht="15">
      <c r="A229" s="221"/>
      <c r="B229" s="270">
        <v>191</v>
      </c>
      <c r="C229" s="248"/>
      <c r="D229" s="249"/>
      <c r="E229" s="241"/>
      <c r="F229" s="226"/>
      <c r="G229" s="233"/>
      <c r="H229" s="380">
        <v>215</v>
      </c>
      <c r="I229" s="398"/>
      <c r="J229" s="398"/>
      <c r="K229" s="407"/>
      <c r="L229" s="407"/>
      <c r="M229" s="407"/>
      <c r="N229" s="446"/>
      <c r="O229" s="407"/>
      <c r="P229" s="407"/>
      <c r="Q229" s="407"/>
      <c r="R229" s="446"/>
      <c r="S229" s="437"/>
      <c r="T229" s="416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7"/>
      <c r="V229" s="417"/>
      <c r="W229" s="418"/>
      <c r="X229" s="419"/>
      <c r="Y229" s="420" t="str">
        <f t="shared" ca="1" si="15"/>
        <v/>
      </c>
      <c r="Z229" s="421" t="str">
        <f t="shared" ca="1" si="16"/>
        <v/>
      </c>
      <c r="AA229" s="420" t="str">
        <f t="shared" ca="1" si="17"/>
        <v/>
      </c>
      <c r="AB229" s="422" t="str">
        <f t="shared" ca="1" si="18"/>
        <v/>
      </c>
      <c r="AC229" s="421" t="str">
        <f t="shared" ca="1" si="19"/>
        <v/>
      </c>
      <c r="AD229" s="221"/>
    </row>
    <row r="230" spans="1:30" customFormat="1" ht="15">
      <c r="A230" s="221"/>
      <c r="B230" s="270">
        <v>192</v>
      </c>
      <c r="C230" s="248"/>
      <c r="D230" s="249"/>
      <c r="E230" s="241"/>
      <c r="F230" s="226"/>
      <c r="G230" s="233"/>
      <c r="H230" s="380">
        <v>216</v>
      </c>
      <c r="I230" s="398"/>
      <c r="J230" s="398"/>
      <c r="K230" s="407"/>
      <c r="L230" s="407"/>
      <c r="M230" s="407"/>
      <c r="N230" s="446"/>
      <c r="O230" s="407"/>
      <c r="P230" s="407"/>
      <c r="Q230" s="407"/>
      <c r="R230" s="446"/>
      <c r="S230" s="437"/>
      <c r="T230" s="416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7"/>
      <c r="V230" s="417"/>
      <c r="W230" s="418"/>
      <c r="X230" s="419"/>
      <c r="Y230" s="420" t="str">
        <f t="shared" ca="1" si="15"/>
        <v/>
      </c>
      <c r="Z230" s="421" t="str">
        <f t="shared" ca="1" si="16"/>
        <v/>
      </c>
      <c r="AA230" s="420" t="str">
        <f t="shared" ca="1" si="17"/>
        <v/>
      </c>
      <c r="AB230" s="422" t="str">
        <f t="shared" ca="1" si="18"/>
        <v/>
      </c>
      <c r="AC230" s="421" t="str">
        <f t="shared" ca="1" si="19"/>
        <v/>
      </c>
      <c r="AD230" s="221"/>
    </row>
    <row r="231" spans="1:30" customFormat="1" ht="15">
      <c r="A231" s="221"/>
      <c r="B231" s="270">
        <v>193</v>
      </c>
      <c r="C231" s="248"/>
      <c r="D231" s="249"/>
      <c r="E231" s="241"/>
      <c r="F231" s="226"/>
      <c r="G231" s="233"/>
      <c r="H231" s="380">
        <v>217</v>
      </c>
      <c r="I231" s="398"/>
      <c r="J231" s="398"/>
      <c r="K231" s="407"/>
      <c r="L231" s="407"/>
      <c r="M231" s="407"/>
      <c r="N231" s="446"/>
      <c r="O231" s="407"/>
      <c r="P231" s="407"/>
      <c r="Q231" s="407"/>
      <c r="R231" s="446"/>
      <c r="S231" s="437"/>
      <c r="T231" s="416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7"/>
      <c r="V231" s="417"/>
      <c r="W231" s="418"/>
      <c r="X231" s="419"/>
      <c r="Y231" s="420" t="str">
        <f t="shared" ca="1" si="15"/>
        <v/>
      </c>
      <c r="Z231" s="421" t="str">
        <f t="shared" ca="1" si="16"/>
        <v/>
      </c>
      <c r="AA231" s="420" t="str">
        <f t="shared" ca="1" si="17"/>
        <v/>
      </c>
      <c r="AB231" s="422" t="str">
        <f t="shared" ca="1" si="18"/>
        <v/>
      </c>
      <c r="AC231" s="421" t="str">
        <f t="shared" ca="1" si="19"/>
        <v/>
      </c>
      <c r="AD231" s="221"/>
    </row>
    <row r="232" spans="1:30" customFormat="1" ht="15">
      <c r="A232" s="221"/>
      <c r="B232" s="270">
        <v>194</v>
      </c>
      <c r="C232" s="248"/>
      <c r="D232" s="249"/>
      <c r="E232" s="241"/>
      <c r="F232" s="226"/>
      <c r="G232" s="233"/>
      <c r="H232" s="380">
        <v>218</v>
      </c>
      <c r="I232" s="398"/>
      <c r="J232" s="398"/>
      <c r="K232" s="407"/>
      <c r="L232" s="407"/>
      <c r="M232" s="407"/>
      <c r="N232" s="446"/>
      <c r="O232" s="407"/>
      <c r="P232" s="407"/>
      <c r="Q232" s="407"/>
      <c r="R232" s="446"/>
      <c r="S232" s="437"/>
      <c r="T232" s="416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7"/>
      <c r="V232" s="417"/>
      <c r="W232" s="418"/>
      <c r="X232" s="419"/>
      <c r="Y232" s="420" t="str">
        <f t="shared" ca="1" si="15"/>
        <v/>
      </c>
      <c r="Z232" s="421" t="str">
        <f t="shared" ca="1" si="16"/>
        <v/>
      </c>
      <c r="AA232" s="420" t="str">
        <f t="shared" ca="1" si="17"/>
        <v/>
      </c>
      <c r="AB232" s="422" t="str">
        <f t="shared" ca="1" si="18"/>
        <v/>
      </c>
      <c r="AC232" s="421" t="str">
        <f t="shared" ca="1" si="19"/>
        <v/>
      </c>
      <c r="AD232" s="221"/>
    </row>
    <row r="233" spans="1:30" customFormat="1" ht="15">
      <c r="A233" s="221"/>
      <c r="B233" s="270">
        <v>195</v>
      </c>
      <c r="C233" s="248"/>
      <c r="D233" s="249"/>
      <c r="E233" s="241"/>
      <c r="F233" s="226"/>
      <c r="G233" s="233"/>
      <c r="H233" s="380">
        <v>219</v>
      </c>
      <c r="I233" s="398"/>
      <c r="J233" s="398"/>
      <c r="K233" s="407"/>
      <c r="L233" s="407"/>
      <c r="M233" s="407"/>
      <c r="N233" s="446"/>
      <c r="O233" s="407"/>
      <c r="P233" s="407"/>
      <c r="Q233" s="407"/>
      <c r="R233" s="446"/>
      <c r="S233" s="437"/>
      <c r="T233" s="416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7"/>
      <c r="V233" s="417"/>
      <c r="W233" s="418"/>
      <c r="X233" s="419"/>
      <c r="Y233" s="420" t="str">
        <f t="shared" ca="1" si="15"/>
        <v/>
      </c>
      <c r="Z233" s="421" t="str">
        <f t="shared" ca="1" si="16"/>
        <v/>
      </c>
      <c r="AA233" s="420" t="str">
        <f t="shared" ca="1" si="17"/>
        <v/>
      </c>
      <c r="AB233" s="422" t="str">
        <f t="shared" ca="1" si="18"/>
        <v/>
      </c>
      <c r="AC233" s="421" t="str">
        <f t="shared" ca="1" si="19"/>
        <v/>
      </c>
      <c r="AD233" s="221"/>
    </row>
    <row r="234" spans="1:30" customFormat="1" ht="15">
      <c r="A234" s="221"/>
      <c r="B234" s="270">
        <v>196</v>
      </c>
      <c r="C234" s="248"/>
      <c r="D234" s="249"/>
      <c r="E234" s="241"/>
      <c r="F234" s="226"/>
      <c r="G234" s="233"/>
      <c r="H234" s="380">
        <v>220</v>
      </c>
      <c r="I234" s="398"/>
      <c r="J234" s="398"/>
      <c r="K234" s="407"/>
      <c r="L234" s="407"/>
      <c r="M234" s="407"/>
      <c r="N234" s="446"/>
      <c r="O234" s="407"/>
      <c r="P234" s="407"/>
      <c r="Q234" s="407"/>
      <c r="R234" s="446"/>
      <c r="S234" s="437"/>
      <c r="T234" s="416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7"/>
      <c r="V234" s="417"/>
      <c r="W234" s="418"/>
      <c r="X234" s="419"/>
      <c r="Y234" s="420" t="str">
        <f t="shared" ca="1" si="15"/>
        <v/>
      </c>
      <c r="Z234" s="421" t="str">
        <f t="shared" ca="1" si="16"/>
        <v/>
      </c>
      <c r="AA234" s="420" t="str">
        <f t="shared" ca="1" si="17"/>
        <v/>
      </c>
      <c r="AB234" s="422" t="str">
        <f t="shared" ca="1" si="18"/>
        <v/>
      </c>
      <c r="AC234" s="421" t="str">
        <f t="shared" ca="1" si="19"/>
        <v/>
      </c>
      <c r="AD234" s="221"/>
    </row>
    <row r="235" spans="1:30" customFormat="1" ht="15">
      <c r="A235" s="221"/>
      <c r="B235" s="270">
        <v>197</v>
      </c>
      <c r="C235" s="248"/>
      <c r="D235" s="249"/>
      <c r="E235" s="241"/>
      <c r="F235" s="226"/>
      <c r="G235" s="233"/>
      <c r="H235" s="380">
        <v>221</v>
      </c>
      <c r="I235" s="398"/>
      <c r="J235" s="398"/>
      <c r="K235" s="407"/>
      <c r="L235" s="407"/>
      <c r="M235" s="407"/>
      <c r="N235" s="446"/>
      <c r="O235" s="407"/>
      <c r="P235" s="407"/>
      <c r="Q235" s="407"/>
      <c r="R235" s="446"/>
      <c r="S235" s="437"/>
      <c r="T235" s="416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7"/>
      <c r="V235" s="417"/>
      <c r="W235" s="418"/>
      <c r="X235" s="419"/>
      <c r="Y235" s="420" t="str">
        <f t="shared" ca="1" si="15"/>
        <v/>
      </c>
      <c r="Z235" s="421" t="str">
        <f t="shared" ca="1" si="16"/>
        <v/>
      </c>
      <c r="AA235" s="420" t="str">
        <f t="shared" ca="1" si="17"/>
        <v/>
      </c>
      <c r="AB235" s="422" t="str">
        <f t="shared" ca="1" si="18"/>
        <v/>
      </c>
      <c r="AC235" s="421" t="str">
        <f t="shared" ca="1" si="19"/>
        <v/>
      </c>
      <c r="AD235" s="221"/>
    </row>
    <row r="236" spans="1:30" customFormat="1" ht="15">
      <c r="A236" s="221"/>
      <c r="B236" s="270">
        <v>198</v>
      </c>
      <c r="C236" s="248"/>
      <c r="D236" s="249"/>
      <c r="E236" s="241"/>
      <c r="F236" s="226"/>
      <c r="G236" s="233"/>
      <c r="H236" s="380">
        <v>222</v>
      </c>
      <c r="I236" s="398"/>
      <c r="J236" s="398"/>
      <c r="K236" s="407"/>
      <c r="L236" s="407"/>
      <c r="M236" s="407"/>
      <c r="N236" s="446"/>
      <c r="O236" s="407"/>
      <c r="P236" s="407"/>
      <c r="Q236" s="407"/>
      <c r="R236" s="446"/>
      <c r="S236" s="437"/>
      <c r="T236" s="416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7"/>
      <c r="V236" s="417"/>
      <c r="W236" s="418"/>
      <c r="X236" s="419"/>
      <c r="Y236" s="420" t="str">
        <f t="shared" ca="1" si="15"/>
        <v/>
      </c>
      <c r="Z236" s="421" t="str">
        <f t="shared" ca="1" si="16"/>
        <v/>
      </c>
      <c r="AA236" s="420" t="str">
        <f t="shared" ca="1" si="17"/>
        <v/>
      </c>
      <c r="AB236" s="422" t="str">
        <f t="shared" ca="1" si="18"/>
        <v/>
      </c>
      <c r="AC236" s="421" t="str">
        <f t="shared" ca="1" si="19"/>
        <v/>
      </c>
      <c r="AD236" s="221"/>
    </row>
    <row r="237" spans="1:30" customFormat="1" ht="15">
      <c r="A237" s="221"/>
      <c r="B237" s="270">
        <v>199</v>
      </c>
      <c r="C237" s="248"/>
      <c r="D237" s="249"/>
      <c r="E237" s="241"/>
      <c r="F237" s="226"/>
      <c r="G237" s="233"/>
      <c r="H237" s="380">
        <v>223</v>
      </c>
      <c r="I237" s="398"/>
      <c r="J237" s="398"/>
      <c r="K237" s="407"/>
      <c r="L237" s="407"/>
      <c r="M237" s="407"/>
      <c r="N237" s="446"/>
      <c r="O237" s="407"/>
      <c r="P237" s="407"/>
      <c r="Q237" s="407"/>
      <c r="R237" s="446"/>
      <c r="S237" s="437"/>
      <c r="T237" s="416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7"/>
      <c r="V237" s="417"/>
      <c r="W237" s="418"/>
      <c r="X237" s="419"/>
      <c r="Y237" s="420" t="str">
        <f t="shared" ca="1" si="15"/>
        <v/>
      </c>
      <c r="Z237" s="421" t="str">
        <f t="shared" ca="1" si="16"/>
        <v/>
      </c>
      <c r="AA237" s="420" t="str">
        <f t="shared" ca="1" si="17"/>
        <v/>
      </c>
      <c r="AB237" s="422" t="str">
        <f t="shared" ca="1" si="18"/>
        <v/>
      </c>
      <c r="AC237" s="421" t="str">
        <f t="shared" ca="1" si="19"/>
        <v/>
      </c>
      <c r="AD237" s="221"/>
    </row>
    <row r="238" spans="1:30" customFormat="1" ht="15">
      <c r="A238" s="221"/>
      <c r="B238" s="270">
        <v>200</v>
      </c>
      <c r="C238" s="248"/>
      <c r="D238" s="249"/>
      <c r="E238" s="241"/>
      <c r="F238" s="226"/>
      <c r="G238" s="233"/>
      <c r="H238" s="380">
        <v>224</v>
      </c>
      <c r="I238" s="398"/>
      <c r="J238" s="398"/>
      <c r="K238" s="407"/>
      <c r="L238" s="407"/>
      <c r="M238" s="407"/>
      <c r="N238" s="446"/>
      <c r="O238" s="407"/>
      <c r="P238" s="407"/>
      <c r="Q238" s="407"/>
      <c r="R238" s="446"/>
      <c r="S238" s="437"/>
      <c r="T238" s="416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7"/>
      <c r="V238" s="417"/>
      <c r="W238" s="418"/>
      <c r="X238" s="419"/>
      <c r="Y238" s="420" t="str">
        <f t="shared" ca="1" si="15"/>
        <v/>
      </c>
      <c r="Z238" s="421" t="str">
        <f t="shared" ca="1" si="16"/>
        <v/>
      </c>
      <c r="AA238" s="420" t="str">
        <f t="shared" ca="1" si="17"/>
        <v/>
      </c>
      <c r="AB238" s="422" t="str">
        <f t="shared" ca="1" si="18"/>
        <v/>
      </c>
      <c r="AC238" s="421" t="str">
        <f t="shared" ca="1" si="19"/>
        <v/>
      </c>
      <c r="AD238" s="221"/>
    </row>
    <row r="239" spans="1:30" customFormat="1" ht="15">
      <c r="A239" s="221"/>
      <c r="B239" s="270">
        <v>201</v>
      </c>
      <c r="C239" s="248"/>
      <c r="D239" s="249"/>
      <c r="E239" s="241"/>
      <c r="F239" s="226"/>
      <c r="G239" s="233"/>
      <c r="H239" s="380">
        <v>225</v>
      </c>
      <c r="I239" s="398"/>
      <c r="J239" s="398"/>
      <c r="K239" s="407"/>
      <c r="L239" s="407"/>
      <c r="M239" s="407"/>
      <c r="N239" s="446"/>
      <c r="O239" s="407"/>
      <c r="P239" s="407"/>
      <c r="Q239" s="407"/>
      <c r="R239" s="446"/>
      <c r="S239" s="437"/>
      <c r="T239" s="416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7"/>
      <c r="V239" s="417"/>
      <c r="W239" s="418"/>
      <c r="X239" s="419"/>
      <c r="Y239" s="420" t="str">
        <f t="shared" ca="1" si="15"/>
        <v/>
      </c>
      <c r="Z239" s="421" t="str">
        <f t="shared" ca="1" si="16"/>
        <v/>
      </c>
      <c r="AA239" s="420" t="str">
        <f t="shared" ca="1" si="17"/>
        <v/>
      </c>
      <c r="AB239" s="422" t="str">
        <f t="shared" ca="1" si="18"/>
        <v/>
      </c>
      <c r="AC239" s="421" t="str">
        <f t="shared" ca="1" si="19"/>
        <v/>
      </c>
      <c r="AD239" s="221"/>
    </row>
    <row r="240" spans="1:30" customFormat="1" ht="15">
      <c r="A240" s="221"/>
      <c r="B240" s="270">
        <v>202</v>
      </c>
      <c r="C240" s="248"/>
      <c r="D240" s="249"/>
      <c r="E240" s="241"/>
      <c r="F240" s="226"/>
      <c r="G240" s="233"/>
      <c r="H240" s="380">
        <v>226</v>
      </c>
      <c r="I240" s="398"/>
      <c r="J240" s="398"/>
      <c r="K240" s="407"/>
      <c r="L240" s="407"/>
      <c r="M240" s="407"/>
      <c r="N240" s="446"/>
      <c r="O240" s="407"/>
      <c r="P240" s="407"/>
      <c r="Q240" s="407"/>
      <c r="R240" s="446"/>
      <c r="S240" s="437"/>
      <c r="T240" s="416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7"/>
      <c r="V240" s="417"/>
      <c r="W240" s="418"/>
      <c r="X240" s="419"/>
      <c r="Y240" s="420" t="str">
        <f t="shared" ca="1" si="15"/>
        <v/>
      </c>
      <c r="Z240" s="421" t="str">
        <f t="shared" ca="1" si="16"/>
        <v/>
      </c>
      <c r="AA240" s="420" t="str">
        <f t="shared" ca="1" si="17"/>
        <v/>
      </c>
      <c r="AB240" s="422" t="str">
        <f t="shared" ca="1" si="18"/>
        <v/>
      </c>
      <c r="AC240" s="421" t="str">
        <f t="shared" ca="1" si="19"/>
        <v/>
      </c>
      <c r="AD240" s="221"/>
    </row>
    <row r="241" spans="1:30" customFormat="1" ht="15">
      <c r="A241" s="221"/>
      <c r="B241" s="270">
        <v>203</v>
      </c>
      <c r="C241" s="248"/>
      <c r="D241" s="249"/>
      <c r="E241" s="241"/>
      <c r="F241" s="226"/>
      <c r="G241" s="233"/>
      <c r="H241" s="380">
        <v>227</v>
      </c>
      <c r="I241" s="398"/>
      <c r="J241" s="398"/>
      <c r="K241" s="407"/>
      <c r="L241" s="407"/>
      <c r="M241" s="407"/>
      <c r="N241" s="446"/>
      <c r="O241" s="407"/>
      <c r="P241" s="407"/>
      <c r="Q241" s="407"/>
      <c r="R241" s="446"/>
      <c r="S241" s="437"/>
      <c r="T241" s="416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7"/>
      <c r="V241" s="417"/>
      <c r="W241" s="418"/>
      <c r="X241" s="419"/>
      <c r="Y241" s="420" t="str">
        <f t="shared" ca="1" si="15"/>
        <v/>
      </c>
      <c r="Z241" s="421" t="str">
        <f t="shared" ca="1" si="16"/>
        <v/>
      </c>
      <c r="AA241" s="420" t="str">
        <f t="shared" ca="1" si="17"/>
        <v/>
      </c>
      <c r="AB241" s="422" t="str">
        <f t="shared" ca="1" si="18"/>
        <v/>
      </c>
      <c r="AC241" s="421" t="str">
        <f t="shared" ca="1" si="19"/>
        <v/>
      </c>
      <c r="AD241" s="221"/>
    </row>
    <row r="242" spans="1:30" customFormat="1" ht="15">
      <c r="A242" s="221"/>
      <c r="B242" s="270">
        <v>204</v>
      </c>
      <c r="C242" s="248"/>
      <c r="D242" s="249"/>
      <c r="E242" s="241"/>
      <c r="F242" s="226"/>
      <c r="G242" s="233"/>
      <c r="H242" s="380">
        <v>228</v>
      </c>
      <c r="I242" s="398"/>
      <c r="J242" s="398"/>
      <c r="K242" s="407"/>
      <c r="L242" s="407"/>
      <c r="M242" s="407"/>
      <c r="N242" s="446"/>
      <c r="O242" s="407"/>
      <c r="P242" s="407"/>
      <c r="Q242" s="407"/>
      <c r="R242" s="446"/>
      <c r="S242" s="437"/>
      <c r="T242" s="416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7"/>
      <c r="V242" s="417"/>
      <c r="W242" s="418"/>
      <c r="X242" s="419"/>
      <c r="Y242" s="420" t="str">
        <f t="shared" ca="1" si="15"/>
        <v/>
      </c>
      <c r="Z242" s="421" t="str">
        <f t="shared" ca="1" si="16"/>
        <v/>
      </c>
      <c r="AA242" s="420" t="str">
        <f t="shared" ca="1" si="17"/>
        <v/>
      </c>
      <c r="AB242" s="422" t="str">
        <f t="shared" ca="1" si="18"/>
        <v/>
      </c>
      <c r="AC242" s="421" t="str">
        <f t="shared" ca="1" si="19"/>
        <v/>
      </c>
      <c r="AD242" s="221"/>
    </row>
    <row r="243" spans="1:30" customFormat="1" ht="15">
      <c r="A243" s="221"/>
      <c r="B243" s="270">
        <v>205</v>
      </c>
      <c r="C243" s="248"/>
      <c r="D243" s="249"/>
      <c r="E243" s="241"/>
      <c r="F243" s="226"/>
      <c r="G243" s="233"/>
      <c r="H243" s="380">
        <v>229</v>
      </c>
      <c r="I243" s="398"/>
      <c r="J243" s="398"/>
      <c r="K243" s="407"/>
      <c r="L243" s="407"/>
      <c r="M243" s="407"/>
      <c r="N243" s="446"/>
      <c r="O243" s="407"/>
      <c r="P243" s="407"/>
      <c r="Q243" s="407"/>
      <c r="R243" s="446"/>
      <c r="S243" s="437"/>
      <c r="T243" s="416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7"/>
      <c r="V243" s="417"/>
      <c r="W243" s="418"/>
      <c r="X243" s="419"/>
      <c r="Y243" s="420" t="str">
        <f t="shared" ca="1" si="15"/>
        <v/>
      </c>
      <c r="Z243" s="421" t="str">
        <f t="shared" ca="1" si="16"/>
        <v/>
      </c>
      <c r="AA243" s="420" t="str">
        <f t="shared" ca="1" si="17"/>
        <v/>
      </c>
      <c r="AB243" s="422" t="str">
        <f t="shared" ca="1" si="18"/>
        <v/>
      </c>
      <c r="AC243" s="421" t="str">
        <f t="shared" ca="1" si="19"/>
        <v/>
      </c>
      <c r="AD243" s="221"/>
    </row>
    <row r="244" spans="1:30" customFormat="1" ht="15">
      <c r="A244" s="221"/>
      <c r="B244" s="270">
        <v>206</v>
      </c>
      <c r="C244" s="248"/>
      <c r="D244" s="249"/>
      <c r="E244" s="241"/>
      <c r="F244" s="226"/>
      <c r="G244" s="233"/>
      <c r="H244" s="380">
        <v>230</v>
      </c>
      <c r="I244" s="398"/>
      <c r="J244" s="398"/>
      <c r="K244" s="407"/>
      <c r="L244" s="407"/>
      <c r="M244" s="407"/>
      <c r="N244" s="446"/>
      <c r="O244" s="407"/>
      <c r="P244" s="407"/>
      <c r="Q244" s="407"/>
      <c r="R244" s="446"/>
      <c r="S244" s="437"/>
      <c r="T244" s="416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7"/>
      <c r="V244" s="417"/>
      <c r="W244" s="418"/>
      <c r="X244" s="419"/>
      <c r="Y244" s="420" t="str">
        <f t="shared" ca="1" si="15"/>
        <v/>
      </c>
      <c r="Z244" s="421" t="str">
        <f t="shared" ca="1" si="16"/>
        <v/>
      </c>
      <c r="AA244" s="420" t="str">
        <f t="shared" ca="1" si="17"/>
        <v/>
      </c>
      <c r="AB244" s="422" t="str">
        <f t="shared" ca="1" si="18"/>
        <v/>
      </c>
      <c r="AC244" s="421" t="str">
        <f t="shared" ca="1" si="19"/>
        <v/>
      </c>
      <c r="AD244" s="221"/>
    </row>
    <row r="245" spans="1:30" customFormat="1" ht="15">
      <c r="A245" s="221"/>
      <c r="B245" s="270">
        <v>207</v>
      </c>
      <c r="C245" s="248"/>
      <c r="D245" s="249"/>
      <c r="E245" s="241"/>
      <c r="F245" s="226"/>
      <c r="G245" s="233"/>
      <c r="H245" s="380">
        <v>231</v>
      </c>
      <c r="I245" s="398"/>
      <c r="J245" s="398"/>
      <c r="K245" s="407"/>
      <c r="L245" s="407"/>
      <c r="M245" s="407"/>
      <c r="N245" s="446"/>
      <c r="O245" s="407"/>
      <c r="P245" s="407"/>
      <c r="Q245" s="407"/>
      <c r="R245" s="446"/>
      <c r="S245" s="437"/>
      <c r="T245" s="416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7"/>
      <c r="V245" s="417"/>
      <c r="W245" s="418"/>
      <c r="X245" s="419"/>
      <c r="Y245" s="420" t="str">
        <f t="shared" ca="1" si="15"/>
        <v/>
      </c>
      <c r="Z245" s="421" t="str">
        <f t="shared" ca="1" si="16"/>
        <v/>
      </c>
      <c r="AA245" s="420" t="str">
        <f t="shared" ca="1" si="17"/>
        <v/>
      </c>
      <c r="AB245" s="422" t="str">
        <f t="shared" ca="1" si="18"/>
        <v/>
      </c>
      <c r="AC245" s="421" t="str">
        <f t="shared" ca="1" si="19"/>
        <v/>
      </c>
      <c r="AD245" s="221"/>
    </row>
    <row r="246" spans="1:30" customFormat="1" ht="15">
      <c r="A246" s="221"/>
      <c r="B246" s="270">
        <v>208</v>
      </c>
      <c r="C246" s="248"/>
      <c r="D246" s="249"/>
      <c r="E246" s="241"/>
      <c r="F246" s="226"/>
      <c r="G246" s="233"/>
      <c r="H246" s="380">
        <v>232</v>
      </c>
      <c r="I246" s="398"/>
      <c r="J246" s="398"/>
      <c r="K246" s="407"/>
      <c r="L246" s="407"/>
      <c r="M246" s="407"/>
      <c r="N246" s="446"/>
      <c r="O246" s="407"/>
      <c r="P246" s="407"/>
      <c r="Q246" s="407"/>
      <c r="R246" s="446"/>
      <c r="S246" s="437"/>
      <c r="T246" s="416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7"/>
      <c r="V246" s="417"/>
      <c r="W246" s="418"/>
      <c r="X246" s="419"/>
      <c r="Y246" s="420" t="str">
        <f t="shared" ca="1" si="15"/>
        <v/>
      </c>
      <c r="Z246" s="421" t="str">
        <f t="shared" ca="1" si="16"/>
        <v/>
      </c>
      <c r="AA246" s="420" t="str">
        <f t="shared" ca="1" si="17"/>
        <v/>
      </c>
      <c r="AB246" s="422" t="str">
        <f t="shared" ca="1" si="18"/>
        <v/>
      </c>
      <c r="AC246" s="421" t="str">
        <f t="shared" ca="1" si="19"/>
        <v/>
      </c>
      <c r="AD246" s="221"/>
    </row>
    <row r="247" spans="1:30" customFormat="1" ht="15">
      <c r="A247" s="221"/>
      <c r="B247" s="270">
        <v>209</v>
      </c>
      <c r="C247" s="248"/>
      <c r="D247" s="249"/>
      <c r="E247" s="241"/>
      <c r="F247" s="226"/>
      <c r="G247" s="233"/>
      <c r="H247" s="380">
        <v>233</v>
      </c>
      <c r="I247" s="398"/>
      <c r="J247" s="398"/>
      <c r="K247" s="407"/>
      <c r="L247" s="407"/>
      <c r="M247" s="407"/>
      <c r="N247" s="446"/>
      <c r="O247" s="407"/>
      <c r="P247" s="407"/>
      <c r="Q247" s="407"/>
      <c r="R247" s="446"/>
      <c r="S247" s="437"/>
      <c r="T247" s="416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7"/>
      <c r="V247" s="417"/>
      <c r="W247" s="418"/>
      <c r="X247" s="419"/>
      <c r="Y247" s="420" t="str">
        <f t="shared" ca="1" si="15"/>
        <v/>
      </c>
      <c r="Z247" s="421" t="str">
        <f t="shared" ca="1" si="16"/>
        <v/>
      </c>
      <c r="AA247" s="420" t="str">
        <f t="shared" ca="1" si="17"/>
        <v/>
      </c>
      <c r="AB247" s="422" t="str">
        <f t="shared" ca="1" si="18"/>
        <v/>
      </c>
      <c r="AC247" s="421" t="str">
        <f t="shared" ca="1" si="19"/>
        <v/>
      </c>
      <c r="AD247" s="221"/>
    </row>
    <row r="248" spans="1:30" customFormat="1" ht="15">
      <c r="A248" s="221"/>
      <c r="B248" s="270">
        <v>210</v>
      </c>
      <c r="C248" s="248"/>
      <c r="D248" s="249"/>
      <c r="E248" s="241"/>
      <c r="F248" s="226"/>
      <c r="G248" s="233"/>
      <c r="H248" s="380">
        <v>234</v>
      </c>
      <c r="I248" s="398"/>
      <c r="J248" s="398"/>
      <c r="K248" s="407"/>
      <c r="L248" s="407"/>
      <c r="M248" s="407"/>
      <c r="N248" s="446"/>
      <c r="O248" s="407"/>
      <c r="P248" s="407"/>
      <c r="Q248" s="407"/>
      <c r="R248" s="446"/>
      <c r="S248" s="437"/>
      <c r="T248" s="416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7"/>
      <c r="V248" s="417"/>
      <c r="W248" s="418"/>
      <c r="X248" s="419"/>
      <c r="Y248" s="420" t="str">
        <f t="shared" ca="1" si="15"/>
        <v/>
      </c>
      <c r="Z248" s="421" t="str">
        <f t="shared" ca="1" si="16"/>
        <v/>
      </c>
      <c r="AA248" s="420" t="str">
        <f t="shared" ca="1" si="17"/>
        <v/>
      </c>
      <c r="AB248" s="422" t="str">
        <f t="shared" ca="1" si="18"/>
        <v/>
      </c>
      <c r="AC248" s="421" t="str">
        <f t="shared" ca="1" si="19"/>
        <v/>
      </c>
      <c r="AD248" s="221"/>
    </row>
    <row r="249" spans="1:30" customFormat="1" ht="15">
      <c r="A249" s="221"/>
      <c r="B249" s="270">
        <v>211</v>
      </c>
      <c r="C249" s="248"/>
      <c r="D249" s="249"/>
      <c r="E249" s="241"/>
      <c r="F249" s="226"/>
      <c r="G249" s="233"/>
      <c r="H249" s="380">
        <v>235</v>
      </c>
      <c r="I249" s="398"/>
      <c r="J249" s="398"/>
      <c r="K249" s="407"/>
      <c r="L249" s="407"/>
      <c r="M249" s="407"/>
      <c r="N249" s="446"/>
      <c r="O249" s="407"/>
      <c r="P249" s="407"/>
      <c r="Q249" s="407"/>
      <c r="R249" s="446"/>
      <c r="S249" s="437"/>
      <c r="T249" s="416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7"/>
      <c r="V249" s="417"/>
      <c r="W249" s="418"/>
      <c r="X249" s="419"/>
      <c r="Y249" s="420" t="str">
        <f t="shared" ca="1" si="15"/>
        <v/>
      </c>
      <c r="Z249" s="421" t="str">
        <f t="shared" ca="1" si="16"/>
        <v/>
      </c>
      <c r="AA249" s="420" t="str">
        <f t="shared" ca="1" si="17"/>
        <v/>
      </c>
      <c r="AB249" s="422" t="str">
        <f t="shared" ca="1" si="18"/>
        <v/>
      </c>
      <c r="AC249" s="421" t="str">
        <f t="shared" ca="1" si="19"/>
        <v/>
      </c>
      <c r="AD249" s="221"/>
    </row>
    <row r="250" spans="1:30" customFormat="1" ht="15">
      <c r="A250" s="221"/>
      <c r="B250" s="270">
        <v>212</v>
      </c>
      <c r="C250" s="248"/>
      <c r="D250" s="249"/>
      <c r="E250" s="241"/>
      <c r="F250" s="226"/>
      <c r="G250" s="233"/>
      <c r="H250" s="380">
        <v>236</v>
      </c>
      <c r="I250" s="398"/>
      <c r="J250" s="398"/>
      <c r="K250" s="407"/>
      <c r="L250" s="407"/>
      <c r="M250" s="407"/>
      <c r="N250" s="446"/>
      <c r="O250" s="407"/>
      <c r="P250" s="407"/>
      <c r="Q250" s="407"/>
      <c r="R250" s="446"/>
      <c r="S250" s="437"/>
      <c r="T250" s="416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7"/>
      <c r="V250" s="417"/>
      <c r="W250" s="418"/>
      <c r="X250" s="419"/>
      <c r="Y250" s="420" t="str">
        <f t="shared" ca="1" si="15"/>
        <v/>
      </c>
      <c r="Z250" s="421" t="str">
        <f t="shared" ca="1" si="16"/>
        <v/>
      </c>
      <c r="AA250" s="420" t="str">
        <f t="shared" ca="1" si="17"/>
        <v/>
      </c>
      <c r="AB250" s="422" t="str">
        <f t="shared" ca="1" si="18"/>
        <v/>
      </c>
      <c r="AC250" s="421" t="str">
        <f t="shared" ca="1" si="19"/>
        <v/>
      </c>
      <c r="AD250" s="221"/>
    </row>
    <row r="251" spans="1:30" customFormat="1" ht="15">
      <c r="A251" s="221"/>
      <c r="B251" s="270">
        <v>213</v>
      </c>
      <c r="C251" s="248"/>
      <c r="D251" s="249"/>
      <c r="E251" s="241"/>
      <c r="F251" s="226"/>
      <c r="G251" s="233"/>
      <c r="H251" s="380">
        <v>237</v>
      </c>
      <c r="I251" s="398"/>
      <c r="J251" s="398"/>
      <c r="K251" s="407"/>
      <c r="L251" s="407"/>
      <c r="M251" s="407"/>
      <c r="N251" s="446"/>
      <c r="O251" s="407"/>
      <c r="P251" s="407"/>
      <c r="Q251" s="407"/>
      <c r="R251" s="446"/>
      <c r="S251" s="437"/>
      <c r="T251" s="416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7"/>
      <c r="V251" s="417"/>
      <c r="W251" s="418"/>
      <c r="X251" s="419"/>
      <c r="Y251" s="420" t="str">
        <f t="shared" ca="1" si="15"/>
        <v/>
      </c>
      <c r="Z251" s="421" t="str">
        <f t="shared" ca="1" si="16"/>
        <v/>
      </c>
      <c r="AA251" s="420" t="str">
        <f t="shared" ca="1" si="17"/>
        <v/>
      </c>
      <c r="AB251" s="422" t="str">
        <f t="shared" ca="1" si="18"/>
        <v/>
      </c>
      <c r="AC251" s="421" t="str">
        <f t="shared" ca="1" si="19"/>
        <v/>
      </c>
      <c r="AD251" s="221"/>
    </row>
    <row r="252" spans="1:30" customFormat="1" ht="15">
      <c r="A252" s="221"/>
      <c r="B252" s="270">
        <v>214</v>
      </c>
      <c r="C252" s="248"/>
      <c r="D252" s="249"/>
      <c r="E252" s="241"/>
      <c r="F252" s="226"/>
      <c r="G252" s="233"/>
      <c r="H252" s="380">
        <v>238</v>
      </c>
      <c r="I252" s="398"/>
      <c r="J252" s="398"/>
      <c r="K252" s="407"/>
      <c r="L252" s="407"/>
      <c r="M252" s="407"/>
      <c r="N252" s="446"/>
      <c r="O252" s="407"/>
      <c r="P252" s="407"/>
      <c r="Q252" s="407"/>
      <c r="R252" s="446"/>
      <c r="S252" s="437"/>
      <c r="T252" s="416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7"/>
      <c r="V252" s="417"/>
      <c r="W252" s="418"/>
      <c r="X252" s="419"/>
      <c r="Y252" s="420" t="str">
        <f t="shared" ca="1" si="15"/>
        <v/>
      </c>
      <c r="Z252" s="421" t="str">
        <f t="shared" ca="1" si="16"/>
        <v/>
      </c>
      <c r="AA252" s="420" t="str">
        <f t="shared" ca="1" si="17"/>
        <v/>
      </c>
      <c r="AB252" s="422" t="str">
        <f t="shared" ca="1" si="18"/>
        <v/>
      </c>
      <c r="AC252" s="421" t="str">
        <f t="shared" ca="1" si="19"/>
        <v/>
      </c>
      <c r="AD252" s="221"/>
    </row>
    <row r="253" spans="1:30" customFormat="1" ht="15">
      <c r="A253" s="221"/>
      <c r="B253" s="270">
        <v>215</v>
      </c>
      <c r="C253" s="248"/>
      <c r="D253" s="249"/>
      <c r="E253" s="241"/>
      <c r="F253" s="226"/>
      <c r="G253" s="233"/>
      <c r="H253" s="380">
        <v>239</v>
      </c>
      <c r="I253" s="398"/>
      <c r="J253" s="398"/>
      <c r="K253" s="407"/>
      <c r="L253" s="407"/>
      <c r="M253" s="407"/>
      <c r="N253" s="446"/>
      <c r="O253" s="407"/>
      <c r="P253" s="407"/>
      <c r="Q253" s="407"/>
      <c r="R253" s="446"/>
      <c r="S253" s="437"/>
      <c r="T253" s="416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7"/>
      <c r="V253" s="417"/>
      <c r="W253" s="418"/>
      <c r="X253" s="419"/>
      <c r="Y253" s="420" t="str">
        <f t="shared" ca="1" si="15"/>
        <v/>
      </c>
      <c r="Z253" s="421" t="str">
        <f t="shared" ca="1" si="16"/>
        <v/>
      </c>
      <c r="AA253" s="420" t="str">
        <f t="shared" ca="1" si="17"/>
        <v/>
      </c>
      <c r="AB253" s="422" t="str">
        <f t="shared" ca="1" si="18"/>
        <v/>
      </c>
      <c r="AC253" s="421" t="str">
        <f t="shared" ca="1" si="19"/>
        <v/>
      </c>
      <c r="AD253" s="221"/>
    </row>
    <row r="254" spans="1:30" customFormat="1" ht="15">
      <c r="A254" s="221"/>
      <c r="B254" s="270">
        <v>216</v>
      </c>
      <c r="C254" s="248"/>
      <c r="D254" s="249"/>
      <c r="E254" s="241"/>
      <c r="F254" s="226"/>
      <c r="G254" s="233"/>
      <c r="H254" s="380">
        <v>240</v>
      </c>
      <c r="I254" s="398"/>
      <c r="J254" s="398"/>
      <c r="K254" s="407"/>
      <c r="L254" s="407"/>
      <c r="M254" s="407"/>
      <c r="N254" s="446"/>
      <c r="O254" s="407"/>
      <c r="P254" s="407"/>
      <c r="Q254" s="407"/>
      <c r="R254" s="446"/>
      <c r="S254" s="437"/>
      <c r="T254" s="416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7"/>
      <c r="V254" s="417"/>
      <c r="W254" s="418"/>
      <c r="X254" s="419"/>
      <c r="Y254" s="420" t="str">
        <f t="shared" ca="1" si="15"/>
        <v/>
      </c>
      <c r="Z254" s="421" t="str">
        <f t="shared" ca="1" si="16"/>
        <v/>
      </c>
      <c r="AA254" s="420" t="str">
        <f t="shared" ca="1" si="17"/>
        <v/>
      </c>
      <c r="AB254" s="422" t="str">
        <f t="shared" ca="1" si="18"/>
        <v/>
      </c>
      <c r="AC254" s="421" t="str">
        <f t="shared" ca="1" si="19"/>
        <v/>
      </c>
      <c r="AD254" s="221"/>
    </row>
    <row r="255" spans="1:30" customFormat="1" ht="15">
      <c r="A255" s="221"/>
      <c r="B255" s="270">
        <v>217</v>
      </c>
      <c r="C255" s="248"/>
      <c r="D255" s="249"/>
      <c r="E255" s="241"/>
      <c r="F255" s="226"/>
      <c r="G255" s="233"/>
      <c r="H255" s="380">
        <v>241</v>
      </c>
      <c r="I255" s="398"/>
      <c r="J255" s="398"/>
      <c r="K255" s="407"/>
      <c r="L255" s="407"/>
      <c r="M255" s="407"/>
      <c r="N255" s="446"/>
      <c r="O255" s="407"/>
      <c r="P255" s="407"/>
      <c r="Q255" s="407"/>
      <c r="R255" s="446"/>
      <c r="S255" s="437"/>
      <c r="T255" s="416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7"/>
      <c r="V255" s="417"/>
      <c r="W255" s="418"/>
      <c r="X255" s="419"/>
      <c r="Y255" s="420" t="str">
        <f t="shared" ca="1" si="15"/>
        <v/>
      </c>
      <c r="Z255" s="421" t="str">
        <f t="shared" ca="1" si="16"/>
        <v/>
      </c>
      <c r="AA255" s="420" t="str">
        <f t="shared" ca="1" si="17"/>
        <v/>
      </c>
      <c r="AB255" s="422" t="str">
        <f t="shared" ca="1" si="18"/>
        <v/>
      </c>
      <c r="AC255" s="421" t="str">
        <f t="shared" ca="1" si="19"/>
        <v/>
      </c>
      <c r="AD255" s="221"/>
    </row>
    <row r="256" spans="1:30" customFormat="1" ht="15">
      <c r="A256" s="221"/>
      <c r="B256" s="270">
        <v>218</v>
      </c>
      <c r="C256" s="248"/>
      <c r="D256" s="249"/>
      <c r="E256" s="241"/>
      <c r="F256" s="226"/>
      <c r="G256" s="233"/>
      <c r="H256" s="380">
        <v>242</v>
      </c>
      <c r="I256" s="398"/>
      <c r="J256" s="398"/>
      <c r="K256" s="407"/>
      <c r="L256" s="407"/>
      <c r="M256" s="407"/>
      <c r="N256" s="446"/>
      <c r="O256" s="407"/>
      <c r="P256" s="407"/>
      <c r="Q256" s="407"/>
      <c r="R256" s="446"/>
      <c r="S256" s="437"/>
      <c r="T256" s="416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7"/>
      <c r="V256" s="417"/>
      <c r="W256" s="418"/>
      <c r="X256" s="419"/>
      <c r="Y256" s="420" t="str">
        <f t="shared" ca="1" si="15"/>
        <v/>
      </c>
      <c r="Z256" s="421" t="str">
        <f t="shared" ca="1" si="16"/>
        <v/>
      </c>
      <c r="AA256" s="420" t="str">
        <f t="shared" ca="1" si="17"/>
        <v/>
      </c>
      <c r="AB256" s="422" t="str">
        <f t="shared" ca="1" si="18"/>
        <v/>
      </c>
      <c r="AC256" s="421" t="str">
        <f t="shared" ca="1" si="19"/>
        <v/>
      </c>
      <c r="AD256" s="221"/>
    </row>
    <row r="257" spans="1:30" customFormat="1" ht="15">
      <c r="A257" s="221"/>
      <c r="B257" s="270">
        <v>219</v>
      </c>
      <c r="C257" s="248"/>
      <c r="D257" s="249"/>
      <c r="E257" s="241"/>
      <c r="F257" s="226"/>
      <c r="G257" s="233"/>
      <c r="H257" s="380">
        <v>243</v>
      </c>
      <c r="I257" s="398"/>
      <c r="J257" s="398"/>
      <c r="K257" s="407"/>
      <c r="L257" s="407"/>
      <c r="M257" s="407"/>
      <c r="N257" s="446"/>
      <c r="O257" s="407"/>
      <c r="P257" s="407"/>
      <c r="Q257" s="407"/>
      <c r="R257" s="446"/>
      <c r="S257" s="437"/>
      <c r="T257" s="416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7"/>
      <c r="V257" s="417"/>
      <c r="W257" s="418"/>
      <c r="X257" s="419"/>
      <c r="Y257" s="420" t="str">
        <f t="shared" ca="1" si="15"/>
        <v/>
      </c>
      <c r="Z257" s="421" t="str">
        <f t="shared" ca="1" si="16"/>
        <v/>
      </c>
      <c r="AA257" s="420" t="str">
        <f t="shared" ca="1" si="17"/>
        <v/>
      </c>
      <c r="AB257" s="422" t="str">
        <f t="shared" ca="1" si="18"/>
        <v/>
      </c>
      <c r="AC257" s="421" t="str">
        <f t="shared" ca="1" si="19"/>
        <v/>
      </c>
      <c r="AD257" s="221"/>
    </row>
    <row r="258" spans="1:30" customFormat="1" ht="15">
      <c r="A258" s="221"/>
      <c r="B258" s="270">
        <v>220</v>
      </c>
      <c r="C258" s="248"/>
      <c r="D258" s="249"/>
      <c r="E258" s="241"/>
      <c r="F258" s="226"/>
      <c r="G258" s="233"/>
      <c r="H258" s="380">
        <v>244</v>
      </c>
      <c r="I258" s="398"/>
      <c r="J258" s="398"/>
      <c r="K258" s="407"/>
      <c r="L258" s="407"/>
      <c r="M258" s="407"/>
      <c r="N258" s="446"/>
      <c r="O258" s="407"/>
      <c r="P258" s="407"/>
      <c r="Q258" s="407"/>
      <c r="R258" s="446"/>
      <c r="S258" s="437"/>
      <c r="T258" s="416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7"/>
      <c r="V258" s="417"/>
      <c r="W258" s="418"/>
      <c r="X258" s="419"/>
      <c r="Y258" s="420" t="str">
        <f t="shared" ca="1" si="15"/>
        <v/>
      </c>
      <c r="Z258" s="421" t="str">
        <f t="shared" ca="1" si="16"/>
        <v/>
      </c>
      <c r="AA258" s="420" t="str">
        <f t="shared" ca="1" si="17"/>
        <v/>
      </c>
      <c r="AB258" s="422" t="str">
        <f t="shared" ca="1" si="18"/>
        <v/>
      </c>
      <c r="AC258" s="421" t="str">
        <f t="shared" ca="1" si="19"/>
        <v/>
      </c>
      <c r="AD258" s="221"/>
    </row>
    <row r="259" spans="1:30" customFormat="1" ht="15">
      <c r="A259" s="221"/>
      <c r="B259" s="270">
        <v>221</v>
      </c>
      <c r="C259" s="248"/>
      <c r="D259" s="249"/>
      <c r="E259" s="241"/>
      <c r="F259" s="226"/>
      <c r="G259" s="233"/>
      <c r="H259" s="380">
        <v>245</v>
      </c>
      <c r="I259" s="398"/>
      <c r="J259" s="398"/>
      <c r="K259" s="407"/>
      <c r="L259" s="407"/>
      <c r="M259" s="407"/>
      <c r="N259" s="446"/>
      <c r="O259" s="407"/>
      <c r="P259" s="407"/>
      <c r="Q259" s="407"/>
      <c r="R259" s="446"/>
      <c r="S259" s="437"/>
      <c r="T259" s="416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7"/>
      <c r="V259" s="417"/>
      <c r="W259" s="418"/>
      <c r="X259" s="419"/>
      <c r="Y259" s="420" t="str">
        <f t="shared" ca="1" si="15"/>
        <v/>
      </c>
      <c r="Z259" s="421" t="str">
        <f t="shared" ca="1" si="16"/>
        <v/>
      </c>
      <c r="AA259" s="420" t="str">
        <f t="shared" ca="1" si="17"/>
        <v/>
      </c>
      <c r="AB259" s="422" t="str">
        <f t="shared" ca="1" si="18"/>
        <v/>
      </c>
      <c r="AC259" s="421" t="str">
        <f t="shared" ca="1" si="19"/>
        <v/>
      </c>
      <c r="AD259" s="221"/>
    </row>
    <row r="260" spans="1:30" customFormat="1" ht="15">
      <c r="A260" s="221"/>
      <c r="B260" s="270">
        <v>222</v>
      </c>
      <c r="C260" s="248"/>
      <c r="D260" s="249"/>
      <c r="E260" s="241"/>
      <c r="F260" s="226"/>
      <c r="G260" s="233"/>
      <c r="H260" s="380">
        <v>246</v>
      </c>
      <c r="I260" s="398"/>
      <c r="J260" s="398"/>
      <c r="K260" s="407"/>
      <c r="L260" s="407"/>
      <c r="M260" s="407"/>
      <c r="N260" s="446"/>
      <c r="O260" s="407"/>
      <c r="P260" s="407"/>
      <c r="Q260" s="407"/>
      <c r="R260" s="446"/>
      <c r="S260" s="437"/>
      <c r="T260" s="416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7"/>
      <c r="V260" s="417"/>
      <c r="W260" s="418"/>
      <c r="X260" s="419"/>
      <c r="Y260" s="420" t="str">
        <f t="shared" ca="1" si="15"/>
        <v/>
      </c>
      <c r="Z260" s="421" t="str">
        <f t="shared" ca="1" si="16"/>
        <v/>
      </c>
      <c r="AA260" s="420" t="str">
        <f t="shared" ca="1" si="17"/>
        <v/>
      </c>
      <c r="AB260" s="422" t="str">
        <f t="shared" ca="1" si="18"/>
        <v/>
      </c>
      <c r="AC260" s="421" t="str">
        <f t="shared" ca="1" si="19"/>
        <v/>
      </c>
      <c r="AD260" s="221"/>
    </row>
    <row r="261" spans="1:30" customFormat="1" ht="15">
      <c r="A261" s="221"/>
      <c r="B261" s="270">
        <v>223</v>
      </c>
      <c r="C261" s="248"/>
      <c r="D261" s="249"/>
      <c r="E261" s="241"/>
      <c r="F261" s="226"/>
      <c r="G261" s="233"/>
      <c r="H261" s="380">
        <v>247</v>
      </c>
      <c r="I261" s="398"/>
      <c r="J261" s="398"/>
      <c r="K261" s="407"/>
      <c r="L261" s="407"/>
      <c r="M261" s="407"/>
      <c r="N261" s="446"/>
      <c r="O261" s="407"/>
      <c r="P261" s="407"/>
      <c r="Q261" s="407"/>
      <c r="R261" s="446"/>
      <c r="S261" s="437"/>
      <c r="T261" s="416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7"/>
      <c r="V261" s="417"/>
      <c r="W261" s="418"/>
      <c r="X261" s="419"/>
      <c r="Y261" s="420" t="str">
        <f t="shared" ca="1" si="15"/>
        <v/>
      </c>
      <c r="Z261" s="421" t="str">
        <f t="shared" ca="1" si="16"/>
        <v/>
      </c>
      <c r="AA261" s="420" t="str">
        <f t="shared" ca="1" si="17"/>
        <v/>
      </c>
      <c r="AB261" s="422" t="str">
        <f t="shared" ca="1" si="18"/>
        <v/>
      </c>
      <c r="AC261" s="421" t="str">
        <f t="shared" ca="1" si="19"/>
        <v/>
      </c>
      <c r="AD261" s="221"/>
    </row>
    <row r="262" spans="1:30" customFormat="1" ht="15">
      <c r="A262" s="221"/>
      <c r="B262" s="270">
        <v>224</v>
      </c>
      <c r="C262" s="248"/>
      <c r="D262" s="249"/>
      <c r="E262" s="241"/>
      <c r="F262" s="226"/>
      <c r="G262" s="233"/>
      <c r="H262" s="380">
        <v>248</v>
      </c>
      <c r="I262" s="398"/>
      <c r="J262" s="398"/>
      <c r="K262" s="407"/>
      <c r="L262" s="407"/>
      <c r="M262" s="407"/>
      <c r="N262" s="446"/>
      <c r="O262" s="407"/>
      <c r="P262" s="407"/>
      <c r="Q262" s="407"/>
      <c r="R262" s="446"/>
      <c r="S262" s="437"/>
      <c r="T262" s="416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7"/>
      <c r="V262" s="417"/>
      <c r="W262" s="418"/>
      <c r="X262" s="419"/>
      <c r="Y262" s="420" t="str">
        <f t="shared" ca="1" si="15"/>
        <v/>
      </c>
      <c r="Z262" s="421" t="str">
        <f t="shared" ca="1" si="16"/>
        <v/>
      </c>
      <c r="AA262" s="420" t="str">
        <f t="shared" ca="1" si="17"/>
        <v/>
      </c>
      <c r="AB262" s="422" t="str">
        <f t="shared" ca="1" si="18"/>
        <v/>
      </c>
      <c r="AC262" s="421" t="str">
        <f t="shared" ca="1" si="19"/>
        <v/>
      </c>
      <c r="AD262" s="221"/>
    </row>
    <row r="263" spans="1:30" customFormat="1" ht="15">
      <c r="A263" s="221"/>
      <c r="B263" s="270">
        <v>225</v>
      </c>
      <c r="C263" s="248"/>
      <c r="D263" s="249"/>
      <c r="E263" s="241"/>
      <c r="F263" s="226"/>
      <c r="G263" s="233"/>
      <c r="H263" s="380">
        <v>249</v>
      </c>
      <c r="I263" s="398"/>
      <c r="J263" s="398"/>
      <c r="K263" s="407"/>
      <c r="L263" s="407"/>
      <c r="M263" s="407"/>
      <c r="N263" s="446"/>
      <c r="O263" s="407"/>
      <c r="P263" s="407"/>
      <c r="Q263" s="407"/>
      <c r="R263" s="446"/>
      <c r="S263" s="437"/>
      <c r="T263" s="416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7"/>
      <c r="V263" s="417"/>
      <c r="W263" s="418"/>
      <c r="X263" s="419"/>
      <c r="Y263" s="420" t="str">
        <f t="shared" ca="1" si="15"/>
        <v/>
      </c>
      <c r="Z263" s="421" t="str">
        <f t="shared" ca="1" si="16"/>
        <v/>
      </c>
      <c r="AA263" s="420" t="str">
        <f t="shared" ca="1" si="17"/>
        <v/>
      </c>
      <c r="AB263" s="422" t="str">
        <f t="shared" ca="1" si="18"/>
        <v/>
      </c>
      <c r="AC263" s="421" t="str">
        <f t="shared" ca="1" si="19"/>
        <v/>
      </c>
      <c r="AD263" s="221"/>
    </row>
    <row r="264" spans="1:30" customFormat="1" ht="15">
      <c r="A264" s="221"/>
      <c r="B264" s="270">
        <v>226</v>
      </c>
      <c r="C264" s="248"/>
      <c r="D264" s="249"/>
      <c r="E264" s="241"/>
      <c r="F264" s="226"/>
      <c r="G264" s="233"/>
      <c r="H264" s="380">
        <v>250</v>
      </c>
      <c r="I264" s="398"/>
      <c r="J264" s="398"/>
      <c r="K264" s="407"/>
      <c r="L264" s="407"/>
      <c r="M264" s="407"/>
      <c r="N264" s="446"/>
      <c r="O264" s="407"/>
      <c r="P264" s="407"/>
      <c r="Q264" s="407"/>
      <c r="R264" s="446"/>
      <c r="S264" s="437"/>
      <c r="T264" s="416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7"/>
      <c r="V264" s="417"/>
      <c r="W264" s="418"/>
      <c r="X264" s="419"/>
      <c r="Y264" s="420" t="str">
        <f t="shared" ca="1" si="15"/>
        <v/>
      </c>
      <c r="Z264" s="421" t="str">
        <f t="shared" ca="1" si="16"/>
        <v/>
      </c>
      <c r="AA264" s="420" t="str">
        <f t="shared" ca="1" si="17"/>
        <v/>
      </c>
      <c r="AB264" s="422" t="str">
        <f t="shared" ca="1" si="18"/>
        <v/>
      </c>
      <c r="AC264" s="421" t="str">
        <f t="shared" ca="1" si="19"/>
        <v/>
      </c>
      <c r="AD264" s="221"/>
    </row>
    <row r="265" spans="1:30" customFormat="1" ht="15">
      <c r="A265" s="221"/>
      <c r="B265" s="270">
        <v>227</v>
      </c>
      <c r="C265" s="248"/>
      <c r="D265" s="249"/>
      <c r="E265" s="241"/>
      <c r="F265" s="226"/>
      <c r="G265" s="233"/>
      <c r="H265" s="380">
        <v>251</v>
      </c>
      <c r="I265" s="398"/>
      <c r="J265" s="398"/>
      <c r="K265" s="407"/>
      <c r="L265" s="407"/>
      <c r="M265" s="407"/>
      <c r="N265" s="446"/>
      <c r="O265" s="407"/>
      <c r="P265" s="407"/>
      <c r="Q265" s="407"/>
      <c r="R265" s="446"/>
      <c r="S265" s="437"/>
      <c r="T265" s="416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7"/>
      <c r="V265" s="417"/>
      <c r="W265" s="418"/>
      <c r="X265" s="419"/>
      <c r="Y265" s="420" t="str">
        <f t="shared" ca="1" si="15"/>
        <v/>
      </c>
      <c r="Z265" s="421" t="str">
        <f t="shared" ca="1" si="16"/>
        <v/>
      </c>
      <c r="AA265" s="420" t="str">
        <f t="shared" ca="1" si="17"/>
        <v/>
      </c>
      <c r="AB265" s="422" t="str">
        <f t="shared" ca="1" si="18"/>
        <v/>
      </c>
      <c r="AC265" s="421" t="str">
        <f t="shared" ca="1" si="19"/>
        <v/>
      </c>
      <c r="AD265" s="221"/>
    </row>
    <row r="266" spans="1:30" customFormat="1" ht="15">
      <c r="A266" s="221"/>
      <c r="B266" s="270">
        <v>228</v>
      </c>
      <c r="C266" s="248"/>
      <c r="D266" s="249"/>
      <c r="E266" s="241"/>
      <c r="F266" s="226"/>
      <c r="G266" s="233"/>
      <c r="H266" s="380">
        <v>252</v>
      </c>
      <c r="I266" s="398"/>
      <c r="J266" s="398"/>
      <c r="K266" s="407"/>
      <c r="L266" s="407"/>
      <c r="M266" s="407"/>
      <c r="N266" s="446"/>
      <c r="O266" s="407"/>
      <c r="P266" s="407"/>
      <c r="Q266" s="407"/>
      <c r="R266" s="446"/>
      <c r="S266" s="437"/>
      <c r="T266" s="416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7"/>
      <c r="V266" s="417"/>
      <c r="W266" s="418"/>
      <c r="X266" s="419"/>
      <c r="Y266" s="420" t="str">
        <f t="shared" ca="1" si="15"/>
        <v/>
      </c>
      <c r="Z266" s="421" t="str">
        <f t="shared" ca="1" si="16"/>
        <v/>
      </c>
      <c r="AA266" s="420" t="str">
        <f t="shared" ca="1" si="17"/>
        <v/>
      </c>
      <c r="AB266" s="422" t="str">
        <f t="shared" ca="1" si="18"/>
        <v/>
      </c>
      <c r="AC266" s="421" t="str">
        <f t="shared" ca="1" si="19"/>
        <v/>
      </c>
      <c r="AD266" s="221"/>
    </row>
    <row r="267" spans="1:30" customFormat="1" ht="15">
      <c r="A267" s="221"/>
      <c r="B267" s="270">
        <v>229</v>
      </c>
      <c r="C267" s="248"/>
      <c r="D267" s="249"/>
      <c r="E267" s="241"/>
      <c r="F267" s="226"/>
      <c r="G267" s="233"/>
      <c r="H267" s="380">
        <v>253</v>
      </c>
      <c r="I267" s="398"/>
      <c r="J267" s="398"/>
      <c r="K267" s="407"/>
      <c r="L267" s="407"/>
      <c r="M267" s="407"/>
      <c r="N267" s="446"/>
      <c r="O267" s="407"/>
      <c r="P267" s="407"/>
      <c r="Q267" s="407"/>
      <c r="R267" s="446"/>
      <c r="S267" s="437"/>
      <c r="T267" s="416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7"/>
      <c r="V267" s="417"/>
      <c r="W267" s="418"/>
      <c r="X267" s="419"/>
      <c r="Y267" s="420" t="str">
        <f t="shared" ca="1" si="15"/>
        <v/>
      </c>
      <c r="Z267" s="421" t="str">
        <f t="shared" ca="1" si="16"/>
        <v/>
      </c>
      <c r="AA267" s="420" t="str">
        <f t="shared" ca="1" si="17"/>
        <v/>
      </c>
      <c r="AB267" s="422" t="str">
        <f t="shared" ca="1" si="18"/>
        <v/>
      </c>
      <c r="AC267" s="421" t="str">
        <f t="shared" ca="1" si="19"/>
        <v/>
      </c>
      <c r="AD267" s="221"/>
    </row>
    <row r="268" spans="1:30" customFormat="1" ht="15">
      <c r="A268" s="221"/>
      <c r="B268" s="270">
        <v>230</v>
      </c>
      <c r="C268" s="248"/>
      <c r="D268" s="249"/>
      <c r="E268" s="241"/>
      <c r="F268" s="226"/>
      <c r="G268" s="233"/>
      <c r="H268" s="380">
        <v>254</v>
      </c>
      <c r="I268" s="398"/>
      <c r="J268" s="398"/>
      <c r="K268" s="407"/>
      <c r="L268" s="407"/>
      <c r="M268" s="407"/>
      <c r="N268" s="446"/>
      <c r="O268" s="407"/>
      <c r="P268" s="407"/>
      <c r="Q268" s="407"/>
      <c r="R268" s="446"/>
      <c r="S268" s="437"/>
      <c r="T268" s="416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7"/>
      <c r="V268" s="417"/>
      <c r="W268" s="418"/>
      <c r="X268" s="419"/>
      <c r="Y268" s="420" t="str">
        <f t="shared" ca="1" si="15"/>
        <v/>
      </c>
      <c r="Z268" s="421" t="str">
        <f t="shared" ca="1" si="16"/>
        <v/>
      </c>
      <c r="AA268" s="420" t="str">
        <f t="shared" ca="1" si="17"/>
        <v/>
      </c>
      <c r="AB268" s="422" t="str">
        <f t="shared" ca="1" si="18"/>
        <v/>
      </c>
      <c r="AC268" s="421" t="str">
        <f t="shared" ca="1" si="19"/>
        <v/>
      </c>
      <c r="AD268" s="221"/>
    </row>
    <row r="269" spans="1:30" customFormat="1" ht="15">
      <c r="A269" s="221"/>
      <c r="B269" s="270">
        <v>231</v>
      </c>
      <c r="C269" s="248"/>
      <c r="D269" s="249"/>
      <c r="E269" s="241"/>
      <c r="F269" s="226"/>
      <c r="G269" s="233"/>
      <c r="H269" s="380">
        <v>255</v>
      </c>
      <c r="I269" s="398"/>
      <c r="J269" s="398"/>
      <c r="K269" s="407"/>
      <c r="L269" s="407"/>
      <c r="M269" s="407"/>
      <c r="N269" s="446"/>
      <c r="O269" s="407"/>
      <c r="P269" s="407"/>
      <c r="Q269" s="407"/>
      <c r="R269" s="446"/>
      <c r="S269" s="437"/>
      <c r="T269" s="416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7"/>
      <c r="V269" s="417"/>
      <c r="W269" s="418"/>
      <c r="X269" s="419"/>
      <c r="Y269" s="420" t="str">
        <f t="shared" ca="1" si="15"/>
        <v/>
      </c>
      <c r="Z269" s="421" t="str">
        <f t="shared" ca="1" si="16"/>
        <v/>
      </c>
      <c r="AA269" s="420" t="str">
        <f t="shared" ca="1" si="17"/>
        <v/>
      </c>
      <c r="AB269" s="422" t="str">
        <f t="shared" ca="1" si="18"/>
        <v/>
      </c>
      <c r="AC269" s="421" t="str">
        <f t="shared" ca="1" si="19"/>
        <v/>
      </c>
      <c r="AD269" s="221"/>
    </row>
    <row r="270" spans="1:30" customFormat="1" ht="15">
      <c r="A270" s="221"/>
      <c r="B270" s="270">
        <v>232</v>
      </c>
      <c r="C270" s="248"/>
      <c r="D270" s="249"/>
      <c r="E270" s="241"/>
      <c r="F270" s="226"/>
      <c r="G270" s="233"/>
      <c r="H270" s="380">
        <v>256</v>
      </c>
      <c r="I270" s="398"/>
      <c r="J270" s="398"/>
      <c r="K270" s="407"/>
      <c r="L270" s="407"/>
      <c r="M270" s="407"/>
      <c r="N270" s="446"/>
      <c r="O270" s="407"/>
      <c r="P270" s="407"/>
      <c r="Q270" s="407"/>
      <c r="R270" s="446"/>
      <c r="S270" s="437"/>
      <c r="T270" s="416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7"/>
      <c r="V270" s="417"/>
      <c r="W270" s="418"/>
      <c r="X270" s="419"/>
      <c r="Y270" s="420" t="str">
        <f t="shared" ca="1" si="15"/>
        <v/>
      </c>
      <c r="Z270" s="421" t="str">
        <f t="shared" ca="1" si="16"/>
        <v/>
      </c>
      <c r="AA270" s="420" t="str">
        <f t="shared" ca="1" si="17"/>
        <v/>
      </c>
      <c r="AB270" s="422" t="str">
        <f t="shared" ca="1" si="18"/>
        <v/>
      </c>
      <c r="AC270" s="421" t="str">
        <f t="shared" ca="1" si="19"/>
        <v/>
      </c>
      <c r="AD270" s="221"/>
    </row>
    <row r="271" spans="1:30" customFormat="1" ht="15">
      <c r="A271" s="221"/>
      <c r="B271" s="270">
        <v>233</v>
      </c>
      <c r="C271" s="248"/>
      <c r="D271" s="249"/>
      <c r="E271" s="241"/>
      <c r="F271" s="226"/>
      <c r="G271" s="233"/>
      <c r="H271" s="380">
        <v>257</v>
      </c>
      <c r="I271" s="398"/>
      <c r="J271" s="398"/>
      <c r="K271" s="407"/>
      <c r="L271" s="407"/>
      <c r="M271" s="407"/>
      <c r="N271" s="446"/>
      <c r="O271" s="407"/>
      <c r="P271" s="407"/>
      <c r="Q271" s="407"/>
      <c r="R271" s="446"/>
      <c r="S271" s="437"/>
      <c r="T271" s="416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7"/>
      <c r="V271" s="417"/>
      <c r="W271" s="418"/>
      <c r="X271" s="419"/>
      <c r="Y271" s="420" t="str">
        <f t="shared" ca="1" si="15"/>
        <v/>
      </c>
      <c r="Z271" s="421" t="str">
        <f t="shared" ca="1" si="16"/>
        <v/>
      </c>
      <c r="AA271" s="420" t="str">
        <f t="shared" ca="1" si="17"/>
        <v/>
      </c>
      <c r="AB271" s="422" t="str">
        <f t="shared" ca="1" si="18"/>
        <v/>
      </c>
      <c r="AC271" s="421" t="str">
        <f t="shared" ca="1" si="19"/>
        <v/>
      </c>
      <c r="AD271" s="221"/>
    </row>
    <row r="272" spans="1:30" customFormat="1" ht="15">
      <c r="A272" s="221"/>
      <c r="B272" s="270">
        <v>234</v>
      </c>
      <c r="C272" s="248"/>
      <c r="D272" s="249"/>
      <c r="E272" s="241"/>
      <c r="F272" s="226"/>
      <c r="G272" s="233"/>
      <c r="H272" s="380">
        <v>258</v>
      </c>
      <c r="I272" s="398"/>
      <c r="J272" s="398"/>
      <c r="K272" s="407"/>
      <c r="L272" s="407"/>
      <c r="M272" s="407"/>
      <c r="N272" s="446"/>
      <c r="O272" s="407"/>
      <c r="P272" s="407"/>
      <c r="Q272" s="407"/>
      <c r="R272" s="446"/>
      <c r="S272" s="437"/>
      <c r="T272" s="416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7"/>
      <c r="V272" s="417"/>
      <c r="W272" s="418"/>
      <c r="X272" s="419"/>
      <c r="Y272" s="420" t="str">
        <f t="shared" ref="Y272:Y314" ca="1" si="20">IF($U$12,IF(T272="","",$U$13*D296/$C$18),"")</f>
        <v/>
      </c>
      <c r="Z272" s="421" t="str">
        <f t="shared" ref="Z272:Z314" ca="1" si="21">IF($U$12,IF(Y272="","",Y272*($Z$10-W272)*X272),"")</f>
        <v/>
      </c>
      <c r="AA272" s="420" t="str">
        <f t="shared" ref="AA272:AA313" ca="1" si="22">IF($U$12,IF(OR(T272="",L272=""),"",L272/($C$20-$C$19)),"")</f>
        <v/>
      </c>
      <c r="AB272" s="422" t="str">
        <f t="shared" ref="AB272:AB313" ca="1" si="23">IF($U$12,IF(W272="","",W272*$AC$10),"")</f>
        <v/>
      </c>
      <c r="AC272" s="421" t="str">
        <f t="shared" ref="AC272:AC313" ca="1" si="24">IF($U$12,IF(AA272="","",AA272*(AB272-W272)*X272),"")</f>
        <v/>
      </c>
      <c r="AD272" s="221"/>
    </row>
    <row r="273" spans="1:30" customFormat="1" ht="15">
      <c r="A273" s="221"/>
      <c r="B273" s="270">
        <v>235</v>
      </c>
      <c r="C273" s="248"/>
      <c r="D273" s="249"/>
      <c r="E273" s="241"/>
      <c r="F273" s="226"/>
      <c r="G273" s="233"/>
      <c r="H273" s="380">
        <v>259</v>
      </c>
      <c r="I273" s="398"/>
      <c r="J273" s="398"/>
      <c r="K273" s="407"/>
      <c r="L273" s="407"/>
      <c r="M273" s="407"/>
      <c r="N273" s="446"/>
      <c r="O273" s="407"/>
      <c r="P273" s="407"/>
      <c r="Q273" s="407"/>
      <c r="R273" s="446"/>
      <c r="S273" s="437"/>
      <c r="T273" s="416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7"/>
      <c r="V273" s="417"/>
      <c r="W273" s="418"/>
      <c r="X273" s="419"/>
      <c r="Y273" s="420" t="str">
        <f t="shared" ca="1" si="20"/>
        <v/>
      </c>
      <c r="Z273" s="421" t="str">
        <f t="shared" ca="1" si="21"/>
        <v/>
      </c>
      <c r="AA273" s="420" t="str">
        <f t="shared" ca="1" si="22"/>
        <v/>
      </c>
      <c r="AB273" s="422" t="str">
        <f t="shared" ca="1" si="23"/>
        <v/>
      </c>
      <c r="AC273" s="421" t="str">
        <f t="shared" ca="1" si="24"/>
        <v/>
      </c>
      <c r="AD273" s="221"/>
    </row>
    <row r="274" spans="1:30" customFormat="1" ht="15">
      <c r="A274" s="221"/>
      <c r="B274" s="270">
        <v>236</v>
      </c>
      <c r="C274" s="248"/>
      <c r="D274" s="249"/>
      <c r="E274" s="241"/>
      <c r="F274" s="226"/>
      <c r="G274" s="233"/>
      <c r="H274" s="380">
        <v>260</v>
      </c>
      <c r="I274" s="398"/>
      <c r="J274" s="398"/>
      <c r="K274" s="407"/>
      <c r="L274" s="407"/>
      <c r="M274" s="407"/>
      <c r="N274" s="446"/>
      <c r="O274" s="407"/>
      <c r="P274" s="407"/>
      <c r="Q274" s="407"/>
      <c r="R274" s="446"/>
      <c r="S274" s="437"/>
      <c r="T274" s="416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7"/>
      <c r="V274" s="417"/>
      <c r="W274" s="418"/>
      <c r="X274" s="419"/>
      <c r="Y274" s="420" t="str">
        <f t="shared" ca="1" si="20"/>
        <v/>
      </c>
      <c r="Z274" s="421" t="str">
        <f t="shared" ca="1" si="21"/>
        <v/>
      </c>
      <c r="AA274" s="420" t="str">
        <f t="shared" ca="1" si="22"/>
        <v/>
      </c>
      <c r="AB274" s="422" t="str">
        <f t="shared" ca="1" si="23"/>
        <v/>
      </c>
      <c r="AC274" s="421" t="str">
        <f t="shared" ca="1" si="24"/>
        <v/>
      </c>
      <c r="AD274" s="221"/>
    </row>
    <row r="275" spans="1:30" customFormat="1" ht="15">
      <c r="A275" s="221"/>
      <c r="B275" s="270">
        <v>237</v>
      </c>
      <c r="C275" s="248"/>
      <c r="D275" s="249"/>
      <c r="E275" s="241"/>
      <c r="F275" s="226"/>
      <c r="G275" s="233"/>
      <c r="H275" s="380">
        <v>261</v>
      </c>
      <c r="I275" s="398"/>
      <c r="J275" s="398"/>
      <c r="K275" s="407"/>
      <c r="L275" s="407"/>
      <c r="M275" s="407"/>
      <c r="N275" s="446"/>
      <c r="O275" s="407"/>
      <c r="P275" s="407"/>
      <c r="Q275" s="407"/>
      <c r="R275" s="446"/>
      <c r="S275" s="437"/>
      <c r="T275" s="416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7"/>
      <c r="V275" s="417"/>
      <c r="W275" s="418"/>
      <c r="X275" s="419"/>
      <c r="Y275" s="420" t="str">
        <f t="shared" ca="1" si="20"/>
        <v/>
      </c>
      <c r="Z275" s="421" t="str">
        <f t="shared" ca="1" si="21"/>
        <v/>
      </c>
      <c r="AA275" s="420" t="str">
        <f t="shared" ca="1" si="22"/>
        <v/>
      </c>
      <c r="AB275" s="422" t="str">
        <f t="shared" ca="1" si="23"/>
        <v/>
      </c>
      <c r="AC275" s="421" t="str">
        <f t="shared" ca="1" si="24"/>
        <v/>
      </c>
      <c r="AD275" s="221"/>
    </row>
    <row r="276" spans="1:30" customFormat="1" ht="15">
      <c r="A276" s="221"/>
      <c r="B276" s="270">
        <v>238</v>
      </c>
      <c r="C276" s="248"/>
      <c r="D276" s="249"/>
      <c r="E276" s="241"/>
      <c r="F276" s="226"/>
      <c r="G276" s="233"/>
      <c r="H276" s="380">
        <v>262</v>
      </c>
      <c r="I276" s="398"/>
      <c r="J276" s="398"/>
      <c r="K276" s="407"/>
      <c r="L276" s="407"/>
      <c r="M276" s="407"/>
      <c r="N276" s="446"/>
      <c r="O276" s="407"/>
      <c r="P276" s="407"/>
      <c r="Q276" s="407"/>
      <c r="R276" s="446"/>
      <c r="S276" s="437"/>
      <c r="T276" s="416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7"/>
      <c r="V276" s="417"/>
      <c r="W276" s="418"/>
      <c r="X276" s="419"/>
      <c r="Y276" s="420" t="str">
        <f t="shared" ca="1" si="20"/>
        <v/>
      </c>
      <c r="Z276" s="421" t="str">
        <f t="shared" ca="1" si="21"/>
        <v/>
      </c>
      <c r="AA276" s="420" t="str">
        <f t="shared" ca="1" si="22"/>
        <v/>
      </c>
      <c r="AB276" s="422" t="str">
        <f t="shared" ca="1" si="23"/>
        <v/>
      </c>
      <c r="AC276" s="421" t="str">
        <f t="shared" ca="1" si="24"/>
        <v/>
      </c>
      <c r="AD276" s="221"/>
    </row>
    <row r="277" spans="1:30" customFormat="1" ht="15">
      <c r="A277" s="221"/>
      <c r="B277" s="270">
        <v>239</v>
      </c>
      <c r="C277" s="248"/>
      <c r="D277" s="249"/>
      <c r="E277" s="241"/>
      <c r="F277" s="226"/>
      <c r="G277" s="233"/>
      <c r="H277" s="380">
        <v>263</v>
      </c>
      <c r="I277" s="398"/>
      <c r="J277" s="398"/>
      <c r="K277" s="407"/>
      <c r="L277" s="407"/>
      <c r="M277" s="407"/>
      <c r="N277" s="446"/>
      <c r="O277" s="407"/>
      <c r="P277" s="407"/>
      <c r="Q277" s="407"/>
      <c r="R277" s="446"/>
      <c r="S277" s="437"/>
      <c r="T277" s="416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7"/>
      <c r="V277" s="417"/>
      <c r="W277" s="418"/>
      <c r="X277" s="419"/>
      <c r="Y277" s="420" t="str">
        <f t="shared" ca="1" si="20"/>
        <v/>
      </c>
      <c r="Z277" s="421" t="str">
        <f t="shared" ca="1" si="21"/>
        <v/>
      </c>
      <c r="AA277" s="420" t="str">
        <f t="shared" ca="1" si="22"/>
        <v/>
      </c>
      <c r="AB277" s="422" t="str">
        <f t="shared" ca="1" si="23"/>
        <v/>
      </c>
      <c r="AC277" s="421" t="str">
        <f t="shared" ca="1" si="24"/>
        <v/>
      </c>
      <c r="AD277" s="221"/>
    </row>
    <row r="278" spans="1:30" customFormat="1" ht="15">
      <c r="A278" s="221"/>
      <c r="B278" s="270">
        <v>240</v>
      </c>
      <c r="C278" s="248"/>
      <c r="D278" s="249"/>
      <c r="E278" s="241"/>
      <c r="F278" s="226"/>
      <c r="G278" s="233"/>
      <c r="H278" s="380">
        <v>264</v>
      </c>
      <c r="I278" s="398"/>
      <c r="J278" s="398"/>
      <c r="K278" s="407"/>
      <c r="L278" s="407"/>
      <c r="M278" s="407"/>
      <c r="N278" s="446"/>
      <c r="O278" s="407"/>
      <c r="P278" s="407"/>
      <c r="Q278" s="407"/>
      <c r="R278" s="446"/>
      <c r="S278" s="437"/>
      <c r="T278" s="416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7"/>
      <c r="V278" s="417"/>
      <c r="W278" s="418"/>
      <c r="X278" s="419"/>
      <c r="Y278" s="420" t="str">
        <f t="shared" ca="1" si="20"/>
        <v/>
      </c>
      <c r="Z278" s="421" t="str">
        <f t="shared" ca="1" si="21"/>
        <v/>
      </c>
      <c r="AA278" s="420" t="str">
        <f t="shared" ca="1" si="22"/>
        <v/>
      </c>
      <c r="AB278" s="422" t="str">
        <f t="shared" ca="1" si="23"/>
        <v/>
      </c>
      <c r="AC278" s="421" t="str">
        <f t="shared" ca="1" si="24"/>
        <v/>
      </c>
      <c r="AD278" s="221"/>
    </row>
    <row r="279" spans="1:30" customFormat="1" ht="15">
      <c r="A279" s="221"/>
      <c r="B279" s="270">
        <v>241</v>
      </c>
      <c r="C279" s="248"/>
      <c r="D279" s="249"/>
      <c r="E279" s="241"/>
      <c r="F279" s="226"/>
      <c r="G279" s="233"/>
      <c r="H279" s="380">
        <v>265</v>
      </c>
      <c r="I279" s="398"/>
      <c r="J279" s="398"/>
      <c r="K279" s="407"/>
      <c r="L279" s="407"/>
      <c r="M279" s="407"/>
      <c r="N279" s="446"/>
      <c r="O279" s="407"/>
      <c r="P279" s="407"/>
      <c r="Q279" s="407"/>
      <c r="R279" s="446"/>
      <c r="S279" s="437"/>
      <c r="T279" s="416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7"/>
      <c r="V279" s="417"/>
      <c r="W279" s="418"/>
      <c r="X279" s="419"/>
      <c r="Y279" s="420" t="str">
        <f t="shared" ca="1" si="20"/>
        <v/>
      </c>
      <c r="Z279" s="421" t="str">
        <f t="shared" ca="1" si="21"/>
        <v/>
      </c>
      <c r="AA279" s="420" t="str">
        <f t="shared" ca="1" si="22"/>
        <v/>
      </c>
      <c r="AB279" s="422" t="str">
        <f t="shared" ca="1" si="23"/>
        <v/>
      </c>
      <c r="AC279" s="421" t="str">
        <f t="shared" ca="1" si="24"/>
        <v/>
      </c>
      <c r="AD279" s="221"/>
    </row>
    <row r="280" spans="1:30" customFormat="1" ht="15">
      <c r="A280" s="221"/>
      <c r="B280" s="270">
        <v>242</v>
      </c>
      <c r="C280" s="248"/>
      <c r="D280" s="249"/>
      <c r="E280" s="241"/>
      <c r="F280" s="226"/>
      <c r="G280" s="233"/>
      <c r="H280" s="380">
        <v>266</v>
      </c>
      <c r="I280" s="398"/>
      <c r="J280" s="398"/>
      <c r="K280" s="407"/>
      <c r="L280" s="407"/>
      <c r="M280" s="407"/>
      <c r="N280" s="446"/>
      <c r="O280" s="407"/>
      <c r="P280" s="407"/>
      <c r="Q280" s="407"/>
      <c r="R280" s="446"/>
      <c r="S280" s="437"/>
      <c r="T280" s="416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7"/>
      <c r="V280" s="417"/>
      <c r="W280" s="418"/>
      <c r="X280" s="419"/>
      <c r="Y280" s="420" t="str">
        <f t="shared" ca="1" si="20"/>
        <v/>
      </c>
      <c r="Z280" s="421" t="str">
        <f t="shared" ca="1" si="21"/>
        <v/>
      </c>
      <c r="AA280" s="420" t="str">
        <f t="shared" ca="1" si="22"/>
        <v/>
      </c>
      <c r="AB280" s="422" t="str">
        <f t="shared" ca="1" si="23"/>
        <v/>
      </c>
      <c r="AC280" s="421" t="str">
        <f t="shared" ca="1" si="24"/>
        <v/>
      </c>
      <c r="AD280" s="221"/>
    </row>
    <row r="281" spans="1:30" customFormat="1" ht="15">
      <c r="A281" s="221"/>
      <c r="B281" s="270">
        <v>243</v>
      </c>
      <c r="C281" s="248"/>
      <c r="D281" s="249"/>
      <c r="E281" s="241"/>
      <c r="F281" s="226"/>
      <c r="G281" s="233"/>
      <c r="H281" s="380">
        <v>267</v>
      </c>
      <c r="I281" s="398"/>
      <c r="J281" s="398"/>
      <c r="K281" s="407"/>
      <c r="L281" s="407"/>
      <c r="M281" s="407"/>
      <c r="N281" s="446"/>
      <c r="O281" s="407"/>
      <c r="P281" s="407"/>
      <c r="Q281" s="407"/>
      <c r="R281" s="446"/>
      <c r="S281" s="437"/>
      <c r="T281" s="416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7"/>
      <c r="V281" s="417"/>
      <c r="W281" s="418"/>
      <c r="X281" s="419"/>
      <c r="Y281" s="420" t="str">
        <f t="shared" ca="1" si="20"/>
        <v/>
      </c>
      <c r="Z281" s="421" t="str">
        <f t="shared" ca="1" si="21"/>
        <v/>
      </c>
      <c r="AA281" s="420" t="str">
        <f t="shared" ca="1" si="22"/>
        <v/>
      </c>
      <c r="AB281" s="422" t="str">
        <f t="shared" ca="1" si="23"/>
        <v/>
      </c>
      <c r="AC281" s="421" t="str">
        <f t="shared" ca="1" si="24"/>
        <v/>
      </c>
      <c r="AD281" s="221"/>
    </row>
    <row r="282" spans="1:30" customFormat="1" ht="15">
      <c r="A282" s="221"/>
      <c r="B282" s="270">
        <v>244</v>
      </c>
      <c r="C282" s="248"/>
      <c r="D282" s="249"/>
      <c r="E282" s="241"/>
      <c r="F282" s="226"/>
      <c r="G282" s="233"/>
      <c r="H282" s="380">
        <v>268</v>
      </c>
      <c r="I282" s="398"/>
      <c r="J282" s="398"/>
      <c r="K282" s="407"/>
      <c r="L282" s="407"/>
      <c r="M282" s="407"/>
      <c r="N282" s="446"/>
      <c r="O282" s="407"/>
      <c r="P282" s="407"/>
      <c r="Q282" s="407"/>
      <c r="R282" s="446"/>
      <c r="S282" s="437"/>
      <c r="T282" s="416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7"/>
      <c r="V282" s="417"/>
      <c r="W282" s="418"/>
      <c r="X282" s="419"/>
      <c r="Y282" s="420" t="str">
        <f t="shared" ca="1" si="20"/>
        <v/>
      </c>
      <c r="Z282" s="421" t="str">
        <f t="shared" ca="1" si="21"/>
        <v/>
      </c>
      <c r="AA282" s="420" t="str">
        <f t="shared" ca="1" si="22"/>
        <v/>
      </c>
      <c r="AB282" s="422" t="str">
        <f t="shared" ca="1" si="23"/>
        <v/>
      </c>
      <c r="AC282" s="421" t="str">
        <f t="shared" ca="1" si="24"/>
        <v/>
      </c>
      <c r="AD282" s="221"/>
    </row>
    <row r="283" spans="1:30" customFormat="1" ht="15">
      <c r="A283" s="221"/>
      <c r="B283" s="270">
        <v>245</v>
      </c>
      <c r="C283" s="248"/>
      <c r="D283" s="249"/>
      <c r="E283" s="241"/>
      <c r="F283" s="226"/>
      <c r="G283" s="233"/>
      <c r="H283" s="380">
        <v>269</v>
      </c>
      <c r="I283" s="398"/>
      <c r="J283" s="398"/>
      <c r="K283" s="407"/>
      <c r="L283" s="407"/>
      <c r="M283" s="407"/>
      <c r="N283" s="446"/>
      <c r="O283" s="407"/>
      <c r="P283" s="407"/>
      <c r="Q283" s="407"/>
      <c r="R283" s="446"/>
      <c r="S283" s="437"/>
      <c r="T283" s="416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7"/>
      <c r="V283" s="417"/>
      <c r="W283" s="418"/>
      <c r="X283" s="419"/>
      <c r="Y283" s="420" t="str">
        <f t="shared" ca="1" si="20"/>
        <v/>
      </c>
      <c r="Z283" s="421" t="str">
        <f t="shared" ca="1" si="21"/>
        <v/>
      </c>
      <c r="AA283" s="420" t="str">
        <f t="shared" ca="1" si="22"/>
        <v/>
      </c>
      <c r="AB283" s="422" t="str">
        <f t="shared" ca="1" si="23"/>
        <v/>
      </c>
      <c r="AC283" s="421" t="str">
        <f t="shared" ca="1" si="24"/>
        <v/>
      </c>
      <c r="AD283" s="221"/>
    </row>
    <row r="284" spans="1:30" customFormat="1" ht="15">
      <c r="A284" s="221"/>
      <c r="B284" s="270">
        <v>246</v>
      </c>
      <c r="C284" s="248"/>
      <c r="D284" s="249"/>
      <c r="E284" s="241"/>
      <c r="F284" s="226"/>
      <c r="G284" s="233"/>
      <c r="H284" s="380">
        <v>270</v>
      </c>
      <c r="I284" s="398"/>
      <c r="J284" s="398"/>
      <c r="K284" s="407"/>
      <c r="L284" s="407"/>
      <c r="M284" s="407"/>
      <c r="N284" s="446"/>
      <c r="O284" s="407"/>
      <c r="P284" s="407"/>
      <c r="Q284" s="407"/>
      <c r="R284" s="446"/>
      <c r="S284" s="437"/>
      <c r="T284" s="416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7"/>
      <c r="V284" s="417"/>
      <c r="W284" s="418"/>
      <c r="X284" s="419"/>
      <c r="Y284" s="420" t="str">
        <f t="shared" ca="1" si="20"/>
        <v/>
      </c>
      <c r="Z284" s="421" t="str">
        <f t="shared" ca="1" si="21"/>
        <v/>
      </c>
      <c r="AA284" s="420" t="str">
        <f t="shared" ca="1" si="22"/>
        <v/>
      </c>
      <c r="AB284" s="422" t="str">
        <f t="shared" ca="1" si="23"/>
        <v/>
      </c>
      <c r="AC284" s="421" t="str">
        <f t="shared" ca="1" si="24"/>
        <v/>
      </c>
      <c r="AD284" s="221"/>
    </row>
    <row r="285" spans="1:30" customFormat="1" ht="15">
      <c r="A285" s="221"/>
      <c r="B285" s="270">
        <v>247</v>
      </c>
      <c r="C285" s="248"/>
      <c r="D285" s="249"/>
      <c r="E285" s="241"/>
      <c r="F285" s="226"/>
      <c r="G285" s="233"/>
      <c r="H285" s="380">
        <v>271</v>
      </c>
      <c r="I285" s="398"/>
      <c r="J285" s="398"/>
      <c r="K285" s="407"/>
      <c r="L285" s="407"/>
      <c r="M285" s="407"/>
      <c r="N285" s="446"/>
      <c r="O285" s="407"/>
      <c r="P285" s="407"/>
      <c r="Q285" s="407"/>
      <c r="R285" s="446"/>
      <c r="S285" s="437"/>
      <c r="T285" s="416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7"/>
      <c r="V285" s="417"/>
      <c r="W285" s="418"/>
      <c r="X285" s="419"/>
      <c r="Y285" s="420" t="str">
        <f t="shared" ca="1" si="20"/>
        <v/>
      </c>
      <c r="Z285" s="421" t="str">
        <f t="shared" ca="1" si="21"/>
        <v/>
      </c>
      <c r="AA285" s="420" t="str">
        <f t="shared" ca="1" si="22"/>
        <v/>
      </c>
      <c r="AB285" s="422" t="str">
        <f t="shared" ca="1" si="23"/>
        <v/>
      </c>
      <c r="AC285" s="421" t="str">
        <f t="shared" ca="1" si="24"/>
        <v/>
      </c>
      <c r="AD285" s="221"/>
    </row>
    <row r="286" spans="1:30" customFormat="1" ht="15">
      <c r="A286" s="221"/>
      <c r="B286" s="270">
        <v>248</v>
      </c>
      <c r="C286" s="248"/>
      <c r="D286" s="249"/>
      <c r="E286" s="241"/>
      <c r="F286" s="226"/>
      <c r="G286" s="233"/>
      <c r="H286" s="380">
        <v>272</v>
      </c>
      <c r="I286" s="398"/>
      <c r="J286" s="398"/>
      <c r="K286" s="407"/>
      <c r="L286" s="407"/>
      <c r="M286" s="407"/>
      <c r="N286" s="446"/>
      <c r="O286" s="407"/>
      <c r="P286" s="407"/>
      <c r="Q286" s="407"/>
      <c r="R286" s="446"/>
      <c r="S286" s="437"/>
      <c r="T286" s="416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7"/>
      <c r="V286" s="417"/>
      <c r="W286" s="418"/>
      <c r="X286" s="419"/>
      <c r="Y286" s="420" t="str">
        <f t="shared" ca="1" si="20"/>
        <v/>
      </c>
      <c r="Z286" s="421" t="str">
        <f t="shared" ca="1" si="21"/>
        <v/>
      </c>
      <c r="AA286" s="420" t="str">
        <f t="shared" ca="1" si="22"/>
        <v/>
      </c>
      <c r="AB286" s="422" t="str">
        <f t="shared" ca="1" si="23"/>
        <v/>
      </c>
      <c r="AC286" s="421" t="str">
        <f t="shared" ca="1" si="24"/>
        <v/>
      </c>
      <c r="AD286" s="221"/>
    </row>
    <row r="287" spans="1:30" customFormat="1" ht="15">
      <c r="A287" s="221"/>
      <c r="B287" s="270">
        <v>249</v>
      </c>
      <c r="C287" s="248"/>
      <c r="D287" s="249"/>
      <c r="E287" s="241"/>
      <c r="F287" s="226"/>
      <c r="G287" s="233"/>
      <c r="H287" s="380">
        <v>273</v>
      </c>
      <c r="I287" s="398"/>
      <c r="J287" s="398"/>
      <c r="K287" s="407"/>
      <c r="L287" s="407"/>
      <c r="M287" s="407"/>
      <c r="N287" s="446"/>
      <c r="O287" s="407"/>
      <c r="P287" s="407"/>
      <c r="Q287" s="407"/>
      <c r="R287" s="446"/>
      <c r="S287" s="437"/>
      <c r="T287" s="416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7"/>
      <c r="V287" s="417"/>
      <c r="W287" s="418"/>
      <c r="X287" s="419"/>
      <c r="Y287" s="420" t="str">
        <f t="shared" ca="1" si="20"/>
        <v/>
      </c>
      <c r="Z287" s="421" t="str">
        <f t="shared" ca="1" si="21"/>
        <v/>
      </c>
      <c r="AA287" s="420" t="str">
        <f t="shared" ca="1" si="22"/>
        <v/>
      </c>
      <c r="AB287" s="422" t="str">
        <f t="shared" ca="1" si="23"/>
        <v/>
      </c>
      <c r="AC287" s="421" t="str">
        <f t="shared" ca="1" si="24"/>
        <v/>
      </c>
      <c r="AD287" s="221"/>
    </row>
    <row r="288" spans="1:30" customFormat="1" ht="15">
      <c r="A288" s="221"/>
      <c r="B288" s="270">
        <v>250</v>
      </c>
      <c r="C288" s="248"/>
      <c r="D288" s="249"/>
      <c r="E288" s="241"/>
      <c r="F288" s="226"/>
      <c r="G288" s="233"/>
      <c r="H288" s="380">
        <v>274</v>
      </c>
      <c r="I288" s="398"/>
      <c r="J288" s="398"/>
      <c r="K288" s="407"/>
      <c r="L288" s="407"/>
      <c r="M288" s="407"/>
      <c r="N288" s="446"/>
      <c r="O288" s="407"/>
      <c r="P288" s="407"/>
      <c r="Q288" s="407"/>
      <c r="R288" s="446"/>
      <c r="S288" s="437"/>
      <c r="T288" s="416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7"/>
      <c r="V288" s="417"/>
      <c r="W288" s="418"/>
      <c r="X288" s="419"/>
      <c r="Y288" s="420" t="str">
        <f t="shared" ca="1" si="20"/>
        <v/>
      </c>
      <c r="Z288" s="421" t="str">
        <f t="shared" ca="1" si="21"/>
        <v/>
      </c>
      <c r="AA288" s="420" t="str">
        <f t="shared" ca="1" si="22"/>
        <v/>
      </c>
      <c r="AB288" s="422" t="str">
        <f t="shared" ca="1" si="23"/>
        <v/>
      </c>
      <c r="AC288" s="421" t="str">
        <f t="shared" ca="1" si="24"/>
        <v/>
      </c>
      <c r="AD288" s="221"/>
    </row>
    <row r="289" spans="1:30" customFormat="1" ht="15">
      <c r="A289" s="221"/>
      <c r="B289" s="270">
        <v>251</v>
      </c>
      <c r="C289" s="248"/>
      <c r="D289" s="249"/>
      <c r="E289" s="241"/>
      <c r="F289" s="226"/>
      <c r="G289" s="233"/>
      <c r="H289" s="380">
        <v>275</v>
      </c>
      <c r="I289" s="398"/>
      <c r="J289" s="398"/>
      <c r="K289" s="407"/>
      <c r="L289" s="407"/>
      <c r="M289" s="407"/>
      <c r="N289" s="446"/>
      <c r="O289" s="407"/>
      <c r="P289" s="407"/>
      <c r="Q289" s="407"/>
      <c r="R289" s="446"/>
      <c r="S289" s="437"/>
      <c r="T289" s="416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7"/>
      <c r="V289" s="417"/>
      <c r="W289" s="418"/>
      <c r="X289" s="419"/>
      <c r="Y289" s="420" t="str">
        <f t="shared" ca="1" si="20"/>
        <v/>
      </c>
      <c r="Z289" s="421" t="str">
        <f t="shared" ca="1" si="21"/>
        <v/>
      </c>
      <c r="AA289" s="420" t="str">
        <f t="shared" ca="1" si="22"/>
        <v/>
      </c>
      <c r="AB289" s="422" t="str">
        <f t="shared" ca="1" si="23"/>
        <v/>
      </c>
      <c r="AC289" s="421" t="str">
        <f t="shared" ca="1" si="24"/>
        <v/>
      </c>
      <c r="AD289" s="221"/>
    </row>
    <row r="290" spans="1:30" customFormat="1" ht="15">
      <c r="A290" s="221"/>
      <c r="B290" s="270">
        <v>252</v>
      </c>
      <c r="C290" s="248"/>
      <c r="D290" s="249"/>
      <c r="E290" s="241"/>
      <c r="F290" s="226"/>
      <c r="G290" s="233"/>
      <c r="H290" s="380">
        <v>276</v>
      </c>
      <c r="I290" s="398"/>
      <c r="J290" s="398"/>
      <c r="K290" s="407"/>
      <c r="L290" s="407"/>
      <c r="M290" s="407"/>
      <c r="N290" s="446"/>
      <c r="O290" s="407"/>
      <c r="P290" s="407"/>
      <c r="Q290" s="407"/>
      <c r="R290" s="446"/>
      <c r="S290" s="437"/>
      <c r="T290" s="416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7"/>
      <c r="V290" s="417"/>
      <c r="W290" s="418"/>
      <c r="X290" s="419"/>
      <c r="Y290" s="420" t="str">
        <f t="shared" ca="1" si="20"/>
        <v/>
      </c>
      <c r="Z290" s="421" t="str">
        <f t="shared" ca="1" si="21"/>
        <v/>
      </c>
      <c r="AA290" s="420" t="str">
        <f t="shared" ca="1" si="22"/>
        <v/>
      </c>
      <c r="AB290" s="422" t="str">
        <f t="shared" ca="1" si="23"/>
        <v/>
      </c>
      <c r="AC290" s="421" t="str">
        <f t="shared" ca="1" si="24"/>
        <v/>
      </c>
      <c r="AD290" s="221"/>
    </row>
    <row r="291" spans="1:30" customFormat="1" ht="15">
      <c r="A291" s="221"/>
      <c r="B291" s="270">
        <v>253</v>
      </c>
      <c r="C291" s="248"/>
      <c r="D291" s="249"/>
      <c r="E291" s="241"/>
      <c r="F291" s="226"/>
      <c r="G291" s="233"/>
      <c r="H291" s="380">
        <v>277</v>
      </c>
      <c r="I291" s="398"/>
      <c r="J291" s="398"/>
      <c r="K291" s="407"/>
      <c r="L291" s="407"/>
      <c r="M291" s="407"/>
      <c r="N291" s="446"/>
      <c r="O291" s="407"/>
      <c r="P291" s="407"/>
      <c r="Q291" s="407"/>
      <c r="R291" s="446"/>
      <c r="S291" s="437"/>
      <c r="T291" s="416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7"/>
      <c r="V291" s="417"/>
      <c r="W291" s="418"/>
      <c r="X291" s="419"/>
      <c r="Y291" s="420" t="str">
        <f t="shared" ca="1" si="20"/>
        <v/>
      </c>
      <c r="Z291" s="421" t="str">
        <f t="shared" ca="1" si="21"/>
        <v/>
      </c>
      <c r="AA291" s="420" t="str">
        <f t="shared" ca="1" si="22"/>
        <v/>
      </c>
      <c r="AB291" s="422" t="str">
        <f t="shared" ca="1" si="23"/>
        <v/>
      </c>
      <c r="AC291" s="421" t="str">
        <f t="shared" ca="1" si="24"/>
        <v/>
      </c>
      <c r="AD291" s="221"/>
    </row>
    <row r="292" spans="1:30" customFormat="1" ht="15">
      <c r="A292" s="221"/>
      <c r="B292" s="270">
        <v>254</v>
      </c>
      <c r="C292" s="248"/>
      <c r="D292" s="249"/>
      <c r="E292" s="241"/>
      <c r="F292" s="226"/>
      <c r="G292" s="233"/>
      <c r="H292" s="380">
        <v>278</v>
      </c>
      <c r="I292" s="398"/>
      <c r="J292" s="398"/>
      <c r="K292" s="407"/>
      <c r="L292" s="407"/>
      <c r="M292" s="407"/>
      <c r="N292" s="446"/>
      <c r="O292" s="407"/>
      <c r="P292" s="407"/>
      <c r="Q292" s="407"/>
      <c r="R292" s="446"/>
      <c r="S292" s="437"/>
      <c r="T292" s="416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7"/>
      <c r="V292" s="417"/>
      <c r="W292" s="418"/>
      <c r="X292" s="419"/>
      <c r="Y292" s="420" t="str">
        <f t="shared" ca="1" si="20"/>
        <v/>
      </c>
      <c r="Z292" s="421" t="str">
        <f t="shared" ca="1" si="21"/>
        <v/>
      </c>
      <c r="AA292" s="420" t="str">
        <f t="shared" ca="1" si="22"/>
        <v/>
      </c>
      <c r="AB292" s="422" t="str">
        <f t="shared" ca="1" si="23"/>
        <v/>
      </c>
      <c r="AC292" s="421" t="str">
        <f t="shared" ca="1" si="24"/>
        <v/>
      </c>
      <c r="AD292" s="221"/>
    </row>
    <row r="293" spans="1:30" customFormat="1" ht="15">
      <c r="A293" s="221"/>
      <c r="B293" s="270">
        <v>255</v>
      </c>
      <c r="C293" s="248"/>
      <c r="D293" s="249"/>
      <c r="E293" s="241"/>
      <c r="F293" s="226"/>
      <c r="G293" s="233"/>
      <c r="H293" s="380">
        <v>279</v>
      </c>
      <c r="I293" s="398"/>
      <c r="J293" s="398"/>
      <c r="K293" s="407"/>
      <c r="L293" s="407"/>
      <c r="M293" s="407"/>
      <c r="N293" s="446"/>
      <c r="O293" s="407"/>
      <c r="P293" s="407"/>
      <c r="Q293" s="407"/>
      <c r="R293" s="446"/>
      <c r="S293" s="437"/>
      <c r="T293" s="416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7"/>
      <c r="V293" s="417"/>
      <c r="W293" s="418"/>
      <c r="X293" s="419"/>
      <c r="Y293" s="420" t="str">
        <f t="shared" ca="1" si="20"/>
        <v/>
      </c>
      <c r="Z293" s="421" t="str">
        <f t="shared" ca="1" si="21"/>
        <v/>
      </c>
      <c r="AA293" s="420" t="str">
        <f t="shared" ca="1" si="22"/>
        <v/>
      </c>
      <c r="AB293" s="422" t="str">
        <f t="shared" ca="1" si="23"/>
        <v/>
      </c>
      <c r="AC293" s="421" t="str">
        <f t="shared" ca="1" si="24"/>
        <v/>
      </c>
      <c r="AD293" s="221"/>
    </row>
    <row r="294" spans="1:30" customFormat="1" ht="15">
      <c r="A294" s="221"/>
      <c r="B294" s="270">
        <v>256</v>
      </c>
      <c r="C294" s="248"/>
      <c r="D294" s="249"/>
      <c r="E294" s="241"/>
      <c r="F294" s="226"/>
      <c r="G294" s="233"/>
      <c r="H294" s="380">
        <v>280</v>
      </c>
      <c r="I294" s="398"/>
      <c r="J294" s="398"/>
      <c r="K294" s="407"/>
      <c r="L294" s="407"/>
      <c r="M294" s="407"/>
      <c r="N294" s="446"/>
      <c r="O294" s="407"/>
      <c r="P294" s="407"/>
      <c r="Q294" s="407"/>
      <c r="R294" s="446"/>
      <c r="S294" s="437"/>
      <c r="T294" s="416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7"/>
      <c r="V294" s="417"/>
      <c r="W294" s="418"/>
      <c r="X294" s="419"/>
      <c r="Y294" s="420" t="str">
        <f t="shared" ca="1" si="20"/>
        <v/>
      </c>
      <c r="Z294" s="421" t="str">
        <f t="shared" ca="1" si="21"/>
        <v/>
      </c>
      <c r="AA294" s="420" t="str">
        <f t="shared" ca="1" si="22"/>
        <v/>
      </c>
      <c r="AB294" s="422" t="str">
        <f t="shared" ca="1" si="23"/>
        <v/>
      </c>
      <c r="AC294" s="421" t="str">
        <f t="shared" ca="1" si="24"/>
        <v/>
      </c>
      <c r="AD294" s="221"/>
    </row>
    <row r="295" spans="1:30" customFormat="1" ht="15">
      <c r="A295" s="221"/>
      <c r="B295" s="270">
        <v>257</v>
      </c>
      <c r="C295" s="248"/>
      <c r="D295" s="249"/>
      <c r="E295" s="241"/>
      <c r="F295" s="226"/>
      <c r="G295" s="233"/>
      <c r="H295" s="380">
        <v>281</v>
      </c>
      <c r="I295" s="398"/>
      <c r="J295" s="398"/>
      <c r="K295" s="407"/>
      <c r="L295" s="407"/>
      <c r="M295" s="407"/>
      <c r="N295" s="446"/>
      <c r="O295" s="407"/>
      <c r="P295" s="407"/>
      <c r="Q295" s="407"/>
      <c r="R295" s="446"/>
      <c r="S295" s="437"/>
      <c r="T295" s="416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7"/>
      <c r="V295" s="417"/>
      <c r="W295" s="418"/>
      <c r="X295" s="419"/>
      <c r="Y295" s="420" t="str">
        <f t="shared" ca="1" si="20"/>
        <v/>
      </c>
      <c r="Z295" s="421" t="str">
        <f t="shared" ca="1" si="21"/>
        <v/>
      </c>
      <c r="AA295" s="420" t="str">
        <f t="shared" ca="1" si="22"/>
        <v/>
      </c>
      <c r="AB295" s="422" t="str">
        <f t="shared" ca="1" si="23"/>
        <v/>
      </c>
      <c r="AC295" s="421" t="str">
        <f t="shared" ca="1" si="24"/>
        <v/>
      </c>
      <c r="AD295" s="221"/>
    </row>
    <row r="296" spans="1:30" customFormat="1" ht="15">
      <c r="A296" s="221"/>
      <c r="B296" s="270">
        <v>258</v>
      </c>
      <c r="C296" s="248"/>
      <c r="D296" s="249"/>
      <c r="E296" s="241"/>
      <c r="F296" s="226"/>
      <c r="G296" s="233"/>
      <c r="H296" s="380">
        <v>282</v>
      </c>
      <c r="I296" s="398"/>
      <c r="J296" s="398"/>
      <c r="K296" s="407"/>
      <c r="L296" s="407"/>
      <c r="M296" s="407"/>
      <c r="N296" s="446"/>
      <c r="O296" s="407"/>
      <c r="P296" s="407"/>
      <c r="Q296" s="407"/>
      <c r="R296" s="446"/>
      <c r="S296" s="437"/>
      <c r="T296" s="416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7"/>
      <c r="V296" s="417"/>
      <c r="W296" s="418"/>
      <c r="X296" s="419"/>
      <c r="Y296" s="420" t="str">
        <f t="shared" ca="1" si="20"/>
        <v/>
      </c>
      <c r="Z296" s="421" t="str">
        <f t="shared" ca="1" si="21"/>
        <v/>
      </c>
      <c r="AA296" s="420" t="str">
        <f t="shared" ca="1" si="22"/>
        <v/>
      </c>
      <c r="AB296" s="422" t="str">
        <f t="shared" ca="1" si="23"/>
        <v/>
      </c>
      <c r="AC296" s="421" t="str">
        <f t="shared" ca="1" si="24"/>
        <v/>
      </c>
      <c r="AD296" s="221"/>
    </row>
    <row r="297" spans="1:30" customFormat="1" ht="15">
      <c r="A297" s="221"/>
      <c r="B297" s="270">
        <v>259</v>
      </c>
      <c r="C297" s="248"/>
      <c r="D297" s="249"/>
      <c r="E297" s="241"/>
      <c r="F297" s="226"/>
      <c r="G297" s="233"/>
      <c r="H297" s="380">
        <v>283</v>
      </c>
      <c r="I297" s="398"/>
      <c r="J297" s="398"/>
      <c r="K297" s="407"/>
      <c r="L297" s="407"/>
      <c r="M297" s="407"/>
      <c r="N297" s="446"/>
      <c r="O297" s="407"/>
      <c r="P297" s="407"/>
      <c r="Q297" s="407"/>
      <c r="R297" s="446"/>
      <c r="S297" s="437"/>
      <c r="T297" s="416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7"/>
      <c r="V297" s="417"/>
      <c r="W297" s="418"/>
      <c r="X297" s="419"/>
      <c r="Y297" s="420" t="str">
        <f t="shared" ca="1" si="20"/>
        <v/>
      </c>
      <c r="Z297" s="421" t="str">
        <f t="shared" ca="1" si="21"/>
        <v/>
      </c>
      <c r="AA297" s="420" t="str">
        <f t="shared" ca="1" si="22"/>
        <v/>
      </c>
      <c r="AB297" s="422" t="str">
        <f t="shared" ca="1" si="23"/>
        <v/>
      </c>
      <c r="AC297" s="421" t="str">
        <f t="shared" ca="1" si="24"/>
        <v/>
      </c>
      <c r="AD297" s="221"/>
    </row>
    <row r="298" spans="1:30" customFormat="1" ht="15">
      <c r="A298" s="221"/>
      <c r="B298" s="270">
        <v>260</v>
      </c>
      <c r="C298" s="248"/>
      <c r="D298" s="249"/>
      <c r="E298" s="241"/>
      <c r="F298" s="226"/>
      <c r="G298" s="233"/>
      <c r="H298" s="380">
        <v>284</v>
      </c>
      <c r="I298" s="398"/>
      <c r="J298" s="398"/>
      <c r="K298" s="407"/>
      <c r="L298" s="407"/>
      <c r="M298" s="407"/>
      <c r="N298" s="446"/>
      <c r="O298" s="407"/>
      <c r="P298" s="407"/>
      <c r="Q298" s="407"/>
      <c r="R298" s="446"/>
      <c r="S298" s="437"/>
      <c r="T298" s="416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7"/>
      <c r="V298" s="417"/>
      <c r="W298" s="418"/>
      <c r="X298" s="419"/>
      <c r="Y298" s="420" t="str">
        <f t="shared" ca="1" si="20"/>
        <v/>
      </c>
      <c r="Z298" s="421" t="str">
        <f t="shared" ca="1" si="21"/>
        <v/>
      </c>
      <c r="AA298" s="420" t="str">
        <f t="shared" ca="1" si="22"/>
        <v/>
      </c>
      <c r="AB298" s="422" t="str">
        <f t="shared" ca="1" si="23"/>
        <v/>
      </c>
      <c r="AC298" s="421" t="str">
        <f t="shared" ca="1" si="24"/>
        <v/>
      </c>
      <c r="AD298" s="221"/>
    </row>
    <row r="299" spans="1:30" customFormat="1" ht="15">
      <c r="A299" s="221"/>
      <c r="B299" s="270">
        <v>261</v>
      </c>
      <c r="C299" s="248"/>
      <c r="D299" s="249"/>
      <c r="E299" s="241"/>
      <c r="F299" s="226"/>
      <c r="G299" s="233"/>
      <c r="H299" s="380">
        <v>285</v>
      </c>
      <c r="I299" s="398"/>
      <c r="J299" s="398"/>
      <c r="K299" s="407"/>
      <c r="L299" s="407"/>
      <c r="M299" s="407"/>
      <c r="N299" s="446"/>
      <c r="O299" s="407"/>
      <c r="P299" s="407"/>
      <c r="Q299" s="407"/>
      <c r="R299" s="446"/>
      <c r="S299" s="437"/>
      <c r="T299" s="416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7"/>
      <c r="V299" s="417"/>
      <c r="W299" s="418"/>
      <c r="X299" s="419"/>
      <c r="Y299" s="420" t="str">
        <f t="shared" ca="1" si="20"/>
        <v/>
      </c>
      <c r="Z299" s="421" t="str">
        <f t="shared" ca="1" si="21"/>
        <v/>
      </c>
      <c r="AA299" s="420" t="str">
        <f t="shared" ca="1" si="22"/>
        <v/>
      </c>
      <c r="AB299" s="422" t="str">
        <f t="shared" ca="1" si="23"/>
        <v/>
      </c>
      <c r="AC299" s="421" t="str">
        <f t="shared" ca="1" si="24"/>
        <v/>
      </c>
      <c r="AD299" s="221"/>
    </row>
    <row r="300" spans="1:30" customFormat="1" ht="15">
      <c r="A300" s="221"/>
      <c r="B300" s="270">
        <v>262</v>
      </c>
      <c r="C300" s="248"/>
      <c r="D300" s="249"/>
      <c r="E300" s="241"/>
      <c r="F300" s="226"/>
      <c r="G300" s="233"/>
      <c r="H300" s="380">
        <v>286</v>
      </c>
      <c r="I300" s="398"/>
      <c r="J300" s="398"/>
      <c r="K300" s="407"/>
      <c r="L300" s="407"/>
      <c r="M300" s="407"/>
      <c r="N300" s="446"/>
      <c r="O300" s="407"/>
      <c r="P300" s="407"/>
      <c r="Q300" s="407"/>
      <c r="R300" s="446"/>
      <c r="S300" s="437"/>
      <c r="T300" s="416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7"/>
      <c r="V300" s="417"/>
      <c r="W300" s="418"/>
      <c r="X300" s="419"/>
      <c r="Y300" s="420" t="str">
        <f t="shared" ca="1" si="20"/>
        <v/>
      </c>
      <c r="Z300" s="421" t="str">
        <f t="shared" ca="1" si="21"/>
        <v/>
      </c>
      <c r="AA300" s="420" t="str">
        <f t="shared" ca="1" si="22"/>
        <v/>
      </c>
      <c r="AB300" s="422" t="str">
        <f t="shared" ca="1" si="23"/>
        <v/>
      </c>
      <c r="AC300" s="421" t="str">
        <f t="shared" ca="1" si="24"/>
        <v/>
      </c>
      <c r="AD300" s="221"/>
    </row>
    <row r="301" spans="1:30" customFormat="1" ht="15">
      <c r="A301" s="221"/>
      <c r="B301" s="270">
        <v>263</v>
      </c>
      <c r="C301" s="248"/>
      <c r="D301" s="249"/>
      <c r="E301" s="241"/>
      <c r="F301" s="226"/>
      <c r="G301" s="233"/>
      <c r="H301" s="380">
        <v>287</v>
      </c>
      <c r="I301" s="398"/>
      <c r="J301" s="398"/>
      <c r="K301" s="407"/>
      <c r="L301" s="407"/>
      <c r="M301" s="407"/>
      <c r="N301" s="446"/>
      <c r="O301" s="407"/>
      <c r="P301" s="407"/>
      <c r="Q301" s="407"/>
      <c r="R301" s="446"/>
      <c r="S301" s="437"/>
      <c r="T301" s="416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7"/>
      <c r="V301" s="417"/>
      <c r="W301" s="418"/>
      <c r="X301" s="419"/>
      <c r="Y301" s="420" t="str">
        <f t="shared" ca="1" si="20"/>
        <v/>
      </c>
      <c r="Z301" s="421" t="str">
        <f t="shared" ca="1" si="21"/>
        <v/>
      </c>
      <c r="AA301" s="420" t="str">
        <f t="shared" ca="1" si="22"/>
        <v/>
      </c>
      <c r="AB301" s="422" t="str">
        <f t="shared" ca="1" si="23"/>
        <v/>
      </c>
      <c r="AC301" s="421" t="str">
        <f t="shared" ca="1" si="24"/>
        <v/>
      </c>
      <c r="AD301" s="221"/>
    </row>
    <row r="302" spans="1:30" customFormat="1" ht="15">
      <c r="A302" s="221"/>
      <c r="B302" s="270">
        <v>264</v>
      </c>
      <c r="C302" s="248"/>
      <c r="D302" s="249"/>
      <c r="E302" s="241"/>
      <c r="F302" s="226"/>
      <c r="G302" s="233"/>
      <c r="H302" s="380">
        <v>288</v>
      </c>
      <c r="I302" s="398"/>
      <c r="J302" s="398"/>
      <c r="K302" s="407"/>
      <c r="L302" s="407"/>
      <c r="M302" s="407"/>
      <c r="N302" s="446"/>
      <c r="O302" s="407"/>
      <c r="P302" s="407"/>
      <c r="Q302" s="407"/>
      <c r="R302" s="446"/>
      <c r="S302" s="437"/>
      <c r="T302" s="416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7"/>
      <c r="V302" s="417"/>
      <c r="W302" s="418"/>
      <c r="X302" s="419"/>
      <c r="Y302" s="420" t="str">
        <f t="shared" ca="1" si="20"/>
        <v/>
      </c>
      <c r="Z302" s="421" t="str">
        <f t="shared" ca="1" si="21"/>
        <v/>
      </c>
      <c r="AA302" s="420" t="str">
        <f t="shared" ca="1" si="22"/>
        <v/>
      </c>
      <c r="AB302" s="422" t="str">
        <f t="shared" ca="1" si="23"/>
        <v/>
      </c>
      <c r="AC302" s="421" t="str">
        <f t="shared" ca="1" si="24"/>
        <v/>
      </c>
      <c r="AD302" s="221"/>
    </row>
    <row r="303" spans="1:30" customFormat="1" ht="15">
      <c r="A303" s="221"/>
      <c r="B303" s="270">
        <v>265</v>
      </c>
      <c r="C303" s="248"/>
      <c r="D303" s="249"/>
      <c r="E303" s="241"/>
      <c r="F303" s="226"/>
      <c r="G303" s="233"/>
      <c r="H303" s="380">
        <v>289</v>
      </c>
      <c r="I303" s="398"/>
      <c r="J303" s="398"/>
      <c r="K303" s="407"/>
      <c r="L303" s="407"/>
      <c r="M303" s="407"/>
      <c r="N303" s="446"/>
      <c r="O303" s="407"/>
      <c r="P303" s="407"/>
      <c r="Q303" s="407"/>
      <c r="R303" s="446"/>
      <c r="S303" s="437"/>
      <c r="T303" s="416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7"/>
      <c r="V303" s="417"/>
      <c r="W303" s="418"/>
      <c r="X303" s="419"/>
      <c r="Y303" s="420" t="str">
        <f t="shared" ca="1" si="20"/>
        <v/>
      </c>
      <c r="Z303" s="421" t="str">
        <f t="shared" ca="1" si="21"/>
        <v/>
      </c>
      <c r="AA303" s="420" t="str">
        <f t="shared" ca="1" si="22"/>
        <v/>
      </c>
      <c r="AB303" s="422" t="str">
        <f t="shared" ca="1" si="23"/>
        <v/>
      </c>
      <c r="AC303" s="421" t="str">
        <f t="shared" ca="1" si="24"/>
        <v/>
      </c>
      <c r="AD303" s="221"/>
    </row>
    <row r="304" spans="1:30" customFormat="1" ht="15">
      <c r="A304" s="221"/>
      <c r="B304" s="270">
        <v>266</v>
      </c>
      <c r="C304" s="248"/>
      <c r="D304" s="249"/>
      <c r="E304" s="241"/>
      <c r="F304" s="226"/>
      <c r="G304" s="233"/>
      <c r="H304" s="380">
        <v>290</v>
      </c>
      <c r="I304" s="398"/>
      <c r="J304" s="398"/>
      <c r="K304" s="407"/>
      <c r="L304" s="407"/>
      <c r="M304" s="407"/>
      <c r="N304" s="446"/>
      <c r="O304" s="407"/>
      <c r="P304" s="407"/>
      <c r="Q304" s="407"/>
      <c r="R304" s="446"/>
      <c r="S304" s="437"/>
      <c r="T304" s="416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7"/>
      <c r="V304" s="417"/>
      <c r="W304" s="418"/>
      <c r="X304" s="419"/>
      <c r="Y304" s="420" t="str">
        <f t="shared" ca="1" si="20"/>
        <v/>
      </c>
      <c r="Z304" s="421" t="str">
        <f t="shared" ca="1" si="21"/>
        <v/>
      </c>
      <c r="AA304" s="420" t="str">
        <f t="shared" ca="1" si="22"/>
        <v/>
      </c>
      <c r="AB304" s="422" t="str">
        <f t="shared" ca="1" si="23"/>
        <v/>
      </c>
      <c r="AC304" s="421" t="str">
        <f t="shared" ca="1" si="24"/>
        <v/>
      </c>
      <c r="AD304" s="221"/>
    </row>
    <row r="305" spans="1:30" customFormat="1" ht="15">
      <c r="A305" s="221"/>
      <c r="B305" s="270">
        <v>267</v>
      </c>
      <c r="C305" s="248"/>
      <c r="D305" s="249"/>
      <c r="E305" s="241"/>
      <c r="F305" s="226"/>
      <c r="G305" s="233"/>
      <c r="H305" s="380">
        <v>291</v>
      </c>
      <c r="I305" s="398"/>
      <c r="J305" s="398"/>
      <c r="K305" s="407"/>
      <c r="L305" s="407"/>
      <c r="M305" s="407"/>
      <c r="N305" s="446"/>
      <c r="O305" s="407"/>
      <c r="P305" s="407"/>
      <c r="Q305" s="407"/>
      <c r="R305" s="446"/>
      <c r="S305" s="437"/>
      <c r="T305" s="416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7"/>
      <c r="V305" s="417"/>
      <c r="W305" s="418"/>
      <c r="X305" s="419"/>
      <c r="Y305" s="420" t="str">
        <f t="shared" ca="1" si="20"/>
        <v/>
      </c>
      <c r="Z305" s="421" t="str">
        <f t="shared" ca="1" si="21"/>
        <v/>
      </c>
      <c r="AA305" s="420" t="str">
        <f t="shared" ca="1" si="22"/>
        <v/>
      </c>
      <c r="AB305" s="422" t="str">
        <f t="shared" ca="1" si="23"/>
        <v/>
      </c>
      <c r="AC305" s="421" t="str">
        <f t="shared" ca="1" si="24"/>
        <v/>
      </c>
      <c r="AD305" s="221"/>
    </row>
    <row r="306" spans="1:30" customFormat="1" ht="15">
      <c r="A306" s="221"/>
      <c r="B306" s="270">
        <v>268</v>
      </c>
      <c r="C306" s="248"/>
      <c r="D306" s="249"/>
      <c r="E306" s="241"/>
      <c r="F306" s="226"/>
      <c r="G306" s="233"/>
      <c r="H306" s="380">
        <v>292</v>
      </c>
      <c r="I306" s="398"/>
      <c r="J306" s="398"/>
      <c r="K306" s="407"/>
      <c r="L306" s="407"/>
      <c r="M306" s="407"/>
      <c r="N306" s="446"/>
      <c r="O306" s="407"/>
      <c r="P306" s="407"/>
      <c r="Q306" s="407"/>
      <c r="R306" s="446"/>
      <c r="S306" s="437"/>
      <c r="T306" s="416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7"/>
      <c r="V306" s="417"/>
      <c r="W306" s="418"/>
      <c r="X306" s="419"/>
      <c r="Y306" s="420" t="str">
        <f t="shared" ca="1" si="20"/>
        <v/>
      </c>
      <c r="Z306" s="421" t="str">
        <f t="shared" ca="1" si="21"/>
        <v/>
      </c>
      <c r="AA306" s="420" t="str">
        <f t="shared" ca="1" si="22"/>
        <v/>
      </c>
      <c r="AB306" s="422" t="str">
        <f t="shared" ca="1" si="23"/>
        <v/>
      </c>
      <c r="AC306" s="421" t="str">
        <f t="shared" ca="1" si="24"/>
        <v/>
      </c>
      <c r="AD306" s="221"/>
    </row>
    <row r="307" spans="1:30" customFormat="1" ht="15">
      <c r="A307" s="221"/>
      <c r="B307" s="270">
        <v>269</v>
      </c>
      <c r="C307" s="248"/>
      <c r="D307" s="249"/>
      <c r="E307" s="241"/>
      <c r="F307" s="226"/>
      <c r="G307" s="233"/>
      <c r="H307" s="380">
        <v>293</v>
      </c>
      <c r="I307" s="398"/>
      <c r="J307" s="398"/>
      <c r="K307" s="407"/>
      <c r="L307" s="407"/>
      <c r="M307" s="407"/>
      <c r="N307" s="446"/>
      <c r="O307" s="407"/>
      <c r="P307" s="407"/>
      <c r="Q307" s="407"/>
      <c r="R307" s="446"/>
      <c r="S307" s="437"/>
      <c r="T307" s="416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7"/>
      <c r="V307" s="417"/>
      <c r="W307" s="418"/>
      <c r="X307" s="419"/>
      <c r="Y307" s="420" t="str">
        <f t="shared" ca="1" si="20"/>
        <v/>
      </c>
      <c r="Z307" s="421" t="str">
        <f t="shared" ca="1" si="21"/>
        <v/>
      </c>
      <c r="AA307" s="420" t="str">
        <f t="shared" ca="1" si="22"/>
        <v/>
      </c>
      <c r="AB307" s="422" t="str">
        <f t="shared" ca="1" si="23"/>
        <v/>
      </c>
      <c r="AC307" s="421" t="str">
        <f t="shared" ca="1" si="24"/>
        <v/>
      </c>
      <c r="AD307" s="221"/>
    </row>
    <row r="308" spans="1:30" customFormat="1" ht="15">
      <c r="A308" s="221"/>
      <c r="B308" s="270">
        <v>270</v>
      </c>
      <c r="C308" s="248"/>
      <c r="D308" s="249"/>
      <c r="E308" s="241"/>
      <c r="F308" s="226"/>
      <c r="G308" s="233"/>
      <c r="H308" s="380">
        <v>294</v>
      </c>
      <c r="I308" s="398"/>
      <c r="J308" s="398"/>
      <c r="K308" s="407"/>
      <c r="L308" s="407"/>
      <c r="M308" s="407"/>
      <c r="N308" s="446"/>
      <c r="O308" s="407"/>
      <c r="P308" s="407"/>
      <c r="Q308" s="407"/>
      <c r="R308" s="446"/>
      <c r="S308" s="437"/>
      <c r="T308" s="416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7"/>
      <c r="V308" s="417"/>
      <c r="W308" s="418"/>
      <c r="X308" s="419"/>
      <c r="Y308" s="420" t="str">
        <f t="shared" ca="1" si="20"/>
        <v/>
      </c>
      <c r="Z308" s="421" t="str">
        <f t="shared" ca="1" si="21"/>
        <v/>
      </c>
      <c r="AA308" s="420" t="str">
        <f t="shared" ca="1" si="22"/>
        <v/>
      </c>
      <c r="AB308" s="422" t="str">
        <f t="shared" ca="1" si="23"/>
        <v/>
      </c>
      <c r="AC308" s="421" t="str">
        <f t="shared" ca="1" si="24"/>
        <v/>
      </c>
      <c r="AD308" s="221"/>
    </row>
    <row r="309" spans="1:30" customFormat="1" ht="15">
      <c r="A309" s="221"/>
      <c r="B309" s="270">
        <v>271</v>
      </c>
      <c r="C309" s="248"/>
      <c r="D309" s="249"/>
      <c r="E309" s="241"/>
      <c r="F309" s="226"/>
      <c r="G309" s="233"/>
      <c r="H309" s="380">
        <v>295</v>
      </c>
      <c r="I309" s="398"/>
      <c r="J309" s="398"/>
      <c r="K309" s="407"/>
      <c r="L309" s="407"/>
      <c r="M309" s="407"/>
      <c r="N309" s="446"/>
      <c r="O309" s="407"/>
      <c r="P309" s="407"/>
      <c r="Q309" s="407"/>
      <c r="R309" s="446"/>
      <c r="S309" s="437"/>
      <c r="T309" s="416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7"/>
      <c r="V309" s="417"/>
      <c r="W309" s="418"/>
      <c r="X309" s="419"/>
      <c r="Y309" s="420" t="str">
        <f t="shared" ca="1" si="20"/>
        <v/>
      </c>
      <c r="Z309" s="421" t="str">
        <f t="shared" ca="1" si="21"/>
        <v/>
      </c>
      <c r="AA309" s="420" t="str">
        <f t="shared" ca="1" si="22"/>
        <v/>
      </c>
      <c r="AB309" s="422" t="str">
        <f t="shared" ca="1" si="23"/>
        <v/>
      </c>
      <c r="AC309" s="421" t="str">
        <f t="shared" ca="1" si="24"/>
        <v/>
      </c>
      <c r="AD309" s="221"/>
    </row>
    <row r="310" spans="1:30" customFormat="1" ht="15">
      <c r="A310" s="221"/>
      <c r="B310" s="270">
        <v>272</v>
      </c>
      <c r="C310" s="248"/>
      <c r="D310" s="249"/>
      <c r="E310" s="241"/>
      <c r="F310" s="226"/>
      <c r="G310" s="233"/>
      <c r="H310" s="380">
        <v>296</v>
      </c>
      <c r="I310" s="398"/>
      <c r="J310" s="398"/>
      <c r="K310" s="407"/>
      <c r="L310" s="407"/>
      <c r="M310" s="407"/>
      <c r="N310" s="446"/>
      <c r="O310" s="407"/>
      <c r="P310" s="407"/>
      <c r="Q310" s="407"/>
      <c r="R310" s="446"/>
      <c r="S310" s="437"/>
      <c r="T310" s="416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7"/>
      <c r="V310" s="417"/>
      <c r="W310" s="418"/>
      <c r="X310" s="419"/>
      <c r="Y310" s="420" t="str">
        <f t="shared" ca="1" si="20"/>
        <v/>
      </c>
      <c r="Z310" s="421" t="str">
        <f t="shared" ca="1" si="21"/>
        <v/>
      </c>
      <c r="AA310" s="420" t="str">
        <f t="shared" ca="1" si="22"/>
        <v/>
      </c>
      <c r="AB310" s="422" t="str">
        <f t="shared" ca="1" si="23"/>
        <v/>
      </c>
      <c r="AC310" s="421" t="str">
        <f t="shared" ca="1" si="24"/>
        <v/>
      </c>
      <c r="AD310" s="221"/>
    </row>
    <row r="311" spans="1:30" customFormat="1" ht="15">
      <c r="A311" s="221"/>
      <c r="B311" s="270">
        <v>273</v>
      </c>
      <c r="C311" s="248"/>
      <c r="D311" s="249"/>
      <c r="E311" s="241"/>
      <c r="F311" s="226"/>
      <c r="G311" s="233"/>
      <c r="H311" s="380">
        <v>297</v>
      </c>
      <c r="I311" s="398"/>
      <c r="J311" s="398"/>
      <c r="K311" s="407"/>
      <c r="L311" s="407"/>
      <c r="M311" s="407"/>
      <c r="N311" s="446"/>
      <c r="O311" s="407"/>
      <c r="P311" s="407"/>
      <c r="Q311" s="407"/>
      <c r="R311" s="446"/>
      <c r="S311" s="437"/>
      <c r="T311" s="416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7"/>
      <c r="V311" s="417"/>
      <c r="W311" s="418"/>
      <c r="X311" s="419"/>
      <c r="Y311" s="420" t="str">
        <f t="shared" ca="1" si="20"/>
        <v/>
      </c>
      <c r="Z311" s="421" t="str">
        <f t="shared" ca="1" si="21"/>
        <v/>
      </c>
      <c r="AA311" s="420" t="str">
        <f t="shared" ca="1" si="22"/>
        <v/>
      </c>
      <c r="AB311" s="422" t="str">
        <f t="shared" ca="1" si="23"/>
        <v/>
      </c>
      <c r="AC311" s="421" t="str">
        <f t="shared" ca="1" si="24"/>
        <v/>
      </c>
      <c r="AD311" s="221"/>
    </row>
    <row r="312" spans="1:30" customFormat="1" ht="15">
      <c r="A312" s="221"/>
      <c r="B312" s="270">
        <v>274</v>
      </c>
      <c r="C312" s="248"/>
      <c r="D312" s="249"/>
      <c r="E312" s="241"/>
      <c r="F312" s="226"/>
      <c r="G312" s="233"/>
      <c r="H312" s="380">
        <v>298</v>
      </c>
      <c r="I312" s="398"/>
      <c r="J312" s="398"/>
      <c r="K312" s="407"/>
      <c r="L312" s="407"/>
      <c r="M312" s="407"/>
      <c r="N312" s="446"/>
      <c r="O312" s="407"/>
      <c r="P312" s="407"/>
      <c r="Q312" s="407"/>
      <c r="R312" s="446"/>
      <c r="S312" s="437"/>
      <c r="T312" s="416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7"/>
      <c r="V312" s="417"/>
      <c r="W312" s="418"/>
      <c r="X312" s="419"/>
      <c r="Y312" s="420" t="str">
        <f t="shared" ca="1" si="20"/>
        <v/>
      </c>
      <c r="Z312" s="421" t="str">
        <f t="shared" ca="1" si="21"/>
        <v/>
      </c>
      <c r="AA312" s="420" t="str">
        <f t="shared" ca="1" si="22"/>
        <v/>
      </c>
      <c r="AB312" s="422" t="str">
        <f t="shared" ca="1" si="23"/>
        <v/>
      </c>
      <c r="AC312" s="421" t="str">
        <f t="shared" ca="1" si="24"/>
        <v/>
      </c>
      <c r="AD312" s="221"/>
    </row>
    <row r="313" spans="1:30" customFormat="1" ht="15">
      <c r="A313" s="221"/>
      <c r="B313" s="270">
        <v>275</v>
      </c>
      <c r="C313" s="248"/>
      <c r="D313" s="249"/>
      <c r="E313" s="241"/>
      <c r="F313" s="226"/>
      <c r="G313" s="233"/>
      <c r="H313" s="380">
        <v>299</v>
      </c>
      <c r="I313" s="398"/>
      <c r="J313" s="398"/>
      <c r="K313" s="407"/>
      <c r="L313" s="407"/>
      <c r="M313" s="407"/>
      <c r="N313" s="446"/>
      <c r="O313" s="407"/>
      <c r="P313" s="407"/>
      <c r="Q313" s="407"/>
      <c r="R313" s="446"/>
      <c r="S313" s="437"/>
      <c r="T313" s="416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7"/>
      <c r="V313" s="417"/>
      <c r="W313" s="418"/>
      <c r="X313" s="419"/>
      <c r="Y313" s="420" t="str">
        <f t="shared" ca="1" si="20"/>
        <v/>
      </c>
      <c r="Z313" s="421" t="str">
        <f t="shared" ca="1" si="21"/>
        <v/>
      </c>
      <c r="AA313" s="420" t="str">
        <f t="shared" ca="1" si="22"/>
        <v/>
      </c>
      <c r="AB313" s="422" t="str">
        <f t="shared" ca="1" si="23"/>
        <v/>
      </c>
      <c r="AC313" s="421" t="str">
        <f t="shared" ca="1" si="24"/>
        <v/>
      </c>
      <c r="AD313" s="221"/>
    </row>
    <row r="314" spans="1:30" customFormat="1" ht="15.75" thickBot="1">
      <c r="A314" s="221"/>
      <c r="B314" s="270">
        <v>276</v>
      </c>
      <c r="C314" s="248"/>
      <c r="D314" s="249"/>
      <c r="E314" s="241"/>
      <c r="F314" s="226"/>
      <c r="G314" s="233"/>
      <c r="H314" s="383">
        <v>300</v>
      </c>
      <c r="I314" s="408"/>
      <c r="J314" s="408"/>
      <c r="K314" s="409"/>
      <c r="L314" s="409"/>
      <c r="M314" s="409"/>
      <c r="N314" s="410"/>
      <c r="O314" s="409"/>
      <c r="P314" s="409"/>
      <c r="Q314" s="409"/>
      <c r="R314" s="410"/>
      <c r="S314" s="448"/>
      <c r="T314" s="424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3"/>
      <c r="V314" s="423"/>
      <c r="W314" s="424"/>
      <c r="X314" s="425"/>
      <c r="Y314" s="420" t="str">
        <f t="shared" ca="1" si="20"/>
        <v/>
      </c>
      <c r="Z314" s="421" t="str">
        <f t="shared" ca="1" si="21"/>
        <v/>
      </c>
      <c r="AA314" s="424"/>
      <c r="AB314" s="424"/>
      <c r="AC314" s="410"/>
      <c r="AD314" s="221"/>
    </row>
    <row r="315" spans="1:30" customFormat="1" ht="15">
      <c r="A315" s="221"/>
      <c r="B315" s="270">
        <v>277</v>
      </c>
      <c r="C315" s="248"/>
      <c r="D315" s="249"/>
      <c r="E315" s="241"/>
      <c r="F315" s="226"/>
      <c r="G315" s="233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1"/>
      <c r="B316" s="270">
        <v>278</v>
      </c>
      <c r="C316" s="248"/>
      <c r="D316" s="249"/>
      <c r="E316" s="241"/>
      <c r="F316" s="226"/>
      <c r="G316" s="233"/>
      <c r="S316" s="438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1"/>
      <c r="B317" s="270">
        <v>279</v>
      </c>
      <c r="C317" s="248"/>
      <c r="D317" s="249"/>
      <c r="E317" s="241"/>
      <c r="F317" s="226"/>
      <c r="G317" s="233"/>
      <c r="S317" s="438"/>
    </row>
    <row r="318" spans="1:30" customFormat="1" ht="15">
      <c r="A318" s="221"/>
      <c r="B318" s="270">
        <v>280</v>
      </c>
      <c r="C318" s="248"/>
      <c r="D318" s="249"/>
      <c r="E318" s="241"/>
      <c r="F318" s="226"/>
      <c r="G318" s="233"/>
      <c r="S318" s="438"/>
    </row>
    <row r="319" spans="1:30" customFormat="1" ht="15">
      <c r="A319" s="221"/>
      <c r="B319" s="270">
        <v>281</v>
      </c>
      <c r="C319" s="248"/>
      <c r="D319" s="249"/>
      <c r="E319" s="241"/>
      <c r="F319" s="226"/>
      <c r="G319" s="233"/>
      <c r="S319" s="438"/>
    </row>
    <row r="320" spans="1:30" customFormat="1" ht="15">
      <c r="A320" s="221"/>
      <c r="B320" s="270">
        <v>282</v>
      </c>
      <c r="C320" s="248"/>
      <c r="D320" s="249"/>
      <c r="E320" s="241"/>
      <c r="F320" s="226"/>
      <c r="G320" s="233"/>
      <c r="S320" s="438"/>
    </row>
    <row r="321" spans="1:19" customFormat="1" ht="15">
      <c r="A321" s="221"/>
      <c r="B321" s="270">
        <v>283</v>
      </c>
      <c r="C321" s="248"/>
      <c r="D321" s="249"/>
      <c r="E321" s="241"/>
      <c r="F321" s="226"/>
      <c r="G321" s="233"/>
      <c r="S321" s="438"/>
    </row>
    <row r="322" spans="1:19" customFormat="1" ht="15">
      <c r="A322" s="221"/>
      <c r="B322" s="270">
        <v>284</v>
      </c>
      <c r="C322" s="248"/>
      <c r="D322" s="249"/>
      <c r="E322" s="241"/>
      <c r="F322" s="226"/>
      <c r="G322" s="233"/>
      <c r="S322" s="438"/>
    </row>
    <row r="323" spans="1:19" customFormat="1" ht="15">
      <c r="A323" s="221"/>
      <c r="B323" s="270">
        <v>285</v>
      </c>
      <c r="C323" s="248"/>
      <c r="D323" s="249"/>
      <c r="E323" s="241"/>
      <c r="F323" s="226"/>
      <c r="G323" s="233"/>
      <c r="S323" s="438"/>
    </row>
    <row r="324" spans="1:19" customFormat="1" ht="15">
      <c r="A324" s="221"/>
      <c r="B324" s="270">
        <v>286</v>
      </c>
      <c r="C324" s="248"/>
      <c r="D324" s="249"/>
      <c r="E324" s="241"/>
      <c r="F324" s="226"/>
      <c r="G324" s="233"/>
      <c r="S324" s="438"/>
    </row>
    <row r="325" spans="1:19" customFormat="1" ht="15">
      <c r="A325" s="221"/>
      <c r="B325" s="270">
        <v>287</v>
      </c>
      <c r="C325" s="248"/>
      <c r="D325" s="249"/>
      <c r="E325" s="241"/>
      <c r="F325" s="226"/>
      <c r="G325" s="233"/>
      <c r="S325" s="438"/>
    </row>
    <row r="326" spans="1:19" customFormat="1" ht="15">
      <c r="A326" s="221"/>
      <c r="B326" s="270">
        <v>288</v>
      </c>
      <c r="C326" s="248"/>
      <c r="D326" s="249"/>
      <c r="E326" s="241"/>
      <c r="F326" s="226"/>
      <c r="G326" s="233"/>
      <c r="S326" s="438"/>
    </row>
    <row r="327" spans="1:19" customFormat="1" ht="15">
      <c r="A327" s="221"/>
      <c r="B327" s="270">
        <v>289</v>
      </c>
      <c r="C327" s="248"/>
      <c r="D327" s="249"/>
      <c r="E327" s="241"/>
      <c r="F327" s="226"/>
      <c r="G327" s="233"/>
      <c r="S327" s="438"/>
    </row>
    <row r="328" spans="1:19" customFormat="1" ht="15">
      <c r="A328" s="221"/>
      <c r="B328" s="270">
        <v>290</v>
      </c>
      <c r="C328" s="248"/>
      <c r="D328" s="249"/>
      <c r="E328" s="241"/>
      <c r="F328" s="226"/>
      <c r="G328" s="233"/>
    </row>
    <row r="329" spans="1:19" customFormat="1" ht="15">
      <c r="A329" s="221"/>
      <c r="B329" s="270">
        <v>291</v>
      </c>
      <c r="C329" s="248"/>
      <c r="D329" s="249"/>
      <c r="E329" s="241"/>
      <c r="F329" s="226"/>
      <c r="G329" s="233"/>
    </row>
    <row r="330" spans="1:19" customFormat="1" ht="15">
      <c r="A330" s="221"/>
      <c r="B330" s="270">
        <v>292</v>
      </c>
      <c r="C330" s="248"/>
      <c r="D330" s="249"/>
      <c r="E330" s="241"/>
      <c r="F330" s="226"/>
      <c r="G330" s="233"/>
    </row>
    <row r="331" spans="1:19" customFormat="1" ht="15">
      <c r="A331" s="221"/>
      <c r="B331" s="270">
        <v>293</v>
      </c>
      <c r="C331" s="248"/>
      <c r="D331" s="249"/>
      <c r="E331" s="241"/>
      <c r="F331" s="226"/>
      <c r="G331" s="233"/>
    </row>
    <row r="332" spans="1:19" customFormat="1" ht="15">
      <c r="A332" s="221"/>
      <c r="B332" s="270">
        <v>294</v>
      </c>
      <c r="C332" s="248"/>
      <c r="D332" s="249"/>
      <c r="E332" s="241"/>
      <c r="F332" s="226"/>
      <c r="G332" s="233"/>
    </row>
    <row r="333" spans="1:19" customFormat="1" ht="15">
      <c r="A333" s="221"/>
      <c r="B333" s="270">
        <v>295</v>
      </c>
      <c r="C333" s="248"/>
      <c r="D333" s="249"/>
      <c r="E333" s="241"/>
      <c r="F333" s="226"/>
      <c r="G333" s="233"/>
    </row>
    <row r="334" spans="1:19" customFormat="1" ht="15">
      <c r="A334" s="221"/>
      <c r="B334" s="270">
        <v>296</v>
      </c>
      <c r="C334" s="248"/>
      <c r="D334" s="249"/>
      <c r="E334" s="241"/>
      <c r="F334" s="226"/>
      <c r="G334" s="233"/>
    </row>
    <row r="335" spans="1:19" customFormat="1" ht="15">
      <c r="A335" s="221"/>
      <c r="B335" s="270">
        <v>297</v>
      </c>
      <c r="C335" s="248"/>
      <c r="D335" s="249"/>
      <c r="E335" s="241"/>
      <c r="F335" s="226"/>
      <c r="G335" s="233"/>
    </row>
    <row r="336" spans="1:19" customFormat="1" ht="15">
      <c r="A336" s="221"/>
      <c r="B336" s="270">
        <v>298</v>
      </c>
      <c r="C336" s="248"/>
      <c r="D336" s="249"/>
      <c r="E336" s="241"/>
      <c r="F336" s="226"/>
      <c r="G336" s="233"/>
    </row>
    <row r="337" spans="1:7" customFormat="1" ht="15">
      <c r="A337" s="221"/>
      <c r="B337" s="270">
        <v>299</v>
      </c>
      <c r="C337" s="248"/>
      <c r="D337" s="249"/>
      <c r="E337" s="241"/>
      <c r="F337" s="226"/>
      <c r="G337" s="233"/>
    </row>
    <row r="338" spans="1:7" customFormat="1" ht="15.75" thickBot="1">
      <c r="A338" s="221"/>
      <c r="B338" s="433">
        <v>300</v>
      </c>
      <c r="C338" s="434"/>
      <c r="D338" s="434"/>
      <c r="E338" s="434"/>
      <c r="F338" s="434"/>
      <c r="G338" s="43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opLeftCell="A5" zoomScale="130" zoomScaleNormal="130" workbookViewId="0">
      <selection activeCell="V14" sqref="V14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10.42578125" style="275" bestFit="1" customWidth="1"/>
    <col min="4" max="4" width="10.5703125" style="276" customWidth="1"/>
    <col min="5" max="5" width="9.85546875" style="276" customWidth="1"/>
    <col min="6" max="13" width="12.42578125" style="276" customWidth="1"/>
    <col min="14" max="14" width="9.85546875" style="276" customWidth="1"/>
    <col min="15" max="15" width="9.85546875" style="79" bestFit="1" customWidth="1"/>
    <col min="16" max="16" width="9.140625" style="79"/>
    <col min="17" max="17" width="9.7109375" style="79" bestFit="1" customWidth="1"/>
    <col min="18" max="20" width="9.140625" style="79"/>
    <col min="21" max="21" width="10.140625" style="79" customWidth="1"/>
    <col min="22" max="22" width="27.85546875" style="79" customWidth="1"/>
    <col min="23" max="27" width="9.140625" style="79"/>
    <col min="28" max="28" width="18.85546875" style="79" customWidth="1"/>
    <col min="29" max="31" width="9.140625" style="79"/>
    <col min="32" max="16384" width="9.140625" style="275"/>
  </cols>
  <sheetData>
    <row r="1" spans="1:228" s="483" customFormat="1" ht="29.25" customHeight="1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S1" s="482"/>
      <c r="T1" s="482"/>
      <c r="U1" s="482"/>
      <c r="V1" s="482"/>
      <c r="W1" s="482"/>
      <c r="X1" s="482"/>
      <c r="Y1" s="482"/>
      <c r="Z1" s="482"/>
      <c r="AA1" s="482"/>
      <c r="AB1" s="482"/>
      <c r="AC1" s="482"/>
      <c r="AD1" s="482"/>
      <c r="AE1" s="482"/>
      <c r="AF1" s="482"/>
      <c r="AG1" s="482"/>
      <c r="AH1" s="482"/>
      <c r="AI1" s="482"/>
      <c r="AJ1" s="482"/>
      <c r="AK1" s="482"/>
      <c r="AL1" s="482"/>
      <c r="AM1" s="482"/>
      <c r="AN1" s="482"/>
      <c r="AO1" s="482"/>
      <c r="AP1" s="482"/>
      <c r="AQ1" s="482"/>
      <c r="AR1" s="482"/>
      <c r="AS1" s="482"/>
      <c r="AT1" s="482"/>
      <c r="AU1" s="482"/>
      <c r="AV1" s="482"/>
      <c r="AW1" s="482"/>
      <c r="AX1" s="482"/>
      <c r="AY1" s="482"/>
      <c r="AZ1" s="482"/>
      <c r="BA1" s="482"/>
      <c r="BB1" s="482"/>
      <c r="BC1" s="482"/>
      <c r="BD1" s="482"/>
      <c r="BE1" s="482"/>
      <c r="BF1" s="482"/>
      <c r="BG1" s="482"/>
      <c r="BH1" s="482"/>
      <c r="BI1" s="482"/>
      <c r="BJ1" s="482"/>
      <c r="BK1" s="482"/>
      <c r="BL1" s="482"/>
      <c r="BM1" s="482"/>
      <c r="BN1" s="482"/>
      <c r="BO1" s="482"/>
      <c r="BP1" s="482"/>
      <c r="BQ1" s="482"/>
      <c r="BR1" s="482"/>
      <c r="BS1" s="482"/>
      <c r="BT1" s="482"/>
      <c r="BU1" s="482"/>
      <c r="BV1" s="482"/>
      <c r="BW1" s="482"/>
      <c r="BX1" s="482"/>
      <c r="BY1" s="482"/>
      <c r="BZ1" s="482"/>
      <c r="CA1" s="482"/>
      <c r="CB1" s="482"/>
      <c r="CC1" s="482"/>
      <c r="CD1" s="482"/>
      <c r="CE1" s="482"/>
      <c r="CF1" s="482"/>
      <c r="CG1" s="482"/>
      <c r="CH1" s="482"/>
      <c r="CI1" s="482"/>
      <c r="CJ1" s="482"/>
      <c r="CK1" s="482"/>
      <c r="CL1" s="482"/>
      <c r="CM1" s="482"/>
      <c r="CN1" s="482"/>
      <c r="CO1" s="482"/>
      <c r="CP1" s="482"/>
      <c r="CQ1" s="482"/>
      <c r="CR1" s="482"/>
      <c r="CS1" s="482"/>
      <c r="CT1" s="482"/>
      <c r="CU1" s="482"/>
      <c r="CV1" s="482"/>
      <c r="CW1" s="482"/>
      <c r="CX1" s="482"/>
      <c r="CY1" s="482"/>
      <c r="CZ1" s="482"/>
      <c r="DA1" s="482"/>
      <c r="DB1" s="482"/>
      <c r="DC1" s="482"/>
      <c r="DD1" s="482"/>
      <c r="DE1" s="482"/>
      <c r="DF1" s="482"/>
      <c r="DG1" s="482"/>
      <c r="DH1" s="482"/>
      <c r="DI1" s="482"/>
      <c r="DJ1" s="482"/>
      <c r="DK1" s="482"/>
      <c r="DL1" s="482"/>
      <c r="DM1" s="482"/>
      <c r="DN1" s="482"/>
      <c r="DO1" s="482"/>
      <c r="DP1" s="482"/>
      <c r="DQ1" s="482"/>
      <c r="DR1" s="482"/>
      <c r="DS1" s="482"/>
      <c r="DT1" s="482"/>
      <c r="DU1" s="482"/>
      <c r="DV1" s="482"/>
      <c r="DW1" s="482"/>
      <c r="DX1" s="482"/>
      <c r="DY1" s="482"/>
      <c r="DZ1" s="482"/>
      <c r="EA1" s="482"/>
      <c r="EB1" s="482"/>
      <c r="EC1" s="482"/>
      <c r="ED1" s="482"/>
      <c r="EE1" s="482"/>
      <c r="EF1" s="482"/>
      <c r="EG1" s="482"/>
      <c r="EH1" s="482"/>
      <c r="EI1" s="482"/>
      <c r="EJ1" s="482"/>
      <c r="EK1" s="482"/>
      <c r="EL1" s="482"/>
      <c r="EM1" s="482"/>
      <c r="EN1" s="482"/>
      <c r="EO1" s="482"/>
      <c r="EP1" s="482"/>
      <c r="EQ1" s="482"/>
      <c r="ER1" s="482"/>
      <c r="ES1" s="482"/>
      <c r="ET1" s="482"/>
      <c r="EU1" s="482"/>
      <c r="EV1" s="482"/>
      <c r="EW1" s="482"/>
      <c r="EX1" s="482"/>
      <c r="EY1" s="482"/>
      <c r="EZ1" s="482"/>
      <c r="FA1" s="482"/>
      <c r="FB1" s="482"/>
      <c r="FC1" s="482"/>
      <c r="FD1" s="482"/>
      <c r="FE1" s="482"/>
      <c r="FF1" s="482"/>
      <c r="FG1" s="482"/>
      <c r="FH1" s="482"/>
      <c r="FI1" s="482"/>
      <c r="FJ1" s="482"/>
      <c r="FK1" s="482"/>
      <c r="FL1" s="482"/>
      <c r="FM1" s="482"/>
      <c r="FN1" s="482"/>
      <c r="FO1" s="482"/>
      <c r="FP1" s="482"/>
      <c r="FQ1" s="482"/>
      <c r="FR1" s="482"/>
      <c r="FS1" s="482"/>
      <c r="FT1" s="482"/>
      <c r="FU1" s="482"/>
      <c r="FV1" s="482"/>
      <c r="FW1" s="482"/>
      <c r="FX1" s="482"/>
      <c r="FY1" s="482"/>
      <c r="FZ1" s="482"/>
      <c r="GA1" s="482"/>
      <c r="GB1" s="482"/>
      <c r="GC1" s="482"/>
      <c r="GD1" s="482"/>
      <c r="GE1" s="482"/>
      <c r="GF1" s="482"/>
      <c r="GG1" s="482"/>
      <c r="GH1" s="482"/>
      <c r="GI1" s="482"/>
      <c r="GJ1" s="482"/>
      <c r="GK1" s="482"/>
      <c r="GL1" s="482"/>
      <c r="GM1" s="482"/>
      <c r="GN1" s="482"/>
      <c r="GO1" s="482"/>
      <c r="GP1" s="482"/>
      <c r="GQ1" s="482"/>
      <c r="GR1" s="482"/>
      <c r="GS1" s="482"/>
      <c r="GT1" s="482"/>
      <c r="GU1" s="482"/>
      <c r="GV1" s="482"/>
      <c r="GW1" s="482"/>
      <c r="GX1" s="482"/>
      <c r="GY1" s="482"/>
      <c r="GZ1" s="482"/>
      <c r="HA1" s="482"/>
      <c r="HB1" s="482"/>
      <c r="HC1" s="482"/>
      <c r="HD1" s="482"/>
      <c r="HE1" s="482"/>
      <c r="HF1" s="482"/>
      <c r="HG1" s="482"/>
      <c r="HH1" s="482"/>
      <c r="HI1" s="482"/>
      <c r="HJ1" s="482"/>
      <c r="HK1" s="482"/>
      <c r="HL1" s="482"/>
      <c r="HM1" s="482"/>
      <c r="HN1" s="482"/>
      <c r="HO1" s="482"/>
      <c r="HP1" s="482"/>
      <c r="HQ1" s="482"/>
      <c r="HR1" s="482"/>
      <c r="HS1" s="482"/>
      <c r="HT1" s="482"/>
    </row>
    <row r="2" spans="1:228" s="483" customFormat="1" ht="54.75" customHeight="1">
      <c r="A2" s="482"/>
      <c r="B2" s="482"/>
      <c r="C2" s="484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482"/>
      <c r="W2" s="482"/>
      <c r="X2" s="482"/>
      <c r="Y2" s="482"/>
      <c r="Z2" s="482"/>
      <c r="AA2" s="482"/>
      <c r="AB2" s="482"/>
      <c r="AC2" s="482"/>
      <c r="AD2" s="482"/>
      <c r="AE2" s="482"/>
      <c r="AF2" s="482"/>
      <c r="AG2" s="482"/>
      <c r="AH2" s="482"/>
      <c r="AI2" s="482"/>
      <c r="AJ2" s="482"/>
      <c r="AK2" s="482"/>
      <c r="AL2" s="482"/>
      <c r="AM2" s="482"/>
      <c r="AN2" s="482"/>
      <c r="AO2" s="482"/>
      <c r="AP2" s="482"/>
      <c r="AQ2" s="482"/>
      <c r="AR2" s="482"/>
      <c r="AS2" s="482"/>
      <c r="AT2" s="482"/>
      <c r="AU2" s="482"/>
      <c r="AV2" s="482"/>
      <c r="AW2" s="482"/>
      <c r="AX2" s="482"/>
      <c r="AY2" s="482"/>
      <c r="AZ2" s="482"/>
      <c r="BA2" s="482"/>
      <c r="BB2" s="482"/>
      <c r="BC2" s="482"/>
      <c r="BD2" s="482"/>
      <c r="BE2" s="482"/>
      <c r="BF2" s="482"/>
      <c r="BG2" s="482"/>
      <c r="BH2" s="482"/>
      <c r="BI2" s="482"/>
      <c r="BJ2" s="482"/>
      <c r="BK2" s="482"/>
      <c r="BL2" s="482"/>
      <c r="BM2" s="482"/>
      <c r="BN2" s="482"/>
      <c r="BO2" s="482"/>
      <c r="BP2" s="482"/>
      <c r="BQ2" s="482"/>
      <c r="BR2" s="482"/>
      <c r="BS2" s="482"/>
      <c r="BT2" s="482"/>
      <c r="BU2" s="482"/>
      <c r="BV2" s="482"/>
      <c r="BW2" s="482"/>
      <c r="BX2" s="482"/>
      <c r="BY2" s="482"/>
      <c r="BZ2" s="482"/>
      <c r="CA2" s="482"/>
      <c r="CB2" s="482"/>
      <c r="CC2" s="482"/>
      <c r="CD2" s="482"/>
      <c r="CE2" s="482"/>
      <c r="CF2" s="482"/>
      <c r="CG2" s="482"/>
      <c r="CH2" s="482"/>
      <c r="CI2" s="482"/>
      <c r="CJ2" s="482"/>
      <c r="CK2" s="482"/>
      <c r="CL2" s="482"/>
      <c r="CM2" s="482"/>
      <c r="CN2" s="482"/>
      <c r="CO2" s="482"/>
      <c r="CP2" s="482"/>
      <c r="CQ2" s="482"/>
      <c r="CR2" s="482"/>
      <c r="CS2" s="482"/>
      <c r="CT2" s="482"/>
      <c r="CU2" s="482"/>
      <c r="CV2" s="482"/>
      <c r="CW2" s="482"/>
      <c r="CX2" s="482"/>
      <c r="CY2" s="482"/>
      <c r="CZ2" s="482"/>
      <c r="DA2" s="482"/>
      <c r="DB2" s="482"/>
      <c r="DC2" s="482"/>
      <c r="DD2" s="482"/>
      <c r="DE2" s="482"/>
      <c r="DF2" s="482"/>
      <c r="DG2" s="482"/>
      <c r="DH2" s="482"/>
      <c r="DI2" s="482"/>
      <c r="DJ2" s="482"/>
      <c r="DK2" s="482"/>
      <c r="DL2" s="482"/>
      <c r="DM2" s="482"/>
      <c r="DN2" s="482"/>
      <c r="DO2" s="482"/>
      <c r="DP2" s="482"/>
      <c r="DQ2" s="482"/>
      <c r="DR2" s="482"/>
      <c r="DS2" s="482"/>
      <c r="DT2" s="482"/>
      <c r="DU2" s="482"/>
      <c r="DV2" s="482"/>
      <c r="DW2" s="482"/>
      <c r="DX2" s="482"/>
      <c r="DY2" s="482"/>
      <c r="DZ2" s="482"/>
      <c r="EA2" s="482"/>
      <c r="EB2" s="482"/>
      <c r="EC2" s="482"/>
      <c r="ED2" s="482"/>
      <c r="EE2" s="482"/>
      <c r="EF2" s="482"/>
      <c r="EG2" s="482"/>
      <c r="EH2" s="482"/>
      <c r="EI2" s="482"/>
      <c r="EJ2" s="482"/>
      <c r="EK2" s="482"/>
      <c r="EL2" s="482"/>
      <c r="EM2" s="482"/>
      <c r="EN2" s="482"/>
      <c r="EO2" s="482"/>
      <c r="EP2" s="482"/>
      <c r="EQ2" s="482"/>
      <c r="ER2" s="482"/>
      <c r="ES2" s="482"/>
      <c r="ET2" s="482"/>
      <c r="EU2" s="482"/>
      <c r="EV2" s="482"/>
      <c r="EW2" s="482"/>
      <c r="EX2" s="482"/>
      <c r="EY2" s="482"/>
      <c r="EZ2" s="482"/>
      <c r="FA2" s="482"/>
      <c r="FB2" s="482"/>
      <c r="FC2" s="482"/>
      <c r="FD2" s="482"/>
      <c r="FE2" s="482"/>
      <c r="FF2" s="482"/>
      <c r="FG2" s="482"/>
      <c r="FH2" s="482"/>
      <c r="FI2" s="482"/>
      <c r="FJ2" s="482"/>
      <c r="FK2" s="482"/>
      <c r="FL2" s="482"/>
      <c r="FM2" s="482"/>
      <c r="FN2" s="482"/>
      <c r="FO2" s="482"/>
      <c r="FP2" s="482"/>
      <c r="FQ2" s="482"/>
      <c r="FR2" s="482"/>
      <c r="FS2" s="482"/>
      <c r="FT2" s="482"/>
      <c r="FU2" s="482"/>
      <c r="FV2" s="482"/>
      <c r="FW2" s="482"/>
      <c r="FX2" s="482"/>
      <c r="FY2" s="482"/>
      <c r="FZ2" s="482"/>
      <c r="GA2" s="482"/>
      <c r="GB2" s="482"/>
      <c r="GC2" s="482"/>
      <c r="GD2" s="482"/>
      <c r="GE2" s="482"/>
      <c r="GF2" s="482"/>
      <c r="GG2" s="482"/>
      <c r="GH2" s="482"/>
      <c r="GI2" s="482"/>
      <c r="GJ2" s="482"/>
      <c r="GK2" s="482"/>
      <c r="GL2" s="482"/>
      <c r="GM2" s="482"/>
      <c r="GN2" s="482"/>
      <c r="GO2" s="482"/>
      <c r="GP2" s="482"/>
      <c r="GQ2" s="482"/>
      <c r="GR2" s="482"/>
      <c r="GS2" s="482"/>
      <c r="GT2" s="482"/>
      <c r="GU2" s="482"/>
      <c r="GV2" s="482"/>
      <c r="GW2" s="482"/>
      <c r="GX2" s="482"/>
      <c r="GY2" s="482"/>
      <c r="GZ2" s="482"/>
      <c r="HA2" s="482"/>
      <c r="HB2" s="482"/>
      <c r="HC2" s="482"/>
      <c r="HD2" s="482"/>
      <c r="HE2" s="482"/>
      <c r="HF2" s="482"/>
      <c r="HG2" s="482"/>
      <c r="HH2" s="482"/>
      <c r="HI2" s="482"/>
      <c r="HJ2" s="482"/>
      <c r="HK2" s="482"/>
      <c r="HL2" s="482"/>
      <c r="HM2" s="482"/>
      <c r="HN2" s="482"/>
      <c r="HO2" s="482"/>
      <c r="HP2" s="482"/>
      <c r="HQ2" s="482"/>
      <c r="HR2" s="482"/>
      <c r="HS2" s="482"/>
      <c r="HT2" s="482"/>
    </row>
    <row r="3" spans="1:228" s="483" customFormat="1" ht="36.75" customHeight="1">
      <c r="A3" s="482"/>
      <c r="B3" s="482"/>
      <c r="C3" s="482"/>
      <c r="D3" s="482"/>
      <c r="E3" s="482"/>
      <c r="F3" s="482"/>
      <c r="G3" s="482"/>
      <c r="H3" s="482"/>
      <c r="I3" s="485"/>
      <c r="J3" s="485"/>
      <c r="K3" s="485"/>
      <c r="L3" s="485"/>
      <c r="M3" s="485"/>
      <c r="N3" s="485"/>
      <c r="O3" s="485"/>
      <c r="P3" s="485"/>
      <c r="Q3" s="482"/>
      <c r="R3" s="482"/>
      <c r="S3" s="482"/>
      <c r="T3" s="482"/>
      <c r="U3" s="482"/>
      <c r="V3" s="482"/>
      <c r="W3" s="482"/>
      <c r="X3" s="482"/>
      <c r="Y3" s="482"/>
      <c r="Z3" s="482"/>
      <c r="AA3" s="482"/>
      <c r="AB3" s="485"/>
      <c r="AC3" s="482"/>
      <c r="AD3" s="482"/>
      <c r="AE3" s="482"/>
      <c r="AF3" s="482"/>
      <c r="AG3" s="482"/>
      <c r="AH3" s="482"/>
      <c r="AI3" s="482"/>
      <c r="AJ3" s="482"/>
      <c r="AK3" s="482"/>
      <c r="AL3" s="482"/>
      <c r="AM3" s="482"/>
      <c r="AN3" s="482"/>
      <c r="AO3" s="482"/>
      <c r="AP3" s="482"/>
      <c r="AQ3" s="482"/>
      <c r="AR3" s="482"/>
      <c r="AS3" s="482"/>
      <c r="AT3" s="482"/>
      <c r="AU3" s="482"/>
      <c r="AV3" s="482"/>
      <c r="AW3" s="482"/>
      <c r="AX3" s="482"/>
      <c r="AY3" s="482"/>
      <c r="AZ3" s="482"/>
      <c r="BA3" s="482"/>
      <c r="BB3" s="482"/>
      <c r="BC3" s="482"/>
      <c r="BD3" s="482"/>
      <c r="BE3" s="482"/>
      <c r="BF3" s="482"/>
      <c r="BG3" s="482"/>
      <c r="BH3" s="482"/>
      <c r="BI3" s="482"/>
      <c r="BJ3" s="482"/>
      <c r="BK3" s="482"/>
      <c r="BL3" s="482"/>
      <c r="BM3" s="482"/>
      <c r="BN3" s="482"/>
      <c r="BO3" s="482"/>
      <c r="BP3" s="482"/>
      <c r="BQ3" s="482"/>
      <c r="BR3" s="482"/>
      <c r="BS3" s="482"/>
      <c r="BT3" s="482"/>
      <c r="BU3" s="482"/>
      <c r="BV3" s="482"/>
      <c r="BW3" s="482"/>
      <c r="BX3" s="482"/>
      <c r="BY3" s="482"/>
      <c r="BZ3" s="482"/>
      <c r="CA3" s="482"/>
      <c r="CB3" s="482"/>
      <c r="CC3" s="482"/>
      <c r="CD3" s="482"/>
      <c r="CE3" s="482"/>
      <c r="CF3" s="482"/>
      <c r="CG3" s="482"/>
      <c r="CH3" s="482"/>
      <c r="CI3" s="482"/>
      <c r="CJ3" s="482"/>
      <c r="CK3" s="482"/>
      <c r="CL3" s="482"/>
      <c r="CM3" s="482"/>
      <c r="CN3" s="482"/>
      <c r="CO3" s="482"/>
      <c r="CP3" s="482"/>
      <c r="CQ3" s="482"/>
      <c r="CR3" s="482"/>
      <c r="CS3" s="482"/>
      <c r="CT3" s="482"/>
      <c r="CU3" s="482"/>
      <c r="CV3" s="482"/>
      <c r="CW3" s="482"/>
      <c r="CX3" s="482"/>
      <c r="CY3" s="482"/>
      <c r="CZ3" s="482"/>
      <c r="DA3" s="482"/>
      <c r="DB3" s="482"/>
      <c r="DC3" s="482"/>
      <c r="DD3" s="482"/>
      <c r="DE3" s="482"/>
      <c r="DF3" s="482"/>
      <c r="DG3" s="482"/>
      <c r="DH3" s="482"/>
      <c r="DI3" s="482"/>
      <c r="DJ3" s="482"/>
      <c r="DK3" s="482"/>
      <c r="DL3" s="482"/>
      <c r="DM3" s="482"/>
      <c r="DN3" s="482"/>
      <c r="DO3" s="482"/>
      <c r="DP3" s="482"/>
      <c r="DQ3" s="482"/>
      <c r="DR3" s="482"/>
      <c r="DS3" s="482"/>
      <c r="DT3" s="482"/>
      <c r="DU3" s="482"/>
      <c r="DV3" s="482"/>
      <c r="DW3" s="482"/>
      <c r="DX3" s="482"/>
      <c r="DY3" s="482"/>
      <c r="DZ3" s="482"/>
      <c r="EA3" s="482"/>
      <c r="EB3" s="482"/>
      <c r="EC3" s="482"/>
      <c r="ED3" s="482"/>
      <c r="EE3" s="482"/>
      <c r="EF3" s="482"/>
      <c r="EG3" s="482"/>
      <c r="EH3" s="482"/>
      <c r="EI3" s="482"/>
      <c r="EJ3" s="482"/>
      <c r="EK3" s="482"/>
      <c r="EL3" s="482"/>
      <c r="EM3" s="482"/>
      <c r="EN3" s="482"/>
      <c r="EO3" s="482"/>
      <c r="EP3" s="482"/>
      <c r="EQ3" s="482"/>
      <c r="ER3" s="482"/>
      <c r="ES3" s="482"/>
      <c r="ET3" s="482"/>
      <c r="EU3" s="482"/>
      <c r="EV3" s="482"/>
      <c r="EW3" s="482"/>
      <c r="EX3" s="482"/>
      <c r="EY3" s="482"/>
      <c r="EZ3" s="482"/>
      <c r="FA3" s="482"/>
      <c r="FB3" s="482"/>
      <c r="FC3" s="482"/>
      <c r="FD3" s="482"/>
      <c r="FE3" s="482"/>
      <c r="FF3" s="482"/>
      <c r="FG3" s="482"/>
      <c r="FH3" s="482"/>
      <c r="FI3" s="482"/>
      <c r="FJ3" s="482"/>
      <c r="FK3" s="482"/>
      <c r="FL3" s="482"/>
      <c r="FM3" s="482"/>
      <c r="FN3" s="482"/>
      <c r="FO3" s="482"/>
      <c r="FP3" s="482"/>
      <c r="FQ3" s="482"/>
      <c r="FR3" s="482"/>
      <c r="FS3" s="482"/>
      <c r="FT3" s="482"/>
      <c r="FU3" s="482"/>
      <c r="FV3" s="482"/>
      <c r="FW3" s="482"/>
      <c r="FX3" s="482"/>
      <c r="FY3" s="482"/>
      <c r="FZ3" s="482"/>
      <c r="GA3" s="482"/>
      <c r="GB3" s="482"/>
      <c r="GC3" s="482"/>
      <c r="GD3" s="482"/>
      <c r="GE3" s="482"/>
      <c r="GF3" s="482"/>
      <c r="GG3" s="482"/>
      <c r="GH3" s="482"/>
      <c r="GI3" s="482"/>
      <c r="GJ3" s="482"/>
      <c r="GK3" s="482"/>
      <c r="GL3" s="482"/>
      <c r="GM3" s="482"/>
      <c r="GN3" s="482"/>
      <c r="GO3" s="482"/>
      <c r="GP3" s="482"/>
      <c r="GQ3" s="482"/>
      <c r="GR3" s="482"/>
      <c r="GS3" s="482"/>
      <c r="GT3" s="482"/>
      <c r="GU3" s="482"/>
      <c r="GV3" s="482"/>
      <c r="GW3" s="482"/>
      <c r="GX3" s="482"/>
      <c r="GY3" s="482"/>
      <c r="GZ3" s="482"/>
      <c r="HA3" s="482"/>
      <c r="HB3" s="482"/>
      <c r="HC3" s="482"/>
      <c r="HD3" s="482"/>
      <c r="HE3" s="482"/>
      <c r="HF3" s="482"/>
      <c r="HG3" s="482"/>
      <c r="HH3" s="482"/>
      <c r="HI3" s="482"/>
      <c r="HJ3" s="482"/>
      <c r="HK3" s="482"/>
      <c r="HL3" s="482"/>
      <c r="HM3" s="482"/>
      <c r="HN3" s="482"/>
      <c r="HO3" s="482"/>
      <c r="HP3" s="482"/>
      <c r="HQ3" s="482"/>
      <c r="HR3" s="482"/>
      <c r="HS3" s="482"/>
      <c r="HT3" s="482"/>
    </row>
    <row r="4" spans="1:228"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D7" s="275"/>
      <c r="E7" s="275"/>
      <c r="F7" s="275"/>
      <c r="G7" s="275"/>
      <c r="H7" s="275"/>
      <c r="I7" s="275"/>
      <c r="J7" s="275"/>
      <c r="M7" s="275"/>
      <c r="N7" s="27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  <c r="Z7" s="275"/>
      <c r="AA7" s="275"/>
      <c r="AB7" s="275"/>
      <c r="AC7" s="275"/>
      <c r="AD7" s="275"/>
      <c r="AE7" s="275"/>
    </row>
    <row r="8" spans="1:228" ht="12" thickBot="1">
      <c r="B8" s="473" t="s">
        <v>641</v>
      </c>
      <c r="C8" s="481" t="s">
        <v>642</v>
      </c>
      <c r="D8" s="275"/>
      <c r="E8" s="275"/>
      <c r="F8" s="275"/>
      <c r="G8" s="275"/>
      <c r="H8" s="275"/>
      <c r="I8" s="275"/>
      <c r="J8" s="275"/>
      <c r="M8" s="473" t="s">
        <v>616</v>
      </c>
      <c r="N8" s="145" t="b">
        <v>1</v>
      </c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C8" s="275"/>
      <c r="AD8" s="275"/>
      <c r="AE8" s="275"/>
    </row>
    <row r="9" spans="1:228" ht="12" thickBot="1">
      <c r="B9" s="473" t="s">
        <v>643</v>
      </c>
      <c r="C9" s="548">
        <v>45412</v>
      </c>
      <c r="D9" s="275"/>
      <c r="E9" s="275"/>
      <c r="F9" s="275"/>
      <c r="G9" s="275"/>
      <c r="H9" s="275"/>
      <c r="I9" s="275"/>
      <c r="J9" s="275"/>
      <c r="M9" s="470" t="s">
        <v>610</v>
      </c>
      <c r="N9" s="486"/>
      <c r="O9" s="275"/>
      <c r="P9" s="275"/>
      <c r="Q9" s="470" t="s">
        <v>611</v>
      </c>
      <c r="R9" s="488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 ht="12" thickBot="1">
      <c r="B10" s="473" t="s">
        <v>644</v>
      </c>
      <c r="C10" s="473" t="s">
        <v>82</v>
      </c>
      <c r="D10" s="473" t="s">
        <v>432</v>
      </c>
      <c r="E10" s="473" t="s">
        <v>645</v>
      </c>
      <c r="F10" s="473" t="s">
        <v>646</v>
      </c>
      <c r="G10" s="473" t="s">
        <v>647</v>
      </c>
      <c r="H10" s="473" t="s">
        <v>648</v>
      </c>
      <c r="I10" s="473" t="s">
        <v>649</v>
      </c>
      <c r="J10" s="473" t="s">
        <v>650</v>
      </c>
      <c r="M10" s="471" t="s">
        <v>613</v>
      </c>
      <c r="N10" s="498">
        <f ca="1">MAX(MAX(N11,0)+0.5*MIN(N11,0),0)</f>
        <v>8.2547811609253355E-2</v>
      </c>
      <c r="O10" s="275"/>
      <c r="P10" s="275"/>
      <c r="Q10" s="471" t="s">
        <v>613</v>
      </c>
      <c r="R10" s="498">
        <f ca="1">MAX(MAX(R11,0)+0.5*MIN(R11,0),0)</f>
        <v>11.803590280369695</v>
      </c>
      <c r="S10" s="275"/>
      <c r="T10" s="275"/>
      <c r="U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 ht="12" thickBot="1">
      <c r="B11" s="553" t="s">
        <v>651</v>
      </c>
      <c r="C11" s="554" t="s">
        <v>66</v>
      </c>
      <c r="D11" s="554" t="s">
        <v>55</v>
      </c>
      <c r="E11" s="554">
        <v>0.12</v>
      </c>
      <c r="F11" s="554">
        <v>1</v>
      </c>
      <c r="G11" s="554" t="s">
        <v>434</v>
      </c>
      <c r="H11" s="554">
        <v>100</v>
      </c>
      <c r="I11" s="554">
        <v>9.4748000000000001</v>
      </c>
      <c r="J11" s="568">
        <v>46376</v>
      </c>
      <c r="M11" s="471" t="s">
        <v>612</v>
      </c>
      <c r="N11" s="498">
        <f ca="1">15%*SUM(O14:O313)-N12*15%*SUM(P14:P313)</f>
        <v>8.2547811609253355E-2</v>
      </c>
      <c r="O11" s="275"/>
      <c r="P11" s="275"/>
      <c r="Q11" s="471" t="s">
        <v>612</v>
      </c>
      <c r="R11" s="498">
        <f ca="1">15%*SUM(S14:S313)-R12*15%*SUM(T14:T313)</f>
        <v>11.803590280369695</v>
      </c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 ht="12" thickBot="1">
      <c r="B12" s="541" t="s">
        <v>651</v>
      </c>
      <c r="C12" s="542" t="s">
        <v>66</v>
      </c>
      <c r="D12" s="542" t="s">
        <v>57</v>
      </c>
      <c r="E12" s="542">
        <v>0.12</v>
      </c>
      <c r="F12" s="542">
        <v>1</v>
      </c>
      <c r="G12" s="542" t="s">
        <v>434</v>
      </c>
      <c r="H12" s="542">
        <v>100</v>
      </c>
      <c r="I12" s="542">
        <v>22.439800000000002</v>
      </c>
      <c r="J12" s="547">
        <v>47107</v>
      </c>
      <c r="M12" s="471" t="s">
        <v>609</v>
      </c>
      <c r="N12" s="498">
        <f ca="1">SUM(O14:O313)/(SUM(O14:O313)+SUM(P14:P313))</f>
        <v>1</v>
      </c>
      <c r="O12" s="275"/>
      <c r="P12" s="275"/>
      <c r="Q12" s="471" t="s">
        <v>609</v>
      </c>
      <c r="R12" s="498">
        <f ca="1">SUM(S14:S313)/(SUM(S14:S313)+SUM(T14:T313))</f>
        <v>1</v>
      </c>
      <c r="S12" s="275"/>
      <c r="T12" s="275"/>
      <c r="U12" s="275"/>
      <c r="V12" s="481" t="s">
        <v>620</v>
      </c>
      <c r="W12" s="509">
        <f ca="1">-('CDO Bespoke'!$C$20-'CDO Bespoke'!$C$19)*INDEX(GETCDO(W13,'CDO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-1.3420122850211669</v>
      </c>
      <c r="X12" s="510">
        <f ca="1">-('CDO Bespoke'!$C$20-'CDO Bespoke'!$C$19)*INDEX(GETCDO(X13,'CDO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-2.716207440129927</v>
      </c>
      <c r="Y12" s="510">
        <f ca="1">-('CDO Bespoke'!$C$20-'CDO Bespoke'!$C$19)*INDEX(GETCDO(Y13,'CDO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-7.5098374338567311</v>
      </c>
      <c r="Z12" s="510">
        <f ca="1">-('CDO Bespoke'!$C$20-'CDO Bespoke'!$C$19)*INDEX(GETCDO(Z13,'CDO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-10.978620271691071</v>
      </c>
      <c r="AA12" s="510">
        <f ca="1">-('CDO Bespoke'!$C$20-'CDO Bespoke'!$C$19)*INDEX(GETCDO(AA13,'CDO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-19.040324434206902</v>
      </c>
      <c r="AB12" s="481" t="s">
        <v>621</v>
      </c>
      <c r="AC12" s="523" t="e" cm="1">
        <f t="array" aca="1" ref="AC12" ca="1">GetCDODeltaGIRR('CDO Bespoke'!C6,'CDO Bespoke'!C19:'CDO Bespoke'!C20,'CDO Bespoke'!C21:'CDO Bespoke'!C22,'CDO Bespoke'!G39:'CDO Bespoke'!G338,'CDO Bespoke'!C8,'CDO Bespoke'!C17,'CDO Bespoke'!C39:'CDO Bespoke'!C338,'CDO Bespoke'!D39:'CDO Bespoke'!D338,'CDO Bespoke'!C12,'CDO Bespoke'!C13,'CDO Bespoke'!C14,'CDO Bespoke'!C15,'CDO Bespoke'!C9,'CDO Bespoke'!C10,'CDO Bespoke'!E39:'CDO Bespoke'!E338,'CDO Bespoke'!F39:'CDO Bespoke'!F338,'CDO Bespoke'!C24,'CDO Bespoke'!C25,FALSE,FALSE,'CDO Bespoke'!L6,'CDO Bespoke'!C29:'CDO Bespoke'!C31,'CDO Bespoke'!C36,'CDO Bespoke'!C33,,'CDO Bespoke'!C34)</f>
        <v>#VALUE!</v>
      </c>
      <c r="AD12" s="524"/>
      <c r="AE12" s="524"/>
      <c r="AF12" s="524"/>
      <c r="AG12" s="524"/>
      <c r="AH12" s="524"/>
      <c r="AI12" s="524"/>
      <c r="AJ12" s="524"/>
      <c r="AK12" s="524"/>
      <c r="AL12" s="525"/>
      <c r="AM12" s="526"/>
      <c r="AO12" s="571"/>
    </row>
    <row r="13" spans="1:228" ht="12" thickBot="1">
      <c r="B13" s="558" t="s">
        <v>651</v>
      </c>
      <c r="C13" s="559" t="s">
        <v>66</v>
      </c>
      <c r="D13" s="559" t="s">
        <v>59</v>
      </c>
      <c r="E13" s="559">
        <v>0.12</v>
      </c>
      <c r="F13" s="559">
        <v>1</v>
      </c>
      <c r="G13" s="559" t="s">
        <v>434</v>
      </c>
      <c r="H13" s="559">
        <v>100</v>
      </c>
      <c r="I13" s="559">
        <v>37.011200000000002</v>
      </c>
      <c r="J13" s="569">
        <v>47837</v>
      </c>
      <c r="M13" s="473" t="s">
        <v>607</v>
      </c>
      <c r="N13" s="481" t="s">
        <v>608</v>
      </c>
      <c r="O13" s="487" t="s">
        <v>614</v>
      </c>
      <c r="P13" s="481" t="s">
        <v>615</v>
      </c>
      <c r="Q13" s="487" t="s">
        <v>607</v>
      </c>
      <c r="R13" s="481" t="s">
        <v>608</v>
      </c>
      <c r="S13" s="487" t="s">
        <v>614</v>
      </c>
      <c r="T13" s="481" t="s">
        <v>615</v>
      </c>
      <c r="U13" s="275"/>
      <c r="V13" s="481" t="s">
        <v>618</v>
      </c>
      <c r="W13" s="479" t="s">
        <v>84</v>
      </c>
      <c r="X13" s="506" t="s">
        <v>53</v>
      </c>
      <c r="Y13" s="506" t="s">
        <v>55</v>
      </c>
      <c r="Z13" s="506" t="s">
        <v>57</v>
      </c>
      <c r="AA13" s="507" t="s">
        <v>62</v>
      </c>
      <c r="AB13" s="481" t="s">
        <v>622</v>
      </c>
      <c r="AC13" s="468" t="s">
        <v>83</v>
      </c>
      <c r="AD13" s="468" t="s">
        <v>84</v>
      </c>
      <c r="AE13" s="468" t="s">
        <v>53</v>
      </c>
      <c r="AF13" s="468" t="s">
        <v>54</v>
      </c>
      <c r="AG13" s="468" t="s">
        <v>55</v>
      </c>
      <c r="AH13" s="468" t="s">
        <v>57</v>
      </c>
      <c r="AI13" s="468" t="s">
        <v>62</v>
      </c>
      <c r="AJ13" s="468" t="s">
        <v>63</v>
      </c>
      <c r="AK13" s="468" t="s">
        <v>64</v>
      </c>
      <c r="AL13" s="480" t="s">
        <v>617</v>
      </c>
      <c r="AM13" s="481" t="s">
        <v>623</v>
      </c>
    </row>
    <row r="14" spans="1:228" ht="12" thickBot="1">
      <c r="B14" s="563" t="s">
        <v>652</v>
      </c>
      <c r="C14" s="564" t="s">
        <v>66</v>
      </c>
      <c r="D14" s="564" t="s">
        <v>55</v>
      </c>
      <c r="E14" s="564">
        <v>0.06</v>
      </c>
      <c r="F14" s="564">
        <v>0.12</v>
      </c>
      <c r="G14" s="564" t="s">
        <v>434</v>
      </c>
      <c r="H14" s="564">
        <v>100</v>
      </c>
      <c r="I14" s="564">
        <v>35.963500000000003</v>
      </c>
      <c r="J14" s="570">
        <v>46376</v>
      </c>
      <c r="M14" s="491">
        <f ca="1">IF('CDO Bespoke'!O15&lt;&gt;"",'CDO Bespoke'!O15,"")</f>
        <v>1.0186201956304399</v>
      </c>
      <c r="N14" s="492">
        <f ca="1">IF(M14&lt;&gt;"",ABS(MIN(-0.75*('CDO Bespoke'!Q15)+'CDO Bespoke'!T15,0)),"")</f>
        <v>1.011303660590309</v>
      </c>
      <c r="O14" s="492">
        <f t="shared" ref="O14:O77" ca="1" si="0">IF(M14&lt;&gt;"",IF($N$8,MAX(M14-N14,0),M14),"")</f>
        <v>7.316535040130967E-3</v>
      </c>
      <c r="P14" s="492">
        <f t="shared" ref="P14:P77" ca="1" si="1">IF(M14&lt;&gt;"",IF($N$8,0,N14),"")</f>
        <v>0</v>
      </c>
      <c r="Q14" s="491">
        <f ca="1">IF('CDO Bespoke'!O15&lt;&gt;"",'CDO Bespoke'!O15,"")</f>
        <v>1.0186201956304399</v>
      </c>
      <c r="R14" s="492">
        <f ca="1">IF(Q14&lt;&gt;"",ABS(MIN(-0.75*'CDO Bespoke'!K15+'CDO Bespoke'!T15,0)),"")</f>
        <v>0.17172835089699048</v>
      </c>
      <c r="S14" s="492">
        <f t="shared" ref="S14:S77" ca="1" si="2">IF(Q14&lt;&gt;"",IF($N$8,MAX(Q14-R14,0),Q14),"")</f>
        <v>0.84689184473344947</v>
      </c>
      <c r="T14" s="493">
        <f t="shared" ref="T14:T77" ca="1" si="3">IF(Q14&lt;&gt;"",IF($N$8,0,R14),"")</f>
        <v>0</v>
      </c>
      <c r="U14" s="275"/>
      <c r="V14" s="476" t="str">
        <f ca="1">IF('CDO Bespoke'!C39&lt;&gt;"",'CDO Bespoke'!C39,"")</f>
        <v>Airbus SE</v>
      </c>
      <c r="W14" s="511" cm="1">
        <f t="array" aca="1" ref="W14" ca="1">IF($V14&lt;&gt;"",-TRANSPOSE(INDEX(getcds('CDO Bespoke'!$C39,W$13,'CDO Bespoke'!$G39/10000,'CDO Bespoke'!F39,'CDO Bespoke'!$L15,'CDO Bespoke'!$C$13,'CDO Bespoke'!$C$14,'CDO Bespoke'!$C$15,'CDO Bespoke'!$C$8,,,TRUE,TRUE,FALSE,'CDO Bespoke'!$C$29:'CDO Bespoke'!$C$31,'CDO Bespoke'!$C$33),{5})),"")</f>
        <v>-9.0509887491133104E-2</v>
      </c>
      <c r="X14" s="512" cm="1">
        <f t="array" aca="1" ref="X14" ca="1">IF($V14&lt;&gt;"",-TRANSPOSE(INDEX(getcds('CDO Bespoke'!$C39,X$13,'CDO Bespoke'!$G39/10000,'CDO Bespoke'!G39,'CDO Bespoke'!$L15,'CDO Bespoke'!$C$13,'CDO Bespoke'!$C$14,'CDO Bespoke'!$C$15,'CDO Bespoke'!$C$8,,,TRUE,TRUE,FALSE,'CDO Bespoke'!$C$29:'CDO Bespoke'!$C$31,'CDO Bespoke'!$C$33),{5})),"")</f>
        <v>-0.18667980381605001</v>
      </c>
      <c r="Y14" s="512" cm="1">
        <f t="array" aca="1" ref="Y14" ca="1">IF($V14&lt;&gt;"",-TRANSPOSE(INDEX(getcds('CDO Bespoke'!$C39,Y$13,'CDO Bespoke'!$G39/10000,'CDO Bespoke'!H39,'CDO Bespoke'!$L15,'CDO Bespoke'!$C$13,'CDO Bespoke'!$C$14,'CDO Bespoke'!$C$15,'CDO Bespoke'!$C$8,,,TRUE,TRUE,FALSE,'CDO Bespoke'!$C$29:'CDO Bespoke'!$C$31,'CDO Bespoke'!$C$33),{5})),"")</f>
        <v>-0.54983911873121105</v>
      </c>
      <c r="Z14" s="512" cm="1">
        <f t="array" aca="1" ref="Z14" ca="1">IF($V14&lt;&gt;"",-TRANSPOSE(INDEX(getcds('CDO Bespoke'!$C39,Z$13,'CDO Bespoke'!$G39/10000,'CDO Bespoke'!I39,'CDO Bespoke'!$L15,'CDO Bespoke'!$C$13,'CDO Bespoke'!$C$14,'CDO Bespoke'!$C$15,'CDO Bespoke'!$C$8,,,TRUE,TRUE,FALSE,'CDO Bespoke'!$C$29:'CDO Bespoke'!$C$31,'CDO Bespoke'!$C$33),{5})),"")</f>
        <v>-0.87824689034747305</v>
      </c>
      <c r="AA14" s="513" cm="1">
        <f t="array" aca="1" ref="AA14" ca="1">IF($V14&lt;&gt;"",-TRANSPOSE(INDEX(getcds('CDO Bespoke'!$C39,AA$13,'CDO Bespoke'!$G39/10000,'CDO Bespoke'!J39,'CDO Bespoke'!$L15,'CDO Bespoke'!$C$13,'CDO Bespoke'!$C$14,'CDO Bespoke'!$C$15,'CDO Bespoke'!$C$8,,,TRUE,TRUE,FALSE,'CDO Bespoke'!$C$29:'CDO Bespoke'!$C$31,'CDO Bespoke'!$C$33),{5})),"")</f>
        <v>-1.5781709823465</v>
      </c>
      <c r="AB14" s="481"/>
      <c r="AC14" s="514" cm="1">
        <f t="array" aca="1" ref="AC14" ca="1">GetCDSDeltaGIRR('CDO Bespoke'!C39:'CDO Bespoke'!C138,'CDO Bespoke'!G39:'CDO Bespoke'!G138,'CDO Bespoke'!F39:'CDO Bespoke'!F138,'CDO Bespoke'!L15:'CDO Bespoke'!L114,'CDO Bespoke'!C13,'CDO Bespoke'!C14,'CDO Bespoke'!C15,'CDO Bespoke'!C8,'CDO Bespoke'!C29:'CDO Bespoke'!C31,'CDO Bespoke'!C33)</f>
        <v>0</v>
      </c>
      <c r="AD14" s="515"/>
      <c r="AE14" s="515"/>
      <c r="AF14" s="515"/>
      <c r="AG14" s="515"/>
      <c r="AH14" s="515"/>
      <c r="AI14" s="515"/>
      <c r="AJ14" s="515"/>
      <c r="AK14" s="515"/>
      <c r="AL14" s="516"/>
      <c r="AM14" s="526"/>
    </row>
    <row r="15" spans="1:228" ht="12" thickBot="1">
      <c r="B15" s="541" t="s">
        <v>652</v>
      </c>
      <c r="C15" s="542" t="s">
        <v>66</v>
      </c>
      <c r="D15" s="542" t="s">
        <v>57</v>
      </c>
      <c r="E15" s="542">
        <v>0.06</v>
      </c>
      <c r="F15" s="542">
        <v>0.12</v>
      </c>
      <c r="G15" s="542" t="s">
        <v>434</v>
      </c>
      <c r="H15" s="542">
        <v>100</v>
      </c>
      <c r="I15" s="542">
        <v>92.850899999999996</v>
      </c>
      <c r="J15" s="547">
        <v>47107</v>
      </c>
      <c r="M15" s="489">
        <f ca="1">IF('CDO Bespoke'!O16&lt;&gt;"",'CDO Bespoke'!O16,"")</f>
        <v>1.0185044732617801</v>
      </c>
      <c r="N15" s="490">
        <f ca="1">IF(M15&lt;&gt;"",ABS(MIN(-0.75*('CDO Bespoke'!Q16)+'CDO Bespoke'!T16,0)),"")</f>
        <v>1.011656946444512</v>
      </c>
      <c r="O15" s="490">
        <f t="shared" ca="1" si="0"/>
        <v>6.8475268172680792E-3</v>
      </c>
      <c r="P15" s="490">
        <f t="shared" ca="1" si="1"/>
        <v>0</v>
      </c>
      <c r="Q15" s="489">
        <f ca="1">IF('CDO Bespoke'!O16&lt;&gt;"",'CDO Bespoke'!O16,"")</f>
        <v>1.0185044732617801</v>
      </c>
      <c r="R15" s="490">
        <f ca="1">IF(Q15&lt;&gt;"",ABS(MIN(-0.75*('CDO Bespoke'!K16)+'CDO Bespoke'!T16,0)),"")</f>
        <v>0.17567556322252914</v>
      </c>
      <c r="S15" s="490">
        <f t="shared" ca="1" si="2"/>
        <v>0.84282891003925098</v>
      </c>
      <c r="T15" s="494">
        <f t="shared" ca="1" si="3"/>
        <v>0</v>
      </c>
      <c r="U15" s="275"/>
      <c r="V15" s="499" t="str">
        <f ca="1">IF('CDO Bespoke'!C40&lt;&gt;"",'CDO Bespoke'!C40,"")</f>
        <v>Aktiebolaget Volvo</v>
      </c>
      <c r="W15" s="501" cm="1">
        <f t="array" aca="1" ref="W15" ca="1">IF($V15&lt;&gt;"",-TRANSPOSE(INDEX(getcds('CDO Bespoke'!$C40,W$13,'CDO Bespoke'!$G40/10000,'CDO Bespoke'!F40,'CDO Bespoke'!$L16,'CDO Bespoke'!$C$13,'CDO Bespoke'!$C$14,'CDO Bespoke'!$C$15,'CDO Bespoke'!$C$8,,,TRUE,TRUE,FALSE,'CDO Bespoke'!$C$29:'CDO Bespoke'!$C$31,'CDO Bespoke'!$C$33),{5})),"")</f>
        <v>-9.3926139991989704E-2</v>
      </c>
      <c r="X15" s="527" cm="1">
        <f t="array" aca="1" ref="X15" ca="1">IF($V15&lt;&gt;"",-TRANSPOSE(INDEX(getcds('CDO Bespoke'!$C40,X$13,'CDO Bespoke'!$G40/10000,'CDO Bespoke'!G40,'CDO Bespoke'!$L16,'CDO Bespoke'!$C$13,'CDO Bespoke'!$C$14,'CDO Bespoke'!$C$15,'CDO Bespoke'!$C$8,,,TRUE,TRUE,FALSE,'CDO Bespoke'!$C$29:'CDO Bespoke'!$C$31,'CDO Bespoke'!$C$33),{5})),"")</f>
        <v>-0.193737844749725</v>
      </c>
      <c r="Y15" s="527" cm="1">
        <f t="array" aca="1" ref="Y15" ca="1">IF($V15&lt;&gt;"",-TRANSPOSE(INDEX(getcds('CDO Bespoke'!$C40,Y$13,'CDO Bespoke'!$G40/10000,'CDO Bespoke'!H40,'CDO Bespoke'!$L16,'CDO Bespoke'!$C$13,'CDO Bespoke'!$C$14,'CDO Bespoke'!$C$15,'CDO Bespoke'!$C$8,,,TRUE,TRUE,FALSE,'CDO Bespoke'!$C$29:'CDO Bespoke'!$C$31,'CDO Bespoke'!$C$33),{5})),"")</f>
        <v>-0.57076498338647896</v>
      </c>
      <c r="Z15" s="527" cm="1">
        <f t="array" aca="1" ref="Z15" ca="1">IF($V15&lt;&gt;"",-TRANSPOSE(INDEX(getcds('CDO Bespoke'!$C40,Z$13,'CDO Bespoke'!$G40/10000,'CDO Bespoke'!I40,'CDO Bespoke'!$L16,'CDO Bespoke'!$C$13,'CDO Bespoke'!$C$14,'CDO Bespoke'!$C$15,'CDO Bespoke'!$C$8,,,TRUE,TRUE,FALSE,'CDO Bespoke'!$C$29:'CDO Bespoke'!$C$31,'CDO Bespoke'!$C$33),{5})),"")</f>
        <v>-0.91126697609419205</v>
      </c>
      <c r="AA15" s="502" cm="1">
        <f t="array" aca="1" ref="AA15" ca="1">IF($V15&lt;&gt;"",-TRANSPOSE(INDEX(getcds('CDO Bespoke'!$C40,AA$13,'CDO Bespoke'!$G40/10000,'CDO Bespoke'!J40,'CDO Bespoke'!$L16,'CDO Bespoke'!$C$13,'CDO Bespoke'!$C$14,'CDO Bespoke'!$C$15,'CDO Bespoke'!$C$8,,,TRUE,TRUE,FALSE,'CDO Bespoke'!$C$29:'CDO Bespoke'!$C$31,'CDO Bespoke'!$C$33),{5})),"")</f>
        <v>-1.63536535917159</v>
      </c>
      <c r="AB15" s="481" t="s">
        <v>624</v>
      </c>
      <c r="AC15" s="517"/>
      <c r="AD15" s="518"/>
      <c r="AE15" s="518"/>
      <c r="AF15" s="518"/>
      <c r="AG15" s="518"/>
      <c r="AH15" s="518"/>
      <c r="AI15" s="518"/>
      <c r="AJ15" s="518"/>
      <c r="AK15" s="518"/>
      <c r="AL15" s="519"/>
      <c r="AM15" s="539"/>
    </row>
    <row r="16" spans="1:228" ht="12" thickBot="1">
      <c r="B16" s="558" t="s">
        <v>652</v>
      </c>
      <c r="C16" s="559" t="s">
        <v>66</v>
      </c>
      <c r="D16" s="559" t="s">
        <v>59</v>
      </c>
      <c r="E16" s="559">
        <v>0.06</v>
      </c>
      <c r="F16" s="559">
        <v>0.12</v>
      </c>
      <c r="G16" s="559" t="s">
        <v>434</v>
      </c>
      <c r="H16" s="559">
        <v>100</v>
      </c>
      <c r="I16" s="559">
        <v>155.51650000000001</v>
      </c>
      <c r="J16" s="569">
        <v>47837</v>
      </c>
      <c r="M16" s="489">
        <f ca="1">IF('CDO Bespoke'!O17&lt;&gt;"",'CDO Bespoke'!O17,"")</f>
        <v>1.01840719224198</v>
      </c>
      <c r="N16" s="490">
        <f ca="1">IF(M16&lt;&gt;"",ABS(MIN(-0.75*('CDO Bespoke'!Q17)+'CDO Bespoke'!T17,0)),"")</f>
        <v>1.0118371397551364</v>
      </c>
      <c r="O16" s="490">
        <f t="shared" ca="1" si="0"/>
        <v>6.5700524868435028E-3</v>
      </c>
      <c r="P16" s="490">
        <f t="shared" ca="1" si="1"/>
        <v>0</v>
      </c>
      <c r="Q16" s="489">
        <f ca="1">IF('CDO Bespoke'!O17&lt;&gt;"",'CDO Bespoke'!O17,"")</f>
        <v>1.01840719224198</v>
      </c>
      <c r="R16" s="490">
        <f ca="1">IF(Q16&lt;&gt;"",ABS(MIN(-0.75*('CDO Bespoke'!K17)+'CDO Bespoke'!T17,0)),"")</f>
        <v>0.17843673740453561</v>
      </c>
      <c r="S16" s="490">
        <f t="shared" ca="1" si="2"/>
        <v>0.83997045483744437</v>
      </c>
      <c r="T16" s="494">
        <f t="shared" ca="1" si="3"/>
        <v>0</v>
      </c>
      <c r="U16" s="275"/>
      <c r="V16" s="499" t="str">
        <f ca="1">IF('CDO Bespoke'!C41&lt;&gt;"",'CDO Bespoke'!C41,"")</f>
        <v>Akzo Nobel N.V.</v>
      </c>
      <c r="W16" s="501" cm="1">
        <f t="array" aca="1" ref="W16" ca="1">IF($V16&lt;&gt;"",-TRANSPOSE(INDEX(getcds('CDO Bespoke'!$C41,W$13,'CDO Bespoke'!$G41/10000,'CDO Bespoke'!F41,'CDO Bespoke'!$L17,'CDO Bespoke'!$C$13,'CDO Bespoke'!$C$14,'CDO Bespoke'!$C$15,'CDO Bespoke'!$C$8,,,TRUE,TRUE,FALSE,'CDO Bespoke'!$C$29:'CDO Bespoke'!$C$31,'CDO Bespoke'!$C$33),{5})),"")</f>
        <v>-9.6189560106296895E-2</v>
      </c>
      <c r="X16" s="527" cm="1">
        <f t="array" aca="1" ref="X16" ca="1">IF($V16&lt;&gt;"",-TRANSPOSE(INDEX(getcds('CDO Bespoke'!$C41,X$13,'CDO Bespoke'!$G41/10000,'CDO Bespoke'!G41,'CDO Bespoke'!$L17,'CDO Bespoke'!$C$13,'CDO Bespoke'!$C$14,'CDO Bespoke'!$C$15,'CDO Bespoke'!$C$8,,,TRUE,TRUE,FALSE,'CDO Bespoke'!$C$29:'CDO Bespoke'!$C$31,'CDO Bespoke'!$C$33),{5})),"")</f>
        <v>-0.19839836189940499</v>
      </c>
      <c r="Y16" s="527" cm="1">
        <f t="array" aca="1" ref="Y16" ca="1">IF($V16&lt;&gt;"",-TRANSPOSE(INDEX(getcds('CDO Bespoke'!$C41,Y$13,'CDO Bespoke'!$G41/10000,'CDO Bespoke'!H41,'CDO Bespoke'!$L17,'CDO Bespoke'!$C$13,'CDO Bespoke'!$C$14,'CDO Bespoke'!$C$15,'CDO Bespoke'!$C$8,,,TRUE,TRUE,FALSE,'CDO Bespoke'!$C$29:'CDO Bespoke'!$C$31,'CDO Bespoke'!$C$33),{5})),"")</f>
        <v>-0.584401062140122</v>
      </c>
      <c r="Z16" s="527" cm="1">
        <f t="array" aca="1" ref="Z16" ca="1">IF($V16&lt;&gt;"",-TRANSPOSE(INDEX(getcds('CDO Bespoke'!$C41,Z$13,'CDO Bespoke'!$G41/10000,'CDO Bespoke'!I41,'CDO Bespoke'!$L17,'CDO Bespoke'!$C$13,'CDO Bespoke'!$C$14,'CDO Bespoke'!$C$15,'CDO Bespoke'!$C$8,,,TRUE,TRUE,FALSE,'CDO Bespoke'!$C$29:'CDO Bespoke'!$C$31,'CDO Bespoke'!$C$33),{5})),"")</f>
        <v>-0.93275912445840403</v>
      </c>
      <c r="AA16" s="502" cm="1">
        <f t="array" aca="1" ref="AA16" ca="1">IF($V16&lt;&gt;"",-TRANSPOSE(INDEX(getcds('CDO Bespoke'!$C41,AA$13,'CDO Bespoke'!$G41/10000,'CDO Bespoke'!J41,'CDO Bespoke'!$L17,'CDO Bespoke'!$C$13,'CDO Bespoke'!$C$14,'CDO Bespoke'!$C$15,'CDO Bespoke'!$C$8,,,TRUE,TRUE,FALSE,'CDO Bespoke'!$C$29:'CDO Bespoke'!$C$31,'CDO Bespoke'!$C$33),{5})),"")</f>
        <v>-1.67446617440474</v>
      </c>
      <c r="AB16" s="528" t="str">
        <f ca="1">'CDO Bespoke'!C8</f>
        <v>EUR</v>
      </c>
      <c r="AC16" s="517"/>
      <c r="AD16" s="518"/>
      <c r="AE16" s="518"/>
      <c r="AF16" s="518"/>
      <c r="AG16" s="518"/>
      <c r="AH16" s="518"/>
      <c r="AI16" s="518"/>
      <c r="AJ16" s="518"/>
      <c r="AK16" s="518"/>
      <c r="AL16" s="519"/>
      <c r="AM16" s="540"/>
    </row>
    <row r="17" spans="2:39" ht="12" thickBot="1">
      <c r="B17" s="563" t="s">
        <v>653</v>
      </c>
      <c r="C17" s="564" t="s">
        <v>66</v>
      </c>
      <c r="D17" s="564" t="s">
        <v>55</v>
      </c>
      <c r="E17" s="564">
        <v>0.03</v>
      </c>
      <c r="F17" s="564">
        <v>0.06</v>
      </c>
      <c r="G17" s="564" t="s">
        <v>654</v>
      </c>
      <c r="H17" s="564">
        <v>100</v>
      </c>
      <c r="I17" s="564">
        <v>-6.1151900000000004E-3</v>
      </c>
      <c r="J17" s="570">
        <v>46376</v>
      </c>
      <c r="K17" s="275"/>
      <c r="L17" s="275"/>
      <c r="M17" s="489">
        <f ca="1">IF('CDO Bespoke'!O18&lt;&gt;"",'CDO Bespoke'!O18,"")</f>
        <v>1.01085219963245</v>
      </c>
      <c r="N17" s="490">
        <f ca="1">IF(M17&lt;&gt;"",ABS(MIN(-0.75*('CDO Bespoke'!Q18)+'CDO Bespoke'!T18,0)),"")</f>
        <v>1.0196863208581619</v>
      </c>
      <c r="O17" s="490">
        <f t="shared" ca="1" si="0"/>
        <v>0</v>
      </c>
      <c r="P17" s="490">
        <f t="shared" ca="1" si="1"/>
        <v>0</v>
      </c>
      <c r="Q17" s="489">
        <f ca="1">IF('CDO Bespoke'!O18&lt;&gt;"",'CDO Bespoke'!O18,"")</f>
        <v>1.01085219963245</v>
      </c>
      <c r="R17" s="490">
        <f ca="1">IF(Q17&lt;&gt;"",ABS(MIN(-0.75*('CDO Bespoke'!K18)+'CDO Bespoke'!T18,0)),"")</f>
        <v>0.27008513580229848</v>
      </c>
      <c r="S17" s="490">
        <f t="shared" ca="1" si="2"/>
        <v>0.74076706383015156</v>
      </c>
      <c r="T17" s="494">
        <f t="shared" ca="1" si="3"/>
        <v>0</v>
      </c>
      <c r="U17" s="275"/>
      <c r="V17" s="499" t="str">
        <f ca="1">IF('CDO Bespoke'!C42&lt;&gt;"",'CDO Bespoke'!C42,"")</f>
        <v>ALSTOM</v>
      </c>
      <c r="W17" s="501" cm="1">
        <f t="array" aca="1" ref="W17" ca="1">IF($V17&lt;&gt;"",-TRANSPOSE(INDEX(getcds('CDO Bespoke'!$C42,W$13,'CDO Bespoke'!$G42/10000,'CDO Bespoke'!F42,'CDO Bespoke'!$L18,'CDO Bespoke'!$C$13,'CDO Bespoke'!$C$14,'CDO Bespoke'!$C$15,'CDO Bespoke'!$C$8,,,TRUE,TRUE,FALSE,'CDO Bespoke'!$C$29:'CDO Bespoke'!$C$31,'CDO Bespoke'!$C$33),{5})),"")</f>
        <v>-0.17772933999217999</v>
      </c>
      <c r="X17" s="527" cm="1">
        <f t="array" aca="1" ref="X17" ca="1">IF($V17&lt;&gt;"",-TRANSPOSE(INDEX(getcds('CDO Bespoke'!$C42,X$13,'CDO Bespoke'!$G42/10000,'CDO Bespoke'!G42,'CDO Bespoke'!$L18,'CDO Bespoke'!$C$13,'CDO Bespoke'!$C$14,'CDO Bespoke'!$C$15,'CDO Bespoke'!$C$8,,,TRUE,TRUE,FALSE,'CDO Bespoke'!$C$29:'CDO Bespoke'!$C$31,'CDO Bespoke'!$C$33),{5})),"")</f>
        <v>-0.36555178250273901</v>
      </c>
      <c r="Y17" s="527" cm="1">
        <f t="array" aca="1" ref="Y17" ca="1">IF($V17&lt;&gt;"",-TRANSPOSE(INDEX(getcds('CDO Bespoke'!$C42,Y$13,'CDO Bespoke'!$G42/10000,'CDO Bespoke'!H42,'CDO Bespoke'!$L18,'CDO Bespoke'!$C$13,'CDO Bespoke'!$C$14,'CDO Bespoke'!$C$15,'CDO Bespoke'!$C$8,,,TRUE,TRUE,FALSE,'CDO Bespoke'!$C$29:'CDO Bespoke'!$C$31,'CDO Bespoke'!$C$33),{5})),"")</f>
        <v>-1.0650031071355901</v>
      </c>
      <c r="Z17" s="527" cm="1">
        <f t="array" aca="1" ref="Z17" ca="1">IF($V17&lt;&gt;"",-TRANSPOSE(INDEX(getcds('CDO Bespoke'!$C42,Z$13,'CDO Bespoke'!$G42/10000,'CDO Bespoke'!I42,'CDO Bespoke'!$L18,'CDO Bespoke'!$C$13,'CDO Bespoke'!$C$14,'CDO Bespoke'!$C$15,'CDO Bespoke'!$C$8,,,TRUE,TRUE,FALSE,'CDO Bespoke'!$C$29:'CDO Bespoke'!$C$31,'CDO Bespoke'!$C$33),{5})),"")</f>
        <v>-1.67585953682473</v>
      </c>
      <c r="AA17" s="502" cm="1">
        <f t="array" aca="1" ref="AA17" ca="1">IF($V17&lt;&gt;"",-TRANSPOSE(INDEX(getcds('CDO Bespoke'!$C42,AA$13,'CDO Bespoke'!$G42/10000,'CDO Bespoke'!J42,'CDO Bespoke'!$L18,'CDO Bespoke'!$C$13,'CDO Bespoke'!$C$14,'CDO Bespoke'!$C$15,'CDO Bespoke'!$C$8,,,TRUE,TRUE,FALSE,'CDO Bespoke'!$C$29:'CDO Bespoke'!$C$31,'CDO Bespoke'!$C$33),{5})),"")</f>
        <v>-2.9786176048028099</v>
      </c>
      <c r="AB17" s="481"/>
      <c r="AC17" s="517"/>
      <c r="AD17" s="518"/>
      <c r="AE17" s="518"/>
      <c r="AF17" s="518"/>
      <c r="AG17" s="518"/>
      <c r="AH17" s="518"/>
      <c r="AI17" s="518"/>
      <c r="AJ17" s="518"/>
      <c r="AK17" s="518"/>
      <c r="AL17" s="519"/>
      <c r="AM17" s="540"/>
    </row>
    <row r="18" spans="2:39" ht="12" thickBot="1">
      <c r="B18" s="541" t="s">
        <v>653</v>
      </c>
      <c r="C18" s="542" t="s">
        <v>66</v>
      </c>
      <c r="D18" s="542" t="s">
        <v>57</v>
      </c>
      <c r="E18" s="542">
        <v>0.03</v>
      </c>
      <c r="F18" s="542">
        <v>0.06</v>
      </c>
      <c r="G18" s="542" t="s">
        <v>654</v>
      </c>
      <c r="H18" s="542">
        <v>100</v>
      </c>
      <c r="I18" s="542">
        <v>3.497422E-2</v>
      </c>
      <c r="J18" s="547">
        <v>47107</v>
      </c>
      <c r="K18" s="275"/>
      <c r="L18" s="275"/>
      <c r="M18" s="489">
        <f ca="1">IF('CDO Bespoke'!O19&lt;&gt;"",'CDO Bespoke'!O19,"")</f>
        <v>1.01543004140846</v>
      </c>
      <c r="N18" s="490">
        <f ca="1">IF(M18&lt;&gt;"",ABS(MIN(-0.75*('CDO Bespoke'!Q19)+'CDO Bespoke'!T19,0)),"")</f>
        <v>1.0162002274302004</v>
      </c>
      <c r="O18" s="490">
        <f t="shared" ca="1" si="0"/>
        <v>0</v>
      </c>
      <c r="P18" s="490">
        <f t="shared" ca="1" si="1"/>
        <v>0</v>
      </c>
      <c r="Q18" s="489">
        <f ca="1">IF('CDO Bespoke'!O19&lt;&gt;"",'CDO Bespoke'!O19,"")</f>
        <v>1.01543004140846</v>
      </c>
      <c r="R18" s="490">
        <f ca="1">IF(Q18&lt;&gt;"",ABS(MIN(-0.75*('CDO Bespoke'!K19)+'CDO Bespoke'!T19,0)),"")</f>
        <v>0.22964813105483739</v>
      </c>
      <c r="S18" s="490">
        <f t="shared" ca="1" si="2"/>
        <v>0.78578191035362266</v>
      </c>
      <c r="T18" s="494">
        <f t="shared" ca="1" si="3"/>
        <v>0</v>
      </c>
      <c r="U18" s="275"/>
      <c r="V18" s="499" t="str">
        <f ca="1">IF('CDO Bespoke'!C43&lt;&gt;"",'CDO Bespoke'!C43,"")</f>
        <v>Anglo American plc</v>
      </c>
      <c r="W18" s="501" cm="1">
        <f t="array" aca="1" ref="W18" ca="1">IF($V18&lt;&gt;"",-TRANSPOSE(INDEX(getcds('CDO Bespoke'!$C43,W$13,'CDO Bespoke'!$G43/10000,'CDO Bespoke'!F43,'CDO Bespoke'!$L19,'CDO Bespoke'!$C$13,'CDO Bespoke'!$C$14,'CDO Bespoke'!$C$15,'CDO Bespoke'!$C$8,,,TRUE,TRUE,FALSE,'CDO Bespoke'!$C$29:'CDO Bespoke'!$C$31,'CDO Bespoke'!$C$33),{5})),"")</f>
        <v>-0.141001462727259</v>
      </c>
      <c r="X18" s="527" cm="1">
        <f t="array" aca="1" ref="X18" ca="1">IF($V18&lt;&gt;"",-TRANSPOSE(INDEX(getcds('CDO Bespoke'!$C43,X$13,'CDO Bespoke'!$G43/10000,'CDO Bespoke'!G43,'CDO Bespoke'!$L19,'CDO Bespoke'!$C$13,'CDO Bespoke'!$C$14,'CDO Bespoke'!$C$15,'CDO Bespoke'!$C$8,,,TRUE,TRUE,FALSE,'CDO Bespoke'!$C$29:'CDO Bespoke'!$C$31,'CDO Bespoke'!$C$33),{5})),"")</f>
        <v>-0.29061812415041099</v>
      </c>
      <c r="Y18" s="527" cm="1">
        <f t="array" aca="1" ref="Y18" ca="1">IF($V18&lt;&gt;"",-TRANSPOSE(INDEX(getcds('CDO Bespoke'!$C43,Y$13,'CDO Bespoke'!$G43/10000,'CDO Bespoke'!H43,'CDO Bespoke'!$L19,'CDO Bespoke'!$C$13,'CDO Bespoke'!$C$14,'CDO Bespoke'!$C$15,'CDO Bespoke'!$C$8,,,TRUE,TRUE,FALSE,'CDO Bespoke'!$C$29:'CDO Bespoke'!$C$31,'CDO Bespoke'!$C$33),{5})),"")</f>
        <v>-0.853644939673045</v>
      </c>
      <c r="Z18" s="527" cm="1">
        <f t="array" aca="1" ref="Z18" ca="1">IF($V18&lt;&gt;"",-TRANSPOSE(INDEX(getcds('CDO Bespoke'!$C43,Z$13,'CDO Bespoke'!$G43/10000,'CDO Bespoke'!I43,'CDO Bespoke'!$L19,'CDO Bespoke'!$C$13,'CDO Bespoke'!$C$14,'CDO Bespoke'!$C$15,'CDO Bespoke'!$C$8,,,TRUE,TRUE,FALSE,'CDO Bespoke'!$C$29:'CDO Bespoke'!$C$31,'CDO Bespoke'!$C$33),{5})),"")</f>
        <v>-1.35304748369183</v>
      </c>
      <c r="AA18" s="502" cm="1">
        <f t="array" aca="1" ref="AA18" ca="1">IF($V18&lt;&gt;"",-TRANSPOSE(INDEX(getcds('CDO Bespoke'!$C43,AA$13,'CDO Bespoke'!$G43/10000,'CDO Bespoke'!J43,'CDO Bespoke'!$L19,'CDO Bespoke'!$C$13,'CDO Bespoke'!$C$14,'CDO Bespoke'!$C$15,'CDO Bespoke'!$C$8,,,TRUE,TRUE,FALSE,'CDO Bespoke'!$C$29:'CDO Bespoke'!$C$31,'CDO Bespoke'!$C$33),{5})),"")</f>
        <v>-2.4025175925556499</v>
      </c>
      <c r="AB18" s="481"/>
      <c r="AC18" s="517"/>
      <c r="AD18" s="518"/>
      <c r="AE18" s="518"/>
      <c r="AF18" s="518"/>
      <c r="AG18" s="518"/>
      <c r="AH18" s="518"/>
      <c r="AI18" s="518"/>
      <c r="AJ18" s="518"/>
      <c r="AK18" s="518"/>
      <c r="AL18" s="519"/>
      <c r="AM18" s="540"/>
    </row>
    <row r="19" spans="2:39" ht="12" thickBot="1">
      <c r="B19" s="558" t="s">
        <v>653</v>
      </c>
      <c r="C19" s="559" t="s">
        <v>66</v>
      </c>
      <c r="D19" s="559" t="s">
        <v>59</v>
      </c>
      <c r="E19" s="559">
        <v>0.03</v>
      </c>
      <c r="F19" s="559">
        <v>0.06</v>
      </c>
      <c r="G19" s="559" t="s">
        <v>654</v>
      </c>
      <c r="H19" s="559">
        <v>100</v>
      </c>
      <c r="I19" s="559">
        <v>0.10563547</v>
      </c>
      <c r="J19" s="569">
        <v>47837</v>
      </c>
      <c r="K19" s="275"/>
      <c r="L19" s="275"/>
      <c r="M19" s="489">
        <f ca="1">IF('CDO Bespoke'!O20&lt;&gt;"",'CDO Bespoke'!O20,"")</f>
        <v>1.0120410816876699</v>
      </c>
      <c r="N19" s="490">
        <f ca="1">IF(M19&lt;&gt;"",ABS(MIN(-0.75*('CDO Bespoke'!Q20)+'CDO Bespoke'!T20,0)),"")</f>
        <v>1.0195721861714784</v>
      </c>
      <c r="O19" s="490">
        <f t="shared" ca="1" si="0"/>
        <v>0</v>
      </c>
      <c r="P19" s="490">
        <f t="shared" ca="1" si="1"/>
        <v>0</v>
      </c>
      <c r="Q19" s="489">
        <f ca="1">IF('CDO Bespoke'!O20&lt;&gt;"",'CDO Bespoke'!O20,"")</f>
        <v>1.0120410816876699</v>
      </c>
      <c r="R19" s="490">
        <f ca="1">IF(Q19&lt;&gt;"",ABS(MIN(-0.75*('CDO Bespoke'!K20)+'CDO Bespoke'!T20,0)),"")</f>
        <v>0.26218493305962393</v>
      </c>
      <c r="S19" s="490">
        <f t="shared" ca="1" si="2"/>
        <v>0.74985614862804595</v>
      </c>
      <c r="T19" s="494">
        <f t="shared" ca="1" si="3"/>
        <v>0</v>
      </c>
      <c r="U19" s="275"/>
      <c r="V19" s="499" t="str">
        <f ca="1">IF('CDO Bespoke'!C44&lt;&gt;"",'CDO Bespoke'!C44,"")</f>
        <v>ArcelorMittal</v>
      </c>
      <c r="W19" s="501" cm="1">
        <f t="array" aca="1" ref="W19" ca="1">IF($V19&lt;&gt;"",-TRANSPOSE(INDEX(getcds('CDO Bespoke'!$C44,W$13,'CDO Bespoke'!$G44/10000,'CDO Bespoke'!F44,'CDO Bespoke'!$L20,'CDO Bespoke'!$C$13,'CDO Bespoke'!$C$14,'CDO Bespoke'!$C$15,'CDO Bespoke'!$C$8,,,TRUE,TRUE,FALSE,'CDO Bespoke'!$C$29:'CDO Bespoke'!$C$31,'CDO Bespoke'!$C$33),{5})),"")</f>
        <v>-0.17123259201487501</v>
      </c>
      <c r="X19" s="527" cm="1">
        <f t="array" aca="1" ref="X19" ca="1">IF($V19&lt;&gt;"",-TRANSPOSE(INDEX(getcds('CDO Bespoke'!$C44,X$13,'CDO Bespoke'!$G44/10000,'CDO Bespoke'!G44,'CDO Bespoke'!$L20,'CDO Bespoke'!$C$13,'CDO Bespoke'!$C$14,'CDO Bespoke'!$C$15,'CDO Bespoke'!$C$8,,,TRUE,TRUE,FALSE,'CDO Bespoke'!$C$29:'CDO Bespoke'!$C$31,'CDO Bespoke'!$C$33),{5})),"")</f>
        <v>-0.35262717140637501</v>
      </c>
      <c r="Y19" s="527" cm="1">
        <f t="array" aca="1" ref="Y19" ca="1">IF($V19&lt;&gt;"",-TRANSPOSE(INDEX(getcds('CDO Bespoke'!$C44,Y$13,'CDO Bespoke'!$G44/10000,'CDO Bespoke'!H44,'CDO Bespoke'!$L20,'CDO Bespoke'!$C$13,'CDO Bespoke'!$C$14,'CDO Bespoke'!$C$15,'CDO Bespoke'!$C$8,,,TRUE,TRUE,FALSE,'CDO Bespoke'!$C$29:'CDO Bespoke'!$C$31,'CDO Bespoke'!$C$33),{5})),"")</f>
        <v>-1.0323434834598999</v>
      </c>
      <c r="Z19" s="527" cm="1">
        <f t="array" aca="1" ref="Z19" ca="1">IF($V19&lt;&gt;"",-TRANSPOSE(INDEX(getcds('CDO Bespoke'!$C44,Z$13,'CDO Bespoke'!$G44/10000,'CDO Bespoke'!I44,'CDO Bespoke'!$L20,'CDO Bespoke'!$C$13,'CDO Bespoke'!$C$14,'CDO Bespoke'!$C$15,'CDO Bespoke'!$C$8,,,TRUE,TRUE,FALSE,'CDO Bespoke'!$C$29:'CDO Bespoke'!$C$31,'CDO Bespoke'!$C$33),{5})),"")</f>
        <v>-1.62708098516009</v>
      </c>
      <c r="AA19" s="502" cm="1">
        <f t="array" aca="1" ref="AA19" ca="1">IF($V19&lt;&gt;"",-TRANSPOSE(INDEX(getcds('CDO Bespoke'!$C44,AA$13,'CDO Bespoke'!$G44/10000,'CDO Bespoke'!J44,'CDO Bespoke'!$L20,'CDO Bespoke'!$C$13,'CDO Bespoke'!$C$14,'CDO Bespoke'!$C$15,'CDO Bespoke'!$C$8,,,TRUE,TRUE,FALSE,'CDO Bespoke'!$C$29:'CDO Bespoke'!$C$31,'CDO Bespoke'!$C$33),{5})),"")</f>
        <v>-2.87519464763511</v>
      </c>
      <c r="AB19" s="481"/>
      <c r="AC19" s="517"/>
      <c r="AD19" s="518"/>
      <c r="AE19" s="518"/>
      <c r="AF19" s="518"/>
      <c r="AG19" s="518"/>
      <c r="AH19" s="518"/>
      <c r="AI19" s="518"/>
      <c r="AJ19" s="518"/>
      <c r="AK19" s="518"/>
      <c r="AL19" s="519"/>
      <c r="AM19" s="540"/>
    </row>
    <row r="20" spans="2:39" ht="12" thickBot="1">
      <c r="B20" s="541" t="s">
        <v>655</v>
      </c>
      <c r="C20" s="542" t="s">
        <v>66</v>
      </c>
      <c r="D20" s="542" t="s">
        <v>55</v>
      </c>
      <c r="E20" s="542">
        <v>0</v>
      </c>
      <c r="F20" s="542">
        <v>0.03</v>
      </c>
      <c r="G20" s="542" t="s">
        <v>654</v>
      </c>
      <c r="H20" s="542">
        <v>100</v>
      </c>
      <c r="I20" s="542">
        <v>0.1057844</v>
      </c>
      <c r="J20" s="547">
        <v>46376</v>
      </c>
      <c r="K20" s="275"/>
      <c r="L20" s="275"/>
      <c r="M20" s="489">
        <f ca="1">IF('CDO Bespoke'!O21&lt;&gt;"",'CDO Bespoke'!O21,"")</f>
        <v>1.0192248952510099</v>
      </c>
      <c r="N20" s="490">
        <f ca="1">IF(M20&lt;&gt;"",ABS(MIN(-0.75*('CDO Bespoke'!Q21)+'CDO Bespoke'!T21,0)),"")</f>
        <v>1.0100248754211361</v>
      </c>
      <c r="O20" s="490">
        <f t="shared" ca="1" si="0"/>
        <v>9.20001982987384E-3</v>
      </c>
      <c r="P20" s="490">
        <f t="shared" ca="1" si="1"/>
        <v>0</v>
      </c>
      <c r="Q20" s="489">
        <f ca="1">IF('CDO Bespoke'!O21&lt;&gt;"",'CDO Bespoke'!O21,"")</f>
        <v>1.0192248952510099</v>
      </c>
      <c r="R20" s="490">
        <f ca="1">IF(Q20&lt;&gt;"",ABS(MIN(-0.75*('CDO Bespoke'!K21)+'CDO Bespoke'!T21,0)),"")</f>
        <v>0.14857757892966911</v>
      </c>
      <c r="S20" s="490">
        <f t="shared" ca="1" si="2"/>
        <v>0.87064731632134085</v>
      </c>
      <c r="T20" s="494">
        <f t="shared" ca="1" si="3"/>
        <v>0</v>
      </c>
      <c r="U20" s="275"/>
      <c r="V20" s="499" t="str">
        <f ca="1">IF('CDO Bespoke'!C45&lt;&gt;"",'CDO Bespoke'!C45,"")</f>
        <v>ASTRAZENECA PLC</v>
      </c>
      <c r="W20" s="501" cm="1">
        <f t="array" aca="1" ref="W20" ca="1">IF($V20&lt;&gt;"",-TRANSPOSE(INDEX(getcds('CDO Bespoke'!$C45,W$13,'CDO Bespoke'!$G45/10000,'CDO Bespoke'!F45,'CDO Bespoke'!$L21,'CDO Bespoke'!$C$13,'CDO Bespoke'!$C$14,'CDO Bespoke'!$C$15,'CDO Bespoke'!$C$8,,,TRUE,TRUE,FALSE,'CDO Bespoke'!$C$29:'CDO Bespoke'!$C$31,'CDO Bespoke'!$C$33),{5})),"")</f>
        <v>-7.2202917885148099E-2</v>
      </c>
      <c r="X20" s="527" cm="1">
        <f t="array" aca="1" ref="X20" ca="1">IF($V20&lt;&gt;"",-TRANSPOSE(INDEX(getcds('CDO Bespoke'!$C45,X$13,'CDO Bespoke'!$G45/10000,'CDO Bespoke'!G45,'CDO Bespoke'!$L21,'CDO Bespoke'!$C$13,'CDO Bespoke'!$C$14,'CDO Bespoke'!$C$15,'CDO Bespoke'!$C$8,,,TRUE,TRUE,FALSE,'CDO Bespoke'!$C$29:'CDO Bespoke'!$C$31,'CDO Bespoke'!$C$33),{5})),"")</f>
        <v>-0.14897631454865701</v>
      </c>
      <c r="Y20" s="527" cm="1">
        <f t="array" aca="1" ref="Y20" ca="1">IF($V20&lt;&gt;"",-TRANSPOSE(INDEX(getcds('CDO Bespoke'!$C45,Y$13,'CDO Bespoke'!$G45/10000,'CDO Bespoke'!H45,'CDO Bespoke'!$L21,'CDO Bespoke'!$C$13,'CDO Bespoke'!$C$14,'CDO Bespoke'!$C$15,'CDO Bespoke'!$C$8,,,TRUE,TRUE,FALSE,'CDO Bespoke'!$C$29:'CDO Bespoke'!$C$31,'CDO Bespoke'!$C$33),{5})),"")</f>
        <v>-0.43942760917460799</v>
      </c>
      <c r="Z20" s="527" cm="1">
        <f t="array" aca="1" ref="Z20" ca="1">IF($V20&lt;&gt;"",-TRANSPOSE(INDEX(getcds('CDO Bespoke'!$C45,Z$13,'CDO Bespoke'!$G45/10000,'CDO Bespoke'!I45,'CDO Bespoke'!$L21,'CDO Bespoke'!$C$13,'CDO Bespoke'!$C$14,'CDO Bespoke'!$C$15,'CDO Bespoke'!$C$8,,,TRUE,TRUE,FALSE,'CDO Bespoke'!$C$29:'CDO Bespoke'!$C$31,'CDO Bespoke'!$C$33),{5})),"")</f>
        <v>-0.70342614384845104</v>
      </c>
      <c r="AA20" s="502" cm="1">
        <f t="array" aca="1" ref="AA20" ca="1">IF($V20&lt;&gt;"",-TRANSPOSE(INDEX(getcds('CDO Bespoke'!$C45,AA$13,'CDO Bespoke'!$G45/10000,'CDO Bespoke'!J45,'CDO Bespoke'!$L21,'CDO Bespoke'!$C$13,'CDO Bespoke'!$C$14,'CDO Bespoke'!$C$15,'CDO Bespoke'!$C$8,,,TRUE,TRUE,FALSE,'CDO Bespoke'!$C$29:'CDO Bespoke'!$C$31,'CDO Bespoke'!$C$33),{5})),"")</f>
        <v>-1.2665416671637499</v>
      </c>
      <c r="AB20" s="481"/>
      <c r="AC20" s="517"/>
      <c r="AD20" s="518"/>
      <c r="AE20" s="518"/>
      <c r="AF20" s="518"/>
      <c r="AG20" s="518"/>
      <c r="AH20" s="518"/>
      <c r="AI20" s="518"/>
      <c r="AJ20" s="518"/>
      <c r="AK20" s="518"/>
      <c r="AL20" s="519"/>
      <c r="AM20" s="540"/>
    </row>
    <row r="21" spans="2:39" ht="12" thickBot="1">
      <c r="B21" s="541" t="s">
        <v>655</v>
      </c>
      <c r="C21" s="542" t="s">
        <v>66</v>
      </c>
      <c r="D21" s="542" t="s">
        <v>57</v>
      </c>
      <c r="E21" s="542">
        <v>0</v>
      </c>
      <c r="F21" s="542">
        <v>0.03</v>
      </c>
      <c r="G21" s="542" t="s">
        <v>654</v>
      </c>
      <c r="H21" s="542">
        <v>100</v>
      </c>
      <c r="I21" s="542">
        <v>0.25752876000000002</v>
      </c>
      <c r="J21" s="547">
        <v>47107</v>
      </c>
      <c r="K21" s="275"/>
      <c r="L21" s="275"/>
      <c r="M21" s="489">
        <f ca="1">IF('CDO Bespoke'!O22&lt;&gt;"",'CDO Bespoke'!O22,"")</f>
        <v>1.01916350204587</v>
      </c>
      <c r="N21" s="490">
        <f ca="1">IF(M21&lt;&gt;"",ABS(MIN(-0.75*('CDO Bespoke'!Q22)+'CDO Bespoke'!T22,0)),"")</f>
        <v>1.0103232404026921</v>
      </c>
      <c r="O21" s="490">
        <f t="shared" ca="1" si="0"/>
        <v>8.8402616431779713E-3</v>
      </c>
      <c r="P21" s="490">
        <f t="shared" ca="1" si="1"/>
        <v>0</v>
      </c>
      <c r="Q21" s="489">
        <f ca="1">IF('CDO Bespoke'!O22&lt;&gt;"",'CDO Bespoke'!O22,"")</f>
        <v>1.01916350204587</v>
      </c>
      <c r="R21" s="490">
        <f ca="1">IF(Q21&lt;&gt;"",ABS(MIN(-0.75*('CDO Bespoke'!K22)+'CDO Bespoke'!T22,0)),"")</f>
        <v>0.15212518463926661</v>
      </c>
      <c r="S21" s="490">
        <f t="shared" ca="1" si="2"/>
        <v>0.86703831740660342</v>
      </c>
      <c r="T21" s="494">
        <f t="shared" ca="1" si="3"/>
        <v>0</v>
      </c>
      <c r="U21" s="275"/>
      <c r="V21" s="499" t="str">
        <f ca="1">IF('CDO Bespoke'!C46&lt;&gt;"",'CDO Bespoke'!C46,"")</f>
        <v>BAE SYSTEMS PLC</v>
      </c>
      <c r="W21" s="501" cm="1">
        <f t="array" aca="1" ref="W21" ca="1">IF($V21&lt;&gt;"",-TRANSPOSE(INDEX(getcds('CDO Bespoke'!$C46,W$13,'CDO Bespoke'!$G46/10000,'CDO Bespoke'!F46,'CDO Bespoke'!$L22,'CDO Bespoke'!$C$13,'CDO Bespoke'!$C$14,'CDO Bespoke'!$C$15,'CDO Bespoke'!$C$8,,,TRUE,TRUE,FALSE,'CDO Bespoke'!$C$29:'CDO Bespoke'!$C$31,'CDO Bespoke'!$C$33),{5})),"")</f>
        <v>-7.5209721533145604E-2</v>
      </c>
      <c r="X21" s="527" cm="1">
        <f t="array" aca="1" ref="X21" ca="1">IF($V21&lt;&gt;"",-TRANSPOSE(INDEX(getcds('CDO Bespoke'!$C46,X$13,'CDO Bespoke'!$G46/10000,'CDO Bespoke'!G46,'CDO Bespoke'!$L22,'CDO Bespoke'!$C$13,'CDO Bespoke'!$C$14,'CDO Bespoke'!$C$15,'CDO Bespoke'!$C$8,,,TRUE,TRUE,FALSE,'CDO Bespoke'!$C$29:'CDO Bespoke'!$C$31,'CDO Bespoke'!$C$33),{5})),"")</f>
        <v>-0.155191850663005</v>
      </c>
      <c r="Y21" s="527" cm="1">
        <f t="array" aca="1" ref="Y21" ca="1">IF($V21&lt;&gt;"",-TRANSPOSE(INDEX(getcds('CDO Bespoke'!$C46,Y$13,'CDO Bespoke'!$G46/10000,'CDO Bespoke'!H46,'CDO Bespoke'!$L22,'CDO Bespoke'!$C$13,'CDO Bespoke'!$C$14,'CDO Bespoke'!$C$15,'CDO Bespoke'!$C$8,,,TRUE,TRUE,FALSE,'CDO Bespoke'!$C$29:'CDO Bespoke'!$C$31,'CDO Bespoke'!$C$33),{5})),"")</f>
        <v>-0.45789542386367099</v>
      </c>
      <c r="Z21" s="527" cm="1">
        <f t="array" aca="1" ref="Z21" ca="1">IF($V21&lt;&gt;"",-TRANSPOSE(INDEX(getcds('CDO Bespoke'!$C46,Z$13,'CDO Bespoke'!$G46/10000,'CDO Bespoke'!I46,'CDO Bespoke'!$L22,'CDO Bespoke'!$C$13,'CDO Bespoke'!$C$14,'CDO Bespoke'!$C$15,'CDO Bespoke'!$C$8,,,TRUE,TRUE,FALSE,'CDO Bespoke'!$C$29:'CDO Bespoke'!$C$31,'CDO Bespoke'!$C$33),{5})),"")</f>
        <v>-0.73272909809680997</v>
      </c>
      <c r="AA21" s="502" cm="1">
        <f t="array" aca="1" ref="AA21" ca="1">IF($V21&lt;&gt;"",-TRANSPOSE(INDEX(getcds('CDO Bespoke'!$C46,AA$13,'CDO Bespoke'!$G46/10000,'CDO Bespoke'!J46,'CDO Bespoke'!$L22,'CDO Bespoke'!$C$13,'CDO Bespoke'!$C$14,'CDO Bespoke'!$C$15,'CDO Bespoke'!$C$8,,,TRUE,TRUE,FALSE,'CDO Bespoke'!$C$29:'CDO Bespoke'!$C$31,'CDO Bespoke'!$C$33),{5})),"")</f>
        <v>-1.31704674851881</v>
      </c>
      <c r="AB21" s="481"/>
      <c r="AC21" s="517"/>
      <c r="AD21" s="518"/>
      <c r="AE21" s="518"/>
      <c r="AF21" s="518"/>
      <c r="AG21" s="518"/>
      <c r="AH21" s="518"/>
      <c r="AI21" s="518"/>
      <c r="AJ21" s="518"/>
      <c r="AK21" s="518"/>
      <c r="AL21" s="519"/>
      <c r="AM21" s="540"/>
    </row>
    <row r="22" spans="2:39" ht="12" thickBot="1">
      <c r="B22" s="544" t="s">
        <v>655</v>
      </c>
      <c r="C22" s="545" t="s">
        <v>66</v>
      </c>
      <c r="D22" s="545" t="s">
        <v>59</v>
      </c>
      <c r="E22" s="545">
        <v>0</v>
      </c>
      <c r="F22" s="545">
        <v>0.03</v>
      </c>
      <c r="G22" s="545" t="s">
        <v>654</v>
      </c>
      <c r="H22" s="545">
        <v>100</v>
      </c>
      <c r="I22" s="545">
        <v>0.38828527000000002</v>
      </c>
      <c r="J22" s="548">
        <v>47837</v>
      </c>
      <c r="K22" s="275"/>
      <c r="L22" s="275"/>
      <c r="M22" s="489">
        <f ca="1">IF('CDO Bespoke'!O23&lt;&gt;"",'CDO Bespoke'!O23,"")</f>
        <v>1.0188639893467799</v>
      </c>
      <c r="N22" s="490">
        <f ca="1">IF(M22&lt;&gt;"",ABS(MIN(-0.75*('CDO Bespoke'!Q23)+'CDO Bespoke'!T23,0)),"")</f>
        <v>1.0110897398368701</v>
      </c>
      <c r="O22" s="490">
        <f t="shared" ca="1" si="0"/>
        <v>7.7742495099097919E-3</v>
      </c>
      <c r="P22" s="490">
        <f t="shared" ca="1" si="1"/>
        <v>0</v>
      </c>
      <c r="Q22" s="489">
        <f ca="1">IF('CDO Bespoke'!O23&lt;&gt;"",'CDO Bespoke'!O23,"")</f>
        <v>1.0188639893467799</v>
      </c>
      <c r="R22" s="490">
        <f ca="1">IF(Q22&lt;&gt;"",ABS(MIN(-0.75*('CDO Bespoke'!K23)+'CDO Bespoke'!T23,0)),"")</f>
        <v>0.16442275528819861</v>
      </c>
      <c r="S22" s="490">
        <f t="shared" ca="1" si="2"/>
        <v>0.8544412340585813</v>
      </c>
      <c r="T22" s="494">
        <f t="shared" ca="1" si="3"/>
        <v>0</v>
      </c>
      <c r="U22" s="275"/>
      <c r="V22" s="499" t="str">
        <f ca="1">IF('CDO Bespoke'!C47&lt;&gt;"",'CDO Bespoke'!C47,"")</f>
        <v>BASF SE</v>
      </c>
      <c r="W22" s="501" cm="1">
        <f t="array" aca="1" ref="W22" ca="1">IF($V22&lt;&gt;"",-TRANSPOSE(INDEX(getcds('CDO Bespoke'!$C47,W$13,'CDO Bespoke'!$G47/10000,'CDO Bespoke'!F47,'CDO Bespoke'!$L23,'CDO Bespoke'!$C$13,'CDO Bespoke'!$C$14,'CDO Bespoke'!$C$15,'CDO Bespoke'!$C$8,,,TRUE,TRUE,FALSE,'CDO Bespoke'!$C$29:'CDO Bespoke'!$C$31,'CDO Bespoke'!$C$33),{5})),"")</f>
        <v>-8.5098331827049595E-2</v>
      </c>
      <c r="X22" s="527" cm="1">
        <f t="array" aca="1" ref="X22" ca="1">IF($V22&lt;&gt;"",-TRANSPOSE(INDEX(getcds('CDO Bespoke'!$C47,X$13,'CDO Bespoke'!$G47/10000,'CDO Bespoke'!G47,'CDO Bespoke'!$L23,'CDO Bespoke'!$C$13,'CDO Bespoke'!$C$14,'CDO Bespoke'!$C$15,'CDO Bespoke'!$C$8,,,TRUE,TRUE,FALSE,'CDO Bespoke'!$C$29:'CDO Bespoke'!$C$31,'CDO Bespoke'!$C$33),{5})),"")</f>
        <v>-0.17558153302657201</v>
      </c>
      <c r="Y22" s="527" cm="1">
        <f t="array" aca="1" ref="Y22" ca="1">IF($V22&lt;&gt;"",-TRANSPOSE(INDEX(getcds('CDO Bespoke'!$C47,Y$13,'CDO Bespoke'!$G47/10000,'CDO Bespoke'!H47,'CDO Bespoke'!$L23,'CDO Bespoke'!$C$13,'CDO Bespoke'!$C$14,'CDO Bespoke'!$C$15,'CDO Bespoke'!$C$8,,,TRUE,TRUE,FALSE,'CDO Bespoke'!$C$29:'CDO Bespoke'!$C$31,'CDO Bespoke'!$C$33),{5})),"")</f>
        <v>-0.51788170335281403</v>
      </c>
      <c r="Z22" s="527" cm="1">
        <f t="array" aca="1" ref="Z22" ca="1">IF($V22&lt;&gt;"",-TRANSPOSE(INDEX(getcds('CDO Bespoke'!$C47,Z$13,'CDO Bespoke'!$G47/10000,'CDO Bespoke'!I47,'CDO Bespoke'!$L23,'CDO Bespoke'!$C$13,'CDO Bespoke'!$C$14,'CDO Bespoke'!$C$15,'CDO Bespoke'!$C$8,,,TRUE,TRUE,FALSE,'CDO Bespoke'!$C$29:'CDO Bespoke'!$C$31,'CDO Bespoke'!$C$33),{5})),"")</f>
        <v>-0.82774639282088303</v>
      </c>
      <c r="AA22" s="502" cm="1">
        <f t="array" aca="1" ref="AA22" ca="1">IF($V22&lt;&gt;"",-TRANSPOSE(INDEX(getcds('CDO Bespoke'!$C47,AA$13,'CDO Bespoke'!$G47/10000,'CDO Bespoke'!J47,'CDO Bespoke'!$L23,'CDO Bespoke'!$C$13,'CDO Bespoke'!$C$14,'CDO Bespoke'!$C$15,'CDO Bespoke'!$C$8,,,TRUE,TRUE,FALSE,'CDO Bespoke'!$C$29:'CDO Bespoke'!$C$31,'CDO Bespoke'!$C$33),{5})),"")</f>
        <v>-1.4860209500406001</v>
      </c>
      <c r="AB22" s="481"/>
      <c r="AC22" s="517"/>
      <c r="AD22" s="518"/>
      <c r="AE22" s="518"/>
      <c r="AF22" s="518"/>
      <c r="AG22" s="518"/>
      <c r="AH22" s="518"/>
      <c r="AI22" s="518"/>
      <c r="AJ22" s="518"/>
      <c r="AK22" s="518"/>
      <c r="AL22" s="519"/>
      <c r="AM22" s="540"/>
    </row>
    <row r="23" spans="2:39" ht="12" thickBot="1">
      <c r="D23" s="275"/>
      <c r="E23" s="275"/>
      <c r="F23" s="275"/>
      <c r="G23" s="275"/>
      <c r="H23" s="275"/>
      <c r="I23" s="275"/>
      <c r="J23" s="275"/>
      <c r="K23" s="275"/>
      <c r="L23" s="275"/>
      <c r="M23" s="489">
        <f ca="1">IF('CDO Bespoke'!O24&lt;&gt;"",'CDO Bespoke'!O24,"")</f>
        <v>1.0139642304858401</v>
      </c>
      <c r="N23" s="490">
        <f ca="1">IF(M23&lt;&gt;"",ABS(MIN(-0.75*('CDO Bespoke'!Q24)+'CDO Bespoke'!T24,0)),"")</f>
        <v>1.0169849907211892</v>
      </c>
      <c r="O23" s="490">
        <f t="shared" ca="1" si="0"/>
        <v>0</v>
      </c>
      <c r="P23" s="490">
        <f t="shared" ca="1" si="1"/>
        <v>0</v>
      </c>
      <c r="Q23" s="489">
        <f ca="1">IF('CDO Bespoke'!O24&lt;&gt;"",'CDO Bespoke'!O24,"")</f>
        <v>1.0139642304858401</v>
      </c>
      <c r="R23" s="490">
        <f ca="1">IF(Q23&lt;&gt;"",ABS(MIN(-0.75*('CDO Bespoke'!K24)+'CDO Bespoke'!T24,0)),"")</f>
        <v>0.2452015313348597</v>
      </c>
      <c r="S23" s="490">
        <f t="shared" ca="1" si="2"/>
        <v>0.76876269915098039</v>
      </c>
      <c r="T23" s="494">
        <f t="shared" ca="1" si="3"/>
        <v>0</v>
      </c>
      <c r="U23" s="275"/>
      <c r="V23" s="499" t="str">
        <f ca="1">IF('CDO Bespoke'!C48&lt;&gt;"",'CDO Bespoke'!C48,"")</f>
        <v>Bayer Aktiengesellschaft</v>
      </c>
      <c r="W23" s="501" cm="1">
        <f t="array" aca="1" ref="W23" ca="1">IF($V23&lt;&gt;"",-TRANSPOSE(INDEX(getcds('CDO Bespoke'!$C48,W$13,'CDO Bespoke'!$G48/10000,'CDO Bespoke'!F48,'CDO Bespoke'!$L24,'CDO Bespoke'!$C$13,'CDO Bespoke'!$C$14,'CDO Bespoke'!$C$15,'CDO Bespoke'!$C$8,,,TRUE,TRUE,FALSE,'CDO Bespoke'!$C$29:'CDO Bespoke'!$C$31,'CDO Bespoke'!$C$33),{5})),"")</f>
        <v>-0.15399068651234099</v>
      </c>
      <c r="X23" s="527" cm="1">
        <f t="array" aca="1" ref="X23" ca="1">IF($V23&lt;&gt;"",-TRANSPOSE(INDEX(getcds('CDO Bespoke'!$C48,X$13,'CDO Bespoke'!$G48/10000,'CDO Bespoke'!G48,'CDO Bespoke'!$L24,'CDO Bespoke'!$C$13,'CDO Bespoke'!$C$14,'CDO Bespoke'!$C$15,'CDO Bespoke'!$C$8,,,TRUE,TRUE,FALSE,'CDO Bespoke'!$C$29:'CDO Bespoke'!$C$31,'CDO Bespoke'!$C$33),{5})),"")</f>
        <v>-0.31701374991422698</v>
      </c>
      <c r="Y23" s="527" cm="1">
        <f t="array" aca="1" ref="Y23" ca="1">IF($V23&lt;&gt;"",-TRANSPOSE(INDEX(getcds('CDO Bespoke'!$C48,Y$13,'CDO Bespoke'!$G48/10000,'CDO Bespoke'!H48,'CDO Bespoke'!$L24,'CDO Bespoke'!$C$13,'CDO Bespoke'!$C$14,'CDO Bespoke'!$C$15,'CDO Bespoke'!$C$8,,,TRUE,TRUE,FALSE,'CDO Bespoke'!$C$29:'CDO Bespoke'!$C$31,'CDO Bespoke'!$C$33),{5})),"")</f>
        <v>-0.92686669890565898</v>
      </c>
      <c r="Z23" s="527" cm="1">
        <f t="array" aca="1" ref="Z23" ca="1">IF($V23&lt;&gt;"",-TRANSPOSE(INDEX(getcds('CDO Bespoke'!$C48,Z$13,'CDO Bespoke'!$G48/10000,'CDO Bespoke'!I48,'CDO Bespoke'!$L24,'CDO Bespoke'!$C$13,'CDO Bespoke'!$C$14,'CDO Bespoke'!$C$15,'CDO Bespoke'!$C$8,,,TRUE,TRUE,FALSE,'CDO Bespoke'!$C$29:'CDO Bespoke'!$C$31,'CDO Bespoke'!$C$33),{5})),"")</f>
        <v>-1.46553486118316</v>
      </c>
      <c r="AA23" s="502" cm="1">
        <f t="array" aca="1" ref="AA23" ca="1">IF($V23&lt;&gt;"",-TRANSPOSE(INDEX(getcds('CDO Bespoke'!$C48,AA$13,'CDO Bespoke'!$G48/10000,'CDO Bespoke'!J48,'CDO Bespoke'!$L24,'CDO Bespoke'!$C$13,'CDO Bespoke'!$C$14,'CDO Bespoke'!$C$15,'CDO Bespoke'!$C$8,,,TRUE,TRUE,FALSE,'CDO Bespoke'!$C$29:'CDO Bespoke'!$C$31,'CDO Bespoke'!$C$33),{5})),"")</f>
        <v>-2.6135858319934901</v>
      </c>
      <c r="AB23" s="481"/>
      <c r="AC23" s="517"/>
      <c r="AD23" s="518"/>
      <c r="AE23" s="518"/>
      <c r="AF23" s="518"/>
      <c r="AG23" s="518"/>
      <c r="AH23" s="518"/>
      <c r="AI23" s="518"/>
      <c r="AJ23" s="518"/>
      <c r="AK23" s="518"/>
      <c r="AL23" s="519"/>
      <c r="AM23" s="540"/>
    </row>
    <row r="24" spans="2:39" ht="12" thickBot="1">
      <c r="B24" s="473" t="s">
        <v>656</v>
      </c>
      <c r="C24" s="473" t="s">
        <v>82</v>
      </c>
      <c r="D24" s="473" t="s">
        <v>432</v>
      </c>
      <c r="E24" s="473" t="s">
        <v>657</v>
      </c>
      <c r="F24" s="473" t="s">
        <v>658</v>
      </c>
      <c r="G24" s="473" t="s">
        <v>659</v>
      </c>
      <c r="H24" s="473" t="s">
        <v>660</v>
      </c>
      <c r="I24" s="473" t="s">
        <v>85</v>
      </c>
      <c r="J24" s="481" t="s">
        <v>674</v>
      </c>
      <c r="K24" s="275"/>
      <c r="L24" s="275"/>
      <c r="M24" s="489">
        <f ca="1">IF('CDO Bespoke'!O25&lt;&gt;"",'CDO Bespoke'!O25,"")</f>
        <v>1.0184909493099701</v>
      </c>
      <c r="N24" s="490">
        <f ca="1">IF(M24&lt;&gt;"",ABS(MIN(-0.75*('CDO Bespoke'!Q25)+'CDO Bespoke'!T25,0)),"")</f>
        <v>1.0117372642983358</v>
      </c>
      <c r="O24" s="490">
        <f t="shared" ca="1" si="0"/>
        <v>6.7536850116343139E-3</v>
      </c>
      <c r="P24" s="490">
        <f t="shared" ca="1" si="1"/>
        <v>0</v>
      </c>
      <c r="Q24" s="489">
        <f ca="1">IF('CDO Bespoke'!O25&lt;&gt;"",'CDO Bespoke'!O25,"")</f>
        <v>1.0184909493099701</v>
      </c>
      <c r="R24" s="490">
        <f ca="1">IF(Q24&lt;&gt;"",ABS(MIN(-0.75*('CDO Bespoke'!K25)+'CDO Bespoke'!T25,0)),"")</f>
        <v>0.17620694947471696</v>
      </c>
      <c r="S24" s="490">
        <f t="shared" ca="1" si="2"/>
        <v>0.84228399983525315</v>
      </c>
      <c r="T24" s="494">
        <f t="shared" ca="1" si="3"/>
        <v>0</v>
      </c>
      <c r="U24" s="275"/>
      <c r="V24" s="499" t="str">
        <f ca="1">IF('CDO Bespoke'!C49&lt;&gt;"",'CDO Bespoke'!C49,"")</f>
        <v>Bayerische Motoren Werke Aktiengesellschaft</v>
      </c>
      <c r="W24" s="501" cm="1">
        <f t="array" aca="1" ref="W24" ca="1">IF($V24&lt;&gt;"",-TRANSPOSE(INDEX(getcds('CDO Bespoke'!$C49,W$13,'CDO Bespoke'!$G49/10000,'CDO Bespoke'!F49,'CDO Bespoke'!$L25,'CDO Bespoke'!$C$13,'CDO Bespoke'!$C$14,'CDO Bespoke'!$C$15,'CDO Bespoke'!$C$8,,,TRUE,TRUE,FALSE,'CDO Bespoke'!$C$29:'CDO Bespoke'!$C$31,'CDO Bespoke'!$C$33),{5})),"")</f>
        <v>-9.4453562986129502E-2</v>
      </c>
      <c r="X24" s="527" cm="1">
        <f t="array" aca="1" ref="X24" ca="1">IF($V24&lt;&gt;"",-TRANSPOSE(INDEX(getcds('CDO Bespoke'!$C49,X$13,'CDO Bespoke'!$G49/10000,'CDO Bespoke'!G49,'CDO Bespoke'!$L25,'CDO Bespoke'!$C$13,'CDO Bespoke'!$C$14,'CDO Bespoke'!$C$15,'CDO Bespoke'!$C$8,,,TRUE,TRUE,FALSE,'CDO Bespoke'!$C$29:'CDO Bespoke'!$C$31,'CDO Bespoke'!$C$33),{5})),"")</f>
        <v>-0.19483431207008201</v>
      </c>
      <c r="Y24" s="527" cm="1">
        <f t="array" aca="1" ref="Y24" ca="1">IF($V24&lt;&gt;"",-TRANSPOSE(INDEX(getcds('CDO Bespoke'!$C49,Y$13,'CDO Bespoke'!$G49/10000,'CDO Bespoke'!H49,'CDO Bespoke'!$L25,'CDO Bespoke'!$C$13,'CDO Bespoke'!$C$14,'CDO Bespoke'!$C$15,'CDO Bespoke'!$C$8,,,TRUE,TRUE,FALSE,'CDO Bespoke'!$C$29:'CDO Bespoke'!$C$31,'CDO Bespoke'!$C$33),{5})),"")</f>
        <v>-0.57409424701245604</v>
      </c>
      <c r="Z24" s="527" cm="1">
        <f t="array" aca="1" ref="Z24" ca="1">IF($V24&lt;&gt;"",-TRANSPOSE(INDEX(getcds('CDO Bespoke'!$C49,Z$13,'CDO Bespoke'!$G49/10000,'CDO Bespoke'!I49,'CDO Bespoke'!$L25,'CDO Bespoke'!$C$13,'CDO Bespoke'!$C$14,'CDO Bespoke'!$C$15,'CDO Bespoke'!$C$8,,,TRUE,TRUE,FALSE,'CDO Bespoke'!$C$29:'CDO Bespoke'!$C$31,'CDO Bespoke'!$C$33),{5})),"")</f>
        <v>-0.91651697045414304</v>
      </c>
      <c r="AA24" s="502" cm="1">
        <f t="array" aca="1" ref="AA24" ca="1">IF($V24&lt;&gt;"",-TRANSPOSE(INDEX(getcds('CDO Bespoke'!$C49,AA$13,'CDO Bespoke'!$G49/10000,'CDO Bespoke'!J49,'CDO Bespoke'!$L25,'CDO Bespoke'!$C$13,'CDO Bespoke'!$C$14,'CDO Bespoke'!$C$15,'CDO Bespoke'!$C$8,,,TRUE,TRUE,FALSE,'CDO Bespoke'!$C$29:'CDO Bespoke'!$C$31,'CDO Bespoke'!$C$33),{5})),"")</f>
        <v>-1.6440444494016999</v>
      </c>
      <c r="AB24" s="481"/>
      <c r="AC24" s="517"/>
      <c r="AD24" s="518"/>
      <c r="AE24" s="518"/>
      <c r="AF24" s="518"/>
      <c r="AG24" s="518"/>
      <c r="AH24" s="518"/>
      <c r="AI24" s="518"/>
      <c r="AJ24" s="518"/>
      <c r="AK24" s="518"/>
      <c r="AL24" s="519"/>
      <c r="AM24" s="540"/>
    </row>
    <row r="25" spans="2:39" ht="12" thickBot="1">
      <c r="B25" s="553" t="s">
        <v>510</v>
      </c>
      <c r="C25" s="554" t="s">
        <v>66</v>
      </c>
      <c r="D25" s="554" t="s">
        <v>55</v>
      </c>
      <c r="E25" s="554" t="s">
        <v>661</v>
      </c>
      <c r="F25" s="554" t="s">
        <v>662</v>
      </c>
      <c r="G25" s="555">
        <v>0.01</v>
      </c>
      <c r="H25" s="555">
        <v>3.0899999999999999E-3</v>
      </c>
      <c r="I25" s="556">
        <v>0.4</v>
      </c>
      <c r="J25" s="557">
        <v>1</v>
      </c>
      <c r="K25" s="275"/>
      <c r="L25" s="275"/>
      <c r="M25" s="489">
        <f ca="1">IF('CDO Bespoke'!O26&lt;&gt;"",'CDO Bespoke'!O26,"")</f>
        <v>1.01915420507413</v>
      </c>
      <c r="N25" s="490">
        <f ca="1">IF(M25&lt;&gt;"",ABS(MIN(-0.75*('CDO Bespoke'!Q26)+'CDO Bespoke'!T26,0)),"")</f>
        <v>1.0102558451695767</v>
      </c>
      <c r="O25" s="490">
        <f t="shared" ca="1" si="0"/>
        <v>8.8983599045533435E-3</v>
      </c>
      <c r="P25" s="490">
        <f t="shared" ca="1" si="1"/>
        <v>0</v>
      </c>
      <c r="Q25" s="489">
        <f ca="1">IF('CDO Bespoke'!O26&lt;&gt;"",'CDO Bespoke'!O26,"")</f>
        <v>1.01915420507413</v>
      </c>
      <c r="R25" s="490">
        <f ca="1">IF(Q25&lt;&gt;"",ABS(MIN(-0.75*('CDO Bespoke'!K26)+'CDO Bespoke'!T26,0)),"")</f>
        <v>0.15220739529561794</v>
      </c>
      <c r="S25" s="490">
        <f t="shared" ca="1" si="2"/>
        <v>0.86694680977851202</v>
      </c>
      <c r="T25" s="494">
        <f t="shared" ca="1" si="3"/>
        <v>0</v>
      </c>
      <c r="U25" s="275"/>
      <c r="V25" s="499" t="str">
        <f ca="1">IF('CDO Bespoke'!C50&lt;&gt;"",'CDO Bespoke'!C50,"")</f>
        <v>BOUYGUES</v>
      </c>
      <c r="W25" s="501" cm="1">
        <f t="array" aca="1" ref="W25" ca="1">IF($V25&lt;&gt;"",-TRANSPOSE(INDEX(getcds('CDO Bespoke'!$C50,W$13,'CDO Bespoke'!$G50/10000,'CDO Bespoke'!F50,'CDO Bespoke'!$L26,'CDO Bespoke'!$C$13,'CDO Bespoke'!$C$14,'CDO Bespoke'!$C$15,'CDO Bespoke'!$C$8,,,TRUE,TRUE,FALSE,'CDO Bespoke'!$C$29:'CDO Bespoke'!$C$31,'CDO Bespoke'!$C$33),{5})),"")</f>
        <v>-7.5117750609339007E-2</v>
      </c>
      <c r="X25" s="527" cm="1">
        <f t="array" aca="1" ref="X25" ca="1">IF($V25&lt;&gt;"",-TRANSPOSE(INDEX(getcds('CDO Bespoke'!$C50,X$13,'CDO Bespoke'!$G50/10000,'CDO Bespoke'!G50,'CDO Bespoke'!$L26,'CDO Bespoke'!$C$13,'CDO Bespoke'!$C$14,'CDO Bespoke'!$C$15,'CDO Bespoke'!$C$8,,,TRUE,TRUE,FALSE,'CDO Bespoke'!$C$29:'CDO Bespoke'!$C$31,'CDO Bespoke'!$C$33),{5})),"")</f>
        <v>-0.15499003987964199</v>
      </c>
      <c r="Y25" s="527" cm="1">
        <f t="array" aca="1" ref="Y25" ca="1">IF($V25&lt;&gt;"",-TRANSPOSE(INDEX(getcds('CDO Bespoke'!$C50,Y$13,'CDO Bespoke'!$G50/10000,'CDO Bespoke'!H50,'CDO Bespoke'!$L26,'CDO Bespoke'!$C$13,'CDO Bespoke'!$C$14,'CDO Bespoke'!$C$15,'CDO Bespoke'!$C$8,,,TRUE,TRUE,FALSE,'CDO Bespoke'!$C$29:'CDO Bespoke'!$C$31,'CDO Bespoke'!$C$33),{5})),"")</f>
        <v>-0.45716076904031799</v>
      </c>
      <c r="Z25" s="527" cm="1">
        <f t="array" aca="1" ref="Z25" ca="1">IF($V25&lt;&gt;"",-TRANSPOSE(INDEX(getcds('CDO Bespoke'!$C50,Z$13,'CDO Bespoke'!$G50/10000,'CDO Bespoke'!I50,'CDO Bespoke'!$L26,'CDO Bespoke'!$C$13,'CDO Bespoke'!$C$14,'CDO Bespoke'!$C$15,'CDO Bespoke'!$C$8,,,TRUE,TRUE,FALSE,'CDO Bespoke'!$C$29:'CDO Bespoke'!$C$31,'CDO Bespoke'!$C$33),{5})),"")</f>
        <v>-0.73157042551157403</v>
      </c>
      <c r="AA25" s="502" cm="1">
        <f t="array" aca="1" ref="AA25" ca="1">IF($V25&lt;&gt;"",-TRANSPOSE(INDEX(getcds('CDO Bespoke'!$C50,AA$13,'CDO Bespoke'!$G50/10000,'CDO Bespoke'!J50,'CDO Bespoke'!$L26,'CDO Bespoke'!$C$13,'CDO Bespoke'!$C$14,'CDO Bespoke'!$C$15,'CDO Bespoke'!$C$8,,,TRUE,TRUE,FALSE,'CDO Bespoke'!$C$29:'CDO Bespoke'!$C$31,'CDO Bespoke'!$C$33),{5})),"")</f>
        <v>-1.3161357423173501</v>
      </c>
      <c r="AB25" s="481"/>
      <c r="AC25" s="517"/>
      <c r="AD25" s="518"/>
      <c r="AE25" s="518"/>
      <c r="AF25" s="518"/>
      <c r="AG25" s="518"/>
      <c r="AH25" s="518"/>
      <c r="AI25" s="518"/>
      <c r="AJ25" s="518"/>
      <c r="AK25" s="518"/>
      <c r="AL25" s="519"/>
      <c r="AM25" s="540"/>
    </row>
    <row r="26" spans="2:39" ht="12" thickBot="1">
      <c r="B26" s="541" t="s">
        <v>510</v>
      </c>
      <c r="C26" s="542" t="s">
        <v>66</v>
      </c>
      <c r="D26" s="542" t="s">
        <v>57</v>
      </c>
      <c r="E26" s="542" t="s">
        <v>661</v>
      </c>
      <c r="F26" s="542" t="s">
        <v>662</v>
      </c>
      <c r="G26" s="549">
        <v>0.01</v>
      </c>
      <c r="H26" s="549">
        <v>4.5950000000000001E-3</v>
      </c>
      <c r="I26" s="551">
        <v>0.4</v>
      </c>
      <c r="J26" s="543">
        <v>1</v>
      </c>
      <c r="K26" s="275"/>
      <c r="L26" s="275"/>
      <c r="M26" s="489">
        <f ca="1">IF('CDO Bespoke'!O27&lt;&gt;"",'CDO Bespoke'!O27,"")</f>
        <v>1.0161377425412399</v>
      </c>
      <c r="N26" s="490">
        <f ca="1">IF(M26&lt;&gt;"",ABS(MIN(-0.75*('CDO Bespoke'!Q27)+'CDO Bespoke'!T27,0)),"")</f>
        <v>1.0149348445546411</v>
      </c>
      <c r="O26" s="490">
        <f t="shared" ca="1" si="0"/>
        <v>1.2028979865987832E-3</v>
      </c>
      <c r="P26" s="490">
        <f t="shared" ca="1" si="1"/>
        <v>0</v>
      </c>
      <c r="Q26" s="489">
        <f ca="1">IF('CDO Bespoke'!O27&lt;&gt;"",'CDO Bespoke'!O27,"")</f>
        <v>1.0161377425412399</v>
      </c>
      <c r="R26" s="490">
        <f ca="1">IF(Q26&lt;&gt;"",ABS(MIN(-0.75*('CDO Bespoke'!K27)+'CDO Bespoke'!T27,0)),"")</f>
        <v>0.22014102194142759</v>
      </c>
      <c r="S26" s="490">
        <f t="shared" ca="1" si="2"/>
        <v>0.7959967205998123</v>
      </c>
      <c r="T26" s="494">
        <f t="shared" ca="1" si="3"/>
        <v>0</v>
      </c>
      <c r="U26" s="275"/>
      <c r="V26" s="499" t="str">
        <f ca="1">IF('CDO Bespoke'!C51&lt;&gt;"",'CDO Bespoke'!C51,"")</f>
        <v>CNH Industrial N.V</v>
      </c>
      <c r="W26" s="501" cm="1">
        <f t="array" aca="1" ref="W26" ca="1">IF($V26&lt;&gt;"",-TRANSPOSE(INDEX(getcds('CDO Bespoke'!$C51,W$13,'CDO Bespoke'!$G51/10000,'CDO Bespoke'!F51,'CDO Bespoke'!$L27,'CDO Bespoke'!$C$13,'CDO Bespoke'!$C$14,'CDO Bespoke'!$C$15,'CDO Bespoke'!$C$8,,,TRUE,TRUE,FALSE,'CDO Bespoke'!$C$29:'CDO Bespoke'!$C$31,'CDO Bespoke'!$C$33),{5})),"")</f>
        <v>-0.131779127202452</v>
      </c>
      <c r="X26" s="527" cm="1">
        <f t="array" aca="1" ref="X26" ca="1">IF($V26&lt;&gt;"",-TRANSPOSE(INDEX(getcds('CDO Bespoke'!$C51,X$13,'CDO Bespoke'!$G51/10000,'CDO Bespoke'!G51,'CDO Bespoke'!$L27,'CDO Bespoke'!$C$13,'CDO Bespoke'!$C$14,'CDO Bespoke'!$C$15,'CDO Bespoke'!$C$8,,,TRUE,TRUE,FALSE,'CDO Bespoke'!$C$29:'CDO Bespoke'!$C$31,'CDO Bespoke'!$C$33),{5})),"")</f>
        <v>-0.27154067567025297</v>
      </c>
      <c r="Y26" s="527" cm="1">
        <f t="array" aca="1" ref="Y26" ca="1">IF($V26&lt;&gt;"",-TRANSPOSE(INDEX(getcds('CDO Bespoke'!$C51,Y$13,'CDO Bespoke'!$G51/10000,'CDO Bespoke'!H51,'CDO Bespoke'!$L27,'CDO Bespoke'!$C$13,'CDO Bespoke'!$C$14,'CDO Bespoke'!$C$15,'CDO Bespoke'!$C$8,,,TRUE,TRUE,FALSE,'CDO Bespoke'!$C$29:'CDO Bespoke'!$C$31,'CDO Bespoke'!$C$33),{5})),"")</f>
        <v>-0.79681194522823595</v>
      </c>
      <c r="Z26" s="527" cm="1">
        <f t="array" aca="1" ref="Z26" ca="1">IF($V26&lt;&gt;"",-TRANSPOSE(INDEX(getcds('CDO Bespoke'!$C51,Z$13,'CDO Bespoke'!$G51/10000,'CDO Bespoke'!I51,'CDO Bespoke'!$L27,'CDO Bespoke'!$C$13,'CDO Bespoke'!$C$14,'CDO Bespoke'!$C$15,'CDO Bespoke'!$C$8,,,TRUE,TRUE,FALSE,'CDO Bespoke'!$C$29:'CDO Bespoke'!$C$31,'CDO Bespoke'!$C$33),{5})),"")</f>
        <v>-1.2648808276433501</v>
      </c>
      <c r="AA26" s="502" cm="1">
        <f t="array" aca="1" ref="AA26" ca="1">IF($V26&lt;&gt;"",-TRANSPOSE(INDEX(getcds('CDO Bespoke'!$C51,AA$13,'CDO Bespoke'!$G51/10000,'CDO Bespoke'!J51,'CDO Bespoke'!$L27,'CDO Bespoke'!$C$13,'CDO Bespoke'!$C$14,'CDO Bespoke'!$C$15,'CDO Bespoke'!$C$8,,,TRUE,TRUE,FALSE,'CDO Bespoke'!$C$29:'CDO Bespoke'!$C$31,'CDO Bespoke'!$C$33),{5})),"")</f>
        <v>-2.2577700091460402</v>
      </c>
      <c r="AB26" s="481"/>
      <c r="AC26" s="517"/>
      <c r="AD26" s="518"/>
      <c r="AE26" s="518"/>
      <c r="AF26" s="518"/>
      <c r="AG26" s="518"/>
      <c r="AH26" s="518"/>
      <c r="AI26" s="518"/>
      <c r="AJ26" s="518"/>
      <c r="AK26" s="518"/>
      <c r="AL26" s="519"/>
      <c r="AM26" s="540"/>
    </row>
    <row r="27" spans="2:39" ht="12" thickBot="1">
      <c r="B27" s="558" t="s">
        <v>510</v>
      </c>
      <c r="C27" s="559" t="s">
        <v>66</v>
      </c>
      <c r="D27" s="559" t="s">
        <v>59</v>
      </c>
      <c r="E27" s="559" t="s">
        <v>661</v>
      </c>
      <c r="F27" s="559" t="s">
        <v>662</v>
      </c>
      <c r="G27" s="560">
        <v>0.01</v>
      </c>
      <c r="H27" s="560">
        <v>6.3160000000000004E-3</v>
      </c>
      <c r="I27" s="561">
        <v>0.4</v>
      </c>
      <c r="J27" s="562">
        <v>1</v>
      </c>
      <c r="K27" s="275"/>
      <c r="L27" s="275"/>
      <c r="M27" s="489">
        <f ca="1">IF('CDO Bespoke'!O28&lt;&gt;"",'CDO Bespoke'!O28,"")</f>
        <v>0.95687905950345398</v>
      </c>
      <c r="N27" s="490">
        <f ca="1">IF(M27&lt;&gt;"",ABS(MIN(-0.75*('CDO Bespoke'!Q28)+'CDO Bespoke'!T28,0)),"")</f>
        <v>1.057347960905815</v>
      </c>
      <c r="O27" s="490">
        <f t="shared" ca="1" si="0"/>
        <v>0</v>
      </c>
      <c r="P27" s="490">
        <f t="shared" ca="1" si="1"/>
        <v>0</v>
      </c>
      <c r="Q27" s="489">
        <f ca="1">IF('CDO Bespoke'!O28&lt;&gt;"",'CDO Bespoke'!O28,"")</f>
        <v>0.95687905950345398</v>
      </c>
      <c r="R27" s="490">
        <f ca="1">IF(Q27&lt;&gt;"",ABS(MIN(-0.75*('CDO Bespoke'!K28)+'CDO Bespoke'!T28,0)),"")</f>
        <v>0.37050965259460444</v>
      </c>
      <c r="S27" s="490">
        <f t="shared" ca="1" si="2"/>
        <v>0.58636940690884953</v>
      </c>
      <c r="T27" s="494">
        <f t="shared" ca="1" si="3"/>
        <v>0</v>
      </c>
      <c r="U27" s="275"/>
      <c r="V27" s="499" t="str">
        <f ca="1">IF('CDO Bespoke'!C52&lt;&gt;"",'CDO Bespoke'!C52,"")</f>
        <v>COMPAGNIE DE SAINT-GOBAIN</v>
      </c>
      <c r="W27" s="501" cm="1">
        <f t="array" aca="1" ref="W27" ca="1">IF($V27&lt;&gt;"",-TRANSPOSE(INDEX(getcds('CDO Bespoke'!$C52,W$13,'CDO Bespoke'!$G52/10000,'CDO Bespoke'!F52,'CDO Bespoke'!$L28,'CDO Bespoke'!$C$13,'CDO Bespoke'!$C$14,'CDO Bespoke'!$C$15,'CDO Bespoke'!$C$8,,,TRUE,TRUE,FALSE,'CDO Bespoke'!$C$29:'CDO Bespoke'!$C$31,'CDO Bespoke'!$C$33),{5})),"")</f>
        <v>-0.32349191038731401</v>
      </c>
      <c r="X27" s="527" cm="1">
        <f t="array" aca="1" ref="X27" ca="1">IF($V27&lt;&gt;"",-TRANSPOSE(INDEX(getcds('CDO Bespoke'!$C52,X$13,'CDO Bespoke'!$G52/10000,'CDO Bespoke'!G52,'CDO Bespoke'!$L28,'CDO Bespoke'!$C$13,'CDO Bespoke'!$C$14,'CDO Bespoke'!$C$15,'CDO Bespoke'!$C$8,,,TRUE,TRUE,FALSE,'CDO Bespoke'!$C$29:'CDO Bespoke'!$C$31,'CDO Bespoke'!$C$33),{5})),"")</f>
        <v>-0.66726459782593806</v>
      </c>
      <c r="Y27" s="527" cm="1">
        <f t="array" aca="1" ref="Y27" ca="1">IF($V27&lt;&gt;"",-TRANSPOSE(INDEX(getcds('CDO Bespoke'!$C52,Y$13,'CDO Bespoke'!$G52/10000,'CDO Bespoke'!H52,'CDO Bespoke'!$L28,'CDO Bespoke'!$C$13,'CDO Bespoke'!$C$14,'CDO Bespoke'!$C$15,'CDO Bespoke'!$C$8,,,TRUE,TRUE,FALSE,'CDO Bespoke'!$C$29:'CDO Bespoke'!$C$31,'CDO Bespoke'!$C$33),{5})),"")</f>
        <v>-1.9659256205972</v>
      </c>
      <c r="Z27" s="527" cm="1">
        <f t="array" aca="1" ref="Z27" ca="1">IF($V27&lt;&gt;"",-TRANSPOSE(INDEX(getcds('CDO Bespoke'!$C52,Z$13,'CDO Bespoke'!$G52/10000,'CDO Bespoke'!I52,'CDO Bespoke'!$L28,'CDO Bespoke'!$C$13,'CDO Bespoke'!$C$14,'CDO Bespoke'!$C$15,'CDO Bespoke'!$C$8,,,TRUE,TRUE,FALSE,'CDO Bespoke'!$C$29:'CDO Bespoke'!$C$31,'CDO Bespoke'!$C$33),{5})),"")</f>
        <v>-2.9587683319954499</v>
      </c>
      <c r="AA27" s="502" cm="1">
        <f t="array" aca="1" ref="AA27" ca="1">IF($V27&lt;&gt;"",-TRANSPOSE(INDEX(getcds('CDO Bespoke'!$C52,AA$13,'CDO Bespoke'!$G52/10000,'CDO Bespoke'!J52,'CDO Bespoke'!$L28,'CDO Bespoke'!$C$13,'CDO Bespoke'!$C$14,'CDO Bespoke'!$C$15,'CDO Bespoke'!$C$8,,,TRUE,TRUE,FALSE,'CDO Bespoke'!$C$29:'CDO Bespoke'!$C$31,'CDO Bespoke'!$C$33),{5})),"")</f>
        <v>-5.2183673232719503</v>
      </c>
      <c r="AB27" s="481"/>
      <c r="AC27" s="517"/>
      <c r="AD27" s="518"/>
      <c r="AE27" s="518"/>
      <c r="AF27" s="518"/>
      <c r="AG27" s="518"/>
      <c r="AH27" s="518"/>
      <c r="AI27" s="518"/>
      <c r="AJ27" s="518"/>
      <c r="AK27" s="518"/>
      <c r="AL27" s="519"/>
      <c r="AM27" s="540"/>
    </row>
    <row r="28" spans="2:39" ht="12" thickBot="1">
      <c r="B28" s="563" t="s">
        <v>511</v>
      </c>
      <c r="C28" s="564" t="s">
        <v>66</v>
      </c>
      <c r="D28" s="564" t="s">
        <v>55</v>
      </c>
      <c r="E28" s="564" t="s">
        <v>661</v>
      </c>
      <c r="F28" s="564" t="s">
        <v>662</v>
      </c>
      <c r="G28" s="565">
        <v>0.01</v>
      </c>
      <c r="H28" s="565">
        <v>2.9420000000000002E-3</v>
      </c>
      <c r="I28" s="566">
        <v>0.4</v>
      </c>
      <c r="J28" s="567">
        <v>2</v>
      </c>
      <c r="K28" s="275"/>
      <c r="L28" s="275"/>
      <c r="M28" s="489">
        <f ca="1">IF('CDO Bespoke'!O29&lt;&gt;"",'CDO Bespoke'!O29,"")</f>
        <v>1.0155791407467101</v>
      </c>
      <c r="N28" s="490">
        <f ca="1">IF(M28&lt;&gt;"",ABS(MIN(-0.75*('CDO Bespoke'!Q29)+'CDO Bespoke'!T29,0)),"")</f>
        <v>1.0158448582015607</v>
      </c>
      <c r="O28" s="490">
        <f t="shared" ca="1" si="0"/>
        <v>0</v>
      </c>
      <c r="P28" s="490">
        <f t="shared" ca="1" si="1"/>
        <v>0</v>
      </c>
      <c r="Q28" s="489">
        <f ca="1">IF('CDO Bespoke'!O29&lt;&gt;"",'CDO Bespoke'!O29,"")</f>
        <v>1.0155791407467101</v>
      </c>
      <c r="R28" s="490">
        <f ca="1">IF(Q28&lt;&gt;"",ABS(MIN(-0.75*('CDO Bespoke'!K29)+'CDO Bespoke'!T29,0)),"")</f>
        <v>0.22773177537560288</v>
      </c>
      <c r="S28" s="490">
        <f t="shared" ca="1" si="2"/>
        <v>0.78784736537110722</v>
      </c>
      <c r="T28" s="494">
        <f t="shared" ca="1" si="3"/>
        <v>0</v>
      </c>
      <c r="U28" s="275"/>
      <c r="V28" s="499" t="str">
        <f ca="1">IF('CDO Bespoke'!C53&lt;&gt;"",'CDO Bespoke'!C53,"")</f>
        <v>Continental Aktiengesellschaft</v>
      </c>
      <c r="W28" s="501" cm="1">
        <f t="array" aca="1" ref="W28" ca="1">IF($V28&lt;&gt;"",-TRANSPOSE(INDEX(getcds('CDO Bespoke'!$C53,W$13,'CDO Bespoke'!$G53/10000,'CDO Bespoke'!F53,'CDO Bespoke'!$L29,'CDO Bespoke'!$C$13,'CDO Bespoke'!$C$14,'CDO Bespoke'!$C$15,'CDO Bespoke'!$C$8,,,TRUE,TRUE,FALSE,'CDO Bespoke'!$C$29:'CDO Bespoke'!$C$31,'CDO Bespoke'!$C$33),{5})),"")</f>
        <v>-0.138960257560407</v>
      </c>
      <c r="X28" s="527" cm="1">
        <f t="array" aca="1" ref="X28" ca="1">IF($V28&lt;&gt;"",-TRANSPOSE(INDEX(getcds('CDO Bespoke'!$C53,X$13,'CDO Bespoke'!$G53/10000,'CDO Bespoke'!G53,'CDO Bespoke'!$L29,'CDO Bespoke'!$C$13,'CDO Bespoke'!$C$14,'CDO Bespoke'!$C$15,'CDO Bespoke'!$C$8,,,TRUE,TRUE,FALSE,'CDO Bespoke'!$C$29:'CDO Bespoke'!$C$31,'CDO Bespoke'!$C$33),{5})),"")</f>
        <v>-0.28636465694549101</v>
      </c>
      <c r="Y28" s="527" cm="1">
        <f t="array" aca="1" ref="Y28" ca="1">IF($V28&lt;&gt;"",-TRANSPOSE(INDEX(getcds('CDO Bespoke'!$C53,Y$13,'CDO Bespoke'!$G53/10000,'CDO Bespoke'!H53,'CDO Bespoke'!$L29,'CDO Bespoke'!$C$13,'CDO Bespoke'!$C$14,'CDO Bespoke'!$C$15,'CDO Bespoke'!$C$8,,,TRUE,TRUE,FALSE,'CDO Bespoke'!$C$29:'CDO Bespoke'!$C$31,'CDO Bespoke'!$C$33),{5})),"")</f>
        <v>-0.84061856198351803</v>
      </c>
      <c r="Z28" s="527" cm="1">
        <f t="array" aca="1" ref="Z28" ca="1">IF($V28&lt;&gt;"",-TRANSPOSE(INDEX(getcds('CDO Bespoke'!$C53,Z$13,'CDO Bespoke'!$G53/10000,'CDO Bespoke'!I53,'CDO Bespoke'!$L29,'CDO Bespoke'!$C$13,'CDO Bespoke'!$C$14,'CDO Bespoke'!$C$15,'CDO Bespoke'!$C$8,,,TRUE,TRUE,FALSE,'CDO Bespoke'!$C$29:'CDO Bespoke'!$C$31,'CDO Bespoke'!$C$33),{5})),"")</f>
        <v>-1.3328389024200999</v>
      </c>
      <c r="AA28" s="502" cm="1">
        <f t="array" aca="1" ref="AA28" ca="1">IF($V28&lt;&gt;"",-TRANSPOSE(INDEX(getcds('CDO Bespoke'!$C53,AA$13,'CDO Bespoke'!$G53/10000,'CDO Bespoke'!J53,'CDO Bespoke'!$L29,'CDO Bespoke'!$C$13,'CDO Bespoke'!$C$14,'CDO Bespoke'!$C$15,'CDO Bespoke'!$C$8,,,TRUE,TRUE,FALSE,'CDO Bespoke'!$C$29:'CDO Bespoke'!$C$31,'CDO Bespoke'!$C$33),{5})),"")</f>
        <v>-2.3765387851008799</v>
      </c>
      <c r="AB28" s="481"/>
      <c r="AC28" s="517"/>
      <c r="AD28" s="518"/>
      <c r="AE28" s="518"/>
      <c r="AF28" s="518"/>
      <c r="AG28" s="518"/>
      <c r="AH28" s="518"/>
      <c r="AI28" s="518"/>
      <c r="AJ28" s="518"/>
      <c r="AK28" s="518"/>
      <c r="AL28" s="519"/>
      <c r="AM28" s="540"/>
    </row>
    <row r="29" spans="2:39" ht="12" thickBot="1">
      <c r="B29" s="541" t="s">
        <v>511</v>
      </c>
      <c r="C29" s="542" t="s">
        <v>66</v>
      </c>
      <c r="D29" s="542" t="s">
        <v>57</v>
      </c>
      <c r="E29" s="542" t="s">
        <v>661</v>
      </c>
      <c r="F29" s="542" t="s">
        <v>662</v>
      </c>
      <c r="G29" s="549">
        <v>0.01</v>
      </c>
      <c r="H29" s="549">
        <v>4.9529999999999999E-3</v>
      </c>
      <c r="I29" s="551">
        <v>0.4</v>
      </c>
      <c r="J29" s="543">
        <v>2</v>
      </c>
      <c r="K29" s="275"/>
      <c r="L29" s="275"/>
      <c r="M29" s="489">
        <f ca="1">IF('CDO Bespoke'!O30&lt;&gt;"",'CDO Bespoke'!O30,"")</f>
        <v>1.01481805702345</v>
      </c>
      <c r="N29" s="490">
        <f ca="1">IF(M29&lt;&gt;"",ABS(MIN(-0.75*('CDO Bespoke'!Q30)+'CDO Bespoke'!T30,0)),"")</f>
        <v>1.0168888660518252</v>
      </c>
      <c r="O29" s="490">
        <f t="shared" ca="1" si="0"/>
        <v>0</v>
      </c>
      <c r="P29" s="490">
        <f t="shared" ca="1" si="1"/>
        <v>0</v>
      </c>
      <c r="Q29" s="489">
        <f ca="1">IF('CDO Bespoke'!O30&lt;&gt;"",'CDO Bespoke'!O30,"")</f>
        <v>1.01481805702345</v>
      </c>
      <c r="R29" s="490">
        <f ca="1">IF(Q29&lt;&gt;"",ABS(MIN(-0.75*('CDO Bespoke'!K30)+'CDO Bespoke'!T30,0)),"")</f>
        <v>0.23649197918707907</v>
      </c>
      <c r="S29" s="490">
        <f t="shared" ca="1" si="2"/>
        <v>0.77832607783637087</v>
      </c>
      <c r="T29" s="494">
        <f t="shared" ca="1" si="3"/>
        <v>0</v>
      </c>
      <c r="U29" s="275"/>
      <c r="V29" s="499" t="str">
        <f ca="1">IF('CDO Bespoke'!C54&lt;&gt;"",'CDO Bespoke'!C54,"")</f>
        <v>Glencore International AG</v>
      </c>
      <c r="W29" s="501" cm="1">
        <f t="array" aca="1" ref="W29" ca="1">IF($V29&lt;&gt;"",-TRANSPOSE(INDEX(getcds('CDO Bespoke'!$C54,W$13,'CDO Bespoke'!$G54/10000,'CDO Bespoke'!F54,'CDO Bespoke'!$L30,'CDO Bespoke'!$C$13,'CDO Bespoke'!$C$14,'CDO Bespoke'!$C$15,'CDO Bespoke'!$C$8,,,TRUE,TRUE,FALSE,'CDO Bespoke'!$C$29:'CDO Bespoke'!$C$31,'CDO Bespoke'!$C$33),{5})),"")</f>
        <v>-0.14730098382218701</v>
      </c>
      <c r="X29" s="527" cm="1">
        <f t="array" aca="1" ref="X29" ca="1">IF($V29&lt;&gt;"",-TRANSPOSE(INDEX(getcds('CDO Bespoke'!$C54,X$13,'CDO Bespoke'!$G54/10000,'CDO Bespoke'!G54,'CDO Bespoke'!$L30,'CDO Bespoke'!$C$13,'CDO Bespoke'!$C$14,'CDO Bespoke'!$C$15,'CDO Bespoke'!$C$8,,,TRUE,TRUE,FALSE,'CDO Bespoke'!$C$29:'CDO Bespoke'!$C$31,'CDO Bespoke'!$C$33),{5})),"")</f>
        <v>-0.30355773258715302</v>
      </c>
      <c r="Y29" s="527" cm="1">
        <f t="array" aca="1" ref="Y29" ca="1">IF($V29&lt;&gt;"",-TRANSPOSE(INDEX(getcds('CDO Bespoke'!$C54,Y$13,'CDO Bespoke'!$G54/10000,'CDO Bespoke'!H54,'CDO Bespoke'!$L30,'CDO Bespoke'!$C$13,'CDO Bespoke'!$C$14,'CDO Bespoke'!$C$15,'CDO Bespoke'!$C$8,,,TRUE,TRUE,FALSE,'CDO Bespoke'!$C$29:'CDO Bespoke'!$C$31,'CDO Bespoke'!$C$33),{5})),"")</f>
        <v>-0.891143515745773</v>
      </c>
      <c r="Z29" s="527" cm="1">
        <f t="array" aca="1" ref="Z29" ca="1">IF($V29&lt;&gt;"",-TRANSPOSE(INDEX(getcds('CDO Bespoke'!$C54,Z$13,'CDO Bespoke'!$G54/10000,'CDO Bespoke'!I54,'CDO Bespoke'!$L30,'CDO Bespoke'!$C$13,'CDO Bespoke'!$C$14,'CDO Bespoke'!$C$15,'CDO Bespoke'!$C$8,,,TRUE,TRUE,FALSE,'CDO Bespoke'!$C$29:'CDO Bespoke'!$C$31,'CDO Bespoke'!$C$33),{5})),"")</f>
        <v>-1.4108922289909001</v>
      </c>
      <c r="AA29" s="502" cm="1">
        <f t="array" aca="1" ref="AA29" ca="1">IF($V29&lt;&gt;"",-TRANSPOSE(INDEX(getcds('CDO Bespoke'!$C54,AA$13,'CDO Bespoke'!$G54/10000,'CDO Bespoke'!J54,'CDO Bespoke'!$L30,'CDO Bespoke'!$C$13,'CDO Bespoke'!$C$14,'CDO Bespoke'!$C$15,'CDO Bespoke'!$C$8,,,TRUE,TRUE,FALSE,'CDO Bespoke'!$C$29:'CDO Bespoke'!$C$31,'CDO Bespoke'!$C$33),{5})),"")</f>
        <v>-2.5038775879478399</v>
      </c>
      <c r="AB29" s="481"/>
      <c r="AC29" s="517"/>
      <c r="AD29" s="518"/>
      <c r="AE29" s="518"/>
      <c r="AF29" s="518"/>
      <c r="AG29" s="518"/>
      <c r="AH29" s="518"/>
      <c r="AI29" s="518"/>
      <c r="AJ29" s="518"/>
      <c r="AK29" s="518"/>
      <c r="AL29" s="519"/>
      <c r="AM29" s="540"/>
    </row>
    <row r="30" spans="2:39" ht="12" thickBot="1">
      <c r="B30" s="558" t="s">
        <v>511</v>
      </c>
      <c r="C30" s="559" t="s">
        <v>66</v>
      </c>
      <c r="D30" s="559" t="s">
        <v>59</v>
      </c>
      <c r="E30" s="559" t="s">
        <v>661</v>
      </c>
      <c r="F30" s="559" t="s">
        <v>662</v>
      </c>
      <c r="G30" s="560">
        <v>0.01</v>
      </c>
      <c r="H30" s="560">
        <v>7.0489999999999997E-3</v>
      </c>
      <c r="I30" s="561">
        <v>0.4</v>
      </c>
      <c r="J30" s="562">
        <v>2</v>
      </c>
      <c r="K30" s="275"/>
      <c r="L30" s="275"/>
      <c r="M30" s="489">
        <f ca="1">IF('CDO Bespoke'!O31&lt;&gt;"",'CDO Bespoke'!O31,"")</f>
        <v>1.0194660533934901</v>
      </c>
      <c r="N30" s="490">
        <f ca="1">IF(M30&lt;&gt;"",ABS(MIN(-0.75*('CDO Bespoke'!Q31)+'CDO Bespoke'!T31,0)),"")</f>
        <v>1.0095008025670464</v>
      </c>
      <c r="O30" s="490">
        <f t="shared" ca="1" si="0"/>
        <v>9.9652508264436168E-3</v>
      </c>
      <c r="P30" s="490">
        <f t="shared" ca="1" si="1"/>
        <v>0</v>
      </c>
      <c r="Q30" s="489">
        <f ca="1">IF('CDO Bespoke'!O31&lt;&gt;"",'CDO Bespoke'!O31,"")</f>
        <v>1.0194660533934901</v>
      </c>
      <c r="R30" s="490">
        <f ca="1">IF(Q30&lt;&gt;"",ABS(MIN(-0.75*('CDO Bespoke'!K31)+'CDO Bespoke'!T31,0)),"")</f>
        <v>0.13555955665707542</v>
      </c>
      <c r="S30" s="490">
        <f t="shared" ca="1" si="2"/>
        <v>0.88390649673641464</v>
      </c>
      <c r="T30" s="494">
        <f t="shared" ca="1" si="3"/>
        <v>0</v>
      </c>
      <c r="U30" s="275"/>
      <c r="V30" s="499" t="str">
        <f ca="1">IF('CDO Bespoke'!C55&lt;&gt;"",'CDO Bespoke'!C55,"")</f>
        <v>GSK PLC</v>
      </c>
      <c r="W30" s="501" cm="1">
        <f t="array" aca="1" ref="W30" ca="1">IF($V30&lt;&gt;"",-TRANSPOSE(INDEX(getcds('CDO Bespoke'!$C55,W$13,'CDO Bespoke'!$G55/10000,'CDO Bespoke'!F55,'CDO Bespoke'!$L31,'CDO Bespoke'!$C$13,'CDO Bespoke'!$C$14,'CDO Bespoke'!$C$15,'CDO Bespoke'!$C$8,,,TRUE,TRUE,FALSE,'CDO Bespoke'!$C$29:'CDO Bespoke'!$C$31,'CDO Bespoke'!$C$33),{5})),"")</f>
        <v>-6.2465415557950099E-2</v>
      </c>
      <c r="X30" s="527" cm="1">
        <f t="array" aca="1" ref="X30" ca="1">IF($V30&lt;&gt;"",-TRANSPOSE(INDEX(getcds('CDO Bespoke'!$C55,X$13,'CDO Bespoke'!$G55/10000,'CDO Bespoke'!G55,'CDO Bespoke'!$L31,'CDO Bespoke'!$C$13,'CDO Bespoke'!$C$14,'CDO Bespoke'!$C$15,'CDO Bespoke'!$C$8,,,TRUE,TRUE,FALSE,'CDO Bespoke'!$C$29:'CDO Bespoke'!$C$31,'CDO Bespoke'!$C$33),{5})),"")</f>
        <v>-0.12892072489737499</v>
      </c>
      <c r="Y30" s="527" cm="1">
        <f t="array" aca="1" ref="Y30" ca="1">IF($V30&lt;&gt;"",-TRANSPOSE(INDEX(getcds('CDO Bespoke'!$C55,Y$13,'CDO Bespoke'!$G55/10000,'CDO Bespoke'!H55,'CDO Bespoke'!$L31,'CDO Bespoke'!$C$13,'CDO Bespoke'!$C$14,'CDO Bespoke'!$C$15,'CDO Bespoke'!$C$8,,,TRUE,TRUE,FALSE,'CDO Bespoke'!$C$29:'CDO Bespoke'!$C$31,'CDO Bespoke'!$C$33),{5})),"")</f>
        <v>-0.38068521762240898</v>
      </c>
      <c r="Z30" s="527" cm="1">
        <f t="array" aca="1" ref="Z30" ca="1">IF($V30&lt;&gt;"",-TRANSPOSE(INDEX(getcds('CDO Bespoke'!$C55,Z$13,'CDO Bespoke'!$G55/10000,'CDO Bespoke'!I55,'CDO Bespoke'!$L31,'CDO Bespoke'!$C$13,'CDO Bespoke'!$C$14,'CDO Bespoke'!$C$15,'CDO Bespoke'!$C$8,,,TRUE,TRUE,FALSE,'CDO Bespoke'!$C$29:'CDO Bespoke'!$C$31,'CDO Bespoke'!$C$33),{5})),"")</f>
        <v>-0.61000197262407496</v>
      </c>
      <c r="AA30" s="502" cm="1">
        <f t="array" aca="1" ref="AA30" ca="1">IF($V30&lt;&gt;"",-TRANSPOSE(INDEX(getcds('CDO Bespoke'!$C55,AA$13,'CDO Bespoke'!$G55/10000,'CDO Bespoke'!J55,'CDO Bespoke'!$L31,'CDO Bespoke'!$C$13,'CDO Bespoke'!$C$14,'CDO Bespoke'!$C$15,'CDO Bespoke'!$C$8,,,TRUE,TRUE,FALSE,'CDO Bespoke'!$C$29:'CDO Bespoke'!$C$31,'CDO Bespoke'!$C$33),{5})),"")</f>
        <v>-1.0986942613655299</v>
      </c>
      <c r="AB30" s="481"/>
      <c r="AC30" s="517"/>
      <c r="AD30" s="518"/>
      <c r="AE30" s="518"/>
      <c r="AF30" s="518"/>
      <c r="AG30" s="518"/>
      <c r="AH30" s="518"/>
      <c r="AI30" s="518"/>
      <c r="AJ30" s="518"/>
      <c r="AK30" s="518"/>
      <c r="AL30" s="519"/>
      <c r="AM30" s="540"/>
    </row>
    <row r="31" spans="2:39" ht="12" thickBot="1">
      <c r="B31" s="563" t="s">
        <v>531</v>
      </c>
      <c r="C31" s="564" t="s">
        <v>66</v>
      </c>
      <c r="D31" s="564" t="s">
        <v>55</v>
      </c>
      <c r="E31" s="564" t="s">
        <v>663</v>
      </c>
      <c r="F31" s="564" t="s">
        <v>664</v>
      </c>
      <c r="G31" s="565">
        <v>0.01</v>
      </c>
      <c r="H31" s="565">
        <v>3.0409999999999999E-3</v>
      </c>
      <c r="I31" s="566">
        <v>0.4</v>
      </c>
      <c r="J31" s="567">
        <v>3</v>
      </c>
      <c r="K31" s="275"/>
      <c r="L31" s="275"/>
      <c r="M31" s="489">
        <f ca="1">IF('CDO Bespoke'!O32&lt;&gt;"",'CDO Bespoke'!O32,"")</f>
        <v>1.0161833187273199</v>
      </c>
      <c r="N31" s="490">
        <f ca="1">IF(M31&lt;&gt;"",ABS(MIN(-0.75*('CDO Bespoke'!Q32)+'CDO Bespoke'!T32,0)),"")</f>
        <v>1.0149943600194726</v>
      </c>
      <c r="O31" s="490">
        <f t="shared" ca="1" si="0"/>
        <v>1.1889587078472985E-3</v>
      </c>
      <c r="P31" s="490">
        <f t="shared" ca="1" si="1"/>
        <v>0</v>
      </c>
      <c r="Q31" s="489">
        <f ca="1">IF('CDO Bespoke'!O32&lt;&gt;"",'CDO Bespoke'!O32,"")</f>
        <v>1.0161833187273199</v>
      </c>
      <c r="R31" s="490">
        <f ca="1">IF(Q31&lt;&gt;"",ABS(MIN(-0.75*('CDO Bespoke'!K32)+'CDO Bespoke'!T32,0)),"")</f>
        <v>0.21977591735561985</v>
      </c>
      <c r="S31" s="490">
        <f t="shared" ca="1" si="2"/>
        <v>0.79640740137170007</v>
      </c>
      <c r="T31" s="494">
        <f t="shared" ca="1" si="3"/>
        <v>0</v>
      </c>
      <c r="U31" s="275"/>
      <c r="V31" s="499" t="str">
        <f ca="1">IF('CDO Bespoke'!C56&lt;&gt;"",'CDO Bespoke'!C56,"")</f>
        <v>Heidelberg Materials AG</v>
      </c>
      <c r="W31" s="501" cm="1">
        <f t="array" aca="1" ref="W31" ca="1">IF($V31&lt;&gt;"",-TRANSPOSE(INDEX(getcds('CDO Bespoke'!$C56,W$13,'CDO Bespoke'!$G56/10000,'CDO Bespoke'!F56,'CDO Bespoke'!$L32,'CDO Bespoke'!$C$13,'CDO Bespoke'!$C$14,'CDO Bespoke'!$C$15,'CDO Bespoke'!$C$8,,,TRUE,TRUE,FALSE,'CDO Bespoke'!$C$29:'CDO Bespoke'!$C$31,'CDO Bespoke'!$C$33),{5})),"")</f>
        <v>-0.13159775806628901</v>
      </c>
      <c r="X31" s="527" cm="1">
        <f t="array" aca="1" ref="X31" ca="1">IF($V31&lt;&gt;"",-TRANSPOSE(INDEX(getcds('CDO Bespoke'!$C56,X$13,'CDO Bespoke'!$G56/10000,'CDO Bespoke'!G56,'CDO Bespoke'!$L32,'CDO Bespoke'!$C$13,'CDO Bespoke'!$C$14,'CDO Bespoke'!$C$15,'CDO Bespoke'!$C$8,,,TRUE,TRUE,FALSE,'CDO Bespoke'!$C$29:'CDO Bespoke'!$C$31,'CDO Bespoke'!$C$33),{5})),"")</f>
        <v>-0.271201489919564</v>
      </c>
      <c r="Y31" s="527" cm="1">
        <f t="array" aca="1" ref="Y31" ca="1">IF($V31&lt;&gt;"",-TRANSPOSE(INDEX(getcds('CDO Bespoke'!$C56,Y$13,'CDO Bespoke'!$G56/10000,'CDO Bespoke'!H56,'CDO Bespoke'!$L32,'CDO Bespoke'!$C$13,'CDO Bespoke'!$C$14,'CDO Bespoke'!$C$15,'CDO Bespoke'!$C$8,,,TRUE,TRUE,FALSE,'CDO Bespoke'!$C$29:'CDO Bespoke'!$C$31,'CDO Bespoke'!$C$33),{5})),"")</f>
        <v>-0.79621333297093799</v>
      </c>
      <c r="Z31" s="527" cm="1">
        <f t="array" aca="1" ref="Z31" ca="1">IF($V31&lt;&gt;"",-TRANSPOSE(INDEX(getcds('CDO Bespoke'!$C56,Z$13,'CDO Bespoke'!$G56/10000,'CDO Bespoke'!I56,'CDO Bespoke'!$L32,'CDO Bespoke'!$C$13,'CDO Bespoke'!$C$14,'CDO Bespoke'!$C$15,'CDO Bespoke'!$C$8,,,TRUE,TRUE,FALSE,'CDO Bespoke'!$C$29:'CDO Bespoke'!$C$31,'CDO Bespoke'!$C$33),{5})),"")</f>
        <v>-1.2640005727783501</v>
      </c>
      <c r="AA31" s="502" cm="1">
        <f t="array" aca="1" ref="AA31" ca="1">IF($V31&lt;&gt;"",-TRANSPOSE(INDEX(getcds('CDO Bespoke'!$C56,AA$13,'CDO Bespoke'!$G56/10000,'CDO Bespoke'!J56,'CDO Bespoke'!$L32,'CDO Bespoke'!$C$13,'CDO Bespoke'!$C$14,'CDO Bespoke'!$C$15,'CDO Bespoke'!$C$8,,,TRUE,TRUE,FALSE,'CDO Bespoke'!$C$29:'CDO Bespoke'!$C$31,'CDO Bespoke'!$C$33),{5})),"")</f>
        <v>-2.25369802231639</v>
      </c>
      <c r="AB31" s="481"/>
      <c r="AC31" s="517"/>
      <c r="AD31" s="518"/>
      <c r="AE31" s="518"/>
      <c r="AF31" s="518"/>
      <c r="AG31" s="518"/>
      <c r="AH31" s="518"/>
      <c r="AI31" s="518"/>
      <c r="AJ31" s="518"/>
      <c r="AK31" s="518"/>
      <c r="AL31" s="519"/>
      <c r="AM31" s="540"/>
    </row>
    <row r="32" spans="2:39" ht="12" thickBot="1">
      <c r="B32" s="541" t="s">
        <v>531</v>
      </c>
      <c r="C32" s="542" t="s">
        <v>66</v>
      </c>
      <c r="D32" s="542" t="s">
        <v>57</v>
      </c>
      <c r="E32" s="542" t="s">
        <v>663</v>
      </c>
      <c r="F32" s="542" t="s">
        <v>664</v>
      </c>
      <c r="G32" s="549">
        <v>0.01</v>
      </c>
      <c r="H32" s="549">
        <v>5.1590000000000004E-3</v>
      </c>
      <c r="I32" s="551">
        <v>0.4</v>
      </c>
      <c r="J32" s="543">
        <v>3</v>
      </c>
      <c r="K32" s="275"/>
      <c r="L32" s="275"/>
      <c r="M32" s="489">
        <f ca="1">IF('CDO Bespoke'!O33&lt;&gt;"",'CDO Bespoke'!O33,"")</f>
        <v>1.01730923569947</v>
      </c>
      <c r="N32" s="490">
        <f ca="1">IF(M32&lt;&gt;"",ABS(MIN(-0.75*('CDO Bespoke'!Q33)+'CDO Bespoke'!T33,0)),"")</f>
        <v>1.0135797098361945</v>
      </c>
      <c r="O32" s="490">
        <f t="shared" ca="1" si="0"/>
        <v>3.7295258632754624E-3</v>
      </c>
      <c r="P32" s="490">
        <f t="shared" ca="1" si="1"/>
        <v>0</v>
      </c>
      <c r="Q32" s="489">
        <f ca="1">IF('CDO Bespoke'!O33&lt;&gt;"",'CDO Bespoke'!O33,"")</f>
        <v>1.01730923569947</v>
      </c>
      <c r="R32" s="490">
        <f ca="1">IF(Q32&lt;&gt;"",ABS(MIN(-0.75*('CDO Bespoke'!K33)+'CDO Bespoke'!T33,0)),"")</f>
        <v>0.2029133110560391</v>
      </c>
      <c r="S32" s="490">
        <f t="shared" ca="1" si="2"/>
        <v>0.81439592464343091</v>
      </c>
      <c r="T32" s="494">
        <f t="shared" ca="1" si="3"/>
        <v>0</v>
      </c>
      <c r="U32" s="275"/>
      <c r="V32" s="499" t="str">
        <f ca="1">IF('CDO Bespoke'!C57&lt;&gt;"",'CDO Bespoke'!C57,"")</f>
        <v>Holcim AG</v>
      </c>
      <c r="W32" s="501" cm="1">
        <f t="array" aca="1" ref="W32" ca="1">IF($V32&lt;&gt;"",-TRANSPOSE(INDEX(getcds('CDO Bespoke'!$C57,W$13,'CDO Bespoke'!$G57/10000,'CDO Bespoke'!F57,'CDO Bespoke'!$L33,'CDO Bespoke'!$C$13,'CDO Bespoke'!$C$14,'CDO Bespoke'!$C$15,'CDO Bespoke'!$C$8,,,TRUE,TRUE,FALSE,'CDO Bespoke'!$C$29:'CDO Bespoke'!$C$31,'CDO Bespoke'!$C$33),{5})),"")</f>
        <v>-0.11672315345039699</v>
      </c>
      <c r="X32" s="527" cm="1">
        <f t="array" aca="1" ref="X32" ca="1">IF($V32&lt;&gt;"",-TRANSPOSE(INDEX(getcds('CDO Bespoke'!$C57,X$13,'CDO Bespoke'!$G57/10000,'CDO Bespoke'!G57,'CDO Bespoke'!$L33,'CDO Bespoke'!$C$13,'CDO Bespoke'!$C$14,'CDO Bespoke'!$C$15,'CDO Bespoke'!$C$8,,,TRUE,TRUE,FALSE,'CDO Bespoke'!$C$29:'CDO Bespoke'!$C$31,'CDO Bespoke'!$C$33),{5})),"")</f>
        <v>-0.24064908463568299</v>
      </c>
      <c r="Y32" s="527" cm="1">
        <f t="array" aca="1" ref="Y32" ca="1">IF($V32&lt;&gt;"",-TRANSPOSE(INDEX(getcds('CDO Bespoke'!$C57,Y$13,'CDO Bespoke'!$G57/10000,'CDO Bespoke'!H57,'CDO Bespoke'!$L33,'CDO Bespoke'!$C$13,'CDO Bespoke'!$C$14,'CDO Bespoke'!$C$15,'CDO Bespoke'!$C$8,,,TRUE,TRUE,FALSE,'CDO Bespoke'!$C$29:'CDO Bespoke'!$C$31,'CDO Bespoke'!$C$33),{5})),"")</f>
        <v>-0.70768570632468797</v>
      </c>
      <c r="Z32" s="527" cm="1">
        <f t="array" aca="1" ref="Z32" ca="1">IF($V32&lt;&gt;"",-TRANSPOSE(INDEX(getcds('CDO Bespoke'!$C57,Z$13,'CDO Bespoke'!$G57/10000,'CDO Bespoke'!I57,'CDO Bespoke'!$L33,'CDO Bespoke'!$C$13,'CDO Bespoke'!$C$14,'CDO Bespoke'!$C$15,'CDO Bespoke'!$C$8,,,TRUE,TRUE,FALSE,'CDO Bespoke'!$C$29:'CDO Bespoke'!$C$31,'CDO Bespoke'!$C$33),{5})),"")</f>
        <v>-1.12623505537027</v>
      </c>
      <c r="AA32" s="502" cm="1">
        <f t="array" aca="1" ref="AA32" ca="1">IF($V32&lt;&gt;"",-TRANSPOSE(INDEX(getcds('CDO Bespoke'!$C57,AA$13,'CDO Bespoke'!$G57/10000,'CDO Bespoke'!J57,'CDO Bespoke'!$L33,'CDO Bespoke'!$C$13,'CDO Bespoke'!$C$14,'CDO Bespoke'!$C$15,'CDO Bespoke'!$C$8,,,TRUE,TRUE,FALSE,'CDO Bespoke'!$C$29:'CDO Bespoke'!$C$31,'CDO Bespoke'!$C$33),{5})),"")</f>
        <v>-2.0127250906315601</v>
      </c>
      <c r="AB32" s="481"/>
      <c r="AC32" s="517"/>
      <c r="AD32" s="518"/>
      <c r="AE32" s="518"/>
      <c r="AF32" s="518"/>
      <c r="AG32" s="518"/>
      <c r="AH32" s="518"/>
      <c r="AI32" s="518"/>
      <c r="AJ32" s="518"/>
      <c r="AK32" s="518"/>
      <c r="AL32" s="519"/>
      <c r="AM32" s="540"/>
    </row>
    <row r="33" spans="2:39" ht="12" thickBot="1">
      <c r="B33" s="558" t="s">
        <v>531</v>
      </c>
      <c r="C33" s="559" t="s">
        <v>66</v>
      </c>
      <c r="D33" s="559" t="s">
        <v>59</v>
      </c>
      <c r="E33" s="559" t="s">
        <v>663</v>
      </c>
      <c r="F33" s="559" t="s">
        <v>664</v>
      </c>
      <c r="G33" s="560">
        <v>0.01</v>
      </c>
      <c r="H33" s="560">
        <v>6.8450000000000004E-3</v>
      </c>
      <c r="I33" s="561">
        <v>0.4</v>
      </c>
      <c r="J33" s="562">
        <v>3</v>
      </c>
      <c r="K33" s="275"/>
      <c r="L33" s="275"/>
      <c r="M33" s="489">
        <f ca="1">IF('CDO Bespoke'!O34&lt;&gt;"",'CDO Bespoke'!O34,"")</f>
        <v>1.0196240122547999</v>
      </c>
      <c r="N33" s="490">
        <f ca="1">IF(M33&lt;&gt;"",ABS(MIN(-0.75*('CDO Bespoke'!Q34)+'CDO Bespoke'!T34,0)),"")</f>
        <v>1.0089785970495426</v>
      </c>
      <c r="O33" s="490">
        <f t="shared" ca="1" si="0"/>
        <v>1.0645415205257303E-2</v>
      </c>
      <c r="P33" s="490">
        <f t="shared" ca="1" si="1"/>
        <v>0</v>
      </c>
      <c r="Q33" s="489">
        <f ca="1">IF('CDO Bespoke'!O34&lt;&gt;"",'CDO Bespoke'!O34,"")</f>
        <v>1.0196240122547999</v>
      </c>
      <c r="R33" s="490">
        <f ca="1">IF(Q33&lt;&gt;"",ABS(MIN(-0.75*('CDO Bespoke'!K34)+'CDO Bespoke'!T34,0)),"")</f>
        <v>0.12339430140542705</v>
      </c>
      <c r="S33" s="490">
        <f t="shared" ca="1" si="2"/>
        <v>0.89622971084937286</v>
      </c>
      <c r="T33" s="494">
        <f t="shared" ca="1" si="3"/>
        <v>0</v>
      </c>
      <c r="U33" s="275"/>
      <c r="V33" s="499" t="str">
        <f ca="1">IF('CDO Bespoke'!C58&lt;&gt;"",'CDO Bespoke'!C58,"")</f>
        <v>DSM B.V</v>
      </c>
      <c r="W33" s="501" cm="1">
        <f t="array" aca="1" ref="W33" ca="1">IF($V33&lt;&gt;"",-TRANSPOSE(INDEX(getcds('CDO Bespoke'!$C58,W$13,'CDO Bespoke'!$G58/10000,'CDO Bespoke'!F58,'CDO Bespoke'!$L34,'CDO Bespoke'!$C$13,'CDO Bespoke'!$C$14,'CDO Bespoke'!$C$15,'CDO Bespoke'!$C$8,,,TRUE,TRUE,FALSE,'CDO Bespoke'!$C$29:'CDO Bespoke'!$C$31,'CDO Bespoke'!$C$33),{5})),"")</f>
        <v>-5.33745561407361E-2</v>
      </c>
      <c r="X33" s="527" cm="1">
        <f t="array" aca="1" ref="X33" ca="1">IF($V33&lt;&gt;"",-TRANSPOSE(INDEX(getcds('CDO Bespoke'!$C58,X$13,'CDO Bespoke'!$G58/10000,'CDO Bespoke'!G58,'CDO Bespoke'!$L34,'CDO Bespoke'!$C$13,'CDO Bespoke'!$C$14,'CDO Bespoke'!$C$15,'CDO Bespoke'!$C$8,,,TRUE,TRUE,FALSE,'CDO Bespoke'!$C$29:'CDO Bespoke'!$C$31,'CDO Bespoke'!$C$33),{5})),"")</f>
        <v>-0.110173709929948</v>
      </c>
      <c r="Y33" s="527" cm="1">
        <f t="array" aca="1" ref="Y33" ca="1">IF($V33&lt;&gt;"",-TRANSPOSE(INDEX(getcds('CDO Bespoke'!$C58,Y$13,'CDO Bespoke'!$G58/10000,'CDO Bespoke'!H58,'CDO Bespoke'!$L34,'CDO Bespoke'!$C$13,'CDO Bespoke'!$C$14,'CDO Bespoke'!$C$15,'CDO Bespoke'!$C$8,,,TRUE,TRUE,FALSE,'CDO Bespoke'!$C$29:'CDO Bespoke'!$C$31,'CDO Bespoke'!$C$33),{5})),"")</f>
        <v>-0.32550600609158797</v>
      </c>
      <c r="Z33" s="527" cm="1">
        <f t="array" aca="1" ref="Z33" ca="1">IF($V33&lt;&gt;"",-TRANSPOSE(INDEX(getcds('CDO Bespoke'!$C58,Z$13,'CDO Bespoke'!$G58/10000,'CDO Bespoke'!I58,'CDO Bespoke'!$L34,'CDO Bespoke'!$C$13,'CDO Bespoke'!$C$14,'CDO Bespoke'!$C$15,'CDO Bespoke'!$C$8,,,TRUE,TRUE,FALSE,'CDO Bespoke'!$C$29:'CDO Bespoke'!$C$31,'CDO Bespoke'!$C$33),{5})),"")</f>
        <v>-0.52203233278971894</v>
      </c>
      <c r="AA33" s="502" cm="1">
        <f t="array" aca="1" ref="AA33" ca="1">IF($V33&lt;&gt;"",-TRANSPOSE(INDEX(getcds('CDO Bespoke'!$C58,AA$13,'CDO Bespoke'!$G58/10000,'CDO Bespoke'!J58,'CDO Bespoke'!$L34,'CDO Bespoke'!$C$13,'CDO Bespoke'!$C$14,'CDO Bespoke'!$C$15,'CDO Bespoke'!$C$8,,,TRUE,TRUE,FALSE,'CDO Bespoke'!$C$29:'CDO Bespoke'!$C$31,'CDO Bespoke'!$C$33),{5})),"")</f>
        <v>-0.94095636740437705</v>
      </c>
      <c r="AB33" s="481"/>
      <c r="AC33" s="517"/>
      <c r="AD33" s="518"/>
      <c r="AE33" s="518"/>
      <c r="AF33" s="518"/>
      <c r="AG33" s="518"/>
      <c r="AH33" s="518"/>
      <c r="AI33" s="518"/>
      <c r="AJ33" s="518"/>
      <c r="AK33" s="518"/>
      <c r="AL33" s="519"/>
      <c r="AM33" s="540"/>
    </row>
    <row r="34" spans="2:39" ht="12" thickBot="1">
      <c r="B34" s="563" t="s">
        <v>625</v>
      </c>
      <c r="C34" s="564" t="s">
        <v>66</v>
      </c>
      <c r="D34" s="564" t="s">
        <v>55</v>
      </c>
      <c r="E34" s="564" t="s">
        <v>663</v>
      </c>
      <c r="F34" s="564" t="s">
        <v>662</v>
      </c>
      <c r="G34" s="565">
        <v>0.01</v>
      </c>
      <c r="H34" s="565">
        <v>9.8239999999999994E-3</v>
      </c>
      <c r="I34" s="566">
        <v>0.4</v>
      </c>
      <c r="J34" s="567">
        <v>4</v>
      </c>
      <c r="K34" s="275"/>
      <c r="L34" s="275"/>
      <c r="M34" s="489">
        <f ca="1">IF('CDO Bespoke'!O35&lt;&gt;"",'CDO Bespoke'!O35,"")</f>
        <v>1.0196101122924599</v>
      </c>
      <c r="N34" s="490">
        <f ca="1">IF(M34&lt;&gt;"",ABS(MIN(-0.75*('CDO Bespoke'!Q35)+'CDO Bespoke'!T35,0)),"")</f>
        <v>1.0090400480503112</v>
      </c>
      <c r="O34" s="490">
        <f t="shared" ca="1" si="0"/>
        <v>1.057006424214868E-2</v>
      </c>
      <c r="P34" s="490">
        <f t="shared" ca="1" si="1"/>
        <v>0</v>
      </c>
      <c r="Q34" s="489">
        <f ca="1">IF('CDO Bespoke'!O35&lt;&gt;"",'CDO Bespoke'!O35,"")</f>
        <v>1.0196101122924599</v>
      </c>
      <c r="R34" s="490">
        <f ca="1">IF(Q34&lt;&gt;"",ABS(MIN(-0.75*('CDO Bespoke'!K35)+'CDO Bespoke'!T35,0)),"")</f>
        <v>0.12468626688354459</v>
      </c>
      <c r="S34" s="490">
        <f t="shared" ca="1" si="2"/>
        <v>0.89492384540891534</v>
      </c>
      <c r="T34" s="494">
        <f t="shared" ca="1" si="3"/>
        <v>0</v>
      </c>
      <c r="U34" s="275"/>
      <c r="V34" s="499" t="str">
        <f ca="1">IF('CDO Bespoke'!C59&lt;&gt;"",'CDO Bespoke'!C59,"")</f>
        <v>L'AIR LIQUIDE SOCIETE ANONYME POUR L'ETUDE ET L'EXPLOITATION DES PROCEDES GEORGES CLAUDE</v>
      </c>
      <c r="W34" s="501" cm="1">
        <f t="array" aca="1" ref="W34" ca="1">IF($V34&lt;&gt;"",-TRANSPOSE(INDEX(getcds('CDO Bespoke'!$C59,W$13,'CDO Bespoke'!$G59/10000,'CDO Bespoke'!F59,'CDO Bespoke'!$L35,'CDO Bespoke'!$C$13,'CDO Bespoke'!$C$14,'CDO Bespoke'!$C$15,'CDO Bespoke'!$C$8,,,TRUE,TRUE,FALSE,'CDO Bespoke'!$C$29:'CDO Bespoke'!$C$31,'CDO Bespoke'!$C$33),{5})),"")</f>
        <v>-5.4351647233009302E-2</v>
      </c>
      <c r="X34" s="527" cm="1">
        <f t="array" aca="1" ref="X34" ca="1">IF($V34&lt;&gt;"",-TRANSPOSE(INDEX(getcds('CDO Bespoke'!$C59,X$13,'CDO Bespoke'!$G59/10000,'CDO Bespoke'!G59,'CDO Bespoke'!$L35,'CDO Bespoke'!$C$13,'CDO Bespoke'!$C$14,'CDO Bespoke'!$C$15,'CDO Bespoke'!$C$8,,,TRUE,TRUE,FALSE,'CDO Bespoke'!$C$29:'CDO Bespoke'!$C$31,'CDO Bespoke'!$C$33),{5})),"")</f>
        <v>-0.112189931636233</v>
      </c>
      <c r="Y34" s="527" cm="1">
        <f t="array" aca="1" ref="Y34" ca="1">IF($V34&lt;&gt;"",-TRANSPOSE(INDEX(getcds('CDO Bespoke'!$C59,Y$13,'CDO Bespoke'!$G59/10000,'CDO Bespoke'!H59,'CDO Bespoke'!$L35,'CDO Bespoke'!$C$13,'CDO Bespoke'!$C$14,'CDO Bespoke'!$C$15,'CDO Bespoke'!$C$8,,,TRUE,TRUE,FALSE,'CDO Bespoke'!$C$29:'CDO Bespoke'!$C$31,'CDO Bespoke'!$C$33),{5})),"")</f>
        <v>-0.331455330459416</v>
      </c>
      <c r="Z34" s="527" cm="1">
        <f t="array" aca="1" ref="Z34" ca="1">IF($V34&lt;&gt;"",-TRANSPOSE(INDEX(getcds('CDO Bespoke'!$C59,Z$13,'CDO Bespoke'!$G59/10000,'CDO Bespoke'!I59,'CDO Bespoke'!$L35,'CDO Bespoke'!$C$13,'CDO Bespoke'!$C$14,'CDO Bespoke'!$C$15,'CDO Bespoke'!$C$8,,,TRUE,TRUE,FALSE,'CDO Bespoke'!$C$29:'CDO Bespoke'!$C$31,'CDO Bespoke'!$C$33),{5})),"")</f>
        <v>-0.53152493590560501</v>
      </c>
      <c r="AA34" s="502" cm="1">
        <f t="array" aca="1" ref="AA34" ca="1">IF($V34&lt;&gt;"",-TRANSPOSE(INDEX(getcds('CDO Bespoke'!$C59,AA$13,'CDO Bespoke'!$G59/10000,'CDO Bespoke'!J59,'CDO Bespoke'!$L35,'CDO Bespoke'!$C$13,'CDO Bespoke'!$C$14,'CDO Bespoke'!$C$15,'CDO Bespoke'!$C$8,,,TRUE,TRUE,FALSE,'CDO Bespoke'!$C$29:'CDO Bespoke'!$C$31,'CDO Bespoke'!$C$33),{5})),"")</f>
        <v>-0.95787067387206204</v>
      </c>
      <c r="AB34" s="481"/>
      <c r="AC34" s="517"/>
      <c r="AD34" s="518"/>
      <c r="AE34" s="518"/>
      <c r="AF34" s="518"/>
      <c r="AG34" s="518"/>
      <c r="AH34" s="518"/>
      <c r="AI34" s="518"/>
      <c r="AJ34" s="518"/>
      <c r="AK34" s="518"/>
      <c r="AL34" s="519"/>
      <c r="AM34" s="540"/>
    </row>
    <row r="35" spans="2:39" ht="12" thickBot="1">
      <c r="B35" s="541" t="s">
        <v>625</v>
      </c>
      <c r="C35" s="542" t="s">
        <v>66</v>
      </c>
      <c r="D35" s="542" t="s">
        <v>57</v>
      </c>
      <c r="E35" s="542" t="s">
        <v>663</v>
      </c>
      <c r="F35" s="542" t="s">
        <v>662</v>
      </c>
      <c r="G35" s="549">
        <v>0.01</v>
      </c>
      <c r="H35" s="549">
        <v>1.4659E-2</v>
      </c>
      <c r="I35" s="551">
        <v>0.4</v>
      </c>
      <c r="J35" s="543">
        <v>4</v>
      </c>
      <c r="K35" s="275"/>
      <c r="L35" s="275"/>
      <c r="M35" s="489">
        <f ca="1">IF('CDO Bespoke'!O36&lt;&gt;"",'CDO Bespoke'!O36,"")</f>
        <v>1.0079648875443801</v>
      </c>
      <c r="N35" s="490">
        <f ca="1">IF(M35&lt;&gt;"",ABS(MIN(-0.75*('CDO Bespoke'!Q36)+'CDO Bespoke'!T36,0)),"")</f>
        <v>1.0219143093637835</v>
      </c>
      <c r="O35" s="490">
        <f t="shared" ca="1" si="0"/>
        <v>0</v>
      </c>
      <c r="P35" s="490">
        <f t="shared" ca="1" si="1"/>
        <v>0</v>
      </c>
      <c r="Q35" s="489">
        <f ca="1">IF('CDO Bespoke'!O36&lt;&gt;"",'CDO Bespoke'!O36,"")</f>
        <v>1.0079648875443801</v>
      </c>
      <c r="R35" s="490">
        <f ca="1">IF(Q35&lt;&gt;"",ABS(MIN(-0.75*('CDO Bespoke'!K36)+'CDO Bespoke'!T36,0)),"")</f>
        <v>0.28745185991055411</v>
      </c>
      <c r="S35" s="490">
        <f t="shared" ca="1" si="2"/>
        <v>0.72051302763382596</v>
      </c>
      <c r="T35" s="494">
        <f t="shared" ca="1" si="3"/>
        <v>0</v>
      </c>
      <c r="U35" s="275"/>
      <c r="V35" s="499" t="str">
        <f ca="1">IF('CDO Bespoke'!C60&lt;&gt;"",'CDO Bespoke'!C60,"")</f>
        <v>LANXESS Aktiengesellschaft</v>
      </c>
      <c r="W35" s="501" cm="1">
        <f t="array" aca="1" ref="W35" ca="1">IF($V35&lt;&gt;"",-TRANSPOSE(INDEX(getcds('CDO Bespoke'!$C60,W$13,'CDO Bespoke'!$G60/10000,'CDO Bespoke'!F60,'CDO Bespoke'!$L36,'CDO Bespoke'!$C$13,'CDO Bespoke'!$C$14,'CDO Bespoke'!$C$15,'CDO Bespoke'!$C$8,,,TRUE,TRUE,FALSE,'CDO Bespoke'!$C$29:'CDO Bespoke'!$C$31,'CDO Bespoke'!$C$33),{5})),"")</f>
        <v>-0.19513422248409201</v>
      </c>
      <c r="X35" s="527" cm="1">
        <f t="array" aca="1" ref="X35" ca="1">IF($V35&lt;&gt;"",-TRANSPOSE(INDEX(getcds('CDO Bespoke'!$C60,X$13,'CDO Bespoke'!$G60/10000,'CDO Bespoke'!G60,'CDO Bespoke'!$L36,'CDO Bespoke'!$C$13,'CDO Bespoke'!$C$14,'CDO Bespoke'!$C$15,'CDO Bespoke'!$C$8,,,TRUE,TRUE,FALSE,'CDO Bespoke'!$C$29:'CDO Bespoke'!$C$31,'CDO Bespoke'!$C$33),{5})),"")</f>
        <v>-0.40106238607650302</v>
      </c>
      <c r="Y35" s="527" cm="1">
        <f t="array" aca="1" ref="Y35" ca="1">IF($V35&lt;&gt;"",-TRANSPOSE(INDEX(getcds('CDO Bespoke'!$C60,Y$13,'CDO Bespoke'!$G60/10000,'CDO Bespoke'!H60,'CDO Bespoke'!$L36,'CDO Bespoke'!$C$13,'CDO Bespoke'!$C$14,'CDO Bespoke'!$C$15,'CDO Bespoke'!$C$8,,,TRUE,TRUE,FALSE,'CDO Bespoke'!$C$29:'CDO Bespoke'!$C$31,'CDO Bespoke'!$C$33),{5})),"")</f>
        <v>-1.1652007044056101</v>
      </c>
      <c r="Z35" s="527" cm="1">
        <f t="array" aca="1" ref="Z35" ca="1">IF($V35&lt;&gt;"",-TRANSPOSE(INDEX(getcds('CDO Bespoke'!$C60,Z$13,'CDO Bespoke'!$G60/10000,'CDO Bespoke'!I60,'CDO Bespoke'!$L36,'CDO Bespoke'!$C$13,'CDO Bespoke'!$C$14,'CDO Bespoke'!$C$15,'CDO Bespoke'!$C$8,,,TRUE,TRUE,FALSE,'CDO Bespoke'!$C$29:'CDO Bespoke'!$C$31,'CDO Bespoke'!$C$33),{5})),"")</f>
        <v>-1.8263965010829899</v>
      </c>
      <c r="AA35" s="502" cm="1">
        <f t="array" aca="1" ref="AA35" ca="1">IF($V35&lt;&gt;"",-TRANSPOSE(INDEX(getcds('CDO Bespoke'!$C60,AA$13,'CDO Bespoke'!$G60/10000,'CDO Bespoke'!J60,'CDO Bespoke'!$L36,'CDO Bespoke'!$C$13,'CDO Bespoke'!$C$14,'CDO Bespoke'!$C$15,'CDO Bespoke'!$C$8,,,TRUE,TRUE,FALSE,'CDO Bespoke'!$C$29:'CDO Bespoke'!$C$31,'CDO Bespoke'!$C$33),{5})),"")</f>
        <v>-3.2417462098371201</v>
      </c>
      <c r="AB35" s="481"/>
      <c r="AC35" s="517"/>
      <c r="AD35" s="518"/>
      <c r="AE35" s="518"/>
      <c r="AF35" s="518"/>
      <c r="AG35" s="518"/>
      <c r="AH35" s="518"/>
      <c r="AI35" s="518"/>
      <c r="AJ35" s="518"/>
      <c r="AK35" s="518"/>
      <c r="AL35" s="519"/>
      <c r="AM35" s="540"/>
    </row>
    <row r="36" spans="2:39" ht="12" thickBot="1">
      <c r="B36" s="558" t="s">
        <v>625</v>
      </c>
      <c r="C36" s="559" t="s">
        <v>66</v>
      </c>
      <c r="D36" s="559" t="s">
        <v>59</v>
      </c>
      <c r="E36" s="559" t="s">
        <v>663</v>
      </c>
      <c r="F36" s="559" t="s">
        <v>662</v>
      </c>
      <c r="G36" s="560">
        <v>0.01</v>
      </c>
      <c r="H36" s="560">
        <v>1.8731999999999999E-2</v>
      </c>
      <c r="I36" s="561">
        <v>0.4</v>
      </c>
      <c r="J36" s="562">
        <v>4</v>
      </c>
      <c r="K36" s="275"/>
      <c r="L36" s="275"/>
      <c r="M36" s="489">
        <f ca="1">IF('CDO Bespoke'!O37&lt;&gt;"",'CDO Bespoke'!O37,"")</f>
        <v>1.0176355267217201</v>
      </c>
      <c r="N36" s="490">
        <f ca="1">IF(M36&lt;&gt;"",ABS(MIN(-0.75*('CDO Bespoke'!Q37)+'CDO Bespoke'!T37,0)),"")</f>
        <v>1.0132207143282241</v>
      </c>
      <c r="O36" s="490">
        <f t="shared" ca="1" si="0"/>
        <v>4.4148123934959482E-3</v>
      </c>
      <c r="P36" s="490">
        <f t="shared" ca="1" si="1"/>
        <v>0</v>
      </c>
      <c r="Q36" s="489">
        <f ca="1">IF('CDO Bespoke'!O37&lt;&gt;"",'CDO Bespoke'!O37,"")</f>
        <v>1.0176355267217201</v>
      </c>
      <c r="R36" s="490">
        <f ca="1">IF(Q36&lt;&gt;"",ABS(MIN(-0.75*('CDO Bespoke'!K37)+'CDO Bespoke'!T37,0)),"")</f>
        <v>0.19683127147808488</v>
      </c>
      <c r="S36" s="490">
        <f t="shared" ca="1" si="2"/>
        <v>0.82080425524363521</v>
      </c>
      <c r="T36" s="494">
        <f t="shared" ca="1" si="3"/>
        <v>0</v>
      </c>
      <c r="U36" s="275"/>
      <c r="V36" s="499" t="str">
        <f ca="1">IF('CDO Bespoke'!C61&lt;&gt;"",'CDO Bespoke'!C61,"")</f>
        <v>LEONARDO SOCIETA' PER AZIONI</v>
      </c>
      <c r="W36" s="501" cm="1">
        <f t="array" aca="1" ref="W36" ca="1">IF($V36&lt;&gt;"",-TRANSPOSE(INDEX(getcds('CDO Bespoke'!$C61,W$13,'CDO Bespoke'!$G61/10000,'CDO Bespoke'!F61,'CDO Bespoke'!$L37,'CDO Bespoke'!$C$13,'CDO Bespoke'!$C$14,'CDO Bespoke'!$C$15,'CDO Bespoke'!$C$8,,,TRUE,TRUE,FALSE,'CDO Bespoke'!$C$29:'CDO Bespoke'!$C$31,'CDO Bespoke'!$C$33),{5})),"")</f>
        <v>-0.11172739234938101</v>
      </c>
      <c r="X36" s="527" cm="1">
        <f t="array" aca="1" ref="X36" ca="1">IF($V36&lt;&gt;"",-TRANSPOSE(INDEX(getcds('CDO Bespoke'!$C61,X$13,'CDO Bespoke'!$G61/10000,'CDO Bespoke'!G61,'CDO Bespoke'!$L37,'CDO Bespoke'!$C$13,'CDO Bespoke'!$C$14,'CDO Bespoke'!$C$15,'CDO Bespoke'!$C$8,,,TRUE,TRUE,FALSE,'CDO Bespoke'!$C$29:'CDO Bespoke'!$C$31,'CDO Bespoke'!$C$33),{5})),"")</f>
        <v>-0.23040272561987901</v>
      </c>
      <c r="Y36" s="527" cm="1">
        <f t="array" aca="1" ref="Y36" ca="1">IF($V36&lt;&gt;"",-TRANSPOSE(INDEX(getcds('CDO Bespoke'!$C61,Y$13,'CDO Bespoke'!$G61/10000,'CDO Bespoke'!H61,'CDO Bespoke'!$L37,'CDO Bespoke'!$C$13,'CDO Bespoke'!$C$14,'CDO Bespoke'!$C$15,'CDO Bespoke'!$C$8,,,TRUE,TRUE,FALSE,'CDO Bespoke'!$C$29:'CDO Bespoke'!$C$31,'CDO Bespoke'!$C$33),{5})),"")</f>
        <v>-0.67816981150454902</v>
      </c>
      <c r="Z36" s="527" cm="1">
        <f t="array" aca="1" ref="Z36" ca="1">IF($V36&lt;&gt;"",-TRANSPOSE(INDEX(getcds('CDO Bespoke'!$C61,Z$13,'CDO Bespoke'!$G61/10000,'CDO Bespoke'!I61,'CDO Bespoke'!$L37,'CDO Bespoke'!$C$13,'CDO Bespoke'!$C$14,'CDO Bespoke'!$C$15,'CDO Bespoke'!$C$8,,,TRUE,TRUE,FALSE,'CDO Bespoke'!$C$29:'CDO Bespoke'!$C$31,'CDO Bespoke'!$C$33),{5})),"")</f>
        <v>-1.0800752241777001</v>
      </c>
      <c r="AA36" s="502" cm="1">
        <f t="array" aca="1" ref="AA36" ca="1">IF($V36&lt;&gt;"",-TRANSPOSE(INDEX(getcds('CDO Bespoke'!$C61,AA$13,'CDO Bespoke'!$G61/10000,'CDO Bespoke'!J61,'CDO Bespoke'!$L37,'CDO Bespoke'!$C$13,'CDO Bespoke'!$C$14,'CDO Bespoke'!$C$15,'CDO Bespoke'!$C$8,,,TRUE,TRUE,FALSE,'CDO Bespoke'!$C$29:'CDO Bespoke'!$C$31,'CDO Bespoke'!$C$33),{5})),"")</f>
        <v>-1.9298299355769499</v>
      </c>
      <c r="AB36" s="481"/>
      <c r="AC36" s="517"/>
      <c r="AD36" s="518"/>
      <c r="AE36" s="518"/>
      <c r="AF36" s="518"/>
      <c r="AG36" s="518"/>
      <c r="AH36" s="518"/>
      <c r="AI36" s="518"/>
      <c r="AJ36" s="518"/>
      <c r="AK36" s="518"/>
      <c r="AL36" s="519"/>
      <c r="AM36" s="540"/>
    </row>
    <row r="37" spans="2:39" ht="12" thickBot="1">
      <c r="B37" s="563" t="s">
        <v>512</v>
      </c>
      <c r="C37" s="564" t="s">
        <v>66</v>
      </c>
      <c r="D37" s="564" t="s">
        <v>55</v>
      </c>
      <c r="E37" s="564" t="s">
        <v>663</v>
      </c>
      <c r="F37" s="564" t="s">
        <v>664</v>
      </c>
      <c r="G37" s="565">
        <v>0.01</v>
      </c>
      <c r="H37" s="565">
        <v>4.7670000000000004E-3</v>
      </c>
      <c r="I37" s="566">
        <v>0.4</v>
      </c>
      <c r="J37" s="567">
        <v>5</v>
      </c>
      <c r="K37" s="275"/>
      <c r="L37" s="275"/>
      <c r="M37" s="489">
        <f ca="1">IF('CDO Bespoke'!O38&lt;&gt;"",'CDO Bespoke'!O38,"")</f>
        <v>1.01858761695151</v>
      </c>
      <c r="N37" s="490">
        <f ca="1">IF(M37&lt;&gt;"",ABS(MIN(-0.75*('CDO Bespoke'!Q38)+'CDO Bespoke'!T38,0)),"")</f>
        <v>1.0115426783264279</v>
      </c>
      <c r="O37" s="490">
        <f t="shared" ca="1" si="0"/>
        <v>7.0449386250821533E-3</v>
      </c>
      <c r="P37" s="490">
        <f t="shared" ca="1" si="1"/>
        <v>0</v>
      </c>
      <c r="Q37" s="489">
        <f ca="1">IF('CDO Bespoke'!O38&lt;&gt;"",'CDO Bespoke'!O38,"")</f>
        <v>1.01858761695151</v>
      </c>
      <c r="R37" s="490">
        <f ca="1">IF(Q37&lt;&gt;"",ABS(MIN(-0.75*('CDO Bespoke'!K38)+'CDO Bespoke'!T38,0)),"")</f>
        <v>0.17332081178585315</v>
      </c>
      <c r="S37" s="490">
        <f t="shared" ca="1" si="2"/>
        <v>0.84526680516565689</v>
      </c>
      <c r="T37" s="494">
        <f t="shared" ca="1" si="3"/>
        <v>0</v>
      </c>
      <c r="U37" s="275"/>
      <c r="V37" s="499" t="str">
        <f ca="1">IF('CDO Bespoke'!C62&lt;&gt;"",'CDO Bespoke'!C62,"")</f>
        <v>Mercedes-Benz Group AG</v>
      </c>
      <c r="W37" s="501" cm="1">
        <f t="array" aca="1" ref="W37" ca="1">IF($V37&lt;&gt;"",-TRANSPOSE(INDEX(getcds('CDO Bespoke'!$C62,W$13,'CDO Bespoke'!$G62/10000,'CDO Bespoke'!F62,'CDO Bespoke'!$L38,'CDO Bespoke'!$C$13,'CDO Bespoke'!$C$14,'CDO Bespoke'!$C$15,'CDO Bespoke'!$C$8,,,TRUE,TRUE,FALSE,'CDO Bespoke'!$C$29:'CDO Bespoke'!$C$31,'CDO Bespoke'!$C$33),{5})),"")</f>
        <v>-9.2079182898114897E-2</v>
      </c>
      <c r="X37" s="527" cm="1">
        <f t="array" aca="1" ref="X37" ca="1">IF($V37&lt;&gt;"",-TRANSPOSE(INDEX(getcds('CDO Bespoke'!$C62,X$13,'CDO Bespoke'!$G62/10000,'CDO Bespoke'!G62,'CDO Bespoke'!$L38,'CDO Bespoke'!$C$13,'CDO Bespoke'!$C$14,'CDO Bespoke'!$C$15,'CDO Bespoke'!$C$8,,,TRUE,TRUE,FALSE,'CDO Bespoke'!$C$29:'CDO Bespoke'!$C$31,'CDO Bespoke'!$C$33),{5})),"")</f>
        <v>-0.189942545811393</v>
      </c>
      <c r="Y37" s="527" cm="1">
        <f t="array" aca="1" ref="Y37" ca="1">IF($V37&lt;&gt;"",-TRANSPOSE(INDEX(getcds('CDO Bespoke'!$C62,Y$13,'CDO Bespoke'!$G62/10000,'CDO Bespoke'!H62,'CDO Bespoke'!$L38,'CDO Bespoke'!$C$13,'CDO Bespoke'!$C$14,'CDO Bespoke'!$C$15,'CDO Bespoke'!$C$8,,,TRUE,TRUE,FALSE,'CDO Bespoke'!$C$29:'CDO Bespoke'!$C$31,'CDO Bespoke'!$C$33),{5})),"")</f>
        <v>-0.55974949474607605</v>
      </c>
      <c r="Z37" s="527" cm="1">
        <f t="array" aca="1" ref="Z37" ca="1">IF($V37&lt;&gt;"",-TRANSPOSE(INDEX(getcds('CDO Bespoke'!$C62,Z$13,'CDO Bespoke'!$G62/10000,'CDO Bespoke'!I62,'CDO Bespoke'!$L38,'CDO Bespoke'!$C$13,'CDO Bespoke'!$C$14,'CDO Bespoke'!$C$15,'CDO Bespoke'!$C$8,,,TRUE,TRUE,FALSE,'CDO Bespoke'!$C$29:'CDO Bespoke'!$C$31,'CDO Bespoke'!$C$33),{5})),"")</f>
        <v>-0.89389289787887405</v>
      </c>
      <c r="AA37" s="502" cm="1">
        <f t="array" aca="1" ref="AA37" ca="1">IF($V37&lt;&gt;"",-TRANSPOSE(INDEX(getcds('CDO Bespoke'!$C62,AA$13,'CDO Bespoke'!$G62/10000,'CDO Bespoke'!J62,'CDO Bespoke'!$L38,'CDO Bespoke'!$C$13,'CDO Bespoke'!$C$14,'CDO Bespoke'!$C$15,'CDO Bespoke'!$C$8,,,TRUE,TRUE,FALSE,'CDO Bespoke'!$C$29:'CDO Bespoke'!$C$31,'CDO Bespoke'!$C$33),{5})),"")</f>
        <v>-1.6041577757357399</v>
      </c>
      <c r="AB37" s="481"/>
      <c r="AC37" s="517"/>
      <c r="AD37" s="518"/>
      <c r="AE37" s="518"/>
      <c r="AF37" s="518"/>
      <c r="AG37" s="518"/>
      <c r="AH37" s="518"/>
      <c r="AI37" s="518"/>
      <c r="AJ37" s="518"/>
      <c r="AK37" s="518"/>
      <c r="AL37" s="519"/>
      <c r="AM37" s="540"/>
    </row>
    <row r="38" spans="2:39" ht="12" thickBot="1">
      <c r="B38" s="541" t="s">
        <v>512</v>
      </c>
      <c r="C38" s="542" t="s">
        <v>66</v>
      </c>
      <c r="D38" s="542" t="s">
        <v>57</v>
      </c>
      <c r="E38" s="542" t="s">
        <v>663</v>
      </c>
      <c r="F38" s="542" t="s">
        <v>664</v>
      </c>
      <c r="G38" s="549">
        <v>0.01</v>
      </c>
      <c r="H38" s="549">
        <v>1.0057999999999999E-2</v>
      </c>
      <c r="I38" s="551">
        <v>0.4</v>
      </c>
      <c r="J38" s="543">
        <v>5</v>
      </c>
      <c r="K38" s="275"/>
      <c r="L38" s="275"/>
      <c r="M38" s="489">
        <f ca="1">IF('CDO Bespoke'!O39&lt;&gt;"",'CDO Bespoke'!O39,"")</f>
        <v>1.0130275470326799</v>
      </c>
      <c r="N38" s="490">
        <f ca="1">IF(M38&lt;&gt;"",ABS(MIN(-0.75*('CDO Bespoke'!Q39)+'CDO Bespoke'!T39,0)),"")</f>
        <v>1.0179627899784596</v>
      </c>
      <c r="O38" s="490">
        <f t="shared" ca="1" si="0"/>
        <v>0</v>
      </c>
      <c r="P38" s="490">
        <f t="shared" ca="1" si="1"/>
        <v>0</v>
      </c>
      <c r="Q38" s="489">
        <f ca="1">IF('CDO Bespoke'!O39&lt;&gt;"",'CDO Bespoke'!O39,"")</f>
        <v>1.0130275470326799</v>
      </c>
      <c r="R38" s="490">
        <f ca="1">IF(Q38&lt;&gt;"",ABS(MIN(-0.75*('CDO Bespoke'!K39)+'CDO Bespoke'!T39,0)),"")</f>
        <v>0.2538148551513858</v>
      </c>
      <c r="S38" s="490">
        <f t="shared" ca="1" si="2"/>
        <v>0.75921269188129414</v>
      </c>
      <c r="T38" s="494">
        <f t="shared" ca="1" si="3"/>
        <v>0</v>
      </c>
      <c r="U38" s="275"/>
      <c r="V38" s="499" t="str">
        <f ca="1">IF('CDO Bespoke'!C63&lt;&gt;"",'CDO Bespoke'!C63,"")</f>
        <v>PostNL N.V.</v>
      </c>
      <c r="W38" s="501" cm="1">
        <f t="array" aca="1" ref="W38" ca="1">IF($V38&lt;&gt;"",-TRANSPOSE(INDEX(getcds('CDO Bespoke'!$C63,W$13,'CDO Bespoke'!$G63/10000,'CDO Bespoke'!F63,'CDO Bespoke'!$L39,'CDO Bespoke'!$C$13,'CDO Bespoke'!$C$14,'CDO Bespoke'!$C$15,'CDO Bespoke'!$C$8,,,TRUE,TRUE,FALSE,'CDO Bespoke'!$C$29:'CDO Bespoke'!$C$31,'CDO Bespoke'!$C$33),{5})),"")</f>
        <v>-0.16219618051741</v>
      </c>
      <c r="X38" s="527" cm="1">
        <f t="array" aca="1" ref="X38" ca="1">IF($V38&lt;&gt;"",-TRANSPOSE(INDEX(getcds('CDO Bespoke'!$C63,X$13,'CDO Bespoke'!$G63/10000,'CDO Bespoke'!G63,'CDO Bespoke'!$L39,'CDO Bespoke'!$C$13,'CDO Bespoke'!$C$14,'CDO Bespoke'!$C$15,'CDO Bespoke'!$C$8,,,TRUE,TRUE,FALSE,'CDO Bespoke'!$C$29:'CDO Bespoke'!$C$31,'CDO Bespoke'!$C$33),{5})),"")</f>
        <v>-0.33384769269594999</v>
      </c>
      <c r="Y38" s="527" cm="1">
        <f t="array" aca="1" ref="Y38" ca="1">IF($V38&lt;&gt;"",-TRANSPOSE(INDEX(getcds('CDO Bespoke'!$C63,Y$13,'CDO Bespoke'!$G63/10000,'CDO Bespoke'!H63,'CDO Bespoke'!$L39,'CDO Bespoke'!$C$13,'CDO Bespoke'!$C$14,'CDO Bespoke'!$C$15,'CDO Bespoke'!$C$8,,,TRUE,TRUE,FALSE,'CDO Bespoke'!$C$29:'CDO Bespoke'!$C$31,'CDO Bespoke'!$C$33),{5})),"")</f>
        <v>-0.97541894067923196</v>
      </c>
      <c r="Z38" s="527" cm="1">
        <f t="array" aca="1" ref="Z38" ca="1">IF($V38&lt;&gt;"",-TRANSPOSE(INDEX(getcds('CDO Bespoke'!$C63,Z$13,'CDO Bespoke'!$G63/10000,'CDO Bespoke'!I63,'CDO Bespoke'!$L39,'CDO Bespoke'!$C$13,'CDO Bespoke'!$C$14,'CDO Bespoke'!$C$15,'CDO Bespoke'!$C$8,,,TRUE,TRUE,FALSE,'CDO Bespoke'!$C$29:'CDO Bespoke'!$C$31,'CDO Bespoke'!$C$33),{5})),"")</f>
        <v>-1.53989036398765</v>
      </c>
      <c r="AA38" s="502" cm="1">
        <f t="array" aca="1" ref="AA38" ca="1">IF($V38&lt;&gt;"",-TRANSPOSE(INDEX(getcds('CDO Bespoke'!$C63,AA$13,'CDO Bespoke'!$G63/10000,'CDO Bespoke'!J63,'CDO Bespoke'!$L39,'CDO Bespoke'!$C$13,'CDO Bespoke'!$C$14,'CDO Bespoke'!$C$15,'CDO Bespoke'!$C$8,,,TRUE,TRUE,FALSE,'CDO Bespoke'!$C$29:'CDO Bespoke'!$C$31,'CDO Bespoke'!$C$33),{5})),"")</f>
        <v>-2.7453626153527102</v>
      </c>
      <c r="AB38" s="481"/>
      <c r="AC38" s="517"/>
      <c r="AD38" s="518"/>
      <c r="AE38" s="518"/>
      <c r="AF38" s="518"/>
      <c r="AG38" s="518"/>
      <c r="AH38" s="518"/>
      <c r="AI38" s="518"/>
      <c r="AJ38" s="518"/>
      <c r="AK38" s="518"/>
      <c r="AL38" s="519"/>
      <c r="AM38" s="540"/>
    </row>
    <row r="39" spans="2:39" ht="12" thickBot="1">
      <c r="B39" s="558" t="s">
        <v>512</v>
      </c>
      <c r="C39" s="559" t="s">
        <v>66</v>
      </c>
      <c r="D39" s="559" t="s">
        <v>59</v>
      </c>
      <c r="E39" s="559" t="s">
        <v>663</v>
      </c>
      <c r="F39" s="559" t="s">
        <v>664</v>
      </c>
      <c r="G39" s="560">
        <v>0.01</v>
      </c>
      <c r="H39" s="560">
        <v>1.5502E-2</v>
      </c>
      <c r="I39" s="561">
        <v>0.4</v>
      </c>
      <c r="J39" s="562">
        <v>5</v>
      </c>
      <c r="K39" s="275"/>
      <c r="L39" s="275"/>
      <c r="M39" s="489">
        <f ca="1">IF('CDO Bespoke'!O40&lt;&gt;"",'CDO Bespoke'!O40,"")</f>
        <v>1.0181399371922599</v>
      </c>
      <c r="N39" s="490">
        <f ca="1">IF(M39&lt;&gt;"",ABS(MIN(-0.75*('CDO Bespoke'!Q40)+'CDO Bespoke'!T40,0)),"")</f>
        <v>1.0122473086534123</v>
      </c>
      <c r="O39" s="490">
        <f t="shared" ca="1" si="0"/>
        <v>5.892628538847644E-3</v>
      </c>
      <c r="P39" s="490">
        <f t="shared" ca="1" si="1"/>
        <v>0</v>
      </c>
      <c r="Q39" s="489">
        <f ca="1">IF('CDO Bespoke'!O40&lt;&gt;"",'CDO Bespoke'!O40,"")</f>
        <v>1.0181399371922599</v>
      </c>
      <c r="R39" s="490">
        <f ca="1">IF(Q39&lt;&gt;"",ABS(MIN(-0.75*('CDO Bespoke'!K40)+'CDO Bespoke'!T40,0)),"")</f>
        <v>0.18523222844601581</v>
      </c>
      <c r="S39" s="490">
        <f t="shared" ca="1" si="2"/>
        <v>0.83290770874624409</v>
      </c>
      <c r="T39" s="494">
        <f t="shared" ca="1" si="3"/>
        <v>0</v>
      </c>
      <c r="U39" s="275"/>
      <c r="V39" s="499" t="str">
        <f ca="1">IF('CDO Bespoke'!C64&lt;&gt;"",'CDO Bespoke'!C64,"")</f>
        <v>RENTOKIL INITIAL PLC</v>
      </c>
      <c r="W39" s="501" cm="1">
        <f t="array" aca="1" ref="W39" ca="1">IF($V39&lt;&gt;"",-TRANSPOSE(INDEX(getcds('CDO Bespoke'!$C64,W$13,'CDO Bespoke'!$G64/10000,'CDO Bespoke'!F64,'CDO Bespoke'!$L40,'CDO Bespoke'!$C$13,'CDO Bespoke'!$C$14,'CDO Bespoke'!$C$15,'CDO Bespoke'!$C$8,,,TRUE,TRUE,FALSE,'CDO Bespoke'!$C$29:'CDO Bespoke'!$C$31,'CDO Bespoke'!$C$33),{5})),"")</f>
        <v>-0.101715627677422</v>
      </c>
      <c r="X39" s="527" cm="1">
        <f t="array" aca="1" ref="X39" ca="1">IF($V39&lt;&gt;"",-TRANSPOSE(INDEX(getcds('CDO Bespoke'!$C64,X$13,'CDO Bespoke'!$G64/10000,'CDO Bespoke'!G64,'CDO Bespoke'!$L40,'CDO Bespoke'!$C$13,'CDO Bespoke'!$C$14,'CDO Bespoke'!$C$15,'CDO Bespoke'!$C$8,,,TRUE,TRUE,FALSE,'CDO Bespoke'!$C$29:'CDO Bespoke'!$C$31,'CDO Bespoke'!$C$33),{5})),"")</f>
        <v>-0.20976225772938201</v>
      </c>
      <c r="Y39" s="527" cm="1">
        <f t="array" aca="1" ref="Y39" ca="1">IF($V39&lt;&gt;"",-TRANSPOSE(INDEX(getcds('CDO Bespoke'!$C64,Y$13,'CDO Bespoke'!$G64/10000,'CDO Bespoke'!H64,'CDO Bespoke'!$L40,'CDO Bespoke'!$C$13,'CDO Bespoke'!$C$14,'CDO Bespoke'!$C$15,'CDO Bespoke'!$C$8,,,TRUE,TRUE,FALSE,'CDO Bespoke'!$C$29:'CDO Bespoke'!$C$31,'CDO Bespoke'!$C$33),{5})),"")</f>
        <v>-0.61748169951480103</v>
      </c>
      <c r="Z39" s="527" cm="1">
        <f t="array" aca="1" ref="Z39" ca="1">IF($V39&lt;&gt;"",-TRANSPOSE(INDEX(getcds('CDO Bespoke'!$C64,Z$13,'CDO Bespoke'!$G64/10000,'CDO Bespoke'!I64,'CDO Bespoke'!$L40,'CDO Bespoke'!$C$13,'CDO Bespoke'!$C$14,'CDO Bespoke'!$C$15,'CDO Bespoke'!$C$8,,,TRUE,TRUE,FALSE,'CDO Bespoke'!$C$29:'CDO Bespoke'!$C$31,'CDO Bespoke'!$C$33),{5})),"")</f>
        <v>-0.98481888311486798</v>
      </c>
      <c r="AA39" s="502" cm="1">
        <f t="array" aca="1" ref="AA39" ca="1">IF($V39&lt;&gt;"",-TRANSPOSE(INDEX(getcds('CDO Bespoke'!$C64,AA$13,'CDO Bespoke'!$G64/10000,'CDO Bespoke'!J64,'CDO Bespoke'!$L40,'CDO Bespoke'!$C$13,'CDO Bespoke'!$C$14,'CDO Bespoke'!$C$15,'CDO Bespoke'!$C$8,,,TRUE,TRUE,FALSE,'CDO Bespoke'!$C$29:'CDO Bespoke'!$C$31,'CDO Bespoke'!$C$33),{5})),"")</f>
        <v>-1.76568881878157</v>
      </c>
      <c r="AB39" s="481"/>
      <c r="AC39" s="517"/>
      <c r="AD39" s="518"/>
      <c r="AE39" s="518"/>
      <c r="AF39" s="518"/>
      <c r="AG39" s="518"/>
      <c r="AH39" s="518"/>
      <c r="AI39" s="518"/>
      <c r="AJ39" s="518"/>
      <c r="AK39" s="518"/>
      <c r="AL39" s="519"/>
      <c r="AM39" s="540"/>
    </row>
    <row r="40" spans="2:39" ht="12" thickBot="1">
      <c r="B40" s="563" t="s">
        <v>513</v>
      </c>
      <c r="C40" s="564" t="s">
        <v>66</v>
      </c>
      <c r="D40" s="564" t="s">
        <v>55</v>
      </c>
      <c r="E40" s="564" t="s">
        <v>663</v>
      </c>
      <c r="F40" s="564" t="s">
        <v>664</v>
      </c>
      <c r="G40" s="565">
        <v>0.01</v>
      </c>
      <c r="H40" s="565">
        <v>6.8230000000000001E-3</v>
      </c>
      <c r="I40" s="566">
        <v>0.4</v>
      </c>
      <c r="J40" s="567">
        <v>6</v>
      </c>
      <c r="K40" s="275"/>
      <c r="L40" s="275"/>
      <c r="M40" s="489">
        <f ca="1">IF('CDO Bespoke'!O41&lt;&gt;"",'CDO Bespoke'!O41,"")</f>
        <v>1.01919095282396</v>
      </c>
      <c r="N40" s="490">
        <f ca="1">IF(M40&lt;&gt;"",ABS(MIN(-0.75*('CDO Bespoke'!Q41)+'CDO Bespoke'!T41,0)),"")</f>
        <v>1.0102070525853166</v>
      </c>
      <c r="O40" s="490">
        <f t="shared" ca="1" si="0"/>
        <v>8.9839002386433719E-3</v>
      </c>
      <c r="P40" s="490">
        <f t="shared" ca="1" si="1"/>
        <v>0</v>
      </c>
      <c r="Q40" s="489">
        <f ca="1">IF('CDO Bespoke'!O41&lt;&gt;"",'CDO Bespoke'!O41,"")</f>
        <v>1.01919095282396</v>
      </c>
      <c r="R40" s="490">
        <f ca="1">IF(Q40&lt;&gt;"",ABS(MIN(-0.75*('CDO Bespoke'!K41)+'CDO Bespoke'!T41,0)),"")</f>
        <v>0.15067273745553364</v>
      </c>
      <c r="S40" s="490">
        <f t="shared" ca="1" si="2"/>
        <v>0.86851821536842633</v>
      </c>
      <c r="T40" s="494">
        <f t="shared" ca="1" si="3"/>
        <v>0</v>
      </c>
      <c r="U40" s="275"/>
      <c r="V40" s="499" t="str">
        <f ca="1">IF('CDO Bespoke'!C65&lt;&gt;"",'CDO Bespoke'!C65,"")</f>
        <v>SANOFI</v>
      </c>
      <c r="W40" s="501" cm="1">
        <f t="array" aca="1" ref="W40" ca="1">IF($V40&lt;&gt;"",-TRANSPOSE(INDEX(getcds('CDO Bespoke'!$C65,W$13,'CDO Bespoke'!$G65/10000,'CDO Bespoke'!F65,'CDO Bespoke'!$L41,'CDO Bespoke'!$C$13,'CDO Bespoke'!$C$14,'CDO Bespoke'!$C$15,'CDO Bespoke'!$C$8,,,TRUE,TRUE,FALSE,'CDO Bespoke'!$C$29:'CDO Bespoke'!$C$31,'CDO Bespoke'!$C$33),{5})),"")</f>
        <v>-7.3989679764825497E-2</v>
      </c>
      <c r="X40" s="527" cm="1">
        <f t="array" aca="1" ref="X40" ca="1">IF($V40&lt;&gt;"",-TRANSPOSE(INDEX(getcds('CDO Bespoke'!$C65,X$13,'CDO Bespoke'!$G65/10000,'CDO Bespoke'!G65,'CDO Bespoke'!$L41,'CDO Bespoke'!$C$13,'CDO Bespoke'!$C$14,'CDO Bespoke'!$C$15,'CDO Bespoke'!$C$8,,,TRUE,TRUE,FALSE,'CDO Bespoke'!$C$29:'CDO Bespoke'!$C$31,'CDO Bespoke'!$C$33),{5})),"")</f>
        <v>-0.15267092706077801</v>
      </c>
      <c r="Y40" s="527" cm="1">
        <f t="array" aca="1" ref="Y40" ca="1">IF($V40&lt;&gt;"",-TRANSPOSE(INDEX(getcds('CDO Bespoke'!$C65,Y$13,'CDO Bespoke'!$G65/10000,'CDO Bespoke'!H65,'CDO Bespoke'!$L41,'CDO Bespoke'!$C$13,'CDO Bespoke'!$C$14,'CDO Bespoke'!$C$15,'CDO Bespoke'!$C$8,,,TRUE,TRUE,FALSE,'CDO Bespoke'!$C$29:'CDO Bespoke'!$C$31,'CDO Bespoke'!$C$33),{5})),"")</f>
        <v>-0.45041780348926103</v>
      </c>
      <c r="Z40" s="527" cm="1">
        <f t="array" aca="1" ref="Z40" ca="1">IF($V40&lt;&gt;"",-TRANSPOSE(INDEX(getcds('CDO Bespoke'!$C65,Z$13,'CDO Bespoke'!$G65/10000,'CDO Bespoke'!I65,'CDO Bespoke'!$L41,'CDO Bespoke'!$C$13,'CDO Bespoke'!$C$14,'CDO Bespoke'!$C$15,'CDO Bespoke'!$C$8,,,TRUE,TRUE,FALSE,'CDO Bespoke'!$C$29:'CDO Bespoke'!$C$31,'CDO Bespoke'!$C$33),{5})),"")</f>
        <v>-0.720867613236159</v>
      </c>
      <c r="AA40" s="502" cm="1">
        <f t="array" aca="1" ref="AA40" ca="1">IF($V40&lt;&gt;"",-TRANSPOSE(INDEX(getcds('CDO Bespoke'!$C65,AA$13,'CDO Bespoke'!$G65/10000,'CDO Bespoke'!J65,'CDO Bespoke'!$L41,'CDO Bespoke'!$C$13,'CDO Bespoke'!$C$14,'CDO Bespoke'!$C$15,'CDO Bespoke'!$C$8,,,TRUE,TRUE,FALSE,'CDO Bespoke'!$C$29:'CDO Bespoke'!$C$31,'CDO Bespoke'!$C$33),{5})),"")</f>
        <v>-1.29754365502296</v>
      </c>
      <c r="AB40" s="481"/>
      <c r="AC40" s="517"/>
      <c r="AD40" s="518"/>
      <c r="AE40" s="518"/>
      <c r="AF40" s="518"/>
      <c r="AG40" s="518"/>
      <c r="AH40" s="518"/>
      <c r="AI40" s="518"/>
      <c r="AJ40" s="518"/>
      <c r="AK40" s="518"/>
      <c r="AL40" s="519"/>
      <c r="AM40" s="540"/>
    </row>
    <row r="41" spans="2:39" ht="12" thickBot="1">
      <c r="B41" s="541" t="s">
        <v>513</v>
      </c>
      <c r="C41" s="542" t="s">
        <v>66</v>
      </c>
      <c r="D41" s="542" t="s">
        <v>57</v>
      </c>
      <c r="E41" s="542" t="s">
        <v>663</v>
      </c>
      <c r="F41" s="542" t="s">
        <v>664</v>
      </c>
      <c r="G41" s="549">
        <v>0.01</v>
      </c>
      <c r="H41" s="549">
        <v>1.3924000000000001E-2</v>
      </c>
      <c r="I41" s="551">
        <v>0.4</v>
      </c>
      <c r="J41" s="543">
        <v>6</v>
      </c>
      <c r="K41" s="275"/>
      <c r="L41" s="275"/>
      <c r="M41" s="489">
        <f ca="1">IF('CDO Bespoke'!O42&lt;&gt;"",'CDO Bespoke'!O42,"")</f>
        <v>1.0191071535254399</v>
      </c>
      <c r="N41" s="490">
        <f ca="1">IF(M41&lt;&gt;"",ABS(MIN(-0.75*('CDO Bespoke'!Q42)+'CDO Bespoke'!T42,0)),"")</f>
        <v>1.0103187580044852</v>
      </c>
      <c r="O41" s="490">
        <f t="shared" ca="1" si="0"/>
        <v>8.7883955209546727E-3</v>
      </c>
      <c r="P41" s="490">
        <f t="shared" ca="1" si="1"/>
        <v>0</v>
      </c>
      <c r="Q41" s="489">
        <f ca="1">IF('CDO Bespoke'!O42&lt;&gt;"",'CDO Bespoke'!O42,"")</f>
        <v>1.0191071535254399</v>
      </c>
      <c r="R41" s="490">
        <f ca="1">IF(Q41&lt;&gt;"",ABS(MIN(-0.75*('CDO Bespoke'!K42)+'CDO Bespoke'!T42,0)),"")</f>
        <v>0.15408438302822136</v>
      </c>
      <c r="S41" s="490">
        <f t="shared" ca="1" si="2"/>
        <v>0.86502277049721854</v>
      </c>
      <c r="T41" s="494">
        <f t="shared" ca="1" si="3"/>
        <v>0</v>
      </c>
      <c r="U41" s="275"/>
      <c r="V41" s="499" t="str">
        <f ca="1">IF('CDO Bespoke'!C66&lt;&gt;"",'CDO Bespoke'!C66,"")</f>
        <v>Siemens Aktiengesellschaft</v>
      </c>
      <c r="W41" s="501" cm="1">
        <f t="array" aca="1" ref="W41" ca="1">IF($V41&lt;&gt;"",-TRANSPOSE(INDEX(getcds('CDO Bespoke'!$C66,W$13,'CDO Bespoke'!$G66/10000,'CDO Bespoke'!F66,'CDO Bespoke'!$L42,'CDO Bespoke'!$C$13,'CDO Bespoke'!$C$14,'CDO Bespoke'!$C$15,'CDO Bespoke'!$C$8,,,TRUE,TRUE,FALSE,'CDO Bespoke'!$C$29:'CDO Bespoke'!$C$31,'CDO Bespoke'!$C$33),{5})),"")</f>
        <v>-7.6508601161589695E-2</v>
      </c>
      <c r="X41" s="527" cm="1">
        <f t="array" aca="1" ref="X41" ca="1">IF($V41&lt;&gt;"",-TRANSPOSE(INDEX(getcds('CDO Bespoke'!$C66,X$13,'CDO Bespoke'!$G66/10000,'CDO Bespoke'!G66,'CDO Bespoke'!$L42,'CDO Bespoke'!$C$13,'CDO Bespoke'!$C$14,'CDO Bespoke'!$C$15,'CDO Bespoke'!$C$8,,,TRUE,TRUE,FALSE,'CDO Bespoke'!$C$29:'CDO Bespoke'!$C$31,'CDO Bespoke'!$C$33),{5})),"")</f>
        <v>-0.15784915808672201</v>
      </c>
      <c r="Y41" s="527" cm="1">
        <f t="array" aca="1" ref="Y41" ca="1">IF($V41&lt;&gt;"",-TRANSPOSE(INDEX(getcds('CDO Bespoke'!$C66,Y$13,'CDO Bespoke'!$G66/10000,'CDO Bespoke'!H66,'CDO Bespoke'!$L42,'CDO Bespoke'!$C$13,'CDO Bespoke'!$C$14,'CDO Bespoke'!$C$15,'CDO Bespoke'!$C$8,,,TRUE,TRUE,FALSE,'CDO Bespoke'!$C$29:'CDO Bespoke'!$C$31,'CDO Bespoke'!$C$33),{5})),"")</f>
        <v>-0.465471296003444</v>
      </c>
      <c r="Z41" s="527" cm="1">
        <f t="array" aca="1" ref="Z41" ca="1">IF($V41&lt;&gt;"",-TRANSPOSE(INDEX(getcds('CDO Bespoke'!$C66,Z$13,'CDO Bespoke'!$G66/10000,'CDO Bespoke'!I66,'CDO Bespoke'!$L42,'CDO Bespoke'!$C$13,'CDO Bespoke'!$C$14,'CDO Bespoke'!$C$15,'CDO Bespoke'!$C$8,,,TRUE,TRUE,FALSE,'CDO Bespoke'!$C$29:'CDO Bespoke'!$C$31,'CDO Bespoke'!$C$33),{5})),"")</f>
        <v>-0.74475474772249795</v>
      </c>
      <c r="AA41" s="502" cm="1">
        <f t="array" aca="1" ref="AA41" ca="1">IF($V41&lt;&gt;"",-TRANSPOSE(INDEX(getcds('CDO Bespoke'!$C66,AA$13,'CDO Bespoke'!$G66/10000,'CDO Bespoke'!J66,'CDO Bespoke'!$L42,'CDO Bespoke'!$C$13,'CDO Bespoke'!$C$14,'CDO Bespoke'!$C$15,'CDO Bespoke'!$C$8,,,TRUE,TRUE,FALSE,'CDO Bespoke'!$C$29:'CDO Bespoke'!$C$31,'CDO Bespoke'!$C$33),{5})),"")</f>
        <v>-1.34054716077594</v>
      </c>
      <c r="AB41" s="481"/>
      <c r="AC41" s="517"/>
      <c r="AD41" s="518"/>
      <c r="AE41" s="518"/>
      <c r="AF41" s="518"/>
      <c r="AG41" s="518"/>
      <c r="AH41" s="518"/>
      <c r="AI41" s="518"/>
      <c r="AJ41" s="518"/>
      <c r="AK41" s="518"/>
      <c r="AL41" s="519"/>
      <c r="AM41" s="540"/>
    </row>
    <row r="42" spans="2:39" ht="12" thickBot="1">
      <c r="B42" s="558" t="s">
        <v>513</v>
      </c>
      <c r="C42" s="559" t="s">
        <v>66</v>
      </c>
      <c r="D42" s="559" t="s">
        <v>59</v>
      </c>
      <c r="E42" s="559" t="s">
        <v>663</v>
      </c>
      <c r="F42" s="559" t="s">
        <v>664</v>
      </c>
      <c r="G42" s="560">
        <v>0.01</v>
      </c>
      <c r="H42" s="560">
        <v>2.0253E-2</v>
      </c>
      <c r="I42" s="561">
        <v>0.4</v>
      </c>
      <c r="J42" s="562">
        <v>6</v>
      </c>
      <c r="K42" s="275"/>
      <c r="L42" s="275"/>
      <c r="M42" s="489">
        <f ca="1">IF('CDO Bespoke'!O43&lt;&gt;"",'CDO Bespoke'!O43,"")</f>
        <v>1.0185539448727901</v>
      </c>
      <c r="N42" s="490">
        <f ca="1">IF(M42&lt;&gt;"",ABS(MIN(-0.75*('CDO Bespoke'!Q43)+'CDO Bespoke'!T43,0)),"")</f>
        <v>1.0115265825672761</v>
      </c>
      <c r="O42" s="490">
        <f t="shared" ca="1" si="0"/>
        <v>7.0273623055139289E-3</v>
      </c>
      <c r="P42" s="490">
        <f t="shared" ca="1" si="1"/>
        <v>0</v>
      </c>
      <c r="Q42" s="489">
        <f ca="1">IF('CDO Bespoke'!O43&lt;&gt;"",'CDO Bespoke'!O43,"")</f>
        <v>1.0185539448727901</v>
      </c>
      <c r="R42" s="490">
        <f ca="1">IF(Q42&lt;&gt;"",ABS(MIN(-0.75*('CDO Bespoke'!K43)+'CDO Bespoke'!T43,0)),"")</f>
        <v>0.17410483609033917</v>
      </c>
      <c r="S42" s="490">
        <f t="shared" ca="1" si="2"/>
        <v>0.84444910878245083</v>
      </c>
      <c r="T42" s="494">
        <f t="shared" ca="1" si="3"/>
        <v>0</v>
      </c>
      <c r="U42" s="275"/>
      <c r="V42" s="499" t="str">
        <f ca="1">IF('CDO Bespoke'!C67&lt;&gt;"",'CDO Bespoke'!C67,"")</f>
        <v>SMURFIT KAPPA ACQUISITIONS UNLIMITED COMPANY</v>
      </c>
      <c r="W42" s="501" cm="1">
        <f t="array" aca="1" ref="W42" ca="1">IF($V42&lt;&gt;"",-TRANSPOSE(INDEX(getcds('CDO Bespoke'!$C67,W$13,'CDO Bespoke'!$G67/10000,'CDO Bespoke'!F67,'CDO Bespoke'!$L43,'CDO Bespoke'!$C$13,'CDO Bespoke'!$C$14,'CDO Bespoke'!$C$15,'CDO Bespoke'!$C$8,,,TRUE,TRUE,FALSE,'CDO Bespoke'!$C$29:'CDO Bespoke'!$C$31,'CDO Bespoke'!$C$33),{5})),"")</f>
        <v>-9.2584958428810302E-2</v>
      </c>
      <c r="X42" s="527" cm="1">
        <f t="array" aca="1" ref="X42" ca="1">IF($V42&lt;&gt;"",-TRANSPOSE(INDEX(getcds('CDO Bespoke'!$C67,X$13,'CDO Bespoke'!$G67/10000,'CDO Bespoke'!G67,'CDO Bespoke'!$L43,'CDO Bespoke'!$C$13,'CDO Bespoke'!$C$14,'CDO Bespoke'!$C$15,'CDO Bespoke'!$C$8,,,TRUE,TRUE,FALSE,'CDO Bespoke'!$C$29:'CDO Bespoke'!$C$31,'CDO Bespoke'!$C$33),{5})),"")</f>
        <v>-0.19096938008671299</v>
      </c>
      <c r="Y42" s="527" cm="1">
        <f t="array" aca="1" ref="Y42" ca="1">IF($V42&lt;&gt;"",-TRANSPOSE(INDEX(getcds('CDO Bespoke'!$C67,Y$13,'CDO Bespoke'!$G67/10000,'CDO Bespoke'!H67,'CDO Bespoke'!$L43,'CDO Bespoke'!$C$13,'CDO Bespoke'!$C$14,'CDO Bespoke'!$C$15,'CDO Bespoke'!$C$8,,,TRUE,TRUE,FALSE,'CDO Bespoke'!$C$29:'CDO Bespoke'!$C$31,'CDO Bespoke'!$C$33),{5})),"")</f>
        <v>-0.56258510033349995</v>
      </c>
      <c r="Z42" s="527" cm="1">
        <f t="array" aca="1" ref="Z42" ca="1">IF($V42&lt;&gt;"",-TRANSPOSE(INDEX(getcds('CDO Bespoke'!$C67,Z$13,'CDO Bespoke'!$G67/10000,'CDO Bespoke'!I67,'CDO Bespoke'!$L43,'CDO Bespoke'!$C$13,'CDO Bespoke'!$C$14,'CDO Bespoke'!$C$15,'CDO Bespoke'!$C$8,,,TRUE,TRUE,FALSE,'CDO Bespoke'!$C$29:'CDO Bespoke'!$C$31,'CDO Bespoke'!$C$33),{5})),"")</f>
        <v>-0.89836509027428302</v>
      </c>
      <c r="AA42" s="502" cm="1">
        <f t="array" aca="1" ref="AA42" ca="1">IF($V42&lt;&gt;"",-TRANSPOSE(INDEX(getcds('CDO Bespoke'!$C67,AA$13,'CDO Bespoke'!$G67/10000,'CDO Bespoke'!J67,'CDO Bespoke'!$L43,'CDO Bespoke'!$C$13,'CDO Bespoke'!$C$14,'CDO Bespoke'!$C$15,'CDO Bespoke'!$C$8,,,TRUE,TRUE,FALSE,'CDO Bespoke'!$C$29:'CDO Bespoke'!$C$31,'CDO Bespoke'!$C$33),{5})),"")</f>
        <v>-1.6122315666845499</v>
      </c>
      <c r="AB42" s="481"/>
      <c r="AC42" s="517"/>
      <c r="AD42" s="518"/>
      <c r="AE42" s="518"/>
      <c r="AF42" s="518"/>
      <c r="AG42" s="518"/>
      <c r="AH42" s="518"/>
      <c r="AI42" s="518"/>
      <c r="AJ42" s="518"/>
      <c r="AK42" s="518"/>
      <c r="AL42" s="519"/>
      <c r="AM42" s="540"/>
    </row>
    <row r="43" spans="2:39" ht="12" thickBot="1">
      <c r="B43" s="563" t="s">
        <v>514</v>
      </c>
      <c r="C43" s="564" t="s">
        <v>66</v>
      </c>
      <c r="D43" s="564" t="s">
        <v>55</v>
      </c>
      <c r="E43" s="564" t="s">
        <v>661</v>
      </c>
      <c r="F43" s="564" t="s">
        <v>665</v>
      </c>
      <c r="G43" s="565">
        <v>0.01</v>
      </c>
      <c r="H43" s="565">
        <v>2.196E-3</v>
      </c>
      <c r="I43" s="566">
        <v>0.4</v>
      </c>
      <c r="J43" s="567">
        <v>7</v>
      </c>
      <c r="K43" s="275"/>
      <c r="L43" s="275"/>
      <c r="M43" s="489">
        <f ca="1">IF('CDO Bespoke'!O44&lt;&gt;"",'CDO Bespoke'!O44,"")</f>
        <v>1.01656176859297</v>
      </c>
      <c r="N43" s="490">
        <f ca="1">IF(M43&lt;&gt;"",ABS(MIN(-0.75*('CDO Bespoke'!Q44)+'CDO Bespoke'!T44,0)),"")</f>
        <v>1.0143668445820593</v>
      </c>
      <c r="O43" s="490">
        <f t="shared" ca="1" si="0"/>
        <v>2.1949240109107038E-3</v>
      </c>
      <c r="P43" s="490">
        <f t="shared" ca="1" si="1"/>
        <v>0</v>
      </c>
      <c r="Q43" s="489">
        <f ca="1">IF('CDO Bespoke'!O44&lt;&gt;"",'CDO Bespoke'!O44,"")</f>
        <v>1.01656176859297</v>
      </c>
      <c r="R43" s="490">
        <f ca="1">IF(Q43&lt;&gt;"",ABS(MIN(-0.75*('CDO Bespoke'!K44)+'CDO Bespoke'!T44,0)),"")</f>
        <v>0.21477825196655825</v>
      </c>
      <c r="S43" s="490">
        <f t="shared" ca="1" si="2"/>
        <v>0.80178351662641179</v>
      </c>
      <c r="T43" s="494">
        <f t="shared" ca="1" si="3"/>
        <v>0</v>
      </c>
      <c r="U43" s="275"/>
      <c r="V43" s="499" t="str">
        <f ca="1">IF('CDO Bespoke'!C68&lt;&gt;"",'CDO Bespoke'!C68,"")</f>
        <v>Solvay</v>
      </c>
      <c r="W43" s="501" cm="1">
        <f t="array" aca="1" ref="W43" ca="1">IF($V43&lt;&gt;"",-TRANSPOSE(INDEX(getcds('CDO Bespoke'!$C68,W$13,'CDO Bespoke'!$G68/10000,'CDO Bespoke'!F68,'CDO Bespoke'!$L44,'CDO Bespoke'!$C$13,'CDO Bespoke'!$C$14,'CDO Bespoke'!$C$15,'CDO Bespoke'!$C$8,,,TRUE,TRUE,FALSE,'CDO Bespoke'!$C$29:'CDO Bespoke'!$C$31,'CDO Bespoke'!$C$33),{5})),"")</f>
        <v>-0.126746409828777</v>
      </c>
      <c r="X43" s="527" cm="1">
        <f t="array" aca="1" ref="X43" ca="1">IF($V43&lt;&gt;"",-TRANSPOSE(INDEX(getcds('CDO Bespoke'!$C68,X$13,'CDO Bespoke'!$G68/10000,'CDO Bespoke'!G68,'CDO Bespoke'!$L44,'CDO Bespoke'!$C$13,'CDO Bespoke'!$C$14,'CDO Bespoke'!$C$15,'CDO Bespoke'!$C$8,,,TRUE,TRUE,FALSE,'CDO Bespoke'!$C$29:'CDO Bespoke'!$C$31,'CDO Bespoke'!$C$33),{5})),"")</f>
        <v>-0.26119465917051199</v>
      </c>
      <c r="Y43" s="527" cm="1">
        <f t="array" aca="1" ref="Y43" ca="1">IF($V43&lt;&gt;"",-TRANSPOSE(INDEX(getcds('CDO Bespoke'!$C68,Y$13,'CDO Bespoke'!$G68/10000,'CDO Bespoke'!H68,'CDO Bespoke'!$L44,'CDO Bespoke'!$C$13,'CDO Bespoke'!$C$14,'CDO Bespoke'!$C$15,'CDO Bespoke'!$C$8,,,TRUE,TRUE,FALSE,'CDO Bespoke'!$C$29:'CDO Bespoke'!$C$31,'CDO Bespoke'!$C$33),{5})),"")</f>
        <v>-0.76673121846431103</v>
      </c>
      <c r="Z43" s="527" cm="1">
        <f t="array" aca="1" ref="Z43" ca="1">IF($V43&lt;&gt;"",-TRANSPOSE(INDEX(getcds('CDO Bespoke'!$C68,Z$13,'CDO Bespoke'!$G68/10000,'CDO Bespoke'!I68,'CDO Bespoke'!$L44,'CDO Bespoke'!$C$13,'CDO Bespoke'!$C$14,'CDO Bespoke'!$C$15,'CDO Bespoke'!$C$8,,,TRUE,TRUE,FALSE,'CDO Bespoke'!$C$29:'CDO Bespoke'!$C$31,'CDO Bespoke'!$C$33),{5})),"")</f>
        <v>-1.2182359092047499</v>
      </c>
      <c r="AA43" s="502" cm="1">
        <f t="array" aca="1" ref="AA43" ca="1">IF($V43&lt;&gt;"",-TRANSPOSE(INDEX(getcds('CDO Bespoke'!$C68,AA$13,'CDO Bespoke'!$G68/10000,'CDO Bespoke'!J68,'CDO Bespoke'!$L44,'CDO Bespoke'!$C$13,'CDO Bespoke'!$C$14,'CDO Bespoke'!$C$15,'CDO Bespoke'!$C$8,,,TRUE,TRUE,FALSE,'CDO Bespoke'!$C$29:'CDO Bespoke'!$C$31,'CDO Bespoke'!$C$33),{5})),"")</f>
        <v>-2.18020894567357</v>
      </c>
      <c r="AB43" s="481"/>
      <c r="AC43" s="517"/>
      <c r="AD43" s="518"/>
      <c r="AE43" s="518"/>
      <c r="AF43" s="518"/>
      <c r="AG43" s="518"/>
      <c r="AH43" s="518"/>
      <c r="AI43" s="518"/>
      <c r="AJ43" s="518"/>
      <c r="AK43" s="518"/>
      <c r="AL43" s="519"/>
      <c r="AM43" s="540"/>
    </row>
    <row r="44" spans="2:39" ht="12" thickBot="1">
      <c r="B44" s="541" t="s">
        <v>514</v>
      </c>
      <c r="C44" s="542" t="s">
        <v>66</v>
      </c>
      <c r="D44" s="542" t="s">
        <v>57</v>
      </c>
      <c r="E44" s="542" t="s">
        <v>661</v>
      </c>
      <c r="F44" s="542" t="s">
        <v>665</v>
      </c>
      <c r="G44" s="549">
        <v>0.01</v>
      </c>
      <c r="H44" s="549">
        <v>3.117E-3</v>
      </c>
      <c r="I44" s="551">
        <v>0.4</v>
      </c>
      <c r="J44" s="543">
        <v>7</v>
      </c>
      <c r="K44" s="275"/>
      <c r="L44" s="275"/>
      <c r="M44" s="489">
        <f ca="1">IF('CDO Bespoke'!O45&lt;&gt;"",'CDO Bespoke'!O45,"")</f>
        <v>1.01511748119376</v>
      </c>
      <c r="N44" s="490">
        <f ca="1">IF(M44&lt;&gt;"",ABS(MIN(-0.75*('CDO Bespoke'!Q45)+'CDO Bespoke'!T45,0)),"")</f>
        <v>1.0161944902501938</v>
      </c>
      <c r="O44" s="490">
        <f t="shared" ca="1" si="0"/>
        <v>0</v>
      </c>
      <c r="P44" s="490">
        <f t="shared" ca="1" si="1"/>
        <v>0</v>
      </c>
      <c r="Q44" s="489">
        <f ca="1">IF('CDO Bespoke'!O45&lt;&gt;"",'CDO Bespoke'!O45,"")</f>
        <v>1.01511748119376</v>
      </c>
      <c r="R44" s="490">
        <f ca="1">IF(Q44&lt;&gt;"",ABS(MIN(-0.75*('CDO Bespoke'!K45)+'CDO Bespoke'!T45,0)),"")</f>
        <v>0.23280033769786326</v>
      </c>
      <c r="S44" s="490">
        <f t="shared" ca="1" si="2"/>
        <v>0.78231714349589676</v>
      </c>
      <c r="T44" s="494">
        <f t="shared" ca="1" si="3"/>
        <v>0</v>
      </c>
      <c r="U44" s="275"/>
      <c r="V44" s="499" t="str">
        <f ca="1">IF('CDO Bespoke'!C69&lt;&gt;"",'CDO Bespoke'!C69,"")</f>
        <v>Stellantis N.V.</v>
      </c>
      <c r="W44" s="501" cm="1">
        <f t="array" aca="1" ref="W44" ca="1">IF($V44&lt;&gt;"",-TRANSPOSE(INDEX(getcds('CDO Bespoke'!$C69,W$13,'CDO Bespoke'!$G69/10000,'CDO Bespoke'!F69,'CDO Bespoke'!$L45,'CDO Bespoke'!$C$13,'CDO Bespoke'!$C$14,'CDO Bespoke'!$C$15,'CDO Bespoke'!$C$8,,,TRUE,TRUE,FALSE,'CDO Bespoke'!$C$29:'CDO Bespoke'!$C$31,'CDO Bespoke'!$C$33),{5})),"")</f>
        <v>-0.14337296235438399</v>
      </c>
      <c r="X44" s="527" cm="1">
        <f t="array" aca="1" ref="X44" ca="1">IF($V44&lt;&gt;"",-TRANSPOSE(INDEX(getcds('CDO Bespoke'!$C69,X$13,'CDO Bespoke'!$G69/10000,'CDO Bespoke'!G69,'CDO Bespoke'!$L45,'CDO Bespoke'!$C$13,'CDO Bespoke'!$C$14,'CDO Bespoke'!$C$15,'CDO Bespoke'!$C$8,,,TRUE,TRUE,FALSE,'CDO Bespoke'!$C$29:'CDO Bespoke'!$C$31,'CDO Bespoke'!$C$33),{5})),"")</f>
        <v>-0.29536875086388698</v>
      </c>
      <c r="Y44" s="527" cm="1">
        <f t="array" aca="1" ref="Y44" ca="1">IF($V44&lt;&gt;"",-TRANSPOSE(INDEX(getcds('CDO Bespoke'!$C69,Y$13,'CDO Bespoke'!$G69/10000,'CDO Bespoke'!H69,'CDO Bespoke'!$L45,'CDO Bespoke'!$C$13,'CDO Bespoke'!$C$14,'CDO Bespoke'!$C$15,'CDO Bespoke'!$C$8,,,TRUE,TRUE,FALSE,'CDO Bespoke'!$C$29:'CDO Bespoke'!$C$31,'CDO Bespoke'!$C$33),{5})),"")</f>
        <v>-0.86602334864737096</v>
      </c>
      <c r="Z44" s="527" cm="1">
        <f t="array" aca="1" ref="Z44" ca="1">IF($V44&lt;&gt;"",-TRANSPOSE(INDEX(getcds('CDO Bespoke'!$C69,Z$13,'CDO Bespoke'!$G69/10000,'CDO Bespoke'!I69,'CDO Bespoke'!$L45,'CDO Bespoke'!$C$13,'CDO Bespoke'!$C$14,'CDO Bespoke'!$C$15,'CDO Bespoke'!$C$8,,,TRUE,TRUE,FALSE,'CDO Bespoke'!$C$29:'CDO Bespoke'!$C$31,'CDO Bespoke'!$C$33),{5})),"")</f>
        <v>-1.3719851651336199</v>
      </c>
      <c r="AA44" s="502" cm="1">
        <f t="array" aca="1" ref="AA44" ca="1">IF($V44&lt;&gt;"",-TRANSPOSE(INDEX(getcds('CDO Bespoke'!$C69,AA$13,'CDO Bespoke'!$G69/10000,'CDO Bespoke'!J69,'CDO Bespoke'!$L45,'CDO Bespoke'!$C$13,'CDO Bespoke'!$C$14,'CDO Bespoke'!$C$15,'CDO Bespoke'!$C$8,,,TRUE,TRUE,FALSE,'CDO Bespoke'!$C$29:'CDO Bespoke'!$C$31,'CDO Bespoke'!$C$33),{5})),"")</f>
        <v>-2.4417890674629099</v>
      </c>
      <c r="AB44" s="481"/>
      <c r="AC44" s="517"/>
      <c r="AD44" s="518"/>
      <c r="AE44" s="518"/>
      <c r="AF44" s="518"/>
      <c r="AG44" s="518"/>
      <c r="AH44" s="518"/>
      <c r="AI44" s="518"/>
      <c r="AJ44" s="518"/>
      <c r="AK44" s="518"/>
      <c r="AL44" s="519"/>
      <c r="AM44" s="540"/>
    </row>
    <row r="45" spans="2:39" ht="12" thickBot="1">
      <c r="B45" s="558" t="s">
        <v>514</v>
      </c>
      <c r="C45" s="559" t="s">
        <v>66</v>
      </c>
      <c r="D45" s="559" t="s">
        <v>59</v>
      </c>
      <c r="E45" s="559" t="s">
        <v>661</v>
      </c>
      <c r="F45" s="559" t="s">
        <v>665</v>
      </c>
      <c r="G45" s="560">
        <v>0.01</v>
      </c>
      <c r="H45" s="560">
        <v>4.3610000000000003E-3</v>
      </c>
      <c r="I45" s="561">
        <v>0.4</v>
      </c>
      <c r="J45" s="562">
        <v>7</v>
      </c>
      <c r="K45" s="275"/>
      <c r="L45" s="275"/>
      <c r="M45" s="489">
        <f ca="1">IF('CDO Bespoke'!O46&lt;&gt;"",'CDO Bespoke'!O46,"")</f>
        <v>1.0166283569566399</v>
      </c>
      <c r="N45" s="490">
        <f ca="1">IF(M45&lt;&gt;"",ABS(MIN(-0.75*('CDO Bespoke'!Q46)+'CDO Bespoke'!T46,0)),"")</f>
        <v>1.0143431152190105</v>
      </c>
      <c r="O45" s="490">
        <f t="shared" ca="1" si="0"/>
        <v>2.2852417376293399E-3</v>
      </c>
      <c r="P45" s="490">
        <f t="shared" ca="1" si="1"/>
        <v>0</v>
      </c>
      <c r="Q45" s="489">
        <f ca="1">IF('CDO Bespoke'!O46&lt;&gt;"",'CDO Bespoke'!O46,"")</f>
        <v>1.0166283569566399</v>
      </c>
      <c r="R45" s="490">
        <f ca="1">IF(Q45&lt;&gt;"",ABS(MIN(-0.75*('CDO Bespoke'!K46)+'CDO Bespoke'!T46,0)),"")</f>
        <v>0.21319582983687083</v>
      </c>
      <c r="S45" s="490">
        <f t="shared" ca="1" si="2"/>
        <v>0.80343252711976909</v>
      </c>
      <c r="T45" s="494">
        <f t="shared" ca="1" si="3"/>
        <v>0</v>
      </c>
      <c r="U45" s="275"/>
      <c r="V45" s="499" t="str">
        <f ca="1">IF('CDO Bespoke'!C70&lt;&gt;"",'CDO Bespoke'!C70,"")</f>
        <v>Stora Enso Oyj</v>
      </c>
      <c r="W45" s="501" cm="1">
        <f t="array" aca="1" ref="W45" ca="1">IF($V45&lt;&gt;"",-TRANSPOSE(INDEX(getcds('CDO Bespoke'!$C70,W$13,'CDO Bespoke'!$G70/10000,'CDO Bespoke'!F70,'CDO Bespoke'!$L46,'CDO Bespoke'!$C$13,'CDO Bespoke'!$C$14,'CDO Bespoke'!$C$15,'CDO Bespoke'!$C$8,,,TRUE,TRUE,FALSE,'CDO Bespoke'!$C$29:'CDO Bespoke'!$C$31,'CDO Bespoke'!$C$33),{5})),"")</f>
        <v>-0.12562902212096499</v>
      </c>
      <c r="X45" s="527" cm="1">
        <f t="array" aca="1" ref="X45" ca="1">IF($V45&lt;&gt;"",-TRANSPOSE(INDEX(getcds('CDO Bespoke'!$C70,X$13,'CDO Bespoke'!$G70/10000,'CDO Bespoke'!G70,'CDO Bespoke'!$L46,'CDO Bespoke'!$C$13,'CDO Bespoke'!$C$14,'CDO Bespoke'!$C$15,'CDO Bespoke'!$C$8,,,TRUE,TRUE,FALSE,'CDO Bespoke'!$C$29:'CDO Bespoke'!$C$31,'CDO Bespoke'!$C$33),{5})),"")</f>
        <v>-0.25891271550740902</v>
      </c>
      <c r="Y45" s="527" cm="1">
        <f t="array" aca="1" ref="Y45" ca="1">IF($V45&lt;&gt;"",-TRANSPOSE(INDEX(getcds('CDO Bespoke'!$C70,Y$13,'CDO Bespoke'!$G70/10000,'CDO Bespoke'!H70,'CDO Bespoke'!$L46,'CDO Bespoke'!$C$13,'CDO Bespoke'!$C$14,'CDO Bespoke'!$C$15,'CDO Bespoke'!$C$8,,,TRUE,TRUE,FALSE,'CDO Bespoke'!$C$29:'CDO Bespoke'!$C$31,'CDO Bespoke'!$C$33),{5})),"")</f>
        <v>-0.76027081397768603</v>
      </c>
      <c r="Z45" s="527" cm="1">
        <f t="array" aca="1" ref="Z45" ca="1">IF($V45&lt;&gt;"",-TRANSPOSE(INDEX(getcds('CDO Bespoke'!$C70,Z$13,'CDO Bespoke'!$G70/10000,'CDO Bespoke'!I70,'CDO Bespoke'!$L46,'CDO Bespoke'!$C$13,'CDO Bespoke'!$C$14,'CDO Bespoke'!$C$15,'CDO Bespoke'!$C$8,,,TRUE,TRUE,FALSE,'CDO Bespoke'!$C$29:'CDO Bespoke'!$C$31,'CDO Bespoke'!$C$33),{5})),"")</f>
        <v>-1.2081178889373201</v>
      </c>
      <c r="AA45" s="502" cm="1">
        <f t="array" aca="1" ref="AA45" ca="1">IF($V45&lt;&gt;"",-TRANSPOSE(INDEX(getcds('CDO Bespoke'!$C70,AA$13,'CDO Bespoke'!$G70/10000,'CDO Bespoke'!J70,'CDO Bespoke'!$L46,'CDO Bespoke'!$C$13,'CDO Bespoke'!$C$14,'CDO Bespoke'!$C$15,'CDO Bespoke'!$C$8,,,TRUE,TRUE,FALSE,'CDO Bespoke'!$C$29:'CDO Bespoke'!$C$31,'CDO Bespoke'!$C$33),{5})),"")</f>
        <v>-2.1593907817789302</v>
      </c>
      <c r="AB45" s="481"/>
      <c r="AC45" s="517"/>
      <c r="AD45" s="518"/>
      <c r="AE45" s="518"/>
      <c r="AF45" s="518"/>
      <c r="AG45" s="518"/>
      <c r="AH45" s="518"/>
      <c r="AI45" s="518"/>
      <c r="AJ45" s="518"/>
      <c r="AK45" s="518"/>
      <c r="AL45" s="519"/>
      <c r="AM45" s="540"/>
    </row>
    <row r="46" spans="2:39" ht="12" thickBot="1">
      <c r="B46" s="563" t="s">
        <v>515</v>
      </c>
      <c r="C46" s="564" t="s">
        <v>66</v>
      </c>
      <c r="D46" s="564" t="s">
        <v>55</v>
      </c>
      <c r="E46" s="564" t="s">
        <v>663</v>
      </c>
      <c r="F46" s="564" t="s">
        <v>662</v>
      </c>
      <c r="G46" s="565">
        <v>0.01</v>
      </c>
      <c r="H46" s="565">
        <v>2.016E-3</v>
      </c>
      <c r="I46" s="566">
        <v>0.4</v>
      </c>
      <c r="J46" s="567">
        <v>8</v>
      </c>
      <c r="K46" s="275"/>
      <c r="L46" s="275"/>
      <c r="M46" s="489">
        <f ca="1">IF('CDO Bespoke'!O47&lt;&gt;"",'CDO Bespoke'!O47,"")</f>
        <v>1.01368312806529</v>
      </c>
      <c r="N46" s="490">
        <f ca="1">IF(M46&lt;&gt;"",ABS(MIN(-0.75*('CDO Bespoke'!Q47)+'CDO Bespoke'!T47,0)),"")</f>
        <v>1.0177032541651485</v>
      </c>
      <c r="O46" s="490">
        <f t="shared" ca="1" si="0"/>
        <v>0</v>
      </c>
      <c r="P46" s="490">
        <f t="shared" ca="1" si="1"/>
        <v>0</v>
      </c>
      <c r="Q46" s="489">
        <f ca="1">IF('CDO Bespoke'!O47&lt;&gt;"",'CDO Bespoke'!O47,"")</f>
        <v>1.01368312806529</v>
      </c>
      <c r="R46" s="490">
        <f ca="1">IF(Q46&lt;&gt;"",ABS(MIN(-0.75*('CDO Bespoke'!K47)+'CDO Bespoke'!T47,0)),"")</f>
        <v>0.24840893871793038</v>
      </c>
      <c r="S46" s="490">
        <f t="shared" ca="1" si="2"/>
        <v>0.76527418934735969</v>
      </c>
      <c r="T46" s="494">
        <f t="shared" ca="1" si="3"/>
        <v>0</v>
      </c>
      <c r="U46" s="275"/>
      <c r="V46" s="499" t="str">
        <f ca="1">IF('CDO Bespoke'!C71&lt;&gt;"",'CDO Bespoke'!C71,"")</f>
        <v>UNIBAIL-RODAMCO-WESTFIELD SE</v>
      </c>
      <c r="W46" s="501" cm="1">
        <f t="array" aca="1" ref="W46" ca="1">IF($V46&lt;&gt;"",-TRANSPOSE(INDEX(getcds('CDO Bespoke'!$C71,W$13,'CDO Bespoke'!$G71/10000,'CDO Bespoke'!F71,'CDO Bespoke'!$L47,'CDO Bespoke'!$C$13,'CDO Bespoke'!$C$14,'CDO Bespoke'!$C$15,'CDO Bespoke'!$C$8,,,TRUE,TRUE,FALSE,'CDO Bespoke'!$C$29:'CDO Bespoke'!$C$31,'CDO Bespoke'!$C$33),{5})),"")</f>
        <v>-0.15756900713969799</v>
      </c>
      <c r="X46" s="527" cm="1">
        <f t="array" aca="1" ref="X46" ca="1">IF($V46&lt;&gt;"",-TRANSPOSE(INDEX(getcds('CDO Bespoke'!$C71,X$13,'CDO Bespoke'!$G71/10000,'CDO Bespoke'!G71,'CDO Bespoke'!$L47,'CDO Bespoke'!$C$13,'CDO Bespoke'!$C$14,'CDO Bespoke'!$C$15,'CDO Bespoke'!$C$8,,,TRUE,TRUE,FALSE,'CDO Bespoke'!$C$29:'CDO Bespoke'!$C$31,'CDO Bespoke'!$C$33),{5})),"")</f>
        <v>-0.32449960603253603</v>
      </c>
      <c r="Y46" s="527" cm="1">
        <f t="array" aca="1" ref="Y46" ca="1">IF($V46&lt;&gt;"",-TRANSPOSE(INDEX(getcds('CDO Bespoke'!$C71,Y$13,'CDO Bespoke'!$G71/10000,'CDO Bespoke'!H71,'CDO Bespoke'!$L47,'CDO Bespoke'!$C$13,'CDO Bespoke'!$C$14,'CDO Bespoke'!$C$15,'CDO Bespoke'!$C$8,,,TRUE,TRUE,FALSE,'CDO Bespoke'!$C$29:'CDO Bespoke'!$C$31,'CDO Bespoke'!$C$33),{5})),"")</f>
        <v>-0.95011782767767705</v>
      </c>
      <c r="Z46" s="527" cm="1">
        <f t="array" aca="1" ref="Z46" ca="1">IF($V46&lt;&gt;"",-TRANSPOSE(INDEX(getcds('CDO Bespoke'!$C71,Z$13,'CDO Bespoke'!$G71/10000,'CDO Bespoke'!I71,'CDO Bespoke'!$L47,'CDO Bespoke'!$C$13,'CDO Bespoke'!$C$14,'CDO Bespoke'!$C$15,'CDO Bespoke'!$C$8,,,TRUE,TRUE,FALSE,'CDO Bespoke'!$C$29:'CDO Bespoke'!$C$31,'CDO Bespoke'!$C$33),{5})),"")</f>
        <v>-1.50143154076811</v>
      </c>
      <c r="AA46" s="502" cm="1">
        <f t="array" aca="1" ref="AA46" ca="1">IF($V46&lt;&gt;"",-TRANSPOSE(INDEX(getcds('CDO Bespoke'!$C71,AA$13,'CDO Bespoke'!$G71/10000,'CDO Bespoke'!J71,'CDO Bespoke'!$L47,'CDO Bespoke'!$C$13,'CDO Bespoke'!$C$14,'CDO Bespoke'!$C$15,'CDO Bespoke'!$C$8,,,TRUE,TRUE,FALSE,'CDO Bespoke'!$C$29:'CDO Bespoke'!$C$31,'CDO Bespoke'!$C$33),{5})),"")</f>
        <v>-2.66627948092039</v>
      </c>
      <c r="AB46" s="481"/>
      <c r="AC46" s="517"/>
      <c r="AD46" s="518"/>
      <c r="AE46" s="518"/>
      <c r="AF46" s="518"/>
      <c r="AG46" s="518"/>
      <c r="AH46" s="518"/>
      <c r="AI46" s="518"/>
      <c r="AJ46" s="518"/>
      <c r="AK46" s="518"/>
      <c r="AL46" s="519"/>
      <c r="AM46" s="540"/>
    </row>
    <row r="47" spans="2:39" ht="12" thickBot="1">
      <c r="B47" s="541" t="s">
        <v>515</v>
      </c>
      <c r="C47" s="542" t="s">
        <v>66</v>
      </c>
      <c r="D47" s="542" t="s">
        <v>57</v>
      </c>
      <c r="E47" s="542" t="s">
        <v>663</v>
      </c>
      <c r="F47" s="542" t="s">
        <v>662</v>
      </c>
      <c r="G47" s="549">
        <v>0.01</v>
      </c>
      <c r="H47" s="549">
        <v>3.4150000000000001E-3</v>
      </c>
      <c r="I47" s="551">
        <v>0.4</v>
      </c>
      <c r="J47" s="543">
        <v>8</v>
      </c>
      <c r="K47" s="275"/>
      <c r="L47" s="275"/>
      <c r="M47" s="489">
        <f ca="1">IF('CDO Bespoke'!O48&lt;&gt;"",'CDO Bespoke'!O48,"")</f>
        <v>1.01926280865471</v>
      </c>
      <c r="N47" s="490">
        <f ca="1">IF(M47&lt;&gt;"",ABS(MIN(-0.75*('CDO Bespoke'!Q48)+'CDO Bespoke'!T48,0)),"")</f>
        <v>1.0100367240866599</v>
      </c>
      <c r="O47" s="490">
        <f t="shared" ca="1" si="0"/>
        <v>9.2260845680500747E-3</v>
      </c>
      <c r="P47" s="490">
        <f t="shared" ca="1" si="1"/>
        <v>0</v>
      </c>
      <c r="Q47" s="489">
        <f ca="1">IF('CDO Bespoke'!O48&lt;&gt;"",'CDO Bespoke'!O48,"")</f>
        <v>1.01926280865471</v>
      </c>
      <c r="R47" s="490">
        <f ca="1">IF(Q47&lt;&gt;"",ABS(MIN(-0.75*('CDO Bespoke'!K48)+'CDO Bespoke'!T48,0)),"")</f>
        <v>0.14719462235016095</v>
      </c>
      <c r="S47" s="490">
        <f t="shared" ca="1" si="2"/>
        <v>0.87206818630454896</v>
      </c>
      <c r="T47" s="494">
        <f t="shared" ca="1" si="3"/>
        <v>0</v>
      </c>
      <c r="U47" s="275"/>
      <c r="V47" s="499" t="str">
        <f ca="1">IF('CDO Bespoke'!C72&lt;&gt;"",'CDO Bespoke'!C72,"")</f>
        <v>VINCI</v>
      </c>
      <c r="W47" s="501" cm="1">
        <f t="array" aca="1" ref="W47" ca="1">IF($V47&lt;&gt;"",-TRANSPOSE(INDEX(getcds('CDO Bespoke'!$C72,W$13,'CDO Bespoke'!$G72/10000,'CDO Bespoke'!F72,'CDO Bespoke'!$L48,'CDO Bespoke'!$C$13,'CDO Bespoke'!$C$14,'CDO Bespoke'!$C$15,'CDO Bespoke'!$C$8,,,TRUE,TRUE,FALSE,'CDO Bespoke'!$C$29:'CDO Bespoke'!$C$31,'CDO Bespoke'!$C$33),{5})),"")</f>
        <v>-7.1309511258332695E-2</v>
      </c>
      <c r="X47" s="527" cm="1">
        <f t="array" aca="1" ref="X47" ca="1">IF($V47&lt;&gt;"",-TRANSPOSE(INDEX(getcds('CDO Bespoke'!$C72,X$13,'CDO Bespoke'!$G72/10000,'CDO Bespoke'!G72,'CDO Bespoke'!$L48,'CDO Bespoke'!$C$13,'CDO Bespoke'!$C$14,'CDO Bespoke'!$C$15,'CDO Bespoke'!$C$8,,,TRUE,TRUE,FALSE,'CDO Bespoke'!$C$29:'CDO Bespoke'!$C$31,'CDO Bespoke'!$C$33),{5})),"")</f>
        <v>-0.14714876973218799</v>
      </c>
      <c r="Y47" s="527" cm="1">
        <f t="array" aca="1" ref="Y47" ca="1">IF($V47&lt;&gt;"",-TRANSPOSE(INDEX(getcds('CDO Bespoke'!$C72,Y$13,'CDO Bespoke'!$G72/10000,'CDO Bespoke'!H72,'CDO Bespoke'!$L48,'CDO Bespoke'!$C$13,'CDO Bespoke'!$C$14,'CDO Bespoke'!$C$15,'CDO Bespoke'!$C$8,,,TRUE,TRUE,FALSE,'CDO Bespoke'!$C$29:'CDO Bespoke'!$C$31,'CDO Bespoke'!$C$33),{5})),"")</f>
        <v>-0.43422007123558198</v>
      </c>
      <c r="Z47" s="527" cm="1">
        <f t="array" aca="1" ref="Z47" ca="1">IF($V47&lt;&gt;"",-TRANSPOSE(INDEX(getcds('CDO Bespoke'!$C72,Z$13,'CDO Bespoke'!$G72/10000,'CDO Bespoke'!I72,'CDO Bespoke'!$L48,'CDO Bespoke'!$C$13,'CDO Bespoke'!$C$14,'CDO Bespoke'!$C$15,'CDO Bespoke'!$C$8,,,TRUE,TRUE,FALSE,'CDO Bespoke'!$C$29:'CDO Bespoke'!$C$31,'CDO Bespoke'!$C$33),{5})),"")</f>
        <v>-0.69514836960288495</v>
      </c>
      <c r="AA47" s="502" cm="1">
        <f t="array" aca="1" ref="AA47" ca="1">IF($V47&lt;&gt;"",-TRANSPOSE(INDEX(getcds('CDO Bespoke'!$C72,AA$13,'CDO Bespoke'!$G72/10000,'CDO Bespoke'!J72,'CDO Bespoke'!$L48,'CDO Bespoke'!$C$13,'CDO Bespoke'!$C$14,'CDO Bespoke'!$C$15,'CDO Bespoke'!$C$8,,,TRUE,TRUE,FALSE,'CDO Bespoke'!$C$29:'CDO Bespoke'!$C$31,'CDO Bespoke'!$C$33),{5})),"")</f>
        <v>-1.250816992841</v>
      </c>
      <c r="AB47" s="481"/>
      <c r="AC47" s="517"/>
      <c r="AD47" s="518"/>
      <c r="AE47" s="518"/>
      <c r="AF47" s="518"/>
      <c r="AG47" s="518"/>
      <c r="AH47" s="518"/>
      <c r="AI47" s="518"/>
      <c r="AJ47" s="518"/>
      <c r="AK47" s="518"/>
      <c r="AL47" s="519"/>
      <c r="AM47" s="540"/>
    </row>
    <row r="48" spans="2:39" ht="12" thickBot="1">
      <c r="B48" s="558" t="s">
        <v>515</v>
      </c>
      <c r="C48" s="559" t="s">
        <v>66</v>
      </c>
      <c r="D48" s="559" t="s">
        <v>59</v>
      </c>
      <c r="E48" s="559" t="s">
        <v>663</v>
      </c>
      <c r="F48" s="559" t="s">
        <v>662</v>
      </c>
      <c r="G48" s="560">
        <v>0.01</v>
      </c>
      <c r="H48" s="560">
        <v>5.3829999999999998E-3</v>
      </c>
      <c r="I48" s="561">
        <v>0.4</v>
      </c>
      <c r="J48" s="562">
        <v>8</v>
      </c>
      <c r="K48" s="275"/>
      <c r="L48" s="275"/>
      <c r="M48" s="489">
        <f ca="1">IF('CDO Bespoke'!O49&lt;&gt;"",'CDO Bespoke'!O49,"")</f>
        <v>1.0162838590674701</v>
      </c>
      <c r="N48" s="490">
        <f ca="1">IF(M48&lt;&gt;"",ABS(MIN(-0.75*('CDO Bespoke'!Q49)+'CDO Bespoke'!T49,0)),"")</f>
        <v>1.0149540474150949</v>
      </c>
      <c r="O48" s="490">
        <f t="shared" ca="1" si="0"/>
        <v>1.3298116523752235E-3</v>
      </c>
      <c r="P48" s="490">
        <f t="shared" ca="1" si="1"/>
        <v>0</v>
      </c>
      <c r="Q48" s="489">
        <f ca="1">IF('CDO Bespoke'!O49&lt;&gt;"",'CDO Bespoke'!O49,"")</f>
        <v>1.0162838590674701</v>
      </c>
      <c r="R48" s="490">
        <f ca="1">IF(Q48&lt;&gt;"",ABS(MIN(-0.75*('CDO Bespoke'!K49)+'CDO Bespoke'!T49,0)),"")</f>
        <v>0.21853655019512142</v>
      </c>
      <c r="S48" s="490">
        <f t="shared" ca="1" si="2"/>
        <v>0.79774730887234868</v>
      </c>
      <c r="T48" s="494">
        <f t="shared" ca="1" si="3"/>
        <v>0</v>
      </c>
      <c r="U48" s="275"/>
      <c r="V48" s="499" t="str">
        <f ca="1">IF('CDO Bespoke'!C73&lt;&gt;"",'CDO Bespoke'!C73,"")</f>
        <v>VOLKSWAGEN AKTIENGESELLSCHAFT</v>
      </c>
      <c r="W48" s="501" cm="1">
        <f t="array" aca="1" ref="W48" ca="1">IF($V48&lt;&gt;"",-TRANSPOSE(INDEX(getcds('CDO Bespoke'!$C73,W$13,'CDO Bespoke'!$G73/10000,'CDO Bespoke'!F73,'CDO Bespoke'!$L49,'CDO Bespoke'!$C$13,'CDO Bespoke'!$C$14,'CDO Bespoke'!$C$15,'CDO Bespoke'!$C$8,,,TRUE,TRUE,FALSE,'CDO Bespoke'!$C$29:'CDO Bespoke'!$C$31,'CDO Bespoke'!$C$33),{5})),"")</f>
        <v>-0.1306082064821</v>
      </c>
      <c r="X48" s="527" cm="1">
        <f t="array" aca="1" ref="X48" ca="1">IF($V48&lt;&gt;"",-TRANSPOSE(INDEX(getcds('CDO Bespoke'!$C73,X$13,'CDO Bespoke'!$G73/10000,'CDO Bespoke'!G73,'CDO Bespoke'!$L49,'CDO Bespoke'!$C$13,'CDO Bespoke'!$C$14,'CDO Bespoke'!$C$15,'CDO Bespoke'!$C$8,,,TRUE,TRUE,FALSE,'CDO Bespoke'!$C$29:'CDO Bespoke'!$C$31,'CDO Bespoke'!$C$33),{5})),"")</f>
        <v>-0.26919300896141601</v>
      </c>
      <c r="Y48" s="527" cm="1">
        <f t="array" aca="1" ref="Y48" ca="1">IF($V48&lt;&gt;"",-TRANSPOSE(INDEX(getcds('CDO Bespoke'!$C73,Y$13,'CDO Bespoke'!$G73/10000,'CDO Bespoke'!H73,'CDO Bespoke'!$L49,'CDO Bespoke'!$C$13,'CDO Bespoke'!$C$14,'CDO Bespoke'!$C$15,'CDO Bespoke'!$C$8,,,TRUE,TRUE,FALSE,'CDO Bespoke'!$C$29:'CDO Bespoke'!$C$31,'CDO Bespoke'!$C$33),{5})),"")</f>
        <v>-0.79067095005402099</v>
      </c>
      <c r="Z48" s="527" cm="1">
        <f t="array" aca="1" ref="Z48" ca="1">IF($V48&lt;&gt;"",-TRANSPOSE(INDEX(getcds('CDO Bespoke'!$C73,Z$13,'CDO Bespoke'!$G73/10000,'CDO Bespoke'!I73,'CDO Bespoke'!$L49,'CDO Bespoke'!$C$13,'CDO Bespoke'!$C$14,'CDO Bespoke'!$C$15,'CDO Bespoke'!$C$8,,,TRUE,TRUE,FALSE,'CDO Bespoke'!$C$29:'CDO Bespoke'!$C$31,'CDO Bespoke'!$C$33),{5})),"")</f>
        <v>-1.25542936259459</v>
      </c>
      <c r="AA48" s="502" cm="1">
        <f t="array" aca="1" ref="AA48" ca="1">IF($V48&lt;&gt;"",-TRANSPOSE(INDEX(getcds('CDO Bespoke'!$C73,AA$13,'CDO Bespoke'!$G73/10000,'CDO Bespoke'!J73,'CDO Bespoke'!$L49,'CDO Bespoke'!$C$13,'CDO Bespoke'!$C$14,'CDO Bespoke'!$C$15,'CDO Bespoke'!$C$8,,,TRUE,TRUE,FALSE,'CDO Bespoke'!$C$29:'CDO Bespoke'!$C$31,'CDO Bespoke'!$C$33),{5})),"")</f>
        <v>-2.24029592718786</v>
      </c>
      <c r="AB48" s="481"/>
      <c r="AC48" s="517"/>
      <c r="AD48" s="518"/>
      <c r="AE48" s="518"/>
      <c r="AF48" s="518"/>
      <c r="AG48" s="518"/>
      <c r="AH48" s="518"/>
      <c r="AI48" s="518"/>
      <c r="AJ48" s="518"/>
      <c r="AK48" s="518"/>
      <c r="AL48" s="519"/>
      <c r="AM48" s="540"/>
    </row>
    <row r="49" spans="2:39" ht="12" thickBot="1">
      <c r="B49" s="563" t="s">
        <v>532</v>
      </c>
      <c r="C49" s="564" t="s">
        <v>66</v>
      </c>
      <c r="D49" s="564" t="s">
        <v>55</v>
      </c>
      <c r="E49" s="564" t="s">
        <v>661</v>
      </c>
      <c r="F49" s="564" t="s">
        <v>664</v>
      </c>
      <c r="G49" s="565">
        <v>0.01</v>
      </c>
      <c r="H49" s="565">
        <v>2.222E-3</v>
      </c>
      <c r="I49" s="566">
        <v>0.4</v>
      </c>
      <c r="J49" s="567">
        <v>9</v>
      </c>
      <c r="K49" s="275"/>
      <c r="L49" s="275"/>
      <c r="M49" s="489">
        <f ca="1">IF('CDO Bespoke'!O50&lt;&gt;"",'CDO Bespoke'!O50,"")</f>
        <v>1.0174659276208</v>
      </c>
      <c r="N49" s="490">
        <f ca="1">IF(M49&lt;&gt;"",ABS(MIN(-0.75*('CDO Bespoke'!Q50)+'CDO Bespoke'!T50,0)),"")</f>
        <v>1.0131906000040896</v>
      </c>
      <c r="O49" s="490">
        <f t="shared" ca="1" si="0"/>
        <v>4.2753276167104559E-3</v>
      </c>
      <c r="P49" s="490">
        <f t="shared" ca="1" si="1"/>
        <v>0</v>
      </c>
      <c r="Q49" s="489">
        <f ca="1">IF('CDO Bespoke'!O50&lt;&gt;"",'CDO Bespoke'!O50,"")</f>
        <v>1.0174659276208</v>
      </c>
      <c r="R49" s="490">
        <f ca="1">IF(Q49&lt;&gt;"",ABS(MIN(-0.75*('CDO Bespoke'!K50)+'CDO Bespoke'!T50,0)),"")</f>
        <v>0.19950612782511939</v>
      </c>
      <c r="S49" s="490">
        <f t="shared" ca="1" si="2"/>
        <v>0.81795979979568068</v>
      </c>
      <c r="T49" s="494">
        <f t="shared" ca="1" si="3"/>
        <v>0</v>
      </c>
      <c r="U49" s="275"/>
      <c r="V49" s="499" t="str">
        <f ca="1">IF('CDO Bespoke'!C74&lt;&gt;"",'CDO Bespoke'!C74,"")</f>
        <v>WENDEL</v>
      </c>
      <c r="W49" s="501" cm="1">
        <f t="array" aca="1" ref="W49" ca="1">IF($V49&lt;&gt;"",-TRANSPOSE(INDEX(getcds('CDO Bespoke'!$C74,W$13,'CDO Bespoke'!$G74/10000,'CDO Bespoke'!F74,'CDO Bespoke'!$L50,'CDO Bespoke'!$C$13,'CDO Bespoke'!$C$14,'CDO Bespoke'!$C$15,'CDO Bespoke'!$C$8,,,TRUE,TRUE,FALSE,'CDO Bespoke'!$C$29:'CDO Bespoke'!$C$31,'CDO Bespoke'!$C$33),{5})),"")</f>
        <v>-0.113587778937941</v>
      </c>
      <c r="X49" s="527" cm="1">
        <f t="array" aca="1" ref="X49" ca="1">IF($V49&lt;&gt;"",-TRANSPOSE(INDEX(getcds('CDO Bespoke'!$C74,X$13,'CDO Bespoke'!$G74/10000,'CDO Bespoke'!G74,'CDO Bespoke'!$L50,'CDO Bespoke'!$C$13,'CDO Bespoke'!$C$14,'CDO Bespoke'!$C$15,'CDO Bespoke'!$C$8,,,TRUE,TRUE,FALSE,'CDO Bespoke'!$C$29:'CDO Bespoke'!$C$31,'CDO Bespoke'!$C$33),{5})),"")</f>
        <v>-0.23416153612089199</v>
      </c>
      <c r="Y49" s="527" cm="1">
        <f t="array" aca="1" ref="Y49" ca="1">IF($V49&lt;&gt;"",-TRANSPOSE(INDEX(getcds('CDO Bespoke'!$C74,Y$13,'CDO Bespoke'!$G74/10000,'CDO Bespoke'!H74,'CDO Bespoke'!$L50,'CDO Bespoke'!$C$13,'CDO Bespoke'!$C$14,'CDO Bespoke'!$C$15,'CDO Bespoke'!$C$8,,,TRUE,TRUE,FALSE,'CDO Bespoke'!$C$29:'CDO Bespoke'!$C$31,'CDO Bespoke'!$C$33),{5})),"")</f>
        <v>-0.68833904094241904</v>
      </c>
      <c r="Z49" s="527" cm="1">
        <f t="array" aca="1" ref="Z49" ca="1">IF($V49&lt;&gt;"",-TRANSPOSE(INDEX(getcds('CDO Bespoke'!$C74,Z$13,'CDO Bespoke'!$G74/10000,'CDO Bespoke'!I74,'CDO Bespoke'!$L50,'CDO Bespoke'!$C$13,'CDO Bespoke'!$C$14,'CDO Bespoke'!$C$15,'CDO Bespoke'!$C$8,,,TRUE,TRUE,FALSE,'CDO Bespoke'!$C$29:'CDO Bespoke'!$C$31,'CDO Bespoke'!$C$33),{5})),"")</f>
        <v>-1.0959390825280599</v>
      </c>
      <c r="AA49" s="502" cm="1">
        <f t="array" aca="1" ref="AA49" ca="1">IF($V49&lt;&gt;"",-TRANSPOSE(INDEX(getcds('CDO Bespoke'!$C74,AA$13,'CDO Bespoke'!$G74/10000,'CDO Bespoke'!J74,'CDO Bespoke'!$L50,'CDO Bespoke'!$C$13,'CDO Bespoke'!$C$14,'CDO Bespoke'!$C$15,'CDO Bespoke'!$C$8,,,TRUE,TRUE,FALSE,'CDO Bespoke'!$C$29:'CDO Bespoke'!$C$31,'CDO Bespoke'!$C$33),{5})),"")</f>
        <v>-1.96131946259818</v>
      </c>
      <c r="AB49" s="481"/>
      <c r="AC49" s="517"/>
      <c r="AD49" s="518"/>
      <c r="AE49" s="518"/>
      <c r="AF49" s="518"/>
      <c r="AG49" s="518"/>
      <c r="AH49" s="518"/>
      <c r="AI49" s="518"/>
      <c r="AJ49" s="518"/>
      <c r="AK49" s="518"/>
      <c r="AL49" s="519"/>
      <c r="AM49" s="540"/>
    </row>
    <row r="50" spans="2:39" ht="12" thickBot="1">
      <c r="B50" s="541" t="s">
        <v>532</v>
      </c>
      <c r="C50" s="542" t="s">
        <v>66</v>
      </c>
      <c r="D50" s="542" t="s">
        <v>57</v>
      </c>
      <c r="E50" s="542" t="s">
        <v>661</v>
      </c>
      <c r="F50" s="542" t="s">
        <v>664</v>
      </c>
      <c r="G50" s="549">
        <v>0.01</v>
      </c>
      <c r="H50" s="549">
        <v>4.2570000000000004E-3</v>
      </c>
      <c r="I50" s="551">
        <v>0.4</v>
      </c>
      <c r="J50" s="543">
        <v>9</v>
      </c>
      <c r="K50" s="275"/>
      <c r="L50" s="275"/>
      <c r="M50" s="489">
        <f ca="1">IF('CDO Bespoke'!O51&lt;&gt;"",'CDO Bespoke'!O51,"")</f>
        <v>1.00887778285778</v>
      </c>
      <c r="N50" s="490">
        <f ca="1">IF(M50&lt;&gt;"",ABS(MIN(-0.75*('CDO Bespoke'!Q51)+'CDO Bespoke'!T51,0)),"")</f>
        <v>1.0215035448880179</v>
      </c>
      <c r="O50" s="490">
        <f t="shared" ca="1" si="0"/>
        <v>0</v>
      </c>
      <c r="P50" s="490">
        <f t="shared" ca="1" si="1"/>
        <v>0</v>
      </c>
      <c r="Q50" s="489">
        <f ca="1">IF('CDO Bespoke'!O51&lt;&gt;"",'CDO Bespoke'!O51,"")</f>
        <v>1.00887778285778</v>
      </c>
      <c r="R50" s="490">
        <f ca="1">IF(Q50&lt;&gt;"",ABS(MIN(-0.75*('CDO Bespoke'!K51)+'CDO Bespoke'!T51,0)),"")</f>
        <v>0.28269818024526688</v>
      </c>
      <c r="S50" s="490">
        <f t="shared" ca="1" si="2"/>
        <v>0.72617960261251313</v>
      </c>
      <c r="T50" s="494">
        <f t="shared" ca="1" si="3"/>
        <v>0</v>
      </c>
      <c r="U50" s="275"/>
      <c r="V50" s="499" t="str">
        <f ca="1">IF('CDO Bespoke'!C75&lt;&gt;"",'CDO Bespoke'!C75,"")</f>
        <v>Aktiebolaget Electrolux</v>
      </c>
      <c r="W50" s="501" cm="1">
        <f t="array" aca="1" ref="W50" ca="1">IF($V50&lt;&gt;"",-TRANSPOSE(INDEX(getcds('CDO Bespoke'!$C75,W$13,'CDO Bespoke'!$G75/10000,'CDO Bespoke'!F75,'CDO Bespoke'!$L51,'CDO Bespoke'!$C$13,'CDO Bespoke'!$C$14,'CDO Bespoke'!$C$15,'CDO Bespoke'!$C$8,,,TRUE,TRUE,FALSE,'CDO Bespoke'!$C$29:'CDO Bespoke'!$C$31,'CDO Bespoke'!$C$33),{5})),"")</f>
        <v>-0.19057482562582001</v>
      </c>
      <c r="X50" s="527" cm="1">
        <f t="array" aca="1" ref="X50" ca="1">IF($V50&lt;&gt;"",-TRANSPOSE(INDEX(getcds('CDO Bespoke'!$C75,X$13,'CDO Bespoke'!$G75/10000,'CDO Bespoke'!G75,'CDO Bespoke'!$L51,'CDO Bespoke'!$C$13,'CDO Bespoke'!$C$14,'CDO Bespoke'!$C$15,'CDO Bespoke'!$C$8,,,TRUE,TRUE,FALSE,'CDO Bespoke'!$C$29:'CDO Bespoke'!$C$31,'CDO Bespoke'!$C$33),{5})),"")</f>
        <v>-0.39188354812109999</v>
      </c>
      <c r="Y50" s="527" cm="1">
        <f t="array" aca="1" ref="Y50" ca="1">IF($V50&lt;&gt;"",-TRANSPOSE(INDEX(getcds('CDO Bespoke'!$C75,Y$13,'CDO Bespoke'!$G75/10000,'CDO Bespoke'!H75,'CDO Bespoke'!$L51,'CDO Bespoke'!$C$13,'CDO Bespoke'!$C$14,'CDO Bespoke'!$C$15,'CDO Bespoke'!$C$8,,,TRUE,TRUE,FALSE,'CDO Bespoke'!$C$29:'CDO Bespoke'!$C$31,'CDO Bespoke'!$C$33),{5})),"")</f>
        <v>-1.1407115042414899</v>
      </c>
      <c r="Z50" s="527" cm="1">
        <f t="array" aca="1" ref="Z50" ca="1">IF($V50&lt;&gt;"",-TRANSPOSE(INDEX(getcds('CDO Bespoke'!$C75,Z$13,'CDO Bespoke'!$G75/10000,'CDO Bespoke'!I75,'CDO Bespoke'!$L51,'CDO Bespoke'!$C$13,'CDO Bespoke'!$C$14,'CDO Bespoke'!$C$15,'CDO Bespoke'!$C$8,,,TRUE,TRUE,FALSE,'CDO Bespoke'!$C$29:'CDO Bespoke'!$C$31,'CDO Bespoke'!$C$33),{5})),"")</f>
        <v>-1.79007436620428</v>
      </c>
      <c r="AA50" s="502" cm="1">
        <f t="array" aca="1" ref="AA50" ca="1">IF($V50&lt;&gt;"",-TRANSPOSE(INDEX(getcds('CDO Bespoke'!$C75,AA$13,'CDO Bespoke'!$G75/10000,'CDO Bespoke'!J75,'CDO Bespoke'!$L51,'CDO Bespoke'!$C$13,'CDO Bespoke'!$C$14,'CDO Bespoke'!$C$15,'CDO Bespoke'!$C$8,,,TRUE,TRUE,FALSE,'CDO Bespoke'!$C$29:'CDO Bespoke'!$C$31,'CDO Bespoke'!$C$33),{5})),"")</f>
        <v>-3.1791644251753199</v>
      </c>
      <c r="AB50" s="481"/>
      <c r="AC50" s="517"/>
      <c r="AD50" s="518"/>
      <c r="AE50" s="518"/>
      <c r="AF50" s="518"/>
      <c r="AG50" s="518"/>
      <c r="AH50" s="518"/>
      <c r="AI50" s="518"/>
      <c r="AJ50" s="518"/>
      <c r="AK50" s="518"/>
      <c r="AL50" s="519"/>
      <c r="AM50" s="540"/>
    </row>
    <row r="51" spans="2:39" ht="12" thickBot="1">
      <c r="B51" s="558" t="s">
        <v>532</v>
      </c>
      <c r="C51" s="559" t="s">
        <v>66</v>
      </c>
      <c r="D51" s="559" t="s">
        <v>59</v>
      </c>
      <c r="E51" s="559" t="s">
        <v>661</v>
      </c>
      <c r="F51" s="559" t="s">
        <v>664</v>
      </c>
      <c r="G51" s="560">
        <v>0.01</v>
      </c>
      <c r="H51" s="560">
        <v>6.2550000000000001E-3</v>
      </c>
      <c r="I51" s="561">
        <v>0.4</v>
      </c>
      <c r="J51" s="562">
        <v>9</v>
      </c>
      <c r="K51" s="275"/>
      <c r="L51" s="275"/>
      <c r="M51" s="489">
        <f ca="1">IF('CDO Bespoke'!O52&lt;&gt;"",'CDO Bespoke'!O52,"")</f>
        <v>1.0189209395351899</v>
      </c>
      <c r="N51" s="490">
        <f ca="1">IF(M51&lt;&gt;"",ABS(MIN(-0.75*('CDO Bespoke'!Q52)+'CDO Bespoke'!T52,0)),"")</f>
        <v>1.0107870395480465</v>
      </c>
      <c r="O51" s="490">
        <f t="shared" ca="1" si="0"/>
        <v>8.1338999871434225E-3</v>
      </c>
      <c r="P51" s="490">
        <f t="shared" ca="1" si="1"/>
        <v>0</v>
      </c>
      <c r="Q51" s="489">
        <f ca="1">IF('CDO Bespoke'!O52&lt;&gt;"",'CDO Bespoke'!O52,"")</f>
        <v>1.0189209395351899</v>
      </c>
      <c r="R51" s="490">
        <f ca="1">IF(Q51&lt;&gt;"",ABS(MIN(-0.75*('CDO Bespoke'!K52)+'CDO Bespoke'!T52,0)),"")</f>
        <v>0.16184922963530077</v>
      </c>
      <c r="S51" s="490">
        <f t="shared" ca="1" si="2"/>
        <v>0.85707170989988912</v>
      </c>
      <c r="T51" s="494">
        <f t="shared" ca="1" si="3"/>
        <v>0</v>
      </c>
      <c r="U51" s="275"/>
      <c r="V51" s="499" t="str">
        <f ca="1">IF('CDO Bespoke'!C76&lt;&gt;"",'CDO Bespoke'!C76,"")</f>
        <v>Anheuser-Busch InBev</v>
      </c>
      <c r="W51" s="501" cm="1">
        <f t="array" aca="1" ref="W51" ca="1">IF($V51&lt;&gt;"",-TRANSPOSE(INDEX(getcds('CDO Bespoke'!$C76,W$13,'CDO Bespoke'!$G76/10000,'CDO Bespoke'!F76,'CDO Bespoke'!$L52,'CDO Bespoke'!$C$13,'CDO Bespoke'!$C$14,'CDO Bespoke'!$C$15,'CDO Bespoke'!$C$8,,,TRUE,TRUE,FALSE,'CDO Bespoke'!$C$29:'CDO Bespoke'!$C$31,'CDO Bespoke'!$C$33),{5})),"")</f>
        <v>-8.2718364315164203E-2</v>
      </c>
      <c r="X51" s="527" cm="1">
        <f t="array" aca="1" ref="X51" ca="1">IF($V51&lt;&gt;"",-TRANSPOSE(INDEX(getcds('CDO Bespoke'!$C76,X$13,'CDO Bespoke'!$G76/10000,'CDO Bespoke'!G76,'CDO Bespoke'!$L52,'CDO Bespoke'!$C$13,'CDO Bespoke'!$C$14,'CDO Bespoke'!$C$15,'CDO Bespoke'!$C$8,,,TRUE,TRUE,FALSE,'CDO Bespoke'!$C$29:'CDO Bespoke'!$C$31,'CDO Bespoke'!$C$33),{5})),"")</f>
        <v>-0.17064917746592501</v>
      </c>
      <c r="Y51" s="527" cm="1">
        <f t="array" aca="1" ref="Y51" ca="1">IF($V51&lt;&gt;"",-TRANSPOSE(INDEX(getcds('CDO Bespoke'!$C76,Y$13,'CDO Bespoke'!$G76/10000,'CDO Bespoke'!H76,'CDO Bespoke'!$L52,'CDO Bespoke'!$C$13,'CDO Bespoke'!$C$14,'CDO Bespoke'!$C$15,'CDO Bespoke'!$C$8,,,TRUE,TRUE,FALSE,'CDO Bespoke'!$C$29:'CDO Bespoke'!$C$31,'CDO Bespoke'!$C$33),{5})),"")</f>
        <v>-0.50308133187531301</v>
      </c>
      <c r="Z51" s="527" cm="1">
        <f t="array" aca="1" ref="Z51" ca="1">IF($V51&lt;&gt;"",-TRANSPOSE(INDEX(getcds('CDO Bespoke'!$C76,Z$13,'CDO Bespoke'!$G76/10000,'CDO Bespoke'!I76,'CDO Bespoke'!$L52,'CDO Bespoke'!$C$13,'CDO Bespoke'!$C$14,'CDO Bespoke'!$C$15,'CDO Bespoke'!$C$8,,,TRUE,TRUE,FALSE,'CDO Bespoke'!$C$29:'CDO Bespoke'!$C$31,'CDO Bespoke'!$C$33),{5})),"")</f>
        <v>-0.804340111719831</v>
      </c>
      <c r="AA51" s="502" cm="1">
        <f t="array" aca="1" ref="AA51" ca="1">IF($V51&lt;&gt;"",-TRANSPOSE(INDEX(getcds('CDO Bespoke'!$C76,AA$13,'CDO Bespoke'!$G76/10000,'CDO Bespoke'!J76,'CDO Bespoke'!$L52,'CDO Bespoke'!$C$13,'CDO Bespoke'!$C$14,'CDO Bespoke'!$C$15,'CDO Bespoke'!$C$8,,,TRUE,TRUE,FALSE,'CDO Bespoke'!$C$29:'CDO Bespoke'!$C$31,'CDO Bespoke'!$C$33),{5})),"")</f>
        <v>-1.44583805889626</v>
      </c>
      <c r="AB51" s="481"/>
      <c r="AC51" s="517"/>
      <c r="AD51" s="518"/>
      <c r="AE51" s="518"/>
      <c r="AF51" s="518"/>
      <c r="AG51" s="518"/>
      <c r="AH51" s="518"/>
      <c r="AI51" s="518"/>
      <c r="AJ51" s="518"/>
      <c r="AK51" s="518"/>
      <c r="AL51" s="519"/>
      <c r="AM51" s="540"/>
    </row>
    <row r="52" spans="2:39" ht="12" thickBot="1">
      <c r="B52" s="563" t="s">
        <v>533</v>
      </c>
      <c r="C52" s="564" t="s">
        <v>66</v>
      </c>
      <c r="D52" s="564" t="s">
        <v>55</v>
      </c>
      <c r="E52" s="564" t="s">
        <v>663</v>
      </c>
      <c r="F52" s="564" t="s">
        <v>665</v>
      </c>
      <c r="G52" s="565">
        <v>0.01</v>
      </c>
      <c r="H52" s="565">
        <v>7.633E-3</v>
      </c>
      <c r="I52" s="566">
        <v>0.4</v>
      </c>
      <c r="J52" s="567">
        <v>10</v>
      </c>
      <c r="K52" s="275"/>
      <c r="L52" s="275"/>
      <c r="M52" s="489">
        <f ca="1">IF('CDO Bespoke'!O53&lt;&gt;"",'CDO Bespoke'!O53,"")</f>
        <v>1.0175478830127</v>
      </c>
      <c r="N52" s="490">
        <f ca="1">IF(M52&lt;&gt;"",ABS(MIN(-0.75*('CDO Bespoke'!Q53)+'CDO Bespoke'!T53,0)),"")</f>
        <v>1.0131940975833191</v>
      </c>
      <c r="O52" s="490">
        <f t="shared" ca="1" si="0"/>
        <v>4.3537854293809186E-3</v>
      </c>
      <c r="P52" s="490">
        <f t="shared" ca="1" si="1"/>
        <v>0</v>
      </c>
      <c r="Q52" s="489">
        <f ca="1">IF('CDO Bespoke'!O53&lt;&gt;"",'CDO Bespoke'!O53,"")</f>
        <v>1.0175478830127</v>
      </c>
      <c r="R52" s="490">
        <f ca="1">IF(Q52&lt;&gt;"",ABS(MIN(-0.75*('CDO Bespoke'!K53)+'CDO Bespoke'!T53,0)),"")</f>
        <v>0.19826937376330386</v>
      </c>
      <c r="S52" s="490">
        <f t="shared" ca="1" si="2"/>
        <v>0.81927850924939616</v>
      </c>
      <c r="T52" s="494">
        <f t="shared" ca="1" si="3"/>
        <v>0</v>
      </c>
      <c r="U52" s="275"/>
      <c r="V52" s="499" t="str">
        <f ca="1">IF('CDO Bespoke'!C77&lt;&gt;"",'CDO Bespoke'!C77,"")</f>
        <v>BRITISH AMERICAN TOBACCO p.l.c.</v>
      </c>
      <c r="W52" s="501" cm="1">
        <f t="array" aca="1" ref="W52" ca="1">IF($V52&lt;&gt;"",-TRANSPOSE(INDEX(getcds('CDO Bespoke'!$C77,W$13,'CDO Bespoke'!$G77/10000,'CDO Bespoke'!F77,'CDO Bespoke'!$L53,'CDO Bespoke'!$C$13,'CDO Bespoke'!$C$14,'CDO Bespoke'!$C$15,'CDO Bespoke'!$C$8,,,TRUE,TRUE,FALSE,'CDO Bespoke'!$C$29:'CDO Bespoke'!$C$31,'CDO Bespoke'!$C$33),{5})),"")</f>
        <v>-0.11269983985597901</v>
      </c>
      <c r="X52" s="527" cm="1">
        <f t="array" aca="1" ref="X52" ca="1">IF($V52&lt;&gt;"",-TRANSPOSE(INDEX(getcds('CDO Bespoke'!$C77,X$13,'CDO Bespoke'!$G77/10000,'CDO Bespoke'!G77,'CDO Bespoke'!$L53,'CDO Bespoke'!$C$13,'CDO Bespoke'!$C$14,'CDO Bespoke'!$C$15,'CDO Bespoke'!$C$8,,,TRUE,TRUE,FALSE,'CDO Bespoke'!$C$29:'CDO Bespoke'!$C$31,'CDO Bespoke'!$C$33),{5})),"")</f>
        <v>-0.23236488882814199</v>
      </c>
      <c r="Y52" s="527" cm="1">
        <f t="array" aca="1" ref="Y52" ca="1">IF($V52&lt;&gt;"",-TRANSPOSE(INDEX(getcds('CDO Bespoke'!$C77,Y$13,'CDO Bespoke'!$G77/10000,'CDO Bespoke'!H77,'CDO Bespoke'!$L53,'CDO Bespoke'!$C$13,'CDO Bespoke'!$C$14,'CDO Bespoke'!$C$15,'CDO Bespoke'!$C$8,,,TRUE,TRUE,FALSE,'CDO Bespoke'!$C$29:'CDO Bespoke'!$C$31,'CDO Bespoke'!$C$33),{5})),"")</f>
        <v>-0.68344734354039205</v>
      </c>
      <c r="Z52" s="527" cm="1">
        <f t="array" aca="1" ref="Z52" ca="1">IF($V52&lt;&gt;"",-TRANSPOSE(INDEX(getcds('CDO Bespoke'!$C77,Z$13,'CDO Bespoke'!$G77/10000,'CDO Bespoke'!I77,'CDO Bespoke'!$L53,'CDO Bespoke'!$C$13,'CDO Bespoke'!$C$14,'CDO Bespoke'!$C$15,'CDO Bespoke'!$C$8,,,TRUE,TRUE,FALSE,'CDO Bespoke'!$C$29:'CDO Bespoke'!$C$31,'CDO Bespoke'!$C$33),{5})),"")</f>
        <v>-1.0883128678398499</v>
      </c>
      <c r="AA52" s="502" cm="1">
        <f t="array" aca="1" ref="AA52" ca="1">IF($V52&lt;&gt;"",-TRANSPOSE(INDEX(getcds('CDO Bespoke'!$C77,AA$13,'CDO Bespoke'!$G77/10000,'CDO Bespoke'!J77,'CDO Bespoke'!$L53,'CDO Bespoke'!$C$13,'CDO Bespoke'!$C$14,'CDO Bespoke'!$C$15,'CDO Bespoke'!$C$8,,,TRUE,TRUE,FALSE,'CDO Bespoke'!$C$29:'CDO Bespoke'!$C$31,'CDO Bespoke'!$C$33),{5})),"")</f>
        <v>-1.9473722586878801</v>
      </c>
      <c r="AB52" s="481"/>
      <c r="AC52" s="517"/>
      <c r="AD52" s="518"/>
      <c r="AE52" s="518"/>
      <c r="AF52" s="518"/>
      <c r="AG52" s="518"/>
      <c r="AH52" s="518"/>
      <c r="AI52" s="518"/>
      <c r="AJ52" s="518"/>
      <c r="AK52" s="518"/>
      <c r="AL52" s="519"/>
      <c r="AM52" s="540"/>
    </row>
    <row r="53" spans="2:39" ht="12" thickBot="1">
      <c r="B53" s="541" t="s">
        <v>533</v>
      </c>
      <c r="C53" s="542" t="s">
        <v>66</v>
      </c>
      <c r="D53" s="542" t="s">
        <v>57</v>
      </c>
      <c r="E53" s="542" t="s">
        <v>663</v>
      </c>
      <c r="F53" s="542" t="s">
        <v>665</v>
      </c>
      <c r="G53" s="549">
        <v>0.01</v>
      </c>
      <c r="H53" s="549">
        <v>1.1407E-2</v>
      </c>
      <c r="I53" s="551">
        <v>0.4</v>
      </c>
      <c r="J53" s="543">
        <v>10</v>
      </c>
      <c r="K53" s="275"/>
      <c r="L53" s="275"/>
      <c r="M53" s="489">
        <f ca="1">IF('CDO Bespoke'!O54&lt;&gt;"",'CDO Bespoke'!O54,"")</f>
        <v>1.01932491037472</v>
      </c>
      <c r="N53" s="490">
        <f ca="1">IF(M53&lt;&gt;"",ABS(MIN(-0.75*('CDO Bespoke'!Q54)+'CDO Bespoke'!T54,0)),"")</f>
        <v>1.0099246374553266</v>
      </c>
      <c r="O53" s="490">
        <f t="shared" ca="1" si="0"/>
        <v>9.4002729193933821E-3</v>
      </c>
      <c r="P53" s="490">
        <f t="shared" ca="1" si="1"/>
        <v>0</v>
      </c>
      <c r="Q53" s="489">
        <f ca="1">IF('CDO Bespoke'!O54&lt;&gt;"",'CDO Bespoke'!O54,"")</f>
        <v>1.01932491037472</v>
      </c>
      <c r="R53" s="490">
        <f ca="1">IF(Q53&lt;&gt;"",ABS(MIN(-0.75*('CDO Bespoke'!K54)+'CDO Bespoke'!T54,0)),"")</f>
        <v>0.14411356918943902</v>
      </c>
      <c r="S53" s="490">
        <f t="shared" ca="1" si="2"/>
        <v>0.87521134118528088</v>
      </c>
      <c r="T53" s="494">
        <f t="shared" ca="1" si="3"/>
        <v>0</v>
      </c>
      <c r="U53" s="275"/>
      <c r="V53" s="499" t="str">
        <f ca="1">IF('CDO Bespoke'!C78&lt;&gt;"",'CDO Bespoke'!C78,"")</f>
        <v>CARLSBERG BREWERIES A/S</v>
      </c>
      <c r="W53" s="501" cm="1">
        <f t="array" aca="1" ref="W53" ca="1">IF($V53&lt;&gt;"",-TRANSPOSE(INDEX(getcds('CDO Bespoke'!$C78,W$13,'CDO Bespoke'!$G78/10000,'CDO Bespoke'!F78,'CDO Bespoke'!$L54,'CDO Bespoke'!$C$13,'CDO Bespoke'!$C$14,'CDO Bespoke'!$C$15,'CDO Bespoke'!$C$8,,,TRUE,TRUE,FALSE,'CDO Bespoke'!$C$29:'CDO Bespoke'!$C$31,'CDO Bespoke'!$C$33),{5})),"")</f>
        <v>-6.9028636659922205E-2</v>
      </c>
      <c r="X53" s="527" cm="1">
        <f t="array" aca="1" ref="X53" ca="1">IF($V53&lt;&gt;"",-TRANSPOSE(INDEX(getcds('CDO Bespoke'!$C78,X$13,'CDO Bespoke'!$G78/10000,'CDO Bespoke'!G78,'CDO Bespoke'!$L54,'CDO Bespoke'!$C$13,'CDO Bespoke'!$C$14,'CDO Bespoke'!$C$15,'CDO Bespoke'!$C$8,,,TRUE,TRUE,FALSE,'CDO Bespoke'!$C$29:'CDO Bespoke'!$C$31,'CDO Bespoke'!$C$33),{5})),"")</f>
        <v>-0.14245390329024199</v>
      </c>
      <c r="Y53" s="527" cm="1">
        <f t="array" aca="1" ref="Y53" ca="1">IF($V53&lt;&gt;"",-TRANSPOSE(INDEX(getcds('CDO Bespoke'!$C78,Y$13,'CDO Bespoke'!$G78/10000,'CDO Bespoke'!H78,'CDO Bespoke'!$L54,'CDO Bespoke'!$C$13,'CDO Bespoke'!$C$14,'CDO Bespoke'!$C$15,'CDO Bespoke'!$C$8,,,TRUE,TRUE,FALSE,'CDO Bespoke'!$C$29:'CDO Bespoke'!$C$31,'CDO Bespoke'!$C$33),{5})),"")</f>
        <v>-0.42050228630417802</v>
      </c>
      <c r="Z53" s="527" cm="1">
        <f t="array" aca="1" ref="Z53" ca="1">IF($V53&lt;&gt;"",-TRANSPOSE(INDEX(getcds('CDO Bespoke'!$C78,Z$13,'CDO Bespoke'!$G78/10000,'CDO Bespoke'!I78,'CDO Bespoke'!$L54,'CDO Bespoke'!$C$13,'CDO Bespoke'!$C$14,'CDO Bespoke'!$C$15,'CDO Bespoke'!$C$8,,,TRUE,TRUE,FALSE,'CDO Bespoke'!$C$29:'CDO Bespoke'!$C$31,'CDO Bespoke'!$C$33),{5})),"")</f>
        <v>-0.67334571236173901</v>
      </c>
      <c r="AA53" s="502" cm="1">
        <f t="array" aca="1" ref="AA53" ca="1">IF($V53&lt;&gt;"",-TRANSPOSE(INDEX(getcds('CDO Bespoke'!$C78,AA$13,'CDO Bespoke'!$G78/10000,'CDO Bespoke'!J78,'CDO Bespoke'!$L54,'CDO Bespoke'!$C$13,'CDO Bespoke'!$C$14,'CDO Bespoke'!$C$15,'CDO Bespoke'!$C$8,,,TRUE,TRUE,FALSE,'CDO Bespoke'!$C$29:'CDO Bespoke'!$C$31,'CDO Bespoke'!$C$33),{5})),"")</f>
        <v>-1.21205985300637</v>
      </c>
      <c r="AB53" s="481"/>
      <c r="AC53" s="517"/>
      <c r="AD53" s="518"/>
      <c r="AE53" s="518"/>
      <c r="AF53" s="518"/>
      <c r="AG53" s="518"/>
      <c r="AH53" s="518"/>
      <c r="AI53" s="518"/>
      <c r="AJ53" s="518"/>
      <c r="AK53" s="518"/>
      <c r="AL53" s="519"/>
      <c r="AM53" s="540"/>
    </row>
    <row r="54" spans="2:39" ht="12" thickBot="1">
      <c r="B54" s="558" t="s">
        <v>533</v>
      </c>
      <c r="C54" s="559" t="s">
        <v>66</v>
      </c>
      <c r="D54" s="559" t="s">
        <v>59</v>
      </c>
      <c r="E54" s="559" t="s">
        <v>663</v>
      </c>
      <c r="F54" s="559" t="s">
        <v>665</v>
      </c>
      <c r="G54" s="560">
        <v>0.01</v>
      </c>
      <c r="H54" s="560">
        <v>1.4759E-2</v>
      </c>
      <c r="I54" s="561">
        <v>0.4</v>
      </c>
      <c r="J54" s="562">
        <v>10</v>
      </c>
      <c r="K54" s="275"/>
      <c r="L54" s="275"/>
      <c r="M54" s="489">
        <f ca="1">IF('CDO Bespoke'!O55&lt;&gt;"",'CDO Bespoke'!O55,"")</f>
        <v>1.0184766677052799</v>
      </c>
      <c r="N54" s="490">
        <f ca="1">IF(M54&lt;&gt;"",ABS(MIN(-0.75*('CDO Bespoke'!Q55)+'CDO Bespoke'!T55,0)),"")</f>
        <v>1.0117441951425461</v>
      </c>
      <c r="O54" s="490">
        <f t="shared" ca="1" si="0"/>
        <v>6.7324725627337934E-3</v>
      </c>
      <c r="P54" s="490">
        <f t="shared" ca="1" si="1"/>
        <v>0</v>
      </c>
      <c r="Q54" s="489">
        <f ca="1">IF('CDO Bespoke'!O55&lt;&gt;"",'CDO Bespoke'!O55,"")</f>
        <v>1.0184766677052799</v>
      </c>
      <c r="R54" s="490">
        <f ca="1">IF(Q54&lt;&gt;"",ABS(MIN(-0.75*('CDO Bespoke'!K55)+'CDO Bespoke'!T55,0)),"")</f>
        <v>0.17657099599873771</v>
      </c>
      <c r="S54" s="490">
        <f t="shared" ca="1" si="2"/>
        <v>0.84190567170654218</v>
      </c>
      <c r="T54" s="494">
        <f t="shared" ca="1" si="3"/>
        <v>0</v>
      </c>
      <c r="U54" s="275"/>
      <c r="V54" s="499" t="str">
        <f ca="1">IF('CDO Bespoke'!C79&lt;&gt;"",'CDO Bespoke'!C79,"")</f>
        <v>Carrefour</v>
      </c>
      <c r="W54" s="501" cm="1">
        <f t="array" aca="1" ref="W54" ca="1">IF($V54&lt;&gt;"",-TRANSPOSE(INDEX(getcds('CDO Bespoke'!$C79,W$13,'CDO Bespoke'!$G79/10000,'CDO Bespoke'!F79,'CDO Bespoke'!$L55,'CDO Bespoke'!$C$13,'CDO Bespoke'!$C$14,'CDO Bespoke'!$C$15,'CDO Bespoke'!$C$8,,,TRUE,TRUE,FALSE,'CDO Bespoke'!$C$29:'CDO Bespoke'!$C$31,'CDO Bespoke'!$C$33),{5})),"")</f>
        <v>-9.47175374529729E-2</v>
      </c>
      <c r="X54" s="527" cm="1">
        <f t="array" aca="1" ref="X54" ca="1">IF($V54&lt;&gt;"",-TRANSPOSE(INDEX(getcds('CDO Bespoke'!$C79,X$13,'CDO Bespoke'!$G79/10000,'CDO Bespoke'!G79,'CDO Bespoke'!$L55,'CDO Bespoke'!$C$13,'CDO Bespoke'!$C$14,'CDO Bespoke'!$C$15,'CDO Bespoke'!$C$8,,,TRUE,TRUE,FALSE,'CDO Bespoke'!$C$29:'CDO Bespoke'!$C$31,'CDO Bespoke'!$C$33),{5})),"")</f>
        <v>-0.19537412242713501</v>
      </c>
      <c r="Y54" s="527" cm="1">
        <f t="array" aca="1" ref="Y54" ca="1">IF($V54&lt;&gt;"",-TRANSPOSE(INDEX(getcds('CDO Bespoke'!$C79,Y$13,'CDO Bespoke'!$G79/10000,'CDO Bespoke'!H79,'CDO Bespoke'!$L55,'CDO Bespoke'!$C$13,'CDO Bespoke'!$C$14,'CDO Bespoke'!$C$15,'CDO Bespoke'!$C$8,,,TRUE,TRUE,FALSE,'CDO Bespoke'!$C$29:'CDO Bespoke'!$C$31,'CDO Bespoke'!$C$33),{5})),"")</f>
        <v>-0.57563051874395998</v>
      </c>
      <c r="Z54" s="527" cm="1">
        <f t="array" aca="1" ref="Z54" ca="1">IF($V54&lt;&gt;"",-TRANSPOSE(INDEX(getcds('CDO Bespoke'!$C79,Z$13,'CDO Bespoke'!$G79/10000,'CDO Bespoke'!I79,'CDO Bespoke'!$L55,'CDO Bespoke'!$C$13,'CDO Bespoke'!$C$14,'CDO Bespoke'!$C$15,'CDO Bespoke'!$C$8,,,TRUE,TRUE,FALSE,'CDO Bespoke'!$C$29:'CDO Bespoke'!$C$31,'CDO Bespoke'!$C$33),{5})),"")</f>
        <v>-0.91893857319084704</v>
      </c>
      <c r="AA54" s="502" cm="1">
        <f t="array" aca="1" ref="AA54" ca="1">IF($V54&lt;&gt;"",-TRANSPOSE(INDEX(getcds('CDO Bespoke'!$C79,AA$13,'CDO Bespoke'!$G79/10000,'CDO Bespoke'!J79,'CDO Bespoke'!$L55,'CDO Bespoke'!$C$13,'CDO Bespoke'!$C$14,'CDO Bespoke'!$C$15,'CDO Bespoke'!$C$8,,,TRUE,TRUE,FALSE,'CDO Bespoke'!$C$29:'CDO Bespoke'!$C$31,'CDO Bespoke'!$C$33),{5})),"")</f>
        <v>-1.6478205214705099</v>
      </c>
      <c r="AB54" s="481"/>
      <c r="AC54" s="517"/>
      <c r="AD54" s="518"/>
      <c r="AE54" s="518"/>
      <c r="AF54" s="518"/>
      <c r="AG54" s="518"/>
      <c r="AH54" s="518"/>
      <c r="AI54" s="518"/>
      <c r="AJ54" s="518"/>
      <c r="AK54" s="518"/>
      <c r="AL54" s="519"/>
      <c r="AM54" s="540"/>
    </row>
    <row r="55" spans="2:39" ht="12" thickBot="1">
      <c r="B55" s="563" t="s">
        <v>534</v>
      </c>
      <c r="C55" s="564" t="s">
        <v>66</v>
      </c>
      <c r="D55" s="564" t="s">
        <v>55</v>
      </c>
      <c r="E55" s="564" t="s">
        <v>661</v>
      </c>
      <c r="F55" s="564" t="s">
        <v>666</v>
      </c>
      <c r="G55" s="565">
        <v>0.01</v>
      </c>
      <c r="H55" s="565">
        <v>2.836E-3</v>
      </c>
      <c r="I55" s="566">
        <v>0.4</v>
      </c>
      <c r="J55" s="567">
        <v>11</v>
      </c>
      <c r="K55" s="275"/>
      <c r="L55" s="275"/>
      <c r="M55" s="489">
        <f ca="1">IF('CDO Bespoke'!O56&lt;&gt;"",'CDO Bespoke'!O56,"")</f>
        <v>1.01954751752043</v>
      </c>
      <c r="N55" s="490">
        <f ca="1">IF(M55&lt;&gt;"",ABS(MIN(-0.75*('CDO Bespoke'!Q56)+'CDO Bespoke'!T56,0)),"")</f>
        <v>1.0092738582852572</v>
      </c>
      <c r="O55" s="490">
        <f t="shared" ca="1" si="0"/>
        <v>1.0273659235172872E-2</v>
      </c>
      <c r="P55" s="490">
        <f t="shared" ca="1" si="1"/>
        <v>0</v>
      </c>
      <c r="Q55" s="489">
        <f ca="1">IF('CDO Bespoke'!O56&lt;&gt;"",'CDO Bespoke'!O56,"")</f>
        <v>1.01954751752043</v>
      </c>
      <c r="R55" s="490">
        <f ca="1">IF(Q55&lt;&gt;"",ABS(MIN(-0.75*('CDO Bespoke'!K56)+'CDO Bespoke'!T56,0)),"")</f>
        <v>0.12988207480729219</v>
      </c>
      <c r="S55" s="490">
        <f t="shared" ca="1" si="2"/>
        <v>0.88966544271313786</v>
      </c>
      <c r="T55" s="494">
        <f t="shared" ca="1" si="3"/>
        <v>0</v>
      </c>
      <c r="U55" s="275"/>
      <c r="V55" s="499" t="str">
        <f ca="1">IF('CDO Bespoke'!C80&lt;&gt;"",'CDO Bespoke'!C80,"")</f>
        <v>COMPASS GROUP PLC</v>
      </c>
      <c r="W55" s="501" cm="1">
        <f t="array" aca="1" ref="W55" ca="1">IF($V55&lt;&gt;"",-TRANSPOSE(INDEX(getcds('CDO Bespoke'!$C80,W$13,'CDO Bespoke'!$G80/10000,'CDO Bespoke'!F80,'CDO Bespoke'!$L56,'CDO Bespoke'!$C$13,'CDO Bespoke'!$C$14,'CDO Bespoke'!$C$15,'CDO Bespoke'!$C$8,,,TRUE,TRUE,FALSE,'CDO Bespoke'!$C$29:'CDO Bespoke'!$C$31,'CDO Bespoke'!$C$33),{5})),"")</f>
        <v>-5.8255088295214301E-2</v>
      </c>
      <c r="X55" s="527" cm="1">
        <f t="array" aca="1" ref="X55" ca="1">IF($V55&lt;&gt;"",-TRANSPOSE(INDEX(getcds('CDO Bespoke'!$C80,X$13,'CDO Bespoke'!$G80/10000,'CDO Bespoke'!G80,'CDO Bespoke'!$L56,'CDO Bespoke'!$C$13,'CDO Bespoke'!$C$14,'CDO Bespoke'!$C$15,'CDO Bespoke'!$C$8,,,TRUE,TRUE,FALSE,'CDO Bespoke'!$C$29:'CDO Bespoke'!$C$31,'CDO Bespoke'!$C$33),{5})),"")</f>
        <v>-0.120241975252313</v>
      </c>
      <c r="Y55" s="527" cm="1">
        <f t="array" aca="1" ref="Y55" ca="1">IF($V55&lt;&gt;"",-TRANSPOSE(INDEX(getcds('CDO Bespoke'!$C80,Y$13,'CDO Bespoke'!$G80/10000,'CDO Bespoke'!H80,'CDO Bespoke'!$L56,'CDO Bespoke'!$C$13,'CDO Bespoke'!$C$14,'CDO Bespoke'!$C$15,'CDO Bespoke'!$C$8,,,TRUE,TRUE,FALSE,'CDO Bespoke'!$C$29:'CDO Bespoke'!$C$31,'CDO Bespoke'!$C$33),{5})),"")</f>
        <v>-0.35518361197026499</v>
      </c>
      <c r="Z55" s="527" cm="1">
        <f t="array" aca="1" ref="Z55" ca="1">IF($V55&lt;&gt;"",-TRANSPOSE(INDEX(getcds('CDO Bespoke'!$C80,Z$13,'CDO Bespoke'!$G80/10000,'CDO Bespoke'!I80,'CDO Bespoke'!$L56,'CDO Bespoke'!$C$13,'CDO Bespoke'!$C$14,'CDO Bespoke'!$C$15,'CDO Bespoke'!$C$8,,,TRUE,TRUE,FALSE,'CDO Bespoke'!$C$29:'CDO Bespoke'!$C$31,'CDO Bespoke'!$C$33),{5})),"")</f>
        <v>-0.56936652881403604</v>
      </c>
      <c r="AA55" s="502" cm="1">
        <f t="array" aca="1" ref="AA55" ca="1">IF($V55&lt;&gt;"",-TRANSPOSE(INDEX(getcds('CDO Bespoke'!$C80,AA$13,'CDO Bespoke'!$G80/10000,'CDO Bespoke'!J80,'CDO Bespoke'!$L56,'CDO Bespoke'!$C$13,'CDO Bespoke'!$C$14,'CDO Bespoke'!$C$15,'CDO Bespoke'!$C$8,,,TRUE,TRUE,FALSE,'CDO Bespoke'!$C$29:'CDO Bespoke'!$C$31,'CDO Bespoke'!$C$33),{5})),"")</f>
        <v>-1.0256879827546299</v>
      </c>
      <c r="AB55" s="481"/>
      <c r="AC55" s="517"/>
      <c r="AD55" s="518"/>
      <c r="AE55" s="518"/>
      <c r="AF55" s="518"/>
      <c r="AG55" s="518"/>
      <c r="AH55" s="518"/>
      <c r="AI55" s="518"/>
      <c r="AJ55" s="518"/>
      <c r="AK55" s="518"/>
      <c r="AL55" s="519"/>
      <c r="AM55" s="540"/>
    </row>
    <row r="56" spans="2:39" ht="12" thickBot="1">
      <c r="B56" s="541" t="s">
        <v>534</v>
      </c>
      <c r="C56" s="542" t="s">
        <v>66</v>
      </c>
      <c r="D56" s="542" t="s">
        <v>57</v>
      </c>
      <c r="E56" s="542" t="s">
        <v>661</v>
      </c>
      <c r="F56" s="542" t="s">
        <v>666</v>
      </c>
      <c r="G56" s="549">
        <v>0.01</v>
      </c>
      <c r="H56" s="549">
        <v>5.025E-3</v>
      </c>
      <c r="I56" s="551">
        <v>0.4</v>
      </c>
      <c r="J56" s="543">
        <v>11</v>
      </c>
      <c r="K56" s="275"/>
      <c r="L56" s="275"/>
      <c r="M56" s="489">
        <f ca="1">IF('CDO Bespoke'!O57&lt;&gt;"",'CDO Bespoke'!O57,"")</f>
        <v>1.01910584554355</v>
      </c>
      <c r="N56" s="490">
        <f ca="1">IF(M56&lt;&gt;"",ABS(MIN(-0.75*('CDO Bespoke'!Q57)+'CDO Bespoke'!T57,0)),"")</f>
        <v>1.0104228483323303</v>
      </c>
      <c r="O56" s="490">
        <f t="shared" ca="1" si="0"/>
        <v>8.6829972112196785E-3</v>
      </c>
      <c r="P56" s="490">
        <f t="shared" ca="1" si="1"/>
        <v>0</v>
      </c>
      <c r="Q56" s="489">
        <f ca="1">IF('CDO Bespoke'!O57&lt;&gt;"",'CDO Bespoke'!O57,"")</f>
        <v>1.01910584554355</v>
      </c>
      <c r="R56" s="490">
        <f ca="1">IF(Q56&lt;&gt;"",ABS(MIN(-0.75*('CDO Bespoke'!K57)+'CDO Bespoke'!T57,0)),"")</f>
        <v>0.1545716872445424</v>
      </c>
      <c r="S56" s="490">
        <f t="shared" ca="1" si="2"/>
        <v>0.86453415829900759</v>
      </c>
      <c r="T56" s="494">
        <f t="shared" ca="1" si="3"/>
        <v>0</v>
      </c>
      <c r="U56" s="275"/>
      <c r="V56" s="499" t="str">
        <f ca="1">IF('CDO Bespoke'!C81&lt;&gt;"",'CDO Bespoke'!C81,"")</f>
        <v>DANONE</v>
      </c>
      <c r="W56" s="501" cm="1">
        <f t="array" aca="1" ref="W56" ca="1">IF($V56&lt;&gt;"",-TRANSPOSE(INDEX(getcds('CDO Bespoke'!$C81,W$13,'CDO Bespoke'!$G81/10000,'CDO Bespoke'!F81,'CDO Bespoke'!$L57,'CDO Bespoke'!$C$13,'CDO Bespoke'!$C$14,'CDO Bespoke'!$C$15,'CDO Bespoke'!$C$8,,,TRUE,TRUE,FALSE,'CDO Bespoke'!$C$29:'CDO Bespoke'!$C$31,'CDO Bespoke'!$C$33),{5})),"")</f>
        <v>-7.7055714912922499E-2</v>
      </c>
      <c r="X56" s="527" cm="1">
        <f t="array" aca="1" ref="X56" ca="1">IF($V56&lt;&gt;"",-TRANSPOSE(INDEX(getcds('CDO Bespoke'!$C81,X$13,'CDO Bespoke'!$G81/10000,'CDO Bespoke'!G81,'CDO Bespoke'!$L57,'CDO Bespoke'!$C$13,'CDO Bespoke'!$C$14,'CDO Bespoke'!$C$15,'CDO Bespoke'!$C$8,,,TRUE,TRUE,FALSE,'CDO Bespoke'!$C$29:'CDO Bespoke'!$C$31,'CDO Bespoke'!$C$33),{5})),"")</f>
        <v>-0.15899047903265001</v>
      </c>
      <c r="Y56" s="527" cm="1">
        <f t="array" aca="1" ref="Y56" ca="1">IF($V56&lt;&gt;"",-TRANSPOSE(INDEX(getcds('CDO Bespoke'!$C81,Y$13,'CDO Bespoke'!$G81/10000,'CDO Bespoke'!H81,'CDO Bespoke'!$L57,'CDO Bespoke'!$C$13,'CDO Bespoke'!$C$14,'CDO Bespoke'!$C$15,'CDO Bespoke'!$C$8,,,TRUE,TRUE,FALSE,'CDO Bespoke'!$C$29:'CDO Bespoke'!$C$31,'CDO Bespoke'!$C$33),{5})),"")</f>
        <v>-0.46898189760832898</v>
      </c>
      <c r="Z56" s="527" cm="1">
        <f t="array" aca="1" ref="Z56" ca="1">IF($V56&lt;&gt;"",-TRANSPOSE(INDEX(getcds('CDO Bespoke'!$C81,Z$13,'CDO Bespoke'!$G81/10000,'CDO Bespoke'!I81,'CDO Bespoke'!$L57,'CDO Bespoke'!$C$13,'CDO Bespoke'!$C$14,'CDO Bespoke'!$C$15,'CDO Bespoke'!$C$8,,,TRUE,TRUE,FALSE,'CDO Bespoke'!$C$29:'CDO Bespoke'!$C$31,'CDO Bespoke'!$C$33),{5})),"")</f>
        <v>-0.75031676807695802</v>
      </c>
      <c r="AA56" s="502" cm="1">
        <f t="array" aca="1" ref="AA56" ca="1">IF($V56&lt;&gt;"",-TRANSPOSE(INDEX(getcds('CDO Bespoke'!$C81,AA$13,'CDO Bespoke'!$G81/10000,'CDO Bespoke'!J81,'CDO Bespoke'!$L57,'CDO Bespoke'!$C$13,'CDO Bespoke'!$C$14,'CDO Bespoke'!$C$15,'CDO Bespoke'!$C$8,,,TRUE,TRUE,FALSE,'CDO Bespoke'!$C$29:'CDO Bespoke'!$C$31,'CDO Bespoke'!$C$33),{5})),"")</f>
        <v>-1.3498847579864599</v>
      </c>
      <c r="AB56" s="481"/>
      <c r="AC56" s="517"/>
      <c r="AD56" s="518"/>
      <c r="AE56" s="518"/>
      <c r="AF56" s="518"/>
      <c r="AG56" s="518"/>
      <c r="AH56" s="518"/>
      <c r="AI56" s="518"/>
      <c r="AJ56" s="518"/>
      <c r="AK56" s="518"/>
      <c r="AL56" s="519"/>
      <c r="AM56" s="540"/>
    </row>
    <row r="57" spans="2:39" ht="12" thickBot="1">
      <c r="B57" s="558" t="s">
        <v>534</v>
      </c>
      <c r="C57" s="559" t="s">
        <v>66</v>
      </c>
      <c r="D57" s="559" t="s">
        <v>59</v>
      </c>
      <c r="E57" s="559" t="s">
        <v>661</v>
      </c>
      <c r="F57" s="559" t="s">
        <v>666</v>
      </c>
      <c r="G57" s="560">
        <v>0.01</v>
      </c>
      <c r="H57" s="560">
        <v>7.2620000000000002E-3</v>
      </c>
      <c r="I57" s="561">
        <v>0.4</v>
      </c>
      <c r="J57" s="562">
        <v>11</v>
      </c>
      <c r="K57" s="275"/>
      <c r="L57" s="275"/>
      <c r="M57" s="489">
        <f ca="1">IF('CDO Bespoke'!O58&lt;&gt;"",'CDO Bespoke'!O58,"")</f>
        <v>0.99727743730194396</v>
      </c>
      <c r="N57" s="490">
        <f ca="1">IF(M57&lt;&gt;"",ABS(MIN(-0.75*('CDO Bespoke'!Q58)+'CDO Bespoke'!T58,0)),"")</f>
        <v>1.0329867695675841</v>
      </c>
      <c r="O57" s="490">
        <f t="shared" ca="1" si="0"/>
        <v>0</v>
      </c>
      <c r="P57" s="490">
        <f t="shared" ca="1" si="1"/>
        <v>0</v>
      </c>
      <c r="Q57" s="489">
        <f ca="1">IF('CDO Bespoke'!O58&lt;&gt;"",'CDO Bespoke'!O58,"")</f>
        <v>0.99727743730194396</v>
      </c>
      <c r="R57" s="490">
        <f ca="1">IF(Q57&lt;&gt;"",ABS(MIN(-0.75*('CDO Bespoke'!K58)+'CDO Bespoke'!T58,0)),"")</f>
        <v>0.31212514214999071</v>
      </c>
      <c r="S57" s="490">
        <f t="shared" ca="1" si="2"/>
        <v>0.68515229515195331</v>
      </c>
      <c r="T57" s="494">
        <f t="shared" ca="1" si="3"/>
        <v>0</v>
      </c>
      <c r="U57" s="275"/>
      <c r="V57" s="499" t="str">
        <f ca="1">IF('CDO Bespoke'!C82&lt;&gt;"",'CDO Bespoke'!C82,"")</f>
        <v>DIAGEO PLC</v>
      </c>
      <c r="W57" s="501" cm="1">
        <f t="array" aca="1" ref="W57" ca="1">IF($V57&lt;&gt;"",-TRANSPOSE(INDEX(getcds('CDO Bespoke'!$C82,W$13,'CDO Bespoke'!$G82/10000,'CDO Bespoke'!F82,'CDO Bespoke'!$L58,'CDO Bespoke'!$C$13,'CDO Bespoke'!$C$14,'CDO Bespoke'!$C$15,'CDO Bespoke'!$C$8,,,TRUE,TRUE,FALSE,'CDO Bespoke'!$C$29:'CDO Bespoke'!$C$31,'CDO Bespoke'!$C$33),{5})),"")</f>
        <v>-0.23566732184304401</v>
      </c>
      <c r="X57" s="527" cm="1">
        <f t="array" aca="1" ref="X57" ca="1">IF($V57&lt;&gt;"",-TRANSPOSE(INDEX(getcds('CDO Bespoke'!$C82,X$13,'CDO Bespoke'!$G82/10000,'CDO Bespoke'!G82,'CDO Bespoke'!$L58,'CDO Bespoke'!$C$13,'CDO Bespoke'!$C$14,'CDO Bespoke'!$C$15,'CDO Bespoke'!$C$8,,,TRUE,TRUE,FALSE,'CDO Bespoke'!$C$29:'CDO Bespoke'!$C$31,'CDO Bespoke'!$C$33),{5})),"")</f>
        <v>-0.48635263824421199</v>
      </c>
      <c r="Y57" s="527" cm="1">
        <f t="array" aca="1" ref="Y57" ca="1">IF($V57&lt;&gt;"",-TRANSPOSE(INDEX(getcds('CDO Bespoke'!$C82,Y$13,'CDO Bespoke'!$G82/10000,'CDO Bespoke'!H82,'CDO Bespoke'!$L58,'CDO Bespoke'!$C$13,'CDO Bespoke'!$C$14,'CDO Bespoke'!$C$15,'CDO Bespoke'!$C$8,,,TRUE,TRUE,FALSE,'CDO Bespoke'!$C$29:'CDO Bespoke'!$C$31,'CDO Bespoke'!$C$33),{5})),"")</f>
        <v>-1.4357279786664201</v>
      </c>
      <c r="Z57" s="527" cm="1">
        <f t="array" aca="1" ref="Z57" ca="1">IF($V57&lt;&gt;"",-TRANSPOSE(INDEX(getcds('CDO Bespoke'!$C82,Z$13,'CDO Bespoke'!$G82/10000,'CDO Bespoke'!I82,'CDO Bespoke'!$L58,'CDO Bespoke'!$C$13,'CDO Bespoke'!$C$14,'CDO Bespoke'!$C$15,'CDO Bespoke'!$C$8,,,TRUE,TRUE,FALSE,'CDO Bespoke'!$C$29:'CDO Bespoke'!$C$31,'CDO Bespoke'!$C$33),{5})),"")</f>
        <v>-2.2266042776467301</v>
      </c>
      <c r="AA57" s="502" cm="1">
        <f t="array" aca="1" ref="AA57" ca="1">IF($V57&lt;&gt;"",-TRANSPOSE(INDEX(getcds('CDO Bespoke'!$C82,AA$13,'CDO Bespoke'!$G82/10000,'CDO Bespoke'!J82,'CDO Bespoke'!$L58,'CDO Bespoke'!$C$13,'CDO Bespoke'!$C$14,'CDO Bespoke'!$C$15,'CDO Bespoke'!$C$8,,,TRUE,TRUE,FALSE,'CDO Bespoke'!$C$29:'CDO Bespoke'!$C$31,'CDO Bespoke'!$C$33),{5})),"")</f>
        <v>-3.9688994305196199</v>
      </c>
      <c r="AB57" s="481"/>
      <c r="AC57" s="517"/>
      <c r="AD57" s="518"/>
      <c r="AE57" s="518"/>
      <c r="AF57" s="518"/>
      <c r="AG57" s="518"/>
      <c r="AH57" s="518"/>
      <c r="AI57" s="518"/>
      <c r="AJ57" s="518"/>
      <c r="AK57" s="518"/>
      <c r="AL57" s="519"/>
      <c r="AM57" s="540"/>
    </row>
    <row r="58" spans="2:39" ht="12" thickBot="1">
      <c r="B58" s="563" t="s">
        <v>516</v>
      </c>
      <c r="C58" s="564" t="s">
        <v>66</v>
      </c>
      <c r="D58" s="564" t="s">
        <v>55</v>
      </c>
      <c r="E58" s="564" t="s">
        <v>661</v>
      </c>
      <c r="F58" s="564" t="s">
        <v>662</v>
      </c>
      <c r="G58" s="565">
        <v>0.01</v>
      </c>
      <c r="H58" s="565">
        <v>2.2030000000000001E-3</v>
      </c>
      <c r="I58" s="566">
        <v>0.4</v>
      </c>
      <c r="J58" s="567">
        <v>12</v>
      </c>
      <c r="K58" s="275"/>
      <c r="L58" s="275"/>
      <c r="M58" s="489">
        <f ca="1">IF('CDO Bespoke'!O59&lt;&gt;"",'CDO Bespoke'!O59,"")</f>
        <v>0.99750602999373394</v>
      </c>
      <c r="N58" s="490">
        <f ca="1">IF(M58&lt;&gt;"",ABS(MIN(-0.75*('CDO Bespoke'!Q59)+'CDO Bespoke'!T59,0)),"")</f>
        <v>1.0284292346786181</v>
      </c>
      <c r="O58" s="490">
        <f t="shared" ca="1" si="0"/>
        <v>0</v>
      </c>
      <c r="P58" s="490">
        <f t="shared" ca="1" si="1"/>
        <v>0</v>
      </c>
      <c r="Q58" s="489">
        <f ca="1">IF('CDO Bespoke'!O59&lt;&gt;"",'CDO Bespoke'!O59,"")</f>
        <v>0.99750602999373394</v>
      </c>
      <c r="R58" s="490">
        <f ca="1">IF(Q58&lt;&gt;"",ABS(MIN(-0.75*('CDO Bespoke'!K59)+'CDO Bespoke'!T59,0)),"")</f>
        <v>0.32868294177802704</v>
      </c>
      <c r="S58" s="490">
        <f t="shared" ca="1" si="2"/>
        <v>0.66882308821570691</v>
      </c>
      <c r="T58" s="494">
        <f t="shared" ca="1" si="3"/>
        <v>0</v>
      </c>
      <c r="U58" s="275"/>
      <c r="V58" s="499" t="str">
        <f ca="1">IF('CDO Bespoke'!C83&lt;&gt;"",'CDO Bespoke'!C83,"")</f>
        <v>ELO</v>
      </c>
      <c r="W58" s="501" cm="1">
        <f t="array" aca="1" ref="W58" ca="1">IF($V58&lt;&gt;"",-TRANSPOSE(INDEX(getcds('CDO Bespoke'!$C83,W$13,'CDO Bespoke'!$G83/10000,'CDO Bespoke'!F83,'CDO Bespoke'!$L59,'CDO Bespoke'!$C$13,'CDO Bespoke'!$C$14,'CDO Bespoke'!$C$15,'CDO Bespoke'!$C$8,,,TRUE,TRUE,FALSE,'CDO Bespoke'!$C$29:'CDO Bespoke'!$C$31,'CDO Bespoke'!$C$33),{5})),"")</f>
        <v>-0.23956890814853901</v>
      </c>
      <c r="X58" s="527" cm="1">
        <f t="array" aca="1" ref="X58" ca="1">IF($V58&lt;&gt;"",-TRANSPOSE(INDEX(getcds('CDO Bespoke'!$C83,X$13,'CDO Bespoke'!$G83/10000,'CDO Bespoke'!G83,'CDO Bespoke'!$L59,'CDO Bespoke'!$C$13,'CDO Bespoke'!$C$14,'CDO Bespoke'!$C$15,'CDO Bespoke'!$C$8,,,TRUE,TRUE,FALSE,'CDO Bespoke'!$C$29:'CDO Bespoke'!$C$31,'CDO Bespoke'!$C$33),{5})),"")</f>
        <v>-0.49114627947996697</v>
      </c>
      <c r="Y58" s="527" cm="1">
        <f t="array" aca="1" ref="Y58" ca="1">IF($V58&lt;&gt;"",-TRANSPOSE(INDEX(getcds('CDO Bespoke'!$C83,Y$13,'CDO Bespoke'!$G83/10000,'CDO Bespoke'!H83,'CDO Bespoke'!$L59,'CDO Bespoke'!$C$13,'CDO Bespoke'!$C$14,'CDO Bespoke'!$C$15,'CDO Bespoke'!$C$8,,,TRUE,TRUE,FALSE,'CDO Bespoke'!$C$29:'CDO Bespoke'!$C$31,'CDO Bespoke'!$C$33),{5})),"")</f>
        <v>-1.4129686388001199</v>
      </c>
      <c r="Z58" s="527" cm="1">
        <f t="array" aca="1" ref="Z58" ca="1">IF($V58&lt;&gt;"",-TRANSPOSE(INDEX(getcds('CDO Bespoke'!$C83,Z$13,'CDO Bespoke'!$G83/10000,'CDO Bespoke'!I83,'CDO Bespoke'!$L59,'CDO Bespoke'!$C$13,'CDO Bespoke'!$C$14,'CDO Bespoke'!$C$15,'CDO Bespoke'!$C$8,,,TRUE,TRUE,FALSE,'CDO Bespoke'!$C$29:'CDO Bespoke'!$C$31,'CDO Bespoke'!$C$33),{5})),"")</f>
        <v>-2.18900504029701</v>
      </c>
      <c r="AA58" s="502" cm="1">
        <f t="array" aca="1" ref="AA58" ca="1">IF($V58&lt;&gt;"",-TRANSPOSE(INDEX(getcds('CDO Bespoke'!$C83,AA$13,'CDO Bespoke'!$G83/10000,'CDO Bespoke'!J83,'CDO Bespoke'!$L59,'CDO Bespoke'!$C$13,'CDO Bespoke'!$C$14,'CDO Bespoke'!$C$15,'CDO Bespoke'!$C$8,,,TRUE,TRUE,FALSE,'CDO Bespoke'!$C$29:'CDO Bespoke'!$C$31,'CDO Bespoke'!$C$33),{5})),"")</f>
        <v>-3.8617538949592398</v>
      </c>
      <c r="AB58" s="481"/>
      <c r="AC58" s="517"/>
      <c r="AD58" s="518"/>
      <c r="AE58" s="518"/>
      <c r="AF58" s="518"/>
      <c r="AG58" s="518"/>
      <c r="AH58" s="518"/>
      <c r="AI58" s="518"/>
      <c r="AJ58" s="518"/>
      <c r="AK58" s="518"/>
      <c r="AL58" s="519"/>
      <c r="AM58" s="540"/>
    </row>
    <row r="59" spans="2:39" ht="12" thickBot="1">
      <c r="B59" s="541" t="s">
        <v>516</v>
      </c>
      <c r="C59" s="542" t="s">
        <v>66</v>
      </c>
      <c r="D59" s="542" t="s">
        <v>57</v>
      </c>
      <c r="E59" s="542" t="s">
        <v>661</v>
      </c>
      <c r="F59" s="542" t="s">
        <v>662</v>
      </c>
      <c r="G59" s="549">
        <v>0.01</v>
      </c>
      <c r="H59" s="549">
        <v>3.3639999999999998E-3</v>
      </c>
      <c r="I59" s="551">
        <v>0.4</v>
      </c>
      <c r="J59" s="543">
        <v>12</v>
      </c>
      <c r="K59" s="275"/>
      <c r="L59" s="275"/>
      <c r="M59" s="489">
        <f ca="1">IF('CDO Bespoke'!O60&lt;&gt;"",'CDO Bespoke'!O60,"")</f>
        <v>1.0192845250381299</v>
      </c>
      <c r="N59" s="490">
        <f ca="1">IF(M59&lt;&gt;"",ABS(MIN(-0.75*('CDO Bespoke'!Q60)+'CDO Bespoke'!T60,0)),"")</f>
        <v>1.0100193129448811</v>
      </c>
      <c r="O59" s="490">
        <f t="shared" ca="1" si="0"/>
        <v>9.2652120932488202E-3</v>
      </c>
      <c r="P59" s="490">
        <f t="shared" ca="1" si="1"/>
        <v>0</v>
      </c>
      <c r="Q59" s="489">
        <f ca="1">IF('CDO Bespoke'!O60&lt;&gt;"",'CDO Bespoke'!O60,"")</f>
        <v>1.0192845250381299</v>
      </c>
      <c r="R59" s="490">
        <f ca="1">IF(Q59&lt;&gt;"",ABS(MIN(-0.75*('CDO Bespoke'!K60)+'CDO Bespoke'!T60,0)),"")</f>
        <v>0.1462227612423041</v>
      </c>
      <c r="S59" s="490">
        <f t="shared" ca="1" si="2"/>
        <v>0.87306176379582578</v>
      </c>
      <c r="T59" s="494">
        <f t="shared" ca="1" si="3"/>
        <v>0</v>
      </c>
      <c r="U59" s="275"/>
      <c r="V59" s="499" t="str">
        <f ca="1">IF('CDO Bespoke'!C84&lt;&gt;"",'CDO Bespoke'!C84,"")</f>
        <v>Heineken N.V.</v>
      </c>
      <c r="W59" s="501" cm="1">
        <f t="array" aca="1" ref="W59" ca="1">IF($V59&lt;&gt;"",-TRANSPOSE(INDEX(getcds('CDO Bespoke'!$C84,W$13,'CDO Bespoke'!$G84/10000,'CDO Bespoke'!F84,'CDO Bespoke'!$L60,'CDO Bespoke'!$C$13,'CDO Bespoke'!$C$14,'CDO Bespoke'!$C$15,'CDO Bespoke'!$C$8,,,TRUE,TRUE,FALSE,'CDO Bespoke'!$C$29:'CDO Bespoke'!$C$31,'CDO Bespoke'!$C$33),{5})),"")</f>
        <v>-7.0629570416387205E-2</v>
      </c>
      <c r="X59" s="527" cm="1">
        <f t="array" aca="1" ref="X59" ca="1">IF($V59&lt;&gt;"",-TRANSPOSE(INDEX(getcds('CDO Bespoke'!$C84,X$13,'CDO Bespoke'!$G84/10000,'CDO Bespoke'!G84,'CDO Bespoke'!$L60,'CDO Bespoke'!$C$13,'CDO Bespoke'!$C$14,'CDO Bespoke'!$C$15,'CDO Bespoke'!$C$8,,,TRUE,TRUE,FALSE,'CDO Bespoke'!$C$29:'CDO Bespoke'!$C$31,'CDO Bespoke'!$C$33),{5})),"")</f>
        <v>-0.145752292399042</v>
      </c>
      <c r="Y59" s="527" cm="1">
        <f t="array" aca="1" ref="Y59" ca="1">IF($V59&lt;&gt;"",-TRANSPOSE(INDEX(getcds('CDO Bespoke'!$C84,Y$13,'CDO Bespoke'!$G84/10000,'CDO Bespoke'!H84,'CDO Bespoke'!$L60,'CDO Bespoke'!$C$13,'CDO Bespoke'!$C$14,'CDO Bespoke'!$C$15,'CDO Bespoke'!$C$8,,,TRUE,TRUE,FALSE,'CDO Bespoke'!$C$29:'CDO Bespoke'!$C$31,'CDO Bespoke'!$C$33),{5})),"")</f>
        <v>-0.430175570372268</v>
      </c>
      <c r="Z59" s="527" cm="1">
        <f t="array" aca="1" ref="Z59" ca="1">IF($V59&lt;&gt;"",-TRANSPOSE(INDEX(getcds('CDO Bespoke'!$C84,Z$13,'CDO Bespoke'!$G84/10000,'CDO Bespoke'!I84,'CDO Bespoke'!$L60,'CDO Bespoke'!$C$13,'CDO Bespoke'!$C$14,'CDO Bespoke'!$C$15,'CDO Bespoke'!$C$8,,,TRUE,TRUE,FALSE,'CDO Bespoke'!$C$29:'CDO Bespoke'!$C$31,'CDO Bespoke'!$C$33),{5})),"")</f>
        <v>-0.68871921526550195</v>
      </c>
      <c r="AA59" s="502" cm="1">
        <f t="array" aca="1" ref="AA59" ca="1">IF($V59&lt;&gt;"",-TRANSPOSE(INDEX(getcds('CDO Bespoke'!$C84,AA$13,'CDO Bespoke'!$G84/10000,'CDO Bespoke'!J84,'CDO Bespoke'!$L60,'CDO Bespoke'!$C$13,'CDO Bespoke'!$C$14,'CDO Bespoke'!$C$15,'CDO Bespoke'!$C$8,,,TRUE,TRUE,FALSE,'CDO Bespoke'!$C$29:'CDO Bespoke'!$C$31,'CDO Bespoke'!$C$33),{5})),"")</f>
        <v>-1.2394820174364101</v>
      </c>
      <c r="AB59" s="481"/>
      <c r="AC59" s="517"/>
      <c r="AD59" s="518"/>
      <c r="AE59" s="518"/>
      <c r="AF59" s="518"/>
      <c r="AG59" s="518"/>
      <c r="AH59" s="518"/>
      <c r="AI59" s="518"/>
      <c r="AJ59" s="518"/>
      <c r="AK59" s="518"/>
      <c r="AL59" s="519"/>
      <c r="AM59" s="540"/>
    </row>
    <row r="60" spans="2:39" ht="12" thickBot="1">
      <c r="B60" s="558" t="s">
        <v>516</v>
      </c>
      <c r="C60" s="559" t="s">
        <v>66</v>
      </c>
      <c r="D60" s="559" t="s">
        <v>59</v>
      </c>
      <c r="E60" s="559" t="s">
        <v>661</v>
      </c>
      <c r="F60" s="559" t="s">
        <v>662</v>
      </c>
      <c r="G60" s="560">
        <v>0.01</v>
      </c>
      <c r="H60" s="560">
        <v>4.9129999999999998E-3</v>
      </c>
      <c r="I60" s="561">
        <v>0.4</v>
      </c>
      <c r="J60" s="562">
        <v>12</v>
      </c>
      <c r="K60" s="275"/>
      <c r="L60" s="275"/>
      <c r="M60" s="489">
        <f ca="1">IF('CDO Bespoke'!O61&lt;&gt;"",'CDO Bespoke'!O61,"")</f>
        <v>1.0195840732588599</v>
      </c>
      <c r="N60" s="490">
        <f ca="1">IF(M60&lt;&gt;"",ABS(MIN(-0.75*('CDO Bespoke'!Q61)+'CDO Bespoke'!T61,0)),"")</f>
        <v>1.0090872154175596</v>
      </c>
      <c r="O60" s="490">
        <f t="shared" ca="1" si="0"/>
        <v>1.0496857841300278E-2</v>
      </c>
      <c r="P60" s="490">
        <f t="shared" ca="1" si="1"/>
        <v>0</v>
      </c>
      <c r="Q60" s="489">
        <f ca="1">IF('CDO Bespoke'!O61&lt;&gt;"",'CDO Bespoke'!O61,"")</f>
        <v>1.0195840732588599</v>
      </c>
      <c r="R60" s="490">
        <f ca="1">IF(Q60&lt;&gt;"",ABS(MIN(-0.75*('CDO Bespoke'!K61)+'CDO Bespoke'!T61,0)),"")</f>
        <v>0.12667322749956406</v>
      </c>
      <c r="S60" s="490">
        <f t="shared" ca="1" si="2"/>
        <v>0.8929108457592958</v>
      </c>
      <c r="T60" s="494">
        <f t="shared" ca="1" si="3"/>
        <v>0</v>
      </c>
      <c r="U60" s="275"/>
      <c r="V60" s="499" t="str">
        <f ca="1">IF('CDO Bespoke'!C85&lt;&gt;"",'CDO Bespoke'!C85,"")</f>
        <v>Henkel AG &amp; Co. KGaA</v>
      </c>
      <c r="W60" s="501" cm="1">
        <f t="array" aca="1" ref="W60" ca="1">IF($V60&lt;&gt;"",-TRANSPOSE(INDEX(getcds('CDO Bespoke'!$C85,W$13,'CDO Bespoke'!$G85/10000,'CDO Bespoke'!F85,'CDO Bespoke'!$L61,'CDO Bespoke'!$C$13,'CDO Bespoke'!$C$14,'CDO Bespoke'!$C$15,'CDO Bespoke'!$C$8,,,TRUE,TRUE,FALSE,'CDO Bespoke'!$C$29:'CDO Bespoke'!$C$31,'CDO Bespoke'!$C$33),{5})),"")</f>
        <v>-5.5741945180420201E-2</v>
      </c>
      <c r="X60" s="527" cm="1">
        <f t="array" aca="1" ref="X60" ca="1">IF($V60&lt;&gt;"",-TRANSPOSE(INDEX(getcds('CDO Bespoke'!$C85,X$13,'CDO Bespoke'!$G85/10000,'CDO Bespoke'!G85,'CDO Bespoke'!$L61,'CDO Bespoke'!$C$13,'CDO Bespoke'!$C$14,'CDO Bespoke'!$C$15,'CDO Bespoke'!$C$8,,,TRUE,TRUE,FALSE,'CDO Bespoke'!$C$29:'CDO Bespoke'!$C$31,'CDO Bespoke'!$C$33),{5})),"")</f>
        <v>-0.11505336034442699</v>
      </c>
      <c r="Y60" s="527" cm="1">
        <f t="array" aca="1" ref="Y60" ca="1">IF($V60&lt;&gt;"",-TRANSPOSE(INDEX(getcds('CDO Bespoke'!$C85,Y$13,'CDO Bespoke'!$G85/10000,'CDO Bespoke'!H85,'CDO Bespoke'!$L61,'CDO Bespoke'!$C$13,'CDO Bespoke'!$C$14,'CDO Bespoke'!$C$15,'CDO Bespoke'!$C$8,,,TRUE,TRUE,FALSE,'CDO Bespoke'!$C$29:'CDO Bespoke'!$C$31,'CDO Bespoke'!$C$33),{5})),"")</f>
        <v>-0.33984142111229199</v>
      </c>
      <c r="Z60" s="527" cm="1">
        <f t="array" aca="1" ref="Z60" ca="1">IF($V60&lt;&gt;"",-TRANSPOSE(INDEX(getcds('CDO Bespoke'!$C85,Z$13,'CDO Bespoke'!$G85/10000,'CDO Bespoke'!I85,'CDO Bespoke'!$L61,'CDO Bespoke'!$C$13,'CDO Bespoke'!$C$14,'CDO Bespoke'!$C$15,'CDO Bespoke'!$C$8,,,TRUE,TRUE,FALSE,'CDO Bespoke'!$C$29:'CDO Bespoke'!$C$31,'CDO Bespoke'!$C$33),{5})),"")</f>
        <v>-0.54491081451948298</v>
      </c>
      <c r="AA60" s="502" cm="1">
        <f t="array" aca="1" ref="AA60" ca="1">IF($V60&lt;&gt;"",-TRANSPOSE(INDEX(getcds('CDO Bespoke'!$C85,AA$13,'CDO Bespoke'!$G85/10000,'CDO Bespoke'!J85,'CDO Bespoke'!$L61,'CDO Bespoke'!$C$13,'CDO Bespoke'!$C$14,'CDO Bespoke'!$C$15,'CDO Bespoke'!$C$8,,,TRUE,TRUE,FALSE,'CDO Bespoke'!$C$29:'CDO Bespoke'!$C$31,'CDO Bespoke'!$C$33),{5})),"")</f>
        <v>-0.982416794520799</v>
      </c>
      <c r="AB60" s="481"/>
      <c r="AC60" s="517"/>
      <c r="AD60" s="518"/>
      <c r="AE60" s="518"/>
      <c r="AF60" s="518"/>
      <c r="AG60" s="518"/>
      <c r="AH60" s="518"/>
      <c r="AI60" s="518"/>
      <c r="AJ60" s="518"/>
      <c r="AK60" s="518"/>
      <c r="AL60" s="519"/>
      <c r="AM60" s="540"/>
    </row>
    <row r="61" spans="2:39" ht="12" thickBot="1">
      <c r="B61" s="563" t="s">
        <v>626</v>
      </c>
      <c r="C61" s="564" t="s">
        <v>66</v>
      </c>
      <c r="D61" s="564" t="s">
        <v>55</v>
      </c>
      <c r="E61" s="564" t="s">
        <v>663</v>
      </c>
      <c r="F61" s="564" t="s">
        <v>662</v>
      </c>
      <c r="G61" s="565">
        <v>0.01</v>
      </c>
      <c r="H61" s="565">
        <v>5.3819999999999996E-3</v>
      </c>
      <c r="I61" s="566">
        <v>0.4</v>
      </c>
      <c r="J61" s="567">
        <v>13</v>
      </c>
      <c r="K61" s="275"/>
      <c r="L61" s="275"/>
      <c r="M61" s="489">
        <f ca="1">IF('CDO Bespoke'!O62&lt;&gt;"",'CDO Bespoke'!O62,"")</f>
        <v>1.01702889818856</v>
      </c>
      <c r="N61" s="490">
        <f ca="1">IF(M61&lt;&gt;"",ABS(MIN(-0.75*('CDO Bespoke'!Q62)+'CDO Bespoke'!T62,0)),"")</f>
        <v>1.0138509142507599</v>
      </c>
      <c r="O61" s="490">
        <f t="shared" ca="1" si="0"/>
        <v>3.1779839378001107E-3</v>
      </c>
      <c r="P61" s="490">
        <f t="shared" ca="1" si="1"/>
        <v>0</v>
      </c>
      <c r="Q61" s="489">
        <f ca="1">IF('CDO Bespoke'!O62&lt;&gt;"",'CDO Bespoke'!O62,"")</f>
        <v>1.01702889818856</v>
      </c>
      <c r="R61" s="490">
        <f ca="1">IF(Q61&lt;&gt;"",ABS(MIN(-0.75*('CDO Bespoke'!K62)+'CDO Bespoke'!T62,0)),"")</f>
        <v>0.20756622252463525</v>
      </c>
      <c r="S61" s="490">
        <f t="shared" ca="1" si="2"/>
        <v>0.80946267566392471</v>
      </c>
      <c r="T61" s="494">
        <f t="shared" ca="1" si="3"/>
        <v>0</v>
      </c>
      <c r="U61" s="275"/>
      <c r="V61" s="499" t="str">
        <f ca="1">IF('CDO Bespoke'!C86&lt;&gt;"",'CDO Bespoke'!C86,"")</f>
        <v>IMPERIAL BRANDS PLC</v>
      </c>
      <c r="W61" s="501" cm="1">
        <f t="array" aca="1" ref="W61" ca="1">IF($V61&lt;&gt;"",-TRANSPOSE(INDEX(getcds('CDO Bespoke'!$C86,W$13,'CDO Bespoke'!$G86/10000,'CDO Bespoke'!F86,'CDO Bespoke'!$L62,'CDO Bespoke'!$C$13,'CDO Bespoke'!$C$14,'CDO Bespoke'!$C$15,'CDO Bespoke'!$C$8,,,TRUE,TRUE,FALSE,'CDO Bespoke'!$C$29:'CDO Bespoke'!$C$31,'CDO Bespoke'!$C$33),{5})),"")</f>
        <v>-0.12057228877127001</v>
      </c>
      <c r="X61" s="527" cm="1">
        <f t="array" aca="1" ref="X61" ca="1">IF($V61&lt;&gt;"",-TRANSPOSE(INDEX(getcds('CDO Bespoke'!$C86,X$13,'CDO Bespoke'!$G86/10000,'CDO Bespoke'!G86,'CDO Bespoke'!$L62,'CDO Bespoke'!$C$13,'CDO Bespoke'!$C$14,'CDO Bespoke'!$C$15,'CDO Bespoke'!$C$8,,,TRUE,TRUE,FALSE,'CDO Bespoke'!$C$29:'CDO Bespoke'!$C$31,'CDO Bespoke'!$C$33),{5})),"")</f>
        <v>-0.24853269086645</v>
      </c>
      <c r="Y61" s="527" cm="1">
        <f t="array" aca="1" ref="Y61" ca="1">IF($V61&lt;&gt;"",-TRANSPOSE(INDEX(getcds('CDO Bespoke'!$C86,Y$13,'CDO Bespoke'!$G86/10000,'CDO Bespoke'!H86,'CDO Bespoke'!$L62,'CDO Bespoke'!$C$13,'CDO Bespoke'!$C$14,'CDO Bespoke'!$C$15,'CDO Bespoke'!$C$8,,,TRUE,TRUE,FALSE,'CDO Bespoke'!$C$29:'CDO Bespoke'!$C$31,'CDO Bespoke'!$C$33),{5})),"")</f>
        <v>-0.730268717121069</v>
      </c>
      <c r="Z61" s="527" cm="1">
        <f t="array" aca="1" ref="Z61" ca="1">IF($V61&lt;&gt;"",-TRANSPOSE(INDEX(getcds('CDO Bespoke'!$C86,Z$13,'CDO Bespoke'!$G86/10000,'CDO Bespoke'!I86,'CDO Bespoke'!$L62,'CDO Bespoke'!$C$13,'CDO Bespoke'!$C$14,'CDO Bespoke'!$C$15,'CDO Bespoke'!$C$8,,,TRUE,TRUE,FALSE,'CDO Bespoke'!$C$29:'CDO Bespoke'!$C$31,'CDO Bespoke'!$C$33),{5})),"")</f>
        <v>-1.16146600373195</v>
      </c>
      <c r="AA61" s="502" cm="1">
        <f t="array" aca="1" ref="AA61" ca="1">IF($V61&lt;&gt;"",-TRANSPOSE(INDEX(getcds('CDO Bespoke'!$C86,AA$13,'CDO Bespoke'!$G86/10000,'CDO Bespoke'!J86,'CDO Bespoke'!$L62,'CDO Bespoke'!$C$13,'CDO Bespoke'!$C$14,'CDO Bespoke'!$C$15,'CDO Bespoke'!$C$8,,,TRUE,TRUE,FALSE,'CDO Bespoke'!$C$29:'CDO Bespoke'!$C$31,'CDO Bespoke'!$C$33),{5})),"")</f>
        <v>-2.0760011184308498</v>
      </c>
      <c r="AB61" s="481"/>
      <c r="AC61" s="517"/>
      <c r="AD61" s="518"/>
      <c r="AE61" s="518"/>
      <c r="AF61" s="518"/>
      <c r="AG61" s="518"/>
      <c r="AH61" s="518"/>
      <c r="AI61" s="518"/>
      <c r="AJ61" s="518"/>
      <c r="AK61" s="518"/>
      <c r="AL61" s="519"/>
      <c r="AM61" s="540"/>
    </row>
    <row r="62" spans="2:39" ht="12" thickBot="1">
      <c r="B62" s="541" t="s">
        <v>626</v>
      </c>
      <c r="C62" s="542" t="s">
        <v>66</v>
      </c>
      <c r="D62" s="542" t="s">
        <v>57</v>
      </c>
      <c r="E62" s="542" t="s">
        <v>663</v>
      </c>
      <c r="F62" s="542" t="s">
        <v>662</v>
      </c>
      <c r="G62" s="549">
        <v>0.01</v>
      </c>
      <c r="H62" s="549">
        <v>8.8269999999999998E-3</v>
      </c>
      <c r="I62" s="551">
        <v>0.4</v>
      </c>
      <c r="J62" s="543">
        <v>13</v>
      </c>
      <c r="K62" s="275"/>
      <c r="L62" s="275"/>
      <c r="M62" s="489">
        <f ca="1">IF('CDO Bespoke'!O63&lt;&gt;"",'CDO Bespoke'!O63,"")</f>
        <v>1.0188101465802699</v>
      </c>
      <c r="N62" s="490">
        <f ca="1">IF(M62&lt;&gt;"",ABS(MIN(-0.75*('CDO Bespoke'!Q63)+'CDO Bespoke'!T63,0)),"")</f>
        <v>1.0110264603258725</v>
      </c>
      <c r="O62" s="490">
        <f t="shared" ca="1" si="0"/>
        <v>7.7836862543974039E-3</v>
      </c>
      <c r="P62" s="490">
        <f t="shared" ca="1" si="1"/>
        <v>0</v>
      </c>
      <c r="Q62" s="489">
        <f ca="1">IF('CDO Bespoke'!O63&lt;&gt;"",'CDO Bespoke'!O63,"")</f>
        <v>1.0188101465802699</v>
      </c>
      <c r="R62" s="490">
        <f ca="1">IF(Q62&lt;&gt;"",ABS(MIN(-0.75*('CDO Bespoke'!K63)+'CDO Bespoke'!T63,0)),"")</f>
        <v>0.16587656490649783</v>
      </c>
      <c r="S62" s="490">
        <f t="shared" ca="1" si="2"/>
        <v>0.85293358167377209</v>
      </c>
      <c r="T62" s="494">
        <f t="shared" ca="1" si="3"/>
        <v>0</v>
      </c>
      <c r="U62" s="275"/>
      <c r="V62" s="499" t="str">
        <f ca="1">IF('CDO Bespoke'!C87&lt;&gt;"",'CDO Bespoke'!C87,"")</f>
        <v>Kering</v>
      </c>
      <c r="W62" s="501" cm="1">
        <f t="array" aca="1" ref="W62" ca="1">IF($V62&lt;&gt;"",-TRANSPOSE(INDEX(getcds('CDO Bespoke'!$C87,W$13,'CDO Bespoke'!$G87/10000,'CDO Bespoke'!F87,'CDO Bespoke'!$L63,'CDO Bespoke'!$C$13,'CDO Bespoke'!$C$14,'CDO Bespoke'!$C$15,'CDO Bespoke'!$C$8,,,TRUE,TRUE,FALSE,'CDO Bespoke'!$C$29:'CDO Bespoke'!$C$31,'CDO Bespoke'!$C$33),{5})),"")</f>
        <v>-8.5944224667742999E-2</v>
      </c>
      <c r="X62" s="527" cm="1">
        <f t="array" aca="1" ref="X62" ca="1">IF($V62&lt;&gt;"",-TRANSPOSE(INDEX(getcds('CDO Bespoke'!$C87,X$13,'CDO Bespoke'!$G87/10000,'CDO Bespoke'!G87,'CDO Bespoke'!$L63,'CDO Bespoke'!$C$13,'CDO Bespoke'!$C$14,'CDO Bespoke'!$C$15,'CDO Bespoke'!$C$8,,,TRUE,TRUE,FALSE,'CDO Bespoke'!$C$29:'CDO Bespoke'!$C$31,'CDO Bespoke'!$C$33),{5})),"")</f>
        <v>-0.17729467971691801</v>
      </c>
      <c r="Y62" s="527" cm="1">
        <f t="array" aca="1" ref="Y62" ca="1">IF($V62&lt;&gt;"",-TRANSPOSE(INDEX(getcds('CDO Bespoke'!$C87,Y$13,'CDO Bespoke'!$G87/10000,'CDO Bespoke'!H87,'CDO Bespoke'!$L63,'CDO Bespoke'!$C$13,'CDO Bespoke'!$C$14,'CDO Bespoke'!$C$15,'CDO Bespoke'!$C$8,,,TRUE,TRUE,FALSE,'CDO Bespoke'!$C$29:'CDO Bespoke'!$C$31,'CDO Bespoke'!$C$33),{5})),"")</f>
        <v>-0.52256285280334003</v>
      </c>
      <c r="Z62" s="527" cm="1">
        <f t="array" aca="1" ref="Z62" ca="1">IF($V62&lt;&gt;"",-TRANSPOSE(INDEX(getcds('CDO Bespoke'!$C87,Z$13,'CDO Bespoke'!$G87/10000,'CDO Bespoke'!I87,'CDO Bespoke'!$L63,'CDO Bespoke'!$C$13,'CDO Bespoke'!$C$14,'CDO Bespoke'!$C$15,'CDO Bespoke'!$C$8,,,TRUE,TRUE,FALSE,'CDO Bespoke'!$C$29:'CDO Bespoke'!$C$31,'CDO Bespoke'!$C$33),{5})),"")</f>
        <v>-0.83515835888432999</v>
      </c>
      <c r="AA62" s="502" cm="1">
        <f t="array" aca="1" ref="AA62" ca="1">IF($V62&lt;&gt;"",-TRANSPOSE(INDEX(getcds('CDO Bespoke'!$C87,AA$13,'CDO Bespoke'!$G87/10000,'CDO Bespoke'!J87,'CDO Bespoke'!$L63,'CDO Bespoke'!$C$13,'CDO Bespoke'!$C$14,'CDO Bespoke'!$C$15,'CDO Bespoke'!$C$8,,,TRUE,TRUE,FALSE,'CDO Bespoke'!$C$29:'CDO Bespoke'!$C$31,'CDO Bespoke'!$C$33),{5})),"")</f>
        <v>-1.50139101914972</v>
      </c>
      <c r="AB62" s="481"/>
      <c r="AC62" s="517"/>
      <c r="AD62" s="518"/>
      <c r="AE62" s="518"/>
      <c r="AF62" s="518"/>
      <c r="AG62" s="518"/>
      <c r="AH62" s="518"/>
      <c r="AI62" s="518"/>
      <c r="AJ62" s="518"/>
      <c r="AK62" s="518"/>
      <c r="AL62" s="519"/>
      <c r="AM62" s="540"/>
    </row>
    <row r="63" spans="2:39" ht="12" thickBot="1">
      <c r="B63" s="558" t="s">
        <v>626</v>
      </c>
      <c r="C63" s="559" t="s">
        <v>66</v>
      </c>
      <c r="D63" s="559" t="s">
        <v>59</v>
      </c>
      <c r="E63" s="559" t="s">
        <v>663</v>
      </c>
      <c r="F63" s="559" t="s">
        <v>662</v>
      </c>
      <c r="G63" s="560">
        <v>0.01</v>
      </c>
      <c r="H63" s="560">
        <v>1.2491E-2</v>
      </c>
      <c r="I63" s="561">
        <v>0.4</v>
      </c>
      <c r="J63" s="562">
        <v>13</v>
      </c>
      <c r="K63" s="275"/>
      <c r="L63" s="275"/>
      <c r="M63" s="489">
        <f ca="1">IF('CDO Bespoke'!O64&lt;&gt;"",'CDO Bespoke'!O64,"")</f>
        <v>0.99095375896826399</v>
      </c>
      <c r="N63" s="490">
        <f ca="1">IF(M63&lt;&gt;"",ABS(MIN(-0.75*('CDO Bespoke'!Q64)+'CDO Bespoke'!T64,0)),"")</f>
        <v>1.0372162248218031</v>
      </c>
      <c r="O63" s="490">
        <f t="shared" ca="1" si="0"/>
        <v>0</v>
      </c>
      <c r="P63" s="490">
        <f t="shared" ca="1" si="1"/>
        <v>0</v>
      </c>
      <c r="Q63" s="489">
        <f ca="1">IF('CDO Bespoke'!O64&lt;&gt;"",'CDO Bespoke'!O64,"")</f>
        <v>0.99095375896826399</v>
      </c>
      <c r="R63" s="490">
        <f ca="1">IF(Q63&lt;&gt;"",ABS(MIN(-0.75*('CDO Bespoke'!K64)+'CDO Bespoke'!T64,0)),"")</f>
        <v>0.32704466462626652</v>
      </c>
      <c r="S63" s="490">
        <f t="shared" ca="1" si="2"/>
        <v>0.66390909434199741</v>
      </c>
      <c r="T63" s="494">
        <f t="shared" ca="1" si="3"/>
        <v>0</v>
      </c>
      <c r="U63" s="275"/>
      <c r="V63" s="499" t="str">
        <f ca="1">IF('CDO Bespoke'!C88&lt;&gt;"",'CDO Bespoke'!C88,"")</f>
        <v>Koninklijke Ahold Delhaize N.V.</v>
      </c>
      <c r="W63" s="501" cm="1">
        <f t="array" aca="1" ref="W63" ca="1">IF($V63&lt;&gt;"",-TRANSPOSE(INDEX(getcds('CDO Bespoke'!$C88,W$13,'CDO Bespoke'!$G88/10000,'CDO Bespoke'!F88,'CDO Bespoke'!$L64,'CDO Bespoke'!$C$13,'CDO Bespoke'!$C$14,'CDO Bespoke'!$C$15,'CDO Bespoke'!$C$8,,,TRUE,TRUE,FALSE,'CDO Bespoke'!$C$29:'CDO Bespoke'!$C$31,'CDO Bespoke'!$C$33),{5})),"")</f>
        <v>-0.25493737990502202</v>
      </c>
      <c r="X63" s="527" cm="1">
        <f t="array" aca="1" ref="X63" ca="1">IF($V63&lt;&gt;"",-TRANSPOSE(INDEX(getcds('CDO Bespoke'!$C88,X$13,'CDO Bespoke'!$G88/10000,'CDO Bespoke'!G88,'CDO Bespoke'!$L64,'CDO Bespoke'!$C$13,'CDO Bespoke'!$C$14,'CDO Bespoke'!$C$15,'CDO Bespoke'!$C$8,,,TRUE,TRUE,FALSE,'CDO Bespoke'!$C$29:'CDO Bespoke'!$C$31,'CDO Bespoke'!$C$33),{5})),"")</f>
        <v>-0.52608448686740505</v>
      </c>
      <c r="Y63" s="527" cm="1">
        <f t="array" aca="1" ref="Y63" ca="1">IF($V63&lt;&gt;"",-TRANSPOSE(INDEX(getcds('CDO Bespoke'!$C88,Y$13,'CDO Bespoke'!$G88/10000,'CDO Bespoke'!H88,'CDO Bespoke'!$L64,'CDO Bespoke'!$C$13,'CDO Bespoke'!$C$14,'CDO Bespoke'!$C$15,'CDO Bespoke'!$C$8,,,TRUE,TRUE,FALSE,'CDO Bespoke'!$C$29:'CDO Bespoke'!$C$31,'CDO Bespoke'!$C$33),{5})),"")</f>
        <v>-1.55259780635461</v>
      </c>
      <c r="Z63" s="527" cm="1">
        <f t="array" aca="1" ref="Z63" ca="1">IF($V63&lt;&gt;"",-TRANSPOSE(INDEX(getcds('CDO Bespoke'!$C88,Z$13,'CDO Bespoke'!$G88/10000,'CDO Bespoke'!I88,'CDO Bespoke'!$L64,'CDO Bespoke'!$C$13,'CDO Bespoke'!$C$14,'CDO Bespoke'!$C$15,'CDO Bespoke'!$C$8,,,TRUE,TRUE,FALSE,'CDO Bespoke'!$C$29:'CDO Bespoke'!$C$31,'CDO Bespoke'!$C$33),{5})),"")</f>
        <v>-2.3945844919692201</v>
      </c>
      <c r="AA63" s="502" cm="1">
        <f t="array" aca="1" ref="AA63" ca="1">IF($V63&lt;&gt;"",-TRANSPOSE(INDEX(getcds('CDO Bespoke'!$C88,AA$13,'CDO Bespoke'!$G88/10000,'CDO Bespoke'!J88,'CDO Bespoke'!$L64,'CDO Bespoke'!$C$13,'CDO Bespoke'!$C$14,'CDO Bespoke'!$C$15,'CDO Bespoke'!$C$8,,,TRUE,TRUE,FALSE,'CDO Bespoke'!$C$29:'CDO Bespoke'!$C$31,'CDO Bespoke'!$C$33),{5})),"")</f>
        <v>-4.2600672687459298</v>
      </c>
      <c r="AB63" s="481"/>
      <c r="AC63" s="517"/>
      <c r="AD63" s="518"/>
      <c r="AE63" s="518"/>
      <c r="AF63" s="518"/>
      <c r="AG63" s="518"/>
      <c r="AH63" s="518"/>
      <c r="AI63" s="518"/>
      <c r="AJ63" s="518"/>
      <c r="AK63" s="518"/>
      <c r="AL63" s="519"/>
      <c r="AM63" s="540"/>
    </row>
    <row r="64" spans="2:39" ht="12" thickBot="1">
      <c r="B64" s="563" t="s">
        <v>518</v>
      </c>
      <c r="C64" s="564" t="s">
        <v>66</v>
      </c>
      <c r="D64" s="564" t="s">
        <v>55</v>
      </c>
      <c r="E64" s="564" t="s">
        <v>663</v>
      </c>
      <c r="F64" s="564" t="s">
        <v>662</v>
      </c>
      <c r="G64" s="565">
        <v>0.01</v>
      </c>
      <c r="H64" s="565">
        <v>2.905E-3</v>
      </c>
      <c r="I64" s="566">
        <v>0.4</v>
      </c>
      <c r="J64" s="567">
        <v>14</v>
      </c>
      <c r="K64" s="275"/>
      <c r="L64" s="275"/>
      <c r="M64" s="489">
        <f ca="1">IF('CDO Bespoke'!O65&lt;&gt;"",'CDO Bespoke'!O65,"")</f>
        <v>1.0184876770940201</v>
      </c>
      <c r="N64" s="490">
        <f ca="1">IF(M64&lt;&gt;"",ABS(MIN(-0.75*('CDO Bespoke'!Q65)+'CDO Bespoke'!T65,0)),"")</f>
        <v>1.0115966519211959</v>
      </c>
      <c r="O64" s="490">
        <f t="shared" ca="1" si="0"/>
        <v>6.89102517282425E-3</v>
      </c>
      <c r="P64" s="490">
        <f t="shared" ca="1" si="1"/>
        <v>0</v>
      </c>
      <c r="Q64" s="489">
        <f ca="1">IF('CDO Bespoke'!O65&lt;&gt;"",'CDO Bespoke'!O65,"")</f>
        <v>1.0184876770940201</v>
      </c>
      <c r="R64" s="490">
        <f ca="1">IF(Q64&lt;&gt;"",ABS(MIN(-0.75*('CDO Bespoke'!K65)+'CDO Bespoke'!T65,0)),"")</f>
        <v>0.17586681789606365</v>
      </c>
      <c r="S64" s="490">
        <f t="shared" ca="1" si="2"/>
        <v>0.84262085919795648</v>
      </c>
      <c r="T64" s="494">
        <f t="shared" ca="1" si="3"/>
        <v>0</v>
      </c>
      <c r="U64" s="275"/>
      <c r="V64" s="499" t="str">
        <f ca="1">IF('CDO Bespoke'!C89&lt;&gt;"",'CDO Bespoke'!C89,"")</f>
        <v>Koninklijke Philips N.V.</v>
      </c>
      <c r="W64" s="501" cm="1">
        <f t="array" aca="1" ref="W64" ca="1">IF($V64&lt;&gt;"",-TRANSPOSE(INDEX(getcds('CDO Bespoke'!$C89,W$13,'CDO Bespoke'!$G89/10000,'CDO Bespoke'!F89,'CDO Bespoke'!$L65,'CDO Bespoke'!$C$13,'CDO Bespoke'!$C$14,'CDO Bespoke'!$C$15,'CDO Bespoke'!$C$8,,,TRUE,TRUE,FALSE,'CDO Bespoke'!$C$29:'CDO Bespoke'!$C$31,'CDO Bespoke'!$C$33),{5})),"")</f>
        <v>-9.3940536969343194E-2</v>
      </c>
      <c r="X64" s="527" cm="1">
        <f t="array" aca="1" ref="X64" ca="1">IF($V64&lt;&gt;"",-TRANSPOSE(INDEX(getcds('CDO Bespoke'!$C89,X$13,'CDO Bespoke'!$G89/10000,'CDO Bespoke'!G89,'CDO Bespoke'!$L65,'CDO Bespoke'!$C$13,'CDO Bespoke'!$C$14,'CDO Bespoke'!$C$15,'CDO Bespoke'!$C$8,,,TRUE,TRUE,FALSE,'CDO Bespoke'!$C$29:'CDO Bespoke'!$C$31,'CDO Bespoke'!$C$33),{5})),"")</f>
        <v>-0.193750571843092</v>
      </c>
      <c r="Y64" s="527" cm="1">
        <f t="array" aca="1" ref="Y64" ca="1">IF($V64&lt;&gt;"",-TRANSPOSE(INDEX(getcds('CDO Bespoke'!$C89,Y$13,'CDO Bespoke'!$G89/10000,'CDO Bespoke'!H89,'CDO Bespoke'!$L65,'CDO Bespoke'!$C$13,'CDO Bespoke'!$C$14,'CDO Bespoke'!$C$15,'CDO Bespoke'!$C$8,,,TRUE,TRUE,FALSE,'CDO Bespoke'!$C$29:'CDO Bespoke'!$C$31,'CDO Bespoke'!$C$33),{5})),"")</f>
        <v>-0.57060659738751096</v>
      </c>
      <c r="Z64" s="527" cm="1">
        <f t="array" aca="1" ref="Z64" ca="1">IF($V64&lt;&gt;"",-TRANSPOSE(INDEX(getcds('CDO Bespoke'!$C89,Z$13,'CDO Bespoke'!$G89/10000,'CDO Bespoke'!I89,'CDO Bespoke'!$L65,'CDO Bespoke'!$C$13,'CDO Bespoke'!$C$14,'CDO Bespoke'!$C$15,'CDO Bespoke'!$C$8,,,TRUE,TRUE,FALSE,'CDO Bespoke'!$C$29:'CDO Bespoke'!$C$31,'CDO Bespoke'!$C$33),{5})),"")</f>
        <v>-0.91101264839434404</v>
      </c>
      <c r="AA64" s="502" cm="1">
        <f t="array" aca="1" ref="AA64" ca="1">IF($V64&lt;&gt;"",-TRANSPOSE(INDEX(getcds('CDO Bespoke'!$C89,AA$13,'CDO Bespoke'!$G89/10000,'CDO Bespoke'!J89,'CDO Bespoke'!$L65,'CDO Bespoke'!$C$13,'CDO Bespoke'!$C$14,'CDO Bespoke'!$C$15,'CDO Bespoke'!$C$8,,,TRUE,TRUE,FALSE,'CDO Bespoke'!$C$29:'CDO Bespoke'!$C$31,'CDO Bespoke'!$C$33),{5})),"")</f>
        <v>-1.6358707794671501</v>
      </c>
      <c r="AB64" s="481"/>
      <c r="AC64" s="517"/>
      <c r="AD64" s="518"/>
      <c r="AE64" s="518"/>
      <c r="AF64" s="518"/>
      <c r="AG64" s="518"/>
      <c r="AH64" s="518"/>
      <c r="AI64" s="518"/>
      <c r="AJ64" s="518"/>
      <c r="AK64" s="518"/>
      <c r="AL64" s="519"/>
      <c r="AM64" s="540"/>
    </row>
    <row r="65" spans="2:39" ht="12" thickBot="1">
      <c r="B65" s="541" t="s">
        <v>518</v>
      </c>
      <c r="C65" s="542" t="s">
        <v>66</v>
      </c>
      <c r="D65" s="542" t="s">
        <v>57</v>
      </c>
      <c r="E65" s="542" t="s">
        <v>663</v>
      </c>
      <c r="F65" s="542" t="s">
        <v>662</v>
      </c>
      <c r="G65" s="549">
        <v>0.01</v>
      </c>
      <c r="H65" s="549">
        <v>4.709E-2</v>
      </c>
      <c r="I65" s="551">
        <v>0.4</v>
      </c>
      <c r="J65" s="543">
        <v>14</v>
      </c>
      <c r="K65" s="275"/>
      <c r="L65" s="275"/>
      <c r="M65" s="489">
        <f ca="1">IF('CDO Bespoke'!O66&lt;&gt;"",'CDO Bespoke'!O66,"")</f>
        <v>1.0138584919663101</v>
      </c>
      <c r="N65" s="490">
        <f ca="1">IF(M65&lt;&gt;"",ABS(MIN(-0.75*('CDO Bespoke'!Q66)+'CDO Bespoke'!T66,0)),"")</f>
        <v>1.0174652192418845</v>
      </c>
      <c r="O65" s="490">
        <f t="shared" ca="1" si="0"/>
        <v>0</v>
      </c>
      <c r="P65" s="490">
        <f t="shared" ca="1" si="1"/>
        <v>0</v>
      </c>
      <c r="Q65" s="489">
        <f ca="1">IF('CDO Bespoke'!O66&lt;&gt;"",'CDO Bespoke'!O66,"")</f>
        <v>1.0138584919663101</v>
      </c>
      <c r="R65" s="490">
        <f ca="1">IF(Q65&lt;&gt;"",ABS(MIN(-0.75*('CDO Bespoke'!K66)+'CDO Bespoke'!T66,0)),"")</f>
        <v>0.24672191120243697</v>
      </c>
      <c r="S65" s="490">
        <f t="shared" ca="1" si="2"/>
        <v>0.76713658076387303</v>
      </c>
      <c r="T65" s="494">
        <f t="shared" ca="1" si="3"/>
        <v>0</v>
      </c>
      <c r="U65" s="275"/>
      <c r="V65" s="499" t="str">
        <f ca="1">IF('CDO Bespoke'!C90&lt;&gt;"",'CDO Bespoke'!C90,"")</f>
        <v>Louis Dreyfus Company B.V.</v>
      </c>
      <c r="W65" s="501" cm="1">
        <f t="array" aca="1" ref="W65" ca="1">IF($V65&lt;&gt;"",-TRANSPOSE(INDEX(getcds('CDO Bespoke'!$C90,W$13,'CDO Bespoke'!$G90/10000,'CDO Bespoke'!F90,'CDO Bespoke'!$L66,'CDO Bespoke'!$C$13,'CDO Bespoke'!$C$14,'CDO Bespoke'!$C$15,'CDO Bespoke'!$C$8,,,TRUE,TRUE,FALSE,'CDO Bespoke'!$C$29:'CDO Bespoke'!$C$31,'CDO Bespoke'!$C$33),{5})),"")</f>
        <v>-0.15589147777069801</v>
      </c>
      <c r="X65" s="527" cm="1">
        <f t="array" aca="1" ref="X65" ca="1">IF($V65&lt;&gt;"",-TRANSPOSE(INDEX(getcds('CDO Bespoke'!$C90,X$13,'CDO Bespoke'!$G90/10000,'CDO Bespoke'!G90,'CDO Bespoke'!$L66,'CDO Bespoke'!$C$13,'CDO Bespoke'!$C$14,'CDO Bespoke'!$C$15,'CDO Bespoke'!$C$8,,,TRUE,TRUE,FALSE,'CDO Bespoke'!$C$29:'CDO Bespoke'!$C$31,'CDO Bespoke'!$C$33),{5})),"")</f>
        <v>-0.32103756626468599</v>
      </c>
      <c r="Y65" s="527" cm="1">
        <f t="array" aca="1" ref="Y65" ca="1">IF($V65&lt;&gt;"",-TRANSPOSE(INDEX(getcds('CDO Bespoke'!$C90,Y$13,'CDO Bespoke'!$G90/10000,'CDO Bespoke'!H90,'CDO Bespoke'!$L66,'CDO Bespoke'!$C$13,'CDO Bespoke'!$C$14,'CDO Bespoke'!$C$15,'CDO Bespoke'!$C$8,,,TRUE,TRUE,FALSE,'CDO Bespoke'!$C$29:'CDO Bespoke'!$C$31,'CDO Bespoke'!$C$33),{5})),"")</f>
        <v>-0.93989745508710598</v>
      </c>
      <c r="Z65" s="527" cm="1">
        <f t="array" aca="1" ref="Z65" ca="1">IF($V65&lt;&gt;"",-TRANSPOSE(INDEX(getcds('CDO Bespoke'!$C90,Z$13,'CDO Bespoke'!$G90/10000,'CDO Bespoke'!I90,'CDO Bespoke'!$L66,'CDO Bespoke'!$C$13,'CDO Bespoke'!$C$14,'CDO Bespoke'!$C$15,'CDO Bespoke'!$C$8,,,TRUE,TRUE,FALSE,'CDO Bespoke'!$C$29:'CDO Bespoke'!$C$31,'CDO Bespoke'!$C$33),{5})),"")</f>
        <v>-1.4857359000213199</v>
      </c>
      <c r="AA65" s="502" cm="1">
        <f t="array" aca="1" ref="AA65" ca="1">IF($V65&lt;&gt;"",-TRANSPOSE(INDEX(getcds('CDO Bespoke'!$C90,AA$13,'CDO Bespoke'!$G90/10000,'CDO Bespoke'!J90,'CDO Bespoke'!$L66,'CDO Bespoke'!$C$13,'CDO Bespoke'!$C$14,'CDO Bespoke'!$C$15,'CDO Bespoke'!$C$8,,,TRUE,TRUE,FALSE,'CDO Bespoke'!$C$29:'CDO Bespoke'!$C$31,'CDO Bespoke'!$C$33),{5})),"")</f>
        <v>-2.6443515550282899</v>
      </c>
      <c r="AB65" s="481"/>
      <c r="AC65" s="517"/>
      <c r="AD65" s="518"/>
      <c r="AE65" s="518"/>
      <c r="AF65" s="518"/>
      <c r="AG65" s="518"/>
      <c r="AH65" s="518"/>
      <c r="AI65" s="518"/>
      <c r="AJ65" s="518"/>
      <c r="AK65" s="518"/>
      <c r="AL65" s="519"/>
      <c r="AM65" s="540"/>
    </row>
    <row r="66" spans="2:39" ht="12" thickBot="1">
      <c r="B66" s="558" t="s">
        <v>518</v>
      </c>
      <c r="C66" s="559" t="s">
        <v>66</v>
      </c>
      <c r="D66" s="559" t="s">
        <v>59</v>
      </c>
      <c r="E66" s="559" t="s">
        <v>663</v>
      </c>
      <c r="F66" s="559" t="s">
        <v>662</v>
      </c>
      <c r="G66" s="560">
        <v>0.01</v>
      </c>
      <c r="H66" s="560">
        <v>6.6230000000000004E-3</v>
      </c>
      <c r="I66" s="561">
        <v>0.4</v>
      </c>
      <c r="J66" s="562">
        <v>14</v>
      </c>
      <c r="K66" s="275"/>
      <c r="L66" s="275"/>
      <c r="M66" s="489">
        <f ca="1">IF('CDO Bespoke'!O67&lt;&gt;"",'CDO Bespoke'!O67,"")</f>
        <v>1.0192958974422801</v>
      </c>
      <c r="N66" s="490">
        <f ca="1">IF(M66&lt;&gt;"",ABS(MIN(-0.75*('CDO Bespoke'!Q67)+'CDO Bespoke'!T67,0)),"")</f>
        <v>1.0099902666024179</v>
      </c>
      <c r="O66" s="490">
        <f t="shared" ca="1" si="0"/>
        <v>9.3056308398622445E-3</v>
      </c>
      <c r="P66" s="490">
        <f t="shared" ca="1" si="1"/>
        <v>0</v>
      </c>
      <c r="Q66" s="489">
        <f ca="1">IF('CDO Bespoke'!O67&lt;&gt;"",'CDO Bespoke'!O67,"")</f>
        <v>1.0192958974422801</v>
      </c>
      <c r="R66" s="490">
        <f ca="1">IF(Q66&lt;&gt;"",ABS(MIN(-0.75*('CDO Bespoke'!K67)+'CDO Bespoke'!T67,0)),"")</f>
        <v>0.1456299100421114</v>
      </c>
      <c r="S66" s="490">
        <f t="shared" ca="1" si="2"/>
        <v>0.87366598740016865</v>
      </c>
      <c r="T66" s="494">
        <f t="shared" ca="1" si="3"/>
        <v>0</v>
      </c>
      <c r="U66" s="275"/>
      <c r="V66" s="499" t="str">
        <f ca="1">IF('CDO Bespoke'!C91&lt;&gt;"",'CDO Bespoke'!C91,"")</f>
        <v>LVMH MOET HENNESSY LOUIS VUITTON</v>
      </c>
      <c r="W66" s="501" cm="1">
        <f t="array" aca="1" ref="W66" ca="1">IF($V66&lt;&gt;"",-TRANSPOSE(INDEX(getcds('CDO Bespoke'!$C91,W$13,'CDO Bespoke'!$G91/10000,'CDO Bespoke'!F91,'CDO Bespoke'!$L67,'CDO Bespoke'!$C$13,'CDO Bespoke'!$C$14,'CDO Bespoke'!$C$15,'CDO Bespoke'!$C$8,,,TRUE,TRUE,FALSE,'CDO Bespoke'!$C$29:'CDO Bespoke'!$C$31,'CDO Bespoke'!$C$33),{5})),"")</f>
        <v>-7.0173791349779399E-2</v>
      </c>
      <c r="X66" s="527" cm="1">
        <f t="array" aca="1" ref="X66" ca="1">IF($V66&lt;&gt;"",-TRANSPOSE(INDEX(getcds('CDO Bespoke'!$C91,X$13,'CDO Bespoke'!$G91/10000,'CDO Bespoke'!G91,'CDO Bespoke'!$L67,'CDO Bespoke'!$C$13,'CDO Bespoke'!$C$14,'CDO Bespoke'!$C$15,'CDO Bespoke'!$C$8,,,TRUE,TRUE,FALSE,'CDO Bespoke'!$C$29:'CDO Bespoke'!$C$31,'CDO Bespoke'!$C$33),{5})),"")</f>
        <v>-0.14481294202640799</v>
      </c>
      <c r="Y66" s="527" cm="1">
        <f t="array" aca="1" ref="Y66" ca="1">IF($V66&lt;&gt;"",-TRANSPOSE(INDEX(getcds('CDO Bespoke'!$C91,Y$13,'CDO Bespoke'!$G91/10000,'CDO Bespoke'!H91,'CDO Bespoke'!$L67,'CDO Bespoke'!$C$13,'CDO Bespoke'!$C$14,'CDO Bespoke'!$C$15,'CDO Bespoke'!$C$8,,,TRUE,TRUE,FALSE,'CDO Bespoke'!$C$29:'CDO Bespoke'!$C$31,'CDO Bespoke'!$C$33),{5})),"")</f>
        <v>-0.42741707881601099</v>
      </c>
      <c r="Z66" s="527" cm="1">
        <f t="array" aca="1" ref="Z66" ca="1">IF($V66&lt;&gt;"",-TRANSPOSE(INDEX(getcds('CDO Bespoke'!$C91,Z$13,'CDO Bespoke'!$G91/10000,'CDO Bespoke'!I91,'CDO Bespoke'!$L67,'CDO Bespoke'!$C$13,'CDO Bespoke'!$C$14,'CDO Bespoke'!$C$15,'CDO Bespoke'!$C$8,,,TRUE,TRUE,FALSE,'CDO Bespoke'!$C$29:'CDO Bespoke'!$C$31,'CDO Bespoke'!$C$33),{5})),"")</f>
        <v>-0.68433629873258495</v>
      </c>
      <c r="AA66" s="502" cm="1">
        <f t="array" aca="1" ref="AA66" ca="1">IF($V66&lt;&gt;"",-TRANSPOSE(INDEX(getcds('CDO Bespoke'!$C91,AA$13,'CDO Bespoke'!$G91/10000,'CDO Bespoke'!J91,'CDO Bespoke'!$L67,'CDO Bespoke'!$C$13,'CDO Bespoke'!$C$14,'CDO Bespoke'!$C$15,'CDO Bespoke'!$C$8,,,TRUE,TRUE,FALSE,'CDO Bespoke'!$C$29:'CDO Bespoke'!$C$31,'CDO Bespoke'!$C$33),{5})),"")</f>
        <v>-1.2317193657398999</v>
      </c>
      <c r="AB66" s="481"/>
      <c r="AC66" s="517"/>
      <c r="AD66" s="518"/>
      <c r="AE66" s="518"/>
      <c r="AF66" s="518"/>
      <c r="AG66" s="518"/>
      <c r="AH66" s="518"/>
      <c r="AI66" s="518"/>
      <c r="AJ66" s="518"/>
      <c r="AK66" s="518"/>
      <c r="AL66" s="519"/>
      <c r="AM66" s="540"/>
    </row>
    <row r="67" spans="2:39" ht="12" thickBot="1">
      <c r="B67" s="563" t="s">
        <v>519</v>
      </c>
      <c r="C67" s="564" t="s">
        <v>66</v>
      </c>
      <c r="D67" s="564" t="s">
        <v>55</v>
      </c>
      <c r="E67" s="564" t="s">
        <v>663</v>
      </c>
      <c r="F67" s="564" t="s">
        <v>666</v>
      </c>
      <c r="G67" s="565">
        <v>0.01</v>
      </c>
      <c r="H67" s="565">
        <v>5.1570000000000001E-3</v>
      </c>
      <c r="I67" s="566">
        <v>0.4</v>
      </c>
      <c r="J67" s="567">
        <v>15</v>
      </c>
      <c r="K67" s="275"/>
      <c r="L67" s="275"/>
      <c r="M67" s="489">
        <f ca="1">IF('CDO Bespoke'!O68&lt;&gt;"",'CDO Bespoke'!O68,"")</f>
        <v>1.0193638037616399</v>
      </c>
      <c r="N67" s="490">
        <f ca="1">IF(M67&lt;&gt;"",ABS(MIN(-0.75*('CDO Bespoke'!Q68)+'CDO Bespoke'!T68,0)),"")</f>
        <v>1.009658782579901</v>
      </c>
      <c r="O67" s="490">
        <f t="shared" ca="1" si="0"/>
        <v>9.7050211817388821E-3</v>
      </c>
      <c r="P67" s="490">
        <f t="shared" ca="1" si="1"/>
        <v>0</v>
      </c>
      <c r="Q67" s="489">
        <f ca="1">IF('CDO Bespoke'!O68&lt;&gt;"",'CDO Bespoke'!O68,"")</f>
        <v>1.0193638037616399</v>
      </c>
      <c r="R67" s="490">
        <f ca="1">IF(Q67&lt;&gt;"",ABS(MIN(-0.75*('CDO Bespoke'!K68)+'CDO Bespoke'!T68,0)),"")</f>
        <v>0.14117028634751375</v>
      </c>
      <c r="S67" s="490">
        <f t="shared" ca="1" si="2"/>
        <v>0.87819351741412621</v>
      </c>
      <c r="T67" s="494">
        <f t="shared" ca="1" si="3"/>
        <v>0</v>
      </c>
      <c r="U67" s="275"/>
      <c r="V67" s="499" t="str">
        <f ca="1">IF('CDO Bespoke'!C92&lt;&gt;"",'CDO Bespoke'!C92,"")</f>
        <v>Nestle S.A.</v>
      </c>
      <c r="W67" s="501" cm="1">
        <f t="array" aca="1" ref="W67" ca="1">IF($V67&lt;&gt;"",-TRANSPOSE(INDEX(getcds('CDO Bespoke'!$C92,W$13,'CDO Bespoke'!$G92/10000,'CDO Bespoke'!F92,'CDO Bespoke'!$L68,'CDO Bespoke'!$C$13,'CDO Bespoke'!$C$14,'CDO Bespoke'!$C$15,'CDO Bespoke'!$C$8,,,TRUE,TRUE,FALSE,'CDO Bespoke'!$C$29:'CDO Bespoke'!$C$31,'CDO Bespoke'!$C$33),{5})),"")</f>
        <v>-6.6498453319288095E-2</v>
      </c>
      <c r="X67" s="527" cm="1">
        <f t="array" aca="1" ref="X67" ca="1">IF($V67&lt;&gt;"",-TRANSPOSE(INDEX(getcds('CDO Bespoke'!$C92,X$13,'CDO Bespoke'!$G92/10000,'CDO Bespoke'!G92,'CDO Bespoke'!$L68,'CDO Bespoke'!$C$13,'CDO Bespoke'!$C$14,'CDO Bespoke'!$C$15,'CDO Bespoke'!$C$8,,,TRUE,TRUE,FALSE,'CDO Bespoke'!$C$29:'CDO Bespoke'!$C$31,'CDO Bespoke'!$C$33),{5})),"")</f>
        <v>-0.13721990478226401</v>
      </c>
      <c r="Y67" s="527" cm="1">
        <f t="array" aca="1" ref="Y67" ca="1">IF($V67&lt;&gt;"",-TRANSPOSE(INDEX(getcds('CDO Bespoke'!$C92,Y$13,'CDO Bespoke'!$G92/10000,'CDO Bespoke'!H92,'CDO Bespoke'!$L68,'CDO Bespoke'!$C$13,'CDO Bespoke'!$C$14,'CDO Bespoke'!$C$15,'CDO Bespoke'!$C$8,,,TRUE,TRUE,FALSE,'CDO Bespoke'!$C$29:'CDO Bespoke'!$C$31,'CDO Bespoke'!$C$33),{5})),"")</f>
        <v>-0.40490787960666902</v>
      </c>
      <c r="Z67" s="527" cm="1">
        <f t="array" aca="1" ref="Z67" ca="1">IF($V67&lt;&gt;"",-TRANSPOSE(INDEX(getcds('CDO Bespoke'!$C92,Z$13,'CDO Bespoke'!$G92/10000,'CDO Bespoke'!I92,'CDO Bespoke'!$L68,'CDO Bespoke'!$C$13,'CDO Bespoke'!$C$14,'CDO Bespoke'!$C$15,'CDO Bespoke'!$C$8,,,TRUE,TRUE,FALSE,'CDO Bespoke'!$C$29:'CDO Bespoke'!$C$31,'CDO Bespoke'!$C$33),{5})),"")</f>
        <v>-0.64856528659725399</v>
      </c>
      <c r="AA67" s="502" cm="1">
        <f t="array" aca="1" ref="AA67" ca="1">IF($V67&lt;&gt;"",-TRANSPOSE(INDEX(getcds('CDO Bespoke'!$C92,AA$13,'CDO Bespoke'!$G92/10000,'CDO Bespoke'!J92,'CDO Bespoke'!$L68,'CDO Bespoke'!$C$13,'CDO Bespoke'!$C$14,'CDO Bespoke'!$C$15,'CDO Bespoke'!$C$8,,,TRUE,TRUE,FALSE,'CDO Bespoke'!$C$29:'CDO Bespoke'!$C$31,'CDO Bespoke'!$C$33),{5})),"")</f>
        <v>-1.16849091873515</v>
      </c>
      <c r="AB67" s="481"/>
      <c r="AC67" s="517"/>
      <c r="AD67" s="518"/>
      <c r="AE67" s="518"/>
      <c r="AF67" s="518"/>
      <c r="AG67" s="518"/>
      <c r="AH67" s="518"/>
      <c r="AI67" s="518"/>
      <c r="AJ67" s="518"/>
      <c r="AK67" s="518"/>
      <c r="AL67" s="519"/>
      <c r="AM67" s="540"/>
    </row>
    <row r="68" spans="2:39" ht="12" thickBot="1">
      <c r="B68" s="541" t="s">
        <v>519</v>
      </c>
      <c r="C68" s="542" t="s">
        <v>66</v>
      </c>
      <c r="D68" s="542" t="s">
        <v>57</v>
      </c>
      <c r="E68" s="542" t="s">
        <v>663</v>
      </c>
      <c r="F68" s="542" t="s">
        <v>666</v>
      </c>
      <c r="G68" s="549">
        <v>0.01</v>
      </c>
      <c r="H68" s="549">
        <v>9.7490000000000007E-3</v>
      </c>
      <c r="I68" s="551">
        <v>0.4</v>
      </c>
      <c r="J68" s="543">
        <v>15</v>
      </c>
      <c r="K68" s="275"/>
      <c r="L68" s="275"/>
      <c r="M68" s="489">
        <f ca="1">IF('CDO Bespoke'!O69&lt;&gt;"",'CDO Bespoke'!O69,"")</f>
        <v>1.0186388029629001</v>
      </c>
      <c r="N68" s="490">
        <f ca="1">IF(M68&lt;&gt;"",ABS(MIN(-0.75*('CDO Bespoke'!Q69)+'CDO Bespoke'!T69,0)),"")</f>
        <v>1.0115974340970624</v>
      </c>
      <c r="O68" s="490">
        <f t="shared" ca="1" si="0"/>
        <v>7.0413688658377271E-3</v>
      </c>
      <c r="P68" s="490">
        <f t="shared" ca="1" si="1"/>
        <v>0</v>
      </c>
      <c r="Q68" s="489">
        <f ca="1">IF('CDO Bespoke'!O69&lt;&gt;"",'CDO Bespoke'!O69,"")</f>
        <v>1.0186388029629001</v>
      </c>
      <c r="R68" s="490">
        <f ca="1">IF(Q68&lt;&gt;"",ABS(MIN(-0.75*('CDO Bespoke'!K69)+'CDO Bespoke'!T69,0)),"")</f>
        <v>0.17198633792345039</v>
      </c>
      <c r="S68" s="490">
        <f t="shared" ca="1" si="2"/>
        <v>0.84665246503944969</v>
      </c>
      <c r="T68" s="494">
        <f t="shared" ca="1" si="3"/>
        <v>0</v>
      </c>
      <c r="U68" s="275"/>
      <c r="V68" s="499" t="str">
        <f ca="1">IF('CDO Bespoke'!C93&lt;&gt;"",'CDO Bespoke'!C93,"")</f>
        <v>NEXT PLC</v>
      </c>
      <c r="W68" s="501" cm="1">
        <f t="array" aca="1" ref="W68" ca="1">IF($V68&lt;&gt;"",-TRANSPOSE(INDEX(getcds('CDO Bespoke'!$C93,W$13,'CDO Bespoke'!$G93/10000,'CDO Bespoke'!F93,'CDO Bespoke'!$L69,'CDO Bespoke'!$C$13,'CDO Bespoke'!$C$14,'CDO Bespoke'!$C$15,'CDO Bespoke'!$C$8,,,TRUE,TRUE,FALSE,'CDO Bespoke'!$C$29:'CDO Bespoke'!$C$31,'CDO Bespoke'!$C$33),{5})),"")</f>
        <v>-9.1291813567268301E-2</v>
      </c>
      <c r="X68" s="527" cm="1">
        <f t="array" aca="1" ref="X68" ca="1">IF($V68&lt;&gt;"",-TRANSPOSE(INDEX(getcds('CDO Bespoke'!$C93,X$13,'CDO Bespoke'!$G93/10000,'CDO Bespoke'!G93,'CDO Bespoke'!$L69,'CDO Bespoke'!$C$13,'CDO Bespoke'!$C$14,'CDO Bespoke'!$C$15,'CDO Bespoke'!$C$8,,,TRUE,TRUE,FALSE,'CDO Bespoke'!$C$29:'CDO Bespoke'!$C$31,'CDO Bespoke'!$C$33),{5})),"")</f>
        <v>-0.18834977464115901</v>
      </c>
      <c r="Y68" s="527" cm="1">
        <f t="array" aca="1" ref="Y68" ca="1">IF($V68&lt;&gt;"",-TRANSPOSE(INDEX(getcds('CDO Bespoke'!$C93,Y$13,'CDO Bespoke'!$G93/10000,'CDO Bespoke'!H93,'CDO Bespoke'!$L69,'CDO Bespoke'!$C$13,'CDO Bespoke'!$C$14,'CDO Bespoke'!$C$15,'CDO Bespoke'!$C$8,,,TRUE,TRUE,FALSE,'CDO Bespoke'!$C$29:'CDO Bespoke'!$C$31,'CDO Bespoke'!$C$33),{5})),"")</f>
        <v>-0.55541894375143797</v>
      </c>
      <c r="Z68" s="527" cm="1">
        <f t="array" aca="1" ref="Z68" ca="1">IF($V68&lt;&gt;"",-TRANSPOSE(INDEX(getcds('CDO Bespoke'!$C93,Z$13,'CDO Bespoke'!$G93/10000,'CDO Bespoke'!I93,'CDO Bespoke'!$L69,'CDO Bespoke'!$C$13,'CDO Bespoke'!$C$14,'CDO Bespoke'!$C$15,'CDO Bespoke'!$C$8,,,TRUE,TRUE,FALSE,'CDO Bespoke'!$C$29:'CDO Bespoke'!$C$31,'CDO Bespoke'!$C$33),{5})),"")</f>
        <v>-0.88705069257053903</v>
      </c>
      <c r="AA68" s="502" cm="1">
        <f t="array" aca="1" ref="AA68" ca="1">IF($V68&lt;&gt;"",-TRANSPOSE(INDEX(getcds('CDO Bespoke'!$C93,AA$13,'CDO Bespoke'!$G93/10000,'CDO Bespoke'!J93,'CDO Bespoke'!$L69,'CDO Bespoke'!$C$13,'CDO Bespoke'!$C$14,'CDO Bespoke'!$C$15,'CDO Bespoke'!$C$8,,,TRUE,TRUE,FALSE,'CDO Bespoke'!$C$29:'CDO Bespoke'!$C$31,'CDO Bespoke'!$C$33),{5})),"")</f>
        <v>-1.5895641561145</v>
      </c>
      <c r="AB68" s="481"/>
      <c r="AC68" s="517"/>
      <c r="AD68" s="518"/>
      <c r="AE68" s="518"/>
      <c r="AF68" s="518"/>
      <c r="AG68" s="518"/>
      <c r="AH68" s="518"/>
      <c r="AI68" s="518"/>
      <c r="AJ68" s="518"/>
      <c r="AK68" s="518"/>
      <c r="AL68" s="519"/>
      <c r="AM68" s="540"/>
    </row>
    <row r="69" spans="2:39" ht="12" thickBot="1">
      <c r="B69" s="558" t="s">
        <v>519</v>
      </c>
      <c r="C69" s="559" t="s">
        <v>66</v>
      </c>
      <c r="D69" s="559" t="s">
        <v>59</v>
      </c>
      <c r="E69" s="559" t="s">
        <v>663</v>
      </c>
      <c r="F69" s="559" t="s">
        <v>666</v>
      </c>
      <c r="G69" s="560">
        <v>0.01</v>
      </c>
      <c r="H69" s="560">
        <v>1.2806E-2</v>
      </c>
      <c r="I69" s="561">
        <v>0.4</v>
      </c>
      <c r="J69" s="562">
        <v>15</v>
      </c>
      <c r="K69" s="275"/>
      <c r="L69" s="275"/>
      <c r="M69" s="489">
        <f ca="1">IF('CDO Bespoke'!O70&lt;&gt;"",'CDO Bespoke'!O70,"")</f>
        <v>1.01904563944334</v>
      </c>
      <c r="N69" s="490">
        <f ca="1">IF(M69&lt;&gt;"",ABS(MIN(-0.75*('CDO Bespoke'!Q70)+'CDO Bespoke'!T70,0)),"")</f>
        <v>1.0105460379415099</v>
      </c>
      <c r="O69" s="490">
        <f t="shared" ca="1" si="0"/>
        <v>8.4996015018301563E-3</v>
      </c>
      <c r="P69" s="490">
        <f t="shared" ca="1" si="1"/>
        <v>0</v>
      </c>
      <c r="Q69" s="489">
        <f ca="1">IF('CDO Bespoke'!O70&lt;&gt;"",'CDO Bespoke'!O70,"")</f>
        <v>1.01904563944334</v>
      </c>
      <c r="R69" s="490">
        <f ca="1">IF(Q69&lt;&gt;"",ABS(MIN(-0.75*('CDO Bespoke'!K70)+'CDO Bespoke'!T70,0)),"")</f>
        <v>0.15706747949429076</v>
      </c>
      <c r="S69" s="490">
        <f t="shared" ca="1" si="2"/>
        <v>0.86197815994904925</v>
      </c>
      <c r="T69" s="494">
        <f t="shared" ca="1" si="3"/>
        <v>0</v>
      </c>
      <c r="U69" s="275"/>
      <c r="V69" s="499" t="str">
        <f ca="1">IF('CDO Bespoke'!C94&lt;&gt;"",'CDO Bespoke'!C94,"")</f>
        <v>PERNOD RICARD</v>
      </c>
      <c r="W69" s="501" cm="1">
        <f t="array" aca="1" ref="W69" ca="1">IF($V69&lt;&gt;"",-TRANSPOSE(INDEX(getcds('CDO Bespoke'!$C94,W$13,'CDO Bespoke'!$G94/10000,'CDO Bespoke'!F94,'CDO Bespoke'!$L70,'CDO Bespoke'!$C$13,'CDO Bespoke'!$C$14,'CDO Bespoke'!$C$15,'CDO Bespoke'!$C$8,,,TRUE,TRUE,FALSE,'CDO Bespoke'!$C$29:'CDO Bespoke'!$C$31,'CDO Bespoke'!$C$33),{5})),"")</f>
        <v>-7.8990241335744102E-2</v>
      </c>
      <c r="X69" s="527" cm="1">
        <f t="array" aca="1" ref="X69" ca="1">IF($V69&lt;&gt;"",-TRANSPOSE(INDEX(getcds('CDO Bespoke'!$C94,X$13,'CDO Bespoke'!$G94/10000,'CDO Bespoke'!G94,'CDO Bespoke'!$L70,'CDO Bespoke'!$C$13,'CDO Bespoke'!$C$14,'CDO Bespoke'!$C$15,'CDO Bespoke'!$C$8,,,TRUE,TRUE,FALSE,'CDO Bespoke'!$C$29:'CDO Bespoke'!$C$31,'CDO Bespoke'!$C$33),{5})),"")</f>
        <v>-0.162974107005561</v>
      </c>
      <c r="Y69" s="527" cm="1">
        <f t="array" aca="1" ref="Y69" ca="1">IF($V69&lt;&gt;"",-TRANSPOSE(INDEX(getcds('CDO Bespoke'!$C94,Y$13,'CDO Bespoke'!$G94/10000,'CDO Bespoke'!H94,'CDO Bespoke'!$L70,'CDO Bespoke'!$C$13,'CDO Bespoke'!$C$14,'CDO Bespoke'!$C$15,'CDO Bespoke'!$C$8,,,TRUE,TRUE,FALSE,'CDO Bespoke'!$C$29:'CDO Bespoke'!$C$31,'CDO Bespoke'!$C$33),{5})),"")</f>
        <v>-0.48064104117677298</v>
      </c>
      <c r="Z69" s="527" cm="1">
        <f t="array" aca="1" ref="Z69" ca="1">IF($V69&lt;&gt;"",-TRANSPOSE(INDEX(getcds('CDO Bespoke'!$C94,Z$13,'CDO Bespoke'!$G94/10000,'CDO Bespoke'!I94,'CDO Bespoke'!$L70,'CDO Bespoke'!$C$13,'CDO Bespoke'!$C$14,'CDO Bespoke'!$C$15,'CDO Bespoke'!$C$8,,,TRUE,TRUE,FALSE,'CDO Bespoke'!$C$29:'CDO Bespoke'!$C$31,'CDO Bespoke'!$C$33),{5})),"")</f>
        <v>-0.76879948573582702</v>
      </c>
      <c r="AA69" s="502" cm="1">
        <f t="array" aca="1" ref="AA69" ca="1">IF($V69&lt;&gt;"",-TRANSPOSE(INDEX(getcds('CDO Bespoke'!$C94,AA$13,'CDO Bespoke'!$G94/10000,'CDO Bespoke'!J94,'CDO Bespoke'!$L70,'CDO Bespoke'!$C$13,'CDO Bespoke'!$C$14,'CDO Bespoke'!$C$15,'CDO Bespoke'!$C$8,,,TRUE,TRUE,FALSE,'CDO Bespoke'!$C$29:'CDO Bespoke'!$C$31,'CDO Bespoke'!$C$33),{5})),"")</f>
        <v>-1.3828019535145999</v>
      </c>
      <c r="AB69" s="481"/>
      <c r="AC69" s="517"/>
      <c r="AD69" s="518"/>
      <c r="AE69" s="518"/>
      <c r="AF69" s="518"/>
      <c r="AG69" s="518"/>
      <c r="AH69" s="518"/>
      <c r="AI69" s="518"/>
      <c r="AJ69" s="518"/>
      <c r="AK69" s="518"/>
      <c r="AL69" s="519"/>
      <c r="AM69" s="540"/>
    </row>
    <row r="70" spans="2:39" ht="12" thickBot="1">
      <c r="B70" s="563" t="s">
        <v>535</v>
      </c>
      <c r="C70" s="564" t="s">
        <v>66</v>
      </c>
      <c r="D70" s="564" t="s">
        <v>55</v>
      </c>
      <c r="E70" s="564" t="s">
        <v>663</v>
      </c>
      <c r="F70" s="564" t="s">
        <v>664</v>
      </c>
      <c r="G70" s="565">
        <v>0.01</v>
      </c>
      <c r="H70" s="565">
        <v>5.1190000000000003E-3</v>
      </c>
      <c r="I70" s="566">
        <v>0.4</v>
      </c>
      <c r="J70" s="567">
        <v>16</v>
      </c>
      <c r="K70" s="275"/>
      <c r="L70" s="275"/>
      <c r="M70" s="489">
        <f ca="1">IF('CDO Bespoke'!O71&lt;&gt;"",'CDO Bespoke'!O71,"")</f>
        <v>1.01942565559514</v>
      </c>
      <c r="N70" s="490">
        <f ca="1">IF(M70&lt;&gt;"",ABS(MIN(-0.75*('CDO Bespoke'!Q71)+'CDO Bespoke'!T71,0)),"")</f>
        <v>1.0096235070508142</v>
      </c>
      <c r="O70" s="490">
        <f t="shared" ca="1" si="0"/>
        <v>9.8021485443258172E-3</v>
      </c>
      <c r="P70" s="490">
        <f t="shared" ca="1" si="1"/>
        <v>0</v>
      </c>
      <c r="Q70" s="489">
        <f ca="1">IF('CDO Bespoke'!O71&lt;&gt;"",'CDO Bespoke'!O71,"")</f>
        <v>1.01942565559514</v>
      </c>
      <c r="R70" s="490">
        <f ca="1">IF(Q70&lt;&gt;"",ABS(MIN(-0.75*('CDO Bespoke'!K71)+'CDO Bespoke'!T71,0)),"")</f>
        <v>0.13817197136957957</v>
      </c>
      <c r="S70" s="490">
        <f t="shared" ca="1" si="2"/>
        <v>0.88125368422556039</v>
      </c>
      <c r="T70" s="494">
        <f t="shared" ca="1" si="3"/>
        <v>0</v>
      </c>
      <c r="U70" s="275"/>
      <c r="V70" s="499" t="str">
        <f ca="1">IF('CDO Bespoke'!C95&lt;&gt;"",'CDO Bespoke'!C95,"")</f>
        <v>SODEXO</v>
      </c>
      <c r="W70" s="501" cm="1">
        <f t="array" aca="1" ref="W70" ca="1">IF($V70&lt;&gt;"",-TRANSPOSE(INDEX(getcds('CDO Bespoke'!$C95,W$13,'CDO Bespoke'!$G95/10000,'CDO Bespoke'!F95,'CDO Bespoke'!$L71,'CDO Bespoke'!$C$13,'CDO Bespoke'!$C$14,'CDO Bespoke'!$C$15,'CDO Bespoke'!$C$8,,,TRUE,TRUE,FALSE,'CDO Bespoke'!$C$29:'CDO Bespoke'!$C$31,'CDO Bespoke'!$C$33),{5})),"")</f>
        <v>-6.4450910284242297E-2</v>
      </c>
      <c r="X70" s="527" cm="1">
        <f t="array" aca="1" ref="X70" ca="1">IF($V70&lt;&gt;"",-TRANSPOSE(INDEX(getcds('CDO Bespoke'!$C95,X$13,'CDO Bespoke'!$G95/10000,'CDO Bespoke'!G95,'CDO Bespoke'!$L71,'CDO Bespoke'!$C$13,'CDO Bespoke'!$C$14,'CDO Bespoke'!$C$15,'CDO Bespoke'!$C$8,,,TRUE,TRUE,FALSE,'CDO Bespoke'!$C$29:'CDO Bespoke'!$C$31,'CDO Bespoke'!$C$33),{5})),"")</f>
        <v>-0.133014613801829</v>
      </c>
      <c r="Y70" s="527" cm="1">
        <f t="array" aca="1" ref="Y70" ca="1">IF($V70&lt;&gt;"",-TRANSPOSE(INDEX(getcds('CDO Bespoke'!$C95,Y$13,'CDO Bespoke'!$G95/10000,'CDO Bespoke'!H95,'CDO Bespoke'!$L71,'CDO Bespoke'!$C$13,'CDO Bespoke'!$C$14,'CDO Bespoke'!$C$15,'CDO Bespoke'!$C$8,,,TRUE,TRUE,FALSE,'CDO Bespoke'!$C$29:'CDO Bespoke'!$C$31,'CDO Bespoke'!$C$33),{5})),"")</f>
        <v>-0.39272848440139901</v>
      </c>
      <c r="Z70" s="527" cm="1">
        <f t="array" aca="1" ref="Z70" ca="1">IF($V70&lt;&gt;"",-TRANSPOSE(INDEX(getcds('CDO Bespoke'!$C95,Z$13,'CDO Bespoke'!$G95/10000,'CDO Bespoke'!I95,'CDO Bespoke'!$L71,'CDO Bespoke'!$C$13,'CDO Bespoke'!$C$14,'CDO Bespoke'!$C$15,'CDO Bespoke'!$C$8,,,TRUE,TRUE,FALSE,'CDO Bespoke'!$C$29:'CDO Bespoke'!$C$31,'CDO Bespoke'!$C$33),{5})),"")</f>
        <v>-0.62917384597029302</v>
      </c>
      <c r="AA70" s="502" cm="1">
        <f t="array" aca="1" ref="AA70" ca="1">IF($V70&lt;&gt;"",-TRANSPOSE(INDEX(getcds('CDO Bespoke'!$C95,AA$13,'CDO Bespoke'!$G95/10000,'CDO Bespoke'!J95,'CDO Bespoke'!$L71,'CDO Bespoke'!$C$13,'CDO Bespoke'!$C$14,'CDO Bespoke'!$C$15,'CDO Bespoke'!$C$8,,,TRUE,TRUE,FALSE,'CDO Bespoke'!$C$29:'CDO Bespoke'!$C$31,'CDO Bespoke'!$C$33),{5})),"")</f>
        <v>-1.13300291800394</v>
      </c>
      <c r="AB70" s="481"/>
      <c r="AC70" s="517"/>
      <c r="AD70" s="518"/>
      <c r="AE70" s="518"/>
      <c r="AF70" s="518"/>
      <c r="AG70" s="518"/>
      <c r="AH70" s="518"/>
      <c r="AI70" s="518"/>
      <c r="AJ70" s="518"/>
      <c r="AK70" s="518"/>
      <c r="AL70" s="519"/>
      <c r="AM70" s="540"/>
    </row>
    <row r="71" spans="2:39" ht="12" thickBot="1">
      <c r="B71" s="541" t="s">
        <v>535</v>
      </c>
      <c r="C71" s="542" t="s">
        <v>66</v>
      </c>
      <c r="D71" s="542" t="s">
        <v>57</v>
      </c>
      <c r="E71" s="542" t="s">
        <v>663</v>
      </c>
      <c r="F71" s="542" t="s">
        <v>664</v>
      </c>
      <c r="G71" s="549">
        <v>0.01</v>
      </c>
      <c r="H71" s="549">
        <v>1.0839E-2</v>
      </c>
      <c r="I71" s="551">
        <v>0.4</v>
      </c>
      <c r="J71" s="543">
        <v>16</v>
      </c>
      <c r="K71" s="275"/>
      <c r="L71" s="275"/>
      <c r="M71" s="489">
        <f ca="1">IF('CDO Bespoke'!O72&lt;&gt;"",'CDO Bespoke'!O72,"")</f>
        <v>1.0174207002835101</v>
      </c>
      <c r="N71" s="490">
        <f ca="1">IF(M71&lt;&gt;"",ABS(MIN(-0.75*('CDO Bespoke'!Q72)+'CDO Bespoke'!T72,0)),"")</f>
        <v>1.0133784035917139</v>
      </c>
      <c r="O71" s="490">
        <f t="shared" ca="1" si="0"/>
        <v>4.0422966917961212E-3</v>
      </c>
      <c r="P71" s="490">
        <f t="shared" ca="1" si="1"/>
        <v>0</v>
      </c>
      <c r="Q71" s="489">
        <f ca="1">IF('CDO Bespoke'!O72&lt;&gt;"",'CDO Bespoke'!O72,"")</f>
        <v>1.0174207002835101</v>
      </c>
      <c r="R71" s="490">
        <f ca="1">IF(Q71&lt;&gt;"",ABS(MIN(-0.75*('CDO Bespoke'!K72)+'CDO Bespoke'!T72,0)),"")</f>
        <v>0.20072963371876801</v>
      </c>
      <c r="S71" s="490">
        <f t="shared" ca="1" si="2"/>
        <v>0.816691066564742</v>
      </c>
      <c r="T71" s="494">
        <f t="shared" ca="1" si="3"/>
        <v>0</v>
      </c>
      <c r="U71" s="275"/>
      <c r="V71" s="499" t="str">
        <f ca="1">IF('CDO Bespoke'!C96&lt;&gt;"",'CDO Bespoke'!C96,"")</f>
        <v>Suedzucker AG</v>
      </c>
      <c r="W71" s="501" cm="1">
        <f t="array" aca="1" ref="W71" ca="1">IF($V71&lt;&gt;"",-TRANSPOSE(INDEX(getcds('CDO Bespoke'!$C96,W$13,'CDO Bespoke'!$G96/10000,'CDO Bespoke'!F96,'CDO Bespoke'!$L72,'CDO Bespoke'!$C$13,'CDO Bespoke'!$C$14,'CDO Bespoke'!$C$15,'CDO Bespoke'!$C$8,,,TRUE,TRUE,FALSE,'CDO Bespoke'!$C$29:'CDO Bespoke'!$C$31,'CDO Bespoke'!$C$33),{5})),"")</f>
        <v>-0.114794584402665</v>
      </c>
      <c r="X71" s="527" cm="1">
        <f t="array" aca="1" ref="X71" ca="1">IF($V71&lt;&gt;"",-TRANSPOSE(INDEX(getcds('CDO Bespoke'!$C96,X$13,'CDO Bespoke'!$G96/10000,'CDO Bespoke'!G96,'CDO Bespoke'!$L72,'CDO Bespoke'!$C$13,'CDO Bespoke'!$C$14,'CDO Bespoke'!$C$15,'CDO Bespoke'!$C$8,,,TRUE,TRUE,FALSE,'CDO Bespoke'!$C$29:'CDO Bespoke'!$C$31,'CDO Bespoke'!$C$33),{5})),"")</f>
        <v>-0.23667264334878699</v>
      </c>
      <c r="Y71" s="527" cm="1">
        <f t="array" aca="1" ref="Y71" ca="1">IF($V71&lt;&gt;"",-TRANSPOSE(INDEX(getcds('CDO Bespoke'!$C96,Y$13,'CDO Bespoke'!$G96/10000,'CDO Bespoke'!H96,'CDO Bespoke'!$L72,'CDO Bespoke'!$C$13,'CDO Bespoke'!$C$14,'CDO Bespoke'!$C$15,'CDO Bespoke'!$C$8,,,TRUE,TRUE,FALSE,'CDO Bespoke'!$C$29:'CDO Bespoke'!$C$31,'CDO Bespoke'!$C$33),{5})),"")</f>
        <v>-0.69598864450310105</v>
      </c>
      <c r="Z71" s="527" cm="1">
        <f t="array" aca="1" ref="Z71" ca="1">IF($V71&lt;&gt;"",-TRANSPOSE(INDEX(getcds('CDO Bespoke'!$C96,Z$13,'CDO Bespoke'!$G96/10000,'CDO Bespoke'!I96,'CDO Bespoke'!$L72,'CDO Bespoke'!$C$13,'CDO Bespoke'!$C$14,'CDO Bespoke'!$C$15,'CDO Bespoke'!$C$8,,,TRUE,TRUE,FALSE,'CDO Bespoke'!$C$29:'CDO Bespoke'!$C$31,'CDO Bespoke'!$C$33),{5})),"")</f>
        <v>-1.1079368394820399</v>
      </c>
      <c r="AA71" s="502" cm="1">
        <f t="array" aca="1" ref="AA71" ca="1">IF($V71&lt;&gt;"",-TRANSPOSE(INDEX(getcds('CDO Bespoke'!$C96,AA$13,'CDO Bespoke'!$G96/10000,'CDO Bespoke'!J96,'CDO Bespoke'!$L72,'CDO Bespoke'!$C$13,'CDO Bespoke'!$C$14,'CDO Bespoke'!$C$15,'CDO Bespoke'!$C$8,,,TRUE,TRUE,FALSE,'CDO Bespoke'!$C$29:'CDO Bespoke'!$C$31,'CDO Bespoke'!$C$33),{5})),"")</f>
        <v>-1.98169140322465</v>
      </c>
      <c r="AB71" s="481"/>
      <c r="AC71" s="517"/>
      <c r="AD71" s="518"/>
      <c r="AE71" s="518"/>
      <c r="AF71" s="518"/>
      <c r="AG71" s="518"/>
      <c r="AH71" s="518"/>
      <c r="AI71" s="518"/>
      <c r="AJ71" s="518"/>
      <c r="AK71" s="518"/>
      <c r="AL71" s="519"/>
      <c r="AM71" s="540"/>
    </row>
    <row r="72" spans="2:39" ht="12" thickBot="1">
      <c r="B72" s="558" t="s">
        <v>535</v>
      </c>
      <c r="C72" s="559" t="s">
        <v>66</v>
      </c>
      <c r="D72" s="559" t="s">
        <v>59</v>
      </c>
      <c r="E72" s="559" t="s">
        <v>663</v>
      </c>
      <c r="F72" s="559" t="s">
        <v>664</v>
      </c>
      <c r="G72" s="560">
        <v>0.01</v>
      </c>
      <c r="H72" s="560">
        <v>1.6057999999999999E-2</v>
      </c>
      <c r="I72" s="561">
        <v>0.4</v>
      </c>
      <c r="J72" s="562">
        <v>16</v>
      </c>
      <c r="K72" s="275"/>
      <c r="L72" s="275"/>
      <c r="M72" s="489">
        <f ca="1">IF('CDO Bespoke'!O73&lt;&gt;"",'CDO Bespoke'!O73,"")</f>
        <v>1.0183825573124701</v>
      </c>
      <c r="N72" s="490">
        <f ca="1">IF(M72&lt;&gt;"",ABS(MIN(-0.75*('CDO Bespoke'!Q73)+'CDO Bespoke'!T73,0)),"")</f>
        <v>1.0118596696156559</v>
      </c>
      <c r="O72" s="490">
        <f t="shared" ca="1" si="0"/>
        <v>6.5228876968141947E-3</v>
      </c>
      <c r="P72" s="490">
        <f t="shared" ca="1" si="1"/>
        <v>0</v>
      </c>
      <c r="Q72" s="489">
        <f ca="1">IF('CDO Bespoke'!O73&lt;&gt;"",'CDO Bespoke'!O73,"")</f>
        <v>1.0183825573124701</v>
      </c>
      <c r="R72" s="490">
        <f ca="1">IF(Q72&lt;&gt;"",ABS(MIN(-0.75*('CDO Bespoke'!K73)+'CDO Bespoke'!T73,0)),"")</f>
        <v>0.17905278012343639</v>
      </c>
      <c r="S72" s="490">
        <f t="shared" ca="1" si="2"/>
        <v>0.83932977718903368</v>
      </c>
      <c r="T72" s="494">
        <f t="shared" ca="1" si="3"/>
        <v>0</v>
      </c>
      <c r="U72" s="275"/>
      <c r="V72" s="499" t="str">
        <f ca="1">IF('CDO Bespoke'!C97&lt;&gt;"",'CDO Bespoke'!C97,"")</f>
        <v>TESCO PLC</v>
      </c>
      <c r="W72" s="501" cm="1">
        <f t="array" aca="1" ref="W72" ca="1">IF($V72&lt;&gt;"",-TRANSPOSE(INDEX(getcds('CDO Bespoke'!$C97,W$13,'CDO Bespoke'!$G97/10000,'CDO Bespoke'!F97,'CDO Bespoke'!$L73,'CDO Bespoke'!$C$13,'CDO Bespoke'!$C$14,'CDO Bespoke'!$C$15,'CDO Bespoke'!$C$8,,,TRUE,TRUE,FALSE,'CDO Bespoke'!$C$29:'CDO Bespoke'!$C$31,'CDO Bespoke'!$C$33),{5})),"")</f>
        <v>-9.6660428607184698E-2</v>
      </c>
      <c r="X72" s="527" cm="1">
        <f t="array" aca="1" ref="X72" ca="1">IF($V72&lt;&gt;"",-TRANSPOSE(INDEX(getcds('CDO Bespoke'!$C97,X$13,'CDO Bespoke'!$G97/10000,'CDO Bespoke'!G97,'CDO Bespoke'!$L73,'CDO Bespoke'!$C$13,'CDO Bespoke'!$C$14,'CDO Bespoke'!$C$15,'CDO Bespoke'!$C$8,,,TRUE,TRUE,FALSE,'CDO Bespoke'!$C$29:'CDO Bespoke'!$C$31,'CDO Bespoke'!$C$33),{5})),"")</f>
        <v>-0.199363523726131</v>
      </c>
      <c r="Y72" s="527" cm="1">
        <f t="array" aca="1" ref="Y72" ca="1">IF($V72&lt;&gt;"",-TRANSPOSE(INDEX(getcds('CDO Bespoke'!$C97,Y$13,'CDO Bespoke'!$G97/10000,'CDO Bespoke'!H97,'CDO Bespoke'!$L73,'CDO Bespoke'!$C$13,'CDO Bespoke'!$C$14,'CDO Bespoke'!$C$15,'CDO Bespoke'!$C$8,,,TRUE,TRUE,FALSE,'CDO Bespoke'!$C$29:'CDO Bespoke'!$C$31,'CDO Bespoke'!$C$33),{5})),"")</f>
        <v>-0.58717431013586496</v>
      </c>
      <c r="Z72" s="527" cm="1">
        <f t="array" aca="1" ref="Z72" ca="1">IF($V72&lt;&gt;"",-TRANSPOSE(INDEX(getcds('CDO Bespoke'!$C97,Z$13,'CDO Bespoke'!$G97/10000,'CDO Bespoke'!I97,'CDO Bespoke'!$L73,'CDO Bespoke'!$C$13,'CDO Bespoke'!$C$14,'CDO Bespoke'!$C$15,'CDO Bespoke'!$C$8,,,TRUE,TRUE,FALSE,'CDO Bespoke'!$C$29:'CDO Bespoke'!$C$31,'CDO Bespoke'!$C$33),{5})),"")</f>
        <v>-0.93712678992129395</v>
      </c>
      <c r="AA72" s="502" cm="1">
        <f t="array" aca="1" ref="AA72" ca="1">IF($V72&lt;&gt;"",-TRANSPOSE(INDEX(getcds('CDO Bespoke'!$C97,AA$13,'CDO Bespoke'!$G97/10000,'CDO Bespoke'!J97,'CDO Bespoke'!$L73,'CDO Bespoke'!$C$13,'CDO Bespoke'!$C$14,'CDO Bespoke'!$C$15,'CDO Bespoke'!$C$8,,,TRUE,TRUE,FALSE,'CDO Bespoke'!$C$29:'CDO Bespoke'!$C$31,'CDO Bespoke'!$C$33),{5})),"")</f>
        <v>-1.6804799601354901</v>
      </c>
      <c r="AB72" s="481"/>
      <c r="AC72" s="517"/>
      <c r="AD72" s="518"/>
      <c r="AE72" s="518"/>
      <c r="AF72" s="518"/>
      <c r="AG72" s="518"/>
      <c r="AH72" s="518"/>
      <c r="AI72" s="518"/>
      <c r="AJ72" s="518"/>
      <c r="AK72" s="518"/>
      <c r="AL72" s="519"/>
      <c r="AM72" s="540"/>
    </row>
    <row r="73" spans="2:39" ht="12" thickBot="1">
      <c r="B73" s="563" t="s">
        <v>521</v>
      </c>
      <c r="C73" s="564" t="s">
        <v>66</v>
      </c>
      <c r="D73" s="564" t="s">
        <v>55</v>
      </c>
      <c r="E73" s="564" t="s">
        <v>661</v>
      </c>
      <c r="F73" s="564" t="s">
        <v>665</v>
      </c>
      <c r="G73" s="565">
        <v>0.01</v>
      </c>
      <c r="H73" s="565">
        <v>1.5269999999999999E-3</v>
      </c>
      <c r="I73" s="566">
        <v>0.4</v>
      </c>
      <c r="J73" s="567">
        <v>17</v>
      </c>
      <c r="K73" s="275"/>
      <c r="L73" s="275"/>
      <c r="M73" s="489">
        <f ca="1">IF('CDO Bespoke'!O74&lt;&gt;"",'CDO Bespoke'!O74,"")</f>
        <v>1.0194011829866301</v>
      </c>
      <c r="N73" s="490">
        <f ca="1">IF(M73&lt;&gt;"",ABS(MIN(-0.75*('CDO Bespoke'!Q74)+'CDO Bespoke'!T74,0)),"")</f>
        <v>1.0095796409995295</v>
      </c>
      <c r="O73" s="490">
        <f t="shared" ca="1" si="0"/>
        <v>9.8215419871006127E-3</v>
      </c>
      <c r="P73" s="490">
        <f t="shared" ca="1" si="1"/>
        <v>0</v>
      </c>
      <c r="Q73" s="489">
        <f ca="1">IF('CDO Bespoke'!O74&lt;&gt;"",'CDO Bespoke'!O74,"")</f>
        <v>1.0194011829866301</v>
      </c>
      <c r="R73" s="490">
        <f ca="1">IF(Q73&lt;&gt;"",ABS(MIN(-0.75*('CDO Bespoke'!K74)+'CDO Bespoke'!T74,0)),"")</f>
        <v>0.13910624842614949</v>
      </c>
      <c r="S73" s="490">
        <f t="shared" ca="1" si="2"/>
        <v>0.88029493456048058</v>
      </c>
      <c r="T73" s="494">
        <f t="shared" ca="1" si="3"/>
        <v>0</v>
      </c>
      <c r="U73" s="275"/>
      <c r="V73" s="499" t="str">
        <f ca="1">IF('CDO Bespoke'!C98&lt;&gt;"",'CDO Bespoke'!C98,"")</f>
        <v>UNILEVER PLC</v>
      </c>
      <c r="W73" s="501" cm="1">
        <f t="array" aca="1" ref="W73" ca="1">IF($V73&lt;&gt;"",-TRANSPOSE(INDEX(getcds('CDO Bespoke'!$C98,W$13,'CDO Bespoke'!$G98/10000,'CDO Bespoke'!F98,'CDO Bespoke'!$L74,'CDO Bespoke'!$C$13,'CDO Bespoke'!$C$14,'CDO Bespoke'!$C$15,'CDO Bespoke'!$C$8,,,TRUE,TRUE,FALSE,'CDO Bespoke'!$C$29:'CDO Bespoke'!$C$31,'CDO Bespoke'!$C$33),{5})),"")</f>
        <v>-6.4963851672199702E-2</v>
      </c>
      <c r="X73" s="527" cm="1">
        <f t="array" aca="1" ref="X73" ca="1">IF($V73&lt;&gt;"",-TRANSPOSE(INDEX(getcds('CDO Bespoke'!$C98,X$13,'CDO Bespoke'!$G98/10000,'CDO Bespoke'!G98,'CDO Bespoke'!$L74,'CDO Bespoke'!$C$13,'CDO Bespoke'!$C$14,'CDO Bespoke'!$C$15,'CDO Bespoke'!$C$8,,,TRUE,TRUE,FALSE,'CDO Bespoke'!$C$29:'CDO Bespoke'!$C$31,'CDO Bespoke'!$C$33),{5})),"")</f>
        <v>-0.13405953553524</v>
      </c>
      <c r="Y73" s="527" cm="1">
        <f t="array" aca="1" ref="Y73" ca="1">IF($V73&lt;&gt;"",-TRANSPOSE(INDEX(getcds('CDO Bespoke'!$C98,Y$13,'CDO Bespoke'!$G98/10000,'CDO Bespoke'!H98,'CDO Bespoke'!$L74,'CDO Bespoke'!$C$13,'CDO Bespoke'!$C$14,'CDO Bespoke'!$C$15,'CDO Bespoke'!$C$8,,,TRUE,TRUE,FALSE,'CDO Bespoke'!$C$29:'CDO Bespoke'!$C$31,'CDO Bespoke'!$C$33),{5})),"")</f>
        <v>-0.39565507707354503</v>
      </c>
      <c r="Z73" s="527" cm="1">
        <f t="array" aca="1" ref="Z73" ca="1">IF($V73&lt;&gt;"",-TRANSPOSE(INDEX(getcds('CDO Bespoke'!$C98,Z$13,'CDO Bespoke'!$G98/10000,'CDO Bespoke'!I98,'CDO Bespoke'!$L74,'CDO Bespoke'!$C$13,'CDO Bespoke'!$C$14,'CDO Bespoke'!$C$15,'CDO Bespoke'!$C$8,,,TRUE,TRUE,FALSE,'CDO Bespoke'!$C$29:'CDO Bespoke'!$C$31,'CDO Bespoke'!$C$33),{5})),"")</f>
        <v>-0.63384313231157796</v>
      </c>
      <c r="AA73" s="502" cm="1">
        <f t="array" aca="1" ref="AA73" ca="1">IF($V73&lt;&gt;"",-TRANSPOSE(INDEX(getcds('CDO Bespoke'!$C98,AA$13,'CDO Bespoke'!$G98/10000,'CDO Bespoke'!J98,'CDO Bespoke'!$L74,'CDO Bespoke'!$C$13,'CDO Bespoke'!$C$14,'CDO Bespoke'!$C$15,'CDO Bespoke'!$C$8,,,TRUE,TRUE,FALSE,'CDO Bespoke'!$C$29:'CDO Bespoke'!$C$31,'CDO Bespoke'!$C$33),{5})),"")</f>
        <v>-1.1421007813553099</v>
      </c>
      <c r="AB73" s="481"/>
      <c r="AC73" s="517"/>
      <c r="AD73" s="518"/>
      <c r="AE73" s="518"/>
      <c r="AF73" s="518"/>
      <c r="AG73" s="518"/>
      <c r="AH73" s="518"/>
      <c r="AI73" s="518"/>
      <c r="AJ73" s="518"/>
      <c r="AK73" s="518"/>
      <c r="AL73" s="519"/>
      <c r="AM73" s="540"/>
    </row>
    <row r="74" spans="2:39" ht="12" thickBot="1">
      <c r="B74" s="541" t="s">
        <v>521</v>
      </c>
      <c r="C74" s="542" t="s">
        <v>66</v>
      </c>
      <c r="D74" s="542" t="s">
        <v>57</v>
      </c>
      <c r="E74" s="542" t="s">
        <v>661</v>
      </c>
      <c r="F74" s="542" t="s">
        <v>665</v>
      </c>
      <c r="G74" s="549">
        <v>0.01</v>
      </c>
      <c r="H74" s="549">
        <v>2.49E-3</v>
      </c>
      <c r="I74" s="551">
        <v>0.4</v>
      </c>
      <c r="J74" s="543">
        <v>17</v>
      </c>
      <c r="K74" s="275"/>
      <c r="L74" s="275"/>
      <c r="M74" s="489">
        <f ca="1">IF('CDO Bespoke'!O75&lt;&gt;"",'CDO Bespoke'!O75,"")</f>
        <v>1.01843039019477</v>
      </c>
      <c r="N74" s="490">
        <f ca="1">IF(M74&lt;&gt;"",ABS(MIN(-0.75*('CDO Bespoke'!Q75)+'CDO Bespoke'!T75,0)),"")</f>
        <v>1.011830127118255</v>
      </c>
      <c r="O74" s="490">
        <f t="shared" ca="1" si="0"/>
        <v>6.6002630765149561E-3</v>
      </c>
      <c r="P74" s="490">
        <f t="shared" ca="1" si="1"/>
        <v>0</v>
      </c>
      <c r="Q74" s="489">
        <f ca="1">IF('CDO Bespoke'!O75&lt;&gt;"",'CDO Bespoke'!O75,"")</f>
        <v>1.01843039019477</v>
      </c>
      <c r="R74" s="490">
        <f ca="1">IF(Q74&lt;&gt;"",ABS(MIN(-0.75*('CDO Bespoke'!K75)+'CDO Bespoke'!T75,0)),"")</f>
        <v>0.17788168762629486</v>
      </c>
      <c r="S74" s="490">
        <f t="shared" ca="1" si="2"/>
        <v>0.84054870256847514</v>
      </c>
      <c r="T74" s="494">
        <f t="shared" ca="1" si="3"/>
        <v>0</v>
      </c>
      <c r="U74" s="275"/>
      <c r="V74" s="499" t="str">
        <f ca="1">IF('CDO Bespoke'!C99&lt;&gt;"",'CDO Bespoke'!C99,"")</f>
        <v>BP P.L.C.</v>
      </c>
      <c r="W74" s="501" cm="1">
        <f t="array" aca="1" ref="W74" ca="1">IF($V74&lt;&gt;"",-TRANSPOSE(INDEX(getcds('CDO Bespoke'!$C99,W$13,'CDO Bespoke'!$G99/10000,'CDO Bespoke'!F99,'CDO Bespoke'!$L75,'CDO Bespoke'!$C$13,'CDO Bespoke'!$C$14,'CDO Bespoke'!$C$15,'CDO Bespoke'!$C$8,,,TRUE,TRUE,FALSE,'CDO Bespoke'!$C$29:'CDO Bespoke'!$C$31,'CDO Bespoke'!$C$33),{5})),"")</f>
        <v>-9.5792603649242705E-2</v>
      </c>
      <c r="X74" s="527" cm="1">
        <f t="array" aca="1" ref="X74" ca="1">IF($V74&lt;&gt;"",-TRANSPOSE(INDEX(getcds('CDO Bespoke'!$C99,X$13,'CDO Bespoke'!$G99/10000,'CDO Bespoke'!G99,'CDO Bespoke'!$L75,'CDO Bespoke'!$C$13,'CDO Bespoke'!$C$14,'CDO Bespoke'!$C$15,'CDO Bespoke'!$C$8,,,TRUE,TRUE,FALSE,'CDO Bespoke'!$C$29:'CDO Bespoke'!$C$31,'CDO Bespoke'!$C$33),{5})),"")</f>
        <v>-0.19758789174007699</v>
      </c>
      <c r="Y74" s="527" cm="1">
        <f t="array" aca="1" ref="Y74" ca="1">IF($V74&lt;&gt;"",-TRANSPOSE(INDEX(getcds('CDO Bespoke'!$C99,Y$13,'CDO Bespoke'!$G99/10000,'CDO Bespoke'!H99,'CDO Bespoke'!$L75,'CDO Bespoke'!$C$13,'CDO Bespoke'!$C$14,'CDO Bespoke'!$C$15,'CDO Bespoke'!$C$8,,,TRUE,TRUE,FALSE,'CDO Bespoke'!$C$29:'CDO Bespoke'!$C$31,'CDO Bespoke'!$C$33),{5})),"")</f>
        <v>-0.58210937996545098</v>
      </c>
      <c r="Z74" s="527" cm="1">
        <f t="array" aca="1" ref="Z74" ca="1">IF($V74&lt;&gt;"",-TRANSPOSE(INDEX(getcds('CDO Bespoke'!$C99,Z$13,'CDO Bespoke'!$G99/10000,'CDO Bespoke'!I99,'CDO Bespoke'!$L75,'CDO Bespoke'!$C$13,'CDO Bespoke'!$C$14,'CDO Bespoke'!$C$15,'CDO Bespoke'!$C$8,,,TRUE,TRUE,FALSE,'CDO Bespoke'!$C$29:'CDO Bespoke'!$C$31,'CDO Bespoke'!$C$33),{5})),"")</f>
        <v>-0.92914954376673997</v>
      </c>
      <c r="AA74" s="502" cm="1">
        <f t="array" aca="1" ref="AA74" ca="1">IF($V74&lt;&gt;"",-TRANSPOSE(INDEX(getcds('CDO Bespoke'!$C99,AA$13,'CDO Bespoke'!$G99/10000,'CDO Bespoke'!J99,'CDO Bespoke'!$L75,'CDO Bespoke'!$C$13,'CDO Bespoke'!$C$14,'CDO Bespoke'!$C$15,'CDO Bespoke'!$C$8,,,TRUE,TRUE,FALSE,'CDO Bespoke'!$C$29:'CDO Bespoke'!$C$31,'CDO Bespoke'!$C$33),{5})),"")</f>
        <v>-1.66635575830213</v>
      </c>
      <c r="AB74" s="481"/>
      <c r="AC74" s="517"/>
      <c r="AD74" s="518"/>
      <c r="AE74" s="518"/>
      <c r="AF74" s="518"/>
      <c r="AG74" s="518"/>
      <c r="AH74" s="518"/>
      <c r="AI74" s="518"/>
      <c r="AJ74" s="518"/>
      <c r="AK74" s="518"/>
      <c r="AL74" s="519"/>
      <c r="AM74" s="540"/>
    </row>
    <row r="75" spans="2:39" ht="12" thickBot="1">
      <c r="B75" s="558" t="s">
        <v>521</v>
      </c>
      <c r="C75" s="559" t="s">
        <v>66</v>
      </c>
      <c r="D75" s="559" t="s">
        <v>59</v>
      </c>
      <c r="E75" s="559" t="s">
        <v>661</v>
      </c>
      <c r="F75" s="559" t="s">
        <v>665</v>
      </c>
      <c r="G75" s="560">
        <v>0.01</v>
      </c>
      <c r="H75" s="560">
        <v>3.63E-3</v>
      </c>
      <c r="I75" s="561">
        <v>0.4</v>
      </c>
      <c r="J75" s="562">
        <v>17</v>
      </c>
      <c r="K75" s="275"/>
      <c r="L75" s="275"/>
      <c r="M75" s="489">
        <f ca="1">IF('CDO Bespoke'!O76&lt;&gt;"",'CDO Bespoke'!O76,"")</f>
        <v>1.0178135476449</v>
      </c>
      <c r="N75" s="490">
        <f ca="1">IF(M75&lt;&gt;"",ABS(MIN(-0.75*('CDO Bespoke'!Q76)+'CDO Bespoke'!T76,0)),"")</f>
        <v>1.0128360940776064</v>
      </c>
      <c r="O75" s="490">
        <f t="shared" ca="1" si="0"/>
        <v>4.9774535672935105E-3</v>
      </c>
      <c r="P75" s="490">
        <f t="shared" ca="1" si="1"/>
        <v>0</v>
      </c>
      <c r="Q75" s="489">
        <f ca="1">IF('CDO Bespoke'!O76&lt;&gt;"",'CDO Bespoke'!O76,"")</f>
        <v>1.0178135476449</v>
      </c>
      <c r="R75" s="490">
        <f ca="1">IF(Q75&lt;&gt;"",ABS(MIN(-0.75*('CDO Bespoke'!K76)+'CDO Bespoke'!T76,0)),"")</f>
        <v>0.19289521130083989</v>
      </c>
      <c r="S75" s="490">
        <f t="shared" ca="1" si="2"/>
        <v>0.82491833634406009</v>
      </c>
      <c r="T75" s="494">
        <f t="shared" ca="1" si="3"/>
        <v>0</v>
      </c>
      <c r="U75" s="275"/>
      <c r="V75" s="499" t="str">
        <f ca="1">IF('CDO Bespoke'!C100&lt;&gt;"",'CDO Bespoke'!C100,"")</f>
        <v>Centrica plc</v>
      </c>
      <c r="W75" s="501" cm="1">
        <f t="array" aca="1" ref="W75" ca="1">IF($V75&lt;&gt;"",-TRANSPOSE(INDEX(getcds('CDO Bespoke'!$C100,W$13,'CDO Bespoke'!$G100/10000,'CDO Bespoke'!F100,'CDO Bespoke'!$L76,'CDO Bespoke'!$C$13,'CDO Bespoke'!$C$14,'CDO Bespoke'!$C$15,'CDO Bespoke'!$C$8,,,TRUE,TRUE,FALSE,'CDO Bespoke'!$C$29:'CDO Bespoke'!$C$31,'CDO Bespoke'!$C$33),{5})),"")</f>
        <v>-0.10821925278406599</v>
      </c>
      <c r="X75" s="527" cm="1">
        <f t="array" aca="1" ref="X75" ca="1">IF($V75&lt;&gt;"",-TRANSPOSE(INDEX(getcds('CDO Bespoke'!$C100,X$13,'CDO Bespoke'!$G100/10000,'CDO Bespoke'!G100,'CDO Bespoke'!$L76,'CDO Bespoke'!$C$13,'CDO Bespoke'!$C$14,'CDO Bespoke'!$C$15,'CDO Bespoke'!$C$8,,,TRUE,TRUE,FALSE,'CDO Bespoke'!$C$29:'CDO Bespoke'!$C$31,'CDO Bespoke'!$C$33),{5})),"")</f>
        <v>-0.22315837752662801</v>
      </c>
      <c r="Y75" s="527" cm="1">
        <f t="array" aca="1" ref="Y75" ca="1">IF($V75&lt;&gt;"",-TRANSPOSE(INDEX(getcds('CDO Bespoke'!$C100,Y$13,'CDO Bespoke'!$G100/10000,'CDO Bespoke'!H100,'CDO Bespoke'!$L76,'CDO Bespoke'!$C$13,'CDO Bespoke'!$C$14,'CDO Bespoke'!$C$15,'CDO Bespoke'!$C$8,,,TRUE,TRUE,FALSE,'CDO Bespoke'!$C$29:'CDO Bespoke'!$C$31,'CDO Bespoke'!$C$33),{5})),"")</f>
        <v>-0.656732459735336</v>
      </c>
      <c r="Z75" s="527" cm="1">
        <f t="array" aca="1" ref="Z75" ca="1">IF($V75&lt;&gt;"",-TRANSPOSE(INDEX(getcds('CDO Bespoke'!$C100,Z$13,'CDO Bespoke'!$G100/10000,'CDO Bespoke'!I100,'CDO Bespoke'!$L76,'CDO Bespoke'!$C$13,'CDO Bespoke'!$C$14,'CDO Bespoke'!$C$15,'CDO Bespoke'!$C$8,,,TRUE,TRUE,FALSE,'CDO Bespoke'!$C$29:'CDO Bespoke'!$C$31,'CDO Bespoke'!$C$33),{5})),"")</f>
        <v>-1.04646135079171</v>
      </c>
      <c r="AA75" s="502" cm="1">
        <f t="array" aca="1" ref="AA75" ca="1">IF($V75&lt;&gt;"",-TRANSPOSE(INDEX(getcds('CDO Bespoke'!$C100,AA$13,'CDO Bespoke'!$G100/10000,'CDO Bespoke'!J100,'CDO Bespoke'!$L76,'CDO Bespoke'!$C$13,'CDO Bespoke'!$C$14,'CDO Bespoke'!$C$15,'CDO Bespoke'!$C$8,,,TRUE,TRUE,FALSE,'CDO Bespoke'!$C$29:'CDO Bespoke'!$C$31,'CDO Bespoke'!$C$33),{5})),"")</f>
        <v>-1.87367030271548</v>
      </c>
      <c r="AB75" s="481"/>
      <c r="AC75" s="517"/>
      <c r="AD75" s="518"/>
      <c r="AE75" s="518"/>
      <c r="AF75" s="518"/>
      <c r="AG75" s="518"/>
      <c r="AH75" s="518"/>
      <c r="AI75" s="518"/>
      <c r="AJ75" s="518"/>
      <c r="AK75" s="518"/>
      <c r="AL75" s="519"/>
      <c r="AM75" s="540"/>
    </row>
    <row r="76" spans="2:39" ht="12" thickBot="1">
      <c r="B76" s="563" t="s">
        <v>536</v>
      </c>
      <c r="C76" s="564" t="s">
        <v>66</v>
      </c>
      <c r="D76" s="564" t="s">
        <v>55</v>
      </c>
      <c r="E76" s="564" t="s">
        <v>663</v>
      </c>
      <c r="F76" s="564" t="s">
        <v>662</v>
      </c>
      <c r="G76" s="565">
        <v>0.01</v>
      </c>
      <c r="H76" s="565">
        <v>5.0749999999999997E-3</v>
      </c>
      <c r="I76" s="566">
        <v>0.4</v>
      </c>
      <c r="J76" s="567">
        <v>18</v>
      </c>
      <c r="K76" s="275"/>
      <c r="L76" s="275"/>
      <c r="M76" s="489">
        <f ca="1">IF('CDO Bespoke'!O77&lt;&gt;"",'CDO Bespoke'!O77,"")</f>
        <v>1.01893130214768</v>
      </c>
      <c r="N76" s="490">
        <f ca="1">IF(M76&lt;&gt;"",ABS(MIN(-0.75*('CDO Bespoke'!Q77)+'CDO Bespoke'!T77,0)),"")</f>
        <v>1.0108113782226544</v>
      </c>
      <c r="O76" s="490">
        <f t="shared" ca="1" si="0"/>
        <v>8.119923925025585E-3</v>
      </c>
      <c r="P76" s="490">
        <f t="shared" ca="1" si="1"/>
        <v>0</v>
      </c>
      <c r="Q76" s="489">
        <f ca="1">IF('CDO Bespoke'!O77&lt;&gt;"",'CDO Bespoke'!O77,"")</f>
        <v>1.01893130214768</v>
      </c>
      <c r="R76" s="490">
        <f ca="1">IF(Q76&lt;&gt;"",ABS(MIN(-0.75*('CDO Bespoke'!K77)+'CDO Bespoke'!T77,0)),"")</f>
        <v>0.16162580781851224</v>
      </c>
      <c r="S76" s="490">
        <f t="shared" ca="1" si="2"/>
        <v>0.85730549432916781</v>
      </c>
      <c r="T76" s="494">
        <f t="shared" ca="1" si="3"/>
        <v>0</v>
      </c>
      <c r="U76" s="275"/>
      <c r="V76" s="499" t="str">
        <f ca="1">IF('CDO Bespoke'!C101&lt;&gt;"",'CDO Bespoke'!C101,"")</f>
        <v>E.ON SE</v>
      </c>
      <c r="W76" s="501" cm="1">
        <f t="array" aca="1" ref="W76" ca="1">IF($V76&lt;&gt;"",-TRANSPOSE(INDEX(getcds('CDO Bespoke'!$C101,W$13,'CDO Bespoke'!$G101/10000,'CDO Bespoke'!F101,'CDO Bespoke'!$L77,'CDO Bespoke'!$C$13,'CDO Bespoke'!$C$14,'CDO Bespoke'!$C$15,'CDO Bespoke'!$C$8,,,TRUE,TRUE,FALSE,'CDO Bespoke'!$C$29:'CDO Bespoke'!$C$31,'CDO Bespoke'!$C$33),{5})),"")</f>
        <v>-8.2618136410272394E-2</v>
      </c>
      <c r="X76" s="527" cm="1">
        <f t="array" aca="1" ref="X76" ca="1">IF($V76&lt;&gt;"",-TRANSPOSE(INDEX(getcds('CDO Bespoke'!$C101,X$13,'CDO Bespoke'!$G101/10000,'CDO Bespoke'!G101,'CDO Bespoke'!$L77,'CDO Bespoke'!$C$13,'CDO Bespoke'!$C$14,'CDO Bespoke'!$C$15,'CDO Bespoke'!$C$8,,,TRUE,TRUE,FALSE,'CDO Bespoke'!$C$29:'CDO Bespoke'!$C$31,'CDO Bespoke'!$C$33),{5})),"")</f>
        <v>-0.17044997665679701</v>
      </c>
      <c r="Y76" s="527" cm="1">
        <f t="array" aca="1" ref="Y76" ca="1">IF($V76&lt;&gt;"",-TRANSPOSE(INDEX(getcds('CDO Bespoke'!$C101,Y$13,'CDO Bespoke'!$G101/10000,'CDO Bespoke'!H101,'CDO Bespoke'!$L77,'CDO Bespoke'!$C$13,'CDO Bespoke'!$C$14,'CDO Bespoke'!$C$15,'CDO Bespoke'!$C$8,,,TRUE,TRUE,FALSE,'CDO Bespoke'!$C$29:'CDO Bespoke'!$C$31,'CDO Bespoke'!$C$33),{5})),"")</f>
        <v>-0.50258159565175098</v>
      </c>
      <c r="Z76" s="527" cm="1">
        <f t="array" aca="1" ref="Z76" ca="1">IF($V76&lt;&gt;"",-TRANSPOSE(INDEX(getcds('CDO Bespoke'!$C101,Z$13,'CDO Bespoke'!$G101/10000,'CDO Bespoke'!I101,'CDO Bespoke'!$L77,'CDO Bespoke'!$C$13,'CDO Bespoke'!$C$14,'CDO Bespoke'!$C$15,'CDO Bespoke'!$C$8,,,TRUE,TRUE,FALSE,'CDO Bespoke'!$C$29:'CDO Bespoke'!$C$31,'CDO Bespoke'!$C$33),{5})),"")</f>
        <v>-0.80354768814227895</v>
      </c>
      <c r="AA76" s="502" cm="1">
        <f t="array" aca="1" ref="AA76" ca="1">IF($V76&lt;&gt;"",-TRANSPOSE(INDEX(getcds('CDO Bespoke'!$C101,AA$13,'CDO Bespoke'!$G101/10000,'CDO Bespoke'!J101,'CDO Bespoke'!$L77,'CDO Bespoke'!$C$13,'CDO Bespoke'!$C$14,'CDO Bespoke'!$C$15,'CDO Bespoke'!$C$8,,,TRUE,TRUE,FALSE,'CDO Bespoke'!$C$29:'CDO Bespoke'!$C$31,'CDO Bespoke'!$C$33),{5})),"")</f>
        <v>-1.44360579548793</v>
      </c>
      <c r="AB76" s="481"/>
      <c r="AC76" s="517"/>
      <c r="AD76" s="518"/>
      <c r="AE76" s="518"/>
      <c r="AF76" s="518"/>
      <c r="AG76" s="518"/>
      <c r="AH76" s="518"/>
      <c r="AI76" s="518"/>
      <c r="AJ76" s="518"/>
      <c r="AK76" s="518"/>
      <c r="AL76" s="519"/>
      <c r="AM76" s="540"/>
    </row>
    <row r="77" spans="2:39" ht="12" thickBot="1">
      <c r="B77" s="541" t="s">
        <v>536</v>
      </c>
      <c r="C77" s="542" t="s">
        <v>66</v>
      </c>
      <c r="D77" s="542" t="s">
        <v>57</v>
      </c>
      <c r="E77" s="542" t="s">
        <v>663</v>
      </c>
      <c r="F77" s="542" t="s">
        <v>662</v>
      </c>
      <c r="G77" s="549">
        <v>0.01</v>
      </c>
      <c r="H77" s="549">
        <v>8.8369999999999994E-3</v>
      </c>
      <c r="I77" s="551">
        <v>0.4</v>
      </c>
      <c r="J77" s="543">
        <v>18</v>
      </c>
      <c r="K77" s="275"/>
      <c r="L77" s="275"/>
      <c r="M77" s="489">
        <f ca="1">IF('CDO Bespoke'!O78&lt;&gt;"",'CDO Bespoke'!O78,"")</f>
        <v>1.0178074662258001</v>
      </c>
      <c r="N77" s="490">
        <f ca="1">IF(M77&lt;&gt;"",ABS(MIN(-0.75*('CDO Bespoke'!Q78)+'CDO Bespoke'!T78,0)),"")</f>
        <v>1.0126141937972823</v>
      </c>
      <c r="O77" s="490">
        <f t="shared" ca="1" si="0"/>
        <v>5.1932724285177478E-3</v>
      </c>
      <c r="P77" s="490">
        <f t="shared" ca="1" si="1"/>
        <v>0</v>
      </c>
      <c r="Q77" s="489">
        <f ca="1">IF('CDO Bespoke'!O78&lt;&gt;"",'CDO Bespoke'!O78,"")</f>
        <v>1.0178074662258001</v>
      </c>
      <c r="R77" s="490">
        <f ca="1">IF(Q77&lt;&gt;"",ABS(MIN(-0.75*('CDO Bespoke'!K78)+'CDO Bespoke'!T78,0)),"")</f>
        <v>0.19230651518028319</v>
      </c>
      <c r="S77" s="490">
        <f t="shared" ca="1" si="2"/>
        <v>0.82550095104551691</v>
      </c>
      <c r="T77" s="494">
        <f t="shared" ca="1" si="3"/>
        <v>0</v>
      </c>
      <c r="U77" s="275"/>
      <c r="V77" s="499" t="str">
        <f ca="1">IF('CDO Bespoke'!C102&lt;&gt;"",'CDO Bespoke'!C102,"")</f>
        <v>EDP - ENERGIAS DE PORTUGAL S.A.</v>
      </c>
      <c r="W77" s="501" cm="1">
        <f t="array" aca="1" ref="W77" ca="1">IF($V77&lt;&gt;"",-TRANSPOSE(INDEX(getcds('CDO Bespoke'!$C102,W$13,'CDO Bespoke'!$G102/10000,'CDO Bespoke'!F102,'CDO Bespoke'!$L78,'CDO Bespoke'!$C$13,'CDO Bespoke'!$C$14,'CDO Bespoke'!$C$15,'CDO Bespoke'!$C$8,,,TRUE,TRUE,FALSE,'CDO Bespoke'!$C$29:'CDO Bespoke'!$C$31,'CDO Bespoke'!$C$33),{5})),"")</f>
        <v>-0.10740590886956899</v>
      </c>
      <c r="X77" s="527" cm="1">
        <f t="array" aca="1" ref="X77" ca="1">IF($V77&lt;&gt;"",-TRANSPOSE(INDEX(getcds('CDO Bespoke'!$C102,X$13,'CDO Bespoke'!$G102/10000,'CDO Bespoke'!G102,'CDO Bespoke'!$L78,'CDO Bespoke'!$C$13,'CDO Bespoke'!$C$14,'CDO Bespoke'!$C$15,'CDO Bespoke'!$C$8,,,TRUE,TRUE,FALSE,'CDO Bespoke'!$C$29:'CDO Bespoke'!$C$31,'CDO Bespoke'!$C$33),{5})),"")</f>
        <v>-0.22143385597234599</v>
      </c>
      <c r="Y77" s="527" cm="1">
        <f t="array" aca="1" ref="Y77" ca="1">IF($V77&lt;&gt;"",-TRANSPOSE(INDEX(getcds('CDO Bespoke'!$C102,Y$13,'CDO Bespoke'!$G102/10000,'CDO Bespoke'!H102,'CDO Bespoke'!$L78,'CDO Bespoke'!$C$13,'CDO Bespoke'!$C$14,'CDO Bespoke'!$C$15,'CDO Bespoke'!$C$8,,,TRUE,TRUE,FALSE,'CDO Bespoke'!$C$29:'CDO Bespoke'!$C$31,'CDO Bespoke'!$C$33),{5})),"")</f>
        <v>-0.65111210623051696</v>
      </c>
      <c r="Z77" s="527" cm="1">
        <f t="array" aca="1" ref="Z77" ca="1">IF($V77&lt;&gt;"",-TRANSPOSE(INDEX(getcds('CDO Bespoke'!$C102,Z$13,'CDO Bespoke'!$G102/10000,'CDO Bespoke'!I102,'CDO Bespoke'!$L78,'CDO Bespoke'!$C$13,'CDO Bespoke'!$C$14,'CDO Bespoke'!$C$15,'CDO Bespoke'!$C$8,,,TRUE,TRUE,FALSE,'CDO Bespoke'!$C$29:'CDO Bespoke'!$C$31,'CDO Bespoke'!$C$33),{5})),"")</f>
        <v>-1.03760268726135</v>
      </c>
      <c r="AA77" s="502" cm="1">
        <f t="array" aca="1" ref="AA77" ca="1">IF($V77&lt;&gt;"",-TRANSPOSE(INDEX(getcds('CDO Bespoke'!$C102,AA$13,'CDO Bespoke'!$G102/10000,'CDO Bespoke'!J102,'CDO Bespoke'!$L78,'CDO Bespoke'!$C$13,'CDO Bespoke'!$C$14,'CDO Bespoke'!$C$15,'CDO Bespoke'!$C$8,,,TRUE,TRUE,FALSE,'CDO Bespoke'!$C$29:'CDO Bespoke'!$C$31,'CDO Bespoke'!$C$33),{5})),"")</f>
        <v>-1.86063599558644</v>
      </c>
      <c r="AB77" s="481"/>
      <c r="AC77" s="517"/>
      <c r="AD77" s="518"/>
      <c r="AE77" s="518"/>
      <c r="AF77" s="518"/>
      <c r="AG77" s="518"/>
      <c r="AH77" s="518"/>
      <c r="AI77" s="518"/>
      <c r="AJ77" s="518"/>
      <c r="AK77" s="518"/>
      <c r="AL77" s="519"/>
      <c r="AM77" s="540"/>
    </row>
    <row r="78" spans="2:39" ht="12" thickBot="1">
      <c r="B78" s="558" t="s">
        <v>536</v>
      </c>
      <c r="C78" s="559" t="s">
        <v>66</v>
      </c>
      <c r="D78" s="559" t="s">
        <v>59</v>
      </c>
      <c r="E78" s="559" t="s">
        <v>663</v>
      </c>
      <c r="F78" s="559" t="s">
        <v>662</v>
      </c>
      <c r="G78" s="560">
        <v>0.01</v>
      </c>
      <c r="H78" s="560">
        <v>1.3018E-2</v>
      </c>
      <c r="I78" s="561">
        <v>0.4</v>
      </c>
      <c r="J78" s="562">
        <v>18</v>
      </c>
      <c r="K78" s="275"/>
      <c r="L78" s="275"/>
      <c r="M78" s="489">
        <f ca="1">IF('CDO Bespoke'!O79&lt;&gt;"",'CDO Bespoke'!O79,"")</f>
        <v>1.0175945641916699</v>
      </c>
      <c r="N78" s="490">
        <f ca="1">IF(M78&lt;&gt;"",ABS(MIN(-0.75*('CDO Bespoke'!Q79)+'CDO Bespoke'!T79,0)),"")</f>
        <v>1.0130319797216372</v>
      </c>
      <c r="O78" s="490">
        <f t="shared" ref="O78:O141" ca="1" si="4">IF(M78&lt;&gt;"",IF($N$8,MAX(M78-N78,0),M78),"")</f>
        <v>4.5625844700327711E-3</v>
      </c>
      <c r="P78" s="490">
        <f t="shared" ref="P78:P141" ca="1" si="5">IF(M78&lt;&gt;"",IF($N$8,0,N78),"")</f>
        <v>0</v>
      </c>
      <c r="Q78" s="489">
        <f ca="1">IF('CDO Bespoke'!O79&lt;&gt;"",'CDO Bespoke'!O79,"")</f>
        <v>1.0175945641916699</v>
      </c>
      <c r="R78" s="490">
        <f ca="1">IF(Q78&lt;&gt;"",ABS(MIN(-0.75*('CDO Bespoke'!K79)+'CDO Bespoke'!T79,0)),"")</f>
        <v>0.19707263881986911</v>
      </c>
      <c r="S78" s="490">
        <f t="shared" ref="S78:S141" ca="1" si="6">IF(Q78&lt;&gt;"",IF($N$8,MAX(Q78-R78,0),Q78),"")</f>
        <v>0.8205219253718008</v>
      </c>
      <c r="T78" s="494">
        <f t="shared" ref="T78:T141" ca="1" si="7">IF(Q78&lt;&gt;"",IF($N$8,0,R78),"")</f>
        <v>0</v>
      </c>
      <c r="U78" s="275"/>
      <c r="V78" s="499" t="str">
        <f ca="1">IF('CDO Bespoke'!C103&lt;&gt;"",'CDO Bespoke'!C103,"")</f>
        <v>Electricite de France</v>
      </c>
      <c r="W78" s="501" cm="1">
        <f t="array" aca="1" ref="W78" ca="1">IF($V78&lt;&gt;"",-TRANSPOSE(INDEX(getcds('CDO Bespoke'!$C103,W$13,'CDO Bespoke'!$G103/10000,'CDO Bespoke'!F103,'CDO Bespoke'!$L79,'CDO Bespoke'!$C$13,'CDO Bespoke'!$C$14,'CDO Bespoke'!$C$15,'CDO Bespoke'!$C$8,,,TRUE,TRUE,FALSE,'CDO Bespoke'!$C$29:'CDO Bespoke'!$C$31,'CDO Bespoke'!$C$33),{5})),"")</f>
        <v>-0.111555654685824</v>
      </c>
      <c r="X78" s="527" cm="1">
        <f t="array" aca="1" ref="X78" ca="1">IF($V78&lt;&gt;"",-TRANSPOSE(INDEX(getcds('CDO Bespoke'!$C103,X$13,'CDO Bespoke'!$G103/10000,'CDO Bespoke'!G103,'CDO Bespoke'!$L79,'CDO Bespoke'!$C$13,'CDO Bespoke'!$C$14,'CDO Bespoke'!$C$15,'CDO Bespoke'!$C$8,,,TRUE,TRUE,FALSE,'CDO Bespoke'!$C$29:'CDO Bespoke'!$C$31,'CDO Bespoke'!$C$33),{5})),"")</f>
        <v>-0.22998976997881701</v>
      </c>
      <c r="Y78" s="527" cm="1">
        <f t="array" aca="1" ref="Y78" ca="1">IF($V78&lt;&gt;"",-TRANSPOSE(INDEX(getcds('CDO Bespoke'!$C103,Y$13,'CDO Bespoke'!$G103/10000,'CDO Bespoke'!H103,'CDO Bespoke'!$L79,'CDO Bespoke'!$C$13,'CDO Bespoke'!$C$14,'CDO Bespoke'!$C$15,'CDO Bespoke'!$C$8,,,TRUE,TRUE,FALSE,'CDO Bespoke'!$C$29:'CDO Bespoke'!$C$31,'CDO Bespoke'!$C$33),{5})),"")</f>
        <v>-0.67627681842774401</v>
      </c>
      <c r="Z78" s="527" cm="1">
        <f t="array" aca="1" ref="Z78" ca="1">IF($V78&lt;&gt;"",-TRANSPOSE(INDEX(getcds('CDO Bespoke'!$C103,Z$13,'CDO Bespoke'!$G103/10000,'CDO Bespoke'!I103,'CDO Bespoke'!$L79,'CDO Bespoke'!$C$13,'CDO Bespoke'!$C$14,'CDO Bespoke'!$C$15,'CDO Bespoke'!$C$8,,,TRUE,TRUE,FALSE,'CDO Bespoke'!$C$29:'CDO Bespoke'!$C$31,'CDO Bespoke'!$C$33),{5})),"")</f>
        <v>-1.0770649365265801</v>
      </c>
      <c r="AA78" s="502" cm="1">
        <f t="array" aca="1" ref="AA78" ca="1">IF($V78&lt;&gt;"",-TRANSPOSE(INDEX(getcds('CDO Bespoke'!$C103,AA$13,'CDO Bespoke'!$G103/10000,'CDO Bespoke'!J103,'CDO Bespoke'!$L79,'CDO Bespoke'!$C$13,'CDO Bespoke'!$C$14,'CDO Bespoke'!$C$15,'CDO Bespoke'!$C$8,,,TRUE,TRUE,FALSE,'CDO Bespoke'!$C$29:'CDO Bespoke'!$C$31,'CDO Bespoke'!$C$33),{5})),"")</f>
        <v>-1.92868924739679</v>
      </c>
      <c r="AB78" s="481"/>
      <c r="AC78" s="517"/>
      <c r="AD78" s="518"/>
      <c r="AE78" s="518"/>
      <c r="AF78" s="518"/>
      <c r="AG78" s="518"/>
      <c r="AH78" s="518"/>
      <c r="AI78" s="518"/>
      <c r="AJ78" s="518"/>
      <c r="AK78" s="518"/>
      <c r="AL78" s="519"/>
      <c r="AM78" s="540"/>
    </row>
    <row r="79" spans="2:39" ht="12" thickBot="1">
      <c r="B79" s="563" t="s">
        <v>537</v>
      </c>
      <c r="C79" s="564" t="s">
        <v>66</v>
      </c>
      <c r="D79" s="564" t="s">
        <v>55</v>
      </c>
      <c r="E79" s="564" t="s">
        <v>663</v>
      </c>
      <c r="F79" s="564" t="s">
        <v>662</v>
      </c>
      <c r="G79" s="565">
        <v>0.01</v>
      </c>
      <c r="H79" s="565">
        <v>4.0559999999999997E-3</v>
      </c>
      <c r="I79" s="566">
        <v>0.4</v>
      </c>
      <c r="J79" s="567">
        <v>19</v>
      </c>
      <c r="K79" s="275"/>
      <c r="L79" s="275"/>
      <c r="M79" s="489">
        <f ca="1">IF('CDO Bespoke'!O80&lt;&gt;"",'CDO Bespoke'!O80,"")</f>
        <v>1.0179082571715199</v>
      </c>
      <c r="N79" s="490">
        <f ca="1">IF(M79&lt;&gt;"",ABS(MIN(-0.75*('CDO Bespoke'!Q80)+'CDO Bespoke'!T80,0)),"")</f>
        <v>1.0127696021368626</v>
      </c>
      <c r="O79" s="490">
        <f t="shared" ca="1" si="4"/>
        <v>5.138655034657269E-3</v>
      </c>
      <c r="P79" s="490">
        <f t="shared" ca="1" si="5"/>
        <v>0</v>
      </c>
      <c r="Q79" s="489">
        <f ca="1">IF('CDO Bespoke'!O80&lt;&gt;"",'CDO Bespoke'!O80,"")</f>
        <v>1.0179082571715199</v>
      </c>
      <c r="R79" s="490">
        <f ca="1">IF(Q79&lt;&gt;"",ABS(MIN(-0.75*('CDO Bespoke'!K80)+'CDO Bespoke'!T80,0)),"")</f>
        <v>0.19098243009661198</v>
      </c>
      <c r="S79" s="490">
        <f t="shared" ca="1" si="6"/>
        <v>0.82692582707490792</v>
      </c>
      <c r="T79" s="494">
        <f t="shared" ca="1" si="7"/>
        <v>0</v>
      </c>
      <c r="U79" s="275"/>
      <c r="V79" s="499" t="str">
        <f ca="1">IF('CDO Bespoke'!C104&lt;&gt;"",'CDO Bespoke'!C104,"")</f>
        <v>ENEL S.P.A.</v>
      </c>
      <c r="W79" s="501" cm="1">
        <f t="array" aca="1" ref="W79" ca="1">IF($V79&lt;&gt;"",-TRANSPOSE(INDEX(getcds('CDO Bespoke'!$C104,W$13,'CDO Bespoke'!$G104/10000,'CDO Bespoke'!F104,'CDO Bespoke'!$L80,'CDO Bespoke'!$C$13,'CDO Bespoke'!$C$14,'CDO Bespoke'!$C$15,'CDO Bespoke'!$C$8,,,TRUE,TRUE,FALSE,'CDO Bespoke'!$C$29:'CDO Bespoke'!$C$31,'CDO Bespoke'!$C$33),{5})),"")</f>
        <v>-0.10674706406692</v>
      </c>
      <c r="X79" s="527" cm="1">
        <f t="array" aca="1" ref="X79" ca="1">IF($V79&lt;&gt;"",-TRANSPOSE(INDEX(getcds('CDO Bespoke'!$C104,X$13,'CDO Bespoke'!$G104/10000,'CDO Bespoke'!G104,'CDO Bespoke'!$L80,'CDO Bespoke'!$C$13,'CDO Bespoke'!$C$14,'CDO Bespoke'!$C$15,'CDO Bespoke'!$C$8,,,TRUE,TRUE,FALSE,'CDO Bespoke'!$C$29:'CDO Bespoke'!$C$31,'CDO Bespoke'!$C$33),{5})),"")</f>
        <v>-0.22014807421714599</v>
      </c>
      <c r="Y79" s="527" cm="1">
        <f t="array" aca="1" ref="Y79" ca="1">IF($V79&lt;&gt;"",-TRANSPOSE(INDEX(getcds('CDO Bespoke'!$C104,Y$13,'CDO Bespoke'!$G104/10000,'CDO Bespoke'!H104,'CDO Bespoke'!$L80,'CDO Bespoke'!$C$13,'CDO Bespoke'!$C$14,'CDO Bespoke'!$C$15,'CDO Bespoke'!$C$8,,,TRUE,TRUE,FALSE,'CDO Bespoke'!$C$29:'CDO Bespoke'!$C$31,'CDO Bespoke'!$C$33),{5})),"")</f>
        <v>-0.64816742234070102</v>
      </c>
      <c r="Z79" s="527" cm="1">
        <f t="array" aca="1" ref="Z79" ca="1">IF($V79&lt;&gt;"",-TRANSPOSE(INDEX(getcds('CDO Bespoke'!$C104,Z$13,'CDO Bespoke'!$G104/10000,'CDO Bespoke'!I104,'CDO Bespoke'!$L80,'CDO Bespoke'!$C$13,'CDO Bespoke'!$C$14,'CDO Bespoke'!$C$15,'CDO Bespoke'!$C$8,,,TRUE,TRUE,FALSE,'CDO Bespoke'!$C$29:'CDO Bespoke'!$C$31,'CDO Bespoke'!$C$33),{5})),"")</f>
        <v>-1.0330337905870199</v>
      </c>
      <c r="AA79" s="502" cm="1">
        <f t="array" aca="1" ref="AA79" ca="1">IF($V79&lt;&gt;"",-TRANSPOSE(INDEX(getcds('CDO Bespoke'!$C104,AA$13,'CDO Bespoke'!$G104/10000,'CDO Bespoke'!J104,'CDO Bespoke'!$L80,'CDO Bespoke'!$C$13,'CDO Bespoke'!$C$14,'CDO Bespoke'!$C$15,'CDO Bespoke'!$C$8,,,TRUE,TRUE,FALSE,'CDO Bespoke'!$C$29:'CDO Bespoke'!$C$31,'CDO Bespoke'!$C$33),{5})),"")</f>
        <v>-1.84853596654838</v>
      </c>
      <c r="AB79" s="481"/>
      <c r="AC79" s="517"/>
      <c r="AD79" s="518"/>
      <c r="AE79" s="518"/>
      <c r="AF79" s="518"/>
      <c r="AG79" s="518"/>
      <c r="AH79" s="518"/>
      <c r="AI79" s="518"/>
      <c r="AJ79" s="518"/>
      <c r="AK79" s="518"/>
      <c r="AL79" s="519"/>
      <c r="AM79" s="540"/>
    </row>
    <row r="80" spans="2:39" ht="12" thickBot="1">
      <c r="B80" s="541" t="s">
        <v>537</v>
      </c>
      <c r="C80" s="542" t="s">
        <v>66</v>
      </c>
      <c r="D80" s="542" t="s">
        <v>57</v>
      </c>
      <c r="E80" s="542" t="s">
        <v>663</v>
      </c>
      <c r="F80" s="542" t="s">
        <v>662</v>
      </c>
      <c r="G80" s="549">
        <v>0.01</v>
      </c>
      <c r="H80" s="549">
        <v>7.1669999999999998E-3</v>
      </c>
      <c r="I80" s="551">
        <v>0.4</v>
      </c>
      <c r="J80" s="543">
        <v>19</v>
      </c>
      <c r="K80" s="275"/>
      <c r="L80" s="275"/>
      <c r="M80" s="489">
        <f ca="1">IF('CDO Bespoke'!O81&lt;&gt;"",'CDO Bespoke'!O81,"")</f>
        <v>1.0187259915111699</v>
      </c>
      <c r="N80" s="490">
        <f ca="1">IF(M80&lt;&gt;"",ABS(MIN(-0.75*('CDO Bespoke'!Q81)+'CDO Bespoke'!T81,0)),"")</f>
        <v>1.011232492963686</v>
      </c>
      <c r="O80" s="490">
        <f t="shared" ca="1" si="4"/>
        <v>7.4934985474839344E-3</v>
      </c>
      <c r="P80" s="490">
        <f t="shared" ca="1" si="5"/>
        <v>0</v>
      </c>
      <c r="Q80" s="489">
        <f ca="1">IF('CDO Bespoke'!O81&lt;&gt;"",'CDO Bespoke'!O81,"")</f>
        <v>1.0187259915111699</v>
      </c>
      <c r="R80" s="490">
        <f ca="1">IF(Q80&lt;&gt;"",ABS(MIN(-0.75*('CDO Bespoke'!K81)+'CDO Bespoke'!T81,0)),"")</f>
        <v>0.16884043408008448</v>
      </c>
      <c r="S80" s="490">
        <f t="shared" ca="1" si="6"/>
        <v>0.84988555743108551</v>
      </c>
      <c r="T80" s="494">
        <f t="shared" ca="1" si="7"/>
        <v>0</v>
      </c>
      <c r="U80" s="275"/>
      <c r="V80" s="499" t="str">
        <f ca="1">IF('CDO Bespoke'!C105&lt;&gt;"",'CDO Bespoke'!C105,"")</f>
        <v>ENGIE</v>
      </c>
      <c r="W80" s="501" cm="1">
        <f t="array" aca="1" ref="W80" ca="1">IF($V80&lt;&gt;"",-TRANSPOSE(INDEX(getcds('CDO Bespoke'!$C105,W$13,'CDO Bespoke'!$G105/10000,'CDO Bespoke'!F105,'CDO Bespoke'!$L81,'CDO Bespoke'!$C$13,'CDO Bespoke'!$C$14,'CDO Bespoke'!$C$15,'CDO Bespoke'!$C$8,,,TRUE,TRUE,FALSE,'CDO Bespoke'!$C$29:'CDO Bespoke'!$C$31,'CDO Bespoke'!$C$33),{5})),"")</f>
        <v>-8.8384554766229695E-2</v>
      </c>
      <c r="X80" s="527" cm="1">
        <f t="array" aca="1" ref="X80" ca="1">IF($V80&lt;&gt;"",-TRANSPOSE(INDEX(getcds('CDO Bespoke'!$C105,X$13,'CDO Bespoke'!$G105/10000,'CDO Bespoke'!G105,'CDO Bespoke'!$L81,'CDO Bespoke'!$C$13,'CDO Bespoke'!$C$14,'CDO Bespoke'!$C$15,'CDO Bespoke'!$C$8,,,TRUE,TRUE,FALSE,'CDO Bespoke'!$C$29:'CDO Bespoke'!$C$31,'CDO Bespoke'!$C$33),{5})),"")</f>
        <v>-0.182326651462238</v>
      </c>
      <c r="Y80" s="527" cm="1">
        <f t="array" aca="1" ref="Y80" ca="1">IF($V80&lt;&gt;"",-TRANSPOSE(INDEX(getcds('CDO Bespoke'!$C105,Y$13,'CDO Bespoke'!$G105/10000,'CDO Bespoke'!H105,'CDO Bespoke'!$L81,'CDO Bespoke'!$C$13,'CDO Bespoke'!$C$14,'CDO Bespoke'!$C$15,'CDO Bespoke'!$C$8,,,TRUE,TRUE,FALSE,'CDO Bespoke'!$C$29:'CDO Bespoke'!$C$31,'CDO Bespoke'!$C$33),{5})),"")</f>
        <v>-0.53736885522773403</v>
      </c>
      <c r="Z80" s="527" cm="1">
        <f t="array" aca="1" ref="Z80" ca="1">IF($V80&lt;&gt;"",-TRANSPOSE(INDEX(getcds('CDO Bespoke'!$C105,Z$13,'CDO Bespoke'!$G105/10000,'CDO Bespoke'!I105,'CDO Bespoke'!$L81,'CDO Bespoke'!$C$13,'CDO Bespoke'!$C$14,'CDO Bespoke'!$C$15,'CDO Bespoke'!$C$8,,,TRUE,TRUE,FALSE,'CDO Bespoke'!$C$29:'CDO Bespoke'!$C$31,'CDO Bespoke'!$C$33),{5})),"")</f>
        <v>-0.85855820705512198</v>
      </c>
      <c r="AA80" s="502" cm="1">
        <f t="array" aca="1" ref="AA80" ca="1">IF($V80&lt;&gt;"",-TRANSPOSE(INDEX(getcds('CDO Bespoke'!$C105,AA$13,'CDO Bespoke'!$G105/10000,'CDO Bespoke'!J105,'CDO Bespoke'!$L81,'CDO Bespoke'!$C$13,'CDO Bespoke'!$C$14,'CDO Bespoke'!$C$15,'CDO Bespoke'!$C$8,,,TRUE,TRUE,FALSE,'CDO Bespoke'!$C$29:'CDO Bespoke'!$C$31,'CDO Bespoke'!$C$33),{5})),"")</f>
        <v>-1.54275020138227</v>
      </c>
      <c r="AB80" s="481"/>
      <c r="AC80" s="517"/>
      <c r="AD80" s="518"/>
      <c r="AE80" s="518"/>
      <c r="AF80" s="518"/>
      <c r="AG80" s="518"/>
      <c r="AH80" s="518"/>
      <c r="AI80" s="518"/>
      <c r="AJ80" s="518"/>
      <c r="AK80" s="518"/>
      <c r="AL80" s="519"/>
      <c r="AM80" s="540"/>
    </row>
    <row r="81" spans="2:39" ht="12" thickBot="1">
      <c r="B81" s="558" t="s">
        <v>537</v>
      </c>
      <c r="C81" s="559" t="s">
        <v>66</v>
      </c>
      <c r="D81" s="559" t="s">
        <v>59</v>
      </c>
      <c r="E81" s="559" t="s">
        <v>663</v>
      </c>
      <c r="F81" s="559" t="s">
        <v>662</v>
      </c>
      <c r="G81" s="560">
        <v>0.01</v>
      </c>
      <c r="H81" s="560">
        <v>1.0695E-2</v>
      </c>
      <c r="I81" s="561">
        <v>0.4</v>
      </c>
      <c r="J81" s="562">
        <v>19</v>
      </c>
      <c r="K81" s="275"/>
      <c r="L81" s="275"/>
      <c r="M81" s="489">
        <f ca="1">IF('CDO Bespoke'!O82&lt;&gt;"",'CDO Bespoke'!O82,"")</f>
        <v>1.01815613012745</v>
      </c>
      <c r="N81" s="490">
        <f ca="1">IF(M81&lt;&gt;"",ABS(MIN(-0.75*('CDO Bespoke'!Q82)+'CDO Bespoke'!T82,0)),"")</f>
        <v>1.0121942360692791</v>
      </c>
      <c r="O81" s="490">
        <f t="shared" ca="1" si="4"/>
        <v>5.9618940581709357E-3</v>
      </c>
      <c r="P81" s="490">
        <f t="shared" ca="1" si="5"/>
        <v>0</v>
      </c>
      <c r="Q81" s="489">
        <f ca="1">IF('CDO Bespoke'!O82&lt;&gt;"",'CDO Bespoke'!O82,"")</f>
        <v>1.01815613012745</v>
      </c>
      <c r="R81" s="490">
        <f ca="1">IF(Q81&lt;&gt;"",ABS(MIN(-0.75*('CDO Bespoke'!K82)+'CDO Bespoke'!T82,0)),"")</f>
        <v>0.18475443231964561</v>
      </c>
      <c r="S81" s="490">
        <f t="shared" ca="1" si="6"/>
        <v>0.83340169780780438</v>
      </c>
      <c r="T81" s="494">
        <f t="shared" ca="1" si="7"/>
        <v>0</v>
      </c>
      <c r="U81" s="275"/>
      <c r="V81" s="499" t="str">
        <f ca="1">IF('CDO Bespoke'!C106&lt;&gt;"",'CDO Bespoke'!C106,"")</f>
        <v>ENI S.P.A.</v>
      </c>
      <c r="W81" s="501" cm="1">
        <f t="array" aca="1" ref="W81" ca="1">IF($V81&lt;&gt;"",-TRANSPOSE(INDEX(getcds('CDO Bespoke'!$C106,W$13,'CDO Bespoke'!$G106/10000,'CDO Bespoke'!F106,'CDO Bespoke'!$L82,'CDO Bespoke'!$C$13,'CDO Bespoke'!$C$14,'CDO Bespoke'!$C$15,'CDO Bespoke'!$C$8,,,TRUE,TRUE,FALSE,'CDO Bespoke'!$C$29:'CDO Bespoke'!$C$31,'CDO Bespoke'!$C$33),{5})),"")</f>
        <v>-0.101280645341456</v>
      </c>
      <c r="X81" s="527" cm="1">
        <f t="array" aca="1" ref="X81" ca="1">IF($V81&lt;&gt;"",-TRANSPOSE(INDEX(getcds('CDO Bespoke'!$C106,X$13,'CDO Bespoke'!$G106/10000,'CDO Bespoke'!G106,'CDO Bespoke'!$L82,'CDO Bespoke'!$C$13,'CDO Bespoke'!$C$14,'CDO Bespoke'!$C$15,'CDO Bespoke'!$C$8,,,TRUE,TRUE,FALSE,'CDO Bespoke'!$C$29:'CDO Bespoke'!$C$31,'CDO Bespoke'!$C$33),{5})),"")</f>
        <v>-0.20886175149109201</v>
      </c>
      <c r="Y81" s="527" cm="1">
        <f t="array" aca="1" ref="Y81" ca="1">IF($V81&lt;&gt;"",-TRANSPOSE(INDEX(getcds('CDO Bespoke'!$C106,Y$13,'CDO Bespoke'!$G106/10000,'CDO Bespoke'!H106,'CDO Bespoke'!$L82,'CDO Bespoke'!$C$13,'CDO Bespoke'!$C$14,'CDO Bespoke'!$C$15,'CDO Bespoke'!$C$8,,,TRUE,TRUE,FALSE,'CDO Bespoke'!$C$29:'CDO Bespoke'!$C$31,'CDO Bespoke'!$C$33),{5})),"")</f>
        <v>-0.61479087166053503</v>
      </c>
      <c r="Z81" s="527" cm="1">
        <f t="array" aca="1" ref="Z81" ca="1">IF($V81&lt;&gt;"",-TRANSPOSE(INDEX(getcds('CDO Bespoke'!$C106,Z$13,'CDO Bespoke'!$G106/10000,'CDO Bespoke'!I106,'CDO Bespoke'!$L82,'CDO Bespoke'!$C$13,'CDO Bespoke'!$C$14,'CDO Bespoke'!$C$15,'CDO Bespoke'!$C$8,,,TRUE,TRUE,FALSE,'CDO Bespoke'!$C$29:'CDO Bespoke'!$C$31,'CDO Bespoke'!$C$33),{5})),"")</f>
        <v>-0.980585038768789</v>
      </c>
      <c r="AA81" s="502" cm="1">
        <f t="array" aca="1" ref="AA81" ca="1">IF($V81&lt;&gt;"",-TRANSPOSE(INDEX(getcds('CDO Bespoke'!$C106,AA$13,'CDO Bespoke'!$G106/10000,'CDO Bespoke'!J106,'CDO Bespoke'!$L82,'CDO Bespoke'!$C$13,'CDO Bespoke'!$C$14,'CDO Bespoke'!$C$15,'CDO Bespoke'!$C$8,,,TRUE,TRUE,FALSE,'CDO Bespoke'!$C$29:'CDO Bespoke'!$C$31,'CDO Bespoke'!$C$33),{5})),"")</f>
        <v>-1.7588959649649101</v>
      </c>
      <c r="AB81" s="481"/>
      <c r="AC81" s="517"/>
      <c r="AD81" s="518"/>
      <c r="AE81" s="518"/>
      <c r="AF81" s="518"/>
      <c r="AG81" s="518"/>
      <c r="AH81" s="518"/>
      <c r="AI81" s="518"/>
      <c r="AJ81" s="518"/>
      <c r="AK81" s="518"/>
      <c r="AL81" s="519"/>
      <c r="AM81" s="540"/>
    </row>
    <row r="82" spans="2:39" ht="12" thickBot="1">
      <c r="B82" s="563" t="s">
        <v>627</v>
      </c>
      <c r="C82" s="564" t="s">
        <v>66</v>
      </c>
      <c r="D82" s="564" t="s">
        <v>55</v>
      </c>
      <c r="E82" s="564" t="s">
        <v>667</v>
      </c>
      <c r="F82" s="564" t="s">
        <v>664</v>
      </c>
      <c r="G82" s="565">
        <v>0.01</v>
      </c>
      <c r="H82" s="565">
        <v>1.191E-3</v>
      </c>
      <c r="I82" s="566">
        <v>0.4</v>
      </c>
      <c r="J82" s="567">
        <v>20</v>
      </c>
      <c r="K82" s="275"/>
      <c r="L82" s="275"/>
      <c r="M82" s="489">
        <f ca="1">IF('CDO Bespoke'!O83&lt;&gt;"",'CDO Bespoke'!O83,"")</f>
        <v>1.01937176541675</v>
      </c>
      <c r="N82" s="490">
        <f ca="1">IF(M82&lt;&gt;"",ABS(MIN(-0.75*('CDO Bespoke'!Q83)+'CDO Bespoke'!T83,0)),"")</f>
        <v>1.0097274721666867</v>
      </c>
      <c r="O82" s="490">
        <f t="shared" ca="1" si="4"/>
        <v>9.6442932500633294E-3</v>
      </c>
      <c r="P82" s="490">
        <f t="shared" ca="1" si="5"/>
        <v>0</v>
      </c>
      <c r="Q82" s="489">
        <f ca="1">IF('CDO Bespoke'!O83&lt;&gt;"",'CDO Bespoke'!O83,"")</f>
        <v>1.01937176541675</v>
      </c>
      <c r="R82" s="490">
        <f ca="1">IF(Q82&lt;&gt;"",ABS(MIN(-0.75*('CDO Bespoke'!K83)+'CDO Bespoke'!T83,0)),"")</f>
        <v>0.14120006127857085</v>
      </c>
      <c r="S82" s="490">
        <f t="shared" ca="1" si="6"/>
        <v>0.87817170413817913</v>
      </c>
      <c r="T82" s="494">
        <f t="shared" ca="1" si="7"/>
        <v>0</v>
      </c>
      <c r="U82" s="275"/>
      <c r="V82" s="499" t="str">
        <f ca="1">IF('CDO Bespoke'!C107&lt;&gt;"",'CDO Bespoke'!C107,"")</f>
        <v>EQUINOR ASA</v>
      </c>
      <c r="W82" s="501" cm="1">
        <f t="array" aca="1" ref="W82" ca="1">IF($V82&lt;&gt;"",-TRANSPOSE(INDEX(getcds('CDO Bespoke'!$C107,W$13,'CDO Bespoke'!$G107/10000,'CDO Bespoke'!F107,'CDO Bespoke'!$L83,'CDO Bespoke'!$C$13,'CDO Bespoke'!$C$14,'CDO Bespoke'!$C$15,'CDO Bespoke'!$C$8,,,TRUE,TRUE,FALSE,'CDO Bespoke'!$C$29:'CDO Bespoke'!$C$31,'CDO Bespoke'!$C$33),{5})),"")</f>
        <v>-6.6669299304123894E-2</v>
      </c>
      <c r="X82" s="527" cm="1">
        <f t="array" aca="1" ref="X82" ca="1">IF($V82&lt;&gt;"",-TRANSPOSE(INDEX(getcds('CDO Bespoke'!$C107,X$13,'CDO Bespoke'!$G107/10000,'CDO Bespoke'!G107,'CDO Bespoke'!$L83,'CDO Bespoke'!$C$13,'CDO Bespoke'!$C$14,'CDO Bespoke'!$C$15,'CDO Bespoke'!$C$8,,,TRUE,TRUE,FALSE,'CDO Bespoke'!$C$29:'CDO Bespoke'!$C$31,'CDO Bespoke'!$C$33),{5})),"")</f>
        <v>-0.137582270877738</v>
      </c>
      <c r="Y82" s="527" cm="1">
        <f t="array" aca="1" ref="Y82" ca="1">IF($V82&lt;&gt;"",-TRANSPOSE(INDEX(getcds('CDO Bespoke'!$C107,Y$13,'CDO Bespoke'!$G107/10000,'CDO Bespoke'!H107,'CDO Bespoke'!$L83,'CDO Bespoke'!$C$13,'CDO Bespoke'!$C$14,'CDO Bespoke'!$C$15,'CDO Bespoke'!$C$8,,,TRUE,TRUE,FALSE,'CDO Bespoke'!$C$29:'CDO Bespoke'!$C$31,'CDO Bespoke'!$C$33),{5})),"")</f>
        <v>-0.40609088038865798</v>
      </c>
      <c r="Z82" s="527" cm="1">
        <f t="array" aca="1" ref="Z82" ca="1">IF($V82&lt;&gt;"",-TRANSPOSE(INDEX(getcds('CDO Bespoke'!$C107,Z$13,'CDO Bespoke'!$G107/10000,'CDO Bespoke'!I107,'CDO Bespoke'!$L83,'CDO Bespoke'!$C$13,'CDO Bespoke'!$C$14,'CDO Bespoke'!$C$15,'CDO Bespoke'!$C$8,,,TRUE,TRUE,FALSE,'CDO Bespoke'!$C$29:'CDO Bespoke'!$C$31,'CDO Bespoke'!$C$33),{5})),"")</f>
        <v>-0.65043956713500795</v>
      </c>
      <c r="AA82" s="502" cm="1">
        <f t="array" aca="1" ref="AA82" ca="1">IF($V82&lt;&gt;"",-TRANSPOSE(INDEX(getcds('CDO Bespoke'!$C107,AA$13,'CDO Bespoke'!$G107/10000,'CDO Bespoke'!J107,'CDO Bespoke'!$L83,'CDO Bespoke'!$C$13,'CDO Bespoke'!$C$14,'CDO Bespoke'!$C$15,'CDO Bespoke'!$C$8,,,TRUE,TRUE,FALSE,'CDO Bespoke'!$C$29:'CDO Bespoke'!$C$31,'CDO Bespoke'!$C$33),{5})),"")</f>
        <v>-1.17158825198365</v>
      </c>
      <c r="AB82" s="481"/>
      <c r="AC82" s="517"/>
      <c r="AD82" s="518"/>
      <c r="AE82" s="518"/>
      <c r="AF82" s="518"/>
      <c r="AG82" s="518"/>
      <c r="AH82" s="518"/>
      <c r="AI82" s="518"/>
      <c r="AJ82" s="518"/>
      <c r="AK82" s="518"/>
      <c r="AL82" s="519"/>
      <c r="AM82" s="540"/>
    </row>
    <row r="83" spans="2:39" ht="12" thickBot="1">
      <c r="B83" s="541" t="s">
        <v>627</v>
      </c>
      <c r="C83" s="542" t="s">
        <v>66</v>
      </c>
      <c r="D83" s="542" t="s">
        <v>57</v>
      </c>
      <c r="E83" s="542" t="s">
        <v>667</v>
      </c>
      <c r="F83" s="542" t="s">
        <v>664</v>
      </c>
      <c r="G83" s="549">
        <v>0.01</v>
      </c>
      <c r="H83" s="549">
        <v>1.908E-3</v>
      </c>
      <c r="I83" s="551">
        <v>0.4</v>
      </c>
      <c r="J83" s="543">
        <v>20</v>
      </c>
      <c r="K83" s="275"/>
      <c r="L83" s="275"/>
      <c r="M83" s="489">
        <f ca="1">IF('CDO Bespoke'!O84&lt;&gt;"",'CDO Bespoke'!O84,"")</f>
        <v>1.0186958065519001</v>
      </c>
      <c r="N83" s="490">
        <f ca="1">IF(M83&lt;&gt;"",ABS(MIN(-0.75*('CDO Bespoke'!Q84)+'CDO Bespoke'!T84,0)),"")</f>
        <v>1.011354075467487</v>
      </c>
      <c r="O83" s="490">
        <f t="shared" ca="1" si="4"/>
        <v>7.3417310844130501E-3</v>
      </c>
      <c r="P83" s="490">
        <f t="shared" ca="1" si="5"/>
        <v>0</v>
      </c>
      <c r="Q83" s="489">
        <f ca="1">IF('CDO Bespoke'!O84&lt;&gt;"",'CDO Bespoke'!O84,"")</f>
        <v>1.0186958065519001</v>
      </c>
      <c r="R83" s="490">
        <f ca="1">IF(Q83&lt;&gt;"",ABS(MIN(-0.75*('CDO Bespoke'!K84)+'CDO Bespoke'!T84,0)),"")</f>
        <v>0.16999000360599525</v>
      </c>
      <c r="S83" s="490">
        <f t="shared" ca="1" si="6"/>
        <v>0.84870580294590481</v>
      </c>
      <c r="T83" s="494">
        <f t="shared" ca="1" si="7"/>
        <v>0</v>
      </c>
      <c r="U83" s="275"/>
      <c r="V83" s="499" t="str">
        <f ca="1">IF('CDO Bespoke'!C108&lt;&gt;"",'CDO Bespoke'!C108,"")</f>
        <v>Fortum Oyj</v>
      </c>
      <c r="W83" s="501" cm="1">
        <f t="array" aca="1" ref="W83" ca="1">IF($V83&lt;&gt;"",-TRANSPOSE(INDEX(getcds('CDO Bespoke'!$C108,W$13,'CDO Bespoke'!$G108/10000,'CDO Bespoke'!F108,'CDO Bespoke'!$L84,'CDO Bespoke'!$C$13,'CDO Bespoke'!$C$14,'CDO Bespoke'!$C$15,'CDO Bespoke'!$C$8,,,TRUE,TRUE,FALSE,'CDO Bespoke'!$C$29:'CDO Bespoke'!$C$31,'CDO Bespoke'!$C$33),{5})),"")</f>
        <v>-8.9418768010807906E-2</v>
      </c>
      <c r="X83" s="527" cm="1">
        <f t="array" aca="1" ref="X83" ca="1">IF($V83&lt;&gt;"",-TRANSPOSE(INDEX(getcds('CDO Bespoke'!$C108,X$13,'CDO Bespoke'!$G108/10000,'CDO Bespoke'!G108,'CDO Bespoke'!$L84,'CDO Bespoke'!$C$13,'CDO Bespoke'!$C$14,'CDO Bespoke'!$C$15,'CDO Bespoke'!$C$8,,,TRUE,TRUE,FALSE,'CDO Bespoke'!$C$29:'CDO Bespoke'!$C$31,'CDO Bespoke'!$C$33),{5})),"")</f>
        <v>-0.18446745918211299</v>
      </c>
      <c r="Y83" s="527" cm="1">
        <f t="array" aca="1" ref="Y83" ca="1">IF($V83&lt;&gt;"",-TRANSPOSE(INDEX(getcds('CDO Bespoke'!$C108,Y$13,'CDO Bespoke'!$G108/10000,'CDO Bespoke'!H108,'CDO Bespoke'!$L84,'CDO Bespoke'!$C$13,'CDO Bespoke'!$C$14,'CDO Bespoke'!$C$15,'CDO Bespoke'!$C$8,,,TRUE,TRUE,FALSE,'CDO Bespoke'!$C$29:'CDO Bespoke'!$C$31,'CDO Bespoke'!$C$33),{5})),"")</f>
        <v>-0.54376336943583403</v>
      </c>
      <c r="Z83" s="527" cm="1">
        <f t="array" aca="1" ref="Z83" ca="1">IF($V83&lt;&gt;"",-TRANSPOSE(INDEX(getcds('CDO Bespoke'!$C108,Z$13,'CDO Bespoke'!$G108/10000,'CDO Bespoke'!I108,'CDO Bespoke'!$L84,'CDO Bespoke'!$C$13,'CDO Bespoke'!$C$14,'CDO Bespoke'!$C$15,'CDO Bespoke'!$C$8,,,TRUE,TRUE,FALSE,'CDO Bespoke'!$C$29:'CDO Bespoke'!$C$31,'CDO Bespoke'!$C$33),{5})),"")</f>
        <v>-0.86865743255763905</v>
      </c>
      <c r="AA83" s="502" cm="1">
        <f t="array" aca="1" ref="AA83" ca="1">IF($V83&lt;&gt;"",-TRANSPOSE(INDEX(getcds('CDO Bespoke'!$C108,AA$13,'CDO Bespoke'!$G108/10000,'CDO Bespoke'!J108,'CDO Bespoke'!$L84,'CDO Bespoke'!$C$13,'CDO Bespoke'!$C$14,'CDO Bespoke'!$C$15,'CDO Bespoke'!$C$8,,,TRUE,TRUE,FALSE,'CDO Bespoke'!$C$29:'CDO Bespoke'!$C$31,'CDO Bespoke'!$C$33),{5})),"")</f>
        <v>-1.55960566609191</v>
      </c>
      <c r="AB83" s="481"/>
      <c r="AC83" s="517"/>
      <c r="AD83" s="518"/>
      <c r="AE83" s="518"/>
      <c r="AF83" s="518"/>
      <c r="AG83" s="518"/>
      <c r="AH83" s="518"/>
      <c r="AI83" s="518"/>
      <c r="AJ83" s="518"/>
      <c r="AK83" s="518"/>
      <c r="AL83" s="519"/>
      <c r="AM83" s="540"/>
    </row>
    <row r="84" spans="2:39" ht="12" thickBot="1">
      <c r="B84" s="558" t="s">
        <v>627</v>
      </c>
      <c r="C84" s="559" t="s">
        <v>66</v>
      </c>
      <c r="D84" s="559" t="s">
        <v>59</v>
      </c>
      <c r="E84" s="559" t="s">
        <v>667</v>
      </c>
      <c r="F84" s="559" t="s">
        <v>664</v>
      </c>
      <c r="G84" s="560">
        <v>0.01</v>
      </c>
      <c r="H84" s="560">
        <v>2.9069999999999999E-3</v>
      </c>
      <c r="I84" s="561">
        <v>0.4</v>
      </c>
      <c r="J84" s="562">
        <v>20</v>
      </c>
      <c r="K84" s="275"/>
      <c r="L84" s="275"/>
      <c r="M84" s="489">
        <f ca="1">IF('CDO Bespoke'!O85&lt;&gt;"",'CDO Bespoke'!O85,"")</f>
        <v>1.0189743630910399</v>
      </c>
      <c r="N84" s="490">
        <f ca="1">IF(M84&lt;&gt;"",ABS(MIN(-0.75*('CDO Bespoke'!Q85)+'CDO Bespoke'!T85,0)),"")</f>
        <v>1.0107465943576346</v>
      </c>
      <c r="O84" s="490">
        <f t="shared" ca="1" si="4"/>
        <v>8.2277687334053606E-3</v>
      </c>
      <c r="P84" s="490">
        <f t="shared" ca="1" si="5"/>
        <v>0</v>
      </c>
      <c r="Q84" s="489">
        <f ca="1">IF('CDO Bespoke'!O85&lt;&gt;"",'CDO Bespoke'!O85,"")</f>
        <v>1.0189743630910399</v>
      </c>
      <c r="R84" s="490">
        <f ca="1">IF(Q84&lt;&gt;"",ABS(MIN(-0.75*('CDO Bespoke'!K85)+'CDO Bespoke'!T85,0)),"")</f>
        <v>0.16006569230063811</v>
      </c>
      <c r="S84" s="490">
        <f t="shared" ca="1" si="6"/>
        <v>0.8589086707904019</v>
      </c>
      <c r="T84" s="494">
        <f t="shared" ca="1" si="7"/>
        <v>0</v>
      </c>
      <c r="U84" s="275"/>
      <c r="V84" s="499" t="str">
        <f ca="1">IF('CDO Bespoke'!C109&lt;&gt;"",'CDO Bespoke'!C109,"")</f>
        <v>Iberdrola, S.A.</v>
      </c>
      <c r="W84" s="501" cm="1">
        <f t="array" aca="1" ref="W84" ca="1">IF($V84&lt;&gt;"",-TRANSPOSE(INDEX(getcds('CDO Bespoke'!$C109,W$13,'CDO Bespoke'!$G109/10000,'CDO Bespoke'!F109,'CDO Bespoke'!$L85,'CDO Bespoke'!$C$13,'CDO Bespoke'!$C$14,'CDO Bespoke'!$C$15,'CDO Bespoke'!$C$8,,,TRUE,TRUE,FALSE,'CDO Bespoke'!$C$29:'CDO Bespoke'!$C$31,'CDO Bespoke'!$C$33),{5})),"")</f>
        <v>-8.1430820606364293E-2</v>
      </c>
      <c r="X84" s="527" cm="1">
        <f t="array" aca="1" ref="X84" ca="1">IF($V84&lt;&gt;"",-TRANSPOSE(INDEX(getcds('CDO Bespoke'!$C109,X$13,'CDO Bespoke'!$G109/10000,'CDO Bespoke'!G109,'CDO Bespoke'!$L85,'CDO Bespoke'!$C$13,'CDO Bespoke'!$C$14,'CDO Bespoke'!$C$15,'CDO Bespoke'!$C$8,,,TRUE,TRUE,FALSE,'CDO Bespoke'!$C$29:'CDO Bespoke'!$C$31,'CDO Bespoke'!$C$33),{5})),"")</f>
        <v>-0.16800850848512</v>
      </c>
      <c r="Y84" s="527" cm="1">
        <f t="array" aca="1" ref="Y84" ca="1">IF($V84&lt;&gt;"",-TRANSPOSE(INDEX(getcds('CDO Bespoke'!$C109,Y$13,'CDO Bespoke'!$G109/10000,'CDO Bespoke'!H109,'CDO Bespoke'!$L85,'CDO Bespoke'!$C$13,'CDO Bespoke'!$C$14,'CDO Bespoke'!$C$15,'CDO Bespoke'!$C$8,,,TRUE,TRUE,FALSE,'CDO Bespoke'!$C$29:'CDO Bespoke'!$C$31,'CDO Bespoke'!$C$33),{5})),"")</f>
        <v>-0.49547633169809402</v>
      </c>
      <c r="Z84" s="527" cm="1">
        <f t="array" aca="1" ref="Z84" ca="1">IF($V84&lt;&gt;"",-TRANSPOSE(INDEX(getcds('CDO Bespoke'!$C109,Z$13,'CDO Bespoke'!$G109/10000,'CDO Bespoke'!I109,'CDO Bespoke'!$L85,'CDO Bespoke'!$C$13,'CDO Bespoke'!$C$14,'CDO Bespoke'!$C$15,'CDO Bespoke'!$C$8,,,TRUE,TRUE,FALSE,'CDO Bespoke'!$C$29:'CDO Bespoke'!$C$31,'CDO Bespoke'!$C$33),{5})),"")</f>
        <v>-0.79229735750498498</v>
      </c>
      <c r="AA84" s="502" cm="1">
        <f t="array" aca="1" ref="AA84" ca="1">IF($V84&lt;&gt;"",-TRANSPOSE(INDEX(getcds('CDO Bespoke'!$C109,AA$13,'CDO Bespoke'!$G109/10000,'CDO Bespoke'!J109,'CDO Bespoke'!$L85,'CDO Bespoke'!$C$13,'CDO Bespoke'!$C$14,'CDO Bespoke'!$C$15,'CDO Bespoke'!$C$8,,,TRUE,TRUE,FALSE,'CDO Bespoke'!$C$29:'CDO Bespoke'!$C$31,'CDO Bespoke'!$C$33),{5})),"")</f>
        <v>-1.42365870193717</v>
      </c>
      <c r="AB84" s="481"/>
      <c r="AC84" s="517"/>
      <c r="AD84" s="518"/>
      <c r="AE84" s="518"/>
      <c r="AF84" s="518"/>
      <c r="AG84" s="518"/>
      <c r="AH84" s="518"/>
      <c r="AI84" s="518"/>
      <c r="AJ84" s="518"/>
      <c r="AK84" s="518"/>
      <c r="AL84" s="519"/>
      <c r="AM84" s="540"/>
    </row>
    <row r="85" spans="2:39" ht="12" thickBot="1">
      <c r="B85" s="563" t="s">
        <v>522</v>
      </c>
      <c r="C85" s="564" t="s">
        <v>66</v>
      </c>
      <c r="D85" s="564" t="s">
        <v>55</v>
      </c>
      <c r="E85" s="564" t="s">
        <v>661</v>
      </c>
      <c r="F85" s="564" t="s">
        <v>664</v>
      </c>
      <c r="G85" s="565">
        <v>0.01</v>
      </c>
      <c r="H85" s="565">
        <v>1.2049999999999999E-3</v>
      </c>
      <c r="I85" s="566">
        <v>0.4</v>
      </c>
      <c r="J85" s="567">
        <v>21</v>
      </c>
      <c r="K85" s="275"/>
      <c r="L85" s="275"/>
      <c r="M85" s="489">
        <f ca="1">IF('CDO Bespoke'!O86&lt;&gt;"",'CDO Bespoke'!O86,"")</f>
        <v>1.0180191867399</v>
      </c>
      <c r="N85" s="490">
        <f ca="1">IF(M85&lt;&gt;"",ABS(MIN(-0.75*('CDO Bespoke'!Q86)+'CDO Bespoke'!T86,0)),"")</f>
        <v>1.0123542586449386</v>
      </c>
      <c r="O85" s="490">
        <f t="shared" ca="1" si="4"/>
        <v>5.6649280949614411E-3</v>
      </c>
      <c r="P85" s="490">
        <f t="shared" ca="1" si="5"/>
        <v>0</v>
      </c>
      <c r="Q85" s="489">
        <f ca="1">IF('CDO Bespoke'!O86&lt;&gt;"",'CDO Bespoke'!O86,"")</f>
        <v>1.0180191867399</v>
      </c>
      <c r="R85" s="490">
        <f ca="1">IF(Q85&lt;&gt;"",ABS(MIN(-0.75*('CDO Bespoke'!K86)+'CDO Bespoke'!T86,0)),"")</f>
        <v>0.18782312189476449</v>
      </c>
      <c r="S85" s="490">
        <f t="shared" ca="1" si="6"/>
        <v>0.83019606484513553</v>
      </c>
      <c r="T85" s="494">
        <f t="shared" ca="1" si="7"/>
        <v>0</v>
      </c>
      <c r="U85" s="275"/>
      <c r="V85" s="499" t="str">
        <f ca="1">IF('CDO Bespoke'!C110&lt;&gt;"",'CDO Bespoke'!C110,"")</f>
        <v>NATIONAL GRID PLC</v>
      </c>
      <c r="W85" s="501" cm="1">
        <f t="array" aca="1" ref="W85" ca="1">IF($V85&lt;&gt;"",-TRANSPOSE(INDEX(getcds('CDO Bespoke'!$C110,W$13,'CDO Bespoke'!$G110/10000,'CDO Bespoke'!F110,'CDO Bespoke'!$L86,'CDO Bespoke'!$C$13,'CDO Bespoke'!$C$14,'CDO Bespoke'!$C$15,'CDO Bespoke'!$C$8,,,TRUE,TRUE,FALSE,'CDO Bespoke'!$C$29:'CDO Bespoke'!$C$31,'CDO Bespoke'!$C$33),{5})),"")</f>
        <v>-0.103742934261427</v>
      </c>
      <c r="X85" s="527" cm="1">
        <f t="array" aca="1" ref="X85" ca="1">IF($V85&lt;&gt;"",-TRANSPOSE(INDEX(getcds('CDO Bespoke'!$C110,X$13,'CDO Bespoke'!$G110/10000,'CDO Bespoke'!G110,'CDO Bespoke'!$L86,'CDO Bespoke'!$C$13,'CDO Bespoke'!$C$14,'CDO Bespoke'!$C$15,'CDO Bespoke'!$C$8,,,TRUE,TRUE,FALSE,'CDO Bespoke'!$C$29:'CDO Bespoke'!$C$31,'CDO Bespoke'!$C$33),{5})),"")</f>
        <v>-0.21391473329709701</v>
      </c>
      <c r="Y85" s="527" cm="1">
        <f t="array" aca="1" ref="Y85" ca="1">IF($V85&lt;&gt;"",-TRANSPOSE(INDEX(getcds('CDO Bespoke'!$C110,Y$13,'CDO Bespoke'!$G110/10000,'CDO Bespoke'!H110,'CDO Bespoke'!$L86,'CDO Bespoke'!$C$13,'CDO Bespoke'!$C$14,'CDO Bespoke'!$C$15,'CDO Bespoke'!$C$8,,,TRUE,TRUE,FALSE,'CDO Bespoke'!$C$29:'CDO Bespoke'!$C$31,'CDO Bespoke'!$C$33),{5})),"")</f>
        <v>-0.62937892861910705</v>
      </c>
      <c r="Z85" s="527" cm="1">
        <f t="array" aca="1" ref="Z85" ca="1">IF($V85&lt;&gt;"",-TRANSPOSE(INDEX(getcds('CDO Bespoke'!$C110,Z$13,'CDO Bespoke'!$G110/10000,'CDO Bespoke'!I110,'CDO Bespoke'!$L86,'CDO Bespoke'!$C$13,'CDO Bespoke'!$C$14,'CDO Bespoke'!$C$15,'CDO Bespoke'!$C$8,,,TRUE,TRUE,FALSE,'CDO Bespoke'!$C$29:'CDO Bespoke'!$C$31,'CDO Bespoke'!$C$33),{5})),"")</f>
        <v>-1.00350291168261</v>
      </c>
      <c r="AA85" s="502" cm="1">
        <f t="array" aca="1" ref="AA85" ca="1">IF($V85&lt;&gt;"",-TRANSPOSE(INDEX(getcds('CDO Bespoke'!$C110,AA$13,'CDO Bespoke'!$G110/10000,'CDO Bespoke'!J110,'CDO Bespoke'!$L86,'CDO Bespoke'!$C$13,'CDO Bespoke'!$C$14,'CDO Bespoke'!$C$15,'CDO Bespoke'!$C$8,,,TRUE,TRUE,FALSE,'CDO Bespoke'!$C$29:'CDO Bespoke'!$C$31,'CDO Bespoke'!$C$33),{5})),"")</f>
        <v>-1.7999170441829799</v>
      </c>
      <c r="AB85" s="481"/>
      <c r="AC85" s="517"/>
      <c r="AD85" s="518"/>
      <c r="AE85" s="518"/>
      <c r="AF85" s="518"/>
      <c r="AG85" s="518"/>
      <c r="AH85" s="518"/>
      <c r="AI85" s="518"/>
      <c r="AJ85" s="518"/>
      <c r="AK85" s="518"/>
      <c r="AL85" s="519"/>
      <c r="AM85" s="540"/>
    </row>
    <row r="86" spans="2:39" ht="12" thickBot="1">
      <c r="B86" s="541" t="s">
        <v>522</v>
      </c>
      <c r="C86" s="542" t="s">
        <v>66</v>
      </c>
      <c r="D86" s="542" t="s">
        <v>57</v>
      </c>
      <c r="E86" s="542" t="s">
        <v>661</v>
      </c>
      <c r="F86" s="542" t="s">
        <v>664</v>
      </c>
      <c r="G86" s="549">
        <v>0.01</v>
      </c>
      <c r="H86" s="549">
        <v>1.9740000000000001E-3</v>
      </c>
      <c r="I86" s="551">
        <v>0.4</v>
      </c>
      <c r="J86" s="543">
        <v>21</v>
      </c>
      <c r="K86" s="275"/>
      <c r="L86" s="275"/>
      <c r="M86" s="489">
        <f ca="1">IF('CDO Bespoke'!O87&lt;&gt;"",'CDO Bespoke'!O87,"")</f>
        <v>1.0185894184419999</v>
      </c>
      <c r="N86" s="490">
        <f ca="1">IF(M86&lt;&gt;"",ABS(MIN(-0.75*('CDO Bespoke'!Q87)+'CDO Bespoke'!T87,0)),"")</f>
        <v>1.0114281046261091</v>
      </c>
      <c r="O86" s="490">
        <f t="shared" ca="1" si="4"/>
        <v>7.1613138158908018E-3</v>
      </c>
      <c r="P86" s="490">
        <f t="shared" ca="1" si="5"/>
        <v>0</v>
      </c>
      <c r="Q86" s="489">
        <f ca="1">IF('CDO Bespoke'!O87&lt;&gt;"",'CDO Bespoke'!O87,"")</f>
        <v>1.0185894184419999</v>
      </c>
      <c r="R86" s="490">
        <f ca="1">IF(Q86&lt;&gt;"",ABS(MIN(-0.75*('CDO Bespoke'!K87)+'CDO Bespoke'!T87,0)),"")</f>
        <v>0.17292890189661558</v>
      </c>
      <c r="S86" s="490">
        <f t="shared" ca="1" si="6"/>
        <v>0.84566051654538432</v>
      </c>
      <c r="T86" s="494">
        <f t="shared" ca="1" si="7"/>
        <v>0</v>
      </c>
      <c r="U86" s="275"/>
      <c r="V86" s="499" t="str">
        <f ca="1">IF('CDO Bespoke'!C111&lt;&gt;"",'CDO Bespoke'!C111,"")</f>
        <v>NATURGY ENERGY GROUP, S.A.</v>
      </c>
      <c r="W86" s="501" cm="1">
        <f t="array" aca="1" ref="W86" ca="1">IF($V86&lt;&gt;"",-TRANSPOSE(INDEX(getcds('CDO Bespoke'!$C111,W$13,'CDO Bespoke'!$G111/10000,'CDO Bespoke'!F111,'CDO Bespoke'!$L87,'CDO Bespoke'!$C$13,'CDO Bespoke'!$C$14,'CDO Bespoke'!$C$15,'CDO Bespoke'!$C$8,,,TRUE,TRUE,FALSE,'CDO Bespoke'!$C$29:'CDO Bespoke'!$C$31,'CDO Bespoke'!$C$33),{5})),"")</f>
        <v>-9.1580314148531294E-2</v>
      </c>
      <c r="X86" s="527" cm="1">
        <f t="array" aca="1" ref="X86" ca="1">IF($V86&lt;&gt;"",-TRANSPOSE(INDEX(getcds('CDO Bespoke'!$C111,X$13,'CDO Bespoke'!$G111/10000,'CDO Bespoke'!G111,'CDO Bespoke'!$L87,'CDO Bespoke'!$C$13,'CDO Bespoke'!$C$14,'CDO Bespoke'!$C$15,'CDO Bespoke'!$C$8,,,TRUE,TRUE,FALSE,'CDO Bespoke'!$C$29:'CDO Bespoke'!$C$31,'CDO Bespoke'!$C$33),{5})),"")</f>
        <v>-0.18889520112795499</v>
      </c>
      <c r="Y86" s="527" cm="1">
        <f t="array" aca="1" ref="Y86" ca="1">IF($V86&lt;&gt;"",-TRANSPOSE(INDEX(getcds('CDO Bespoke'!$C111,Y$13,'CDO Bespoke'!$G111/10000,'CDO Bespoke'!H111,'CDO Bespoke'!$L87,'CDO Bespoke'!$C$13,'CDO Bespoke'!$C$14,'CDO Bespoke'!$C$15,'CDO Bespoke'!$C$8,,,TRUE,TRUE,FALSE,'CDO Bespoke'!$C$29:'CDO Bespoke'!$C$31,'CDO Bespoke'!$C$33),{5})),"")</f>
        <v>-0.55645205431057498</v>
      </c>
      <c r="Z86" s="527" cm="1">
        <f t="array" aca="1" ref="Z86" ca="1">IF($V86&lt;&gt;"",-TRANSPOSE(INDEX(getcds('CDO Bespoke'!$C111,Z$13,'CDO Bespoke'!$G111/10000,'CDO Bespoke'!I111,'CDO Bespoke'!$L87,'CDO Bespoke'!$C$13,'CDO Bespoke'!$C$14,'CDO Bespoke'!$C$15,'CDO Bespoke'!$C$8,,,TRUE,TRUE,FALSE,'CDO Bespoke'!$C$29:'CDO Bespoke'!$C$31,'CDO Bespoke'!$C$33),{5})),"")</f>
        <v>-0.88868746201231097</v>
      </c>
      <c r="AA86" s="502" cm="1">
        <f t="array" aca="1" ref="AA86" ca="1">IF($V86&lt;&gt;"",-TRANSPOSE(INDEX(getcds('CDO Bespoke'!$C111,AA$13,'CDO Bespoke'!$G111/10000,'CDO Bespoke'!J111,'CDO Bespoke'!$L87,'CDO Bespoke'!$C$13,'CDO Bespoke'!$C$14,'CDO Bespoke'!$C$15,'CDO Bespoke'!$C$8,,,TRUE,TRUE,FALSE,'CDO Bespoke'!$C$29:'CDO Bespoke'!$C$31,'CDO Bespoke'!$C$33),{5})),"")</f>
        <v>-1.59597452057006</v>
      </c>
      <c r="AB86" s="481"/>
      <c r="AC86" s="517"/>
      <c r="AD86" s="518"/>
      <c r="AE86" s="518"/>
      <c r="AF86" s="518"/>
      <c r="AG86" s="518"/>
      <c r="AH86" s="518"/>
      <c r="AI86" s="518"/>
      <c r="AJ86" s="518"/>
      <c r="AK86" s="518"/>
      <c r="AL86" s="519"/>
      <c r="AM86" s="540"/>
    </row>
    <row r="87" spans="2:39" ht="12" thickBot="1">
      <c r="B87" s="558" t="s">
        <v>522</v>
      </c>
      <c r="C87" s="559" t="s">
        <v>66</v>
      </c>
      <c r="D87" s="559" t="s">
        <v>59</v>
      </c>
      <c r="E87" s="559" t="s">
        <v>661</v>
      </c>
      <c r="F87" s="559" t="s">
        <v>664</v>
      </c>
      <c r="G87" s="560">
        <v>0.01</v>
      </c>
      <c r="H87" s="560">
        <v>3.055E-3</v>
      </c>
      <c r="I87" s="561">
        <v>0.4</v>
      </c>
      <c r="J87" s="562">
        <v>21</v>
      </c>
      <c r="K87" s="275"/>
      <c r="L87" s="275"/>
      <c r="M87" s="489">
        <f ca="1">IF('CDO Bespoke'!O88&lt;&gt;"",'CDO Bespoke'!O88,"")</f>
        <v>1.0178654490407399</v>
      </c>
      <c r="N87" s="490">
        <f ca="1">IF(M87&lt;&gt;"",ABS(MIN(-0.75*('CDO Bespoke'!Q88)+'CDO Bespoke'!T88,0)),"")</f>
        <v>1.0125525605830559</v>
      </c>
      <c r="O87" s="490">
        <f t="shared" ca="1" si="4"/>
        <v>5.3128884576840729E-3</v>
      </c>
      <c r="P87" s="490">
        <f t="shared" ca="1" si="5"/>
        <v>0</v>
      </c>
      <c r="Q87" s="489">
        <f ca="1">IF('CDO Bespoke'!O88&lt;&gt;"",'CDO Bespoke'!O88,"")</f>
        <v>1.0178654490407399</v>
      </c>
      <c r="R87" s="490">
        <f ca="1">IF(Q87&lt;&gt;"",ABS(MIN(-0.75*('CDO Bespoke'!K88)+'CDO Bespoke'!T88,0)),"")</f>
        <v>0.1911467379419248</v>
      </c>
      <c r="S87" s="490">
        <f t="shared" ca="1" si="6"/>
        <v>0.82671871109881512</v>
      </c>
      <c r="T87" s="494">
        <f t="shared" ca="1" si="7"/>
        <v>0</v>
      </c>
      <c r="U87" s="275"/>
      <c r="V87" s="499" t="str">
        <f ca="1">IF('CDO Bespoke'!C112&lt;&gt;"",'CDO Bespoke'!C112,"")</f>
        <v>REPSOL, S.A.</v>
      </c>
      <c r="W87" s="501" cm="1">
        <f t="array" aca="1" ref="W87" ca="1">IF($V87&lt;&gt;"",-TRANSPOSE(INDEX(getcds('CDO Bespoke'!$C112,W$13,'CDO Bespoke'!$G112/10000,'CDO Bespoke'!F112,'CDO Bespoke'!$L88,'CDO Bespoke'!$C$13,'CDO Bespoke'!$C$14,'CDO Bespoke'!$C$15,'CDO Bespoke'!$C$8,,,TRUE,TRUE,FALSE,'CDO Bespoke'!$C$29:'CDO Bespoke'!$C$31,'CDO Bespoke'!$C$33),{5})),"")</f>
        <v>-0.106465778504992</v>
      </c>
      <c r="X87" s="527" cm="1">
        <f t="array" aca="1" ref="X87" ca="1">IF($V87&lt;&gt;"",-TRANSPOSE(INDEX(getcds('CDO Bespoke'!$C112,X$13,'CDO Bespoke'!$G112/10000,'CDO Bespoke'!G112,'CDO Bespoke'!$L88,'CDO Bespoke'!$C$13,'CDO Bespoke'!$C$14,'CDO Bespoke'!$C$15,'CDO Bespoke'!$C$8,,,TRUE,TRUE,FALSE,'CDO Bespoke'!$C$29:'CDO Bespoke'!$C$31,'CDO Bespoke'!$C$33),{5})),"")</f>
        <v>-0.219506289126184</v>
      </c>
      <c r="Y87" s="527" cm="1">
        <f t="array" aca="1" ref="Y87" ca="1">IF($V87&lt;&gt;"",-TRANSPOSE(INDEX(getcds('CDO Bespoke'!$C112,Y$13,'CDO Bespoke'!$G112/10000,'CDO Bespoke'!H112,'CDO Bespoke'!$L88,'CDO Bespoke'!$C$13,'CDO Bespoke'!$C$14,'CDO Bespoke'!$C$15,'CDO Bespoke'!$C$8,,,TRUE,TRUE,FALSE,'CDO Bespoke'!$C$29:'CDO Bespoke'!$C$31,'CDO Bespoke'!$C$33),{5})),"")</f>
        <v>-0.64556695276109999</v>
      </c>
      <c r="Z87" s="527" cm="1">
        <f t="array" aca="1" ref="Z87" ca="1">IF($V87&lt;&gt;"",-TRANSPOSE(INDEX(getcds('CDO Bespoke'!$C112,Z$13,'CDO Bespoke'!$G112/10000,'CDO Bespoke'!I112,'CDO Bespoke'!$L88,'CDO Bespoke'!$C$13,'CDO Bespoke'!$C$14,'CDO Bespoke'!$C$15,'CDO Bespoke'!$C$8,,,TRUE,TRUE,FALSE,'CDO Bespoke'!$C$29:'CDO Bespoke'!$C$31,'CDO Bespoke'!$C$33),{5})),"")</f>
        <v>-1.02890950649002</v>
      </c>
      <c r="AA87" s="502" cm="1">
        <f t="array" aca="1" ref="AA87" ca="1">IF($V87&lt;&gt;"",-TRANSPOSE(INDEX(getcds('CDO Bespoke'!$C112,AA$13,'CDO Bespoke'!$G112/10000,'CDO Bespoke'!J112,'CDO Bespoke'!$L88,'CDO Bespoke'!$C$13,'CDO Bespoke'!$C$14,'CDO Bespoke'!$C$15,'CDO Bespoke'!$C$8,,,TRUE,TRUE,FALSE,'CDO Bespoke'!$C$29:'CDO Bespoke'!$C$31,'CDO Bespoke'!$C$33),{5})),"")</f>
        <v>-1.84505673747216</v>
      </c>
      <c r="AB87" s="481"/>
      <c r="AC87" s="517"/>
      <c r="AD87" s="518"/>
      <c r="AE87" s="518"/>
      <c r="AF87" s="518"/>
      <c r="AG87" s="518"/>
      <c r="AH87" s="518"/>
      <c r="AI87" s="518"/>
      <c r="AJ87" s="518"/>
      <c r="AK87" s="518"/>
      <c r="AL87" s="519"/>
      <c r="AM87" s="540"/>
    </row>
    <row r="88" spans="2:39" ht="12" thickBot="1">
      <c r="B88" s="563" t="s">
        <v>628</v>
      </c>
      <c r="C88" s="564" t="s">
        <v>66</v>
      </c>
      <c r="D88" s="564" t="s">
        <v>55</v>
      </c>
      <c r="E88" s="564" t="s">
        <v>663</v>
      </c>
      <c r="F88" s="564" t="s">
        <v>664</v>
      </c>
      <c r="G88" s="565">
        <v>0.01</v>
      </c>
      <c r="H88" s="565">
        <v>1.1557E-2</v>
      </c>
      <c r="I88" s="566">
        <v>0.4</v>
      </c>
      <c r="J88" s="567">
        <v>22</v>
      </c>
      <c r="K88" s="275"/>
      <c r="L88" s="275"/>
      <c r="M88" s="489">
        <f ca="1">IF('CDO Bespoke'!O89&lt;&gt;"",'CDO Bespoke'!O89,"")</f>
        <v>1.01925169030831</v>
      </c>
      <c r="N88" s="490">
        <f ca="1">IF(M88&lt;&gt;"",ABS(MIN(-0.75*('CDO Bespoke'!Q89)+'CDO Bespoke'!T89,0)),"")</f>
        <v>1.0100741664543971</v>
      </c>
      <c r="O88" s="490">
        <f t="shared" ca="1" si="4"/>
        <v>9.1775238539129056E-3</v>
      </c>
      <c r="P88" s="490">
        <f t="shared" ca="1" si="5"/>
        <v>0</v>
      </c>
      <c r="Q88" s="489">
        <f ca="1">IF('CDO Bespoke'!O89&lt;&gt;"",'CDO Bespoke'!O89,"")</f>
        <v>1.01925169030831</v>
      </c>
      <c r="R88" s="490">
        <f ca="1">IF(Q88&lt;&gt;"",ABS(MIN(-0.75*('CDO Bespoke'!K89)+'CDO Bespoke'!T89,0)),"")</f>
        <v>0.14779185137323236</v>
      </c>
      <c r="S88" s="490">
        <f t="shared" ca="1" si="6"/>
        <v>0.87145983893507761</v>
      </c>
      <c r="T88" s="494">
        <f t="shared" ca="1" si="7"/>
        <v>0</v>
      </c>
      <c r="U88" s="275"/>
      <c r="V88" s="499" t="str">
        <f ca="1">IF('CDO Bespoke'!C113&lt;&gt;"",'CDO Bespoke'!C113,"")</f>
        <v>SHELL PLC</v>
      </c>
      <c r="W88" s="501" cm="1">
        <f t="array" aca="1" ref="W88" ca="1">IF($V88&lt;&gt;"",-TRANSPOSE(INDEX(getcds('CDO Bespoke'!$C113,W$13,'CDO Bespoke'!$G113/10000,'CDO Bespoke'!F113,'CDO Bespoke'!$L89,'CDO Bespoke'!$C$13,'CDO Bespoke'!$C$14,'CDO Bespoke'!$C$15,'CDO Bespoke'!$C$8,,,TRUE,TRUE,FALSE,'CDO Bespoke'!$C$29:'CDO Bespoke'!$C$31,'CDO Bespoke'!$C$33),{5})),"")</f>
        <v>-7.1787444667748099E-2</v>
      </c>
      <c r="X88" s="527" cm="1">
        <f t="array" aca="1" ref="X88" ca="1">IF($V88&lt;&gt;"",-TRANSPOSE(INDEX(getcds('CDO Bespoke'!$C113,X$13,'CDO Bespoke'!$G113/10000,'CDO Bespoke'!G113,'CDO Bespoke'!$L89,'CDO Bespoke'!$C$13,'CDO Bespoke'!$C$14,'CDO Bespoke'!$C$15,'CDO Bespoke'!$C$8,,,TRUE,TRUE,FALSE,'CDO Bespoke'!$C$29:'CDO Bespoke'!$C$31,'CDO Bespoke'!$C$33),{5})),"")</f>
        <v>-0.148134934499312</v>
      </c>
      <c r="Y88" s="527" cm="1">
        <f t="array" aca="1" ref="Y88" ca="1">IF($V88&lt;&gt;"",-TRANSPOSE(INDEX(getcds('CDO Bespoke'!$C113,Y$13,'CDO Bespoke'!$G113/10000,'CDO Bespoke'!H113,'CDO Bespoke'!$L89,'CDO Bespoke'!$C$13,'CDO Bespoke'!$C$14,'CDO Bespoke'!$C$15,'CDO Bespoke'!$C$8,,,TRUE,TRUE,FALSE,'CDO Bespoke'!$C$29:'CDO Bespoke'!$C$31,'CDO Bespoke'!$C$33),{5})),"")</f>
        <v>-0.43712942475154398</v>
      </c>
      <c r="Z88" s="527" cm="1">
        <f t="array" aca="1" ref="Z88" ca="1">IF($V88&lt;&gt;"",-TRANSPOSE(INDEX(getcds('CDO Bespoke'!$C113,Z$13,'CDO Bespoke'!$G113/10000,'CDO Bespoke'!I113,'CDO Bespoke'!$L89,'CDO Bespoke'!$C$13,'CDO Bespoke'!$C$14,'CDO Bespoke'!$C$15,'CDO Bespoke'!$C$8,,,TRUE,TRUE,FALSE,'CDO Bespoke'!$C$29:'CDO Bespoke'!$C$31,'CDO Bespoke'!$C$33),{5})),"")</f>
        <v>-0.69976842722288901</v>
      </c>
      <c r="AA88" s="502" cm="1">
        <f t="array" aca="1" ref="AA88" ca="1">IF($V88&lt;&gt;"",-TRANSPOSE(INDEX(getcds('CDO Bespoke'!$C113,AA$13,'CDO Bespoke'!$G113/10000,'CDO Bespoke'!J113,'CDO Bespoke'!$L89,'CDO Bespoke'!$C$13,'CDO Bespoke'!$C$14,'CDO Bespoke'!$C$15,'CDO Bespoke'!$C$8,,,TRUE,TRUE,FALSE,'CDO Bespoke'!$C$29:'CDO Bespoke'!$C$31,'CDO Bespoke'!$C$33),{5})),"")</f>
        <v>-1.25893655826346</v>
      </c>
      <c r="AB88" s="481"/>
      <c r="AC88" s="517"/>
      <c r="AD88" s="518"/>
      <c r="AE88" s="518"/>
      <c r="AF88" s="518"/>
      <c r="AG88" s="518"/>
      <c r="AH88" s="518"/>
      <c r="AI88" s="518"/>
      <c r="AJ88" s="518"/>
      <c r="AK88" s="518"/>
      <c r="AL88" s="519"/>
      <c r="AM88" s="540"/>
    </row>
    <row r="89" spans="2:39" ht="12" thickBot="1">
      <c r="B89" s="541" t="s">
        <v>628</v>
      </c>
      <c r="C89" s="542" t="s">
        <v>66</v>
      </c>
      <c r="D89" s="542" t="s">
        <v>57</v>
      </c>
      <c r="E89" s="542" t="s">
        <v>663</v>
      </c>
      <c r="F89" s="542" t="s">
        <v>664</v>
      </c>
      <c r="G89" s="549">
        <v>0.01</v>
      </c>
      <c r="H89" s="549">
        <v>1.7305000000000001E-2</v>
      </c>
      <c r="I89" s="551">
        <v>0.4</v>
      </c>
      <c r="J89" s="543">
        <v>22</v>
      </c>
      <c r="K89" s="275"/>
      <c r="L89" s="275"/>
      <c r="M89" s="489">
        <f ca="1">IF('CDO Bespoke'!O90&lt;&gt;"",'CDO Bespoke'!O90,"")</f>
        <v>1.0193179515814901</v>
      </c>
      <c r="N89" s="490">
        <f ca="1">IF(M89&lt;&gt;"",ABS(MIN(-0.75*('CDO Bespoke'!Q90)+'CDO Bespoke'!T90,0)),"")</f>
        <v>1.0099352265021682</v>
      </c>
      <c r="O89" s="490">
        <f t="shared" ca="1" si="4"/>
        <v>9.3827250793219186E-3</v>
      </c>
      <c r="P89" s="490">
        <f t="shared" ca="1" si="5"/>
        <v>0</v>
      </c>
      <c r="Q89" s="489">
        <f ca="1">IF('CDO Bespoke'!O90&lt;&gt;"",'CDO Bespoke'!O90,"")</f>
        <v>1.0193179515814901</v>
      </c>
      <c r="R89" s="490">
        <f ca="1">IF(Q89&lt;&gt;"",ABS(MIN(-0.75*('CDO Bespoke'!K90)+'CDO Bespoke'!T90,0)),"")</f>
        <v>0.14446430773433019</v>
      </c>
      <c r="S89" s="490">
        <f t="shared" ca="1" si="6"/>
        <v>0.87485364384715991</v>
      </c>
      <c r="T89" s="494">
        <f t="shared" ca="1" si="7"/>
        <v>0</v>
      </c>
      <c r="U89" s="275"/>
      <c r="V89" s="499" t="str">
        <f ca="1">IF('CDO Bespoke'!C114&lt;&gt;"",'CDO Bespoke'!C114,"")</f>
        <v>TotalEnergies SE</v>
      </c>
      <c r="W89" s="501" cm="1">
        <f t="array" aca="1" ref="W89" ca="1">IF($V89&lt;&gt;"",-TRANSPOSE(INDEX(getcds('CDO Bespoke'!$C114,W$13,'CDO Bespoke'!$G114/10000,'CDO Bespoke'!F114,'CDO Bespoke'!$L90,'CDO Bespoke'!$C$13,'CDO Bespoke'!$C$14,'CDO Bespoke'!$C$15,'CDO Bespoke'!$C$8,,,TRUE,TRUE,FALSE,'CDO Bespoke'!$C$29:'CDO Bespoke'!$C$31,'CDO Bespoke'!$C$33),{5})),"")</f>
        <v>-6.9282898205851401E-2</v>
      </c>
      <c r="X89" s="527" cm="1">
        <f t="array" aca="1" ref="X89" ca="1">IF($V89&lt;&gt;"",-TRANSPOSE(INDEX(getcds('CDO Bespoke'!$C114,X$13,'CDO Bespoke'!$G114/10000,'CDO Bespoke'!G114,'CDO Bespoke'!$L90,'CDO Bespoke'!$C$13,'CDO Bespoke'!$C$14,'CDO Bespoke'!$C$15,'CDO Bespoke'!$C$8,,,TRUE,TRUE,FALSE,'CDO Bespoke'!$C$29:'CDO Bespoke'!$C$31,'CDO Bespoke'!$C$33),{5})),"")</f>
        <v>-0.14297701821522199</v>
      </c>
      <c r="Y89" s="527" cm="1">
        <f t="array" aca="1" ref="Y89" ca="1">IF($V89&lt;&gt;"",-TRANSPOSE(INDEX(getcds('CDO Bespoke'!$C114,Y$13,'CDO Bespoke'!$G114/10000,'CDO Bespoke'!H114,'CDO Bespoke'!$L90,'CDO Bespoke'!$C$13,'CDO Bespoke'!$C$14,'CDO Bespoke'!$C$15,'CDO Bespoke'!$C$8,,,TRUE,TRUE,FALSE,'CDO Bespoke'!$C$29:'CDO Bespoke'!$C$31,'CDO Bespoke'!$C$33),{5})),"")</f>
        <v>-0.42202788291826498</v>
      </c>
      <c r="Z89" s="527" cm="1">
        <f t="array" aca="1" ref="Z89" ca="1">IF($V89&lt;&gt;"",-TRANSPOSE(INDEX(getcds('CDO Bespoke'!$C114,Z$13,'CDO Bespoke'!$G114/10000,'CDO Bespoke'!I114,'CDO Bespoke'!$L90,'CDO Bespoke'!$C$13,'CDO Bespoke'!$C$14,'CDO Bespoke'!$C$15,'CDO Bespoke'!$C$8,,,TRUE,TRUE,FALSE,'CDO Bespoke'!$C$29:'CDO Bespoke'!$C$31,'CDO Bespoke'!$C$33),{5})),"")</f>
        <v>-0.675771578255979</v>
      </c>
      <c r="AA89" s="502" cm="1">
        <f t="array" aca="1" ref="AA89" ca="1">IF($V89&lt;&gt;"",-TRANSPOSE(INDEX(getcds('CDO Bespoke'!$C114,AA$13,'CDO Bespoke'!$G114/10000,'CDO Bespoke'!J114,'CDO Bespoke'!$L90,'CDO Bespoke'!$C$13,'CDO Bespoke'!$C$14,'CDO Bespoke'!$C$15,'CDO Bespoke'!$C$8,,,TRUE,TRUE,FALSE,'CDO Bespoke'!$C$29:'CDO Bespoke'!$C$31,'CDO Bespoke'!$C$33),{5})),"")</f>
        <v>-1.2163191073665001</v>
      </c>
      <c r="AB89" s="481"/>
      <c r="AC89" s="517"/>
      <c r="AD89" s="518"/>
      <c r="AE89" s="518"/>
      <c r="AF89" s="518"/>
      <c r="AG89" s="518"/>
      <c r="AH89" s="518"/>
      <c r="AI89" s="518"/>
      <c r="AJ89" s="518"/>
      <c r="AK89" s="518"/>
      <c r="AL89" s="519"/>
      <c r="AM89" s="540"/>
    </row>
    <row r="90" spans="2:39" ht="12" thickBot="1">
      <c r="B90" s="558" t="s">
        <v>628</v>
      </c>
      <c r="C90" s="559" t="s">
        <v>66</v>
      </c>
      <c r="D90" s="559" t="s">
        <v>59</v>
      </c>
      <c r="E90" s="559" t="s">
        <v>663</v>
      </c>
      <c r="F90" s="559" t="s">
        <v>664</v>
      </c>
      <c r="G90" s="560">
        <v>0.01</v>
      </c>
      <c r="H90" s="560">
        <v>2.0903000000000001E-2</v>
      </c>
      <c r="I90" s="561">
        <v>0.4</v>
      </c>
      <c r="J90" s="562">
        <v>22</v>
      </c>
      <c r="K90" s="275"/>
      <c r="L90" s="275"/>
      <c r="M90" s="489">
        <f ca="1">IF('CDO Bespoke'!O91&lt;&gt;"",'CDO Bespoke'!O91,"")</f>
        <v>1.01881810271674</v>
      </c>
      <c r="N90" s="490">
        <f ca="1">IF(M90&lt;&gt;"",ABS(MIN(-0.75*('CDO Bespoke'!Q91)+'CDO Bespoke'!T91,0)),"")</f>
        <v>1.0110786068032318</v>
      </c>
      <c r="O90" s="490">
        <f t="shared" ca="1" si="4"/>
        <v>7.7394959135081987E-3</v>
      </c>
      <c r="P90" s="490">
        <f t="shared" ca="1" si="5"/>
        <v>0</v>
      </c>
      <c r="Q90" s="489">
        <f ca="1">IF('CDO Bespoke'!O91&lt;&gt;"",'CDO Bespoke'!O91,"")</f>
        <v>1.01881810271674</v>
      </c>
      <c r="R90" s="490">
        <f ca="1">IF(Q90&lt;&gt;"",ABS(MIN(-0.75*('CDO Bespoke'!K91)+'CDO Bespoke'!T91,0)),"")</f>
        <v>0.1658182883314438</v>
      </c>
      <c r="S90" s="490">
        <f t="shared" ca="1" si="6"/>
        <v>0.85299981438529615</v>
      </c>
      <c r="T90" s="494">
        <f t="shared" ca="1" si="7"/>
        <v>0</v>
      </c>
      <c r="U90" s="275"/>
      <c r="V90" s="499" t="str">
        <f ca="1">IF('CDO Bespoke'!C115&lt;&gt;"",'CDO Bespoke'!C115,"")</f>
        <v>VEOLIA ENVIRONNEMENT</v>
      </c>
      <c r="W90" s="501" cm="1">
        <f t="array" aca="1" ref="W90" ca="1">IF($V90&lt;&gt;"",-TRANSPOSE(INDEX(getcds('CDO Bespoke'!$C115,W$13,'CDO Bespoke'!$G115/10000,'CDO Bespoke'!F115,'CDO Bespoke'!$L91,'CDO Bespoke'!$C$13,'CDO Bespoke'!$C$14,'CDO Bespoke'!$C$15,'CDO Bespoke'!$C$8,,,TRUE,TRUE,FALSE,'CDO Bespoke'!$C$29:'CDO Bespoke'!$C$31,'CDO Bespoke'!$C$33),{5})),"")</f>
        <v>-8.6012695092780103E-2</v>
      </c>
      <c r="X90" s="527" cm="1">
        <f t="array" aca="1" ref="X90" ca="1">IF($V90&lt;&gt;"",-TRANSPOSE(INDEX(getcds('CDO Bespoke'!$C115,X$13,'CDO Bespoke'!$G115/10000,'CDO Bespoke'!G115,'CDO Bespoke'!$L91,'CDO Bespoke'!$C$13,'CDO Bespoke'!$C$14,'CDO Bespoke'!$C$15,'CDO Bespoke'!$C$8,,,TRUE,TRUE,FALSE,'CDO Bespoke'!$C$29:'CDO Bespoke'!$C$31,'CDO Bespoke'!$C$33),{5})),"")</f>
        <v>-0.177447049853446</v>
      </c>
      <c r="Y90" s="527" cm="1">
        <f t="array" aca="1" ref="Y90" ca="1">IF($V90&lt;&gt;"",-TRANSPOSE(INDEX(getcds('CDO Bespoke'!$C115,Y$13,'CDO Bespoke'!$G115/10000,'CDO Bespoke'!H115,'CDO Bespoke'!$L91,'CDO Bespoke'!$C$13,'CDO Bespoke'!$C$14,'CDO Bespoke'!$C$15,'CDO Bespoke'!$C$8,,,TRUE,TRUE,FALSE,'CDO Bespoke'!$C$29:'CDO Bespoke'!$C$31,'CDO Bespoke'!$C$33),{5})),"")</f>
        <v>-0.52314049136108798</v>
      </c>
      <c r="Z90" s="527" cm="1">
        <f t="array" aca="1" ref="Z90" ca="1">IF($V90&lt;&gt;"",-TRANSPOSE(INDEX(getcds('CDO Bespoke'!$C115,Z$13,'CDO Bespoke'!$G115/10000,'CDO Bespoke'!I115,'CDO Bespoke'!$L91,'CDO Bespoke'!$C$13,'CDO Bespoke'!$C$14,'CDO Bespoke'!$C$15,'CDO Bespoke'!$C$8,,,TRUE,TRUE,FALSE,'CDO Bespoke'!$C$29:'CDO Bespoke'!$C$31,'CDO Bespoke'!$C$33),{5})),"")</f>
        <v>-0.83607021032444595</v>
      </c>
      <c r="AA90" s="502" cm="1">
        <f t="array" aca="1" ref="AA90" ca="1">IF($V90&lt;&gt;"",-TRANSPOSE(INDEX(getcds('CDO Bespoke'!$C115,AA$13,'CDO Bespoke'!$G115/10000,'CDO Bespoke'!J115,'CDO Bespoke'!$L91,'CDO Bespoke'!$C$13,'CDO Bespoke'!$C$14,'CDO Bespoke'!$C$15,'CDO Bespoke'!$C$8,,,TRUE,TRUE,FALSE,'CDO Bespoke'!$C$29:'CDO Bespoke'!$C$31,'CDO Bespoke'!$C$33),{5})),"")</f>
        <v>-1.50226291810282</v>
      </c>
      <c r="AB90" s="481"/>
      <c r="AC90" s="517"/>
      <c r="AD90" s="518"/>
      <c r="AE90" s="518"/>
      <c r="AF90" s="518"/>
      <c r="AG90" s="518"/>
      <c r="AH90" s="518"/>
      <c r="AI90" s="518"/>
      <c r="AJ90" s="518"/>
      <c r="AK90" s="518"/>
      <c r="AL90" s="519"/>
      <c r="AM90" s="540"/>
    </row>
    <row r="91" spans="2:39" ht="12" thickBot="1">
      <c r="B91" s="563" t="s">
        <v>538</v>
      </c>
      <c r="C91" s="564" t="s">
        <v>66</v>
      </c>
      <c r="D91" s="564" t="s">
        <v>55</v>
      </c>
      <c r="E91" s="564" t="s">
        <v>663</v>
      </c>
      <c r="F91" s="564" t="s">
        <v>662</v>
      </c>
      <c r="G91" s="565">
        <v>0.01</v>
      </c>
      <c r="H91" s="565">
        <v>3.4970000000000001E-3</v>
      </c>
      <c r="I91" s="566">
        <v>0.4</v>
      </c>
      <c r="J91" s="567">
        <v>23</v>
      </c>
      <c r="K91" s="275"/>
      <c r="L91" s="275"/>
      <c r="M91" s="489">
        <f ca="1">IF('CDO Bespoke'!O92&lt;&gt;"",'CDO Bespoke'!O92,"")</f>
        <v>1.01917122990085</v>
      </c>
      <c r="N91" s="490">
        <f ca="1">IF(M91&lt;&gt;"",ABS(MIN(-0.75*('CDO Bespoke'!Q92)+'CDO Bespoke'!T92,0)),"")</f>
        <v>1.0102332723863579</v>
      </c>
      <c r="O91" s="490">
        <f t="shared" ca="1" si="4"/>
        <v>8.937957514492112E-3</v>
      </c>
      <c r="P91" s="490">
        <f t="shared" ca="1" si="5"/>
        <v>0</v>
      </c>
      <c r="Q91" s="489">
        <f ca="1">IF('CDO Bespoke'!O92&lt;&gt;"",'CDO Bespoke'!O92,"")</f>
        <v>1.01917122990085</v>
      </c>
      <c r="R91" s="490">
        <f ca="1">IF(Q91&lt;&gt;"",ABS(MIN(-0.75*('CDO Bespoke'!K92)+'CDO Bespoke'!T92,0)),"")</f>
        <v>0.15150487710359981</v>
      </c>
      <c r="S91" s="490">
        <f t="shared" ca="1" si="6"/>
        <v>0.86766635279725013</v>
      </c>
      <c r="T91" s="494">
        <f t="shared" ca="1" si="7"/>
        <v>0</v>
      </c>
      <c r="U91" s="275"/>
      <c r="V91" s="499" t="str">
        <f ca="1">IF('CDO Bespoke'!C116&lt;&gt;"",'CDO Bespoke'!C116,"")</f>
        <v>Bertelsmann SE &amp; Co. KGaA</v>
      </c>
      <c r="W91" s="501" cm="1">
        <f t="array" aca="1" ref="W91" ca="1">IF($V91&lt;&gt;"",-TRANSPOSE(INDEX(getcds('CDO Bespoke'!$C116,W$13,'CDO Bespoke'!$G116/10000,'CDO Bespoke'!F116,'CDO Bespoke'!$L92,'CDO Bespoke'!$C$13,'CDO Bespoke'!$C$14,'CDO Bespoke'!$C$15,'CDO Bespoke'!$C$8,,,TRUE,TRUE,FALSE,'CDO Bespoke'!$C$29:'CDO Bespoke'!$C$31,'CDO Bespoke'!$C$33),{5})),"")</f>
        <v>-7.4600449273651503E-2</v>
      </c>
      <c r="X91" s="527" cm="1">
        <f t="array" aca="1" ref="X91" ca="1">IF($V91&lt;&gt;"",-TRANSPOSE(INDEX(getcds('CDO Bespoke'!$C116,X$13,'CDO Bespoke'!$G116/10000,'CDO Bespoke'!G116,'CDO Bespoke'!$L92,'CDO Bespoke'!$C$13,'CDO Bespoke'!$C$14,'CDO Bespoke'!$C$15,'CDO Bespoke'!$C$8,,,TRUE,TRUE,FALSE,'CDO Bespoke'!$C$29:'CDO Bespoke'!$C$31,'CDO Bespoke'!$C$33),{5})),"")</f>
        <v>-0.153926592885063</v>
      </c>
      <c r="Y91" s="527" cm="1">
        <f t="array" aca="1" ref="Y91" ca="1">IF($V91&lt;&gt;"",-TRANSPOSE(INDEX(getcds('CDO Bespoke'!$C116,Y$13,'CDO Bespoke'!$G116/10000,'CDO Bespoke'!H116,'CDO Bespoke'!$L92,'CDO Bespoke'!$C$13,'CDO Bespoke'!$C$14,'CDO Bespoke'!$C$15,'CDO Bespoke'!$C$8,,,TRUE,TRUE,FALSE,'CDO Bespoke'!$C$29:'CDO Bespoke'!$C$31,'CDO Bespoke'!$C$33),{5})),"")</f>
        <v>-0.45406910272010298</v>
      </c>
      <c r="Z91" s="527" cm="1">
        <f t="array" aca="1" ref="Z91" ca="1">IF($V91&lt;&gt;"",-TRANSPOSE(INDEX(getcds('CDO Bespoke'!$C116,Z$13,'CDO Bespoke'!$G116/10000,'CDO Bespoke'!I116,'CDO Bespoke'!$L92,'CDO Bespoke'!$C$13,'CDO Bespoke'!$C$14,'CDO Bespoke'!$C$15,'CDO Bespoke'!$C$8,,,TRUE,TRUE,FALSE,'CDO Bespoke'!$C$29:'CDO Bespoke'!$C$31,'CDO Bespoke'!$C$33),{5})),"")</f>
        <v>-0.72666375558917395</v>
      </c>
      <c r="AA91" s="502" cm="1">
        <f t="array" aca="1" ref="AA91" ca="1">IF($V91&lt;&gt;"",-TRANSPOSE(INDEX(getcds('CDO Bespoke'!$C116,AA$13,'CDO Bespoke'!$G116/10000,'CDO Bespoke'!J116,'CDO Bespoke'!$L92,'CDO Bespoke'!$C$13,'CDO Bespoke'!$C$14,'CDO Bespoke'!$C$15,'CDO Bespoke'!$C$8,,,TRUE,TRUE,FALSE,'CDO Bespoke'!$C$29:'CDO Bespoke'!$C$31,'CDO Bespoke'!$C$33),{5})),"")</f>
        <v>-1.30742867528216</v>
      </c>
      <c r="AB91" s="481"/>
      <c r="AC91" s="517"/>
      <c r="AD91" s="518"/>
      <c r="AE91" s="518"/>
      <c r="AF91" s="518"/>
      <c r="AG91" s="518"/>
      <c r="AH91" s="518"/>
      <c r="AI91" s="518"/>
      <c r="AJ91" s="518"/>
      <c r="AK91" s="518"/>
      <c r="AL91" s="519"/>
      <c r="AM91" s="540"/>
    </row>
    <row r="92" spans="2:39" ht="12" thickBot="1">
      <c r="B92" s="541" t="s">
        <v>538</v>
      </c>
      <c r="C92" s="542" t="s">
        <v>66</v>
      </c>
      <c r="D92" s="542" t="s">
        <v>57</v>
      </c>
      <c r="E92" s="542" t="s">
        <v>663</v>
      </c>
      <c r="F92" s="542" t="s">
        <v>662</v>
      </c>
      <c r="G92" s="549">
        <v>0.01</v>
      </c>
      <c r="H92" s="549">
        <v>6.7010000000000004E-3</v>
      </c>
      <c r="I92" s="551">
        <v>0.4</v>
      </c>
      <c r="J92" s="543">
        <v>23</v>
      </c>
      <c r="K92" s="275"/>
      <c r="L92" s="275"/>
      <c r="M92" s="489">
        <f ca="1">IF('CDO Bespoke'!O93&lt;&gt;"",'CDO Bespoke'!O93,"")</f>
        <v>1.0172565853889699</v>
      </c>
      <c r="N92" s="490">
        <f ca="1">IF(M92&lt;&gt;"",ABS(MIN(-0.75*('CDO Bespoke'!Q93)+'CDO Bespoke'!T93,0)),"")</f>
        <v>1.0137863335138608</v>
      </c>
      <c r="O92" s="490">
        <f t="shared" ca="1" si="4"/>
        <v>3.4702518751090761E-3</v>
      </c>
      <c r="P92" s="490">
        <f t="shared" ca="1" si="5"/>
        <v>0</v>
      </c>
      <c r="Q92" s="489">
        <f ca="1">IF('CDO Bespoke'!O93&lt;&gt;"",'CDO Bespoke'!O93,"")</f>
        <v>1.0172565853889699</v>
      </c>
      <c r="R92" s="490">
        <f ca="1">IF(Q92&lt;&gt;"",ABS(MIN(-0.75*('CDO Bespoke'!K93)+'CDO Bespoke'!T93,0)),"")</f>
        <v>0.20411312416876101</v>
      </c>
      <c r="S92" s="490">
        <f t="shared" ca="1" si="6"/>
        <v>0.81314346122020886</v>
      </c>
      <c r="T92" s="494">
        <f t="shared" ca="1" si="7"/>
        <v>0</v>
      </c>
      <c r="U92" s="275"/>
      <c r="V92" s="499" t="str">
        <f ca="1">IF('CDO Bespoke'!C117&lt;&gt;"",'CDO Bespoke'!C117,"")</f>
        <v>BRITISH TELECOMMUNICATIONS public limited company</v>
      </c>
      <c r="W92" s="501" cm="1">
        <f t="array" aca="1" ref="W92" ca="1">IF($V92&lt;&gt;"",-TRANSPOSE(INDEX(getcds('CDO Bespoke'!$C117,W$13,'CDO Bespoke'!$G117/10000,'CDO Bespoke'!F117,'CDO Bespoke'!$L93,'CDO Bespoke'!$C$13,'CDO Bespoke'!$C$14,'CDO Bespoke'!$C$15,'CDO Bespoke'!$C$8,,,TRUE,TRUE,FALSE,'CDO Bespoke'!$C$29:'CDO Bespoke'!$C$31,'CDO Bespoke'!$C$33),{5})),"")</f>
        <v>-0.11795952939929399</v>
      </c>
      <c r="X92" s="527" cm="1">
        <f t="array" aca="1" ref="X92" ca="1">IF($V92&lt;&gt;"",-TRANSPOSE(INDEX(getcds('CDO Bespoke'!$C117,X$13,'CDO Bespoke'!$G117/10000,'CDO Bespoke'!G117,'CDO Bespoke'!$L93,'CDO Bespoke'!$C$13,'CDO Bespoke'!$C$14,'CDO Bespoke'!$C$15,'CDO Bespoke'!$C$8,,,TRUE,TRUE,FALSE,'CDO Bespoke'!$C$29:'CDO Bespoke'!$C$31,'CDO Bespoke'!$C$33),{5})),"")</f>
        <v>-0.24322608809104401</v>
      </c>
      <c r="Y92" s="527" cm="1">
        <f t="array" aca="1" ref="Y92" ca="1">IF($V92&lt;&gt;"",-TRANSPOSE(INDEX(getcds('CDO Bespoke'!$C117,Y$13,'CDO Bespoke'!$G117/10000,'CDO Bespoke'!H117,'CDO Bespoke'!$L93,'CDO Bespoke'!$C$13,'CDO Bespoke'!$C$14,'CDO Bespoke'!$C$15,'CDO Bespoke'!$C$8,,,TRUE,TRUE,FALSE,'CDO Bespoke'!$C$29:'CDO Bespoke'!$C$31,'CDO Bespoke'!$C$33),{5})),"")</f>
        <v>-0.71558608881423902</v>
      </c>
      <c r="Z92" s="527" cm="1">
        <f t="array" aca="1" ref="Z92" ca="1">IF($V92&lt;&gt;"",-TRANSPOSE(INDEX(getcds('CDO Bespoke'!$C117,Z$13,'CDO Bespoke'!$G117/10000,'CDO Bespoke'!I117,'CDO Bespoke'!$L93,'CDO Bespoke'!$C$13,'CDO Bespoke'!$C$14,'CDO Bespoke'!$C$15,'CDO Bespoke'!$C$8,,,TRUE,TRUE,FALSE,'CDO Bespoke'!$C$29:'CDO Bespoke'!$C$31,'CDO Bespoke'!$C$33),{5})),"")</f>
        <v>-1.1386081553615299</v>
      </c>
      <c r="AA92" s="502" cm="1">
        <f t="array" aca="1" ref="AA92" ca="1">IF($V92&lt;&gt;"",-TRANSPOSE(INDEX(getcds('CDO Bespoke'!$C117,AA$13,'CDO Bespoke'!$G117/10000,'CDO Bespoke'!J117,'CDO Bespoke'!$L93,'CDO Bespoke'!$C$13,'CDO Bespoke'!$C$14,'CDO Bespoke'!$C$15,'CDO Bespoke'!$C$8,,,TRUE,TRUE,FALSE,'CDO Bespoke'!$C$29:'CDO Bespoke'!$C$31,'CDO Bespoke'!$C$33),{5})),"")</f>
        <v>-2.03507894712958</v>
      </c>
      <c r="AB92" s="481"/>
      <c r="AC92" s="517"/>
      <c r="AD92" s="518"/>
      <c r="AE92" s="518"/>
      <c r="AF92" s="518"/>
      <c r="AG92" s="518"/>
      <c r="AH92" s="518"/>
      <c r="AI92" s="518"/>
      <c r="AJ92" s="518"/>
      <c r="AK92" s="518"/>
      <c r="AL92" s="519"/>
      <c r="AM92" s="540"/>
    </row>
    <row r="93" spans="2:39" ht="12" thickBot="1">
      <c r="B93" s="558" t="s">
        <v>538</v>
      </c>
      <c r="C93" s="559" t="s">
        <v>66</v>
      </c>
      <c r="D93" s="559" t="s">
        <v>59</v>
      </c>
      <c r="E93" s="559" t="s">
        <v>663</v>
      </c>
      <c r="F93" s="559" t="s">
        <v>662</v>
      </c>
      <c r="G93" s="560">
        <v>0.01</v>
      </c>
      <c r="H93" s="560">
        <v>1.042E-2</v>
      </c>
      <c r="I93" s="561">
        <v>0.4</v>
      </c>
      <c r="J93" s="562">
        <v>23</v>
      </c>
      <c r="K93" s="275"/>
      <c r="L93" s="275"/>
      <c r="M93" s="489">
        <f ca="1">IF('CDO Bespoke'!O94&lt;&gt;"",'CDO Bespoke'!O94,"")</f>
        <v>1.01920664220158</v>
      </c>
      <c r="N93" s="490">
        <f ca="1">IF(M93&lt;&gt;"",ABS(MIN(-0.75*('CDO Bespoke'!Q94)+'CDO Bespoke'!T94,0)),"")</f>
        <v>1.0101193706488882</v>
      </c>
      <c r="O93" s="490">
        <f t="shared" ca="1" si="4"/>
        <v>9.0872715526917336E-3</v>
      </c>
      <c r="P93" s="490">
        <f t="shared" ca="1" si="5"/>
        <v>0</v>
      </c>
      <c r="Q93" s="489">
        <f ca="1">IF('CDO Bespoke'!O94&lt;&gt;"",'CDO Bespoke'!O94,"")</f>
        <v>1.01920664220158</v>
      </c>
      <c r="R93" s="490">
        <f ca="1">IF(Q93&lt;&gt;"",ABS(MIN(-0.75*('CDO Bespoke'!K94)+'CDO Bespoke'!T94,0)),"")</f>
        <v>0.14971275669150672</v>
      </c>
      <c r="S93" s="490">
        <f t="shared" ca="1" si="6"/>
        <v>0.86949388551007323</v>
      </c>
      <c r="T93" s="494">
        <f t="shared" ca="1" si="7"/>
        <v>0</v>
      </c>
      <c r="U93" s="275"/>
      <c r="V93" s="499" t="str">
        <f ca="1">IF('CDO Bespoke'!C118&lt;&gt;"",'CDO Bespoke'!C118,"")</f>
        <v>Deutsche Telekom AG</v>
      </c>
      <c r="W93" s="501" cm="1">
        <f t="array" aca="1" ref="W93" ca="1">IF($V93&lt;&gt;"",-TRANSPOSE(INDEX(getcds('CDO Bespoke'!$C118,W$13,'CDO Bespoke'!$G118/10000,'CDO Bespoke'!F118,'CDO Bespoke'!$L94,'CDO Bespoke'!$C$13,'CDO Bespoke'!$C$14,'CDO Bespoke'!$C$15,'CDO Bespoke'!$C$8,,,TRUE,TRUE,FALSE,'CDO Bespoke'!$C$29:'CDO Bespoke'!$C$31,'CDO Bespoke'!$C$33),{5})),"")</f>
        <v>-7.3161103520827303E-2</v>
      </c>
      <c r="X93" s="527" cm="1">
        <f t="array" aca="1" ref="X93" ca="1">IF($V93&lt;&gt;"",-TRANSPOSE(INDEX(getcds('CDO Bespoke'!$C118,X$13,'CDO Bespoke'!$G118/10000,'CDO Bespoke'!G118,'CDO Bespoke'!$L94,'CDO Bespoke'!$C$13,'CDO Bespoke'!$C$14,'CDO Bespoke'!$C$15,'CDO Bespoke'!$C$8,,,TRUE,TRUE,FALSE,'CDO Bespoke'!$C$29:'CDO Bespoke'!$C$31,'CDO Bespoke'!$C$33),{5})),"")</f>
        <v>-0.15095703688604101</v>
      </c>
      <c r="Y93" s="527" cm="1">
        <f t="array" aca="1" ref="Y93" ca="1">IF($V93&lt;&gt;"",-TRANSPOSE(INDEX(getcds('CDO Bespoke'!$C118,Y$13,'CDO Bespoke'!$G118/10000,'CDO Bespoke'!H118,'CDO Bespoke'!$L94,'CDO Bespoke'!$C$13,'CDO Bespoke'!$C$14,'CDO Bespoke'!$C$15,'CDO Bespoke'!$C$8,,,TRUE,TRUE,FALSE,'CDO Bespoke'!$C$29:'CDO Bespoke'!$C$31,'CDO Bespoke'!$C$33),{5})),"")</f>
        <v>-0.44531281433764103</v>
      </c>
      <c r="Z93" s="527" cm="1">
        <f t="array" aca="1" ref="Z93" ca="1">IF($V93&lt;&gt;"",-TRANSPOSE(INDEX(getcds('CDO Bespoke'!$C118,Z$13,'CDO Bespoke'!$G118/10000,'CDO Bespoke'!I118,'CDO Bespoke'!$L94,'CDO Bespoke'!$C$13,'CDO Bespoke'!$C$14,'CDO Bespoke'!$C$15,'CDO Bespoke'!$C$8,,,TRUE,TRUE,FALSE,'CDO Bespoke'!$C$29:'CDO Bespoke'!$C$31,'CDO Bespoke'!$C$33),{5})),"")</f>
        <v>-0.71276773497385204</v>
      </c>
      <c r="AA93" s="502" cm="1">
        <f t="array" aca="1" ref="AA93" ca="1">IF($V93&lt;&gt;"",-TRANSPOSE(INDEX(getcds('CDO Bespoke'!$C118,AA$13,'CDO Bespoke'!$G118/10000,'CDO Bespoke'!J118,'CDO Bespoke'!$L94,'CDO Bespoke'!$C$13,'CDO Bespoke'!$C$14,'CDO Bespoke'!$C$15,'CDO Bespoke'!$C$8,,,TRUE,TRUE,FALSE,'CDO Bespoke'!$C$29:'CDO Bespoke'!$C$31,'CDO Bespoke'!$C$33),{5})),"")</f>
        <v>-1.28279929265814</v>
      </c>
      <c r="AB93" s="481"/>
      <c r="AC93" s="517"/>
      <c r="AD93" s="518"/>
      <c r="AE93" s="518"/>
      <c r="AF93" s="518"/>
      <c r="AG93" s="518"/>
      <c r="AH93" s="518"/>
      <c r="AI93" s="518"/>
      <c r="AJ93" s="518"/>
      <c r="AK93" s="518"/>
      <c r="AL93" s="519"/>
      <c r="AM93" s="540"/>
    </row>
    <row r="94" spans="2:39" ht="12" thickBot="1">
      <c r="B94" s="563" t="s">
        <v>523</v>
      </c>
      <c r="C94" s="564" t="s">
        <v>66</v>
      </c>
      <c r="D94" s="564" t="s">
        <v>55</v>
      </c>
      <c r="E94" s="564" t="s">
        <v>661</v>
      </c>
      <c r="F94" s="564" t="s">
        <v>666</v>
      </c>
      <c r="G94" s="565">
        <v>0.01</v>
      </c>
      <c r="H94" s="565">
        <v>2.7599999999999999E-3</v>
      </c>
      <c r="I94" s="566">
        <v>0.4</v>
      </c>
      <c r="J94" s="567">
        <v>24</v>
      </c>
      <c r="K94" s="275"/>
      <c r="L94" s="275"/>
      <c r="M94" s="489">
        <f ca="1">IF('CDO Bespoke'!O95&lt;&gt;"",'CDO Bespoke'!O95,"")</f>
        <v>1.0153661680955</v>
      </c>
      <c r="N94" s="490">
        <f ca="1">IF(M94&lt;&gt;"",ABS(MIN(-0.75*('CDO Bespoke'!Q95)+'CDO Bespoke'!T95,0)),"")</f>
        <v>1.0162052915422228</v>
      </c>
      <c r="O94" s="490">
        <f t="shared" ca="1" si="4"/>
        <v>0</v>
      </c>
      <c r="P94" s="490">
        <f t="shared" ca="1" si="5"/>
        <v>0</v>
      </c>
      <c r="Q94" s="489">
        <f ca="1">IF('CDO Bespoke'!O95&lt;&gt;"",'CDO Bespoke'!O95,"")</f>
        <v>1.0153661680955</v>
      </c>
      <c r="R94" s="490">
        <f ca="1">IF(Q94&lt;&gt;"",ABS(MIN(-0.75*('CDO Bespoke'!K95)+'CDO Bespoke'!T95,0)),"")</f>
        <v>0.23036686319500169</v>
      </c>
      <c r="S94" s="490">
        <f t="shared" ca="1" si="6"/>
        <v>0.7849993049004983</v>
      </c>
      <c r="T94" s="494">
        <f t="shared" ca="1" si="7"/>
        <v>0</v>
      </c>
      <c r="U94" s="275"/>
      <c r="V94" s="499" t="str">
        <f ca="1">IF('CDO Bespoke'!C119&lt;&gt;"",'CDO Bespoke'!C119,"")</f>
        <v>ITV PLC</v>
      </c>
      <c r="W94" s="501" cm="1">
        <f t="array" aca="1" ref="W94" ca="1">IF($V94&lt;&gt;"",-TRANSPOSE(INDEX(getcds('CDO Bespoke'!$C119,W$13,'CDO Bespoke'!$G119/10000,'CDO Bespoke'!F119,'CDO Bespoke'!$L95,'CDO Bespoke'!$C$13,'CDO Bespoke'!$C$14,'CDO Bespoke'!$C$15,'CDO Bespoke'!$C$8,,,TRUE,TRUE,FALSE,'CDO Bespoke'!$C$29:'CDO Bespoke'!$C$31,'CDO Bespoke'!$C$33),{5})),"")</f>
        <v>-0.14154271702877999</v>
      </c>
      <c r="X94" s="527" cm="1">
        <f t="array" aca="1" ref="X94" ca="1">IF($V94&lt;&gt;"",-TRANSPOSE(INDEX(getcds('CDO Bespoke'!$C119,X$13,'CDO Bespoke'!$G119/10000,'CDO Bespoke'!G119,'CDO Bespoke'!$L95,'CDO Bespoke'!$C$13,'CDO Bespoke'!$C$14,'CDO Bespoke'!$C$15,'CDO Bespoke'!$C$8,,,TRUE,TRUE,FALSE,'CDO Bespoke'!$C$29:'CDO Bespoke'!$C$31,'CDO Bespoke'!$C$33),{5})),"")</f>
        <v>-0.29170683417611698</v>
      </c>
      <c r="Y94" s="527" cm="1">
        <f t="array" aca="1" ref="Y94" ca="1">IF($V94&lt;&gt;"",-TRANSPOSE(INDEX(getcds('CDO Bespoke'!$C119,Y$13,'CDO Bespoke'!$G119/10000,'CDO Bespoke'!H119,'CDO Bespoke'!$L95,'CDO Bespoke'!$C$13,'CDO Bespoke'!$C$14,'CDO Bespoke'!$C$15,'CDO Bespoke'!$C$8,,,TRUE,TRUE,FALSE,'CDO Bespoke'!$C$29:'CDO Bespoke'!$C$31,'CDO Bespoke'!$C$33),{5})),"")</f>
        <v>-0.85653402423965197</v>
      </c>
      <c r="Z94" s="527" cm="1">
        <f t="array" aca="1" ref="Z94" ca="1">IF($V94&lt;&gt;"",-TRANSPOSE(INDEX(getcds('CDO Bespoke'!$C119,Z$13,'CDO Bespoke'!$G119/10000,'CDO Bespoke'!I119,'CDO Bespoke'!$L95,'CDO Bespoke'!$C$13,'CDO Bespoke'!$C$14,'CDO Bespoke'!$C$15,'CDO Bespoke'!$C$8,,,TRUE,TRUE,FALSE,'CDO Bespoke'!$C$29:'CDO Bespoke'!$C$31,'CDO Bespoke'!$C$33),{5})),"")</f>
        <v>-1.3574838351942899</v>
      </c>
      <c r="AA94" s="502" cm="1">
        <f t="array" aca="1" ref="AA94" ca="1">IF($V94&lt;&gt;"",-TRANSPOSE(INDEX(getcds('CDO Bespoke'!$C119,AA$13,'CDO Bespoke'!$G119/10000,'CDO Bespoke'!J119,'CDO Bespoke'!$L95,'CDO Bespoke'!$C$13,'CDO Bespoke'!$C$14,'CDO Bespoke'!$C$15,'CDO Bespoke'!$C$8,,,TRUE,TRUE,FALSE,'CDO Bespoke'!$C$29:'CDO Bespoke'!$C$31,'CDO Bespoke'!$C$33),{5})),"")</f>
        <v>-2.4134949210943502</v>
      </c>
      <c r="AB94" s="481"/>
      <c r="AC94" s="517"/>
      <c r="AD94" s="518"/>
      <c r="AE94" s="518"/>
      <c r="AF94" s="518"/>
      <c r="AG94" s="518"/>
      <c r="AH94" s="518"/>
      <c r="AI94" s="518"/>
      <c r="AJ94" s="518"/>
      <c r="AK94" s="518"/>
      <c r="AL94" s="519"/>
      <c r="AM94" s="540"/>
    </row>
    <row r="95" spans="2:39" ht="12" thickBot="1">
      <c r="B95" s="541" t="s">
        <v>523</v>
      </c>
      <c r="C95" s="542" t="s">
        <v>66</v>
      </c>
      <c r="D95" s="542" t="s">
        <v>57</v>
      </c>
      <c r="E95" s="542" t="s">
        <v>661</v>
      </c>
      <c r="F95" s="542" t="s">
        <v>666</v>
      </c>
      <c r="G95" s="549">
        <v>0.01</v>
      </c>
      <c r="H95" s="549">
        <v>4.8069999999999996E-3</v>
      </c>
      <c r="I95" s="551">
        <v>0.4</v>
      </c>
      <c r="J95" s="543">
        <v>24</v>
      </c>
      <c r="K95" s="275"/>
      <c r="L95" s="275"/>
      <c r="M95" s="489">
        <f ca="1">IF('CDO Bespoke'!O96&lt;&gt;"",'CDO Bespoke'!O96,"")</f>
        <v>1.01866414065297</v>
      </c>
      <c r="N95" s="490">
        <f ca="1">IF(M95&lt;&gt;"",ABS(MIN(-0.75*('CDO Bespoke'!Q96)+'CDO Bespoke'!T96,0)),"")</f>
        <v>1.0113735961114618</v>
      </c>
      <c r="O95" s="490">
        <f t="shared" ca="1" si="4"/>
        <v>7.290544541508126E-3</v>
      </c>
      <c r="P95" s="490">
        <f t="shared" ca="1" si="5"/>
        <v>0</v>
      </c>
      <c r="Q95" s="489">
        <f ca="1">IF('CDO Bespoke'!O96&lt;&gt;"",'CDO Bespoke'!O96,"")</f>
        <v>1.01866414065297</v>
      </c>
      <c r="R95" s="490">
        <f ca="1">IF(Q95&lt;&gt;"",ABS(MIN(-0.75*('CDO Bespoke'!K96)+'CDO Bespoke'!T96,0)),"")</f>
        <v>0.17089296270614379</v>
      </c>
      <c r="S95" s="490">
        <f t="shared" ca="1" si="6"/>
        <v>0.84777117794682622</v>
      </c>
      <c r="T95" s="494">
        <f t="shared" ca="1" si="7"/>
        <v>0</v>
      </c>
      <c r="U95" s="275"/>
      <c r="V95" s="499" t="str">
        <f ca="1">IF('CDO Bespoke'!C120&lt;&gt;"",'CDO Bespoke'!C120,"")</f>
        <v>Koninklijke KPN N.V.</v>
      </c>
      <c r="W95" s="501" cm="1">
        <f t="array" aca="1" ref="W95" ca="1">IF($V95&lt;&gt;"",-TRANSPOSE(INDEX(getcds('CDO Bespoke'!$C120,W$13,'CDO Bespoke'!$G120/10000,'CDO Bespoke'!F120,'CDO Bespoke'!$L96,'CDO Bespoke'!$C$13,'CDO Bespoke'!$C$14,'CDO Bespoke'!$C$15,'CDO Bespoke'!$C$8,,,TRUE,TRUE,FALSE,'CDO Bespoke'!$C$29:'CDO Bespoke'!$C$31,'CDO Bespoke'!$C$33),{5})),"")</f>
        <v>-9.0073863055529099E-2</v>
      </c>
      <c r="X95" s="527" cm="1">
        <f t="array" aca="1" ref="X95" ca="1">IF($V95&lt;&gt;"",-TRANSPOSE(INDEX(getcds('CDO Bespoke'!$C120,X$13,'CDO Bespoke'!$G120/10000,'CDO Bespoke'!G120,'CDO Bespoke'!$L96,'CDO Bespoke'!$C$13,'CDO Bespoke'!$C$14,'CDO Bespoke'!$C$15,'CDO Bespoke'!$C$8,,,TRUE,TRUE,FALSE,'CDO Bespoke'!$C$29:'CDO Bespoke'!$C$31,'CDO Bespoke'!$C$33),{5})),"")</f>
        <v>-0.18580902211595299</v>
      </c>
      <c r="Y95" s="527" cm="1">
        <f t="array" aca="1" ref="Y95" ca="1">IF($V95&lt;&gt;"",-TRANSPOSE(INDEX(getcds('CDO Bespoke'!$C120,Y$13,'CDO Bespoke'!$G120/10000,'CDO Bespoke'!H120,'CDO Bespoke'!$L96,'CDO Bespoke'!$C$13,'CDO Bespoke'!$C$14,'CDO Bespoke'!$C$15,'CDO Bespoke'!$C$8,,,TRUE,TRUE,FALSE,'CDO Bespoke'!$C$29:'CDO Bespoke'!$C$31,'CDO Bespoke'!$C$33),{5})),"")</f>
        <v>-0.54760388402464</v>
      </c>
      <c r="Z95" s="527" cm="1">
        <f t="array" aca="1" ref="Z95" ca="1">IF($V95&lt;&gt;"",-TRANSPOSE(INDEX(getcds('CDO Bespoke'!$C120,Z$13,'CDO Bespoke'!$G120/10000,'CDO Bespoke'!I120,'CDO Bespoke'!$L96,'CDO Bespoke'!$C$13,'CDO Bespoke'!$C$14,'CDO Bespoke'!$C$15,'CDO Bespoke'!$C$8,,,TRUE,TRUE,FALSE,'CDO Bespoke'!$C$29:'CDO Bespoke'!$C$31,'CDO Bespoke'!$C$33),{5})),"")</f>
        <v>-0.874722821492391</v>
      </c>
      <c r="AA95" s="502" cm="1">
        <f t="array" aca="1" ref="AA95" ca="1">IF($V95&lt;&gt;"",-TRANSPOSE(INDEX(getcds('CDO Bespoke'!$C120,AA$13,'CDO Bespoke'!$G120/10000,'CDO Bespoke'!J120,'CDO Bespoke'!$L96,'CDO Bespoke'!$C$13,'CDO Bespoke'!$C$14,'CDO Bespoke'!$C$15,'CDO Bespoke'!$C$8,,,TRUE,TRUE,FALSE,'CDO Bespoke'!$C$29:'CDO Bespoke'!$C$31,'CDO Bespoke'!$C$33),{5})),"")</f>
        <v>-1.56980063078626</v>
      </c>
      <c r="AB95" s="481"/>
      <c r="AC95" s="517"/>
      <c r="AD95" s="518"/>
      <c r="AE95" s="518"/>
      <c r="AF95" s="518"/>
      <c r="AG95" s="518"/>
      <c r="AH95" s="518"/>
      <c r="AI95" s="518"/>
      <c r="AJ95" s="518"/>
      <c r="AK95" s="518"/>
      <c r="AL95" s="519"/>
      <c r="AM95" s="540"/>
    </row>
    <row r="96" spans="2:39" ht="12" thickBot="1">
      <c r="B96" s="558" t="s">
        <v>523</v>
      </c>
      <c r="C96" s="559" t="s">
        <v>66</v>
      </c>
      <c r="D96" s="559" t="s">
        <v>59</v>
      </c>
      <c r="E96" s="559" t="s">
        <v>661</v>
      </c>
      <c r="F96" s="559" t="s">
        <v>666</v>
      </c>
      <c r="G96" s="560">
        <v>0.01</v>
      </c>
      <c r="H96" s="560">
        <v>6.9220000000000002E-3</v>
      </c>
      <c r="I96" s="561">
        <v>0.4</v>
      </c>
      <c r="J96" s="562">
        <v>24</v>
      </c>
      <c r="K96" s="275"/>
      <c r="L96" s="275"/>
      <c r="M96" s="489">
        <f ca="1">IF('CDO Bespoke'!O97&lt;&gt;"",'CDO Bespoke'!O97,"")</f>
        <v>1.01928544927321</v>
      </c>
      <c r="N96" s="490">
        <f ca="1">IF(M96&lt;&gt;"",ABS(MIN(-0.75*('CDO Bespoke'!Q97)+'CDO Bespoke'!T97,0)),"")</f>
        <v>1.01005466843197</v>
      </c>
      <c r="O96" s="490">
        <f t="shared" ca="1" si="4"/>
        <v>9.2307808412399606E-3</v>
      </c>
      <c r="P96" s="490">
        <f t="shared" ca="1" si="5"/>
        <v>0</v>
      </c>
      <c r="Q96" s="489">
        <f ca="1">IF('CDO Bespoke'!O97&lt;&gt;"",'CDO Bespoke'!O97,"")</f>
        <v>1.01928544927321</v>
      </c>
      <c r="R96" s="490">
        <f ca="1">IF(Q96&lt;&gt;"",ABS(MIN(-0.75*('CDO Bespoke'!K97)+'CDO Bespoke'!T97,0)),"")</f>
        <v>0.14629115180723126</v>
      </c>
      <c r="S96" s="490">
        <f t="shared" ca="1" si="6"/>
        <v>0.87299429746597867</v>
      </c>
      <c r="T96" s="494">
        <f t="shared" ca="1" si="7"/>
        <v>0</v>
      </c>
      <c r="U96" s="275"/>
      <c r="V96" s="499" t="str">
        <f ca="1">IF('CDO Bespoke'!C121&lt;&gt;"",'CDO Bespoke'!C121,"")</f>
        <v>Orange</v>
      </c>
      <c r="W96" s="501" cm="1">
        <f t="array" aca="1" ref="W96" ca="1">IF($V96&lt;&gt;"",-TRANSPOSE(INDEX(getcds('CDO Bespoke'!$C121,W$13,'CDO Bespoke'!$G121/10000,'CDO Bespoke'!F121,'CDO Bespoke'!$L97,'CDO Bespoke'!$C$13,'CDO Bespoke'!$C$14,'CDO Bespoke'!$C$15,'CDO Bespoke'!$C$8,,,TRUE,TRUE,FALSE,'CDO Bespoke'!$C$29:'CDO Bespoke'!$C$31,'CDO Bespoke'!$C$33),{5})),"")</f>
        <v>-7.07552671027772E-2</v>
      </c>
      <c r="X96" s="527" cm="1">
        <f t="array" aca="1" ref="X96" ca="1">IF($V96&lt;&gt;"",-TRANSPOSE(INDEX(getcds('CDO Bespoke'!$C121,X$13,'CDO Bespoke'!$G121/10000,'CDO Bespoke'!G121,'CDO Bespoke'!$L97,'CDO Bespoke'!$C$13,'CDO Bespoke'!$C$14,'CDO Bespoke'!$C$15,'CDO Bespoke'!$C$8,,,TRUE,TRUE,FALSE,'CDO Bespoke'!$C$29:'CDO Bespoke'!$C$31,'CDO Bespoke'!$C$33),{5})),"")</f>
        <v>-0.14601622879857301</v>
      </c>
      <c r="Y96" s="527" cm="1">
        <f t="array" aca="1" ref="Y96" ca="1">IF($V96&lt;&gt;"",-TRANSPOSE(INDEX(getcds('CDO Bespoke'!$C121,Y$13,'CDO Bespoke'!$G121/10000,'CDO Bespoke'!H121,'CDO Bespoke'!$L97,'CDO Bespoke'!$C$13,'CDO Bespoke'!$C$14,'CDO Bespoke'!$C$15,'CDO Bespoke'!$C$8,,,TRUE,TRUE,FALSE,'CDO Bespoke'!$C$29:'CDO Bespoke'!$C$31,'CDO Bespoke'!$C$33),{5})),"")</f>
        <v>-0.43100720015367899</v>
      </c>
      <c r="Z96" s="527" cm="1">
        <f t="array" aca="1" ref="Z96" ca="1">IF($V96&lt;&gt;"",-TRANSPOSE(INDEX(getcds('CDO Bespoke'!$C121,Z$13,'CDO Bespoke'!$G121/10000,'CDO Bespoke'!I121,'CDO Bespoke'!$L97,'CDO Bespoke'!$C$13,'CDO Bespoke'!$C$14,'CDO Bespoke'!$C$15,'CDO Bespoke'!$C$8,,,TRUE,TRUE,FALSE,'CDO Bespoke'!$C$29:'CDO Bespoke'!$C$31,'CDO Bespoke'!$C$33),{5})),"")</f>
        <v>-0.69003550911324396</v>
      </c>
      <c r="AA96" s="502" cm="1">
        <f t="array" aca="1" ref="AA96" ca="1">IF($V96&lt;&gt;"",-TRANSPOSE(INDEX(getcds('CDO Bespoke'!$C121,AA$13,'CDO Bespoke'!$G121/10000,'CDO Bespoke'!J121,'CDO Bespoke'!$L97,'CDO Bespoke'!$C$13,'CDO Bespoke'!$C$14,'CDO Bespoke'!$C$15,'CDO Bespoke'!$C$8,,,TRUE,TRUE,FALSE,'CDO Bespoke'!$C$29:'CDO Bespoke'!$C$31,'CDO Bespoke'!$C$33),{5})),"")</f>
        <v>-1.2412267912189801</v>
      </c>
      <c r="AB96" s="481"/>
      <c r="AC96" s="517"/>
      <c r="AD96" s="518"/>
      <c r="AE96" s="518"/>
      <c r="AF96" s="518"/>
      <c r="AG96" s="518"/>
      <c r="AH96" s="518"/>
      <c r="AI96" s="518"/>
      <c r="AJ96" s="518"/>
      <c r="AK96" s="518"/>
      <c r="AL96" s="519"/>
      <c r="AM96" s="540"/>
    </row>
    <row r="97" spans="2:39" ht="12" thickBot="1">
      <c r="B97" s="563" t="s">
        <v>539</v>
      </c>
      <c r="C97" s="564" t="s">
        <v>66</v>
      </c>
      <c r="D97" s="564" t="s">
        <v>55</v>
      </c>
      <c r="E97" s="564" t="s">
        <v>663</v>
      </c>
      <c r="F97" s="564" t="s">
        <v>662</v>
      </c>
      <c r="G97" s="565">
        <v>0.01</v>
      </c>
      <c r="H97" s="565">
        <v>8.0549999999999997E-3</v>
      </c>
      <c r="I97" s="566">
        <v>0.4</v>
      </c>
      <c r="J97" s="567">
        <v>25</v>
      </c>
      <c r="K97" s="275"/>
      <c r="L97" s="275"/>
      <c r="M97" s="489">
        <f ca="1">IF('CDO Bespoke'!O98&lt;&gt;"",'CDO Bespoke'!O98,"")</f>
        <v>1.0182897922937499</v>
      </c>
      <c r="N97" s="490">
        <f ca="1">IF(M97&lt;&gt;"",ABS(MIN(-0.75*('CDO Bespoke'!Q98)+'CDO Bespoke'!T98,0)),"")</f>
        <v>1.0120698593057649</v>
      </c>
      <c r="O97" s="490">
        <f t="shared" ca="1" si="4"/>
        <v>6.2199329879850662E-3</v>
      </c>
      <c r="P97" s="490">
        <f t="shared" ca="1" si="5"/>
        <v>0</v>
      </c>
      <c r="Q97" s="489">
        <f ca="1">IF('CDO Bespoke'!O98&lt;&gt;"",'CDO Bespoke'!O98,"")</f>
        <v>1.0182897922937499</v>
      </c>
      <c r="R97" s="490">
        <f ca="1">IF(Q97&lt;&gt;"",ABS(MIN(-0.75*('CDO Bespoke'!K98)+'CDO Bespoke'!T98,0)),"")</f>
        <v>0.18165313777564504</v>
      </c>
      <c r="S97" s="490">
        <f t="shared" ca="1" si="6"/>
        <v>0.83663665451810487</v>
      </c>
      <c r="T97" s="494">
        <f t="shared" ca="1" si="7"/>
        <v>0</v>
      </c>
      <c r="U97" s="275"/>
      <c r="V97" s="499" t="str">
        <f ca="1">IF('CDO Bespoke'!C122&lt;&gt;"",'CDO Bespoke'!C122,"")</f>
        <v>PEARSON plc</v>
      </c>
      <c r="W97" s="501" cm="1">
        <f t="array" aca="1" ref="W97" ca="1">IF($V97&lt;&gt;"",-TRANSPOSE(INDEX(getcds('CDO Bespoke'!$C122,W$13,'CDO Bespoke'!$G122/10000,'CDO Bespoke'!F122,'CDO Bespoke'!$L98,'CDO Bespoke'!$C$13,'CDO Bespoke'!$C$14,'CDO Bespoke'!$C$15,'CDO Bespoke'!$C$8,,,TRUE,TRUE,FALSE,'CDO Bespoke'!$C$29:'CDO Bespoke'!$C$31,'CDO Bespoke'!$C$33),{5})),"")</f>
        <v>-9.8876324769280002E-2</v>
      </c>
      <c r="X97" s="527" cm="1">
        <f t="array" aca="1" ref="X97" ca="1">IF($V97&lt;&gt;"",-TRANSPOSE(INDEX(getcds('CDO Bespoke'!$C122,X$13,'CDO Bespoke'!$G122/10000,'CDO Bespoke'!G122,'CDO Bespoke'!$L98,'CDO Bespoke'!$C$13,'CDO Bespoke'!$C$14,'CDO Bespoke'!$C$15,'CDO Bespoke'!$C$8,,,TRUE,TRUE,FALSE,'CDO Bespoke'!$C$29:'CDO Bespoke'!$C$31,'CDO Bespoke'!$C$33),{5})),"")</f>
        <v>-0.203934349282033</v>
      </c>
      <c r="Y97" s="527" cm="1">
        <f t="array" aca="1" ref="Y97" ca="1">IF($V97&lt;&gt;"",-TRANSPOSE(INDEX(getcds('CDO Bespoke'!$C122,Y$13,'CDO Bespoke'!$G122/10000,'CDO Bespoke'!H122,'CDO Bespoke'!$L98,'CDO Bespoke'!$C$13,'CDO Bespoke'!$C$14,'CDO Bespoke'!$C$15,'CDO Bespoke'!$C$8,,,TRUE,TRUE,FALSE,'CDO Bespoke'!$C$29:'CDO Bespoke'!$C$31,'CDO Bespoke'!$C$33),{5})),"")</f>
        <v>-0.60064237057749403</v>
      </c>
      <c r="Z97" s="527" cm="1">
        <f t="array" aca="1" ref="Z97" ca="1">IF($V97&lt;&gt;"",-TRANSPOSE(INDEX(getcds('CDO Bespoke'!$C122,Z$13,'CDO Bespoke'!$G122/10000,'CDO Bespoke'!I122,'CDO Bespoke'!$L98,'CDO Bespoke'!$C$13,'CDO Bespoke'!$C$14,'CDO Bespoke'!$C$15,'CDO Bespoke'!$C$8,,,TRUE,TRUE,FALSE,'CDO Bespoke'!$C$29:'CDO Bespoke'!$C$31,'CDO Bespoke'!$C$33),{5})),"")</f>
        <v>-0.95833579881644204</v>
      </c>
      <c r="AA97" s="502" cm="1">
        <f t="array" aca="1" ref="AA97" ca="1">IF($V97&lt;&gt;"",-TRANSPOSE(INDEX(getcds('CDO Bespoke'!$C122,AA$13,'CDO Bespoke'!$G122/10000,'CDO Bespoke'!J122,'CDO Bespoke'!$L98,'CDO Bespoke'!$C$13,'CDO Bespoke'!$C$14,'CDO Bespoke'!$C$15,'CDO Bespoke'!$C$8,,,TRUE,TRUE,FALSE,'CDO Bespoke'!$C$29:'CDO Bespoke'!$C$31,'CDO Bespoke'!$C$33),{5})),"")</f>
        <v>-1.7175707809517899</v>
      </c>
      <c r="AB97" s="481"/>
      <c r="AC97" s="517"/>
      <c r="AD97" s="518"/>
      <c r="AE97" s="518"/>
      <c r="AF97" s="518"/>
      <c r="AG97" s="518"/>
      <c r="AH97" s="518"/>
      <c r="AI97" s="518"/>
      <c r="AJ97" s="518"/>
      <c r="AK97" s="518"/>
      <c r="AL97" s="519"/>
      <c r="AM97" s="540"/>
    </row>
    <row r="98" spans="2:39" ht="12" thickBot="1">
      <c r="B98" s="541" t="s">
        <v>539</v>
      </c>
      <c r="C98" s="542" t="s">
        <v>66</v>
      </c>
      <c r="D98" s="542" t="s">
        <v>57</v>
      </c>
      <c r="E98" s="542" t="s">
        <v>663</v>
      </c>
      <c r="F98" s="542" t="s">
        <v>662</v>
      </c>
      <c r="G98" s="549">
        <v>0.01</v>
      </c>
      <c r="H98" s="549">
        <v>1.2508999999999999E-2</v>
      </c>
      <c r="I98" s="551">
        <v>0.4</v>
      </c>
      <c r="J98" s="543">
        <v>25</v>
      </c>
      <c r="K98" s="275"/>
      <c r="L98" s="275"/>
      <c r="M98" s="489">
        <f ca="1">IF('CDO Bespoke'!O99&lt;&gt;"",'CDO Bespoke'!O99,"")</f>
        <v>1.0187284616694501</v>
      </c>
      <c r="N98" s="490">
        <f ca="1">IF(M98&lt;&gt;"",ABS(MIN(-0.75*('CDO Bespoke'!Q99)+'CDO Bespoke'!T99,0)),"")</f>
        <v>1.0113191825581369</v>
      </c>
      <c r="O98" s="490">
        <f t="shared" ca="1" si="4"/>
        <v>7.4092791113131717E-3</v>
      </c>
      <c r="P98" s="490">
        <f t="shared" ca="1" si="5"/>
        <v>0</v>
      </c>
      <c r="Q98" s="489">
        <f ca="1">IF('CDO Bespoke'!O99&lt;&gt;"",'CDO Bespoke'!O99,"")</f>
        <v>1.0187284616694501</v>
      </c>
      <c r="R98" s="490">
        <f ca="1">IF(Q98&lt;&gt;"",ABS(MIN(-0.75*('CDO Bespoke'!K99)+'CDO Bespoke'!T99,0)),"")</f>
        <v>0.16899167535129939</v>
      </c>
      <c r="S98" s="490">
        <f t="shared" ca="1" si="6"/>
        <v>0.84973678631815064</v>
      </c>
      <c r="T98" s="494">
        <f t="shared" ca="1" si="7"/>
        <v>0</v>
      </c>
      <c r="U98" s="275"/>
      <c r="V98" s="499" t="str">
        <f ca="1">IF('CDO Bespoke'!C123&lt;&gt;"",'CDO Bespoke'!C123,"")</f>
        <v>PUBLICIS GROUPE SA</v>
      </c>
      <c r="W98" s="501" cm="1">
        <f t="array" aca="1" ref="W98" ca="1">IF($V98&lt;&gt;"",-TRANSPOSE(INDEX(getcds('CDO Bespoke'!$C123,W$13,'CDO Bespoke'!$G123/10000,'CDO Bespoke'!F123,'CDO Bespoke'!$L99,'CDO Bespoke'!$C$13,'CDO Bespoke'!$C$14,'CDO Bespoke'!$C$15,'CDO Bespoke'!$C$8,,,TRUE,TRUE,FALSE,'CDO Bespoke'!$C$29:'CDO Bespoke'!$C$31,'CDO Bespoke'!$C$33),{5})),"")</f>
        <v>-8.8668670098434196E-2</v>
      </c>
      <c r="X98" s="527" cm="1">
        <f t="array" aca="1" ref="X98" ca="1">IF($V98&lt;&gt;"",-TRANSPOSE(INDEX(getcds('CDO Bespoke'!$C123,X$13,'CDO Bespoke'!$G123/10000,'CDO Bespoke'!G123,'CDO Bespoke'!$L99,'CDO Bespoke'!$C$13,'CDO Bespoke'!$C$14,'CDO Bespoke'!$C$15,'CDO Bespoke'!$C$8,,,TRUE,TRUE,FALSE,'CDO Bespoke'!$C$29:'CDO Bespoke'!$C$31,'CDO Bespoke'!$C$33),{5})),"")</f>
        <v>-0.18292785738042699</v>
      </c>
      <c r="Y98" s="527" cm="1">
        <f t="array" aca="1" ref="Y98" ca="1">IF($V98&lt;&gt;"",-TRANSPOSE(INDEX(getcds('CDO Bespoke'!$C123,Y$13,'CDO Bespoke'!$G123/10000,'CDO Bespoke'!H123,'CDO Bespoke'!$L99,'CDO Bespoke'!$C$13,'CDO Bespoke'!$C$14,'CDO Bespoke'!$C$15,'CDO Bespoke'!$C$8,,,TRUE,TRUE,FALSE,'CDO Bespoke'!$C$29:'CDO Bespoke'!$C$31,'CDO Bespoke'!$C$33),{5})),"")</f>
        <v>-0.53931541019904705</v>
      </c>
      <c r="Z98" s="527" cm="1">
        <f t="array" aca="1" ref="Z98" ca="1">IF($V98&lt;&gt;"",-TRANSPOSE(INDEX(getcds('CDO Bespoke'!$C123,Z$13,'CDO Bespoke'!$G123/10000,'CDO Bespoke'!I123,'CDO Bespoke'!$L99,'CDO Bespoke'!$C$13,'CDO Bespoke'!$C$14,'CDO Bespoke'!$C$15,'CDO Bespoke'!$C$8,,,TRUE,TRUE,FALSE,'CDO Bespoke'!$C$29:'CDO Bespoke'!$C$31,'CDO Bespoke'!$C$33),{5})),"")</f>
        <v>-0.861630510259773</v>
      </c>
      <c r="AA98" s="502" cm="1">
        <f t="array" aca="1" ref="AA98" ca="1">IF($V98&lt;&gt;"",-TRANSPOSE(INDEX(getcds('CDO Bespoke'!$C123,AA$13,'CDO Bespoke'!$G123/10000,'CDO Bespoke'!J123,'CDO Bespoke'!$L99,'CDO Bespoke'!$C$13,'CDO Bespoke'!$C$14,'CDO Bespoke'!$C$15,'CDO Bespoke'!$C$8,,,TRUE,TRUE,FALSE,'CDO Bespoke'!$C$29:'CDO Bespoke'!$C$31,'CDO Bespoke'!$C$33),{5})),"")</f>
        <v>-1.5459666429871199</v>
      </c>
      <c r="AB98" s="481"/>
      <c r="AC98" s="517"/>
      <c r="AD98" s="518"/>
      <c r="AE98" s="518"/>
      <c r="AF98" s="518"/>
      <c r="AG98" s="518"/>
      <c r="AH98" s="518"/>
      <c r="AI98" s="518"/>
      <c r="AJ98" s="518"/>
      <c r="AK98" s="518"/>
      <c r="AL98" s="519"/>
      <c r="AM98" s="540"/>
    </row>
    <row r="99" spans="2:39" ht="12" thickBot="1">
      <c r="B99" s="558" t="s">
        <v>539</v>
      </c>
      <c r="C99" s="559" t="s">
        <v>66</v>
      </c>
      <c r="D99" s="559" t="s">
        <v>59</v>
      </c>
      <c r="E99" s="559" t="s">
        <v>663</v>
      </c>
      <c r="F99" s="559" t="s">
        <v>662</v>
      </c>
      <c r="G99" s="560">
        <v>0.01</v>
      </c>
      <c r="H99" s="560">
        <v>1.5117E-2</v>
      </c>
      <c r="I99" s="561">
        <v>0.4</v>
      </c>
      <c r="J99" s="562">
        <v>25</v>
      </c>
      <c r="K99" s="275"/>
      <c r="L99" s="275"/>
      <c r="M99" s="489">
        <f ca="1">IF('CDO Bespoke'!O100&lt;&gt;"",'CDO Bespoke'!O100,"")</f>
        <v>1.0097715663064</v>
      </c>
      <c r="N99" s="490">
        <f ca="1">IF(M99&lt;&gt;"",ABS(MIN(-0.75*('CDO Bespoke'!Q100)+'CDO Bespoke'!T100,0)),"")</f>
        <v>1.0209297702156641</v>
      </c>
      <c r="O99" s="490">
        <f t="shared" ca="1" si="4"/>
        <v>0</v>
      </c>
      <c r="P99" s="490">
        <f t="shared" ca="1" si="5"/>
        <v>0</v>
      </c>
      <c r="Q99" s="489">
        <f ca="1">IF('CDO Bespoke'!O100&lt;&gt;"",'CDO Bespoke'!O100,"")</f>
        <v>1.0097715663064</v>
      </c>
      <c r="R99" s="490">
        <f ca="1">IF(Q99&lt;&gt;"",ABS(MIN(-0.75*('CDO Bespoke'!K100)+'CDO Bespoke'!T100,0)),"")</f>
        <v>0.27750022209036868</v>
      </c>
      <c r="S99" s="490">
        <f t="shared" ca="1" si="6"/>
        <v>0.73227134421603135</v>
      </c>
      <c r="T99" s="494">
        <f t="shared" ca="1" si="7"/>
        <v>0</v>
      </c>
      <c r="U99" s="275"/>
      <c r="V99" s="499" t="str">
        <f ca="1">IF('CDO Bespoke'!C124&lt;&gt;"",'CDO Bespoke'!C124,"")</f>
        <v>SES</v>
      </c>
      <c r="W99" s="501" cm="1">
        <f t="array" aca="1" ref="W99" ca="1">IF($V99&lt;&gt;"",-TRANSPOSE(INDEX(getcds('CDO Bespoke'!$C124,W$13,'CDO Bespoke'!$G124/10000,'CDO Bespoke'!F124,'CDO Bespoke'!$L100,'CDO Bespoke'!$C$13,'CDO Bespoke'!$C$14,'CDO Bespoke'!$C$15,'CDO Bespoke'!$C$8,,,TRUE,TRUE,FALSE,'CDO Bespoke'!$C$29:'CDO Bespoke'!$C$31,'CDO Bespoke'!$C$33),{5})),"")</f>
        <v>-0.18548746216993001</v>
      </c>
      <c r="X99" s="527" cm="1">
        <f t="array" aca="1" ref="X99" ca="1">IF($V99&lt;&gt;"",-TRANSPOSE(INDEX(getcds('CDO Bespoke'!$C124,X$13,'CDO Bespoke'!$G124/10000,'CDO Bespoke'!G124,'CDO Bespoke'!$L100,'CDO Bespoke'!$C$13,'CDO Bespoke'!$C$14,'CDO Bespoke'!$C$15,'CDO Bespoke'!$C$8,,,TRUE,TRUE,FALSE,'CDO Bespoke'!$C$29:'CDO Bespoke'!$C$31,'CDO Bespoke'!$C$33),{5})),"")</f>
        <v>-0.381550595891954</v>
      </c>
      <c r="Y99" s="527" cm="1">
        <f t="array" aca="1" ref="Y99" ca="1">IF($V99&lt;&gt;"",-TRANSPOSE(INDEX(getcds('CDO Bespoke'!$C124,Y$13,'CDO Bespoke'!$G124/10000,'CDO Bespoke'!H124,'CDO Bespoke'!$L100,'CDO Bespoke'!$C$13,'CDO Bespoke'!$C$14,'CDO Bespoke'!$C$15,'CDO Bespoke'!$C$8,,,TRUE,TRUE,FALSE,'CDO Bespoke'!$C$29:'CDO Bespoke'!$C$31,'CDO Bespoke'!$C$33),{5})),"")</f>
        <v>-1.11209151431508</v>
      </c>
      <c r="Z99" s="527" cm="1">
        <f t="array" aca="1" ref="Z99" ca="1">IF($V99&lt;&gt;"",-TRANSPOSE(INDEX(getcds('CDO Bespoke'!$C124,Z$13,'CDO Bespoke'!$G124/10000,'CDO Bespoke'!I124,'CDO Bespoke'!$L100,'CDO Bespoke'!$C$13,'CDO Bespoke'!$C$14,'CDO Bespoke'!$C$15,'CDO Bespoke'!$C$8,,,TRUE,TRUE,FALSE,'CDO Bespoke'!$C$29:'CDO Bespoke'!$C$31,'CDO Bespoke'!$C$33),{5})),"")</f>
        <v>-1.74722550586991</v>
      </c>
      <c r="AA99" s="502" cm="1">
        <f t="array" aca="1" ref="AA99" ca="1">IF($V99&lt;&gt;"",-TRANSPOSE(INDEX(getcds('CDO Bespoke'!$C124,AA$13,'CDO Bespoke'!$G124/10000,'CDO Bespoke'!J124,'CDO Bespoke'!$L100,'CDO Bespoke'!$C$13,'CDO Bespoke'!$C$14,'CDO Bespoke'!$C$15,'CDO Bespoke'!$C$8,,,TRUE,TRUE,FALSE,'CDO Bespoke'!$C$29:'CDO Bespoke'!$C$31,'CDO Bespoke'!$C$33),{5})),"")</f>
        <v>-3.0989890325584999</v>
      </c>
      <c r="AB99" s="481"/>
      <c r="AC99" s="517"/>
      <c r="AD99" s="518"/>
      <c r="AE99" s="518"/>
      <c r="AF99" s="518"/>
      <c r="AG99" s="518"/>
      <c r="AH99" s="518"/>
      <c r="AI99" s="518"/>
      <c r="AJ99" s="518"/>
      <c r="AK99" s="518"/>
      <c r="AL99" s="519"/>
      <c r="AM99" s="540"/>
    </row>
    <row r="100" spans="2:39" ht="12" thickBot="1">
      <c r="B100" s="563" t="s">
        <v>524</v>
      </c>
      <c r="C100" s="564" t="s">
        <v>66</v>
      </c>
      <c r="D100" s="564" t="s">
        <v>55</v>
      </c>
      <c r="E100" s="564" t="s">
        <v>663</v>
      </c>
      <c r="F100" s="564" t="s">
        <v>662</v>
      </c>
      <c r="G100" s="565">
        <v>0.01</v>
      </c>
      <c r="H100" s="565">
        <v>3.4320000000000002E-3</v>
      </c>
      <c r="I100" s="566">
        <v>0.4</v>
      </c>
      <c r="J100" s="567">
        <v>26</v>
      </c>
      <c r="K100" s="275"/>
      <c r="L100" s="275"/>
      <c r="M100" s="489">
        <f ca="1">IF('CDO Bespoke'!O101&lt;&gt;"",'CDO Bespoke'!O101,"")</f>
        <v>1.0197521211651199</v>
      </c>
      <c r="N100" s="490">
        <f ca="1">IF(M100&lt;&gt;"",ABS(MIN(-0.75*('CDO Bespoke'!Q101)+'CDO Bespoke'!T101,0)),"")</f>
        <v>1.0084897689411509</v>
      </c>
      <c r="O100" s="490">
        <f t="shared" ca="1" si="4"/>
        <v>1.1262352223968985E-2</v>
      </c>
      <c r="P100" s="490">
        <f t="shared" ca="1" si="5"/>
        <v>0</v>
      </c>
      <c r="Q100" s="489">
        <f ca="1">IF('CDO Bespoke'!O101&lt;&gt;"",'CDO Bespoke'!O101,"")</f>
        <v>1.0197521211651199</v>
      </c>
      <c r="R100" s="490">
        <f ca="1">IF(Q100&lt;&gt;"",ABS(MIN(-0.75*('CDO Bespoke'!K101)+'CDO Bespoke'!T101,0)),"")</f>
        <v>0.10950546254820492</v>
      </c>
      <c r="S100" s="490">
        <f t="shared" ca="1" si="6"/>
        <v>0.91024665861691501</v>
      </c>
      <c r="T100" s="494">
        <f t="shared" ca="1" si="7"/>
        <v>0</v>
      </c>
      <c r="U100" s="275"/>
      <c r="V100" s="499" t="str">
        <f ca="1">IF('CDO Bespoke'!C125&lt;&gt;"",'CDO Bespoke'!C125,"")</f>
        <v>SKY LIMITED</v>
      </c>
      <c r="W100" s="501" cm="1">
        <f t="array" aca="1" ref="W100" ca="1">IF($V100&lt;&gt;"",-TRANSPOSE(INDEX(getcds('CDO Bespoke'!$C125,W$13,'CDO Bespoke'!$G125/10000,'CDO Bespoke'!F125,'CDO Bespoke'!$L101,'CDO Bespoke'!$C$13,'CDO Bespoke'!$C$14,'CDO Bespoke'!$C$15,'CDO Bespoke'!$C$8,,,TRUE,TRUE,FALSE,'CDO Bespoke'!$C$29:'CDO Bespoke'!$C$31,'CDO Bespoke'!$C$33),{5})),"")</f>
        <v>-4.3334571801503297E-2</v>
      </c>
      <c r="X100" s="527" cm="1">
        <f t="array" aca="1" ref="X100" ca="1">IF($V100&lt;&gt;"",-TRANSPOSE(INDEX(getcds('CDO Bespoke'!$C125,X$13,'CDO Bespoke'!$G125/10000,'CDO Bespoke'!G125,'CDO Bespoke'!$L101,'CDO Bespoke'!$C$13,'CDO Bespoke'!$C$14,'CDO Bespoke'!$C$15,'CDO Bespoke'!$C$8,,,TRUE,TRUE,FALSE,'CDO Bespoke'!$C$29:'CDO Bespoke'!$C$31,'CDO Bespoke'!$C$33),{5})),"")</f>
        <v>-8.9464530762374594E-2</v>
      </c>
      <c r="Y100" s="527" cm="1">
        <f t="array" aca="1" ref="Y100" ca="1">IF($V100&lt;&gt;"",-TRANSPOSE(INDEX(getcds('CDO Bespoke'!$C125,Y$13,'CDO Bespoke'!$G125/10000,'CDO Bespoke'!H125,'CDO Bespoke'!$L101,'CDO Bespoke'!$C$13,'CDO Bespoke'!$C$14,'CDO Bespoke'!$C$15,'CDO Bespoke'!$C$8,,,TRUE,TRUE,FALSE,'CDO Bespoke'!$C$29:'CDO Bespoke'!$C$31,'CDO Bespoke'!$C$33),{5})),"")</f>
        <v>-0.26449483358277798</v>
      </c>
      <c r="Z100" s="527" cm="1">
        <f t="array" aca="1" ref="Z100" ca="1">IF($V100&lt;&gt;"",-TRANSPOSE(INDEX(getcds('CDO Bespoke'!$C125,Z$13,'CDO Bespoke'!$G125/10000,'CDO Bespoke'!I125,'CDO Bespoke'!$L101,'CDO Bespoke'!$C$13,'CDO Bespoke'!$C$14,'CDO Bespoke'!$C$15,'CDO Bespoke'!$C$8,,,TRUE,TRUE,FALSE,'CDO Bespoke'!$C$29:'CDO Bespoke'!$C$31,'CDO Bespoke'!$C$33),{5})),"")</f>
        <v>-0.424534989000384</v>
      </c>
      <c r="AA100" s="502" cm="1">
        <f t="array" aca="1" ref="AA100" ca="1">IF($V100&lt;&gt;"",-TRANSPOSE(INDEX(getcds('CDO Bespoke'!$C125,AA$13,'CDO Bespoke'!$G125/10000,'CDO Bespoke'!J125,'CDO Bespoke'!$L101,'CDO Bespoke'!$C$13,'CDO Bespoke'!$C$14,'CDO Bespoke'!$C$15,'CDO Bespoke'!$C$8,,,TRUE,TRUE,FALSE,'CDO Bespoke'!$C$29:'CDO Bespoke'!$C$31,'CDO Bespoke'!$C$33),{5})),"")</f>
        <v>-0.76532727859352301</v>
      </c>
      <c r="AB100" s="481"/>
      <c r="AC100" s="517"/>
      <c r="AD100" s="518"/>
      <c r="AE100" s="518"/>
      <c r="AF100" s="518"/>
      <c r="AG100" s="518"/>
      <c r="AH100" s="518"/>
      <c r="AI100" s="518"/>
      <c r="AJ100" s="518"/>
      <c r="AK100" s="518"/>
      <c r="AL100" s="519"/>
      <c r="AM100" s="540"/>
    </row>
    <row r="101" spans="2:39" ht="12" thickBot="1">
      <c r="B101" s="541" t="s">
        <v>524</v>
      </c>
      <c r="C101" s="542" t="s">
        <v>66</v>
      </c>
      <c r="D101" s="542" t="s">
        <v>57</v>
      </c>
      <c r="E101" s="542" t="s">
        <v>663</v>
      </c>
      <c r="F101" s="542" t="s">
        <v>662</v>
      </c>
      <c r="G101" s="549">
        <v>0.01</v>
      </c>
      <c r="H101" s="549">
        <v>5.6519999999999999E-3</v>
      </c>
      <c r="I101" s="551">
        <v>0.4</v>
      </c>
      <c r="J101" s="543">
        <v>26</v>
      </c>
      <c r="K101" s="275"/>
      <c r="L101" s="275"/>
      <c r="M101" s="489">
        <f ca="1">IF('CDO Bespoke'!O102&lt;&gt;"",'CDO Bespoke'!O102,"")</f>
        <v>1.01928046114412</v>
      </c>
      <c r="N101" s="490">
        <f ca="1">IF(M101&lt;&gt;"",ABS(MIN(-0.75*('CDO Bespoke'!Q102)+'CDO Bespoke'!T102,0)),"")</f>
        <v>1.0100160941352818</v>
      </c>
      <c r="O101" s="490">
        <f t="shared" ca="1" si="4"/>
        <v>9.264367008838148E-3</v>
      </c>
      <c r="P101" s="490">
        <f t="shared" ca="1" si="5"/>
        <v>0</v>
      </c>
      <c r="Q101" s="489">
        <f ca="1">IF('CDO Bespoke'!O102&lt;&gt;"",'CDO Bespoke'!O102,"")</f>
        <v>1.01928046114412</v>
      </c>
      <c r="R101" s="490">
        <f ca="1">IF(Q101&lt;&gt;"",ABS(MIN(-0.75*('CDO Bespoke'!K102)+'CDO Bespoke'!T102,0)),"")</f>
        <v>0.14638474032271132</v>
      </c>
      <c r="S101" s="490">
        <f t="shared" ca="1" si="6"/>
        <v>0.87289572082140865</v>
      </c>
      <c r="T101" s="494">
        <f t="shared" ca="1" si="7"/>
        <v>0</v>
      </c>
      <c r="U101" s="275"/>
      <c r="V101" s="499" t="str">
        <f ca="1">IF('CDO Bespoke'!C126&lt;&gt;"",'CDO Bespoke'!C126,"")</f>
        <v>STMicroelectronics N.V.</v>
      </c>
      <c r="W101" s="501" cm="1">
        <f t="array" aca="1" ref="W101" ca="1">IF($V101&lt;&gt;"",-TRANSPOSE(INDEX(getcds('CDO Bespoke'!$C126,W$13,'CDO Bespoke'!$G126/10000,'CDO Bespoke'!F126,'CDO Bespoke'!$L102,'CDO Bespoke'!$C$13,'CDO Bespoke'!$C$14,'CDO Bespoke'!$C$15,'CDO Bespoke'!$C$8,,,TRUE,TRUE,FALSE,'CDO Bespoke'!$C$29:'CDO Bespoke'!$C$31,'CDO Bespoke'!$C$33),{5})),"")</f>
        <v>-7.0728950608615407E-2</v>
      </c>
      <c r="X101" s="527" cm="1">
        <f t="array" aca="1" ref="X101" ca="1">IF($V101&lt;&gt;"",-TRANSPOSE(INDEX(getcds('CDO Bespoke'!$C126,X$13,'CDO Bespoke'!$G126/10000,'CDO Bespoke'!G126,'CDO Bespoke'!$L102,'CDO Bespoke'!$C$13,'CDO Bespoke'!$C$14,'CDO Bespoke'!$C$15,'CDO Bespoke'!$C$8,,,TRUE,TRUE,FALSE,'CDO Bespoke'!$C$29:'CDO Bespoke'!$C$31,'CDO Bespoke'!$C$33),{5})),"")</f>
        <v>-0.14595537517711499</v>
      </c>
      <c r="Y101" s="527" cm="1">
        <f t="array" aca="1" ref="Y101" ca="1">IF($V101&lt;&gt;"",-TRANSPOSE(INDEX(getcds('CDO Bespoke'!$C126,Y$13,'CDO Bespoke'!$G126/10000,'CDO Bespoke'!H126,'CDO Bespoke'!$L102,'CDO Bespoke'!$C$13,'CDO Bespoke'!$C$14,'CDO Bespoke'!$C$15,'CDO Bespoke'!$C$8,,,TRUE,TRUE,FALSE,'CDO Bespoke'!$C$29:'CDO Bespoke'!$C$31,'CDO Bespoke'!$C$33),{5})),"")</f>
        <v>-0.43075180166170701</v>
      </c>
      <c r="Z101" s="527" cm="1">
        <f t="array" aca="1" ref="Z101" ca="1">IF($V101&lt;&gt;"",-TRANSPOSE(INDEX(getcds('CDO Bespoke'!$C126,Z$13,'CDO Bespoke'!$G126/10000,'CDO Bespoke'!I126,'CDO Bespoke'!$L102,'CDO Bespoke'!$C$13,'CDO Bespoke'!$C$14,'CDO Bespoke'!$C$15,'CDO Bespoke'!$C$8,,,TRUE,TRUE,FALSE,'CDO Bespoke'!$C$29:'CDO Bespoke'!$C$31,'CDO Bespoke'!$C$33),{5})),"")</f>
        <v>-0.68963627350971501</v>
      </c>
      <c r="AA101" s="502" cm="1">
        <f t="array" aca="1" ref="AA101" ca="1">IF($V101&lt;&gt;"",-TRANSPOSE(INDEX(getcds('CDO Bespoke'!$C126,AA$13,'CDO Bespoke'!$G126/10000,'CDO Bespoke'!J126,'CDO Bespoke'!$L102,'CDO Bespoke'!$C$13,'CDO Bespoke'!$C$14,'CDO Bespoke'!$C$15,'CDO Bespoke'!$C$8,,,TRUE,TRUE,FALSE,'CDO Bespoke'!$C$29:'CDO Bespoke'!$C$31,'CDO Bespoke'!$C$33),{5})),"")</f>
        <v>-1.2410269919944299</v>
      </c>
      <c r="AB101" s="481"/>
      <c r="AC101" s="517"/>
      <c r="AD101" s="518"/>
      <c r="AE101" s="518"/>
      <c r="AF101" s="518"/>
      <c r="AG101" s="518"/>
      <c r="AH101" s="518"/>
      <c r="AI101" s="518"/>
      <c r="AJ101" s="518"/>
      <c r="AK101" s="518"/>
      <c r="AL101" s="519"/>
      <c r="AM101" s="540"/>
    </row>
    <row r="102" spans="2:39" ht="12" thickBot="1">
      <c r="B102" s="558" t="s">
        <v>524</v>
      </c>
      <c r="C102" s="559" t="s">
        <v>66</v>
      </c>
      <c r="D102" s="559" t="s">
        <v>59</v>
      </c>
      <c r="E102" s="559" t="s">
        <v>663</v>
      </c>
      <c r="F102" s="559" t="s">
        <v>662</v>
      </c>
      <c r="G102" s="560">
        <v>0.01</v>
      </c>
      <c r="H102" s="560">
        <v>8.0560000000000007E-3</v>
      </c>
      <c r="I102" s="561">
        <v>0.4</v>
      </c>
      <c r="J102" s="562">
        <v>26</v>
      </c>
      <c r="K102" s="275"/>
      <c r="L102" s="275"/>
      <c r="M102" s="489">
        <f ca="1">IF('CDO Bespoke'!O103&lt;&gt;"",'CDO Bespoke'!O103,"")</f>
        <v>1.01758131297605</v>
      </c>
      <c r="N102" s="490">
        <f ca="1">IF(M102&lt;&gt;"",ABS(MIN(-0.75*('CDO Bespoke'!Q103)+'CDO Bespoke'!T103,0)),"")</f>
        <v>1.0131617364597374</v>
      </c>
      <c r="O102" s="490">
        <f t="shared" ca="1" si="4"/>
        <v>4.4195765163126399E-3</v>
      </c>
      <c r="P102" s="490">
        <f t="shared" ca="1" si="5"/>
        <v>0</v>
      </c>
      <c r="Q102" s="489">
        <f ca="1">IF('CDO Bespoke'!O103&lt;&gt;"",'CDO Bespoke'!O103,"")</f>
        <v>1.01758131297605</v>
      </c>
      <c r="R102" s="490">
        <f ca="1">IF(Q102&lt;&gt;"",ABS(MIN(-0.75*('CDO Bespoke'!K103)+'CDO Bespoke'!T103,0)),"")</f>
        <v>0.19764868348066492</v>
      </c>
      <c r="S102" s="490">
        <f t="shared" ca="1" si="6"/>
        <v>0.81993262949538515</v>
      </c>
      <c r="T102" s="494">
        <f t="shared" ca="1" si="7"/>
        <v>0</v>
      </c>
      <c r="U102" s="275"/>
      <c r="V102" s="499" t="str">
        <f ca="1">IF('CDO Bespoke'!C127&lt;&gt;"",'CDO Bespoke'!C127,"")</f>
        <v>TELEFONICA, S.A.</v>
      </c>
      <c r="W102" s="501" cm="1">
        <f t="array" aca="1" ref="W102" ca="1">IF($V102&lt;&gt;"",-TRANSPOSE(INDEX(getcds('CDO Bespoke'!$C127,W$13,'CDO Bespoke'!$G127/10000,'CDO Bespoke'!F127,'CDO Bespoke'!$L103,'CDO Bespoke'!$C$13,'CDO Bespoke'!$C$14,'CDO Bespoke'!$C$15,'CDO Bespoke'!$C$8,,,TRUE,TRUE,FALSE,'CDO Bespoke'!$C$29:'CDO Bespoke'!$C$31,'CDO Bespoke'!$C$33),{5})),"")</f>
        <v>-0.11219728812363999</v>
      </c>
      <c r="X102" s="527" cm="1">
        <f t="array" aca="1" ref="X102" ca="1">IF($V102&lt;&gt;"",-TRANSPOSE(INDEX(getcds('CDO Bespoke'!$C127,X$13,'CDO Bespoke'!$G127/10000,'CDO Bespoke'!G127,'CDO Bespoke'!$L103,'CDO Bespoke'!$C$13,'CDO Bespoke'!$C$14,'CDO Bespoke'!$C$15,'CDO Bespoke'!$C$8,,,TRUE,TRUE,FALSE,'CDO Bespoke'!$C$29:'CDO Bespoke'!$C$31,'CDO Bespoke'!$C$33),{5})),"")</f>
        <v>-0.231335349925714</v>
      </c>
      <c r="Y102" s="527" cm="1">
        <f t="array" aca="1" ref="Y102" ca="1">IF($V102&lt;&gt;"",-TRANSPOSE(INDEX(getcds('CDO Bespoke'!$C127,Y$13,'CDO Bespoke'!$G127/10000,'CDO Bespoke'!H127,'CDO Bespoke'!$L103,'CDO Bespoke'!$C$13,'CDO Bespoke'!$C$14,'CDO Bespoke'!$C$15,'CDO Bespoke'!$C$8,,,TRUE,TRUE,FALSE,'CDO Bespoke'!$C$29:'CDO Bespoke'!$C$31,'CDO Bespoke'!$C$33),{5})),"")</f>
        <v>-0.68049550548114801</v>
      </c>
      <c r="Z102" s="527" cm="1">
        <f t="array" aca="1" ref="Z102" ca="1">IF($V102&lt;&gt;"",-TRANSPOSE(INDEX(getcds('CDO Bespoke'!$C127,Z$13,'CDO Bespoke'!$G127/10000,'CDO Bespoke'!I127,'CDO Bespoke'!$L103,'CDO Bespoke'!$C$13,'CDO Bespoke'!$C$14,'CDO Bespoke'!$C$15,'CDO Bespoke'!$C$8,,,TRUE,TRUE,FALSE,'CDO Bespoke'!$C$29:'CDO Bespoke'!$C$31,'CDO Bespoke'!$C$33),{5})),"")</f>
        <v>-1.08369490909036</v>
      </c>
      <c r="AA102" s="502" cm="1">
        <f t="array" aca="1" ref="AA102" ca="1">IF($V102&lt;&gt;"",-TRANSPOSE(INDEX(getcds('CDO Bespoke'!$C127,AA$13,'CDO Bespoke'!$G127/10000,'CDO Bespoke'!J127,'CDO Bespoke'!$L103,'CDO Bespoke'!$C$13,'CDO Bespoke'!$C$14,'CDO Bespoke'!$C$15,'CDO Bespoke'!$C$8,,,TRUE,TRUE,FALSE,'CDO Bespoke'!$C$29:'CDO Bespoke'!$C$31,'CDO Bespoke'!$C$33),{5})),"")</f>
        <v>-1.93817639377065</v>
      </c>
      <c r="AB102" s="481"/>
      <c r="AC102" s="517"/>
      <c r="AD102" s="518"/>
      <c r="AE102" s="518"/>
      <c r="AF102" s="518"/>
      <c r="AG102" s="518"/>
      <c r="AH102" s="518"/>
      <c r="AI102" s="518"/>
      <c r="AJ102" s="518"/>
      <c r="AK102" s="518"/>
      <c r="AL102" s="519"/>
      <c r="AM102" s="540"/>
    </row>
    <row r="103" spans="2:39" ht="12" thickBot="1">
      <c r="B103" s="563" t="s">
        <v>525</v>
      </c>
      <c r="C103" s="564" t="s">
        <v>66</v>
      </c>
      <c r="D103" s="564" t="s">
        <v>55</v>
      </c>
      <c r="E103" s="564" t="s">
        <v>668</v>
      </c>
      <c r="F103" s="564" t="s">
        <v>665</v>
      </c>
      <c r="G103" s="565">
        <v>0.01</v>
      </c>
      <c r="H103" s="565">
        <v>2.0699999999999998E-3</v>
      </c>
      <c r="I103" s="566">
        <v>0.4</v>
      </c>
      <c r="J103" s="567">
        <v>27</v>
      </c>
      <c r="K103" s="275"/>
      <c r="L103" s="275"/>
      <c r="M103" s="489">
        <f ca="1">IF('CDO Bespoke'!O104&lt;&gt;"",'CDO Bespoke'!O104,"")</f>
        <v>1.0195310657865699</v>
      </c>
      <c r="N103" s="490">
        <f ca="1">IF(M103&lt;&gt;"",ABS(MIN(-0.75*('CDO Bespoke'!Q104)+'CDO Bespoke'!T104,0)),"")</f>
        <v>1.0093476627943798</v>
      </c>
      <c r="O103" s="490">
        <f t="shared" ca="1" si="4"/>
        <v>1.0183402992190116E-2</v>
      </c>
      <c r="P103" s="490">
        <f t="shared" ca="1" si="5"/>
        <v>0</v>
      </c>
      <c r="Q103" s="489">
        <f ca="1">IF('CDO Bespoke'!O104&lt;&gt;"",'CDO Bespoke'!O104,"")</f>
        <v>1.0195310657865699</v>
      </c>
      <c r="R103" s="490">
        <f ca="1">IF(Q103&lt;&gt;"",ABS(MIN(-0.75*('CDO Bespoke'!K104)+'CDO Bespoke'!T104,0)),"")</f>
        <v>0.13119115278255139</v>
      </c>
      <c r="S103" s="490">
        <f t="shared" ca="1" si="6"/>
        <v>0.8883399130040186</v>
      </c>
      <c r="T103" s="494">
        <f t="shared" ca="1" si="7"/>
        <v>0</v>
      </c>
      <c r="U103" s="275"/>
      <c r="V103" s="499" t="str">
        <f ca="1">IF('CDO Bespoke'!C128&lt;&gt;"",'CDO Bespoke'!C128,"")</f>
        <v>Telekom Austria Aktiengesellschaft</v>
      </c>
      <c r="W103" s="501" cm="1">
        <f t="array" aca="1" ref="W103" ca="1">IF($V103&lt;&gt;"",-TRANSPOSE(INDEX(getcds('CDO Bespoke'!$C128,W$13,'CDO Bespoke'!$G128/10000,'CDO Bespoke'!F128,'CDO Bespoke'!$L104,'CDO Bespoke'!$C$13,'CDO Bespoke'!$C$14,'CDO Bespoke'!$C$15,'CDO Bespoke'!$C$8,,,TRUE,TRUE,FALSE,'CDO Bespoke'!$C$29:'CDO Bespoke'!$C$31,'CDO Bespoke'!$C$33),{5})),"")</f>
        <v>-5.9276145029949497E-2</v>
      </c>
      <c r="X103" s="527" cm="1">
        <f t="array" aca="1" ref="X103" ca="1">IF($V103&lt;&gt;"",-TRANSPOSE(INDEX(getcds('CDO Bespoke'!$C128,X$13,'CDO Bespoke'!$G128/10000,'CDO Bespoke'!G128,'CDO Bespoke'!$L104,'CDO Bespoke'!$C$13,'CDO Bespoke'!$C$14,'CDO Bespoke'!$C$15,'CDO Bespoke'!$C$8,,,TRUE,TRUE,FALSE,'CDO Bespoke'!$C$29:'CDO Bespoke'!$C$31,'CDO Bespoke'!$C$33),{5})),"")</f>
        <v>-0.122349598834027</v>
      </c>
      <c r="Y103" s="527" cm="1">
        <f t="array" aca="1" ref="Y103" ca="1">IF($V103&lt;&gt;"",-TRANSPOSE(INDEX(getcds('CDO Bespoke'!$C128,Y$13,'CDO Bespoke'!$G128/10000,'CDO Bespoke'!H128,'CDO Bespoke'!$L104,'CDO Bespoke'!$C$13,'CDO Bespoke'!$C$14,'CDO Bespoke'!$C$15,'CDO Bespoke'!$C$8,,,TRUE,TRUE,FALSE,'CDO Bespoke'!$C$29:'CDO Bespoke'!$C$31,'CDO Bespoke'!$C$33),{5})),"")</f>
        <v>-0.36141051379225297</v>
      </c>
      <c r="Z103" s="527" cm="1">
        <f t="array" aca="1" ref="Z103" ca="1">IF($V103&lt;&gt;"",-TRANSPOSE(INDEX(getcds('CDO Bespoke'!$C128,Z$13,'CDO Bespoke'!$G128/10000,'CDO Bespoke'!I128,'CDO Bespoke'!$L104,'CDO Bespoke'!$C$13,'CDO Bespoke'!$C$14,'CDO Bespoke'!$C$15,'CDO Bespoke'!$C$8,,,TRUE,TRUE,FALSE,'CDO Bespoke'!$C$29:'CDO Bespoke'!$C$31,'CDO Bespoke'!$C$33),{5})),"")</f>
        <v>-0.57928830796100705</v>
      </c>
      <c r="AA103" s="502" cm="1">
        <f t="array" aca="1" ref="AA103" ca="1">IF($V103&lt;&gt;"",-TRANSPOSE(INDEX(getcds('CDO Bespoke'!$C128,AA$13,'CDO Bespoke'!$G128/10000,'CDO Bespoke'!J128,'CDO Bespoke'!$L104,'CDO Bespoke'!$C$13,'CDO Bespoke'!$C$14,'CDO Bespoke'!$C$15,'CDO Bespoke'!$C$8,,,TRUE,TRUE,FALSE,'CDO Bespoke'!$C$29:'CDO Bespoke'!$C$31,'CDO Bespoke'!$C$33),{5})),"")</f>
        <v>-1.0431323081005599</v>
      </c>
      <c r="AB103" s="481"/>
      <c r="AC103" s="517"/>
      <c r="AD103" s="518"/>
      <c r="AE103" s="518"/>
      <c r="AF103" s="518"/>
      <c r="AG103" s="518"/>
      <c r="AH103" s="518"/>
      <c r="AI103" s="518"/>
      <c r="AJ103" s="518"/>
      <c r="AK103" s="518"/>
      <c r="AL103" s="519"/>
      <c r="AM103" s="540"/>
    </row>
    <row r="104" spans="2:39" ht="12" thickBot="1">
      <c r="B104" s="541" t="s">
        <v>525</v>
      </c>
      <c r="C104" s="542" t="s">
        <v>66</v>
      </c>
      <c r="D104" s="542" t="s">
        <v>57</v>
      </c>
      <c r="E104" s="542" t="s">
        <v>668</v>
      </c>
      <c r="F104" s="542" t="s">
        <v>665</v>
      </c>
      <c r="G104" s="549">
        <v>0.01</v>
      </c>
      <c r="H104" s="549">
        <v>3.297E-3</v>
      </c>
      <c r="I104" s="551">
        <v>0.4</v>
      </c>
      <c r="J104" s="543">
        <v>27</v>
      </c>
      <c r="K104" s="275"/>
      <c r="L104" s="275"/>
      <c r="M104" s="489">
        <f ca="1">IF('CDO Bespoke'!O105&lt;&gt;"",'CDO Bespoke'!O105,"")</f>
        <v>1.0194461916931501</v>
      </c>
      <c r="N104" s="490">
        <f ca="1">IF(M104&lt;&gt;"",ABS(MIN(-0.75*('CDO Bespoke'!Q105)+'CDO Bespoke'!T105,0)),"")</f>
        <v>1.0095696036815849</v>
      </c>
      <c r="O104" s="490">
        <f t="shared" ca="1" si="4"/>
        <v>9.8765880115652127E-3</v>
      </c>
      <c r="P104" s="490">
        <f t="shared" ca="1" si="5"/>
        <v>0</v>
      </c>
      <c r="Q104" s="489">
        <f ca="1">IF('CDO Bespoke'!O105&lt;&gt;"",'CDO Bespoke'!O105,"")</f>
        <v>1.0194461916931501</v>
      </c>
      <c r="R104" s="490">
        <f ca="1">IF(Q104&lt;&gt;"",ABS(MIN(-0.75*('CDO Bespoke'!K105)+'CDO Bespoke'!T105,0)),"")</f>
        <v>0.13689599925630602</v>
      </c>
      <c r="S104" s="490">
        <f t="shared" ca="1" si="6"/>
        <v>0.88255019243684407</v>
      </c>
      <c r="T104" s="494">
        <f t="shared" ca="1" si="7"/>
        <v>0</v>
      </c>
      <c r="U104" s="275"/>
      <c r="V104" s="499" t="str">
        <f ca="1">IF('CDO Bespoke'!C129&lt;&gt;"",'CDO Bespoke'!C129,"")</f>
        <v>TELENOR ASA</v>
      </c>
      <c r="W104" s="501" cm="1">
        <f t="array" aca="1" ref="W104" ca="1">IF($V104&lt;&gt;"",-TRANSPOSE(INDEX(getcds('CDO Bespoke'!$C129,W$13,'CDO Bespoke'!$G129/10000,'CDO Bespoke'!F129,'CDO Bespoke'!$L105,'CDO Bespoke'!$C$13,'CDO Bespoke'!$C$14,'CDO Bespoke'!$C$15,'CDO Bespoke'!$C$8,,,TRUE,TRUE,FALSE,'CDO Bespoke'!$C$29:'CDO Bespoke'!$C$31,'CDO Bespoke'!$C$33),{5})),"")</f>
        <v>-6.34948251832681E-2</v>
      </c>
      <c r="X104" s="527" cm="1">
        <f t="array" aca="1" ref="X104" ca="1">IF($V104&lt;&gt;"",-TRANSPOSE(INDEX(getcds('CDO Bespoke'!$C129,X$13,'CDO Bespoke'!$G129/10000,'CDO Bespoke'!G129,'CDO Bespoke'!$L105,'CDO Bespoke'!$C$13,'CDO Bespoke'!$C$14,'CDO Bespoke'!$C$15,'CDO Bespoke'!$C$8,,,TRUE,TRUE,FALSE,'CDO Bespoke'!$C$29:'CDO Bespoke'!$C$31,'CDO Bespoke'!$C$33),{5})),"")</f>
        <v>-0.13104415364812499</v>
      </c>
      <c r="Y104" s="527" cm="1">
        <f t="array" aca="1" ref="Y104" ca="1">IF($V104&lt;&gt;"",-TRANSPOSE(INDEX(getcds('CDO Bespoke'!$C129,Y$13,'CDO Bespoke'!$G129/10000,'CDO Bespoke'!H129,'CDO Bespoke'!$L105,'CDO Bespoke'!$C$13,'CDO Bespoke'!$C$14,'CDO Bespoke'!$C$15,'CDO Bespoke'!$C$8,,,TRUE,TRUE,FALSE,'CDO Bespoke'!$C$29:'CDO Bespoke'!$C$31,'CDO Bespoke'!$C$33),{5})),"")</f>
        <v>-0.38694217389151198</v>
      </c>
      <c r="Z104" s="527" cm="1">
        <f t="array" aca="1" ref="Z104" ca="1">IF($V104&lt;&gt;"",-TRANSPOSE(INDEX(getcds('CDO Bespoke'!$C129,Z$13,'CDO Bespoke'!$G129/10000,'CDO Bespoke'!I129,'CDO Bespoke'!$L105,'CDO Bespoke'!$C$13,'CDO Bespoke'!$C$14,'CDO Bespoke'!$C$15,'CDO Bespoke'!$C$8,,,TRUE,TRUE,FALSE,'CDO Bespoke'!$C$29:'CDO Bespoke'!$C$31,'CDO Bespoke'!$C$33),{5})),"")</f>
        <v>-0.619962714248115</v>
      </c>
      <c r="AA104" s="502" cm="1">
        <f t="array" aca="1" ref="AA104" ca="1">IF($V104&lt;&gt;"",-TRANSPOSE(INDEX(getcds('CDO Bespoke'!$C129,AA$13,'CDO Bespoke'!$G129/10000,'CDO Bespoke'!J129,'CDO Bespoke'!$L105,'CDO Bespoke'!$C$13,'CDO Bespoke'!$C$14,'CDO Bespoke'!$C$15,'CDO Bespoke'!$C$8,,,TRUE,TRUE,FALSE,'CDO Bespoke'!$C$29:'CDO Bespoke'!$C$31,'CDO Bespoke'!$C$33),{5})),"")</f>
        <v>-1.11668369570401</v>
      </c>
      <c r="AB104" s="481"/>
      <c r="AC104" s="517"/>
      <c r="AD104" s="518"/>
      <c r="AE104" s="518"/>
      <c r="AF104" s="518"/>
      <c r="AG104" s="518"/>
      <c r="AH104" s="518"/>
      <c r="AI104" s="518"/>
      <c r="AJ104" s="518"/>
      <c r="AK104" s="518"/>
      <c r="AL104" s="519"/>
      <c r="AM104" s="540"/>
    </row>
    <row r="105" spans="2:39" ht="12" thickBot="1">
      <c r="B105" s="558" t="s">
        <v>525</v>
      </c>
      <c r="C105" s="559" t="s">
        <v>66</v>
      </c>
      <c r="D105" s="559" t="s">
        <v>59</v>
      </c>
      <c r="E105" s="559" t="s">
        <v>668</v>
      </c>
      <c r="F105" s="559" t="s">
        <v>665</v>
      </c>
      <c r="G105" s="560">
        <v>0.01</v>
      </c>
      <c r="H105" s="560">
        <v>4.411E-3</v>
      </c>
      <c r="I105" s="561">
        <v>0.4</v>
      </c>
      <c r="J105" s="562">
        <v>27</v>
      </c>
      <c r="K105" s="275"/>
      <c r="L105" s="275"/>
      <c r="M105" s="489">
        <f ca="1">IF('CDO Bespoke'!O106&lt;&gt;"",'CDO Bespoke'!O106,"")</f>
        <v>1.0194148251942801</v>
      </c>
      <c r="N105" s="490">
        <f ca="1">IF(M105&lt;&gt;"",ABS(MIN(-0.75*('CDO Bespoke'!Q106)+'CDO Bespoke'!T106,0)),"")</f>
        <v>1.0096613750730337</v>
      </c>
      <c r="O105" s="490">
        <f t="shared" ca="1" si="4"/>
        <v>9.7534501212463987E-3</v>
      </c>
      <c r="P105" s="490">
        <f t="shared" ca="1" si="5"/>
        <v>0</v>
      </c>
      <c r="Q105" s="489">
        <f ca="1">IF('CDO Bespoke'!O106&lt;&gt;"",'CDO Bespoke'!O106,"")</f>
        <v>1.0194148251942801</v>
      </c>
      <c r="R105" s="490">
        <f ca="1">IF(Q105&lt;&gt;"",ABS(MIN(-0.75*('CDO Bespoke'!K106)+'CDO Bespoke'!T106,0)),"")</f>
        <v>0.13886804030363675</v>
      </c>
      <c r="S105" s="490">
        <f t="shared" ca="1" si="6"/>
        <v>0.88054678489064331</v>
      </c>
      <c r="T105" s="494">
        <f t="shared" ca="1" si="7"/>
        <v>0</v>
      </c>
      <c r="U105" s="275"/>
      <c r="V105" s="499" t="str">
        <f ca="1">IF('CDO Bespoke'!C130&lt;&gt;"",'CDO Bespoke'!C130,"")</f>
        <v>Telia Company AB</v>
      </c>
      <c r="W105" s="501" cm="1">
        <f t="array" aca="1" ref="W105" ca="1">IF($V105&lt;&gt;"",-TRANSPOSE(INDEX(getcds('CDO Bespoke'!$C130,W$13,'CDO Bespoke'!$G130/10000,'CDO Bespoke'!F130,'CDO Bespoke'!$L106,'CDO Bespoke'!$C$13,'CDO Bespoke'!$C$14,'CDO Bespoke'!$C$15,'CDO Bespoke'!$C$8,,,TRUE,TRUE,FALSE,'CDO Bespoke'!$C$29:'CDO Bespoke'!$C$31,'CDO Bespoke'!$C$33),{5})),"")</f>
        <v>-6.4992437257423194E-2</v>
      </c>
      <c r="X105" s="527" cm="1">
        <f t="array" aca="1" ref="X105" ca="1">IF($V105&lt;&gt;"",-TRANSPOSE(INDEX(getcds('CDO Bespoke'!$C130,X$13,'CDO Bespoke'!$G130/10000,'CDO Bespoke'!G130,'CDO Bespoke'!$L106,'CDO Bespoke'!$C$13,'CDO Bespoke'!$C$14,'CDO Bespoke'!$C$15,'CDO Bespoke'!$C$8,,,TRUE,TRUE,FALSE,'CDO Bespoke'!$C$29:'CDO Bespoke'!$C$31,'CDO Bespoke'!$C$33),{5})),"")</f>
        <v>-0.134131778561172</v>
      </c>
      <c r="Y105" s="527" cm="1">
        <f t="array" aca="1" ref="Y105" ca="1">IF($V105&lt;&gt;"",-TRANSPOSE(INDEX(getcds('CDO Bespoke'!$C130,Y$13,'CDO Bespoke'!$G130/10000,'CDO Bespoke'!H130,'CDO Bespoke'!$L106,'CDO Bespoke'!$C$13,'CDO Bespoke'!$C$14,'CDO Bespoke'!$C$15,'CDO Bespoke'!$C$8,,,TRUE,TRUE,FALSE,'CDO Bespoke'!$C$29:'CDO Bespoke'!$C$31,'CDO Bespoke'!$C$33),{5})),"")</f>
        <v>-0.39602177634501401</v>
      </c>
      <c r="Z105" s="527" cm="1">
        <f t="array" aca="1" ref="Z105" ca="1">IF($V105&lt;&gt;"",-TRANSPOSE(INDEX(getcds('CDO Bespoke'!$C130,Z$13,'CDO Bespoke'!$G130/10000,'CDO Bespoke'!I130,'CDO Bespoke'!$L106,'CDO Bespoke'!$C$13,'CDO Bespoke'!$C$14,'CDO Bespoke'!$C$15,'CDO Bespoke'!$C$8,,,TRUE,TRUE,FALSE,'CDO Bespoke'!$C$29:'CDO Bespoke'!$C$31,'CDO Bespoke'!$C$33),{5})),"")</f>
        <v>-0.63441391358536703</v>
      </c>
      <c r="AA105" s="502" cm="1">
        <f t="array" aca="1" ref="AA105" ca="1">IF($V105&lt;&gt;"",-TRANSPOSE(INDEX(getcds('CDO Bespoke'!$C130,AA$13,'CDO Bespoke'!$G130/10000,'CDO Bespoke'!J130,'CDO Bespoke'!$L106,'CDO Bespoke'!$C$13,'CDO Bespoke'!$C$14,'CDO Bespoke'!$C$15,'CDO Bespoke'!$C$8,,,TRUE,TRUE,FALSE,'CDO Bespoke'!$C$29:'CDO Bespoke'!$C$31,'CDO Bespoke'!$C$33),{5})),"")</f>
        <v>-1.1421787105019701</v>
      </c>
      <c r="AB105" s="481"/>
      <c r="AC105" s="517"/>
      <c r="AD105" s="518"/>
      <c r="AE105" s="518"/>
      <c r="AF105" s="518"/>
      <c r="AG105" s="518"/>
      <c r="AH105" s="518"/>
      <c r="AI105" s="518"/>
      <c r="AJ105" s="518"/>
      <c r="AK105" s="518"/>
      <c r="AL105" s="519"/>
      <c r="AM105" s="540"/>
    </row>
    <row r="106" spans="2:39" ht="12" thickBot="1">
      <c r="B106" s="563" t="s">
        <v>526</v>
      </c>
      <c r="C106" s="564" t="s">
        <v>66</v>
      </c>
      <c r="D106" s="564" t="s">
        <v>55</v>
      </c>
      <c r="E106" s="564" t="s">
        <v>668</v>
      </c>
      <c r="F106" s="564" t="s">
        <v>665</v>
      </c>
      <c r="G106" s="565">
        <v>0.01</v>
      </c>
      <c r="H106" s="565">
        <v>2.3649999999999999E-3</v>
      </c>
      <c r="I106" s="566">
        <v>0.4</v>
      </c>
      <c r="J106" s="567">
        <v>28</v>
      </c>
      <c r="K106" s="275"/>
      <c r="L106" s="275"/>
      <c r="M106" s="489">
        <f ca="1">IF('CDO Bespoke'!O107&lt;&gt;"",'CDO Bespoke'!O107,"")</f>
        <v>1.01824309479871</v>
      </c>
      <c r="N106" s="490">
        <f ca="1">IF(M106&lt;&gt;"",ABS(MIN(-0.75*('CDO Bespoke'!Q107)+'CDO Bespoke'!T107,0)),"")</f>
        <v>1.0122046407605616</v>
      </c>
      <c r="O106" s="490">
        <f t="shared" ca="1" si="4"/>
        <v>6.0384540381483998E-3</v>
      </c>
      <c r="P106" s="490">
        <f t="shared" ca="1" si="5"/>
        <v>0</v>
      </c>
      <c r="Q106" s="489">
        <f ca="1">IF('CDO Bespoke'!O107&lt;&gt;"",'CDO Bespoke'!O107,"")</f>
        <v>1.01824309479871</v>
      </c>
      <c r="R106" s="490">
        <f ca="1">IF(Q106&lt;&gt;"",ABS(MIN(-0.75*('CDO Bespoke'!K107)+'CDO Bespoke'!T107,0)),"")</f>
        <v>0.18297449167090926</v>
      </c>
      <c r="S106" s="490">
        <f t="shared" ca="1" si="6"/>
        <v>0.83526860312780071</v>
      </c>
      <c r="T106" s="494">
        <f t="shared" ca="1" si="7"/>
        <v>0</v>
      </c>
      <c r="U106" s="275"/>
      <c r="V106" s="499" t="str">
        <f ca="1">IF('CDO Bespoke'!C131&lt;&gt;"",'CDO Bespoke'!C131,"")</f>
        <v>Vivendi SE</v>
      </c>
      <c r="W106" s="501" cm="1">
        <f t="array" aca="1" ref="W106" ca="1">IF($V106&lt;&gt;"",-TRANSPOSE(INDEX(getcds('CDO Bespoke'!$C131,W$13,'CDO Bespoke'!$G131/10000,'CDO Bespoke'!F131,'CDO Bespoke'!$L107,'CDO Bespoke'!$C$13,'CDO Bespoke'!$C$14,'CDO Bespoke'!$C$15,'CDO Bespoke'!$C$8,,,TRUE,TRUE,FALSE,'CDO Bespoke'!$C$29:'CDO Bespoke'!$C$31,'CDO Bespoke'!$C$33),{5})),"")</f>
        <v>-0.100059693173897</v>
      </c>
      <c r="X106" s="527" cm="1">
        <f t="array" aca="1" ref="X106" ca="1">IF($V106&lt;&gt;"",-TRANSPOSE(INDEX(getcds('CDO Bespoke'!$C131,X$13,'CDO Bespoke'!$G131/10000,'CDO Bespoke'!G131,'CDO Bespoke'!$L107,'CDO Bespoke'!$C$13,'CDO Bespoke'!$C$14,'CDO Bespoke'!$C$15,'CDO Bespoke'!$C$8,,,TRUE,TRUE,FALSE,'CDO Bespoke'!$C$29:'CDO Bespoke'!$C$31,'CDO Bespoke'!$C$33),{5})),"")</f>
        <v>-0.20638149413957799</v>
      </c>
      <c r="Y106" s="527" cm="1">
        <f t="array" aca="1" ref="Y106" ca="1">IF($V106&lt;&gt;"",-TRANSPOSE(INDEX(getcds('CDO Bespoke'!$C131,Y$13,'CDO Bespoke'!$G131/10000,'CDO Bespoke'!H131,'CDO Bespoke'!$L107,'CDO Bespoke'!$C$13,'CDO Bespoke'!$C$14,'CDO Bespoke'!$C$15,'CDO Bespoke'!$C$8,,,TRUE,TRUE,FALSE,'CDO Bespoke'!$C$29:'CDO Bespoke'!$C$31,'CDO Bespoke'!$C$33),{5})),"")</f>
        <v>-0.60792404122710297</v>
      </c>
      <c r="Z106" s="527" cm="1">
        <f t="array" aca="1" ref="Z106" ca="1">IF($V106&lt;&gt;"",-TRANSPOSE(INDEX(getcds('CDO Bespoke'!$C131,Z$13,'CDO Bespoke'!$G131/10000,'CDO Bespoke'!I131,'CDO Bespoke'!$L107,'CDO Bespoke'!$C$13,'CDO Bespoke'!$C$14,'CDO Bespoke'!$C$15,'CDO Bespoke'!$C$8,,,TRUE,TRUE,FALSE,'CDO Bespoke'!$C$29:'CDO Bespoke'!$C$31,'CDO Bespoke'!$C$33),{5})),"")</f>
        <v>-0.96979686493630501</v>
      </c>
      <c r="AA106" s="502" cm="1">
        <f t="array" aca="1" ref="AA106" ca="1">IF($V106&lt;&gt;"",-TRANSPOSE(INDEX(getcds('CDO Bespoke'!$C131,AA$13,'CDO Bespoke'!$G131/10000,'CDO Bespoke'!J131,'CDO Bespoke'!$L107,'CDO Bespoke'!$C$13,'CDO Bespoke'!$C$14,'CDO Bespoke'!$C$15,'CDO Bespoke'!$C$8,,,TRUE,TRUE,FALSE,'CDO Bespoke'!$C$29:'CDO Bespoke'!$C$31,'CDO Bespoke'!$C$33),{5})),"")</f>
        <v>-1.7369406357155901</v>
      </c>
      <c r="AB106" s="481"/>
      <c r="AC106" s="517"/>
      <c r="AD106" s="518"/>
      <c r="AE106" s="518"/>
      <c r="AF106" s="518"/>
      <c r="AG106" s="518"/>
      <c r="AH106" s="518"/>
      <c r="AI106" s="518"/>
      <c r="AJ106" s="518"/>
      <c r="AK106" s="518"/>
      <c r="AL106" s="519"/>
      <c r="AM106" s="540"/>
    </row>
    <row r="107" spans="2:39" ht="12" thickBot="1">
      <c r="B107" s="541" t="s">
        <v>526</v>
      </c>
      <c r="C107" s="542" t="s">
        <v>66</v>
      </c>
      <c r="D107" s="542" t="s">
        <v>57</v>
      </c>
      <c r="E107" s="542" t="s">
        <v>668</v>
      </c>
      <c r="F107" s="542" t="s">
        <v>665</v>
      </c>
      <c r="G107" s="549">
        <v>0.01</v>
      </c>
      <c r="H107" s="549">
        <v>3.4499999999999999E-3</v>
      </c>
      <c r="I107" s="551">
        <v>0.4</v>
      </c>
      <c r="J107" s="543">
        <v>28</v>
      </c>
      <c r="K107" s="275"/>
      <c r="L107" s="275"/>
      <c r="M107" s="489">
        <f ca="1">IF('CDO Bespoke'!O108&lt;&gt;"",'CDO Bespoke'!O108,"")</f>
        <v>1.0176373629266</v>
      </c>
      <c r="N107" s="490">
        <f ca="1">IF(M107&lt;&gt;"",ABS(MIN(-0.75*('CDO Bespoke'!Q108)+'CDO Bespoke'!T108,0)),"")</f>
        <v>1.0131152406629691</v>
      </c>
      <c r="O107" s="490">
        <f t="shared" ca="1" si="4"/>
        <v>4.5221222636309122E-3</v>
      </c>
      <c r="P107" s="490">
        <f t="shared" ca="1" si="5"/>
        <v>0</v>
      </c>
      <c r="Q107" s="489">
        <f ca="1">IF('CDO Bespoke'!O108&lt;&gt;"",'CDO Bespoke'!O108,"")</f>
        <v>1.0176373629266</v>
      </c>
      <c r="R107" s="490">
        <f ca="1">IF(Q107&lt;&gt;"",ABS(MIN(-0.75*('CDO Bespoke'!K108)+'CDO Bespoke'!T108,0)),"")</f>
        <v>0.1966069678848365</v>
      </c>
      <c r="S107" s="490">
        <f t="shared" ca="1" si="6"/>
        <v>0.82103039504176345</v>
      </c>
      <c r="T107" s="494">
        <f t="shared" ca="1" si="7"/>
        <v>0</v>
      </c>
      <c r="U107" s="275"/>
      <c r="V107" s="499" t="str">
        <f ca="1">IF('CDO Bespoke'!C132&lt;&gt;"",'CDO Bespoke'!C132,"")</f>
        <v>VODAFONE GROUP PUBLIC LIMITED COMPANY</v>
      </c>
      <c r="W107" s="501" cm="1">
        <f t="array" aca="1" ref="W107" ca="1">IF($V107&lt;&gt;"",-TRANSPOSE(INDEX(getcds('CDO Bespoke'!$C132,W$13,'CDO Bespoke'!$G132/10000,'CDO Bespoke'!F132,'CDO Bespoke'!$L108,'CDO Bespoke'!$C$13,'CDO Bespoke'!$C$14,'CDO Bespoke'!$C$15,'CDO Bespoke'!$C$8,,,TRUE,TRUE,FALSE,'CDO Bespoke'!$C$29:'CDO Bespoke'!$C$31,'CDO Bespoke'!$C$33),{5})),"")</f>
        <v>-0.111369566658991</v>
      </c>
      <c r="X107" s="527" cm="1">
        <f t="array" aca="1" ref="X107" ca="1">IF($V107&lt;&gt;"",-TRANSPOSE(INDEX(getcds('CDO Bespoke'!$C132,X$13,'CDO Bespoke'!$G132/10000,'CDO Bespoke'!G132,'CDO Bespoke'!$L108,'CDO Bespoke'!$C$13,'CDO Bespoke'!$C$14,'CDO Bespoke'!$C$15,'CDO Bespoke'!$C$8,,,TRUE,TRUE,FALSE,'CDO Bespoke'!$C$29:'CDO Bespoke'!$C$31,'CDO Bespoke'!$C$33),{5})),"")</f>
        <v>-0.229641662561025</v>
      </c>
      <c r="Y107" s="527" cm="1">
        <f t="array" aca="1" ref="Y107" ca="1">IF($V107&lt;&gt;"",-TRANSPOSE(INDEX(getcds('CDO Bespoke'!$C132,Y$13,'CDO Bespoke'!$G132/10000,'CDO Bespoke'!H132,'CDO Bespoke'!$L108,'CDO Bespoke'!$C$13,'CDO Bespoke'!$C$14,'CDO Bespoke'!$C$15,'CDO Bespoke'!$C$8,,,TRUE,TRUE,FALSE,'CDO Bespoke'!$C$29:'CDO Bespoke'!$C$31,'CDO Bespoke'!$C$33),{5})),"")</f>
        <v>-0.67566270806699902</v>
      </c>
      <c r="Z107" s="527" cm="1">
        <f t="array" aca="1" ref="Z107" ca="1">IF($V107&lt;&gt;"",-TRANSPOSE(INDEX(getcds('CDO Bespoke'!$C132,Z$13,'CDO Bespoke'!$G132/10000,'CDO Bespoke'!I132,'CDO Bespoke'!$L108,'CDO Bespoke'!$C$13,'CDO Bespoke'!$C$14,'CDO Bespoke'!$C$15,'CDO Bespoke'!$C$8,,,TRUE,TRUE,FALSE,'CDO Bespoke'!$C$29:'CDO Bespoke'!$C$31,'CDO Bespoke'!$C$33),{5})),"")</f>
        <v>-1.076133221019</v>
      </c>
      <c r="AA107" s="502" cm="1">
        <f t="array" aca="1" ref="AA107" ca="1">IF($V107&lt;&gt;"",-TRANSPOSE(INDEX(getcds('CDO Bespoke'!$C132,AA$13,'CDO Bespoke'!$G132/10000,'CDO Bespoke'!J132,'CDO Bespoke'!$L108,'CDO Bespoke'!$C$13,'CDO Bespoke'!$C$14,'CDO Bespoke'!$C$15,'CDO Bespoke'!$C$8,,,TRUE,TRUE,FALSE,'CDO Bespoke'!$C$29:'CDO Bespoke'!$C$31,'CDO Bespoke'!$C$33),{5})),"")</f>
        <v>-1.9263292366110001</v>
      </c>
      <c r="AB107" s="481"/>
      <c r="AC107" s="517"/>
      <c r="AD107" s="518"/>
      <c r="AE107" s="518"/>
      <c r="AF107" s="518"/>
      <c r="AG107" s="518"/>
      <c r="AH107" s="518"/>
      <c r="AI107" s="518"/>
      <c r="AJ107" s="518"/>
      <c r="AK107" s="518"/>
      <c r="AL107" s="519"/>
      <c r="AM107" s="540"/>
    </row>
    <row r="108" spans="2:39" ht="12" thickBot="1">
      <c r="B108" s="558" t="s">
        <v>526</v>
      </c>
      <c r="C108" s="559" t="s">
        <v>66</v>
      </c>
      <c r="D108" s="559" t="s">
        <v>59</v>
      </c>
      <c r="E108" s="559" t="s">
        <v>668</v>
      </c>
      <c r="F108" s="559" t="s">
        <v>665</v>
      </c>
      <c r="G108" s="560">
        <v>0.01</v>
      </c>
      <c r="H108" s="560">
        <v>4.6579999999999998E-3</v>
      </c>
      <c r="I108" s="561">
        <v>0.4</v>
      </c>
      <c r="J108" s="562">
        <v>28</v>
      </c>
      <c r="K108" s="275"/>
      <c r="L108" s="275"/>
      <c r="M108" s="489">
        <f ca="1">IF('CDO Bespoke'!O109&lt;&gt;"",'CDO Bespoke'!O109,"")</f>
        <v>1.01770108554967</v>
      </c>
      <c r="N108" s="490">
        <f ca="1">IF(M108&lt;&gt;"",ABS(MIN(-0.75*('CDO Bespoke'!Q109)+'CDO Bespoke'!T109,0)),"")</f>
        <v>1.012947466716176</v>
      </c>
      <c r="O108" s="490">
        <f t="shared" ca="1" si="4"/>
        <v>4.753618833494011E-3</v>
      </c>
      <c r="P108" s="490">
        <f t="shared" ca="1" si="5"/>
        <v>0</v>
      </c>
      <c r="Q108" s="489">
        <f ca="1">IF('CDO Bespoke'!O109&lt;&gt;"",'CDO Bespoke'!O109,"")</f>
        <v>1.01770108554967</v>
      </c>
      <c r="R108" s="490">
        <f ca="1">IF(Q108&lt;&gt;"",ABS(MIN(-0.75*('CDO Bespoke'!K109)+'CDO Bespoke'!T109,0)),"")</f>
        <v>0.19512036440305988</v>
      </c>
      <c r="S108" s="490">
        <f t="shared" ca="1" si="6"/>
        <v>0.82258072114661007</v>
      </c>
      <c r="T108" s="494">
        <f t="shared" ca="1" si="7"/>
        <v>0</v>
      </c>
      <c r="U108" s="275"/>
      <c r="V108" s="499" t="str">
        <f ca="1">IF('CDO Bespoke'!C133&lt;&gt;"",'CDO Bespoke'!C133,"")</f>
        <v>WPP 2005 LIMITED</v>
      </c>
      <c r="W108" s="501" cm="1">
        <f t="array" aca="1" ref="W108" ca="1">IF($V108&lt;&gt;"",-TRANSPOSE(INDEX(getcds('CDO Bespoke'!$C133,W$13,'CDO Bespoke'!$G133/10000,'CDO Bespoke'!F133,'CDO Bespoke'!$L109,'CDO Bespoke'!$C$13,'CDO Bespoke'!$C$14,'CDO Bespoke'!$C$15,'CDO Bespoke'!$C$8,,,TRUE,TRUE,FALSE,'CDO Bespoke'!$C$29:'CDO Bespoke'!$C$31,'CDO Bespoke'!$C$33),{5})),"")</f>
        <v>-0.11000492593627099</v>
      </c>
      <c r="X108" s="527" cm="1">
        <f t="array" aca="1" ref="X108" ca="1">IF($V108&lt;&gt;"",-TRANSPOSE(INDEX(getcds('CDO Bespoke'!$C133,X$13,'CDO Bespoke'!$G133/10000,'CDO Bespoke'!G133,'CDO Bespoke'!$L109,'CDO Bespoke'!$C$13,'CDO Bespoke'!$C$14,'CDO Bespoke'!$C$15,'CDO Bespoke'!$C$8,,,TRUE,TRUE,FALSE,'CDO Bespoke'!$C$29:'CDO Bespoke'!$C$31,'CDO Bespoke'!$C$33),{5})),"")</f>
        <v>-0.226817730779626</v>
      </c>
      <c r="Y108" s="527" cm="1">
        <f t="array" aca="1" ref="Y108" ca="1">IF($V108&lt;&gt;"",-TRANSPOSE(INDEX(getcds('CDO Bespoke'!$C133,Y$13,'CDO Bespoke'!$G133/10000,'CDO Bespoke'!H133,'CDO Bespoke'!$L109,'CDO Bespoke'!$C$13,'CDO Bespoke'!$C$14,'CDO Bespoke'!$C$15,'CDO Bespoke'!$C$8,,,TRUE,TRUE,FALSE,'CDO Bespoke'!$C$29:'CDO Bespoke'!$C$31,'CDO Bespoke'!$C$33),{5})),"")</f>
        <v>-0.667237938505163</v>
      </c>
      <c r="Z108" s="527" cm="1">
        <f t="array" aca="1" ref="Z108" ca="1">IF($V108&lt;&gt;"",-TRANSPOSE(INDEX(getcds('CDO Bespoke'!$C133,Z$13,'CDO Bespoke'!$G133/10000,'CDO Bespoke'!I133,'CDO Bespoke'!$L109,'CDO Bespoke'!$C$13,'CDO Bespoke'!$C$14,'CDO Bespoke'!$C$15,'CDO Bespoke'!$C$8,,,TRUE,TRUE,FALSE,'CDO Bespoke'!$C$29:'CDO Bespoke'!$C$31,'CDO Bespoke'!$C$33),{5})),"")</f>
        <v>-1.0629208326009201</v>
      </c>
      <c r="AA108" s="502" cm="1">
        <f t="array" aca="1" ref="AA108" ca="1">IF($V108&lt;&gt;"",-TRANSPOSE(INDEX(getcds('CDO Bespoke'!$C133,AA$13,'CDO Bespoke'!$G133/10000,'CDO Bespoke'!J133,'CDO Bespoke'!$L109,'CDO Bespoke'!$C$13,'CDO Bespoke'!$C$14,'CDO Bespoke'!$C$15,'CDO Bespoke'!$C$8,,,TRUE,TRUE,FALSE,'CDO Bespoke'!$C$29:'CDO Bespoke'!$C$31,'CDO Bespoke'!$C$33),{5})),"")</f>
        <v>-1.90394707980801</v>
      </c>
      <c r="AB108" s="481"/>
      <c r="AC108" s="517"/>
      <c r="AD108" s="518"/>
      <c r="AE108" s="518"/>
      <c r="AF108" s="518"/>
      <c r="AG108" s="518"/>
      <c r="AH108" s="518"/>
      <c r="AI108" s="518"/>
      <c r="AJ108" s="518"/>
      <c r="AK108" s="518"/>
      <c r="AL108" s="519"/>
      <c r="AM108" s="540"/>
    </row>
    <row r="109" spans="2:39" ht="12" thickBot="1">
      <c r="B109" s="563" t="s">
        <v>540</v>
      </c>
      <c r="C109" s="564" t="s">
        <v>66</v>
      </c>
      <c r="D109" s="564" t="s">
        <v>55</v>
      </c>
      <c r="E109" s="564" t="s">
        <v>663</v>
      </c>
      <c r="F109" s="564" t="s">
        <v>662</v>
      </c>
      <c r="G109" s="565">
        <v>0.01</v>
      </c>
      <c r="H109" s="565">
        <v>2.9680000000000002E-3</v>
      </c>
      <c r="I109" s="566">
        <v>0.4</v>
      </c>
      <c r="J109" s="567">
        <v>29</v>
      </c>
      <c r="K109" s="275"/>
      <c r="L109" s="275"/>
      <c r="M109" s="489" t="str">
        <f ca="1">IF('CDO Bespoke'!O110&lt;&gt;"",'CDO Bespoke'!O110,"")</f>
        <v/>
      </c>
      <c r="N109" s="490" t="str">
        <f ca="1">IF(M109&lt;&gt;"",ABS(MIN(-0.75*('CDO Bespoke'!Q110)+'CDO Bespoke'!T110,0)),"")</f>
        <v/>
      </c>
      <c r="O109" s="490" t="str">
        <f t="shared" ca="1" si="4"/>
        <v/>
      </c>
      <c r="P109" s="490" t="str">
        <f t="shared" ca="1" si="5"/>
        <v/>
      </c>
      <c r="Q109" s="489" t="str">
        <f ca="1">IF('CDO Bespoke'!O110&lt;&gt;"",'CDO Bespoke'!O110,"")</f>
        <v/>
      </c>
      <c r="R109" s="490" t="str">
        <f ca="1">IF(Q109&lt;&gt;"",ABS(MIN(-0.75*('CDO Bespoke'!K110)+'CDO Bespoke'!T110,0)),"")</f>
        <v/>
      </c>
      <c r="S109" s="490" t="str">
        <f t="shared" ca="1" si="6"/>
        <v/>
      </c>
      <c r="T109" s="494" t="str">
        <f t="shared" ca="1" si="7"/>
        <v/>
      </c>
      <c r="U109" s="275"/>
      <c r="V109" s="499" t="str">
        <f ca="1">IF('CDO Bespoke'!C134&lt;&gt;"",'CDO Bespoke'!C134,"")</f>
        <v/>
      </c>
      <c r="W109" s="501" t="str" cm="1">
        <f t="array" aca="1" ref="W109" ca="1">IF($V109&lt;&gt;"",-TRANSPOSE(INDEX(getcds('CDO Bespoke'!$C134,W$13,'CDO Bespoke'!$G134/10000,'CDO Bespoke'!F134,'CDO Bespoke'!$L110,'CDO Bespoke'!$C$13,'CDO Bespoke'!$C$14,'CDO Bespoke'!$C$15,'CDO Bespoke'!$C$8,,,TRUE,TRUE,FALSE,'CDO Bespoke'!$C$29:'CDO Bespoke'!$C$31,'CDO Bespoke'!$C$33),{5})),"")</f>
        <v/>
      </c>
      <c r="X109" s="527" t="str" cm="1">
        <f t="array" aca="1" ref="X109" ca="1">IF($V109&lt;&gt;"",-TRANSPOSE(INDEX(getcds('CDO Bespoke'!$C134,X$13,'CDO Bespoke'!$G134/10000,'CDO Bespoke'!G134,'CDO Bespoke'!$L110,'CDO Bespoke'!$C$13,'CDO Bespoke'!$C$14,'CDO Bespoke'!$C$15,'CDO Bespoke'!$C$8,,,TRUE,TRUE,FALSE,'CDO Bespoke'!$C$29:'CDO Bespoke'!$C$31,'CDO Bespoke'!$C$33),{5})),"")</f>
        <v/>
      </c>
      <c r="Y109" s="527" t="str" cm="1">
        <f t="array" aca="1" ref="Y109" ca="1">IF($V109&lt;&gt;"",-TRANSPOSE(INDEX(getcds('CDO Bespoke'!$C134,Y$13,'CDO Bespoke'!$G134/10000,'CDO Bespoke'!H134,'CDO Bespoke'!$L110,'CDO Bespoke'!$C$13,'CDO Bespoke'!$C$14,'CDO Bespoke'!$C$15,'CDO Bespoke'!$C$8,,,TRUE,TRUE,FALSE,'CDO Bespoke'!$C$29:'CDO Bespoke'!$C$31,'CDO Bespoke'!$C$33),{5})),"")</f>
        <v/>
      </c>
      <c r="Z109" s="527" t="str" cm="1">
        <f t="array" aca="1" ref="Z109" ca="1">IF($V109&lt;&gt;"",-TRANSPOSE(INDEX(getcds('CDO Bespoke'!$C134,Z$13,'CDO Bespoke'!$G134/10000,'CDO Bespoke'!I134,'CDO Bespoke'!$L110,'CDO Bespoke'!$C$13,'CDO Bespoke'!$C$14,'CDO Bespoke'!$C$15,'CDO Bespoke'!$C$8,,,TRUE,TRUE,FALSE,'CDO Bespoke'!$C$29:'CDO Bespoke'!$C$31,'CDO Bespoke'!$C$33),{5})),"")</f>
        <v/>
      </c>
      <c r="AA109" s="502" t="str" cm="1">
        <f t="array" aca="1" ref="AA109" ca="1">IF($V109&lt;&gt;"",-TRANSPOSE(INDEX(getcds('CDO Bespoke'!$C134,AA$13,'CDO Bespoke'!$G134/10000,'CDO Bespoke'!J134,'CDO Bespoke'!$L110,'CDO Bespoke'!$C$13,'CDO Bespoke'!$C$14,'CDO Bespoke'!$C$15,'CDO Bespoke'!$C$8,,,TRUE,TRUE,FALSE,'CDO Bespoke'!$C$29:'CDO Bespoke'!$C$31,'CDO Bespoke'!$C$33),{5})),"")</f>
        <v/>
      </c>
      <c r="AB109" s="481"/>
      <c r="AC109" s="517"/>
      <c r="AD109" s="518"/>
      <c r="AE109" s="518"/>
      <c r="AF109" s="518"/>
      <c r="AG109" s="518"/>
      <c r="AH109" s="518"/>
      <c r="AI109" s="518"/>
      <c r="AJ109" s="518"/>
      <c r="AK109" s="518"/>
      <c r="AL109" s="519"/>
      <c r="AM109" s="540"/>
    </row>
    <row r="110" spans="2:39" ht="12" thickBot="1">
      <c r="B110" s="541" t="s">
        <v>540</v>
      </c>
      <c r="C110" s="542" t="s">
        <v>66</v>
      </c>
      <c r="D110" s="542" t="s">
        <v>57</v>
      </c>
      <c r="E110" s="542" t="s">
        <v>663</v>
      </c>
      <c r="F110" s="542" t="s">
        <v>662</v>
      </c>
      <c r="G110" s="549">
        <v>0.01</v>
      </c>
      <c r="H110" s="549">
        <v>4.8170000000000001E-3</v>
      </c>
      <c r="I110" s="551">
        <v>0.4</v>
      </c>
      <c r="J110" s="543">
        <v>29</v>
      </c>
      <c r="K110" s="275"/>
      <c r="L110" s="275"/>
      <c r="M110" s="489" t="str">
        <f ca="1">IF('CDO Bespoke'!O111&lt;&gt;"",'CDO Bespoke'!O111,"")</f>
        <v/>
      </c>
      <c r="N110" s="490" t="str">
        <f ca="1">IF(M110&lt;&gt;"",ABS(MIN(-0.75*('CDO Bespoke'!Q111)+'CDO Bespoke'!T111,0)),"")</f>
        <v/>
      </c>
      <c r="O110" s="490" t="str">
        <f t="shared" ca="1" si="4"/>
        <v/>
      </c>
      <c r="P110" s="490" t="str">
        <f t="shared" ca="1" si="5"/>
        <v/>
      </c>
      <c r="Q110" s="489" t="str">
        <f ca="1">IF('CDO Bespoke'!O111&lt;&gt;"",'CDO Bespoke'!O111,"")</f>
        <v/>
      </c>
      <c r="R110" s="490" t="str">
        <f ca="1">IF(Q110&lt;&gt;"",ABS(MIN(-0.75*('CDO Bespoke'!K111)+'CDO Bespoke'!T111,0)),"")</f>
        <v/>
      </c>
      <c r="S110" s="490" t="str">
        <f t="shared" ca="1" si="6"/>
        <v/>
      </c>
      <c r="T110" s="494" t="str">
        <f t="shared" ca="1" si="7"/>
        <v/>
      </c>
      <c r="U110" s="275"/>
      <c r="V110" s="499" t="str">
        <f ca="1">IF('CDO Bespoke'!C135&lt;&gt;"",'CDO Bespoke'!C135,"")</f>
        <v/>
      </c>
      <c r="W110" s="501" t="str" cm="1">
        <f t="array" aca="1" ref="W110" ca="1">IF($V110&lt;&gt;"",-TRANSPOSE(INDEX(getcds('CDO Bespoke'!$C135,W$13,'CDO Bespoke'!$G135/10000,'CDO Bespoke'!F135,'CDO Bespoke'!$L111,'CDO Bespoke'!$C$13,'CDO Bespoke'!$C$14,'CDO Bespoke'!$C$15,'CDO Bespoke'!$C$8,,,TRUE,TRUE,FALSE,'CDO Bespoke'!$C$29:'CDO Bespoke'!$C$31,'CDO Bespoke'!$C$33),{5})),"")</f>
        <v/>
      </c>
      <c r="X110" s="527" t="str" cm="1">
        <f t="array" aca="1" ref="X110" ca="1">IF($V110&lt;&gt;"",-TRANSPOSE(INDEX(getcds('CDO Bespoke'!$C135,X$13,'CDO Bespoke'!$G135/10000,'CDO Bespoke'!G135,'CDO Bespoke'!$L111,'CDO Bespoke'!$C$13,'CDO Bespoke'!$C$14,'CDO Bespoke'!$C$15,'CDO Bespoke'!$C$8,,,TRUE,TRUE,FALSE,'CDO Bespoke'!$C$29:'CDO Bespoke'!$C$31,'CDO Bespoke'!$C$33),{5})),"")</f>
        <v/>
      </c>
      <c r="Y110" s="527" t="str" cm="1">
        <f t="array" aca="1" ref="Y110" ca="1">IF($V110&lt;&gt;"",-TRANSPOSE(INDEX(getcds('CDO Bespoke'!$C135,Y$13,'CDO Bespoke'!$G135/10000,'CDO Bespoke'!H135,'CDO Bespoke'!$L111,'CDO Bespoke'!$C$13,'CDO Bespoke'!$C$14,'CDO Bespoke'!$C$15,'CDO Bespoke'!$C$8,,,TRUE,TRUE,FALSE,'CDO Bespoke'!$C$29:'CDO Bespoke'!$C$31,'CDO Bespoke'!$C$33),{5})),"")</f>
        <v/>
      </c>
      <c r="Z110" s="527" t="str" cm="1">
        <f t="array" aca="1" ref="Z110" ca="1">IF($V110&lt;&gt;"",-TRANSPOSE(INDEX(getcds('CDO Bespoke'!$C135,Z$13,'CDO Bespoke'!$G135/10000,'CDO Bespoke'!I135,'CDO Bespoke'!$L111,'CDO Bespoke'!$C$13,'CDO Bespoke'!$C$14,'CDO Bespoke'!$C$15,'CDO Bespoke'!$C$8,,,TRUE,TRUE,FALSE,'CDO Bespoke'!$C$29:'CDO Bespoke'!$C$31,'CDO Bespoke'!$C$33),{5})),"")</f>
        <v/>
      </c>
      <c r="AA110" s="502" t="str" cm="1">
        <f t="array" aca="1" ref="AA110" ca="1">IF($V110&lt;&gt;"",-TRANSPOSE(INDEX(getcds('CDO Bespoke'!$C135,AA$13,'CDO Bespoke'!$G135/10000,'CDO Bespoke'!J135,'CDO Bespoke'!$L111,'CDO Bespoke'!$C$13,'CDO Bespoke'!$C$14,'CDO Bespoke'!$C$15,'CDO Bespoke'!$C$8,,,TRUE,TRUE,FALSE,'CDO Bespoke'!$C$29:'CDO Bespoke'!$C$31,'CDO Bespoke'!$C$33),{5})),"")</f>
        <v/>
      </c>
      <c r="AB110" s="481"/>
      <c r="AC110" s="517"/>
      <c r="AD110" s="518"/>
      <c r="AE110" s="518"/>
      <c r="AF110" s="518"/>
      <c r="AG110" s="518"/>
      <c r="AH110" s="518"/>
      <c r="AI110" s="518"/>
      <c r="AJ110" s="518"/>
      <c r="AK110" s="518"/>
      <c r="AL110" s="519"/>
      <c r="AM110" s="540"/>
    </row>
    <row r="111" spans="2:39" ht="12" thickBot="1">
      <c r="B111" s="558" t="s">
        <v>540</v>
      </c>
      <c r="C111" s="559" t="s">
        <v>66</v>
      </c>
      <c r="D111" s="559" t="s">
        <v>59</v>
      </c>
      <c r="E111" s="559" t="s">
        <v>663</v>
      </c>
      <c r="F111" s="559" t="s">
        <v>662</v>
      </c>
      <c r="G111" s="560">
        <v>0.01</v>
      </c>
      <c r="H111" s="560">
        <v>7.1079999999999997E-3</v>
      </c>
      <c r="I111" s="561">
        <v>0.4</v>
      </c>
      <c r="J111" s="562">
        <v>29</v>
      </c>
      <c r="K111" s="275"/>
      <c r="L111" s="275"/>
      <c r="M111" s="489" t="str">
        <f ca="1">IF('CDO Bespoke'!O112&lt;&gt;"",'CDO Bespoke'!O112,"")</f>
        <v/>
      </c>
      <c r="N111" s="490" t="str">
        <f ca="1">IF(M111&lt;&gt;"",ABS(MIN(-0.75*('CDO Bespoke'!Q112)+'CDO Bespoke'!T112,0)),"")</f>
        <v/>
      </c>
      <c r="O111" s="490" t="str">
        <f t="shared" ca="1" si="4"/>
        <v/>
      </c>
      <c r="P111" s="490" t="str">
        <f t="shared" ca="1" si="5"/>
        <v/>
      </c>
      <c r="Q111" s="489" t="str">
        <f ca="1">IF('CDO Bespoke'!O112&lt;&gt;"",'CDO Bespoke'!O112,"")</f>
        <v/>
      </c>
      <c r="R111" s="490" t="str">
        <f ca="1">IF(Q111&lt;&gt;"",ABS(MIN(-0.75*('CDO Bespoke'!K112)+'CDO Bespoke'!T112,0)),"")</f>
        <v/>
      </c>
      <c r="S111" s="490" t="str">
        <f t="shared" ca="1" si="6"/>
        <v/>
      </c>
      <c r="T111" s="494" t="str">
        <f t="shared" ca="1" si="7"/>
        <v/>
      </c>
      <c r="U111" s="275"/>
      <c r="V111" s="499" t="str">
        <f ca="1">IF('CDO Bespoke'!C136&lt;&gt;"",'CDO Bespoke'!C136,"")</f>
        <v/>
      </c>
      <c r="W111" s="501" t="str" cm="1">
        <f t="array" aca="1" ref="W111" ca="1">IF($V111&lt;&gt;"",-TRANSPOSE(INDEX(getcds('CDO Bespoke'!$C136,W$13,'CDO Bespoke'!$G136/10000,'CDO Bespoke'!F136,'CDO Bespoke'!$L112,'CDO Bespoke'!$C$13,'CDO Bespoke'!$C$14,'CDO Bespoke'!$C$15,'CDO Bespoke'!$C$8,,,TRUE,TRUE,FALSE,'CDO Bespoke'!$C$29:'CDO Bespoke'!$C$31,'CDO Bespoke'!$C$33),{5})),"")</f>
        <v/>
      </c>
      <c r="X111" s="527" t="str" cm="1">
        <f t="array" aca="1" ref="X111" ca="1">IF($V111&lt;&gt;"",-TRANSPOSE(INDEX(getcds('CDO Bespoke'!$C136,X$13,'CDO Bespoke'!$G136/10000,'CDO Bespoke'!G136,'CDO Bespoke'!$L112,'CDO Bespoke'!$C$13,'CDO Bespoke'!$C$14,'CDO Bespoke'!$C$15,'CDO Bespoke'!$C$8,,,TRUE,TRUE,FALSE,'CDO Bespoke'!$C$29:'CDO Bespoke'!$C$31,'CDO Bespoke'!$C$33),{5})),"")</f>
        <v/>
      </c>
      <c r="Y111" s="527" t="str" cm="1">
        <f t="array" aca="1" ref="Y111" ca="1">IF($V111&lt;&gt;"",-TRANSPOSE(INDEX(getcds('CDO Bespoke'!$C136,Y$13,'CDO Bespoke'!$G136/10000,'CDO Bespoke'!H136,'CDO Bespoke'!$L112,'CDO Bespoke'!$C$13,'CDO Bespoke'!$C$14,'CDO Bespoke'!$C$15,'CDO Bespoke'!$C$8,,,TRUE,TRUE,FALSE,'CDO Bespoke'!$C$29:'CDO Bespoke'!$C$31,'CDO Bespoke'!$C$33),{5})),"")</f>
        <v/>
      </c>
      <c r="Z111" s="527" t="str" cm="1">
        <f t="array" aca="1" ref="Z111" ca="1">IF($V111&lt;&gt;"",-TRANSPOSE(INDEX(getcds('CDO Bespoke'!$C136,Z$13,'CDO Bespoke'!$G136/10000,'CDO Bespoke'!I136,'CDO Bespoke'!$L112,'CDO Bespoke'!$C$13,'CDO Bespoke'!$C$14,'CDO Bespoke'!$C$15,'CDO Bespoke'!$C$8,,,TRUE,TRUE,FALSE,'CDO Bespoke'!$C$29:'CDO Bespoke'!$C$31,'CDO Bespoke'!$C$33),{5})),"")</f>
        <v/>
      </c>
      <c r="AA111" s="502" t="str" cm="1">
        <f t="array" aca="1" ref="AA111" ca="1">IF($V111&lt;&gt;"",-TRANSPOSE(INDEX(getcds('CDO Bespoke'!$C136,AA$13,'CDO Bespoke'!$G136/10000,'CDO Bespoke'!J136,'CDO Bespoke'!$L112,'CDO Bespoke'!$C$13,'CDO Bespoke'!$C$14,'CDO Bespoke'!$C$15,'CDO Bespoke'!$C$8,,,TRUE,TRUE,FALSE,'CDO Bespoke'!$C$29:'CDO Bespoke'!$C$31,'CDO Bespoke'!$C$33),{5})),"")</f>
        <v/>
      </c>
      <c r="AB111" s="481"/>
      <c r="AC111" s="517"/>
      <c r="AD111" s="518"/>
      <c r="AE111" s="518"/>
      <c r="AF111" s="518"/>
      <c r="AG111" s="518"/>
      <c r="AH111" s="518"/>
      <c r="AI111" s="518"/>
      <c r="AJ111" s="518"/>
      <c r="AK111" s="518"/>
      <c r="AL111" s="519"/>
      <c r="AM111" s="540"/>
    </row>
    <row r="112" spans="2:39" ht="12" thickBot="1">
      <c r="B112" s="563" t="s">
        <v>541</v>
      </c>
      <c r="C112" s="564" t="s">
        <v>66</v>
      </c>
      <c r="D112" s="564" t="s">
        <v>55</v>
      </c>
      <c r="E112" s="564" t="s">
        <v>663</v>
      </c>
      <c r="F112" s="564" t="s">
        <v>664</v>
      </c>
      <c r="G112" s="565">
        <v>0.01</v>
      </c>
      <c r="H112" s="565">
        <v>5.1580000000000003E-3</v>
      </c>
      <c r="I112" s="566">
        <v>0.4</v>
      </c>
      <c r="J112" s="567">
        <v>30</v>
      </c>
      <c r="K112" s="275"/>
      <c r="L112" s="275"/>
      <c r="M112" s="489" t="str">
        <f ca="1">IF('CDO Bespoke'!O113&lt;&gt;"",'CDO Bespoke'!O113,"")</f>
        <v/>
      </c>
      <c r="N112" s="490" t="str">
        <f ca="1">IF(M112&lt;&gt;"",ABS(MIN(-0.75*('CDO Bespoke'!Q113)+'CDO Bespoke'!T113,0)),"")</f>
        <v/>
      </c>
      <c r="O112" s="490" t="str">
        <f t="shared" ca="1" si="4"/>
        <v/>
      </c>
      <c r="P112" s="490" t="str">
        <f t="shared" ca="1" si="5"/>
        <v/>
      </c>
      <c r="Q112" s="489" t="str">
        <f ca="1">IF('CDO Bespoke'!O113&lt;&gt;"",'CDO Bespoke'!O113,"")</f>
        <v/>
      </c>
      <c r="R112" s="490" t="str">
        <f ca="1">IF(Q112&lt;&gt;"",ABS(MIN(-0.75*('CDO Bespoke'!K113)+'CDO Bespoke'!T113,0)),"")</f>
        <v/>
      </c>
      <c r="S112" s="490" t="str">
        <f t="shared" ca="1" si="6"/>
        <v/>
      </c>
      <c r="T112" s="494" t="str">
        <f t="shared" ca="1" si="7"/>
        <v/>
      </c>
      <c r="U112" s="275"/>
      <c r="V112" s="499" t="str">
        <f ca="1">IF('CDO Bespoke'!C137&lt;&gt;"",'CDO Bespoke'!C137,"")</f>
        <v/>
      </c>
      <c r="W112" s="501" t="str" cm="1">
        <f t="array" aca="1" ref="W112" ca="1">IF($V112&lt;&gt;"",-TRANSPOSE(INDEX(getcds('CDO Bespoke'!$C137,W$13,'CDO Bespoke'!$G137/10000,'CDO Bespoke'!F137,'CDO Bespoke'!$L113,'CDO Bespoke'!$C$13,'CDO Bespoke'!$C$14,'CDO Bespoke'!$C$15,'CDO Bespoke'!$C$8,,,TRUE,TRUE,FALSE,'CDO Bespoke'!$C$29:'CDO Bespoke'!$C$31,'CDO Bespoke'!$C$33),{5})),"")</f>
        <v/>
      </c>
      <c r="X112" s="527" t="str" cm="1">
        <f t="array" aca="1" ref="X112" ca="1">IF($V112&lt;&gt;"",-TRANSPOSE(INDEX(getcds('CDO Bespoke'!$C137,X$13,'CDO Bespoke'!$G137/10000,'CDO Bespoke'!G137,'CDO Bespoke'!$L113,'CDO Bespoke'!$C$13,'CDO Bespoke'!$C$14,'CDO Bespoke'!$C$15,'CDO Bespoke'!$C$8,,,TRUE,TRUE,FALSE,'CDO Bespoke'!$C$29:'CDO Bespoke'!$C$31,'CDO Bespoke'!$C$33),{5})),"")</f>
        <v/>
      </c>
      <c r="Y112" s="527" t="str" cm="1">
        <f t="array" aca="1" ref="Y112" ca="1">IF($V112&lt;&gt;"",-TRANSPOSE(INDEX(getcds('CDO Bespoke'!$C137,Y$13,'CDO Bespoke'!$G137/10000,'CDO Bespoke'!H137,'CDO Bespoke'!$L113,'CDO Bespoke'!$C$13,'CDO Bespoke'!$C$14,'CDO Bespoke'!$C$15,'CDO Bespoke'!$C$8,,,TRUE,TRUE,FALSE,'CDO Bespoke'!$C$29:'CDO Bespoke'!$C$31,'CDO Bespoke'!$C$33),{5})),"")</f>
        <v/>
      </c>
      <c r="Z112" s="527" t="str" cm="1">
        <f t="array" aca="1" ref="Z112" ca="1">IF($V112&lt;&gt;"",-TRANSPOSE(INDEX(getcds('CDO Bespoke'!$C137,Z$13,'CDO Bespoke'!$G137/10000,'CDO Bespoke'!I137,'CDO Bespoke'!$L113,'CDO Bespoke'!$C$13,'CDO Bespoke'!$C$14,'CDO Bespoke'!$C$15,'CDO Bespoke'!$C$8,,,TRUE,TRUE,FALSE,'CDO Bespoke'!$C$29:'CDO Bespoke'!$C$31,'CDO Bespoke'!$C$33),{5})),"")</f>
        <v/>
      </c>
      <c r="AA112" s="502" t="str" cm="1">
        <f t="array" aca="1" ref="AA112" ca="1">IF($V112&lt;&gt;"",-TRANSPOSE(INDEX(getcds('CDO Bespoke'!$C137,AA$13,'CDO Bespoke'!$G137/10000,'CDO Bespoke'!J137,'CDO Bespoke'!$L113,'CDO Bespoke'!$C$13,'CDO Bespoke'!$C$14,'CDO Bespoke'!$C$15,'CDO Bespoke'!$C$8,,,TRUE,TRUE,FALSE,'CDO Bespoke'!$C$29:'CDO Bespoke'!$C$31,'CDO Bespoke'!$C$33),{5})),"")</f>
        <v/>
      </c>
      <c r="AB112" s="481"/>
      <c r="AC112" s="517"/>
      <c r="AD112" s="518"/>
      <c r="AE112" s="518"/>
      <c r="AF112" s="518"/>
      <c r="AG112" s="518"/>
      <c r="AH112" s="518"/>
      <c r="AI112" s="518"/>
      <c r="AJ112" s="518"/>
      <c r="AK112" s="518"/>
      <c r="AL112" s="519"/>
      <c r="AM112" s="540"/>
    </row>
    <row r="113" spans="2:39" ht="12" thickBot="1">
      <c r="B113" s="541" t="s">
        <v>541</v>
      </c>
      <c r="C113" s="542" t="s">
        <v>66</v>
      </c>
      <c r="D113" s="542" t="s">
        <v>57</v>
      </c>
      <c r="E113" s="542" t="s">
        <v>663</v>
      </c>
      <c r="F113" s="542" t="s">
        <v>664</v>
      </c>
      <c r="G113" s="549">
        <v>0.01</v>
      </c>
      <c r="H113" s="549">
        <v>8.1840000000000003E-3</v>
      </c>
      <c r="I113" s="551">
        <v>0.4</v>
      </c>
      <c r="J113" s="543">
        <v>30</v>
      </c>
      <c r="K113" s="275"/>
      <c r="L113" s="275"/>
      <c r="M113" s="489" t="str">
        <f ca="1">IF('CDO Bespoke'!O114&lt;&gt;"",'CDO Bespoke'!O114,"")</f>
        <v/>
      </c>
      <c r="N113" s="490" t="str">
        <f ca="1">IF(M113&lt;&gt;"",ABS(MIN(-0.75*('CDO Bespoke'!Q114)+'CDO Bespoke'!T114,0)),"")</f>
        <v/>
      </c>
      <c r="O113" s="490" t="str">
        <f t="shared" ca="1" si="4"/>
        <v/>
      </c>
      <c r="P113" s="490" t="str">
        <f t="shared" ca="1" si="5"/>
        <v/>
      </c>
      <c r="Q113" s="489" t="str">
        <f ca="1">IF('CDO Bespoke'!O114&lt;&gt;"",'CDO Bespoke'!O114,"")</f>
        <v/>
      </c>
      <c r="R113" s="490" t="str">
        <f ca="1">IF(Q113&lt;&gt;"",ABS(MIN(-0.75*('CDO Bespoke'!K114)+'CDO Bespoke'!T114,0)),"")</f>
        <v/>
      </c>
      <c r="S113" s="490" t="str">
        <f t="shared" ca="1" si="6"/>
        <v/>
      </c>
      <c r="T113" s="494" t="str">
        <f t="shared" ca="1" si="7"/>
        <v/>
      </c>
      <c r="U113" s="275"/>
      <c r="V113" s="499" t="str">
        <f ca="1">IF('CDO Bespoke'!C138&lt;&gt;"",'CDO Bespoke'!C138,"")</f>
        <v/>
      </c>
      <c r="W113" s="501" t="str" cm="1">
        <f t="array" aca="1" ref="W113" ca="1">IF($V113&lt;&gt;"",-TRANSPOSE(INDEX(getcds('CDO Bespoke'!$C138,W$13,'CDO Bespoke'!$G138/10000,'CDO Bespoke'!F138,'CDO Bespoke'!$L114,'CDO Bespoke'!$C$13,'CDO Bespoke'!$C$14,'CDO Bespoke'!$C$15,'CDO Bespoke'!$C$8,,,TRUE,TRUE,FALSE,'CDO Bespoke'!$C$29:'CDO Bespoke'!$C$31,'CDO Bespoke'!$C$33),{5})),"")</f>
        <v/>
      </c>
      <c r="X113" s="527" t="str" cm="1">
        <f t="array" aca="1" ref="X113" ca="1">IF($V113&lt;&gt;"",-TRANSPOSE(INDEX(getcds('CDO Bespoke'!$C138,X$13,'CDO Bespoke'!$G138/10000,'CDO Bespoke'!G138,'CDO Bespoke'!$L114,'CDO Bespoke'!$C$13,'CDO Bespoke'!$C$14,'CDO Bespoke'!$C$15,'CDO Bespoke'!$C$8,,,TRUE,TRUE,FALSE,'CDO Bespoke'!$C$29:'CDO Bespoke'!$C$31,'CDO Bespoke'!$C$33),{5})),"")</f>
        <v/>
      </c>
      <c r="Y113" s="527" t="str" cm="1">
        <f t="array" aca="1" ref="Y113" ca="1">IF($V113&lt;&gt;"",-TRANSPOSE(INDEX(getcds('CDO Bespoke'!$C138,Y$13,'CDO Bespoke'!$G138/10000,'CDO Bespoke'!H138,'CDO Bespoke'!$L114,'CDO Bespoke'!$C$13,'CDO Bespoke'!$C$14,'CDO Bespoke'!$C$15,'CDO Bespoke'!$C$8,,,TRUE,TRUE,FALSE,'CDO Bespoke'!$C$29:'CDO Bespoke'!$C$31,'CDO Bespoke'!$C$33),{5})),"")</f>
        <v/>
      </c>
      <c r="Z113" s="527" t="str" cm="1">
        <f t="array" aca="1" ref="Z113" ca="1">IF($V113&lt;&gt;"",-TRANSPOSE(INDEX(getcds('CDO Bespoke'!$C138,Z$13,'CDO Bespoke'!$G138/10000,'CDO Bespoke'!I138,'CDO Bespoke'!$L114,'CDO Bespoke'!$C$13,'CDO Bespoke'!$C$14,'CDO Bespoke'!$C$15,'CDO Bespoke'!$C$8,,,TRUE,TRUE,FALSE,'CDO Bespoke'!$C$29:'CDO Bespoke'!$C$31,'CDO Bespoke'!$C$33),{5})),"")</f>
        <v/>
      </c>
      <c r="AA113" s="502" t="str" cm="1">
        <f t="array" aca="1" ref="AA113" ca="1">IF($V113&lt;&gt;"",-TRANSPOSE(INDEX(getcds('CDO Bespoke'!$C138,AA$13,'CDO Bespoke'!$G138/10000,'CDO Bespoke'!J138,'CDO Bespoke'!$L114,'CDO Bespoke'!$C$13,'CDO Bespoke'!$C$14,'CDO Bespoke'!$C$15,'CDO Bespoke'!$C$8,,,TRUE,TRUE,FALSE,'CDO Bespoke'!$C$29:'CDO Bespoke'!$C$31,'CDO Bespoke'!$C$33),{5})),"")</f>
        <v/>
      </c>
      <c r="AB113" s="481"/>
      <c r="AC113" s="517"/>
      <c r="AD113" s="518"/>
      <c r="AE113" s="518"/>
      <c r="AF113" s="518"/>
      <c r="AG113" s="518"/>
      <c r="AH113" s="518"/>
      <c r="AI113" s="518"/>
      <c r="AJ113" s="518"/>
      <c r="AK113" s="518"/>
      <c r="AL113" s="519"/>
      <c r="AM113" s="540"/>
    </row>
    <row r="114" spans="2:39" ht="12" thickBot="1">
      <c r="B114" s="558" t="s">
        <v>541</v>
      </c>
      <c r="C114" s="559" t="s">
        <v>66</v>
      </c>
      <c r="D114" s="559" t="s">
        <v>59</v>
      </c>
      <c r="E114" s="559" t="s">
        <v>663</v>
      </c>
      <c r="F114" s="559" t="s">
        <v>664</v>
      </c>
      <c r="G114" s="560">
        <v>0.01</v>
      </c>
      <c r="H114" s="560">
        <v>1.0449999999999999E-2</v>
      </c>
      <c r="I114" s="561">
        <v>0.4</v>
      </c>
      <c r="J114" s="562">
        <v>30</v>
      </c>
      <c r="K114" s="275"/>
      <c r="L114" s="275"/>
      <c r="M114" s="489" t="str">
        <f ca="1">IF('CDO Bespoke'!O115&lt;&gt;"",'CDO Bespoke'!O115,"")</f>
        <v/>
      </c>
      <c r="N114" s="490" t="str">
        <f ca="1">IF(M114&lt;&gt;"",ABS(MIN(-0.75*('CDO Bespoke'!Q115)+'CDO Bespoke'!T115,0)),"")</f>
        <v/>
      </c>
      <c r="O114" s="490" t="str">
        <f t="shared" ca="1" si="4"/>
        <v/>
      </c>
      <c r="P114" s="490" t="str">
        <f t="shared" ca="1" si="5"/>
        <v/>
      </c>
      <c r="Q114" s="489" t="str">
        <f ca="1">IF('CDO Bespoke'!O115&lt;&gt;"",'CDO Bespoke'!O115,"")</f>
        <v/>
      </c>
      <c r="R114" s="490" t="str">
        <f ca="1">IF(Q114&lt;&gt;"",ABS(MIN(-0.75*('CDO Bespoke'!K115)+'CDO Bespoke'!T115,0)),"")</f>
        <v/>
      </c>
      <c r="S114" s="490" t="str">
        <f t="shared" ca="1" si="6"/>
        <v/>
      </c>
      <c r="T114" s="494" t="str">
        <f t="shared" ca="1" si="7"/>
        <v/>
      </c>
      <c r="U114" s="275"/>
      <c r="V114" s="499" t="str">
        <f ca="1">IF('CDO Bespoke'!C139&lt;&gt;"",'CDO Bespoke'!C139,"")</f>
        <v/>
      </c>
      <c r="W114" s="501" t="str" cm="1">
        <f t="array" aca="1" ref="W114" ca="1">IF($V114&lt;&gt;"",-TRANSPOSE(INDEX(getcds('CDO Bespoke'!$C139,W$13,'CDO Bespoke'!$G139/10000,'CDO Bespoke'!F139,'CDO Bespoke'!$L115,'CDO Bespoke'!$C$13,'CDO Bespoke'!$C$14,'CDO Bespoke'!$C$15,'CDO Bespoke'!$C$8,,,TRUE,TRUE,FALSE,'CDO Bespoke'!$C$29:'CDO Bespoke'!$C$31,'CDO Bespoke'!$C$33),{5})),"")</f>
        <v/>
      </c>
      <c r="X114" s="527" t="str" cm="1">
        <f t="array" aca="1" ref="X114" ca="1">IF($V114&lt;&gt;"",-TRANSPOSE(INDEX(getcds('CDO Bespoke'!$C139,X$13,'CDO Bespoke'!$G139/10000,'CDO Bespoke'!G139,'CDO Bespoke'!$L115,'CDO Bespoke'!$C$13,'CDO Bespoke'!$C$14,'CDO Bespoke'!$C$15,'CDO Bespoke'!$C$8,,,TRUE,TRUE,FALSE,'CDO Bespoke'!$C$29:'CDO Bespoke'!$C$31,'CDO Bespoke'!$C$33),{5})),"")</f>
        <v/>
      </c>
      <c r="Y114" s="527" t="str" cm="1">
        <f t="array" aca="1" ref="Y114" ca="1">IF($V114&lt;&gt;"",-TRANSPOSE(INDEX(getcds('CDO Bespoke'!$C139,Y$13,'CDO Bespoke'!$G139/10000,'CDO Bespoke'!H139,'CDO Bespoke'!$L115,'CDO Bespoke'!$C$13,'CDO Bespoke'!$C$14,'CDO Bespoke'!$C$15,'CDO Bespoke'!$C$8,,,TRUE,TRUE,FALSE,'CDO Bespoke'!$C$29:'CDO Bespoke'!$C$31,'CDO Bespoke'!$C$33),{5})),"")</f>
        <v/>
      </c>
      <c r="Z114" s="527" t="str" cm="1">
        <f t="array" aca="1" ref="Z114" ca="1">IF($V114&lt;&gt;"",-TRANSPOSE(INDEX(getcds('CDO Bespoke'!$C139,Z$13,'CDO Bespoke'!$G139/10000,'CDO Bespoke'!I139,'CDO Bespoke'!$L115,'CDO Bespoke'!$C$13,'CDO Bespoke'!$C$14,'CDO Bespoke'!$C$15,'CDO Bespoke'!$C$8,,,TRUE,TRUE,FALSE,'CDO Bespoke'!$C$29:'CDO Bespoke'!$C$31,'CDO Bespoke'!$C$33),{5})),"")</f>
        <v/>
      </c>
      <c r="AA114" s="502" t="str" cm="1">
        <f t="array" aca="1" ref="AA114" ca="1">IF($V114&lt;&gt;"",-TRANSPOSE(INDEX(getcds('CDO Bespoke'!$C139,AA$13,'CDO Bespoke'!$G139/10000,'CDO Bespoke'!J139,'CDO Bespoke'!$L115,'CDO Bespoke'!$C$13,'CDO Bespoke'!$C$14,'CDO Bespoke'!$C$15,'CDO Bespoke'!$C$8,,,TRUE,TRUE,FALSE,'CDO Bespoke'!$C$29:'CDO Bespoke'!$C$31,'CDO Bespoke'!$C$33),{5})),"")</f>
        <v/>
      </c>
      <c r="AB114" s="481"/>
      <c r="AC114" s="517"/>
      <c r="AD114" s="518"/>
      <c r="AE114" s="518"/>
      <c r="AF114" s="518"/>
      <c r="AG114" s="518"/>
      <c r="AH114" s="518"/>
      <c r="AI114" s="518"/>
      <c r="AJ114" s="518"/>
      <c r="AK114" s="518"/>
      <c r="AL114" s="519"/>
      <c r="AM114" s="540"/>
    </row>
    <row r="115" spans="2:39" ht="12" thickBot="1">
      <c r="B115" s="563" t="s">
        <v>542</v>
      </c>
      <c r="C115" s="564" t="s">
        <v>66</v>
      </c>
      <c r="D115" s="564" t="s">
        <v>55</v>
      </c>
      <c r="E115" s="564" t="s">
        <v>663</v>
      </c>
      <c r="F115" s="564" t="s">
        <v>666</v>
      </c>
      <c r="G115" s="565">
        <v>0.01</v>
      </c>
      <c r="H115" s="565">
        <v>5.8869999999999999E-3</v>
      </c>
      <c r="I115" s="566">
        <v>0.4</v>
      </c>
      <c r="J115" s="567">
        <v>31</v>
      </c>
      <c r="K115" s="275"/>
      <c r="L115" s="275"/>
      <c r="M115" s="489" t="str">
        <f ca="1">IF('CDO Bespoke'!O116&lt;&gt;"",'CDO Bespoke'!O116,"")</f>
        <v/>
      </c>
      <c r="N115" s="490" t="str">
        <f ca="1">IF(M115&lt;&gt;"",ABS(MIN(-0.75*('CDO Bespoke'!Q116)+'CDO Bespoke'!T116,0)),"")</f>
        <v/>
      </c>
      <c r="O115" s="490" t="str">
        <f t="shared" ca="1" si="4"/>
        <v/>
      </c>
      <c r="P115" s="490" t="str">
        <f t="shared" ca="1" si="5"/>
        <v/>
      </c>
      <c r="Q115" s="489" t="str">
        <f ca="1">IF('CDO Bespoke'!O116&lt;&gt;"",'CDO Bespoke'!O116,"")</f>
        <v/>
      </c>
      <c r="R115" s="490" t="str">
        <f ca="1">IF(Q115&lt;&gt;"",ABS(MIN(-0.75*('CDO Bespoke'!K116)+'CDO Bespoke'!T116,0)),"")</f>
        <v/>
      </c>
      <c r="S115" s="490" t="str">
        <f t="shared" ca="1" si="6"/>
        <v/>
      </c>
      <c r="T115" s="494" t="str">
        <f t="shared" ca="1" si="7"/>
        <v/>
      </c>
      <c r="U115" s="275"/>
      <c r="V115" s="499" t="str">
        <f ca="1">IF('CDO Bespoke'!C140&lt;&gt;"",'CDO Bespoke'!C140,"")</f>
        <v/>
      </c>
      <c r="W115" s="501" t="str" cm="1">
        <f t="array" aca="1" ref="W115" ca="1">IF($V115&lt;&gt;"",-TRANSPOSE(INDEX(getcds('CDO Bespoke'!$C140,W$13,'CDO Bespoke'!$G140/10000,'CDO Bespoke'!F140,'CDO Bespoke'!$L116,'CDO Bespoke'!$C$13,'CDO Bespoke'!$C$14,'CDO Bespoke'!$C$15,'CDO Bespoke'!$C$8,,,TRUE,TRUE,FALSE,'CDO Bespoke'!$C$29:'CDO Bespoke'!$C$31,'CDO Bespoke'!$C$33),{5})),"")</f>
        <v/>
      </c>
      <c r="X115" s="527" t="str" cm="1">
        <f t="array" aca="1" ref="X115" ca="1">IF($V115&lt;&gt;"",-TRANSPOSE(INDEX(getcds('CDO Bespoke'!$C140,X$13,'CDO Bespoke'!$G140/10000,'CDO Bespoke'!G140,'CDO Bespoke'!$L116,'CDO Bespoke'!$C$13,'CDO Bespoke'!$C$14,'CDO Bespoke'!$C$15,'CDO Bespoke'!$C$8,,,TRUE,TRUE,FALSE,'CDO Bespoke'!$C$29:'CDO Bespoke'!$C$31,'CDO Bespoke'!$C$33),{5})),"")</f>
        <v/>
      </c>
      <c r="Y115" s="527" t="str" cm="1">
        <f t="array" aca="1" ref="Y115" ca="1">IF($V115&lt;&gt;"",-TRANSPOSE(INDEX(getcds('CDO Bespoke'!$C140,Y$13,'CDO Bespoke'!$G140/10000,'CDO Bespoke'!H140,'CDO Bespoke'!$L116,'CDO Bespoke'!$C$13,'CDO Bespoke'!$C$14,'CDO Bespoke'!$C$15,'CDO Bespoke'!$C$8,,,TRUE,TRUE,FALSE,'CDO Bespoke'!$C$29:'CDO Bespoke'!$C$31,'CDO Bespoke'!$C$33),{5})),"")</f>
        <v/>
      </c>
      <c r="Z115" s="527" t="str" cm="1">
        <f t="array" aca="1" ref="Z115" ca="1">IF($V115&lt;&gt;"",-TRANSPOSE(INDEX(getcds('CDO Bespoke'!$C140,Z$13,'CDO Bespoke'!$G140/10000,'CDO Bespoke'!I140,'CDO Bespoke'!$L116,'CDO Bespoke'!$C$13,'CDO Bespoke'!$C$14,'CDO Bespoke'!$C$15,'CDO Bespoke'!$C$8,,,TRUE,TRUE,FALSE,'CDO Bespoke'!$C$29:'CDO Bespoke'!$C$31,'CDO Bespoke'!$C$33),{5})),"")</f>
        <v/>
      </c>
      <c r="AA115" s="502" t="str" cm="1">
        <f t="array" aca="1" ref="AA115" ca="1">IF($V115&lt;&gt;"",-TRANSPOSE(INDEX(getcds('CDO Bespoke'!$C140,AA$13,'CDO Bespoke'!$G140/10000,'CDO Bespoke'!J140,'CDO Bespoke'!$L116,'CDO Bespoke'!$C$13,'CDO Bespoke'!$C$14,'CDO Bespoke'!$C$15,'CDO Bespoke'!$C$8,,,TRUE,TRUE,FALSE,'CDO Bespoke'!$C$29:'CDO Bespoke'!$C$31,'CDO Bespoke'!$C$33),{5})),"")</f>
        <v/>
      </c>
      <c r="AB115" s="481"/>
      <c r="AC115" s="517"/>
      <c r="AD115" s="518"/>
      <c r="AE115" s="518"/>
      <c r="AF115" s="518"/>
      <c r="AG115" s="518"/>
      <c r="AH115" s="518"/>
      <c r="AI115" s="518"/>
      <c r="AJ115" s="518"/>
      <c r="AK115" s="518"/>
      <c r="AL115" s="519"/>
      <c r="AM115" s="540"/>
    </row>
    <row r="116" spans="2:39" ht="12" thickBot="1">
      <c r="B116" s="541" t="s">
        <v>542</v>
      </c>
      <c r="C116" s="542" t="s">
        <v>66</v>
      </c>
      <c r="D116" s="542" t="s">
        <v>57</v>
      </c>
      <c r="E116" s="542" t="s">
        <v>663</v>
      </c>
      <c r="F116" s="542" t="s">
        <v>666</v>
      </c>
      <c r="G116" s="549">
        <v>0.01</v>
      </c>
      <c r="H116" s="549">
        <v>1.0245000000000001E-2</v>
      </c>
      <c r="I116" s="551">
        <v>0.4</v>
      </c>
      <c r="J116" s="543">
        <v>31</v>
      </c>
      <c r="K116" s="275"/>
      <c r="L116" s="275"/>
      <c r="M116" s="489" t="str">
        <f ca="1">IF('CDO Bespoke'!O117&lt;&gt;"",'CDO Bespoke'!O117,"")</f>
        <v/>
      </c>
      <c r="N116" s="490" t="str">
        <f ca="1">IF(M116&lt;&gt;"",ABS(MIN(-0.75*('CDO Bespoke'!Q117)+'CDO Bespoke'!T117,0)),"")</f>
        <v/>
      </c>
      <c r="O116" s="490" t="str">
        <f t="shared" ca="1" si="4"/>
        <v/>
      </c>
      <c r="P116" s="490" t="str">
        <f t="shared" ca="1" si="5"/>
        <v/>
      </c>
      <c r="Q116" s="489" t="str">
        <f ca="1">IF('CDO Bespoke'!O117&lt;&gt;"",'CDO Bespoke'!O117,"")</f>
        <v/>
      </c>
      <c r="R116" s="490" t="str">
        <f ca="1">IF(Q116&lt;&gt;"",ABS(MIN(-0.75*('CDO Bespoke'!K117)+'CDO Bespoke'!T117,0)),"")</f>
        <v/>
      </c>
      <c r="S116" s="490" t="str">
        <f t="shared" ca="1" si="6"/>
        <v/>
      </c>
      <c r="T116" s="494" t="str">
        <f t="shared" ca="1" si="7"/>
        <v/>
      </c>
      <c r="U116" s="275"/>
      <c r="V116" s="499" t="str">
        <f ca="1">IF('CDO Bespoke'!C141&lt;&gt;"",'CDO Bespoke'!C141,"")</f>
        <v/>
      </c>
      <c r="W116" s="501" t="str" cm="1">
        <f t="array" aca="1" ref="W116" ca="1">IF($V116&lt;&gt;"",-TRANSPOSE(INDEX(getcds('CDO Bespoke'!$C141,W$13,'CDO Bespoke'!$G141/10000,'CDO Bespoke'!F141,'CDO Bespoke'!$L117,'CDO Bespoke'!$C$13,'CDO Bespoke'!$C$14,'CDO Bespoke'!$C$15,'CDO Bespoke'!$C$8,,,TRUE,TRUE,FALSE,'CDO Bespoke'!$C$29:'CDO Bespoke'!$C$31,'CDO Bespoke'!$C$33),{5})),"")</f>
        <v/>
      </c>
      <c r="X116" s="527" t="str" cm="1">
        <f t="array" aca="1" ref="X116" ca="1">IF($V116&lt;&gt;"",-TRANSPOSE(INDEX(getcds('CDO Bespoke'!$C141,X$13,'CDO Bespoke'!$G141/10000,'CDO Bespoke'!G141,'CDO Bespoke'!$L117,'CDO Bespoke'!$C$13,'CDO Bespoke'!$C$14,'CDO Bespoke'!$C$15,'CDO Bespoke'!$C$8,,,TRUE,TRUE,FALSE,'CDO Bespoke'!$C$29:'CDO Bespoke'!$C$31,'CDO Bespoke'!$C$33),{5})),"")</f>
        <v/>
      </c>
      <c r="Y116" s="527" t="str" cm="1">
        <f t="array" aca="1" ref="Y116" ca="1">IF($V116&lt;&gt;"",-TRANSPOSE(INDEX(getcds('CDO Bespoke'!$C141,Y$13,'CDO Bespoke'!$G141/10000,'CDO Bespoke'!H141,'CDO Bespoke'!$L117,'CDO Bespoke'!$C$13,'CDO Bespoke'!$C$14,'CDO Bespoke'!$C$15,'CDO Bespoke'!$C$8,,,TRUE,TRUE,FALSE,'CDO Bespoke'!$C$29:'CDO Bespoke'!$C$31,'CDO Bespoke'!$C$33),{5})),"")</f>
        <v/>
      </c>
      <c r="Z116" s="527" t="str" cm="1">
        <f t="array" aca="1" ref="Z116" ca="1">IF($V116&lt;&gt;"",-TRANSPOSE(INDEX(getcds('CDO Bespoke'!$C141,Z$13,'CDO Bespoke'!$G141/10000,'CDO Bespoke'!I141,'CDO Bespoke'!$L117,'CDO Bespoke'!$C$13,'CDO Bespoke'!$C$14,'CDO Bespoke'!$C$15,'CDO Bespoke'!$C$8,,,TRUE,TRUE,FALSE,'CDO Bespoke'!$C$29:'CDO Bespoke'!$C$31,'CDO Bespoke'!$C$33),{5})),"")</f>
        <v/>
      </c>
      <c r="AA116" s="502" t="str" cm="1">
        <f t="array" aca="1" ref="AA116" ca="1">IF($V116&lt;&gt;"",-TRANSPOSE(INDEX(getcds('CDO Bespoke'!$C141,AA$13,'CDO Bespoke'!$G141/10000,'CDO Bespoke'!J141,'CDO Bespoke'!$L117,'CDO Bespoke'!$C$13,'CDO Bespoke'!$C$14,'CDO Bespoke'!$C$15,'CDO Bespoke'!$C$8,,,TRUE,TRUE,FALSE,'CDO Bespoke'!$C$29:'CDO Bespoke'!$C$31,'CDO Bespoke'!$C$33),{5})),"")</f>
        <v/>
      </c>
      <c r="AB116" s="481"/>
      <c r="AC116" s="517"/>
      <c r="AD116" s="518"/>
      <c r="AE116" s="518"/>
      <c r="AF116" s="518"/>
      <c r="AG116" s="518"/>
      <c r="AH116" s="518"/>
      <c r="AI116" s="518"/>
      <c r="AJ116" s="518"/>
      <c r="AK116" s="518"/>
      <c r="AL116" s="519"/>
      <c r="AM116" s="540"/>
    </row>
    <row r="117" spans="2:39" ht="12" thickBot="1">
      <c r="B117" s="558" t="s">
        <v>542</v>
      </c>
      <c r="C117" s="559" t="s">
        <v>66</v>
      </c>
      <c r="D117" s="559" t="s">
        <v>59</v>
      </c>
      <c r="E117" s="559" t="s">
        <v>663</v>
      </c>
      <c r="F117" s="559" t="s">
        <v>666</v>
      </c>
      <c r="G117" s="560">
        <v>0.01</v>
      </c>
      <c r="H117" s="560">
        <v>1.4839E-2</v>
      </c>
      <c r="I117" s="561">
        <v>0.4</v>
      </c>
      <c r="J117" s="562">
        <v>31</v>
      </c>
      <c r="K117" s="275"/>
      <c r="L117" s="275"/>
      <c r="M117" s="489" t="str">
        <f ca="1">IF('CDO Bespoke'!O118&lt;&gt;"",'CDO Bespoke'!O118,"")</f>
        <v/>
      </c>
      <c r="N117" s="490" t="str">
        <f ca="1">IF(M117&lt;&gt;"",ABS(MIN(-0.75*('CDO Bespoke'!Q118)+'CDO Bespoke'!T118,0)),"")</f>
        <v/>
      </c>
      <c r="O117" s="490" t="str">
        <f t="shared" ca="1" si="4"/>
        <v/>
      </c>
      <c r="P117" s="490" t="str">
        <f t="shared" ca="1" si="5"/>
        <v/>
      </c>
      <c r="Q117" s="489" t="str">
        <f ca="1">IF('CDO Bespoke'!O118&lt;&gt;"",'CDO Bespoke'!O118,"")</f>
        <v/>
      </c>
      <c r="R117" s="490" t="str">
        <f ca="1">IF(Q117&lt;&gt;"",ABS(MIN(-0.75*('CDO Bespoke'!K118)+'CDO Bespoke'!T118,0)),"")</f>
        <v/>
      </c>
      <c r="S117" s="490" t="str">
        <f t="shared" ca="1" si="6"/>
        <v/>
      </c>
      <c r="T117" s="494" t="str">
        <f t="shared" ca="1" si="7"/>
        <v/>
      </c>
      <c r="U117" s="275"/>
      <c r="V117" s="499" t="str">
        <f ca="1">IF('CDO Bespoke'!C142&lt;&gt;"",'CDO Bespoke'!C142,"")</f>
        <v/>
      </c>
      <c r="W117" s="501" t="str" cm="1">
        <f t="array" aca="1" ref="W117" ca="1">IF($V117&lt;&gt;"",-TRANSPOSE(INDEX(getcds('CDO Bespoke'!$C142,W$13,'CDO Bespoke'!$G142/10000,'CDO Bespoke'!F142,'CDO Bespoke'!$L118,'CDO Bespoke'!$C$13,'CDO Bespoke'!$C$14,'CDO Bespoke'!$C$15,'CDO Bespoke'!$C$8,,,TRUE,TRUE,FALSE,'CDO Bespoke'!$C$29:'CDO Bespoke'!$C$31,'CDO Bespoke'!$C$33),{5})),"")</f>
        <v/>
      </c>
      <c r="X117" s="527" t="str" cm="1">
        <f t="array" aca="1" ref="X117" ca="1">IF($V117&lt;&gt;"",-TRANSPOSE(INDEX(getcds('CDO Bespoke'!$C142,X$13,'CDO Bespoke'!$G142/10000,'CDO Bespoke'!G142,'CDO Bespoke'!$L118,'CDO Bespoke'!$C$13,'CDO Bespoke'!$C$14,'CDO Bespoke'!$C$15,'CDO Bespoke'!$C$8,,,TRUE,TRUE,FALSE,'CDO Bespoke'!$C$29:'CDO Bespoke'!$C$31,'CDO Bespoke'!$C$33),{5})),"")</f>
        <v/>
      </c>
      <c r="Y117" s="527" t="str" cm="1">
        <f t="array" aca="1" ref="Y117" ca="1">IF($V117&lt;&gt;"",-TRANSPOSE(INDEX(getcds('CDO Bespoke'!$C142,Y$13,'CDO Bespoke'!$G142/10000,'CDO Bespoke'!H142,'CDO Bespoke'!$L118,'CDO Bespoke'!$C$13,'CDO Bespoke'!$C$14,'CDO Bespoke'!$C$15,'CDO Bespoke'!$C$8,,,TRUE,TRUE,FALSE,'CDO Bespoke'!$C$29:'CDO Bespoke'!$C$31,'CDO Bespoke'!$C$33),{5})),"")</f>
        <v/>
      </c>
      <c r="Z117" s="527" t="str" cm="1">
        <f t="array" aca="1" ref="Z117" ca="1">IF($V117&lt;&gt;"",-TRANSPOSE(INDEX(getcds('CDO Bespoke'!$C142,Z$13,'CDO Bespoke'!$G142/10000,'CDO Bespoke'!I142,'CDO Bespoke'!$L118,'CDO Bespoke'!$C$13,'CDO Bespoke'!$C$14,'CDO Bespoke'!$C$15,'CDO Bespoke'!$C$8,,,TRUE,TRUE,FALSE,'CDO Bespoke'!$C$29:'CDO Bespoke'!$C$31,'CDO Bespoke'!$C$33),{5})),"")</f>
        <v/>
      </c>
      <c r="AA117" s="502" t="str" cm="1">
        <f t="array" aca="1" ref="AA117" ca="1">IF($V117&lt;&gt;"",-TRANSPOSE(INDEX(getcds('CDO Bespoke'!$C142,AA$13,'CDO Bespoke'!$G142/10000,'CDO Bespoke'!J142,'CDO Bespoke'!$L118,'CDO Bespoke'!$C$13,'CDO Bespoke'!$C$14,'CDO Bespoke'!$C$15,'CDO Bespoke'!$C$8,,,TRUE,TRUE,FALSE,'CDO Bespoke'!$C$29:'CDO Bespoke'!$C$31,'CDO Bespoke'!$C$33),{5})),"")</f>
        <v/>
      </c>
      <c r="AB117" s="481"/>
      <c r="AC117" s="517"/>
      <c r="AD117" s="518"/>
      <c r="AE117" s="518"/>
      <c r="AF117" s="518"/>
      <c r="AG117" s="518"/>
      <c r="AH117" s="518"/>
      <c r="AI117" s="518"/>
      <c r="AJ117" s="518"/>
      <c r="AK117" s="518"/>
      <c r="AL117" s="519"/>
      <c r="AM117" s="540"/>
    </row>
    <row r="118" spans="2:39" ht="12" thickBot="1">
      <c r="B118" s="563" t="s">
        <v>527</v>
      </c>
      <c r="C118" s="564" t="s">
        <v>66</v>
      </c>
      <c r="D118" s="564" t="s">
        <v>55</v>
      </c>
      <c r="E118" s="564" t="s">
        <v>663</v>
      </c>
      <c r="F118" s="564" t="s">
        <v>664</v>
      </c>
      <c r="G118" s="565">
        <v>0.01</v>
      </c>
      <c r="H118" s="565">
        <v>4.9649999999999998E-3</v>
      </c>
      <c r="I118" s="566">
        <v>0.4</v>
      </c>
      <c r="J118" s="567">
        <v>32</v>
      </c>
      <c r="K118" s="275"/>
      <c r="L118" s="275"/>
      <c r="M118" s="489" t="str">
        <f ca="1">IF('CDO Bespoke'!O119&lt;&gt;"",'CDO Bespoke'!O119,"")</f>
        <v/>
      </c>
      <c r="N118" s="490" t="str">
        <f ca="1">IF(M118&lt;&gt;"",ABS(MIN(-0.75*('CDO Bespoke'!Q119)+'CDO Bespoke'!T119,0)),"")</f>
        <v/>
      </c>
      <c r="O118" s="490" t="str">
        <f t="shared" ca="1" si="4"/>
        <v/>
      </c>
      <c r="P118" s="490" t="str">
        <f t="shared" ca="1" si="5"/>
        <v/>
      </c>
      <c r="Q118" s="489" t="str">
        <f ca="1">IF('CDO Bespoke'!O119&lt;&gt;"",'CDO Bespoke'!O119,"")</f>
        <v/>
      </c>
      <c r="R118" s="490" t="str">
        <f ca="1">IF(Q118&lt;&gt;"",ABS(MIN(-0.75*('CDO Bespoke'!K119)+'CDO Bespoke'!T119,0)),"")</f>
        <v/>
      </c>
      <c r="S118" s="490" t="str">
        <f t="shared" ca="1" si="6"/>
        <v/>
      </c>
      <c r="T118" s="494" t="str">
        <f t="shared" ca="1" si="7"/>
        <v/>
      </c>
      <c r="U118" s="275"/>
      <c r="V118" s="499" t="str">
        <f ca="1">IF('CDO Bespoke'!C143&lt;&gt;"",'CDO Bespoke'!C143,"")</f>
        <v/>
      </c>
      <c r="W118" s="501" t="str" cm="1">
        <f t="array" aca="1" ref="W118" ca="1">IF($V118&lt;&gt;"",-TRANSPOSE(INDEX(getcds('CDO Bespoke'!$C143,W$13,'CDO Bespoke'!$G143/10000,'CDO Bespoke'!F143,'CDO Bespoke'!$L119,'CDO Bespoke'!$C$13,'CDO Bespoke'!$C$14,'CDO Bespoke'!$C$15,'CDO Bespoke'!$C$8,,,TRUE,TRUE,FALSE,'CDO Bespoke'!$C$29:'CDO Bespoke'!$C$31,'CDO Bespoke'!$C$33),{5})),"")</f>
        <v/>
      </c>
      <c r="X118" s="527" t="str" cm="1">
        <f t="array" aca="1" ref="X118" ca="1">IF($V118&lt;&gt;"",-TRANSPOSE(INDEX(getcds('CDO Bespoke'!$C143,X$13,'CDO Bespoke'!$G143/10000,'CDO Bespoke'!G143,'CDO Bespoke'!$L119,'CDO Bespoke'!$C$13,'CDO Bespoke'!$C$14,'CDO Bespoke'!$C$15,'CDO Bespoke'!$C$8,,,TRUE,TRUE,FALSE,'CDO Bespoke'!$C$29:'CDO Bespoke'!$C$31,'CDO Bespoke'!$C$33),{5})),"")</f>
        <v/>
      </c>
      <c r="Y118" s="527" t="str" cm="1">
        <f t="array" aca="1" ref="Y118" ca="1">IF($V118&lt;&gt;"",-TRANSPOSE(INDEX(getcds('CDO Bespoke'!$C143,Y$13,'CDO Bespoke'!$G143/10000,'CDO Bespoke'!H143,'CDO Bespoke'!$L119,'CDO Bespoke'!$C$13,'CDO Bespoke'!$C$14,'CDO Bespoke'!$C$15,'CDO Bespoke'!$C$8,,,TRUE,TRUE,FALSE,'CDO Bespoke'!$C$29:'CDO Bespoke'!$C$31,'CDO Bespoke'!$C$33),{5})),"")</f>
        <v/>
      </c>
      <c r="Z118" s="527" t="str" cm="1">
        <f t="array" aca="1" ref="Z118" ca="1">IF($V118&lt;&gt;"",-TRANSPOSE(INDEX(getcds('CDO Bespoke'!$C143,Z$13,'CDO Bespoke'!$G143/10000,'CDO Bespoke'!I143,'CDO Bespoke'!$L119,'CDO Bespoke'!$C$13,'CDO Bespoke'!$C$14,'CDO Bespoke'!$C$15,'CDO Bespoke'!$C$8,,,TRUE,TRUE,FALSE,'CDO Bespoke'!$C$29:'CDO Bespoke'!$C$31,'CDO Bespoke'!$C$33),{5})),"")</f>
        <v/>
      </c>
      <c r="AA118" s="502" t="str" cm="1">
        <f t="array" aca="1" ref="AA118" ca="1">IF($V118&lt;&gt;"",-TRANSPOSE(INDEX(getcds('CDO Bespoke'!$C143,AA$13,'CDO Bespoke'!$G143/10000,'CDO Bespoke'!J143,'CDO Bespoke'!$L119,'CDO Bespoke'!$C$13,'CDO Bespoke'!$C$14,'CDO Bespoke'!$C$15,'CDO Bespoke'!$C$8,,,TRUE,TRUE,FALSE,'CDO Bespoke'!$C$29:'CDO Bespoke'!$C$31,'CDO Bespoke'!$C$33),{5})),"")</f>
        <v/>
      </c>
      <c r="AB118" s="481"/>
      <c r="AC118" s="517"/>
      <c r="AD118" s="518"/>
      <c r="AE118" s="518"/>
      <c r="AF118" s="518"/>
      <c r="AG118" s="518"/>
      <c r="AH118" s="518"/>
      <c r="AI118" s="518"/>
      <c r="AJ118" s="518"/>
      <c r="AK118" s="518"/>
      <c r="AL118" s="519"/>
      <c r="AM118" s="540"/>
    </row>
    <row r="119" spans="2:39" ht="12" thickBot="1">
      <c r="B119" s="541" t="s">
        <v>527</v>
      </c>
      <c r="C119" s="542" t="s">
        <v>66</v>
      </c>
      <c r="D119" s="542" t="s">
        <v>57</v>
      </c>
      <c r="E119" s="542" t="s">
        <v>663</v>
      </c>
      <c r="F119" s="542" t="s">
        <v>664</v>
      </c>
      <c r="G119" s="549">
        <v>0.01</v>
      </c>
      <c r="H119" s="549">
        <v>8.1279999999999998E-3</v>
      </c>
      <c r="I119" s="551">
        <v>0.4</v>
      </c>
      <c r="J119" s="543">
        <v>32</v>
      </c>
      <c r="K119" s="275"/>
      <c r="L119" s="275"/>
      <c r="M119" s="489" t="str">
        <f ca="1">IF('CDO Bespoke'!O120&lt;&gt;"",'CDO Bespoke'!O120,"")</f>
        <v/>
      </c>
      <c r="N119" s="490" t="str">
        <f ca="1">IF(M119&lt;&gt;"",ABS(MIN(-0.75*('CDO Bespoke'!Q120)+'CDO Bespoke'!T120,0)),"")</f>
        <v/>
      </c>
      <c r="O119" s="490" t="str">
        <f t="shared" ca="1" si="4"/>
        <v/>
      </c>
      <c r="P119" s="490" t="str">
        <f t="shared" ca="1" si="5"/>
        <v/>
      </c>
      <c r="Q119" s="489" t="str">
        <f ca="1">IF('CDO Bespoke'!O120&lt;&gt;"",'CDO Bespoke'!O120,"")</f>
        <v/>
      </c>
      <c r="R119" s="490" t="str">
        <f ca="1">IF(Q119&lt;&gt;"",ABS(MIN(-0.75*('CDO Bespoke'!K120)+'CDO Bespoke'!T120,0)),"")</f>
        <v/>
      </c>
      <c r="S119" s="490" t="str">
        <f t="shared" ca="1" si="6"/>
        <v/>
      </c>
      <c r="T119" s="494" t="str">
        <f t="shared" ca="1" si="7"/>
        <v/>
      </c>
      <c r="U119" s="275"/>
      <c r="V119" s="499" t="str">
        <f ca="1">IF('CDO Bespoke'!C144&lt;&gt;"",'CDO Bespoke'!C144,"")</f>
        <v/>
      </c>
      <c r="W119" s="501" t="str" cm="1">
        <f t="array" aca="1" ref="W119" ca="1">IF($V119&lt;&gt;"",-TRANSPOSE(INDEX(getcds('CDO Bespoke'!$C144,W$13,'CDO Bespoke'!$G144/10000,'CDO Bespoke'!F144,'CDO Bespoke'!$L120,'CDO Bespoke'!$C$13,'CDO Bespoke'!$C$14,'CDO Bespoke'!$C$15,'CDO Bespoke'!$C$8,,,TRUE,TRUE,FALSE,'CDO Bespoke'!$C$29:'CDO Bespoke'!$C$31,'CDO Bespoke'!$C$33),{5})),"")</f>
        <v/>
      </c>
      <c r="X119" s="527" t="str" cm="1">
        <f t="array" aca="1" ref="X119" ca="1">IF($V119&lt;&gt;"",-TRANSPOSE(INDEX(getcds('CDO Bespoke'!$C144,X$13,'CDO Bespoke'!$G144/10000,'CDO Bespoke'!G144,'CDO Bespoke'!$L120,'CDO Bespoke'!$C$13,'CDO Bespoke'!$C$14,'CDO Bespoke'!$C$15,'CDO Bespoke'!$C$8,,,TRUE,TRUE,FALSE,'CDO Bespoke'!$C$29:'CDO Bespoke'!$C$31,'CDO Bespoke'!$C$33),{5})),"")</f>
        <v/>
      </c>
      <c r="Y119" s="527" t="str" cm="1">
        <f t="array" aca="1" ref="Y119" ca="1">IF($V119&lt;&gt;"",-TRANSPOSE(INDEX(getcds('CDO Bespoke'!$C144,Y$13,'CDO Bespoke'!$G144/10000,'CDO Bespoke'!H144,'CDO Bespoke'!$L120,'CDO Bespoke'!$C$13,'CDO Bespoke'!$C$14,'CDO Bespoke'!$C$15,'CDO Bespoke'!$C$8,,,TRUE,TRUE,FALSE,'CDO Bespoke'!$C$29:'CDO Bespoke'!$C$31,'CDO Bespoke'!$C$33),{5})),"")</f>
        <v/>
      </c>
      <c r="Z119" s="527" t="str" cm="1">
        <f t="array" aca="1" ref="Z119" ca="1">IF($V119&lt;&gt;"",-TRANSPOSE(INDEX(getcds('CDO Bespoke'!$C144,Z$13,'CDO Bespoke'!$G144/10000,'CDO Bespoke'!I144,'CDO Bespoke'!$L120,'CDO Bespoke'!$C$13,'CDO Bespoke'!$C$14,'CDO Bespoke'!$C$15,'CDO Bespoke'!$C$8,,,TRUE,TRUE,FALSE,'CDO Bespoke'!$C$29:'CDO Bespoke'!$C$31,'CDO Bespoke'!$C$33),{5})),"")</f>
        <v/>
      </c>
      <c r="AA119" s="502" t="str" cm="1">
        <f t="array" aca="1" ref="AA119" ca="1">IF($V119&lt;&gt;"",-TRANSPOSE(INDEX(getcds('CDO Bespoke'!$C144,AA$13,'CDO Bespoke'!$G144/10000,'CDO Bespoke'!J144,'CDO Bespoke'!$L120,'CDO Bespoke'!$C$13,'CDO Bespoke'!$C$14,'CDO Bespoke'!$C$15,'CDO Bespoke'!$C$8,,,TRUE,TRUE,FALSE,'CDO Bespoke'!$C$29:'CDO Bespoke'!$C$31,'CDO Bespoke'!$C$33),{5})),"")</f>
        <v/>
      </c>
      <c r="AB119" s="481"/>
      <c r="AC119" s="517"/>
      <c r="AD119" s="518"/>
      <c r="AE119" s="518"/>
      <c r="AF119" s="518"/>
      <c r="AG119" s="518"/>
      <c r="AH119" s="518"/>
      <c r="AI119" s="518"/>
      <c r="AJ119" s="518"/>
      <c r="AK119" s="518"/>
      <c r="AL119" s="519"/>
      <c r="AM119" s="540"/>
    </row>
    <row r="120" spans="2:39" ht="12" thickBot="1">
      <c r="B120" s="558" t="s">
        <v>527</v>
      </c>
      <c r="C120" s="559" t="s">
        <v>66</v>
      </c>
      <c r="D120" s="559" t="s">
        <v>59</v>
      </c>
      <c r="E120" s="559" t="s">
        <v>663</v>
      </c>
      <c r="F120" s="559" t="s">
        <v>664</v>
      </c>
      <c r="G120" s="560">
        <v>0.01</v>
      </c>
      <c r="H120" s="560">
        <v>1.1227000000000001E-2</v>
      </c>
      <c r="I120" s="561">
        <v>0.4</v>
      </c>
      <c r="J120" s="562">
        <v>32</v>
      </c>
      <c r="K120" s="275"/>
      <c r="L120" s="275"/>
      <c r="M120" s="489" t="str">
        <f ca="1">IF('CDO Bespoke'!O121&lt;&gt;"",'CDO Bespoke'!O121,"")</f>
        <v/>
      </c>
      <c r="N120" s="490" t="str">
        <f ca="1">IF(M120&lt;&gt;"",ABS(MIN(-0.75*('CDO Bespoke'!Q121)+'CDO Bespoke'!T121,0)),"")</f>
        <v/>
      </c>
      <c r="O120" s="490" t="str">
        <f t="shared" ca="1" si="4"/>
        <v/>
      </c>
      <c r="P120" s="490" t="str">
        <f t="shared" ca="1" si="5"/>
        <v/>
      </c>
      <c r="Q120" s="489" t="str">
        <f ca="1">IF('CDO Bespoke'!O121&lt;&gt;"",'CDO Bespoke'!O121,"")</f>
        <v/>
      </c>
      <c r="R120" s="490" t="str">
        <f ca="1">IF(Q120&lt;&gt;"",ABS(MIN(-0.75*('CDO Bespoke'!K121)+'CDO Bespoke'!T121,0)),"")</f>
        <v/>
      </c>
      <c r="S120" s="490" t="str">
        <f t="shared" ca="1" si="6"/>
        <v/>
      </c>
      <c r="T120" s="494" t="str">
        <f t="shared" ca="1" si="7"/>
        <v/>
      </c>
      <c r="U120" s="275"/>
      <c r="V120" s="499" t="str">
        <f ca="1">IF('CDO Bespoke'!C145&lt;&gt;"",'CDO Bespoke'!C145,"")</f>
        <v/>
      </c>
      <c r="W120" s="501" t="str" cm="1">
        <f t="array" aca="1" ref="W120" ca="1">IF($V120&lt;&gt;"",-TRANSPOSE(INDEX(getcds('CDO Bespoke'!$C145,W$13,'CDO Bespoke'!$G145/10000,'CDO Bespoke'!F145,'CDO Bespoke'!$L121,'CDO Bespoke'!$C$13,'CDO Bespoke'!$C$14,'CDO Bespoke'!$C$15,'CDO Bespoke'!$C$8,,,TRUE,TRUE,FALSE,'CDO Bespoke'!$C$29:'CDO Bespoke'!$C$31,'CDO Bespoke'!$C$33),{5})),"")</f>
        <v/>
      </c>
      <c r="X120" s="527" t="str" cm="1">
        <f t="array" aca="1" ref="X120" ca="1">IF($V120&lt;&gt;"",-TRANSPOSE(INDEX(getcds('CDO Bespoke'!$C145,X$13,'CDO Bespoke'!$G145/10000,'CDO Bespoke'!G145,'CDO Bespoke'!$L121,'CDO Bespoke'!$C$13,'CDO Bespoke'!$C$14,'CDO Bespoke'!$C$15,'CDO Bespoke'!$C$8,,,TRUE,TRUE,FALSE,'CDO Bespoke'!$C$29:'CDO Bespoke'!$C$31,'CDO Bespoke'!$C$33),{5})),"")</f>
        <v/>
      </c>
      <c r="Y120" s="527" t="str" cm="1">
        <f t="array" aca="1" ref="Y120" ca="1">IF($V120&lt;&gt;"",-TRANSPOSE(INDEX(getcds('CDO Bespoke'!$C145,Y$13,'CDO Bespoke'!$G145/10000,'CDO Bespoke'!H145,'CDO Bespoke'!$L121,'CDO Bespoke'!$C$13,'CDO Bespoke'!$C$14,'CDO Bespoke'!$C$15,'CDO Bespoke'!$C$8,,,TRUE,TRUE,FALSE,'CDO Bespoke'!$C$29:'CDO Bespoke'!$C$31,'CDO Bespoke'!$C$33),{5})),"")</f>
        <v/>
      </c>
      <c r="Z120" s="527" t="str" cm="1">
        <f t="array" aca="1" ref="Z120" ca="1">IF($V120&lt;&gt;"",-TRANSPOSE(INDEX(getcds('CDO Bespoke'!$C145,Z$13,'CDO Bespoke'!$G145/10000,'CDO Bespoke'!I145,'CDO Bespoke'!$L121,'CDO Bespoke'!$C$13,'CDO Bespoke'!$C$14,'CDO Bespoke'!$C$15,'CDO Bespoke'!$C$8,,,TRUE,TRUE,FALSE,'CDO Bespoke'!$C$29:'CDO Bespoke'!$C$31,'CDO Bespoke'!$C$33),{5})),"")</f>
        <v/>
      </c>
      <c r="AA120" s="502" t="str" cm="1">
        <f t="array" aca="1" ref="AA120" ca="1">IF($V120&lt;&gt;"",-TRANSPOSE(INDEX(getcds('CDO Bespoke'!$C145,AA$13,'CDO Bespoke'!$G145/10000,'CDO Bespoke'!J145,'CDO Bespoke'!$L121,'CDO Bespoke'!$C$13,'CDO Bespoke'!$C$14,'CDO Bespoke'!$C$15,'CDO Bespoke'!$C$8,,,TRUE,TRUE,FALSE,'CDO Bespoke'!$C$29:'CDO Bespoke'!$C$31,'CDO Bespoke'!$C$33),{5})),"")</f>
        <v/>
      </c>
      <c r="AB120" s="481"/>
      <c r="AC120" s="517"/>
      <c r="AD120" s="518"/>
      <c r="AE120" s="518"/>
      <c r="AF120" s="518"/>
      <c r="AG120" s="518"/>
      <c r="AH120" s="518"/>
      <c r="AI120" s="518"/>
      <c r="AJ120" s="518"/>
      <c r="AK120" s="518"/>
      <c r="AL120" s="519"/>
      <c r="AM120" s="540"/>
    </row>
    <row r="121" spans="2:39" ht="12" thickBot="1">
      <c r="B121" s="563" t="s">
        <v>528</v>
      </c>
      <c r="C121" s="564" t="s">
        <v>66</v>
      </c>
      <c r="D121" s="564" t="s">
        <v>55</v>
      </c>
      <c r="E121" s="564" t="s">
        <v>663</v>
      </c>
      <c r="F121" s="564" t="s">
        <v>669</v>
      </c>
      <c r="G121" s="565">
        <v>0.01</v>
      </c>
      <c r="H121" s="565">
        <v>6.7450000000000001E-3</v>
      </c>
      <c r="I121" s="566">
        <v>0.4</v>
      </c>
      <c r="J121" s="567">
        <v>33</v>
      </c>
      <c r="K121" s="275"/>
      <c r="L121" s="275"/>
      <c r="M121" s="489" t="str">
        <f ca="1">IF('CDO Bespoke'!O122&lt;&gt;"",'CDO Bespoke'!O122,"")</f>
        <v/>
      </c>
      <c r="N121" s="490" t="str">
        <f ca="1">IF(M121&lt;&gt;"",ABS(MIN(-0.75*('CDO Bespoke'!Q122)+'CDO Bespoke'!T122,0)),"")</f>
        <v/>
      </c>
      <c r="O121" s="490" t="str">
        <f t="shared" ca="1" si="4"/>
        <v/>
      </c>
      <c r="P121" s="490" t="str">
        <f t="shared" ca="1" si="5"/>
        <v/>
      </c>
      <c r="Q121" s="489" t="str">
        <f ca="1">IF('CDO Bespoke'!O122&lt;&gt;"",'CDO Bespoke'!O122,"")</f>
        <v/>
      </c>
      <c r="R121" s="490" t="str">
        <f ca="1">IF(Q121&lt;&gt;"",ABS(MIN(-0.75*('CDO Bespoke'!K122)+'CDO Bespoke'!T122,0)),"")</f>
        <v/>
      </c>
      <c r="S121" s="490" t="str">
        <f t="shared" ca="1" si="6"/>
        <v/>
      </c>
      <c r="T121" s="494" t="str">
        <f t="shared" ca="1" si="7"/>
        <v/>
      </c>
      <c r="U121" s="275"/>
      <c r="V121" s="499" t="str">
        <f ca="1">IF('CDO Bespoke'!C146&lt;&gt;"",'CDO Bespoke'!C146,"")</f>
        <v/>
      </c>
      <c r="W121" s="501" t="str" cm="1">
        <f t="array" aca="1" ref="W121" ca="1">IF($V121&lt;&gt;"",-TRANSPOSE(INDEX(getcds('CDO Bespoke'!$C146,W$13,'CDO Bespoke'!$G146/10000,'CDO Bespoke'!F146,'CDO Bespoke'!$L122,'CDO Bespoke'!$C$13,'CDO Bespoke'!$C$14,'CDO Bespoke'!$C$15,'CDO Bespoke'!$C$8,,,TRUE,TRUE,FALSE,'CDO Bespoke'!$C$29:'CDO Bespoke'!$C$31,'CDO Bespoke'!$C$33),{5})),"")</f>
        <v/>
      </c>
      <c r="X121" s="527" t="str" cm="1">
        <f t="array" aca="1" ref="X121" ca="1">IF($V121&lt;&gt;"",-TRANSPOSE(INDEX(getcds('CDO Bespoke'!$C146,X$13,'CDO Bespoke'!$G146/10000,'CDO Bespoke'!G146,'CDO Bespoke'!$L122,'CDO Bespoke'!$C$13,'CDO Bespoke'!$C$14,'CDO Bespoke'!$C$15,'CDO Bespoke'!$C$8,,,TRUE,TRUE,FALSE,'CDO Bespoke'!$C$29:'CDO Bespoke'!$C$31,'CDO Bespoke'!$C$33),{5})),"")</f>
        <v/>
      </c>
      <c r="Y121" s="527" t="str" cm="1">
        <f t="array" aca="1" ref="Y121" ca="1">IF($V121&lt;&gt;"",-TRANSPOSE(INDEX(getcds('CDO Bespoke'!$C146,Y$13,'CDO Bespoke'!$G146/10000,'CDO Bespoke'!H146,'CDO Bespoke'!$L122,'CDO Bespoke'!$C$13,'CDO Bespoke'!$C$14,'CDO Bespoke'!$C$15,'CDO Bespoke'!$C$8,,,TRUE,TRUE,FALSE,'CDO Bespoke'!$C$29:'CDO Bespoke'!$C$31,'CDO Bespoke'!$C$33),{5})),"")</f>
        <v/>
      </c>
      <c r="Z121" s="527" t="str" cm="1">
        <f t="array" aca="1" ref="Z121" ca="1">IF($V121&lt;&gt;"",-TRANSPOSE(INDEX(getcds('CDO Bespoke'!$C146,Z$13,'CDO Bespoke'!$G146/10000,'CDO Bespoke'!I146,'CDO Bespoke'!$L122,'CDO Bespoke'!$C$13,'CDO Bespoke'!$C$14,'CDO Bespoke'!$C$15,'CDO Bespoke'!$C$8,,,TRUE,TRUE,FALSE,'CDO Bespoke'!$C$29:'CDO Bespoke'!$C$31,'CDO Bespoke'!$C$33),{5})),"")</f>
        <v/>
      </c>
      <c r="AA121" s="502" t="str" cm="1">
        <f t="array" aca="1" ref="AA121" ca="1">IF($V121&lt;&gt;"",-TRANSPOSE(INDEX(getcds('CDO Bespoke'!$C146,AA$13,'CDO Bespoke'!$G146/10000,'CDO Bespoke'!J146,'CDO Bespoke'!$L122,'CDO Bespoke'!$C$13,'CDO Bespoke'!$C$14,'CDO Bespoke'!$C$15,'CDO Bespoke'!$C$8,,,TRUE,TRUE,FALSE,'CDO Bespoke'!$C$29:'CDO Bespoke'!$C$31,'CDO Bespoke'!$C$33),{5})),"")</f>
        <v/>
      </c>
      <c r="AB121" s="481"/>
      <c r="AC121" s="517"/>
      <c r="AD121" s="518"/>
      <c r="AE121" s="518"/>
      <c r="AF121" s="518"/>
      <c r="AG121" s="518"/>
      <c r="AH121" s="518"/>
      <c r="AI121" s="518"/>
      <c r="AJ121" s="518"/>
      <c r="AK121" s="518"/>
      <c r="AL121" s="519"/>
      <c r="AM121" s="540"/>
    </row>
    <row r="122" spans="2:39" ht="12" thickBot="1">
      <c r="B122" s="541" t="s">
        <v>528</v>
      </c>
      <c r="C122" s="542" t="s">
        <v>66</v>
      </c>
      <c r="D122" s="542" t="s">
        <v>57</v>
      </c>
      <c r="E122" s="542" t="s">
        <v>663</v>
      </c>
      <c r="F122" s="542" t="s">
        <v>669</v>
      </c>
      <c r="G122" s="549">
        <v>0.01</v>
      </c>
      <c r="H122" s="549">
        <v>1.1979999999999999E-2</v>
      </c>
      <c r="I122" s="551">
        <v>0.4</v>
      </c>
      <c r="J122" s="543">
        <v>33</v>
      </c>
      <c r="K122" s="275"/>
      <c r="L122" s="275"/>
      <c r="M122" s="489" t="str">
        <f ca="1">IF('CDO Bespoke'!O123&lt;&gt;"",'CDO Bespoke'!O123,"")</f>
        <v/>
      </c>
      <c r="N122" s="490" t="str">
        <f ca="1">IF(M122&lt;&gt;"",ABS(MIN(-0.75*('CDO Bespoke'!Q123)+'CDO Bespoke'!T123,0)),"")</f>
        <v/>
      </c>
      <c r="O122" s="490" t="str">
        <f t="shared" ca="1" si="4"/>
        <v/>
      </c>
      <c r="P122" s="490" t="str">
        <f t="shared" ca="1" si="5"/>
        <v/>
      </c>
      <c r="Q122" s="489" t="str">
        <f ca="1">IF('CDO Bespoke'!O123&lt;&gt;"",'CDO Bespoke'!O123,"")</f>
        <v/>
      </c>
      <c r="R122" s="490" t="str">
        <f ca="1">IF(Q122&lt;&gt;"",ABS(MIN(-0.75*('CDO Bespoke'!K123)+'CDO Bespoke'!T123,0)),"")</f>
        <v/>
      </c>
      <c r="S122" s="490" t="str">
        <f t="shared" ca="1" si="6"/>
        <v/>
      </c>
      <c r="T122" s="494" t="str">
        <f t="shared" ca="1" si="7"/>
        <v/>
      </c>
      <c r="U122" s="275"/>
      <c r="V122" s="499" t="str">
        <f ca="1">IF('CDO Bespoke'!C147&lt;&gt;"",'CDO Bespoke'!C147,"")</f>
        <v/>
      </c>
      <c r="W122" s="501" t="str" cm="1">
        <f t="array" aca="1" ref="W122" ca="1">IF($V122&lt;&gt;"",-TRANSPOSE(INDEX(getcds('CDO Bespoke'!$C147,W$13,'CDO Bespoke'!$G147/10000,'CDO Bespoke'!F147,'CDO Bespoke'!$L123,'CDO Bespoke'!$C$13,'CDO Bespoke'!$C$14,'CDO Bespoke'!$C$15,'CDO Bespoke'!$C$8,,,TRUE,TRUE,FALSE,'CDO Bespoke'!$C$29:'CDO Bespoke'!$C$31,'CDO Bespoke'!$C$33),{5})),"")</f>
        <v/>
      </c>
      <c r="X122" s="527" t="str" cm="1">
        <f t="array" aca="1" ref="X122" ca="1">IF($V122&lt;&gt;"",-TRANSPOSE(INDEX(getcds('CDO Bespoke'!$C147,X$13,'CDO Bespoke'!$G147/10000,'CDO Bespoke'!G147,'CDO Bespoke'!$L123,'CDO Bespoke'!$C$13,'CDO Bespoke'!$C$14,'CDO Bespoke'!$C$15,'CDO Bespoke'!$C$8,,,TRUE,TRUE,FALSE,'CDO Bespoke'!$C$29:'CDO Bespoke'!$C$31,'CDO Bespoke'!$C$33),{5})),"")</f>
        <v/>
      </c>
      <c r="Y122" s="527" t="str" cm="1">
        <f t="array" aca="1" ref="Y122" ca="1">IF($V122&lt;&gt;"",-TRANSPOSE(INDEX(getcds('CDO Bespoke'!$C147,Y$13,'CDO Bespoke'!$G147/10000,'CDO Bespoke'!H147,'CDO Bespoke'!$L123,'CDO Bespoke'!$C$13,'CDO Bespoke'!$C$14,'CDO Bespoke'!$C$15,'CDO Bespoke'!$C$8,,,TRUE,TRUE,FALSE,'CDO Bespoke'!$C$29:'CDO Bespoke'!$C$31,'CDO Bespoke'!$C$33),{5})),"")</f>
        <v/>
      </c>
      <c r="Z122" s="527" t="str" cm="1">
        <f t="array" aca="1" ref="Z122" ca="1">IF($V122&lt;&gt;"",-TRANSPOSE(INDEX(getcds('CDO Bespoke'!$C147,Z$13,'CDO Bespoke'!$G147/10000,'CDO Bespoke'!I147,'CDO Bespoke'!$L123,'CDO Bespoke'!$C$13,'CDO Bespoke'!$C$14,'CDO Bespoke'!$C$15,'CDO Bespoke'!$C$8,,,TRUE,TRUE,FALSE,'CDO Bespoke'!$C$29:'CDO Bespoke'!$C$31,'CDO Bespoke'!$C$33),{5})),"")</f>
        <v/>
      </c>
      <c r="AA122" s="502" t="str" cm="1">
        <f t="array" aca="1" ref="AA122" ca="1">IF($V122&lt;&gt;"",-TRANSPOSE(INDEX(getcds('CDO Bespoke'!$C147,AA$13,'CDO Bespoke'!$G147/10000,'CDO Bespoke'!J147,'CDO Bespoke'!$L123,'CDO Bespoke'!$C$13,'CDO Bespoke'!$C$14,'CDO Bespoke'!$C$15,'CDO Bespoke'!$C$8,,,TRUE,TRUE,FALSE,'CDO Bespoke'!$C$29:'CDO Bespoke'!$C$31,'CDO Bespoke'!$C$33),{5})),"")</f>
        <v/>
      </c>
      <c r="AB122" s="481"/>
      <c r="AC122" s="517"/>
      <c r="AD122" s="518"/>
      <c r="AE122" s="518"/>
      <c r="AF122" s="518"/>
      <c r="AG122" s="518"/>
      <c r="AH122" s="518"/>
      <c r="AI122" s="518"/>
      <c r="AJ122" s="518"/>
      <c r="AK122" s="518"/>
      <c r="AL122" s="519"/>
      <c r="AM122" s="540"/>
    </row>
    <row r="123" spans="2:39" ht="12" thickBot="1">
      <c r="B123" s="558" t="s">
        <v>528</v>
      </c>
      <c r="C123" s="559" t="s">
        <v>66</v>
      </c>
      <c r="D123" s="559" t="s">
        <v>59</v>
      </c>
      <c r="E123" s="559" t="s">
        <v>663</v>
      </c>
      <c r="F123" s="559" t="s">
        <v>669</v>
      </c>
      <c r="G123" s="560">
        <v>0.01</v>
      </c>
      <c r="H123" s="560">
        <v>1.6924999999999999E-2</v>
      </c>
      <c r="I123" s="561">
        <v>0.4</v>
      </c>
      <c r="J123" s="562">
        <v>33</v>
      </c>
      <c r="K123" s="275"/>
      <c r="L123" s="275"/>
      <c r="M123" s="489" t="str">
        <f ca="1">IF('CDO Bespoke'!O124&lt;&gt;"",'CDO Bespoke'!O124,"")</f>
        <v/>
      </c>
      <c r="N123" s="490" t="str">
        <f ca="1">IF(M123&lt;&gt;"",ABS(MIN(-0.75*('CDO Bespoke'!Q124)+'CDO Bespoke'!T124,0)),"")</f>
        <v/>
      </c>
      <c r="O123" s="490" t="str">
        <f t="shared" ca="1" si="4"/>
        <v/>
      </c>
      <c r="P123" s="490" t="str">
        <f t="shared" ca="1" si="5"/>
        <v/>
      </c>
      <c r="Q123" s="489" t="str">
        <f ca="1">IF('CDO Bespoke'!O124&lt;&gt;"",'CDO Bespoke'!O124,"")</f>
        <v/>
      </c>
      <c r="R123" s="490" t="str">
        <f ca="1">IF(Q123&lt;&gt;"",ABS(MIN(-0.75*('CDO Bespoke'!K124)+'CDO Bespoke'!T124,0)),"")</f>
        <v/>
      </c>
      <c r="S123" s="490" t="str">
        <f t="shared" ca="1" si="6"/>
        <v/>
      </c>
      <c r="T123" s="494" t="str">
        <f t="shared" ca="1" si="7"/>
        <v/>
      </c>
      <c r="U123" s="275"/>
      <c r="V123" s="499" t="str">
        <f ca="1">IF('CDO Bespoke'!C148&lt;&gt;"",'CDO Bespoke'!C148,"")</f>
        <v/>
      </c>
      <c r="W123" s="501" t="str" cm="1">
        <f t="array" aca="1" ref="W123" ca="1">IF($V123&lt;&gt;"",-TRANSPOSE(INDEX(getcds('CDO Bespoke'!$C148,W$13,'CDO Bespoke'!$G148/10000,'CDO Bespoke'!F148,'CDO Bespoke'!$L124,'CDO Bespoke'!$C$13,'CDO Bespoke'!$C$14,'CDO Bespoke'!$C$15,'CDO Bespoke'!$C$8,,,TRUE,TRUE,FALSE,'CDO Bespoke'!$C$29:'CDO Bespoke'!$C$31,'CDO Bespoke'!$C$33),{5})),"")</f>
        <v/>
      </c>
      <c r="X123" s="527" t="str" cm="1">
        <f t="array" aca="1" ref="X123" ca="1">IF($V123&lt;&gt;"",-TRANSPOSE(INDEX(getcds('CDO Bespoke'!$C148,X$13,'CDO Bespoke'!$G148/10000,'CDO Bespoke'!G148,'CDO Bespoke'!$L124,'CDO Bespoke'!$C$13,'CDO Bespoke'!$C$14,'CDO Bespoke'!$C$15,'CDO Bespoke'!$C$8,,,TRUE,TRUE,FALSE,'CDO Bespoke'!$C$29:'CDO Bespoke'!$C$31,'CDO Bespoke'!$C$33),{5})),"")</f>
        <v/>
      </c>
      <c r="Y123" s="527" t="str" cm="1">
        <f t="array" aca="1" ref="Y123" ca="1">IF($V123&lt;&gt;"",-TRANSPOSE(INDEX(getcds('CDO Bespoke'!$C148,Y$13,'CDO Bespoke'!$G148/10000,'CDO Bespoke'!H148,'CDO Bespoke'!$L124,'CDO Bespoke'!$C$13,'CDO Bespoke'!$C$14,'CDO Bespoke'!$C$15,'CDO Bespoke'!$C$8,,,TRUE,TRUE,FALSE,'CDO Bespoke'!$C$29:'CDO Bespoke'!$C$31,'CDO Bespoke'!$C$33),{5})),"")</f>
        <v/>
      </c>
      <c r="Z123" s="527" t="str" cm="1">
        <f t="array" aca="1" ref="Z123" ca="1">IF($V123&lt;&gt;"",-TRANSPOSE(INDEX(getcds('CDO Bespoke'!$C148,Z$13,'CDO Bespoke'!$G148/10000,'CDO Bespoke'!I148,'CDO Bespoke'!$L124,'CDO Bespoke'!$C$13,'CDO Bespoke'!$C$14,'CDO Bespoke'!$C$15,'CDO Bespoke'!$C$8,,,TRUE,TRUE,FALSE,'CDO Bespoke'!$C$29:'CDO Bespoke'!$C$31,'CDO Bespoke'!$C$33),{5})),"")</f>
        <v/>
      </c>
      <c r="AA123" s="502" t="str" cm="1">
        <f t="array" aca="1" ref="AA123" ca="1">IF($V123&lt;&gt;"",-TRANSPOSE(INDEX(getcds('CDO Bespoke'!$C148,AA$13,'CDO Bespoke'!$G148/10000,'CDO Bespoke'!J148,'CDO Bespoke'!$L124,'CDO Bespoke'!$C$13,'CDO Bespoke'!$C$14,'CDO Bespoke'!$C$15,'CDO Bespoke'!$C$8,,,TRUE,TRUE,FALSE,'CDO Bespoke'!$C$29:'CDO Bespoke'!$C$31,'CDO Bespoke'!$C$33),{5})),"")</f>
        <v/>
      </c>
      <c r="AB123" s="481"/>
      <c r="AC123" s="517"/>
      <c r="AD123" s="518"/>
      <c r="AE123" s="518"/>
      <c r="AF123" s="518"/>
      <c r="AG123" s="518"/>
      <c r="AH123" s="518"/>
      <c r="AI123" s="518"/>
      <c r="AJ123" s="518"/>
      <c r="AK123" s="518"/>
      <c r="AL123" s="519"/>
      <c r="AM123" s="540"/>
    </row>
    <row r="124" spans="2:39" ht="12" thickBot="1">
      <c r="B124" s="563" t="s">
        <v>529</v>
      </c>
      <c r="C124" s="564" t="s">
        <v>66</v>
      </c>
      <c r="D124" s="564" t="s">
        <v>55</v>
      </c>
      <c r="E124" s="564" t="s">
        <v>661</v>
      </c>
      <c r="F124" s="564" t="s">
        <v>662</v>
      </c>
      <c r="G124" s="565">
        <v>0.01</v>
      </c>
      <c r="H124" s="565">
        <v>1.9369999999999999E-3</v>
      </c>
      <c r="I124" s="566">
        <v>0.4</v>
      </c>
      <c r="J124" s="567">
        <v>34</v>
      </c>
      <c r="K124" s="275"/>
      <c r="L124" s="275"/>
      <c r="M124" s="489" t="str">
        <f ca="1">IF('CDO Bespoke'!O125&lt;&gt;"",'CDO Bespoke'!O125,"")</f>
        <v/>
      </c>
      <c r="N124" s="490" t="str">
        <f ca="1">IF(M124&lt;&gt;"",ABS(MIN(-0.75*('CDO Bespoke'!Q125)+'CDO Bespoke'!T125,0)),"")</f>
        <v/>
      </c>
      <c r="O124" s="490" t="str">
        <f t="shared" ca="1" si="4"/>
        <v/>
      </c>
      <c r="P124" s="490" t="str">
        <f t="shared" ca="1" si="5"/>
        <v/>
      </c>
      <c r="Q124" s="489" t="str">
        <f ca="1">IF('CDO Bespoke'!O125&lt;&gt;"",'CDO Bespoke'!O125,"")</f>
        <v/>
      </c>
      <c r="R124" s="490" t="str">
        <f ca="1">IF(Q124&lt;&gt;"",ABS(MIN(-0.75*('CDO Bespoke'!K125)+'CDO Bespoke'!T125,0)),"")</f>
        <v/>
      </c>
      <c r="S124" s="490" t="str">
        <f t="shared" ca="1" si="6"/>
        <v/>
      </c>
      <c r="T124" s="494" t="str">
        <f t="shared" ca="1" si="7"/>
        <v/>
      </c>
      <c r="U124" s="275"/>
      <c r="V124" s="499" t="str">
        <f ca="1">IF('CDO Bespoke'!C149&lt;&gt;"",'CDO Bespoke'!C149,"")</f>
        <v/>
      </c>
      <c r="W124" s="501" t="str" cm="1">
        <f t="array" aca="1" ref="W124" ca="1">IF($V124&lt;&gt;"",-TRANSPOSE(INDEX(getcds('CDO Bespoke'!$C149,W$13,'CDO Bespoke'!$G149/10000,'CDO Bespoke'!F149,'CDO Bespoke'!$L125,'CDO Bespoke'!$C$13,'CDO Bespoke'!$C$14,'CDO Bespoke'!$C$15,'CDO Bespoke'!$C$8,,,TRUE,TRUE,FALSE,'CDO Bespoke'!$C$29:'CDO Bespoke'!$C$31,'CDO Bespoke'!$C$33),{5})),"")</f>
        <v/>
      </c>
      <c r="X124" s="527" t="str" cm="1">
        <f t="array" aca="1" ref="X124" ca="1">IF($V124&lt;&gt;"",-TRANSPOSE(INDEX(getcds('CDO Bespoke'!$C149,X$13,'CDO Bespoke'!$G149/10000,'CDO Bespoke'!G149,'CDO Bespoke'!$L125,'CDO Bespoke'!$C$13,'CDO Bespoke'!$C$14,'CDO Bespoke'!$C$15,'CDO Bespoke'!$C$8,,,TRUE,TRUE,FALSE,'CDO Bespoke'!$C$29:'CDO Bespoke'!$C$31,'CDO Bespoke'!$C$33),{5})),"")</f>
        <v/>
      </c>
      <c r="Y124" s="527" t="str" cm="1">
        <f t="array" aca="1" ref="Y124" ca="1">IF($V124&lt;&gt;"",-TRANSPOSE(INDEX(getcds('CDO Bespoke'!$C149,Y$13,'CDO Bespoke'!$G149/10000,'CDO Bespoke'!H149,'CDO Bespoke'!$L125,'CDO Bespoke'!$C$13,'CDO Bespoke'!$C$14,'CDO Bespoke'!$C$15,'CDO Bespoke'!$C$8,,,TRUE,TRUE,FALSE,'CDO Bespoke'!$C$29:'CDO Bespoke'!$C$31,'CDO Bespoke'!$C$33),{5})),"")</f>
        <v/>
      </c>
      <c r="Z124" s="527" t="str" cm="1">
        <f t="array" aca="1" ref="Z124" ca="1">IF($V124&lt;&gt;"",-TRANSPOSE(INDEX(getcds('CDO Bespoke'!$C149,Z$13,'CDO Bespoke'!$G149/10000,'CDO Bespoke'!I149,'CDO Bespoke'!$L125,'CDO Bespoke'!$C$13,'CDO Bespoke'!$C$14,'CDO Bespoke'!$C$15,'CDO Bespoke'!$C$8,,,TRUE,TRUE,FALSE,'CDO Bespoke'!$C$29:'CDO Bespoke'!$C$31,'CDO Bespoke'!$C$33),{5})),"")</f>
        <v/>
      </c>
      <c r="AA124" s="502" t="str" cm="1">
        <f t="array" aca="1" ref="AA124" ca="1">IF($V124&lt;&gt;"",-TRANSPOSE(INDEX(getcds('CDO Bespoke'!$C149,AA$13,'CDO Bespoke'!$G149/10000,'CDO Bespoke'!J149,'CDO Bespoke'!$L125,'CDO Bespoke'!$C$13,'CDO Bespoke'!$C$14,'CDO Bespoke'!$C$15,'CDO Bespoke'!$C$8,,,TRUE,TRUE,FALSE,'CDO Bespoke'!$C$29:'CDO Bespoke'!$C$31,'CDO Bespoke'!$C$33),{5})),"")</f>
        <v/>
      </c>
      <c r="AB124" s="481"/>
      <c r="AC124" s="517"/>
      <c r="AD124" s="518"/>
      <c r="AE124" s="518"/>
      <c r="AF124" s="518"/>
      <c r="AG124" s="518"/>
      <c r="AH124" s="518"/>
      <c r="AI124" s="518"/>
      <c r="AJ124" s="518"/>
      <c r="AK124" s="518"/>
      <c r="AL124" s="519"/>
      <c r="AM124" s="540"/>
    </row>
    <row r="125" spans="2:39" ht="12" thickBot="1">
      <c r="B125" s="541" t="s">
        <v>529</v>
      </c>
      <c r="C125" s="542" t="s">
        <v>66</v>
      </c>
      <c r="D125" s="542" t="s">
        <v>57</v>
      </c>
      <c r="E125" s="542" t="s">
        <v>661</v>
      </c>
      <c r="F125" s="542" t="s">
        <v>662</v>
      </c>
      <c r="G125" s="549">
        <v>0.01</v>
      </c>
      <c r="H125" s="549">
        <v>3.101E-3</v>
      </c>
      <c r="I125" s="551">
        <v>0.4</v>
      </c>
      <c r="J125" s="543">
        <v>34</v>
      </c>
      <c r="K125" s="275"/>
      <c r="L125" s="275"/>
      <c r="M125" s="489" t="str">
        <f ca="1">IF('CDO Bespoke'!O126&lt;&gt;"",'CDO Bespoke'!O126,"")</f>
        <v/>
      </c>
      <c r="N125" s="490" t="str">
        <f ca="1">IF(M125&lt;&gt;"",ABS(MIN(-0.75*('CDO Bespoke'!Q126)+'CDO Bespoke'!T126,0)),"")</f>
        <v/>
      </c>
      <c r="O125" s="490" t="str">
        <f t="shared" ca="1" si="4"/>
        <v/>
      </c>
      <c r="P125" s="490" t="str">
        <f t="shared" ca="1" si="5"/>
        <v/>
      </c>
      <c r="Q125" s="489" t="str">
        <f ca="1">IF('CDO Bespoke'!O126&lt;&gt;"",'CDO Bespoke'!O126,"")</f>
        <v/>
      </c>
      <c r="R125" s="490" t="str">
        <f ca="1">IF(Q125&lt;&gt;"",ABS(MIN(-0.75*('CDO Bespoke'!K126)+'CDO Bespoke'!T126,0)),"")</f>
        <v/>
      </c>
      <c r="S125" s="490" t="str">
        <f t="shared" ca="1" si="6"/>
        <v/>
      </c>
      <c r="T125" s="494" t="str">
        <f t="shared" ca="1" si="7"/>
        <v/>
      </c>
      <c r="U125" s="275"/>
      <c r="V125" s="499" t="str">
        <f ca="1">IF('CDO Bespoke'!C150&lt;&gt;"",'CDO Bespoke'!C150,"")</f>
        <v/>
      </c>
      <c r="W125" s="501" t="str" cm="1">
        <f t="array" aca="1" ref="W125" ca="1">IF($V125&lt;&gt;"",-TRANSPOSE(INDEX(getcds('CDO Bespoke'!$C150,W$13,'CDO Bespoke'!$G150/10000,'CDO Bespoke'!F150,'CDO Bespoke'!$L126,'CDO Bespoke'!$C$13,'CDO Bespoke'!$C$14,'CDO Bespoke'!$C$15,'CDO Bespoke'!$C$8,,,TRUE,TRUE,FALSE,'CDO Bespoke'!$C$29:'CDO Bespoke'!$C$31,'CDO Bespoke'!$C$33),{5})),"")</f>
        <v/>
      </c>
      <c r="X125" s="527" t="str" cm="1">
        <f t="array" aca="1" ref="X125" ca="1">IF($V125&lt;&gt;"",-TRANSPOSE(INDEX(getcds('CDO Bespoke'!$C150,X$13,'CDO Bespoke'!$G150/10000,'CDO Bespoke'!G150,'CDO Bespoke'!$L126,'CDO Bespoke'!$C$13,'CDO Bespoke'!$C$14,'CDO Bespoke'!$C$15,'CDO Bespoke'!$C$8,,,TRUE,TRUE,FALSE,'CDO Bespoke'!$C$29:'CDO Bespoke'!$C$31,'CDO Bespoke'!$C$33),{5})),"")</f>
        <v/>
      </c>
      <c r="Y125" s="527" t="str" cm="1">
        <f t="array" aca="1" ref="Y125" ca="1">IF($V125&lt;&gt;"",-TRANSPOSE(INDEX(getcds('CDO Bespoke'!$C150,Y$13,'CDO Bespoke'!$G150/10000,'CDO Bespoke'!H150,'CDO Bespoke'!$L126,'CDO Bespoke'!$C$13,'CDO Bespoke'!$C$14,'CDO Bespoke'!$C$15,'CDO Bespoke'!$C$8,,,TRUE,TRUE,FALSE,'CDO Bespoke'!$C$29:'CDO Bespoke'!$C$31,'CDO Bespoke'!$C$33),{5})),"")</f>
        <v/>
      </c>
      <c r="Z125" s="527" t="str" cm="1">
        <f t="array" aca="1" ref="Z125" ca="1">IF($V125&lt;&gt;"",-TRANSPOSE(INDEX(getcds('CDO Bespoke'!$C150,Z$13,'CDO Bespoke'!$G150/10000,'CDO Bespoke'!I150,'CDO Bespoke'!$L126,'CDO Bespoke'!$C$13,'CDO Bespoke'!$C$14,'CDO Bespoke'!$C$15,'CDO Bespoke'!$C$8,,,TRUE,TRUE,FALSE,'CDO Bespoke'!$C$29:'CDO Bespoke'!$C$31,'CDO Bespoke'!$C$33),{5})),"")</f>
        <v/>
      </c>
      <c r="AA125" s="502" t="str" cm="1">
        <f t="array" aca="1" ref="AA125" ca="1">IF($V125&lt;&gt;"",-TRANSPOSE(INDEX(getcds('CDO Bespoke'!$C150,AA$13,'CDO Bespoke'!$G150/10000,'CDO Bespoke'!J150,'CDO Bespoke'!$L126,'CDO Bespoke'!$C$13,'CDO Bespoke'!$C$14,'CDO Bespoke'!$C$15,'CDO Bespoke'!$C$8,,,TRUE,TRUE,FALSE,'CDO Bespoke'!$C$29:'CDO Bespoke'!$C$31,'CDO Bespoke'!$C$33),{5})),"")</f>
        <v/>
      </c>
      <c r="AB125" s="481"/>
      <c r="AC125" s="517"/>
      <c r="AD125" s="518"/>
      <c r="AE125" s="518"/>
      <c r="AF125" s="518"/>
      <c r="AG125" s="518"/>
      <c r="AH125" s="518"/>
      <c r="AI125" s="518"/>
      <c r="AJ125" s="518"/>
      <c r="AK125" s="518"/>
      <c r="AL125" s="519"/>
      <c r="AM125" s="540"/>
    </row>
    <row r="126" spans="2:39" ht="12" thickBot="1">
      <c r="B126" s="558" t="s">
        <v>529</v>
      </c>
      <c r="C126" s="559" t="s">
        <v>66</v>
      </c>
      <c r="D126" s="559" t="s">
        <v>59</v>
      </c>
      <c r="E126" s="559" t="s">
        <v>661</v>
      </c>
      <c r="F126" s="559" t="s">
        <v>662</v>
      </c>
      <c r="G126" s="560">
        <v>0.01</v>
      </c>
      <c r="H126" s="560">
        <v>4.6010000000000001E-3</v>
      </c>
      <c r="I126" s="561">
        <v>0.4</v>
      </c>
      <c r="J126" s="562">
        <v>34</v>
      </c>
      <c r="K126" s="275"/>
      <c r="L126" s="275"/>
      <c r="M126" s="489" t="str">
        <f ca="1">IF('CDO Bespoke'!O127&lt;&gt;"",'CDO Bespoke'!O127,"")</f>
        <v/>
      </c>
      <c r="N126" s="490" t="str">
        <f ca="1">IF(M126&lt;&gt;"",ABS(MIN(-0.75*('CDO Bespoke'!Q127)+'CDO Bespoke'!T127,0)),"")</f>
        <v/>
      </c>
      <c r="O126" s="490" t="str">
        <f t="shared" ca="1" si="4"/>
        <v/>
      </c>
      <c r="P126" s="490" t="str">
        <f t="shared" ca="1" si="5"/>
        <v/>
      </c>
      <c r="Q126" s="489" t="str">
        <f ca="1">IF('CDO Bespoke'!O127&lt;&gt;"",'CDO Bespoke'!O127,"")</f>
        <v/>
      </c>
      <c r="R126" s="490" t="str">
        <f ca="1">IF(Q126&lt;&gt;"",ABS(MIN(-0.75*('CDO Bespoke'!K127)+'CDO Bespoke'!T127,0)),"")</f>
        <v/>
      </c>
      <c r="S126" s="490" t="str">
        <f t="shared" ca="1" si="6"/>
        <v/>
      </c>
      <c r="T126" s="494" t="str">
        <f t="shared" ca="1" si="7"/>
        <v/>
      </c>
      <c r="U126" s="275"/>
      <c r="V126" s="499" t="str">
        <f ca="1">IF('CDO Bespoke'!C151&lt;&gt;"",'CDO Bespoke'!C151,"")</f>
        <v/>
      </c>
      <c r="W126" s="501" t="str" cm="1">
        <f t="array" aca="1" ref="W126" ca="1">IF($V126&lt;&gt;"",-TRANSPOSE(INDEX(getcds('CDO Bespoke'!$C151,W$13,'CDO Bespoke'!$G151/10000,'CDO Bespoke'!F151,'CDO Bespoke'!$L127,'CDO Bespoke'!$C$13,'CDO Bespoke'!$C$14,'CDO Bespoke'!$C$15,'CDO Bespoke'!$C$8,,,TRUE,TRUE,FALSE,'CDO Bespoke'!$C$29:'CDO Bespoke'!$C$31,'CDO Bespoke'!$C$33),{5})),"")</f>
        <v/>
      </c>
      <c r="X126" s="527" t="str" cm="1">
        <f t="array" aca="1" ref="X126" ca="1">IF($V126&lt;&gt;"",-TRANSPOSE(INDEX(getcds('CDO Bespoke'!$C151,X$13,'CDO Bespoke'!$G151/10000,'CDO Bespoke'!G151,'CDO Bespoke'!$L127,'CDO Bespoke'!$C$13,'CDO Bespoke'!$C$14,'CDO Bespoke'!$C$15,'CDO Bespoke'!$C$8,,,TRUE,TRUE,FALSE,'CDO Bespoke'!$C$29:'CDO Bespoke'!$C$31,'CDO Bespoke'!$C$33),{5})),"")</f>
        <v/>
      </c>
      <c r="Y126" s="527" t="str" cm="1">
        <f t="array" aca="1" ref="Y126" ca="1">IF($V126&lt;&gt;"",-TRANSPOSE(INDEX(getcds('CDO Bespoke'!$C151,Y$13,'CDO Bespoke'!$G151/10000,'CDO Bespoke'!H151,'CDO Bespoke'!$L127,'CDO Bespoke'!$C$13,'CDO Bespoke'!$C$14,'CDO Bespoke'!$C$15,'CDO Bespoke'!$C$8,,,TRUE,TRUE,FALSE,'CDO Bespoke'!$C$29:'CDO Bespoke'!$C$31,'CDO Bespoke'!$C$33),{5})),"")</f>
        <v/>
      </c>
      <c r="Z126" s="527" t="str" cm="1">
        <f t="array" aca="1" ref="Z126" ca="1">IF($V126&lt;&gt;"",-TRANSPOSE(INDEX(getcds('CDO Bespoke'!$C151,Z$13,'CDO Bespoke'!$G151/10000,'CDO Bespoke'!I151,'CDO Bespoke'!$L127,'CDO Bespoke'!$C$13,'CDO Bespoke'!$C$14,'CDO Bespoke'!$C$15,'CDO Bespoke'!$C$8,,,TRUE,TRUE,FALSE,'CDO Bespoke'!$C$29:'CDO Bespoke'!$C$31,'CDO Bespoke'!$C$33),{5})),"")</f>
        <v/>
      </c>
      <c r="AA126" s="502" t="str" cm="1">
        <f t="array" aca="1" ref="AA126" ca="1">IF($V126&lt;&gt;"",-TRANSPOSE(INDEX(getcds('CDO Bespoke'!$C151,AA$13,'CDO Bespoke'!$G151/10000,'CDO Bespoke'!J151,'CDO Bespoke'!$L127,'CDO Bespoke'!$C$13,'CDO Bespoke'!$C$14,'CDO Bespoke'!$C$15,'CDO Bespoke'!$C$8,,,TRUE,TRUE,FALSE,'CDO Bespoke'!$C$29:'CDO Bespoke'!$C$31,'CDO Bespoke'!$C$33),{5})),"")</f>
        <v/>
      </c>
      <c r="AB126" s="481"/>
      <c r="AC126" s="517"/>
      <c r="AD126" s="518"/>
      <c r="AE126" s="518"/>
      <c r="AF126" s="518"/>
      <c r="AG126" s="518"/>
      <c r="AH126" s="518"/>
      <c r="AI126" s="518"/>
      <c r="AJ126" s="518"/>
      <c r="AK126" s="518"/>
      <c r="AL126" s="519"/>
      <c r="AM126" s="540"/>
    </row>
    <row r="127" spans="2:39" ht="12" thickBot="1">
      <c r="B127" s="563" t="s">
        <v>543</v>
      </c>
      <c r="C127" s="564" t="s">
        <v>66</v>
      </c>
      <c r="D127" s="564" t="s">
        <v>55</v>
      </c>
      <c r="E127" s="564" t="s">
        <v>661</v>
      </c>
      <c r="F127" s="564" t="s">
        <v>666</v>
      </c>
      <c r="G127" s="565">
        <v>0.01</v>
      </c>
      <c r="H127" s="565">
        <v>4.7990000000000003E-3</v>
      </c>
      <c r="I127" s="566">
        <v>0.4</v>
      </c>
      <c r="J127" s="567">
        <v>35</v>
      </c>
      <c r="K127" s="275"/>
      <c r="L127" s="275"/>
      <c r="M127" s="489" t="str">
        <f ca="1">IF('CDO Bespoke'!O128&lt;&gt;"",'CDO Bespoke'!O128,"")</f>
        <v/>
      </c>
      <c r="N127" s="490" t="str">
        <f ca="1">IF(M127&lt;&gt;"",ABS(MIN(-0.75*('CDO Bespoke'!Q128)+'CDO Bespoke'!T128,0)),"")</f>
        <v/>
      </c>
      <c r="O127" s="490" t="str">
        <f t="shared" ca="1" si="4"/>
        <v/>
      </c>
      <c r="P127" s="490" t="str">
        <f t="shared" ca="1" si="5"/>
        <v/>
      </c>
      <c r="Q127" s="489" t="str">
        <f ca="1">IF('CDO Bespoke'!O128&lt;&gt;"",'CDO Bespoke'!O128,"")</f>
        <v/>
      </c>
      <c r="R127" s="490" t="str">
        <f ca="1">IF(Q127&lt;&gt;"",ABS(MIN(-0.75*('CDO Bespoke'!K128)+'CDO Bespoke'!T128,0)),"")</f>
        <v/>
      </c>
      <c r="S127" s="490" t="str">
        <f t="shared" ca="1" si="6"/>
        <v/>
      </c>
      <c r="T127" s="494" t="str">
        <f t="shared" ca="1" si="7"/>
        <v/>
      </c>
      <c r="U127" s="275"/>
      <c r="V127" s="499" t="str">
        <f ca="1">IF('CDO Bespoke'!C152&lt;&gt;"",'CDO Bespoke'!C152,"")</f>
        <v/>
      </c>
      <c r="W127" s="501" t="str" cm="1">
        <f t="array" aca="1" ref="W127" ca="1">IF($V127&lt;&gt;"",-TRANSPOSE(INDEX(getcds('CDO Bespoke'!$C152,W$13,'CDO Bespoke'!$G152/10000,'CDO Bespoke'!F152,'CDO Bespoke'!$L128,'CDO Bespoke'!$C$13,'CDO Bespoke'!$C$14,'CDO Bespoke'!$C$15,'CDO Bespoke'!$C$8,,,TRUE,TRUE,FALSE,'CDO Bespoke'!$C$29:'CDO Bespoke'!$C$31,'CDO Bespoke'!$C$33),{5})),"")</f>
        <v/>
      </c>
      <c r="X127" s="527" t="str" cm="1">
        <f t="array" aca="1" ref="X127" ca="1">IF($V127&lt;&gt;"",-TRANSPOSE(INDEX(getcds('CDO Bespoke'!$C152,X$13,'CDO Bespoke'!$G152/10000,'CDO Bespoke'!G152,'CDO Bespoke'!$L128,'CDO Bespoke'!$C$13,'CDO Bespoke'!$C$14,'CDO Bespoke'!$C$15,'CDO Bespoke'!$C$8,,,TRUE,TRUE,FALSE,'CDO Bespoke'!$C$29:'CDO Bespoke'!$C$31,'CDO Bespoke'!$C$33),{5})),"")</f>
        <v/>
      </c>
      <c r="Y127" s="527" t="str" cm="1">
        <f t="array" aca="1" ref="Y127" ca="1">IF($V127&lt;&gt;"",-TRANSPOSE(INDEX(getcds('CDO Bespoke'!$C152,Y$13,'CDO Bespoke'!$G152/10000,'CDO Bespoke'!H152,'CDO Bespoke'!$L128,'CDO Bespoke'!$C$13,'CDO Bespoke'!$C$14,'CDO Bespoke'!$C$15,'CDO Bespoke'!$C$8,,,TRUE,TRUE,FALSE,'CDO Bespoke'!$C$29:'CDO Bespoke'!$C$31,'CDO Bespoke'!$C$33),{5})),"")</f>
        <v/>
      </c>
      <c r="Z127" s="527" t="str" cm="1">
        <f t="array" aca="1" ref="Z127" ca="1">IF($V127&lt;&gt;"",-TRANSPOSE(INDEX(getcds('CDO Bespoke'!$C152,Z$13,'CDO Bespoke'!$G152/10000,'CDO Bespoke'!I152,'CDO Bespoke'!$L128,'CDO Bespoke'!$C$13,'CDO Bespoke'!$C$14,'CDO Bespoke'!$C$15,'CDO Bespoke'!$C$8,,,TRUE,TRUE,FALSE,'CDO Bespoke'!$C$29:'CDO Bespoke'!$C$31,'CDO Bespoke'!$C$33),{5})),"")</f>
        <v/>
      </c>
      <c r="AA127" s="502" t="str" cm="1">
        <f t="array" aca="1" ref="AA127" ca="1">IF($V127&lt;&gt;"",-TRANSPOSE(INDEX(getcds('CDO Bespoke'!$C152,AA$13,'CDO Bespoke'!$G152/10000,'CDO Bespoke'!J152,'CDO Bespoke'!$L128,'CDO Bespoke'!$C$13,'CDO Bespoke'!$C$14,'CDO Bespoke'!$C$15,'CDO Bespoke'!$C$8,,,TRUE,TRUE,FALSE,'CDO Bespoke'!$C$29:'CDO Bespoke'!$C$31,'CDO Bespoke'!$C$33),{5})),"")</f>
        <v/>
      </c>
      <c r="AB127" s="481"/>
      <c r="AC127" s="517"/>
      <c r="AD127" s="518"/>
      <c r="AE127" s="518"/>
      <c r="AF127" s="518"/>
      <c r="AG127" s="518"/>
      <c r="AH127" s="518"/>
      <c r="AI127" s="518"/>
      <c r="AJ127" s="518"/>
      <c r="AK127" s="518"/>
      <c r="AL127" s="519"/>
      <c r="AM127" s="540"/>
    </row>
    <row r="128" spans="2:39" ht="12" thickBot="1">
      <c r="B128" s="541" t="s">
        <v>543</v>
      </c>
      <c r="C128" s="542" t="s">
        <v>66</v>
      </c>
      <c r="D128" s="542" t="s">
        <v>57</v>
      </c>
      <c r="E128" s="542" t="s">
        <v>661</v>
      </c>
      <c r="F128" s="542" t="s">
        <v>666</v>
      </c>
      <c r="G128" s="549">
        <v>0.01</v>
      </c>
      <c r="H128" s="549">
        <v>8.7480000000000006E-3</v>
      </c>
      <c r="I128" s="551">
        <v>0.4</v>
      </c>
      <c r="J128" s="543">
        <v>35</v>
      </c>
      <c r="K128" s="275"/>
      <c r="L128" s="275"/>
      <c r="M128" s="489" t="str">
        <f ca="1">IF('CDO Bespoke'!O129&lt;&gt;"",'CDO Bespoke'!O129,"")</f>
        <v/>
      </c>
      <c r="N128" s="490" t="str">
        <f ca="1">IF(M128&lt;&gt;"",ABS(MIN(-0.75*('CDO Bespoke'!Q129)+'CDO Bespoke'!T129,0)),"")</f>
        <v/>
      </c>
      <c r="O128" s="490" t="str">
        <f t="shared" ca="1" si="4"/>
        <v/>
      </c>
      <c r="P128" s="490" t="str">
        <f t="shared" ca="1" si="5"/>
        <v/>
      </c>
      <c r="Q128" s="489" t="str">
        <f ca="1">IF('CDO Bespoke'!O129&lt;&gt;"",'CDO Bespoke'!O129,"")</f>
        <v/>
      </c>
      <c r="R128" s="490" t="str">
        <f ca="1">IF(Q128&lt;&gt;"",ABS(MIN(-0.75*('CDO Bespoke'!K129)+'CDO Bespoke'!T129,0)),"")</f>
        <v/>
      </c>
      <c r="S128" s="490" t="str">
        <f t="shared" ca="1" si="6"/>
        <v/>
      </c>
      <c r="T128" s="494" t="str">
        <f t="shared" ca="1" si="7"/>
        <v/>
      </c>
      <c r="U128" s="275"/>
      <c r="V128" s="499" t="str">
        <f ca="1">IF('CDO Bespoke'!C153&lt;&gt;"",'CDO Bespoke'!C153,"")</f>
        <v/>
      </c>
      <c r="W128" s="501" t="str" cm="1">
        <f t="array" aca="1" ref="W128" ca="1">IF($V128&lt;&gt;"",-TRANSPOSE(INDEX(getcds('CDO Bespoke'!$C153,W$13,'CDO Bespoke'!$G153/10000,'CDO Bespoke'!F153,'CDO Bespoke'!$L129,'CDO Bespoke'!$C$13,'CDO Bespoke'!$C$14,'CDO Bespoke'!$C$15,'CDO Bespoke'!$C$8,,,TRUE,TRUE,FALSE,'CDO Bespoke'!$C$29:'CDO Bespoke'!$C$31,'CDO Bespoke'!$C$33),{5})),"")</f>
        <v/>
      </c>
      <c r="X128" s="527" t="str" cm="1">
        <f t="array" aca="1" ref="X128" ca="1">IF($V128&lt;&gt;"",-TRANSPOSE(INDEX(getcds('CDO Bespoke'!$C153,X$13,'CDO Bespoke'!$G153/10000,'CDO Bespoke'!G153,'CDO Bespoke'!$L129,'CDO Bespoke'!$C$13,'CDO Bespoke'!$C$14,'CDO Bespoke'!$C$15,'CDO Bespoke'!$C$8,,,TRUE,TRUE,FALSE,'CDO Bespoke'!$C$29:'CDO Bespoke'!$C$31,'CDO Bespoke'!$C$33),{5})),"")</f>
        <v/>
      </c>
      <c r="Y128" s="527" t="str" cm="1">
        <f t="array" aca="1" ref="Y128" ca="1">IF($V128&lt;&gt;"",-TRANSPOSE(INDEX(getcds('CDO Bespoke'!$C153,Y$13,'CDO Bespoke'!$G153/10000,'CDO Bespoke'!H153,'CDO Bespoke'!$L129,'CDO Bespoke'!$C$13,'CDO Bespoke'!$C$14,'CDO Bespoke'!$C$15,'CDO Bespoke'!$C$8,,,TRUE,TRUE,FALSE,'CDO Bespoke'!$C$29:'CDO Bespoke'!$C$31,'CDO Bespoke'!$C$33),{5})),"")</f>
        <v/>
      </c>
      <c r="Z128" s="527" t="str" cm="1">
        <f t="array" aca="1" ref="Z128" ca="1">IF($V128&lt;&gt;"",-TRANSPOSE(INDEX(getcds('CDO Bespoke'!$C153,Z$13,'CDO Bespoke'!$G153/10000,'CDO Bespoke'!I153,'CDO Bespoke'!$L129,'CDO Bespoke'!$C$13,'CDO Bespoke'!$C$14,'CDO Bespoke'!$C$15,'CDO Bespoke'!$C$8,,,TRUE,TRUE,FALSE,'CDO Bespoke'!$C$29:'CDO Bespoke'!$C$31,'CDO Bespoke'!$C$33),{5})),"")</f>
        <v/>
      </c>
      <c r="AA128" s="502" t="str" cm="1">
        <f t="array" aca="1" ref="AA128" ca="1">IF($V128&lt;&gt;"",-TRANSPOSE(INDEX(getcds('CDO Bespoke'!$C153,AA$13,'CDO Bespoke'!$G153/10000,'CDO Bespoke'!J153,'CDO Bespoke'!$L129,'CDO Bespoke'!$C$13,'CDO Bespoke'!$C$14,'CDO Bespoke'!$C$15,'CDO Bespoke'!$C$8,,,TRUE,TRUE,FALSE,'CDO Bespoke'!$C$29:'CDO Bespoke'!$C$31,'CDO Bespoke'!$C$33),{5})),"")</f>
        <v/>
      </c>
      <c r="AB128" s="481"/>
      <c r="AC128" s="517"/>
      <c r="AD128" s="518"/>
      <c r="AE128" s="518"/>
      <c r="AF128" s="518"/>
      <c r="AG128" s="518"/>
      <c r="AH128" s="518"/>
      <c r="AI128" s="518"/>
      <c r="AJ128" s="518"/>
      <c r="AK128" s="518"/>
      <c r="AL128" s="519"/>
      <c r="AM128" s="540"/>
    </row>
    <row r="129" spans="2:39" ht="12" thickBot="1">
      <c r="B129" s="558" t="s">
        <v>543</v>
      </c>
      <c r="C129" s="559" t="s">
        <v>66</v>
      </c>
      <c r="D129" s="559" t="s">
        <v>59</v>
      </c>
      <c r="E129" s="559" t="s">
        <v>661</v>
      </c>
      <c r="F129" s="559" t="s">
        <v>666</v>
      </c>
      <c r="G129" s="560">
        <v>0.01</v>
      </c>
      <c r="H129" s="560">
        <v>1.2120000000000001E-2</v>
      </c>
      <c r="I129" s="561">
        <v>0.4</v>
      </c>
      <c r="J129" s="562">
        <v>35</v>
      </c>
      <c r="K129" s="275"/>
      <c r="L129" s="275"/>
      <c r="M129" s="489" t="str">
        <f ca="1">IF('CDO Bespoke'!O130&lt;&gt;"",'CDO Bespoke'!O130,"")</f>
        <v/>
      </c>
      <c r="N129" s="490" t="str">
        <f ca="1">IF(M129&lt;&gt;"",ABS(MIN(-0.75*('CDO Bespoke'!Q130)+'CDO Bespoke'!T130,0)),"")</f>
        <v/>
      </c>
      <c r="O129" s="490" t="str">
        <f t="shared" ca="1" si="4"/>
        <v/>
      </c>
      <c r="P129" s="490" t="str">
        <f t="shared" ca="1" si="5"/>
        <v/>
      </c>
      <c r="Q129" s="489" t="str">
        <f ca="1">IF('CDO Bespoke'!O130&lt;&gt;"",'CDO Bespoke'!O130,"")</f>
        <v/>
      </c>
      <c r="R129" s="490" t="str">
        <f ca="1">IF(Q129&lt;&gt;"",ABS(MIN(-0.75*('CDO Bespoke'!K130)+'CDO Bespoke'!T130,0)),"")</f>
        <v/>
      </c>
      <c r="S129" s="490" t="str">
        <f t="shared" ca="1" si="6"/>
        <v/>
      </c>
      <c r="T129" s="494" t="str">
        <f t="shared" ca="1" si="7"/>
        <v/>
      </c>
      <c r="U129" s="275"/>
      <c r="V129" s="499" t="str">
        <f ca="1">IF('CDO Bespoke'!C154&lt;&gt;"",'CDO Bespoke'!C154,"")</f>
        <v/>
      </c>
      <c r="W129" s="501" t="str" cm="1">
        <f t="array" aca="1" ref="W129" ca="1">IF($V129&lt;&gt;"",-TRANSPOSE(INDEX(getcds('CDO Bespoke'!$C154,W$13,'CDO Bespoke'!$G154/10000,'CDO Bespoke'!F154,'CDO Bespoke'!$L130,'CDO Bespoke'!$C$13,'CDO Bespoke'!$C$14,'CDO Bespoke'!$C$15,'CDO Bespoke'!$C$8,,,TRUE,TRUE,FALSE,'CDO Bespoke'!$C$29:'CDO Bespoke'!$C$31,'CDO Bespoke'!$C$33),{5})),"")</f>
        <v/>
      </c>
      <c r="X129" s="527" t="str" cm="1">
        <f t="array" aca="1" ref="X129" ca="1">IF($V129&lt;&gt;"",-TRANSPOSE(INDEX(getcds('CDO Bespoke'!$C154,X$13,'CDO Bespoke'!$G154/10000,'CDO Bespoke'!G154,'CDO Bespoke'!$L130,'CDO Bespoke'!$C$13,'CDO Bespoke'!$C$14,'CDO Bespoke'!$C$15,'CDO Bespoke'!$C$8,,,TRUE,TRUE,FALSE,'CDO Bespoke'!$C$29:'CDO Bespoke'!$C$31,'CDO Bespoke'!$C$33),{5})),"")</f>
        <v/>
      </c>
      <c r="Y129" s="527" t="str" cm="1">
        <f t="array" aca="1" ref="Y129" ca="1">IF($V129&lt;&gt;"",-TRANSPOSE(INDEX(getcds('CDO Bespoke'!$C154,Y$13,'CDO Bespoke'!$G154/10000,'CDO Bespoke'!H154,'CDO Bespoke'!$L130,'CDO Bespoke'!$C$13,'CDO Bespoke'!$C$14,'CDO Bespoke'!$C$15,'CDO Bespoke'!$C$8,,,TRUE,TRUE,FALSE,'CDO Bespoke'!$C$29:'CDO Bespoke'!$C$31,'CDO Bespoke'!$C$33),{5})),"")</f>
        <v/>
      </c>
      <c r="Z129" s="527" t="str" cm="1">
        <f t="array" aca="1" ref="Z129" ca="1">IF($V129&lt;&gt;"",-TRANSPOSE(INDEX(getcds('CDO Bespoke'!$C154,Z$13,'CDO Bespoke'!$G154/10000,'CDO Bespoke'!I154,'CDO Bespoke'!$L130,'CDO Bespoke'!$C$13,'CDO Bespoke'!$C$14,'CDO Bespoke'!$C$15,'CDO Bespoke'!$C$8,,,TRUE,TRUE,FALSE,'CDO Bespoke'!$C$29:'CDO Bespoke'!$C$31,'CDO Bespoke'!$C$33),{5})),"")</f>
        <v/>
      </c>
      <c r="AA129" s="502" t="str" cm="1">
        <f t="array" aca="1" ref="AA129" ca="1">IF($V129&lt;&gt;"",-TRANSPOSE(INDEX(getcds('CDO Bespoke'!$C154,AA$13,'CDO Bespoke'!$G154/10000,'CDO Bespoke'!J154,'CDO Bespoke'!$L130,'CDO Bespoke'!$C$13,'CDO Bespoke'!$C$14,'CDO Bespoke'!$C$15,'CDO Bespoke'!$C$8,,,TRUE,TRUE,FALSE,'CDO Bespoke'!$C$29:'CDO Bespoke'!$C$31,'CDO Bespoke'!$C$33),{5})),"")</f>
        <v/>
      </c>
      <c r="AB129" s="481"/>
      <c r="AC129" s="517"/>
      <c r="AD129" s="518"/>
      <c r="AE129" s="518"/>
      <c r="AF129" s="518"/>
      <c r="AG129" s="518"/>
      <c r="AH129" s="518"/>
      <c r="AI129" s="518"/>
      <c r="AJ129" s="518"/>
      <c r="AK129" s="518"/>
      <c r="AL129" s="519"/>
      <c r="AM129" s="540"/>
    </row>
    <row r="130" spans="2:39" ht="12" thickBot="1">
      <c r="B130" s="563" t="s">
        <v>530</v>
      </c>
      <c r="C130" s="564" t="s">
        <v>66</v>
      </c>
      <c r="D130" s="564" t="s">
        <v>55</v>
      </c>
      <c r="E130" s="564" t="s">
        <v>663</v>
      </c>
      <c r="F130" s="564" t="s">
        <v>669</v>
      </c>
      <c r="G130" s="565">
        <v>0.01</v>
      </c>
      <c r="H130" s="565">
        <v>4.2960000000000003E-3</v>
      </c>
      <c r="I130" s="566">
        <v>0.4</v>
      </c>
      <c r="J130" s="567">
        <v>36</v>
      </c>
      <c r="K130" s="275"/>
      <c r="L130" s="275"/>
      <c r="M130" s="489" t="str">
        <f ca="1">IF('CDO Bespoke'!O131&lt;&gt;"",'CDO Bespoke'!O131,"")</f>
        <v/>
      </c>
      <c r="N130" s="490" t="str">
        <f ca="1">IF(M130&lt;&gt;"",ABS(MIN(-0.75*('CDO Bespoke'!Q131)+'CDO Bespoke'!T131,0)),"")</f>
        <v/>
      </c>
      <c r="O130" s="490" t="str">
        <f t="shared" ca="1" si="4"/>
        <v/>
      </c>
      <c r="P130" s="490" t="str">
        <f t="shared" ca="1" si="5"/>
        <v/>
      </c>
      <c r="Q130" s="489" t="str">
        <f ca="1">IF('CDO Bespoke'!O131&lt;&gt;"",'CDO Bespoke'!O131,"")</f>
        <v/>
      </c>
      <c r="R130" s="490" t="str">
        <f ca="1">IF(Q130&lt;&gt;"",ABS(MIN(-0.75*('CDO Bespoke'!K131)+'CDO Bespoke'!T131,0)),"")</f>
        <v/>
      </c>
      <c r="S130" s="490" t="str">
        <f t="shared" ca="1" si="6"/>
        <v/>
      </c>
      <c r="T130" s="494" t="str">
        <f t="shared" ca="1" si="7"/>
        <v/>
      </c>
      <c r="U130" s="275"/>
      <c r="V130" s="499" t="str">
        <f ca="1">IF('CDO Bespoke'!C155&lt;&gt;"",'CDO Bespoke'!C155,"")</f>
        <v/>
      </c>
      <c r="W130" s="501" t="str" cm="1">
        <f t="array" aca="1" ref="W130" ca="1">IF($V130&lt;&gt;"",-TRANSPOSE(INDEX(getcds('CDO Bespoke'!$C155,W$13,'CDO Bespoke'!$G155/10000,'CDO Bespoke'!F155,'CDO Bespoke'!$L131,'CDO Bespoke'!$C$13,'CDO Bespoke'!$C$14,'CDO Bespoke'!$C$15,'CDO Bespoke'!$C$8,,,TRUE,TRUE,FALSE,'CDO Bespoke'!$C$29:'CDO Bespoke'!$C$31,'CDO Bespoke'!$C$33),{5})),"")</f>
        <v/>
      </c>
      <c r="X130" s="527" t="str" cm="1">
        <f t="array" aca="1" ref="X130" ca="1">IF($V130&lt;&gt;"",-TRANSPOSE(INDEX(getcds('CDO Bespoke'!$C155,X$13,'CDO Bespoke'!$G155/10000,'CDO Bespoke'!G155,'CDO Bespoke'!$L131,'CDO Bespoke'!$C$13,'CDO Bespoke'!$C$14,'CDO Bespoke'!$C$15,'CDO Bespoke'!$C$8,,,TRUE,TRUE,FALSE,'CDO Bespoke'!$C$29:'CDO Bespoke'!$C$31,'CDO Bespoke'!$C$33),{5})),"")</f>
        <v/>
      </c>
      <c r="Y130" s="527" t="str" cm="1">
        <f t="array" aca="1" ref="Y130" ca="1">IF($V130&lt;&gt;"",-TRANSPOSE(INDEX(getcds('CDO Bespoke'!$C155,Y$13,'CDO Bespoke'!$G155/10000,'CDO Bespoke'!H155,'CDO Bespoke'!$L131,'CDO Bespoke'!$C$13,'CDO Bespoke'!$C$14,'CDO Bespoke'!$C$15,'CDO Bespoke'!$C$8,,,TRUE,TRUE,FALSE,'CDO Bespoke'!$C$29:'CDO Bespoke'!$C$31,'CDO Bespoke'!$C$33),{5})),"")</f>
        <v/>
      </c>
      <c r="Z130" s="527" t="str" cm="1">
        <f t="array" aca="1" ref="Z130" ca="1">IF($V130&lt;&gt;"",-TRANSPOSE(INDEX(getcds('CDO Bespoke'!$C155,Z$13,'CDO Bespoke'!$G155/10000,'CDO Bespoke'!I155,'CDO Bespoke'!$L131,'CDO Bespoke'!$C$13,'CDO Bespoke'!$C$14,'CDO Bespoke'!$C$15,'CDO Bespoke'!$C$8,,,TRUE,TRUE,FALSE,'CDO Bespoke'!$C$29:'CDO Bespoke'!$C$31,'CDO Bespoke'!$C$33),{5})),"")</f>
        <v/>
      </c>
      <c r="AA130" s="502" t="str" cm="1">
        <f t="array" aca="1" ref="AA130" ca="1">IF($V130&lt;&gt;"",-TRANSPOSE(INDEX(getcds('CDO Bespoke'!$C155,AA$13,'CDO Bespoke'!$G155/10000,'CDO Bespoke'!J155,'CDO Bespoke'!$L131,'CDO Bespoke'!$C$13,'CDO Bespoke'!$C$14,'CDO Bespoke'!$C$15,'CDO Bespoke'!$C$8,,,TRUE,TRUE,FALSE,'CDO Bespoke'!$C$29:'CDO Bespoke'!$C$31,'CDO Bespoke'!$C$33),{5})),"")</f>
        <v/>
      </c>
      <c r="AB130" s="481"/>
      <c r="AC130" s="517"/>
      <c r="AD130" s="518"/>
      <c r="AE130" s="518"/>
      <c r="AF130" s="518"/>
      <c r="AG130" s="518"/>
      <c r="AH130" s="518"/>
      <c r="AI130" s="518"/>
      <c r="AJ130" s="518"/>
      <c r="AK130" s="518"/>
      <c r="AL130" s="519"/>
      <c r="AM130" s="540"/>
    </row>
    <row r="131" spans="2:39" ht="12" thickBot="1">
      <c r="B131" s="541" t="s">
        <v>530</v>
      </c>
      <c r="C131" s="542" t="s">
        <v>66</v>
      </c>
      <c r="D131" s="542" t="s">
        <v>57</v>
      </c>
      <c r="E131" s="542" t="s">
        <v>663</v>
      </c>
      <c r="F131" s="542" t="s">
        <v>669</v>
      </c>
      <c r="G131" s="549">
        <v>0.01</v>
      </c>
      <c r="H131" s="549">
        <v>6.79E-3</v>
      </c>
      <c r="I131" s="551">
        <v>0.4</v>
      </c>
      <c r="J131" s="543">
        <v>36</v>
      </c>
      <c r="K131" s="275"/>
      <c r="L131" s="275"/>
      <c r="M131" s="489" t="str">
        <f ca="1">IF('CDO Bespoke'!O132&lt;&gt;"",'CDO Bespoke'!O132,"")</f>
        <v/>
      </c>
      <c r="N131" s="490" t="str">
        <f ca="1">IF(M131&lt;&gt;"",ABS(MIN(-0.75*('CDO Bespoke'!Q132)+'CDO Bespoke'!T132,0)),"")</f>
        <v/>
      </c>
      <c r="O131" s="490" t="str">
        <f t="shared" ca="1" si="4"/>
        <v/>
      </c>
      <c r="P131" s="490" t="str">
        <f t="shared" ca="1" si="5"/>
        <v/>
      </c>
      <c r="Q131" s="489" t="str">
        <f ca="1">IF('CDO Bespoke'!O132&lt;&gt;"",'CDO Bespoke'!O132,"")</f>
        <v/>
      </c>
      <c r="R131" s="490" t="str">
        <f ca="1">IF(Q131&lt;&gt;"",ABS(MIN(-0.75*('CDO Bespoke'!K132)+'CDO Bespoke'!T132,0)),"")</f>
        <v/>
      </c>
      <c r="S131" s="490" t="str">
        <f t="shared" ca="1" si="6"/>
        <v/>
      </c>
      <c r="T131" s="494" t="str">
        <f t="shared" ca="1" si="7"/>
        <v/>
      </c>
      <c r="U131" s="275"/>
      <c r="V131" s="499" t="str">
        <f ca="1">IF('CDO Bespoke'!C156&lt;&gt;"",'CDO Bespoke'!C156,"")</f>
        <v/>
      </c>
      <c r="W131" s="501" t="str" cm="1">
        <f t="array" aca="1" ref="W131" ca="1">IF($V131&lt;&gt;"",-TRANSPOSE(INDEX(getcds('CDO Bespoke'!$C156,W$13,'CDO Bespoke'!$G156/10000,'CDO Bespoke'!F156,'CDO Bespoke'!$L132,'CDO Bespoke'!$C$13,'CDO Bespoke'!$C$14,'CDO Bespoke'!$C$15,'CDO Bespoke'!$C$8,,,TRUE,TRUE,FALSE,'CDO Bespoke'!$C$29:'CDO Bespoke'!$C$31,'CDO Bespoke'!$C$33),{5})),"")</f>
        <v/>
      </c>
      <c r="X131" s="527" t="str" cm="1">
        <f t="array" aca="1" ref="X131" ca="1">IF($V131&lt;&gt;"",-TRANSPOSE(INDEX(getcds('CDO Bespoke'!$C156,X$13,'CDO Bespoke'!$G156/10000,'CDO Bespoke'!G156,'CDO Bespoke'!$L132,'CDO Bespoke'!$C$13,'CDO Bespoke'!$C$14,'CDO Bespoke'!$C$15,'CDO Bespoke'!$C$8,,,TRUE,TRUE,FALSE,'CDO Bespoke'!$C$29:'CDO Bespoke'!$C$31,'CDO Bespoke'!$C$33),{5})),"")</f>
        <v/>
      </c>
      <c r="Y131" s="527" t="str" cm="1">
        <f t="array" aca="1" ref="Y131" ca="1">IF($V131&lt;&gt;"",-TRANSPOSE(INDEX(getcds('CDO Bespoke'!$C156,Y$13,'CDO Bespoke'!$G156/10000,'CDO Bespoke'!H156,'CDO Bespoke'!$L132,'CDO Bespoke'!$C$13,'CDO Bespoke'!$C$14,'CDO Bespoke'!$C$15,'CDO Bespoke'!$C$8,,,TRUE,TRUE,FALSE,'CDO Bespoke'!$C$29:'CDO Bespoke'!$C$31,'CDO Bespoke'!$C$33),{5})),"")</f>
        <v/>
      </c>
      <c r="Z131" s="527" t="str" cm="1">
        <f t="array" aca="1" ref="Z131" ca="1">IF($V131&lt;&gt;"",-TRANSPOSE(INDEX(getcds('CDO Bespoke'!$C156,Z$13,'CDO Bespoke'!$G156/10000,'CDO Bespoke'!I156,'CDO Bespoke'!$L132,'CDO Bespoke'!$C$13,'CDO Bespoke'!$C$14,'CDO Bespoke'!$C$15,'CDO Bespoke'!$C$8,,,TRUE,TRUE,FALSE,'CDO Bespoke'!$C$29:'CDO Bespoke'!$C$31,'CDO Bespoke'!$C$33),{5})),"")</f>
        <v/>
      </c>
      <c r="AA131" s="502" t="str" cm="1">
        <f t="array" aca="1" ref="AA131" ca="1">IF($V131&lt;&gt;"",-TRANSPOSE(INDEX(getcds('CDO Bespoke'!$C156,AA$13,'CDO Bespoke'!$G156/10000,'CDO Bespoke'!J156,'CDO Bespoke'!$L132,'CDO Bespoke'!$C$13,'CDO Bespoke'!$C$14,'CDO Bespoke'!$C$15,'CDO Bespoke'!$C$8,,,TRUE,TRUE,FALSE,'CDO Bespoke'!$C$29:'CDO Bespoke'!$C$31,'CDO Bespoke'!$C$33),{5})),"")</f>
        <v/>
      </c>
      <c r="AB131" s="481"/>
      <c r="AC131" s="517"/>
      <c r="AD131" s="518"/>
      <c r="AE131" s="518"/>
      <c r="AF131" s="518"/>
      <c r="AG131" s="518"/>
      <c r="AH131" s="518"/>
      <c r="AI131" s="518"/>
      <c r="AJ131" s="518"/>
      <c r="AK131" s="518"/>
      <c r="AL131" s="519"/>
      <c r="AM131" s="540"/>
    </row>
    <row r="132" spans="2:39" ht="12" thickBot="1">
      <c r="B132" s="558" t="s">
        <v>530</v>
      </c>
      <c r="C132" s="559" t="s">
        <v>66</v>
      </c>
      <c r="D132" s="559" t="s">
        <v>59</v>
      </c>
      <c r="E132" s="559" t="s">
        <v>663</v>
      </c>
      <c r="F132" s="559" t="s">
        <v>669</v>
      </c>
      <c r="G132" s="560">
        <v>0.01</v>
      </c>
      <c r="H132" s="560">
        <v>9.9900000000000006E-3</v>
      </c>
      <c r="I132" s="561">
        <v>0.4</v>
      </c>
      <c r="J132" s="562">
        <v>36</v>
      </c>
      <c r="K132" s="275"/>
      <c r="L132" s="275"/>
      <c r="M132" s="489" t="str">
        <f ca="1">IF('CDO Bespoke'!O133&lt;&gt;"",'CDO Bespoke'!O133,"")</f>
        <v/>
      </c>
      <c r="N132" s="490" t="str">
        <f ca="1">IF(M132&lt;&gt;"",ABS(MIN(-0.75*('CDO Bespoke'!Q133)+'CDO Bespoke'!T133,0)),"")</f>
        <v/>
      </c>
      <c r="O132" s="490" t="str">
        <f t="shared" ca="1" si="4"/>
        <v/>
      </c>
      <c r="P132" s="490" t="str">
        <f t="shared" ca="1" si="5"/>
        <v/>
      </c>
      <c r="Q132" s="489" t="str">
        <f ca="1">IF('CDO Bespoke'!O133&lt;&gt;"",'CDO Bespoke'!O133,"")</f>
        <v/>
      </c>
      <c r="R132" s="490" t="str">
        <f ca="1">IF(Q132&lt;&gt;"",ABS(MIN(-0.75*('CDO Bespoke'!K133)+'CDO Bespoke'!T133,0)),"")</f>
        <v/>
      </c>
      <c r="S132" s="490" t="str">
        <f t="shared" ca="1" si="6"/>
        <v/>
      </c>
      <c r="T132" s="494" t="str">
        <f t="shared" ca="1" si="7"/>
        <v/>
      </c>
      <c r="U132" s="275"/>
      <c r="V132" s="499" t="str">
        <f ca="1">IF('CDO Bespoke'!C157&lt;&gt;"",'CDO Bespoke'!C157,"")</f>
        <v/>
      </c>
      <c r="W132" s="501" t="str" cm="1">
        <f t="array" aca="1" ref="W132" ca="1">IF($V132&lt;&gt;"",-TRANSPOSE(INDEX(getcds('CDO Bespoke'!$C157,W$13,'CDO Bespoke'!$G157/10000,'CDO Bespoke'!F157,'CDO Bespoke'!$L133,'CDO Bespoke'!$C$13,'CDO Bespoke'!$C$14,'CDO Bespoke'!$C$15,'CDO Bespoke'!$C$8,,,TRUE,TRUE,FALSE,'CDO Bespoke'!$C$29:'CDO Bespoke'!$C$31,'CDO Bespoke'!$C$33),{5})),"")</f>
        <v/>
      </c>
      <c r="X132" s="527" t="str" cm="1">
        <f t="array" aca="1" ref="X132" ca="1">IF($V132&lt;&gt;"",-TRANSPOSE(INDEX(getcds('CDO Bespoke'!$C157,X$13,'CDO Bespoke'!$G157/10000,'CDO Bespoke'!G157,'CDO Bespoke'!$L133,'CDO Bespoke'!$C$13,'CDO Bespoke'!$C$14,'CDO Bespoke'!$C$15,'CDO Bespoke'!$C$8,,,TRUE,TRUE,FALSE,'CDO Bespoke'!$C$29:'CDO Bespoke'!$C$31,'CDO Bespoke'!$C$33),{5})),"")</f>
        <v/>
      </c>
      <c r="Y132" s="527" t="str" cm="1">
        <f t="array" aca="1" ref="Y132" ca="1">IF($V132&lt;&gt;"",-TRANSPOSE(INDEX(getcds('CDO Bespoke'!$C157,Y$13,'CDO Bespoke'!$G157/10000,'CDO Bespoke'!H157,'CDO Bespoke'!$L133,'CDO Bespoke'!$C$13,'CDO Bespoke'!$C$14,'CDO Bespoke'!$C$15,'CDO Bespoke'!$C$8,,,TRUE,TRUE,FALSE,'CDO Bespoke'!$C$29:'CDO Bespoke'!$C$31,'CDO Bespoke'!$C$33),{5})),"")</f>
        <v/>
      </c>
      <c r="Z132" s="527" t="str" cm="1">
        <f t="array" aca="1" ref="Z132" ca="1">IF($V132&lt;&gt;"",-TRANSPOSE(INDEX(getcds('CDO Bespoke'!$C157,Z$13,'CDO Bespoke'!$G157/10000,'CDO Bespoke'!I157,'CDO Bespoke'!$L133,'CDO Bespoke'!$C$13,'CDO Bespoke'!$C$14,'CDO Bespoke'!$C$15,'CDO Bespoke'!$C$8,,,TRUE,TRUE,FALSE,'CDO Bespoke'!$C$29:'CDO Bespoke'!$C$31,'CDO Bespoke'!$C$33),{5})),"")</f>
        <v/>
      </c>
      <c r="AA132" s="502" t="str" cm="1">
        <f t="array" aca="1" ref="AA132" ca="1">IF($V132&lt;&gt;"",-TRANSPOSE(INDEX(getcds('CDO Bespoke'!$C157,AA$13,'CDO Bespoke'!$G157/10000,'CDO Bespoke'!J157,'CDO Bespoke'!$L133,'CDO Bespoke'!$C$13,'CDO Bespoke'!$C$14,'CDO Bespoke'!$C$15,'CDO Bespoke'!$C$8,,,TRUE,TRUE,FALSE,'CDO Bespoke'!$C$29:'CDO Bespoke'!$C$31,'CDO Bespoke'!$C$33),{5})),"")</f>
        <v/>
      </c>
      <c r="AB132" s="481"/>
      <c r="AC132" s="517"/>
      <c r="AD132" s="518"/>
      <c r="AE132" s="518"/>
      <c r="AF132" s="518"/>
      <c r="AG132" s="518"/>
      <c r="AH132" s="518"/>
      <c r="AI132" s="518"/>
      <c r="AJ132" s="518"/>
      <c r="AK132" s="518"/>
      <c r="AL132" s="519"/>
      <c r="AM132" s="540"/>
    </row>
    <row r="133" spans="2:39" ht="12" thickBot="1">
      <c r="B133" s="563" t="s">
        <v>546</v>
      </c>
      <c r="C133" s="564" t="s">
        <v>66</v>
      </c>
      <c r="D133" s="564" t="s">
        <v>55</v>
      </c>
      <c r="E133" s="564" t="s">
        <v>663</v>
      </c>
      <c r="F133" s="564" t="s">
        <v>666</v>
      </c>
      <c r="G133" s="565">
        <v>0.01</v>
      </c>
      <c r="H133" s="565">
        <v>1.0371E-2</v>
      </c>
      <c r="I133" s="566">
        <v>0.4</v>
      </c>
      <c r="J133" s="567">
        <v>37</v>
      </c>
      <c r="K133" s="275"/>
      <c r="L133" s="275"/>
      <c r="M133" s="489" t="str">
        <f ca="1">IF('CDO Bespoke'!O134&lt;&gt;"",'CDO Bespoke'!O134,"")</f>
        <v/>
      </c>
      <c r="N133" s="490" t="str">
        <f ca="1">IF(M133&lt;&gt;"",ABS(MIN(-0.75*('CDO Bespoke'!Q134)+'CDO Bespoke'!T134,0)),"")</f>
        <v/>
      </c>
      <c r="O133" s="490" t="str">
        <f t="shared" ca="1" si="4"/>
        <v/>
      </c>
      <c r="P133" s="490" t="str">
        <f t="shared" ca="1" si="5"/>
        <v/>
      </c>
      <c r="Q133" s="489" t="str">
        <f ca="1">IF('CDO Bespoke'!O134&lt;&gt;"",'CDO Bespoke'!O134,"")</f>
        <v/>
      </c>
      <c r="R133" s="490" t="str">
        <f ca="1">IF(Q133&lt;&gt;"",ABS(MIN(-0.75*('CDO Bespoke'!K134)+'CDO Bespoke'!T134,0)),"")</f>
        <v/>
      </c>
      <c r="S133" s="490" t="str">
        <f t="shared" ca="1" si="6"/>
        <v/>
      </c>
      <c r="T133" s="494" t="str">
        <f t="shared" ca="1" si="7"/>
        <v/>
      </c>
      <c r="U133" s="275"/>
      <c r="V133" s="499" t="str">
        <f ca="1">IF('CDO Bespoke'!C158&lt;&gt;"",'CDO Bespoke'!C158,"")</f>
        <v/>
      </c>
      <c r="W133" s="501" t="str" cm="1">
        <f t="array" aca="1" ref="W133" ca="1">IF($V133&lt;&gt;"",-TRANSPOSE(INDEX(getcds('CDO Bespoke'!$C158,W$13,'CDO Bespoke'!$G158/10000,'CDO Bespoke'!F158,'CDO Bespoke'!$L134,'CDO Bespoke'!$C$13,'CDO Bespoke'!$C$14,'CDO Bespoke'!$C$15,'CDO Bespoke'!$C$8,,,TRUE,TRUE,FALSE,'CDO Bespoke'!$C$29:'CDO Bespoke'!$C$31,'CDO Bespoke'!$C$33),{5})),"")</f>
        <v/>
      </c>
      <c r="X133" s="527" t="str" cm="1">
        <f t="array" aca="1" ref="X133" ca="1">IF($V133&lt;&gt;"",-TRANSPOSE(INDEX(getcds('CDO Bespoke'!$C158,X$13,'CDO Bespoke'!$G158/10000,'CDO Bespoke'!G158,'CDO Bespoke'!$L134,'CDO Bespoke'!$C$13,'CDO Bespoke'!$C$14,'CDO Bespoke'!$C$15,'CDO Bespoke'!$C$8,,,TRUE,TRUE,FALSE,'CDO Bespoke'!$C$29:'CDO Bespoke'!$C$31,'CDO Bespoke'!$C$33),{5})),"")</f>
        <v/>
      </c>
      <c r="Y133" s="527" t="str" cm="1">
        <f t="array" aca="1" ref="Y133" ca="1">IF($V133&lt;&gt;"",-TRANSPOSE(INDEX(getcds('CDO Bespoke'!$C158,Y$13,'CDO Bespoke'!$G158/10000,'CDO Bespoke'!H158,'CDO Bespoke'!$L134,'CDO Bespoke'!$C$13,'CDO Bespoke'!$C$14,'CDO Bespoke'!$C$15,'CDO Bespoke'!$C$8,,,TRUE,TRUE,FALSE,'CDO Bespoke'!$C$29:'CDO Bespoke'!$C$31,'CDO Bespoke'!$C$33),{5})),"")</f>
        <v/>
      </c>
      <c r="Z133" s="527" t="str" cm="1">
        <f t="array" aca="1" ref="Z133" ca="1">IF($V133&lt;&gt;"",-TRANSPOSE(INDEX(getcds('CDO Bespoke'!$C158,Z$13,'CDO Bespoke'!$G158/10000,'CDO Bespoke'!I158,'CDO Bespoke'!$L134,'CDO Bespoke'!$C$13,'CDO Bespoke'!$C$14,'CDO Bespoke'!$C$15,'CDO Bespoke'!$C$8,,,TRUE,TRUE,FALSE,'CDO Bespoke'!$C$29:'CDO Bespoke'!$C$31,'CDO Bespoke'!$C$33),{5})),"")</f>
        <v/>
      </c>
      <c r="AA133" s="502" t="str" cm="1">
        <f t="array" aca="1" ref="AA133" ca="1">IF($V133&lt;&gt;"",-TRANSPOSE(INDEX(getcds('CDO Bespoke'!$C158,AA$13,'CDO Bespoke'!$G158/10000,'CDO Bespoke'!J158,'CDO Bespoke'!$L134,'CDO Bespoke'!$C$13,'CDO Bespoke'!$C$14,'CDO Bespoke'!$C$15,'CDO Bespoke'!$C$8,,,TRUE,TRUE,FALSE,'CDO Bespoke'!$C$29:'CDO Bespoke'!$C$31,'CDO Bespoke'!$C$33),{5})),"")</f>
        <v/>
      </c>
      <c r="AB133" s="481"/>
      <c r="AC133" s="517"/>
      <c r="AD133" s="518"/>
      <c r="AE133" s="518"/>
      <c r="AF133" s="518"/>
      <c r="AG133" s="518"/>
      <c r="AH133" s="518"/>
      <c r="AI133" s="518"/>
      <c r="AJ133" s="518"/>
      <c r="AK133" s="518"/>
      <c r="AL133" s="519"/>
      <c r="AM133" s="540"/>
    </row>
    <row r="134" spans="2:39" ht="12" thickBot="1">
      <c r="B134" s="541" t="s">
        <v>546</v>
      </c>
      <c r="C134" s="542" t="s">
        <v>66</v>
      </c>
      <c r="D134" s="542" t="s">
        <v>57</v>
      </c>
      <c r="E134" s="542" t="s">
        <v>663</v>
      </c>
      <c r="F134" s="542" t="s">
        <v>666</v>
      </c>
      <c r="G134" s="549">
        <v>0.01</v>
      </c>
      <c r="H134" s="549">
        <v>1.6621E-2</v>
      </c>
      <c r="I134" s="551">
        <v>0.4</v>
      </c>
      <c r="J134" s="543">
        <v>37</v>
      </c>
      <c r="K134" s="275"/>
      <c r="L134" s="275"/>
      <c r="M134" s="489" t="str">
        <f ca="1">IF('CDO Bespoke'!O135&lt;&gt;"",'CDO Bespoke'!O135,"")</f>
        <v/>
      </c>
      <c r="N134" s="490" t="str">
        <f ca="1">IF(M134&lt;&gt;"",ABS(MIN(-0.75*('CDO Bespoke'!Q135)+'CDO Bespoke'!T135,0)),"")</f>
        <v/>
      </c>
      <c r="O134" s="490" t="str">
        <f t="shared" ca="1" si="4"/>
        <v/>
      </c>
      <c r="P134" s="490" t="str">
        <f t="shared" ca="1" si="5"/>
        <v/>
      </c>
      <c r="Q134" s="489" t="str">
        <f ca="1">IF('CDO Bespoke'!O135&lt;&gt;"",'CDO Bespoke'!O135,"")</f>
        <v/>
      </c>
      <c r="R134" s="490" t="str">
        <f ca="1">IF(Q134&lt;&gt;"",ABS(MIN(-0.75*('CDO Bespoke'!K135)+'CDO Bespoke'!T135,0)),"")</f>
        <v/>
      </c>
      <c r="S134" s="490" t="str">
        <f t="shared" ca="1" si="6"/>
        <v/>
      </c>
      <c r="T134" s="494" t="str">
        <f t="shared" ca="1" si="7"/>
        <v/>
      </c>
      <c r="U134" s="275"/>
      <c r="V134" s="499" t="str">
        <f ca="1">IF('CDO Bespoke'!C159&lt;&gt;"",'CDO Bespoke'!C159,"")</f>
        <v/>
      </c>
      <c r="W134" s="501" t="str" cm="1">
        <f t="array" aca="1" ref="W134" ca="1">IF($V134&lt;&gt;"",-TRANSPOSE(INDEX(getcds('CDO Bespoke'!$C159,W$13,'CDO Bespoke'!$G159/10000,'CDO Bespoke'!F159,'CDO Bespoke'!$L135,'CDO Bespoke'!$C$13,'CDO Bespoke'!$C$14,'CDO Bespoke'!$C$15,'CDO Bespoke'!$C$8,,,TRUE,TRUE,FALSE,'CDO Bespoke'!$C$29:'CDO Bespoke'!$C$31,'CDO Bespoke'!$C$33),{5})),"")</f>
        <v/>
      </c>
      <c r="X134" s="527" t="str" cm="1">
        <f t="array" aca="1" ref="X134" ca="1">IF($V134&lt;&gt;"",-TRANSPOSE(INDEX(getcds('CDO Bespoke'!$C159,X$13,'CDO Bespoke'!$G159/10000,'CDO Bespoke'!G159,'CDO Bespoke'!$L135,'CDO Bespoke'!$C$13,'CDO Bespoke'!$C$14,'CDO Bespoke'!$C$15,'CDO Bespoke'!$C$8,,,TRUE,TRUE,FALSE,'CDO Bespoke'!$C$29:'CDO Bespoke'!$C$31,'CDO Bespoke'!$C$33),{5})),"")</f>
        <v/>
      </c>
      <c r="Y134" s="527" t="str" cm="1">
        <f t="array" aca="1" ref="Y134" ca="1">IF($V134&lt;&gt;"",-TRANSPOSE(INDEX(getcds('CDO Bespoke'!$C159,Y$13,'CDO Bespoke'!$G159/10000,'CDO Bespoke'!H159,'CDO Bespoke'!$L135,'CDO Bespoke'!$C$13,'CDO Bespoke'!$C$14,'CDO Bespoke'!$C$15,'CDO Bespoke'!$C$8,,,TRUE,TRUE,FALSE,'CDO Bespoke'!$C$29:'CDO Bespoke'!$C$31,'CDO Bespoke'!$C$33),{5})),"")</f>
        <v/>
      </c>
      <c r="Z134" s="527" t="str" cm="1">
        <f t="array" aca="1" ref="Z134" ca="1">IF($V134&lt;&gt;"",-TRANSPOSE(INDEX(getcds('CDO Bespoke'!$C159,Z$13,'CDO Bespoke'!$G159/10000,'CDO Bespoke'!I159,'CDO Bespoke'!$L135,'CDO Bespoke'!$C$13,'CDO Bespoke'!$C$14,'CDO Bespoke'!$C$15,'CDO Bespoke'!$C$8,,,TRUE,TRUE,FALSE,'CDO Bespoke'!$C$29:'CDO Bespoke'!$C$31,'CDO Bespoke'!$C$33),{5})),"")</f>
        <v/>
      </c>
      <c r="AA134" s="502" t="str" cm="1">
        <f t="array" aca="1" ref="AA134" ca="1">IF($V134&lt;&gt;"",-TRANSPOSE(INDEX(getcds('CDO Bespoke'!$C159,AA$13,'CDO Bespoke'!$G159/10000,'CDO Bespoke'!J159,'CDO Bespoke'!$L135,'CDO Bespoke'!$C$13,'CDO Bespoke'!$C$14,'CDO Bespoke'!$C$15,'CDO Bespoke'!$C$8,,,TRUE,TRUE,FALSE,'CDO Bespoke'!$C$29:'CDO Bespoke'!$C$31,'CDO Bespoke'!$C$33),{5})),"")</f>
        <v/>
      </c>
      <c r="AB134" s="481"/>
      <c r="AC134" s="517"/>
      <c r="AD134" s="518"/>
      <c r="AE134" s="518"/>
      <c r="AF134" s="518"/>
      <c r="AG134" s="518"/>
      <c r="AH134" s="518"/>
      <c r="AI134" s="518"/>
      <c r="AJ134" s="518"/>
      <c r="AK134" s="518"/>
      <c r="AL134" s="519"/>
      <c r="AM134" s="540"/>
    </row>
    <row r="135" spans="2:39" ht="12" thickBot="1">
      <c r="B135" s="558" t="s">
        <v>546</v>
      </c>
      <c r="C135" s="559" t="s">
        <v>66</v>
      </c>
      <c r="D135" s="559" t="s">
        <v>59</v>
      </c>
      <c r="E135" s="559" t="s">
        <v>663</v>
      </c>
      <c r="F135" s="559" t="s">
        <v>666</v>
      </c>
      <c r="G135" s="560">
        <v>0.01</v>
      </c>
      <c r="H135" s="560">
        <v>1.9375E-2</v>
      </c>
      <c r="I135" s="561">
        <v>0.4</v>
      </c>
      <c r="J135" s="562">
        <v>37</v>
      </c>
      <c r="K135" s="275"/>
      <c r="L135" s="275"/>
      <c r="M135" s="489" t="str">
        <f ca="1">IF('CDO Bespoke'!O136&lt;&gt;"",'CDO Bespoke'!O136,"")</f>
        <v/>
      </c>
      <c r="N135" s="490" t="str">
        <f ca="1">IF(M135&lt;&gt;"",ABS(MIN(-0.75*('CDO Bespoke'!Q136)+'CDO Bespoke'!T136,0)),"")</f>
        <v/>
      </c>
      <c r="O135" s="490" t="str">
        <f t="shared" ca="1" si="4"/>
        <v/>
      </c>
      <c r="P135" s="490" t="str">
        <f t="shared" ca="1" si="5"/>
        <v/>
      </c>
      <c r="Q135" s="489" t="str">
        <f ca="1">IF('CDO Bespoke'!O136&lt;&gt;"",'CDO Bespoke'!O136,"")</f>
        <v/>
      </c>
      <c r="R135" s="490" t="str">
        <f ca="1">IF(Q135&lt;&gt;"",ABS(MIN(-0.75*('CDO Bespoke'!K136)+'CDO Bespoke'!T136,0)),"")</f>
        <v/>
      </c>
      <c r="S135" s="490" t="str">
        <f t="shared" ca="1" si="6"/>
        <v/>
      </c>
      <c r="T135" s="494" t="str">
        <f t="shared" ca="1" si="7"/>
        <v/>
      </c>
      <c r="U135" s="275"/>
      <c r="V135" s="499" t="str">
        <f ca="1">IF('CDO Bespoke'!C160&lt;&gt;"",'CDO Bespoke'!C160,"")</f>
        <v/>
      </c>
      <c r="W135" s="501" t="str" cm="1">
        <f t="array" aca="1" ref="W135" ca="1">IF($V135&lt;&gt;"",-TRANSPOSE(INDEX(getcds('CDO Bespoke'!$C160,W$13,'CDO Bespoke'!$G160/10000,'CDO Bespoke'!F160,'CDO Bespoke'!$L136,'CDO Bespoke'!$C$13,'CDO Bespoke'!$C$14,'CDO Bespoke'!$C$15,'CDO Bespoke'!$C$8,,,TRUE,TRUE,FALSE,'CDO Bespoke'!$C$29:'CDO Bespoke'!$C$31,'CDO Bespoke'!$C$33),{5})),"")</f>
        <v/>
      </c>
      <c r="X135" s="527" t="str" cm="1">
        <f t="array" aca="1" ref="X135" ca="1">IF($V135&lt;&gt;"",-TRANSPOSE(INDEX(getcds('CDO Bespoke'!$C160,X$13,'CDO Bespoke'!$G160/10000,'CDO Bespoke'!G160,'CDO Bespoke'!$L136,'CDO Bespoke'!$C$13,'CDO Bespoke'!$C$14,'CDO Bespoke'!$C$15,'CDO Bespoke'!$C$8,,,TRUE,TRUE,FALSE,'CDO Bespoke'!$C$29:'CDO Bespoke'!$C$31,'CDO Bespoke'!$C$33),{5})),"")</f>
        <v/>
      </c>
      <c r="Y135" s="527" t="str" cm="1">
        <f t="array" aca="1" ref="Y135" ca="1">IF($V135&lt;&gt;"",-TRANSPOSE(INDEX(getcds('CDO Bespoke'!$C160,Y$13,'CDO Bespoke'!$G160/10000,'CDO Bespoke'!H160,'CDO Bespoke'!$L136,'CDO Bespoke'!$C$13,'CDO Bespoke'!$C$14,'CDO Bespoke'!$C$15,'CDO Bespoke'!$C$8,,,TRUE,TRUE,FALSE,'CDO Bespoke'!$C$29:'CDO Bespoke'!$C$31,'CDO Bespoke'!$C$33),{5})),"")</f>
        <v/>
      </c>
      <c r="Z135" s="527" t="str" cm="1">
        <f t="array" aca="1" ref="Z135" ca="1">IF($V135&lt;&gt;"",-TRANSPOSE(INDEX(getcds('CDO Bespoke'!$C160,Z$13,'CDO Bespoke'!$G160/10000,'CDO Bespoke'!I160,'CDO Bespoke'!$L136,'CDO Bespoke'!$C$13,'CDO Bespoke'!$C$14,'CDO Bespoke'!$C$15,'CDO Bespoke'!$C$8,,,TRUE,TRUE,FALSE,'CDO Bespoke'!$C$29:'CDO Bespoke'!$C$31,'CDO Bespoke'!$C$33),{5})),"")</f>
        <v/>
      </c>
      <c r="AA135" s="502" t="str" cm="1">
        <f t="array" aca="1" ref="AA135" ca="1">IF($V135&lt;&gt;"",-TRANSPOSE(INDEX(getcds('CDO Bespoke'!$C160,AA$13,'CDO Bespoke'!$G160/10000,'CDO Bespoke'!J160,'CDO Bespoke'!$L136,'CDO Bespoke'!$C$13,'CDO Bespoke'!$C$14,'CDO Bespoke'!$C$15,'CDO Bespoke'!$C$8,,,TRUE,TRUE,FALSE,'CDO Bespoke'!$C$29:'CDO Bespoke'!$C$31,'CDO Bespoke'!$C$33),{5})),"")</f>
        <v/>
      </c>
      <c r="AB135" s="481"/>
      <c r="AC135" s="517"/>
      <c r="AD135" s="518"/>
      <c r="AE135" s="518"/>
      <c r="AF135" s="518"/>
      <c r="AG135" s="518"/>
      <c r="AH135" s="518"/>
      <c r="AI135" s="518"/>
      <c r="AJ135" s="518"/>
      <c r="AK135" s="518"/>
      <c r="AL135" s="519"/>
      <c r="AM135" s="540"/>
    </row>
    <row r="136" spans="2:39" ht="12" thickBot="1">
      <c r="B136" s="563" t="s">
        <v>547</v>
      </c>
      <c r="C136" s="564" t="s">
        <v>66</v>
      </c>
      <c r="D136" s="564" t="s">
        <v>55</v>
      </c>
      <c r="E136" s="564" t="s">
        <v>661</v>
      </c>
      <c r="F136" s="564" t="s">
        <v>666</v>
      </c>
      <c r="G136" s="565">
        <v>0.01</v>
      </c>
      <c r="H136" s="565">
        <v>2.5300000000000001E-3</v>
      </c>
      <c r="I136" s="566">
        <v>0.4</v>
      </c>
      <c r="J136" s="567">
        <v>38</v>
      </c>
      <c r="K136" s="275"/>
      <c r="L136" s="275"/>
      <c r="M136" s="489" t="str">
        <f ca="1">IF('CDO Bespoke'!O137&lt;&gt;"",'CDO Bespoke'!O137,"")</f>
        <v/>
      </c>
      <c r="N136" s="490" t="str">
        <f ca="1">IF(M136&lt;&gt;"",ABS(MIN(-0.75*('CDO Bespoke'!Q137)+'CDO Bespoke'!T137,0)),"")</f>
        <v/>
      </c>
      <c r="O136" s="490" t="str">
        <f t="shared" ca="1" si="4"/>
        <v/>
      </c>
      <c r="P136" s="490" t="str">
        <f t="shared" ca="1" si="5"/>
        <v/>
      </c>
      <c r="Q136" s="489" t="str">
        <f ca="1">IF('CDO Bespoke'!O137&lt;&gt;"",'CDO Bespoke'!O137,"")</f>
        <v/>
      </c>
      <c r="R136" s="490" t="str">
        <f ca="1">IF(Q136&lt;&gt;"",ABS(MIN(-0.75*('CDO Bespoke'!K137)+'CDO Bespoke'!T137,0)),"")</f>
        <v/>
      </c>
      <c r="S136" s="490" t="str">
        <f t="shared" ca="1" si="6"/>
        <v/>
      </c>
      <c r="T136" s="494" t="str">
        <f t="shared" ca="1" si="7"/>
        <v/>
      </c>
      <c r="U136" s="275"/>
      <c r="V136" s="499" t="str">
        <f ca="1">IF('CDO Bespoke'!C161&lt;&gt;"",'CDO Bespoke'!C161,"")</f>
        <v/>
      </c>
      <c r="W136" s="501" t="str" cm="1">
        <f t="array" aca="1" ref="W136" ca="1">IF($V136&lt;&gt;"",-TRANSPOSE(INDEX(getcds('CDO Bespoke'!$C161,W$13,'CDO Bespoke'!$G161/10000,'CDO Bespoke'!F161,'CDO Bespoke'!$L137,'CDO Bespoke'!$C$13,'CDO Bespoke'!$C$14,'CDO Bespoke'!$C$15,'CDO Bespoke'!$C$8,,,TRUE,TRUE,FALSE,'CDO Bespoke'!$C$29:'CDO Bespoke'!$C$31,'CDO Bespoke'!$C$33),{5})),"")</f>
        <v/>
      </c>
      <c r="X136" s="527" t="str" cm="1">
        <f t="array" aca="1" ref="X136" ca="1">IF($V136&lt;&gt;"",-TRANSPOSE(INDEX(getcds('CDO Bespoke'!$C161,X$13,'CDO Bespoke'!$G161/10000,'CDO Bespoke'!G161,'CDO Bespoke'!$L137,'CDO Bespoke'!$C$13,'CDO Bespoke'!$C$14,'CDO Bespoke'!$C$15,'CDO Bespoke'!$C$8,,,TRUE,TRUE,FALSE,'CDO Bespoke'!$C$29:'CDO Bespoke'!$C$31,'CDO Bespoke'!$C$33),{5})),"")</f>
        <v/>
      </c>
      <c r="Y136" s="527" t="str" cm="1">
        <f t="array" aca="1" ref="Y136" ca="1">IF($V136&lt;&gt;"",-TRANSPOSE(INDEX(getcds('CDO Bespoke'!$C161,Y$13,'CDO Bespoke'!$G161/10000,'CDO Bespoke'!H161,'CDO Bespoke'!$L137,'CDO Bespoke'!$C$13,'CDO Bespoke'!$C$14,'CDO Bespoke'!$C$15,'CDO Bespoke'!$C$8,,,TRUE,TRUE,FALSE,'CDO Bespoke'!$C$29:'CDO Bespoke'!$C$31,'CDO Bespoke'!$C$33),{5})),"")</f>
        <v/>
      </c>
      <c r="Z136" s="527" t="str" cm="1">
        <f t="array" aca="1" ref="Z136" ca="1">IF($V136&lt;&gt;"",-TRANSPOSE(INDEX(getcds('CDO Bespoke'!$C161,Z$13,'CDO Bespoke'!$G161/10000,'CDO Bespoke'!I161,'CDO Bespoke'!$L137,'CDO Bespoke'!$C$13,'CDO Bespoke'!$C$14,'CDO Bespoke'!$C$15,'CDO Bespoke'!$C$8,,,TRUE,TRUE,FALSE,'CDO Bespoke'!$C$29:'CDO Bespoke'!$C$31,'CDO Bespoke'!$C$33),{5})),"")</f>
        <v/>
      </c>
      <c r="AA136" s="502" t="str" cm="1">
        <f t="array" aca="1" ref="AA136" ca="1">IF($V136&lt;&gt;"",-TRANSPOSE(INDEX(getcds('CDO Bespoke'!$C161,AA$13,'CDO Bespoke'!$G161/10000,'CDO Bespoke'!J161,'CDO Bespoke'!$L137,'CDO Bespoke'!$C$13,'CDO Bespoke'!$C$14,'CDO Bespoke'!$C$15,'CDO Bespoke'!$C$8,,,TRUE,TRUE,FALSE,'CDO Bespoke'!$C$29:'CDO Bespoke'!$C$31,'CDO Bespoke'!$C$33),{5})),"")</f>
        <v/>
      </c>
      <c r="AB136" s="481"/>
      <c r="AC136" s="517"/>
      <c r="AD136" s="518"/>
      <c r="AE136" s="518"/>
      <c r="AF136" s="518"/>
      <c r="AG136" s="518"/>
      <c r="AH136" s="518"/>
      <c r="AI136" s="518"/>
      <c r="AJ136" s="518"/>
      <c r="AK136" s="518"/>
      <c r="AL136" s="519"/>
      <c r="AM136" s="540"/>
    </row>
    <row r="137" spans="2:39" ht="12" thickBot="1">
      <c r="B137" s="541" t="s">
        <v>547</v>
      </c>
      <c r="C137" s="542" t="s">
        <v>66</v>
      </c>
      <c r="D137" s="542" t="s">
        <v>57</v>
      </c>
      <c r="E137" s="542" t="s">
        <v>661</v>
      </c>
      <c r="F137" s="542" t="s">
        <v>666</v>
      </c>
      <c r="G137" s="549">
        <v>0.01</v>
      </c>
      <c r="H137" s="549">
        <v>3.9699999999999996E-3</v>
      </c>
      <c r="I137" s="551">
        <v>0.4</v>
      </c>
      <c r="J137" s="543">
        <v>38</v>
      </c>
      <c r="K137" s="275"/>
      <c r="L137" s="275"/>
      <c r="M137" s="489" t="str">
        <f ca="1">IF('CDO Bespoke'!O138&lt;&gt;"",'CDO Bespoke'!O138,"")</f>
        <v/>
      </c>
      <c r="N137" s="490" t="str">
        <f ca="1">IF(M137&lt;&gt;"",ABS(MIN(-0.75*('CDO Bespoke'!Q138)+'CDO Bespoke'!T138,0)),"")</f>
        <v/>
      </c>
      <c r="O137" s="490" t="str">
        <f t="shared" ca="1" si="4"/>
        <v/>
      </c>
      <c r="P137" s="490" t="str">
        <f t="shared" ca="1" si="5"/>
        <v/>
      </c>
      <c r="Q137" s="489" t="str">
        <f ca="1">IF('CDO Bespoke'!O138&lt;&gt;"",'CDO Bespoke'!O138,"")</f>
        <v/>
      </c>
      <c r="R137" s="490" t="str">
        <f ca="1">IF(Q137&lt;&gt;"",ABS(MIN(-0.75*('CDO Bespoke'!K138)+'CDO Bespoke'!T138,0)),"")</f>
        <v/>
      </c>
      <c r="S137" s="490" t="str">
        <f t="shared" ca="1" si="6"/>
        <v/>
      </c>
      <c r="T137" s="494" t="str">
        <f t="shared" ca="1" si="7"/>
        <v/>
      </c>
      <c r="U137" s="275"/>
      <c r="V137" s="499" t="str">
        <f ca="1">IF('CDO Bespoke'!C162&lt;&gt;"",'CDO Bespoke'!C162,"")</f>
        <v/>
      </c>
      <c r="W137" s="501" t="str" cm="1">
        <f t="array" aca="1" ref="W137" ca="1">IF($V137&lt;&gt;"",-TRANSPOSE(INDEX(getcds('CDO Bespoke'!$C162,W$13,'CDO Bespoke'!$G162/10000,'CDO Bespoke'!F162,'CDO Bespoke'!$L138,'CDO Bespoke'!$C$13,'CDO Bespoke'!$C$14,'CDO Bespoke'!$C$15,'CDO Bespoke'!$C$8,,,TRUE,TRUE,FALSE,'CDO Bespoke'!$C$29:'CDO Bespoke'!$C$31,'CDO Bespoke'!$C$33),{5})),"")</f>
        <v/>
      </c>
      <c r="X137" s="527" t="str" cm="1">
        <f t="array" aca="1" ref="X137" ca="1">IF($V137&lt;&gt;"",-TRANSPOSE(INDEX(getcds('CDO Bespoke'!$C162,X$13,'CDO Bespoke'!$G162/10000,'CDO Bespoke'!G162,'CDO Bespoke'!$L138,'CDO Bespoke'!$C$13,'CDO Bespoke'!$C$14,'CDO Bespoke'!$C$15,'CDO Bespoke'!$C$8,,,TRUE,TRUE,FALSE,'CDO Bespoke'!$C$29:'CDO Bespoke'!$C$31,'CDO Bespoke'!$C$33),{5})),"")</f>
        <v/>
      </c>
      <c r="Y137" s="527" t="str" cm="1">
        <f t="array" aca="1" ref="Y137" ca="1">IF($V137&lt;&gt;"",-TRANSPOSE(INDEX(getcds('CDO Bespoke'!$C162,Y$13,'CDO Bespoke'!$G162/10000,'CDO Bespoke'!H162,'CDO Bespoke'!$L138,'CDO Bespoke'!$C$13,'CDO Bespoke'!$C$14,'CDO Bespoke'!$C$15,'CDO Bespoke'!$C$8,,,TRUE,TRUE,FALSE,'CDO Bespoke'!$C$29:'CDO Bespoke'!$C$31,'CDO Bespoke'!$C$33),{5})),"")</f>
        <v/>
      </c>
      <c r="Z137" s="527" t="str" cm="1">
        <f t="array" aca="1" ref="Z137" ca="1">IF($V137&lt;&gt;"",-TRANSPOSE(INDEX(getcds('CDO Bespoke'!$C162,Z$13,'CDO Bespoke'!$G162/10000,'CDO Bespoke'!I162,'CDO Bespoke'!$L138,'CDO Bespoke'!$C$13,'CDO Bespoke'!$C$14,'CDO Bespoke'!$C$15,'CDO Bespoke'!$C$8,,,TRUE,TRUE,FALSE,'CDO Bespoke'!$C$29:'CDO Bespoke'!$C$31,'CDO Bespoke'!$C$33),{5})),"")</f>
        <v/>
      </c>
      <c r="AA137" s="502" t="str" cm="1">
        <f t="array" aca="1" ref="AA137" ca="1">IF($V137&lt;&gt;"",-TRANSPOSE(INDEX(getcds('CDO Bespoke'!$C162,AA$13,'CDO Bespoke'!$G162/10000,'CDO Bespoke'!J162,'CDO Bespoke'!$L138,'CDO Bespoke'!$C$13,'CDO Bespoke'!$C$14,'CDO Bespoke'!$C$15,'CDO Bespoke'!$C$8,,,TRUE,TRUE,FALSE,'CDO Bespoke'!$C$29:'CDO Bespoke'!$C$31,'CDO Bespoke'!$C$33),{5})),"")</f>
        <v/>
      </c>
      <c r="AB137" s="481"/>
      <c r="AC137" s="517"/>
      <c r="AD137" s="518"/>
      <c r="AE137" s="518"/>
      <c r="AF137" s="518"/>
      <c r="AG137" s="518"/>
      <c r="AH137" s="518"/>
      <c r="AI137" s="518"/>
      <c r="AJ137" s="518"/>
      <c r="AK137" s="518"/>
      <c r="AL137" s="519"/>
      <c r="AM137" s="540"/>
    </row>
    <row r="138" spans="2:39" ht="12" thickBot="1">
      <c r="B138" s="558" t="s">
        <v>547</v>
      </c>
      <c r="C138" s="559" t="s">
        <v>66</v>
      </c>
      <c r="D138" s="559" t="s">
        <v>59</v>
      </c>
      <c r="E138" s="559" t="s">
        <v>661</v>
      </c>
      <c r="F138" s="559" t="s">
        <v>666</v>
      </c>
      <c r="G138" s="560">
        <v>0.01</v>
      </c>
      <c r="H138" s="560">
        <v>5.692E-3</v>
      </c>
      <c r="I138" s="561">
        <v>0.4</v>
      </c>
      <c r="J138" s="562">
        <v>38</v>
      </c>
      <c r="K138" s="275"/>
      <c r="L138" s="275"/>
      <c r="M138" s="489" t="str">
        <f ca="1">IF('CDO Bespoke'!O139&lt;&gt;"",'CDO Bespoke'!O139,"")</f>
        <v/>
      </c>
      <c r="N138" s="490" t="str">
        <f ca="1">IF(M138&lt;&gt;"",ABS(MIN(-0.75*('CDO Bespoke'!Q139)+'CDO Bespoke'!T139,0)),"")</f>
        <v/>
      </c>
      <c r="O138" s="490" t="str">
        <f t="shared" ca="1" si="4"/>
        <v/>
      </c>
      <c r="P138" s="490" t="str">
        <f t="shared" ca="1" si="5"/>
        <v/>
      </c>
      <c r="Q138" s="489" t="str">
        <f ca="1">IF('CDO Bespoke'!O139&lt;&gt;"",'CDO Bespoke'!O139,"")</f>
        <v/>
      </c>
      <c r="R138" s="490" t="str">
        <f ca="1">IF(Q138&lt;&gt;"",ABS(MIN(-0.75*('CDO Bespoke'!K139)+'CDO Bespoke'!T139,0)),"")</f>
        <v/>
      </c>
      <c r="S138" s="490" t="str">
        <f t="shared" ca="1" si="6"/>
        <v/>
      </c>
      <c r="T138" s="494" t="str">
        <f t="shared" ca="1" si="7"/>
        <v/>
      </c>
      <c r="U138" s="275"/>
      <c r="V138" s="499" t="str">
        <f ca="1">IF('CDO Bespoke'!C163&lt;&gt;"",'CDO Bespoke'!C163,"")</f>
        <v/>
      </c>
      <c r="W138" s="501" t="str" cm="1">
        <f t="array" aca="1" ref="W138" ca="1">IF($V138&lt;&gt;"",-TRANSPOSE(INDEX(getcds('CDO Bespoke'!$C163,W$13,'CDO Bespoke'!$G163/10000,'CDO Bespoke'!F163,'CDO Bespoke'!$L139,'CDO Bespoke'!$C$13,'CDO Bespoke'!$C$14,'CDO Bespoke'!$C$15,'CDO Bespoke'!$C$8,,,TRUE,TRUE,FALSE,'CDO Bespoke'!$C$29:'CDO Bespoke'!$C$31,'CDO Bespoke'!$C$33),{5})),"")</f>
        <v/>
      </c>
      <c r="X138" s="527" t="str" cm="1">
        <f t="array" aca="1" ref="X138" ca="1">IF($V138&lt;&gt;"",-TRANSPOSE(INDEX(getcds('CDO Bespoke'!$C163,X$13,'CDO Bespoke'!$G163/10000,'CDO Bespoke'!G163,'CDO Bespoke'!$L139,'CDO Bespoke'!$C$13,'CDO Bespoke'!$C$14,'CDO Bespoke'!$C$15,'CDO Bespoke'!$C$8,,,TRUE,TRUE,FALSE,'CDO Bespoke'!$C$29:'CDO Bespoke'!$C$31,'CDO Bespoke'!$C$33),{5})),"")</f>
        <v/>
      </c>
      <c r="Y138" s="527" t="str" cm="1">
        <f t="array" aca="1" ref="Y138" ca="1">IF($V138&lt;&gt;"",-TRANSPOSE(INDEX(getcds('CDO Bespoke'!$C163,Y$13,'CDO Bespoke'!$G163/10000,'CDO Bespoke'!H163,'CDO Bespoke'!$L139,'CDO Bespoke'!$C$13,'CDO Bespoke'!$C$14,'CDO Bespoke'!$C$15,'CDO Bespoke'!$C$8,,,TRUE,TRUE,FALSE,'CDO Bespoke'!$C$29:'CDO Bespoke'!$C$31,'CDO Bespoke'!$C$33),{5})),"")</f>
        <v/>
      </c>
      <c r="Z138" s="527" t="str" cm="1">
        <f t="array" aca="1" ref="Z138" ca="1">IF($V138&lt;&gt;"",-TRANSPOSE(INDEX(getcds('CDO Bespoke'!$C163,Z$13,'CDO Bespoke'!$G163/10000,'CDO Bespoke'!I163,'CDO Bespoke'!$L139,'CDO Bespoke'!$C$13,'CDO Bespoke'!$C$14,'CDO Bespoke'!$C$15,'CDO Bespoke'!$C$8,,,TRUE,TRUE,FALSE,'CDO Bespoke'!$C$29:'CDO Bespoke'!$C$31,'CDO Bespoke'!$C$33),{5})),"")</f>
        <v/>
      </c>
      <c r="AA138" s="502" t="str" cm="1">
        <f t="array" aca="1" ref="AA138" ca="1">IF($V138&lt;&gt;"",-TRANSPOSE(INDEX(getcds('CDO Bespoke'!$C163,AA$13,'CDO Bespoke'!$G163/10000,'CDO Bespoke'!J163,'CDO Bespoke'!$L139,'CDO Bespoke'!$C$13,'CDO Bespoke'!$C$14,'CDO Bespoke'!$C$15,'CDO Bespoke'!$C$8,,,TRUE,TRUE,FALSE,'CDO Bespoke'!$C$29:'CDO Bespoke'!$C$31,'CDO Bespoke'!$C$33),{5})),"")</f>
        <v/>
      </c>
      <c r="AB138" s="481"/>
      <c r="AC138" s="517"/>
      <c r="AD138" s="518"/>
      <c r="AE138" s="518"/>
      <c r="AF138" s="518"/>
      <c r="AG138" s="518"/>
      <c r="AH138" s="518"/>
      <c r="AI138" s="518"/>
      <c r="AJ138" s="518"/>
      <c r="AK138" s="518"/>
      <c r="AL138" s="519"/>
      <c r="AM138" s="540"/>
    </row>
    <row r="139" spans="2:39" ht="12" thickBot="1">
      <c r="B139" s="563" t="s">
        <v>548</v>
      </c>
      <c r="C139" s="564" t="s">
        <v>66</v>
      </c>
      <c r="D139" s="564" t="s">
        <v>55</v>
      </c>
      <c r="E139" s="564" t="s">
        <v>663</v>
      </c>
      <c r="F139" s="564" t="s">
        <v>666</v>
      </c>
      <c r="G139" s="565">
        <v>0.01</v>
      </c>
      <c r="H139" s="565">
        <v>3.9449999999999997E-3</v>
      </c>
      <c r="I139" s="566">
        <v>0.4</v>
      </c>
      <c r="J139" s="567">
        <v>39</v>
      </c>
      <c r="K139" s="275"/>
      <c r="L139" s="275"/>
      <c r="M139" s="489" t="str">
        <f ca="1">IF('CDO Bespoke'!O140&lt;&gt;"",'CDO Bespoke'!O140,"")</f>
        <v/>
      </c>
      <c r="N139" s="490" t="str">
        <f ca="1">IF(M139&lt;&gt;"",ABS(MIN(-0.75*('CDO Bespoke'!Q140)+'CDO Bespoke'!T140,0)),"")</f>
        <v/>
      </c>
      <c r="O139" s="490" t="str">
        <f t="shared" ca="1" si="4"/>
        <v/>
      </c>
      <c r="P139" s="490" t="str">
        <f t="shared" ca="1" si="5"/>
        <v/>
      </c>
      <c r="Q139" s="489" t="str">
        <f ca="1">IF('CDO Bespoke'!O140&lt;&gt;"",'CDO Bespoke'!O140,"")</f>
        <v/>
      </c>
      <c r="R139" s="490" t="str">
        <f ca="1">IF(Q139&lt;&gt;"",ABS(MIN(-0.75*('CDO Bespoke'!K140)+'CDO Bespoke'!T140,0)),"")</f>
        <v/>
      </c>
      <c r="S139" s="490" t="str">
        <f t="shared" ca="1" si="6"/>
        <v/>
      </c>
      <c r="T139" s="494" t="str">
        <f t="shared" ca="1" si="7"/>
        <v/>
      </c>
      <c r="U139" s="275"/>
      <c r="V139" s="499" t="str">
        <f ca="1">IF('CDO Bespoke'!C164&lt;&gt;"",'CDO Bespoke'!C164,"")</f>
        <v/>
      </c>
      <c r="W139" s="501" t="str" cm="1">
        <f t="array" aca="1" ref="W139" ca="1">IF($V139&lt;&gt;"",-TRANSPOSE(INDEX(getcds('CDO Bespoke'!$C164,W$13,'CDO Bespoke'!$G164/10000,'CDO Bespoke'!F164,'CDO Bespoke'!$L140,'CDO Bespoke'!$C$13,'CDO Bespoke'!$C$14,'CDO Bespoke'!$C$15,'CDO Bespoke'!$C$8,,,TRUE,TRUE,FALSE,'CDO Bespoke'!$C$29:'CDO Bespoke'!$C$31,'CDO Bespoke'!$C$33),{5})),"")</f>
        <v/>
      </c>
      <c r="X139" s="527" t="str" cm="1">
        <f t="array" aca="1" ref="X139" ca="1">IF($V139&lt;&gt;"",-TRANSPOSE(INDEX(getcds('CDO Bespoke'!$C164,X$13,'CDO Bespoke'!$G164/10000,'CDO Bespoke'!G164,'CDO Bespoke'!$L140,'CDO Bespoke'!$C$13,'CDO Bespoke'!$C$14,'CDO Bespoke'!$C$15,'CDO Bespoke'!$C$8,,,TRUE,TRUE,FALSE,'CDO Bespoke'!$C$29:'CDO Bespoke'!$C$31,'CDO Bespoke'!$C$33),{5})),"")</f>
        <v/>
      </c>
      <c r="Y139" s="527" t="str" cm="1">
        <f t="array" aca="1" ref="Y139" ca="1">IF($V139&lt;&gt;"",-TRANSPOSE(INDEX(getcds('CDO Bespoke'!$C164,Y$13,'CDO Bespoke'!$G164/10000,'CDO Bespoke'!H164,'CDO Bespoke'!$L140,'CDO Bespoke'!$C$13,'CDO Bespoke'!$C$14,'CDO Bespoke'!$C$15,'CDO Bespoke'!$C$8,,,TRUE,TRUE,FALSE,'CDO Bespoke'!$C$29:'CDO Bespoke'!$C$31,'CDO Bespoke'!$C$33),{5})),"")</f>
        <v/>
      </c>
      <c r="Z139" s="527" t="str" cm="1">
        <f t="array" aca="1" ref="Z139" ca="1">IF($V139&lt;&gt;"",-TRANSPOSE(INDEX(getcds('CDO Bespoke'!$C164,Z$13,'CDO Bespoke'!$G164/10000,'CDO Bespoke'!I164,'CDO Bespoke'!$L140,'CDO Bespoke'!$C$13,'CDO Bespoke'!$C$14,'CDO Bespoke'!$C$15,'CDO Bespoke'!$C$8,,,TRUE,TRUE,FALSE,'CDO Bespoke'!$C$29:'CDO Bespoke'!$C$31,'CDO Bespoke'!$C$33),{5})),"")</f>
        <v/>
      </c>
      <c r="AA139" s="502" t="str" cm="1">
        <f t="array" aca="1" ref="AA139" ca="1">IF($V139&lt;&gt;"",-TRANSPOSE(INDEX(getcds('CDO Bespoke'!$C164,AA$13,'CDO Bespoke'!$G164/10000,'CDO Bespoke'!J164,'CDO Bespoke'!$L140,'CDO Bespoke'!$C$13,'CDO Bespoke'!$C$14,'CDO Bespoke'!$C$15,'CDO Bespoke'!$C$8,,,TRUE,TRUE,FALSE,'CDO Bespoke'!$C$29:'CDO Bespoke'!$C$31,'CDO Bespoke'!$C$33),{5})),"")</f>
        <v/>
      </c>
      <c r="AB139" s="481"/>
      <c r="AC139" s="517"/>
      <c r="AD139" s="518"/>
      <c r="AE139" s="518"/>
      <c r="AF139" s="518"/>
      <c r="AG139" s="518"/>
      <c r="AH139" s="518"/>
      <c r="AI139" s="518"/>
      <c r="AJ139" s="518"/>
      <c r="AK139" s="518"/>
      <c r="AL139" s="519"/>
      <c r="AM139" s="540"/>
    </row>
    <row r="140" spans="2:39" ht="12" thickBot="1">
      <c r="B140" s="541" t="s">
        <v>548</v>
      </c>
      <c r="C140" s="542" t="s">
        <v>66</v>
      </c>
      <c r="D140" s="542" t="s">
        <v>57</v>
      </c>
      <c r="E140" s="542" t="s">
        <v>663</v>
      </c>
      <c r="F140" s="542" t="s">
        <v>666</v>
      </c>
      <c r="G140" s="549">
        <v>0.01</v>
      </c>
      <c r="H140" s="549">
        <v>6.7390000000000002E-3</v>
      </c>
      <c r="I140" s="551">
        <v>0.4</v>
      </c>
      <c r="J140" s="543">
        <v>39</v>
      </c>
      <c r="K140" s="275"/>
      <c r="L140" s="275"/>
      <c r="M140" s="489" t="str">
        <f ca="1">IF('CDO Bespoke'!O141&lt;&gt;"",'CDO Bespoke'!O141,"")</f>
        <v/>
      </c>
      <c r="N140" s="490" t="str">
        <f ca="1">IF(M140&lt;&gt;"",ABS(MIN(-0.75*('CDO Bespoke'!Q141)+'CDO Bespoke'!T141,0)),"")</f>
        <v/>
      </c>
      <c r="O140" s="490" t="str">
        <f t="shared" ca="1" si="4"/>
        <v/>
      </c>
      <c r="P140" s="490" t="str">
        <f t="shared" ca="1" si="5"/>
        <v/>
      </c>
      <c r="Q140" s="489" t="str">
        <f ca="1">IF('CDO Bespoke'!O141&lt;&gt;"",'CDO Bespoke'!O141,"")</f>
        <v/>
      </c>
      <c r="R140" s="490" t="str">
        <f ca="1">IF(Q140&lt;&gt;"",ABS(MIN(-0.75*('CDO Bespoke'!K141)+'CDO Bespoke'!T141,0)),"")</f>
        <v/>
      </c>
      <c r="S140" s="490" t="str">
        <f t="shared" ca="1" si="6"/>
        <v/>
      </c>
      <c r="T140" s="494" t="str">
        <f t="shared" ca="1" si="7"/>
        <v/>
      </c>
      <c r="U140" s="275"/>
      <c r="V140" s="499" t="str">
        <f ca="1">IF('CDO Bespoke'!C165&lt;&gt;"",'CDO Bespoke'!C165,"")</f>
        <v/>
      </c>
      <c r="W140" s="501" t="str" cm="1">
        <f t="array" aca="1" ref="W140" ca="1">IF($V140&lt;&gt;"",-TRANSPOSE(INDEX(getcds('CDO Bespoke'!$C165,W$13,'CDO Bespoke'!$G165/10000,'CDO Bespoke'!F165,'CDO Bespoke'!$L141,'CDO Bespoke'!$C$13,'CDO Bespoke'!$C$14,'CDO Bespoke'!$C$15,'CDO Bespoke'!$C$8,,,TRUE,TRUE,FALSE,'CDO Bespoke'!$C$29:'CDO Bespoke'!$C$31,'CDO Bespoke'!$C$33),{5})),"")</f>
        <v/>
      </c>
      <c r="X140" s="527" t="str" cm="1">
        <f t="array" aca="1" ref="X140" ca="1">IF($V140&lt;&gt;"",-TRANSPOSE(INDEX(getcds('CDO Bespoke'!$C165,X$13,'CDO Bespoke'!$G165/10000,'CDO Bespoke'!G165,'CDO Bespoke'!$L141,'CDO Bespoke'!$C$13,'CDO Bespoke'!$C$14,'CDO Bespoke'!$C$15,'CDO Bespoke'!$C$8,,,TRUE,TRUE,FALSE,'CDO Bespoke'!$C$29:'CDO Bespoke'!$C$31,'CDO Bespoke'!$C$33),{5})),"")</f>
        <v/>
      </c>
      <c r="Y140" s="527" t="str" cm="1">
        <f t="array" aca="1" ref="Y140" ca="1">IF($V140&lt;&gt;"",-TRANSPOSE(INDEX(getcds('CDO Bespoke'!$C165,Y$13,'CDO Bespoke'!$G165/10000,'CDO Bespoke'!H165,'CDO Bespoke'!$L141,'CDO Bespoke'!$C$13,'CDO Bespoke'!$C$14,'CDO Bespoke'!$C$15,'CDO Bespoke'!$C$8,,,TRUE,TRUE,FALSE,'CDO Bespoke'!$C$29:'CDO Bespoke'!$C$31,'CDO Bespoke'!$C$33),{5})),"")</f>
        <v/>
      </c>
      <c r="Z140" s="527" t="str" cm="1">
        <f t="array" aca="1" ref="Z140" ca="1">IF($V140&lt;&gt;"",-TRANSPOSE(INDEX(getcds('CDO Bespoke'!$C165,Z$13,'CDO Bespoke'!$G165/10000,'CDO Bespoke'!I165,'CDO Bespoke'!$L141,'CDO Bespoke'!$C$13,'CDO Bespoke'!$C$14,'CDO Bespoke'!$C$15,'CDO Bespoke'!$C$8,,,TRUE,TRUE,FALSE,'CDO Bespoke'!$C$29:'CDO Bespoke'!$C$31,'CDO Bespoke'!$C$33),{5})),"")</f>
        <v/>
      </c>
      <c r="AA140" s="502" t="str" cm="1">
        <f t="array" aca="1" ref="AA140" ca="1">IF($V140&lt;&gt;"",-TRANSPOSE(INDEX(getcds('CDO Bespoke'!$C165,AA$13,'CDO Bespoke'!$G165/10000,'CDO Bespoke'!J165,'CDO Bespoke'!$L141,'CDO Bespoke'!$C$13,'CDO Bespoke'!$C$14,'CDO Bespoke'!$C$15,'CDO Bespoke'!$C$8,,,TRUE,TRUE,FALSE,'CDO Bespoke'!$C$29:'CDO Bespoke'!$C$31,'CDO Bespoke'!$C$33),{5})),"")</f>
        <v/>
      </c>
      <c r="AB140" s="481"/>
      <c r="AC140" s="517"/>
      <c r="AD140" s="518"/>
      <c r="AE140" s="518"/>
      <c r="AF140" s="518"/>
      <c r="AG140" s="518"/>
      <c r="AH140" s="518"/>
      <c r="AI140" s="518"/>
      <c r="AJ140" s="518"/>
      <c r="AK140" s="518"/>
      <c r="AL140" s="519"/>
      <c r="AM140" s="540"/>
    </row>
    <row r="141" spans="2:39" ht="12" thickBot="1">
      <c r="B141" s="558" t="s">
        <v>548</v>
      </c>
      <c r="C141" s="559" t="s">
        <v>66</v>
      </c>
      <c r="D141" s="559" t="s">
        <v>59</v>
      </c>
      <c r="E141" s="559" t="s">
        <v>663</v>
      </c>
      <c r="F141" s="559" t="s">
        <v>666</v>
      </c>
      <c r="G141" s="560">
        <v>0.01</v>
      </c>
      <c r="H141" s="560">
        <v>9.7630000000000008E-3</v>
      </c>
      <c r="I141" s="561">
        <v>0.4</v>
      </c>
      <c r="J141" s="562">
        <v>39</v>
      </c>
      <c r="K141" s="275"/>
      <c r="L141" s="275"/>
      <c r="M141" s="489" t="str">
        <f ca="1">IF('CDO Bespoke'!O142&lt;&gt;"",'CDO Bespoke'!O142,"")</f>
        <v/>
      </c>
      <c r="N141" s="490" t="str">
        <f ca="1">IF(M141&lt;&gt;"",ABS(MIN(-0.75*('CDO Bespoke'!Q142)+'CDO Bespoke'!T142,0)),"")</f>
        <v/>
      </c>
      <c r="O141" s="490" t="str">
        <f t="shared" ca="1" si="4"/>
        <v/>
      </c>
      <c r="P141" s="490" t="str">
        <f t="shared" ca="1" si="5"/>
        <v/>
      </c>
      <c r="Q141" s="489" t="str">
        <f ca="1">IF('CDO Bespoke'!O142&lt;&gt;"",'CDO Bespoke'!O142,"")</f>
        <v/>
      </c>
      <c r="R141" s="490" t="str">
        <f ca="1">IF(Q141&lt;&gt;"",ABS(MIN(-0.75*('CDO Bespoke'!K142)+'CDO Bespoke'!T142,0)),"")</f>
        <v/>
      </c>
      <c r="S141" s="490" t="str">
        <f t="shared" ca="1" si="6"/>
        <v/>
      </c>
      <c r="T141" s="494" t="str">
        <f t="shared" ca="1" si="7"/>
        <v/>
      </c>
      <c r="U141" s="275"/>
      <c r="V141" s="499" t="str">
        <f ca="1">IF('CDO Bespoke'!C166&lt;&gt;"",'CDO Bespoke'!C166,"")</f>
        <v/>
      </c>
      <c r="W141" s="501" t="str" cm="1">
        <f t="array" aca="1" ref="W141" ca="1">IF($V141&lt;&gt;"",-TRANSPOSE(INDEX(getcds('CDO Bespoke'!$C166,W$13,'CDO Bespoke'!$G166/10000,'CDO Bespoke'!F166,'CDO Bespoke'!$L142,'CDO Bespoke'!$C$13,'CDO Bespoke'!$C$14,'CDO Bespoke'!$C$15,'CDO Bespoke'!$C$8,,,TRUE,TRUE,FALSE,'CDO Bespoke'!$C$29:'CDO Bespoke'!$C$31,'CDO Bespoke'!$C$33),{5})),"")</f>
        <v/>
      </c>
      <c r="X141" s="527" t="str" cm="1">
        <f t="array" aca="1" ref="X141" ca="1">IF($V141&lt;&gt;"",-TRANSPOSE(INDEX(getcds('CDO Bespoke'!$C166,X$13,'CDO Bespoke'!$G166/10000,'CDO Bespoke'!G166,'CDO Bespoke'!$L142,'CDO Bespoke'!$C$13,'CDO Bespoke'!$C$14,'CDO Bespoke'!$C$15,'CDO Bespoke'!$C$8,,,TRUE,TRUE,FALSE,'CDO Bespoke'!$C$29:'CDO Bespoke'!$C$31,'CDO Bespoke'!$C$33),{5})),"")</f>
        <v/>
      </c>
      <c r="Y141" s="527" t="str" cm="1">
        <f t="array" aca="1" ref="Y141" ca="1">IF($V141&lt;&gt;"",-TRANSPOSE(INDEX(getcds('CDO Bespoke'!$C166,Y$13,'CDO Bespoke'!$G166/10000,'CDO Bespoke'!H166,'CDO Bespoke'!$L142,'CDO Bespoke'!$C$13,'CDO Bespoke'!$C$14,'CDO Bespoke'!$C$15,'CDO Bespoke'!$C$8,,,TRUE,TRUE,FALSE,'CDO Bespoke'!$C$29:'CDO Bespoke'!$C$31,'CDO Bespoke'!$C$33),{5})),"")</f>
        <v/>
      </c>
      <c r="Z141" s="527" t="str" cm="1">
        <f t="array" aca="1" ref="Z141" ca="1">IF($V141&lt;&gt;"",-TRANSPOSE(INDEX(getcds('CDO Bespoke'!$C166,Z$13,'CDO Bespoke'!$G166/10000,'CDO Bespoke'!I166,'CDO Bespoke'!$L142,'CDO Bespoke'!$C$13,'CDO Bespoke'!$C$14,'CDO Bespoke'!$C$15,'CDO Bespoke'!$C$8,,,TRUE,TRUE,FALSE,'CDO Bespoke'!$C$29:'CDO Bespoke'!$C$31,'CDO Bespoke'!$C$33),{5})),"")</f>
        <v/>
      </c>
      <c r="AA141" s="502" t="str" cm="1">
        <f t="array" aca="1" ref="AA141" ca="1">IF($V141&lt;&gt;"",-TRANSPOSE(INDEX(getcds('CDO Bespoke'!$C166,AA$13,'CDO Bespoke'!$G166/10000,'CDO Bespoke'!J166,'CDO Bespoke'!$L142,'CDO Bespoke'!$C$13,'CDO Bespoke'!$C$14,'CDO Bespoke'!$C$15,'CDO Bespoke'!$C$8,,,TRUE,TRUE,FALSE,'CDO Bespoke'!$C$29:'CDO Bespoke'!$C$31,'CDO Bespoke'!$C$33),{5})),"")</f>
        <v/>
      </c>
      <c r="AB141" s="481"/>
      <c r="AC141" s="517"/>
      <c r="AD141" s="518"/>
      <c r="AE141" s="518"/>
      <c r="AF141" s="518"/>
      <c r="AG141" s="518"/>
      <c r="AH141" s="518"/>
      <c r="AI141" s="518"/>
      <c r="AJ141" s="518"/>
      <c r="AK141" s="518"/>
      <c r="AL141" s="519"/>
      <c r="AM141" s="540"/>
    </row>
    <row r="142" spans="2:39" ht="12" thickBot="1">
      <c r="B142" s="563" t="s">
        <v>564</v>
      </c>
      <c r="C142" s="564" t="s">
        <v>66</v>
      </c>
      <c r="D142" s="564" t="s">
        <v>55</v>
      </c>
      <c r="E142" s="564" t="s">
        <v>668</v>
      </c>
      <c r="F142" s="564" t="s">
        <v>666</v>
      </c>
      <c r="G142" s="565">
        <v>0.01</v>
      </c>
      <c r="H142" s="565">
        <v>1.738E-3</v>
      </c>
      <c r="I142" s="566">
        <v>0.4</v>
      </c>
      <c r="J142" s="567">
        <v>40</v>
      </c>
      <c r="K142" s="275"/>
      <c r="L142" s="275"/>
      <c r="M142" s="489" t="str">
        <f ca="1">IF('CDO Bespoke'!O143&lt;&gt;"",'CDO Bespoke'!O143,"")</f>
        <v/>
      </c>
      <c r="N142" s="490" t="str">
        <f ca="1">IF(M142&lt;&gt;"",ABS(MIN(-0.75*('CDO Bespoke'!Q143)+'CDO Bespoke'!T143,0)),"")</f>
        <v/>
      </c>
      <c r="O142" s="490" t="str">
        <f t="shared" ref="O142:O205" ca="1" si="8">IF(M142&lt;&gt;"",IF($N$8,MAX(M142-N142,0),M142),"")</f>
        <v/>
      </c>
      <c r="P142" s="490" t="str">
        <f t="shared" ref="P142:P205" ca="1" si="9">IF(M142&lt;&gt;"",IF($N$8,0,N142),"")</f>
        <v/>
      </c>
      <c r="Q142" s="489" t="str">
        <f ca="1">IF('CDO Bespoke'!O143&lt;&gt;"",'CDO Bespoke'!O143,"")</f>
        <v/>
      </c>
      <c r="R142" s="490" t="str">
        <f ca="1">IF(Q142&lt;&gt;"",ABS(MIN(-0.75*('CDO Bespoke'!K143)+'CDO Bespoke'!T143,0)),"")</f>
        <v/>
      </c>
      <c r="S142" s="490" t="str">
        <f t="shared" ref="S142:S205" ca="1" si="10">IF(Q142&lt;&gt;"",IF($N$8,MAX(Q142-R142,0),Q142),"")</f>
        <v/>
      </c>
      <c r="T142" s="494" t="str">
        <f t="shared" ref="T142:T205" ca="1" si="11">IF(Q142&lt;&gt;"",IF($N$8,0,R142),"")</f>
        <v/>
      </c>
      <c r="U142" s="275"/>
      <c r="V142" s="499" t="str">
        <f ca="1">IF('CDO Bespoke'!C167&lt;&gt;"",'CDO Bespoke'!C167,"")</f>
        <v/>
      </c>
      <c r="W142" s="501" t="str" cm="1">
        <f t="array" aca="1" ref="W142" ca="1">IF($V142&lt;&gt;"",-TRANSPOSE(INDEX(getcds('CDO Bespoke'!$C167,W$13,'CDO Bespoke'!$G167/10000,'CDO Bespoke'!F167,'CDO Bespoke'!$L143,'CDO Bespoke'!$C$13,'CDO Bespoke'!$C$14,'CDO Bespoke'!$C$15,'CDO Bespoke'!$C$8,,,TRUE,TRUE,FALSE,'CDO Bespoke'!$C$29:'CDO Bespoke'!$C$31,'CDO Bespoke'!$C$33),{5})),"")</f>
        <v/>
      </c>
      <c r="X142" s="527" t="str" cm="1">
        <f t="array" aca="1" ref="X142" ca="1">IF($V142&lt;&gt;"",-TRANSPOSE(INDEX(getcds('CDO Bespoke'!$C167,X$13,'CDO Bespoke'!$G167/10000,'CDO Bespoke'!G167,'CDO Bespoke'!$L143,'CDO Bespoke'!$C$13,'CDO Bespoke'!$C$14,'CDO Bespoke'!$C$15,'CDO Bespoke'!$C$8,,,TRUE,TRUE,FALSE,'CDO Bespoke'!$C$29:'CDO Bespoke'!$C$31,'CDO Bespoke'!$C$33),{5})),"")</f>
        <v/>
      </c>
      <c r="Y142" s="527" t="str" cm="1">
        <f t="array" aca="1" ref="Y142" ca="1">IF($V142&lt;&gt;"",-TRANSPOSE(INDEX(getcds('CDO Bespoke'!$C167,Y$13,'CDO Bespoke'!$G167/10000,'CDO Bespoke'!H167,'CDO Bespoke'!$L143,'CDO Bespoke'!$C$13,'CDO Bespoke'!$C$14,'CDO Bespoke'!$C$15,'CDO Bespoke'!$C$8,,,TRUE,TRUE,FALSE,'CDO Bespoke'!$C$29:'CDO Bespoke'!$C$31,'CDO Bespoke'!$C$33),{5})),"")</f>
        <v/>
      </c>
      <c r="Z142" s="527" t="str" cm="1">
        <f t="array" aca="1" ref="Z142" ca="1">IF($V142&lt;&gt;"",-TRANSPOSE(INDEX(getcds('CDO Bespoke'!$C167,Z$13,'CDO Bespoke'!$G167/10000,'CDO Bespoke'!I167,'CDO Bespoke'!$L143,'CDO Bespoke'!$C$13,'CDO Bespoke'!$C$14,'CDO Bespoke'!$C$15,'CDO Bespoke'!$C$8,,,TRUE,TRUE,FALSE,'CDO Bespoke'!$C$29:'CDO Bespoke'!$C$31,'CDO Bespoke'!$C$33),{5})),"")</f>
        <v/>
      </c>
      <c r="AA142" s="502" t="str" cm="1">
        <f t="array" aca="1" ref="AA142" ca="1">IF($V142&lt;&gt;"",-TRANSPOSE(INDEX(getcds('CDO Bespoke'!$C167,AA$13,'CDO Bespoke'!$G167/10000,'CDO Bespoke'!J167,'CDO Bespoke'!$L143,'CDO Bespoke'!$C$13,'CDO Bespoke'!$C$14,'CDO Bespoke'!$C$15,'CDO Bespoke'!$C$8,,,TRUE,TRUE,FALSE,'CDO Bespoke'!$C$29:'CDO Bespoke'!$C$31,'CDO Bespoke'!$C$33),{5})),"")</f>
        <v/>
      </c>
      <c r="AB142" s="481"/>
      <c r="AC142" s="517"/>
      <c r="AD142" s="518"/>
      <c r="AE142" s="518"/>
      <c r="AF142" s="518"/>
      <c r="AG142" s="518"/>
      <c r="AH142" s="518"/>
      <c r="AI142" s="518"/>
      <c r="AJ142" s="518"/>
      <c r="AK142" s="518"/>
      <c r="AL142" s="519"/>
      <c r="AM142" s="540"/>
    </row>
    <row r="143" spans="2:39" ht="12" thickBot="1">
      <c r="B143" s="541" t="s">
        <v>564</v>
      </c>
      <c r="C143" s="542" t="s">
        <v>66</v>
      </c>
      <c r="D143" s="542" t="s">
        <v>57</v>
      </c>
      <c r="E143" s="542" t="s">
        <v>668</v>
      </c>
      <c r="F143" s="542" t="s">
        <v>666</v>
      </c>
      <c r="G143" s="549">
        <v>0.01</v>
      </c>
      <c r="H143" s="549">
        <v>2.9610000000000001E-3</v>
      </c>
      <c r="I143" s="551">
        <v>0.4</v>
      </c>
      <c r="J143" s="543">
        <v>40</v>
      </c>
      <c r="K143" s="275"/>
      <c r="L143" s="275"/>
      <c r="M143" s="489" t="str">
        <f ca="1">IF('CDO Bespoke'!O144&lt;&gt;"",'CDO Bespoke'!O144,"")</f>
        <v/>
      </c>
      <c r="N143" s="490" t="str">
        <f ca="1">IF(M143&lt;&gt;"",ABS(MIN(-0.75*('CDO Bespoke'!Q144)+'CDO Bespoke'!T144,0)),"")</f>
        <v/>
      </c>
      <c r="O143" s="490" t="str">
        <f t="shared" ca="1" si="8"/>
        <v/>
      </c>
      <c r="P143" s="490" t="str">
        <f t="shared" ca="1" si="9"/>
        <v/>
      </c>
      <c r="Q143" s="489" t="str">
        <f ca="1">IF('CDO Bespoke'!O144&lt;&gt;"",'CDO Bespoke'!O144,"")</f>
        <v/>
      </c>
      <c r="R143" s="490" t="str">
        <f ca="1">IF(Q143&lt;&gt;"",ABS(MIN(-0.75*('CDO Bespoke'!K144)+'CDO Bespoke'!T144,0)),"")</f>
        <v/>
      </c>
      <c r="S143" s="490" t="str">
        <f t="shared" ca="1" si="10"/>
        <v/>
      </c>
      <c r="T143" s="494" t="str">
        <f t="shared" ca="1" si="11"/>
        <v/>
      </c>
      <c r="U143" s="275"/>
      <c r="V143" s="499" t="str">
        <f ca="1">IF('CDO Bespoke'!C168&lt;&gt;"",'CDO Bespoke'!C168,"")</f>
        <v/>
      </c>
      <c r="W143" s="501" t="str" cm="1">
        <f t="array" aca="1" ref="W143" ca="1">IF($V143&lt;&gt;"",-TRANSPOSE(INDEX(getcds('CDO Bespoke'!$C168,W$13,'CDO Bespoke'!$G168/10000,'CDO Bespoke'!F168,'CDO Bespoke'!$L144,'CDO Bespoke'!$C$13,'CDO Bespoke'!$C$14,'CDO Bespoke'!$C$15,'CDO Bespoke'!$C$8,,,TRUE,TRUE,FALSE,'CDO Bespoke'!$C$29:'CDO Bespoke'!$C$31,'CDO Bespoke'!$C$33),{5})),"")</f>
        <v/>
      </c>
      <c r="X143" s="527" t="str" cm="1">
        <f t="array" aca="1" ref="X143" ca="1">IF($V143&lt;&gt;"",-TRANSPOSE(INDEX(getcds('CDO Bespoke'!$C168,X$13,'CDO Bespoke'!$G168/10000,'CDO Bespoke'!G168,'CDO Bespoke'!$L144,'CDO Bespoke'!$C$13,'CDO Bespoke'!$C$14,'CDO Bespoke'!$C$15,'CDO Bespoke'!$C$8,,,TRUE,TRUE,FALSE,'CDO Bespoke'!$C$29:'CDO Bespoke'!$C$31,'CDO Bespoke'!$C$33),{5})),"")</f>
        <v/>
      </c>
      <c r="Y143" s="527" t="str" cm="1">
        <f t="array" aca="1" ref="Y143" ca="1">IF($V143&lt;&gt;"",-TRANSPOSE(INDEX(getcds('CDO Bespoke'!$C168,Y$13,'CDO Bespoke'!$G168/10000,'CDO Bespoke'!H168,'CDO Bespoke'!$L144,'CDO Bespoke'!$C$13,'CDO Bespoke'!$C$14,'CDO Bespoke'!$C$15,'CDO Bespoke'!$C$8,,,TRUE,TRUE,FALSE,'CDO Bespoke'!$C$29:'CDO Bespoke'!$C$31,'CDO Bespoke'!$C$33),{5})),"")</f>
        <v/>
      </c>
      <c r="Z143" s="527" t="str" cm="1">
        <f t="array" aca="1" ref="Z143" ca="1">IF($V143&lt;&gt;"",-TRANSPOSE(INDEX(getcds('CDO Bespoke'!$C168,Z$13,'CDO Bespoke'!$G168/10000,'CDO Bespoke'!I168,'CDO Bespoke'!$L144,'CDO Bespoke'!$C$13,'CDO Bespoke'!$C$14,'CDO Bespoke'!$C$15,'CDO Bespoke'!$C$8,,,TRUE,TRUE,FALSE,'CDO Bespoke'!$C$29:'CDO Bespoke'!$C$31,'CDO Bespoke'!$C$33),{5})),"")</f>
        <v/>
      </c>
      <c r="AA143" s="502" t="str" cm="1">
        <f t="array" aca="1" ref="AA143" ca="1">IF($V143&lt;&gt;"",-TRANSPOSE(INDEX(getcds('CDO Bespoke'!$C168,AA$13,'CDO Bespoke'!$G168/10000,'CDO Bespoke'!J168,'CDO Bespoke'!$L144,'CDO Bespoke'!$C$13,'CDO Bespoke'!$C$14,'CDO Bespoke'!$C$15,'CDO Bespoke'!$C$8,,,TRUE,TRUE,FALSE,'CDO Bespoke'!$C$29:'CDO Bespoke'!$C$31,'CDO Bespoke'!$C$33),{5})),"")</f>
        <v/>
      </c>
      <c r="AB143" s="481"/>
      <c r="AC143" s="517"/>
      <c r="AD143" s="518"/>
      <c r="AE143" s="518"/>
      <c r="AF143" s="518"/>
      <c r="AG143" s="518"/>
      <c r="AH143" s="518"/>
      <c r="AI143" s="518"/>
      <c r="AJ143" s="518"/>
      <c r="AK143" s="518"/>
      <c r="AL143" s="519"/>
      <c r="AM143" s="540"/>
    </row>
    <row r="144" spans="2:39" ht="12" thickBot="1">
      <c r="B144" s="558" t="s">
        <v>564</v>
      </c>
      <c r="C144" s="559" t="s">
        <v>66</v>
      </c>
      <c r="D144" s="559" t="s">
        <v>59</v>
      </c>
      <c r="E144" s="559" t="s">
        <v>668</v>
      </c>
      <c r="F144" s="559" t="s">
        <v>666</v>
      </c>
      <c r="G144" s="560">
        <v>0.01</v>
      </c>
      <c r="H144" s="560">
        <v>4.1469999999999996E-3</v>
      </c>
      <c r="I144" s="561">
        <v>0.4</v>
      </c>
      <c r="J144" s="562">
        <v>40</v>
      </c>
      <c r="K144" s="275"/>
      <c r="L144" s="275"/>
      <c r="M144" s="489" t="str">
        <f ca="1">IF('CDO Bespoke'!O145&lt;&gt;"",'CDO Bespoke'!O145,"")</f>
        <v/>
      </c>
      <c r="N144" s="490" t="str">
        <f ca="1">IF(M144&lt;&gt;"",ABS(MIN(-0.75*('CDO Bespoke'!Q145)+'CDO Bespoke'!T145,0)),"")</f>
        <v/>
      </c>
      <c r="O144" s="490" t="str">
        <f t="shared" ca="1" si="8"/>
        <v/>
      </c>
      <c r="P144" s="490" t="str">
        <f t="shared" ca="1" si="9"/>
        <v/>
      </c>
      <c r="Q144" s="489" t="str">
        <f ca="1">IF('CDO Bespoke'!O145&lt;&gt;"",'CDO Bespoke'!O145,"")</f>
        <v/>
      </c>
      <c r="R144" s="490" t="str">
        <f ca="1">IF(Q144&lt;&gt;"",ABS(MIN(-0.75*('CDO Bespoke'!K145)+'CDO Bespoke'!T145,0)),"")</f>
        <v/>
      </c>
      <c r="S144" s="490" t="str">
        <f t="shared" ca="1" si="10"/>
        <v/>
      </c>
      <c r="T144" s="494" t="str">
        <f t="shared" ca="1" si="11"/>
        <v/>
      </c>
      <c r="U144" s="275"/>
      <c r="V144" s="499" t="str">
        <f ca="1">IF('CDO Bespoke'!C169&lt;&gt;"",'CDO Bespoke'!C169,"")</f>
        <v/>
      </c>
      <c r="W144" s="501" t="str" cm="1">
        <f t="array" aca="1" ref="W144" ca="1">IF($V144&lt;&gt;"",-TRANSPOSE(INDEX(getcds('CDO Bespoke'!$C169,W$13,'CDO Bespoke'!$G169/10000,'CDO Bespoke'!F169,'CDO Bespoke'!$L145,'CDO Bespoke'!$C$13,'CDO Bespoke'!$C$14,'CDO Bespoke'!$C$15,'CDO Bespoke'!$C$8,,,TRUE,TRUE,FALSE,'CDO Bespoke'!$C$29:'CDO Bespoke'!$C$31,'CDO Bespoke'!$C$33),{5})),"")</f>
        <v/>
      </c>
      <c r="X144" s="527" t="str" cm="1">
        <f t="array" aca="1" ref="X144" ca="1">IF($V144&lt;&gt;"",-TRANSPOSE(INDEX(getcds('CDO Bespoke'!$C169,X$13,'CDO Bespoke'!$G169/10000,'CDO Bespoke'!G169,'CDO Bespoke'!$L145,'CDO Bespoke'!$C$13,'CDO Bespoke'!$C$14,'CDO Bespoke'!$C$15,'CDO Bespoke'!$C$8,,,TRUE,TRUE,FALSE,'CDO Bespoke'!$C$29:'CDO Bespoke'!$C$31,'CDO Bespoke'!$C$33),{5})),"")</f>
        <v/>
      </c>
      <c r="Y144" s="527" t="str" cm="1">
        <f t="array" aca="1" ref="Y144" ca="1">IF($V144&lt;&gt;"",-TRANSPOSE(INDEX(getcds('CDO Bespoke'!$C169,Y$13,'CDO Bespoke'!$G169/10000,'CDO Bespoke'!H169,'CDO Bespoke'!$L145,'CDO Bespoke'!$C$13,'CDO Bespoke'!$C$14,'CDO Bespoke'!$C$15,'CDO Bespoke'!$C$8,,,TRUE,TRUE,FALSE,'CDO Bespoke'!$C$29:'CDO Bespoke'!$C$31,'CDO Bespoke'!$C$33),{5})),"")</f>
        <v/>
      </c>
      <c r="Z144" s="527" t="str" cm="1">
        <f t="array" aca="1" ref="Z144" ca="1">IF($V144&lt;&gt;"",-TRANSPOSE(INDEX(getcds('CDO Bespoke'!$C169,Z$13,'CDO Bespoke'!$G169/10000,'CDO Bespoke'!I169,'CDO Bespoke'!$L145,'CDO Bespoke'!$C$13,'CDO Bespoke'!$C$14,'CDO Bespoke'!$C$15,'CDO Bespoke'!$C$8,,,TRUE,TRUE,FALSE,'CDO Bespoke'!$C$29:'CDO Bespoke'!$C$31,'CDO Bespoke'!$C$33),{5})),"")</f>
        <v/>
      </c>
      <c r="AA144" s="502" t="str" cm="1">
        <f t="array" aca="1" ref="AA144" ca="1">IF($V144&lt;&gt;"",-TRANSPOSE(INDEX(getcds('CDO Bespoke'!$C169,AA$13,'CDO Bespoke'!$G169/10000,'CDO Bespoke'!J169,'CDO Bespoke'!$L145,'CDO Bespoke'!$C$13,'CDO Bespoke'!$C$14,'CDO Bespoke'!$C$15,'CDO Bespoke'!$C$8,,,TRUE,TRUE,FALSE,'CDO Bespoke'!$C$29:'CDO Bespoke'!$C$31,'CDO Bespoke'!$C$33),{5})),"")</f>
        <v/>
      </c>
      <c r="AB144" s="481"/>
      <c r="AC144" s="517"/>
      <c r="AD144" s="518"/>
      <c r="AE144" s="518"/>
      <c r="AF144" s="518"/>
      <c r="AG144" s="518"/>
      <c r="AH144" s="518"/>
      <c r="AI144" s="518"/>
      <c r="AJ144" s="518"/>
      <c r="AK144" s="518"/>
      <c r="AL144" s="519"/>
      <c r="AM144" s="540"/>
    </row>
    <row r="145" spans="2:39" ht="12" thickBot="1">
      <c r="B145" s="563" t="s">
        <v>549</v>
      </c>
      <c r="C145" s="564" t="s">
        <v>66</v>
      </c>
      <c r="D145" s="564" t="s">
        <v>55</v>
      </c>
      <c r="E145" s="564" t="s">
        <v>663</v>
      </c>
      <c r="F145" s="564" t="s">
        <v>666</v>
      </c>
      <c r="G145" s="565">
        <v>0.01</v>
      </c>
      <c r="H145" s="565">
        <v>2.8939999999999999E-3</v>
      </c>
      <c r="I145" s="566">
        <v>0.4</v>
      </c>
      <c r="J145" s="567">
        <v>41</v>
      </c>
      <c r="K145" s="275"/>
      <c r="L145" s="275"/>
      <c r="M145" s="489" t="str">
        <f ca="1">IF('CDO Bespoke'!O146&lt;&gt;"",'CDO Bespoke'!O146,"")</f>
        <v/>
      </c>
      <c r="N145" s="490" t="str">
        <f ca="1">IF(M145&lt;&gt;"",ABS(MIN(-0.75*('CDO Bespoke'!Q146)+'CDO Bespoke'!T146,0)),"")</f>
        <v/>
      </c>
      <c r="O145" s="490" t="str">
        <f t="shared" ca="1" si="8"/>
        <v/>
      </c>
      <c r="P145" s="490" t="str">
        <f t="shared" ca="1" si="9"/>
        <v/>
      </c>
      <c r="Q145" s="489" t="str">
        <f ca="1">IF('CDO Bespoke'!O146&lt;&gt;"",'CDO Bespoke'!O146,"")</f>
        <v/>
      </c>
      <c r="R145" s="490" t="str">
        <f ca="1">IF(Q145&lt;&gt;"",ABS(MIN(-0.75*('CDO Bespoke'!K146)+'CDO Bespoke'!T146,0)),"")</f>
        <v/>
      </c>
      <c r="S145" s="490" t="str">
        <f t="shared" ca="1" si="10"/>
        <v/>
      </c>
      <c r="T145" s="494" t="str">
        <f t="shared" ca="1" si="11"/>
        <v/>
      </c>
      <c r="U145" s="275"/>
      <c r="V145" s="499" t="str">
        <f ca="1">IF('CDO Bespoke'!C170&lt;&gt;"",'CDO Bespoke'!C170,"")</f>
        <v/>
      </c>
      <c r="W145" s="501" t="str" cm="1">
        <f t="array" aca="1" ref="W145" ca="1">IF($V145&lt;&gt;"",-TRANSPOSE(INDEX(getcds('CDO Bespoke'!$C170,W$13,'CDO Bespoke'!$G170/10000,'CDO Bespoke'!F170,'CDO Bespoke'!$L146,'CDO Bespoke'!$C$13,'CDO Bespoke'!$C$14,'CDO Bespoke'!$C$15,'CDO Bespoke'!$C$8,,,TRUE,TRUE,FALSE,'CDO Bespoke'!$C$29:'CDO Bespoke'!$C$31,'CDO Bespoke'!$C$33),{5})),"")</f>
        <v/>
      </c>
      <c r="X145" s="527" t="str" cm="1">
        <f t="array" aca="1" ref="X145" ca="1">IF($V145&lt;&gt;"",-TRANSPOSE(INDEX(getcds('CDO Bespoke'!$C170,X$13,'CDO Bespoke'!$G170/10000,'CDO Bespoke'!G170,'CDO Bespoke'!$L146,'CDO Bespoke'!$C$13,'CDO Bespoke'!$C$14,'CDO Bespoke'!$C$15,'CDO Bespoke'!$C$8,,,TRUE,TRUE,FALSE,'CDO Bespoke'!$C$29:'CDO Bespoke'!$C$31,'CDO Bespoke'!$C$33),{5})),"")</f>
        <v/>
      </c>
      <c r="Y145" s="527" t="str" cm="1">
        <f t="array" aca="1" ref="Y145" ca="1">IF($V145&lt;&gt;"",-TRANSPOSE(INDEX(getcds('CDO Bespoke'!$C170,Y$13,'CDO Bespoke'!$G170/10000,'CDO Bespoke'!H170,'CDO Bespoke'!$L146,'CDO Bespoke'!$C$13,'CDO Bespoke'!$C$14,'CDO Bespoke'!$C$15,'CDO Bespoke'!$C$8,,,TRUE,TRUE,FALSE,'CDO Bespoke'!$C$29:'CDO Bespoke'!$C$31,'CDO Bespoke'!$C$33),{5})),"")</f>
        <v/>
      </c>
      <c r="Z145" s="527" t="str" cm="1">
        <f t="array" aca="1" ref="Z145" ca="1">IF($V145&lt;&gt;"",-TRANSPOSE(INDEX(getcds('CDO Bespoke'!$C170,Z$13,'CDO Bespoke'!$G170/10000,'CDO Bespoke'!I170,'CDO Bespoke'!$L146,'CDO Bespoke'!$C$13,'CDO Bespoke'!$C$14,'CDO Bespoke'!$C$15,'CDO Bespoke'!$C$8,,,TRUE,TRUE,FALSE,'CDO Bespoke'!$C$29:'CDO Bespoke'!$C$31,'CDO Bespoke'!$C$33),{5})),"")</f>
        <v/>
      </c>
      <c r="AA145" s="502" t="str" cm="1">
        <f t="array" aca="1" ref="AA145" ca="1">IF($V145&lt;&gt;"",-TRANSPOSE(INDEX(getcds('CDO Bespoke'!$C170,AA$13,'CDO Bespoke'!$G170/10000,'CDO Bespoke'!J170,'CDO Bespoke'!$L146,'CDO Bespoke'!$C$13,'CDO Bespoke'!$C$14,'CDO Bespoke'!$C$15,'CDO Bespoke'!$C$8,,,TRUE,TRUE,FALSE,'CDO Bespoke'!$C$29:'CDO Bespoke'!$C$31,'CDO Bespoke'!$C$33),{5})),"")</f>
        <v/>
      </c>
      <c r="AB145" s="481"/>
      <c r="AC145" s="517"/>
      <c r="AD145" s="518"/>
      <c r="AE145" s="518"/>
      <c r="AF145" s="518"/>
      <c r="AG145" s="518"/>
      <c r="AH145" s="518"/>
      <c r="AI145" s="518"/>
      <c r="AJ145" s="518"/>
      <c r="AK145" s="518"/>
      <c r="AL145" s="519"/>
      <c r="AM145" s="540"/>
    </row>
    <row r="146" spans="2:39" ht="12" thickBot="1">
      <c r="B146" s="541" t="s">
        <v>549</v>
      </c>
      <c r="C146" s="542" t="s">
        <v>66</v>
      </c>
      <c r="D146" s="542" t="s">
        <v>57</v>
      </c>
      <c r="E146" s="542" t="s">
        <v>663</v>
      </c>
      <c r="F146" s="542" t="s">
        <v>666</v>
      </c>
      <c r="G146" s="549">
        <v>0.01</v>
      </c>
      <c r="H146" s="549">
        <v>5.0400000000000002E-3</v>
      </c>
      <c r="I146" s="551">
        <v>0.4</v>
      </c>
      <c r="J146" s="543">
        <v>41</v>
      </c>
      <c r="K146" s="275"/>
      <c r="L146" s="275"/>
      <c r="M146" s="489" t="str">
        <f ca="1">IF('CDO Bespoke'!O147&lt;&gt;"",'CDO Bespoke'!O147,"")</f>
        <v/>
      </c>
      <c r="N146" s="490" t="str">
        <f ca="1">IF(M146&lt;&gt;"",ABS(MIN(-0.75*('CDO Bespoke'!Q147)+'CDO Bespoke'!T147,0)),"")</f>
        <v/>
      </c>
      <c r="O146" s="490" t="str">
        <f t="shared" ca="1" si="8"/>
        <v/>
      </c>
      <c r="P146" s="490" t="str">
        <f t="shared" ca="1" si="9"/>
        <v/>
      </c>
      <c r="Q146" s="489" t="str">
        <f ca="1">IF('CDO Bespoke'!O147&lt;&gt;"",'CDO Bespoke'!O147,"")</f>
        <v/>
      </c>
      <c r="R146" s="490" t="str">
        <f ca="1">IF(Q146&lt;&gt;"",ABS(MIN(-0.75*('CDO Bespoke'!K147)+'CDO Bespoke'!T147,0)),"")</f>
        <v/>
      </c>
      <c r="S146" s="490" t="str">
        <f t="shared" ca="1" si="10"/>
        <v/>
      </c>
      <c r="T146" s="494" t="str">
        <f t="shared" ca="1" si="11"/>
        <v/>
      </c>
      <c r="U146" s="275"/>
      <c r="V146" s="499" t="str">
        <f ca="1">IF('CDO Bespoke'!C171&lt;&gt;"",'CDO Bespoke'!C171,"")</f>
        <v/>
      </c>
      <c r="W146" s="501" t="str" cm="1">
        <f t="array" aca="1" ref="W146" ca="1">IF($V146&lt;&gt;"",-TRANSPOSE(INDEX(getcds('CDO Bespoke'!$C171,W$13,'CDO Bespoke'!$G171/10000,'CDO Bespoke'!F171,'CDO Bespoke'!$L147,'CDO Bespoke'!$C$13,'CDO Bespoke'!$C$14,'CDO Bespoke'!$C$15,'CDO Bespoke'!$C$8,,,TRUE,TRUE,FALSE,'CDO Bespoke'!$C$29:'CDO Bespoke'!$C$31,'CDO Bespoke'!$C$33),{5})),"")</f>
        <v/>
      </c>
      <c r="X146" s="527" t="str" cm="1">
        <f t="array" aca="1" ref="X146" ca="1">IF($V146&lt;&gt;"",-TRANSPOSE(INDEX(getcds('CDO Bespoke'!$C171,X$13,'CDO Bespoke'!$G171/10000,'CDO Bespoke'!G171,'CDO Bespoke'!$L147,'CDO Bespoke'!$C$13,'CDO Bespoke'!$C$14,'CDO Bespoke'!$C$15,'CDO Bespoke'!$C$8,,,TRUE,TRUE,FALSE,'CDO Bespoke'!$C$29:'CDO Bespoke'!$C$31,'CDO Bespoke'!$C$33),{5})),"")</f>
        <v/>
      </c>
      <c r="Y146" s="527" t="str" cm="1">
        <f t="array" aca="1" ref="Y146" ca="1">IF($V146&lt;&gt;"",-TRANSPOSE(INDEX(getcds('CDO Bespoke'!$C171,Y$13,'CDO Bespoke'!$G171/10000,'CDO Bespoke'!H171,'CDO Bespoke'!$L147,'CDO Bespoke'!$C$13,'CDO Bespoke'!$C$14,'CDO Bespoke'!$C$15,'CDO Bespoke'!$C$8,,,TRUE,TRUE,FALSE,'CDO Bespoke'!$C$29:'CDO Bespoke'!$C$31,'CDO Bespoke'!$C$33),{5})),"")</f>
        <v/>
      </c>
      <c r="Z146" s="527" t="str" cm="1">
        <f t="array" aca="1" ref="Z146" ca="1">IF($V146&lt;&gt;"",-TRANSPOSE(INDEX(getcds('CDO Bespoke'!$C171,Z$13,'CDO Bespoke'!$G171/10000,'CDO Bespoke'!I171,'CDO Bespoke'!$L147,'CDO Bespoke'!$C$13,'CDO Bespoke'!$C$14,'CDO Bespoke'!$C$15,'CDO Bespoke'!$C$8,,,TRUE,TRUE,FALSE,'CDO Bespoke'!$C$29:'CDO Bespoke'!$C$31,'CDO Bespoke'!$C$33),{5})),"")</f>
        <v/>
      </c>
      <c r="AA146" s="502" t="str" cm="1">
        <f t="array" aca="1" ref="AA146" ca="1">IF($V146&lt;&gt;"",-TRANSPOSE(INDEX(getcds('CDO Bespoke'!$C171,AA$13,'CDO Bespoke'!$G171/10000,'CDO Bespoke'!J171,'CDO Bespoke'!$L147,'CDO Bespoke'!$C$13,'CDO Bespoke'!$C$14,'CDO Bespoke'!$C$15,'CDO Bespoke'!$C$8,,,TRUE,TRUE,FALSE,'CDO Bespoke'!$C$29:'CDO Bespoke'!$C$31,'CDO Bespoke'!$C$33),{5})),"")</f>
        <v/>
      </c>
      <c r="AB146" s="481"/>
      <c r="AC146" s="517"/>
      <c r="AD146" s="518"/>
      <c r="AE146" s="518"/>
      <c r="AF146" s="518"/>
      <c r="AG146" s="518"/>
      <c r="AH146" s="518"/>
      <c r="AI146" s="518"/>
      <c r="AJ146" s="518"/>
      <c r="AK146" s="518"/>
      <c r="AL146" s="519"/>
      <c r="AM146" s="540"/>
    </row>
    <row r="147" spans="2:39" ht="12" thickBot="1">
      <c r="B147" s="558" t="s">
        <v>549</v>
      </c>
      <c r="C147" s="559" t="s">
        <v>66</v>
      </c>
      <c r="D147" s="559" t="s">
        <v>59</v>
      </c>
      <c r="E147" s="559" t="s">
        <v>663</v>
      </c>
      <c r="F147" s="559" t="s">
        <v>666</v>
      </c>
      <c r="G147" s="560">
        <v>0.01</v>
      </c>
      <c r="H147" s="560">
        <v>7.5799999999999999E-3</v>
      </c>
      <c r="I147" s="561">
        <v>0.4</v>
      </c>
      <c r="J147" s="562">
        <v>41</v>
      </c>
      <c r="K147" s="275"/>
      <c r="L147" s="275"/>
      <c r="M147" s="489" t="str">
        <f ca="1">IF('CDO Bespoke'!O148&lt;&gt;"",'CDO Bespoke'!O148,"")</f>
        <v/>
      </c>
      <c r="N147" s="490" t="str">
        <f ca="1">IF(M147&lt;&gt;"",ABS(MIN(-0.75*('CDO Bespoke'!Q148)+'CDO Bespoke'!T148,0)),"")</f>
        <v/>
      </c>
      <c r="O147" s="490" t="str">
        <f t="shared" ca="1" si="8"/>
        <v/>
      </c>
      <c r="P147" s="490" t="str">
        <f t="shared" ca="1" si="9"/>
        <v/>
      </c>
      <c r="Q147" s="489" t="str">
        <f ca="1">IF('CDO Bespoke'!O148&lt;&gt;"",'CDO Bespoke'!O148,"")</f>
        <v/>
      </c>
      <c r="R147" s="490" t="str">
        <f ca="1">IF(Q147&lt;&gt;"",ABS(MIN(-0.75*('CDO Bespoke'!K148)+'CDO Bespoke'!T148,0)),"")</f>
        <v/>
      </c>
      <c r="S147" s="490" t="str">
        <f t="shared" ca="1" si="10"/>
        <v/>
      </c>
      <c r="T147" s="494" t="str">
        <f t="shared" ca="1" si="11"/>
        <v/>
      </c>
      <c r="U147" s="275"/>
      <c r="V147" s="499" t="str">
        <f ca="1">IF('CDO Bespoke'!C172&lt;&gt;"",'CDO Bespoke'!C172,"")</f>
        <v/>
      </c>
      <c r="W147" s="501" t="str" cm="1">
        <f t="array" aca="1" ref="W147" ca="1">IF($V147&lt;&gt;"",-TRANSPOSE(INDEX(getcds('CDO Bespoke'!$C172,W$13,'CDO Bespoke'!$G172/10000,'CDO Bespoke'!F172,'CDO Bespoke'!$L148,'CDO Bespoke'!$C$13,'CDO Bespoke'!$C$14,'CDO Bespoke'!$C$15,'CDO Bespoke'!$C$8,,,TRUE,TRUE,FALSE,'CDO Bespoke'!$C$29:'CDO Bespoke'!$C$31,'CDO Bespoke'!$C$33),{5})),"")</f>
        <v/>
      </c>
      <c r="X147" s="527" t="str" cm="1">
        <f t="array" aca="1" ref="X147" ca="1">IF($V147&lt;&gt;"",-TRANSPOSE(INDEX(getcds('CDO Bespoke'!$C172,X$13,'CDO Bespoke'!$G172/10000,'CDO Bespoke'!G172,'CDO Bespoke'!$L148,'CDO Bespoke'!$C$13,'CDO Bespoke'!$C$14,'CDO Bespoke'!$C$15,'CDO Bespoke'!$C$8,,,TRUE,TRUE,FALSE,'CDO Bespoke'!$C$29:'CDO Bespoke'!$C$31,'CDO Bespoke'!$C$33),{5})),"")</f>
        <v/>
      </c>
      <c r="Y147" s="527" t="str" cm="1">
        <f t="array" aca="1" ref="Y147" ca="1">IF($V147&lt;&gt;"",-TRANSPOSE(INDEX(getcds('CDO Bespoke'!$C172,Y$13,'CDO Bespoke'!$G172/10000,'CDO Bespoke'!H172,'CDO Bespoke'!$L148,'CDO Bespoke'!$C$13,'CDO Bespoke'!$C$14,'CDO Bespoke'!$C$15,'CDO Bespoke'!$C$8,,,TRUE,TRUE,FALSE,'CDO Bespoke'!$C$29:'CDO Bespoke'!$C$31,'CDO Bespoke'!$C$33),{5})),"")</f>
        <v/>
      </c>
      <c r="Z147" s="527" t="str" cm="1">
        <f t="array" aca="1" ref="Z147" ca="1">IF($V147&lt;&gt;"",-TRANSPOSE(INDEX(getcds('CDO Bespoke'!$C172,Z$13,'CDO Bespoke'!$G172/10000,'CDO Bespoke'!I172,'CDO Bespoke'!$L148,'CDO Bespoke'!$C$13,'CDO Bespoke'!$C$14,'CDO Bespoke'!$C$15,'CDO Bespoke'!$C$8,,,TRUE,TRUE,FALSE,'CDO Bespoke'!$C$29:'CDO Bespoke'!$C$31,'CDO Bespoke'!$C$33),{5})),"")</f>
        <v/>
      </c>
      <c r="AA147" s="502" t="str" cm="1">
        <f t="array" aca="1" ref="AA147" ca="1">IF($V147&lt;&gt;"",-TRANSPOSE(INDEX(getcds('CDO Bespoke'!$C172,AA$13,'CDO Bespoke'!$G172/10000,'CDO Bespoke'!J172,'CDO Bespoke'!$L148,'CDO Bespoke'!$C$13,'CDO Bespoke'!$C$14,'CDO Bespoke'!$C$15,'CDO Bespoke'!$C$8,,,TRUE,TRUE,FALSE,'CDO Bespoke'!$C$29:'CDO Bespoke'!$C$31,'CDO Bespoke'!$C$33),{5})),"")</f>
        <v/>
      </c>
      <c r="AB147" s="481"/>
      <c r="AC147" s="517"/>
      <c r="AD147" s="518"/>
      <c r="AE147" s="518"/>
      <c r="AF147" s="518"/>
      <c r="AG147" s="518"/>
      <c r="AH147" s="518"/>
      <c r="AI147" s="518"/>
      <c r="AJ147" s="518"/>
      <c r="AK147" s="518"/>
      <c r="AL147" s="519"/>
      <c r="AM147" s="540"/>
    </row>
    <row r="148" spans="2:39" ht="12" thickBot="1">
      <c r="B148" s="563" t="s">
        <v>550</v>
      </c>
      <c r="C148" s="564" t="s">
        <v>66</v>
      </c>
      <c r="D148" s="564" t="s">
        <v>55</v>
      </c>
      <c r="E148" s="564" t="s">
        <v>668</v>
      </c>
      <c r="F148" s="564" t="s">
        <v>666</v>
      </c>
      <c r="G148" s="565">
        <v>0.01</v>
      </c>
      <c r="H148" s="565">
        <v>1.31E-3</v>
      </c>
      <c r="I148" s="566">
        <v>0.4</v>
      </c>
      <c r="J148" s="567">
        <v>42</v>
      </c>
      <c r="K148" s="275"/>
      <c r="L148" s="275"/>
      <c r="M148" s="489" t="str">
        <f ca="1">IF('CDO Bespoke'!O149&lt;&gt;"",'CDO Bespoke'!O149,"")</f>
        <v/>
      </c>
      <c r="N148" s="490" t="str">
        <f ca="1">IF(M148&lt;&gt;"",ABS(MIN(-0.75*('CDO Bespoke'!Q149)+'CDO Bespoke'!T149,0)),"")</f>
        <v/>
      </c>
      <c r="O148" s="490" t="str">
        <f t="shared" ca="1" si="8"/>
        <v/>
      </c>
      <c r="P148" s="490" t="str">
        <f t="shared" ca="1" si="9"/>
        <v/>
      </c>
      <c r="Q148" s="489" t="str">
        <f ca="1">IF('CDO Bespoke'!O149&lt;&gt;"",'CDO Bespoke'!O149,"")</f>
        <v/>
      </c>
      <c r="R148" s="490" t="str">
        <f ca="1">IF(Q148&lt;&gt;"",ABS(MIN(-0.75*('CDO Bespoke'!K149)+'CDO Bespoke'!T149,0)),"")</f>
        <v/>
      </c>
      <c r="S148" s="490" t="str">
        <f t="shared" ca="1" si="10"/>
        <v/>
      </c>
      <c r="T148" s="494" t="str">
        <f t="shared" ca="1" si="11"/>
        <v/>
      </c>
      <c r="U148" s="275"/>
      <c r="V148" s="499" t="str">
        <f ca="1">IF('CDO Bespoke'!C173&lt;&gt;"",'CDO Bespoke'!C173,"")</f>
        <v/>
      </c>
      <c r="W148" s="501" t="str" cm="1">
        <f t="array" aca="1" ref="W148" ca="1">IF($V148&lt;&gt;"",-TRANSPOSE(INDEX(getcds('CDO Bespoke'!$C173,W$13,'CDO Bespoke'!$G173/10000,'CDO Bespoke'!F173,'CDO Bespoke'!$L149,'CDO Bespoke'!$C$13,'CDO Bespoke'!$C$14,'CDO Bespoke'!$C$15,'CDO Bespoke'!$C$8,,,TRUE,TRUE,FALSE,'CDO Bespoke'!$C$29:'CDO Bespoke'!$C$31,'CDO Bespoke'!$C$33),{5})),"")</f>
        <v/>
      </c>
      <c r="X148" s="527" t="str" cm="1">
        <f t="array" aca="1" ref="X148" ca="1">IF($V148&lt;&gt;"",-TRANSPOSE(INDEX(getcds('CDO Bespoke'!$C173,X$13,'CDO Bespoke'!$G173/10000,'CDO Bespoke'!G173,'CDO Bespoke'!$L149,'CDO Bespoke'!$C$13,'CDO Bespoke'!$C$14,'CDO Bespoke'!$C$15,'CDO Bespoke'!$C$8,,,TRUE,TRUE,FALSE,'CDO Bespoke'!$C$29:'CDO Bespoke'!$C$31,'CDO Bespoke'!$C$33),{5})),"")</f>
        <v/>
      </c>
      <c r="Y148" s="527" t="str" cm="1">
        <f t="array" aca="1" ref="Y148" ca="1">IF($V148&lt;&gt;"",-TRANSPOSE(INDEX(getcds('CDO Bespoke'!$C173,Y$13,'CDO Bespoke'!$G173/10000,'CDO Bespoke'!H173,'CDO Bespoke'!$L149,'CDO Bespoke'!$C$13,'CDO Bespoke'!$C$14,'CDO Bespoke'!$C$15,'CDO Bespoke'!$C$8,,,TRUE,TRUE,FALSE,'CDO Bespoke'!$C$29:'CDO Bespoke'!$C$31,'CDO Bespoke'!$C$33),{5})),"")</f>
        <v/>
      </c>
      <c r="Z148" s="527" t="str" cm="1">
        <f t="array" aca="1" ref="Z148" ca="1">IF($V148&lt;&gt;"",-TRANSPOSE(INDEX(getcds('CDO Bespoke'!$C173,Z$13,'CDO Bespoke'!$G173/10000,'CDO Bespoke'!I173,'CDO Bespoke'!$L149,'CDO Bespoke'!$C$13,'CDO Bespoke'!$C$14,'CDO Bespoke'!$C$15,'CDO Bespoke'!$C$8,,,TRUE,TRUE,FALSE,'CDO Bespoke'!$C$29:'CDO Bespoke'!$C$31,'CDO Bespoke'!$C$33),{5})),"")</f>
        <v/>
      </c>
      <c r="AA148" s="502" t="str" cm="1">
        <f t="array" aca="1" ref="AA148" ca="1">IF($V148&lt;&gt;"",-TRANSPOSE(INDEX(getcds('CDO Bespoke'!$C173,AA$13,'CDO Bespoke'!$G173/10000,'CDO Bespoke'!J173,'CDO Bespoke'!$L149,'CDO Bespoke'!$C$13,'CDO Bespoke'!$C$14,'CDO Bespoke'!$C$15,'CDO Bespoke'!$C$8,,,TRUE,TRUE,FALSE,'CDO Bespoke'!$C$29:'CDO Bespoke'!$C$31,'CDO Bespoke'!$C$33),{5})),"")</f>
        <v/>
      </c>
      <c r="AB148" s="481"/>
      <c r="AC148" s="517"/>
      <c r="AD148" s="518"/>
      <c r="AE148" s="518"/>
      <c r="AF148" s="518"/>
      <c r="AG148" s="518"/>
      <c r="AH148" s="518"/>
      <c r="AI148" s="518"/>
      <c r="AJ148" s="518"/>
      <c r="AK148" s="518"/>
      <c r="AL148" s="519"/>
      <c r="AM148" s="540"/>
    </row>
    <row r="149" spans="2:39" ht="12" thickBot="1">
      <c r="B149" s="541" t="s">
        <v>550</v>
      </c>
      <c r="C149" s="542" t="s">
        <v>66</v>
      </c>
      <c r="D149" s="542" t="s">
        <v>57</v>
      </c>
      <c r="E149" s="542" t="s">
        <v>668</v>
      </c>
      <c r="F149" s="542" t="s">
        <v>666</v>
      </c>
      <c r="G149" s="549">
        <v>0.01</v>
      </c>
      <c r="H149" s="549">
        <v>2.2300000000000002E-3</v>
      </c>
      <c r="I149" s="551">
        <v>0.4</v>
      </c>
      <c r="J149" s="543">
        <v>42</v>
      </c>
      <c r="K149" s="275"/>
      <c r="L149" s="275"/>
      <c r="M149" s="489" t="str">
        <f ca="1">IF('CDO Bespoke'!O150&lt;&gt;"",'CDO Bespoke'!O150,"")</f>
        <v/>
      </c>
      <c r="N149" s="490" t="str">
        <f ca="1">IF(M149&lt;&gt;"",ABS(MIN(-0.75*('CDO Bespoke'!Q150)+'CDO Bespoke'!T150,0)),"")</f>
        <v/>
      </c>
      <c r="O149" s="490" t="str">
        <f t="shared" ca="1" si="8"/>
        <v/>
      </c>
      <c r="P149" s="490" t="str">
        <f t="shared" ca="1" si="9"/>
        <v/>
      </c>
      <c r="Q149" s="489" t="str">
        <f ca="1">IF('CDO Bespoke'!O150&lt;&gt;"",'CDO Bespoke'!O150,"")</f>
        <v/>
      </c>
      <c r="R149" s="490" t="str">
        <f ca="1">IF(Q149&lt;&gt;"",ABS(MIN(-0.75*('CDO Bespoke'!K150)+'CDO Bespoke'!T150,0)),"")</f>
        <v/>
      </c>
      <c r="S149" s="490" t="str">
        <f t="shared" ca="1" si="10"/>
        <v/>
      </c>
      <c r="T149" s="494" t="str">
        <f t="shared" ca="1" si="11"/>
        <v/>
      </c>
      <c r="U149" s="275"/>
      <c r="V149" s="499" t="str">
        <f ca="1">IF('CDO Bespoke'!C174&lt;&gt;"",'CDO Bespoke'!C174,"")</f>
        <v/>
      </c>
      <c r="W149" s="501" t="str" cm="1">
        <f t="array" aca="1" ref="W149" ca="1">IF($V149&lt;&gt;"",-TRANSPOSE(INDEX(getcds('CDO Bespoke'!$C174,W$13,'CDO Bespoke'!$G174/10000,'CDO Bespoke'!F174,'CDO Bespoke'!$L150,'CDO Bespoke'!$C$13,'CDO Bespoke'!$C$14,'CDO Bespoke'!$C$15,'CDO Bespoke'!$C$8,,,TRUE,TRUE,FALSE,'CDO Bespoke'!$C$29:'CDO Bespoke'!$C$31,'CDO Bespoke'!$C$33),{5})),"")</f>
        <v/>
      </c>
      <c r="X149" s="527" t="str" cm="1">
        <f t="array" aca="1" ref="X149" ca="1">IF($V149&lt;&gt;"",-TRANSPOSE(INDEX(getcds('CDO Bespoke'!$C174,X$13,'CDO Bespoke'!$G174/10000,'CDO Bespoke'!G174,'CDO Bespoke'!$L150,'CDO Bespoke'!$C$13,'CDO Bespoke'!$C$14,'CDO Bespoke'!$C$15,'CDO Bespoke'!$C$8,,,TRUE,TRUE,FALSE,'CDO Bespoke'!$C$29:'CDO Bespoke'!$C$31,'CDO Bespoke'!$C$33),{5})),"")</f>
        <v/>
      </c>
      <c r="Y149" s="527" t="str" cm="1">
        <f t="array" aca="1" ref="Y149" ca="1">IF($V149&lt;&gt;"",-TRANSPOSE(INDEX(getcds('CDO Bespoke'!$C174,Y$13,'CDO Bespoke'!$G174/10000,'CDO Bespoke'!H174,'CDO Bespoke'!$L150,'CDO Bespoke'!$C$13,'CDO Bespoke'!$C$14,'CDO Bespoke'!$C$15,'CDO Bespoke'!$C$8,,,TRUE,TRUE,FALSE,'CDO Bespoke'!$C$29:'CDO Bespoke'!$C$31,'CDO Bespoke'!$C$33),{5})),"")</f>
        <v/>
      </c>
      <c r="Z149" s="527" t="str" cm="1">
        <f t="array" aca="1" ref="Z149" ca="1">IF($V149&lt;&gt;"",-TRANSPOSE(INDEX(getcds('CDO Bespoke'!$C174,Z$13,'CDO Bespoke'!$G174/10000,'CDO Bespoke'!I174,'CDO Bespoke'!$L150,'CDO Bespoke'!$C$13,'CDO Bespoke'!$C$14,'CDO Bespoke'!$C$15,'CDO Bespoke'!$C$8,,,TRUE,TRUE,FALSE,'CDO Bespoke'!$C$29:'CDO Bespoke'!$C$31,'CDO Bespoke'!$C$33),{5})),"")</f>
        <v/>
      </c>
      <c r="AA149" s="502" t="str" cm="1">
        <f t="array" aca="1" ref="AA149" ca="1">IF($V149&lt;&gt;"",-TRANSPOSE(INDEX(getcds('CDO Bespoke'!$C174,AA$13,'CDO Bespoke'!$G174/10000,'CDO Bespoke'!J174,'CDO Bespoke'!$L150,'CDO Bespoke'!$C$13,'CDO Bespoke'!$C$14,'CDO Bespoke'!$C$15,'CDO Bespoke'!$C$8,,,TRUE,TRUE,FALSE,'CDO Bespoke'!$C$29:'CDO Bespoke'!$C$31,'CDO Bespoke'!$C$33),{5})),"")</f>
        <v/>
      </c>
      <c r="AB149" s="481"/>
      <c r="AC149" s="517"/>
      <c r="AD149" s="518"/>
      <c r="AE149" s="518"/>
      <c r="AF149" s="518"/>
      <c r="AG149" s="518"/>
      <c r="AH149" s="518"/>
      <c r="AI149" s="518"/>
      <c r="AJ149" s="518"/>
      <c r="AK149" s="518"/>
      <c r="AL149" s="519"/>
      <c r="AM149" s="540"/>
    </row>
    <row r="150" spans="2:39" ht="12" thickBot="1">
      <c r="B150" s="558" t="s">
        <v>550</v>
      </c>
      <c r="C150" s="559" t="s">
        <v>66</v>
      </c>
      <c r="D150" s="559" t="s">
        <v>59</v>
      </c>
      <c r="E150" s="559" t="s">
        <v>668</v>
      </c>
      <c r="F150" s="559" t="s">
        <v>666</v>
      </c>
      <c r="G150" s="560">
        <v>0.01</v>
      </c>
      <c r="H150" s="560">
        <v>3.3579999999999999E-3</v>
      </c>
      <c r="I150" s="561">
        <v>0.4</v>
      </c>
      <c r="J150" s="562">
        <v>42</v>
      </c>
      <c r="K150" s="275"/>
      <c r="L150" s="275"/>
      <c r="M150" s="489" t="str">
        <f ca="1">IF('CDO Bespoke'!O151&lt;&gt;"",'CDO Bespoke'!O151,"")</f>
        <v/>
      </c>
      <c r="N150" s="490" t="str">
        <f ca="1">IF(M150&lt;&gt;"",ABS(MIN(-0.75*('CDO Bespoke'!Q151)+'CDO Bespoke'!T151,0)),"")</f>
        <v/>
      </c>
      <c r="O150" s="490" t="str">
        <f t="shared" ca="1" si="8"/>
        <v/>
      </c>
      <c r="P150" s="490" t="str">
        <f t="shared" ca="1" si="9"/>
        <v/>
      </c>
      <c r="Q150" s="489" t="str">
        <f ca="1">IF('CDO Bespoke'!O151&lt;&gt;"",'CDO Bespoke'!O151,"")</f>
        <v/>
      </c>
      <c r="R150" s="490" t="str">
        <f ca="1">IF(Q150&lt;&gt;"",ABS(MIN(-0.75*('CDO Bespoke'!K151)+'CDO Bespoke'!T151,0)),"")</f>
        <v/>
      </c>
      <c r="S150" s="490" t="str">
        <f t="shared" ca="1" si="10"/>
        <v/>
      </c>
      <c r="T150" s="494" t="str">
        <f t="shared" ca="1" si="11"/>
        <v/>
      </c>
      <c r="U150" s="275"/>
      <c r="V150" s="499" t="str">
        <f ca="1">IF('CDO Bespoke'!C175&lt;&gt;"",'CDO Bespoke'!C175,"")</f>
        <v/>
      </c>
      <c r="W150" s="501" t="str" cm="1">
        <f t="array" aca="1" ref="W150" ca="1">IF($V150&lt;&gt;"",-TRANSPOSE(INDEX(getcds('CDO Bespoke'!$C175,W$13,'CDO Bespoke'!$G175/10000,'CDO Bespoke'!F175,'CDO Bespoke'!$L151,'CDO Bespoke'!$C$13,'CDO Bespoke'!$C$14,'CDO Bespoke'!$C$15,'CDO Bespoke'!$C$8,,,TRUE,TRUE,FALSE,'CDO Bespoke'!$C$29:'CDO Bespoke'!$C$31,'CDO Bespoke'!$C$33),{5})),"")</f>
        <v/>
      </c>
      <c r="X150" s="527" t="str" cm="1">
        <f t="array" aca="1" ref="X150" ca="1">IF($V150&lt;&gt;"",-TRANSPOSE(INDEX(getcds('CDO Bespoke'!$C175,X$13,'CDO Bespoke'!$G175/10000,'CDO Bespoke'!G175,'CDO Bespoke'!$L151,'CDO Bespoke'!$C$13,'CDO Bespoke'!$C$14,'CDO Bespoke'!$C$15,'CDO Bespoke'!$C$8,,,TRUE,TRUE,FALSE,'CDO Bespoke'!$C$29:'CDO Bespoke'!$C$31,'CDO Bespoke'!$C$33),{5})),"")</f>
        <v/>
      </c>
      <c r="Y150" s="527" t="str" cm="1">
        <f t="array" aca="1" ref="Y150" ca="1">IF($V150&lt;&gt;"",-TRANSPOSE(INDEX(getcds('CDO Bespoke'!$C175,Y$13,'CDO Bespoke'!$G175/10000,'CDO Bespoke'!H175,'CDO Bespoke'!$L151,'CDO Bespoke'!$C$13,'CDO Bespoke'!$C$14,'CDO Bespoke'!$C$15,'CDO Bespoke'!$C$8,,,TRUE,TRUE,FALSE,'CDO Bespoke'!$C$29:'CDO Bespoke'!$C$31,'CDO Bespoke'!$C$33),{5})),"")</f>
        <v/>
      </c>
      <c r="Z150" s="527" t="str" cm="1">
        <f t="array" aca="1" ref="Z150" ca="1">IF($V150&lt;&gt;"",-TRANSPOSE(INDEX(getcds('CDO Bespoke'!$C175,Z$13,'CDO Bespoke'!$G175/10000,'CDO Bespoke'!I175,'CDO Bespoke'!$L151,'CDO Bespoke'!$C$13,'CDO Bespoke'!$C$14,'CDO Bespoke'!$C$15,'CDO Bespoke'!$C$8,,,TRUE,TRUE,FALSE,'CDO Bespoke'!$C$29:'CDO Bespoke'!$C$31,'CDO Bespoke'!$C$33),{5})),"")</f>
        <v/>
      </c>
      <c r="AA150" s="502" t="str" cm="1">
        <f t="array" aca="1" ref="AA150" ca="1">IF($V150&lt;&gt;"",-TRANSPOSE(INDEX(getcds('CDO Bespoke'!$C175,AA$13,'CDO Bespoke'!$G175/10000,'CDO Bespoke'!J175,'CDO Bespoke'!$L151,'CDO Bespoke'!$C$13,'CDO Bespoke'!$C$14,'CDO Bespoke'!$C$15,'CDO Bespoke'!$C$8,,,TRUE,TRUE,FALSE,'CDO Bespoke'!$C$29:'CDO Bespoke'!$C$31,'CDO Bespoke'!$C$33),{5})),"")</f>
        <v/>
      </c>
      <c r="AB150" s="481"/>
      <c r="AC150" s="517"/>
      <c r="AD150" s="518"/>
      <c r="AE150" s="518"/>
      <c r="AF150" s="518"/>
      <c r="AG150" s="518"/>
      <c r="AH150" s="518"/>
      <c r="AI150" s="518"/>
      <c r="AJ150" s="518"/>
      <c r="AK150" s="518"/>
      <c r="AL150" s="519"/>
      <c r="AM150" s="540"/>
    </row>
    <row r="151" spans="2:39" ht="12" thickBot="1">
      <c r="B151" s="563" t="s">
        <v>565</v>
      </c>
      <c r="C151" s="564" t="s">
        <v>66</v>
      </c>
      <c r="D151" s="564" t="s">
        <v>55</v>
      </c>
      <c r="E151" s="564" t="s">
        <v>661</v>
      </c>
      <c r="F151" s="564" t="s">
        <v>666</v>
      </c>
      <c r="G151" s="565">
        <v>0.01</v>
      </c>
      <c r="H151" s="565">
        <v>2.1749999999999999E-3</v>
      </c>
      <c r="I151" s="566">
        <v>0.4</v>
      </c>
      <c r="J151" s="567">
        <v>43</v>
      </c>
      <c r="K151" s="275"/>
      <c r="L151" s="275"/>
      <c r="M151" s="489" t="str">
        <f ca="1">IF('CDO Bespoke'!O152&lt;&gt;"",'CDO Bespoke'!O152,"")</f>
        <v/>
      </c>
      <c r="N151" s="490" t="str">
        <f ca="1">IF(M151&lt;&gt;"",ABS(MIN(-0.75*('CDO Bespoke'!Q152)+'CDO Bespoke'!T152,0)),"")</f>
        <v/>
      </c>
      <c r="O151" s="490" t="str">
        <f t="shared" ca="1" si="8"/>
        <v/>
      </c>
      <c r="P151" s="490" t="str">
        <f t="shared" ca="1" si="9"/>
        <v/>
      </c>
      <c r="Q151" s="489" t="str">
        <f ca="1">IF('CDO Bespoke'!O152&lt;&gt;"",'CDO Bespoke'!O152,"")</f>
        <v/>
      </c>
      <c r="R151" s="490" t="str">
        <f ca="1">IF(Q151&lt;&gt;"",ABS(MIN(-0.75*('CDO Bespoke'!K152)+'CDO Bespoke'!T152,0)),"")</f>
        <v/>
      </c>
      <c r="S151" s="490" t="str">
        <f t="shared" ca="1" si="10"/>
        <v/>
      </c>
      <c r="T151" s="494" t="str">
        <f t="shared" ca="1" si="11"/>
        <v/>
      </c>
      <c r="U151" s="275"/>
      <c r="V151" s="499" t="str">
        <f ca="1">IF('CDO Bespoke'!C176&lt;&gt;"",'CDO Bespoke'!C176,"")</f>
        <v/>
      </c>
      <c r="W151" s="501" t="str" cm="1">
        <f t="array" aca="1" ref="W151" ca="1">IF($V151&lt;&gt;"",-TRANSPOSE(INDEX(getcds('CDO Bespoke'!$C176,W$13,'CDO Bespoke'!$G176/10000,'CDO Bespoke'!F176,'CDO Bespoke'!$L152,'CDO Bespoke'!$C$13,'CDO Bespoke'!$C$14,'CDO Bespoke'!$C$15,'CDO Bespoke'!$C$8,,,TRUE,TRUE,FALSE,'CDO Bespoke'!$C$29:'CDO Bespoke'!$C$31,'CDO Bespoke'!$C$33),{5})),"")</f>
        <v/>
      </c>
      <c r="X151" s="527" t="str" cm="1">
        <f t="array" aca="1" ref="X151" ca="1">IF($V151&lt;&gt;"",-TRANSPOSE(INDEX(getcds('CDO Bespoke'!$C176,X$13,'CDO Bespoke'!$G176/10000,'CDO Bespoke'!G176,'CDO Bespoke'!$L152,'CDO Bespoke'!$C$13,'CDO Bespoke'!$C$14,'CDO Bespoke'!$C$15,'CDO Bespoke'!$C$8,,,TRUE,TRUE,FALSE,'CDO Bespoke'!$C$29:'CDO Bespoke'!$C$31,'CDO Bespoke'!$C$33),{5})),"")</f>
        <v/>
      </c>
      <c r="Y151" s="527" t="str" cm="1">
        <f t="array" aca="1" ref="Y151" ca="1">IF($V151&lt;&gt;"",-TRANSPOSE(INDEX(getcds('CDO Bespoke'!$C176,Y$13,'CDO Bespoke'!$G176/10000,'CDO Bespoke'!H176,'CDO Bespoke'!$L152,'CDO Bespoke'!$C$13,'CDO Bespoke'!$C$14,'CDO Bespoke'!$C$15,'CDO Bespoke'!$C$8,,,TRUE,TRUE,FALSE,'CDO Bespoke'!$C$29:'CDO Bespoke'!$C$31,'CDO Bespoke'!$C$33),{5})),"")</f>
        <v/>
      </c>
      <c r="Z151" s="527" t="str" cm="1">
        <f t="array" aca="1" ref="Z151" ca="1">IF($V151&lt;&gt;"",-TRANSPOSE(INDEX(getcds('CDO Bespoke'!$C176,Z$13,'CDO Bespoke'!$G176/10000,'CDO Bespoke'!I176,'CDO Bespoke'!$L152,'CDO Bespoke'!$C$13,'CDO Bespoke'!$C$14,'CDO Bespoke'!$C$15,'CDO Bespoke'!$C$8,,,TRUE,TRUE,FALSE,'CDO Bespoke'!$C$29:'CDO Bespoke'!$C$31,'CDO Bespoke'!$C$33),{5})),"")</f>
        <v/>
      </c>
      <c r="AA151" s="502" t="str" cm="1">
        <f t="array" aca="1" ref="AA151" ca="1">IF($V151&lt;&gt;"",-TRANSPOSE(INDEX(getcds('CDO Bespoke'!$C176,AA$13,'CDO Bespoke'!$G176/10000,'CDO Bespoke'!J176,'CDO Bespoke'!$L152,'CDO Bespoke'!$C$13,'CDO Bespoke'!$C$14,'CDO Bespoke'!$C$15,'CDO Bespoke'!$C$8,,,TRUE,TRUE,FALSE,'CDO Bespoke'!$C$29:'CDO Bespoke'!$C$31,'CDO Bespoke'!$C$33),{5})),"")</f>
        <v/>
      </c>
      <c r="AB151" s="481"/>
      <c r="AC151" s="517"/>
      <c r="AD151" s="518"/>
      <c r="AE151" s="518"/>
      <c r="AF151" s="518"/>
      <c r="AG151" s="518"/>
      <c r="AH151" s="518"/>
      <c r="AI151" s="518"/>
      <c r="AJ151" s="518"/>
      <c r="AK151" s="518"/>
      <c r="AL151" s="519"/>
      <c r="AM151" s="540"/>
    </row>
    <row r="152" spans="2:39" ht="12" thickBot="1">
      <c r="B152" s="541" t="s">
        <v>565</v>
      </c>
      <c r="C152" s="542" t="s">
        <v>66</v>
      </c>
      <c r="D152" s="542" t="s">
        <v>57</v>
      </c>
      <c r="E152" s="542" t="s">
        <v>661</v>
      </c>
      <c r="F152" s="542" t="s">
        <v>666</v>
      </c>
      <c r="G152" s="549">
        <v>0.01</v>
      </c>
      <c r="H152" s="549">
        <v>3.539E-3</v>
      </c>
      <c r="I152" s="551">
        <v>0.4</v>
      </c>
      <c r="J152" s="543">
        <v>43</v>
      </c>
      <c r="K152" s="275"/>
      <c r="L152" s="275"/>
      <c r="M152" s="489" t="str">
        <f ca="1">IF('CDO Bespoke'!O153&lt;&gt;"",'CDO Bespoke'!O153,"")</f>
        <v/>
      </c>
      <c r="N152" s="490" t="str">
        <f ca="1">IF(M152&lt;&gt;"",ABS(MIN(-0.75*('CDO Bespoke'!Q153)+'CDO Bespoke'!T153,0)),"")</f>
        <v/>
      </c>
      <c r="O152" s="490" t="str">
        <f t="shared" ca="1" si="8"/>
        <v/>
      </c>
      <c r="P152" s="490" t="str">
        <f t="shared" ca="1" si="9"/>
        <v/>
      </c>
      <c r="Q152" s="489" t="str">
        <f ca="1">IF('CDO Bespoke'!O153&lt;&gt;"",'CDO Bespoke'!O153,"")</f>
        <v/>
      </c>
      <c r="R152" s="490" t="str">
        <f ca="1">IF(Q152&lt;&gt;"",ABS(MIN(-0.75*('CDO Bespoke'!K153)+'CDO Bespoke'!T153,0)),"")</f>
        <v/>
      </c>
      <c r="S152" s="490" t="str">
        <f t="shared" ca="1" si="10"/>
        <v/>
      </c>
      <c r="T152" s="494" t="str">
        <f t="shared" ca="1" si="11"/>
        <v/>
      </c>
      <c r="U152" s="275"/>
      <c r="V152" s="499" t="str">
        <f ca="1">IF('CDO Bespoke'!C177&lt;&gt;"",'CDO Bespoke'!C177,"")</f>
        <v/>
      </c>
      <c r="W152" s="501" t="str" cm="1">
        <f t="array" aca="1" ref="W152" ca="1">IF($V152&lt;&gt;"",-TRANSPOSE(INDEX(getcds('CDO Bespoke'!$C177,W$13,'CDO Bespoke'!$G177/10000,'CDO Bespoke'!F177,'CDO Bespoke'!$L153,'CDO Bespoke'!$C$13,'CDO Bespoke'!$C$14,'CDO Bespoke'!$C$15,'CDO Bespoke'!$C$8,,,TRUE,TRUE,FALSE,'CDO Bespoke'!$C$29:'CDO Bespoke'!$C$31,'CDO Bespoke'!$C$33),{5})),"")</f>
        <v/>
      </c>
      <c r="X152" s="527" t="str" cm="1">
        <f t="array" aca="1" ref="X152" ca="1">IF($V152&lt;&gt;"",-TRANSPOSE(INDEX(getcds('CDO Bespoke'!$C177,X$13,'CDO Bespoke'!$G177/10000,'CDO Bespoke'!G177,'CDO Bespoke'!$L153,'CDO Bespoke'!$C$13,'CDO Bespoke'!$C$14,'CDO Bespoke'!$C$15,'CDO Bespoke'!$C$8,,,TRUE,TRUE,FALSE,'CDO Bespoke'!$C$29:'CDO Bespoke'!$C$31,'CDO Bespoke'!$C$33),{5})),"")</f>
        <v/>
      </c>
      <c r="Y152" s="527" t="str" cm="1">
        <f t="array" aca="1" ref="Y152" ca="1">IF($V152&lt;&gt;"",-TRANSPOSE(INDEX(getcds('CDO Bespoke'!$C177,Y$13,'CDO Bespoke'!$G177/10000,'CDO Bespoke'!H177,'CDO Bespoke'!$L153,'CDO Bespoke'!$C$13,'CDO Bespoke'!$C$14,'CDO Bespoke'!$C$15,'CDO Bespoke'!$C$8,,,TRUE,TRUE,FALSE,'CDO Bespoke'!$C$29:'CDO Bespoke'!$C$31,'CDO Bespoke'!$C$33),{5})),"")</f>
        <v/>
      </c>
      <c r="Z152" s="527" t="str" cm="1">
        <f t="array" aca="1" ref="Z152" ca="1">IF($V152&lt;&gt;"",-TRANSPOSE(INDEX(getcds('CDO Bespoke'!$C177,Z$13,'CDO Bespoke'!$G177/10000,'CDO Bespoke'!I177,'CDO Bespoke'!$L153,'CDO Bespoke'!$C$13,'CDO Bespoke'!$C$14,'CDO Bespoke'!$C$15,'CDO Bespoke'!$C$8,,,TRUE,TRUE,FALSE,'CDO Bespoke'!$C$29:'CDO Bespoke'!$C$31,'CDO Bespoke'!$C$33),{5})),"")</f>
        <v/>
      </c>
      <c r="AA152" s="502" t="str" cm="1">
        <f t="array" aca="1" ref="AA152" ca="1">IF($V152&lt;&gt;"",-TRANSPOSE(INDEX(getcds('CDO Bespoke'!$C177,AA$13,'CDO Bespoke'!$G177/10000,'CDO Bespoke'!J177,'CDO Bespoke'!$L153,'CDO Bespoke'!$C$13,'CDO Bespoke'!$C$14,'CDO Bespoke'!$C$15,'CDO Bespoke'!$C$8,,,TRUE,TRUE,FALSE,'CDO Bespoke'!$C$29:'CDO Bespoke'!$C$31,'CDO Bespoke'!$C$33),{5})),"")</f>
        <v/>
      </c>
      <c r="AB152" s="481"/>
      <c r="AC152" s="517"/>
      <c r="AD152" s="518"/>
      <c r="AE152" s="518"/>
      <c r="AF152" s="518"/>
      <c r="AG152" s="518"/>
      <c r="AH152" s="518"/>
      <c r="AI152" s="518"/>
      <c r="AJ152" s="518"/>
      <c r="AK152" s="518"/>
      <c r="AL152" s="519"/>
      <c r="AM152" s="540"/>
    </row>
    <row r="153" spans="2:39" ht="12" thickBot="1">
      <c r="B153" s="558" t="s">
        <v>565</v>
      </c>
      <c r="C153" s="559" t="s">
        <v>66</v>
      </c>
      <c r="D153" s="559" t="s">
        <v>59</v>
      </c>
      <c r="E153" s="559" t="s">
        <v>661</v>
      </c>
      <c r="F153" s="559" t="s">
        <v>666</v>
      </c>
      <c r="G153" s="560">
        <v>0.01</v>
      </c>
      <c r="H153" s="560">
        <v>4.816E-3</v>
      </c>
      <c r="I153" s="561">
        <v>0.4</v>
      </c>
      <c r="J153" s="562">
        <v>43</v>
      </c>
      <c r="K153" s="275"/>
      <c r="L153" s="275"/>
      <c r="M153" s="489" t="str">
        <f ca="1">IF('CDO Bespoke'!O154&lt;&gt;"",'CDO Bespoke'!O154,"")</f>
        <v/>
      </c>
      <c r="N153" s="490" t="str">
        <f ca="1">IF(M153&lt;&gt;"",ABS(MIN(-0.75*('CDO Bespoke'!Q154)+'CDO Bespoke'!T154,0)),"")</f>
        <v/>
      </c>
      <c r="O153" s="490" t="str">
        <f t="shared" ca="1" si="8"/>
        <v/>
      </c>
      <c r="P153" s="490" t="str">
        <f t="shared" ca="1" si="9"/>
        <v/>
      </c>
      <c r="Q153" s="489" t="str">
        <f ca="1">IF('CDO Bespoke'!O154&lt;&gt;"",'CDO Bespoke'!O154,"")</f>
        <v/>
      </c>
      <c r="R153" s="490" t="str">
        <f ca="1">IF(Q153&lt;&gt;"",ABS(MIN(-0.75*('CDO Bespoke'!K154)+'CDO Bespoke'!T154,0)),"")</f>
        <v/>
      </c>
      <c r="S153" s="490" t="str">
        <f t="shared" ca="1" si="10"/>
        <v/>
      </c>
      <c r="T153" s="494" t="str">
        <f t="shared" ca="1" si="11"/>
        <v/>
      </c>
      <c r="U153" s="275"/>
      <c r="V153" s="499" t="str">
        <f ca="1">IF('CDO Bespoke'!C178&lt;&gt;"",'CDO Bespoke'!C178,"")</f>
        <v/>
      </c>
      <c r="W153" s="501" t="str" cm="1">
        <f t="array" aca="1" ref="W153" ca="1">IF($V153&lt;&gt;"",-TRANSPOSE(INDEX(getcds('CDO Bespoke'!$C178,W$13,'CDO Bespoke'!$G178/10000,'CDO Bespoke'!F178,'CDO Bespoke'!$L154,'CDO Bespoke'!$C$13,'CDO Bespoke'!$C$14,'CDO Bespoke'!$C$15,'CDO Bespoke'!$C$8,,,TRUE,TRUE,FALSE,'CDO Bespoke'!$C$29:'CDO Bespoke'!$C$31,'CDO Bespoke'!$C$33),{5})),"")</f>
        <v/>
      </c>
      <c r="X153" s="527" t="str" cm="1">
        <f t="array" aca="1" ref="X153" ca="1">IF($V153&lt;&gt;"",-TRANSPOSE(INDEX(getcds('CDO Bespoke'!$C178,X$13,'CDO Bespoke'!$G178/10000,'CDO Bespoke'!G178,'CDO Bespoke'!$L154,'CDO Bespoke'!$C$13,'CDO Bespoke'!$C$14,'CDO Bespoke'!$C$15,'CDO Bespoke'!$C$8,,,TRUE,TRUE,FALSE,'CDO Bespoke'!$C$29:'CDO Bespoke'!$C$31,'CDO Bespoke'!$C$33),{5})),"")</f>
        <v/>
      </c>
      <c r="Y153" s="527" t="str" cm="1">
        <f t="array" aca="1" ref="Y153" ca="1">IF($V153&lt;&gt;"",-TRANSPOSE(INDEX(getcds('CDO Bespoke'!$C178,Y$13,'CDO Bespoke'!$G178/10000,'CDO Bespoke'!H178,'CDO Bespoke'!$L154,'CDO Bespoke'!$C$13,'CDO Bespoke'!$C$14,'CDO Bespoke'!$C$15,'CDO Bespoke'!$C$8,,,TRUE,TRUE,FALSE,'CDO Bespoke'!$C$29:'CDO Bespoke'!$C$31,'CDO Bespoke'!$C$33),{5})),"")</f>
        <v/>
      </c>
      <c r="Z153" s="527" t="str" cm="1">
        <f t="array" aca="1" ref="Z153" ca="1">IF($V153&lt;&gt;"",-TRANSPOSE(INDEX(getcds('CDO Bespoke'!$C178,Z$13,'CDO Bespoke'!$G178/10000,'CDO Bespoke'!I178,'CDO Bespoke'!$L154,'CDO Bespoke'!$C$13,'CDO Bespoke'!$C$14,'CDO Bespoke'!$C$15,'CDO Bespoke'!$C$8,,,TRUE,TRUE,FALSE,'CDO Bespoke'!$C$29:'CDO Bespoke'!$C$31,'CDO Bespoke'!$C$33),{5})),"")</f>
        <v/>
      </c>
      <c r="AA153" s="502" t="str" cm="1">
        <f t="array" aca="1" ref="AA153" ca="1">IF($V153&lt;&gt;"",-TRANSPOSE(INDEX(getcds('CDO Bespoke'!$C178,AA$13,'CDO Bespoke'!$G178/10000,'CDO Bespoke'!J178,'CDO Bespoke'!$L154,'CDO Bespoke'!$C$13,'CDO Bespoke'!$C$14,'CDO Bespoke'!$C$15,'CDO Bespoke'!$C$8,,,TRUE,TRUE,FALSE,'CDO Bespoke'!$C$29:'CDO Bespoke'!$C$31,'CDO Bespoke'!$C$33),{5})),"")</f>
        <v/>
      </c>
      <c r="AB153" s="481"/>
      <c r="AC153" s="517"/>
      <c r="AD153" s="518"/>
      <c r="AE153" s="518"/>
      <c r="AF153" s="518"/>
      <c r="AG153" s="518"/>
      <c r="AH153" s="518"/>
      <c r="AI153" s="518"/>
      <c r="AJ153" s="518"/>
      <c r="AK153" s="518"/>
      <c r="AL153" s="519"/>
      <c r="AM153" s="540"/>
    </row>
    <row r="154" spans="2:39" ht="12" thickBot="1">
      <c r="B154" s="563" t="s">
        <v>551</v>
      </c>
      <c r="C154" s="564" t="s">
        <v>66</v>
      </c>
      <c r="D154" s="564" t="s">
        <v>55</v>
      </c>
      <c r="E154" s="564" t="s">
        <v>668</v>
      </c>
      <c r="F154" s="564" t="s">
        <v>666</v>
      </c>
      <c r="G154" s="565">
        <v>0.01</v>
      </c>
      <c r="H154" s="565">
        <v>1.6999999999999999E-3</v>
      </c>
      <c r="I154" s="566">
        <v>0.4</v>
      </c>
      <c r="J154" s="567">
        <v>44</v>
      </c>
      <c r="K154" s="275"/>
      <c r="L154" s="275"/>
      <c r="M154" s="489" t="str">
        <f ca="1">IF('CDO Bespoke'!O155&lt;&gt;"",'CDO Bespoke'!O155,"")</f>
        <v/>
      </c>
      <c r="N154" s="490" t="str">
        <f ca="1">IF(M154&lt;&gt;"",ABS(MIN(-0.75*('CDO Bespoke'!Q155)+'CDO Bespoke'!T155,0)),"")</f>
        <v/>
      </c>
      <c r="O154" s="490" t="str">
        <f t="shared" ca="1" si="8"/>
        <v/>
      </c>
      <c r="P154" s="490" t="str">
        <f t="shared" ca="1" si="9"/>
        <v/>
      </c>
      <c r="Q154" s="489" t="str">
        <f ca="1">IF('CDO Bespoke'!O155&lt;&gt;"",'CDO Bespoke'!O155,"")</f>
        <v/>
      </c>
      <c r="R154" s="490" t="str">
        <f ca="1">IF(Q154&lt;&gt;"",ABS(MIN(-0.75*('CDO Bespoke'!K155)+'CDO Bespoke'!T155,0)),"")</f>
        <v/>
      </c>
      <c r="S154" s="490" t="str">
        <f t="shared" ca="1" si="10"/>
        <v/>
      </c>
      <c r="T154" s="494" t="str">
        <f t="shared" ca="1" si="11"/>
        <v/>
      </c>
      <c r="U154" s="275"/>
      <c r="V154" s="499" t="str">
        <f ca="1">IF('CDO Bespoke'!C179&lt;&gt;"",'CDO Bespoke'!C179,"")</f>
        <v/>
      </c>
      <c r="W154" s="501" t="str" cm="1">
        <f t="array" aca="1" ref="W154" ca="1">IF($V154&lt;&gt;"",-TRANSPOSE(INDEX(getcds('CDO Bespoke'!$C179,W$13,'CDO Bespoke'!$G179/10000,'CDO Bespoke'!F179,'CDO Bespoke'!$L155,'CDO Bespoke'!$C$13,'CDO Bespoke'!$C$14,'CDO Bespoke'!$C$15,'CDO Bespoke'!$C$8,,,TRUE,TRUE,FALSE,'CDO Bespoke'!$C$29:'CDO Bespoke'!$C$31,'CDO Bespoke'!$C$33),{5})),"")</f>
        <v/>
      </c>
      <c r="X154" s="527" t="str" cm="1">
        <f t="array" aca="1" ref="X154" ca="1">IF($V154&lt;&gt;"",-TRANSPOSE(INDEX(getcds('CDO Bespoke'!$C179,X$13,'CDO Bespoke'!$G179/10000,'CDO Bespoke'!G179,'CDO Bespoke'!$L155,'CDO Bespoke'!$C$13,'CDO Bespoke'!$C$14,'CDO Bespoke'!$C$15,'CDO Bespoke'!$C$8,,,TRUE,TRUE,FALSE,'CDO Bespoke'!$C$29:'CDO Bespoke'!$C$31,'CDO Bespoke'!$C$33),{5})),"")</f>
        <v/>
      </c>
      <c r="Y154" s="527" t="str" cm="1">
        <f t="array" aca="1" ref="Y154" ca="1">IF($V154&lt;&gt;"",-TRANSPOSE(INDEX(getcds('CDO Bespoke'!$C179,Y$13,'CDO Bespoke'!$G179/10000,'CDO Bespoke'!H179,'CDO Bespoke'!$L155,'CDO Bespoke'!$C$13,'CDO Bespoke'!$C$14,'CDO Bespoke'!$C$15,'CDO Bespoke'!$C$8,,,TRUE,TRUE,FALSE,'CDO Bespoke'!$C$29:'CDO Bespoke'!$C$31,'CDO Bespoke'!$C$33),{5})),"")</f>
        <v/>
      </c>
      <c r="Z154" s="527" t="str" cm="1">
        <f t="array" aca="1" ref="Z154" ca="1">IF($V154&lt;&gt;"",-TRANSPOSE(INDEX(getcds('CDO Bespoke'!$C179,Z$13,'CDO Bespoke'!$G179/10000,'CDO Bespoke'!I179,'CDO Bespoke'!$L155,'CDO Bespoke'!$C$13,'CDO Bespoke'!$C$14,'CDO Bespoke'!$C$15,'CDO Bespoke'!$C$8,,,TRUE,TRUE,FALSE,'CDO Bespoke'!$C$29:'CDO Bespoke'!$C$31,'CDO Bespoke'!$C$33),{5})),"")</f>
        <v/>
      </c>
      <c r="AA154" s="502" t="str" cm="1">
        <f t="array" aca="1" ref="AA154" ca="1">IF($V154&lt;&gt;"",-TRANSPOSE(INDEX(getcds('CDO Bespoke'!$C179,AA$13,'CDO Bespoke'!$G179/10000,'CDO Bespoke'!J179,'CDO Bespoke'!$L155,'CDO Bespoke'!$C$13,'CDO Bespoke'!$C$14,'CDO Bespoke'!$C$15,'CDO Bespoke'!$C$8,,,TRUE,TRUE,FALSE,'CDO Bespoke'!$C$29:'CDO Bespoke'!$C$31,'CDO Bespoke'!$C$33),{5})),"")</f>
        <v/>
      </c>
      <c r="AB154" s="481"/>
      <c r="AC154" s="517"/>
      <c r="AD154" s="518"/>
      <c r="AE154" s="518"/>
      <c r="AF154" s="518"/>
      <c r="AG154" s="518"/>
      <c r="AH154" s="518"/>
      <c r="AI154" s="518"/>
      <c r="AJ154" s="518"/>
      <c r="AK154" s="518"/>
      <c r="AL154" s="519"/>
      <c r="AM154" s="540"/>
    </row>
    <row r="155" spans="2:39" ht="12" thickBot="1">
      <c r="B155" s="541" t="s">
        <v>551</v>
      </c>
      <c r="C155" s="542" t="s">
        <v>66</v>
      </c>
      <c r="D155" s="542" t="s">
        <v>57</v>
      </c>
      <c r="E155" s="542" t="s">
        <v>668</v>
      </c>
      <c r="F155" s="542" t="s">
        <v>666</v>
      </c>
      <c r="G155" s="549">
        <v>0.01</v>
      </c>
      <c r="H155" s="549">
        <v>2.6360000000000001E-2</v>
      </c>
      <c r="I155" s="551">
        <v>0.4</v>
      </c>
      <c r="J155" s="543">
        <v>44</v>
      </c>
      <c r="K155" s="275"/>
      <c r="L155" s="275"/>
      <c r="M155" s="489" t="str">
        <f ca="1">IF('CDO Bespoke'!O156&lt;&gt;"",'CDO Bespoke'!O156,"")</f>
        <v/>
      </c>
      <c r="N155" s="490" t="str">
        <f ca="1">IF(M155&lt;&gt;"",ABS(MIN(-0.75*('CDO Bespoke'!Q156)+'CDO Bespoke'!T156,0)),"")</f>
        <v/>
      </c>
      <c r="O155" s="490" t="str">
        <f t="shared" ca="1" si="8"/>
        <v/>
      </c>
      <c r="P155" s="490" t="str">
        <f t="shared" ca="1" si="9"/>
        <v/>
      </c>
      <c r="Q155" s="489" t="str">
        <f ca="1">IF('CDO Bespoke'!O156&lt;&gt;"",'CDO Bespoke'!O156,"")</f>
        <v/>
      </c>
      <c r="R155" s="490" t="str">
        <f ca="1">IF(Q155&lt;&gt;"",ABS(MIN(-0.75*('CDO Bespoke'!K156)+'CDO Bespoke'!T156,0)),"")</f>
        <v/>
      </c>
      <c r="S155" s="490" t="str">
        <f t="shared" ca="1" si="10"/>
        <v/>
      </c>
      <c r="T155" s="494" t="str">
        <f t="shared" ca="1" si="11"/>
        <v/>
      </c>
      <c r="U155" s="275"/>
      <c r="V155" s="499" t="str">
        <f ca="1">IF('CDO Bespoke'!C180&lt;&gt;"",'CDO Bespoke'!C180,"")</f>
        <v/>
      </c>
      <c r="W155" s="501" t="str" cm="1">
        <f t="array" aca="1" ref="W155" ca="1">IF($V155&lt;&gt;"",-TRANSPOSE(INDEX(getcds('CDO Bespoke'!$C180,W$13,'CDO Bespoke'!$G180/10000,'CDO Bespoke'!F180,'CDO Bespoke'!$L156,'CDO Bespoke'!$C$13,'CDO Bespoke'!$C$14,'CDO Bespoke'!$C$15,'CDO Bespoke'!$C$8,,,TRUE,TRUE,FALSE,'CDO Bespoke'!$C$29:'CDO Bespoke'!$C$31,'CDO Bespoke'!$C$33),{5})),"")</f>
        <v/>
      </c>
      <c r="X155" s="527" t="str" cm="1">
        <f t="array" aca="1" ref="X155" ca="1">IF($V155&lt;&gt;"",-TRANSPOSE(INDEX(getcds('CDO Bespoke'!$C180,X$13,'CDO Bespoke'!$G180/10000,'CDO Bespoke'!G180,'CDO Bespoke'!$L156,'CDO Bespoke'!$C$13,'CDO Bespoke'!$C$14,'CDO Bespoke'!$C$15,'CDO Bespoke'!$C$8,,,TRUE,TRUE,FALSE,'CDO Bespoke'!$C$29:'CDO Bespoke'!$C$31,'CDO Bespoke'!$C$33),{5})),"")</f>
        <v/>
      </c>
      <c r="Y155" s="527" t="str" cm="1">
        <f t="array" aca="1" ref="Y155" ca="1">IF($V155&lt;&gt;"",-TRANSPOSE(INDEX(getcds('CDO Bespoke'!$C180,Y$13,'CDO Bespoke'!$G180/10000,'CDO Bespoke'!H180,'CDO Bespoke'!$L156,'CDO Bespoke'!$C$13,'CDO Bespoke'!$C$14,'CDO Bespoke'!$C$15,'CDO Bespoke'!$C$8,,,TRUE,TRUE,FALSE,'CDO Bespoke'!$C$29:'CDO Bespoke'!$C$31,'CDO Bespoke'!$C$33),{5})),"")</f>
        <v/>
      </c>
      <c r="Z155" s="527" t="str" cm="1">
        <f t="array" aca="1" ref="Z155" ca="1">IF($V155&lt;&gt;"",-TRANSPOSE(INDEX(getcds('CDO Bespoke'!$C180,Z$13,'CDO Bespoke'!$G180/10000,'CDO Bespoke'!I180,'CDO Bespoke'!$L156,'CDO Bespoke'!$C$13,'CDO Bespoke'!$C$14,'CDO Bespoke'!$C$15,'CDO Bespoke'!$C$8,,,TRUE,TRUE,FALSE,'CDO Bespoke'!$C$29:'CDO Bespoke'!$C$31,'CDO Bespoke'!$C$33),{5})),"")</f>
        <v/>
      </c>
      <c r="AA155" s="502" t="str" cm="1">
        <f t="array" aca="1" ref="AA155" ca="1">IF($V155&lt;&gt;"",-TRANSPOSE(INDEX(getcds('CDO Bespoke'!$C180,AA$13,'CDO Bespoke'!$G180/10000,'CDO Bespoke'!J180,'CDO Bespoke'!$L156,'CDO Bespoke'!$C$13,'CDO Bespoke'!$C$14,'CDO Bespoke'!$C$15,'CDO Bespoke'!$C$8,,,TRUE,TRUE,FALSE,'CDO Bespoke'!$C$29:'CDO Bespoke'!$C$31,'CDO Bespoke'!$C$33),{5})),"")</f>
        <v/>
      </c>
      <c r="AB155" s="481"/>
      <c r="AC155" s="517"/>
      <c r="AD155" s="518"/>
      <c r="AE155" s="518"/>
      <c r="AF155" s="518"/>
      <c r="AG155" s="518"/>
      <c r="AH155" s="518"/>
      <c r="AI155" s="518"/>
      <c r="AJ155" s="518"/>
      <c r="AK155" s="518"/>
      <c r="AL155" s="519"/>
      <c r="AM155" s="540"/>
    </row>
    <row r="156" spans="2:39" ht="12" thickBot="1">
      <c r="B156" s="558" t="s">
        <v>551</v>
      </c>
      <c r="C156" s="559" t="s">
        <v>66</v>
      </c>
      <c r="D156" s="559" t="s">
        <v>59</v>
      </c>
      <c r="E156" s="559" t="s">
        <v>668</v>
      </c>
      <c r="F156" s="559" t="s">
        <v>666</v>
      </c>
      <c r="G156" s="560">
        <v>0.01</v>
      </c>
      <c r="H156" s="560">
        <v>3.9090000000000001E-3</v>
      </c>
      <c r="I156" s="561">
        <v>0.4</v>
      </c>
      <c r="J156" s="562">
        <v>44</v>
      </c>
      <c r="K156" s="275"/>
      <c r="L156" s="275"/>
      <c r="M156" s="489" t="str">
        <f ca="1">IF('CDO Bespoke'!O157&lt;&gt;"",'CDO Bespoke'!O157,"")</f>
        <v/>
      </c>
      <c r="N156" s="490" t="str">
        <f ca="1">IF(M156&lt;&gt;"",ABS(MIN(-0.75*('CDO Bespoke'!Q157)+'CDO Bespoke'!T157,0)),"")</f>
        <v/>
      </c>
      <c r="O156" s="490" t="str">
        <f t="shared" ca="1" si="8"/>
        <v/>
      </c>
      <c r="P156" s="490" t="str">
        <f t="shared" ca="1" si="9"/>
        <v/>
      </c>
      <c r="Q156" s="489" t="str">
        <f ca="1">IF('CDO Bespoke'!O157&lt;&gt;"",'CDO Bespoke'!O157,"")</f>
        <v/>
      </c>
      <c r="R156" s="490" t="str">
        <f ca="1">IF(Q156&lt;&gt;"",ABS(MIN(-0.75*('CDO Bespoke'!K157)+'CDO Bespoke'!T157,0)),"")</f>
        <v/>
      </c>
      <c r="S156" s="490" t="str">
        <f t="shared" ca="1" si="10"/>
        <v/>
      </c>
      <c r="T156" s="494" t="str">
        <f t="shared" ca="1" si="11"/>
        <v/>
      </c>
      <c r="U156" s="275"/>
      <c r="V156" s="499" t="str">
        <f ca="1">IF('CDO Bespoke'!C181&lt;&gt;"",'CDO Bespoke'!C181,"")</f>
        <v/>
      </c>
      <c r="W156" s="501" t="str" cm="1">
        <f t="array" aca="1" ref="W156" ca="1">IF($V156&lt;&gt;"",-TRANSPOSE(INDEX(getcds('CDO Bespoke'!$C181,W$13,'CDO Bespoke'!$G181/10000,'CDO Bespoke'!F181,'CDO Bespoke'!$L157,'CDO Bespoke'!$C$13,'CDO Bespoke'!$C$14,'CDO Bespoke'!$C$15,'CDO Bespoke'!$C$8,,,TRUE,TRUE,FALSE,'CDO Bespoke'!$C$29:'CDO Bespoke'!$C$31,'CDO Bespoke'!$C$33),{5})),"")</f>
        <v/>
      </c>
      <c r="X156" s="527" t="str" cm="1">
        <f t="array" aca="1" ref="X156" ca="1">IF($V156&lt;&gt;"",-TRANSPOSE(INDEX(getcds('CDO Bespoke'!$C181,X$13,'CDO Bespoke'!$G181/10000,'CDO Bespoke'!G181,'CDO Bespoke'!$L157,'CDO Bespoke'!$C$13,'CDO Bespoke'!$C$14,'CDO Bespoke'!$C$15,'CDO Bespoke'!$C$8,,,TRUE,TRUE,FALSE,'CDO Bespoke'!$C$29:'CDO Bespoke'!$C$31,'CDO Bespoke'!$C$33),{5})),"")</f>
        <v/>
      </c>
      <c r="Y156" s="527" t="str" cm="1">
        <f t="array" aca="1" ref="Y156" ca="1">IF($V156&lt;&gt;"",-TRANSPOSE(INDEX(getcds('CDO Bespoke'!$C181,Y$13,'CDO Bespoke'!$G181/10000,'CDO Bespoke'!H181,'CDO Bespoke'!$L157,'CDO Bespoke'!$C$13,'CDO Bespoke'!$C$14,'CDO Bespoke'!$C$15,'CDO Bespoke'!$C$8,,,TRUE,TRUE,FALSE,'CDO Bespoke'!$C$29:'CDO Bespoke'!$C$31,'CDO Bespoke'!$C$33),{5})),"")</f>
        <v/>
      </c>
      <c r="Z156" s="527" t="str" cm="1">
        <f t="array" aca="1" ref="Z156" ca="1">IF($V156&lt;&gt;"",-TRANSPOSE(INDEX(getcds('CDO Bespoke'!$C181,Z$13,'CDO Bespoke'!$G181/10000,'CDO Bespoke'!I181,'CDO Bespoke'!$L157,'CDO Bespoke'!$C$13,'CDO Bespoke'!$C$14,'CDO Bespoke'!$C$15,'CDO Bespoke'!$C$8,,,TRUE,TRUE,FALSE,'CDO Bespoke'!$C$29:'CDO Bespoke'!$C$31,'CDO Bespoke'!$C$33),{5})),"")</f>
        <v/>
      </c>
      <c r="AA156" s="502" t="str" cm="1">
        <f t="array" aca="1" ref="AA156" ca="1">IF($V156&lt;&gt;"",-TRANSPOSE(INDEX(getcds('CDO Bespoke'!$C181,AA$13,'CDO Bespoke'!$G181/10000,'CDO Bespoke'!J181,'CDO Bespoke'!$L157,'CDO Bespoke'!$C$13,'CDO Bespoke'!$C$14,'CDO Bespoke'!$C$15,'CDO Bespoke'!$C$8,,,TRUE,TRUE,FALSE,'CDO Bespoke'!$C$29:'CDO Bespoke'!$C$31,'CDO Bespoke'!$C$33),{5})),"")</f>
        <v/>
      </c>
      <c r="AB156" s="481"/>
      <c r="AC156" s="517"/>
      <c r="AD156" s="518"/>
      <c r="AE156" s="518"/>
      <c r="AF156" s="518"/>
      <c r="AG156" s="518"/>
      <c r="AH156" s="518"/>
      <c r="AI156" s="518"/>
      <c r="AJ156" s="518"/>
      <c r="AK156" s="518"/>
      <c r="AL156" s="519"/>
      <c r="AM156" s="540"/>
    </row>
    <row r="157" spans="2:39" ht="12" thickBot="1">
      <c r="B157" s="563" t="s">
        <v>629</v>
      </c>
      <c r="C157" s="564" t="s">
        <v>66</v>
      </c>
      <c r="D157" s="564" t="s">
        <v>55</v>
      </c>
      <c r="E157" s="564" t="s">
        <v>663</v>
      </c>
      <c r="F157" s="564" t="s">
        <v>666</v>
      </c>
      <c r="G157" s="565">
        <v>0.01</v>
      </c>
      <c r="H157" s="565">
        <v>1.7680000000000001E-2</v>
      </c>
      <c r="I157" s="566">
        <v>0.4</v>
      </c>
      <c r="J157" s="567">
        <v>45</v>
      </c>
      <c r="K157" s="275"/>
      <c r="L157" s="275"/>
      <c r="M157" s="489" t="str">
        <f ca="1">IF('CDO Bespoke'!O158&lt;&gt;"",'CDO Bespoke'!O158,"")</f>
        <v/>
      </c>
      <c r="N157" s="490" t="str">
        <f ca="1">IF(M157&lt;&gt;"",ABS(MIN(-0.75*('CDO Bespoke'!Q158)+'CDO Bespoke'!T158,0)),"")</f>
        <v/>
      </c>
      <c r="O157" s="490" t="str">
        <f t="shared" ca="1" si="8"/>
        <v/>
      </c>
      <c r="P157" s="490" t="str">
        <f t="shared" ca="1" si="9"/>
        <v/>
      </c>
      <c r="Q157" s="489" t="str">
        <f ca="1">IF('CDO Bespoke'!O158&lt;&gt;"",'CDO Bespoke'!O158,"")</f>
        <v/>
      </c>
      <c r="R157" s="490" t="str">
        <f ca="1">IF(Q157&lt;&gt;"",ABS(MIN(-0.75*('CDO Bespoke'!K158)+'CDO Bespoke'!T158,0)),"")</f>
        <v/>
      </c>
      <c r="S157" s="490" t="str">
        <f t="shared" ca="1" si="10"/>
        <v/>
      </c>
      <c r="T157" s="494" t="str">
        <f t="shared" ca="1" si="11"/>
        <v/>
      </c>
      <c r="U157" s="275"/>
      <c r="V157" s="499" t="str">
        <f ca="1">IF('CDO Bespoke'!C182&lt;&gt;"",'CDO Bespoke'!C182,"")</f>
        <v/>
      </c>
      <c r="W157" s="501" t="str" cm="1">
        <f t="array" aca="1" ref="W157" ca="1">IF($V157&lt;&gt;"",-TRANSPOSE(INDEX(getcds('CDO Bespoke'!$C182,W$13,'CDO Bespoke'!$G182/10000,'CDO Bespoke'!F182,'CDO Bespoke'!$L158,'CDO Bespoke'!$C$13,'CDO Bespoke'!$C$14,'CDO Bespoke'!$C$15,'CDO Bespoke'!$C$8,,,TRUE,TRUE,FALSE,'CDO Bespoke'!$C$29:'CDO Bespoke'!$C$31,'CDO Bespoke'!$C$33),{5})),"")</f>
        <v/>
      </c>
      <c r="X157" s="527" t="str" cm="1">
        <f t="array" aca="1" ref="X157" ca="1">IF($V157&lt;&gt;"",-TRANSPOSE(INDEX(getcds('CDO Bespoke'!$C182,X$13,'CDO Bespoke'!$G182/10000,'CDO Bespoke'!G182,'CDO Bespoke'!$L158,'CDO Bespoke'!$C$13,'CDO Bespoke'!$C$14,'CDO Bespoke'!$C$15,'CDO Bespoke'!$C$8,,,TRUE,TRUE,FALSE,'CDO Bespoke'!$C$29:'CDO Bespoke'!$C$31,'CDO Bespoke'!$C$33),{5})),"")</f>
        <v/>
      </c>
      <c r="Y157" s="527" t="str" cm="1">
        <f t="array" aca="1" ref="Y157" ca="1">IF($V157&lt;&gt;"",-TRANSPOSE(INDEX(getcds('CDO Bespoke'!$C182,Y$13,'CDO Bespoke'!$G182/10000,'CDO Bespoke'!H182,'CDO Bespoke'!$L158,'CDO Bespoke'!$C$13,'CDO Bespoke'!$C$14,'CDO Bespoke'!$C$15,'CDO Bespoke'!$C$8,,,TRUE,TRUE,FALSE,'CDO Bespoke'!$C$29:'CDO Bespoke'!$C$31,'CDO Bespoke'!$C$33),{5})),"")</f>
        <v/>
      </c>
      <c r="Z157" s="527" t="str" cm="1">
        <f t="array" aca="1" ref="Z157" ca="1">IF($V157&lt;&gt;"",-TRANSPOSE(INDEX(getcds('CDO Bespoke'!$C182,Z$13,'CDO Bespoke'!$G182/10000,'CDO Bespoke'!I182,'CDO Bespoke'!$L158,'CDO Bespoke'!$C$13,'CDO Bespoke'!$C$14,'CDO Bespoke'!$C$15,'CDO Bespoke'!$C$8,,,TRUE,TRUE,FALSE,'CDO Bespoke'!$C$29:'CDO Bespoke'!$C$31,'CDO Bespoke'!$C$33),{5})),"")</f>
        <v/>
      </c>
      <c r="AA157" s="502" t="str" cm="1">
        <f t="array" aca="1" ref="AA157" ca="1">IF($V157&lt;&gt;"",-TRANSPOSE(INDEX(getcds('CDO Bespoke'!$C182,AA$13,'CDO Bespoke'!$G182/10000,'CDO Bespoke'!J182,'CDO Bespoke'!$L158,'CDO Bespoke'!$C$13,'CDO Bespoke'!$C$14,'CDO Bespoke'!$C$15,'CDO Bespoke'!$C$8,,,TRUE,TRUE,FALSE,'CDO Bespoke'!$C$29:'CDO Bespoke'!$C$31,'CDO Bespoke'!$C$33),{5})),"")</f>
        <v/>
      </c>
      <c r="AB157" s="481"/>
      <c r="AC157" s="517"/>
      <c r="AD157" s="518"/>
      <c r="AE157" s="518"/>
      <c r="AF157" s="518"/>
      <c r="AG157" s="518"/>
      <c r="AH157" s="518"/>
      <c r="AI157" s="518"/>
      <c r="AJ157" s="518"/>
      <c r="AK157" s="518"/>
      <c r="AL157" s="519"/>
      <c r="AM157" s="540"/>
    </row>
    <row r="158" spans="2:39" ht="12" thickBot="1">
      <c r="B158" s="541" t="s">
        <v>629</v>
      </c>
      <c r="C158" s="542" t="s">
        <v>66</v>
      </c>
      <c r="D158" s="542" t="s">
        <v>57</v>
      </c>
      <c r="E158" s="542" t="s">
        <v>663</v>
      </c>
      <c r="F158" s="542" t="s">
        <v>666</v>
      </c>
      <c r="G158" s="549">
        <v>0.01</v>
      </c>
      <c r="H158" s="549">
        <v>2.5177000000000001E-2</v>
      </c>
      <c r="I158" s="551">
        <v>0.4</v>
      </c>
      <c r="J158" s="543">
        <v>45</v>
      </c>
      <c r="K158" s="275"/>
      <c r="L158" s="275"/>
      <c r="M158" s="489" t="str">
        <f ca="1">IF('CDO Bespoke'!O159&lt;&gt;"",'CDO Bespoke'!O159,"")</f>
        <v/>
      </c>
      <c r="N158" s="490" t="str">
        <f ca="1">IF(M158&lt;&gt;"",ABS(MIN(-0.75*('CDO Bespoke'!Q159)+'CDO Bespoke'!T159,0)),"")</f>
        <v/>
      </c>
      <c r="O158" s="490" t="str">
        <f t="shared" ca="1" si="8"/>
        <v/>
      </c>
      <c r="P158" s="490" t="str">
        <f t="shared" ca="1" si="9"/>
        <v/>
      </c>
      <c r="Q158" s="489" t="str">
        <f ca="1">IF('CDO Bespoke'!O159&lt;&gt;"",'CDO Bespoke'!O159,"")</f>
        <v/>
      </c>
      <c r="R158" s="490" t="str">
        <f ca="1">IF(Q158&lt;&gt;"",ABS(MIN(-0.75*('CDO Bespoke'!K159)+'CDO Bespoke'!T159,0)),"")</f>
        <v/>
      </c>
      <c r="S158" s="490" t="str">
        <f t="shared" ca="1" si="10"/>
        <v/>
      </c>
      <c r="T158" s="494" t="str">
        <f t="shared" ca="1" si="11"/>
        <v/>
      </c>
      <c r="U158" s="275"/>
      <c r="V158" s="499" t="str">
        <f ca="1">IF('CDO Bespoke'!C183&lt;&gt;"",'CDO Bespoke'!C183,"")</f>
        <v/>
      </c>
      <c r="W158" s="501" t="str" cm="1">
        <f t="array" aca="1" ref="W158" ca="1">IF($V158&lt;&gt;"",-TRANSPOSE(INDEX(getcds('CDO Bespoke'!$C183,W$13,'CDO Bespoke'!$G183/10000,'CDO Bespoke'!F183,'CDO Bespoke'!$L159,'CDO Bespoke'!$C$13,'CDO Bespoke'!$C$14,'CDO Bespoke'!$C$15,'CDO Bespoke'!$C$8,,,TRUE,TRUE,FALSE,'CDO Bespoke'!$C$29:'CDO Bespoke'!$C$31,'CDO Bespoke'!$C$33),{5})),"")</f>
        <v/>
      </c>
      <c r="X158" s="527" t="str" cm="1">
        <f t="array" aca="1" ref="X158" ca="1">IF($V158&lt;&gt;"",-TRANSPOSE(INDEX(getcds('CDO Bespoke'!$C183,X$13,'CDO Bespoke'!$G183/10000,'CDO Bespoke'!G183,'CDO Bespoke'!$L159,'CDO Bespoke'!$C$13,'CDO Bespoke'!$C$14,'CDO Bespoke'!$C$15,'CDO Bespoke'!$C$8,,,TRUE,TRUE,FALSE,'CDO Bespoke'!$C$29:'CDO Bespoke'!$C$31,'CDO Bespoke'!$C$33),{5})),"")</f>
        <v/>
      </c>
      <c r="Y158" s="527" t="str" cm="1">
        <f t="array" aca="1" ref="Y158" ca="1">IF($V158&lt;&gt;"",-TRANSPOSE(INDEX(getcds('CDO Bespoke'!$C183,Y$13,'CDO Bespoke'!$G183/10000,'CDO Bespoke'!H183,'CDO Bespoke'!$L159,'CDO Bespoke'!$C$13,'CDO Bespoke'!$C$14,'CDO Bespoke'!$C$15,'CDO Bespoke'!$C$8,,,TRUE,TRUE,FALSE,'CDO Bespoke'!$C$29:'CDO Bespoke'!$C$31,'CDO Bespoke'!$C$33),{5})),"")</f>
        <v/>
      </c>
      <c r="Z158" s="527" t="str" cm="1">
        <f t="array" aca="1" ref="Z158" ca="1">IF($V158&lt;&gt;"",-TRANSPOSE(INDEX(getcds('CDO Bespoke'!$C183,Z$13,'CDO Bespoke'!$G183/10000,'CDO Bespoke'!I183,'CDO Bespoke'!$L159,'CDO Bespoke'!$C$13,'CDO Bespoke'!$C$14,'CDO Bespoke'!$C$15,'CDO Bespoke'!$C$8,,,TRUE,TRUE,FALSE,'CDO Bespoke'!$C$29:'CDO Bespoke'!$C$31,'CDO Bespoke'!$C$33),{5})),"")</f>
        <v/>
      </c>
      <c r="AA158" s="502" t="str" cm="1">
        <f t="array" aca="1" ref="AA158" ca="1">IF($V158&lt;&gt;"",-TRANSPOSE(INDEX(getcds('CDO Bespoke'!$C183,AA$13,'CDO Bespoke'!$G183/10000,'CDO Bespoke'!J183,'CDO Bespoke'!$L159,'CDO Bespoke'!$C$13,'CDO Bespoke'!$C$14,'CDO Bespoke'!$C$15,'CDO Bespoke'!$C$8,,,TRUE,TRUE,FALSE,'CDO Bespoke'!$C$29:'CDO Bespoke'!$C$31,'CDO Bespoke'!$C$33),{5})),"")</f>
        <v/>
      </c>
      <c r="AB158" s="481"/>
      <c r="AC158" s="517"/>
      <c r="AD158" s="518"/>
      <c r="AE158" s="518"/>
      <c r="AF158" s="518"/>
      <c r="AG158" s="518"/>
      <c r="AH158" s="518"/>
      <c r="AI158" s="518"/>
      <c r="AJ158" s="518"/>
      <c r="AK158" s="518"/>
      <c r="AL158" s="519"/>
      <c r="AM158" s="540"/>
    </row>
    <row r="159" spans="2:39" ht="12" thickBot="1">
      <c r="B159" s="558" t="s">
        <v>629</v>
      </c>
      <c r="C159" s="559" t="s">
        <v>66</v>
      </c>
      <c r="D159" s="559" t="s">
        <v>59</v>
      </c>
      <c r="E159" s="559" t="s">
        <v>663</v>
      </c>
      <c r="F159" s="559" t="s">
        <v>666</v>
      </c>
      <c r="G159" s="560">
        <v>0.01</v>
      </c>
      <c r="H159" s="560">
        <v>3.0232999999999999E-2</v>
      </c>
      <c r="I159" s="561">
        <v>0.4</v>
      </c>
      <c r="J159" s="562">
        <v>45</v>
      </c>
      <c r="K159" s="275"/>
      <c r="L159" s="275"/>
      <c r="M159" s="489" t="str">
        <f ca="1">IF('CDO Bespoke'!O160&lt;&gt;"",'CDO Bespoke'!O160,"")</f>
        <v/>
      </c>
      <c r="N159" s="490" t="str">
        <f ca="1">IF(M159&lt;&gt;"",ABS(MIN(-0.75*('CDO Bespoke'!Q160)+'CDO Bespoke'!T160,0)),"")</f>
        <v/>
      </c>
      <c r="O159" s="490" t="str">
        <f t="shared" ca="1" si="8"/>
        <v/>
      </c>
      <c r="P159" s="490" t="str">
        <f t="shared" ca="1" si="9"/>
        <v/>
      </c>
      <c r="Q159" s="489" t="str">
        <f ca="1">IF('CDO Bespoke'!O160&lt;&gt;"",'CDO Bespoke'!O160,"")</f>
        <v/>
      </c>
      <c r="R159" s="490" t="str">
        <f ca="1">IF(Q159&lt;&gt;"",ABS(MIN(-0.75*('CDO Bespoke'!K160)+'CDO Bespoke'!T160,0)),"")</f>
        <v/>
      </c>
      <c r="S159" s="490" t="str">
        <f t="shared" ca="1" si="10"/>
        <v/>
      </c>
      <c r="T159" s="494" t="str">
        <f t="shared" ca="1" si="11"/>
        <v/>
      </c>
      <c r="U159" s="275"/>
      <c r="V159" s="499" t="str">
        <f ca="1">IF('CDO Bespoke'!C184&lt;&gt;"",'CDO Bespoke'!C184,"")</f>
        <v/>
      </c>
      <c r="W159" s="501" t="str" cm="1">
        <f t="array" aca="1" ref="W159" ca="1">IF($V159&lt;&gt;"",-TRANSPOSE(INDEX(getcds('CDO Bespoke'!$C184,W$13,'CDO Bespoke'!$G184/10000,'CDO Bespoke'!F184,'CDO Bespoke'!$L160,'CDO Bespoke'!$C$13,'CDO Bespoke'!$C$14,'CDO Bespoke'!$C$15,'CDO Bespoke'!$C$8,,,TRUE,TRUE,FALSE,'CDO Bespoke'!$C$29:'CDO Bespoke'!$C$31,'CDO Bespoke'!$C$33),{5})),"")</f>
        <v/>
      </c>
      <c r="X159" s="527" t="str" cm="1">
        <f t="array" aca="1" ref="X159" ca="1">IF($V159&lt;&gt;"",-TRANSPOSE(INDEX(getcds('CDO Bespoke'!$C184,X$13,'CDO Bespoke'!$G184/10000,'CDO Bespoke'!G184,'CDO Bespoke'!$L160,'CDO Bespoke'!$C$13,'CDO Bespoke'!$C$14,'CDO Bespoke'!$C$15,'CDO Bespoke'!$C$8,,,TRUE,TRUE,FALSE,'CDO Bespoke'!$C$29:'CDO Bespoke'!$C$31,'CDO Bespoke'!$C$33),{5})),"")</f>
        <v/>
      </c>
      <c r="Y159" s="527" t="str" cm="1">
        <f t="array" aca="1" ref="Y159" ca="1">IF($V159&lt;&gt;"",-TRANSPOSE(INDEX(getcds('CDO Bespoke'!$C184,Y$13,'CDO Bespoke'!$G184/10000,'CDO Bespoke'!H184,'CDO Bespoke'!$L160,'CDO Bespoke'!$C$13,'CDO Bespoke'!$C$14,'CDO Bespoke'!$C$15,'CDO Bespoke'!$C$8,,,TRUE,TRUE,FALSE,'CDO Bespoke'!$C$29:'CDO Bespoke'!$C$31,'CDO Bespoke'!$C$33),{5})),"")</f>
        <v/>
      </c>
      <c r="Z159" s="527" t="str" cm="1">
        <f t="array" aca="1" ref="Z159" ca="1">IF($V159&lt;&gt;"",-TRANSPOSE(INDEX(getcds('CDO Bespoke'!$C184,Z$13,'CDO Bespoke'!$G184/10000,'CDO Bespoke'!I184,'CDO Bespoke'!$L160,'CDO Bespoke'!$C$13,'CDO Bespoke'!$C$14,'CDO Bespoke'!$C$15,'CDO Bespoke'!$C$8,,,TRUE,TRUE,FALSE,'CDO Bespoke'!$C$29:'CDO Bespoke'!$C$31,'CDO Bespoke'!$C$33),{5})),"")</f>
        <v/>
      </c>
      <c r="AA159" s="502" t="str" cm="1">
        <f t="array" aca="1" ref="AA159" ca="1">IF($V159&lt;&gt;"",-TRANSPOSE(INDEX(getcds('CDO Bespoke'!$C184,AA$13,'CDO Bespoke'!$G184/10000,'CDO Bespoke'!J184,'CDO Bespoke'!$L160,'CDO Bespoke'!$C$13,'CDO Bespoke'!$C$14,'CDO Bespoke'!$C$15,'CDO Bespoke'!$C$8,,,TRUE,TRUE,FALSE,'CDO Bespoke'!$C$29:'CDO Bespoke'!$C$31,'CDO Bespoke'!$C$33),{5})),"")</f>
        <v/>
      </c>
      <c r="AB159" s="481"/>
      <c r="AC159" s="517"/>
      <c r="AD159" s="518"/>
      <c r="AE159" s="518"/>
      <c r="AF159" s="518"/>
      <c r="AG159" s="518"/>
      <c r="AH159" s="518"/>
      <c r="AI159" s="518"/>
      <c r="AJ159" s="518"/>
      <c r="AK159" s="518"/>
      <c r="AL159" s="519"/>
      <c r="AM159" s="540"/>
    </row>
    <row r="160" spans="2:39" ht="12" thickBot="1">
      <c r="B160" s="563" t="s">
        <v>566</v>
      </c>
      <c r="C160" s="564" t="s">
        <v>66</v>
      </c>
      <c r="D160" s="564" t="s">
        <v>55</v>
      </c>
      <c r="E160" s="564" t="s">
        <v>663</v>
      </c>
      <c r="F160" s="564" t="s">
        <v>666</v>
      </c>
      <c r="G160" s="565">
        <v>0.01</v>
      </c>
      <c r="H160" s="565">
        <v>1.828E-3</v>
      </c>
      <c r="I160" s="566">
        <v>0.4</v>
      </c>
      <c r="J160" s="567">
        <v>46</v>
      </c>
      <c r="K160" s="275"/>
      <c r="L160" s="275"/>
      <c r="M160" s="489" t="str">
        <f ca="1">IF('CDO Bespoke'!O161&lt;&gt;"",'CDO Bespoke'!O161,"")</f>
        <v/>
      </c>
      <c r="N160" s="490" t="str">
        <f ca="1">IF(M160&lt;&gt;"",ABS(MIN(-0.75*('CDO Bespoke'!Q161)+'CDO Bespoke'!T161,0)),"")</f>
        <v/>
      </c>
      <c r="O160" s="490" t="str">
        <f t="shared" ca="1" si="8"/>
        <v/>
      </c>
      <c r="P160" s="490" t="str">
        <f t="shared" ca="1" si="9"/>
        <v/>
      </c>
      <c r="Q160" s="489" t="str">
        <f ca="1">IF('CDO Bespoke'!O161&lt;&gt;"",'CDO Bespoke'!O161,"")</f>
        <v/>
      </c>
      <c r="R160" s="490" t="str">
        <f ca="1">IF(Q160&lt;&gt;"",ABS(MIN(-0.75*('CDO Bespoke'!K161)+'CDO Bespoke'!T161,0)),"")</f>
        <v/>
      </c>
      <c r="S160" s="490" t="str">
        <f t="shared" ca="1" si="10"/>
        <v/>
      </c>
      <c r="T160" s="494" t="str">
        <f t="shared" ca="1" si="11"/>
        <v/>
      </c>
      <c r="U160" s="275"/>
      <c r="V160" s="499" t="str">
        <f ca="1">IF('CDO Bespoke'!C185&lt;&gt;"",'CDO Bespoke'!C185,"")</f>
        <v/>
      </c>
      <c r="W160" s="501" t="str" cm="1">
        <f t="array" aca="1" ref="W160" ca="1">IF($V160&lt;&gt;"",-TRANSPOSE(INDEX(getcds('CDO Bespoke'!$C185,W$13,'CDO Bespoke'!$G185/10000,'CDO Bespoke'!F185,'CDO Bespoke'!$L161,'CDO Bespoke'!$C$13,'CDO Bespoke'!$C$14,'CDO Bespoke'!$C$15,'CDO Bespoke'!$C$8,,,TRUE,TRUE,FALSE,'CDO Bespoke'!$C$29:'CDO Bespoke'!$C$31,'CDO Bespoke'!$C$33),{5})),"")</f>
        <v/>
      </c>
      <c r="X160" s="527" t="str" cm="1">
        <f t="array" aca="1" ref="X160" ca="1">IF($V160&lt;&gt;"",-TRANSPOSE(INDEX(getcds('CDO Bespoke'!$C185,X$13,'CDO Bespoke'!$G185/10000,'CDO Bespoke'!G185,'CDO Bespoke'!$L161,'CDO Bespoke'!$C$13,'CDO Bespoke'!$C$14,'CDO Bespoke'!$C$15,'CDO Bespoke'!$C$8,,,TRUE,TRUE,FALSE,'CDO Bespoke'!$C$29:'CDO Bespoke'!$C$31,'CDO Bespoke'!$C$33),{5})),"")</f>
        <v/>
      </c>
      <c r="Y160" s="527" t="str" cm="1">
        <f t="array" aca="1" ref="Y160" ca="1">IF($V160&lt;&gt;"",-TRANSPOSE(INDEX(getcds('CDO Bespoke'!$C185,Y$13,'CDO Bespoke'!$G185/10000,'CDO Bespoke'!H185,'CDO Bespoke'!$L161,'CDO Bespoke'!$C$13,'CDO Bespoke'!$C$14,'CDO Bespoke'!$C$15,'CDO Bespoke'!$C$8,,,TRUE,TRUE,FALSE,'CDO Bespoke'!$C$29:'CDO Bespoke'!$C$31,'CDO Bespoke'!$C$33),{5})),"")</f>
        <v/>
      </c>
      <c r="Z160" s="527" t="str" cm="1">
        <f t="array" aca="1" ref="Z160" ca="1">IF($V160&lt;&gt;"",-TRANSPOSE(INDEX(getcds('CDO Bespoke'!$C185,Z$13,'CDO Bespoke'!$G185/10000,'CDO Bespoke'!I185,'CDO Bespoke'!$L161,'CDO Bespoke'!$C$13,'CDO Bespoke'!$C$14,'CDO Bespoke'!$C$15,'CDO Bespoke'!$C$8,,,TRUE,TRUE,FALSE,'CDO Bespoke'!$C$29:'CDO Bespoke'!$C$31,'CDO Bespoke'!$C$33),{5})),"")</f>
        <v/>
      </c>
      <c r="AA160" s="502" t="str" cm="1">
        <f t="array" aca="1" ref="AA160" ca="1">IF($V160&lt;&gt;"",-TRANSPOSE(INDEX(getcds('CDO Bespoke'!$C185,AA$13,'CDO Bespoke'!$G185/10000,'CDO Bespoke'!J185,'CDO Bespoke'!$L161,'CDO Bespoke'!$C$13,'CDO Bespoke'!$C$14,'CDO Bespoke'!$C$15,'CDO Bespoke'!$C$8,,,TRUE,TRUE,FALSE,'CDO Bespoke'!$C$29:'CDO Bespoke'!$C$31,'CDO Bespoke'!$C$33),{5})),"")</f>
        <v/>
      </c>
      <c r="AB160" s="481"/>
      <c r="AC160" s="517"/>
      <c r="AD160" s="518"/>
      <c r="AE160" s="518"/>
      <c r="AF160" s="518"/>
      <c r="AG160" s="518"/>
      <c r="AH160" s="518"/>
      <c r="AI160" s="518"/>
      <c r="AJ160" s="518"/>
      <c r="AK160" s="518"/>
      <c r="AL160" s="519"/>
      <c r="AM160" s="540"/>
    </row>
    <row r="161" spans="2:39" ht="12" thickBot="1">
      <c r="B161" s="541" t="s">
        <v>566</v>
      </c>
      <c r="C161" s="542" t="s">
        <v>66</v>
      </c>
      <c r="D161" s="542" t="s">
        <v>57</v>
      </c>
      <c r="E161" s="542" t="s">
        <v>663</v>
      </c>
      <c r="F161" s="542" t="s">
        <v>666</v>
      </c>
      <c r="G161" s="549">
        <v>0.01</v>
      </c>
      <c r="H161" s="549">
        <v>3.0709999999999999E-3</v>
      </c>
      <c r="I161" s="551">
        <v>0.4</v>
      </c>
      <c r="J161" s="543">
        <v>46</v>
      </c>
      <c r="K161" s="275"/>
      <c r="L161" s="275"/>
      <c r="M161" s="489" t="str">
        <f ca="1">IF('CDO Bespoke'!O162&lt;&gt;"",'CDO Bespoke'!O162,"")</f>
        <v/>
      </c>
      <c r="N161" s="490" t="str">
        <f ca="1">IF(M161&lt;&gt;"",ABS(MIN(-0.75*('CDO Bespoke'!Q162)+'CDO Bespoke'!T162,0)),"")</f>
        <v/>
      </c>
      <c r="O161" s="490" t="str">
        <f t="shared" ca="1" si="8"/>
        <v/>
      </c>
      <c r="P161" s="490" t="str">
        <f t="shared" ca="1" si="9"/>
        <v/>
      </c>
      <c r="Q161" s="489" t="str">
        <f ca="1">IF('CDO Bespoke'!O162&lt;&gt;"",'CDO Bespoke'!O162,"")</f>
        <v/>
      </c>
      <c r="R161" s="490" t="str">
        <f ca="1">IF(Q161&lt;&gt;"",ABS(MIN(-0.75*('CDO Bespoke'!K162)+'CDO Bespoke'!T162,0)),"")</f>
        <v/>
      </c>
      <c r="S161" s="490" t="str">
        <f t="shared" ca="1" si="10"/>
        <v/>
      </c>
      <c r="T161" s="494" t="str">
        <f t="shared" ca="1" si="11"/>
        <v/>
      </c>
      <c r="U161" s="275"/>
      <c r="V161" s="499" t="str">
        <f ca="1">IF('CDO Bespoke'!C186&lt;&gt;"",'CDO Bespoke'!C186,"")</f>
        <v/>
      </c>
      <c r="W161" s="501" t="str" cm="1">
        <f t="array" aca="1" ref="W161" ca="1">IF($V161&lt;&gt;"",-TRANSPOSE(INDEX(getcds('CDO Bespoke'!$C186,W$13,'CDO Bespoke'!$G186/10000,'CDO Bespoke'!F186,'CDO Bespoke'!$L162,'CDO Bespoke'!$C$13,'CDO Bespoke'!$C$14,'CDO Bespoke'!$C$15,'CDO Bespoke'!$C$8,,,TRUE,TRUE,FALSE,'CDO Bespoke'!$C$29:'CDO Bespoke'!$C$31,'CDO Bespoke'!$C$33),{5})),"")</f>
        <v/>
      </c>
      <c r="X161" s="527" t="str" cm="1">
        <f t="array" aca="1" ref="X161" ca="1">IF($V161&lt;&gt;"",-TRANSPOSE(INDEX(getcds('CDO Bespoke'!$C186,X$13,'CDO Bespoke'!$G186/10000,'CDO Bespoke'!G186,'CDO Bespoke'!$L162,'CDO Bespoke'!$C$13,'CDO Bespoke'!$C$14,'CDO Bespoke'!$C$15,'CDO Bespoke'!$C$8,,,TRUE,TRUE,FALSE,'CDO Bespoke'!$C$29:'CDO Bespoke'!$C$31,'CDO Bespoke'!$C$33),{5})),"")</f>
        <v/>
      </c>
      <c r="Y161" s="527" t="str" cm="1">
        <f t="array" aca="1" ref="Y161" ca="1">IF($V161&lt;&gt;"",-TRANSPOSE(INDEX(getcds('CDO Bespoke'!$C186,Y$13,'CDO Bespoke'!$G186/10000,'CDO Bespoke'!H186,'CDO Bespoke'!$L162,'CDO Bespoke'!$C$13,'CDO Bespoke'!$C$14,'CDO Bespoke'!$C$15,'CDO Bespoke'!$C$8,,,TRUE,TRUE,FALSE,'CDO Bespoke'!$C$29:'CDO Bespoke'!$C$31,'CDO Bespoke'!$C$33),{5})),"")</f>
        <v/>
      </c>
      <c r="Z161" s="527" t="str" cm="1">
        <f t="array" aca="1" ref="Z161" ca="1">IF($V161&lt;&gt;"",-TRANSPOSE(INDEX(getcds('CDO Bespoke'!$C186,Z$13,'CDO Bespoke'!$G186/10000,'CDO Bespoke'!I186,'CDO Bespoke'!$L162,'CDO Bespoke'!$C$13,'CDO Bespoke'!$C$14,'CDO Bespoke'!$C$15,'CDO Bespoke'!$C$8,,,TRUE,TRUE,FALSE,'CDO Bespoke'!$C$29:'CDO Bespoke'!$C$31,'CDO Bespoke'!$C$33),{5})),"")</f>
        <v/>
      </c>
      <c r="AA161" s="502" t="str" cm="1">
        <f t="array" aca="1" ref="AA161" ca="1">IF($V161&lt;&gt;"",-TRANSPOSE(INDEX(getcds('CDO Bespoke'!$C186,AA$13,'CDO Bespoke'!$G186/10000,'CDO Bespoke'!J186,'CDO Bespoke'!$L162,'CDO Bespoke'!$C$13,'CDO Bespoke'!$C$14,'CDO Bespoke'!$C$15,'CDO Bespoke'!$C$8,,,TRUE,TRUE,FALSE,'CDO Bespoke'!$C$29:'CDO Bespoke'!$C$31,'CDO Bespoke'!$C$33),{5})),"")</f>
        <v/>
      </c>
      <c r="AB161" s="481"/>
      <c r="AC161" s="517"/>
      <c r="AD161" s="518"/>
      <c r="AE161" s="518"/>
      <c r="AF161" s="518"/>
      <c r="AG161" s="518"/>
      <c r="AH161" s="518"/>
      <c r="AI161" s="518"/>
      <c r="AJ161" s="518"/>
      <c r="AK161" s="518"/>
      <c r="AL161" s="519"/>
      <c r="AM161" s="540"/>
    </row>
    <row r="162" spans="2:39" ht="12" thickBot="1">
      <c r="B162" s="558" t="s">
        <v>566</v>
      </c>
      <c r="C162" s="559" t="s">
        <v>66</v>
      </c>
      <c r="D162" s="559" t="s">
        <v>59</v>
      </c>
      <c r="E162" s="559" t="s">
        <v>663</v>
      </c>
      <c r="F162" s="559" t="s">
        <v>666</v>
      </c>
      <c r="G162" s="560">
        <v>0.01</v>
      </c>
      <c r="H162" s="560">
        <v>4.3569999999999998E-3</v>
      </c>
      <c r="I162" s="561">
        <v>0.4</v>
      </c>
      <c r="J162" s="562">
        <v>46</v>
      </c>
      <c r="K162" s="275"/>
      <c r="L162" s="275"/>
      <c r="M162" s="489" t="str">
        <f ca="1">IF('CDO Bespoke'!O163&lt;&gt;"",'CDO Bespoke'!O163,"")</f>
        <v/>
      </c>
      <c r="N162" s="490" t="str">
        <f ca="1">IF(M162&lt;&gt;"",ABS(MIN(-0.75*('CDO Bespoke'!Q163)+'CDO Bespoke'!T163,0)),"")</f>
        <v/>
      </c>
      <c r="O162" s="490" t="str">
        <f t="shared" ca="1" si="8"/>
        <v/>
      </c>
      <c r="P162" s="490" t="str">
        <f t="shared" ca="1" si="9"/>
        <v/>
      </c>
      <c r="Q162" s="489" t="str">
        <f ca="1">IF('CDO Bespoke'!O163&lt;&gt;"",'CDO Bespoke'!O163,"")</f>
        <v/>
      </c>
      <c r="R162" s="490" t="str">
        <f ca="1">IF(Q162&lt;&gt;"",ABS(MIN(-0.75*('CDO Bespoke'!K163)+'CDO Bespoke'!T163,0)),"")</f>
        <v/>
      </c>
      <c r="S162" s="490" t="str">
        <f t="shared" ca="1" si="10"/>
        <v/>
      </c>
      <c r="T162" s="494" t="str">
        <f t="shared" ca="1" si="11"/>
        <v/>
      </c>
      <c r="U162" s="275"/>
      <c r="V162" s="499" t="str">
        <f ca="1">IF('CDO Bespoke'!C187&lt;&gt;"",'CDO Bespoke'!C187,"")</f>
        <v/>
      </c>
      <c r="W162" s="501" t="str" cm="1">
        <f t="array" aca="1" ref="W162" ca="1">IF($V162&lt;&gt;"",-TRANSPOSE(INDEX(getcds('CDO Bespoke'!$C187,W$13,'CDO Bespoke'!$G187/10000,'CDO Bespoke'!F187,'CDO Bespoke'!$L163,'CDO Bespoke'!$C$13,'CDO Bespoke'!$C$14,'CDO Bespoke'!$C$15,'CDO Bespoke'!$C$8,,,TRUE,TRUE,FALSE,'CDO Bespoke'!$C$29:'CDO Bespoke'!$C$31,'CDO Bespoke'!$C$33),{5})),"")</f>
        <v/>
      </c>
      <c r="X162" s="527" t="str" cm="1">
        <f t="array" aca="1" ref="X162" ca="1">IF($V162&lt;&gt;"",-TRANSPOSE(INDEX(getcds('CDO Bespoke'!$C187,X$13,'CDO Bespoke'!$G187/10000,'CDO Bespoke'!G187,'CDO Bespoke'!$L163,'CDO Bespoke'!$C$13,'CDO Bespoke'!$C$14,'CDO Bespoke'!$C$15,'CDO Bespoke'!$C$8,,,TRUE,TRUE,FALSE,'CDO Bespoke'!$C$29:'CDO Bespoke'!$C$31,'CDO Bespoke'!$C$33),{5})),"")</f>
        <v/>
      </c>
      <c r="Y162" s="527" t="str" cm="1">
        <f t="array" aca="1" ref="Y162" ca="1">IF($V162&lt;&gt;"",-TRANSPOSE(INDEX(getcds('CDO Bespoke'!$C187,Y$13,'CDO Bespoke'!$G187/10000,'CDO Bespoke'!H187,'CDO Bespoke'!$L163,'CDO Bespoke'!$C$13,'CDO Bespoke'!$C$14,'CDO Bespoke'!$C$15,'CDO Bespoke'!$C$8,,,TRUE,TRUE,FALSE,'CDO Bespoke'!$C$29:'CDO Bespoke'!$C$31,'CDO Bespoke'!$C$33),{5})),"")</f>
        <v/>
      </c>
      <c r="Z162" s="527" t="str" cm="1">
        <f t="array" aca="1" ref="Z162" ca="1">IF($V162&lt;&gt;"",-TRANSPOSE(INDEX(getcds('CDO Bespoke'!$C187,Z$13,'CDO Bespoke'!$G187/10000,'CDO Bespoke'!I187,'CDO Bespoke'!$L163,'CDO Bespoke'!$C$13,'CDO Bespoke'!$C$14,'CDO Bespoke'!$C$15,'CDO Bespoke'!$C$8,,,TRUE,TRUE,FALSE,'CDO Bespoke'!$C$29:'CDO Bespoke'!$C$31,'CDO Bespoke'!$C$33),{5})),"")</f>
        <v/>
      </c>
      <c r="AA162" s="502" t="str" cm="1">
        <f t="array" aca="1" ref="AA162" ca="1">IF($V162&lt;&gt;"",-TRANSPOSE(INDEX(getcds('CDO Bespoke'!$C187,AA$13,'CDO Bespoke'!$G187/10000,'CDO Bespoke'!J187,'CDO Bespoke'!$L163,'CDO Bespoke'!$C$13,'CDO Bespoke'!$C$14,'CDO Bespoke'!$C$15,'CDO Bespoke'!$C$8,,,TRUE,TRUE,FALSE,'CDO Bespoke'!$C$29:'CDO Bespoke'!$C$31,'CDO Bespoke'!$C$33),{5})),"")</f>
        <v/>
      </c>
      <c r="AB162" s="481"/>
      <c r="AC162" s="517"/>
      <c r="AD162" s="518"/>
      <c r="AE162" s="518"/>
      <c r="AF162" s="518"/>
      <c r="AG162" s="518"/>
      <c r="AH162" s="518"/>
      <c r="AI162" s="518"/>
      <c r="AJ162" s="518"/>
      <c r="AK162" s="518"/>
      <c r="AL162" s="519"/>
      <c r="AM162" s="540"/>
    </row>
    <row r="163" spans="2:39" ht="12" thickBot="1">
      <c r="B163" s="563" t="s">
        <v>552</v>
      </c>
      <c r="C163" s="564" t="s">
        <v>66</v>
      </c>
      <c r="D163" s="564" t="s">
        <v>55</v>
      </c>
      <c r="E163" s="564" t="s">
        <v>661</v>
      </c>
      <c r="F163" s="564" t="s">
        <v>666</v>
      </c>
      <c r="G163" s="565">
        <v>0.01</v>
      </c>
      <c r="H163" s="565">
        <v>1.338E-3</v>
      </c>
      <c r="I163" s="566">
        <v>0.4</v>
      </c>
      <c r="J163" s="567">
        <v>47</v>
      </c>
      <c r="K163" s="275"/>
      <c r="L163" s="275"/>
      <c r="M163" s="489" t="str">
        <f ca="1">IF('CDO Bespoke'!O164&lt;&gt;"",'CDO Bespoke'!O164,"")</f>
        <v/>
      </c>
      <c r="N163" s="490" t="str">
        <f ca="1">IF(M163&lt;&gt;"",ABS(MIN(-0.75*('CDO Bespoke'!Q164)+'CDO Bespoke'!T164,0)),"")</f>
        <v/>
      </c>
      <c r="O163" s="490" t="str">
        <f t="shared" ca="1" si="8"/>
        <v/>
      </c>
      <c r="P163" s="490" t="str">
        <f t="shared" ca="1" si="9"/>
        <v/>
      </c>
      <c r="Q163" s="489" t="str">
        <f ca="1">IF('CDO Bespoke'!O164&lt;&gt;"",'CDO Bespoke'!O164,"")</f>
        <v/>
      </c>
      <c r="R163" s="490" t="str">
        <f ca="1">IF(Q163&lt;&gt;"",ABS(MIN(-0.75*('CDO Bespoke'!K164)+'CDO Bespoke'!T164,0)),"")</f>
        <v/>
      </c>
      <c r="S163" s="490" t="str">
        <f t="shared" ca="1" si="10"/>
        <v/>
      </c>
      <c r="T163" s="494" t="str">
        <f t="shared" ca="1" si="11"/>
        <v/>
      </c>
      <c r="U163" s="275"/>
      <c r="V163" s="499" t="str">
        <f ca="1">IF('CDO Bespoke'!C188&lt;&gt;"",'CDO Bespoke'!C188,"")</f>
        <v/>
      </c>
      <c r="W163" s="501" t="str" cm="1">
        <f t="array" aca="1" ref="W163" ca="1">IF($V163&lt;&gt;"",-TRANSPOSE(INDEX(getcds('CDO Bespoke'!$C188,W$13,'CDO Bespoke'!$G188/10000,'CDO Bespoke'!F188,'CDO Bespoke'!$L164,'CDO Bespoke'!$C$13,'CDO Bespoke'!$C$14,'CDO Bespoke'!$C$15,'CDO Bespoke'!$C$8,,,TRUE,TRUE,FALSE,'CDO Bespoke'!$C$29:'CDO Bespoke'!$C$31,'CDO Bespoke'!$C$33),{5})),"")</f>
        <v/>
      </c>
      <c r="X163" s="527" t="str" cm="1">
        <f t="array" aca="1" ref="X163" ca="1">IF($V163&lt;&gt;"",-TRANSPOSE(INDEX(getcds('CDO Bespoke'!$C188,X$13,'CDO Bespoke'!$G188/10000,'CDO Bespoke'!G188,'CDO Bespoke'!$L164,'CDO Bespoke'!$C$13,'CDO Bespoke'!$C$14,'CDO Bespoke'!$C$15,'CDO Bespoke'!$C$8,,,TRUE,TRUE,FALSE,'CDO Bespoke'!$C$29:'CDO Bespoke'!$C$31,'CDO Bespoke'!$C$33),{5})),"")</f>
        <v/>
      </c>
      <c r="Y163" s="527" t="str" cm="1">
        <f t="array" aca="1" ref="Y163" ca="1">IF($V163&lt;&gt;"",-TRANSPOSE(INDEX(getcds('CDO Bespoke'!$C188,Y$13,'CDO Bespoke'!$G188/10000,'CDO Bespoke'!H188,'CDO Bespoke'!$L164,'CDO Bespoke'!$C$13,'CDO Bespoke'!$C$14,'CDO Bespoke'!$C$15,'CDO Bespoke'!$C$8,,,TRUE,TRUE,FALSE,'CDO Bespoke'!$C$29:'CDO Bespoke'!$C$31,'CDO Bespoke'!$C$33),{5})),"")</f>
        <v/>
      </c>
      <c r="Z163" s="527" t="str" cm="1">
        <f t="array" aca="1" ref="Z163" ca="1">IF($V163&lt;&gt;"",-TRANSPOSE(INDEX(getcds('CDO Bespoke'!$C188,Z$13,'CDO Bespoke'!$G188/10000,'CDO Bespoke'!I188,'CDO Bespoke'!$L164,'CDO Bespoke'!$C$13,'CDO Bespoke'!$C$14,'CDO Bespoke'!$C$15,'CDO Bespoke'!$C$8,,,TRUE,TRUE,FALSE,'CDO Bespoke'!$C$29:'CDO Bespoke'!$C$31,'CDO Bespoke'!$C$33),{5})),"")</f>
        <v/>
      </c>
      <c r="AA163" s="502" t="str" cm="1">
        <f t="array" aca="1" ref="AA163" ca="1">IF($V163&lt;&gt;"",-TRANSPOSE(INDEX(getcds('CDO Bespoke'!$C188,AA$13,'CDO Bespoke'!$G188/10000,'CDO Bespoke'!J188,'CDO Bespoke'!$L164,'CDO Bespoke'!$C$13,'CDO Bespoke'!$C$14,'CDO Bespoke'!$C$15,'CDO Bespoke'!$C$8,,,TRUE,TRUE,FALSE,'CDO Bespoke'!$C$29:'CDO Bespoke'!$C$31,'CDO Bespoke'!$C$33),{5})),"")</f>
        <v/>
      </c>
      <c r="AB163" s="481"/>
      <c r="AC163" s="517"/>
      <c r="AD163" s="518"/>
      <c r="AE163" s="518"/>
      <c r="AF163" s="518"/>
      <c r="AG163" s="518"/>
      <c r="AH163" s="518"/>
      <c r="AI163" s="518"/>
      <c r="AJ163" s="518"/>
      <c r="AK163" s="518"/>
      <c r="AL163" s="519"/>
      <c r="AM163" s="540"/>
    </row>
    <row r="164" spans="2:39" ht="12" thickBot="1">
      <c r="B164" s="541" t="s">
        <v>552</v>
      </c>
      <c r="C164" s="542" t="s">
        <v>66</v>
      </c>
      <c r="D164" s="542" t="s">
        <v>57</v>
      </c>
      <c r="E164" s="542" t="s">
        <v>661</v>
      </c>
      <c r="F164" s="542" t="s">
        <v>666</v>
      </c>
      <c r="G164" s="549">
        <v>0.01</v>
      </c>
      <c r="H164" s="549">
        <v>2.0349999999999999E-3</v>
      </c>
      <c r="I164" s="551">
        <v>0.4</v>
      </c>
      <c r="J164" s="543">
        <v>47</v>
      </c>
      <c r="K164" s="275"/>
      <c r="L164" s="275"/>
      <c r="M164" s="489" t="str">
        <f ca="1">IF('CDO Bespoke'!O165&lt;&gt;"",'CDO Bespoke'!O165,"")</f>
        <v/>
      </c>
      <c r="N164" s="490" t="str">
        <f ca="1">IF(M164&lt;&gt;"",ABS(MIN(-0.75*('CDO Bespoke'!Q165)+'CDO Bespoke'!T165,0)),"")</f>
        <v/>
      </c>
      <c r="O164" s="490" t="str">
        <f t="shared" ca="1" si="8"/>
        <v/>
      </c>
      <c r="P164" s="490" t="str">
        <f t="shared" ca="1" si="9"/>
        <v/>
      </c>
      <c r="Q164" s="489" t="str">
        <f ca="1">IF('CDO Bespoke'!O165&lt;&gt;"",'CDO Bespoke'!O165,"")</f>
        <v/>
      </c>
      <c r="R164" s="490" t="str">
        <f ca="1">IF(Q164&lt;&gt;"",ABS(MIN(-0.75*('CDO Bespoke'!K165)+'CDO Bespoke'!T165,0)),"")</f>
        <v/>
      </c>
      <c r="S164" s="490" t="str">
        <f t="shared" ca="1" si="10"/>
        <v/>
      </c>
      <c r="T164" s="494" t="str">
        <f t="shared" ca="1" si="11"/>
        <v/>
      </c>
      <c r="U164" s="275"/>
      <c r="V164" s="499" t="str">
        <f ca="1">IF('CDO Bespoke'!C189&lt;&gt;"",'CDO Bespoke'!C189,"")</f>
        <v/>
      </c>
      <c r="W164" s="501" t="str" cm="1">
        <f t="array" aca="1" ref="W164" ca="1">IF($V164&lt;&gt;"",-TRANSPOSE(INDEX(getcds('CDO Bespoke'!$C189,W$13,'CDO Bespoke'!$G189/10000,'CDO Bespoke'!F189,'CDO Bespoke'!$L165,'CDO Bespoke'!$C$13,'CDO Bespoke'!$C$14,'CDO Bespoke'!$C$15,'CDO Bespoke'!$C$8,,,TRUE,TRUE,FALSE,'CDO Bespoke'!$C$29:'CDO Bespoke'!$C$31,'CDO Bespoke'!$C$33),{5})),"")</f>
        <v/>
      </c>
      <c r="X164" s="527" t="str" cm="1">
        <f t="array" aca="1" ref="X164" ca="1">IF($V164&lt;&gt;"",-TRANSPOSE(INDEX(getcds('CDO Bespoke'!$C189,X$13,'CDO Bespoke'!$G189/10000,'CDO Bespoke'!G189,'CDO Bespoke'!$L165,'CDO Bespoke'!$C$13,'CDO Bespoke'!$C$14,'CDO Bespoke'!$C$15,'CDO Bespoke'!$C$8,,,TRUE,TRUE,FALSE,'CDO Bespoke'!$C$29:'CDO Bespoke'!$C$31,'CDO Bespoke'!$C$33),{5})),"")</f>
        <v/>
      </c>
      <c r="Y164" s="527" t="str" cm="1">
        <f t="array" aca="1" ref="Y164" ca="1">IF($V164&lt;&gt;"",-TRANSPOSE(INDEX(getcds('CDO Bespoke'!$C189,Y$13,'CDO Bespoke'!$G189/10000,'CDO Bespoke'!H189,'CDO Bespoke'!$L165,'CDO Bespoke'!$C$13,'CDO Bespoke'!$C$14,'CDO Bespoke'!$C$15,'CDO Bespoke'!$C$8,,,TRUE,TRUE,FALSE,'CDO Bespoke'!$C$29:'CDO Bespoke'!$C$31,'CDO Bespoke'!$C$33),{5})),"")</f>
        <v/>
      </c>
      <c r="Z164" s="527" t="str" cm="1">
        <f t="array" aca="1" ref="Z164" ca="1">IF($V164&lt;&gt;"",-TRANSPOSE(INDEX(getcds('CDO Bespoke'!$C189,Z$13,'CDO Bespoke'!$G189/10000,'CDO Bespoke'!I189,'CDO Bespoke'!$L165,'CDO Bespoke'!$C$13,'CDO Bespoke'!$C$14,'CDO Bespoke'!$C$15,'CDO Bespoke'!$C$8,,,TRUE,TRUE,FALSE,'CDO Bespoke'!$C$29:'CDO Bespoke'!$C$31,'CDO Bespoke'!$C$33),{5})),"")</f>
        <v/>
      </c>
      <c r="AA164" s="502" t="str" cm="1">
        <f t="array" aca="1" ref="AA164" ca="1">IF($V164&lt;&gt;"",-TRANSPOSE(INDEX(getcds('CDO Bespoke'!$C189,AA$13,'CDO Bespoke'!$G189/10000,'CDO Bespoke'!J189,'CDO Bespoke'!$L165,'CDO Bespoke'!$C$13,'CDO Bespoke'!$C$14,'CDO Bespoke'!$C$15,'CDO Bespoke'!$C$8,,,TRUE,TRUE,FALSE,'CDO Bespoke'!$C$29:'CDO Bespoke'!$C$31,'CDO Bespoke'!$C$33),{5})),"")</f>
        <v/>
      </c>
      <c r="AB164" s="481"/>
      <c r="AC164" s="517"/>
      <c r="AD164" s="518"/>
      <c r="AE164" s="518"/>
      <c r="AF164" s="518"/>
      <c r="AG164" s="518"/>
      <c r="AH164" s="518"/>
      <c r="AI164" s="518"/>
      <c r="AJ164" s="518"/>
      <c r="AK164" s="518"/>
      <c r="AL164" s="519"/>
      <c r="AM164" s="540"/>
    </row>
    <row r="165" spans="2:39" ht="12" thickBot="1">
      <c r="B165" s="558" t="s">
        <v>552</v>
      </c>
      <c r="C165" s="559" t="s">
        <v>66</v>
      </c>
      <c r="D165" s="559" t="s">
        <v>59</v>
      </c>
      <c r="E165" s="559" t="s">
        <v>661</v>
      </c>
      <c r="F165" s="559" t="s">
        <v>666</v>
      </c>
      <c r="G165" s="560">
        <v>0.01</v>
      </c>
      <c r="H165" s="560">
        <v>2.843E-3</v>
      </c>
      <c r="I165" s="561">
        <v>0.4</v>
      </c>
      <c r="J165" s="562">
        <v>47</v>
      </c>
      <c r="K165" s="275"/>
      <c r="L165" s="275"/>
      <c r="M165" s="489" t="str">
        <f ca="1">IF('CDO Bespoke'!O166&lt;&gt;"",'CDO Bespoke'!O166,"")</f>
        <v/>
      </c>
      <c r="N165" s="490" t="str">
        <f ca="1">IF(M165&lt;&gt;"",ABS(MIN(-0.75*('CDO Bespoke'!Q166)+'CDO Bespoke'!T166,0)),"")</f>
        <v/>
      </c>
      <c r="O165" s="490" t="str">
        <f t="shared" ca="1" si="8"/>
        <v/>
      </c>
      <c r="P165" s="490" t="str">
        <f t="shared" ca="1" si="9"/>
        <v/>
      </c>
      <c r="Q165" s="489" t="str">
        <f ca="1">IF('CDO Bespoke'!O166&lt;&gt;"",'CDO Bespoke'!O166,"")</f>
        <v/>
      </c>
      <c r="R165" s="490" t="str">
        <f ca="1">IF(Q165&lt;&gt;"",ABS(MIN(-0.75*('CDO Bespoke'!K166)+'CDO Bespoke'!T166,0)),"")</f>
        <v/>
      </c>
      <c r="S165" s="490" t="str">
        <f t="shared" ca="1" si="10"/>
        <v/>
      </c>
      <c r="T165" s="494" t="str">
        <f t="shared" ca="1" si="11"/>
        <v/>
      </c>
      <c r="U165" s="275"/>
      <c r="V165" s="499" t="str">
        <f ca="1">IF('CDO Bespoke'!C190&lt;&gt;"",'CDO Bespoke'!C190,"")</f>
        <v/>
      </c>
      <c r="W165" s="501" t="str" cm="1">
        <f t="array" aca="1" ref="W165" ca="1">IF($V165&lt;&gt;"",-TRANSPOSE(INDEX(getcds('CDO Bespoke'!$C190,W$13,'CDO Bespoke'!$G190/10000,'CDO Bespoke'!F190,'CDO Bespoke'!$L166,'CDO Bespoke'!$C$13,'CDO Bespoke'!$C$14,'CDO Bespoke'!$C$15,'CDO Bespoke'!$C$8,,,TRUE,TRUE,FALSE,'CDO Bespoke'!$C$29:'CDO Bespoke'!$C$31,'CDO Bespoke'!$C$33),{5})),"")</f>
        <v/>
      </c>
      <c r="X165" s="527" t="str" cm="1">
        <f t="array" aca="1" ref="X165" ca="1">IF($V165&lt;&gt;"",-TRANSPOSE(INDEX(getcds('CDO Bespoke'!$C190,X$13,'CDO Bespoke'!$G190/10000,'CDO Bespoke'!G190,'CDO Bespoke'!$L166,'CDO Bespoke'!$C$13,'CDO Bespoke'!$C$14,'CDO Bespoke'!$C$15,'CDO Bespoke'!$C$8,,,TRUE,TRUE,FALSE,'CDO Bespoke'!$C$29:'CDO Bespoke'!$C$31,'CDO Bespoke'!$C$33),{5})),"")</f>
        <v/>
      </c>
      <c r="Y165" s="527" t="str" cm="1">
        <f t="array" aca="1" ref="Y165" ca="1">IF($V165&lt;&gt;"",-TRANSPOSE(INDEX(getcds('CDO Bespoke'!$C190,Y$13,'CDO Bespoke'!$G190/10000,'CDO Bespoke'!H190,'CDO Bespoke'!$L166,'CDO Bespoke'!$C$13,'CDO Bespoke'!$C$14,'CDO Bespoke'!$C$15,'CDO Bespoke'!$C$8,,,TRUE,TRUE,FALSE,'CDO Bespoke'!$C$29:'CDO Bespoke'!$C$31,'CDO Bespoke'!$C$33),{5})),"")</f>
        <v/>
      </c>
      <c r="Z165" s="527" t="str" cm="1">
        <f t="array" aca="1" ref="Z165" ca="1">IF($V165&lt;&gt;"",-TRANSPOSE(INDEX(getcds('CDO Bespoke'!$C190,Z$13,'CDO Bespoke'!$G190/10000,'CDO Bespoke'!I190,'CDO Bespoke'!$L166,'CDO Bespoke'!$C$13,'CDO Bespoke'!$C$14,'CDO Bespoke'!$C$15,'CDO Bespoke'!$C$8,,,TRUE,TRUE,FALSE,'CDO Bespoke'!$C$29:'CDO Bespoke'!$C$31,'CDO Bespoke'!$C$33),{5})),"")</f>
        <v/>
      </c>
      <c r="AA165" s="502" t="str" cm="1">
        <f t="array" aca="1" ref="AA165" ca="1">IF($V165&lt;&gt;"",-TRANSPOSE(INDEX(getcds('CDO Bespoke'!$C190,AA$13,'CDO Bespoke'!$G190/10000,'CDO Bespoke'!J190,'CDO Bespoke'!$L166,'CDO Bespoke'!$C$13,'CDO Bespoke'!$C$14,'CDO Bespoke'!$C$15,'CDO Bespoke'!$C$8,,,TRUE,TRUE,FALSE,'CDO Bespoke'!$C$29:'CDO Bespoke'!$C$31,'CDO Bespoke'!$C$33),{5})),"")</f>
        <v/>
      </c>
      <c r="AB165" s="481"/>
      <c r="AC165" s="517"/>
      <c r="AD165" s="518"/>
      <c r="AE165" s="518"/>
      <c r="AF165" s="518"/>
      <c r="AG165" s="518"/>
      <c r="AH165" s="518"/>
      <c r="AI165" s="518"/>
      <c r="AJ165" s="518"/>
      <c r="AK165" s="518"/>
      <c r="AL165" s="519"/>
      <c r="AM165" s="540"/>
    </row>
    <row r="166" spans="2:39" ht="12" thickBot="1">
      <c r="B166" s="563" t="s">
        <v>567</v>
      </c>
      <c r="C166" s="564" t="s">
        <v>66</v>
      </c>
      <c r="D166" s="564" t="s">
        <v>55</v>
      </c>
      <c r="E166" s="564" t="s">
        <v>663</v>
      </c>
      <c r="F166" s="564" t="s">
        <v>666</v>
      </c>
      <c r="G166" s="565">
        <v>0.01</v>
      </c>
      <c r="H166" s="565">
        <v>4.5620000000000001E-3</v>
      </c>
      <c r="I166" s="566">
        <v>0.4</v>
      </c>
      <c r="J166" s="567">
        <v>48</v>
      </c>
      <c r="K166" s="275"/>
      <c r="L166" s="275"/>
      <c r="M166" s="489" t="str">
        <f ca="1">IF('CDO Bespoke'!O167&lt;&gt;"",'CDO Bespoke'!O167,"")</f>
        <v/>
      </c>
      <c r="N166" s="490" t="str">
        <f ca="1">IF(M166&lt;&gt;"",ABS(MIN(-0.75*('CDO Bespoke'!Q167)+'CDO Bespoke'!T167,0)),"")</f>
        <v/>
      </c>
      <c r="O166" s="490" t="str">
        <f t="shared" ca="1" si="8"/>
        <v/>
      </c>
      <c r="P166" s="490" t="str">
        <f t="shared" ca="1" si="9"/>
        <v/>
      </c>
      <c r="Q166" s="489" t="str">
        <f ca="1">IF('CDO Bespoke'!O167&lt;&gt;"",'CDO Bespoke'!O167,"")</f>
        <v/>
      </c>
      <c r="R166" s="490" t="str">
        <f ca="1">IF(Q166&lt;&gt;"",ABS(MIN(-0.75*('CDO Bespoke'!K167)+'CDO Bespoke'!T167,0)),"")</f>
        <v/>
      </c>
      <c r="S166" s="490" t="str">
        <f t="shared" ca="1" si="10"/>
        <v/>
      </c>
      <c r="T166" s="494" t="str">
        <f t="shared" ca="1" si="11"/>
        <v/>
      </c>
      <c r="U166" s="275"/>
      <c r="V166" s="499" t="str">
        <f ca="1">IF('CDO Bespoke'!C191&lt;&gt;"",'CDO Bespoke'!C191,"")</f>
        <v/>
      </c>
      <c r="W166" s="501" t="str" cm="1">
        <f t="array" aca="1" ref="W166" ca="1">IF($V166&lt;&gt;"",-TRANSPOSE(INDEX(getcds('CDO Bespoke'!$C191,W$13,'CDO Bespoke'!$G191/10000,'CDO Bespoke'!F191,'CDO Bespoke'!$L167,'CDO Bespoke'!$C$13,'CDO Bespoke'!$C$14,'CDO Bespoke'!$C$15,'CDO Bespoke'!$C$8,,,TRUE,TRUE,FALSE,'CDO Bespoke'!$C$29:'CDO Bespoke'!$C$31,'CDO Bespoke'!$C$33),{5})),"")</f>
        <v/>
      </c>
      <c r="X166" s="527" t="str" cm="1">
        <f t="array" aca="1" ref="X166" ca="1">IF($V166&lt;&gt;"",-TRANSPOSE(INDEX(getcds('CDO Bespoke'!$C191,X$13,'CDO Bespoke'!$G191/10000,'CDO Bespoke'!G191,'CDO Bespoke'!$L167,'CDO Bespoke'!$C$13,'CDO Bespoke'!$C$14,'CDO Bespoke'!$C$15,'CDO Bespoke'!$C$8,,,TRUE,TRUE,FALSE,'CDO Bespoke'!$C$29:'CDO Bespoke'!$C$31,'CDO Bespoke'!$C$33),{5})),"")</f>
        <v/>
      </c>
      <c r="Y166" s="527" t="str" cm="1">
        <f t="array" aca="1" ref="Y166" ca="1">IF($V166&lt;&gt;"",-TRANSPOSE(INDEX(getcds('CDO Bespoke'!$C191,Y$13,'CDO Bespoke'!$G191/10000,'CDO Bespoke'!H191,'CDO Bespoke'!$L167,'CDO Bespoke'!$C$13,'CDO Bespoke'!$C$14,'CDO Bespoke'!$C$15,'CDO Bespoke'!$C$8,,,TRUE,TRUE,FALSE,'CDO Bespoke'!$C$29:'CDO Bespoke'!$C$31,'CDO Bespoke'!$C$33),{5})),"")</f>
        <v/>
      </c>
      <c r="Z166" s="527" t="str" cm="1">
        <f t="array" aca="1" ref="Z166" ca="1">IF($V166&lt;&gt;"",-TRANSPOSE(INDEX(getcds('CDO Bespoke'!$C191,Z$13,'CDO Bespoke'!$G191/10000,'CDO Bespoke'!I191,'CDO Bespoke'!$L167,'CDO Bespoke'!$C$13,'CDO Bespoke'!$C$14,'CDO Bespoke'!$C$15,'CDO Bespoke'!$C$8,,,TRUE,TRUE,FALSE,'CDO Bespoke'!$C$29:'CDO Bespoke'!$C$31,'CDO Bespoke'!$C$33),{5})),"")</f>
        <v/>
      </c>
      <c r="AA166" s="502" t="str" cm="1">
        <f t="array" aca="1" ref="AA166" ca="1">IF($V166&lt;&gt;"",-TRANSPOSE(INDEX(getcds('CDO Bespoke'!$C191,AA$13,'CDO Bespoke'!$G191/10000,'CDO Bespoke'!J191,'CDO Bespoke'!$L167,'CDO Bespoke'!$C$13,'CDO Bespoke'!$C$14,'CDO Bespoke'!$C$15,'CDO Bespoke'!$C$8,,,TRUE,TRUE,FALSE,'CDO Bespoke'!$C$29:'CDO Bespoke'!$C$31,'CDO Bespoke'!$C$33),{5})),"")</f>
        <v/>
      </c>
      <c r="AB166" s="481"/>
      <c r="AC166" s="517"/>
      <c r="AD166" s="518"/>
      <c r="AE166" s="518"/>
      <c r="AF166" s="518"/>
      <c r="AG166" s="518"/>
      <c r="AH166" s="518"/>
      <c r="AI166" s="518"/>
      <c r="AJ166" s="518"/>
      <c r="AK166" s="518"/>
      <c r="AL166" s="519"/>
      <c r="AM166" s="540"/>
    </row>
    <row r="167" spans="2:39" ht="12" thickBot="1">
      <c r="B167" s="541" t="s">
        <v>567</v>
      </c>
      <c r="C167" s="542" t="s">
        <v>66</v>
      </c>
      <c r="D167" s="542" t="s">
        <v>57</v>
      </c>
      <c r="E167" s="542" t="s">
        <v>663</v>
      </c>
      <c r="F167" s="542" t="s">
        <v>666</v>
      </c>
      <c r="G167" s="549">
        <v>0.01</v>
      </c>
      <c r="H167" s="549">
        <v>7.5360000000000002E-3</v>
      </c>
      <c r="I167" s="551">
        <v>0.4</v>
      </c>
      <c r="J167" s="543">
        <v>48</v>
      </c>
      <c r="K167" s="275"/>
      <c r="L167" s="275"/>
      <c r="M167" s="489" t="str">
        <f ca="1">IF('CDO Bespoke'!O168&lt;&gt;"",'CDO Bespoke'!O168,"")</f>
        <v/>
      </c>
      <c r="N167" s="490" t="str">
        <f ca="1">IF(M167&lt;&gt;"",ABS(MIN(-0.75*('CDO Bespoke'!Q168)+'CDO Bespoke'!T168,0)),"")</f>
        <v/>
      </c>
      <c r="O167" s="490" t="str">
        <f t="shared" ca="1" si="8"/>
        <v/>
      </c>
      <c r="P167" s="490" t="str">
        <f t="shared" ca="1" si="9"/>
        <v/>
      </c>
      <c r="Q167" s="489" t="str">
        <f ca="1">IF('CDO Bespoke'!O168&lt;&gt;"",'CDO Bespoke'!O168,"")</f>
        <v/>
      </c>
      <c r="R167" s="490" t="str">
        <f ca="1">IF(Q167&lt;&gt;"",ABS(MIN(-0.75*('CDO Bespoke'!K168)+'CDO Bespoke'!T168,0)),"")</f>
        <v/>
      </c>
      <c r="S167" s="490" t="str">
        <f t="shared" ca="1" si="10"/>
        <v/>
      </c>
      <c r="T167" s="494" t="str">
        <f t="shared" ca="1" si="11"/>
        <v/>
      </c>
      <c r="U167" s="275"/>
      <c r="V167" s="499" t="str">
        <f ca="1">IF('CDO Bespoke'!C192&lt;&gt;"",'CDO Bespoke'!C192,"")</f>
        <v/>
      </c>
      <c r="W167" s="501" t="str" cm="1">
        <f t="array" aca="1" ref="W167" ca="1">IF($V167&lt;&gt;"",-TRANSPOSE(INDEX(getcds('CDO Bespoke'!$C192,W$13,'CDO Bespoke'!$G192/10000,'CDO Bespoke'!F192,'CDO Bespoke'!$L168,'CDO Bespoke'!$C$13,'CDO Bespoke'!$C$14,'CDO Bespoke'!$C$15,'CDO Bespoke'!$C$8,,,TRUE,TRUE,FALSE,'CDO Bespoke'!$C$29:'CDO Bespoke'!$C$31,'CDO Bespoke'!$C$33),{5})),"")</f>
        <v/>
      </c>
      <c r="X167" s="527" t="str" cm="1">
        <f t="array" aca="1" ref="X167" ca="1">IF($V167&lt;&gt;"",-TRANSPOSE(INDEX(getcds('CDO Bespoke'!$C192,X$13,'CDO Bespoke'!$G192/10000,'CDO Bespoke'!G192,'CDO Bespoke'!$L168,'CDO Bespoke'!$C$13,'CDO Bespoke'!$C$14,'CDO Bespoke'!$C$15,'CDO Bespoke'!$C$8,,,TRUE,TRUE,FALSE,'CDO Bespoke'!$C$29:'CDO Bespoke'!$C$31,'CDO Bespoke'!$C$33),{5})),"")</f>
        <v/>
      </c>
      <c r="Y167" s="527" t="str" cm="1">
        <f t="array" aca="1" ref="Y167" ca="1">IF($V167&lt;&gt;"",-TRANSPOSE(INDEX(getcds('CDO Bespoke'!$C192,Y$13,'CDO Bespoke'!$G192/10000,'CDO Bespoke'!H192,'CDO Bespoke'!$L168,'CDO Bespoke'!$C$13,'CDO Bespoke'!$C$14,'CDO Bespoke'!$C$15,'CDO Bespoke'!$C$8,,,TRUE,TRUE,FALSE,'CDO Bespoke'!$C$29:'CDO Bespoke'!$C$31,'CDO Bespoke'!$C$33),{5})),"")</f>
        <v/>
      </c>
      <c r="Z167" s="527" t="str" cm="1">
        <f t="array" aca="1" ref="Z167" ca="1">IF($V167&lt;&gt;"",-TRANSPOSE(INDEX(getcds('CDO Bespoke'!$C192,Z$13,'CDO Bespoke'!$G192/10000,'CDO Bespoke'!I192,'CDO Bespoke'!$L168,'CDO Bespoke'!$C$13,'CDO Bespoke'!$C$14,'CDO Bespoke'!$C$15,'CDO Bespoke'!$C$8,,,TRUE,TRUE,FALSE,'CDO Bespoke'!$C$29:'CDO Bespoke'!$C$31,'CDO Bespoke'!$C$33),{5})),"")</f>
        <v/>
      </c>
      <c r="AA167" s="502" t="str" cm="1">
        <f t="array" aca="1" ref="AA167" ca="1">IF($V167&lt;&gt;"",-TRANSPOSE(INDEX(getcds('CDO Bespoke'!$C192,AA$13,'CDO Bespoke'!$G192/10000,'CDO Bespoke'!J192,'CDO Bespoke'!$L168,'CDO Bespoke'!$C$13,'CDO Bespoke'!$C$14,'CDO Bespoke'!$C$15,'CDO Bespoke'!$C$8,,,TRUE,TRUE,FALSE,'CDO Bespoke'!$C$29:'CDO Bespoke'!$C$31,'CDO Bespoke'!$C$33),{5})),"")</f>
        <v/>
      </c>
      <c r="AB167" s="481"/>
      <c r="AC167" s="517"/>
      <c r="AD167" s="518"/>
      <c r="AE167" s="518"/>
      <c r="AF167" s="518"/>
      <c r="AG167" s="518"/>
      <c r="AH167" s="518"/>
      <c r="AI167" s="518"/>
      <c r="AJ167" s="518"/>
      <c r="AK167" s="518"/>
      <c r="AL167" s="519"/>
      <c r="AM167" s="540"/>
    </row>
    <row r="168" spans="2:39" ht="12" thickBot="1">
      <c r="B168" s="558" t="s">
        <v>567</v>
      </c>
      <c r="C168" s="559" t="s">
        <v>66</v>
      </c>
      <c r="D168" s="559" t="s">
        <v>59</v>
      </c>
      <c r="E168" s="559" t="s">
        <v>663</v>
      </c>
      <c r="F168" s="559" t="s">
        <v>666</v>
      </c>
      <c r="G168" s="560">
        <v>0.01</v>
      </c>
      <c r="H168" s="560">
        <v>1.0989000000000001E-2</v>
      </c>
      <c r="I168" s="561">
        <v>0.4</v>
      </c>
      <c r="J168" s="562">
        <v>48</v>
      </c>
      <c r="K168" s="275"/>
      <c r="L168" s="275"/>
      <c r="M168" s="489" t="str">
        <f ca="1">IF('CDO Bespoke'!O169&lt;&gt;"",'CDO Bespoke'!O169,"")</f>
        <v/>
      </c>
      <c r="N168" s="490" t="str">
        <f ca="1">IF(M168&lt;&gt;"",ABS(MIN(-0.75*('CDO Bespoke'!Q169)+'CDO Bespoke'!T169,0)),"")</f>
        <v/>
      </c>
      <c r="O168" s="490" t="str">
        <f t="shared" ca="1" si="8"/>
        <v/>
      </c>
      <c r="P168" s="490" t="str">
        <f t="shared" ca="1" si="9"/>
        <v/>
      </c>
      <c r="Q168" s="489" t="str">
        <f ca="1">IF('CDO Bespoke'!O169&lt;&gt;"",'CDO Bespoke'!O169,"")</f>
        <v/>
      </c>
      <c r="R168" s="490" t="str">
        <f ca="1">IF(Q168&lt;&gt;"",ABS(MIN(-0.75*('CDO Bespoke'!K169)+'CDO Bespoke'!T169,0)),"")</f>
        <v/>
      </c>
      <c r="S168" s="490" t="str">
        <f t="shared" ca="1" si="10"/>
        <v/>
      </c>
      <c r="T168" s="494" t="str">
        <f t="shared" ca="1" si="11"/>
        <v/>
      </c>
      <c r="U168" s="275"/>
      <c r="V168" s="499" t="str">
        <f ca="1">IF('CDO Bespoke'!C193&lt;&gt;"",'CDO Bespoke'!C193,"")</f>
        <v/>
      </c>
      <c r="W168" s="501" t="str" cm="1">
        <f t="array" aca="1" ref="W168" ca="1">IF($V168&lt;&gt;"",-TRANSPOSE(INDEX(getcds('CDO Bespoke'!$C193,W$13,'CDO Bespoke'!$G193/10000,'CDO Bespoke'!F193,'CDO Bespoke'!$L169,'CDO Bespoke'!$C$13,'CDO Bespoke'!$C$14,'CDO Bespoke'!$C$15,'CDO Bespoke'!$C$8,,,TRUE,TRUE,FALSE,'CDO Bespoke'!$C$29:'CDO Bespoke'!$C$31,'CDO Bespoke'!$C$33),{5})),"")</f>
        <v/>
      </c>
      <c r="X168" s="527" t="str" cm="1">
        <f t="array" aca="1" ref="X168" ca="1">IF($V168&lt;&gt;"",-TRANSPOSE(INDEX(getcds('CDO Bespoke'!$C193,X$13,'CDO Bespoke'!$G193/10000,'CDO Bespoke'!G193,'CDO Bespoke'!$L169,'CDO Bespoke'!$C$13,'CDO Bespoke'!$C$14,'CDO Bespoke'!$C$15,'CDO Bespoke'!$C$8,,,TRUE,TRUE,FALSE,'CDO Bespoke'!$C$29:'CDO Bespoke'!$C$31,'CDO Bespoke'!$C$33),{5})),"")</f>
        <v/>
      </c>
      <c r="Y168" s="527" t="str" cm="1">
        <f t="array" aca="1" ref="Y168" ca="1">IF($V168&lt;&gt;"",-TRANSPOSE(INDEX(getcds('CDO Bespoke'!$C193,Y$13,'CDO Bespoke'!$G193/10000,'CDO Bespoke'!H193,'CDO Bespoke'!$L169,'CDO Bespoke'!$C$13,'CDO Bespoke'!$C$14,'CDO Bespoke'!$C$15,'CDO Bespoke'!$C$8,,,TRUE,TRUE,FALSE,'CDO Bespoke'!$C$29:'CDO Bespoke'!$C$31,'CDO Bespoke'!$C$33),{5})),"")</f>
        <v/>
      </c>
      <c r="Z168" s="527" t="str" cm="1">
        <f t="array" aca="1" ref="Z168" ca="1">IF($V168&lt;&gt;"",-TRANSPOSE(INDEX(getcds('CDO Bespoke'!$C193,Z$13,'CDO Bespoke'!$G193/10000,'CDO Bespoke'!I193,'CDO Bespoke'!$L169,'CDO Bespoke'!$C$13,'CDO Bespoke'!$C$14,'CDO Bespoke'!$C$15,'CDO Bespoke'!$C$8,,,TRUE,TRUE,FALSE,'CDO Bespoke'!$C$29:'CDO Bespoke'!$C$31,'CDO Bespoke'!$C$33),{5})),"")</f>
        <v/>
      </c>
      <c r="AA168" s="502" t="str" cm="1">
        <f t="array" aca="1" ref="AA168" ca="1">IF($V168&lt;&gt;"",-TRANSPOSE(INDEX(getcds('CDO Bespoke'!$C193,AA$13,'CDO Bespoke'!$G193/10000,'CDO Bespoke'!J193,'CDO Bespoke'!$L169,'CDO Bespoke'!$C$13,'CDO Bespoke'!$C$14,'CDO Bespoke'!$C$15,'CDO Bespoke'!$C$8,,,TRUE,TRUE,FALSE,'CDO Bespoke'!$C$29:'CDO Bespoke'!$C$31,'CDO Bespoke'!$C$33),{5})),"")</f>
        <v/>
      </c>
      <c r="AB168" s="481"/>
      <c r="AC168" s="517"/>
      <c r="AD168" s="518"/>
      <c r="AE168" s="518"/>
      <c r="AF168" s="518"/>
      <c r="AG168" s="518"/>
      <c r="AH168" s="518"/>
      <c r="AI168" s="518"/>
      <c r="AJ168" s="518"/>
      <c r="AK168" s="518"/>
      <c r="AL168" s="519"/>
      <c r="AM168" s="540"/>
    </row>
    <row r="169" spans="2:39" ht="12" thickBot="1">
      <c r="B169" s="563" t="s">
        <v>553</v>
      </c>
      <c r="C169" s="564" t="s">
        <v>66</v>
      </c>
      <c r="D169" s="564" t="s">
        <v>55</v>
      </c>
      <c r="E169" s="564" t="s">
        <v>661</v>
      </c>
      <c r="F169" s="564" t="s">
        <v>666</v>
      </c>
      <c r="G169" s="565">
        <v>0.01</v>
      </c>
      <c r="H169" s="565">
        <v>2.6589999999999999E-3</v>
      </c>
      <c r="I169" s="566">
        <v>0.4</v>
      </c>
      <c r="J169" s="567">
        <v>49</v>
      </c>
      <c r="K169" s="275"/>
      <c r="L169" s="275"/>
      <c r="M169" s="489" t="str">
        <f ca="1">IF('CDO Bespoke'!O170&lt;&gt;"",'CDO Bespoke'!O170,"")</f>
        <v/>
      </c>
      <c r="N169" s="490" t="str">
        <f ca="1">IF(M169&lt;&gt;"",ABS(MIN(-0.75*('CDO Bespoke'!Q170)+'CDO Bespoke'!T170,0)),"")</f>
        <v/>
      </c>
      <c r="O169" s="490" t="str">
        <f t="shared" ca="1" si="8"/>
        <v/>
      </c>
      <c r="P169" s="490" t="str">
        <f t="shared" ca="1" si="9"/>
        <v/>
      </c>
      <c r="Q169" s="489" t="str">
        <f ca="1">IF('CDO Bespoke'!O170&lt;&gt;"",'CDO Bespoke'!O170,"")</f>
        <v/>
      </c>
      <c r="R169" s="490" t="str">
        <f ca="1">IF(Q169&lt;&gt;"",ABS(MIN(-0.75*('CDO Bespoke'!K170)+'CDO Bespoke'!T170,0)),"")</f>
        <v/>
      </c>
      <c r="S169" s="490" t="str">
        <f t="shared" ca="1" si="10"/>
        <v/>
      </c>
      <c r="T169" s="494" t="str">
        <f t="shared" ca="1" si="11"/>
        <v/>
      </c>
      <c r="U169" s="275"/>
      <c r="V169" s="499" t="str">
        <f ca="1">IF('CDO Bespoke'!C194&lt;&gt;"",'CDO Bespoke'!C194,"")</f>
        <v/>
      </c>
      <c r="W169" s="501" t="str" cm="1">
        <f t="array" aca="1" ref="W169" ca="1">IF($V169&lt;&gt;"",-TRANSPOSE(INDEX(getcds('CDO Bespoke'!$C194,W$13,'CDO Bespoke'!$G194/10000,'CDO Bespoke'!F194,'CDO Bespoke'!$L170,'CDO Bespoke'!$C$13,'CDO Bespoke'!$C$14,'CDO Bespoke'!$C$15,'CDO Bespoke'!$C$8,,,TRUE,TRUE,FALSE,'CDO Bespoke'!$C$29:'CDO Bespoke'!$C$31,'CDO Bespoke'!$C$33),{5})),"")</f>
        <v/>
      </c>
      <c r="X169" s="527" t="str" cm="1">
        <f t="array" aca="1" ref="X169" ca="1">IF($V169&lt;&gt;"",-TRANSPOSE(INDEX(getcds('CDO Bespoke'!$C194,X$13,'CDO Bespoke'!$G194/10000,'CDO Bespoke'!G194,'CDO Bespoke'!$L170,'CDO Bespoke'!$C$13,'CDO Bespoke'!$C$14,'CDO Bespoke'!$C$15,'CDO Bespoke'!$C$8,,,TRUE,TRUE,FALSE,'CDO Bespoke'!$C$29:'CDO Bespoke'!$C$31,'CDO Bespoke'!$C$33),{5})),"")</f>
        <v/>
      </c>
      <c r="Y169" s="527" t="str" cm="1">
        <f t="array" aca="1" ref="Y169" ca="1">IF($V169&lt;&gt;"",-TRANSPOSE(INDEX(getcds('CDO Bespoke'!$C194,Y$13,'CDO Bespoke'!$G194/10000,'CDO Bespoke'!H194,'CDO Bespoke'!$L170,'CDO Bespoke'!$C$13,'CDO Bespoke'!$C$14,'CDO Bespoke'!$C$15,'CDO Bespoke'!$C$8,,,TRUE,TRUE,FALSE,'CDO Bespoke'!$C$29:'CDO Bespoke'!$C$31,'CDO Bespoke'!$C$33),{5})),"")</f>
        <v/>
      </c>
      <c r="Z169" s="527" t="str" cm="1">
        <f t="array" aca="1" ref="Z169" ca="1">IF($V169&lt;&gt;"",-TRANSPOSE(INDEX(getcds('CDO Bespoke'!$C194,Z$13,'CDO Bespoke'!$G194/10000,'CDO Bespoke'!I194,'CDO Bespoke'!$L170,'CDO Bespoke'!$C$13,'CDO Bespoke'!$C$14,'CDO Bespoke'!$C$15,'CDO Bespoke'!$C$8,,,TRUE,TRUE,FALSE,'CDO Bespoke'!$C$29:'CDO Bespoke'!$C$31,'CDO Bespoke'!$C$33),{5})),"")</f>
        <v/>
      </c>
      <c r="AA169" s="502" t="str" cm="1">
        <f t="array" aca="1" ref="AA169" ca="1">IF($V169&lt;&gt;"",-TRANSPOSE(INDEX(getcds('CDO Bespoke'!$C194,AA$13,'CDO Bespoke'!$G194/10000,'CDO Bespoke'!J194,'CDO Bespoke'!$L170,'CDO Bespoke'!$C$13,'CDO Bespoke'!$C$14,'CDO Bespoke'!$C$15,'CDO Bespoke'!$C$8,,,TRUE,TRUE,FALSE,'CDO Bespoke'!$C$29:'CDO Bespoke'!$C$31,'CDO Bespoke'!$C$33),{5})),"")</f>
        <v/>
      </c>
      <c r="AB169" s="481"/>
      <c r="AC169" s="517"/>
      <c r="AD169" s="518"/>
      <c r="AE169" s="518"/>
      <c r="AF169" s="518"/>
      <c r="AG169" s="518"/>
      <c r="AH169" s="518"/>
      <c r="AI169" s="518"/>
      <c r="AJ169" s="518"/>
      <c r="AK169" s="518"/>
      <c r="AL169" s="519"/>
      <c r="AM169" s="540"/>
    </row>
    <row r="170" spans="2:39" ht="12" thickBot="1">
      <c r="B170" s="541" t="s">
        <v>553</v>
      </c>
      <c r="C170" s="542" t="s">
        <v>66</v>
      </c>
      <c r="D170" s="542" t="s">
        <v>57</v>
      </c>
      <c r="E170" s="542" t="s">
        <v>661</v>
      </c>
      <c r="F170" s="542" t="s">
        <v>666</v>
      </c>
      <c r="G170" s="549">
        <v>0.01</v>
      </c>
      <c r="H170" s="549">
        <v>4.2420000000000001E-3</v>
      </c>
      <c r="I170" s="551">
        <v>0.4</v>
      </c>
      <c r="J170" s="543">
        <v>49</v>
      </c>
      <c r="K170" s="275"/>
      <c r="L170" s="275"/>
      <c r="M170" s="489" t="str">
        <f ca="1">IF('CDO Bespoke'!O171&lt;&gt;"",'CDO Bespoke'!O171,"")</f>
        <v/>
      </c>
      <c r="N170" s="490" t="str">
        <f ca="1">IF(M170&lt;&gt;"",ABS(MIN(-0.75*('CDO Bespoke'!Q171)+'CDO Bespoke'!T171,0)),"")</f>
        <v/>
      </c>
      <c r="O170" s="490" t="str">
        <f t="shared" ca="1" si="8"/>
        <v/>
      </c>
      <c r="P170" s="490" t="str">
        <f t="shared" ca="1" si="9"/>
        <v/>
      </c>
      <c r="Q170" s="489" t="str">
        <f ca="1">IF('CDO Bespoke'!O171&lt;&gt;"",'CDO Bespoke'!O171,"")</f>
        <v/>
      </c>
      <c r="R170" s="490" t="str">
        <f ca="1">IF(Q170&lt;&gt;"",ABS(MIN(-0.75*('CDO Bespoke'!K171)+'CDO Bespoke'!T171,0)),"")</f>
        <v/>
      </c>
      <c r="S170" s="490" t="str">
        <f t="shared" ca="1" si="10"/>
        <v/>
      </c>
      <c r="T170" s="494" t="str">
        <f t="shared" ca="1" si="11"/>
        <v/>
      </c>
      <c r="U170" s="275"/>
      <c r="V170" s="499" t="str">
        <f ca="1">IF('CDO Bespoke'!C195&lt;&gt;"",'CDO Bespoke'!C195,"")</f>
        <v/>
      </c>
      <c r="W170" s="501" t="str" cm="1">
        <f t="array" aca="1" ref="W170" ca="1">IF($V170&lt;&gt;"",-TRANSPOSE(INDEX(getcds('CDO Bespoke'!$C195,W$13,'CDO Bespoke'!$G195/10000,'CDO Bespoke'!F195,'CDO Bespoke'!$L171,'CDO Bespoke'!$C$13,'CDO Bespoke'!$C$14,'CDO Bespoke'!$C$15,'CDO Bespoke'!$C$8,,,TRUE,TRUE,FALSE,'CDO Bespoke'!$C$29:'CDO Bespoke'!$C$31,'CDO Bespoke'!$C$33),{5})),"")</f>
        <v/>
      </c>
      <c r="X170" s="527" t="str" cm="1">
        <f t="array" aca="1" ref="X170" ca="1">IF($V170&lt;&gt;"",-TRANSPOSE(INDEX(getcds('CDO Bespoke'!$C195,X$13,'CDO Bespoke'!$G195/10000,'CDO Bespoke'!G195,'CDO Bespoke'!$L171,'CDO Bespoke'!$C$13,'CDO Bespoke'!$C$14,'CDO Bespoke'!$C$15,'CDO Bespoke'!$C$8,,,TRUE,TRUE,FALSE,'CDO Bespoke'!$C$29:'CDO Bespoke'!$C$31,'CDO Bespoke'!$C$33),{5})),"")</f>
        <v/>
      </c>
      <c r="Y170" s="527" t="str" cm="1">
        <f t="array" aca="1" ref="Y170" ca="1">IF($V170&lt;&gt;"",-TRANSPOSE(INDEX(getcds('CDO Bespoke'!$C195,Y$13,'CDO Bespoke'!$G195/10000,'CDO Bespoke'!H195,'CDO Bespoke'!$L171,'CDO Bespoke'!$C$13,'CDO Bespoke'!$C$14,'CDO Bespoke'!$C$15,'CDO Bespoke'!$C$8,,,TRUE,TRUE,FALSE,'CDO Bespoke'!$C$29:'CDO Bespoke'!$C$31,'CDO Bespoke'!$C$33),{5})),"")</f>
        <v/>
      </c>
      <c r="Z170" s="527" t="str" cm="1">
        <f t="array" aca="1" ref="Z170" ca="1">IF($V170&lt;&gt;"",-TRANSPOSE(INDEX(getcds('CDO Bespoke'!$C195,Z$13,'CDO Bespoke'!$G195/10000,'CDO Bespoke'!I195,'CDO Bespoke'!$L171,'CDO Bespoke'!$C$13,'CDO Bespoke'!$C$14,'CDO Bespoke'!$C$15,'CDO Bespoke'!$C$8,,,TRUE,TRUE,FALSE,'CDO Bespoke'!$C$29:'CDO Bespoke'!$C$31,'CDO Bespoke'!$C$33),{5})),"")</f>
        <v/>
      </c>
      <c r="AA170" s="502" t="str" cm="1">
        <f t="array" aca="1" ref="AA170" ca="1">IF($V170&lt;&gt;"",-TRANSPOSE(INDEX(getcds('CDO Bespoke'!$C195,AA$13,'CDO Bespoke'!$G195/10000,'CDO Bespoke'!J195,'CDO Bespoke'!$L171,'CDO Bespoke'!$C$13,'CDO Bespoke'!$C$14,'CDO Bespoke'!$C$15,'CDO Bespoke'!$C$8,,,TRUE,TRUE,FALSE,'CDO Bespoke'!$C$29:'CDO Bespoke'!$C$31,'CDO Bespoke'!$C$33),{5})),"")</f>
        <v/>
      </c>
      <c r="AB170" s="481"/>
      <c r="AC170" s="517"/>
      <c r="AD170" s="518"/>
      <c r="AE170" s="518"/>
      <c r="AF170" s="518"/>
      <c r="AG170" s="518"/>
      <c r="AH170" s="518"/>
      <c r="AI170" s="518"/>
      <c r="AJ170" s="518"/>
      <c r="AK170" s="518"/>
      <c r="AL170" s="519"/>
      <c r="AM170" s="540"/>
    </row>
    <row r="171" spans="2:39" ht="12" thickBot="1">
      <c r="B171" s="558" t="s">
        <v>553</v>
      </c>
      <c r="C171" s="559" t="s">
        <v>66</v>
      </c>
      <c r="D171" s="559" t="s">
        <v>59</v>
      </c>
      <c r="E171" s="559" t="s">
        <v>661</v>
      </c>
      <c r="F171" s="559" t="s">
        <v>666</v>
      </c>
      <c r="G171" s="560">
        <v>0.01</v>
      </c>
      <c r="H171" s="560">
        <v>5.659E-3</v>
      </c>
      <c r="I171" s="561">
        <v>0.4</v>
      </c>
      <c r="J171" s="562">
        <v>49</v>
      </c>
      <c r="K171" s="275"/>
      <c r="L171" s="275"/>
      <c r="M171" s="489" t="str">
        <f ca="1">IF('CDO Bespoke'!O172&lt;&gt;"",'CDO Bespoke'!O172,"")</f>
        <v/>
      </c>
      <c r="N171" s="490" t="str">
        <f ca="1">IF(M171&lt;&gt;"",ABS(MIN(-0.75*('CDO Bespoke'!Q172)+'CDO Bespoke'!T172,0)),"")</f>
        <v/>
      </c>
      <c r="O171" s="490" t="str">
        <f t="shared" ca="1" si="8"/>
        <v/>
      </c>
      <c r="P171" s="490" t="str">
        <f t="shared" ca="1" si="9"/>
        <v/>
      </c>
      <c r="Q171" s="489" t="str">
        <f ca="1">IF('CDO Bespoke'!O172&lt;&gt;"",'CDO Bespoke'!O172,"")</f>
        <v/>
      </c>
      <c r="R171" s="490" t="str">
        <f ca="1">IF(Q171&lt;&gt;"",ABS(MIN(-0.75*('CDO Bespoke'!K172)+'CDO Bespoke'!T172,0)),"")</f>
        <v/>
      </c>
      <c r="S171" s="490" t="str">
        <f t="shared" ca="1" si="10"/>
        <v/>
      </c>
      <c r="T171" s="494" t="str">
        <f t="shared" ca="1" si="11"/>
        <v/>
      </c>
      <c r="U171" s="275"/>
      <c r="V171" s="499" t="str">
        <f ca="1">IF('CDO Bespoke'!C196&lt;&gt;"",'CDO Bespoke'!C196,"")</f>
        <v/>
      </c>
      <c r="W171" s="501" t="str" cm="1">
        <f t="array" aca="1" ref="W171" ca="1">IF($V171&lt;&gt;"",-TRANSPOSE(INDEX(getcds('CDO Bespoke'!$C196,W$13,'CDO Bespoke'!$G196/10000,'CDO Bespoke'!F196,'CDO Bespoke'!$L172,'CDO Bespoke'!$C$13,'CDO Bespoke'!$C$14,'CDO Bespoke'!$C$15,'CDO Bespoke'!$C$8,,,TRUE,TRUE,FALSE,'CDO Bespoke'!$C$29:'CDO Bespoke'!$C$31,'CDO Bespoke'!$C$33),{5})),"")</f>
        <v/>
      </c>
      <c r="X171" s="527" t="str" cm="1">
        <f t="array" aca="1" ref="X171" ca="1">IF($V171&lt;&gt;"",-TRANSPOSE(INDEX(getcds('CDO Bespoke'!$C196,X$13,'CDO Bespoke'!$G196/10000,'CDO Bespoke'!G196,'CDO Bespoke'!$L172,'CDO Bespoke'!$C$13,'CDO Bespoke'!$C$14,'CDO Bespoke'!$C$15,'CDO Bespoke'!$C$8,,,TRUE,TRUE,FALSE,'CDO Bespoke'!$C$29:'CDO Bespoke'!$C$31,'CDO Bespoke'!$C$33),{5})),"")</f>
        <v/>
      </c>
      <c r="Y171" s="527" t="str" cm="1">
        <f t="array" aca="1" ref="Y171" ca="1">IF($V171&lt;&gt;"",-TRANSPOSE(INDEX(getcds('CDO Bespoke'!$C196,Y$13,'CDO Bespoke'!$G196/10000,'CDO Bespoke'!H196,'CDO Bespoke'!$L172,'CDO Bespoke'!$C$13,'CDO Bespoke'!$C$14,'CDO Bespoke'!$C$15,'CDO Bespoke'!$C$8,,,TRUE,TRUE,FALSE,'CDO Bespoke'!$C$29:'CDO Bespoke'!$C$31,'CDO Bespoke'!$C$33),{5})),"")</f>
        <v/>
      </c>
      <c r="Z171" s="527" t="str" cm="1">
        <f t="array" aca="1" ref="Z171" ca="1">IF($V171&lt;&gt;"",-TRANSPOSE(INDEX(getcds('CDO Bespoke'!$C196,Z$13,'CDO Bespoke'!$G196/10000,'CDO Bespoke'!I196,'CDO Bespoke'!$L172,'CDO Bespoke'!$C$13,'CDO Bespoke'!$C$14,'CDO Bespoke'!$C$15,'CDO Bespoke'!$C$8,,,TRUE,TRUE,FALSE,'CDO Bespoke'!$C$29:'CDO Bespoke'!$C$31,'CDO Bespoke'!$C$33),{5})),"")</f>
        <v/>
      </c>
      <c r="AA171" s="502" t="str" cm="1">
        <f t="array" aca="1" ref="AA171" ca="1">IF($V171&lt;&gt;"",-TRANSPOSE(INDEX(getcds('CDO Bespoke'!$C196,AA$13,'CDO Bespoke'!$G196/10000,'CDO Bespoke'!J196,'CDO Bespoke'!$L172,'CDO Bespoke'!$C$13,'CDO Bespoke'!$C$14,'CDO Bespoke'!$C$15,'CDO Bespoke'!$C$8,,,TRUE,TRUE,FALSE,'CDO Bespoke'!$C$29:'CDO Bespoke'!$C$31,'CDO Bespoke'!$C$33),{5})),"")</f>
        <v/>
      </c>
      <c r="AB171" s="481"/>
      <c r="AC171" s="517"/>
      <c r="AD171" s="518"/>
      <c r="AE171" s="518"/>
      <c r="AF171" s="518"/>
      <c r="AG171" s="518"/>
      <c r="AH171" s="518"/>
      <c r="AI171" s="518"/>
      <c r="AJ171" s="518"/>
      <c r="AK171" s="518"/>
      <c r="AL171" s="519"/>
      <c r="AM171" s="540"/>
    </row>
    <row r="172" spans="2:39" ht="12" thickBot="1">
      <c r="B172" s="563" t="s">
        <v>554</v>
      </c>
      <c r="C172" s="564" t="s">
        <v>66</v>
      </c>
      <c r="D172" s="564" t="s">
        <v>55</v>
      </c>
      <c r="E172" s="564" t="s">
        <v>663</v>
      </c>
      <c r="F172" s="564" t="s">
        <v>666</v>
      </c>
      <c r="G172" s="565">
        <v>0.01</v>
      </c>
      <c r="H172" s="565">
        <v>1.866E-3</v>
      </c>
      <c r="I172" s="566">
        <v>0.4</v>
      </c>
      <c r="J172" s="567">
        <v>50</v>
      </c>
      <c r="K172" s="275"/>
      <c r="L172" s="275"/>
      <c r="M172" s="489" t="str">
        <f ca="1">IF('CDO Bespoke'!O173&lt;&gt;"",'CDO Bespoke'!O173,"")</f>
        <v/>
      </c>
      <c r="N172" s="490" t="str">
        <f ca="1">IF(M172&lt;&gt;"",ABS(MIN(-0.75*('CDO Bespoke'!Q173)+'CDO Bespoke'!T173,0)),"")</f>
        <v/>
      </c>
      <c r="O172" s="490" t="str">
        <f t="shared" ca="1" si="8"/>
        <v/>
      </c>
      <c r="P172" s="490" t="str">
        <f t="shared" ca="1" si="9"/>
        <v/>
      </c>
      <c r="Q172" s="489" t="str">
        <f ca="1">IF('CDO Bespoke'!O173&lt;&gt;"",'CDO Bespoke'!O173,"")</f>
        <v/>
      </c>
      <c r="R172" s="490" t="str">
        <f ca="1">IF(Q172&lt;&gt;"",ABS(MIN(-0.75*('CDO Bespoke'!K173)+'CDO Bespoke'!T173,0)),"")</f>
        <v/>
      </c>
      <c r="S172" s="490" t="str">
        <f t="shared" ca="1" si="10"/>
        <v/>
      </c>
      <c r="T172" s="494" t="str">
        <f t="shared" ca="1" si="11"/>
        <v/>
      </c>
      <c r="U172" s="275"/>
      <c r="V172" s="499" t="str">
        <f ca="1">IF('CDO Bespoke'!C197&lt;&gt;"",'CDO Bespoke'!C197,"")</f>
        <v/>
      </c>
      <c r="W172" s="501" t="str" cm="1">
        <f t="array" aca="1" ref="W172" ca="1">IF($V172&lt;&gt;"",-TRANSPOSE(INDEX(getcds('CDO Bespoke'!$C197,W$13,'CDO Bespoke'!$G197/10000,'CDO Bespoke'!F197,'CDO Bespoke'!$L173,'CDO Bespoke'!$C$13,'CDO Bespoke'!$C$14,'CDO Bespoke'!$C$15,'CDO Bespoke'!$C$8,,,TRUE,TRUE,FALSE,'CDO Bespoke'!$C$29:'CDO Bespoke'!$C$31,'CDO Bespoke'!$C$33),{5})),"")</f>
        <v/>
      </c>
      <c r="X172" s="527" t="str" cm="1">
        <f t="array" aca="1" ref="X172" ca="1">IF($V172&lt;&gt;"",-TRANSPOSE(INDEX(getcds('CDO Bespoke'!$C197,X$13,'CDO Bespoke'!$G197/10000,'CDO Bespoke'!G197,'CDO Bespoke'!$L173,'CDO Bespoke'!$C$13,'CDO Bespoke'!$C$14,'CDO Bespoke'!$C$15,'CDO Bespoke'!$C$8,,,TRUE,TRUE,FALSE,'CDO Bespoke'!$C$29:'CDO Bespoke'!$C$31,'CDO Bespoke'!$C$33),{5})),"")</f>
        <v/>
      </c>
      <c r="Y172" s="527" t="str" cm="1">
        <f t="array" aca="1" ref="Y172" ca="1">IF($V172&lt;&gt;"",-TRANSPOSE(INDEX(getcds('CDO Bespoke'!$C197,Y$13,'CDO Bespoke'!$G197/10000,'CDO Bespoke'!H197,'CDO Bespoke'!$L173,'CDO Bespoke'!$C$13,'CDO Bespoke'!$C$14,'CDO Bespoke'!$C$15,'CDO Bespoke'!$C$8,,,TRUE,TRUE,FALSE,'CDO Bespoke'!$C$29:'CDO Bespoke'!$C$31,'CDO Bespoke'!$C$33),{5})),"")</f>
        <v/>
      </c>
      <c r="Z172" s="527" t="str" cm="1">
        <f t="array" aca="1" ref="Z172" ca="1">IF($V172&lt;&gt;"",-TRANSPOSE(INDEX(getcds('CDO Bespoke'!$C197,Z$13,'CDO Bespoke'!$G197/10000,'CDO Bespoke'!I197,'CDO Bespoke'!$L173,'CDO Bespoke'!$C$13,'CDO Bespoke'!$C$14,'CDO Bespoke'!$C$15,'CDO Bespoke'!$C$8,,,TRUE,TRUE,FALSE,'CDO Bespoke'!$C$29:'CDO Bespoke'!$C$31,'CDO Bespoke'!$C$33),{5})),"")</f>
        <v/>
      </c>
      <c r="AA172" s="502" t="str" cm="1">
        <f t="array" aca="1" ref="AA172" ca="1">IF($V172&lt;&gt;"",-TRANSPOSE(INDEX(getcds('CDO Bespoke'!$C197,AA$13,'CDO Bespoke'!$G197/10000,'CDO Bespoke'!J197,'CDO Bespoke'!$L173,'CDO Bespoke'!$C$13,'CDO Bespoke'!$C$14,'CDO Bespoke'!$C$15,'CDO Bespoke'!$C$8,,,TRUE,TRUE,FALSE,'CDO Bespoke'!$C$29:'CDO Bespoke'!$C$31,'CDO Bespoke'!$C$33),{5})),"")</f>
        <v/>
      </c>
      <c r="AB172" s="481"/>
      <c r="AC172" s="517"/>
      <c r="AD172" s="518"/>
      <c r="AE172" s="518"/>
      <c r="AF172" s="518"/>
      <c r="AG172" s="518"/>
      <c r="AH172" s="518"/>
      <c r="AI172" s="518"/>
      <c r="AJ172" s="518"/>
      <c r="AK172" s="518"/>
      <c r="AL172" s="519"/>
      <c r="AM172" s="540"/>
    </row>
    <row r="173" spans="2:39" ht="12" thickBot="1">
      <c r="B173" s="541" t="s">
        <v>554</v>
      </c>
      <c r="C173" s="542" t="s">
        <v>66</v>
      </c>
      <c r="D173" s="542" t="s">
        <v>57</v>
      </c>
      <c r="E173" s="542" t="s">
        <v>663</v>
      </c>
      <c r="F173" s="542" t="s">
        <v>666</v>
      </c>
      <c r="G173" s="549">
        <v>0.01</v>
      </c>
      <c r="H173" s="549">
        <v>3.0259999999999999E-2</v>
      </c>
      <c r="I173" s="551">
        <v>0.4</v>
      </c>
      <c r="J173" s="543">
        <v>50</v>
      </c>
      <c r="K173" s="275"/>
      <c r="L173" s="275"/>
      <c r="M173" s="489" t="str">
        <f ca="1">IF('CDO Bespoke'!O174&lt;&gt;"",'CDO Bespoke'!O174,"")</f>
        <v/>
      </c>
      <c r="N173" s="490" t="str">
        <f ca="1">IF(M173&lt;&gt;"",ABS(MIN(-0.75*('CDO Bespoke'!Q174)+'CDO Bespoke'!T174,0)),"")</f>
        <v/>
      </c>
      <c r="O173" s="490" t="str">
        <f t="shared" ca="1" si="8"/>
        <v/>
      </c>
      <c r="P173" s="490" t="str">
        <f t="shared" ca="1" si="9"/>
        <v/>
      </c>
      <c r="Q173" s="489" t="str">
        <f ca="1">IF('CDO Bespoke'!O174&lt;&gt;"",'CDO Bespoke'!O174,"")</f>
        <v/>
      </c>
      <c r="R173" s="490" t="str">
        <f ca="1">IF(Q173&lt;&gt;"",ABS(MIN(-0.75*('CDO Bespoke'!K174)+'CDO Bespoke'!T174,0)),"")</f>
        <v/>
      </c>
      <c r="S173" s="490" t="str">
        <f t="shared" ca="1" si="10"/>
        <v/>
      </c>
      <c r="T173" s="494" t="str">
        <f t="shared" ca="1" si="11"/>
        <v/>
      </c>
      <c r="U173" s="275"/>
      <c r="V173" s="499" t="str">
        <f ca="1">IF('CDO Bespoke'!C198&lt;&gt;"",'CDO Bespoke'!C198,"")</f>
        <v/>
      </c>
      <c r="W173" s="501" t="str" cm="1">
        <f t="array" aca="1" ref="W173" ca="1">IF($V173&lt;&gt;"",-TRANSPOSE(INDEX(getcds('CDO Bespoke'!$C198,W$13,'CDO Bespoke'!$G198/10000,'CDO Bespoke'!F198,'CDO Bespoke'!$L174,'CDO Bespoke'!$C$13,'CDO Bespoke'!$C$14,'CDO Bespoke'!$C$15,'CDO Bespoke'!$C$8,,,TRUE,TRUE,FALSE,'CDO Bespoke'!$C$29:'CDO Bespoke'!$C$31,'CDO Bespoke'!$C$33),{5})),"")</f>
        <v/>
      </c>
      <c r="X173" s="527" t="str" cm="1">
        <f t="array" aca="1" ref="X173" ca="1">IF($V173&lt;&gt;"",-TRANSPOSE(INDEX(getcds('CDO Bespoke'!$C198,X$13,'CDO Bespoke'!$G198/10000,'CDO Bespoke'!G198,'CDO Bespoke'!$L174,'CDO Bespoke'!$C$13,'CDO Bespoke'!$C$14,'CDO Bespoke'!$C$15,'CDO Bespoke'!$C$8,,,TRUE,TRUE,FALSE,'CDO Bespoke'!$C$29:'CDO Bespoke'!$C$31,'CDO Bespoke'!$C$33),{5})),"")</f>
        <v/>
      </c>
      <c r="Y173" s="527" t="str" cm="1">
        <f t="array" aca="1" ref="Y173" ca="1">IF($V173&lt;&gt;"",-TRANSPOSE(INDEX(getcds('CDO Bespoke'!$C198,Y$13,'CDO Bespoke'!$G198/10000,'CDO Bespoke'!H198,'CDO Bespoke'!$L174,'CDO Bespoke'!$C$13,'CDO Bespoke'!$C$14,'CDO Bespoke'!$C$15,'CDO Bespoke'!$C$8,,,TRUE,TRUE,FALSE,'CDO Bespoke'!$C$29:'CDO Bespoke'!$C$31,'CDO Bespoke'!$C$33),{5})),"")</f>
        <v/>
      </c>
      <c r="Z173" s="527" t="str" cm="1">
        <f t="array" aca="1" ref="Z173" ca="1">IF($V173&lt;&gt;"",-TRANSPOSE(INDEX(getcds('CDO Bespoke'!$C198,Z$13,'CDO Bespoke'!$G198/10000,'CDO Bespoke'!I198,'CDO Bespoke'!$L174,'CDO Bespoke'!$C$13,'CDO Bespoke'!$C$14,'CDO Bespoke'!$C$15,'CDO Bespoke'!$C$8,,,TRUE,TRUE,FALSE,'CDO Bespoke'!$C$29:'CDO Bespoke'!$C$31,'CDO Bespoke'!$C$33),{5})),"")</f>
        <v/>
      </c>
      <c r="AA173" s="502" t="str" cm="1">
        <f t="array" aca="1" ref="AA173" ca="1">IF($V173&lt;&gt;"",-TRANSPOSE(INDEX(getcds('CDO Bespoke'!$C198,AA$13,'CDO Bespoke'!$G198/10000,'CDO Bespoke'!J198,'CDO Bespoke'!$L174,'CDO Bespoke'!$C$13,'CDO Bespoke'!$C$14,'CDO Bespoke'!$C$15,'CDO Bespoke'!$C$8,,,TRUE,TRUE,FALSE,'CDO Bespoke'!$C$29:'CDO Bespoke'!$C$31,'CDO Bespoke'!$C$33),{5})),"")</f>
        <v/>
      </c>
      <c r="AB173" s="481"/>
      <c r="AC173" s="517"/>
      <c r="AD173" s="518"/>
      <c r="AE173" s="518"/>
      <c r="AF173" s="518"/>
      <c r="AG173" s="518"/>
      <c r="AH173" s="518"/>
      <c r="AI173" s="518"/>
      <c r="AJ173" s="518"/>
      <c r="AK173" s="518"/>
      <c r="AL173" s="519"/>
      <c r="AM173" s="540"/>
    </row>
    <row r="174" spans="2:39" ht="12" thickBot="1">
      <c r="B174" s="558" t="s">
        <v>554</v>
      </c>
      <c r="C174" s="559" t="s">
        <v>66</v>
      </c>
      <c r="D174" s="559" t="s">
        <v>59</v>
      </c>
      <c r="E174" s="559" t="s">
        <v>663</v>
      </c>
      <c r="F174" s="559" t="s">
        <v>666</v>
      </c>
      <c r="G174" s="560">
        <v>0.01</v>
      </c>
      <c r="H174" s="560">
        <v>4.2849999999999997E-3</v>
      </c>
      <c r="I174" s="561">
        <v>0.4</v>
      </c>
      <c r="J174" s="562">
        <v>50</v>
      </c>
      <c r="K174" s="275"/>
      <c r="L174" s="275"/>
      <c r="M174" s="489" t="str">
        <f ca="1">IF('CDO Bespoke'!O175&lt;&gt;"",'CDO Bespoke'!O175,"")</f>
        <v/>
      </c>
      <c r="N174" s="490" t="str">
        <f ca="1">IF(M174&lt;&gt;"",ABS(MIN(-0.75*('CDO Bespoke'!Q175)+'CDO Bespoke'!T175,0)),"")</f>
        <v/>
      </c>
      <c r="O174" s="490" t="str">
        <f t="shared" ca="1" si="8"/>
        <v/>
      </c>
      <c r="P174" s="490" t="str">
        <f t="shared" ca="1" si="9"/>
        <v/>
      </c>
      <c r="Q174" s="489" t="str">
        <f ca="1">IF('CDO Bespoke'!O175&lt;&gt;"",'CDO Bespoke'!O175,"")</f>
        <v/>
      </c>
      <c r="R174" s="490" t="str">
        <f ca="1">IF(Q174&lt;&gt;"",ABS(MIN(-0.75*('CDO Bespoke'!K175)+'CDO Bespoke'!T175,0)),"")</f>
        <v/>
      </c>
      <c r="S174" s="490" t="str">
        <f t="shared" ca="1" si="10"/>
        <v/>
      </c>
      <c r="T174" s="494" t="str">
        <f t="shared" ca="1" si="11"/>
        <v/>
      </c>
      <c r="U174" s="275"/>
      <c r="V174" s="499" t="str">
        <f ca="1">IF('CDO Bespoke'!C199&lt;&gt;"",'CDO Bespoke'!C199,"")</f>
        <v/>
      </c>
      <c r="W174" s="501" t="str" cm="1">
        <f t="array" aca="1" ref="W174" ca="1">IF($V174&lt;&gt;"",-TRANSPOSE(INDEX(getcds('CDO Bespoke'!$C199,W$13,'CDO Bespoke'!$G199/10000,'CDO Bespoke'!F199,'CDO Bespoke'!$L175,'CDO Bespoke'!$C$13,'CDO Bespoke'!$C$14,'CDO Bespoke'!$C$15,'CDO Bespoke'!$C$8,,,TRUE,TRUE,FALSE,'CDO Bespoke'!$C$29:'CDO Bespoke'!$C$31,'CDO Bespoke'!$C$33),{5})),"")</f>
        <v/>
      </c>
      <c r="X174" s="527" t="str" cm="1">
        <f t="array" aca="1" ref="X174" ca="1">IF($V174&lt;&gt;"",-TRANSPOSE(INDEX(getcds('CDO Bespoke'!$C199,X$13,'CDO Bespoke'!$G199/10000,'CDO Bespoke'!G199,'CDO Bespoke'!$L175,'CDO Bespoke'!$C$13,'CDO Bespoke'!$C$14,'CDO Bespoke'!$C$15,'CDO Bespoke'!$C$8,,,TRUE,TRUE,FALSE,'CDO Bespoke'!$C$29:'CDO Bespoke'!$C$31,'CDO Bespoke'!$C$33),{5})),"")</f>
        <v/>
      </c>
      <c r="Y174" s="527" t="str" cm="1">
        <f t="array" aca="1" ref="Y174" ca="1">IF($V174&lt;&gt;"",-TRANSPOSE(INDEX(getcds('CDO Bespoke'!$C199,Y$13,'CDO Bespoke'!$G199/10000,'CDO Bespoke'!H199,'CDO Bespoke'!$L175,'CDO Bespoke'!$C$13,'CDO Bespoke'!$C$14,'CDO Bespoke'!$C$15,'CDO Bespoke'!$C$8,,,TRUE,TRUE,FALSE,'CDO Bespoke'!$C$29:'CDO Bespoke'!$C$31,'CDO Bespoke'!$C$33),{5})),"")</f>
        <v/>
      </c>
      <c r="Z174" s="527" t="str" cm="1">
        <f t="array" aca="1" ref="Z174" ca="1">IF($V174&lt;&gt;"",-TRANSPOSE(INDEX(getcds('CDO Bespoke'!$C199,Z$13,'CDO Bespoke'!$G199/10000,'CDO Bespoke'!I199,'CDO Bespoke'!$L175,'CDO Bespoke'!$C$13,'CDO Bespoke'!$C$14,'CDO Bespoke'!$C$15,'CDO Bespoke'!$C$8,,,TRUE,TRUE,FALSE,'CDO Bespoke'!$C$29:'CDO Bespoke'!$C$31,'CDO Bespoke'!$C$33),{5})),"")</f>
        <v/>
      </c>
      <c r="AA174" s="502" t="str" cm="1">
        <f t="array" aca="1" ref="AA174" ca="1">IF($V174&lt;&gt;"",-TRANSPOSE(INDEX(getcds('CDO Bespoke'!$C199,AA$13,'CDO Bespoke'!$G199/10000,'CDO Bespoke'!J199,'CDO Bespoke'!$L175,'CDO Bespoke'!$C$13,'CDO Bespoke'!$C$14,'CDO Bespoke'!$C$15,'CDO Bespoke'!$C$8,,,TRUE,TRUE,FALSE,'CDO Bespoke'!$C$29:'CDO Bespoke'!$C$31,'CDO Bespoke'!$C$33),{5})),"")</f>
        <v/>
      </c>
      <c r="AB174" s="481"/>
      <c r="AC174" s="517"/>
      <c r="AD174" s="518"/>
      <c r="AE174" s="518"/>
      <c r="AF174" s="518"/>
      <c r="AG174" s="518"/>
      <c r="AH174" s="518"/>
      <c r="AI174" s="518"/>
      <c r="AJ174" s="518"/>
      <c r="AK174" s="518"/>
      <c r="AL174" s="519"/>
      <c r="AM174" s="540"/>
    </row>
    <row r="175" spans="2:39" ht="12" thickBot="1">
      <c r="B175" s="563" t="s">
        <v>555</v>
      </c>
      <c r="C175" s="564" t="s">
        <v>66</v>
      </c>
      <c r="D175" s="564" t="s">
        <v>55</v>
      </c>
      <c r="E175" s="564" t="s">
        <v>663</v>
      </c>
      <c r="F175" s="564" t="s">
        <v>666</v>
      </c>
      <c r="G175" s="565">
        <v>0.01</v>
      </c>
      <c r="H175" s="565">
        <v>3.153E-3</v>
      </c>
      <c r="I175" s="566">
        <v>0.4</v>
      </c>
      <c r="J175" s="567">
        <v>51</v>
      </c>
      <c r="K175" s="275"/>
      <c r="L175" s="275"/>
      <c r="M175" s="489" t="str">
        <f ca="1">IF('CDO Bespoke'!O176&lt;&gt;"",'CDO Bespoke'!O176,"")</f>
        <v/>
      </c>
      <c r="N175" s="490" t="str">
        <f ca="1">IF(M175&lt;&gt;"",ABS(MIN(-0.75*('CDO Bespoke'!Q176)+'CDO Bespoke'!T176,0)),"")</f>
        <v/>
      </c>
      <c r="O175" s="490" t="str">
        <f t="shared" ca="1" si="8"/>
        <v/>
      </c>
      <c r="P175" s="490" t="str">
        <f t="shared" ca="1" si="9"/>
        <v/>
      </c>
      <c r="Q175" s="489" t="str">
        <f ca="1">IF('CDO Bespoke'!O176&lt;&gt;"",'CDO Bespoke'!O176,"")</f>
        <v/>
      </c>
      <c r="R175" s="490" t="str">
        <f ca="1">IF(Q175&lt;&gt;"",ABS(MIN(-0.75*('CDO Bespoke'!K176)+'CDO Bespoke'!T176,0)),"")</f>
        <v/>
      </c>
      <c r="S175" s="490" t="str">
        <f t="shared" ca="1" si="10"/>
        <v/>
      </c>
      <c r="T175" s="494" t="str">
        <f t="shared" ca="1" si="11"/>
        <v/>
      </c>
      <c r="U175" s="275"/>
      <c r="V175" s="499" t="str">
        <f ca="1">IF('CDO Bespoke'!C200&lt;&gt;"",'CDO Bespoke'!C200,"")</f>
        <v/>
      </c>
      <c r="W175" s="501" t="str" cm="1">
        <f t="array" aca="1" ref="W175" ca="1">IF($V175&lt;&gt;"",-TRANSPOSE(INDEX(getcds('CDO Bespoke'!$C200,W$13,'CDO Bespoke'!$G200/10000,'CDO Bespoke'!F200,'CDO Bespoke'!$L176,'CDO Bespoke'!$C$13,'CDO Bespoke'!$C$14,'CDO Bespoke'!$C$15,'CDO Bespoke'!$C$8,,,TRUE,TRUE,FALSE,'CDO Bespoke'!$C$29:'CDO Bespoke'!$C$31,'CDO Bespoke'!$C$33),{5})),"")</f>
        <v/>
      </c>
      <c r="X175" s="527" t="str" cm="1">
        <f t="array" aca="1" ref="X175" ca="1">IF($V175&lt;&gt;"",-TRANSPOSE(INDEX(getcds('CDO Bespoke'!$C200,X$13,'CDO Bespoke'!$G200/10000,'CDO Bespoke'!G200,'CDO Bespoke'!$L176,'CDO Bespoke'!$C$13,'CDO Bespoke'!$C$14,'CDO Bespoke'!$C$15,'CDO Bespoke'!$C$8,,,TRUE,TRUE,FALSE,'CDO Bespoke'!$C$29:'CDO Bespoke'!$C$31,'CDO Bespoke'!$C$33),{5})),"")</f>
        <v/>
      </c>
      <c r="Y175" s="527" t="str" cm="1">
        <f t="array" aca="1" ref="Y175" ca="1">IF($V175&lt;&gt;"",-TRANSPOSE(INDEX(getcds('CDO Bespoke'!$C200,Y$13,'CDO Bespoke'!$G200/10000,'CDO Bespoke'!H200,'CDO Bespoke'!$L176,'CDO Bespoke'!$C$13,'CDO Bespoke'!$C$14,'CDO Bespoke'!$C$15,'CDO Bespoke'!$C$8,,,TRUE,TRUE,FALSE,'CDO Bespoke'!$C$29:'CDO Bespoke'!$C$31,'CDO Bespoke'!$C$33),{5})),"")</f>
        <v/>
      </c>
      <c r="Z175" s="527" t="str" cm="1">
        <f t="array" aca="1" ref="Z175" ca="1">IF($V175&lt;&gt;"",-TRANSPOSE(INDEX(getcds('CDO Bespoke'!$C200,Z$13,'CDO Bespoke'!$G200/10000,'CDO Bespoke'!I200,'CDO Bespoke'!$L176,'CDO Bespoke'!$C$13,'CDO Bespoke'!$C$14,'CDO Bespoke'!$C$15,'CDO Bespoke'!$C$8,,,TRUE,TRUE,FALSE,'CDO Bespoke'!$C$29:'CDO Bespoke'!$C$31,'CDO Bespoke'!$C$33),{5})),"")</f>
        <v/>
      </c>
      <c r="AA175" s="502" t="str" cm="1">
        <f t="array" aca="1" ref="AA175" ca="1">IF($V175&lt;&gt;"",-TRANSPOSE(INDEX(getcds('CDO Bespoke'!$C200,AA$13,'CDO Bespoke'!$G200/10000,'CDO Bespoke'!J200,'CDO Bespoke'!$L176,'CDO Bespoke'!$C$13,'CDO Bespoke'!$C$14,'CDO Bespoke'!$C$15,'CDO Bespoke'!$C$8,,,TRUE,TRUE,FALSE,'CDO Bespoke'!$C$29:'CDO Bespoke'!$C$31,'CDO Bespoke'!$C$33),{5})),"")</f>
        <v/>
      </c>
      <c r="AB175" s="481"/>
      <c r="AC175" s="517"/>
      <c r="AD175" s="518"/>
      <c r="AE175" s="518"/>
      <c r="AF175" s="518"/>
      <c r="AG175" s="518"/>
      <c r="AH175" s="518"/>
      <c r="AI175" s="518"/>
      <c r="AJ175" s="518"/>
      <c r="AK175" s="518"/>
      <c r="AL175" s="519"/>
      <c r="AM175" s="540"/>
    </row>
    <row r="176" spans="2:39" ht="12" thickBot="1">
      <c r="B176" s="541" t="s">
        <v>555</v>
      </c>
      <c r="C176" s="542" t="s">
        <v>66</v>
      </c>
      <c r="D176" s="542" t="s">
        <v>57</v>
      </c>
      <c r="E176" s="542" t="s">
        <v>663</v>
      </c>
      <c r="F176" s="542" t="s">
        <v>666</v>
      </c>
      <c r="G176" s="549">
        <v>0.01</v>
      </c>
      <c r="H176" s="549">
        <v>4.9170000000000004E-3</v>
      </c>
      <c r="I176" s="551">
        <v>0.4</v>
      </c>
      <c r="J176" s="543">
        <v>51</v>
      </c>
      <c r="K176" s="275"/>
      <c r="L176" s="275"/>
      <c r="M176" s="489" t="str">
        <f ca="1">IF('CDO Bespoke'!O177&lt;&gt;"",'CDO Bespoke'!O177,"")</f>
        <v/>
      </c>
      <c r="N176" s="490" t="str">
        <f ca="1">IF(M176&lt;&gt;"",ABS(MIN(-0.75*('CDO Bespoke'!Q177)+'CDO Bespoke'!T177,0)),"")</f>
        <v/>
      </c>
      <c r="O176" s="490" t="str">
        <f t="shared" ca="1" si="8"/>
        <v/>
      </c>
      <c r="P176" s="490" t="str">
        <f t="shared" ca="1" si="9"/>
        <v/>
      </c>
      <c r="Q176" s="489" t="str">
        <f ca="1">IF('CDO Bespoke'!O177&lt;&gt;"",'CDO Bespoke'!O177,"")</f>
        <v/>
      </c>
      <c r="R176" s="490" t="str">
        <f ca="1">IF(Q176&lt;&gt;"",ABS(MIN(-0.75*('CDO Bespoke'!K177)+'CDO Bespoke'!T177,0)),"")</f>
        <v/>
      </c>
      <c r="S176" s="490" t="str">
        <f t="shared" ca="1" si="10"/>
        <v/>
      </c>
      <c r="T176" s="494" t="str">
        <f t="shared" ca="1" si="11"/>
        <v/>
      </c>
      <c r="U176" s="275"/>
      <c r="V176" s="499" t="str">
        <f ca="1">IF('CDO Bespoke'!C201&lt;&gt;"",'CDO Bespoke'!C201,"")</f>
        <v/>
      </c>
      <c r="W176" s="501" t="str" cm="1">
        <f t="array" aca="1" ref="W176" ca="1">IF($V176&lt;&gt;"",-TRANSPOSE(INDEX(getcds('CDO Bespoke'!$C201,W$13,'CDO Bespoke'!$G201/10000,'CDO Bespoke'!F201,'CDO Bespoke'!$L177,'CDO Bespoke'!$C$13,'CDO Bespoke'!$C$14,'CDO Bespoke'!$C$15,'CDO Bespoke'!$C$8,,,TRUE,TRUE,FALSE,'CDO Bespoke'!$C$29:'CDO Bespoke'!$C$31,'CDO Bespoke'!$C$33),{5})),"")</f>
        <v/>
      </c>
      <c r="X176" s="527" t="str" cm="1">
        <f t="array" aca="1" ref="X176" ca="1">IF($V176&lt;&gt;"",-TRANSPOSE(INDEX(getcds('CDO Bespoke'!$C201,X$13,'CDO Bespoke'!$G201/10000,'CDO Bespoke'!G201,'CDO Bespoke'!$L177,'CDO Bespoke'!$C$13,'CDO Bespoke'!$C$14,'CDO Bespoke'!$C$15,'CDO Bespoke'!$C$8,,,TRUE,TRUE,FALSE,'CDO Bespoke'!$C$29:'CDO Bespoke'!$C$31,'CDO Bespoke'!$C$33),{5})),"")</f>
        <v/>
      </c>
      <c r="Y176" s="527" t="str" cm="1">
        <f t="array" aca="1" ref="Y176" ca="1">IF($V176&lt;&gt;"",-TRANSPOSE(INDEX(getcds('CDO Bespoke'!$C201,Y$13,'CDO Bespoke'!$G201/10000,'CDO Bespoke'!H201,'CDO Bespoke'!$L177,'CDO Bespoke'!$C$13,'CDO Bespoke'!$C$14,'CDO Bespoke'!$C$15,'CDO Bespoke'!$C$8,,,TRUE,TRUE,FALSE,'CDO Bespoke'!$C$29:'CDO Bespoke'!$C$31,'CDO Bespoke'!$C$33),{5})),"")</f>
        <v/>
      </c>
      <c r="Z176" s="527" t="str" cm="1">
        <f t="array" aca="1" ref="Z176" ca="1">IF($V176&lt;&gt;"",-TRANSPOSE(INDEX(getcds('CDO Bespoke'!$C201,Z$13,'CDO Bespoke'!$G201/10000,'CDO Bespoke'!I201,'CDO Bespoke'!$L177,'CDO Bespoke'!$C$13,'CDO Bespoke'!$C$14,'CDO Bespoke'!$C$15,'CDO Bespoke'!$C$8,,,TRUE,TRUE,FALSE,'CDO Bespoke'!$C$29:'CDO Bespoke'!$C$31,'CDO Bespoke'!$C$33),{5})),"")</f>
        <v/>
      </c>
      <c r="AA176" s="502" t="str" cm="1">
        <f t="array" aca="1" ref="AA176" ca="1">IF($V176&lt;&gt;"",-TRANSPOSE(INDEX(getcds('CDO Bespoke'!$C201,AA$13,'CDO Bespoke'!$G201/10000,'CDO Bespoke'!J201,'CDO Bespoke'!$L177,'CDO Bespoke'!$C$13,'CDO Bespoke'!$C$14,'CDO Bespoke'!$C$15,'CDO Bespoke'!$C$8,,,TRUE,TRUE,FALSE,'CDO Bespoke'!$C$29:'CDO Bespoke'!$C$31,'CDO Bespoke'!$C$33),{5})),"")</f>
        <v/>
      </c>
      <c r="AB176" s="481"/>
      <c r="AC176" s="517"/>
      <c r="AD176" s="518"/>
      <c r="AE176" s="518"/>
      <c r="AF176" s="518"/>
      <c r="AG176" s="518"/>
      <c r="AH176" s="518"/>
      <c r="AI176" s="518"/>
      <c r="AJ176" s="518"/>
      <c r="AK176" s="518"/>
      <c r="AL176" s="519"/>
      <c r="AM176" s="540"/>
    </row>
    <row r="177" spans="2:39" ht="12" thickBot="1">
      <c r="B177" s="558" t="s">
        <v>555</v>
      </c>
      <c r="C177" s="559" t="s">
        <v>66</v>
      </c>
      <c r="D177" s="559" t="s">
        <v>59</v>
      </c>
      <c r="E177" s="559" t="s">
        <v>663</v>
      </c>
      <c r="F177" s="559" t="s">
        <v>666</v>
      </c>
      <c r="G177" s="560">
        <v>0.01</v>
      </c>
      <c r="H177" s="560">
        <v>6.8279999999999999E-3</v>
      </c>
      <c r="I177" s="561">
        <v>0.4</v>
      </c>
      <c r="J177" s="562">
        <v>51</v>
      </c>
      <c r="K177" s="275"/>
      <c r="L177" s="275"/>
      <c r="M177" s="489" t="str">
        <f ca="1">IF('CDO Bespoke'!O178&lt;&gt;"",'CDO Bespoke'!O178,"")</f>
        <v/>
      </c>
      <c r="N177" s="490" t="str">
        <f ca="1">IF(M177&lt;&gt;"",ABS(MIN(-0.75*('CDO Bespoke'!Q178)+'CDO Bespoke'!T178,0)),"")</f>
        <v/>
      </c>
      <c r="O177" s="490" t="str">
        <f t="shared" ca="1" si="8"/>
        <v/>
      </c>
      <c r="P177" s="490" t="str">
        <f t="shared" ca="1" si="9"/>
        <v/>
      </c>
      <c r="Q177" s="489" t="str">
        <f ca="1">IF('CDO Bespoke'!O178&lt;&gt;"",'CDO Bespoke'!O178,"")</f>
        <v/>
      </c>
      <c r="R177" s="490" t="str">
        <f ca="1">IF(Q177&lt;&gt;"",ABS(MIN(-0.75*('CDO Bespoke'!K178)+'CDO Bespoke'!T178,0)),"")</f>
        <v/>
      </c>
      <c r="S177" s="490" t="str">
        <f t="shared" ca="1" si="10"/>
        <v/>
      </c>
      <c r="T177" s="494" t="str">
        <f t="shared" ca="1" si="11"/>
        <v/>
      </c>
      <c r="U177" s="275"/>
      <c r="V177" s="499" t="str">
        <f ca="1">IF('CDO Bespoke'!C202&lt;&gt;"",'CDO Bespoke'!C202,"")</f>
        <v/>
      </c>
      <c r="W177" s="501" t="str" cm="1">
        <f t="array" aca="1" ref="W177" ca="1">IF($V177&lt;&gt;"",-TRANSPOSE(INDEX(getcds('CDO Bespoke'!$C202,W$13,'CDO Bespoke'!$G202/10000,'CDO Bespoke'!F202,'CDO Bespoke'!$L178,'CDO Bespoke'!$C$13,'CDO Bespoke'!$C$14,'CDO Bespoke'!$C$15,'CDO Bespoke'!$C$8,,,TRUE,TRUE,FALSE,'CDO Bespoke'!$C$29:'CDO Bespoke'!$C$31,'CDO Bespoke'!$C$33),{5})),"")</f>
        <v/>
      </c>
      <c r="X177" s="527" t="str" cm="1">
        <f t="array" aca="1" ref="X177" ca="1">IF($V177&lt;&gt;"",-TRANSPOSE(INDEX(getcds('CDO Bespoke'!$C202,X$13,'CDO Bespoke'!$G202/10000,'CDO Bespoke'!G202,'CDO Bespoke'!$L178,'CDO Bespoke'!$C$13,'CDO Bespoke'!$C$14,'CDO Bespoke'!$C$15,'CDO Bespoke'!$C$8,,,TRUE,TRUE,FALSE,'CDO Bespoke'!$C$29:'CDO Bespoke'!$C$31,'CDO Bespoke'!$C$33),{5})),"")</f>
        <v/>
      </c>
      <c r="Y177" s="527" t="str" cm="1">
        <f t="array" aca="1" ref="Y177" ca="1">IF($V177&lt;&gt;"",-TRANSPOSE(INDEX(getcds('CDO Bespoke'!$C202,Y$13,'CDO Bespoke'!$G202/10000,'CDO Bespoke'!H202,'CDO Bespoke'!$L178,'CDO Bespoke'!$C$13,'CDO Bespoke'!$C$14,'CDO Bespoke'!$C$15,'CDO Bespoke'!$C$8,,,TRUE,TRUE,FALSE,'CDO Bespoke'!$C$29:'CDO Bespoke'!$C$31,'CDO Bespoke'!$C$33),{5})),"")</f>
        <v/>
      </c>
      <c r="Z177" s="527" t="str" cm="1">
        <f t="array" aca="1" ref="Z177" ca="1">IF($V177&lt;&gt;"",-TRANSPOSE(INDEX(getcds('CDO Bespoke'!$C202,Z$13,'CDO Bespoke'!$G202/10000,'CDO Bespoke'!I202,'CDO Bespoke'!$L178,'CDO Bespoke'!$C$13,'CDO Bespoke'!$C$14,'CDO Bespoke'!$C$15,'CDO Bespoke'!$C$8,,,TRUE,TRUE,FALSE,'CDO Bespoke'!$C$29:'CDO Bespoke'!$C$31,'CDO Bespoke'!$C$33),{5})),"")</f>
        <v/>
      </c>
      <c r="AA177" s="502" t="str" cm="1">
        <f t="array" aca="1" ref="AA177" ca="1">IF($V177&lt;&gt;"",-TRANSPOSE(INDEX(getcds('CDO Bespoke'!$C202,AA$13,'CDO Bespoke'!$G202/10000,'CDO Bespoke'!J202,'CDO Bespoke'!$L178,'CDO Bespoke'!$C$13,'CDO Bespoke'!$C$14,'CDO Bespoke'!$C$15,'CDO Bespoke'!$C$8,,,TRUE,TRUE,FALSE,'CDO Bespoke'!$C$29:'CDO Bespoke'!$C$31,'CDO Bespoke'!$C$33),{5})),"")</f>
        <v/>
      </c>
      <c r="AB177" s="481"/>
      <c r="AC177" s="517"/>
      <c r="AD177" s="518"/>
      <c r="AE177" s="518"/>
      <c r="AF177" s="518"/>
      <c r="AG177" s="518"/>
      <c r="AH177" s="518"/>
      <c r="AI177" s="518"/>
      <c r="AJ177" s="518"/>
      <c r="AK177" s="518"/>
      <c r="AL177" s="519"/>
      <c r="AM177" s="540"/>
    </row>
    <row r="178" spans="2:39" ht="12" thickBot="1">
      <c r="B178" s="563" t="s">
        <v>556</v>
      </c>
      <c r="C178" s="564" t="s">
        <v>66</v>
      </c>
      <c r="D178" s="564" t="s">
        <v>55</v>
      </c>
      <c r="E178" s="564" t="s">
        <v>663</v>
      </c>
      <c r="F178" s="564" t="s">
        <v>666</v>
      </c>
      <c r="G178" s="565">
        <v>0.01</v>
      </c>
      <c r="H178" s="565">
        <v>6.7999999999999996E-3</v>
      </c>
      <c r="I178" s="566">
        <v>0.4</v>
      </c>
      <c r="J178" s="567">
        <v>52</v>
      </c>
      <c r="K178" s="275"/>
      <c r="L178" s="275"/>
      <c r="M178" s="489" t="str">
        <f ca="1">IF('CDO Bespoke'!O179&lt;&gt;"",'CDO Bespoke'!O179,"")</f>
        <v/>
      </c>
      <c r="N178" s="490" t="str">
        <f ca="1">IF(M178&lt;&gt;"",ABS(MIN(-0.75*('CDO Bespoke'!Q179)+'CDO Bespoke'!T179,0)),"")</f>
        <v/>
      </c>
      <c r="O178" s="490" t="str">
        <f t="shared" ca="1" si="8"/>
        <v/>
      </c>
      <c r="P178" s="490" t="str">
        <f t="shared" ca="1" si="9"/>
        <v/>
      </c>
      <c r="Q178" s="489" t="str">
        <f ca="1">IF('CDO Bespoke'!O179&lt;&gt;"",'CDO Bespoke'!O179,"")</f>
        <v/>
      </c>
      <c r="R178" s="490" t="str">
        <f ca="1">IF(Q178&lt;&gt;"",ABS(MIN(-0.75*('CDO Bespoke'!K179)+'CDO Bespoke'!T179,0)),"")</f>
        <v/>
      </c>
      <c r="S178" s="490" t="str">
        <f t="shared" ca="1" si="10"/>
        <v/>
      </c>
      <c r="T178" s="494" t="str">
        <f t="shared" ca="1" si="11"/>
        <v/>
      </c>
      <c r="U178" s="275"/>
      <c r="V178" s="499" t="str">
        <f ca="1">IF('CDO Bespoke'!C203&lt;&gt;"",'CDO Bespoke'!C203,"")</f>
        <v/>
      </c>
      <c r="W178" s="501" t="str" cm="1">
        <f t="array" aca="1" ref="W178" ca="1">IF($V178&lt;&gt;"",-TRANSPOSE(INDEX(getcds('CDO Bespoke'!$C203,W$13,'CDO Bespoke'!$G203/10000,'CDO Bespoke'!F203,'CDO Bespoke'!$L179,'CDO Bespoke'!$C$13,'CDO Bespoke'!$C$14,'CDO Bespoke'!$C$15,'CDO Bespoke'!$C$8,,,TRUE,TRUE,FALSE,'CDO Bespoke'!$C$29:'CDO Bespoke'!$C$31,'CDO Bespoke'!$C$33),{5})),"")</f>
        <v/>
      </c>
      <c r="X178" s="527" t="str" cm="1">
        <f t="array" aca="1" ref="X178" ca="1">IF($V178&lt;&gt;"",-TRANSPOSE(INDEX(getcds('CDO Bespoke'!$C203,X$13,'CDO Bespoke'!$G203/10000,'CDO Bespoke'!G203,'CDO Bespoke'!$L179,'CDO Bespoke'!$C$13,'CDO Bespoke'!$C$14,'CDO Bespoke'!$C$15,'CDO Bespoke'!$C$8,,,TRUE,TRUE,FALSE,'CDO Bespoke'!$C$29:'CDO Bespoke'!$C$31,'CDO Bespoke'!$C$33),{5})),"")</f>
        <v/>
      </c>
      <c r="Y178" s="527" t="str" cm="1">
        <f t="array" aca="1" ref="Y178" ca="1">IF($V178&lt;&gt;"",-TRANSPOSE(INDEX(getcds('CDO Bespoke'!$C203,Y$13,'CDO Bespoke'!$G203/10000,'CDO Bespoke'!H203,'CDO Bespoke'!$L179,'CDO Bespoke'!$C$13,'CDO Bespoke'!$C$14,'CDO Bespoke'!$C$15,'CDO Bespoke'!$C$8,,,TRUE,TRUE,FALSE,'CDO Bespoke'!$C$29:'CDO Bespoke'!$C$31,'CDO Bespoke'!$C$33),{5})),"")</f>
        <v/>
      </c>
      <c r="Z178" s="527" t="str" cm="1">
        <f t="array" aca="1" ref="Z178" ca="1">IF($V178&lt;&gt;"",-TRANSPOSE(INDEX(getcds('CDO Bespoke'!$C203,Z$13,'CDO Bespoke'!$G203/10000,'CDO Bespoke'!I203,'CDO Bespoke'!$L179,'CDO Bespoke'!$C$13,'CDO Bespoke'!$C$14,'CDO Bespoke'!$C$15,'CDO Bespoke'!$C$8,,,TRUE,TRUE,FALSE,'CDO Bespoke'!$C$29:'CDO Bespoke'!$C$31,'CDO Bespoke'!$C$33),{5})),"")</f>
        <v/>
      </c>
      <c r="AA178" s="502" t="str" cm="1">
        <f t="array" aca="1" ref="AA178" ca="1">IF($V178&lt;&gt;"",-TRANSPOSE(INDEX(getcds('CDO Bespoke'!$C203,AA$13,'CDO Bespoke'!$G203/10000,'CDO Bespoke'!J203,'CDO Bespoke'!$L179,'CDO Bespoke'!$C$13,'CDO Bespoke'!$C$14,'CDO Bespoke'!$C$15,'CDO Bespoke'!$C$8,,,TRUE,TRUE,FALSE,'CDO Bespoke'!$C$29:'CDO Bespoke'!$C$31,'CDO Bespoke'!$C$33),{5})),"")</f>
        <v/>
      </c>
      <c r="AB178" s="481"/>
      <c r="AC178" s="517"/>
      <c r="AD178" s="518"/>
      <c r="AE178" s="518"/>
      <c r="AF178" s="518"/>
      <c r="AG178" s="518"/>
      <c r="AH178" s="518"/>
      <c r="AI178" s="518"/>
      <c r="AJ178" s="518"/>
      <c r="AK178" s="518"/>
      <c r="AL178" s="519"/>
      <c r="AM178" s="540"/>
    </row>
    <row r="179" spans="2:39" ht="12" thickBot="1">
      <c r="B179" s="541" t="s">
        <v>556</v>
      </c>
      <c r="C179" s="542" t="s">
        <v>66</v>
      </c>
      <c r="D179" s="542" t="s">
        <v>57</v>
      </c>
      <c r="E179" s="542" t="s">
        <v>663</v>
      </c>
      <c r="F179" s="542" t="s">
        <v>666</v>
      </c>
      <c r="G179" s="549">
        <v>0.01</v>
      </c>
      <c r="H179" s="549">
        <v>1.1743E-2</v>
      </c>
      <c r="I179" s="551">
        <v>0.4</v>
      </c>
      <c r="J179" s="543">
        <v>52</v>
      </c>
      <c r="K179" s="275"/>
      <c r="L179" s="275"/>
      <c r="M179" s="489" t="str">
        <f ca="1">IF('CDO Bespoke'!O180&lt;&gt;"",'CDO Bespoke'!O180,"")</f>
        <v/>
      </c>
      <c r="N179" s="490" t="str">
        <f ca="1">IF(M179&lt;&gt;"",ABS(MIN(-0.75*('CDO Bespoke'!Q180)+'CDO Bespoke'!T180,0)),"")</f>
        <v/>
      </c>
      <c r="O179" s="490" t="str">
        <f t="shared" ca="1" si="8"/>
        <v/>
      </c>
      <c r="P179" s="490" t="str">
        <f t="shared" ca="1" si="9"/>
        <v/>
      </c>
      <c r="Q179" s="489" t="str">
        <f ca="1">IF('CDO Bespoke'!O180&lt;&gt;"",'CDO Bespoke'!O180,"")</f>
        <v/>
      </c>
      <c r="R179" s="490" t="str">
        <f ca="1">IF(Q179&lt;&gt;"",ABS(MIN(-0.75*('CDO Bespoke'!K180)+'CDO Bespoke'!T180,0)),"")</f>
        <v/>
      </c>
      <c r="S179" s="490" t="str">
        <f t="shared" ca="1" si="10"/>
        <v/>
      </c>
      <c r="T179" s="494" t="str">
        <f t="shared" ca="1" si="11"/>
        <v/>
      </c>
      <c r="U179" s="275"/>
      <c r="V179" s="499" t="str">
        <f ca="1">IF('CDO Bespoke'!C204&lt;&gt;"",'CDO Bespoke'!C204,"")</f>
        <v/>
      </c>
      <c r="W179" s="501" t="str" cm="1">
        <f t="array" aca="1" ref="W179" ca="1">IF($V179&lt;&gt;"",-TRANSPOSE(INDEX(getcds('CDO Bespoke'!$C204,W$13,'CDO Bespoke'!$G204/10000,'CDO Bespoke'!F204,'CDO Bespoke'!$L180,'CDO Bespoke'!$C$13,'CDO Bespoke'!$C$14,'CDO Bespoke'!$C$15,'CDO Bespoke'!$C$8,,,TRUE,TRUE,FALSE,'CDO Bespoke'!$C$29:'CDO Bespoke'!$C$31,'CDO Bespoke'!$C$33),{5})),"")</f>
        <v/>
      </c>
      <c r="X179" s="527" t="str" cm="1">
        <f t="array" aca="1" ref="X179" ca="1">IF($V179&lt;&gt;"",-TRANSPOSE(INDEX(getcds('CDO Bespoke'!$C204,X$13,'CDO Bespoke'!$G204/10000,'CDO Bespoke'!G204,'CDO Bespoke'!$L180,'CDO Bespoke'!$C$13,'CDO Bespoke'!$C$14,'CDO Bespoke'!$C$15,'CDO Bespoke'!$C$8,,,TRUE,TRUE,FALSE,'CDO Bespoke'!$C$29:'CDO Bespoke'!$C$31,'CDO Bespoke'!$C$33),{5})),"")</f>
        <v/>
      </c>
      <c r="Y179" s="527" t="str" cm="1">
        <f t="array" aca="1" ref="Y179" ca="1">IF($V179&lt;&gt;"",-TRANSPOSE(INDEX(getcds('CDO Bespoke'!$C204,Y$13,'CDO Bespoke'!$G204/10000,'CDO Bespoke'!H204,'CDO Bespoke'!$L180,'CDO Bespoke'!$C$13,'CDO Bespoke'!$C$14,'CDO Bespoke'!$C$15,'CDO Bespoke'!$C$8,,,TRUE,TRUE,FALSE,'CDO Bespoke'!$C$29:'CDO Bespoke'!$C$31,'CDO Bespoke'!$C$33),{5})),"")</f>
        <v/>
      </c>
      <c r="Z179" s="527" t="str" cm="1">
        <f t="array" aca="1" ref="Z179" ca="1">IF($V179&lt;&gt;"",-TRANSPOSE(INDEX(getcds('CDO Bespoke'!$C204,Z$13,'CDO Bespoke'!$G204/10000,'CDO Bespoke'!I204,'CDO Bespoke'!$L180,'CDO Bespoke'!$C$13,'CDO Bespoke'!$C$14,'CDO Bespoke'!$C$15,'CDO Bespoke'!$C$8,,,TRUE,TRUE,FALSE,'CDO Bespoke'!$C$29:'CDO Bespoke'!$C$31,'CDO Bespoke'!$C$33),{5})),"")</f>
        <v/>
      </c>
      <c r="AA179" s="502" t="str" cm="1">
        <f t="array" aca="1" ref="AA179" ca="1">IF($V179&lt;&gt;"",-TRANSPOSE(INDEX(getcds('CDO Bespoke'!$C204,AA$13,'CDO Bespoke'!$G204/10000,'CDO Bespoke'!J204,'CDO Bespoke'!$L180,'CDO Bespoke'!$C$13,'CDO Bespoke'!$C$14,'CDO Bespoke'!$C$15,'CDO Bespoke'!$C$8,,,TRUE,TRUE,FALSE,'CDO Bespoke'!$C$29:'CDO Bespoke'!$C$31,'CDO Bespoke'!$C$33),{5})),"")</f>
        <v/>
      </c>
      <c r="AB179" s="481"/>
      <c r="AC179" s="517"/>
      <c r="AD179" s="518"/>
      <c r="AE179" s="518"/>
      <c r="AF179" s="518"/>
      <c r="AG179" s="518"/>
      <c r="AH179" s="518"/>
      <c r="AI179" s="518"/>
      <c r="AJ179" s="518"/>
      <c r="AK179" s="518"/>
      <c r="AL179" s="519"/>
      <c r="AM179" s="540"/>
    </row>
    <row r="180" spans="2:39" ht="12" thickBot="1">
      <c r="B180" s="558" t="s">
        <v>556</v>
      </c>
      <c r="C180" s="559" t="s">
        <v>66</v>
      </c>
      <c r="D180" s="559" t="s">
        <v>59</v>
      </c>
      <c r="E180" s="559" t="s">
        <v>663</v>
      </c>
      <c r="F180" s="559" t="s">
        <v>666</v>
      </c>
      <c r="G180" s="560">
        <v>0.01</v>
      </c>
      <c r="H180" s="560">
        <v>1.5325E-2</v>
      </c>
      <c r="I180" s="561">
        <v>0.4</v>
      </c>
      <c r="J180" s="562">
        <v>52</v>
      </c>
      <c r="K180" s="275"/>
      <c r="L180" s="275"/>
      <c r="M180" s="489" t="str">
        <f ca="1">IF('CDO Bespoke'!O181&lt;&gt;"",'CDO Bespoke'!O181,"")</f>
        <v/>
      </c>
      <c r="N180" s="490" t="str">
        <f ca="1">IF(M180&lt;&gt;"",ABS(MIN(-0.75*('CDO Bespoke'!Q181)+'CDO Bespoke'!T181,0)),"")</f>
        <v/>
      </c>
      <c r="O180" s="490" t="str">
        <f t="shared" ca="1" si="8"/>
        <v/>
      </c>
      <c r="P180" s="490" t="str">
        <f t="shared" ca="1" si="9"/>
        <v/>
      </c>
      <c r="Q180" s="489" t="str">
        <f ca="1">IF('CDO Bespoke'!O181&lt;&gt;"",'CDO Bespoke'!O181,"")</f>
        <v/>
      </c>
      <c r="R180" s="490" t="str">
        <f ca="1">IF(Q180&lt;&gt;"",ABS(MIN(-0.75*('CDO Bespoke'!K181)+'CDO Bespoke'!T181,0)),"")</f>
        <v/>
      </c>
      <c r="S180" s="490" t="str">
        <f t="shared" ca="1" si="10"/>
        <v/>
      </c>
      <c r="T180" s="494" t="str">
        <f t="shared" ca="1" si="11"/>
        <v/>
      </c>
      <c r="U180" s="275"/>
      <c r="V180" s="499" t="str">
        <f ca="1">IF('CDO Bespoke'!C205&lt;&gt;"",'CDO Bespoke'!C205,"")</f>
        <v/>
      </c>
      <c r="W180" s="501" t="str" cm="1">
        <f t="array" aca="1" ref="W180" ca="1">IF($V180&lt;&gt;"",-TRANSPOSE(INDEX(getcds('CDO Bespoke'!$C205,W$13,'CDO Bespoke'!$G205/10000,'CDO Bespoke'!F205,'CDO Bespoke'!$L181,'CDO Bespoke'!$C$13,'CDO Bespoke'!$C$14,'CDO Bespoke'!$C$15,'CDO Bespoke'!$C$8,,,TRUE,TRUE,FALSE,'CDO Bespoke'!$C$29:'CDO Bespoke'!$C$31,'CDO Bespoke'!$C$33),{5})),"")</f>
        <v/>
      </c>
      <c r="X180" s="527" t="str" cm="1">
        <f t="array" aca="1" ref="X180" ca="1">IF($V180&lt;&gt;"",-TRANSPOSE(INDEX(getcds('CDO Bespoke'!$C205,X$13,'CDO Bespoke'!$G205/10000,'CDO Bespoke'!G205,'CDO Bespoke'!$L181,'CDO Bespoke'!$C$13,'CDO Bespoke'!$C$14,'CDO Bespoke'!$C$15,'CDO Bespoke'!$C$8,,,TRUE,TRUE,FALSE,'CDO Bespoke'!$C$29:'CDO Bespoke'!$C$31,'CDO Bespoke'!$C$33),{5})),"")</f>
        <v/>
      </c>
      <c r="Y180" s="527" t="str" cm="1">
        <f t="array" aca="1" ref="Y180" ca="1">IF($V180&lt;&gt;"",-TRANSPOSE(INDEX(getcds('CDO Bespoke'!$C205,Y$13,'CDO Bespoke'!$G205/10000,'CDO Bespoke'!H205,'CDO Bespoke'!$L181,'CDO Bespoke'!$C$13,'CDO Bespoke'!$C$14,'CDO Bespoke'!$C$15,'CDO Bespoke'!$C$8,,,TRUE,TRUE,FALSE,'CDO Bespoke'!$C$29:'CDO Bespoke'!$C$31,'CDO Bespoke'!$C$33),{5})),"")</f>
        <v/>
      </c>
      <c r="Z180" s="527" t="str" cm="1">
        <f t="array" aca="1" ref="Z180" ca="1">IF($V180&lt;&gt;"",-TRANSPOSE(INDEX(getcds('CDO Bespoke'!$C205,Z$13,'CDO Bespoke'!$G205/10000,'CDO Bespoke'!I205,'CDO Bespoke'!$L181,'CDO Bespoke'!$C$13,'CDO Bespoke'!$C$14,'CDO Bespoke'!$C$15,'CDO Bespoke'!$C$8,,,TRUE,TRUE,FALSE,'CDO Bespoke'!$C$29:'CDO Bespoke'!$C$31,'CDO Bespoke'!$C$33),{5})),"")</f>
        <v/>
      </c>
      <c r="AA180" s="502" t="str" cm="1">
        <f t="array" aca="1" ref="AA180" ca="1">IF($V180&lt;&gt;"",-TRANSPOSE(INDEX(getcds('CDO Bespoke'!$C205,AA$13,'CDO Bespoke'!$G205/10000,'CDO Bespoke'!J205,'CDO Bespoke'!$L181,'CDO Bespoke'!$C$13,'CDO Bespoke'!$C$14,'CDO Bespoke'!$C$15,'CDO Bespoke'!$C$8,,,TRUE,TRUE,FALSE,'CDO Bespoke'!$C$29:'CDO Bespoke'!$C$31,'CDO Bespoke'!$C$33),{5})),"")</f>
        <v/>
      </c>
      <c r="AB180" s="481"/>
      <c r="AC180" s="517"/>
      <c r="AD180" s="518"/>
      <c r="AE180" s="518"/>
      <c r="AF180" s="518"/>
      <c r="AG180" s="518"/>
      <c r="AH180" s="518"/>
      <c r="AI180" s="518"/>
      <c r="AJ180" s="518"/>
      <c r="AK180" s="518"/>
      <c r="AL180" s="519"/>
      <c r="AM180" s="540"/>
    </row>
    <row r="181" spans="2:39" ht="12" thickBot="1">
      <c r="B181" s="563" t="s">
        <v>557</v>
      </c>
      <c r="C181" s="564" t="s">
        <v>66</v>
      </c>
      <c r="D181" s="564" t="s">
        <v>55</v>
      </c>
      <c r="E181" s="564" t="s">
        <v>668</v>
      </c>
      <c r="F181" s="564" t="s">
        <v>666</v>
      </c>
      <c r="G181" s="565">
        <v>0.01</v>
      </c>
      <c r="H181" s="565">
        <v>1.8079999999999999E-3</v>
      </c>
      <c r="I181" s="566">
        <v>0.4</v>
      </c>
      <c r="J181" s="567">
        <v>53</v>
      </c>
      <c r="K181" s="275"/>
      <c r="L181" s="275"/>
      <c r="M181" s="489" t="str">
        <f ca="1">IF('CDO Bespoke'!O182&lt;&gt;"",'CDO Bespoke'!O182,"")</f>
        <v/>
      </c>
      <c r="N181" s="490" t="str">
        <f ca="1">IF(M181&lt;&gt;"",ABS(MIN(-0.75*('CDO Bespoke'!Q182)+'CDO Bespoke'!T182,0)),"")</f>
        <v/>
      </c>
      <c r="O181" s="490" t="str">
        <f t="shared" ca="1" si="8"/>
        <v/>
      </c>
      <c r="P181" s="490" t="str">
        <f t="shared" ca="1" si="9"/>
        <v/>
      </c>
      <c r="Q181" s="489" t="str">
        <f ca="1">IF('CDO Bespoke'!O182&lt;&gt;"",'CDO Bespoke'!O182,"")</f>
        <v/>
      </c>
      <c r="R181" s="490" t="str">
        <f ca="1">IF(Q181&lt;&gt;"",ABS(MIN(-0.75*('CDO Bespoke'!K182)+'CDO Bespoke'!T182,0)),"")</f>
        <v/>
      </c>
      <c r="S181" s="490" t="str">
        <f t="shared" ca="1" si="10"/>
        <v/>
      </c>
      <c r="T181" s="494" t="str">
        <f t="shared" ca="1" si="11"/>
        <v/>
      </c>
      <c r="U181" s="275"/>
      <c r="V181" s="499" t="str">
        <f ca="1">IF('CDO Bespoke'!C206&lt;&gt;"",'CDO Bespoke'!C206,"")</f>
        <v/>
      </c>
      <c r="W181" s="501" t="str" cm="1">
        <f t="array" aca="1" ref="W181" ca="1">IF($V181&lt;&gt;"",-TRANSPOSE(INDEX(getcds('CDO Bespoke'!$C206,W$13,'CDO Bespoke'!$G206/10000,'CDO Bespoke'!F206,'CDO Bespoke'!$L182,'CDO Bespoke'!$C$13,'CDO Bespoke'!$C$14,'CDO Bespoke'!$C$15,'CDO Bespoke'!$C$8,,,TRUE,TRUE,FALSE,'CDO Bespoke'!$C$29:'CDO Bespoke'!$C$31,'CDO Bespoke'!$C$33),{5})),"")</f>
        <v/>
      </c>
      <c r="X181" s="527" t="str" cm="1">
        <f t="array" aca="1" ref="X181" ca="1">IF($V181&lt;&gt;"",-TRANSPOSE(INDEX(getcds('CDO Bespoke'!$C206,X$13,'CDO Bespoke'!$G206/10000,'CDO Bespoke'!G206,'CDO Bespoke'!$L182,'CDO Bespoke'!$C$13,'CDO Bespoke'!$C$14,'CDO Bespoke'!$C$15,'CDO Bespoke'!$C$8,,,TRUE,TRUE,FALSE,'CDO Bespoke'!$C$29:'CDO Bespoke'!$C$31,'CDO Bespoke'!$C$33),{5})),"")</f>
        <v/>
      </c>
      <c r="Y181" s="527" t="str" cm="1">
        <f t="array" aca="1" ref="Y181" ca="1">IF($V181&lt;&gt;"",-TRANSPOSE(INDEX(getcds('CDO Bespoke'!$C206,Y$13,'CDO Bespoke'!$G206/10000,'CDO Bespoke'!H206,'CDO Bespoke'!$L182,'CDO Bespoke'!$C$13,'CDO Bespoke'!$C$14,'CDO Bespoke'!$C$15,'CDO Bespoke'!$C$8,,,TRUE,TRUE,FALSE,'CDO Bespoke'!$C$29:'CDO Bespoke'!$C$31,'CDO Bespoke'!$C$33),{5})),"")</f>
        <v/>
      </c>
      <c r="Z181" s="527" t="str" cm="1">
        <f t="array" aca="1" ref="Z181" ca="1">IF($V181&lt;&gt;"",-TRANSPOSE(INDEX(getcds('CDO Bespoke'!$C206,Z$13,'CDO Bespoke'!$G206/10000,'CDO Bespoke'!I206,'CDO Bespoke'!$L182,'CDO Bespoke'!$C$13,'CDO Bespoke'!$C$14,'CDO Bespoke'!$C$15,'CDO Bespoke'!$C$8,,,TRUE,TRUE,FALSE,'CDO Bespoke'!$C$29:'CDO Bespoke'!$C$31,'CDO Bespoke'!$C$33),{5})),"")</f>
        <v/>
      </c>
      <c r="AA181" s="502" t="str" cm="1">
        <f t="array" aca="1" ref="AA181" ca="1">IF($V181&lt;&gt;"",-TRANSPOSE(INDEX(getcds('CDO Bespoke'!$C206,AA$13,'CDO Bespoke'!$G206/10000,'CDO Bespoke'!J206,'CDO Bespoke'!$L182,'CDO Bespoke'!$C$13,'CDO Bespoke'!$C$14,'CDO Bespoke'!$C$15,'CDO Bespoke'!$C$8,,,TRUE,TRUE,FALSE,'CDO Bespoke'!$C$29:'CDO Bespoke'!$C$31,'CDO Bespoke'!$C$33),{5})),"")</f>
        <v/>
      </c>
      <c r="AB181" s="481"/>
      <c r="AC181" s="517"/>
      <c r="AD181" s="518"/>
      <c r="AE181" s="518"/>
      <c r="AF181" s="518"/>
      <c r="AG181" s="518"/>
      <c r="AH181" s="518"/>
      <c r="AI181" s="518"/>
      <c r="AJ181" s="518"/>
      <c r="AK181" s="518"/>
      <c r="AL181" s="519"/>
      <c r="AM181" s="540"/>
    </row>
    <row r="182" spans="2:39" ht="12" thickBot="1">
      <c r="B182" s="541" t="s">
        <v>557</v>
      </c>
      <c r="C182" s="542" t="s">
        <v>66</v>
      </c>
      <c r="D182" s="542" t="s">
        <v>57</v>
      </c>
      <c r="E182" s="542" t="s">
        <v>668</v>
      </c>
      <c r="F182" s="542" t="s">
        <v>666</v>
      </c>
      <c r="G182" s="549">
        <v>0.01</v>
      </c>
      <c r="H182" s="549">
        <v>3.0379999999999999E-3</v>
      </c>
      <c r="I182" s="551">
        <v>0.4</v>
      </c>
      <c r="J182" s="543">
        <v>53</v>
      </c>
      <c r="K182" s="275"/>
      <c r="L182" s="275"/>
      <c r="M182" s="489" t="str">
        <f ca="1">IF('CDO Bespoke'!O183&lt;&gt;"",'CDO Bespoke'!O183,"")</f>
        <v/>
      </c>
      <c r="N182" s="490" t="str">
        <f ca="1">IF(M182&lt;&gt;"",ABS(MIN(-0.75*('CDO Bespoke'!Q183)+'CDO Bespoke'!T183,0)),"")</f>
        <v/>
      </c>
      <c r="O182" s="490" t="str">
        <f t="shared" ca="1" si="8"/>
        <v/>
      </c>
      <c r="P182" s="490" t="str">
        <f t="shared" ca="1" si="9"/>
        <v/>
      </c>
      <c r="Q182" s="489" t="str">
        <f ca="1">IF('CDO Bespoke'!O183&lt;&gt;"",'CDO Bespoke'!O183,"")</f>
        <v/>
      </c>
      <c r="R182" s="490" t="str">
        <f ca="1">IF(Q182&lt;&gt;"",ABS(MIN(-0.75*('CDO Bespoke'!K183)+'CDO Bespoke'!T183,0)),"")</f>
        <v/>
      </c>
      <c r="S182" s="490" t="str">
        <f t="shared" ca="1" si="10"/>
        <v/>
      </c>
      <c r="T182" s="494" t="str">
        <f t="shared" ca="1" si="11"/>
        <v/>
      </c>
      <c r="U182" s="275"/>
      <c r="V182" s="499" t="str">
        <f ca="1">IF('CDO Bespoke'!C207&lt;&gt;"",'CDO Bespoke'!C207,"")</f>
        <v/>
      </c>
      <c r="W182" s="501" t="str" cm="1">
        <f t="array" aca="1" ref="W182" ca="1">IF($V182&lt;&gt;"",-TRANSPOSE(INDEX(getcds('CDO Bespoke'!$C207,W$13,'CDO Bespoke'!$G207/10000,'CDO Bespoke'!F207,'CDO Bespoke'!$L183,'CDO Bespoke'!$C$13,'CDO Bespoke'!$C$14,'CDO Bespoke'!$C$15,'CDO Bespoke'!$C$8,,,TRUE,TRUE,FALSE,'CDO Bespoke'!$C$29:'CDO Bespoke'!$C$31,'CDO Bespoke'!$C$33),{5})),"")</f>
        <v/>
      </c>
      <c r="X182" s="527" t="str" cm="1">
        <f t="array" aca="1" ref="X182" ca="1">IF($V182&lt;&gt;"",-TRANSPOSE(INDEX(getcds('CDO Bespoke'!$C207,X$13,'CDO Bespoke'!$G207/10000,'CDO Bespoke'!G207,'CDO Bespoke'!$L183,'CDO Bespoke'!$C$13,'CDO Bespoke'!$C$14,'CDO Bespoke'!$C$15,'CDO Bespoke'!$C$8,,,TRUE,TRUE,FALSE,'CDO Bespoke'!$C$29:'CDO Bespoke'!$C$31,'CDO Bespoke'!$C$33),{5})),"")</f>
        <v/>
      </c>
      <c r="Y182" s="527" t="str" cm="1">
        <f t="array" aca="1" ref="Y182" ca="1">IF($V182&lt;&gt;"",-TRANSPOSE(INDEX(getcds('CDO Bespoke'!$C207,Y$13,'CDO Bespoke'!$G207/10000,'CDO Bespoke'!H207,'CDO Bespoke'!$L183,'CDO Bespoke'!$C$13,'CDO Bespoke'!$C$14,'CDO Bespoke'!$C$15,'CDO Bespoke'!$C$8,,,TRUE,TRUE,FALSE,'CDO Bespoke'!$C$29:'CDO Bespoke'!$C$31,'CDO Bespoke'!$C$33),{5})),"")</f>
        <v/>
      </c>
      <c r="Z182" s="527" t="str" cm="1">
        <f t="array" aca="1" ref="Z182" ca="1">IF($V182&lt;&gt;"",-TRANSPOSE(INDEX(getcds('CDO Bespoke'!$C207,Z$13,'CDO Bespoke'!$G207/10000,'CDO Bespoke'!I207,'CDO Bespoke'!$L183,'CDO Bespoke'!$C$13,'CDO Bespoke'!$C$14,'CDO Bespoke'!$C$15,'CDO Bespoke'!$C$8,,,TRUE,TRUE,FALSE,'CDO Bespoke'!$C$29:'CDO Bespoke'!$C$31,'CDO Bespoke'!$C$33),{5})),"")</f>
        <v/>
      </c>
      <c r="AA182" s="502" t="str" cm="1">
        <f t="array" aca="1" ref="AA182" ca="1">IF($V182&lt;&gt;"",-TRANSPOSE(INDEX(getcds('CDO Bespoke'!$C207,AA$13,'CDO Bespoke'!$G207/10000,'CDO Bespoke'!J207,'CDO Bespoke'!$L183,'CDO Bespoke'!$C$13,'CDO Bespoke'!$C$14,'CDO Bespoke'!$C$15,'CDO Bespoke'!$C$8,,,TRUE,TRUE,FALSE,'CDO Bespoke'!$C$29:'CDO Bespoke'!$C$31,'CDO Bespoke'!$C$33),{5})),"")</f>
        <v/>
      </c>
      <c r="AB182" s="481"/>
      <c r="AC182" s="517"/>
      <c r="AD182" s="518"/>
      <c r="AE182" s="518"/>
      <c r="AF182" s="518"/>
      <c r="AG182" s="518"/>
      <c r="AH182" s="518"/>
      <c r="AI182" s="518"/>
      <c r="AJ182" s="518"/>
      <c r="AK182" s="518"/>
      <c r="AL182" s="519"/>
      <c r="AM182" s="540"/>
    </row>
    <row r="183" spans="2:39" ht="12" thickBot="1">
      <c r="B183" s="558" t="s">
        <v>557</v>
      </c>
      <c r="C183" s="559" t="s">
        <v>66</v>
      </c>
      <c r="D183" s="559" t="s">
        <v>59</v>
      </c>
      <c r="E183" s="559" t="s">
        <v>668</v>
      </c>
      <c r="F183" s="559" t="s">
        <v>666</v>
      </c>
      <c r="G183" s="560">
        <v>0.01</v>
      </c>
      <c r="H183" s="560">
        <v>4.2700000000000004E-3</v>
      </c>
      <c r="I183" s="561">
        <v>0.4</v>
      </c>
      <c r="J183" s="562">
        <v>53</v>
      </c>
      <c r="K183" s="275"/>
      <c r="L183" s="275"/>
      <c r="M183" s="489" t="str">
        <f ca="1">IF('CDO Bespoke'!O184&lt;&gt;"",'CDO Bespoke'!O184,"")</f>
        <v/>
      </c>
      <c r="N183" s="490" t="str">
        <f ca="1">IF(M183&lt;&gt;"",ABS(MIN(-0.75*('CDO Bespoke'!Q184)+'CDO Bespoke'!T184,0)),"")</f>
        <v/>
      </c>
      <c r="O183" s="490" t="str">
        <f t="shared" ca="1" si="8"/>
        <v/>
      </c>
      <c r="P183" s="490" t="str">
        <f t="shared" ca="1" si="9"/>
        <v/>
      </c>
      <c r="Q183" s="489" t="str">
        <f ca="1">IF('CDO Bespoke'!O184&lt;&gt;"",'CDO Bespoke'!O184,"")</f>
        <v/>
      </c>
      <c r="R183" s="490" t="str">
        <f ca="1">IF(Q183&lt;&gt;"",ABS(MIN(-0.75*('CDO Bespoke'!K184)+'CDO Bespoke'!T184,0)),"")</f>
        <v/>
      </c>
      <c r="S183" s="490" t="str">
        <f t="shared" ca="1" si="10"/>
        <v/>
      </c>
      <c r="T183" s="494" t="str">
        <f t="shared" ca="1" si="11"/>
        <v/>
      </c>
      <c r="U183" s="275"/>
      <c r="V183" s="499" t="str">
        <f ca="1">IF('CDO Bespoke'!C208&lt;&gt;"",'CDO Bespoke'!C208,"")</f>
        <v/>
      </c>
      <c r="W183" s="501" t="str" cm="1">
        <f t="array" aca="1" ref="W183" ca="1">IF($V183&lt;&gt;"",-TRANSPOSE(INDEX(getcds('CDO Bespoke'!$C208,W$13,'CDO Bespoke'!$G208/10000,'CDO Bespoke'!F208,'CDO Bespoke'!$L184,'CDO Bespoke'!$C$13,'CDO Bespoke'!$C$14,'CDO Bespoke'!$C$15,'CDO Bespoke'!$C$8,,,TRUE,TRUE,FALSE,'CDO Bespoke'!$C$29:'CDO Bespoke'!$C$31,'CDO Bespoke'!$C$33),{5})),"")</f>
        <v/>
      </c>
      <c r="X183" s="527" t="str" cm="1">
        <f t="array" aca="1" ref="X183" ca="1">IF($V183&lt;&gt;"",-TRANSPOSE(INDEX(getcds('CDO Bespoke'!$C208,X$13,'CDO Bespoke'!$G208/10000,'CDO Bespoke'!G208,'CDO Bespoke'!$L184,'CDO Bespoke'!$C$13,'CDO Bespoke'!$C$14,'CDO Bespoke'!$C$15,'CDO Bespoke'!$C$8,,,TRUE,TRUE,FALSE,'CDO Bespoke'!$C$29:'CDO Bespoke'!$C$31,'CDO Bespoke'!$C$33),{5})),"")</f>
        <v/>
      </c>
      <c r="Y183" s="527" t="str" cm="1">
        <f t="array" aca="1" ref="Y183" ca="1">IF($V183&lt;&gt;"",-TRANSPOSE(INDEX(getcds('CDO Bespoke'!$C208,Y$13,'CDO Bespoke'!$G208/10000,'CDO Bespoke'!H208,'CDO Bespoke'!$L184,'CDO Bespoke'!$C$13,'CDO Bespoke'!$C$14,'CDO Bespoke'!$C$15,'CDO Bespoke'!$C$8,,,TRUE,TRUE,FALSE,'CDO Bespoke'!$C$29:'CDO Bespoke'!$C$31,'CDO Bespoke'!$C$33),{5})),"")</f>
        <v/>
      </c>
      <c r="Z183" s="527" t="str" cm="1">
        <f t="array" aca="1" ref="Z183" ca="1">IF($V183&lt;&gt;"",-TRANSPOSE(INDEX(getcds('CDO Bespoke'!$C208,Z$13,'CDO Bespoke'!$G208/10000,'CDO Bespoke'!I208,'CDO Bespoke'!$L184,'CDO Bespoke'!$C$13,'CDO Bespoke'!$C$14,'CDO Bespoke'!$C$15,'CDO Bespoke'!$C$8,,,TRUE,TRUE,FALSE,'CDO Bespoke'!$C$29:'CDO Bespoke'!$C$31,'CDO Bespoke'!$C$33),{5})),"")</f>
        <v/>
      </c>
      <c r="AA183" s="502" t="str" cm="1">
        <f t="array" aca="1" ref="AA183" ca="1">IF($V183&lt;&gt;"",-TRANSPOSE(INDEX(getcds('CDO Bespoke'!$C208,AA$13,'CDO Bespoke'!$G208/10000,'CDO Bespoke'!J208,'CDO Bespoke'!$L184,'CDO Bespoke'!$C$13,'CDO Bespoke'!$C$14,'CDO Bespoke'!$C$15,'CDO Bespoke'!$C$8,,,TRUE,TRUE,FALSE,'CDO Bespoke'!$C$29:'CDO Bespoke'!$C$31,'CDO Bespoke'!$C$33),{5})),"")</f>
        <v/>
      </c>
      <c r="AB183" s="481"/>
      <c r="AC183" s="517"/>
      <c r="AD183" s="518"/>
      <c r="AE183" s="518"/>
      <c r="AF183" s="518"/>
      <c r="AG183" s="518"/>
      <c r="AH183" s="518"/>
      <c r="AI183" s="518"/>
      <c r="AJ183" s="518"/>
      <c r="AK183" s="518"/>
      <c r="AL183" s="519"/>
      <c r="AM183" s="540"/>
    </row>
    <row r="184" spans="2:39" ht="12" thickBot="1">
      <c r="B184" s="563" t="s">
        <v>558</v>
      </c>
      <c r="C184" s="564" t="s">
        <v>66</v>
      </c>
      <c r="D184" s="564" t="s">
        <v>55</v>
      </c>
      <c r="E184" s="564" t="s">
        <v>668</v>
      </c>
      <c r="F184" s="564" t="s">
        <v>666</v>
      </c>
      <c r="G184" s="565">
        <v>0.01</v>
      </c>
      <c r="H184" s="565">
        <v>1.957E-3</v>
      </c>
      <c r="I184" s="566">
        <v>0.4</v>
      </c>
      <c r="J184" s="567">
        <v>54</v>
      </c>
      <c r="K184" s="275"/>
      <c r="L184" s="275"/>
      <c r="M184" s="489" t="str">
        <f ca="1">IF('CDO Bespoke'!O185&lt;&gt;"",'CDO Bespoke'!O185,"")</f>
        <v/>
      </c>
      <c r="N184" s="490" t="str">
        <f ca="1">IF(M184&lt;&gt;"",ABS(MIN(-0.75*('CDO Bespoke'!Q185)+'CDO Bespoke'!T185,0)),"")</f>
        <v/>
      </c>
      <c r="O184" s="490" t="str">
        <f t="shared" ca="1" si="8"/>
        <v/>
      </c>
      <c r="P184" s="490" t="str">
        <f t="shared" ca="1" si="9"/>
        <v/>
      </c>
      <c r="Q184" s="489" t="str">
        <f ca="1">IF('CDO Bespoke'!O185&lt;&gt;"",'CDO Bespoke'!O185,"")</f>
        <v/>
      </c>
      <c r="R184" s="490" t="str">
        <f ca="1">IF(Q184&lt;&gt;"",ABS(MIN(-0.75*('CDO Bespoke'!K185)+'CDO Bespoke'!T185,0)),"")</f>
        <v/>
      </c>
      <c r="S184" s="490" t="str">
        <f t="shared" ca="1" si="10"/>
        <v/>
      </c>
      <c r="T184" s="494" t="str">
        <f t="shared" ca="1" si="11"/>
        <v/>
      </c>
      <c r="U184" s="275"/>
      <c r="V184" s="499" t="str">
        <f ca="1">IF('CDO Bespoke'!C209&lt;&gt;"",'CDO Bespoke'!C209,"")</f>
        <v/>
      </c>
      <c r="W184" s="501" t="str" cm="1">
        <f t="array" aca="1" ref="W184" ca="1">IF($V184&lt;&gt;"",-TRANSPOSE(INDEX(getcds('CDO Bespoke'!$C209,W$13,'CDO Bespoke'!$G209/10000,'CDO Bespoke'!F209,'CDO Bespoke'!$L185,'CDO Bespoke'!$C$13,'CDO Bespoke'!$C$14,'CDO Bespoke'!$C$15,'CDO Bespoke'!$C$8,,,TRUE,TRUE,FALSE,'CDO Bespoke'!$C$29:'CDO Bespoke'!$C$31,'CDO Bespoke'!$C$33),{5})),"")</f>
        <v/>
      </c>
      <c r="X184" s="527" t="str" cm="1">
        <f t="array" aca="1" ref="X184" ca="1">IF($V184&lt;&gt;"",-TRANSPOSE(INDEX(getcds('CDO Bespoke'!$C209,X$13,'CDO Bespoke'!$G209/10000,'CDO Bespoke'!G209,'CDO Bespoke'!$L185,'CDO Bespoke'!$C$13,'CDO Bespoke'!$C$14,'CDO Bespoke'!$C$15,'CDO Bespoke'!$C$8,,,TRUE,TRUE,FALSE,'CDO Bespoke'!$C$29:'CDO Bespoke'!$C$31,'CDO Bespoke'!$C$33),{5})),"")</f>
        <v/>
      </c>
      <c r="Y184" s="527" t="str" cm="1">
        <f t="array" aca="1" ref="Y184" ca="1">IF($V184&lt;&gt;"",-TRANSPOSE(INDEX(getcds('CDO Bespoke'!$C209,Y$13,'CDO Bespoke'!$G209/10000,'CDO Bespoke'!H209,'CDO Bespoke'!$L185,'CDO Bespoke'!$C$13,'CDO Bespoke'!$C$14,'CDO Bespoke'!$C$15,'CDO Bespoke'!$C$8,,,TRUE,TRUE,FALSE,'CDO Bespoke'!$C$29:'CDO Bespoke'!$C$31,'CDO Bespoke'!$C$33),{5})),"")</f>
        <v/>
      </c>
      <c r="Z184" s="527" t="str" cm="1">
        <f t="array" aca="1" ref="Z184" ca="1">IF($V184&lt;&gt;"",-TRANSPOSE(INDEX(getcds('CDO Bespoke'!$C209,Z$13,'CDO Bespoke'!$G209/10000,'CDO Bespoke'!I209,'CDO Bespoke'!$L185,'CDO Bespoke'!$C$13,'CDO Bespoke'!$C$14,'CDO Bespoke'!$C$15,'CDO Bespoke'!$C$8,,,TRUE,TRUE,FALSE,'CDO Bespoke'!$C$29:'CDO Bespoke'!$C$31,'CDO Bespoke'!$C$33),{5})),"")</f>
        <v/>
      </c>
      <c r="AA184" s="502" t="str" cm="1">
        <f t="array" aca="1" ref="AA184" ca="1">IF($V184&lt;&gt;"",-TRANSPOSE(INDEX(getcds('CDO Bespoke'!$C209,AA$13,'CDO Bespoke'!$G209/10000,'CDO Bespoke'!J209,'CDO Bespoke'!$L185,'CDO Bespoke'!$C$13,'CDO Bespoke'!$C$14,'CDO Bespoke'!$C$15,'CDO Bespoke'!$C$8,,,TRUE,TRUE,FALSE,'CDO Bespoke'!$C$29:'CDO Bespoke'!$C$31,'CDO Bespoke'!$C$33),{5})),"")</f>
        <v/>
      </c>
      <c r="AB184" s="481"/>
      <c r="AC184" s="517"/>
      <c r="AD184" s="518"/>
      <c r="AE184" s="518"/>
      <c r="AF184" s="518"/>
      <c r="AG184" s="518"/>
      <c r="AH184" s="518"/>
      <c r="AI184" s="518"/>
      <c r="AJ184" s="518"/>
      <c r="AK184" s="518"/>
      <c r="AL184" s="519"/>
      <c r="AM184" s="540"/>
    </row>
    <row r="185" spans="2:39" ht="12" thickBot="1">
      <c r="B185" s="541" t="s">
        <v>558</v>
      </c>
      <c r="C185" s="542" t="s">
        <v>66</v>
      </c>
      <c r="D185" s="542" t="s">
        <v>57</v>
      </c>
      <c r="E185" s="542" t="s">
        <v>668</v>
      </c>
      <c r="F185" s="542" t="s">
        <v>666</v>
      </c>
      <c r="G185" s="549">
        <v>0.01</v>
      </c>
      <c r="H185" s="549">
        <v>2.7009999999999998E-3</v>
      </c>
      <c r="I185" s="551">
        <v>0.4</v>
      </c>
      <c r="J185" s="543">
        <v>54</v>
      </c>
      <c r="K185" s="275"/>
      <c r="L185" s="275"/>
      <c r="M185" s="489" t="str">
        <f ca="1">IF('CDO Bespoke'!O186&lt;&gt;"",'CDO Bespoke'!O186,"")</f>
        <v/>
      </c>
      <c r="N185" s="490" t="str">
        <f ca="1">IF(M185&lt;&gt;"",ABS(MIN(-0.75*('CDO Bespoke'!Q186)+'CDO Bespoke'!T186,0)),"")</f>
        <v/>
      </c>
      <c r="O185" s="490" t="str">
        <f t="shared" ca="1" si="8"/>
        <v/>
      </c>
      <c r="P185" s="490" t="str">
        <f t="shared" ca="1" si="9"/>
        <v/>
      </c>
      <c r="Q185" s="489" t="str">
        <f ca="1">IF('CDO Bespoke'!O186&lt;&gt;"",'CDO Bespoke'!O186,"")</f>
        <v/>
      </c>
      <c r="R185" s="490" t="str">
        <f ca="1">IF(Q185&lt;&gt;"",ABS(MIN(-0.75*('CDO Bespoke'!K186)+'CDO Bespoke'!T186,0)),"")</f>
        <v/>
      </c>
      <c r="S185" s="490" t="str">
        <f t="shared" ca="1" si="10"/>
        <v/>
      </c>
      <c r="T185" s="494" t="str">
        <f t="shared" ca="1" si="11"/>
        <v/>
      </c>
      <c r="U185" s="275"/>
      <c r="V185" s="499" t="str">
        <f ca="1">IF('CDO Bespoke'!C210&lt;&gt;"",'CDO Bespoke'!C210,"")</f>
        <v/>
      </c>
      <c r="W185" s="501" t="str" cm="1">
        <f t="array" aca="1" ref="W185" ca="1">IF($V185&lt;&gt;"",-TRANSPOSE(INDEX(getcds('CDO Bespoke'!$C210,W$13,'CDO Bespoke'!$G210/10000,'CDO Bespoke'!F210,'CDO Bespoke'!$L186,'CDO Bespoke'!$C$13,'CDO Bespoke'!$C$14,'CDO Bespoke'!$C$15,'CDO Bespoke'!$C$8,,,TRUE,TRUE,FALSE,'CDO Bespoke'!$C$29:'CDO Bespoke'!$C$31,'CDO Bespoke'!$C$33),{5})),"")</f>
        <v/>
      </c>
      <c r="X185" s="527" t="str" cm="1">
        <f t="array" aca="1" ref="X185" ca="1">IF($V185&lt;&gt;"",-TRANSPOSE(INDEX(getcds('CDO Bespoke'!$C210,X$13,'CDO Bespoke'!$G210/10000,'CDO Bespoke'!G210,'CDO Bespoke'!$L186,'CDO Bespoke'!$C$13,'CDO Bespoke'!$C$14,'CDO Bespoke'!$C$15,'CDO Bespoke'!$C$8,,,TRUE,TRUE,FALSE,'CDO Bespoke'!$C$29:'CDO Bespoke'!$C$31,'CDO Bespoke'!$C$33),{5})),"")</f>
        <v/>
      </c>
      <c r="Y185" s="527" t="str" cm="1">
        <f t="array" aca="1" ref="Y185" ca="1">IF($V185&lt;&gt;"",-TRANSPOSE(INDEX(getcds('CDO Bespoke'!$C210,Y$13,'CDO Bespoke'!$G210/10000,'CDO Bespoke'!H210,'CDO Bespoke'!$L186,'CDO Bespoke'!$C$13,'CDO Bespoke'!$C$14,'CDO Bespoke'!$C$15,'CDO Bespoke'!$C$8,,,TRUE,TRUE,FALSE,'CDO Bespoke'!$C$29:'CDO Bespoke'!$C$31,'CDO Bespoke'!$C$33),{5})),"")</f>
        <v/>
      </c>
      <c r="Z185" s="527" t="str" cm="1">
        <f t="array" aca="1" ref="Z185" ca="1">IF($V185&lt;&gt;"",-TRANSPOSE(INDEX(getcds('CDO Bespoke'!$C210,Z$13,'CDO Bespoke'!$G210/10000,'CDO Bespoke'!I210,'CDO Bespoke'!$L186,'CDO Bespoke'!$C$13,'CDO Bespoke'!$C$14,'CDO Bespoke'!$C$15,'CDO Bespoke'!$C$8,,,TRUE,TRUE,FALSE,'CDO Bespoke'!$C$29:'CDO Bespoke'!$C$31,'CDO Bespoke'!$C$33),{5})),"")</f>
        <v/>
      </c>
      <c r="AA185" s="502" t="str" cm="1">
        <f t="array" aca="1" ref="AA185" ca="1">IF($V185&lt;&gt;"",-TRANSPOSE(INDEX(getcds('CDO Bespoke'!$C210,AA$13,'CDO Bespoke'!$G210/10000,'CDO Bespoke'!J210,'CDO Bespoke'!$L186,'CDO Bespoke'!$C$13,'CDO Bespoke'!$C$14,'CDO Bespoke'!$C$15,'CDO Bespoke'!$C$8,,,TRUE,TRUE,FALSE,'CDO Bespoke'!$C$29:'CDO Bespoke'!$C$31,'CDO Bespoke'!$C$33),{5})),"")</f>
        <v/>
      </c>
      <c r="AB185" s="481"/>
      <c r="AC185" s="517"/>
      <c r="AD185" s="518"/>
      <c r="AE185" s="518"/>
      <c r="AF185" s="518"/>
      <c r="AG185" s="518"/>
      <c r="AH185" s="518"/>
      <c r="AI185" s="518"/>
      <c r="AJ185" s="518"/>
      <c r="AK185" s="518"/>
      <c r="AL185" s="519"/>
      <c r="AM185" s="540"/>
    </row>
    <row r="186" spans="2:39" ht="12" thickBot="1">
      <c r="B186" s="558" t="s">
        <v>558</v>
      </c>
      <c r="C186" s="559" t="s">
        <v>66</v>
      </c>
      <c r="D186" s="559" t="s">
        <v>59</v>
      </c>
      <c r="E186" s="559" t="s">
        <v>668</v>
      </c>
      <c r="F186" s="559" t="s">
        <v>666</v>
      </c>
      <c r="G186" s="560">
        <v>0.01</v>
      </c>
      <c r="H186" s="560">
        <v>3.7780000000000001E-3</v>
      </c>
      <c r="I186" s="561">
        <v>0.4</v>
      </c>
      <c r="J186" s="562">
        <v>54</v>
      </c>
      <c r="K186" s="275"/>
      <c r="L186" s="275"/>
      <c r="M186" s="489" t="str">
        <f ca="1">IF('CDO Bespoke'!O187&lt;&gt;"",'CDO Bespoke'!O187,"")</f>
        <v/>
      </c>
      <c r="N186" s="490" t="str">
        <f ca="1">IF(M186&lt;&gt;"",ABS(MIN(-0.75*('CDO Bespoke'!Q187)+'CDO Bespoke'!T187,0)),"")</f>
        <v/>
      </c>
      <c r="O186" s="490" t="str">
        <f t="shared" ca="1" si="8"/>
        <v/>
      </c>
      <c r="P186" s="490" t="str">
        <f t="shared" ca="1" si="9"/>
        <v/>
      </c>
      <c r="Q186" s="489" t="str">
        <f ca="1">IF('CDO Bespoke'!O187&lt;&gt;"",'CDO Bespoke'!O187,"")</f>
        <v/>
      </c>
      <c r="R186" s="490" t="str">
        <f ca="1">IF(Q186&lt;&gt;"",ABS(MIN(-0.75*('CDO Bespoke'!K187)+'CDO Bespoke'!T187,0)),"")</f>
        <v/>
      </c>
      <c r="S186" s="490" t="str">
        <f t="shared" ca="1" si="10"/>
        <v/>
      </c>
      <c r="T186" s="494" t="str">
        <f t="shared" ca="1" si="11"/>
        <v/>
      </c>
      <c r="U186" s="275"/>
      <c r="V186" s="499" t="str">
        <f ca="1">IF('CDO Bespoke'!C211&lt;&gt;"",'CDO Bespoke'!C211,"")</f>
        <v/>
      </c>
      <c r="W186" s="501" t="str" cm="1">
        <f t="array" aca="1" ref="W186" ca="1">IF($V186&lt;&gt;"",-TRANSPOSE(INDEX(getcds('CDO Bespoke'!$C211,W$13,'CDO Bespoke'!$G211/10000,'CDO Bespoke'!F211,'CDO Bespoke'!$L187,'CDO Bespoke'!$C$13,'CDO Bespoke'!$C$14,'CDO Bespoke'!$C$15,'CDO Bespoke'!$C$8,,,TRUE,TRUE,FALSE,'CDO Bespoke'!$C$29:'CDO Bespoke'!$C$31,'CDO Bespoke'!$C$33),{5})),"")</f>
        <v/>
      </c>
      <c r="X186" s="527" t="str" cm="1">
        <f t="array" aca="1" ref="X186" ca="1">IF($V186&lt;&gt;"",-TRANSPOSE(INDEX(getcds('CDO Bespoke'!$C211,X$13,'CDO Bespoke'!$G211/10000,'CDO Bespoke'!G211,'CDO Bespoke'!$L187,'CDO Bespoke'!$C$13,'CDO Bespoke'!$C$14,'CDO Bespoke'!$C$15,'CDO Bespoke'!$C$8,,,TRUE,TRUE,FALSE,'CDO Bespoke'!$C$29:'CDO Bespoke'!$C$31,'CDO Bespoke'!$C$33),{5})),"")</f>
        <v/>
      </c>
      <c r="Y186" s="527" t="str" cm="1">
        <f t="array" aca="1" ref="Y186" ca="1">IF($V186&lt;&gt;"",-TRANSPOSE(INDEX(getcds('CDO Bespoke'!$C211,Y$13,'CDO Bespoke'!$G211/10000,'CDO Bespoke'!H211,'CDO Bespoke'!$L187,'CDO Bespoke'!$C$13,'CDO Bespoke'!$C$14,'CDO Bespoke'!$C$15,'CDO Bespoke'!$C$8,,,TRUE,TRUE,FALSE,'CDO Bespoke'!$C$29:'CDO Bespoke'!$C$31,'CDO Bespoke'!$C$33),{5})),"")</f>
        <v/>
      </c>
      <c r="Z186" s="527" t="str" cm="1">
        <f t="array" aca="1" ref="Z186" ca="1">IF($V186&lt;&gt;"",-TRANSPOSE(INDEX(getcds('CDO Bespoke'!$C211,Z$13,'CDO Bespoke'!$G211/10000,'CDO Bespoke'!I211,'CDO Bespoke'!$L187,'CDO Bespoke'!$C$13,'CDO Bespoke'!$C$14,'CDO Bespoke'!$C$15,'CDO Bespoke'!$C$8,,,TRUE,TRUE,FALSE,'CDO Bespoke'!$C$29:'CDO Bespoke'!$C$31,'CDO Bespoke'!$C$33),{5})),"")</f>
        <v/>
      </c>
      <c r="AA186" s="502" t="str" cm="1">
        <f t="array" aca="1" ref="AA186" ca="1">IF($V186&lt;&gt;"",-TRANSPOSE(INDEX(getcds('CDO Bespoke'!$C211,AA$13,'CDO Bespoke'!$G211/10000,'CDO Bespoke'!J211,'CDO Bespoke'!$L187,'CDO Bespoke'!$C$13,'CDO Bespoke'!$C$14,'CDO Bespoke'!$C$15,'CDO Bespoke'!$C$8,,,TRUE,TRUE,FALSE,'CDO Bespoke'!$C$29:'CDO Bespoke'!$C$31,'CDO Bespoke'!$C$33),{5})),"")</f>
        <v/>
      </c>
      <c r="AB186" s="481"/>
      <c r="AC186" s="517"/>
      <c r="AD186" s="518"/>
      <c r="AE186" s="518"/>
      <c r="AF186" s="518"/>
      <c r="AG186" s="518"/>
      <c r="AH186" s="518"/>
      <c r="AI186" s="518"/>
      <c r="AJ186" s="518"/>
      <c r="AK186" s="518"/>
      <c r="AL186" s="519"/>
      <c r="AM186" s="540"/>
    </row>
    <row r="187" spans="2:39" ht="12" thickBot="1">
      <c r="B187" s="563" t="s">
        <v>559</v>
      </c>
      <c r="C187" s="564" t="s">
        <v>66</v>
      </c>
      <c r="D187" s="564" t="s">
        <v>55</v>
      </c>
      <c r="E187" s="564" t="s">
        <v>663</v>
      </c>
      <c r="F187" s="564" t="s">
        <v>666</v>
      </c>
      <c r="G187" s="565">
        <v>0.01</v>
      </c>
      <c r="H187" s="565">
        <v>2.3579999999999999E-3</v>
      </c>
      <c r="I187" s="566">
        <v>0.4</v>
      </c>
      <c r="J187" s="567">
        <v>55</v>
      </c>
      <c r="K187" s="275"/>
      <c r="L187" s="275"/>
      <c r="M187" s="489" t="str">
        <f ca="1">IF('CDO Bespoke'!O188&lt;&gt;"",'CDO Bespoke'!O188,"")</f>
        <v/>
      </c>
      <c r="N187" s="490" t="str">
        <f ca="1">IF(M187&lt;&gt;"",ABS(MIN(-0.75*('CDO Bespoke'!Q188)+'CDO Bespoke'!T188,0)),"")</f>
        <v/>
      </c>
      <c r="O187" s="490" t="str">
        <f t="shared" ca="1" si="8"/>
        <v/>
      </c>
      <c r="P187" s="490" t="str">
        <f t="shared" ca="1" si="9"/>
        <v/>
      </c>
      <c r="Q187" s="489" t="str">
        <f ca="1">IF('CDO Bespoke'!O188&lt;&gt;"",'CDO Bespoke'!O188,"")</f>
        <v/>
      </c>
      <c r="R187" s="490" t="str">
        <f ca="1">IF(Q187&lt;&gt;"",ABS(MIN(-0.75*('CDO Bespoke'!K188)+'CDO Bespoke'!T188,0)),"")</f>
        <v/>
      </c>
      <c r="S187" s="490" t="str">
        <f t="shared" ca="1" si="10"/>
        <v/>
      </c>
      <c r="T187" s="494" t="str">
        <f t="shared" ca="1" si="11"/>
        <v/>
      </c>
      <c r="U187" s="275"/>
      <c r="V187" s="499" t="str">
        <f ca="1">IF('CDO Bespoke'!C212&lt;&gt;"",'CDO Bespoke'!C212,"")</f>
        <v/>
      </c>
      <c r="W187" s="501" t="str" cm="1">
        <f t="array" aca="1" ref="W187" ca="1">IF($V187&lt;&gt;"",-TRANSPOSE(INDEX(getcds('CDO Bespoke'!$C212,W$13,'CDO Bespoke'!$G212/10000,'CDO Bespoke'!F212,'CDO Bespoke'!$L188,'CDO Bespoke'!$C$13,'CDO Bespoke'!$C$14,'CDO Bespoke'!$C$15,'CDO Bespoke'!$C$8,,,TRUE,TRUE,FALSE,'CDO Bespoke'!$C$29:'CDO Bespoke'!$C$31,'CDO Bespoke'!$C$33),{5})),"")</f>
        <v/>
      </c>
      <c r="X187" s="527" t="str" cm="1">
        <f t="array" aca="1" ref="X187" ca="1">IF($V187&lt;&gt;"",-TRANSPOSE(INDEX(getcds('CDO Bespoke'!$C212,X$13,'CDO Bespoke'!$G212/10000,'CDO Bespoke'!G212,'CDO Bespoke'!$L188,'CDO Bespoke'!$C$13,'CDO Bespoke'!$C$14,'CDO Bespoke'!$C$15,'CDO Bespoke'!$C$8,,,TRUE,TRUE,FALSE,'CDO Bespoke'!$C$29:'CDO Bespoke'!$C$31,'CDO Bespoke'!$C$33),{5})),"")</f>
        <v/>
      </c>
      <c r="Y187" s="527" t="str" cm="1">
        <f t="array" aca="1" ref="Y187" ca="1">IF($V187&lt;&gt;"",-TRANSPOSE(INDEX(getcds('CDO Bespoke'!$C212,Y$13,'CDO Bespoke'!$G212/10000,'CDO Bespoke'!H212,'CDO Bespoke'!$L188,'CDO Bespoke'!$C$13,'CDO Bespoke'!$C$14,'CDO Bespoke'!$C$15,'CDO Bespoke'!$C$8,,,TRUE,TRUE,FALSE,'CDO Bespoke'!$C$29:'CDO Bespoke'!$C$31,'CDO Bespoke'!$C$33),{5})),"")</f>
        <v/>
      </c>
      <c r="Z187" s="527" t="str" cm="1">
        <f t="array" aca="1" ref="Z187" ca="1">IF($V187&lt;&gt;"",-TRANSPOSE(INDEX(getcds('CDO Bespoke'!$C212,Z$13,'CDO Bespoke'!$G212/10000,'CDO Bespoke'!I212,'CDO Bespoke'!$L188,'CDO Bespoke'!$C$13,'CDO Bespoke'!$C$14,'CDO Bespoke'!$C$15,'CDO Bespoke'!$C$8,,,TRUE,TRUE,FALSE,'CDO Bespoke'!$C$29:'CDO Bespoke'!$C$31,'CDO Bespoke'!$C$33),{5})),"")</f>
        <v/>
      </c>
      <c r="AA187" s="502" t="str" cm="1">
        <f t="array" aca="1" ref="AA187" ca="1">IF($V187&lt;&gt;"",-TRANSPOSE(INDEX(getcds('CDO Bespoke'!$C212,AA$13,'CDO Bespoke'!$G212/10000,'CDO Bespoke'!J212,'CDO Bespoke'!$L188,'CDO Bespoke'!$C$13,'CDO Bespoke'!$C$14,'CDO Bespoke'!$C$15,'CDO Bespoke'!$C$8,,,TRUE,TRUE,FALSE,'CDO Bespoke'!$C$29:'CDO Bespoke'!$C$31,'CDO Bespoke'!$C$33),{5})),"")</f>
        <v/>
      </c>
      <c r="AB187" s="481"/>
      <c r="AC187" s="517"/>
      <c r="AD187" s="518"/>
      <c r="AE187" s="518"/>
      <c r="AF187" s="518"/>
      <c r="AG187" s="518"/>
      <c r="AH187" s="518"/>
      <c r="AI187" s="518"/>
      <c r="AJ187" s="518"/>
      <c r="AK187" s="518"/>
      <c r="AL187" s="519"/>
      <c r="AM187" s="540"/>
    </row>
    <row r="188" spans="2:39" ht="12" thickBot="1">
      <c r="B188" s="541" t="s">
        <v>559</v>
      </c>
      <c r="C188" s="542" t="s">
        <v>66</v>
      </c>
      <c r="D188" s="542" t="s">
        <v>57</v>
      </c>
      <c r="E188" s="542" t="s">
        <v>663</v>
      </c>
      <c r="F188" s="542" t="s">
        <v>666</v>
      </c>
      <c r="G188" s="549">
        <v>0.01</v>
      </c>
      <c r="H188" s="549">
        <v>4.816E-3</v>
      </c>
      <c r="I188" s="551">
        <v>0.4</v>
      </c>
      <c r="J188" s="543">
        <v>55</v>
      </c>
      <c r="K188" s="275"/>
      <c r="L188" s="275"/>
      <c r="M188" s="489" t="str">
        <f ca="1">IF('CDO Bespoke'!O189&lt;&gt;"",'CDO Bespoke'!O189,"")</f>
        <v/>
      </c>
      <c r="N188" s="490" t="str">
        <f ca="1">IF(M188&lt;&gt;"",ABS(MIN(-0.75*('CDO Bespoke'!Q189)+'CDO Bespoke'!T189,0)),"")</f>
        <v/>
      </c>
      <c r="O188" s="490" t="str">
        <f t="shared" ca="1" si="8"/>
        <v/>
      </c>
      <c r="P188" s="490" t="str">
        <f t="shared" ca="1" si="9"/>
        <v/>
      </c>
      <c r="Q188" s="489" t="str">
        <f ca="1">IF('CDO Bespoke'!O189&lt;&gt;"",'CDO Bespoke'!O189,"")</f>
        <v/>
      </c>
      <c r="R188" s="490" t="str">
        <f ca="1">IF(Q188&lt;&gt;"",ABS(MIN(-0.75*('CDO Bespoke'!K189)+'CDO Bespoke'!T189,0)),"")</f>
        <v/>
      </c>
      <c r="S188" s="490" t="str">
        <f t="shared" ca="1" si="10"/>
        <v/>
      </c>
      <c r="T188" s="494" t="str">
        <f t="shared" ca="1" si="11"/>
        <v/>
      </c>
      <c r="U188" s="275"/>
      <c r="V188" s="499" t="str">
        <f ca="1">IF('CDO Bespoke'!C213&lt;&gt;"",'CDO Bespoke'!C213,"")</f>
        <v/>
      </c>
      <c r="W188" s="501" t="str" cm="1">
        <f t="array" aca="1" ref="W188" ca="1">IF($V188&lt;&gt;"",-TRANSPOSE(INDEX(getcds('CDO Bespoke'!$C213,W$13,'CDO Bespoke'!$G213/10000,'CDO Bespoke'!F213,'CDO Bespoke'!$L189,'CDO Bespoke'!$C$13,'CDO Bespoke'!$C$14,'CDO Bespoke'!$C$15,'CDO Bespoke'!$C$8,,,TRUE,TRUE,FALSE,'CDO Bespoke'!$C$29:'CDO Bespoke'!$C$31,'CDO Bespoke'!$C$33),{5})),"")</f>
        <v/>
      </c>
      <c r="X188" s="527" t="str" cm="1">
        <f t="array" aca="1" ref="X188" ca="1">IF($V188&lt;&gt;"",-TRANSPOSE(INDEX(getcds('CDO Bespoke'!$C213,X$13,'CDO Bespoke'!$G213/10000,'CDO Bespoke'!G213,'CDO Bespoke'!$L189,'CDO Bespoke'!$C$13,'CDO Bespoke'!$C$14,'CDO Bespoke'!$C$15,'CDO Bespoke'!$C$8,,,TRUE,TRUE,FALSE,'CDO Bespoke'!$C$29:'CDO Bespoke'!$C$31,'CDO Bespoke'!$C$33),{5})),"")</f>
        <v/>
      </c>
      <c r="Y188" s="527" t="str" cm="1">
        <f t="array" aca="1" ref="Y188" ca="1">IF($V188&lt;&gt;"",-TRANSPOSE(INDEX(getcds('CDO Bespoke'!$C213,Y$13,'CDO Bespoke'!$G213/10000,'CDO Bespoke'!H213,'CDO Bespoke'!$L189,'CDO Bespoke'!$C$13,'CDO Bespoke'!$C$14,'CDO Bespoke'!$C$15,'CDO Bespoke'!$C$8,,,TRUE,TRUE,FALSE,'CDO Bespoke'!$C$29:'CDO Bespoke'!$C$31,'CDO Bespoke'!$C$33),{5})),"")</f>
        <v/>
      </c>
      <c r="Z188" s="527" t="str" cm="1">
        <f t="array" aca="1" ref="Z188" ca="1">IF($V188&lt;&gt;"",-TRANSPOSE(INDEX(getcds('CDO Bespoke'!$C213,Z$13,'CDO Bespoke'!$G213/10000,'CDO Bespoke'!I213,'CDO Bespoke'!$L189,'CDO Bespoke'!$C$13,'CDO Bespoke'!$C$14,'CDO Bespoke'!$C$15,'CDO Bespoke'!$C$8,,,TRUE,TRUE,FALSE,'CDO Bespoke'!$C$29:'CDO Bespoke'!$C$31,'CDO Bespoke'!$C$33),{5})),"")</f>
        <v/>
      </c>
      <c r="AA188" s="502" t="str" cm="1">
        <f t="array" aca="1" ref="AA188" ca="1">IF($V188&lt;&gt;"",-TRANSPOSE(INDEX(getcds('CDO Bespoke'!$C213,AA$13,'CDO Bespoke'!$G213/10000,'CDO Bespoke'!J213,'CDO Bespoke'!$L189,'CDO Bespoke'!$C$13,'CDO Bespoke'!$C$14,'CDO Bespoke'!$C$15,'CDO Bespoke'!$C$8,,,TRUE,TRUE,FALSE,'CDO Bespoke'!$C$29:'CDO Bespoke'!$C$31,'CDO Bespoke'!$C$33),{5})),"")</f>
        <v/>
      </c>
      <c r="AB188" s="481"/>
      <c r="AC188" s="517"/>
      <c r="AD188" s="518"/>
      <c r="AE188" s="518"/>
      <c r="AF188" s="518"/>
      <c r="AG188" s="518"/>
      <c r="AH188" s="518"/>
      <c r="AI188" s="518"/>
      <c r="AJ188" s="518"/>
      <c r="AK188" s="518"/>
      <c r="AL188" s="519"/>
      <c r="AM188" s="540"/>
    </row>
    <row r="189" spans="2:39" ht="12" thickBot="1">
      <c r="B189" s="558" t="s">
        <v>559</v>
      </c>
      <c r="C189" s="559" t="s">
        <v>66</v>
      </c>
      <c r="D189" s="559" t="s">
        <v>59</v>
      </c>
      <c r="E189" s="559" t="s">
        <v>663</v>
      </c>
      <c r="F189" s="559" t="s">
        <v>666</v>
      </c>
      <c r="G189" s="560">
        <v>0.01</v>
      </c>
      <c r="H189" s="560">
        <v>7.6169999999999996E-3</v>
      </c>
      <c r="I189" s="561">
        <v>0.4</v>
      </c>
      <c r="J189" s="562">
        <v>55</v>
      </c>
      <c r="K189" s="275"/>
      <c r="L189" s="275"/>
      <c r="M189" s="489" t="str">
        <f ca="1">IF('CDO Bespoke'!O190&lt;&gt;"",'CDO Bespoke'!O190,"")</f>
        <v/>
      </c>
      <c r="N189" s="490" t="str">
        <f ca="1">IF(M189&lt;&gt;"",ABS(MIN(-0.75*('CDO Bespoke'!Q190)+'CDO Bespoke'!T190,0)),"")</f>
        <v/>
      </c>
      <c r="O189" s="490" t="str">
        <f t="shared" ca="1" si="8"/>
        <v/>
      </c>
      <c r="P189" s="490" t="str">
        <f t="shared" ca="1" si="9"/>
        <v/>
      </c>
      <c r="Q189" s="489" t="str">
        <f ca="1">IF('CDO Bespoke'!O190&lt;&gt;"",'CDO Bespoke'!O190,"")</f>
        <v/>
      </c>
      <c r="R189" s="490" t="str">
        <f ca="1">IF(Q189&lt;&gt;"",ABS(MIN(-0.75*('CDO Bespoke'!K190)+'CDO Bespoke'!T190,0)),"")</f>
        <v/>
      </c>
      <c r="S189" s="490" t="str">
        <f t="shared" ca="1" si="10"/>
        <v/>
      </c>
      <c r="T189" s="494" t="str">
        <f t="shared" ca="1" si="11"/>
        <v/>
      </c>
      <c r="U189" s="275"/>
      <c r="V189" s="499" t="str">
        <f ca="1">IF('CDO Bespoke'!C214&lt;&gt;"",'CDO Bespoke'!C214,"")</f>
        <v/>
      </c>
      <c r="W189" s="501" t="str" cm="1">
        <f t="array" aca="1" ref="W189" ca="1">IF($V189&lt;&gt;"",-TRANSPOSE(INDEX(getcds('CDO Bespoke'!$C214,W$13,'CDO Bespoke'!$G214/10000,'CDO Bespoke'!F214,'CDO Bespoke'!$L190,'CDO Bespoke'!$C$13,'CDO Bespoke'!$C$14,'CDO Bespoke'!$C$15,'CDO Bespoke'!$C$8,,,TRUE,TRUE,FALSE,'CDO Bespoke'!$C$29:'CDO Bespoke'!$C$31,'CDO Bespoke'!$C$33),{5})),"")</f>
        <v/>
      </c>
      <c r="X189" s="527" t="str" cm="1">
        <f t="array" aca="1" ref="X189" ca="1">IF($V189&lt;&gt;"",-TRANSPOSE(INDEX(getcds('CDO Bespoke'!$C214,X$13,'CDO Bespoke'!$G214/10000,'CDO Bespoke'!G214,'CDO Bespoke'!$L190,'CDO Bespoke'!$C$13,'CDO Bespoke'!$C$14,'CDO Bespoke'!$C$15,'CDO Bespoke'!$C$8,,,TRUE,TRUE,FALSE,'CDO Bespoke'!$C$29:'CDO Bespoke'!$C$31,'CDO Bespoke'!$C$33),{5})),"")</f>
        <v/>
      </c>
      <c r="Y189" s="527" t="str" cm="1">
        <f t="array" aca="1" ref="Y189" ca="1">IF($V189&lt;&gt;"",-TRANSPOSE(INDEX(getcds('CDO Bespoke'!$C214,Y$13,'CDO Bespoke'!$G214/10000,'CDO Bespoke'!H214,'CDO Bespoke'!$L190,'CDO Bespoke'!$C$13,'CDO Bespoke'!$C$14,'CDO Bespoke'!$C$15,'CDO Bespoke'!$C$8,,,TRUE,TRUE,FALSE,'CDO Bespoke'!$C$29:'CDO Bespoke'!$C$31,'CDO Bespoke'!$C$33),{5})),"")</f>
        <v/>
      </c>
      <c r="Z189" s="527" t="str" cm="1">
        <f t="array" aca="1" ref="Z189" ca="1">IF($V189&lt;&gt;"",-TRANSPOSE(INDEX(getcds('CDO Bespoke'!$C214,Z$13,'CDO Bespoke'!$G214/10000,'CDO Bespoke'!I214,'CDO Bespoke'!$L190,'CDO Bespoke'!$C$13,'CDO Bespoke'!$C$14,'CDO Bespoke'!$C$15,'CDO Bespoke'!$C$8,,,TRUE,TRUE,FALSE,'CDO Bespoke'!$C$29:'CDO Bespoke'!$C$31,'CDO Bespoke'!$C$33),{5})),"")</f>
        <v/>
      </c>
      <c r="AA189" s="502" t="str" cm="1">
        <f t="array" aca="1" ref="AA189" ca="1">IF($V189&lt;&gt;"",-TRANSPOSE(INDEX(getcds('CDO Bespoke'!$C214,AA$13,'CDO Bespoke'!$G214/10000,'CDO Bespoke'!J214,'CDO Bespoke'!$L190,'CDO Bespoke'!$C$13,'CDO Bespoke'!$C$14,'CDO Bespoke'!$C$15,'CDO Bespoke'!$C$8,,,TRUE,TRUE,FALSE,'CDO Bespoke'!$C$29:'CDO Bespoke'!$C$31,'CDO Bespoke'!$C$33),{5})),"")</f>
        <v/>
      </c>
      <c r="AB189" s="481"/>
      <c r="AC189" s="517"/>
      <c r="AD189" s="518"/>
      <c r="AE189" s="518"/>
      <c r="AF189" s="518"/>
      <c r="AG189" s="518"/>
      <c r="AH189" s="518"/>
      <c r="AI189" s="518"/>
      <c r="AJ189" s="518"/>
      <c r="AK189" s="518"/>
      <c r="AL189" s="519"/>
      <c r="AM189" s="540"/>
    </row>
    <row r="190" spans="2:39" ht="12" thickBot="1">
      <c r="B190" s="563" t="s">
        <v>560</v>
      </c>
      <c r="C190" s="564" t="s">
        <v>66</v>
      </c>
      <c r="D190" s="564" t="s">
        <v>55</v>
      </c>
      <c r="E190" s="564" t="s">
        <v>663</v>
      </c>
      <c r="F190" s="564" t="s">
        <v>666</v>
      </c>
      <c r="G190" s="565">
        <v>0.01</v>
      </c>
      <c r="H190" s="565">
        <v>2.2920000000000002E-3</v>
      </c>
      <c r="I190" s="566">
        <v>0.4</v>
      </c>
      <c r="J190" s="567">
        <v>56</v>
      </c>
      <c r="K190" s="275"/>
      <c r="L190" s="275"/>
      <c r="M190" s="489" t="str">
        <f ca="1">IF('CDO Bespoke'!O191&lt;&gt;"",'CDO Bespoke'!O191,"")</f>
        <v/>
      </c>
      <c r="N190" s="490" t="str">
        <f ca="1">IF(M190&lt;&gt;"",ABS(MIN(-0.75*('CDO Bespoke'!Q191)+'CDO Bespoke'!T191,0)),"")</f>
        <v/>
      </c>
      <c r="O190" s="490" t="str">
        <f t="shared" ca="1" si="8"/>
        <v/>
      </c>
      <c r="P190" s="490" t="str">
        <f t="shared" ca="1" si="9"/>
        <v/>
      </c>
      <c r="Q190" s="489" t="str">
        <f ca="1">IF('CDO Bespoke'!O191&lt;&gt;"",'CDO Bespoke'!O191,"")</f>
        <v/>
      </c>
      <c r="R190" s="490" t="str">
        <f ca="1">IF(Q190&lt;&gt;"",ABS(MIN(-0.75*('CDO Bespoke'!K191)+'CDO Bespoke'!T191,0)),"")</f>
        <v/>
      </c>
      <c r="S190" s="490" t="str">
        <f t="shared" ca="1" si="10"/>
        <v/>
      </c>
      <c r="T190" s="494" t="str">
        <f t="shared" ca="1" si="11"/>
        <v/>
      </c>
      <c r="U190" s="275"/>
      <c r="V190" s="499" t="str">
        <f ca="1">IF('CDO Bespoke'!C215&lt;&gt;"",'CDO Bespoke'!C215,"")</f>
        <v/>
      </c>
      <c r="W190" s="501" t="str" cm="1">
        <f t="array" aca="1" ref="W190" ca="1">IF($V190&lt;&gt;"",-TRANSPOSE(INDEX(getcds('CDO Bespoke'!$C215,W$13,'CDO Bespoke'!$G215/10000,'CDO Bespoke'!F215,'CDO Bespoke'!$L191,'CDO Bespoke'!$C$13,'CDO Bespoke'!$C$14,'CDO Bespoke'!$C$15,'CDO Bespoke'!$C$8,,,TRUE,TRUE,FALSE,'CDO Bespoke'!$C$29:'CDO Bespoke'!$C$31,'CDO Bespoke'!$C$33),{5})),"")</f>
        <v/>
      </c>
      <c r="X190" s="527" t="str" cm="1">
        <f t="array" aca="1" ref="X190" ca="1">IF($V190&lt;&gt;"",-TRANSPOSE(INDEX(getcds('CDO Bespoke'!$C215,X$13,'CDO Bespoke'!$G215/10000,'CDO Bespoke'!G215,'CDO Bespoke'!$L191,'CDO Bespoke'!$C$13,'CDO Bespoke'!$C$14,'CDO Bespoke'!$C$15,'CDO Bespoke'!$C$8,,,TRUE,TRUE,FALSE,'CDO Bespoke'!$C$29:'CDO Bespoke'!$C$31,'CDO Bespoke'!$C$33),{5})),"")</f>
        <v/>
      </c>
      <c r="Y190" s="527" t="str" cm="1">
        <f t="array" aca="1" ref="Y190" ca="1">IF($V190&lt;&gt;"",-TRANSPOSE(INDEX(getcds('CDO Bespoke'!$C215,Y$13,'CDO Bespoke'!$G215/10000,'CDO Bespoke'!H215,'CDO Bespoke'!$L191,'CDO Bespoke'!$C$13,'CDO Bespoke'!$C$14,'CDO Bespoke'!$C$15,'CDO Bespoke'!$C$8,,,TRUE,TRUE,FALSE,'CDO Bespoke'!$C$29:'CDO Bespoke'!$C$31,'CDO Bespoke'!$C$33),{5})),"")</f>
        <v/>
      </c>
      <c r="Z190" s="527" t="str" cm="1">
        <f t="array" aca="1" ref="Z190" ca="1">IF($V190&lt;&gt;"",-TRANSPOSE(INDEX(getcds('CDO Bespoke'!$C215,Z$13,'CDO Bespoke'!$G215/10000,'CDO Bespoke'!I215,'CDO Bespoke'!$L191,'CDO Bespoke'!$C$13,'CDO Bespoke'!$C$14,'CDO Bespoke'!$C$15,'CDO Bespoke'!$C$8,,,TRUE,TRUE,FALSE,'CDO Bespoke'!$C$29:'CDO Bespoke'!$C$31,'CDO Bespoke'!$C$33),{5})),"")</f>
        <v/>
      </c>
      <c r="AA190" s="502" t="str" cm="1">
        <f t="array" aca="1" ref="AA190" ca="1">IF($V190&lt;&gt;"",-TRANSPOSE(INDEX(getcds('CDO Bespoke'!$C215,AA$13,'CDO Bespoke'!$G215/10000,'CDO Bespoke'!J215,'CDO Bespoke'!$L191,'CDO Bespoke'!$C$13,'CDO Bespoke'!$C$14,'CDO Bespoke'!$C$15,'CDO Bespoke'!$C$8,,,TRUE,TRUE,FALSE,'CDO Bespoke'!$C$29:'CDO Bespoke'!$C$31,'CDO Bespoke'!$C$33),{5})),"")</f>
        <v/>
      </c>
      <c r="AB190" s="481"/>
      <c r="AC190" s="517"/>
      <c r="AD190" s="518"/>
      <c r="AE190" s="518"/>
      <c r="AF190" s="518"/>
      <c r="AG190" s="518"/>
      <c r="AH190" s="518"/>
      <c r="AI190" s="518"/>
      <c r="AJ190" s="518"/>
      <c r="AK190" s="518"/>
      <c r="AL190" s="519"/>
      <c r="AM190" s="540"/>
    </row>
    <row r="191" spans="2:39" ht="12" thickBot="1">
      <c r="B191" s="541" t="s">
        <v>560</v>
      </c>
      <c r="C191" s="542" t="s">
        <v>66</v>
      </c>
      <c r="D191" s="542" t="s">
        <v>57</v>
      </c>
      <c r="E191" s="542" t="s">
        <v>663</v>
      </c>
      <c r="F191" s="542" t="s">
        <v>666</v>
      </c>
      <c r="G191" s="549">
        <v>0.01</v>
      </c>
      <c r="H191" s="549">
        <v>3.6840000000000002E-3</v>
      </c>
      <c r="I191" s="551">
        <v>0.4</v>
      </c>
      <c r="J191" s="543">
        <v>56</v>
      </c>
      <c r="K191" s="275"/>
      <c r="L191" s="275"/>
      <c r="M191" s="489" t="str">
        <f ca="1">IF('CDO Bespoke'!O192&lt;&gt;"",'CDO Bespoke'!O192,"")</f>
        <v/>
      </c>
      <c r="N191" s="490" t="str">
        <f ca="1">IF(M191&lt;&gt;"",ABS(MIN(-0.75*('CDO Bespoke'!Q192)+'CDO Bespoke'!T192,0)),"")</f>
        <v/>
      </c>
      <c r="O191" s="490" t="str">
        <f t="shared" ca="1" si="8"/>
        <v/>
      </c>
      <c r="P191" s="490" t="str">
        <f t="shared" ca="1" si="9"/>
        <v/>
      </c>
      <c r="Q191" s="489" t="str">
        <f ca="1">IF('CDO Bespoke'!O192&lt;&gt;"",'CDO Bespoke'!O192,"")</f>
        <v/>
      </c>
      <c r="R191" s="490" t="str">
        <f ca="1">IF(Q191&lt;&gt;"",ABS(MIN(-0.75*('CDO Bespoke'!K192)+'CDO Bespoke'!T192,0)),"")</f>
        <v/>
      </c>
      <c r="S191" s="490" t="str">
        <f t="shared" ca="1" si="10"/>
        <v/>
      </c>
      <c r="T191" s="494" t="str">
        <f t="shared" ca="1" si="11"/>
        <v/>
      </c>
      <c r="U191" s="275"/>
      <c r="V191" s="499" t="str">
        <f ca="1">IF('CDO Bespoke'!C216&lt;&gt;"",'CDO Bespoke'!C216,"")</f>
        <v/>
      </c>
      <c r="W191" s="501" t="str" cm="1">
        <f t="array" aca="1" ref="W191" ca="1">IF($V191&lt;&gt;"",-TRANSPOSE(INDEX(getcds('CDO Bespoke'!$C216,W$13,'CDO Bespoke'!$G216/10000,'CDO Bespoke'!F216,'CDO Bespoke'!$L192,'CDO Bespoke'!$C$13,'CDO Bespoke'!$C$14,'CDO Bespoke'!$C$15,'CDO Bespoke'!$C$8,,,TRUE,TRUE,FALSE,'CDO Bespoke'!$C$29:'CDO Bespoke'!$C$31,'CDO Bespoke'!$C$33),{5})),"")</f>
        <v/>
      </c>
      <c r="X191" s="527" t="str" cm="1">
        <f t="array" aca="1" ref="X191" ca="1">IF($V191&lt;&gt;"",-TRANSPOSE(INDEX(getcds('CDO Bespoke'!$C216,X$13,'CDO Bespoke'!$G216/10000,'CDO Bespoke'!G216,'CDO Bespoke'!$L192,'CDO Bespoke'!$C$13,'CDO Bespoke'!$C$14,'CDO Bespoke'!$C$15,'CDO Bespoke'!$C$8,,,TRUE,TRUE,FALSE,'CDO Bespoke'!$C$29:'CDO Bespoke'!$C$31,'CDO Bespoke'!$C$33),{5})),"")</f>
        <v/>
      </c>
      <c r="Y191" s="527" t="str" cm="1">
        <f t="array" aca="1" ref="Y191" ca="1">IF($V191&lt;&gt;"",-TRANSPOSE(INDEX(getcds('CDO Bespoke'!$C216,Y$13,'CDO Bespoke'!$G216/10000,'CDO Bespoke'!H216,'CDO Bespoke'!$L192,'CDO Bespoke'!$C$13,'CDO Bespoke'!$C$14,'CDO Bespoke'!$C$15,'CDO Bespoke'!$C$8,,,TRUE,TRUE,FALSE,'CDO Bespoke'!$C$29:'CDO Bespoke'!$C$31,'CDO Bespoke'!$C$33),{5})),"")</f>
        <v/>
      </c>
      <c r="Z191" s="527" t="str" cm="1">
        <f t="array" aca="1" ref="Z191" ca="1">IF($V191&lt;&gt;"",-TRANSPOSE(INDEX(getcds('CDO Bespoke'!$C216,Z$13,'CDO Bespoke'!$G216/10000,'CDO Bespoke'!I216,'CDO Bespoke'!$L192,'CDO Bespoke'!$C$13,'CDO Bespoke'!$C$14,'CDO Bespoke'!$C$15,'CDO Bespoke'!$C$8,,,TRUE,TRUE,FALSE,'CDO Bespoke'!$C$29:'CDO Bespoke'!$C$31,'CDO Bespoke'!$C$33),{5})),"")</f>
        <v/>
      </c>
      <c r="AA191" s="502" t="str" cm="1">
        <f t="array" aca="1" ref="AA191" ca="1">IF($V191&lt;&gt;"",-TRANSPOSE(INDEX(getcds('CDO Bespoke'!$C216,AA$13,'CDO Bespoke'!$G216/10000,'CDO Bespoke'!J216,'CDO Bespoke'!$L192,'CDO Bespoke'!$C$13,'CDO Bespoke'!$C$14,'CDO Bespoke'!$C$15,'CDO Bespoke'!$C$8,,,TRUE,TRUE,FALSE,'CDO Bespoke'!$C$29:'CDO Bespoke'!$C$31,'CDO Bespoke'!$C$33),{5})),"")</f>
        <v/>
      </c>
      <c r="AB191" s="481"/>
      <c r="AC191" s="517"/>
      <c r="AD191" s="518"/>
      <c r="AE191" s="518"/>
      <c r="AF191" s="518"/>
      <c r="AG191" s="518"/>
      <c r="AH191" s="518"/>
      <c r="AI191" s="518"/>
      <c r="AJ191" s="518"/>
      <c r="AK191" s="518"/>
      <c r="AL191" s="519"/>
      <c r="AM191" s="540"/>
    </row>
    <row r="192" spans="2:39" ht="12" thickBot="1">
      <c r="B192" s="558" t="s">
        <v>560</v>
      </c>
      <c r="C192" s="559" t="s">
        <v>66</v>
      </c>
      <c r="D192" s="559" t="s">
        <v>59</v>
      </c>
      <c r="E192" s="559" t="s">
        <v>663</v>
      </c>
      <c r="F192" s="559" t="s">
        <v>666</v>
      </c>
      <c r="G192" s="560">
        <v>0.01</v>
      </c>
      <c r="H192" s="560">
        <v>5.0730000000000003E-3</v>
      </c>
      <c r="I192" s="561">
        <v>0.4</v>
      </c>
      <c r="J192" s="562">
        <v>56</v>
      </c>
      <c r="K192" s="275"/>
      <c r="L192" s="275"/>
      <c r="M192" s="489" t="str">
        <f ca="1">IF('CDO Bespoke'!O193&lt;&gt;"",'CDO Bespoke'!O193,"")</f>
        <v/>
      </c>
      <c r="N192" s="490" t="str">
        <f ca="1">IF(M192&lt;&gt;"",ABS(MIN(-0.75*('CDO Bespoke'!Q193)+'CDO Bespoke'!T193,0)),"")</f>
        <v/>
      </c>
      <c r="O192" s="490" t="str">
        <f t="shared" ca="1" si="8"/>
        <v/>
      </c>
      <c r="P192" s="490" t="str">
        <f t="shared" ca="1" si="9"/>
        <v/>
      </c>
      <c r="Q192" s="489" t="str">
        <f ca="1">IF('CDO Bespoke'!O193&lt;&gt;"",'CDO Bespoke'!O193,"")</f>
        <v/>
      </c>
      <c r="R192" s="490" t="str">
        <f ca="1">IF(Q192&lt;&gt;"",ABS(MIN(-0.75*('CDO Bespoke'!K193)+'CDO Bespoke'!T193,0)),"")</f>
        <v/>
      </c>
      <c r="S192" s="490" t="str">
        <f t="shared" ca="1" si="10"/>
        <v/>
      </c>
      <c r="T192" s="494" t="str">
        <f t="shared" ca="1" si="11"/>
        <v/>
      </c>
      <c r="U192" s="275"/>
      <c r="V192" s="499" t="str">
        <f ca="1">IF('CDO Bespoke'!C217&lt;&gt;"",'CDO Bespoke'!C217,"")</f>
        <v/>
      </c>
      <c r="W192" s="501" t="str" cm="1">
        <f t="array" aca="1" ref="W192" ca="1">IF($V192&lt;&gt;"",-TRANSPOSE(INDEX(getcds('CDO Bespoke'!$C217,W$13,'CDO Bespoke'!$G217/10000,'CDO Bespoke'!F217,'CDO Bespoke'!$L193,'CDO Bespoke'!$C$13,'CDO Bespoke'!$C$14,'CDO Bespoke'!$C$15,'CDO Bespoke'!$C$8,,,TRUE,TRUE,FALSE,'CDO Bespoke'!$C$29:'CDO Bespoke'!$C$31,'CDO Bespoke'!$C$33),{5})),"")</f>
        <v/>
      </c>
      <c r="X192" s="527" t="str" cm="1">
        <f t="array" aca="1" ref="X192" ca="1">IF($V192&lt;&gt;"",-TRANSPOSE(INDEX(getcds('CDO Bespoke'!$C217,X$13,'CDO Bespoke'!$G217/10000,'CDO Bespoke'!G217,'CDO Bespoke'!$L193,'CDO Bespoke'!$C$13,'CDO Bespoke'!$C$14,'CDO Bespoke'!$C$15,'CDO Bespoke'!$C$8,,,TRUE,TRUE,FALSE,'CDO Bespoke'!$C$29:'CDO Bespoke'!$C$31,'CDO Bespoke'!$C$33),{5})),"")</f>
        <v/>
      </c>
      <c r="Y192" s="527" t="str" cm="1">
        <f t="array" aca="1" ref="Y192" ca="1">IF($V192&lt;&gt;"",-TRANSPOSE(INDEX(getcds('CDO Bespoke'!$C217,Y$13,'CDO Bespoke'!$G217/10000,'CDO Bespoke'!H217,'CDO Bespoke'!$L193,'CDO Bespoke'!$C$13,'CDO Bespoke'!$C$14,'CDO Bespoke'!$C$15,'CDO Bespoke'!$C$8,,,TRUE,TRUE,FALSE,'CDO Bespoke'!$C$29:'CDO Bespoke'!$C$31,'CDO Bespoke'!$C$33),{5})),"")</f>
        <v/>
      </c>
      <c r="Z192" s="527" t="str" cm="1">
        <f t="array" aca="1" ref="Z192" ca="1">IF($V192&lt;&gt;"",-TRANSPOSE(INDEX(getcds('CDO Bespoke'!$C217,Z$13,'CDO Bespoke'!$G217/10000,'CDO Bespoke'!I217,'CDO Bespoke'!$L193,'CDO Bespoke'!$C$13,'CDO Bespoke'!$C$14,'CDO Bespoke'!$C$15,'CDO Bespoke'!$C$8,,,TRUE,TRUE,FALSE,'CDO Bespoke'!$C$29:'CDO Bespoke'!$C$31,'CDO Bespoke'!$C$33),{5})),"")</f>
        <v/>
      </c>
      <c r="AA192" s="502" t="str" cm="1">
        <f t="array" aca="1" ref="AA192" ca="1">IF($V192&lt;&gt;"",-TRANSPOSE(INDEX(getcds('CDO Bespoke'!$C217,AA$13,'CDO Bespoke'!$G217/10000,'CDO Bespoke'!J217,'CDO Bespoke'!$L193,'CDO Bespoke'!$C$13,'CDO Bespoke'!$C$14,'CDO Bespoke'!$C$15,'CDO Bespoke'!$C$8,,,TRUE,TRUE,FALSE,'CDO Bespoke'!$C$29:'CDO Bespoke'!$C$31,'CDO Bespoke'!$C$33),{5})),"")</f>
        <v/>
      </c>
      <c r="AB192" s="481"/>
      <c r="AC192" s="517"/>
      <c r="AD192" s="518"/>
      <c r="AE192" s="518"/>
      <c r="AF192" s="518"/>
      <c r="AG192" s="518"/>
      <c r="AH192" s="518"/>
      <c r="AI192" s="518"/>
      <c r="AJ192" s="518"/>
      <c r="AK192" s="518"/>
      <c r="AL192" s="519"/>
      <c r="AM192" s="540"/>
    </row>
    <row r="193" spans="2:39" ht="12" thickBot="1">
      <c r="B193" s="563" t="s">
        <v>568</v>
      </c>
      <c r="C193" s="564" t="s">
        <v>66</v>
      </c>
      <c r="D193" s="564" t="s">
        <v>55</v>
      </c>
      <c r="E193" s="564" t="s">
        <v>663</v>
      </c>
      <c r="F193" s="564" t="s">
        <v>666</v>
      </c>
      <c r="G193" s="565">
        <v>0.01</v>
      </c>
      <c r="H193" s="565">
        <v>1.598E-3</v>
      </c>
      <c r="I193" s="566">
        <v>0.4</v>
      </c>
      <c r="J193" s="567">
        <v>57</v>
      </c>
      <c r="K193" s="275"/>
      <c r="L193" s="275"/>
      <c r="M193" s="489" t="str">
        <f ca="1">IF('CDO Bespoke'!O194&lt;&gt;"",'CDO Bespoke'!O194,"")</f>
        <v/>
      </c>
      <c r="N193" s="490" t="str">
        <f ca="1">IF(M193&lt;&gt;"",ABS(MIN(-0.75*('CDO Bespoke'!Q194)+'CDO Bespoke'!T194,0)),"")</f>
        <v/>
      </c>
      <c r="O193" s="490" t="str">
        <f t="shared" ca="1" si="8"/>
        <v/>
      </c>
      <c r="P193" s="490" t="str">
        <f t="shared" ca="1" si="9"/>
        <v/>
      </c>
      <c r="Q193" s="489" t="str">
        <f ca="1">IF('CDO Bespoke'!O194&lt;&gt;"",'CDO Bespoke'!O194,"")</f>
        <v/>
      </c>
      <c r="R193" s="490" t="str">
        <f ca="1">IF(Q193&lt;&gt;"",ABS(MIN(-0.75*('CDO Bespoke'!K194)+'CDO Bespoke'!T194,0)),"")</f>
        <v/>
      </c>
      <c r="S193" s="490" t="str">
        <f t="shared" ca="1" si="10"/>
        <v/>
      </c>
      <c r="T193" s="494" t="str">
        <f t="shared" ca="1" si="11"/>
        <v/>
      </c>
      <c r="U193" s="275"/>
      <c r="V193" s="499" t="str">
        <f ca="1">IF('CDO Bespoke'!C218&lt;&gt;"",'CDO Bespoke'!C218,"")</f>
        <v/>
      </c>
      <c r="W193" s="501" t="str" cm="1">
        <f t="array" aca="1" ref="W193" ca="1">IF($V193&lt;&gt;"",-TRANSPOSE(INDEX(getcds('CDO Bespoke'!$C218,W$13,'CDO Bespoke'!$G218/10000,'CDO Bespoke'!F218,'CDO Bespoke'!$L194,'CDO Bespoke'!$C$13,'CDO Bespoke'!$C$14,'CDO Bespoke'!$C$15,'CDO Bespoke'!$C$8,,,TRUE,TRUE,FALSE,'CDO Bespoke'!$C$29:'CDO Bespoke'!$C$31,'CDO Bespoke'!$C$33),{5})),"")</f>
        <v/>
      </c>
      <c r="X193" s="527" t="str" cm="1">
        <f t="array" aca="1" ref="X193" ca="1">IF($V193&lt;&gt;"",-TRANSPOSE(INDEX(getcds('CDO Bespoke'!$C218,X$13,'CDO Bespoke'!$G218/10000,'CDO Bespoke'!G218,'CDO Bespoke'!$L194,'CDO Bespoke'!$C$13,'CDO Bespoke'!$C$14,'CDO Bespoke'!$C$15,'CDO Bespoke'!$C$8,,,TRUE,TRUE,FALSE,'CDO Bespoke'!$C$29:'CDO Bespoke'!$C$31,'CDO Bespoke'!$C$33),{5})),"")</f>
        <v/>
      </c>
      <c r="Y193" s="527" t="str" cm="1">
        <f t="array" aca="1" ref="Y193" ca="1">IF($V193&lt;&gt;"",-TRANSPOSE(INDEX(getcds('CDO Bespoke'!$C218,Y$13,'CDO Bespoke'!$G218/10000,'CDO Bespoke'!H218,'CDO Bespoke'!$L194,'CDO Bespoke'!$C$13,'CDO Bespoke'!$C$14,'CDO Bespoke'!$C$15,'CDO Bespoke'!$C$8,,,TRUE,TRUE,FALSE,'CDO Bespoke'!$C$29:'CDO Bespoke'!$C$31,'CDO Bespoke'!$C$33),{5})),"")</f>
        <v/>
      </c>
      <c r="Z193" s="527" t="str" cm="1">
        <f t="array" aca="1" ref="Z193" ca="1">IF($V193&lt;&gt;"",-TRANSPOSE(INDEX(getcds('CDO Bespoke'!$C218,Z$13,'CDO Bespoke'!$G218/10000,'CDO Bespoke'!I218,'CDO Bespoke'!$L194,'CDO Bespoke'!$C$13,'CDO Bespoke'!$C$14,'CDO Bespoke'!$C$15,'CDO Bespoke'!$C$8,,,TRUE,TRUE,FALSE,'CDO Bespoke'!$C$29:'CDO Bespoke'!$C$31,'CDO Bespoke'!$C$33),{5})),"")</f>
        <v/>
      </c>
      <c r="AA193" s="502" t="str" cm="1">
        <f t="array" aca="1" ref="AA193" ca="1">IF($V193&lt;&gt;"",-TRANSPOSE(INDEX(getcds('CDO Bespoke'!$C218,AA$13,'CDO Bespoke'!$G218/10000,'CDO Bespoke'!J218,'CDO Bespoke'!$L194,'CDO Bespoke'!$C$13,'CDO Bespoke'!$C$14,'CDO Bespoke'!$C$15,'CDO Bespoke'!$C$8,,,TRUE,TRUE,FALSE,'CDO Bespoke'!$C$29:'CDO Bespoke'!$C$31,'CDO Bespoke'!$C$33),{5})),"")</f>
        <v/>
      </c>
      <c r="AB193" s="481"/>
      <c r="AC193" s="517"/>
      <c r="AD193" s="518"/>
      <c r="AE193" s="518"/>
      <c r="AF193" s="518"/>
      <c r="AG193" s="518"/>
      <c r="AH193" s="518"/>
      <c r="AI193" s="518"/>
      <c r="AJ193" s="518"/>
      <c r="AK193" s="518"/>
      <c r="AL193" s="519"/>
      <c r="AM193" s="540"/>
    </row>
    <row r="194" spans="2:39" ht="12" thickBot="1">
      <c r="B194" s="541" t="s">
        <v>568</v>
      </c>
      <c r="C194" s="542" t="s">
        <v>66</v>
      </c>
      <c r="D194" s="542" t="s">
        <v>57</v>
      </c>
      <c r="E194" s="542" t="s">
        <v>663</v>
      </c>
      <c r="F194" s="542" t="s">
        <v>666</v>
      </c>
      <c r="G194" s="549">
        <v>0.01</v>
      </c>
      <c r="H194" s="549">
        <v>2.627E-3</v>
      </c>
      <c r="I194" s="551">
        <v>0.4</v>
      </c>
      <c r="J194" s="543">
        <v>57</v>
      </c>
      <c r="K194" s="275"/>
      <c r="L194" s="275"/>
      <c r="M194" s="489" t="str">
        <f ca="1">IF('CDO Bespoke'!O195&lt;&gt;"",'CDO Bespoke'!O195,"")</f>
        <v/>
      </c>
      <c r="N194" s="490" t="str">
        <f ca="1">IF(M194&lt;&gt;"",ABS(MIN(-0.75*('CDO Bespoke'!Q195)+'CDO Bespoke'!T195,0)),"")</f>
        <v/>
      </c>
      <c r="O194" s="490" t="str">
        <f t="shared" ca="1" si="8"/>
        <v/>
      </c>
      <c r="P194" s="490" t="str">
        <f t="shared" ca="1" si="9"/>
        <v/>
      </c>
      <c r="Q194" s="489" t="str">
        <f ca="1">IF('CDO Bespoke'!O195&lt;&gt;"",'CDO Bespoke'!O195,"")</f>
        <v/>
      </c>
      <c r="R194" s="490" t="str">
        <f ca="1">IF(Q194&lt;&gt;"",ABS(MIN(-0.75*('CDO Bespoke'!K195)+'CDO Bespoke'!T195,0)),"")</f>
        <v/>
      </c>
      <c r="S194" s="490" t="str">
        <f t="shared" ca="1" si="10"/>
        <v/>
      </c>
      <c r="T194" s="494" t="str">
        <f t="shared" ca="1" si="11"/>
        <v/>
      </c>
      <c r="U194" s="275"/>
      <c r="V194" s="499" t="str">
        <f ca="1">IF('CDO Bespoke'!C219&lt;&gt;"",'CDO Bespoke'!C219,"")</f>
        <v/>
      </c>
      <c r="W194" s="501" t="str" cm="1">
        <f t="array" aca="1" ref="W194" ca="1">IF($V194&lt;&gt;"",-TRANSPOSE(INDEX(getcds('CDO Bespoke'!$C219,W$13,'CDO Bespoke'!$G219/10000,'CDO Bespoke'!F219,'CDO Bespoke'!$L195,'CDO Bespoke'!$C$13,'CDO Bespoke'!$C$14,'CDO Bespoke'!$C$15,'CDO Bespoke'!$C$8,,,TRUE,TRUE,FALSE,'CDO Bespoke'!$C$29:'CDO Bespoke'!$C$31,'CDO Bespoke'!$C$33),{5})),"")</f>
        <v/>
      </c>
      <c r="X194" s="527" t="str" cm="1">
        <f t="array" aca="1" ref="X194" ca="1">IF($V194&lt;&gt;"",-TRANSPOSE(INDEX(getcds('CDO Bespoke'!$C219,X$13,'CDO Bespoke'!$G219/10000,'CDO Bespoke'!G219,'CDO Bespoke'!$L195,'CDO Bespoke'!$C$13,'CDO Bespoke'!$C$14,'CDO Bespoke'!$C$15,'CDO Bespoke'!$C$8,,,TRUE,TRUE,FALSE,'CDO Bespoke'!$C$29:'CDO Bespoke'!$C$31,'CDO Bespoke'!$C$33),{5})),"")</f>
        <v/>
      </c>
      <c r="Y194" s="527" t="str" cm="1">
        <f t="array" aca="1" ref="Y194" ca="1">IF($V194&lt;&gt;"",-TRANSPOSE(INDEX(getcds('CDO Bespoke'!$C219,Y$13,'CDO Bespoke'!$G219/10000,'CDO Bespoke'!H219,'CDO Bespoke'!$L195,'CDO Bespoke'!$C$13,'CDO Bespoke'!$C$14,'CDO Bespoke'!$C$15,'CDO Bespoke'!$C$8,,,TRUE,TRUE,FALSE,'CDO Bespoke'!$C$29:'CDO Bespoke'!$C$31,'CDO Bespoke'!$C$33),{5})),"")</f>
        <v/>
      </c>
      <c r="Z194" s="527" t="str" cm="1">
        <f t="array" aca="1" ref="Z194" ca="1">IF($V194&lt;&gt;"",-TRANSPOSE(INDEX(getcds('CDO Bespoke'!$C219,Z$13,'CDO Bespoke'!$G219/10000,'CDO Bespoke'!I219,'CDO Bespoke'!$L195,'CDO Bespoke'!$C$13,'CDO Bespoke'!$C$14,'CDO Bespoke'!$C$15,'CDO Bespoke'!$C$8,,,TRUE,TRUE,FALSE,'CDO Bespoke'!$C$29:'CDO Bespoke'!$C$31,'CDO Bespoke'!$C$33),{5})),"")</f>
        <v/>
      </c>
      <c r="AA194" s="502" t="str" cm="1">
        <f t="array" aca="1" ref="AA194" ca="1">IF($V194&lt;&gt;"",-TRANSPOSE(INDEX(getcds('CDO Bespoke'!$C219,AA$13,'CDO Bespoke'!$G219/10000,'CDO Bespoke'!J219,'CDO Bespoke'!$L195,'CDO Bespoke'!$C$13,'CDO Bespoke'!$C$14,'CDO Bespoke'!$C$15,'CDO Bespoke'!$C$8,,,TRUE,TRUE,FALSE,'CDO Bespoke'!$C$29:'CDO Bespoke'!$C$31,'CDO Bespoke'!$C$33),{5})),"")</f>
        <v/>
      </c>
      <c r="AB194" s="481"/>
      <c r="AC194" s="517"/>
      <c r="AD194" s="518"/>
      <c r="AE194" s="518"/>
      <c r="AF194" s="518"/>
      <c r="AG194" s="518"/>
      <c r="AH194" s="518"/>
      <c r="AI194" s="518"/>
      <c r="AJ194" s="518"/>
      <c r="AK194" s="518"/>
      <c r="AL194" s="519"/>
      <c r="AM194" s="540"/>
    </row>
    <row r="195" spans="2:39" ht="12" thickBot="1">
      <c r="B195" s="558" t="s">
        <v>568</v>
      </c>
      <c r="C195" s="559" t="s">
        <v>66</v>
      </c>
      <c r="D195" s="559" t="s">
        <v>59</v>
      </c>
      <c r="E195" s="559" t="s">
        <v>663</v>
      </c>
      <c r="F195" s="559" t="s">
        <v>666</v>
      </c>
      <c r="G195" s="560">
        <v>0.01</v>
      </c>
      <c r="H195" s="560">
        <v>3.8070000000000001E-3</v>
      </c>
      <c r="I195" s="561">
        <v>0.4</v>
      </c>
      <c r="J195" s="562">
        <v>57</v>
      </c>
      <c r="K195" s="275"/>
      <c r="L195" s="275"/>
      <c r="M195" s="489" t="str">
        <f ca="1">IF('CDO Bespoke'!O196&lt;&gt;"",'CDO Bespoke'!O196,"")</f>
        <v/>
      </c>
      <c r="N195" s="490" t="str">
        <f ca="1">IF(M195&lt;&gt;"",ABS(MIN(-0.75*('CDO Bespoke'!Q196)+'CDO Bespoke'!T196,0)),"")</f>
        <v/>
      </c>
      <c r="O195" s="490" t="str">
        <f t="shared" ca="1" si="8"/>
        <v/>
      </c>
      <c r="P195" s="490" t="str">
        <f t="shared" ca="1" si="9"/>
        <v/>
      </c>
      <c r="Q195" s="489" t="str">
        <f ca="1">IF('CDO Bespoke'!O196&lt;&gt;"",'CDO Bespoke'!O196,"")</f>
        <v/>
      </c>
      <c r="R195" s="490" t="str">
        <f ca="1">IF(Q195&lt;&gt;"",ABS(MIN(-0.75*('CDO Bespoke'!K196)+'CDO Bespoke'!T196,0)),"")</f>
        <v/>
      </c>
      <c r="S195" s="490" t="str">
        <f t="shared" ca="1" si="10"/>
        <v/>
      </c>
      <c r="T195" s="494" t="str">
        <f t="shared" ca="1" si="11"/>
        <v/>
      </c>
      <c r="U195" s="275"/>
      <c r="V195" s="499" t="str">
        <f ca="1">IF('CDO Bespoke'!C220&lt;&gt;"",'CDO Bespoke'!C220,"")</f>
        <v/>
      </c>
      <c r="W195" s="501" t="str" cm="1">
        <f t="array" aca="1" ref="W195" ca="1">IF($V195&lt;&gt;"",-TRANSPOSE(INDEX(getcds('CDO Bespoke'!$C220,W$13,'CDO Bespoke'!$G220/10000,'CDO Bespoke'!F220,'CDO Bespoke'!$L196,'CDO Bespoke'!$C$13,'CDO Bespoke'!$C$14,'CDO Bespoke'!$C$15,'CDO Bespoke'!$C$8,,,TRUE,TRUE,FALSE,'CDO Bespoke'!$C$29:'CDO Bespoke'!$C$31,'CDO Bespoke'!$C$33),{5})),"")</f>
        <v/>
      </c>
      <c r="X195" s="527" t="str" cm="1">
        <f t="array" aca="1" ref="X195" ca="1">IF($V195&lt;&gt;"",-TRANSPOSE(INDEX(getcds('CDO Bespoke'!$C220,X$13,'CDO Bespoke'!$G220/10000,'CDO Bespoke'!G220,'CDO Bespoke'!$L196,'CDO Bespoke'!$C$13,'CDO Bespoke'!$C$14,'CDO Bespoke'!$C$15,'CDO Bespoke'!$C$8,,,TRUE,TRUE,FALSE,'CDO Bespoke'!$C$29:'CDO Bespoke'!$C$31,'CDO Bespoke'!$C$33),{5})),"")</f>
        <v/>
      </c>
      <c r="Y195" s="527" t="str" cm="1">
        <f t="array" aca="1" ref="Y195" ca="1">IF($V195&lt;&gt;"",-TRANSPOSE(INDEX(getcds('CDO Bespoke'!$C220,Y$13,'CDO Bespoke'!$G220/10000,'CDO Bespoke'!H220,'CDO Bespoke'!$L196,'CDO Bespoke'!$C$13,'CDO Bespoke'!$C$14,'CDO Bespoke'!$C$15,'CDO Bespoke'!$C$8,,,TRUE,TRUE,FALSE,'CDO Bespoke'!$C$29:'CDO Bespoke'!$C$31,'CDO Bespoke'!$C$33),{5})),"")</f>
        <v/>
      </c>
      <c r="Z195" s="527" t="str" cm="1">
        <f t="array" aca="1" ref="Z195" ca="1">IF($V195&lt;&gt;"",-TRANSPOSE(INDEX(getcds('CDO Bespoke'!$C220,Z$13,'CDO Bespoke'!$G220/10000,'CDO Bespoke'!I220,'CDO Bespoke'!$L196,'CDO Bespoke'!$C$13,'CDO Bespoke'!$C$14,'CDO Bespoke'!$C$15,'CDO Bespoke'!$C$8,,,TRUE,TRUE,FALSE,'CDO Bespoke'!$C$29:'CDO Bespoke'!$C$31,'CDO Bespoke'!$C$33),{5})),"")</f>
        <v/>
      </c>
      <c r="AA195" s="502" t="str" cm="1">
        <f t="array" aca="1" ref="AA195" ca="1">IF($V195&lt;&gt;"",-TRANSPOSE(INDEX(getcds('CDO Bespoke'!$C220,AA$13,'CDO Bespoke'!$G220/10000,'CDO Bespoke'!J220,'CDO Bespoke'!$L196,'CDO Bespoke'!$C$13,'CDO Bespoke'!$C$14,'CDO Bespoke'!$C$15,'CDO Bespoke'!$C$8,,,TRUE,TRUE,FALSE,'CDO Bespoke'!$C$29:'CDO Bespoke'!$C$31,'CDO Bespoke'!$C$33),{5})),"")</f>
        <v/>
      </c>
      <c r="AB195" s="481"/>
      <c r="AC195" s="517"/>
      <c r="AD195" s="518"/>
      <c r="AE195" s="518"/>
      <c r="AF195" s="518"/>
      <c r="AG195" s="518"/>
      <c r="AH195" s="518"/>
      <c r="AI195" s="518"/>
      <c r="AJ195" s="518"/>
      <c r="AK195" s="518"/>
      <c r="AL195" s="519"/>
      <c r="AM195" s="540"/>
    </row>
    <row r="196" spans="2:39" ht="12" thickBot="1">
      <c r="B196" s="563" t="s">
        <v>561</v>
      </c>
      <c r="C196" s="564" t="s">
        <v>66</v>
      </c>
      <c r="D196" s="564" t="s">
        <v>55</v>
      </c>
      <c r="E196" s="564" t="s">
        <v>663</v>
      </c>
      <c r="F196" s="564" t="s">
        <v>666</v>
      </c>
      <c r="G196" s="565">
        <v>0.01</v>
      </c>
      <c r="H196" s="565">
        <v>4.0590000000000001E-3</v>
      </c>
      <c r="I196" s="566">
        <v>0.4</v>
      </c>
      <c r="J196" s="567">
        <v>58</v>
      </c>
      <c r="K196" s="275"/>
      <c r="L196" s="275"/>
      <c r="M196" s="489" t="str">
        <f ca="1">IF('CDO Bespoke'!O197&lt;&gt;"",'CDO Bespoke'!O197,"")</f>
        <v/>
      </c>
      <c r="N196" s="490" t="str">
        <f ca="1">IF(M196&lt;&gt;"",ABS(MIN(-0.75*('CDO Bespoke'!Q197)+'CDO Bespoke'!T197,0)),"")</f>
        <v/>
      </c>
      <c r="O196" s="490" t="str">
        <f t="shared" ca="1" si="8"/>
        <v/>
      </c>
      <c r="P196" s="490" t="str">
        <f t="shared" ca="1" si="9"/>
        <v/>
      </c>
      <c r="Q196" s="489" t="str">
        <f ca="1">IF('CDO Bespoke'!O197&lt;&gt;"",'CDO Bespoke'!O197,"")</f>
        <v/>
      </c>
      <c r="R196" s="490" t="str">
        <f ca="1">IF(Q196&lt;&gt;"",ABS(MIN(-0.75*('CDO Bespoke'!K197)+'CDO Bespoke'!T197,0)),"")</f>
        <v/>
      </c>
      <c r="S196" s="490" t="str">
        <f t="shared" ca="1" si="10"/>
        <v/>
      </c>
      <c r="T196" s="494" t="str">
        <f t="shared" ca="1" si="11"/>
        <v/>
      </c>
      <c r="U196" s="275"/>
      <c r="V196" s="499" t="str">
        <f ca="1">IF('CDO Bespoke'!C221&lt;&gt;"",'CDO Bespoke'!C221,"")</f>
        <v/>
      </c>
      <c r="W196" s="501" t="str" cm="1">
        <f t="array" aca="1" ref="W196" ca="1">IF($V196&lt;&gt;"",-TRANSPOSE(INDEX(getcds('CDO Bespoke'!$C221,W$13,'CDO Bespoke'!$G221/10000,'CDO Bespoke'!F221,'CDO Bespoke'!$L197,'CDO Bespoke'!$C$13,'CDO Bespoke'!$C$14,'CDO Bespoke'!$C$15,'CDO Bespoke'!$C$8,,,TRUE,TRUE,FALSE,'CDO Bespoke'!$C$29:'CDO Bespoke'!$C$31,'CDO Bespoke'!$C$33),{5})),"")</f>
        <v/>
      </c>
      <c r="X196" s="527" t="str" cm="1">
        <f t="array" aca="1" ref="X196" ca="1">IF($V196&lt;&gt;"",-TRANSPOSE(INDEX(getcds('CDO Bespoke'!$C221,X$13,'CDO Bespoke'!$G221/10000,'CDO Bespoke'!G221,'CDO Bespoke'!$L197,'CDO Bespoke'!$C$13,'CDO Bespoke'!$C$14,'CDO Bespoke'!$C$15,'CDO Bespoke'!$C$8,,,TRUE,TRUE,FALSE,'CDO Bespoke'!$C$29:'CDO Bespoke'!$C$31,'CDO Bespoke'!$C$33),{5})),"")</f>
        <v/>
      </c>
      <c r="Y196" s="527" t="str" cm="1">
        <f t="array" aca="1" ref="Y196" ca="1">IF($V196&lt;&gt;"",-TRANSPOSE(INDEX(getcds('CDO Bespoke'!$C221,Y$13,'CDO Bespoke'!$G221/10000,'CDO Bespoke'!H221,'CDO Bespoke'!$L197,'CDO Bespoke'!$C$13,'CDO Bespoke'!$C$14,'CDO Bespoke'!$C$15,'CDO Bespoke'!$C$8,,,TRUE,TRUE,FALSE,'CDO Bespoke'!$C$29:'CDO Bespoke'!$C$31,'CDO Bespoke'!$C$33),{5})),"")</f>
        <v/>
      </c>
      <c r="Z196" s="527" t="str" cm="1">
        <f t="array" aca="1" ref="Z196" ca="1">IF($V196&lt;&gt;"",-TRANSPOSE(INDEX(getcds('CDO Bespoke'!$C221,Z$13,'CDO Bespoke'!$G221/10000,'CDO Bespoke'!I221,'CDO Bespoke'!$L197,'CDO Bespoke'!$C$13,'CDO Bespoke'!$C$14,'CDO Bespoke'!$C$15,'CDO Bespoke'!$C$8,,,TRUE,TRUE,FALSE,'CDO Bespoke'!$C$29:'CDO Bespoke'!$C$31,'CDO Bespoke'!$C$33),{5})),"")</f>
        <v/>
      </c>
      <c r="AA196" s="502" t="str" cm="1">
        <f t="array" aca="1" ref="AA196" ca="1">IF($V196&lt;&gt;"",-TRANSPOSE(INDEX(getcds('CDO Bespoke'!$C221,AA$13,'CDO Bespoke'!$G221/10000,'CDO Bespoke'!J221,'CDO Bespoke'!$L197,'CDO Bespoke'!$C$13,'CDO Bespoke'!$C$14,'CDO Bespoke'!$C$15,'CDO Bespoke'!$C$8,,,TRUE,TRUE,FALSE,'CDO Bespoke'!$C$29:'CDO Bespoke'!$C$31,'CDO Bespoke'!$C$33),{5})),"")</f>
        <v/>
      </c>
      <c r="AB196" s="481"/>
      <c r="AC196" s="517"/>
      <c r="AD196" s="518"/>
      <c r="AE196" s="518"/>
      <c r="AF196" s="518"/>
      <c r="AG196" s="518"/>
      <c r="AH196" s="518"/>
      <c r="AI196" s="518"/>
      <c r="AJ196" s="518"/>
      <c r="AK196" s="518"/>
      <c r="AL196" s="519"/>
      <c r="AM196" s="540"/>
    </row>
    <row r="197" spans="2:39" ht="12" thickBot="1">
      <c r="B197" s="541" t="s">
        <v>561</v>
      </c>
      <c r="C197" s="542" t="s">
        <v>66</v>
      </c>
      <c r="D197" s="542" t="s">
        <v>57</v>
      </c>
      <c r="E197" s="542" t="s">
        <v>663</v>
      </c>
      <c r="F197" s="542" t="s">
        <v>666</v>
      </c>
      <c r="G197" s="549">
        <v>0.01</v>
      </c>
      <c r="H197" s="549">
        <v>6.953E-3</v>
      </c>
      <c r="I197" s="551">
        <v>0.4</v>
      </c>
      <c r="J197" s="543">
        <v>58</v>
      </c>
      <c r="K197" s="275"/>
      <c r="L197" s="275"/>
      <c r="M197" s="489" t="str">
        <f ca="1">IF('CDO Bespoke'!O198&lt;&gt;"",'CDO Bespoke'!O198,"")</f>
        <v/>
      </c>
      <c r="N197" s="490" t="str">
        <f ca="1">IF(M197&lt;&gt;"",ABS(MIN(-0.75*('CDO Bespoke'!Q198)+'CDO Bespoke'!T198,0)),"")</f>
        <v/>
      </c>
      <c r="O197" s="490" t="str">
        <f t="shared" ca="1" si="8"/>
        <v/>
      </c>
      <c r="P197" s="490" t="str">
        <f t="shared" ca="1" si="9"/>
        <v/>
      </c>
      <c r="Q197" s="489" t="str">
        <f ca="1">IF('CDO Bespoke'!O198&lt;&gt;"",'CDO Bespoke'!O198,"")</f>
        <v/>
      </c>
      <c r="R197" s="490" t="str">
        <f ca="1">IF(Q197&lt;&gt;"",ABS(MIN(-0.75*('CDO Bespoke'!K198)+'CDO Bespoke'!T198,0)),"")</f>
        <v/>
      </c>
      <c r="S197" s="490" t="str">
        <f t="shared" ca="1" si="10"/>
        <v/>
      </c>
      <c r="T197" s="494" t="str">
        <f t="shared" ca="1" si="11"/>
        <v/>
      </c>
      <c r="U197" s="275"/>
      <c r="V197" s="499" t="str">
        <f ca="1">IF('CDO Bespoke'!C222&lt;&gt;"",'CDO Bespoke'!C222,"")</f>
        <v/>
      </c>
      <c r="W197" s="501" t="str" cm="1">
        <f t="array" aca="1" ref="W197" ca="1">IF($V197&lt;&gt;"",-TRANSPOSE(INDEX(getcds('CDO Bespoke'!$C222,W$13,'CDO Bespoke'!$G222/10000,'CDO Bespoke'!F222,'CDO Bespoke'!$L198,'CDO Bespoke'!$C$13,'CDO Bespoke'!$C$14,'CDO Bespoke'!$C$15,'CDO Bespoke'!$C$8,,,TRUE,TRUE,FALSE,'CDO Bespoke'!$C$29:'CDO Bespoke'!$C$31,'CDO Bespoke'!$C$33),{5})),"")</f>
        <v/>
      </c>
      <c r="X197" s="527" t="str" cm="1">
        <f t="array" aca="1" ref="X197" ca="1">IF($V197&lt;&gt;"",-TRANSPOSE(INDEX(getcds('CDO Bespoke'!$C222,X$13,'CDO Bespoke'!$G222/10000,'CDO Bespoke'!G222,'CDO Bespoke'!$L198,'CDO Bespoke'!$C$13,'CDO Bespoke'!$C$14,'CDO Bespoke'!$C$15,'CDO Bespoke'!$C$8,,,TRUE,TRUE,FALSE,'CDO Bespoke'!$C$29:'CDO Bespoke'!$C$31,'CDO Bespoke'!$C$33),{5})),"")</f>
        <v/>
      </c>
      <c r="Y197" s="527" t="str" cm="1">
        <f t="array" aca="1" ref="Y197" ca="1">IF($V197&lt;&gt;"",-TRANSPOSE(INDEX(getcds('CDO Bespoke'!$C222,Y$13,'CDO Bespoke'!$G222/10000,'CDO Bespoke'!H222,'CDO Bespoke'!$L198,'CDO Bespoke'!$C$13,'CDO Bespoke'!$C$14,'CDO Bespoke'!$C$15,'CDO Bespoke'!$C$8,,,TRUE,TRUE,FALSE,'CDO Bespoke'!$C$29:'CDO Bespoke'!$C$31,'CDO Bespoke'!$C$33),{5})),"")</f>
        <v/>
      </c>
      <c r="Z197" s="527" t="str" cm="1">
        <f t="array" aca="1" ref="Z197" ca="1">IF($V197&lt;&gt;"",-TRANSPOSE(INDEX(getcds('CDO Bespoke'!$C222,Z$13,'CDO Bespoke'!$G222/10000,'CDO Bespoke'!I222,'CDO Bespoke'!$L198,'CDO Bespoke'!$C$13,'CDO Bespoke'!$C$14,'CDO Bespoke'!$C$15,'CDO Bespoke'!$C$8,,,TRUE,TRUE,FALSE,'CDO Bespoke'!$C$29:'CDO Bespoke'!$C$31,'CDO Bespoke'!$C$33),{5})),"")</f>
        <v/>
      </c>
      <c r="AA197" s="502" t="str" cm="1">
        <f t="array" aca="1" ref="AA197" ca="1">IF($V197&lt;&gt;"",-TRANSPOSE(INDEX(getcds('CDO Bespoke'!$C222,AA$13,'CDO Bespoke'!$G222/10000,'CDO Bespoke'!J222,'CDO Bespoke'!$L198,'CDO Bespoke'!$C$13,'CDO Bespoke'!$C$14,'CDO Bespoke'!$C$15,'CDO Bespoke'!$C$8,,,TRUE,TRUE,FALSE,'CDO Bespoke'!$C$29:'CDO Bespoke'!$C$31,'CDO Bespoke'!$C$33),{5})),"")</f>
        <v/>
      </c>
      <c r="AB197" s="481"/>
      <c r="AC197" s="517"/>
      <c r="AD197" s="518"/>
      <c r="AE197" s="518"/>
      <c r="AF197" s="518"/>
      <c r="AG197" s="518"/>
      <c r="AH197" s="518"/>
      <c r="AI197" s="518"/>
      <c r="AJ197" s="518"/>
      <c r="AK197" s="518"/>
      <c r="AL197" s="519"/>
      <c r="AM197" s="540"/>
    </row>
    <row r="198" spans="2:39" ht="12" thickBot="1">
      <c r="B198" s="558" t="s">
        <v>561</v>
      </c>
      <c r="C198" s="559" t="s">
        <v>66</v>
      </c>
      <c r="D198" s="559" t="s">
        <v>59</v>
      </c>
      <c r="E198" s="559" t="s">
        <v>663</v>
      </c>
      <c r="F198" s="559" t="s">
        <v>666</v>
      </c>
      <c r="G198" s="560">
        <v>0.01</v>
      </c>
      <c r="H198" s="560">
        <v>1.0121E-2</v>
      </c>
      <c r="I198" s="561">
        <v>0.4</v>
      </c>
      <c r="J198" s="562">
        <v>58</v>
      </c>
      <c r="K198" s="275"/>
      <c r="L198" s="275"/>
      <c r="M198" s="489" t="str">
        <f ca="1">IF('CDO Bespoke'!O199&lt;&gt;"",'CDO Bespoke'!O199,"")</f>
        <v/>
      </c>
      <c r="N198" s="490" t="str">
        <f ca="1">IF(M198&lt;&gt;"",ABS(MIN(-0.75*('CDO Bespoke'!Q199)+'CDO Bespoke'!T199,0)),"")</f>
        <v/>
      </c>
      <c r="O198" s="490" t="str">
        <f t="shared" ca="1" si="8"/>
        <v/>
      </c>
      <c r="P198" s="490" t="str">
        <f t="shared" ca="1" si="9"/>
        <v/>
      </c>
      <c r="Q198" s="489" t="str">
        <f ca="1">IF('CDO Bespoke'!O199&lt;&gt;"",'CDO Bespoke'!O199,"")</f>
        <v/>
      </c>
      <c r="R198" s="490" t="str">
        <f ca="1">IF(Q198&lt;&gt;"",ABS(MIN(-0.75*('CDO Bespoke'!K199)+'CDO Bespoke'!T199,0)),"")</f>
        <v/>
      </c>
      <c r="S198" s="490" t="str">
        <f t="shared" ca="1" si="10"/>
        <v/>
      </c>
      <c r="T198" s="494" t="str">
        <f t="shared" ca="1" si="11"/>
        <v/>
      </c>
      <c r="U198" s="275"/>
      <c r="V198" s="499" t="str">
        <f ca="1">IF('CDO Bespoke'!C223&lt;&gt;"",'CDO Bespoke'!C223,"")</f>
        <v/>
      </c>
      <c r="W198" s="501" t="str" cm="1">
        <f t="array" aca="1" ref="W198" ca="1">IF($V198&lt;&gt;"",-TRANSPOSE(INDEX(getcds('CDO Bespoke'!$C223,W$13,'CDO Bespoke'!$G223/10000,'CDO Bespoke'!F223,'CDO Bespoke'!$L199,'CDO Bespoke'!$C$13,'CDO Bespoke'!$C$14,'CDO Bespoke'!$C$15,'CDO Bespoke'!$C$8,,,TRUE,TRUE,FALSE,'CDO Bespoke'!$C$29:'CDO Bespoke'!$C$31,'CDO Bespoke'!$C$33),{5})),"")</f>
        <v/>
      </c>
      <c r="X198" s="527" t="str" cm="1">
        <f t="array" aca="1" ref="X198" ca="1">IF($V198&lt;&gt;"",-TRANSPOSE(INDEX(getcds('CDO Bespoke'!$C223,X$13,'CDO Bespoke'!$G223/10000,'CDO Bespoke'!G223,'CDO Bespoke'!$L199,'CDO Bespoke'!$C$13,'CDO Bespoke'!$C$14,'CDO Bespoke'!$C$15,'CDO Bespoke'!$C$8,,,TRUE,TRUE,FALSE,'CDO Bespoke'!$C$29:'CDO Bespoke'!$C$31,'CDO Bespoke'!$C$33),{5})),"")</f>
        <v/>
      </c>
      <c r="Y198" s="527" t="str" cm="1">
        <f t="array" aca="1" ref="Y198" ca="1">IF($V198&lt;&gt;"",-TRANSPOSE(INDEX(getcds('CDO Bespoke'!$C223,Y$13,'CDO Bespoke'!$G223/10000,'CDO Bespoke'!H223,'CDO Bespoke'!$L199,'CDO Bespoke'!$C$13,'CDO Bespoke'!$C$14,'CDO Bespoke'!$C$15,'CDO Bespoke'!$C$8,,,TRUE,TRUE,FALSE,'CDO Bespoke'!$C$29:'CDO Bespoke'!$C$31,'CDO Bespoke'!$C$33),{5})),"")</f>
        <v/>
      </c>
      <c r="Z198" s="527" t="str" cm="1">
        <f t="array" aca="1" ref="Z198" ca="1">IF($V198&lt;&gt;"",-TRANSPOSE(INDEX(getcds('CDO Bespoke'!$C223,Z$13,'CDO Bespoke'!$G223/10000,'CDO Bespoke'!I223,'CDO Bespoke'!$L199,'CDO Bespoke'!$C$13,'CDO Bespoke'!$C$14,'CDO Bespoke'!$C$15,'CDO Bespoke'!$C$8,,,TRUE,TRUE,FALSE,'CDO Bespoke'!$C$29:'CDO Bespoke'!$C$31,'CDO Bespoke'!$C$33),{5})),"")</f>
        <v/>
      </c>
      <c r="AA198" s="502" t="str" cm="1">
        <f t="array" aca="1" ref="AA198" ca="1">IF($V198&lt;&gt;"",-TRANSPOSE(INDEX(getcds('CDO Bespoke'!$C223,AA$13,'CDO Bespoke'!$G223/10000,'CDO Bespoke'!J223,'CDO Bespoke'!$L199,'CDO Bespoke'!$C$13,'CDO Bespoke'!$C$14,'CDO Bespoke'!$C$15,'CDO Bespoke'!$C$8,,,TRUE,TRUE,FALSE,'CDO Bespoke'!$C$29:'CDO Bespoke'!$C$31,'CDO Bespoke'!$C$33),{5})),"")</f>
        <v/>
      </c>
      <c r="AB198" s="481"/>
      <c r="AC198" s="517"/>
      <c r="AD198" s="518"/>
      <c r="AE198" s="518"/>
      <c r="AF198" s="518"/>
      <c r="AG198" s="518"/>
      <c r="AH198" s="518"/>
      <c r="AI198" s="518"/>
      <c r="AJ198" s="518"/>
      <c r="AK198" s="518"/>
      <c r="AL198" s="519"/>
      <c r="AM198" s="540"/>
    </row>
    <row r="199" spans="2:39" ht="12" thickBot="1">
      <c r="B199" s="563" t="s">
        <v>562</v>
      </c>
      <c r="C199" s="564" t="s">
        <v>66</v>
      </c>
      <c r="D199" s="564" t="s">
        <v>55</v>
      </c>
      <c r="E199" s="564" t="s">
        <v>663</v>
      </c>
      <c r="F199" s="564" t="s">
        <v>666</v>
      </c>
      <c r="G199" s="565">
        <v>0.01</v>
      </c>
      <c r="H199" s="565">
        <v>3.114E-3</v>
      </c>
      <c r="I199" s="566">
        <v>0.4</v>
      </c>
      <c r="J199" s="567">
        <v>59</v>
      </c>
      <c r="K199" s="275"/>
      <c r="L199" s="275"/>
      <c r="M199" s="489" t="str">
        <f ca="1">IF('CDO Bespoke'!O200&lt;&gt;"",'CDO Bespoke'!O200,"")</f>
        <v/>
      </c>
      <c r="N199" s="490" t="str">
        <f ca="1">IF(M199&lt;&gt;"",ABS(MIN(-0.75*('CDO Bespoke'!Q200)+'CDO Bespoke'!T200,0)),"")</f>
        <v/>
      </c>
      <c r="O199" s="490" t="str">
        <f t="shared" ca="1" si="8"/>
        <v/>
      </c>
      <c r="P199" s="490" t="str">
        <f t="shared" ca="1" si="9"/>
        <v/>
      </c>
      <c r="Q199" s="489" t="str">
        <f ca="1">IF('CDO Bespoke'!O200&lt;&gt;"",'CDO Bespoke'!O200,"")</f>
        <v/>
      </c>
      <c r="R199" s="490" t="str">
        <f ca="1">IF(Q199&lt;&gt;"",ABS(MIN(-0.75*('CDO Bespoke'!K200)+'CDO Bespoke'!T200,0)),"")</f>
        <v/>
      </c>
      <c r="S199" s="490" t="str">
        <f t="shared" ca="1" si="10"/>
        <v/>
      </c>
      <c r="T199" s="494" t="str">
        <f t="shared" ca="1" si="11"/>
        <v/>
      </c>
      <c r="U199" s="275"/>
      <c r="V199" s="499" t="str">
        <f ca="1">IF('CDO Bespoke'!C224&lt;&gt;"",'CDO Bespoke'!C224,"")</f>
        <v/>
      </c>
      <c r="W199" s="501" t="str" cm="1">
        <f t="array" aca="1" ref="W199" ca="1">IF($V199&lt;&gt;"",-TRANSPOSE(INDEX(getcds('CDO Bespoke'!$C224,W$13,'CDO Bespoke'!$G224/10000,'CDO Bespoke'!F224,'CDO Bespoke'!$L200,'CDO Bespoke'!$C$13,'CDO Bespoke'!$C$14,'CDO Bespoke'!$C$15,'CDO Bespoke'!$C$8,,,TRUE,TRUE,FALSE,'CDO Bespoke'!$C$29:'CDO Bespoke'!$C$31,'CDO Bespoke'!$C$33),{5})),"")</f>
        <v/>
      </c>
      <c r="X199" s="527" t="str" cm="1">
        <f t="array" aca="1" ref="X199" ca="1">IF($V199&lt;&gt;"",-TRANSPOSE(INDEX(getcds('CDO Bespoke'!$C224,X$13,'CDO Bespoke'!$G224/10000,'CDO Bespoke'!G224,'CDO Bespoke'!$L200,'CDO Bespoke'!$C$13,'CDO Bespoke'!$C$14,'CDO Bespoke'!$C$15,'CDO Bespoke'!$C$8,,,TRUE,TRUE,FALSE,'CDO Bespoke'!$C$29:'CDO Bespoke'!$C$31,'CDO Bespoke'!$C$33),{5})),"")</f>
        <v/>
      </c>
      <c r="Y199" s="527" t="str" cm="1">
        <f t="array" aca="1" ref="Y199" ca="1">IF($V199&lt;&gt;"",-TRANSPOSE(INDEX(getcds('CDO Bespoke'!$C224,Y$13,'CDO Bespoke'!$G224/10000,'CDO Bespoke'!H224,'CDO Bespoke'!$L200,'CDO Bespoke'!$C$13,'CDO Bespoke'!$C$14,'CDO Bespoke'!$C$15,'CDO Bespoke'!$C$8,,,TRUE,TRUE,FALSE,'CDO Bespoke'!$C$29:'CDO Bespoke'!$C$31,'CDO Bespoke'!$C$33),{5})),"")</f>
        <v/>
      </c>
      <c r="Z199" s="527" t="str" cm="1">
        <f t="array" aca="1" ref="Z199" ca="1">IF($V199&lt;&gt;"",-TRANSPOSE(INDEX(getcds('CDO Bespoke'!$C224,Z$13,'CDO Bespoke'!$G224/10000,'CDO Bespoke'!I224,'CDO Bespoke'!$L200,'CDO Bespoke'!$C$13,'CDO Bespoke'!$C$14,'CDO Bespoke'!$C$15,'CDO Bespoke'!$C$8,,,TRUE,TRUE,FALSE,'CDO Bespoke'!$C$29:'CDO Bespoke'!$C$31,'CDO Bespoke'!$C$33),{5})),"")</f>
        <v/>
      </c>
      <c r="AA199" s="502" t="str" cm="1">
        <f t="array" aca="1" ref="AA199" ca="1">IF($V199&lt;&gt;"",-TRANSPOSE(INDEX(getcds('CDO Bespoke'!$C224,AA$13,'CDO Bespoke'!$G224/10000,'CDO Bespoke'!J224,'CDO Bespoke'!$L200,'CDO Bespoke'!$C$13,'CDO Bespoke'!$C$14,'CDO Bespoke'!$C$15,'CDO Bespoke'!$C$8,,,TRUE,TRUE,FALSE,'CDO Bespoke'!$C$29:'CDO Bespoke'!$C$31,'CDO Bespoke'!$C$33),{5})),"")</f>
        <v/>
      </c>
      <c r="AB199" s="481"/>
      <c r="AC199" s="517"/>
      <c r="AD199" s="518"/>
      <c r="AE199" s="518"/>
      <c r="AF199" s="518"/>
      <c r="AG199" s="518"/>
      <c r="AH199" s="518"/>
      <c r="AI199" s="518"/>
      <c r="AJ199" s="518"/>
      <c r="AK199" s="518"/>
      <c r="AL199" s="519"/>
      <c r="AM199" s="540"/>
    </row>
    <row r="200" spans="2:39" ht="12" thickBot="1">
      <c r="B200" s="541" t="s">
        <v>562</v>
      </c>
      <c r="C200" s="542" t="s">
        <v>66</v>
      </c>
      <c r="D200" s="542" t="s">
        <v>57</v>
      </c>
      <c r="E200" s="542" t="s">
        <v>663</v>
      </c>
      <c r="F200" s="542" t="s">
        <v>666</v>
      </c>
      <c r="G200" s="549">
        <v>0.01</v>
      </c>
      <c r="H200" s="549">
        <v>5.1929999999999997E-3</v>
      </c>
      <c r="I200" s="551">
        <v>0.4</v>
      </c>
      <c r="J200" s="543">
        <v>59</v>
      </c>
      <c r="K200" s="275"/>
      <c r="L200" s="275"/>
      <c r="M200" s="489" t="str">
        <f ca="1">IF('CDO Bespoke'!O201&lt;&gt;"",'CDO Bespoke'!O201,"")</f>
        <v/>
      </c>
      <c r="N200" s="490" t="str">
        <f ca="1">IF(M200&lt;&gt;"",ABS(MIN(-0.75*('CDO Bespoke'!Q201)+'CDO Bespoke'!T201,0)),"")</f>
        <v/>
      </c>
      <c r="O200" s="490" t="str">
        <f t="shared" ca="1" si="8"/>
        <v/>
      </c>
      <c r="P200" s="490" t="str">
        <f t="shared" ca="1" si="9"/>
        <v/>
      </c>
      <c r="Q200" s="489" t="str">
        <f ca="1">IF('CDO Bespoke'!O201&lt;&gt;"",'CDO Bespoke'!O201,"")</f>
        <v/>
      </c>
      <c r="R200" s="490" t="str">
        <f ca="1">IF(Q200&lt;&gt;"",ABS(MIN(-0.75*('CDO Bespoke'!K201)+'CDO Bespoke'!T201,0)),"")</f>
        <v/>
      </c>
      <c r="S200" s="490" t="str">
        <f t="shared" ca="1" si="10"/>
        <v/>
      </c>
      <c r="T200" s="494" t="str">
        <f t="shared" ca="1" si="11"/>
        <v/>
      </c>
      <c r="U200" s="275"/>
      <c r="V200" s="499" t="str">
        <f ca="1">IF('CDO Bespoke'!C225&lt;&gt;"",'CDO Bespoke'!C225,"")</f>
        <v/>
      </c>
      <c r="W200" s="501" t="str" cm="1">
        <f t="array" aca="1" ref="W200" ca="1">IF($V200&lt;&gt;"",-TRANSPOSE(INDEX(getcds('CDO Bespoke'!$C225,W$13,'CDO Bespoke'!$G225/10000,'CDO Bespoke'!F225,'CDO Bespoke'!$L201,'CDO Bespoke'!$C$13,'CDO Bespoke'!$C$14,'CDO Bespoke'!$C$15,'CDO Bespoke'!$C$8,,,TRUE,TRUE,FALSE,'CDO Bespoke'!$C$29:'CDO Bespoke'!$C$31,'CDO Bespoke'!$C$33),{5})),"")</f>
        <v/>
      </c>
      <c r="X200" s="527" t="str" cm="1">
        <f t="array" aca="1" ref="X200" ca="1">IF($V200&lt;&gt;"",-TRANSPOSE(INDEX(getcds('CDO Bespoke'!$C225,X$13,'CDO Bespoke'!$G225/10000,'CDO Bespoke'!G225,'CDO Bespoke'!$L201,'CDO Bespoke'!$C$13,'CDO Bespoke'!$C$14,'CDO Bespoke'!$C$15,'CDO Bespoke'!$C$8,,,TRUE,TRUE,FALSE,'CDO Bespoke'!$C$29:'CDO Bespoke'!$C$31,'CDO Bespoke'!$C$33),{5})),"")</f>
        <v/>
      </c>
      <c r="Y200" s="527" t="str" cm="1">
        <f t="array" aca="1" ref="Y200" ca="1">IF($V200&lt;&gt;"",-TRANSPOSE(INDEX(getcds('CDO Bespoke'!$C225,Y$13,'CDO Bespoke'!$G225/10000,'CDO Bespoke'!H225,'CDO Bespoke'!$L201,'CDO Bespoke'!$C$13,'CDO Bespoke'!$C$14,'CDO Bespoke'!$C$15,'CDO Bespoke'!$C$8,,,TRUE,TRUE,FALSE,'CDO Bespoke'!$C$29:'CDO Bespoke'!$C$31,'CDO Bespoke'!$C$33),{5})),"")</f>
        <v/>
      </c>
      <c r="Z200" s="527" t="str" cm="1">
        <f t="array" aca="1" ref="Z200" ca="1">IF($V200&lt;&gt;"",-TRANSPOSE(INDEX(getcds('CDO Bespoke'!$C225,Z$13,'CDO Bespoke'!$G225/10000,'CDO Bespoke'!I225,'CDO Bespoke'!$L201,'CDO Bespoke'!$C$13,'CDO Bespoke'!$C$14,'CDO Bespoke'!$C$15,'CDO Bespoke'!$C$8,,,TRUE,TRUE,FALSE,'CDO Bespoke'!$C$29:'CDO Bespoke'!$C$31,'CDO Bespoke'!$C$33),{5})),"")</f>
        <v/>
      </c>
      <c r="AA200" s="502" t="str" cm="1">
        <f t="array" aca="1" ref="AA200" ca="1">IF($V200&lt;&gt;"",-TRANSPOSE(INDEX(getcds('CDO Bespoke'!$C225,AA$13,'CDO Bespoke'!$G225/10000,'CDO Bespoke'!J225,'CDO Bespoke'!$L201,'CDO Bespoke'!$C$13,'CDO Bespoke'!$C$14,'CDO Bespoke'!$C$15,'CDO Bespoke'!$C$8,,,TRUE,TRUE,FALSE,'CDO Bespoke'!$C$29:'CDO Bespoke'!$C$31,'CDO Bespoke'!$C$33),{5})),"")</f>
        <v/>
      </c>
      <c r="AB200" s="481"/>
      <c r="AC200" s="517"/>
      <c r="AD200" s="518"/>
      <c r="AE200" s="518"/>
      <c r="AF200" s="518"/>
      <c r="AG200" s="518"/>
      <c r="AH200" s="518"/>
      <c r="AI200" s="518"/>
      <c r="AJ200" s="518"/>
      <c r="AK200" s="518"/>
      <c r="AL200" s="519"/>
      <c r="AM200" s="540"/>
    </row>
    <row r="201" spans="2:39" ht="12" thickBot="1">
      <c r="B201" s="558" t="s">
        <v>562</v>
      </c>
      <c r="C201" s="559" t="s">
        <v>66</v>
      </c>
      <c r="D201" s="559" t="s">
        <v>59</v>
      </c>
      <c r="E201" s="559" t="s">
        <v>663</v>
      </c>
      <c r="F201" s="559" t="s">
        <v>666</v>
      </c>
      <c r="G201" s="560">
        <v>0.01</v>
      </c>
      <c r="H201" s="560">
        <v>7.737E-3</v>
      </c>
      <c r="I201" s="561">
        <v>0.4</v>
      </c>
      <c r="J201" s="562">
        <v>59</v>
      </c>
      <c r="K201" s="275"/>
      <c r="L201" s="275"/>
      <c r="M201" s="489" t="str">
        <f ca="1">IF('CDO Bespoke'!O202&lt;&gt;"",'CDO Bespoke'!O202,"")</f>
        <v/>
      </c>
      <c r="N201" s="490" t="str">
        <f ca="1">IF(M201&lt;&gt;"",ABS(MIN(-0.75*('CDO Bespoke'!Q202)+'CDO Bespoke'!T202,0)),"")</f>
        <v/>
      </c>
      <c r="O201" s="490" t="str">
        <f t="shared" ca="1" si="8"/>
        <v/>
      </c>
      <c r="P201" s="490" t="str">
        <f t="shared" ca="1" si="9"/>
        <v/>
      </c>
      <c r="Q201" s="489" t="str">
        <f ca="1">IF('CDO Bespoke'!O202&lt;&gt;"",'CDO Bespoke'!O202,"")</f>
        <v/>
      </c>
      <c r="R201" s="490" t="str">
        <f ca="1">IF(Q201&lt;&gt;"",ABS(MIN(-0.75*('CDO Bespoke'!K202)+'CDO Bespoke'!T202,0)),"")</f>
        <v/>
      </c>
      <c r="S201" s="490" t="str">
        <f t="shared" ca="1" si="10"/>
        <v/>
      </c>
      <c r="T201" s="494" t="str">
        <f t="shared" ca="1" si="11"/>
        <v/>
      </c>
      <c r="U201" s="275"/>
      <c r="V201" s="499" t="str">
        <f ca="1">IF('CDO Bespoke'!C226&lt;&gt;"",'CDO Bespoke'!C226,"")</f>
        <v/>
      </c>
      <c r="W201" s="501" t="str" cm="1">
        <f t="array" aca="1" ref="W201" ca="1">IF($V201&lt;&gt;"",-TRANSPOSE(INDEX(getcds('CDO Bespoke'!$C226,W$13,'CDO Bespoke'!$G226/10000,'CDO Bespoke'!F226,'CDO Bespoke'!$L202,'CDO Bespoke'!$C$13,'CDO Bespoke'!$C$14,'CDO Bespoke'!$C$15,'CDO Bespoke'!$C$8,,,TRUE,TRUE,FALSE,'CDO Bespoke'!$C$29:'CDO Bespoke'!$C$31,'CDO Bespoke'!$C$33),{5})),"")</f>
        <v/>
      </c>
      <c r="X201" s="527" t="str" cm="1">
        <f t="array" aca="1" ref="X201" ca="1">IF($V201&lt;&gt;"",-TRANSPOSE(INDEX(getcds('CDO Bespoke'!$C226,X$13,'CDO Bespoke'!$G226/10000,'CDO Bespoke'!G226,'CDO Bespoke'!$L202,'CDO Bespoke'!$C$13,'CDO Bespoke'!$C$14,'CDO Bespoke'!$C$15,'CDO Bespoke'!$C$8,,,TRUE,TRUE,FALSE,'CDO Bespoke'!$C$29:'CDO Bespoke'!$C$31,'CDO Bespoke'!$C$33),{5})),"")</f>
        <v/>
      </c>
      <c r="Y201" s="527" t="str" cm="1">
        <f t="array" aca="1" ref="Y201" ca="1">IF($V201&lt;&gt;"",-TRANSPOSE(INDEX(getcds('CDO Bespoke'!$C226,Y$13,'CDO Bespoke'!$G226/10000,'CDO Bespoke'!H226,'CDO Bespoke'!$L202,'CDO Bespoke'!$C$13,'CDO Bespoke'!$C$14,'CDO Bespoke'!$C$15,'CDO Bespoke'!$C$8,,,TRUE,TRUE,FALSE,'CDO Bespoke'!$C$29:'CDO Bespoke'!$C$31,'CDO Bespoke'!$C$33),{5})),"")</f>
        <v/>
      </c>
      <c r="Z201" s="527" t="str" cm="1">
        <f t="array" aca="1" ref="Z201" ca="1">IF($V201&lt;&gt;"",-TRANSPOSE(INDEX(getcds('CDO Bespoke'!$C226,Z$13,'CDO Bespoke'!$G226/10000,'CDO Bespoke'!I226,'CDO Bespoke'!$L202,'CDO Bespoke'!$C$13,'CDO Bespoke'!$C$14,'CDO Bespoke'!$C$15,'CDO Bespoke'!$C$8,,,TRUE,TRUE,FALSE,'CDO Bespoke'!$C$29:'CDO Bespoke'!$C$31,'CDO Bespoke'!$C$33),{5})),"")</f>
        <v/>
      </c>
      <c r="AA201" s="502" t="str" cm="1">
        <f t="array" aca="1" ref="AA201" ca="1">IF($V201&lt;&gt;"",-TRANSPOSE(INDEX(getcds('CDO Bespoke'!$C226,AA$13,'CDO Bespoke'!$G226/10000,'CDO Bespoke'!J226,'CDO Bespoke'!$L202,'CDO Bespoke'!$C$13,'CDO Bespoke'!$C$14,'CDO Bespoke'!$C$15,'CDO Bespoke'!$C$8,,,TRUE,TRUE,FALSE,'CDO Bespoke'!$C$29:'CDO Bespoke'!$C$31,'CDO Bespoke'!$C$33),{5})),"")</f>
        <v/>
      </c>
      <c r="AB201" s="481"/>
      <c r="AC201" s="517"/>
      <c r="AD201" s="518"/>
      <c r="AE201" s="518"/>
      <c r="AF201" s="518"/>
      <c r="AG201" s="518"/>
      <c r="AH201" s="518"/>
      <c r="AI201" s="518"/>
      <c r="AJ201" s="518"/>
      <c r="AK201" s="518"/>
      <c r="AL201" s="519"/>
      <c r="AM201" s="540"/>
    </row>
    <row r="202" spans="2:39" ht="12" thickBot="1">
      <c r="B202" s="563" t="s">
        <v>563</v>
      </c>
      <c r="C202" s="564" t="s">
        <v>66</v>
      </c>
      <c r="D202" s="564" t="s">
        <v>55</v>
      </c>
      <c r="E202" s="564" t="s">
        <v>661</v>
      </c>
      <c r="F202" s="564" t="s">
        <v>666</v>
      </c>
      <c r="G202" s="565">
        <v>0.01</v>
      </c>
      <c r="H202" s="565">
        <v>1.8439999999999999E-3</v>
      </c>
      <c r="I202" s="566">
        <v>0.4</v>
      </c>
      <c r="J202" s="567">
        <v>60</v>
      </c>
      <c r="K202" s="275"/>
      <c r="L202" s="275"/>
      <c r="M202" s="489" t="str">
        <f ca="1">IF('CDO Bespoke'!O203&lt;&gt;"",'CDO Bespoke'!O203,"")</f>
        <v/>
      </c>
      <c r="N202" s="490" t="str">
        <f ca="1">IF(M202&lt;&gt;"",ABS(MIN(-0.75*('CDO Bespoke'!Q203)+'CDO Bespoke'!T203,0)),"")</f>
        <v/>
      </c>
      <c r="O202" s="490" t="str">
        <f t="shared" ca="1" si="8"/>
        <v/>
      </c>
      <c r="P202" s="490" t="str">
        <f t="shared" ca="1" si="9"/>
        <v/>
      </c>
      <c r="Q202" s="489" t="str">
        <f ca="1">IF('CDO Bespoke'!O203&lt;&gt;"",'CDO Bespoke'!O203,"")</f>
        <v/>
      </c>
      <c r="R202" s="490" t="str">
        <f ca="1">IF(Q202&lt;&gt;"",ABS(MIN(-0.75*('CDO Bespoke'!K203)+'CDO Bespoke'!T203,0)),"")</f>
        <v/>
      </c>
      <c r="S202" s="490" t="str">
        <f t="shared" ca="1" si="10"/>
        <v/>
      </c>
      <c r="T202" s="494" t="str">
        <f t="shared" ca="1" si="11"/>
        <v/>
      </c>
      <c r="U202" s="275"/>
      <c r="V202" s="499" t="str">
        <f ca="1">IF('CDO Bespoke'!C227&lt;&gt;"",'CDO Bespoke'!C227,"")</f>
        <v/>
      </c>
      <c r="W202" s="501" t="str" cm="1">
        <f t="array" aca="1" ref="W202" ca="1">IF($V202&lt;&gt;"",-TRANSPOSE(INDEX(getcds('CDO Bespoke'!$C227,W$13,'CDO Bespoke'!$G227/10000,'CDO Bespoke'!F227,'CDO Bespoke'!$L203,'CDO Bespoke'!$C$13,'CDO Bespoke'!$C$14,'CDO Bespoke'!$C$15,'CDO Bespoke'!$C$8,,,TRUE,TRUE,FALSE,'CDO Bespoke'!$C$29:'CDO Bespoke'!$C$31,'CDO Bespoke'!$C$33),{5})),"")</f>
        <v/>
      </c>
      <c r="X202" s="527" t="str" cm="1">
        <f t="array" aca="1" ref="X202" ca="1">IF($V202&lt;&gt;"",-TRANSPOSE(INDEX(getcds('CDO Bespoke'!$C227,X$13,'CDO Bespoke'!$G227/10000,'CDO Bespoke'!G227,'CDO Bespoke'!$L203,'CDO Bespoke'!$C$13,'CDO Bespoke'!$C$14,'CDO Bespoke'!$C$15,'CDO Bespoke'!$C$8,,,TRUE,TRUE,FALSE,'CDO Bespoke'!$C$29:'CDO Bespoke'!$C$31,'CDO Bespoke'!$C$33),{5})),"")</f>
        <v/>
      </c>
      <c r="Y202" s="527" t="str" cm="1">
        <f t="array" aca="1" ref="Y202" ca="1">IF($V202&lt;&gt;"",-TRANSPOSE(INDEX(getcds('CDO Bespoke'!$C227,Y$13,'CDO Bespoke'!$G227/10000,'CDO Bespoke'!H227,'CDO Bespoke'!$L203,'CDO Bespoke'!$C$13,'CDO Bespoke'!$C$14,'CDO Bespoke'!$C$15,'CDO Bespoke'!$C$8,,,TRUE,TRUE,FALSE,'CDO Bespoke'!$C$29:'CDO Bespoke'!$C$31,'CDO Bespoke'!$C$33),{5})),"")</f>
        <v/>
      </c>
      <c r="Z202" s="527" t="str" cm="1">
        <f t="array" aca="1" ref="Z202" ca="1">IF($V202&lt;&gt;"",-TRANSPOSE(INDEX(getcds('CDO Bespoke'!$C227,Z$13,'CDO Bespoke'!$G227/10000,'CDO Bespoke'!I227,'CDO Bespoke'!$L203,'CDO Bespoke'!$C$13,'CDO Bespoke'!$C$14,'CDO Bespoke'!$C$15,'CDO Bespoke'!$C$8,,,TRUE,TRUE,FALSE,'CDO Bespoke'!$C$29:'CDO Bespoke'!$C$31,'CDO Bespoke'!$C$33),{5})),"")</f>
        <v/>
      </c>
      <c r="AA202" s="502" t="str" cm="1">
        <f t="array" aca="1" ref="AA202" ca="1">IF($V202&lt;&gt;"",-TRANSPOSE(INDEX(getcds('CDO Bespoke'!$C227,AA$13,'CDO Bespoke'!$G227/10000,'CDO Bespoke'!J227,'CDO Bespoke'!$L203,'CDO Bespoke'!$C$13,'CDO Bespoke'!$C$14,'CDO Bespoke'!$C$15,'CDO Bespoke'!$C$8,,,TRUE,TRUE,FALSE,'CDO Bespoke'!$C$29:'CDO Bespoke'!$C$31,'CDO Bespoke'!$C$33),{5})),"")</f>
        <v/>
      </c>
      <c r="AB202" s="481"/>
      <c r="AC202" s="517"/>
      <c r="AD202" s="518"/>
      <c r="AE202" s="518"/>
      <c r="AF202" s="518"/>
      <c r="AG202" s="518"/>
      <c r="AH202" s="518"/>
      <c r="AI202" s="518"/>
      <c r="AJ202" s="518"/>
      <c r="AK202" s="518"/>
      <c r="AL202" s="519"/>
      <c r="AM202" s="540"/>
    </row>
    <row r="203" spans="2:39" ht="12" thickBot="1">
      <c r="B203" s="541" t="s">
        <v>563</v>
      </c>
      <c r="C203" s="542" t="s">
        <v>66</v>
      </c>
      <c r="D203" s="542" t="s">
        <v>57</v>
      </c>
      <c r="E203" s="542" t="s">
        <v>661</v>
      </c>
      <c r="F203" s="542" t="s">
        <v>666</v>
      </c>
      <c r="G203" s="549">
        <v>0.01</v>
      </c>
      <c r="H203" s="549">
        <v>2.6050000000000001E-3</v>
      </c>
      <c r="I203" s="551">
        <v>0.4</v>
      </c>
      <c r="J203" s="543">
        <v>60</v>
      </c>
      <c r="K203" s="275"/>
      <c r="L203" s="275"/>
      <c r="M203" s="489" t="str">
        <f ca="1">IF('CDO Bespoke'!O204&lt;&gt;"",'CDO Bespoke'!O204,"")</f>
        <v/>
      </c>
      <c r="N203" s="490" t="str">
        <f ca="1">IF(M203&lt;&gt;"",ABS(MIN(-0.75*('CDO Bespoke'!Q204)+'CDO Bespoke'!T204,0)),"")</f>
        <v/>
      </c>
      <c r="O203" s="490" t="str">
        <f t="shared" ca="1" si="8"/>
        <v/>
      </c>
      <c r="P203" s="490" t="str">
        <f t="shared" ca="1" si="9"/>
        <v/>
      </c>
      <c r="Q203" s="489" t="str">
        <f ca="1">IF('CDO Bespoke'!O204&lt;&gt;"",'CDO Bespoke'!O204,"")</f>
        <v/>
      </c>
      <c r="R203" s="490" t="str">
        <f ca="1">IF(Q203&lt;&gt;"",ABS(MIN(-0.75*('CDO Bespoke'!K204)+'CDO Bespoke'!T204,0)),"")</f>
        <v/>
      </c>
      <c r="S203" s="490" t="str">
        <f t="shared" ca="1" si="10"/>
        <v/>
      </c>
      <c r="T203" s="494" t="str">
        <f t="shared" ca="1" si="11"/>
        <v/>
      </c>
      <c r="U203" s="275"/>
      <c r="V203" s="499" t="str">
        <f ca="1">IF('CDO Bespoke'!C228&lt;&gt;"",'CDO Bespoke'!C228,"")</f>
        <v/>
      </c>
      <c r="W203" s="501" t="str" cm="1">
        <f t="array" aca="1" ref="W203" ca="1">IF($V203&lt;&gt;"",-TRANSPOSE(INDEX(getcds('CDO Bespoke'!$C228,W$13,'CDO Bespoke'!$G228/10000,'CDO Bespoke'!F228,'CDO Bespoke'!$L204,'CDO Bespoke'!$C$13,'CDO Bespoke'!$C$14,'CDO Bespoke'!$C$15,'CDO Bespoke'!$C$8,,,TRUE,TRUE,FALSE,'CDO Bespoke'!$C$29:'CDO Bespoke'!$C$31,'CDO Bespoke'!$C$33),{5})),"")</f>
        <v/>
      </c>
      <c r="X203" s="527" t="str" cm="1">
        <f t="array" aca="1" ref="X203" ca="1">IF($V203&lt;&gt;"",-TRANSPOSE(INDEX(getcds('CDO Bespoke'!$C228,X$13,'CDO Bespoke'!$G228/10000,'CDO Bespoke'!G228,'CDO Bespoke'!$L204,'CDO Bespoke'!$C$13,'CDO Bespoke'!$C$14,'CDO Bespoke'!$C$15,'CDO Bespoke'!$C$8,,,TRUE,TRUE,FALSE,'CDO Bespoke'!$C$29:'CDO Bespoke'!$C$31,'CDO Bespoke'!$C$33),{5})),"")</f>
        <v/>
      </c>
      <c r="Y203" s="527" t="str" cm="1">
        <f t="array" aca="1" ref="Y203" ca="1">IF($V203&lt;&gt;"",-TRANSPOSE(INDEX(getcds('CDO Bespoke'!$C228,Y$13,'CDO Bespoke'!$G228/10000,'CDO Bespoke'!H228,'CDO Bespoke'!$L204,'CDO Bespoke'!$C$13,'CDO Bespoke'!$C$14,'CDO Bespoke'!$C$15,'CDO Bespoke'!$C$8,,,TRUE,TRUE,FALSE,'CDO Bespoke'!$C$29:'CDO Bespoke'!$C$31,'CDO Bespoke'!$C$33),{5})),"")</f>
        <v/>
      </c>
      <c r="Z203" s="527" t="str" cm="1">
        <f t="array" aca="1" ref="Z203" ca="1">IF($V203&lt;&gt;"",-TRANSPOSE(INDEX(getcds('CDO Bespoke'!$C228,Z$13,'CDO Bespoke'!$G228/10000,'CDO Bespoke'!I228,'CDO Bespoke'!$L204,'CDO Bespoke'!$C$13,'CDO Bespoke'!$C$14,'CDO Bespoke'!$C$15,'CDO Bespoke'!$C$8,,,TRUE,TRUE,FALSE,'CDO Bespoke'!$C$29:'CDO Bespoke'!$C$31,'CDO Bespoke'!$C$33),{5})),"")</f>
        <v/>
      </c>
      <c r="AA203" s="502" t="str" cm="1">
        <f t="array" aca="1" ref="AA203" ca="1">IF($V203&lt;&gt;"",-TRANSPOSE(INDEX(getcds('CDO Bespoke'!$C228,AA$13,'CDO Bespoke'!$G228/10000,'CDO Bespoke'!J228,'CDO Bespoke'!$L204,'CDO Bespoke'!$C$13,'CDO Bespoke'!$C$14,'CDO Bespoke'!$C$15,'CDO Bespoke'!$C$8,,,TRUE,TRUE,FALSE,'CDO Bespoke'!$C$29:'CDO Bespoke'!$C$31,'CDO Bespoke'!$C$33),{5})),"")</f>
        <v/>
      </c>
      <c r="AB203" s="481"/>
      <c r="AC203" s="517"/>
      <c r="AD203" s="518"/>
      <c r="AE203" s="518"/>
      <c r="AF203" s="518"/>
      <c r="AG203" s="518"/>
      <c r="AH203" s="518"/>
      <c r="AI203" s="518"/>
      <c r="AJ203" s="518"/>
      <c r="AK203" s="518"/>
      <c r="AL203" s="519"/>
      <c r="AM203" s="540"/>
    </row>
    <row r="204" spans="2:39" ht="12" thickBot="1">
      <c r="B204" s="558" t="s">
        <v>563</v>
      </c>
      <c r="C204" s="559" t="s">
        <v>66</v>
      </c>
      <c r="D204" s="559" t="s">
        <v>59</v>
      </c>
      <c r="E204" s="559" t="s">
        <v>661</v>
      </c>
      <c r="F204" s="559" t="s">
        <v>666</v>
      </c>
      <c r="G204" s="560">
        <v>0.01</v>
      </c>
      <c r="H204" s="560">
        <v>3.6050000000000001E-3</v>
      </c>
      <c r="I204" s="561">
        <v>0.4</v>
      </c>
      <c r="J204" s="562">
        <v>60</v>
      </c>
      <c r="K204" s="275"/>
      <c r="L204" s="275"/>
      <c r="M204" s="489" t="str">
        <f ca="1">IF('CDO Bespoke'!O205&lt;&gt;"",'CDO Bespoke'!O205,"")</f>
        <v/>
      </c>
      <c r="N204" s="490" t="str">
        <f ca="1">IF(M204&lt;&gt;"",ABS(MIN(-0.75*('CDO Bespoke'!Q205)+'CDO Bespoke'!T205,0)),"")</f>
        <v/>
      </c>
      <c r="O204" s="490" t="str">
        <f t="shared" ca="1" si="8"/>
        <v/>
      </c>
      <c r="P204" s="490" t="str">
        <f t="shared" ca="1" si="9"/>
        <v/>
      </c>
      <c r="Q204" s="489" t="str">
        <f ca="1">IF('CDO Bespoke'!O205&lt;&gt;"",'CDO Bespoke'!O205,"")</f>
        <v/>
      </c>
      <c r="R204" s="490" t="str">
        <f ca="1">IF(Q204&lt;&gt;"",ABS(MIN(-0.75*('CDO Bespoke'!K205)+'CDO Bespoke'!T205,0)),"")</f>
        <v/>
      </c>
      <c r="S204" s="490" t="str">
        <f t="shared" ca="1" si="10"/>
        <v/>
      </c>
      <c r="T204" s="494" t="str">
        <f t="shared" ca="1" si="11"/>
        <v/>
      </c>
      <c r="U204" s="275"/>
      <c r="V204" s="499" t="str">
        <f ca="1">IF('CDO Bespoke'!C229&lt;&gt;"",'CDO Bespoke'!C229,"")</f>
        <v/>
      </c>
      <c r="W204" s="501" t="str" cm="1">
        <f t="array" aca="1" ref="W204" ca="1">IF($V204&lt;&gt;"",-TRANSPOSE(INDEX(getcds('CDO Bespoke'!$C229,W$13,'CDO Bespoke'!$G229/10000,'CDO Bespoke'!F229,'CDO Bespoke'!$L205,'CDO Bespoke'!$C$13,'CDO Bespoke'!$C$14,'CDO Bespoke'!$C$15,'CDO Bespoke'!$C$8,,,TRUE,TRUE,FALSE,'CDO Bespoke'!$C$29:'CDO Bespoke'!$C$31,'CDO Bespoke'!$C$33),{5})),"")</f>
        <v/>
      </c>
      <c r="X204" s="527" t="str" cm="1">
        <f t="array" aca="1" ref="X204" ca="1">IF($V204&lt;&gt;"",-TRANSPOSE(INDEX(getcds('CDO Bespoke'!$C229,X$13,'CDO Bespoke'!$G229/10000,'CDO Bespoke'!G229,'CDO Bespoke'!$L205,'CDO Bespoke'!$C$13,'CDO Bespoke'!$C$14,'CDO Bespoke'!$C$15,'CDO Bespoke'!$C$8,,,TRUE,TRUE,FALSE,'CDO Bespoke'!$C$29:'CDO Bespoke'!$C$31,'CDO Bespoke'!$C$33),{5})),"")</f>
        <v/>
      </c>
      <c r="Y204" s="527" t="str" cm="1">
        <f t="array" aca="1" ref="Y204" ca="1">IF($V204&lt;&gt;"",-TRANSPOSE(INDEX(getcds('CDO Bespoke'!$C229,Y$13,'CDO Bespoke'!$G229/10000,'CDO Bespoke'!H229,'CDO Bespoke'!$L205,'CDO Bespoke'!$C$13,'CDO Bespoke'!$C$14,'CDO Bespoke'!$C$15,'CDO Bespoke'!$C$8,,,TRUE,TRUE,FALSE,'CDO Bespoke'!$C$29:'CDO Bespoke'!$C$31,'CDO Bespoke'!$C$33),{5})),"")</f>
        <v/>
      </c>
      <c r="Z204" s="527" t="str" cm="1">
        <f t="array" aca="1" ref="Z204" ca="1">IF($V204&lt;&gt;"",-TRANSPOSE(INDEX(getcds('CDO Bespoke'!$C229,Z$13,'CDO Bespoke'!$G229/10000,'CDO Bespoke'!I229,'CDO Bespoke'!$L205,'CDO Bespoke'!$C$13,'CDO Bespoke'!$C$14,'CDO Bespoke'!$C$15,'CDO Bespoke'!$C$8,,,TRUE,TRUE,FALSE,'CDO Bespoke'!$C$29:'CDO Bespoke'!$C$31,'CDO Bespoke'!$C$33),{5})),"")</f>
        <v/>
      </c>
      <c r="AA204" s="502" t="str" cm="1">
        <f t="array" aca="1" ref="AA204" ca="1">IF($V204&lt;&gt;"",-TRANSPOSE(INDEX(getcds('CDO Bespoke'!$C229,AA$13,'CDO Bespoke'!$G229/10000,'CDO Bespoke'!J229,'CDO Bespoke'!$L205,'CDO Bespoke'!$C$13,'CDO Bespoke'!$C$14,'CDO Bespoke'!$C$15,'CDO Bespoke'!$C$8,,,TRUE,TRUE,FALSE,'CDO Bespoke'!$C$29:'CDO Bespoke'!$C$31,'CDO Bespoke'!$C$33),{5})),"")</f>
        <v/>
      </c>
      <c r="AB204" s="481"/>
      <c r="AC204" s="517"/>
      <c r="AD204" s="518"/>
      <c r="AE204" s="518"/>
      <c r="AF204" s="518"/>
      <c r="AG204" s="518"/>
      <c r="AH204" s="518"/>
      <c r="AI204" s="518"/>
      <c r="AJ204" s="518"/>
      <c r="AK204" s="518"/>
      <c r="AL204" s="519"/>
      <c r="AM204" s="540"/>
    </row>
    <row r="205" spans="2:39" ht="12" thickBot="1">
      <c r="B205" s="563" t="s">
        <v>570</v>
      </c>
      <c r="C205" s="564" t="s">
        <v>66</v>
      </c>
      <c r="D205" s="564" t="s">
        <v>55</v>
      </c>
      <c r="E205" s="564" t="s">
        <v>661</v>
      </c>
      <c r="F205" s="564" t="s">
        <v>670</v>
      </c>
      <c r="G205" s="565">
        <v>0.01</v>
      </c>
      <c r="H205" s="565">
        <v>2.9399999999999999E-3</v>
      </c>
      <c r="I205" s="566">
        <v>0.4</v>
      </c>
      <c r="J205" s="567">
        <v>61</v>
      </c>
      <c r="K205" s="275"/>
      <c r="L205" s="275"/>
      <c r="M205" s="489" t="str">
        <f ca="1">IF('CDO Bespoke'!O206&lt;&gt;"",'CDO Bespoke'!O206,"")</f>
        <v/>
      </c>
      <c r="N205" s="490" t="str">
        <f ca="1">IF(M205&lt;&gt;"",ABS(MIN(-0.75*('CDO Bespoke'!Q206)+'CDO Bespoke'!T206,0)),"")</f>
        <v/>
      </c>
      <c r="O205" s="490" t="str">
        <f t="shared" ca="1" si="8"/>
        <v/>
      </c>
      <c r="P205" s="490" t="str">
        <f t="shared" ca="1" si="9"/>
        <v/>
      </c>
      <c r="Q205" s="489" t="str">
        <f ca="1">IF('CDO Bespoke'!O206&lt;&gt;"",'CDO Bespoke'!O206,"")</f>
        <v/>
      </c>
      <c r="R205" s="490" t="str">
        <f ca="1">IF(Q205&lt;&gt;"",ABS(MIN(-0.75*('CDO Bespoke'!K206)+'CDO Bespoke'!T206,0)),"")</f>
        <v/>
      </c>
      <c r="S205" s="490" t="str">
        <f t="shared" ca="1" si="10"/>
        <v/>
      </c>
      <c r="T205" s="494" t="str">
        <f t="shared" ca="1" si="11"/>
        <v/>
      </c>
      <c r="U205" s="275"/>
      <c r="V205" s="499" t="str">
        <f ca="1">IF('CDO Bespoke'!C230&lt;&gt;"",'CDO Bespoke'!C230,"")</f>
        <v/>
      </c>
      <c r="W205" s="501" t="str" cm="1">
        <f t="array" aca="1" ref="W205" ca="1">IF($V205&lt;&gt;"",-TRANSPOSE(INDEX(getcds('CDO Bespoke'!$C230,W$13,'CDO Bespoke'!$G230/10000,'CDO Bespoke'!F230,'CDO Bespoke'!$L206,'CDO Bespoke'!$C$13,'CDO Bespoke'!$C$14,'CDO Bespoke'!$C$15,'CDO Bespoke'!$C$8,,,TRUE,TRUE,FALSE,'CDO Bespoke'!$C$29:'CDO Bespoke'!$C$31,'CDO Bespoke'!$C$33),{5})),"")</f>
        <v/>
      </c>
      <c r="X205" s="527" t="str" cm="1">
        <f t="array" aca="1" ref="X205" ca="1">IF($V205&lt;&gt;"",-TRANSPOSE(INDEX(getcds('CDO Bespoke'!$C230,X$13,'CDO Bespoke'!$G230/10000,'CDO Bespoke'!G230,'CDO Bespoke'!$L206,'CDO Bespoke'!$C$13,'CDO Bespoke'!$C$14,'CDO Bespoke'!$C$15,'CDO Bespoke'!$C$8,,,TRUE,TRUE,FALSE,'CDO Bespoke'!$C$29:'CDO Bespoke'!$C$31,'CDO Bespoke'!$C$33),{5})),"")</f>
        <v/>
      </c>
      <c r="Y205" s="527" t="str" cm="1">
        <f t="array" aca="1" ref="Y205" ca="1">IF($V205&lt;&gt;"",-TRANSPOSE(INDEX(getcds('CDO Bespoke'!$C230,Y$13,'CDO Bespoke'!$G230/10000,'CDO Bespoke'!H230,'CDO Bespoke'!$L206,'CDO Bespoke'!$C$13,'CDO Bespoke'!$C$14,'CDO Bespoke'!$C$15,'CDO Bespoke'!$C$8,,,TRUE,TRUE,FALSE,'CDO Bespoke'!$C$29:'CDO Bespoke'!$C$31,'CDO Bespoke'!$C$33),{5})),"")</f>
        <v/>
      </c>
      <c r="Z205" s="527" t="str" cm="1">
        <f t="array" aca="1" ref="Z205" ca="1">IF($V205&lt;&gt;"",-TRANSPOSE(INDEX(getcds('CDO Bespoke'!$C230,Z$13,'CDO Bespoke'!$G230/10000,'CDO Bespoke'!I230,'CDO Bespoke'!$L206,'CDO Bespoke'!$C$13,'CDO Bespoke'!$C$14,'CDO Bespoke'!$C$15,'CDO Bespoke'!$C$8,,,TRUE,TRUE,FALSE,'CDO Bespoke'!$C$29:'CDO Bespoke'!$C$31,'CDO Bespoke'!$C$33),{5})),"")</f>
        <v/>
      </c>
      <c r="AA205" s="502" t="str" cm="1">
        <f t="array" aca="1" ref="AA205" ca="1">IF($V205&lt;&gt;"",-TRANSPOSE(INDEX(getcds('CDO Bespoke'!$C230,AA$13,'CDO Bespoke'!$G230/10000,'CDO Bespoke'!J230,'CDO Bespoke'!$L206,'CDO Bespoke'!$C$13,'CDO Bespoke'!$C$14,'CDO Bespoke'!$C$15,'CDO Bespoke'!$C$8,,,TRUE,TRUE,FALSE,'CDO Bespoke'!$C$29:'CDO Bespoke'!$C$31,'CDO Bespoke'!$C$33),{5})),"")</f>
        <v/>
      </c>
      <c r="AB205" s="481"/>
      <c r="AC205" s="517"/>
      <c r="AD205" s="518"/>
      <c r="AE205" s="518"/>
      <c r="AF205" s="518"/>
      <c r="AG205" s="518"/>
      <c r="AH205" s="518"/>
      <c r="AI205" s="518"/>
      <c r="AJ205" s="518"/>
      <c r="AK205" s="518"/>
      <c r="AL205" s="519"/>
      <c r="AM205" s="540"/>
    </row>
    <row r="206" spans="2:39" ht="12" thickBot="1">
      <c r="B206" s="541" t="s">
        <v>570</v>
      </c>
      <c r="C206" s="542" t="s">
        <v>66</v>
      </c>
      <c r="D206" s="542" t="s">
        <v>57</v>
      </c>
      <c r="E206" s="542" t="s">
        <v>661</v>
      </c>
      <c r="F206" s="542" t="s">
        <v>670</v>
      </c>
      <c r="G206" s="549">
        <v>0.01</v>
      </c>
      <c r="H206" s="549">
        <v>5.1380000000000002E-3</v>
      </c>
      <c r="I206" s="551">
        <v>0.4</v>
      </c>
      <c r="J206" s="543">
        <v>61</v>
      </c>
      <c r="K206" s="275"/>
      <c r="L206" s="275"/>
      <c r="M206" s="489" t="str">
        <f ca="1">IF('CDO Bespoke'!O207&lt;&gt;"",'CDO Bespoke'!O207,"")</f>
        <v/>
      </c>
      <c r="N206" s="490" t="str">
        <f ca="1">IF(M206&lt;&gt;"",ABS(MIN(-0.75*('CDO Bespoke'!Q207)+'CDO Bespoke'!T207,0)),"")</f>
        <v/>
      </c>
      <c r="O206" s="490" t="str">
        <f t="shared" ref="O206:O269" ca="1" si="12">IF(M206&lt;&gt;"",IF($N$8,MAX(M206-N206,0),M206),"")</f>
        <v/>
      </c>
      <c r="P206" s="490" t="str">
        <f t="shared" ref="P206:P269" ca="1" si="13">IF(M206&lt;&gt;"",IF($N$8,0,N206),"")</f>
        <v/>
      </c>
      <c r="Q206" s="489" t="str">
        <f ca="1">IF('CDO Bespoke'!O207&lt;&gt;"",'CDO Bespoke'!O207,"")</f>
        <v/>
      </c>
      <c r="R206" s="490" t="str">
        <f ca="1">IF(Q206&lt;&gt;"",ABS(MIN(-0.75*('CDO Bespoke'!K207)+'CDO Bespoke'!T207,0)),"")</f>
        <v/>
      </c>
      <c r="S206" s="490" t="str">
        <f t="shared" ref="S206:S269" ca="1" si="14">IF(Q206&lt;&gt;"",IF($N$8,MAX(Q206-R206,0),Q206),"")</f>
        <v/>
      </c>
      <c r="T206" s="494" t="str">
        <f t="shared" ref="T206:T269" ca="1" si="15">IF(Q206&lt;&gt;"",IF($N$8,0,R206),"")</f>
        <v/>
      </c>
      <c r="U206" s="275"/>
      <c r="V206" s="499" t="str">
        <f ca="1">IF('CDO Bespoke'!C231&lt;&gt;"",'CDO Bespoke'!C231,"")</f>
        <v/>
      </c>
      <c r="W206" s="501" t="str" cm="1">
        <f t="array" aca="1" ref="W206" ca="1">IF($V206&lt;&gt;"",-TRANSPOSE(INDEX(getcds('CDO Bespoke'!$C231,W$13,'CDO Bespoke'!$G231/10000,'CDO Bespoke'!F231,'CDO Bespoke'!$L207,'CDO Bespoke'!$C$13,'CDO Bespoke'!$C$14,'CDO Bespoke'!$C$15,'CDO Bespoke'!$C$8,,,TRUE,TRUE,FALSE,'CDO Bespoke'!$C$29:'CDO Bespoke'!$C$31,'CDO Bespoke'!$C$33),{5})),"")</f>
        <v/>
      </c>
      <c r="X206" s="527" t="str" cm="1">
        <f t="array" aca="1" ref="X206" ca="1">IF($V206&lt;&gt;"",-TRANSPOSE(INDEX(getcds('CDO Bespoke'!$C231,X$13,'CDO Bespoke'!$G231/10000,'CDO Bespoke'!G231,'CDO Bespoke'!$L207,'CDO Bespoke'!$C$13,'CDO Bespoke'!$C$14,'CDO Bespoke'!$C$15,'CDO Bespoke'!$C$8,,,TRUE,TRUE,FALSE,'CDO Bespoke'!$C$29:'CDO Bespoke'!$C$31,'CDO Bespoke'!$C$33),{5})),"")</f>
        <v/>
      </c>
      <c r="Y206" s="527" t="str" cm="1">
        <f t="array" aca="1" ref="Y206" ca="1">IF($V206&lt;&gt;"",-TRANSPOSE(INDEX(getcds('CDO Bespoke'!$C231,Y$13,'CDO Bespoke'!$G231/10000,'CDO Bespoke'!H231,'CDO Bespoke'!$L207,'CDO Bespoke'!$C$13,'CDO Bespoke'!$C$14,'CDO Bespoke'!$C$15,'CDO Bespoke'!$C$8,,,TRUE,TRUE,FALSE,'CDO Bespoke'!$C$29:'CDO Bespoke'!$C$31,'CDO Bespoke'!$C$33),{5})),"")</f>
        <v/>
      </c>
      <c r="Z206" s="527" t="str" cm="1">
        <f t="array" aca="1" ref="Z206" ca="1">IF($V206&lt;&gt;"",-TRANSPOSE(INDEX(getcds('CDO Bespoke'!$C231,Z$13,'CDO Bespoke'!$G231/10000,'CDO Bespoke'!I231,'CDO Bespoke'!$L207,'CDO Bespoke'!$C$13,'CDO Bespoke'!$C$14,'CDO Bespoke'!$C$15,'CDO Bespoke'!$C$8,,,TRUE,TRUE,FALSE,'CDO Bespoke'!$C$29:'CDO Bespoke'!$C$31,'CDO Bespoke'!$C$33),{5})),"")</f>
        <v/>
      </c>
      <c r="AA206" s="502" t="str" cm="1">
        <f t="array" aca="1" ref="AA206" ca="1">IF($V206&lt;&gt;"",-TRANSPOSE(INDEX(getcds('CDO Bespoke'!$C231,AA$13,'CDO Bespoke'!$G231/10000,'CDO Bespoke'!J231,'CDO Bespoke'!$L207,'CDO Bespoke'!$C$13,'CDO Bespoke'!$C$14,'CDO Bespoke'!$C$15,'CDO Bespoke'!$C$8,,,TRUE,TRUE,FALSE,'CDO Bespoke'!$C$29:'CDO Bespoke'!$C$31,'CDO Bespoke'!$C$33),{5})),"")</f>
        <v/>
      </c>
      <c r="AB206" s="481"/>
      <c r="AC206" s="517"/>
      <c r="AD206" s="518"/>
      <c r="AE206" s="518"/>
      <c r="AF206" s="518"/>
      <c r="AG206" s="518"/>
      <c r="AH206" s="518"/>
      <c r="AI206" s="518"/>
      <c r="AJ206" s="518"/>
      <c r="AK206" s="518"/>
      <c r="AL206" s="519"/>
      <c r="AM206" s="540"/>
    </row>
    <row r="207" spans="2:39" ht="12" thickBot="1">
      <c r="B207" s="558" t="s">
        <v>570</v>
      </c>
      <c r="C207" s="559" t="s">
        <v>66</v>
      </c>
      <c r="D207" s="559" t="s">
        <v>59</v>
      </c>
      <c r="E207" s="559" t="s">
        <v>661</v>
      </c>
      <c r="F207" s="559" t="s">
        <v>670</v>
      </c>
      <c r="G207" s="560">
        <v>0.01</v>
      </c>
      <c r="H207" s="560">
        <v>7.4939999999999998E-3</v>
      </c>
      <c r="I207" s="561">
        <v>0.4</v>
      </c>
      <c r="J207" s="562">
        <v>61</v>
      </c>
      <c r="K207" s="275"/>
      <c r="L207" s="275"/>
      <c r="M207" s="489" t="str">
        <f ca="1">IF('CDO Bespoke'!O208&lt;&gt;"",'CDO Bespoke'!O208,"")</f>
        <v/>
      </c>
      <c r="N207" s="490" t="str">
        <f ca="1">IF(M207&lt;&gt;"",ABS(MIN(-0.75*('CDO Bespoke'!Q208)+'CDO Bespoke'!T208,0)),"")</f>
        <v/>
      </c>
      <c r="O207" s="490" t="str">
        <f t="shared" ca="1" si="12"/>
        <v/>
      </c>
      <c r="P207" s="490" t="str">
        <f t="shared" ca="1" si="13"/>
        <v/>
      </c>
      <c r="Q207" s="489" t="str">
        <f ca="1">IF('CDO Bespoke'!O208&lt;&gt;"",'CDO Bespoke'!O208,"")</f>
        <v/>
      </c>
      <c r="R207" s="490" t="str">
        <f ca="1">IF(Q207&lt;&gt;"",ABS(MIN(-0.75*('CDO Bespoke'!K208)+'CDO Bespoke'!T208,0)),"")</f>
        <v/>
      </c>
      <c r="S207" s="490" t="str">
        <f t="shared" ca="1" si="14"/>
        <v/>
      </c>
      <c r="T207" s="494" t="str">
        <f t="shared" ca="1" si="15"/>
        <v/>
      </c>
      <c r="U207" s="275"/>
      <c r="V207" s="499" t="str">
        <f ca="1">IF('CDO Bespoke'!C232&lt;&gt;"",'CDO Bespoke'!C232,"")</f>
        <v/>
      </c>
      <c r="W207" s="501" t="str" cm="1">
        <f t="array" aca="1" ref="W207" ca="1">IF($V207&lt;&gt;"",-TRANSPOSE(INDEX(getcds('CDO Bespoke'!$C232,W$13,'CDO Bespoke'!$G232/10000,'CDO Bespoke'!F232,'CDO Bespoke'!$L208,'CDO Bespoke'!$C$13,'CDO Bespoke'!$C$14,'CDO Bespoke'!$C$15,'CDO Bespoke'!$C$8,,,TRUE,TRUE,FALSE,'CDO Bespoke'!$C$29:'CDO Bespoke'!$C$31,'CDO Bespoke'!$C$33),{5})),"")</f>
        <v/>
      </c>
      <c r="X207" s="527" t="str" cm="1">
        <f t="array" aca="1" ref="X207" ca="1">IF($V207&lt;&gt;"",-TRANSPOSE(INDEX(getcds('CDO Bespoke'!$C232,X$13,'CDO Bespoke'!$G232/10000,'CDO Bespoke'!G232,'CDO Bespoke'!$L208,'CDO Bespoke'!$C$13,'CDO Bespoke'!$C$14,'CDO Bespoke'!$C$15,'CDO Bespoke'!$C$8,,,TRUE,TRUE,FALSE,'CDO Bespoke'!$C$29:'CDO Bespoke'!$C$31,'CDO Bespoke'!$C$33),{5})),"")</f>
        <v/>
      </c>
      <c r="Y207" s="527" t="str" cm="1">
        <f t="array" aca="1" ref="Y207" ca="1">IF($V207&lt;&gt;"",-TRANSPOSE(INDEX(getcds('CDO Bespoke'!$C232,Y$13,'CDO Bespoke'!$G232/10000,'CDO Bespoke'!H232,'CDO Bespoke'!$L208,'CDO Bespoke'!$C$13,'CDO Bespoke'!$C$14,'CDO Bespoke'!$C$15,'CDO Bespoke'!$C$8,,,TRUE,TRUE,FALSE,'CDO Bespoke'!$C$29:'CDO Bespoke'!$C$31,'CDO Bespoke'!$C$33),{5})),"")</f>
        <v/>
      </c>
      <c r="Z207" s="527" t="str" cm="1">
        <f t="array" aca="1" ref="Z207" ca="1">IF($V207&lt;&gt;"",-TRANSPOSE(INDEX(getcds('CDO Bespoke'!$C232,Z$13,'CDO Bespoke'!$G232/10000,'CDO Bespoke'!I232,'CDO Bespoke'!$L208,'CDO Bespoke'!$C$13,'CDO Bespoke'!$C$14,'CDO Bespoke'!$C$15,'CDO Bespoke'!$C$8,,,TRUE,TRUE,FALSE,'CDO Bespoke'!$C$29:'CDO Bespoke'!$C$31,'CDO Bespoke'!$C$33),{5})),"")</f>
        <v/>
      </c>
      <c r="AA207" s="502" t="str" cm="1">
        <f t="array" aca="1" ref="AA207" ca="1">IF($V207&lt;&gt;"",-TRANSPOSE(INDEX(getcds('CDO Bespoke'!$C232,AA$13,'CDO Bespoke'!$G232/10000,'CDO Bespoke'!J232,'CDO Bespoke'!$L208,'CDO Bespoke'!$C$13,'CDO Bespoke'!$C$14,'CDO Bespoke'!$C$15,'CDO Bespoke'!$C$8,,,TRUE,TRUE,FALSE,'CDO Bespoke'!$C$29:'CDO Bespoke'!$C$31,'CDO Bespoke'!$C$33),{5})),"")</f>
        <v/>
      </c>
      <c r="AB207" s="481"/>
      <c r="AC207" s="517"/>
      <c r="AD207" s="518"/>
      <c r="AE207" s="518"/>
      <c r="AF207" s="518"/>
      <c r="AG207" s="518"/>
      <c r="AH207" s="518"/>
      <c r="AI207" s="518"/>
      <c r="AJ207" s="518"/>
      <c r="AK207" s="518"/>
      <c r="AL207" s="519"/>
      <c r="AM207" s="540"/>
    </row>
    <row r="208" spans="2:39" ht="12" thickBot="1">
      <c r="B208" s="563" t="s">
        <v>571</v>
      </c>
      <c r="C208" s="564" t="s">
        <v>66</v>
      </c>
      <c r="D208" s="564" t="s">
        <v>55</v>
      </c>
      <c r="E208" s="564" t="s">
        <v>663</v>
      </c>
      <c r="F208" s="564" t="s">
        <v>671</v>
      </c>
      <c r="G208" s="565">
        <v>0.01</v>
      </c>
      <c r="H208" s="565">
        <v>3.604E-3</v>
      </c>
      <c r="I208" s="566">
        <v>0.4</v>
      </c>
      <c r="J208" s="567">
        <v>62</v>
      </c>
      <c r="K208" s="275"/>
      <c r="L208" s="275"/>
      <c r="M208" s="489" t="str">
        <f ca="1">IF('CDO Bespoke'!O209&lt;&gt;"",'CDO Bespoke'!O209,"")</f>
        <v/>
      </c>
      <c r="N208" s="490" t="str">
        <f ca="1">IF(M208&lt;&gt;"",ABS(MIN(-0.75*('CDO Bespoke'!Q209)+'CDO Bespoke'!T209,0)),"")</f>
        <v/>
      </c>
      <c r="O208" s="490" t="str">
        <f t="shared" ca="1" si="12"/>
        <v/>
      </c>
      <c r="P208" s="490" t="str">
        <f t="shared" ca="1" si="13"/>
        <v/>
      </c>
      <c r="Q208" s="489" t="str">
        <f ca="1">IF('CDO Bespoke'!O209&lt;&gt;"",'CDO Bespoke'!O209,"")</f>
        <v/>
      </c>
      <c r="R208" s="490" t="str">
        <f ca="1">IF(Q208&lt;&gt;"",ABS(MIN(-0.75*('CDO Bespoke'!K209)+'CDO Bespoke'!T209,0)),"")</f>
        <v/>
      </c>
      <c r="S208" s="490" t="str">
        <f t="shared" ca="1" si="14"/>
        <v/>
      </c>
      <c r="T208" s="494" t="str">
        <f t="shared" ca="1" si="15"/>
        <v/>
      </c>
      <c r="U208" s="275"/>
      <c r="V208" s="499" t="str">
        <f ca="1">IF('CDO Bespoke'!C233&lt;&gt;"",'CDO Bespoke'!C233,"")</f>
        <v/>
      </c>
      <c r="W208" s="501" t="str" cm="1">
        <f t="array" aca="1" ref="W208" ca="1">IF($V208&lt;&gt;"",-TRANSPOSE(INDEX(getcds('CDO Bespoke'!$C233,W$13,'CDO Bespoke'!$G233/10000,'CDO Bespoke'!F233,'CDO Bespoke'!$L209,'CDO Bespoke'!$C$13,'CDO Bespoke'!$C$14,'CDO Bespoke'!$C$15,'CDO Bespoke'!$C$8,,,TRUE,TRUE,FALSE,'CDO Bespoke'!$C$29:'CDO Bespoke'!$C$31,'CDO Bespoke'!$C$33),{5})),"")</f>
        <v/>
      </c>
      <c r="X208" s="527" t="str" cm="1">
        <f t="array" aca="1" ref="X208" ca="1">IF($V208&lt;&gt;"",-TRANSPOSE(INDEX(getcds('CDO Bespoke'!$C233,X$13,'CDO Bespoke'!$G233/10000,'CDO Bespoke'!G233,'CDO Bespoke'!$L209,'CDO Bespoke'!$C$13,'CDO Bespoke'!$C$14,'CDO Bespoke'!$C$15,'CDO Bespoke'!$C$8,,,TRUE,TRUE,FALSE,'CDO Bespoke'!$C$29:'CDO Bespoke'!$C$31,'CDO Bespoke'!$C$33),{5})),"")</f>
        <v/>
      </c>
      <c r="Y208" s="527" t="str" cm="1">
        <f t="array" aca="1" ref="Y208" ca="1">IF($V208&lt;&gt;"",-TRANSPOSE(INDEX(getcds('CDO Bespoke'!$C233,Y$13,'CDO Bespoke'!$G233/10000,'CDO Bespoke'!H233,'CDO Bespoke'!$L209,'CDO Bespoke'!$C$13,'CDO Bespoke'!$C$14,'CDO Bespoke'!$C$15,'CDO Bespoke'!$C$8,,,TRUE,TRUE,FALSE,'CDO Bespoke'!$C$29:'CDO Bespoke'!$C$31,'CDO Bespoke'!$C$33),{5})),"")</f>
        <v/>
      </c>
      <c r="Z208" s="527" t="str" cm="1">
        <f t="array" aca="1" ref="Z208" ca="1">IF($V208&lt;&gt;"",-TRANSPOSE(INDEX(getcds('CDO Bespoke'!$C233,Z$13,'CDO Bespoke'!$G233/10000,'CDO Bespoke'!I233,'CDO Bespoke'!$L209,'CDO Bespoke'!$C$13,'CDO Bespoke'!$C$14,'CDO Bespoke'!$C$15,'CDO Bespoke'!$C$8,,,TRUE,TRUE,FALSE,'CDO Bespoke'!$C$29:'CDO Bespoke'!$C$31,'CDO Bespoke'!$C$33),{5})),"")</f>
        <v/>
      </c>
      <c r="AA208" s="502" t="str" cm="1">
        <f t="array" aca="1" ref="AA208" ca="1">IF($V208&lt;&gt;"",-TRANSPOSE(INDEX(getcds('CDO Bespoke'!$C233,AA$13,'CDO Bespoke'!$G233/10000,'CDO Bespoke'!J233,'CDO Bespoke'!$L209,'CDO Bespoke'!$C$13,'CDO Bespoke'!$C$14,'CDO Bespoke'!$C$15,'CDO Bespoke'!$C$8,,,TRUE,TRUE,FALSE,'CDO Bespoke'!$C$29:'CDO Bespoke'!$C$31,'CDO Bespoke'!$C$33),{5})),"")</f>
        <v/>
      </c>
      <c r="AB208" s="481"/>
      <c r="AC208" s="517"/>
      <c r="AD208" s="518"/>
      <c r="AE208" s="518"/>
      <c r="AF208" s="518"/>
      <c r="AG208" s="518"/>
      <c r="AH208" s="518"/>
      <c r="AI208" s="518"/>
      <c r="AJ208" s="518"/>
      <c r="AK208" s="518"/>
      <c r="AL208" s="519"/>
      <c r="AM208" s="540"/>
    </row>
    <row r="209" spans="2:39" ht="12" thickBot="1">
      <c r="B209" s="541" t="s">
        <v>571</v>
      </c>
      <c r="C209" s="542" t="s">
        <v>66</v>
      </c>
      <c r="D209" s="542" t="s">
        <v>57</v>
      </c>
      <c r="E209" s="542" t="s">
        <v>663</v>
      </c>
      <c r="F209" s="542" t="s">
        <v>671</v>
      </c>
      <c r="G209" s="549">
        <v>0.01</v>
      </c>
      <c r="H209" s="549">
        <v>6.306E-3</v>
      </c>
      <c r="I209" s="551">
        <v>0.4</v>
      </c>
      <c r="J209" s="543">
        <v>62</v>
      </c>
      <c r="K209" s="275"/>
      <c r="L209" s="275"/>
      <c r="M209" s="489" t="str">
        <f ca="1">IF('CDO Bespoke'!O210&lt;&gt;"",'CDO Bespoke'!O210,"")</f>
        <v/>
      </c>
      <c r="N209" s="490" t="str">
        <f ca="1">IF(M209&lt;&gt;"",ABS(MIN(-0.75*('CDO Bespoke'!Q210)+'CDO Bespoke'!T210,0)),"")</f>
        <v/>
      </c>
      <c r="O209" s="490" t="str">
        <f t="shared" ca="1" si="12"/>
        <v/>
      </c>
      <c r="P209" s="490" t="str">
        <f t="shared" ca="1" si="13"/>
        <v/>
      </c>
      <c r="Q209" s="489" t="str">
        <f ca="1">IF('CDO Bespoke'!O210&lt;&gt;"",'CDO Bespoke'!O210,"")</f>
        <v/>
      </c>
      <c r="R209" s="490" t="str">
        <f ca="1">IF(Q209&lt;&gt;"",ABS(MIN(-0.75*('CDO Bespoke'!K210)+'CDO Bespoke'!T210,0)),"")</f>
        <v/>
      </c>
      <c r="S209" s="490" t="str">
        <f t="shared" ca="1" si="14"/>
        <v/>
      </c>
      <c r="T209" s="494" t="str">
        <f t="shared" ca="1" si="15"/>
        <v/>
      </c>
      <c r="U209" s="275"/>
      <c r="V209" s="499" t="str">
        <f ca="1">IF('CDO Bespoke'!C234&lt;&gt;"",'CDO Bespoke'!C234,"")</f>
        <v/>
      </c>
      <c r="W209" s="501" t="str" cm="1">
        <f t="array" aca="1" ref="W209" ca="1">IF($V209&lt;&gt;"",-TRANSPOSE(INDEX(getcds('CDO Bespoke'!$C234,W$13,'CDO Bespoke'!$G234/10000,'CDO Bespoke'!F234,'CDO Bespoke'!$L210,'CDO Bespoke'!$C$13,'CDO Bespoke'!$C$14,'CDO Bespoke'!$C$15,'CDO Bespoke'!$C$8,,,TRUE,TRUE,FALSE,'CDO Bespoke'!$C$29:'CDO Bespoke'!$C$31,'CDO Bespoke'!$C$33),{5})),"")</f>
        <v/>
      </c>
      <c r="X209" s="527" t="str" cm="1">
        <f t="array" aca="1" ref="X209" ca="1">IF($V209&lt;&gt;"",-TRANSPOSE(INDEX(getcds('CDO Bespoke'!$C234,X$13,'CDO Bespoke'!$G234/10000,'CDO Bespoke'!G234,'CDO Bespoke'!$L210,'CDO Bespoke'!$C$13,'CDO Bespoke'!$C$14,'CDO Bespoke'!$C$15,'CDO Bespoke'!$C$8,,,TRUE,TRUE,FALSE,'CDO Bespoke'!$C$29:'CDO Bespoke'!$C$31,'CDO Bespoke'!$C$33),{5})),"")</f>
        <v/>
      </c>
      <c r="Y209" s="527" t="str" cm="1">
        <f t="array" aca="1" ref="Y209" ca="1">IF($V209&lt;&gt;"",-TRANSPOSE(INDEX(getcds('CDO Bespoke'!$C234,Y$13,'CDO Bespoke'!$G234/10000,'CDO Bespoke'!H234,'CDO Bespoke'!$L210,'CDO Bespoke'!$C$13,'CDO Bespoke'!$C$14,'CDO Bespoke'!$C$15,'CDO Bespoke'!$C$8,,,TRUE,TRUE,FALSE,'CDO Bespoke'!$C$29:'CDO Bespoke'!$C$31,'CDO Bespoke'!$C$33),{5})),"")</f>
        <v/>
      </c>
      <c r="Z209" s="527" t="str" cm="1">
        <f t="array" aca="1" ref="Z209" ca="1">IF($V209&lt;&gt;"",-TRANSPOSE(INDEX(getcds('CDO Bespoke'!$C234,Z$13,'CDO Bespoke'!$G234/10000,'CDO Bespoke'!I234,'CDO Bespoke'!$L210,'CDO Bespoke'!$C$13,'CDO Bespoke'!$C$14,'CDO Bespoke'!$C$15,'CDO Bespoke'!$C$8,,,TRUE,TRUE,FALSE,'CDO Bespoke'!$C$29:'CDO Bespoke'!$C$31,'CDO Bespoke'!$C$33),{5})),"")</f>
        <v/>
      </c>
      <c r="AA209" s="502" t="str" cm="1">
        <f t="array" aca="1" ref="AA209" ca="1">IF($V209&lt;&gt;"",-TRANSPOSE(INDEX(getcds('CDO Bespoke'!$C234,AA$13,'CDO Bespoke'!$G234/10000,'CDO Bespoke'!J234,'CDO Bespoke'!$L210,'CDO Bespoke'!$C$13,'CDO Bespoke'!$C$14,'CDO Bespoke'!$C$15,'CDO Bespoke'!$C$8,,,TRUE,TRUE,FALSE,'CDO Bespoke'!$C$29:'CDO Bespoke'!$C$31,'CDO Bespoke'!$C$33),{5})),"")</f>
        <v/>
      </c>
      <c r="AB209" s="481"/>
      <c r="AC209" s="517"/>
      <c r="AD209" s="518"/>
      <c r="AE209" s="518"/>
      <c r="AF209" s="518"/>
      <c r="AG209" s="518"/>
      <c r="AH209" s="518"/>
      <c r="AI209" s="518"/>
      <c r="AJ209" s="518"/>
      <c r="AK209" s="518"/>
      <c r="AL209" s="519"/>
      <c r="AM209" s="540"/>
    </row>
    <row r="210" spans="2:39" ht="12" thickBot="1">
      <c r="B210" s="558" t="s">
        <v>571</v>
      </c>
      <c r="C210" s="559" t="s">
        <v>66</v>
      </c>
      <c r="D210" s="559" t="s">
        <v>59</v>
      </c>
      <c r="E210" s="559" t="s">
        <v>663</v>
      </c>
      <c r="F210" s="559" t="s">
        <v>671</v>
      </c>
      <c r="G210" s="560">
        <v>0.01</v>
      </c>
      <c r="H210" s="560">
        <v>9.0629999999999999E-3</v>
      </c>
      <c r="I210" s="561">
        <v>0.4</v>
      </c>
      <c r="J210" s="562">
        <v>62</v>
      </c>
      <c r="K210" s="275"/>
      <c r="L210" s="275"/>
      <c r="M210" s="489" t="str">
        <f ca="1">IF('CDO Bespoke'!O211&lt;&gt;"",'CDO Bespoke'!O211,"")</f>
        <v/>
      </c>
      <c r="N210" s="490" t="str">
        <f ca="1">IF(M210&lt;&gt;"",ABS(MIN(-0.75*('CDO Bespoke'!Q211)+'CDO Bespoke'!T211,0)),"")</f>
        <v/>
      </c>
      <c r="O210" s="490" t="str">
        <f t="shared" ca="1" si="12"/>
        <v/>
      </c>
      <c r="P210" s="490" t="str">
        <f t="shared" ca="1" si="13"/>
        <v/>
      </c>
      <c r="Q210" s="489" t="str">
        <f ca="1">IF('CDO Bespoke'!O211&lt;&gt;"",'CDO Bespoke'!O211,"")</f>
        <v/>
      </c>
      <c r="R210" s="490" t="str">
        <f ca="1">IF(Q210&lt;&gt;"",ABS(MIN(-0.75*('CDO Bespoke'!K211)+'CDO Bespoke'!T211,0)),"")</f>
        <v/>
      </c>
      <c r="S210" s="490" t="str">
        <f t="shared" ca="1" si="14"/>
        <v/>
      </c>
      <c r="T210" s="494" t="str">
        <f t="shared" ca="1" si="15"/>
        <v/>
      </c>
      <c r="U210" s="275"/>
      <c r="V210" s="499" t="str">
        <f ca="1">IF('CDO Bespoke'!C235&lt;&gt;"",'CDO Bespoke'!C235,"")</f>
        <v/>
      </c>
      <c r="W210" s="501" t="str" cm="1">
        <f t="array" aca="1" ref="W210" ca="1">IF($V210&lt;&gt;"",-TRANSPOSE(INDEX(getcds('CDO Bespoke'!$C235,W$13,'CDO Bespoke'!$G235/10000,'CDO Bespoke'!F235,'CDO Bespoke'!$L211,'CDO Bespoke'!$C$13,'CDO Bespoke'!$C$14,'CDO Bespoke'!$C$15,'CDO Bespoke'!$C$8,,,TRUE,TRUE,FALSE,'CDO Bespoke'!$C$29:'CDO Bespoke'!$C$31,'CDO Bespoke'!$C$33),{5})),"")</f>
        <v/>
      </c>
      <c r="X210" s="527" t="str" cm="1">
        <f t="array" aca="1" ref="X210" ca="1">IF($V210&lt;&gt;"",-TRANSPOSE(INDEX(getcds('CDO Bespoke'!$C235,X$13,'CDO Bespoke'!$G235/10000,'CDO Bespoke'!G235,'CDO Bespoke'!$L211,'CDO Bespoke'!$C$13,'CDO Bespoke'!$C$14,'CDO Bespoke'!$C$15,'CDO Bespoke'!$C$8,,,TRUE,TRUE,FALSE,'CDO Bespoke'!$C$29:'CDO Bespoke'!$C$31,'CDO Bespoke'!$C$33),{5})),"")</f>
        <v/>
      </c>
      <c r="Y210" s="527" t="str" cm="1">
        <f t="array" aca="1" ref="Y210" ca="1">IF($V210&lt;&gt;"",-TRANSPOSE(INDEX(getcds('CDO Bespoke'!$C235,Y$13,'CDO Bespoke'!$G235/10000,'CDO Bespoke'!H235,'CDO Bespoke'!$L211,'CDO Bespoke'!$C$13,'CDO Bespoke'!$C$14,'CDO Bespoke'!$C$15,'CDO Bespoke'!$C$8,,,TRUE,TRUE,FALSE,'CDO Bespoke'!$C$29:'CDO Bespoke'!$C$31,'CDO Bespoke'!$C$33),{5})),"")</f>
        <v/>
      </c>
      <c r="Z210" s="527" t="str" cm="1">
        <f t="array" aca="1" ref="Z210" ca="1">IF($V210&lt;&gt;"",-TRANSPOSE(INDEX(getcds('CDO Bespoke'!$C235,Z$13,'CDO Bespoke'!$G235/10000,'CDO Bespoke'!I235,'CDO Bespoke'!$L211,'CDO Bespoke'!$C$13,'CDO Bespoke'!$C$14,'CDO Bespoke'!$C$15,'CDO Bespoke'!$C$8,,,TRUE,TRUE,FALSE,'CDO Bespoke'!$C$29:'CDO Bespoke'!$C$31,'CDO Bespoke'!$C$33),{5})),"")</f>
        <v/>
      </c>
      <c r="AA210" s="502" t="str" cm="1">
        <f t="array" aca="1" ref="AA210" ca="1">IF($V210&lt;&gt;"",-TRANSPOSE(INDEX(getcds('CDO Bespoke'!$C235,AA$13,'CDO Bespoke'!$G235/10000,'CDO Bespoke'!J235,'CDO Bespoke'!$L211,'CDO Bespoke'!$C$13,'CDO Bespoke'!$C$14,'CDO Bespoke'!$C$15,'CDO Bespoke'!$C$8,,,TRUE,TRUE,FALSE,'CDO Bespoke'!$C$29:'CDO Bespoke'!$C$31,'CDO Bespoke'!$C$33),{5})),"")</f>
        <v/>
      </c>
      <c r="AB210" s="481"/>
      <c r="AC210" s="517"/>
      <c r="AD210" s="518"/>
      <c r="AE210" s="518"/>
      <c r="AF210" s="518"/>
      <c r="AG210" s="518"/>
      <c r="AH210" s="518"/>
      <c r="AI210" s="518"/>
      <c r="AJ210" s="518"/>
      <c r="AK210" s="518"/>
      <c r="AL210" s="519"/>
      <c r="AM210" s="540"/>
    </row>
    <row r="211" spans="2:39" ht="12" thickBot="1">
      <c r="B211" s="563" t="s">
        <v>581</v>
      </c>
      <c r="C211" s="564" t="s">
        <v>66</v>
      </c>
      <c r="D211" s="564" t="s">
        <v>55</v>
      </c>
      <c r="E211" s="564" t="s">
        <v>663</v>
      </c>
      <c r="F211" s="564" t="s">
        <v>671</v>
      </c>
      <c r="G211" s="565">
        <v>0.01</v>
      </c>
      <c r="H211" s="565">
        <v>2.4229999999999998E-3</v>
      </c>
      <c r="I211" s="566">
        <v>0.4</v>
      </c>
      <c r="J211" s="567">
        <v>63</v>
      </c>
      <c r="K211" s="275"/>
      <c r="L211" s="275"/>
      <c r="M211" s="489" t="str">
        <f ca="1">IF('CDO Bespoke'!O212&lt;&gt;"",'CDO Bespoke'!O212,"")</f>
        <v/>
      </c>
      <c r="N211" s="490" t="str">
        <f ca="1">IF(M211&lt;&gt;"",ABS(MIN(-0.75*('CDO Bespoke'!Q212)+'CDO Bespoke'!T212,0)),"")</f>
        <v/>
      </c>
      <c r="O211" s="490" t="str">
        <f t="shared" ca="1" si="12"/>
        <v/>
      </c>
      <c r="P211" s="490" t="str">
        <f t="shared" ca="1" si="13"/>
        <v/>
      </c>
      <c r="Q211" s="489" t="str">
        <f ca="1">IF('CDO Bespoke'!O212&lt;&gt;"",'CDO Bespoke'!O212,"")</f>
        <v/>
      </c>
      <c r="R211" s="490" t="str">
        <f ca="1">IF(Q211&lt;&gt;"",ABS(MIN(-0.75*('CDO Bespoke'!K212)+'CDO Bespoke'!T212,0)),"")</f>
        <v/>
      </c>
      <c r="S211" s="490" t="str">
        <f t="shared" ca="1" si="14"/>
        <v/>
      </c>
      <c r="T211" s="494" t="str">
        <f t="shared" ca="1" si="15"/>
        <v/>
      </c>
      <c r="U211" s="275"/>
      <c r="V211" s="499" t="str">
        <f ca="1">IF('CDO Bespoke'!C236&lt;&gt;"",'CDO Bespoke'!C236,"")</f>
        <v/>
      </c>
      <c r="W211" s="501" t="str" cm="1">
        <f t="array" aca="1" ref="W211" ca="1">IF($V211&lt;&gt;"",-TRANSPOSE(INDEX(getcds('CDO Bespoke'!$C236,W$13,'CDO Bespoke'!$G236/10000,'CDO Bespoke'!F236,'CDO Bespoke'!$L212,'CDO Bespoke'!$C$13,'CDO Bespoke'!$C$14,'CDO Bespoke'!$C$15,'CDO Bespoke'!$C$8,,,TRUE,TRUE,FALSE,'CDO Bespoke'!$C$29:'CDO Bespoke'!$C$31,'CDO Bespoke'!$C$33),{5})),"")</f>
        <v/>
      </c>
      <c r="X211" s="527" t="str" cm="1">
        <f t="array" aca="1" ref="X211" ca="1">IF($V211&lt;&gt;"",-TRANSPOSE(INDEX(getcds('CDO Bespoke'!$C236,X$13,'CDO Bespoke'!$G236/10000,'CDO Bespoke'!G236,'CDO Bespoke'!$L212,'CDO Bespoke'!$C$13,'CDO Bespoke'!$C$14,'CDO Bespoke'!$C$15,'CDO Bespoke'!$C$8,,,TRUE,TRUE,FALSE,'CDO Bespoke'!$C$29:'CDO Bespoke'!$C$31,'CDO Bespoke'!$C$33),{5})),"")</f>
        <v/>
      </c>
      <c r="Y211" s="527" t="str" cm="1">
        <f t="array" aca="1" ref="Y211" ca="1">IF($V211&lt;&gt;"",-TRANSPOSE(INDEX(getcds('CDO Bespoke'!$C236,Y$13,'CDO Bespoke'!$G236/10000,'CDO Bespoke'!H236,'CDO Bespoke'!$L212,'CDO Bespoke'!$C$13,'CDO Bespoke'!$C$14,'CDO Bespoke'!$C$15,'CDO Bespoke'!$C$8,,,TRUE,TRUE,FALSE,'CDO Bespoke'!$C$29:'CDO Bespoke'!$C$31,'CDO Bespoke'!$C$33),{5})),"")</f>
        <v/>
      </c>
      <c r="Z211" s="527" t="str" cm="1">
        <f t="array" aca="1" ref="Z211" ca="1">IF($V211&lt;&gt;"",-TRANSPOSE(INDEX(getcds('CDO Bespoke'!$C236,Z$13,'CDO Bespoke'!$G236/10000,'CDO Bespoke'!I236,'CDO Bespoke'!$L212,'CDO Bespoke'!$C$13,'CDO Bespoke'!$C$14,'CDO Bespoke'!$C$15,'CDO Bespoke'!$C$8,,,TRUE,TRUE,FALSE,'CDO Bespoke'!$C$29:'CDO Bespoke'!$C$31,'CDO Bespoke'!$C$33),{5})),"")</f>
        <v/>
      </c>
      <c r="AA211" s="502" t="str" cm="1">
        <f t="array" aca="1" ref="AA211" ca="1">IF($V211&lt;&gt;"",-TRANSPOSE(INDEX(getcds('CDO Bespoke'!$C236,AA$13,'CDO Bespoke'!$G236/10000,'CDO Bespoke'!J236,'CDO Bespoke'!$L212,'CDO Bespoke'!$C$13,'CDO Bespoke'!$C$14,'CDO Bespoke'!$C$15,'CDO Bespoke'!$C$8,,,TRUE,TRUE,FALSE,'CDO Bespoke'!$C$29:'CDO Bespoke'!$C$31,'CDO Bespoke'!$C$33),{5})),"")</f>
        <v/>
      </c>
      <c r="AB211" s="481"/>
      <c r="AC211" s="517"/>
      <c r="AD211" s="518"/>
      <c r="AE211" s="518"/>
      <c r="AF211" s="518"/>
      <c r="AG211" s="518"/>
      <c r="AH211" s="518"/>
      <c r="AI211" s="518"/>
      <c r="AJ211" s="518"/>
      <c r="AK211" s="518"/>
      <c r="AL211" s="519"/>
      <c r="AM211" s="540"/>
    </row>
    <row r="212" spans="2:39" ht="12" thickBot="1">
      <c r="B212" s="541" t="s">
        <v>581</v>
      </c>
      <c r="C212" s="542" t="s">
        <v>66</v>
      </c>
      <c r="D212" s="542" t="s">
        <v>57</v>
      </c>
      <c r="E212" s="542" t="s">
        <v>663</v>
      </c>
      <c r="F212" s="542" t="s">
        <v>671</v>
      </c>
      <c r="G212" s="549">
        <v>0.01</v>
      </c>
      <c r="H212" s="549">
        <v>3.9830000000000004E-3</v>
      </c>
      <c r="I212" s="551">
        <v>0.4</v>
      </c>
      <c r="J212" s="543">
        <v>63</v>
      </c>
      <c r="K212" s="275"/>
      <c r="L212" s="275"/>
      <c r="M212" s="489" t="str">
        <f ca="1">IF('CDO Bespoke'!O213&lt;&gt;"",'CDO Bespoke'!O213,"")</f>
        <v/>
      </c>
      <c r="N212" s="490" t="str">
        <f ca="1">IF(M212&lt;&gt;"",ABS(MIN(-0.75*('CDO Bespoke'!Q213)+'CDO Bespoke'!T213,0)),"")</f>
        <v/>
      </c>
      <c r="O212" s="490" t="str">
        <f t="shared" ca="1" si="12"/>
        <v/>
      </c>
      <c r="P212" s="490" t="str">
        <f t="shared" ca="1" si="13"/>
        <v/>
      </c>
      <c r="Q212" s="489" t="str">
        <f ca="1">IF('CDO Bespoke'!O213&lt;&gt;"",'CDO Bespoke'!O213,"")</f>
        <v/>
      </c>
      <c r="R212" s="490" t="str">
        <f ca="1">IF(Q212&lt;&gt;"",ABS(MIN(-0.75*('CDO Bespoke'!K213)+'CDO Bespoke'!T213,0)),"")</f>
        <v/>
      </c>
      <c r="S212" s="490" t="str">
        <f t="shared" ca="1" si="14"/>
        <v/>
      </c>
      <c r="T212" s="494" t="str">
        <f t="shared" ca="1" si="15"/>
        <v/>
      </c>
      <c r="U212" s="275"/>
      <c r="V212" s="499" t="str">
        <f ca="1">IF('CDO Bespoke'!C237&lt;&gt;"",'CDO Bespoke'!C237,"")</f>
        <v/>
      </c>
      <c r="W212" s="501" t="str" cm="1">
        <f t="array" aca="1" ref="W212" ca="1">IF($V212&lt;&gt;"",-TRANSPOSE(INDEX(getcds('CDO Bespoke'!$C237,W$13,'CDO Bespoke'!$G237/10000,'CDO Bespoke'!F237,'CDO Bespoke'!$L213,'CDO Bespoke'!$C$13,'CDO Bespoke'!$C$14,'CDO Bespoke'!$C$15,'CDO Bespoke'!$C$8,,,TRUE,TRUE,FALSE,'CDO Bespoke'!$C$29:'CDO Bespoke'!$C$31,'CDO Bespoke'!$C$33),{5})),"")</f>
        <v/>
      </c>
      <c r="X212" s="527" t="str" cm="1">
        <f t="array" aca="1" ref="X212" ca="1">IF($V212&lt;&gt;"",-TRANSPOSE(INDEX(getcds('CDO Bespoke'!$C237,X$13,'CDO Bespoke'!$G237/10000,'CDO Bespoke'!G237,'CDO Bespoke'!$L213,'CDO Bespoke'!$C$13,'CDO Bespoke'!$C$14,'CDO Bespoke'!$C$15,'CDO Bespoke'!$C$8,,,TRUE,TRUE,FALSE,'CDO Bespoke'!$C$29:'CDO Bespoke'!$C$31,'CDO Bespoke'!$C$33),{5})),"")</f>
        <v/>
      </c>
      <c r="Y212" s="527" t="str" cm="1">
        <f t="array" aca="1" ref="Y212" ca="1">IF($V212&lt;&gt;"",-TRANSPOSE(INDEX(getcds('CDO Bespoke'!$C237,Y$13,'CDO Bespoke'!$G237/10000,'CDO Bespoke'!H237,'CDO Bespoke'!$L213,'CDO Bespoke'!$C$13,'CDO Bespoke'!$C$14,'CDO Bespoke'!$C$15,'CDO Bespoke'!$C$8,,,TRUE,TRUE,FALSE,'CDO Bespoke'!$C$29:'CDO Bespoke'!$C$31,'CDO Bespoke'!$C$33),{5})),"")</f>
        <v/>
      </c>
      <c r="Z212" s="527" t="str" cm="1">
        <f t="array" aca="1" ref="Z212" ca="1">IF($V212&lt;&gt;"",-TRANSPOSE(INDEX(getcds('CDO Bespoke'!$C237,Z$13,'CDO Bespoke'!$G237/10000,'CDO Bespoke'!I237,'CDO Bespoke'!$L213,'CDO Bespoke'!$C$13,'CDO Bespoke'!$C$14,'CDO Bespoke'!$C$15,'CDO Bespoke'!$C$8,,,TRUE,TRUE,FALSE,'CDO Bespoke'!$C$29:'CDO Bespoke'!$C$31,'CDO Bespoke'!$C$33),{5})),"")</f>
        <v/>
      </c>
      <c r="AA212" s="502" t="str" cm="1">
        <f t="array" aca="1" ref="AA212" ca="1">IF($V212&lt;&gt;"",-TRANSPOSE(INDEX(getcds('CDO Bespoke'!$C237,AA$13,'CDO Bespoke'!$G237/10000,'CDO Bespoke'!J237,'CDO Bespoke'!$L213,'CDO Bespoke'!$C$13,'CDO Bespoke'!$C$14,'CDO Bespoke'!$C$15,'CDO Bespoke'!$C$8,,,TRUE,TRUE,FALSE,'CDO Bespoke'!$C$29:'CDO Bespoke'!$C$31,'CDO Bespoke'!$C$33),{5})),"")</f>
        <v/>
      </c>
      <c r="AB212" s="481"/>
      <c r="AC212" s="517"/>
      <c r="AD212" s="518"/>
      <c r="AE212" s="518"/>
      <c r="AF212" s="518"/>
      <c r="AG212" s="518"/>
      <c r="AH212" s="518"/>
      <c r="AI212" s="518"/>
      <c r="AJ212" s="518"/>
      <c r="AK212" s="518"/>
      <c r="AL212" s="519"/>
      <c r="AM212" s="540"/>
    </row>
    <row r="213" spans="2:39" ht="12" thickBot="1">
      <c r="B213" s="558" t="s">
        <v>581</v>
      </c>
      <c r="C213" s="559" t="s">
        <v>66</v>
      </c>
      <c r="D213" s="559" t="s">
        <v>59</v>
      </c>
      <c r="E213" s="559" t="s">
        <v>663</v>
      </c>
      <c r="F213" s="559" t="s">
        <v>671</v>
      </c>
      <c r="G213" s="560">
        <v>0.01</v>
      </c>
      <c r="H213" s="560">
        <v>6.0039999999999998E-3</v>
      </c>
      <c r="I213" s="561">
        <v>0.4</v>
      </c>
      <c r="J213" s="562">
        <v>63</v>
      </c>
      <c r="K213" s="275"/>
      <c r="L213" s="275"/>
      <c r="M213" s="489" t="str">
        <f ca="1">IF('CDO Bespoke'!O214&lt;&gt;"",'CDO Bespoke'!O214,"")</f>
        <v/>
      </c>
      <c r="N213" s="490" t="str">
        <f ca="1">IF(M213&lt;&gt;"",ABS(MIN(-0.75*('CDO Bespoke'!Q214)+'CDO Bespoke'!T214,0)),"")</f>
        <v/>
      </c>
      <c r="O213" s="490" t="str">
        <f t="shared" ca="1" si="12"/>
        <v/>
      </c>
      <c r="P213" s="490" t="str">
        <f t="shared" ca="1" si="13"/>
        <v/>
      </c>
      <c r="Q213" s="489" t="str">
        <f ca="1">IF('CDO Bespoke'!O214&lt;&gt;"",'CDO Bespoke'!O214,"")</f>
        <v/>
      </c>
      <c r="R213" s="490" t="str">
        <f ca="1">IF(Q213&lt;&gt;"",ABS(MIN(-0.75*('CDO Bespoke'!K214)+'CDO Bespoke'!T214,0)),"")</f>
        <v/>
      </c>
      <c r="S213" s="490" t="str">
        <f t="shared" ca="1" si="14"/>
        <v/>
      </c>
      <c r="T213" s="494" t="str">
        <f t="shared" ca="1" si="15"/>
        <v/>
      </c>
      <c r="U213" s="275"/>
      <c r="V213" s="499" t="str">
        <f ca="1">IF('CDO Bespoke'!C238&lt;&gt;"",'CDO Bespoke'!C238,"")</f>
        <v/>
      </c>
      <c r="W213" s="501" t="str" cm="1">
        <f t="array" aca="1" ref="W213" ca="1">IF($V213&lt;&gt;"",-TRANSPOSE(INDEX(getcds('CDO Bespoke'!$C238,W$13,'CDO Bespoke'!$G238/10000,'CDO Bespoke'!F238,'CDO Bespoke'!$L214,'CDO Bespoke'!$C$13,'CDO Bespoke'!$C$14,'CDO Bespoke'!$C$15,'CDO Bespoke'!$C$8,,,TRUE,TRUE,FALSE,'CDO Bespoke'!$C$29:'CDO Bespoke'!$C$31,'CDO Bespoke'!$C$33),{5})),"")</f>
        <v/>
      </c>
      <c r="X213" s="527" t="str" cm="1">
        <f t="array" aca="1" ref="X213" ca="1">IF($V213&lt;&gt;"",-TRANSPOSE(INDEX(getcds('CDO Bespoke'!$C238,X$13,'CDO Bespoke'!$G238/10000,'CDO Bespoke'!G238,'CDO Bespoke'!$L214,'CDO Bespoke'!$C$13,'CDO Bespoke'!$C$14,'CDO Bespoke'!$C$15,'CDO Bespoke'!$C$8,,,TRUE,TRUE,FALSE,'CDO Bespoke'!$C$29:'CDO Bespoke'!$C$31,'CDO Bespoke'!$C$33),{5})),"")</f>
        <v/>
      </c>
      <c r="Y213" s="527" t="str" cm="1">
        <f t="array" aca="1" ref="Y213" ca="1">IF($V213&lt;&gt;"",-TRANSPOSE(INDEX(getcds('CDO Bespoke'!$C238,Y$13,'CDO Bespoke'!$G238/10000,'CDO Bespoke'!H238,'CDO Bespoke'!$L214,'CDO Bespoke'!$C$13,'CDO Bespoke'!$C$14,'CDO Bespoke'!$C$15,'CDO Bespoke'!$C$8,,,TRUE,TRUE,FALSE,'CDO Bespoke'!$C$29:'CDO Bespoke'!$C$31,'CDO Bespoke'!$C$33),{5})),"")</f>
        <v/>
      </c>
      <c r="Z213" s="527" t="str" cm="1">
        <f t="array" aca="1" ref="Z213" ca="1">IF($V213&lt;&gt;"",-TRANSPOSE(INDEX(getcds('CDO Bespoke'!$C238,Z$13,'CDO Bespoke'!$G238/10000,'CDO Bespoke'!I238,'CDO Bespoke'!$L214,'CDO Bespoke'!$C$13,'CDO Bespoke'!$C$14,'CDO Bespoke'!$C$15,'CDO Bespoke'!$C$8,,,TRUE,TRUE,FALSE,'CDO Bespoke'!$C$29:'CDO Bespoke'!$C$31,'CDO Bespoke'!$C$33),{5})),"")</f>
        <v/>
      </c>
      <c r="AA213" s="502" t="str" cm="1">
        <f t="array" aca="1" ref="AA213" ca="1">IF($V213&lt;&gt;"",-TRANSPOSE(INDEX(getcds('CDO Bespoke'!$C238,AA$13,'CDO Bespoke'!$G238/10000,'CDO Bespoke'!J238,'CDO Bespoke'!$L214,'CDO Bespoke'!$C$13,'CDO Bespoke'!$C$14,'CDO Bespoke'!$C$15,'CDO Bespoke'!$C$8,,,TRUE,TRUE,FALSE,'CDO Bespoke'!$C$29:'CDO Bespoke'!$C$31,'CDO Bespoke'!$C$33),{5})),"")</f>
        <v/>
      </c>
      <c r="AB213" s="481"/>
      <c r="AC213" s="517"/>
      <c r="AD213" s="518"/>
      <c r="AE213" s="518"/>
      <c r="AF213" s="518"/>
      <c r="AG213" s="518"/>
      <c r="AH213" s="518"/>
      <c r="AI213" s="518"/>
      <c r="AJ213" s="518"/>
      <c r="AK213" s="518"/>
      <c r="AL213" s="519"/>
      <c r="AM213" s="540"/>
    </row>
    <row r="214" spans="2:39" ht="12" thickBot="1">
      <c r="B214" s="563" t="s">
        <v>630</v>
      </c>
      <c r="C214" s="564" t="s">
        <v>66</v>
      </c>
      <c r="D214" s="564" t="s">
        <v>55</v>
      </c>
      <c r="E214" s="564" t="s">
        <v>663</v>
      </c>
      <c r="F214" s="564" t="s">
        <v>671</v>
      </c>
      <c r="G214" s="565">
        <v>0.01</v>
      </c>
      <c r="H214" s="565">
        <v>4.1190000000000003E-3</v>
      </c>
      <c r="I214" s="566">
        <v>0.4</v>
      </c>
      <c r="J214" s="567">
        <v>64</v>
      </c>
      <c r="K214" s="275"/>
      <c r="L214" s="275"/>
      <c r="M214" s="489" t="str">
        <f ca="1">IF('CDO Bespoke'!O215&lt;&gt;"",'CDO Bespoke'!O215,"")</f>
        <v/>
      </c>
      <c r="N214" s="490" t="str">
        <f ca="1">IF(M214&lt;&gt;"",ABS(MIN(-0.75*('CDO Bespoke'!Q215)+'CDO Bespoke'!T215,0)),"")</f>
        <v/>
      </c>
      <c r="O214" s="490" t="str">
        <f t="shared" ca="1" si="12"/>
        <v/>
      </c>
      <c r="P214" s="490" t="str">
        <f t="shared" ca="1" si="13"/>
        <v/>
      </c>
      <c r="Q214" s="489" t="str">
        <f ca="1">IF('CDO Bespoke'!O215&lt;&gt;"",'CDO Bespoke'!O215,"")</f>
        <v/>
      </c>
      <c r="R214" s="490" t="str">
        <f ca="1">IF(Q214&lt;&gt;"",ABS(MIN(-0.75*('CDO Bespoke'!K215)+'CDO Bespoke'!T215,0)),"")</f>
        <v/>
      </c>
      <c r="S214" s="490" t="str">
        <f t="shared" ca="1" si="14"/>
        <v/>
      </c>
      <c r="T214" s="494" t="str">
        <f t="shared" ca="1" si="15"/>
        <v/>
      </c>
      <c r="U214" s="275"/>
      <c r="V214" s="499" t="str">
        <f ca="1">IF('CDO Bespoke'!C239&lt;&gt;"",'CDO Bespoke'!C239,"")</f>
        <v/>
      </c>
      <c r="W214" s="501" t="str" cm="1">
        <f t="array" aca="1" ref="W214" ca="1">IF($V214&lt;&gt;"",-TRANSPOSE(INDEX(getcds('CDO Bespoke'!$C239,W$13,'CDO Bespoke'!$G239/10000,'CDO Bespoke'!F239,'CDO Bespoke'!$L215,'CDO Bespoke'!$C$13,'CDO Bespoke'!$C$14,'CDO Bespoke'!$C$15,'CDO Bespoke'!$C$8,,,TRUE,TRUE,FALSE,'CDO Bespoke'!$C$29:'CDO Bespoke'!$C$31,'CDO Bespoke'!$C$33),{5})),"")</f>
        <v/>
      </c>
      <c r="X214" s="527" t="str" cm="1">
        <f t="array" aca="1" ref="X214" ca="1">IF($V214&lt;&gt;"",-TRANSPOSE(INDEX(getcds('CDO Bespoke'!$C239,X$13,'CDO Bespoke'!$G239/10000,'CDO Bespoke'!G239,'CDO Bespoke'!$L215,'CDO Bespoke'!$C$13,'CDO Bespoke'!$C$14,'CDO Bespoke'!$C$15,'CDO Bespoke'!$C$8,,,TRUE,TRUE,FALSE,'CDO Bespoke'!$C$29:'CDO Bespoke'!$C$31,'CDO Bespoke'!$C$33),{5})),"")</f>
        <v/>
      </c>
      <c r="Y214" s="527" t="str" cm="1">
        <f t="array" aca="1" ref="Y214" ca="1">IF($V214&lt;&gt;"",-TRANSPOSE(INDEX(getcds('CDO Bespoke'!$C239,Y$13,'CDO Bespoke'!$G239/10000,'CDO Bespoke'!H239,'CDO Bespoke'!$L215,'CDO Bespoke'!$C$13,'CDO Bespoke'!$C$14,'CDO Bespoke'!$C$15,'CDO Bespoke'!$C$8,,,TRUE,TRUE,FALSE,'CDO Bespoke'!$C$29:'CDO Bespoke'!$C$31,'CDO Bespoke'!$C$33),{5})),"")</f>
        <v/>
      </c>
      <c r="Z214" s="527" t="str" cm="1">
        <f t="array" aca="1" ref="Z214" ca="1">IF($V214&lt;&gt;"",-TRANSPOSE(INDEX(getcds('CDO Bespoke'!$C239,Z$13,'CDO Bespoke'!$G239/10000,'CDO Bespoke'!I239,'CDO Bespoke'!$L215,'CDO Bespoke'!$C$13,'CDO Bespoke'!$C$14,'CDO Bespoke'!$C$15,'CDO Bespoke'!$C$8,,,TRUE,TRUE,FALSE,'CDO Bespoke'!$C$29:'CDO Bespoke'!$C$31,'CDO Bespoke'!$C$33),{5})),"")</f>
        <v/>
      </c>
      <c r="AA214" s="502" t="str" cm="1">
        <f t="array" aca="1" ref="AA214" ca="1">IF($V214&lt;&gt;"",-TRANSPOSE(INDEX(getcds('CDO Bespoke'!$C239,AA$13,'CDO Bespoke'!$G239/10000,'CDO Bespoke'!J239,'CDO Bespoke'!$L215,'CDO Bespoke'!$C$13,'CDO Bespoke'!$C$14,'CDO Bespoke'!$C$15,'CDO Bespoke'!$C$8,,,TRUE,TRUE,FALSE,'CDO Bespoke'!$C$29:'CDO Bespoke'!$C$31,'CDO Bespoke'!$C$33),{5})),"")</f>
        <v/>
      </c>
      <c r="AB214" s="481"/>
      <c r="AC214" s="517"/>
      <c r="AD214" s="518"/>
      <c r="AE214" s="518"/>
      <c r="AF214" s="518"/>
      <c r="AG214" s="518"/>
      <c r="AH214" s="518"/>
      <c r="AI214" s="518"/>
      <c r="AJ214" s="518"/>
      <c r="AK214" s="518"/>
      <c r="AL214" s="519"/>
      <c r="AM214" s="540"/>
    </row>
    <row r="215" spans="2:39" ht="12" thickBot="1">
      <c r="B215" s="541" t="s">
        <v>630</v>
      </c>
      <c r="C215" s="542" t="s">
        <v>66</v>
      </c>
      <c r="D215" s="542" t="s">
        <v>57</v>
      </c>
      <c r="E215" s="542" t="s">
        <v>663</v>
      </c>
      <c r="F215" s="542" t="s">
        <v>671</v>
      </c>
      <c r="G215" s="549">
        <v>0.01</v>
      </c>
      <c r="H215" s="549">
        <v>6.1469999999999997E-3</v>
      </c>
      <c r="I215" s="551">
        <v>0.4</v>
      </c>
      <c r="J215" s="543">
        <v>64</v>
      </c>
      <c r="K215" s="275"/>
      <c r="L215" s="275"/>
      <c r="M215" s="489" t="str">
        <f ca="1">IF('CDO Bespoke'!O216&lt;&gt;"",'CDO Bespoke'!O216,"")</f>
        <v/>
      </c>
      <c r="N215" s="490" t="str">
        <f ca="1">IF(M215&lt;&gt;"",ABS(MIN(-0.75*('CDO Bespoke'!Q216)+'CDO Bespoke'!T216,0)),"")</f>
        <v/>
      </c>
      <c r="O215" s="490" t="str">
        <f t="shared" ca="1" si="12"/>
        <v/>
      </c>
      <c r="P215" s="490" t="str">
        <f t="shared" ca="1" si="13"/>
        <v/>
      </c>
      <c r="Q215" s="489" t="str">
        <f ca="1">IF('CDO Bespoke'!O216&lt;&gt;"",'CDO Bespoke'!O216,"")</f>
        <v/>
      </c>
      <c r="R215" s="490" t="str">
        <f ca="1">IF(Q215&lt;&gt;"",ABS(MIN(-0.75*('CDO Bespoke'!K216)+'CDO Bespoke'!T216,0)),"")</f>
        <v/>
      </c>
      <c r="S215" s="490" t="str">
        <f t="shared" ca="1" si="14"/>
        <v/>
      </c>
      <c r="T215" s="494" t="str">
        <f t="shared" ca="1" si="15"/>
        <v/>
      </c>
      <c r="U215" s="275"/>
      <c r="V215" s="499" t="str">
        <f ca="1">IF('CDO Bespoke'!C240&lt;&gt;"",'CDO Bespoke'!C240,"")</f>
        <v/>
      </c>
      <c r="W215" s="501" t="str" cm="1">
        <f t="array" aca="1" ref="W215" ca="1">IF($V215&lt;&gt;"",-TRANSPOSE(INDEX(getcds('CDO Bespoke'!$C240,W$13,'CDO Bespoke'!$G240/10000,'CDO Bespoke'!F240,'CDO Bespoke'!$L216,'CDO Bespoke'!$C$13,'CDO Bespoke'!$C$14,'CDO Bespoke'!$C$15,'CDO Bespoke'!$C$8,,,TRUE,TRUE,FALSE,'CDO Bespoke'!$C$29:'CDO Bespoke'!$C$31,'CDO Bespoke'!$C$33),{5})),"")</f>
        <v/>
      </c>
      <c r="X215" s="527" t="str" cm="1">
        <f t="array" aca="1" ref="X215" ca="1">IF($V215&lt;&gt;"",-TRANSPOSE(INDEX(getcds('CDO Bespoke'!$C240,X$13,'CDO Bespoke'!$G240/10000,'CDO Bespoke'!G240,'CDO Bespoke'!$L216,'CDO Bespoke'!$C$13,'CDO Bespoke'!$C$14,'CDO Bespoke'!$C$15,'CDO Bespoke'!$C$8,,,TRUE,TRUE,FALSE,'CDO Bespoke'!$C$29:'CDO Bespoke'!$C$31,'CDO Bespoke'!$C$33),{5})),"")</f>
        <v/>
      </c>
      <c r="Y215" s="527" t="str" cm="1">
        <f t="array" aca="1" ref="Y215" ca="1">IF($V215&lt;&gt;"",-TRANSPOSE(INDEX(getcds('CDO Bespoke'!$C240,Y$13,'CDO Bespoke'!$G240/10000,'CDO Bespoke'!H240,'CDO Bespoke'!$L216,'CDO Bespoke'!$C$13,'CDO Bespoke'!$C$14,'CDO Bespoke'!$C$15,'CDO Bespoke'!$C$8,,,TRUE,TRUE,FALSE,'CDO Bespoke'!$C$29:'CDO Bespoke'!$C$31,'CDO Bespoke'!$C$33),{5})),"")</f>
        <v/>
      </c>
      <c r="Z215" s="527" t="str" cm="1">
        <f t="array" aca="1" ref="Z215" ca="1">IF($V215&lt;&gt;"",-TRANSPOSE(INDEX(getcds('CDO Bespoke'!$C240,Z$13,'CDO Bespoke'!$G240/10000,'CDO Bespoke'!I240,'CDO Bespoke'!$L216,'CDO Bespoke'!$C$13,'CDO Bespoke'!$C$14,'CDO Bespoke'!$C$15,'CDO Bespoke'!$C$8,,,TRUE,TRUE,FALSE,'CDO Bespoke'!$C$29:'CDO Bespoke'!$C$31,'CDO Bespoke'!$C$33),{5})),"")</f>
        <v/>
      </c>
      <c r="AA215" s="502" t="str" cm="1">
        <f t="array" aca="1" ref="AA215" ca="1">IF($V215&lt;&gt;"",-TRANSPOSE(INDEX(getcds('CDO Bespoke'!$C240,AA$13,'CDO Bespoke'!$G240/10000,'CDO Bespoke'!J240,'CDO Bespoke'!$L216,'CDO Bespoke'!$C$13,'CDO Bespoke'!$C$14,'CDO Bespoke'!$C$15,'CDO Bespoke'!$C$8,,,TRUE,TRUE,FALSE,'CDO Bespoke'!$C$29:'CDO Bespoke'!$C$31,'CDO Bespoke'!$C$33),{5})),"")</f>
        <v/>
      </c>
      <c r="AB215" s="481"/>
      <c r="AC215" s="517"/>
      <c r="AD215" s="518"/>
      <c r="AE215" s="518"/>
      <c r="AF215" s="518"/>
      <c r="AG215" s="518"/>
      <c r="AH215" s="518"/>
      <c r="AI215" s="518"/>
      <c r="AJ215" s="518"/>
      <c r="AK215" s="518"/>
      <c r="AL215" s="519"/>
      <c r="AM215" s="540"/>
    </row>
    <row r="216" spans="2:39" ht="12" thickBot="1">
      <c r="B216" s="558" t="s">
        <v>630</v>
      </c>
      <c r="C216" s="559" t="s">
        <v>66</v>
      </c>
      <c r="D216" s="559" t="s">
        <v>59</v>
      </c>
      <c r="E216" s="559" t="s">
        <v>663</v>
      </c>
      <c r="F216" s="559" t="s">
        <v>671</v>
      </c>
      <c r="G216" s="560">
        <v>0.01</v>
      </c>
      <c r="H216" s="560">
        <v>8.4799999999999997E-3</v>
      </c>
      <c r="I216" s="561">
        <v>0.4</v>
      </c>
      <c r="J216" s="562">
        <v>64</v>
      </c>
      <c r="K216" s="275"/>
      <c r="L216" s="275"/>
      <c r="M216" s="489" t="str">
        <f ca="1">IF('CDO Bespoke'!O217&lt;&gt;"",'CDO Bespoke'!O217,"")</f>
        <v/>
      </c>
      <c r="N216" s="490" t="str">
        <f ca="1">IF(M216&lt;&gt;"",ABS(MIN(-0.75*('CDO Bespoke'!Q217)+'CDO Bespoke'!T217,0)),"")</f>
        <v/>
      </c>
      <c r="O216" s="490" t="str">
        <f t="shared" ca="1" si="12"/>
        <v/>
      </c>
      <c r="P216" s="490" t="str">
        <f t="shared" ca="1" si="13"/>
        <v/>
      </c>
      <c r="Q216" s="489" t="str">
        <f ca="1">IF('CDO Bespoke'!O217&lt;&gt;"",'CDO Bespoke'!O217,"")</f>
        <v/>
      </c>
      <c r="R216" s="490" t="str">
        <f ca="1">IF(Q216&lt;&gt;"",ABS(MIN(-0.75*('CDO Bespoke'!K217)+'CDO Bespoke'!T217,0)),"")</f>
        <v/>
      </c>
      <c r="S216" s="490" t="str">
        <f t="shared" ca="1" si="14"/>
        <v/>
      </c>
      <c r="T216" s="494" t="str">
        <f t="shared" ca="1" si="15"/>
        <v/>
      </c>
      <c r="U216" s="275"/>
      <c r="V216" s="499" t="str">
        <f ca="1">IF('CDO Bespoke'!C241&lt;&gt;"",'CDO Bespoke'!C241,"")</f>
        <v/>
      </c>
      <c r="W216" s="501" t="str" cm="1">
        <f t="array" aca="1" ref="W216" ca="1">IF($V216&lt;&gt;"",-TRANSPOSE(INDEX(getcds('CDO Bespoke'!$C241,W$13,'CDO Bespoke'!$G241/10000,'CDO Bespoke'!F241,'CDO Bespoke'!$L217,'CDO Bespoke'!$C$13,'CDO Bespoke'!$C$14,'CDO Bespoke'!$C$15,'CDO Bespoke'!$C$8,,,TRUE,TRUE,FALSE,'CDO Bespoke'!$C$29:'CDO Bespoke'!$C$31,'CDO Bespoke'!$C$33),{5})),"")</f>
        <v/>
      </c>
      <c r="X216" s="527" t="str" cm="1">
        <f t="array" aca="1" ref="X216" ca="1">IF($V216&lt;&gt;"",-TRANSPOSE(INDEX(getcds('CDO Bespoke'!$C241,X$13,'CDO Bespoke'!$G241/10000,'CDO Bespoke'!G241,'CDO Bespoke'!$L217,'CDO Bespoke'!$C$13,'CDO Bespoke'!$C$14,'CDO Bespoke'!$C$15,'CDO Bespoke'!$C$8,,,TRUE,TRUE,FALSE,'CDO Bespoke'!$C$29:'CDO Bespoke'!$C$31,'CDO Bespoke'!$C$33),{5})),"")</f>
        <v/>
      </c>
      <c r="Y216" s="527" t="str" cm="1">
        <f t="array" aca="1" ref="Y216" ca="1">IF($V216&lt;&gt;"",-TRANSPOSE(INDEX(getcds('CDO Bespoke'!$C241,Y$13,'CDO Bespoke'!$G241/10000,'CDO Bespoke'!H241,'CDO Bespoke'!$L217,'CDO Bespoke'!$C$13,'CDO Bespoke'!$C$14,'CDO Bespoke'!$C$15,'CDO Bespoke'!$C$8,,,TRUE,TRUE,FALSE,'CDO Bespoke'!$C$29:'CDO Bespoke'!$C$31,'CDO Bespoke'!$C$33),{5})),"")</f>
        <v/>
      </c>
      <c r="Z216" s="527" t="str" cm="1">
        <f t="array" aca="1" ref="Z216" ca="1">IF($V216&lt;&gt;"",-TRANSPOSE(INDEX(getcds('CDO Bespoke'!$C241,Z$13,'CDO Bespoke'!$G241/10000,'CDO Bespoke'!I241,'CDO Bespoke'!$L217,'CDO Bespoke'!$C$13,'CDO Bespoke'!$C$14,'CDO Bespoke'!$C$15,'CDO Bespoke'!$C$8,,,TRUE,TRUE,FALSE,'CDO Bespoke'!$C$29:'CDO Bespoke'!$C$31,'CDO Bespoke'!$C$33),{5})),"")</f>
        <v/>
      </c>
      <c r="AA216" s="502" t="str" cm="1">
        <f t="array" aca="1" ref="AA216" ca="1">IF($V216&lt;&gt;"",-TRANSPOSE(INDEX(getcds('CDO Bespoke'!$C241,AA$13,'CDO Bespoke'!$G241/10000,'CDO Bespoke'!J241,'CDO Bespoke'!$L217,'CDO Bespoke'!$C$13,'CDO Bespoke'!$C$14,'CDO Bespoke'!$C$15,'CDO Bespoke'!$C$8,,,TRUE,TRUE,FALSE,'CDO Bespoke'!$C$29:'CDO Bespoke'!$C$31,'CDO Bespoke'!$C$33),{5})),"")</f>
        <v/>
      </c>
      <c r="AB216" s="481"/>
      <c r="AC216" s="517"/>
      <c r="AD216" s="518"/>
      <c r="AE216" s="518"/>
      <c r="AF216" s="518"/>
      <c r="AG216" s="518"/>
      <c r="AH216" s="518"/>
      <c r="AI216" s="518"/>
      <c r="AJ216" s="518"/>
      <c r="AK216" s="518"/>
      <c r="AL216" s="519"/>
      <c r="AM216" s="540"/>
    </row>
    <row r="217" spans="2:39" ht="12" thickBot="1">
      <c r="B217" s="563" t="s">
        <v>572</v>
      </c>
      <c r="C217" s="564" t="s">
        <v>66</v>
      </c>
      <c r="D217" s="564" t="s">
        <v>55</v>
      </c>
      <c r="E217" s="564" t="s">
        <v>663</v>
      </c>
      <c r="F217" s="564" t="s">
        <v>671</v>
      </c>
      <c r="G217" s="565">
        <v>0.01</v>
      </c>
      <c r="H217" s="565">
        <v>4.1130000000000003E-3</v>
      </c>
      <c r="I217" s="566">
        <v>0.4</v>
      </c>
      <c r="J217" s="567">
        <v>65</v>
      </c>
      <c r="K217" s="275"/>
      <c r="L217" s="275"/>
      <c r="M217" s="489" t="str">
        <f ca="1">IF('CDO Bespoke'!O218&lt;&gt;"",'CDO Bespoke'!O218,"")</f>
        <v/>
      </c>
      <c r="N217" s="490" t="str">
        <f ca="1">IF(M217&lt;&gt;"",ABS(MIN(-0.75*('CDO Bespoke'!Q218)+'CDO Bespoke'!T218,0)),"")</f>
        <v/>
      </c>
      <c r="O217" s="490" t="str">
        <f t="shared" ca="1" si="12"/>
        <v/>
      </c>
      <c r="P217" s="490" t="str">
        <f t="shared" ca="1" si="13"/>
        <v/>
      </c>
      <c r="Q217" s="489" t="str">
        <f ca="1">IF('CDO Bespoke'!O218&lt;&gt;"",'CDO Bespoke'!O218,"")</f>
        <v/>
      </c>
      <c r="R217" s="490" t="str">
        <f ca="1">IF(Q217&lt;&gt;"",ABS(MIN(-0.75*('CDO Bespoke'!K218)+'CDO Bespoke'!T218,0)),"")</f>
        <v/>
      </c>
      <c r="S217" s="490" t="str">
        <f t="shared" ca="1" si="14"/>
        <v/>
      </c>
      <c r="T217" s="494" t="str">
        <f t="shared" ca="1" si="15"/>
        <v/>
      </c>
      <c r="U217" s="275"/>
      <c r="V217" s="499" t="str">
        <f ca="1">IF('CDO Bespoke'!C242&lt;&gt;"",'CDO Bespoke'!C242,"")</f>
        <v/>
      </c>
      <c r="W217" s="501" t="str" cm="1">
        <f t="array" aca="1" ref="W217" ca="1">IF($V217&lt;&gt;"",-TRANSPOSE(INDEX(getcds('CDO Bespoke'!$C242,W$13,'CDO Bespoke'!$G242/10000,'CDO Bespoke'!F242,'CDO Bespoke'!$L218,'CDO Bespoke'!$C$13,'CDO Bespoke'!$C$14,'CDO Bespoke'!$C$15,'CDO Bespoke'!$C$8,,,TRUE,TRUE,FALSE,'CDO Bespoke'!$C$29:'CDO Bespoke'!$C$31,'CDO Bespoke'!$C$33),{5})),"")</f>
        <v/>
      </c>
      <c r="X217" s="527" t="str" cm="1">
        <f t="array" aca="1" ref="X217" ca="1">IF($V217&lt;&gt;"",-TRANSPOSE(INDEX(getcds('CDO Bespoke'!$C242,X$13,'CDO Bespoke'!$G242/10000,'CDO Bespoke'!G242,'CDO Bespoke'!$L218,'CDO Bespoke'!$C$13,'CDO Bespoke'!$C$14,'CDO Bespoke'!$C$15,'CDO Bespoke'!$C$8,,,TRUE,TRUE,FALSE,'CDO Bespoke'!$C$29:'CDO Bespoke'!$C$31,'CDO Bespoke'!$C$33),{5})),"")</f>
        <v/>
      </c>
      <c r="Y217" s="527" t="str" cm="1">
        <f t="array" aca="1" ref="Y217" ca="1">IF($V217&lt;&gt;"",-TRANSPOSE(INDEX(getcds('CDO Bespoke'!$C242,Y$13,'CDO Bespoke'!$G242/10000,'CDO Bespoke'!H242,'CDO Bespoke'!$L218,'CDO Bespoke'!$C$13,'CDO Bespoke'!$C$14,'CDO Bespoke'!$C$15,'CDO Bespoke'!$C$8,,,TRUE,TRUE,FALSE,'CDO Bespoke'!$C$29:'CDO Bespoke'!$C$31,'CDO Bespoke'!$C$33),{5})),"")</f>
        <v/>
      </c>
      <c r="Z217" s="527" t="str" cm="1">
        <f t="array" aca="1" ref="Z217" ca="1">IF($V217&lt;&gt;"",-TRANSPOSE(INDEX(getcds('CDO Bespoke'!$C242,Z$13,'CDO Bespoke'!$G242/10000,'CDO Bespoke'!I242,'CDO Bespoke'!$L218,'CDO Bespoke'!$C$13,'CDO Bespoke'!$C$14,'CDO Bespoke'!$C$15,'CDO Bespoke'!$C$8,,,TRUE,TRUE,FALSE,'CDO Bespoke'!$C$29:'CDO Bespoke'!$C$31,'CDO Bespoke'!$C$33),{5})),"")</f>
        <v/>
      </c>
      <c r="AA217" s="502" t="str" cm="1">
        <f t="array" aca="1" ref="AA217" ca="1">IF($V217&lt;&gt;"",-TRANSPOSE(INDEX(getcds('CDO Bespoke'!$C242,AA$13,'CDO Bespoke'!$G242/10000,'CDO Bespoke'!J242,'CDO Bespoke'!$L218,'CDO Bespoke'!$C$13,'CDO Bespoke'!$C$14,'CDO Bespoke'!$C$15,'CDO Bespoke'!$C$8,,,TRUE,TRUE,FALSE,'CDO Bespoke'!$C$29:'CDO Bespoke'!$C$31,'CDO Bespoke'!$C$33),{5})),"")</f>
        <v/>
      </c>
      <c r="AB217" s="481"/>
      <c r="AC217" s="517"/>
      <c r="AD217" s="518"/>
      <c r="AE217" s="518"/>
      <c r="AF217" s="518"/>
      <c r="AG217" s="518"/>
      <c r="AH217" s="518"/>
      <c r="AI217" s="518"/>
      <c r="AJ217" s="518"/>
      <c r="AK217" s="518"/>
      <c r="AL217" s="519"/>
      <c r="AM217" s="540"/>
    </row>
    <row r="218" spans="2:39" ht="12" thickBot="1">
      <c r="B218" s="541" t="s">
        <v>572</v>
      </c>
      <c r="C218" s="542" t="s">
        <v>66</v>
      </c>
      <c r="D218" s="542" t="s">
        <v>57</v>
      </c>
      <c r="E218" s="542" t="s">
        <v>663</v>
      </c>
      <c r="F218" s="542" t="s">
        <v>671</v>
      </c>
      <c r="G218" s="549">
        <v>0.01</v>
      </c>
      <c r="H218" s="549">
        <v>6.5919999999999998E-3</v>
      </c>
      <c r="I218" s="551">
        <v>0.4</v>
      </c>
      <c r="J218" s="543">
        <v>65</v>
      </c>
      <c r="K218" s="275"/>
      <c r="L218" s="275"/>
      <c r="M218" s="489" t="str">
        <f ca="1">IF('CDO Bespoke'!O219&lt;&gt;"",'CDO Bespoke'!O219,"")</f>
        <v/>
      </c>
      <c r="N218" s="490" t="str">
        <f ca="1">IF(M218&lt;&gt;"",ABS(MIN(-0.75*('CDO Bespoke'!Q219)+'CDO Bespoke'!T219,0)),"")</f>
        <v/>
      </c>
      <c r="O218" s="490" t="str">
        <f t="shared" ca="1" si="12"/>
        <v/>
      </c>
      <c r="P218" s="490" t="str">
        <f t="shared" ca="1" si="13"/>
        <v/>
      </c>
      <c r="Q218" s="489" t="str">
        <f ca="1">IF('CDO Bespoke'!O219&lt;&gt;"",'CDO Bespoke'!O219,"")</f>
        <v/>
      </c>
      <c r="R218" s="490" t="str">
        <f ca="1">IF(Q218&lt;&gt;"",ABS(MIN(-0.75*('CDO Bespoke'!K219)+'CDO Bespoke'!T219,0)),"")</f>
        <v/>
      </c>
      <c r="S218" s="490" t="str">
        <f t="shared" ca="1" si="14"/>
        <v/>
      </c>
      <c r="T218" s="494" t="str">
        <f t="shared" ca="1" si="15"/>
        <v/>
      </c>
      <c r="U218" s="275"/>
      <c r="V218" s="499" t="str">
        <f ca="1">IF('CDO Bespoke'!C243&lt;&gt;"",'CDO Bespoke'!C243,"")</f>
        <v/>
      </c>
      <c r="W218" s="501" t="str" cm="1">
        <f t="array" aca="1" ref="W218" ca="1">IF($V218&lt;&gt;"",-TRANSPOSE(INDEX(getcds('CDO Bespoke'!$C243,W$13,'CDO Bespoke'!$G243/10000,'CDO Bespoke'!F243,'CDO Bespoke'!$L219,'CDO Bespoke'!$C$13,'CDO Bespoke'!$C$14,'CDO Bespoke'!$C$15,'CDO Bespoke'!$C$8,,,TRUE,TRUE,FALSE,'CDO Bespoke'!$C$29:'CDO Bespoke'!$C$31,'CDO Bespoke'!$C$33),{5})),"")</f>
        <v/>
      </c>
      <c r="X218" s="527" t="str" cm="1">
        <f t="array" aca="1" ref="X218" ca="1">IF($V218&lt;&gt;"",-TRANSPOSE(INDEX(getcds('CDO Bespoke'!$C243,X$13,'CDO Bespoke'!$G243/10000,'CDO Bespoke'!G243,'CDO Bespoke'!$L219,'CDO Bespoke'!$C$13,'CDO Bespoke'!$C$14,'CDO Bespoke'!$C$15,'CDO Bespoke'!$C$8,,,TRUE,TRUE,FALSE,'CDO Bespoke'!$C$29:'CDO Bespoke'!$C$31,'CDO Bespoke'!$C$33),{5})),"")</f>
        <v/>
      </c>
      <c r="Y218" s="527" t="str" cm="1">
        <f t="array" aca="1" ref="Y218" ca="1">IF($V218&lt;&gt;"",-TRANSPOSE(INDEX(getcds('CDO Bespoke'!$C243,Y$13,'CDO Bespoke'!$G243/10000,'CDO Bespoke'!H243,'CDO Bespoke'!$L219,'CDO Bespoke'!$C$13,'CDO Bespoke'!$C$14,'CDO Bespoke'!$C$15,'CDO Bespoke'!$C$8,,,TRUE,TRUE,FALSE,'CDO Bespoke'!$C$29:'CDO Bespoke'!$C$31,'CDO Bespoke'!$C$33),{5})),"")</f>
        <v/>
      </c>
      <c r="Z218" s="527" t="str" cm="1">
        <f t="array" aca="1" ref="Z218" ca="1">IF($V218&lt;&gt;"",-TRANSPOSE(INDEX(getcds('CDO Bespoke'!$C243,Z$13,'CDO Bespoke'!$G243/10000,'CDO Bespoke'!I243,'CDO Bespoke'!$L219,'CDO Bespoke'!$C$13,'CDO Bespoke'!$C$14,'CDO Bespoke'!$C$15,'CDO Bespoke'!$C$8,,,TRUE,TRUE,FALSE,'CDO Bespoke'!$C$29:'CDO Bespoke'!$C$31,'CDO Bespoke'!$C$33),{5})),"")</f>
        <v/>
      </c>
      <c r="AA218" s="502" t="str" cm="1">
        <f t="array" aca="1" ref="AA218" ca="1">IF($V218&lt;&gt;"",-TRANSPOSE(INDEX(getcds('CDO Bespoke'!$C243,AA$13,'CDO Bespoke'!$G243/10000,'CDO Bespoke'!J243,'CDO Bespoke'!$L219,'CDO Bespoke'!$C$13,'CDO Bespoke'!$C$14,'CDO Bespoke'!$C$15,'CDO Bespoke'!$C$8,,,TRUE,TRUE,FALSE,'CDO Bespoke'!$C$29:'CDO Bespoke'!$C$31,'CDO Bespoke'!$C$33),{5})),"")</f>
        <v/>
      </c>
      <c r="AB218" s="481"/>
      <c r="AC218" s="517"/>
      <c r="AD218" s="518"/>
      <c r="AE218" s="518"/>
      <c r="AF218" s="518"/>
      <c r="AG218" s="518"/>
      <c r="AH218" s="518"/>
      <c r="AI218" s="518"/>
      <c r="AJ218" s="518"/>
      <c r="AK218" s="518"/>
      <c r="AL218" s="519"/>
      <c r="AM218" s="540"/>
    </row>
    <row r="219" spans="2:39" ht="12" thickBot="1">
      <c r="B219" s="558" t="s">
        <v>572</v>
      </c>
      <c r="C219" s="559" t="s">
        <v>66</v>
      </c>
      <c r="D219" s="559" t="s">
        <v>59</v>
      </c>
      <c r="E219" s="559" t="s">
        <v>663</v>
      </c>
      <c r="F219" s="559" t="s">
        <v>671</v>
      </c>
      <c r="G219" s="560">
        <v>0.01</v>
      </c>
      <c r="H219" s="560">
        <v>9.4090000000000007E-3</v>
      </c>
      <c r="I219" s="561">
        <v>0.4</v>
      </c>
      <c r="J219" s="562">
        <v>65</v>
      </c>
      <c r="K219" s="275"/>
      <c r="L219" s="275"/>
      <c r="M219" s="489" t="str">
        <f ca="1">IF('CDO Bespoke'!O220&lt;&gt;"",'CDO Bespoke'!O220,"")</f>
        <v/>
      </c>
      <c r="N219" s="490" t="str">
        <f ca="1">IF(M219&lt;&gt;"",ABS(MIN(-0.75*('CDO Bespoke'!Q220)+'CDO Bespoke'!T220,0)),"")</f>
        <v/>
      </c>
      <c r="O219" s="490" t="str">
        <f t="shared" ca="1" si="12"/>
        <v/>
      </c>
      <c r="P219" s="490" t="str">
        <f t="shared" ca="1" si="13"/>
        <v/>
      </c>
      <c r="Q219" s="489" t="str">
        <f ca="1">IF('CDO Bespoke'!O220&lt;&gt;"",'CDO Bespoke'!O220,"")</f>
        <v/>
      </c>
      <c r="R219" s="490" t="str">
        <f ca="1">IF(Q219&lt;&gt;"",ABS(MIN(-0.75*('CDO Bespoke'!K220)+'CDO Bespoke'!T220,0)),"")</f>
        <v/>
      </c>
      <c r="S219" s="490" t="str">
        <f t="shared" ca="1" si="14"/>
        <v/>
      </c>
      <c r="T219" s="494" t="str">
        <f t="shared" ca="1" si="15"/>
        <v/>
      </c>
      <c r="U219" s="275"/>
      <c r="V219" s="499" t="str">
        <f ca="1">IF('CDO Bespoke'!C244&lt;&gt;"",'CDO Bespoke'!C244,"")</f>
        <v/>
      </c>
      <c r="W219" s="501" t="str" cm="1">
        <f t="array" aca="1" ref="W219" ca="1">IF($V219&lt;&gt;"",-TRANSPOSE(INDEX(getcds('CDO Bespoke'!$C244,W$13,'CDO Bespoke'!$G244/10000,'CDO Bespoke'!F244,'CDO Bespoke'!$L220,'CDO Bespoke'!$C$13,'CDO Bespoke'!$C$14,'CDO Bespoke'!$C$15,'CDO Bespoke'!$C$8,,,TRUE,TRUE,FALSE,'CDO Bespoke'!$C$29:'CDO Bespoke'!$C$31,'CDO Bespoke'!$C$33),{5})),"")</f>
        <v/>
      </c>
      <c r="X219" s="527" t="str" cm="1">
        <f t="array" aca="1" ref="X219" ca="1">IF($V219&lt;&gt;"",-TRANSPOSE(INDEX(getcds('CDO Bespoke'!$C244,X$13,'CDO Bespoke'!$G244/10000,'CDO Bespoke'!G244,'CDO Bespoke'!$L220,'CDO Bespoke'!$C$13,'CDO Bespoke'!$C$14,'CDO Bespoke'!$C$15,'CDO Bespoke'!$C$8,,,TRUE,TRUE,FALSE,'CDO Bespoke'!$C$29:'CDO Bespoke'!$C$31,'CDO Bespoke'!$C$33),{5})),"")</f>
        <v/>
      </c>
      <c r="Y219" s="527" t="str" cm="1">
        <f t="array" aca="1" ref="Y219" ca="1">IF($V219&lt;&gt;"",-TRANSPOSE(INDEX(getcds('CDO Bespoke'!$C244,Y$13,'CDO Bespoke'!$G244/10000,'CDO Bespoke'!H244,'CDO Bespoke'!$L220,'CDO Bespoke'!$C$13,'CDO Bespoke'!$C$14,'CDO Bespoke'!$C$15,'CDO Bespoke'!$C$8,,,TRUE,TRUE,FALSE,'CDO Bespoke'!$C$29:'CDO Bespoke'!$C$31,'CDO Bespoke'!$C$33),{5})),"")</f>
        <v/>
      </c>
      <c r="Z219" s="527" t="str" cm="1">
        <f t="array" aca="1" ref="Z219" ca="1">IF($V219&lt;&gt;"",-TRANSPOSE(INDEX(getcds('CDO Bespoke'!$C244,Z$13,'CDO Bespoke'!$G244/10000,'CDO Bespoke'!I244,'CDO Bespoke'!$L220,'CDO Bespoke'!$C$13,'CDO Bespoke'!$C$14,'CDO Bespoke'!$C$15,'CDO Bespoke'!$C$8,,,TRUE,TRUE,FALSE,'CDO Bespoke'!$C$29:'CDO Bespoke'!$C$31,'CDO Bespoke'!$C$33),{5})),"")</f>
        <v/>
      </c>
      <c r="AA219" s="502" t="str" cm="1">
        <f t="array" aca="1" ref="AA219" ca="1">IF($V219&lt;&gt;"",-TRANSPOSE(INDEX(getcds('CDO Bespoke'!$C244,AA$13,'CDO Bespoke'!$G244/10000,'CDO Bespoke'!J244,'CDO Bespoke'!$L220,'CDO Bespoke'!$C$13,'CDO Bespoke'!$C$14,'CDO Bespoke'!$C$15,'CDO Bespoke'!$C$8,,,TRUE,TRUE,FALSE,'CDO Bespoke'!$C$29:'CDO Bespoke'!$C$31,'CDO Bespoke'!$C$33),{5})),"")</f>
        <v/>
      </c>
      <c r="AB219" s="481"/>
      <c r="AC219" s="517"/>
      <c r="AD219" s="518"/>
      <c r="AE219" s="518"/>
      <c r="AF219" s="518"/>
      <c r="AG219" s="518"/>
      <c r="AH219" s="518"/>
      <c r="AI219" s="518"/>
      <c r="AJ219" s="518"/>
      <c r="AK219" s="518"/>
      <c r="AL219" s="519"/>
      <c r="AM219" s="540"/>
    </row>
    <row r="220" spans="2:39" ht="12" thickBot="1">
      <c r="B220" s="563" t="s">
        <v>582</v>
      </c>
      <c r="C220" s="564" t="s">
        <v>66</v>
      </c>
      <c r="D220" s="564" t="s">
        <v>55</v>
      </c>
      <c r="E220" s="564" t="s">
        <v>663</v>
      </c>
      <c r="F220" s="564" t="s">
        <v>671</v>
      </c>
      <c r="G220" s="565">
        <v>0.01</v>
      </c>
      <c r="H220" s="565">
        <v>3.3249999999999998E-3</v>
      </c>
      <c r="I220" s="566">
        <v>0.4</v>
      </c>
      <c r="J220" s="567">
        <v>66</v>
      </c>
      <c r="K220" s="275"/>
      <c r="L220" s="275"/>
      <c r="M220" s="489" t="str">
        <f ca="1">IF('CDO Bespoke'!O221&lt;&gt;"",'CDO Bespoke'!O221,"")</f>
        <v/>
      </c>
      <c r="N220" s="490" t="str">
        <f ca="1">IF(M220&lt;&gt;"",ABS(MIN(-0.75*('CDO Bespoke'!Q221)+'CDO Bespoke'!T221,0)),"")</f>
        <v/>
      </c>
      <c r="O220" s="490" t="str">
        <f t="shared" ca="1" si="12"/>
        <v/>
      </c>
      <c r="P220" s="490" t="str">
        <f t="shared" ca="1" si="13"/>
        <v/>
      </c>
      <c r="Q220" s="489" t="str">
        <f ca="1">IF('CDO Bespoke'!O221&lt;&gt;"",'CDO Bespoke'!O221,"")</f>
        <v/>
      </c>
      <c r="R220" s="490" t="str">
        <f ca="1">IF(Q220&lt;&gt;"",ABS(MIN(-0.75*('CDO Bespoke'!K221)+'CDO Bespoke'!T221,0)),"")</f>
        <v/>
      </c>
      <c r="S220" s="490" t="str">
        <f t="shared" ca="1" si="14"/>
        <v/>
      </c>
      <c r="T220" s="494" t="str">
        <f t="shared" ca="1" si="15"/>
        <v/>
      </c>
      <c r="U220" s="275"/>
      <c r="V220" s="499" t="str">
        <f ca="1">IF('CDO Bespoke'!C245&lt;&gt;"",'CDO Bespoke'!C245,"")</f>
        <v/>
      </c>
      <c r="W220" s="501" t="str" cm="1">
        <f t="array" aca="1" ref="W220" ca="1">IF($V220&lt;&gt;"",-TRANSPOSE(INDEX(getcds('CDO Bespoke'!$C245,W$13,'CDO Bespoke'!$G245/10000,'CDO Bespoke'!F245,'CDO Bespoke'!$L221,'CDO Bespoke'!$C$13,'CDO Bespoke'!$C$14,'CDO Bespoke'!$C$15,'CDO Bespoke'!$C$8,,,TRUE,TRUE,FALSE,'CDO Bespoke'!$C$29:'CDO Bespoke'!$C$31,'CDO Bespoke'!$C$33),{5})),"")</f>
        <v/>
      </c>
      <c r="X220" s="527" t="str" cm="1">
        <f t="array" aca="1" ref="X220" ca="1">IF($V220&lt;&gt;"",-TRANSPOSE(INDEX(getcds('CDO Bespoke'!$C245,X$13,'CDO Bespoke'!$G245/10000,'CDO Bespoke'!G245,'CDO Bespoke'!$L221,'CDO Bespoke'!$C$13,'CDO Bespoke'!$C$14,'CDO Bespoke'!$C$15,'CDO Bespoke'!$C$8,,,TRUE,TRUE,FALSE,'CDO Bespoke'!$C$29:'CDO Bespoke'!$C$31,'CDO Bespoke'!$C$33),{5})),"")</f>
        <v/>
      </c>
      <c r="Y220" s="527" t="str" cm="1">
        <f t="array" aca="1" ref="Y220" ca="1">IF($V220&lt;&gt;"",-TRANSPOSE(INDEX(getcds('CDO Bespoke'!$C245,Y$13,'CDO Bespoke'!$G245/10000,'CDO Bespoke'!H245,'CDO Bespoke'!$L221,'CDO Bespoke'!$C$13,'CDO Bespoke'!$C$14,'CDO Bespoke'!$C$15,'CDO Bespoke'!$C$8,,,TRUE,TRUE,FALSE,'CDO Bespoke'!$C$29:'CDO Bespoke'!$C$31,'CDO Bespoke'!$C$33),{5})),"")</f>
        <v/>
      </c>
      <c r="Z220" s="527" t="str" cm="1">
        <f t="array" aca="1" ref="Z220" ca="1">IF($V220&lt;&gt;"",-TRANSPOSE(INDEX(getcds('CDO Bespoke'!$C245,Z$13,'CDO Bespoke'!$G245/10000,'CDO Bespoke'!I245,'CDO Bespoke'!$L221,'CDO Bespoke'!$C$13,'CDO Bespoke'!$C$14,'CDO Bespoke'!$C$15,'CDO Bespoke'!$C$8,,,TRUE,TRUE,FALSE,'CDO Bespoke'!$C$29:'CDO Bespoke'!$C$31,'CDO Bespoke'!$C$33),{5})),"")</f>
        <v/>
      </c>
      <c r="AA220" s="502" t="str" cm="1">
        <f t="array" aca="1" ref="AA220" ca="1">IF($V220&lt;&gt;"",-TRANSPOSE(INDEX(getcds('CDO Bespoke'!$C245,AA$13,'CDO Bespoke'!$G245/10000,'CDO Bespoke'!J245,'CDO Bespoke'!$L221,'CDO Bespoke'!$C$13,'CDO Bespoke'!$C$14,'CDO Bespoke'!$C$15,'CDO Bespoke'!$C$8,,,TRUE,TRUE,FALSE,'CDO Bespoke'!$C$29:'CDO Bespoke'!$C$31,'CDO Bespoke'!$C$33),{5})),"")</f>
        <v/>
      </c>
      <c r="AB220" s="481"/>
      <c r="AC220" s="517"/>
      <c r="AD220" s="518"/>
      <c r="AE220" s="518"/>
      <c r="AF220" s="518"/>
      <c r="AG220" s="518"/>
      <c r="AH220" s="518"/>
      <c r="AI220" s="518"/>
      <c r="AJ220" s="518"/>
      <c r="AK220" s="518"/>
      <c r="AL220" s="519"/>
      <c r="AM220" s="540"/>
    </row>
    <row r="221" spans="2:39" ht="12" thickBot="1">
      <c r="B221" s="541" t="s">
        <v>582</v>
      </c>
      <c r="C221" s="542" t="s">
        <v>66</v>
      </c>
      <c r="D221" s="542" t="s">
        <v>57</v>
      </c>
      <c r="E221" s="542" t="s">
        <v>663</v>
      </c>
      <c r="F221" s="542" t="s">
        <v>671</v>
      </c>
      <c r="G221" s="549">
        <v>0.01</v>
      </c>
      <c r="H221" s="549">
        <v>6.195E-3</v>
      </c>
      <c r="I221" s="551">
        <v>0.4</v>
      </c>
      <c r="J221" s="543">
        <v>66</v>
      </c>
      <c r="K221" s="275"/>
      <c r="L221" s="275"/>
      <c r="M221" s="489" t="str">
        <f ca="1">IF('CDO Bespoke'!O222&lt;&gt;"",'CDO Bespoke'!O222,"")</f>
        <v/>
      </c>
      <c r="N221" s="490" t="str">
        <f ca="1">IF(M221&lt;&gt;"",ABS(MIN(-0.75*('CDO Bespoke'!Q222)+'CDO Bespoke'!T222,0)),"")</f>
        <v/>
      </c>
      <c r="O221" s="490" t="str">
        <f t="shared" ca="1" si="12"/>
        <v/>
      </c>
      <c r="P221" s="490" t="str">
        <f t="shared" ca="1" si="13"/>
        <v/>
      </c>
      <c r="Q221" s="489" t="str">
        <f ca="1">IF('CDO Bespoke'!O222&lt;&gt;"",'CDO Bespoke'!O222,"")</f>
        <v/>
      </c>
      <c r="R221" s="490" t="str">
        <f ca="1">IF(Q221&lt;&gt;"",ABS(MIN(-0.75*('CDO Bespoke'!K222)+'CDO Bespoke'!T222,0)),"")</f>
        <v/>
      </c>
      <c r="S221" s="490" t="str">
        <f t="shared" ca="1" si="14"/>
        <v/>
      </c>
      <c r="T221" s="494" t="str">
        <f t="shared" ca="1" si="15"/>
        <v/>
      </c>
      <c r="U221" s="275"/>
      <c r="V221" s="499" t="str">
        <f ca="1">IF('CDO Bespoke'!C246&lt;&gt;"",'CDO Bespoke'!C246,"")</f>
        <v/>
      </c>
      <c r="W221" s="501" t="str" cm="1">
        <f t="array" aca="1" ref="W221" ca="1">IF($V221&lt;&gt;"",-TRANSPOSE(INDEX(getcds('CDO Bespoke'!$C246,W$13,'CDO Bespoke'!$G246/10000,'CDO Bespoke'!F246,'CDO Bespoke'!$L222,'CDO Bespoke'!$C$13,'CDO Bespoke'!$C$14,'CDO Bespoke'!$C$15,'CDO Bespoke'!$C$8,,,TRUE,TRUE,FALSE,'CDO Bespoke'!$C$29:'CDO Bespoke'!$C$31,'CDO Bespoke'!$C$33),{5})),"")</f>
        <v/>
      </c>
      <c r="X221" s="527" t="str" cm="1">
        <f t="array" aca="1" ref="X221" ca="1">IF($V221&lt;&gt;"",-TRANSPOSE(INDEX(getcds('CDO Bespoke'!$C246,X$13,'CDO Bespoke'!$G246/10000,'CDO Bespoke'!G246,'CDO Bespoke'!$L222,'CDO Bespoke'!$C$13,'CDO Bespoke'!$C$14,'CDO Bespoke'!$C$15,'CDO Bespoke'!$C$8,,,TRUE,TRUE,FALSE,'CDO Bespoke'!$C$29:'CDO Bespoke'!$C$31,'CDO Bespoke'!$C$33),{5})),"")</f>
        <v/>
      </c>
      <c r="Y221" s="527" t="str" cm="1">
        <f t="array" aca="1" ref="Y221" ca="1">IF($V221&lt;&gt;"",-TRANSPOSE(INDEX(getcds('CDO Bespoke'!$C246,Y$13,'CDO Bespoke'!$G246/10000,'CDO Bespoke'!H246,'CDO Bespoke'!$L222,'CDO Bespoke'!$C$13,'CDO Bespoke'!$C$14,'CDO Bespoke'!$C$15,'CDO Bespoke'!$C$8,,,TRUE,TRUE,FALSE,'CDO Bespoke'!$C$29:'CDO Bespoke'!$C$31,'CDO Bespoke'!$C$33),{5})),"")</f>
        <v/>
      </c>
      <c r="Z221" s="527" t="str" cm="1">
        <f t="array" aca="1" ref="Z221" ca="1">IF($V221&lt;&gt;"",-TRANSPOSE(INDEX(getcds('CDO Bespoke'!$C246,Z$13,'CDO Bespoke'!$G246/10000,'CDO Bespoke'!I246,'CDO Bespoke'!$L222,'CDO Bespoke'!$C$13,'CDO Bespoke'!$C$14,'CDO Bespoke'!$C$15,'CDO Bespoke'!$C$8,,,TRUE,TRUE,FALSE,'CDO Bespoke'!$C$29:'CDO Bespoke'!$C$31,'CDO Bespoke'!$C$33),{5})),"")</f>
        <v/>
      </c>
      <c r="AA221" s="502" t="str" cm="1">
        <f t="array" aca="1" ref="AA221" ca="1">IF($V221&lt;&gt;"",-TRANSPOSE(INDEX(getcds('CDO Bespoke'!$C246,AA$13,'CDO Bespoke'!$G246/10000,'CDO Bespoke'!J246,'CDO Bespoke'!$L222,'CDO Bespoke'!$C$13,'CDO Bespoke'!$C$14,'CDO Bespoke'!$C$15,'CDO Bespoke'!$C$8,,,TRUE,TRUE,FALSE,'CDO Bespoke'!$C$29:'CDO Bespoke'!$C$31,'CDO Bespoke'!$C$33),{5})),"")</f>
        <v/>
      </c>
      <c r="AB221" s="481"/>
      <c r="AC221" s="517"/>
      <c r="AD221" s="518"/>
      <c r="AE221" s="518"/>
      <c r="AF221" s="518"/>
      <c r="AG221" s="518"/>
      <c r="AH221" s="518"/>
      <c r="AI221" s="518"/>
      <c r="AJ221" s="518"/>
      <c r="AK221" s="518"/>
      <c r="AL221" s="519"/>
      <c r="AM221" s="540"/>
    </row>
    <row r="222" spans="2:39" ht="12" thickBot="1">
      <c r="B222" s="558" t="s">
        <v>582</v>
      </c>
      <c r="C222" s="559" t="s">
        <v>66</v>
      </c>
      <c r="D222" s="559" t="s">
        <v>59</v>
      </c>
      <c r="E222" s="559" t="s">
        <v>663</v>
      </c>
      <c r="F222" s="559" t="s">
        <v>671</v>
      </c>
      <c r="G222" s="560">
        <v>0.01</v>
      </c>
      <c r="H222" s="560">
        <v>9.2610000000000001E-3</v>
      </c>
      <c r="I222" s="561">
        <v>0.4</v>
      </c>
      <c r="J222" s="562">
        <v>66</v>
      </c>
      <c r="K222" s="275"/>
      <c r="L222" s="275"/>
      <c r="M222" s="489" t="str">
        <f ca="1">IF('CDO Bespoke'!O223&lt;&gt;"",'CDO Bespoke'!O223,"")</f>
        <v/>
      </c>
      <c r="N222" s="490" t="str">
        <f ca="1">IF(M222&lt;&gt;"",ABS(MIN(-0.75*('CDO Bespoke'!Q223)+'CDO Bespoke'!T223,0)),"")</f>
        <v/>
      </c>
      <c r="O222" s="490" t="str">
        <f t="shared" ca="1" si="12"/>
        <v/>
      </c>
      <c r="P222" s="490" t="str">
        <f t="shared" ca="1" si="13"/>
        <v/>
      </c>
      <c r="Q222" s="489" t="str">
        <f ca="1">IF('CDO Bespoke'!O223&lt;&gt;"",'CDO Bespoke'!O223,"")</f>
        <v/>
      </c>
      <c r="R222" s="490" t="str">
        <f ca="1">IF(Q222&lt;&gt;"",ABS(MIN(-0.75*('CDO Bespoke'!K223)+'CDO Bespoke'!T223,0)),"")</f>
        <v/>
      </c>
      <c r="S222" s="490" t="str">
        <f t="shared" ca="1" si="14"/>
        <v/>
      </c>
      <c r="T222" s="494" t="str">
        <f t="shared" ca="1" si="15"/>
        <v/>
      </c>
      <c r="U222" s="275"/>
      <c r="V222" s="499" t="str">
        <f ca="1">IF('CDO Bespoke'!C247&lt;&gt;"",'CDO Bespoke'!C247,"")</f>
        <v/>
      </c>
      <c r="W222" s="501" t="str" cm="1">
        <f t="array" aca="1" ref="W222" ca="1">IF($V222&lt;&gt;"",-TRANSPOSE(INDEX(getcds('CDO Bespoke'!$C247,W$13,'CDO Bespoke'!$G247/10000,'CDO Bespoke'!F247,'CDO Bespoke'!$L223,'CDO Bespoke'!$C$13,'CDO Bespoke'!$C$14,'CDO Bespoke'!$C$15,'CDO Bespoke'!$C$8,,,TRUE,TRUE,FALSE,'CDO Bespoke'!$C$29:'CDO Bespoke'!$C$31,'CDO Bespoke'!$C$33),{5})),"")</f>
        <v/>
      </c>
      <c r="X222" s="527" t="str" cm="1">
        <f t="array" aca="1" ref="X222" ca="1">IF($V222&lt;&gt;"",-TRANSPOSE(INDEX(getcds('CDO Bespoke'!$C247,X$13,'CDO Bespoke'!$G247/10000,'CDO Bespoke'!G247,'CDO Bespoke'!$L223,'CDO Bespoke'!$C$13,'CDO Bespoke'!$C$14,'CDO Bespoke'!$C$15,'CDO Bespoke'!$C$8,,,TRUE,TRUE,FALSE,'CDO Bespoke'!$C$29:'CDO Bespoke'!$C$31,'CDO Bespoke'!$C$33),{5})),"")</f>
        <v/>
      </c>
      <c r="Y222" s="527" t="str" cm="1">
        <f t="array" aca="1" ref="Y222" ca="1">IF($V222&lt;&gt;"",-TRANSPOSE(INDEX(getcds('CDO Bespoke'!$C247,Y$13,'CDO Bespoke'!$G247/10000,'CDO Bespoke'!H247,'CDO Bespoke'!$L223,'CDO Bespoke'!$C$13,'CDO Bespoke'!$C$14,'CDO Bespoke'!$C$15,'CDO Bespoke'!$C$8,,,TRUE,TRUE,FALSE,'CDO Bespoke'!$C$29:'CDO Bespoke'!$C$31,'CDO Bespoke'!$C$33),{5})),"")</f>
        <v/>
      </c>
      <c r="Z222" s="527" t="str" cm="1">
        <f t="array" aca="1" ref="Z222" ca="1">IF($V222&lt;&gt;"",-TRANSPOSE(INDEX(getcds('CDO Bespoke'!$C247,Z$13,'CDO Bespoke'!$G247/10000,'CDO Bespoke'!I247,'CDO Bespoke'!$L223,'CDO Bespoke'!$C$13,'CDO Bespoke'!$C$14,'CDO Bespoke'!$C$15,'CDO Bespoke'!$C$8,,,TRUE,TRUE,FALSE,'CDO Bespoke'!$C$29:'CDO Bespoke'!$C$31,'CDO Bespoke'!$C$33),{5})),"")</f>
        <v/>
      </c>
      <c r="AA222" s="502" t="str" cm="1">
        <f t="array" aca="1" ref="AA222" ca="1">IF($V222&lt;&gt;"",-TRANSPOSE(INDEX(getcds('CDO Bespoke'!$C247,AA$13,'CDO Bespoke'!$G247/10000,'CDO Bespoke'!J247,'CDO Bespoke'!$L223,'CDO Bespoke'!$C$13,'CDO Bespoke'!$C$14,'CDO Bespoke'!$C$15,'CDO Bespoke'!$C$8,,,TRUE,TRUE,FALSE,'CDO Bespoke'!$C$29:'CDO Bespoke'!$C$31,'CDO Bespoke'!$C$33),{5})),"")</f>
        <v/>
      </c>
      <c r="AB222" s="481"/>
      <c r="AC222" s="517"/>
      <c r="AD222" s="518"/>
      <c r="AE222" s="518"/>
      <c r="AF222" s="518"/>
      <c r="AG222" s="518"/>
      <c r="AH222" s="518"/>
      <c r="AI222" s="518"/>
      <c r="AJ222" s="518"/>
      <c r="AK222" s="518"/>
      <c r="AL222" s="519"/>
      <c r="AM222" s="540"/>
    </row>
    <row r="223" spans="2:39" ht="12" thickBot="1">
      <c r="B223" s="563" t="s">
        <v>573</v>
      </c>
      <c r="C223" s="564" t="s">
        <v>66</v>
      </c>
      <c r="D223" s="564" t="s">
        <v>55</v>
      </c>
      <c r="E223" s="564" t="s">
        <v>663</v>
      </c>
      <c r="F223" s="564" t="s">
        <v>671</v>
      </c>
      <c r="G223" s="565">
        <v>0.01</v>
      </c>
      <c r="H223" s="565">
        <v>2.6879999999999999E-3</v>
      </c>
      <c r="I223" s="566">
        <v>0.4</v>
      </c>
      <c r="J223" s="567">
        <v>67</v>
      </c>
      <c r="K223" s="275"/>
      <c r="L223" s="275"/>
      <c r="M223" s="489" t="str">
        <f ca="1">IF('CDO Bespoke'!O224&lt;&gt;"",'CDO Bespoke'!O224,"")</f>
        <v/>
      </c>
      <c r="N223" s="490" t="str">
        <f ca="1">IF(M223&lt;&gt;"",ABS(MIN(-0.75*('CDO Bespoke'!Q224)+'CDO Bespoke'!T224,0)),"")</f>
        <v/>
      </c>
      <c r="O223" s="490" t="str">
        <f t="shared" ca="1" si="12"/>
        <v/>
      </c>
      <c r="P223" s="490" t="str">
        <f t="shared" ca="1" si="13"/>
        <v/>
      </c>
      <c r="Q223" s="489" t="str">
        <f ca="1">IF('CDO Bespoke'!O224&lt;&gt;"",'CDO Bespoke'!O224,"")</f>
        <v/>
      </c>
      <c r="R223" s="490" t="str">
        <f ca="1">IF(Q223&lt;&gt;"",ABS(MIN(-0.75*('CDO Bespoke'!K224)+'CDO Bespoke'!T224,0)),"")</f>
        <v/>
      </c>
      <c r="S223" s="490" t="str">
        <f t="shared" ca="1" si="14"/>
        <v/>
      </c>
      <c r="T223" s="494" t="str">
        <f t="shared" ca="1" si="15"/>
        <v/>
      </c>
      <c r="U223" s="275"/>
      <c r="V223" s="499" t="str">
        <f ca="1">IF('CDO Bespoke'!C248&lt;&gt;"",'CDO Bespoke'!C248,"")</f>
        <v/>
      </c>
      <c r="W223" s="501" t="str" cm="1">
        <f t="array" aca="1" ref="W223" ca="1">IF($V223&lt;&gt;"",-TRANSPOSE(INDEX(getcds('CDO Bespoke'!$C248,W$13,'CDO Bespoke'!$G248/10000,'CDO Bespoke'!F248,'CDO Bespoke'!$L224,'CDO Bespoke'!$C$13,'CDO Bespoke'!$C$14,'CDO Bespoke'!$C$15,'CDO Bespoke'!$C$8,,,TRUE,TRUE,FALSE,'CDO Bespoke'!$C$29:'CDO Bespoke'!$C$31,'CDO Bespoke'!$C$33),{5})),"")</f>
        <v/>
      </c>
      <c r="X223" s="527" t="str" cm="1">
        <f t="array" aca="1" ref="X223" ca="1">IF($V223&lt;&gt;"",-TRANSPOSE(INDEX(getcds('CDO Bespoke'!$C248,X$13,'CDO Bespoke'!$G248/10000,'CDO Bespoke'!G248,'CDO Bespoke'!$L224,'CDO Bespoke'!$C$13,'CDO Bespoke'!$C$14,'CDO Bespoke'!$C$15,'CDO Bespoke'!$C$8,,,TRUE,TRUE,FALSE,'CDO Bespoke'!$C$29:'CDO Bespoke'!$C$31,'CDO Bespoke'!$C$33),{5})),"")</f>
        <v/>
      </c>
      <c r="Y223" s="527" t="str" cm="1">
        <f t="array" aca="1" ref="Y223" ca="1">IF($V223&lt;&gt;"",-TRANSPOSE(INDEX(getcds('CDO Bespoke'!$C248,Y$13,'CDO Bespoke'!$G248/10000,'CDO Bespoke'!H248,'CDO Bespoke'!$L224,'CDO Bespoke'!$C$13,'CDO Bespoke'!$C$14,'CDO Bespoke'!$C$15,'CDO Bespoke'!$C$8,,,TRUE,TRUE,FALSE,'CDO Bespoke'!$C$29:'CDO Bespoke'!$C$31,'CDO Bespoke'!$C$33),{5})),"")</f>
        <v/>
      </c>
      <c r="Z223" s="527" t="str" cm="1">
        <f t="array" aca="1" ref="Z223" ca="1">IF($V223&lt;&gt;"",-TRANSPOSE(INDEX(getcds('CDO Bespoke'!$C248,Z$13,'CDO Bespoke'!$G248/10000,'CDO Bespoke'!I248,'CDO Bespoke'!$L224,'CDO Bespoke'!$C$13,'CDO Bespoke'!$C$14,'CDO Bespoke'!$C$15,'CDO Bespoke'!$C$8,,,TRUE,TRUE,FALSE,'CDO Bespoke'!$C$29:'CDO Bespoke'!$C$31,'CDO Bespoke'!$C$33),{5})),"")</f>
        <v/>
      </c>
      <c r="AA223" s="502" t="str" cm="1">
        <f t="array" aca="1" ref="AA223" ca="1">IF($V223&lt;&gt;"",-TRANSPOSE(INDEX(getcds('CDO Bespoke'!$C248,AA$13,'CDO Bespoke'!$G248/10000,'CDO Bespoke'!J248,'CDO Bespoke'!$L224,'CDO Bespoke'!$C$13,'CDO Bespoke'!$C$14,'CDO Bespoke'!$C$15,'CDO Bespoke'!$C$8,,,TRUE,TRUE,FALSE,'CDO Bespoke'!$C$29:'CDO Bespoke'!$C$31,'CDO Bespoke'!$C$33),{5})),"")</f>
        <v/>
      </c>
      <c r="AB223" s="481"/>
      <c r="AC223" s="517"/>
      <c r="AD223" s="518"/>
      <c r="AE223" s="518"/>
      <c r="AF223" s="518"/>
      <c r="AG223" s="518"/>
      <c r="AH223" s="518"/>
      <c r="AI223" s="518"/>
      <c r="AJ223" s="518"/>
      <c r="AK223" s="518"/>
      <c r="AL223" s="519"/>
      <c r="AM223" s="540"/>
    </row>
    <row r="224" spans="2:39" ht="12" thickBot="1">
      <c r="B224" s="541" t="s">
        <v>573</v>
      </c>
      <c r="C224" s="542" t="s">
        <v>66</v>
      </c>
      <c r="D224" s="542" t="s">
        <v>57</v>
      </c>
      <c r="E224" s="542" t="s">
        <v>663</v>
      </c>
      <c r="F224" s="542" t="s">
        <v>671</v>
      </c>
      <c r="G224" s="549">
        <v>0.01</v>
      </c>
      <c r="H224" s="549">
        <v>4.4660000000000004E-3</v>
      </c>
      <c r="I224" s="551">
        <v>0.4</v>
      </c>
      <c r="J224" s="543">
        <v>67</v>
      </c>
      <c r="K224" s="275"/>
      <c r="L224" s="275"/>
      <c r="M224" s="489" t="str">
        <f ca="1">IF('CDO Bespoke'!O225&lt;&gt;"",'CDO Bespoke'!O225,"")</f>
        <v/>
      </c>
      <c r="N224" s="490" t="str">
        <f ca="1">IF(M224&lt;&gt;"",ABS(MIN(-0.75*('CDO Bespoke'!Q225)+'CDO Bespoke'!T225,0)),"")</f>
        <v/>
      </c>
      <c r="O224" s="490" t="str">
        <f t="shared" ca="1" si="12"/>
        <v/>
      </c>
      <c r="P224" s="490" t="str">
        <f t="shared" ca="1" si="13"/>
        <v/>
      </c>
      <c r="Q224" s="489" t="str">
        <f ca="1">IF('CDO Bespoke'!O225&lt;&gt;"",'CDO Bespoke'!O225,"")</f>
        <v/>
      </c>
      <c r="R224" s="490" t="str">
        <f ca="1">IF(Q224&lt;&gt;"",ABS(MIN(-0.75*('CDO Bespoke'!K225)+'CDO Bespoke'!T225,0)),"")</f>
        <v/>
      </c>
      <c r="S224" s="490" t="str">
        <f t="shared" ca="1" si="14"/>
        <v/>
      </c>
      <c r="T224" s="494" t="str">
        <f t="shared" ca="1" si="15"/>
        <v/>
      </c>
      <c r="U224" s="275"/>
      <c r="V224" s="499" t="str">
        <f ca="1">IF('CDO Bespoke'!C249&lt;&gt;"",'CDO Bespoke'!C249,"")</f>
        <v/>
      </c>
      <c r="W224" s="501" t="str" cm="1">
        <f t="array" aca="1" ref="W224" ca="1">IF($V224&lt;&gt;"",-TRANSPOSE(INDEX(getcds('CDO Bespoke'!$C249,W$13,'CDO Bespoke'!$G249/10000,'CDO Bespoke'!F249,'CDO Bespoke'!$L225,'CDO Bespoke'!$C$13,'CDO Bespoke'!$C$14,'CDO Bespoke'!$C$15,'CDO Bespoke'!$C$8,,,TRUE,TRUE,FALSE,'CDO Bespoke'!$C$29:'CDO Bespoke'!$C$31,'CDO Bespoke'!$C$33),{5})),"")</f>
        <v/>
      </c>
      <c r="X224" s="527" t="str" cm="1">
        <f t="array" aca="1" ref="X224" ca="1">IF($V224&lt;&gt;"",-TRANSPOSE(INDEX(getcds('CDO Bespoke'!$C249,X$13,'CDO Bespoke'!$G249/10000,'CDO Bespoke'!G249,'CDO Bespoke'!$L225,'CDO Bespoke'!$C$13,'CDO Bespoke'!$C$14,'CDO Bespoke'!$C$15,'CDO Bespoke'!$C$8,,,TRUE,TRUE,FALSE,'CDO Bespoke'!$C$29:'CDO Bespoke'!$C$31,'CDO Bespoke'!$C$33),{5})),"")</f>
        <v/>
      </c>
      <c r="Y224" s="527" t="str" cm="1">
        <f t="array" aca="1" ref="Y224" ca="1">IF($V224&lt;&gt;"",-TRANSPOSE(INDEX(getcds('CDO Bespoke'!$C249,Y$13,'CDO Bespoke'!$G249/10000,'CDO Bespoke'!H249,'CDO Bespoke'!$L225,'CDO Bespoke'!$C$13,'CDO Bespoke'!$C$14,'CDO Bespoke'!$C$15,'CDO Bespoke'!$C$8,,,TRUE,TRUE,FALSE,'CDO Bespoke'!$C$29:'CDO Bespoke'!$C$31,'CDO Bespoke'!$C$33),{5})),"")</f>
        <v/>
      </c>
      <c r="Z224" s="527" t="str" cm="1">
        <f t="array" aca="1" ref="Z224" ca="1">IF($V224&lt;&gt;"",-TRANSPOSE(INDEX(getcds('CDO Bespoke'!$C249,Z$13,'CDO Bespoke'!$G249/10000,'CDO Bespoke'!I249,'CDO Bespoke'!$L225,'CDO Bespoke'!$C$13,'CDO Bespoke'!$C$14,'CDO Bespoke'!$C$15,'CDO Bespoke'!$C$8,,,TRUE,TRUE,FALSE,'CDO Bespoke'!$C$29:'CDO Bespoke'!$C$31,'CDO Bespoke'!$C$33),{5})),"")</f>
        <v/>
      </c>
      <c r="AA224" s="502" t="str" cm="1">
        <f t="array" aca="1" ref="AA224" ca="1">IF($V224&lt;&gt;"",-TRANSPOSE(INDEX(getcds('CDO Bespoke'!$C249,AA$13,'CDO Bespoke'!$G249/10000,'CDO Bespoke'!J249,'CDO Bespoke'!$L225,'CDO Bespoke'!$C$13,'CDO Bespoke'!$C$14,'CDO Bespoke'!$C$15,'CDO Bespoke'!$C$8,,,TRUE,TRUE,FALSE,'CDO Bespoke'!$C$29:'CDO Bespoke'!$C$31,'CDO Bespoke'!$C$33),{5})),"")</f>
        <v/>
      </c>
      <c r="AB224" s="481"/>
      <c r="AC224" s="517"/>
      <c r="AD224" s="518"/>
      <c r="AE224" s="518"/>
      <c r="AF224" s="518"/>
      <c r="AG224" s="518"/>
      <c r="AH224" s="518"/>
      <c r="AI224" s="518"/>
      <c r="AJ224" s="518"/>
      <c r="AK224" s="518"/>
      <c r="AL224" s="519"/>
      <c r="AM224" s="540"/>
    </row>
    <row r="225" spans="2:39" ht="12" thickBot="1">
      <c r="B225" s="558" t="s">
        <v>573</v>
      </c>
      <c r="C225" s="559" t="s">
        <v>66</v>
      </c>
      <c r="D225" s="559" t="s">
        <v>59</v>
      </c>
      <c r="E225" s="559" t="s">
        <v>663</v>
      </c>
      <c r="F225" s="559" t="s">
        <v>671</v>
      </c>
      <c r="G225" s="560">
        <v>0.01</v>
      </c>
      <c r="H225" s="560">
        <v>5.9670000000000001E-3</v>
      </c>
      <c r="I225" s="561">
        <v>0.4</v>
      </c>
      <c r="J225" s="562">
        <v>67</v>
      </c>
      <c r="K225" s="275"/>
      <c r="L225" s="275"/>
      <c r="M225" s="489" t="str">
        <f ca="1">IF('CDO Bespoke'!O226&lt;&gt;"",'CDO Bespoke'!O226,"")</f>
        <v/>
      </c>
      <c r="N225" s="490" t="str">
        <f ca="1">IF(M225&lt;&gt;"",ABS(MIN(-0.75*('CDO Bespoke'!Q226)+'CDO Bespoke'!T226,0)),"")</f>
        <v/>
      </c>
      <c r="O225" s="490" t="str">
        <f t="shared" ca="1" si="12"/>
        <v/>
      </c>
      <c r="P225" s="490" t="str">
        <f t="shared" ca="1" si="13"/>
        <v/>
      </c>
      <c r="Q225" s="489" t="str">
        <f ca="1">IF('CDO Bespoke'!O226&lt;&gt;"",'CDO Bespoke'!O226,"")</f>
        <v/>
      </c>
      <c r="R225" s="490" t="str">
        <f ca="1">IF(Q225&lt;&gt;"",ABS(MIN(-0.75*('CDO Bespoke'!K226)+'CDO Bespoke'!T226,0)),"")</f>
        <v/>
      </c>
      <c r="S225" s="490" t="str">
        <f t="shared" ca="1" si="14"/>
        <v/>
      </c>
      <c r="T225" s="494" t="str">
        <f t="shared" ca="1" si="15"/>
        <v/>
      </c>
      <c r="U225" s="275"/>
      <c r="V225" s="499" t="str">
        <f ca="1">IF('CDO Bespoke'!C250&lt;&gt;"",'CDO Bespoke'!C250,"")</f>
        <v/>
      </c>
      <c r="W225" s="501" t="str" cm="1">
        <f t="array" aca="1" ref="W225" ca="1">IF($V225&lt;&gt;"",-TRANSPOSE(INDEX(getcds('CDO Bespoke'!$C250,W$13,'CDO Bespoke'!$G250/10000,'CDO Bespoke'!F250,'CDO Bespoke'!$L226,'CDO Bespoke'!$C$13,'CDO Bespoke'!$C$14,'CDO Bespoke'!$C$15,'CDO Bespoke'!$C$8,,,TRUE,TRUE,FALSE,'CDO Bespoke'!$C$29:'CDO Bespoke'!$C$31,'CDO Bespoke'!$C$33),{5})),"")</f>
        <v/>
      </c>
      <c r="X225" s="527" t="str" cm="1">
        <f t="array" aca="1" ref="X225" ca="1">IF($V225&lt;&gt;"",-TRANSPOSE(INDEX(getcds('CDO Bespoke'!$C250,X$13,'CDO Bespoke'!$G250/10000,'CDO Bespoke'!G250,'CDO Bespoke'!$L226,'CDO Bespoke'!$C$13,'CDO Bespoke'!$C$14,'CDO Bespoke'!$C$15,'CDO Bespoke'!$C$8,,,TRUE,TRUE,FALSE,'CDO Bespoke'!$C$29:'CDO Bespoke'!$C$31,'CDO Bespoke'!$C$33),{5})),"")</f>
        <v/>
      </c>
      <c r="Y225" s="527" t="str" cm="1">
        <f t="array" aca="1" ref="Y225" ca="1">IF($V225&lt;&gt;"",-TRANSPOSE(INDEX(getcds('CDO Bespoke'!$C250,Y$13,'CDO Bespoke'!$G250/10000,'CDO Bespoke'!H250,'CDO Bespoke'!$L226,'CDO Bespoke'!$C$13,'CDO Bespoke'!$C$14,'CDO Bespoke'!$C$15,'CDO Bespoke'!$C$8,,,TRUE,TRUE,FALSE,'CDO Bespoke'!$C$29:'CDO Bespoke'!$C$31,'CDO Bespoke'!$C$33),{5})),"")</f>
        <v/>
      </c>
      <c r="Z225" s="527" t="str" cm="1">
        <f t="array" aca="1" ref="Z225" ca="1">IF($V225&lt;&gt;"",-TRANSPOSE(INDEX(getcds('CDO Bespoke'!$C250,Z$13,'CDO Bespoke'!$G250/10000,'CDO Bespoke'!I250,'CDO Bespoke'!$L226,'CDO Bespoke'!$C$13,'CDO Bespoke'!$C$14,'CDO Bespoke'!$C$15,'CDO Bespoke'!$C$8,,,TRUE,TRUE,FALSE,'CDO Bespoke'!$C$29:'CDO Bespoke'!$C$31,'CDO Bespoke'!$C$33),{5})),"")</f>
        <v/>
      </c>
      <c r="AA225" s="502" t="str" cm="1">
        <f t="array" aca="1" ref="AA225" ca="1">IF($V225&lt;&gt;"",-TRANSPOSE(INDEX(getcds('CDO Bespoke'!$C250,AA$13,'CDO Bespoke'!$G250/10000,'CDO Bespoke'!J250,'CDO Bespoke'!$L226,'CDO Bespoke'!$C$13,'CDO Bespoke'!$C$14,'CDO Bespoke'!$C$15,'CDO Bespoke'!$C$8,,,TRUE,TRUE,FALSE,'CDO Bespoke'!$C$29:'CDO Bespoke'!$C$31,'CDO Bespoke'!$C$33),{5})),"")</f>
        <v/>
      </c>
      <c r="AB225" s="481"/>
      <c r="AC225" s="517"/>
      <c r="AD225" s="518"/>
      <c r="AE225" s="518"/>
      <c r="AF225" s="518"/>
      <c r="AG225" s="518"/>
      <c r="AH225" s="518"/>
      <c r="AI225" s="518"/>
      <c r="AJ225" s="518"/>
      <c r="AK225" s="518"/>
      <c r="AL225" s="519"/>
      <c r="AM225" s="540"/>
    </row>
    <row r="226" spans="2:39" ht="12" thickBot="1">
      <c r="B226" s="563" t="s">
        <v>574</v>
      </c>
      <c r="C226" s="564" t="s">
        <v>66</v>
      </c>
      <c r="D226" s="564" t="s">
        <v>55</v>
      </c>
      <c r="E226" s="564" t="s">
        <v>661</v>
      </c>
      <c r="F226" s="564" t="s">
        <v>670</v>
      </c>
      <c r="G226" s="565">
        <v>0.01</v>
      </c>
      <c r="H226" s="565">
        <v>3.4719999999999998E-3</v>
      </c>
      <c r="I226" s="566">
        <v>0.4</v>
      </c>
      <c r="J226" s="567">
        <v>68</v>
      </c>
      <c r="K226" s="275"/>
      <c r="L226" s="275"/>
      <c r="M226" s="489" t="str">
        <f ca="1">IF('CDO Bespoke'!O227&lt;&gt;"",'CDO Bespoke'!O227,"")</f>
        <v/>
      </c>
      <c r="N226" s="490" t="str">
        <f ca="1">IF(M226&lt;&gt;"",ABS(MIN(-0.75*('CDO Bespoke'!Q227)+'CDO Bespoke'!T227,0)),"")</f>
        <v/>
      </c>
      <c r="O226" s="490" t="str">
        <f t="shared" ca="1" si="12"/>
        <v/>
      </c>
      <c r="P226" s="490" t="str">
        <f t="shared" ca="1" si="13"/>
        <v/>
      </c>
      <c r="Q226" s="489" t="str">
        <f ca="1">IF('CDO Bespoke'!O227&lt;&gt;"",'CDO Bespoke'!O227,"")</f>
        <v/>
      </c>
      <c r="R226" s="490" t="str">
        <f ca="1">IF(Q226&lt;&gt;"",ABS(MIN(-0.75*('CDO Bespoke'!K227)+'CDO Bespoke'!T227,0)),"")</f>
        <v/>
      </c>
      <c r="S226" s="490" t="str">
        <f t="shared" ca="1" si="14"/>
        <v/>
      </c>
      <c r="T226" s="494" t="str">
        <f t="shared" ca="1" si="15"/>
        <v/>
      </c>
      <c r="U226" s="275"/>
      <c r="V226" s="499" t="str">
        <f ca="1">IF('CDO Bespoke'!C251&lt;&gt;"",'CDO Bespoke'!C251,"")</f>
        <v/>
      </c>
      <c r="W226" s="501" t="str" cm="1">
        <f t="array" aca="1" ref="W226" ca="1">IF($V226&lt;&gt;"",-TRANSPOSE(INDEX(getcds('CDO Bespoke'!$C251,W$13,'CDO Bespoke'!$G251/10000,'CDO Bespoke'!F251,'CDO Bespoke'!$L227,'CDO Bespoke'!$C$13,'CDO Bespoke'!$C$14,'CDO Bespoke'!$C$15,'CDO Bespoke'!$C$8,,,TRUE,TRUE,FALSE,'CDO Bespoke'!$C$29:'CDO Bespoke'!$C$31,'CDO Bespoke'!$C$33),{5})),"")</f>
        <v/>
      </c>
      <c r="X226" s="527" t="str" cm="1">
        <f t="array" aca="1" ref="X226" ca="1">IF($V226&lt;&gt;"",-TRANSPOSE(INDEX(getcds('CDO Bespoke'!$C251,X$13,'CDO Bespoke'!$G251/10000,'CDO Bespoke'!G251,'CDO Bespoke'!$L227,'CDO Bespoke'!$C$13,'CDO Bespoke'!$C$14,'CDO Bespoke'!$C$15,'CDO Bespoke'!$C$8,,,TRUE,TRUE,FALSE,'CDO Bespoke'!$C$29:'CDO Bespoke'!$C$31,'CDO Bespoke'!$C$33),{5})),"")</f>
        <v/>
      </c>
      <c r="Y226" s="527" t="str" cm="1">
        <f t="array" aca="1" ref="Y226" ca="1">IF($V226&lt;&gt;"",-TRANSPOSE(INDEX(getcds('CDO Bespoke'!$C251,Y$13,'CDO Bespoke'!$G251/10000,'CDO Bespoke'!H251,'CDO Bespoke'!$L227,'CDO Bespoke'!$C$13,'CDO Bespoke'!$C$14,'CDO Bespoke'!$C$15,'CDO Bespoke'!$C$8,,,TRUE,TRUE,FALSE,'CDO Bespoke'!$C$29:'CDO Bespoke'!$C$31,'CDO Bespoke'!$C$33),{5})),"")</f>
        <v/>
      </c>
      <c r="Z226" s="527" t="str" cm="1">
        <f t="array" aca="1" ref="Z226" ca="1">IF($V226&lt;&gt;"",-TRANSPOSE(INDEX(getcds('CDO Bespoke'!$C251,Z$13,'CDO Bespoke'!$G251/10000,'CDO Bespoke'!I251,'CDO Bespoke'!$L227,'CDO Bespoke'!$C$13,'CDO Bespoke'!$C$14,'CDO Bespoke'!$C$15,'CDO Bespoke'!$C$8,,,TRUE,TRUE,FALSE,'CDO Bespoke'!$C$29:'CDO Bespoke'!$C$31,'CDO Bespoke'!$C$33),{5})),"")</f>
        <v/>
      </c>
      <c r="AA226" s="502" t="str" cm="1">
        <f t="array" aca="1" ref="AA226" ca="1">IF($V226&lt;&gt;"",-TRANSPOSE(INDEX(getcds('CDO Bespoke'!$C251,AA$13,'CDO Bespoke'!$G251/10000,'CDO Bespoke'!J251,'CDO Bespoke'!$L227,'CDO Bespoke'!$C$13,'CDO Bespoke'!$C$14,'CDO Bespoke'!$C$15,'CDO Bespoke'!$C$8,,,TRUE,TRUE,FALSE,'CDO Bespoke'!$C$29:'CDO Bespoke'!$C$31,'CDO Bespoke'!$C$33),{5})),"")</f>
        <v/>
      </c>
      <c r="AB226" s="481"/>
      <c r="AC226" s="517"/>
      <c r="AD226" s="518"/>
      <c r="AE226" s="518"/>
      <c r="AF226" s="518"/>
      <c r="AG226" s="518"/>
      <c r="AH226" s="518"/>
      <c r="AI226" s="518"/>
      <c r="AJ226" s="518"/>
      <c r="AK226" s="518"/>
      <c r="AL226" s="519"/>
      <c r="AM226" s="540"/>
    </row>
    <row r="227" spans="2:39" ht="12" thickBot="1">
      <c r="B227" s="541" t="s">
        <v>574</v>
      </c>
      <c r="C227" s="542" t="s">
        <v>66</v>
      </c>
      <c r="D227" s="542" t="s">
        <v>57</v>
      </c>
      <c r="E227" s="542" t="s">
        <v>661</v>
      </c>
      <c r="F227" s="542" t="s">
        <v>670</v>
      </c>
      <c r="G227" s="549">
        <v>0.01</v>
      </c>
      <c r="H227" s="549">
        <v>5.6010000000000001E-3</v>
      </c>
      <c r="I227" s="551">
        <v>0.4</v>
      </c>
      <c r="J227" s="543">
        <v>68</v>
      </c>
      <c r="K227" s="275"/>
      <c r="L227" s="275"/>
      <c r="M227" s="489" t="str">
        <f ca="1">IF('CDO Bespoke'!O228&lt;&gt;"",'CDO Bespoke'!O228,"")</f>
        <v/>
      </c>
      <c r="N227" s="490" t="str">
        <f ca="1">IF(M227&lt;&gt;"",ABS(MIN(-0.75*('CDO Bespoke'!Q228)+'CDO Bespoke'!T228,0)),"")</f>
        <v/>
      </c>
      <c r="O227" s="490" t="str">
        <f t="shared" ca="1" si="12"/>
        <v/>
      </c>
      <c r="P227" s="490" t="str">
        <f t="shared" ca="1" si="13"/>
        <v/>
      </c>
      <c r="Q227" s="489" t="str">
        <f ca="1">IF('CDO Bespoke'!O228&lt;&gt;"",'CDO Bespoke'!O228,"")</f>
        <v/>
      </c>
      <c r="R227" s="490" t="str">
        <f ca="1">IF(Q227&lt;&gt;"",ABS(MIN(-0.75*('CDO Bespoke'!K228)+'CDO Bespoke'!T228,0)),"")</f>
        <v/>
      </c>
      <c r="S227" s="490" t="str">
        <f t="shared" ca="1" si="14"/>
        <v/>
      </c>
      <c r="T227" s="494" t="str">
        <f t="shared" ca="1" si="15"/>
        <v/>
      </c>
      <c r="U227" s="275"/>
      <c r="V227" s="499" t="str">
        <f ca="1">IF('CDO Bespoke'!C252&lt;&gt;"",'CDO Bespoke'!C252,"")</f>
        <v/>
      </c>
      <c r="W227" s="501" t="str" cm="1">
        <f t="array" aca="1" ref="W227" ca="1">IF($V227&lt;&gt;"",-TRANSPOSE(INDEX(getcds('CDO Bespoke'!$C252,W$13,'CDO Bespoke'!$G252/10000,'CDO Bespoke'!F252,'CDO Bespoke'!$L228,'CDO Bespoke'!$C$13,'CDO Bespoke'!$C$14,'CDO Bespoke'!$C$15,'CDO Bespoke'!$C$8,,,TRUE,TRUE,FALSE,'CDO Bespoke'!$C$29:'CDO Bespoke'!$C$31,'CDO Bespoke'!$C$33),{5})),"")</f>
        <v/>
      </c>
      <c r="X227" s="527" t="str" cm="1">
        <f t="array" aca="1" ref="X227" ca="1">IF($V227&lt;&gt;"",-TRANSPOSE(INDEX(getcds('CDO Bespoke'!$C252,X$13,'CDO Bespoke'!$G252/10000,'CDO Bespoke'!G252,'CDO Bespoke'!$L228,'CDO Bespoke'!$C$13,'CDO Bespoke'!$C$14,'CDO Bespoke'!$C$15,'CDO Bespoke'!$C$8,,,TRUE,TRUE,FALSE,'CDO Bespoke'!$C$29:'CDO Bespoke'!$C$31,'CDO Bespoke'!$C$33),{5})),"")</f>
        <v/>
      </c>
      <c r="Y227" s="527" t="str" cm="1">
        <f t="array" aca="1" ref="Y227" ca="1">IF($V227&lt;&gt;"",-TRANSPOSE(INDEX(getcds('CDO Bespoke'!$C252,Y$13,'CDO Bespoke'!$G252/10000,'CDO Bespoke'!H252,'CDO Bespoke'!$L228,'CDO Bespoke'!$C$13,'CDO Bespoke'!$C$14,'CDO Bespoke'!$C$15,'CDO Bespoke'!$C$8,,,TRUE,TRUE,FALSE,'CDO Bespoke'!$C$29:'CDO Bespoke'!$C$31,'CDO Bespoke'!$C$33),{5})),"")</f>
        <v/>
      </c>
      <c r="Z227" s="527" t="str" cm="1">
        <f t="array" aca="1" ref="Z227" ca="1">IF($V227&lt;&gt;"",-TRANSPOSE(INDEX(getcds('CDO Bespoke'!$C252,Z$13,'CDO Bespoke'!$G252/10000,'CDO Bespoke'!I252,'CDO Bespoke'!$L228,'CDO Bespoke'!$C$13,'CDO Bespoke'!$C$14,'CDO Bespoke'!$C$15,'CDO Bespoke'!$C$8,,,TRUE,TRUE,FALSE,'CDO Bespoke'!$C$29:'CDO Bespoke'!$C$31,'CDO Bespoke'!$C$33),{5})),"")</f>
        <v/>
      </c>
      <c r="AA227" s="502" t="str" cm="1">
        <f t="array" aca="1" ref="AA227" ca="1">IF($V227&lt;&gt;"",-TRANSPOSE(INDEX(getcds('CDO Bespoke'!$C252,AA$13,'CDO Bespoke'!$G252/10000,'CDO Bespoke'!J252,'CDO Bespoke'!$L228,'CDO Bespoke'!$C$13,'CDO Bespoke'!$C$14,'CDO Bespoke'!$C$15,'CDO Bespoke'!$C$8,,,TRUE,TRUE,FALSE,'CDO Bespoke'!$C$29:'CDO Bespoke'!$C$31,'CDO Bespoke'!$C$33),{5})),"")</f>
        <v/>
      </c>
      <c r="AB227" s="481"/>
      <c r="AC227" s="517"/>
      <c r="AD227" s="518"/>
      <c r="AE227" s="518"/>
      <c r="AF227" s="518"/>
      <c r="AG227" s="518"/>
      <c r="AH227" s="518"/>
      <c r="AI227" s="518"/>
      <c r="AJ227" s="518"/>
      <c r="AK227" s="518"/>
      <c r="AL227" s="519"/>
      <c r="AM227" s="540"/>
    </row>
    <row r="228" spans="2:39" ht="12" thickBot="1">
      <c r="B228" s="558" t="s">
        <v>574</v>
      </c>
      <c r="C228" s="559" t="s">
        <v>66</v>
      </c>
      <c r="D228" s="559" t="s">
        <v>59</v>
      </c>
      <c r="E228" s="559" t="s">
        <v>661</v>
      </c>
      <c r="F228" s="559" t="s">
        <v>670</v>
      </c>
      <c r="G228" s="560">
        <v>0.01</v>
      </c>
      <c r="H228" s="560">
        <v>7.7669999999999996E-3</v>
      </c>
      <c r="I228" s="561">
        <v>0.4</v>
      </c>
      <c r="J228" s="562">
        <v>68</v>
      </c>
      <c r="K228" s="275"/>
      <c r="L228" s="275"/>
      <c r="M228" s="489" t="str">
        <f ca="1">IF('CDO Bespoke'!O229&lt;&gt;"",'CDO Bespoke'!O229,"")</f>
        <v/>
      </c>
      <c r="N228" s="490" t="str">
        <f ca="1">IF(M228&lt;&gt;"",ABS(MIN(-0.75*('CDO Bespoke'!Q229)+'CDO Bespoke'!T229,0)),"")</f>
        <v/>
      </c>
      <c r="O228" s="490" t="str">
        <f t="shared" ca="1" si="12"/>
        <v/>
      </c>
      <c r="P228" s="490" t="str">
        <f t="shared" ca="1" si="13"/>
        <v/>
      </c>
      <c r="Q228" s="489" t="str">
        <f ca="1">IF('CDO Bespoke'!O229&lt;&gt;"",'CDO Bespoke'!O229,"")</f>
        <v/>
      </c>
      <c r="R228" s="490" t="str">
        <f ca="1">IF(Q228&lt;&gt;"",ABS(MIN(-0.75*('CDO Bespoke'!K229)+'CDO Bespoke'!T229,0)),"")</f>
        <v/>
      </c>
      <c r="S228" s="490" t="str">
        <f t="shared" ca="1" si="14"/>
        <v/>
      </c>
      <c r="T228" s="494" t="str">
        <f t="shared" ca="1" si="15"/>
        <v/>
      </c>
      <c r="U228" s="275"/>
      <c r="V228" s="499" t="str">
        <f ca="1">IF('CDO Bespoke'!C253&lt;&gt;"",'CDO Bespoke'!C253,"")</f>
        <v/>
      </c>
      <c r="W228" s="501" t="str" cm="1">
        <f t="array" aca="1" ref="W228" ca="1">IF($V228&lt;&gt;"",-TRANSPOSE(INDEX(getcds('CDO Bespoke'!$C253,W$13,'CDO Bespoke'!$G253/10000,'CDO Bespoke'!F253,'CDO Bespoke'!$L229,'CDO Bespoke'!$C$13,'CDO Bespoke'!$C$14,'CDO Bespoke'!$C$15,'CDO Bespoke'!$C$8,,,TRUE,TRUE,FALSE,'CDO Bespoke'!$C$29:'CDO Bespoke'!$C$31,'CDO Bespoke'!$C$33),{5})),"")</f>
        <v/>
      </c>
      <c r="X228" s="527" t="str" cm="1">
        <f t="array" aca="1" ref="X228" ca="1">IF($V228&lt;&gt;"",-TRANSPOSE(INDEX(getcds('CDO Bespoke'!$C253,X$13,'CDO Bespoke'!$G253/10000,'CDO Bespoke'!G253,'CDO Bespoke'!$L229,'CDO Bespoke'!$C$13,'CDO Bespoke'!$C$14,'CDO Bespoke'!$C$15,'CDO Bespoke'!$C$8,,,TRUE,TRUE,FALSE,'CDO Bespoke'!$C$29:'CDO Bespoke'!$C$31,'CDO Bespoke'!$C$33),{5})),"")</f>
        <v/>
      </c>
      <c r="Y228" s="527" t="str" cm="1">
        <f t="array" aca="1" ref="Y228" ca="1">IF($V228&lt;&gt;"",-TRANSPOSE(INDEX(getcds('CDO Bespoke'!$C253,Y$13,'CDO Bespoke'!$G253/10000,'CDO Bespoke'!H253,'CDO Bespoke'!$L229,'CDO Bespoke'!$C$13,'CDO Bespoke'!$C$14,'CDO Bespoke'!$C$15,'CDO Bespoke'!$C$8,,,TRUE,TRUE,FALSE,'CDO Bespoke'!$C$29:'CDO Bespoke'!$C$31,'CDO Bespoke'!$C$33),{5})),"")</f>
        <v/>
      </c>
      <c r="Z228" s="527" t="str" cm="1">
        <f t="array" aca="1" ref="Z228" ca="1">IF($V228&lt;&gt;"",-TRANSPOSE(INDEX(getcds('CDO Bespoke'!$C253,Z$13,'CDO Bespoke'!$G253/10000,'CDO Bespoke'!I253,'CDO Bespoke'!$L229,'CDO Bespoke'!$C$13,'CDO Bespoke'!$C$14,'CDO Bespoke'!$C$15,'CDO Bespoke'!$C$8,,,TRUE,TRUE,FALSE,'CDO Bespoke'!$C$29:'CDO Bespoke'!$C$31,'CDO Bespoke'!$C$33),{5})),"")</f>
        <v/>
      </c>
      <c r="AA228" s="502" t="str" cm="1">
        <f t="array" aca="1" ref="AA228" ca="1">IF($V228&lt;&gt;"",-TRANSPOSE(INDEX(getcds('CDO Bespoke'!$C253,AA$13,'CDO Bespoke'!$G253/10000,'CDO Bespoke'!J253,'CDO Bespoke'!$L229,'CDO Bespoke'!$C$13,'CDO Bespoke'!$C$14,'CDO Bespoke'!$C$15,'CDO Bespoke'!$C$8,,,TRUE,TRUE,FALSE,'CDO Bespoke'!$C$29:'CDO Bespoke'!$C$31,'CDO Bespoke'!$C$33),{5})),"")</f>
        <v/>
      </c>
      <c r="AB228" s="481"/>
      <c r="AC228" s="517"/>
      <c r="AD228" s="518"/>
      <c r="AE228" s="518"/>
      <c r="AF228" s="518"/>
      <c r="AG228" s="518"/>
      <c r="AH228" s="518"/>
      <c r="AI228" s="518"/>
      <c r="AJ228" s="518"/>
      <c r="AK228" s="518"/>
      <c r="AL228" s="519"/>
      <c r="AM228" s="540"/>
    </row>
    <row r="229" spans="2:39" ht="12" thickBot="1">
      <c r="B229" s="563" t="s">
        <v>583</v>
      </c>
      <c r="C229" s="564" t="s">
        <v>66</v>
      </c>
      <c r="D229" s="564" t="s">
        <v>55</v>
      </c>
      <c r="E229" s="564" t="s">
        <v>668</v>
      </c>
      <c r="F229" s="564" t="s">
        <v>670</v>
      </c>
      <c r="G229" s="565">
        <v>0.01</v>
      </c>
      <c r="H229" s="565">
        <v>1.7849999999999999E-3</v>
      </c>
      <c r="I229" s="566">
        <v>0.4</v>
      </c>
      <c r="J229" s="567">
        <v>69</v>
      </c>
      <c r="K229" s="275"/>
      <c r="L229" s="275"/>
      <c r="M229" s="489" t="str">
        <f ca="1">IF('CDO Bespoke'!O230&lt;&gt;"",'CDO Bespoke'!O230,"")</f>
        <v/>
      </c>
      <c r="N229" s="490" t="str">
        <f ca="1">IF(M229&lt;&gt;"",ABS(MIN(-0.75*('CDO Bespoke'!Q230)+'CDO Bespoke'!T230,0)),"")</f>
        <v/>
      </c>
      <c r="O229" s="490" t="str">
        <f t="shared" ca="1" si="12"/>
        <v/>
      </c>
      <c r="P229" s="490" t="str">
        <f t="shared" ca="1" si="13"/>
        <v/>
      </c>
      <c r="Q229" s="489" t="str">
        <f ca="1">IF('CDO Bespoke'!O230&lt;&gt;"",'CDO Bespoke'!O230,"")</f>
        <v/>
      </c>
      <c r="R229" s="490" t="str">
        <f ca="1">IF(Q229&lt;&gt;"",ABS(MIN(-0.75*('CDO Bespoke'!K230)+'CDO Bespoke'!T230,0)),"")</f>
        <v/>
      </c>
      <c r="S229" s="490" t="str">
        <f t="shared" ca="1" si="14"/>
        <v/>
      </c>
      <c r="T229" s="494" t="str">
        <f t="shared" ca="1" si="15"/>
        <v/>
      </c>
      <c r="U229" s="275"/>
      <c r="V229" s="499" t="str">
        <f ca="1">IF('CDO Bespoke'!C254&lt;&gt;"",'CDO Bespoke'!C254,"")</f>
        <v/>
      </c>
      <c r="W229" s="501" t="str" cm="1">
        <f t="array" aca="1" ref="W229" ca="1">IF($V229&lt;&gt;"",-TRANSPOSE(INDEX(getcds('CDO Bespoke'!$C254,W$13,'CDO Bespoke'!$G254/10000,'CDO Bespoke'!F254,'CDO Bespoke'!$L230,'CDO Bespoke'!$C$13,'CDO Bespoke'!$C$14,'CDO Bespoke'!$C$15,'CDO Bespoke'!$C$8,,,TRUE,TRUE,FALSE,'CDO Bespoke'!$C$29:'CDO Bespoke'!$C$31,'CDO Bespoke'!$C$33),{5})),"")</f>
        <v/>
      </c>
      <c r="X229" s="527" t="str" cm="1">
        <f t="array" aca="1" ref="X229" ca="1">IF($V229&lt;&gt;"",-TRANSPOSE(INDEX(getcds('CDO Bespoke'!$C254,X$13,'CDO Bespoke'!$G254/10000,'CDO Bespoke'!G254,'CDO Bespoke'!$L230,'CDO Bespoke'!$C$13,'CDO Bespoke'!$C$14,'CDO Bespoke'!$C$15,'CDO Bespoke'!$C$8,,,TRUE,TRUE,FALSE,'CDO Bespoke'!$C$29:'CDO Bespoke'!$C$31,'CDO Bespoke'!$C$33),{5})),"")</f>
        <v/>
      </c>
      <c r="Y229" s="527" t="str" cm="1">
        <f t="array" aca="1" ref="Y229" ca="1">IF($V229&lt;&gt;"",-TRANSPOSE(INDEX(getcds('CDO Bespoke'!$C254,Y$13,'CDO Bespoke'!$G254/10000,'CDO Bespoke'!H254,'CDO Bespoke'!$L230,'CDO Bespoke'!$C$13,'CDO Bespoke'!$C$14,'CDO Bespoke'!$C$15,'CDO Bespoke'!$C$8,,,TRUE,TRUE,FALSE,'CDO Bespoke'!$C$29:'CDO Bespoke'!$C$31,'CDO Bespoke'!$C$33),{5})),"")</f>
        <v/>
      </c>
      <c r="Z229" s="527" t="str" cm="1">
        <f t="array" aca="1" ref="Z229" ca="1">IF($V229&lt;&gt;"",-TRANSPOSE(INDEX(getcds('CDO Bespoke'!$C254,Z$13,'CDO Bespoke'!$G254/10000,'CDO Bespoke'!I254,'CDO Bespoke'!$L230,'CDO Bespoke'!$C$13,'CDO Bespoke'!$C$14,'CDO Bespoke'!$C$15,'CDO Bespoke'!$C$8,,,TRUE,TRUE,FALSE,'CDO Bespoke'!$C$29:'CDO Bespoke'!$C$31,'CDO Bespoke'!$C$33),{5})),"")</f>
        <v/>
      </c>
      <c r="AA229" s="502" t="str" cm="1">
        <f t="array" aca="1" ref="AA229" ca="1">IF($V229&lt;&gt;"",-TRANSPOSE(INDEX(getcds('CDO Bespoke'!$C254,AA$13,'CDO Bespoke'!$G254/10000,'CDO Bespoke'!J254,'CDO Bespoke'!$L230,'CDO Bespoke'!$C$13,'CDO Bespoke'!$C$14,'CDO Bespoke'!$C$15,'CDO Bespoke'!$C$8,,,TRUE,TRUE,FALSE,'CDO Bespoke'!$C$29:'CDO Bespoke'!$C$31,'CDO Bespoke'!$C$33),{5})),"")</f>
        <v/>
      </c>
      <c r="AB229" s="481"/>
      <c r="AC229" s="517"/>
      <c r="AD229" s="518"/>
      <c r="AE229" s="518"/>
      <c r="AF229" s="518"/>
      <c r="AG229" s="518"/>
      <c r="AH229" s="518"/>
      <c r="AI229" s="518"/>
      <c r="AJ229" s="518"/>
      <c r="AK229" s="518"/>
      <c r="AL229" s="519"/>
      <c r="AM229" s="540"/>
    </row>
    <row r="230" spans="2:39" ht="12" thickBot="1">
      <c r="B230" s="541" t="s">
        <v>583</v>
      </c>
      <c r="C230" s="542" t="s">
        <v>66</v>
      </c>
      <c r="D230" s="542" t="s">
        <v>57</v>
      </c>
      <c r="E230" s="542" t="s">
        <v>668</v>
      </c>
      <c r="F230" s="542" t="s">
        <v>670</v>
      </c>
      <c r="G230" s="549">
        <v>0.01</v>
      </c>
      <c r="H230" s="549">
        <v>2.7560000000000002E-3</v>
      </c>
      <c r="I230" s="551">
        <v>0.4</v>
      </c>
      <c r="J230" s="543">
        <v>69</v>
      </c>
      <c r="K230" s="275"/>
      <c r="L230" s="275"/>
      <c r="M230" s="489" t="str">
        <f ca="1">IF('CDO Bespoke'!O231&lt;&gt;"",'CDO Bespoke'!O231,"")</f>
        <v/>
      </c>
      <c r="N230" s="490" t="str">
        <f ca="1">IF(M230&lt;&gt;"",ABS(MIN(-0.75*('CDO Bespoke'!Q231)+'CDO Bespoke'!T231,0)),"")</f>
        <v/>
      </c>
      <c r="O230" s="490" t="str">
        <f t="shared" ca="1" si="12"/>
        <v/>
      </c>
      <c r="P230" s="490" t="str">
        <f t="shared" ca="1" si="13"/>
        <v/>
      </c>
      <c r="Q230" s="489" t="str">
        <f ca="1">IF('CDO Bespoke'!O231&lt;&gt;"",'CDO Bespoke'!O231,"")</f>
        <v/>
      </c>
      <c r="R230" s="490" t="str">
        <f ca="1">IF(Q230&lt;&gt;"",ABS(MIN(-0.75*('CDO Bespoke'!K231)+'CDO Bespoke'!T231,0)),"")</f>
        <v/>
      </c>
      <c r="S230" s="490" t="str">
        <f t="shared" ca="1" si="14"/>
        <v/>
      </c>
      <c r="T230" s="494" t="str">
        <f t="shared" ca="1" si="15"/>
        <v/>
      </c>
      <c r="U230" s="275"/>
      <c r="V230" s="499" t="str">
        <f ca="1">IF('CDO Bespoke'!C255&lt;&gt;"",'CDO Bespoke'!C255,"")</f>
        <v/>
      </c>
      <c r="W230" s="501" t="str" cm="1">
        <f t="array" aca="1" ref="W230" ca="1">IF($V230&lt;&gt;"",-TRANSPOSE(INDEX(getcds('CDO Bespoke'!$C255,W$13,'CDO Bespoke'!$G255/10000,'CDO Bespoke'!F255,'CDO Bespoke'!$L231,'CDO Bespoke'!$C$13,'CDO Bespoke'!$C$14,'CDO Bespoke'!$C$15,'CDO Bespoke'!$C$8,,,TRUE,TRUE,FALSE,'CDO Bespoke'!$C$29:'CDO Bespoke'!$C$31,'CDO Bespoke'!$C$33),{5})),"")</f>
        <v/>
      </c>
      <c r="X230" s="527" t="str" cm="1">
        <f t="array" aca="1" ref="X230" ca="1">IF($V230&lt;&gt;"",-TRANSPOSE(INDEX(getcds('CDO Bespoke'!$C255,X$13,'CDO Bespoke'!$G255/10000,'CDO Bespoke'!G255,'CDO Bespoke'!$L231,'CDO Bespoke'!$C$13,'CDO Bespoke'!$C$14,'CDO Bespoke'!$C$15,'CDO Bespoke'!$C$8,,,TRUE,TRUE,FALSE,'CDO Bespoke'!$C$29:'CDO Bespoke'!$C$31,'CDO Bespoke'!$C$33),{5})),"")</f>
        <v/>
      </c>
      <c r="Y230" s="527" t="str" cm="1">
        <f t="array" aca="1" ref="Y230" ca="1">IF($V230&lt;&gt;"",-TRANSPOSE(INDEX(getcds('CDO Bespoke'!$C255,Y$13,'CDO Bespoke'!$G255/10000,'CDO Bespoke'!H255,'CDO Bespoke'!$L231,'CDO Bespoke'!$C$13,'CDO Bespoke'!$C$14,'CDO Bespoke'!$C$15,'CDO Bespoke'!$C$8,,,TRUE,TRUE,FALSE,'CDO Bespoke'!$C$29:'CDO Bespoke'!$C$31,'CDO Bespoke'!$C$33),{5})),"")</f>
        <v/>
      </c>
      <c r="Z230" s="527" t="str" cm="1">
        <f t="array" aca="1" ref="Z230" ca="1">IF($V230&lt;&gt;"",-TRANSPOSE(INDEX(getcds('CDO Bespoke'!$C255,Z$13,'CDO Bespoke'!$G255/10000,'CDO Bespoke'!I255,'CDO Bespoke'!$L231,'CDO Bespoke'!$C$13,'CDO Bespoke'!$C$14,'CDO Bespoke'!$C$15,'CDO Bespoke'!$C$8,,,TRUE,TRUE,FALSE,'CDO Bespoke'!$C$29:'CDO Bespoke'!$C$31,'CDO Bespoke'!$C$33),{5})),"")</f>
        <v/>
      </c>
      <c r="AA230" s="502" t="str" cm="1">
        <f t="array" aca="1" ref="AA230" ca="1">IF($V230&lt;&gt;"",-TRANSPOSE(INDEX(getcds('CDO Bespoke'!$C255,AA$13,'CDO Bespoke'!$G255/10000,'CDO Bespoke'!J255,'CDO Bespoke'!$L231,'CDO Bespoke'!$C$13,'CDO Bespoke'!$C$14,'CDO Bespoke'!$C$15,'CDO Bespoke'!$C$8,,,TRUE,TRUE,FALSE,'CDO Bespoke'!$C$29:'CDO Bespoke'!$C$31,'CDO Bespoke'!$C$33),{5})),"")</f>
        <v/>
      </c>
      <c r="AB230" s="481"/>
      <c r="AC230" s="517"/>
      <c r="AD230" s="518"/>
      <c r="AE230" s="518"/>
      <c r="AF230" s="518"/>
      <c r="AG230" s="518"/>
      <c r="AH230" s="518"/>
      <c r="AI230" s="518"/>
      <c r="AJ230" s="518"/>
      <c r="AK230" s="518"/>
      <c r="AL230" s="519"/>
      <c r="AM230" s="540"/>
    </row>
    <row r="231" spans="2:39" ht="12" thickBot="1">
      <c r="B231" s="558" t="s">
        <v>583</v>
      </c>
      <c r="C231" s="559" t="s">
        <v>66</v>
      </c>
      <c r="D231" s="559" t="s">
        <v>59</v>
      </c>
      <c r="E231" s="559" t="s">
        <v>668</v>
      </c>
      <c r="F231" s="559" t="s">
        <v>670</v>
      </c>
      <c r="G231" s="560">
        <v>0.01</v>
      </c>
      <c r="H231" s="560">
        <v>3.7669999999999999E-3</v>
      </c>
      <c r="I231" s="561">
        <v>0.4</v>
      </c>
      <c r="J231" s="562">
        <v>69</v>
      </c>
      <c r="K231" s="275"/>
      <c r="L231" s="275"/>
      <c r="M231" s="489" t="str">
        <f ca="1">IF('CDO Bespoke'!O232&lt;&gt;"",'CDO Bespoke'!O232,"")</f>
        <v/>
      </c>
      <c r="N231" s="490" t="str">
        <f ca="1">IF(M231&lt;&gt;"",ABS(MIN(-0.75*('CDO Bespoke'!Q232)+'CDO Bespoke'!T232,0)),"")</f>
        <v/>
      </c>
      <c r="O231" s="490" t="str">
        <f t="shared" ca="1" si="12"/>
        <v/>
      </c>
      <c r="P231" s="490" t="str">
        <f t="shared" ca="1" si="13"/>
        <v/>
      </c>
      <c r="Q231" s="489" t="str">
        <f ca="1">IF('CDO Bespoke'!O232&lt;&gt;"",'CDO Bespoke'!O232,"")</f>
        <v/>
      </c>
      <c r="R231" s="490" t="str">
        <f ca="1">IF(Q231&lt;&gt;"",ABS(MIN(-0.75*('CDO Bespoke'!K232)+'CDO Bespoke'!T232,0)),"")</f>
        <v/>
      </c>
      <c r="S231" s="490" t="str">
        <f t="shared" ca="1" si="14"/>
        <v/>
      </c>
      <c r="T231" s="494" t="str">
        <f t="shared" ca="1" si="15"/>
        <v/>
      </c>
      <c r="U231" s="275"/>
      <c r="V231" s="499" t="str">
        <f ca="1">IF('CDO Bespoke'!C256&lt;&gt;"",'CDO Bespoke'!C256,"")</f>
        <v/>
      </c>
      <c r="W231" s="501" t="str" cm="1">
        <f t="array" aca="1" ref="W231" ca="1">IF($V231&lt;&gt;"",-TRANSPOSE(INDEX(getcds('CDO Bespoke'!$C256,W$13,'CDO Bespoke'!$G256/10000,'CDO Bespoke'!F256,'CDO Bespoke'!$L232,'CDO Bespoke'!$C$13,'CDO Bespoke'!$C$14,'CDO Bespoke'!$C$15,'CDO Bespoke'!$C$8,,,TRUE,TRUE,FALSE,'CDO Bespoke'!$C$29:'CDO Bespoke'!$C$31,'CDO Bespoke'!$C$33),{5})),"")</f>
        <v/>
      </c>
      <c r="X231" s="527" t="str" cm="1">
        <f t="array" aca="1" ref="X231" ca="1">IF($V231&lt;&gt;"",-TRANSPOSE(INDEX(getcds('CDO Bespoke'!$C256,X$13,'CDO Bespoke'!$G256/10000,'CDO Bespoke'!G256,'CDO Bespoke'!$L232,'CDO Bespoke'!$C$13,'CDO Bespoke'!$C$14,'CDO Bespoke'!$C$15,'CDO Bespoke'!$C$8,,,TRUE,TRUE,FALSE,'CDO Bespoke'!$C$29:'CDO Bespoke'!$C$31,'CDO Bespoke'!$C$33),{5})),"")</f>
        <v/>
      </c>
      <c r="Y231" s="527" t="str" cm="1">
        <f t="array" aca="1" ref="Y231" ca="1">IF($V231&lt;&gt;"",-TRANSPOSE(INDEX(getcds('CDO Bespoke'!$C256,Y$13,'CDO Bespoke'!$G256/10000,'CDO Bespoke'!H256,'CDO Bespoke'!$L232,'CDO Bespoke'!$C$13,'CDO Bespoke'!$C$14,'CDO Bespoke'!$C$15,'CDO Bespoke'!$C$8,,,TRUE,TRUE,FALSE,'CDO Bespoke'!$C$29:'CDO Bespoke'!$C$31,'CDO Bespoke'!$C$33),{5})),"")</f>
        <v/>
      </c>
      <c r="Z231" s="527" t="str" cm="1">
        <f t="array" aca="1" ref="Z231" ca="1">IF($V231&lt;&gt;"",-TRANSPOSE(INDEX(getcds('CDO Bespoke'!$C256,Z$13,'CDO Bespoke'!$G256/10000,'CDO Bespoke'!I256,'CDO Bespoke'!$L232,'CDO Bespoke'!$C$13,'CDO Bespoke'!$C$14,'CDO Bespoke'!$C$15,'CDO Bespoke'!$C$8,,,TRUE,TRUE,FALSE,'CDO Bespoke'!$C$29:'CDO Bespoke'!$C$31,'CDO Bespoke'!$C$33),{5})),"")</f>
        <v/>
      </c>
      <c r="AA231" s="502" t="str" cm="1">
        <f t="array" aca="1" ref="AA231" ca="1">IF($V231&lt;&gt;"",-TRANSPOSE(INDEX(getcds('CDO Bespoke'!$C256,AA$13,'CDO Bespoke'!$G256/10000,'CDO Bespoke'!J256,'CDO Bespoke'!$L232,'CDO Bespoke'!$C$13,'CDO Bespoke'!$C$14,'CDO Bespoke'!$C$15,'CDO Bespoke'!$C$8,,,TRUE,TRUE,FALSE,'CDO Bespoke'!$C$29:'CDO Bespoke'!$C$31,'CDO Bespoke'!$C$33),{5})),"")</f>
        <v/>
      </c>
      <c r="AB231" s="481"/>
      <c r="AC231" s="517"/>
      <c r="AD231" s="518"/>
      <c r="AE231" s="518"/>
      <c r="AF231" s="518"/>
      <c r="AG231" s="518"/>
      <c r="AH231" s="518"/>
      <c r="AI231" s="518"/>
      <c r="AJ231" s="518"/>
      <c r="AK231" s="518"/>
      <c r="AL231" s="519"/>
      <c r="AM231" s="540"/>
    </row>
    <row r="232" spans="2:39" ht="12" thickBot="1">
      <c r="B232" s="563" t="s">
        <v>575</v>
      </c>
      <c r="C232" s="564" t="s">
        <v>66</v>
      </c>
      <c r="D232" s="564" t="s">
        <v>55</v>
      </c>
      <c r="E232" s="564" t="s">
        <v>663</v>
      </c>
      <c r="F232" s="564" t="s">
        <v>671</v>
      </c>
      <c r="G232" s="565">
        <v>0.01</v>
      </c>
      <c r="H232" s="565">
        <v>2.5920000000000001E-3</v>
      </c>
      <c r="I232" s="566">
        <v>0.4</v>
      </c>
      <c r="J232" s="567">
        <v>70</v>
      </c>
      <c r="K232" s="275"/>
      <c r="L232" s="275"/>
      <c r="M232" s="489" t="str">
        <f ca="1">IF('CDO Bespoke'!O233&lt;&gt;"",'CDO Bespoke'!O233,"")</f>
        <v/>
      </c>
      <c r="N232" s="490" t="str">
        <f ca="1">IF(M232&lt;&gt;"",ABS(MIN(-0.75*('CDO Bespoke'!Q233)+'CDO Bespoke'!T233,0)),"")</f>
        <v/>
      </c>
      <c r="O232" s="490" t="str">
        <f t="shared" ca="1" si="12"/>
        <v/>
      </c>
      <c r="P232" s="490" t="str">
        <f t="shared" ca="1" si="13"/>
        <v/>
      </c>
      <c r="Q232" s="489" t="str">
        <f ca="1">IF('CDO Bespoke'!O233&lt;&gt;"",'CDO Bespoke'!O233,"")</f>
        <v/>
      </c>
      <c r="R232" s="490" t="str">
        <f ca="1">IF(Q232&lt;&gt;"",ABS(MIN(-0.75*('CDO Bespoke'!K233)+'CDO Bespoke'!T233,0)),"")</f>
        <v/>
      </c>
      <c r="S232" s="490" t="str">
        <f t="shared" ca="1" si="14"/>
        <v/>
      </c>
      <c r="T232" s="494" t="str">
        <f t="shared" ca="1" si="15"/>
        <v/>
      </c>
      <c r="U232" s="275"/>
      <c r="V232" s="499" t="str">
        <f ca="1">IF('CDO Bespoke'!C257&lt;&gt;"",'CDO Bespoke'!C257,"")</f>
        <v/>
      </c>
      <c r="W232" s="501" t="str" cm="1">
        <f t="array" aca="1" ref="W232" ca="1">IF($V232&lt;&gt;"",-TRANSPOSE(INDEX(getcds('CDO Bespoke'!$C257,W$13,'CDO Bespoke'!$G257/10000,'CDO Bespoke'!F257,'CDO Bespoke'!$L233,'CDO Bespoke'!$C$13,'CDO Bespoke'!$C$14,'CDO Bespoke'!$C$15,'CDO Bespoke'!$C$8,,,TRUE,TRUE,FALSE,'CDO Bespoke'!$C$29:'CDO Bespoke'!$C$31,'CDO Bespoke'!$C$33),{5})),"")</f>
        <v/>
      </c>
      <c r="X232" s="527" t="str" cm="1">
        <f t="array" aca="1" ref="X232" ca="1">IF($V232&lt;&gt;"",-TRANSPOSE(INDEX(getcds('CDO Bespoke'!$C257,X$13,'CDO Bespoke'!$G257/10000,'CDO Bespoke'!G257,'CDO Bespoke'!$L233,'CDO Bespoke'!$C$13,'CDO Bespoke'!$C$14,'CDO Bespoke'!$C$15,'CDO Bespoke'!$C$8,,,TRUE,TRUE,FALSE,'CDO Bespoke'!$C$29:'CDO Bespoke'!$C$31,'CDO Bespoke'!$C$33),{5})),"")</f>
        <v/>
      </c>
      <c r="Y232" s="527" t="str" cm="1">
        <f t="array" aca="1" ref="Y232" ca="1">IF($V232&lt;&gt;"",-TRANSPOSE(INDEX(getcds('CDO Bespoke'!$C257,Y$13,'CDO Bespoke'!$G257/10000,'CDO Bespoke'!H257,'CDO Bespoke'!$L233,'CDO Bespoke'!$C$13,'CDO Bespoke'!$C$14,'CDO Bespoke'!$C$15,'CDO Bespoke'!$C$8,,,TRUE,TRUE,FALSE,'CDO Bespoke'!$C$29:'CDO Bespoke'!$C$31,'CDO Bespoke'!$C$33),{5})),"")</f>
        <v/>
      </c>
      <c r="Z232" s="527" t="str" cm="1">
        <f t="array" aca="1" ref="Z232" ca="1">IF($V232&lt;&gt;"",-TRANSPOSE(INDEX(getcds('CDO Bespoke'!$C257,Z$13,'CDO Bespoke'!$G257/10000,'CDO Bespoke'!I257,'CDO Bespoke'!$L233,'CDO Bespoke'!$C$13,'CDO Bespoke'!$C$14,'CDO Bespoke'!$C$15,'CDO Bespoke'!$C$8,,,TRUE,TRUE,FALSE,'CDO Bespoke'!$C$29:'CDO Bespoke'!$C$31,'CDO Bespoke'!$C$33),{5})),"")</f>
        <v/>
      </c>
      <c r="AA232" s="502" t="str" cm="1">
        <f t="array" aca="1" ref="AA232" ca="1">IF($V232&lt;&gt;"",-TRANSPOSE(INDEX(getcds('CDO Bespoke'!$C257,AA$13,'CDO Bespoke'!$G257/10000,'CDO Bespoke'!J257,'CDO Bespoke'!$L233,'CDO Bespoke'!$C$13,'CDO Bespoke'!$C$14,'CDO Bespoke'!$C$15,'CDO Bespoke'!$C$8,,,TRUE,TRUE,FALSE,'CDO Bespoke'!$C$29:'CDO Bespoke'!$C$31,'CDO Bespoke'!$C$33),{5})),"")</f>
        <v/>
      </c>
      <c r="AB232" s="481"/>
      <c r="AC232" s="517"/>
      <c r="AD232" s="518"/>
      <c r="AE232" s="518"/>
      <c r="AF232" s="518"/>
      <c r="AG232" s="518"/>
      <c r="AH232" s="518"/>
      <c r="AI232" s="518"/>
      <c r="AJ232" s="518"/>
      <c r="AK232" s="518"/>
      <c r="AL232" s="519"/>
      <c r="AM232" s="540"/>
    </row>
    <row r="233" spans="2:39" ht="12" thickBot="1">
      <c r="B233" s="541" t="s">
        <v>575</v>
      </c>
      <c r="C233" s="542" t="s">
        <v>66</v>
      </c>
      <c r="D233" s="542" t="s">
        <v>57</v>
      </c>
      <c r="E233" s="542" t="s">
        <v>663</v>
      </c>
      <c r="F233" s="542" t="s">
        <v>671</v>
      </c>
      <c r="G233" s="549">
        <v>0.01</v>
      </c>
      <c r="H233" s="549">
        <v>4.5840000000000004E-3</v>
      </c>
      <c r="I233" s="551">
        <v>0.4</v>
      </c>
      <c r="J233" s="543">
        <v>70</v>
      </c>
      <c r="K233" s="275"/>
      <c r="L233" s="275"/>
      <c r="M233" s="489" t="str">
        <f ca="1">IF('CDO Bespoke'!O234&lt;&gt;"",'CDO Bespoke'!O234,"")</f>
        <v/>
      </c>
      <c r="N233" s="490" t="str">
        <f ca="1">IF(M233&lt;&gt;"",ABS(MIN(-0.75*('CDO Bespoke'!Q234)+'CDO Bespoke'!T234,0)),"")</f>
        <v/>
      </c>
      <c r="O233" s="490" t="str">
        <f t="shared" ca="1" si="12"/>
        <v/>
      </c>
      <c r="P233" s="490" t="str">
        <f t="shared" ca="1" si="13"/>
        <v/>
      </c>
      <c r="Q233" s="489" t="str">
        <f ca="1">IF('CDO Bespoke'!O234&lt;&gt;"",'CDO Bespoke'!O234,"")</f>
        <v/>
      </c>
      <c r="R233" s="490" t="str">
        <f ca="1">IF(Q233&lt;&gt;"",ABS(MIN(-0.75*('CDO Bespoke'!K234)+'CDO Bespoke'!T234,0)),"")</f>
        <v/>
      </c>
      <c r="S233" s="490" t="str">
        <f t="shared" ca="1" si="14"/>
        <v/>
      </c>
      <c r="T233" s="494" t="str">
        <f t="shared" ca="1" si="15"/>
        <v/>
      </c>
      <c r="U233" s="275"/>
      <c r="V233" s="499" t="str">
        <f ca="1">IF('CDO Bespoke'!C258&lt;&gt;"",'CDO Bespoke'!C258,"")</f>
        <v/>
      </c>
      <c r="W233" s="501" t="str" cm="1">
        <f t="array" aca="1" ref="W233" ca="1">IF($V233&lt;&gt;"",-TRANSPOSE(INDEX(getcds('CDO Bespoke'!$C258,W$13,'CDO Bespoke'!$G258/10000,'CDO Bespoke'!F258,'CDO Bespoke'!$L234,'CDO Bespoke'!$C$13,'CDO Bespoke'!$C$14,'CDO Bespoke'!$C$15,'CDO Bespoke'!$C$8,,,TRUE,TRUE,FALSE,'CDO Bespoke'!$C$29:'CDO Bespoke'!$C$31,'CDO Bespoke'!$C$33),{5})),"")</f>
        <v/>
      </c>
      <c r="X233" s="527" t="str" cm="1">
        <f t="array" aca="1" ref="X233" ca="1">IF($V233&lt;&gt;"",-TRANSPOSE(INDEX(getcds('CDO Bespoke'!$C258,X$13,'CDO Bespoke'!$G258/10000,'CDO Bespoke'!G258,'CDO Bespoke'!$L234,'CDO Bespoke'!$C$13,'CDO Bespoke'!$C$14,'CDO Bespoke'!$C$15,'CDO Bespoke'!$C$8,,,TRUE,TRUE,FALSE,'CDO Bespoke'!$C$29:'CDO Bespoke'!$C$31,'CDO Bespoke'!$C$33),{5})),"")</f>
        <v/>
      </c>
      <c r="Y233" s="527" t="str" cm="1">
        <f t="array" aca="1" ref="Y233" ca="1">IF($V233&lt;&gt;"",-TRANSPOSE(INDEX(getcds('CDO Bespoke'!$C258,Y$13,'CDO Bespoke'!$G258/10000,'CDO Bespoke'!H258,'CDO Bespoke'!$L234,'CDO Bespoke'!$C$13,'CDO Bespoke'!$C$14,'CDO Bespoke'!$C$15,'CDO Bespoke'!$C$8,,,TRUE,TRUE,FALSE,'CDO Bespoke'!$C$29:'CDO Bespoke'!$C$31,'CDO Bespoke'!$C$33),{5})),"")</f>
        <v/>
      </c>
      <c r="Z233" s="527" t="str" cm="1">
        <f t="array" aca="1" ref="Z233" ca="1">IF($V233&lt;&gt;"",-TRANSPOSE(INDEX(getcds('CDO Bespoke'!$C258,Z$13,'CDO Bespoke'!$G258/10000,'CDO Bespoke'!I258,'CDO Bespoke'!$L234,'CDO Bespoke'!$C$13,'CDO Bespoke'!$C$14,'CDO Bespoke'!$C$15,'CDO Bespoke'!$C$8,,,TRUE,TRUE,FALSE,'CDO Bespoke'!$C$29:'CDO Bespoke'!$C$31,'CDO Bespoke'!$C$33),{5})),"")</f>
        <v/>
      </c>
      <c r="AA233" s="502" t="str" cm="1">
        <f t="array" aca="1" ref="AA233" ca="1">IF($V233&lt;&gt;"",-TRANSPOSE(INDEX(getcds('CDO Bespoke'!$C258,AA$13,'CDO Bespoke'!$G258/10000,'CDO Bespoke'!J258,'CDO Bespoke'!$L234,'CDO Bespoke'!$C$13,'CDO Bespoke'!$C$14,'CDO Bespoke'!$C$15,'CDO Bespoke'!$C$8,,,TRUE,TRUE,FALSE,'CDO Bespoke'!$C$29:'CDO Bespoke'!$C$31,'CDO Bespoke'!$C$33),{5})),"")</f>
        <v/>
      </c>
      <c r="AB233" s="481"/>
      <c r="AC233" s="517"/>
      <c r="AD233" s="518"/>
      <c r="AE233" s="518"/>
      <c r="AF233" s="518"/>
      <c r="AG233" s="518"/>
      <c r="AH233" s="518"/>
      <c r="AI233" s="518"/>
      <c r="AJ233" s="518"/>
      <c r="AK233" s="518"/>
      <c r="AL233" s="519"/>
      <c r="AM233" s="540"/>
    </row>
    <row r="234" spans="2:39" ht="12" thickBot="1">
      <c r="B234" s="558" t="s">
        <v>575</v>
      </c>
      <c r="C234" s="559" t="s">
        <v>66</v>
      </c>
      <c r="D234" s="559" t="s">
        <v>59</v>
      </c>
      <c r="E234" s="559" t="s">
        <v>663</v>
      </c>
      <c r="F234" s="559" t="s">
        <v>671</v>
      </c>
      <c r="G234" s="560">
        <v>0.01</v>
      </c>
      <c r="H234" s="560">
        <v>6.4619999999999999E-3</v>
      </c>
      <c r="I234" s="561">
        <v>0.4</v>
      </c>
      <c r="J234" s="562">
        <v>70</v>
      </c>
      <c r="K234" s="275"/>
      <c r="L234" s="275"/>
      <c r="M234" s="489" t="str">
        <f ca="1">IF('CDO Bespoke'!O235&lt;&gt;"",'CDO Bespoke'!O235,"")</f>
        <v/>
      </c>
      <c r="N234" s="490" t="str">
        <f ca="1">IF(M234&lt;&gt;"",ABS(MIN(-0.75*('CDO Bespoke'!Q235)+'CDO Bespoke'!T235,0)),"")</f>
        <v/>
      </c>
      <c r="O234" s="490" t="str">
        <f t="shared" ca="1" si="12"/>
        <v/>
      </c>
      <c r="P234" s="490" t="str">
        <f t="shared" ca="1" si="13"/>
        <v/>
      </c>
      <c r="Q234" s="489" t="str">
        <f ca="1">IF('CDO Bespoke'!O235&lt;&gt;"",'CDO Bespoke'!O235,"")</f>
        <v/>
      </c>
      <c r="R234" s="490" t="str">
        <f ca="1">IF(Q234&lt;&gt;"",ABS(MIN(-0.75*('CDO Bespoke'!K235)+'CDO Bespoke'!T235,0)),"")</f>
        <v/>
      </c>
      <c r="S234" s="490" t="str">
        <f t="shared" ca="1" si="14"/>
        <v/>
      </c>
      <c r="T234" s="494" t="str">
        <f t="shared" ca="1" si="15"/>
        <v/>
      </c>
      <c r="U234" s="275"/>
      <c r="V234" s="499" t="str">
        <f ca="1">IF('CDO Bespoke'!C259&lt;&gt;"",'CDO Bespoke'!C259,"")</f>
        <v/>
      </c>
      <c r="W234" s="501" t="str" cm="1">
        <f t="array" aca="1" ref="W234" ca="1">IF($V234&lt;&gt;"",-TRANSPOSE(INDEX(getcds('CDO Bespoke'!$C259,W$13,'CDO Bespoke'!$G259/10000,'CDO Bespoke'!F259,'CDO Bespoke'!$L235,'CDO Bespoke'!$C$13,'CDO Bespoke'!$C$14,'CDO Bespoke'!$C$15,'CDO Bespoke'!$C$8,,,TRUE,TRUE,FALSE,'CDO Bespoke'!$C$29:'CDO Bespoke'!$C$31,'CDO Bespoke'!$C$33),{5})),"")</f>
        <v/>
      </c>
      <c r="X234" s="527" t="str" cm="1">
        <f t="array" aca="1" ref="X234" ca="1">IF($V234&lt;&gt;"",-TRANSPOSE(INDEX(getcds('CDO Bespoke'!$C259,X$13,'CDO Bespoke'!$G259/10000,'CDO Bespoke'!G259,'CDO Bespoke'!$L235,'CDO Bespoke'!$C$13,'CDO Bespoke'!$C$14,'CDO Bespoke'!$C$15,'CDO Bespoke'!$C$8,,,TRUE,TRUE,FALSE,'CDO Bespoke'!$C$29:'CDO Bespoke'!$C$31,'CDO Bespoke'!$C$33),{5})),"")</f>
        <v/>
      </c>
      <c r="Y234" s="527" t="str" cm="1">
        <f t="array" aca="1" ref="Y234" ca="1">IF($V234&lt;&gt;"",-TRANSPOSE(INDEX(getcds('CDO Bespoke'!$C259,Y$13,'CDO Bespoke'!$G259/10000,'CDO Bespoke'!H259,'CDO Bespoke'!$L235,'CDO Bespoke'!$C$13,'CDO Bespoke'!$C$14,'CDO Bespoke'!$C$15,'CDO Bespoke'!$C$8,,,TRUE,TRUE,FALSE,'CDO Bespoke'!$C$29:'CDO Bespoke'!$C$31,'CDO Bespoke'!$C$33),{5})),"")</f>
        <v/>
      </c>
      <c r="Z234" s="527" t="str" cm="1">
        <f t="array" aca="1" ref="Z234" ca="1">IF($V234&lt;&gt;"",-TRANSPOSE(INDEX(getcds('CDO Bespoke'!$C259,Z$13,'CDO Bespoke'!$G259/10000,'CDO Bespoke'!I259,'CDO Bespoke'!$L235,'CDO Bespoke'!$C$13,'CDO Bespoke'!$C$14,'CDO Bespoke'!$C$15,'CDO Bespoke'!$C$8,,,TRUE,TRUE,FALSE,'CDO Bespoke'!$C$29:'CDO Bespoke'!$C$31,'CDO Bespoke'!$C$33),{5})),"")</f>
        <v/>
      </c>
      <c r="AA234" s="502" t="str" cm="1">
        <f t="array" aca="1" ref="AA234" ca="1">IF($V234&lt;&gt;"",-TRANSPOSE(INDEX(getcds('CDO Bespoke'!$C259,AA$13,'CDO Bespoke'!$G259/10000,'CDO Bespoke'!J259,'CDO Bespoke'!$L235,'CDO Bespoke'!$C$13,'CDO Bespoke'!$C$14,'CDO Bespoke'!$C$15,'CDO Bespoke'!$C$8,,,TRUE,TRUE,FALSE,'CDO Bespoke'!$C$29:'CDO Bespoke'!$C$31,'CDO Bespoke'!$C$33),{5})),"")</f>
        <v/>
      </c>
      <c r="AB234" s="481"/>
      <c r="AC234" s="517"/>
      <c r="AD234" s="518"/>
      <c r="AE234" s="518"/>
      <c r="AF234" s="518"/>
      <c r="AG234" s="518"/>
      <c r="AH234" s="518"/>
      <c r="AI234" s="518"/>
      <c r="AJ234" s="518"/>
      <c r="AK234" s="518"/>
      <c r="AL234" s="519"/>
      <c r="AM234" s="540"/>
    </row>
    <row r="235" spans="2:39" ht="12" thickBot="1">
      <c r="B235" s="563" t="s">
        <v>576</v>
      </c>
      <c r="C235" s="564" t="s">
        <v>66</v>
      </c>
      <c r="D235" s="564" t="s">
        <v>55</v>
      </c>
      <c r="E235" s="564" t="s">
        <v>663</v>
      </c>
      <c r="F235" s="564" t="s">
        <v>671</v>
      </c>
      <c r="G235" s="565">
        <v>0.01</v>
      </c>
      <c r="H235" s="565">
        <v>2.307E-3</v>
      </c>
      <c r="I235" s="566">
        <v>0.4</v>
      </c>
      <c r="J235" s="567">
        <v>71</v>
      </c>
      <c r="K235" s="275"/>
      <c r="L235" s="275"/>
      <c r="M235" s="489" t="str">
        <f ca="1">IF('CDO Bespoke'!O236&lt;&gt;"",'CDO Bespoke'!O236,"")</f>
        <v/>
      </c>
      <c r="N235" s="490" t="str">
        <f ca="1">IF(M235&lt;&gt;"",ABS(MIN(-0.75*('CDO Bespoke'!Q236)+'CDO Bespoke'!T236,0)),"")</f>
        <v/>
      </c>
      <c r="O235" s="490" t="str">
        <f t="shared" ca="1" si="12"/>
        <v/>
      </c>
      <c r="P235" s="490" t="str">
        <f t="shared" ca="1" si="13"/>
        <v/>
      </c>
      <c r="Q235" s="489" t="str">
        <f ca="1">IF('CDO Bespoke'!O236&lt;&gt;"",'CDO Bespoke'!O236,"")</f>
        <v/>
      </c>
      <c r="R235" s="490" t="str">
        <f ca="1">IF(Q235&lt;&gt;"",ABS(MIN(-0.75*('CDO Bespoke'!K236)+'CDO Bespoke'!T236,0)),"")</f>
        <v/>
      </c>
      <c r="S235" s="490" t="str">
        <f t="shared" ca="1" si="14"/>
        <v/>
      </c>
      <c r="T235" s="494" t="str">
        <f t="shared" ca="1" si="15"/>
        <v/>
      </c>
      <c r="U235" s="275"/>
      <c r="V235" s="499" t="str">
        <f ca="1">IF('CDO Bespoke'!C260&lt;&gt;"",'CDO Bespoke'!C260,"")</f>
        <v/>
      </c>
      <c r="W235" s="501" t="str" cm="1">
        <f t="array" aca="1" ref="W235" ca="1">IF($V235&lt;&gt;"",-TRANSPOSE(INDEX(getcds('CDO Bespoke'!$C260,W$13,'CDO Bespoke'!$G260/10000,'CDO Bespoke'!F260,'CDO Bespoke'!$L236,'CDO Bespoke'!$C$13,'CDO Bespoke'!$C$14,'CDO Bespoke'!$C$15,'CDO Bespoke'!$C$8,,,TRUE,TRUE,FALSE,'CDO Bespoke'!$C$29:'CDO Bespoke'!$C$31,'CDO Bespoke'!$C$33),{5})),"")</f>
        <v/>
      </c>
      <c r="X235" s="527" t="str" cm="1">
        <f t="array" aca="1" ref="X235" ca="1">IF($V235&lt;&gt;"",-TRANSPOSE(INDEX(getcds('CDO Bespoke'!$C260,X$13,'CDO Bespoke'!$G260/10000,'CDO Bespoke'!G260,'CDO Bespoke'!$L236,'CDO Bespoke'!$C$13,'CDO Bespoke'!$C$14,'CDO Bespoke'!$C$15,'CDO Bespoke'!$C$8,,,TRUE,TRUE,FALSE,'CDO Bespoke'!$C$29:'CDO Bespoke'!$C$31,'CDO Bespoke'!$C$33),{5})),"")</f>
        <v/>
      </c>
      <c r="Y235" s="527" t="str" cm="1">
        <f t="array" aca="1" ref="Y235" ca="1">IF($V235&lt;&gt;"",-TRANSPOSE(INDEX(getcds('CDO Bespoke'!$C260,Y$13,'CDO Bespoke'!$G260/10000,'CDO Bespoke'!H260,'CDO Bespoke'!$L236,'CDO Bespoke'!$C$13,'CDO Bespoke'!$C$14,'CDO Bespoke'!$C$15,'CDO Bespoke'!$C$8,,,TRUE,TRUE,FALSE,'CDO Bespoke'!$C$29:'CDO Bespoke'!$C$31,'CDO Bespoke'!$C$33),{5})),"")</f>
        <v/>
      </c>
      <c r="Z235" s="527" t="str" cm="1">
        <f t="array" aca="1" ref="Z235" ca="1">IF($V235&lt;&gt;"",-TRANSPOSE(INDEX(getcds('CDO Bespoke'!$C260,Z$13,'CDO Bespoke'!$G260/10000,'CDO Bespoke'!I260,'CDO Bespoke'!$L236,'CDO Bespoke'!$C$13,'CDO Bespoke'!$C$14,'CDO Bespoke'!$C$15,'CDO Bespoke'!$C$8,,,TRUE,TRUE,FALSE,'CDO Bespoke'!$C$29:'CDO Bespoke'!$C$31,'CDO Bespoke'!$C$33),{5})),"")</f>
        <v/>
      </c>
      <c r="AA235" s="502" t="str" cm="1">
        <f t="array" aca="1" ref="AA235" ca="1">IF($V235&lt;&gt;"",-TRANSPOSE(INDEX(getcds('CDO Bespoke'!$C260,AA$13,'CDO Bespoke'!$G260/10000,'CDO Bespoke'!J260,'CDO Bespoke'!$L236,'CDO Bespoke'!$C$13,'CDO Bespoke'!$C$14,'CDO Bespoke'!$C$15,'CDO Bespoke'!$C$8,,,TRUE,TRUE,FALSE,'CDO Bespoke'!$C$29:'CDO Bespoke'!$C$31,'CDO Bespoke'!$C$33),{5})),"")</f>
        <v/>
      </c>
      <c r="AB235" s="481"/>
      <c r="AC235" s="517"/>
      <c r="AD235" s="518"/>
      <c r="AE235" s="518"/>
      <c r="AF235" s="518"/>
      <c r="AG235" s="518"/>
      <c r="AH235" s="518"/>
      <c r="AI235" s="518"/>
      <c r="AJ235" s="518"/>
      <c r="AK235" s="518"/>
      <c r="AL235" s="519"/>
      <c r="AM235" s="540"/>
    </row>
    <row r="236" spans="2:39" ht="12" thickBot="1">
      <c r="B236" s="541" t="s">
        <v>576</v>
      </c>
      <c r="C236" s="542" t="s">
        <v>66</v>
      </c>
      <c r="D236" s="542" t="s">
        <v>57</v>
      </c>
      <c r="E236" s="542" t="s">
        <v>663</v>
      </c>
      <c r="F236" s="542" t="s">
        <v>671</v>
      </c>
      <c r="G236" s="549">
        <v>0.01</v>
      </c>
      <c r="H236" s="549">
        <v>3.8999999999999998E-3</v>
      </c>
      <c r="I236" s="551">
        <v>0.4</v>
      </c>
      <c r="J236" s="543">
        <v>71</v>
      </c>
      <c r="K236" s="275"/>
      <c r="L236" s="275"/>
      <c r="M236" s="489" t="str">
        <f ca="1">IF('CDO Bespoke'!O237&lt;&gt;"",'CDO Bespoke'!O237,"")</f>
        <v/>
      </c>
      <c r="N236" s="490" t="str">
        <f ca="1">IF(M236&lt;&gt;"",ABS(MIN(-0.75*('CDO Bespoke'!Q237)+'CDO Bespoke'!T237,0)),"")</f>
        <v/>
      </c>
      <c r="O236" s="490" t="str">
        <f t="shared" ca="1" si="12"/>
        <v/>
      </c>
      <c r="P236" s="490" t="str">
        <f t="shared" ca="1" si="13"/>
        <v/>
      </c>
      <c r="Q236" s="489" t="str">
        <f ca="1">IF('CDO Bespoke'!O237&lt;&gt;"",'CDO Bespoke'!O237,"")</f>
        <v/>
      </c>
      <c r="R236" s="490" t="str">
        <f ca="1">IF(Q236&lt;&gt;"",ABS(MIN(-0.75*('CDO Bespoke'!K237)+'CDO Bespoke'!T237,0)),"")</f>
        <v/>
      </c>
      <c r="S236" s="490" t="str">
        <f t="shared" ca="1" si="14"/>
        <v/>
      </c>
      <c r="T236" s="494" t="str">
        <f t="shared" ca="1" si="15"/>
        <v/>
      </c>
      <c r="U236" s="275"/>
      <c r="V236" s="499" t="str">
        <f ca="1">IF('CDO Bespoke'!C261&lt;&gt;"",'CDO Bespoke'!C261,"")</f>
        <v/>
      </c>
      <c r="W236" s="501" t="str" cm="1">
        <f t="array" aca="1" ref="W236" ca="1">IF($V236&lt;&gt;"",-TRANSPOSE(INDEX(getcds('CDO Bespoke'!$C261,W$13,'CDO Bespoke'!$G261/10000,'CDO Bespoke'!F261,'CDO Bespoke'!$L237,'CDO Bespoke'!$C$13,'CDO Bespoke'!$C$14,'CDO Bespoke'!$C$15,'CDO Bespoke'!$C$8,,,TRUE,TRUE,FALSE,'CDO Bespoke'!$C$29:'CDO Bespoke'!$C$31,'CDO Bespoke'!$C$33),{5})),"")</f>
        <v/>
      </c>
      <c r="X236" s="527" t="str" cm="1">
        <f t="array" aca="1" ref="X236" ca="1">IF($V236&lt;&gt;"",-TRANSPOSE(INDEX(getcds('CDO Bespoke'!$C261,X$13,'CDO Bespoke'!$G261/10000,'CDO Bespoke'!G261,'CDO Bespoke'!$L237,'CDO Bespoke'!$C$13,'CDO Bespoke'!$C$14,'CDO Bespoke'!$C$15,'CDO Bespoke'!$C$8,,,TRUE,TRUE,FALSE,'CDO Bespoke'!$C$29:'CDO Bespoke'!$C$31,'CDO Bespoke'!$C$33),{5})),"")</f>
        <v/>
      </c>
      <c r="Y236" s="527" t="str" cm="1">
        <f t="array" aca="1" ref="Y236" ca="1">IF($V236&lt;&gt;"",-TRANSPOSE(INDEX(getcds('CDO Bespoke'!$C261,Y$13,'CDO Bespoke'!$G261/10000,'CDO Bespoke'!H261,'CDO Bespoke'!$L237,'CDO Bespoke'!$C$13,'CDO Bespoke'!$C$14,'CDO Bespoke'!$C$15,'CDO Bespoke'!$C$8,,,TRUE,TRUE,FALSE,'CDO Bespoke'!$C$29:'CDO Bespoke'!$C$31,'CDO Bespoke'!$C$33),{5})),"")</f>
        <v/>
      </c>
      <c r="Z236" s="527" t="str" cm="1">
        <f t="array" aca="1" ref="Z236" ca="1">IF($V236&lt;&gt;"",-TRANSPOSE(INDEX(getcds('CDO Bespoke'!$C261,Z$13,'CDO Bespoke'!$G261/10000,'CDO Bespoke'!I261,'CDO Bespoke'!$L237,'CDO Bespoke'!$C$13,'CDO Bespoke'!$C$14,'CDO Bespoke'!$C$15,'CDO Bespoke'!$C$8,,,TRUE,TRUE,FALSE,'CDO Bespoke'!$C$29:'CDO Bespoke'!$C$31,'CDO Bespoke'!$C$33),{5})),"")</f>
        <v/>
      </c>
      <c r="AA236" s="502" t="str" cm="1">
        <f t="array" aca="1" ref="AA236" ca="1">IF($V236&lt;&gt;"",-TRANSPOSE(INDEX(getcds('CDO Bespoke'!$C261,AA$13,'CDO Bespoke'!$G261/10000,'CDO Bespoke'!J261,'CDO Bespoke'!$L237,'CDO Bespoke'!$C$13,'CDO Bespoke'!$C$14,'CDO Bespoke'!$C$15,'CDO Bespoke'!$C$8,,,TRUE,TRUE,FALSE,'CDO Bespoke'!$C$29:'CDO Bespoke'!$C$31,'CDO Bespoke'!$C$33),{5})),"")</f>
        <v/>
      </c>
      <c r="AB236" s="481"/>
      <c r="AC236" s="517"/>
      <c r="AD236" s="518"/>
      <c r="AE236" s="518"/>
      <c r="AF236" s="518"/>
      <c r="AG236" s="518"/>
      <c r="AH236" s="518"/>
      <c r="AI236" s="518"/>
      <c r="AJ236" s="518"/>
      <c r="AK236" s="518"/>
      <c r="AL236" s="519"/>
      <c r="AM236" s="540"/>
    </row>
    <row r="237" spans="2:39" ht="12" thickBot="1">
      <c r="B237" s="558" t="s">
        <v>576</v>
      </c>
      <c r="C237" s="559" t="s">
        <v>66</v>
      </c>
      <c r="D237" s="559" t="s">
        <v>59</v>
      </c>
      <c r="E237" s="559" t="s">
        <v>663</v>
      </c>
      <c r="F237" s="559" t="s">
        <v>671</v>
      </c>
      <c r="G237" s="560">
        <v>0.01</v>
      </c>
      <c r="H237" s="560">
        <v>5.7710000000000001E-3</v>
      </c>
      <c r="I237" s="561">
        <v>0.4</v>
      </c>
      <c r="J237" s="562">
        <v>71</v>
      </c>
      <c r="K237" s="275"/>
      <c r="L237" s="275"/>
      <c r="M237" s="489" t="str">
        <f ca="1">IF('CDO Bespoke'!O238&lt;&gt;"",'CDO Bespoke'!O238,"")</f>
        <v/>
      </c>
      <c r="N237" s="490" t="str">
        <f ca="1">IF(M237&lt;&gt;"",ABS(MIN(-0.75*('CDO Bespoke'!Q238)+'CDO Bespoke'!T238,0)),"")</f>
        <v/>
      </c>
      <c r="O237" s="490" t="str">
        <f t="shared" ca="1" si="12"/>
        <v/>
      </c>
      <c r="P237" s="490" t="str">
        <f t="shared" ca="1" si="13"/>
        <v/>
      </c>
      <c r="Q237" s="489" t="str">
        <f ca="1">IF('CDO Bespoke'!O238&lt;&gt;"",'CDO Bespoke'!O238,"")</f>
        <v/>
      </c>
      <c r="R237" s="490" t="str">
        <f ca="1">IF(Q237&lt;&gt;"",ABS(MIN(-0.75*('CDO Bespoke'!K238)+'CDO Bespoke'!T238,0)),"")</f>
        <v/>
      </c>
      <c r="S237" s="490" t="str">
        <f t="shared" ca="1" si="14"/>
        <v/>
      </c>
      <c r="T237" s="494" t="str">
        <f t="shared" ca="1" si="15"/>
        <v/>
      </c>
      <c r="U237" s="275"/>
      <c r="V237" s="499" t="str">
        <f ca="1">IF('CDO Bespoke'!C262&lt;&gt;"",'CDO Bespoke'!C262,"")</f>
        <v/>
      </c>
      <c r="W237" s="501" t="str" cm="1">
        <f t="array" aca="1" ref="W237" ca="1">IF($V237&lt;&gt;"",-TRANSPOSE(INDEX(getcds('CDO Bespoke'!$C262,W$13,'CDO Bespoke'!$G262/10000,'CDO Bespoke'!F262,'CDO Bespoke'!$L238,'CDO Bespoke'!$C$13,'CDO Bespoke'!$C$14,'CDO Bespoke'!$C$15,'CDO Bespoke'!$C$8,,,TRUE,TRUE,FALSE,'CDO Bespoke'!$C$29:'CDO Bespoke'!$C$31,'CDO Bespoke'!$C$33),{5})),"")</f>
        <v/>
      </c>
      <c r="X237" s="527" t="str" cm="1">
        <f t="array" aca="1" ref="X237" ca="1">IF($V237&lt;&gt;"",-TRANSPOSE(INDEX(getcds('CDO Bespoke'!$C262,X$13,'CDO Bespoke'!$G262/10000,'CDO Bespoke'!G262,'CDO Bespoke'!$L238,'CDO Bespoke'!$C$13,'CDO Bespoke'!$C$14,'CDO Bespoke'!$C$15,'CDO Bespoke'!$C$8,,,TRUE,TRUE,FALSE,'CDO Bespoke'!$C$29:'CDO Bespoke'!$C$31,'CDO Bespoke'!$C$33),{5})),"")</f>
        <v/>
      </c>
      <c r="Y237" s="527" t="str" cm="1">
        <f t="array" aca="1" ref="Y237" ca="1">IF($V237&lt;&gt;"",-TRANSPOSE(INDEX(getcds('CDO Bespoke'!$C262,Y$13,'CDO Bespoke'!$G262/10000,'CDO Bespoke'!H262,'CDO Bespoke'!$L238,'CDO Bespoke'!$C$13,'CDO Bespoke'!$C$14,'CDO Bespoke'!$C$15,'CDO Bespoke'!$C$8,,,TRUE,TRUE,FALSE,'CDO Bespoke'!$C$29:'CDO Bespoke'!$C$31,'CDO Bespoke'!$C$33),{5})),"")</f>
        <v/>
      </c>
      <c r="Z237" s="527" t="str" cm="1">
        <f t="array" aca="1" ref="Z237" ca="1">IF($V237&lt;&gt;"",-TRANSPOSE(INDEX(getcds('CDO Bespoke'!$C262,Z$13,'CDO Bespoke'!$G262/10000,'CDO Bespoke'!I262,'CDO Bespoke'!$L238,'CDO Bespoke'!$C$13,'CDO Bespoke'!$C$14,'CDO Bespoke'!$C$15,'CDO Bespoke'!$C$8,,,TRUE,TRUE,FALSE,'CDO Bespoke'!$C$29:'CDO Bespoke'!$C$31,'CDO Bespoke'!$C$33),{5})),"")</f>
        <v/>
      </c>
      <c r="AA237" s="502" t="str" cm="1">
        <f t="array" aca="1" ref="AA237" ca="1">IF($V237&lt;&gt;"",-TRANSPOSE(INDEX(getcds('CDO Bespoke'!$C262,AA$13,'CDO Bespoke'!$G262/10000,'CDO Bespoke'!J262,'CDO Bespoke'!$L238,'CDO Bespoke'!$C$13,'CDO Bespoke'!$C$14,'CDO Bespoke'!$C$15,'CDO Bespoke'!$C$8,,,TRUE,TRUE,FALSE,'CDO Bespoke'!$C$29:'CDO Bespoke'!$C$31,'CDO Bespoke'!$C$33),{5})),"")</f>
        <v/>
      </c>
      <c r="AB237" s="481"/>
      <c r="AC237" s="517"/>
      <c r="AD237" s="518"/>
      <c r="AE237" s="518"/>
      <c r="AF237" s="518"/>
      <c r="AG237" s="518"/>
      <c r="AH237" s="518"/>
      <c r="AI237" s="518"/>
      <c r="AJ237" s="518"/>
      <c r="AK237" s="518"/>
      <c r="AL237" s="519"/>
      <c r="AM237" s="540"/>
    </row>
    <row r="238" spans="2:39" ht="12" thickBot="1">
      <c r="B238" s="563" t="s">
        <v>577</v>
      </c>
      <c r="C238" s="564" t="s">
        <v>66</v>
      </c>
      <c r="D238" s="564" t="s">
        <v>55</v>
      </c>
      <c r="E238" s="564" t="s">
        <v>663</v>
      </c>
      <c r="F238" s="564" t="s">
        <v>671</v>
      </c>
      <c r="G238" s="565">
        <v>0.01</v>
      </c>
      <c r="H238" s="565">
        <v>3.751E-3</v>
      </c>
      <c r="I238" s="566">
        <v>0.4</v>
      </c>
      <c r="J238" s="567">
        <v>72</v>
      </c>
      <c r="K238" s="275"/>
      <c r="L238" s="275"/>
      <c r="M238" s="489" t="str">
        <f ca="1">IF('CDO Bespoke'!O239&lt;&gt;"",'CDO Bespoke'!O239,"")</f>
        <v/>
      </c>
      <c r="N238" s="490" t="str">
        <f ca="1">IF(M238&lt;&gt;"",ABS(MIN(-0.75*('CDO Bespoke'!Q239)+'CDO Bespoke'!T239,0)),"")</f>
        <v/>
      </c>
      <c r="O238" s="490" t="str">
        <f t="shared" ca="1" si="12"/>
        <v/>
      </c>
      <c r="P238" s="490" t="str">
        <f t="shared" ca="1" si="13"/>
        <v/>
      </c>
      <c r="Q238" s="489" t="str">
        <f ca="1">IF('CDO Bespoke'!O239&lt;&gt;"",'CDO Bespoke'!O239,"")</f>
        <v/>
      </c>
      <c r="R238" s="490" t="str">
        <f ca="1">IF(Q238&lt;&gt;"",ABS(MIN(-0.75*('CDO Bespoke'!K239)+'CDO Bespoke'!T239,0)),"")</f>
        <v/>
      </c>
      <c r="S238" s="490" t="str">
        <f t="shared" ca="1" si="14"/>
        <v/>
      </c>
      <c r="T238" s="494" t="str">
        <f t="shared" ca="1" si="15"/>
        <v/>
      </c>
      <c r="U238" s="275"/>
      <c r="V238" s="499" t="str">
        <f ca="1">IF('CDO Bespoke'!C263&lt;&gt;"",'CDO Bespoke'!C263,"")</f>
        <v/>
      </c>
      <c r="W238" s="501" t="str" cm="1">
        <f t="array" aca="1" ref="W238" ca="1">IF($V238&lt;&gt;"",-TRANSPOSE(INDEX(getcds('CDO Bespoke'!$C263,W$13,'CDO Bespoke'!$G263/10000,'CDO Bespoke'!F263,'CDO Bespoke'!$L239,'CDO Bespoke'!$C$13,'CDO Bespoke'!$C$14,'CDO Bespoke'!$C$15,'CDO Bespoke'!$C$8,,,TRUE,TRUE,FALSE,'CDO Bespoke'!$C$29:'CDO Bespoke'!$C$31,'CDO Bespoke'!$C$33),{5})),"")</f>
        <v/>
      </c>
      <c r="X238" s="527" t="str" cm="1">
        <f t="array" aca="1" ref="X238" ca="1">IF($V238&lt;&gt;"",-TRANSPOSE(INDEX(getcds('CDO Bespoke'!$C263,X$13,'CDO Bespoke'!$G263/10000,'CDO Bespoke'!G263,'CDO Bespoke'!$L239,'CDO Bespoke'!$C$13,'CDO Bespoke'!$C$14,'CDO Bespoke'!$C$15,'CDO Bespoke'!$C$8,,,TRUE,TRUE,FALSE,'CDO Bespoke'!$C$29:'CDO Bespoke'!$C$31,'CDO Bespoke'!$C$33),{5})),"")</f>
        <v/>
      </c>
      <c r="Y238" s="527" t="str" cm="1">
        <f t="array" aca="1" ref="Y238" ca="1">IF($V238&lt;&gt;"",-TRANSPOSE(INDEX(getcds('CDO Bespoke'!$C263,Y$13,'CDO Bespoke'!$G263/10000,'CDO Bespoke'!H263,'CDO Bespoke'!$L239,'CDO Bespoke'!$C$13,'CDO Bespoke'!$C$14,'CDO Bespoke'!$C$15,'CDO Bespoke'!$C$8,,,TRUE,TRUE,FALSE,'CDO Bespoke'!$C$29:'CDO Bespoke'!$C$31,'CDO Bespoke'!$C$33),{5})),"")</f>
        <v/>
      </c>
      <c r="Z238" s="527" t="str" cm="1">
        <f t="array" aca="1" ref="Z238" ca="1">IF($V238&lt;&gt;"",-TRANSPOSE(INDEX(getcds('CDO Bespoke'!$C263,Z$13,'CDO Bespoke'!$G263/10000,'CDO Bespoke'!I263,'CDO Bespoke'!$L239,'CDO Bespoke'!$C$13,'CDO Bespoke'!$C$14,'CDO Bespoke'!$C$15,'CDO Bespoke'!$C$8,,,TRUE,TRUE,FALSE,'CDO Bespoke'!$C$29:'CDO Bespoke'!$C$31,'CDO Bespoke'!$C$33),{5})),"")</f>
        <v/>
      </c>
      <c r="AA238" s="502" t="str" cm="1">
        <f t="array" aca="1" ref="AA238" ca="1">IF($V238&lt;&gt;"",-TRANSPOSE(INDEX(getcds('CDO Bespoke'!$C263,AA$13,'CDO Bespoke'!$G263/10000,'CDO Bespoke'!J263,'CDO Bespoke'!$L239,'CDO Bespoke'!$C$13,'CDO Bespoke'!$C$14,'CDO Bespoke'!$C$15,'CDO Bespoke'!$C$8,,,TRUE,TRUE,FALSE,'CDO Bespoke'!$C$29:'CDO Bespoke'!$C$31,'CDO Bespoke'!$C$33),{5})),"")</f>
        <v/>
      </c>
      <c r="AB238" s="481"/>
      <c r="AC238" s="517"/>
      <c r="AD238" s="518"/>
      <c r="AE238" s="518"/>
      <c r="AF238" s="518"/>
      <c r="AG238" s="518"/>
      <c r="AH238" s="518"/>
      <c r="AI238" s="518"/>
      <c r="AJ238" s="518"/>
      <c r="AK238" s="518"/>
      <c r="AL238" s="519"/>
      <c r="AM238" s="540"/>
    </row>
    <row r="239" spans="2:39" ht="12" thickBot="1">
      <c r="B239" s="541" t="s">
        <v>577</v>
      </c>
      <c r="C239" s="542" t="s">
        <v>66</v>
      </c>
      <c r="D239" s="542" t="s">
        <v>57</v>
      </c>
      <c r="E239" s="542" t="s">
        <v>663</v>
      </c>
      <c r="F239" s="542" t="s">
        <v>671</v>
      </c>
      <c r="G239" s="549">
        <v>0.01</v>
      </c>
      <c r="H239" s="549">
        <v>5.8129999999999996E-3</v>
      </c>
      <c r="I239" s="551">
        <v>0.4</v>
      </c>
      <c r="J239" s="543">
        <v>72</v>
      </c>
      <c r="K239" s="275"/>
      <c r="L239" s="275"/>
      <c r="M239" s="489" t="str">
        <f ca="1">IF('CDO Bespoke'!O240&lt;&gt;"",'CDO Bespoke'!O240,"")</f>
        <v/>
      </c>
      <c r="N239" s="490" t="str">
        <f ca="1">IF(M239&lt;&gt;"",ABS(MIN(-0.75*('CDO Bespoke'!Q240)+'CDO Bespoke'!T240,0)),"")</f>
        <v/>
      </c>
      <c r="O239" s="490" t="str">
        <f t="shared" ca="1" si="12"/>
        <v/>
      </c>
      <c r="P239" s="490" t="str">
        <f t="shared" ca="1" si="13"/>
        <v/>
      </c>
      <c r="Q239" s="489" t="str">
        <f ca="1">IF('CDO Bespoke'!O240&lt;&gt;"",'CDO Bespoke'!O240,"")</f>
        <v/>
      </c>
      <c r="R239" s="490" t="str">
        <f ca="1">IF(Q239&lt;&gt;"",ABS(MIN(-0.75*('CDO Bespoke'!K240)+'CDO Bespoke'!T240,0)),"")</f>
        <v/>
      </c>
      <c r="S239" s="490" t="str">
        <f t="shared" ca="1" si="14"/>
        <v/>
      </c>
      <c r="T239" s="494" t="str">
        <f t="shared" ca="1" si="15"/>
        <v/>
      </c>
      <c r="U239" s="275"/>
      <c r="V239" s="499" t="str">
        <f ca="1">IF('CDO Bespoke'!C264&lt;&gt;"",'CDO Bespoke'!C264,"")</f>
        <v/>
      </c>
      <c r="W239" s="501" t="str" cm="1">
        <f t="array" aca="1" ref="W239" ca="1">IF($V239&lt;&gt;"",-TRANSPOSE(INDEX(getcds('CDO Bespoke'!$C264,W$13,'CDO Bespoke'!$G264/10000,'CDO Bespoke'!F264,'CDO Bespoke'!$L240,'CDO Bespoke'!$C$13,'CDO Bespoke'!$C$14,'CDO Bespoke'!$C$15,'CDO Bespoke'!$C$8,,,TRUE,TRUE,FALSE,'CDO Bespoke'!$C$29:'CDO Bespoke'!$C$31,'CDO Bespoke'!$C$33),{5})),"")</f>
        <v/>
      </c>
      <c r="X239" s="527" t="str" cm="1">
        <f t="array" aca="1" ref="X239" ca="1">IF($V239&lt;&gt;"",-TRANSPOSE(INDEX(getcds('CDO Bespoke'!$C264,X$13,'CDO Bespoke'!$G264/10000,'CDO Bespoke'!G264,'CDO Bespoke'!$L240,'CDO Bespoke'!$C$13,'CDO Bespoke'!$C$14,'CDO Bespoke'!$C$15,'CDO Bespoke'!$C$8,,,TRUE,TRUE,FALSE,'CDO Bespoke'!$C$29:'CDO Bespoke'!$C$31,'CDO Bespoke'!$C$33),{5})),"")</f>
        <v/>
      </c>
      <c r="Y239" s="527" t="str" cm="1">
        <f t="array" aca="1" ref="Y239" ca="1">IF($V239&lt;&gt;"",-TRANSPOSE(INDEX(getcds('CDO Bespoke'!$C264,Y$13,'CDO Bespoke'!$G264/10000,'CDO Bespoke'!H264,'CDO Bespoke'!$L240,'CDO Bespoke'!$C$13,'CDO Bespoke'!$C$14,'CDO Bespoke'!$C$15,'CDO Bespoke'!$C$8,,,TRUE,TRUE,FALSE,'CDO Bespoke'!$C$29:'CDO Bespoke'!$C$31,'CDO Bespoke'!$C$33),{5})),"")</f>
        <v/>
      </c>
      <c r="Z239" s="527" t="str" cm="1">
        <f t="array" aca="1" ref="Z239" ca="1">IF($V239&lt;&gt;"",-TRANSPOSE(INDEX(getcds('CDO Bespoke'!$C264,Z$13,'CDO Bespoke'!$G264/10000,'CDO Bespoke'!I264,'CDO Bespoke'!$L240,'CDO Bespoke'!$C$13,'CDO Bespoke'!$C$14,'CDO Bespoke'!$C$15,'CDO Bespoke'!$C$8,,,TRUE,TRUE,FALSE,'CDO Bespoke'!$C$29:'CDO Bespoke'!$C$31,'CDO Bespoke'!$C$33),{5})),"")</f>
        <v/>
      </c>
      <c r="AA239" s="502" t="str" cm="1">
        <f t="array" aca="1" ref="AA239" ca="1">IF($V239&lt;&gt;"",-TRANSPOSE(INDEX(getcds('CDO Bespoke'!$C264,AA$13,'CDO Bespoke'!$G264/10000,'CDO Bespoke'!J264,'CDO Bespoke'!$L240,'CDO Bespoke'!$C$13,'CDO Bespoke'!$C$14,'CDO Bespoke'!$C$15,'CDO Bespoke'!$C$8,,,TRUE,TRUE,FALSE,'CDO Bespoke'!$C$29:'CDO Bespoke'!$C$31,'CDO Bespoke'!$C$33),{5})),"")</f>
        <v/>
      </c>
      <c r="AB239" s="481"/>
      <c r="AC239" s="517"/>
      <c r="AD239" s="518"/>
      <c r="AE239" s="518"/>
      <c r="AF239" s="518"/>
      <c r="AG239" s="518"/>
      <c r="AH239" s="518"/>
      <c r="AI239" s="518"/>
      <c r="AJ239" s="518"/>
      <c r="AK239" s="518"/>
      <c r="AL239" s="519"/>
      <c r="AM239" s="540"/>
    </row>
    <row r="240" spans="2:39" ht="12" thickBot="1">
      <c r="B240" s="558" t="s">
        <v>577</v>
      </c>
      <c r="C240" s="559" t="s">
        <v>66</v>
      </c>
      <c r="D240" s="559" t="s">
        <v>59</v>
      </c>
      <c r="E240" s="559" t="s">
        <v>663</v>
      </c>
      <c r="F240" s="559" t="s">
        <v>671</v>
      </c>
      <c r="G240" s="560">
        <v>0.01</v>
      </c>
      <c r="H240" s="560">
        <v>8.0239999999999999E-3</v>
      </c>
      <c r="I240" s="561">
        <v>0.4</v>
      </c>
      <c r="J240" s="562">
        <v>72</v>
      </c>
      <c r="K240" s="275"/>
      <c r="L240" s="275"/>
      <c r="M240" s="489" t="str">
        <f ca="1">IF('CDO Bespoke'!O241&lt;&gt;"",'CDO Bespoke'!O241,"")</f>
        <v/>
      </c>
      <c r="N240" s="490" t="str">
        <f ca="1">IF(M240&lt;&gt;"",ABS(MIN(-0.75*('CDO Bespoke'!Q241)+'CDO Bespoke'!T241,0)),"")</f>
        <v/>
      </c>
      <c r="O240" s="490" t="str">
        <f t="shared" ca="1" si="12"/>
        <v/>
      </c>
      <c r="P240" s="490" t="str">
        <f t="shared" ca="1" si="13"/>
        <v/>
      </c>
      <c r="Q240" s="489" t="str">
        <f ca="1">IF('CDO Bespoke'!O241&lt;&gt;"",'CDO Bespoke'!O241,"")</f>
        <v/>
      </c>
      <c r="R240" s="490" t="str">
        <f ca="1">IF(Q240&lt;&gt;"",ABS(MIN(-0.75*('CDO Bespoke'!K241)+'CDO Bespoke'!T241,0)),"")</f>
        <v/>
      </c>
      <c r="S240" s="490" t="str">
        <f t="shared" ca="1" si="14"/>
        <v/>
      </c>
      <c r="T240" s="494" t="str">
        <f t="shared" ca="1" si="15"/>
        <v/>
      </c>
      <c r="U240" s="275"/>
      <c r="V240" s="499" t="str">
        <f ca="1">IF('CDO Bespoke'!C265&lt;&gt;"",'CDO Bespoke'!C265,"")</f>
        <v/>
      </c>
      <c r="W240" s="501" t="str" cm="1">
        <f t="array" aca="1" ref="W240" ca="1">IF($V240&lt;&gt;"",-TRANSPOSE(INDEX(getcds('CDO Bespoke'!$C265,W$13,'CDO Bespoke'!$G265/10000,'CDO Bespoke'!F265,'CDO Bespoke'!$L241,'CDO Bespoke'!$C$13,'CDO Bespoke'!$C$14,'CDO Bespoke'!$C$15,'CDO Bespoke'!$C$8,,,TRUE,TRUE,FALSE,'CDO Bespoke'!$C$29:'CDO Bespoke'!$C$31,'CDO Bespoke'!$C$33),{5})),"")</f>
        <v/>
      </c>
      <c r="X240" s="527" t="str" cm="1">
        <f t="array" aca="1" ref="X240" ca="1">IF($V240&lt;&gt;"",-TRANSPOSE(INDEX(getcds('CDO Bespoke'!$C265,X$13,'CDO Bespoke'!$G265/10000,'CDO Bespoke'!G265,'CDO Bespoke'!$L241,'CDO Bespoke'!$C$13,'CDO Bespoke'!$C$14,'CDO Bespoke'!$C$15,'CDO Bespoke'!$C$8,,,TRUE,TRUE,FALSE,'CDO Bespoke'!$C$29:'CDO Bespoke'!$C$31,'CDO Bespoke'!$C$33),{5})),"")</f>
        <v/>
      </c>
      <c r="Y240" s="527" t="str" cm="1">
        <f t="array" aca="1" ref="Y240" ca="1">IF($V240&lt;&gt;"",-TRANSPOSE(INDEX(getcds('CDO Bespoke'!$C265,Y$13,'CDO Bespoke'!$G265/10000,'CDO Bespoke'!H265,'CDO Bespoke'!$L241,'CDO Bespoke'!$C$13,'CDO Bespoke'!$C$14,'CDO Bespoke'!$C$15,'CDO Bespoke'!$C$8,,,TRUE,TRUE,FALSE,'CDO Bespoke'!$C$29:'CDO Bespoke'!$C$31,'CDO Bespoke'!$C$33),{5})),"")</f>
        <v/>
      </c>
      <c r="Z240" s="527" t="str" cm="1">
        <f t="array" aca="1" ref="Z240" ca="1">IF($V240&lt;&gt;"",-TRANSPOSE(INDEX(getcds('CDO Bespoke'!$C265,Z$13,'CDO Bespoke'!$G265/10000,'CDO Bespoke'!I265,'CDO Bespoke'!$L241,'CDO Bespoke'!$C$13,'CDO Bespoke'!$C$14,'CDO Bespoke'!$C$15,'CDO Bespoke'!$C$8,,,TRUE,TRUE,FALSE,'CDO Bespoke'!$C$29:'CDO Bespoke'!$C$31,'CDO Bespoke'!$C$33),{5})),"")</f>
        <v/>
      </c>
      <c r="AA240" s="502" t="str" cm="1">
        <f t="array" aca="1" ref="AA240" ca="1">IF($V240&lt;&gt;"",-TRANSPOSE(INDEX(getcds('CDO Bespoke'!$C265,AA$13,'CDO Bespoke'!$G265/10000,'CDO Bespoke'!J265,'CDO Bespoke'!$L241,'CDO Bespoke'!$C$13,'CDO Bespoke'!$C$14,'CDO Bespoke'!$C$15,'CDO Bespoke'!$C$8,,,TRUE,TRUE,FALSE,'CDO Bespoke'!$C$29:'CDO Bespoke'!$C$31,'CDO Bespoke'!$C$33),{5})),"")</f>
        <v/>
      </c>
      <c r="AB240" s="481"/>
      <c r="AC240" s="517"/>
      <c r="AD240" s="518"/>
      <c r="AE240" s="518"/>
      <c r="AF240" s="518"/>
      <c r="AG240" s="518"/>
      <c r="AH240" s="518"/>
      <c r="AI240" s="518"/>
      <c r="AJ240" s="518"/>
      <c r="AK240" s="518"/>
      <c r="AL240" s="519"/>
      <c r="AM240" s="540"/>
    </row>
    <row r="241" spans="2:39" ht="12" thickBot="1">
      <c r="B241" s="563" t="s">
        <v>578</v>
      </c>
      <c r="C241" s="564" t="s">
        <v>66</v>
      </c>
      <c r="D241" s="564" t="s">
        <v>55</v>
      </c>
      <c r="E241" s="564" t="s">
        <v>663</v>
      </c>
      <c r="F241" s="564" t="s">
        <v>671</v>
      </c>
      <c r="G241" s="565">
        <v>0.01</v>
      </c>
      <c r="H241" s="565">
        <v>2.993E-3</v>
      </c>
      <c r="I241" s="566">
        <v>0.4</v>
      </c>
      <c r="J241" s="567">
        <v>73</v>
      </c>
      <c r="K241" s="275"/>
      <c r="L241" s="275"/>
      <c r="M241" s="489" t="str">
        <f ca="1">IF('CDO Bespoke'!O242&lt;&gt;"",'CDO Bespoke'!O242,"")</f>
        <v/>
      </c>
      <c r="N241" s="490" t="str">
        <f ca="1">IF(M241&lt;&gt;"",ABS(MIN(-0.75*('CDO Bespoke'!Q242)+'CDO Bespoke'!T242,0)),"")</f>
        <v/>
      </c>
      <c r="O241" s="490" t="str">
        <f t="shared" ca="1" si="12"/>
        <v/>
      </c>
      <c r="P241" s="490" t="str">
        <f t="shared" ca="1" si="13"/>
        <v/>
      </c>
      <c r="Q241" s="489" t="str">
        <f ca="1">IF('CDO Bespoke'!O242&lt;&gt;"",'CDO Bespoke'!O242,"")</f>
        <v/>
      </c>
      <c r="R241" s="490" t="str">
        <f ca="1">IF(Q241&lt;&gt;"",ABS(MIN(-0.75*('CDO Bespoke'!K242)+'CDO Bespoke'!T242,0)),"")</f>
        <v/>
      </c>
      <c r="S241" s="490" t="str">
        <f t="shared" ca="1" si="14"/>
        <v/>
      </c>
      <c r="T241" s="494" t="str">
        <f t="shared" ca="1" si="15"/>
        <v/>
      </c>
      <c r="U241" s="275"/>
      <c r="V241" s="499" t="str">
        <f ca="1">IF('CDO Bespoke'!C266&lt;&gt;"",'CDO Bespoke'!C266,"")</f>
        <v/>
      </c>
      <c r="W241" s="501" t="str" cm="1">
        <f t="array" aca="1" ref="W241" ca="1">IF($V241&lt;&gt;"",-TRANSPOSE(INDEX(getcds('CDO Bespoke'!$C266,W$13,'CDO Bespoke'!$G266/10000,'CDO Bespoke'!F266,'CDO Bespoke'!$L242,'CDO Bespoke'!$C$13,'CDO Bespoke'!$C$14,'CDO Bespoke'!$C$15,'CDO Bespoke'!$C$8,,,TRUE,TRUE,FALSE,'CDO Bespoke'!$C$29:'CDO Bespoke'!$C$31,'CDO Bespoke'!$C$33),{5})),"")</f>
        <v/>
      </c>
      <c r="X241" s="527" t="str" cm="1">
        <f t="array" aca="1" ref="X241" ca="1">IF($V241&lt;&gt;"",-TRANSPOSE(INDEX(getcds('CDO Bespoke'!$C266,X$13,'CDO Bespoke'!$G266/10000,'CDO Bespoke'!G266,'CDO Bespoke'!$L242,'CDO Bespoke'!$C$13,'CDO Bespoke'!$C$14,'CDO Bespoke'!$C$15,'CDO Bespoke'!$C$8,,,TRUE,TRUE,FALSE,'CDO Bespoke'!$C$29:'CDO Bespoke'!$C$31,'CDO Bespoke'!$C$33),{5})),"")</f>
        <v/>
      </c>
      <c r="Y241" s="527" t="str" cm="1">
        <f t="array" aca="1" ref="Y241" ca="1">IF($V241&lt;&gt;"",-TRANSPOSE(INDEX(getcds('CDO Bespoke'!$C266,Y$13,'CDO Bespoke'!$G266/10000,'CDO Bespoke'!H266,'CDO Bespoke'!$L242,'CDO Bespoke'!$C$13,'CDO Bespoke'!$C$14,'CDO Bespoke'!$C$15,'CDO Bespoke'!$C$8,,,TRUE,TRUE,FALSE,'CDO Bespoke'!$C$29:'CDO Bespoke'!$C$31,'CDO Bespoke'!$C$33),{5})),"")</f>
        <v/>
      </c>
      <c r="Z241" s="527" t="str" cm="1">
        <f t="array" aca="1" ref="Z241" ca="1">IF($V241&lt;&gt;"",-TRANSPOSE(INDEX(getcds('CDO Bespoke'!$C266,Z$13,'CDO Bespoke'!$G266/10000,'CDO Bespoke'!I266,'CDO Bespoke'!$L242,'CDO Bespoke'!$C$13,'CDO Bespoke'!$C$14,'CDO Bespoke'!$C$15,'CDO Bespoke'!$C$8,,,TRUE,TRUE,FALSE,'CDO Bespoke'!$C$29:'CDO Bespoke'!$C$31,'CDO Bespoke'!$C$33),{5})),"")</f>
        <v/>
      </c>
      <c r="AA241" s="502" t="str" cm="1">
        <f t="array" aca="1" ref="AA241" ca="1">IF($V241&lt;&gt;"",-TRANSPOSE(INDEX(getcds('CDO Bespoke'!$C266,AA$13,'CDO Bespoke'!$G266/10000,'CDO Bespoke'!J266,'CDO Bespoke'!$L242,'CDO Bespoke'!$C$13,'CDO Bespoke'!$C$14,'CDO Bespoke'!$C$15,'CDO Bespoke'!$C$8,,,TRUE,TRUE,FALSE,'CDO Bespoke'!$C$29:'CDO Bespoke'!$C$31,'CDO Bespoke'!$C$33),{5})),"")</f>
        <v/>
      </c>
      <c r="AB241" s="481"/>
      <c r="AC241" s="517"/>
      <c r="AD241" s="518"/>
      <c r="AE241" s="518"/>
      <c r="AF241" s="518"/>
      <c r="AG241" s="518"/>
      <c r="AH241" s="518"/>
      <c r="AI241" s="518"/>
      <c r="AJ241" s="518"/>
      <c r="AK241" s="518"/>
      <c r="AL241" s="519"/>
      <c r="AM241" s="540"/>
    </row>
    <row r="242" spans="2:39" ht="12" thickBot="1">
      <c r="B242" s="541" t="s">
        <v>578</v>
      </c>
      <c r="C242" s="542" t="s">
        <v>66</v>
      </c>
      <c r="D242" s="542" t="s">
        <v>57</v>
      </c>
      <c r="E242" s="542" t="s">
        <v>663</v>
      </c>
      <c r="F242" s="542" t="s">
        <v>671</v>
      </c>
      <c r="G242" s="549">
        <v>0.01</v>
      </c>
      <c r="H242" s="549">
        <v>4.7149999999999996E-3</v>
      </c>
      <c r="I242" s="551">
        <v>0.4</v>
      </c>
      <c r="J242" s="543">
        <v>73</v>
      </c>
      <c r="K242" s="275"/>
      <c r="L242" s="275"/>
      <c r="M242" s="489" t="str">
        <f ca="1">IF('CDO Bespoke'!O243&lt;&gt;"",'CDO Bespoke'!O243,"")</f>
        <v/>
      </c>
      <c r="N242" s="490" t="str">
        <f ca="1">IF(M242&lt;&gt;"",ABS(MIN(-0.75*('CDO Bespoke'!Q243)+'CDO Bespoke'!T243,0)),"")</f>
        <v/>
      </c>
      <c r="O242" s="490" t="str">
        <f t="shared" ca="1" si="12"/>
        <v/>
      </c>
      <c r="P242" s="490" t="str">
        <f t="shared" ca="1" si="13"/>
        <v/>
      </c>
      <c r="Q242" s="489" t="str">
        <f ca="1">IF('CDO Bespoke'!O243&lt;&gt;"",'CDO Bespoke'!O243,"")</f>
        <v/>
      </c>
      <c r="R242" s="490" t="str">
        <f ca="1">IF(Q242&lt;&gt;"",ABS(MIN(-0.75*('CDO Bespoke'!K243)+'CDO Bespoke'!T243,0)),"")</f>
        <v/>
      </c>
      <c r="S242" s="490" t="str">
        <f t="shared" ca="1" si="14"/>
        <v/>
      </c>
      <c r="T242" s="494" t="str">
        <f t="shared" ca="1" si="15"/>
        <v/>
      </c>
      <c r="U242" s="275"/>
      <c r="V242" s="499" t="str">
        <f ca="1">IF('CDO Bespoke'!C267&lt;&gt;"",'CDO Bespoke'!C267,"")</f>
        <v/>
      </c>
      <c r="W242" s="501" t="str" cm="1">
        <f t="array" aca="1" ref="W242" ca="1">IF($V242&lt;&gt;"",-TRANSPOSE(INDEX(getcds('CDO Bespoke'!$C267,W$13,'CDO Bespoke'!$G267/10000,'CDO Bespoke'!F267,'CDO Bespoke'!$L243,'CDO Bespoke'!$C$13,'CDO Bespoke'!$C$14,'CDO Bespoke'!$C$15,'CDO Bespoke'!$C$8,,,TRUE,TRUE,FALSE,'CDO Bespoke'!$C$29:'CDO Bespoke'!$C$31,'CDO Bespoke'!$C$33),{5})),"")</f>
        <v/>
      </c>
      <c r="X242" s="527" t="str" cm="1">
        <f t="array" aca="1" ref="X242" ca="1">IF($V242&lt;&gt;"",-TRANSPOSE(INDEX(getcds('CDO Bespoke'!$C267,X$13,'CDO Bespoke'!$G267/10000,'CDO Bespoke'!G267,'CDO Bespoke'!$L243,'CDO Bespoke'!$C$13,'CDO Bespoke'!$C$14,'CDO Bespoke'!$C$15,'CDO Bespoke'!$C$8,,,TRUE,TRUE,FALSE,'CDO Bespoke'!$C$29:'CDO Bespoke'!$C$31,'CDO Bespoke'!$C$33),{5})),"")</f>
        <v/>
      </c>
      <c r="Y242" s="527" t="str" cm="1">
        <f t="array" aca="1" ref="Y242" ca="1">IF($V242&lt;&gt;"",-TRANSPOSE(INDEX(getcds('CDO Bespoke'!$C267,Y$13,'CDO Bespoke'!$G267/10000,'CDO Bespoke'!H267,'CDO Bespoke'!$L243,'CDO Bespoke'!$C$13,'CDO Bespoke'!$C$14,'CDO Bespoke'!$C$15,'CDO Bespoke'!$C$8,,,TRUE,TRUE,FALSE,'CDO Bespoke'!$C$29:'CDO Bespoke'!$C$31,'CDO Bespoke'!$C$33),{5})),"")</f>
        <v/>
      </c>
      <c r="Z242" s="527" t="str" cm="1">
        <f t="array" aca="1" ref="Z242" ca="1">IF($V242&lt;&gt;"",-TRANSPOSE(INDEX(getcds('CDO Bespoke'!$C267,Z$13,'CDO Bespoke'!$G267/10000,'CDO Bespoke'!I267,'CDO Bespoke'!$L243,'CDO Bespoke'!$C$13,'CDO Bespoke'!$C$14,'CDO Bespoke'!$C$15,'CDO Bespoke'!$C$8,,,TRUE,TRUE,FALSE,'CDO Bespoke'!$C$29:'CDO Bespoke'!$C$31,'CDO Bespoke'!$C$33),{5})),"")</f>
        <v/>
      </c>
      <c r="AA242" s="502" t="str" cm="1">
        <f t="array" aca="1" ref="AA242" ca="1">IF($V242&lt;&gt;"",-TRANSPOSE(INDEX(getcds('CDO Bespoke'!$C267,AA$13,'CDO Bespoke'!$G267/10000,'CDO Bespoke'!J267,'CDO Bespoke'!$L243,'CDO Bespoke'!$C$13,'CDO Bespoke'!$C$14,'CDO Bespoke'!$C$15,'CDO Bespoke'!$C$8,,,TRUE,TRUE,FALSE,'CDO Bespoke'!$C$29:'CDO Bespoke'!$C$31,'CDO Bespoke'!$C$33),{5})),"")</f>
        <v/>
      </c>
      <c r="AB242" s="481"/>
      <c r="AC242" s="517"/>
      <c r="AD242" s="518"/>
      <c r="AE242" s="518"/>
      <c r="AF242" s="518"/>
      <c r="AG242" s="518"/>
      <c r="AH242" s="518"/>
      <c r="AI242" s="518"/>
      <c r="AJ242" s="518"/>
      <c r="AK242" s="518"/>
      <c r="AL242" s="519"/>
      <c r="AM242" s="540"/>
    </row>
    <row r="243" spans="2:39" ht="12" thickBot="1">
      <c r="B243" s="558" t="s">
        <v>578</v>
      </c>
      <c r="C243" s="559" t="s">
        <v>66</v>
      </c>
      <c r="D243" s="559" t="s">
        <v>59</v>
      </c>
      <c r="E243" s="559" t="s">
        <v>663</v>
      </c>
      <c r="F243" s="559" t="s">
        <v>671</v>
      </c>
      <c r="G243" s="560">
        <v>0.01</v>
      </c>
      <c r="H243" s="560">
        <v>6.6360000000000004E-3</v>
      </c>
      <c r="I243" s="561">
        <v>0.4</v>
      </c>
      <c r="J243" s="562">
        <v>73</v>
      </c>
      <c r="K243" s="275"/>
      <c r="L243" s="275"/>
      <c r="M243" s="489" t="str">
        <f ca="1">IF('CDO Bespoke'!O244&lt;&gt;"",'CDO Bespoke'!O244,"")</f>
        <v/>
      </c>
      <c r="N243" s="490" t="str">
        <f ca="1">IF(M243&lt;&gt;"",ABS(MIN(-0.75*('CDO Bespoke'!Q244)+'CDO Bespoke'!T244,0)),"")</f>
        <v/>
      </c>
      <c r="O243" s="490" t="str">
        <f t="shared" ca="1" si="12"/>
        <v/>
      </c>
      <c r="P243" s="490" t="str">
        <f t="shared" ca="1" si="13"/>
        <v/>
      </c>
      <c r="Q243" s="489" t="str">
        <f ca="1">IF('CDO Bespoke'!O244&lt;&gt;"",'CDO Bespoke'!O244,"")</f>
        <v/>
      </c>
      <c r="R243" s="490" t="str">
        <f ca="1">IF(Q243&lt;&gt;"",ABS(MIN(-0.75*('CDO Bespoke'!K244)+'CDO Bespoke'!T244,0)),"")</f>
        <v/>
      </c>
      <c r="S243" s="490" t="str">
        <f t="shared" ca="1" si="14"/>
        <v/>
      </c>
      <c r="T243" s="494" t="str">
        <f t="shared" ca="1" si="15"/>
        <v/>
      </c>
      <c r="U243" s="275"/>
      <c r="V243" s="499" t="str">
        <f ca="1">IF('CDO Bespoke'!C268&lt;&gt;"",'CDO Bespoke'!C268,"")</f>
        <v/>
      </c>
      <c r="W243" s="501" t="str" cm="1">
        <f t="array" aca="1" ref="W243" ca="1">IF($V243&lt;&gt;"",-TRANSPOSE(INDEX(getcds('CDO Bespoke'!$C268,W$13,'CDO Bespoke'!$G268/10000,'CDO Bespoke'!F268,'CDO Bespoke'!$L244,'CDO Bespoke'!$C$13,'CDO Bespoke'!$C$14,'CDO Bespoke'!$C$15,'CDO Bespoke'!$C$8,,,TRUE,TRUE,FALSE,'CDO Bespoke'!$C$29:'CDO Bespoke'!$C$31,'CDO Bespoke'!$C$33),{5})),"")</f>
        <v/>
      </c>
      <c r="X243" s="527" t="str" cm="1">
        <f t="array" aca="1" ref="X243" ca="1">IF($V243&lt;&gt;"",-TRANSPOSE(INDEX(getcds('CDO Bespoke'!$C268,X$13,'CDO Bespoke'!$G268/10000,'CDO Bespoke'!G268,'CDO Bespoke'!$L244,'CDO Bespoke'!$C$13,'CDO Bespoke'!$C$14,'CDO Bespoke'!$C$15,'CDO Bespoke'!$C$8,,,TRUE,TRUE,FALSE,'CDO Bespoke'!$C$29:'CDO Bespoke'!$C$31,'CDO Bespoke'!$C$33),{5})),"")</f>
        <v/>
      </c>
      <c r="Y243" s="527" t="str" cm="1">
        <f t="array" aca="1" ref="Y243" ca="1">IF($V243&lt;&gt;"",-TRANSPOSE(INDEX(getcds('CDO Bespoke'!$C268,Y$13,'CDO Bespoke'!$G268/10000,'CDO Bespoke'!H268,'CDO Bespoke'!$L244,'CDO Bespoke'!$C$13,'CDO Bespoke'!$C$14,'CDO Bespoke'!$C$15,'CDO Bespoke'!$C$8,,,TRUE,TRUE,FALSE,'CDO Bespoke'!$C$29:'CDO Bespoke'!$C$31,'CDO Bespoke'!$C$33),{5})),"")</f>
        <v/>
      </c>
      <c r="Z243" s="527" t="str" cm="1">
        <f t="array" aca="1" ref="Z243" ca="1">IF($V243&lt;&gt;"",-TRANSPOSE(INDEX(getcds('CDO Bespoke'!$C268,Z$13,'CDO Bespoke'!$G268/10000,'CDO Bespoke'!I268,'CDO Bespoke'!$L244,'CDO Bespoke'!$C$13,'CDO Bespoke'!$C$14,'CDO Bespoke'!$C$15,'CDO Bespoke'!$C$8,,,TRUE,TRUE,FALSE,'CDO Bespoke'!$C$29:'CDO Bespoke'!$C$31,'CDO Bespoke'!$C$33),{5})),"")</f>
        <v/>
      </c>
      <c r="AA243" s="502" t="str" cm="1">
        <f t="array" aca="1" ref="AA243" ca="1">IF($V243&lt;&gt;"",-TRANSPOSE(INDEX(getcds('CDO Bespoke'!$C268,AA$13,'CDO Bespoke'!$G268/10000,'CDO Bespoke'!J268,'CDO Bespoke'!$L244,'CDO Bespoke'!$C$13,'CDO Bespoke'!$C$14,'CDO Bespoke'!$C$15,'CDO Bespoke'!$C$8,,,TRUE,TRUE,FALSE,'CDO Bespoke'!$C$29:'CDO Bespoke'!$C$31,'CDO Bespoke'!$C$33),{5})),"")</f>
        <v/>
      </c>
      <c r="AB243" s="481"/>
      <c r="AC243" s="517"/>
      <c r="AD243" s="518"/>
      <c r="AE243" s="518"/>
      <c r="AF243" s="518"/>
      <c r="AG243" s="518"/>
      <c r="AH243" s="518"/>
      <c r="AI243" s="518"/>
      <c r="AJ243" s="518"/>
      <c r="AK243" s="518"/>
      <c r="AL243" s="519"/>
      <c r="AM243" s="540"/>
    </row>
    <row r="244" spans="2:39" ht="12" thickBot="1">
      <c r="B244" s="563" t="s">
        <v>579</v>
      </c>
      <c r="C244" s="564" t="s">
        <v>66</v>
      </c>
      <c r="D244" s="564" t="s">
        <v>55</v>
      </c>
      <c r="E244" s="564" t="s">
        <v>663</v>
      </c>
      <c r="F244" s="564" t="s">
        <v>670</v>
      </c>
      <c r="G244" s="565">
        <v>0.01</v>
      </c>
      <c r="H244" s="565">
        <v>4.0020000000000003E-3</v>
      </c>
      <c r="I244" s="566">
        <v>0.4</v>
      </c>
      <c r="J244" s="567">
        <v>74</v>
      </c>
      <c r="K244" s="275"/>
      <c r="L244" s="275"/>
      <c r="M244" s="489" t="str">
        <f ca="1">IF('CDO Bespoke'!O245&lt;&gt;"",'CDO Bespoke'!O245,"")</f>
        <v/>
      </c>
      <c r="N244" s="490" t="str">
        <f ca="1">IF(M244&lt;&gt;"",ABS(MIN(-0.75*('CDO Bespoke'!Q245)+'CDO Bespoke'!T245,0)),"")</f>
        <v/>
      </c>
      <c r="O244" s="490" t="str">
        <f t="shared" ca="1" si="12"/>
        <v/>
      </c>
      <c r="P244" s="490" t="str">
        <f t="shared" ca="1" si="13"/>
        <v/>
      </c>
      <c r="Q244" s="489" t="str">
        <f ca="1">IF('CDO Bespoke'!O245&lt;&gt;"",'CDO Bespoke'!O245,"")</f>
        <v/>
      </c>
      <c r="R244" s="490" t="str">
        <f ca="1">IF(Q244&lt;&gt;"",ABS(MIN(-0.75*('CDO Bespoke'!K245)+'CDO Bespoke'!T245,0)),"")</f>
        <v/>
      </c>
      <c r="S244" s="490" t="str">
        <f t="shared" ca="1" si="14"/>
        <v/>
      </c>
      <c r="T244" s="494" t="str">
        <f t="shared" ca="1" si="15"/>
        <v/>
      </c>
      <c r="U244" s="275"/>
      <c r="V244" s="499" t="str">
        <f ca="1">IF('CDO Bespoke'!C269&lt;&gt;"",'CDO Bespoke'!C269,"")</f>
        <v/>
      </c>
      <c r="W244" s="501" t="str" cm="1">
        <f t="array" aca="1" ref="W244" ca="1">IF($V244&lt;&gt;"",-TRANSPOSE(INDEX(getcds('CDO Bespoke'!$C269,W$13,'CDO Bespoke'!$G269/10000,'CDO Bespoke'!F269,'CDO Bespoke'!$L245,'CDO Bespoke'!$C$13,'CDO Bespoke'!$C$14,'CDO Bespoke'!$C$15,'CDO Bespoke'!$C$8,,,TRUE,TRUE,FALSE,'CDO Bespoke'!$C$29:'CDO Bespoke'!$C$31,'CDO Bespoke'!$C$33),{5})),"")</f>
        <v/>
      </c>
      <c r="X244" s="527" t="str" cm="1">
        <f t="array" aca="1" ref="X244" ca="1">IF($V244&lt;&gt;"",-TRANSPOSE(INDEX(getcds('CDO Bespoke'!$C269,X$13,'CDO Bespoke'!$G269/10000,'CDO Bespoke'!G269,'CDO Bespoke'!$L245,'CDO Bespoke'!$C$13,'CDO Bespoke'!$C$14,'CDO Bespoke'!$C$15,'CDO Bespoke'!$C$8,,,TRUE,TRUE,FALSE,'CDO Bespoke'!$C$29:'CDO Bespoke'!$C$31,'CDO Bespoke'!$C$33),{5})),"")</f>
        <v/>
      </c>
      <c r="Y244" s="527" t="str" cm="1">
        <f t="array" aca="1" ref="Y244" ca="1">IF($V244&lt;&gt;"",-TRANSPOSE(INDEX(getcds('CDO Bespoke'!$C269,Y$13,'CDO Bespoke'!$G269/10000,'CDO Bespoke'!H269,'CDO Bespoke'!$L245,'CDO Bespoke'!$C$13,'CDO Bespoke'!$C$14,'CDO Bespoke'!$C$15,'CDO Bespoke'!$C$8,,,TRUE,TRUE,FALSE,'CDO Bespoke'!$C$29:'CDO Bespoke'!$C$31,'CDO Bespoke'!$C$33),{5})),"")</f>
        <v/>
      </c>
      <c r="Z244" s="527" t="str" cm="1">
        <f t="array" aca="1" ref="Z244" ca="1">IF($V244&lt;&gt;"",-TRANSPOSE(INDEX(getcds('CDO Bespoke'!$C269,Z$13,'CDO Bespoke'!$G269/10000,'CDO Bespoke'!I269,'CDO Bespoke'!$L245,'CDO Bespoke'!$C$13,'CDO Bespoke'!$C$14,'CDO Bespoke'!$C$15,'CDO Bespoke'!$C$8,,,TRUE,TRUE,FALSE,'CDO Bespoke'!$C$29:'CDO Bespoke'!$C$31,'CDO Bespoke'!$C$33),{5})),"")</f>
        <v/>
      </c>
      <c r="AA244" s="502" t="str" cm="1">
        <f t="array" aca="1" ref="AA244" ca="1">IF($V244&lt;&gt;"",-TRANSPOSE(INDEX(getcds('CDO Bespoke'!$C269,AA$13,'CDO Bespoke'!$G269/10000,'CDO Bespoke'!J269,'CDO Bespoke'!$L245,'CDO Bespoke'!$C$13,'CDO Bespoke'!$C$14,'CDO Bespoke'!$C$15,'CDO Bespoke'!$C$8,,,TRUE,TRUE,FALSE,'CDO Bespoke'!$C$29:'CDO Bespoke'!$C$31,'CDO Bespoke'!$C$33),{5})),"")</f>
        <v/>
      </c>
      <c r="AB244" s="481"/>
      <c r="AC244" s="517"/>
      <c r="AD244" s="518"/>
      <c r="AE244" s="518"/>
      <c r="AF244" s="518"/>
      <c r="AG244" s="518"/>
      <c r="AH244" s="518"/>
      <c r="AI244" s="518"/>
      <c r="AJ244" s="518"/>
      <c r="AK244" s="518"/>
      <c r="AL244" s="519"/>
      <c r="AM244" s="540"/>
    </row>
    <row r="245" spans="2:39" ht="12" thickBot="1">
      <c r="B245" s="541" t="s">
        <v>579</v>
      </c>
      <c r="C245" s="542" t="s">
        <v>66</v>
      </c>
      <c r="D245" s="542" t="s">
        <v>57</v>
      </c>
      <c r="E245" s="542" t="s">
        <v>663</v>
      </c>
      <c r="F245" s="542" t="s">
        <v>670</v>
      </c>
      <c r="G245" s="549">
        <v>0.01</v>
      </c>
      <c r="H245" s="549">
        <v>6.0629999999999998E-3</v>
      </c>
      <c r="I245" s="551">
        <v>0.4</v>
      </c>
      <c r="J245" s="543">
        <v>74</v>
      </c>
      <c r="K245" s="275"/>
      <c r="L245" s="275"/>
      <c r="M245" s="489" t="str">
        <f ca="1">IF('CDO Bespoke'!O246&lt;&gt;"",'CDO Bespoke'!O246,"")</f>
        <v/>
      </c>
      <c r="N245" s="490" t="str">
        <f ca="1">IF(M245&lt;&gt;"",ABS(MIN(-0.75*('CDO Bespoke'!Q246)+'CDO Bespoke'!T246,0)),"")</f>
        <v/>
      </c>
      <c r="O245" s="490" t="str">
        <f t="shared" ca="1" si="12"/>
        <v/>
      </c>
      <c r="P245" s="490" t="str">
        <f t="shared" ca="1" si="13"/>
        <v/>
      </c>
      <c r="Q245" s="489" t="str">
        <f ca="1">IF('CDO Bespoke'!O246&lt;&gt;"",'CDO Bespoke'!O246,"")</f>
        <v/>
      </c>
      <c r="R245" s="490" t="str">
        <f ca="1">IF(Q245&lt;&gt;"",ABS(MIN(-0.75*('CDO Bespoke'!K246)+'CDO Bespoke'!T246,0)),"")</f>
        <v/>
      </c>
      <c r="S245" s="490" t="str">
        <f t="shared" ca="1" si="14"/>
        <v/>
      </c>
      <c r="T245" s="494" t="str">
        <f t="shared" ca="1" si="15"/>
        <v/>
      </c>
      <c r="U245" s="275"/>
      <c r="V245" s="499" t="str">
        <f ca="1">IF('CDO Bespoke'!C270&lt;&gt;"",'CDO Bespoke'!C270,"")</f>
        <v/>
      </c>
      <c r="W245" s="501" t="str" cm="1">
        <f t="array" aca="1" ref="W245" ca="1">IF($V245&lt;&gt;"",-TRANSPOSE(INDEX(getcds('CDO Bespoke'!$C270,W$13,'CDO Bespoke'!$G270/10000,'CDO Bespoke'!F270,'CDO Bespoke'!$L246,'CDO Bespoke'!$C$13,'CDO Bespoke'!$C$14,'CDO Bespoke'!$C$15,'CDO Bespoke'!$C$8,,,TRUE,TRUE,FALSE,'CDO Bespoke'!$C$29:'CDO Bespoke'!$C$31,'CDO Bespoke'!$C$33),{5})),"")</f>
        <v/>
      </c>
      <c r="X245" s="527" t="str" cm="1">
        <f t="array" aca="1" ref="X245" ca="1">IF($V245&lt;&gt;"",-TRANSPOSE(INDEX(getcds('CDO Bespoke'!$C270,X$13,'CDO Bespoke'!$G270/10000,'CDO Bespoke'!G270,'CDO Bespoke'!$L246,'CDO Bespoke'!$C$13,'CDO Bespoke'!$C$14,'CDO Bespoke'!$C$15,'CDO Bespoke'!$C$8,,,TRUE,TRUE,FALSE,'CDO Bespoke'!$C$29:'CDO Bespoke'!$C$31,'CDO Bespoke'!$C$33),{5})),"")</f>
        <v/>
      </c>
      <c r="Y245" s="527" t="str" cm="1">
        <f t="array" aca="1" ref="Y245" ca="1">IF($V245&lt;&gt;"",-TRANSPOSE(INDEX(getcds('CDO Bespoke'!$C270,Y$13,'CDO Bespoke'!$G270/10000,'CDO Bespoke'!H270,'CDO Bespoke'!$L246,'CDO Bespoke'!$C$13,'CDO Bespoke'!$C$14,'CDO Bespoke'!$C$15,'CDO Bespoke'!$C$8,,,TRUE,TRUE,FALSE,'CDO Bespoke'!$C$29:'CDO Bespoke'!$C$31,'CDO Bespoke'!$C$33),{5})),"")</f>
        <v/>
      </c>
      <c r="Z245" s="527" t="str" cm="1">
        <f t="array" aca="1" ref="Z245" ca="1">IF($V245&lt;&gt;"",-TRANSPOSE(INDEX(getcds('CDO Bespoke'!$C270,Z$13,'CDO Bespoke'!$G270/10000,'CDO Bespoke'!I270,'CDO Bespoke'!$L246,'CDO Bespoke'!$C$13,'CDO Bespoke'!$C$14,'CDO Bespoke'!$C$15,'CDO Bespoke'!$C$8,,,TRUE,TRUE,FALSE,'CDO Bespoke'!$C$29:'CDO Bespoke'!$C$31,'CDO Bespoke'!$C$33),{5})),"")</f>
        <v/>
      </c>
      <c r="AA245" s="502" t="str" cm="1">
        <f t="array" aca="1" ref="AA245" ca="1">IF($V245&lt;&gt;"",-TRANSPOSE(INDEX(getcds('CDO Bespoke'!$C270,AA$13,'CDO Bespoke'!$G270/10000,'CDO Bespoke'!J270,'CDO Bespoke'!$L246,'CDO Bespoke'!$C$13,'CDO Bespoke'!$C$14,'CDO Bespoke'!$C$15,'CDO Bespoke'!$C$8,,,TRUE,TRUE,FALSE,'CDO Bespoke'!$C$29:'CDO Bespoke'!$C$31,'CDO Bespoke'!$C$33),{5})),"")</f>
        <v/>
      </c>
      <c r="AB245" s="481"/>
      <c r="AC245" s="517"/>
      <c r="AD245" s="518"/>
      <c r="AE245" s="518"/>
      <c r="AF245" s="518"/>
      <c r="AG245" s="518"/>
      <c r="AH245" s="518"/>
      <c r="AI245" s="518"/>
      <c r="AJ245" s="518"/>
      <c r="AK245" s="518"/>
      <c r="AL245" s="519"/>
      <c r="AM245" s="540"/>
    </row>
    <row r="246" spans="2:39" ht="12" thickBot="1">
      <c r="B246" s="558" t="s">
        <v>579</v>
      </c>
      <c r="C246" s="559" t="s">
        <v>66</v>
      </c>
      <c r="D246" s="559" t="s">
        <v>59</v>
      </c>
      <c r="E246" s="559" t="s">
        <v>663</v>
      </c>
      <c r="F246" s="559" t="s">
        <v>670</v>
      </c>
      <c r="G246" s="560">
        <v>0.01</v>
      </c>
      <c r="H246" s="560">
        <v>8.3820000000000006E-3</v>
      </c>
      <c r="I246" s="561">
        <v>0.4</v>
      </c>
      <c r="J246" s="562">
        <v>74</v>
      </c>
      <c r="K246" s="275"/>
      <c r="L246" s="275"/>
      <c r="M246" s="489" t="str">
        <f ca="1">IF('CDO Bespoke'!O247&lt;&gt;"",'CDO Bespoke'!O247,"")</f>
        <v/>
      </c>
      <c r="N246" s="490" t="str">
        <f ca="1">IF(M246&lt;&gt;"",ABS(MIN(-0.75*('CDO Bespoke'!Q247)+'CDO Bespoke'!T247,0)),"")</f>
        <v/>
      </c>
      <c r="O246" s="490" t="str">
        <f t="shared" ca="1" si="12"/>
        <v/>
      </c>
      <c r="P246" s="490" t="str">
        <f t="shared" ca="1" si="13"/>
        <v/>
      </c>
      <c r="Q246" s="489" t="str">
        <f ca="1">IF('CDO Bespoke'!O247&lt;&gt;"",'CDO Bespoke'!O247,"")</f>
        <v/>
      </c>
      <c r="R246" s="490" t="str">
        <f ca="1">IF(Q246&lt;&gt;"",ABS(MIN(-0.75*('CDO Bespoke'!K247)+'CDO Bespoke'!T247,0)),"")</f>
        <v/>
      </c>
      <c r="S246" s="490" t="str">
        <f t="shared" ca="1" si="14"/>
        <v/>
      </c>
      <c r="T246" s="494" t="str">
        <f t="shared" ca="1" si="15"/>
        <v/>
      </c>
      <c r="U246" s="275"/>
      <c r="V246" s="499" t="str">
        <f ca="1">IF('CDO Bespoke'!C271&lt;&gt;"",'CDO Bespoke'!C271,"")</f>
        <v/>
      </c>
      <c r="W246" s="501" t="str" cm="1">
        <f t="array" aca="1" ref="W246" ca="1">IF($V246&lt;&gt;"",-TRANSPOSE(INDEX(getcds('CDO Bespoke'!$C271,W$13,'CDO Bespoke'!$G271/10000,'CDO Bespoke'!F271,'CDO Bespoke'!$L247,'CDO Bespoke'!$C$13,'CDO Bespoke'!$C$14,'CDO Bespoke'!$C$15,'CDO Bespoke'!$C$8,,,TRUE,TRUE,FALSE,'CDO Bespoke'!$C$29:'CDO Bespoke'!$C$31,'CDO Bespoke'!$C$33),{5})),"")</f>
        <v/>
      </c>
      <c r="X246" s="527" t="str" cm="1">
        <f t="array" aca="1" ref="X246" ca="1">IF($V246&lt;&gt;"",-TRANSPOSE(INDEX(getcds('CDO Bespoke'!$C271,X$13,'CDO Bespoke'!$G271/10000,'CDO Bespoke'!G271,'CDO Bespoke'!$L247,'CDO Bespoke'!$C$13,'CDO Bespoke'!$C$14,'CDO Bespoke'!$C$15,'CDO Bespoke'!$C$8,,,TRUE,TRUE,FALSE,'CDO Bespoke'!$C$29:'CDO Bespoke'!$C$31,'CDO Bespoke'!$C$33),{5})),"")</f>
        <v/>
      </c>
      <c r="Y246" s="527" t="str" cm="1">
        <f t="array" aca="1" ref="Y246" ca="1">IF($V246&lt;&gt;"",-TRANSPOSE(INDEX(getcds('CDO Bespoke'!$C271,Y$13,'CDO Bespoke'!$G271/10000,'CDO Bespoke'!H271,'CDO Bespoke'!$L247,'CDO Bespoke'!$C$13,'CDO Bespoke'!$C$14,'CDO Bespoke'!$C$15,'CDO Bespoke'!$C$8,,,TRUE,TRUE,FALSE,'CDO Bespoke'!$C$29:'CDO Bespoke'!$C$31,'CDO Bespoke'!$C$33),{5})),"")</f>
        <v/>
      </c>
      <c r="Z246" s="527" t="str" cm="1">
        <f t="array" aca="1" ref="Z246" ca="1">IF($V246&lt;&gt;"",-TRANSPOSE(INDEX(getcds('CDO Bespoke'!$C271,Z$13,'CDO Bespoke'!$G271/10000,'CDO Bespoke'!I271,'CDO Bespoke'!$L247,'CDO Bespoke'!$C$13,'CDO Bespoke'!$C$14,'CDO Bespoke'!$C$15,'CDO Bespoke'!$C$8,,,TRUE,TRUE,FALSE,'CDO Bespoke'!$C$29:'CDO Bespoke'!$C$31,'CDO Bespoke'!$C$33),{5})),"")</f>
        <v/>
      </c>
      <c r="AA246" s="502" t="str" cm="1">
        <f t="array" aca="1" ref="AA246" ca="1">IF($V246&lt;&gt;"",-TRANSPOSE(INDEX(getcds('CDO Bespoke'!$C271,AA$13,'CDO Bespoke'!$G271/10000,'CDO Bespoke'!J271,'CDO Bespoke'!$L247,'CDO Bespoke'!$C$13,'CDO Bespoke'!$C$14,'CDO Bespoke'!$C$15,'CDO Bespoke'!$C$8,,,TRUE,TRUE,FALSE,'CDO Bespoke'!$C$29:'CDO Bespoke'!$C$31,'CDO Bespoke'!$C$33),{5})),"")</f>
        <v/>
      </c>
      <c r="AB246" s="481"/>
      <c r="AC246" s="517"/>
      <c r="AD246" s="518"/>
      <c r="AE246" s="518"/>
      <c r="AF246" s="518"/>
      <c r="AG246" s="518"/>
      <c r="AH246" s="518"/>
      <c r="AI246" s="518"/>
      <c r="AJ246" s="518"/>
      <c r="AK246" s="518"/>
      <c r="AL246" s="519"/>
      <c r="AM246" s="540"/>
    </row>
    <row r="247" spans="2:39" ht="12" thickBot="1">
      <c r="B247" s="563" t="s">
        <v>584</v>
      </c>
      <c r="C247" s="564" t="s">
        <v>66</v>
      </c>
      <c r="D247" s="564" t="s">
        <v>55</v>
      </c>
      <c r="E247" s="564" t="s">
        <v>668</v>
      </c>
      <c r="F247" s="564" t="s">
        <v>670</v>
      </c>
      <c r="G247" s="565">
        <v>0.01</v>
      </c>
      <c r="H247" s="565">
        <v>1.9380000000000001E-3</v>
      </c>
      <c r="I247" s="566">
        <v>0.4</v>
      </c>
      <c r="J247" s="567">
        <v>75</v>
      </c>
      <c r="K247" s="275"/>
      <c r="L247" s="275"/>
      <c r="M247" s="489" t="str">
        <f ca="1">IF('CDO Bespoke'!O248&lt;&gt;"",'CDO Bespoke'!O248,"")</f>
        <v/>
      </c>
      <c r="N247" s="490" t="str">
        <f ca="1">IF(M247&lt;&gt;"",ABS(MIN(-0.75*('CDO Bespoke'!Q248)+'CDO Bespoke'!T248,0)),"")</f>
        <v/>
      </c>
      <c r="O247" s="490" t="str">
        <f t="shared" ca="1" si="12"/>
        <v/>
      </c>
      <c r="P247" s="490" t="str">
        <f t="shared" ca="1" si="13"/>
        <v/>
      </c>
      <c r="Q247" s="489" t="str">
        <f ca="1">IF('CDO Bespoke'!O248&lt;&gt;"",'CDO Bespoke'!O248,"")</f>
        <v/>
      </c>
      <c r="R247" s="490" t="str">
        <f ca="1">IF(Q247&lt;&gt;"",ABS(MIN(-0.75*('CDO Bespoke'!K248)+'CDO Bespoke'!T248,0)),"")</f>
        <v/>
      </c>
      <c r="S247" s="490" t="str">
        <f t="shared" ca="1" si="14"/>
        <v/>
      </c>
      <c r="T247" s="494" t="str">
        <f t="shared" ca="1" si="15"/>
        <v/>
      </c>
      <c r="U247" s="275"/>
      <c r="V247" s="499" t="str">
        <f ca="1">IF('CDO Bespoke'!C272&lt;&gt;"",'CDO Bespoke'!C272,"")</f>
        <v/>
      </c>
      <c r="W247" s="501" t="str" cm="1">
        <f t="array" aca="1" ref="W247" ca="1">IF($V247&lt;&gt;"",-TRANSPOSE(INDEX(getcds('CDO Bespoke'!$C272,W$13,'CDO Bespoke'!$G272/10000,'CDO Bespoke'!F272,'CDO Bespoke'!$L248,'CDO Bespoke'!$C$13,'CDO Bespoke'!$C$14,'CDO Bespoke'!$C$15,'CDO Bespoke'!$C$8,,,TRUE,TRUE,FALSE,'CDO Bespoke'!$C$29:'CDO Bespoke'!$C$31,'CDO Bespoke'!$C$33),{5})),"")</f>
        <v/>
      </c>
      <c r="X247" s="527" t="str" cm="1">
        <f t="array" aca="1" ref="X247" ca="1">IF($V247&lt;&gt;"",-TRANSPOSE(INDEX(getcds('CDO Bespoke'!$C272,X$13,'CDO Bespoke'!$G272/10000,'CDO Bespoke'!G272,'CDO Bespoke'!$L248,'CDO Bespoke'!$C$13,'CDO Bespoke'!$C$14,'CDO Bespoke'!$C$15,'CDO Bespoke'!$C$8,,,TRUE,TRUE,FALSE,'CDO Bespoke'!$C$29:'CDO Bespoke'!$C$31,'CDO Bespoke'!$C$33),{5})),"")</f>
        <v/>
      </c>
      <c r="Y247" s="527" t="str" cm="1">
        <f t="array" aca="1" ref="Y247" ca="1">IF($V247&lt;&gt;"",-TRANSPOSE(INDEX(getcds('CDO Bespoke'!$C272,Y$13,'CDO Bespoke'!$G272/10000,'CDO Bespoke'!H272,'CDO Bespoke'!$L248,'CDO Bespoke'!$C$13,'CDO Bespoke'!$C$14,'CDO Bespoke'!$C$15,'CDO Bespoke'!$C$8,,,TRUE,TRUE,FALSE,'CDO Bespoke'!$C$29:'CDO Bespoke'!$C$31,'CDO Bespoke'!$C$33),{5})),"")</f>
        <v/>
      </c>
      <c r="Z247" s="527" t="str" cm="1">
        <f t="array" aca="1" ref="Z247" ca="1">IF($V247&lt;&gt;"",-TRANSPOSE(INDEX(getcds('CDO Bespoke'!$C272,Z$13,'CDO Bespoke'!$G272/10000,'CDO Bespoke'!I272,'CDO Bespoke'!$L248,'CDO Bespoke'!$C$13,'CDO Bespoke'!$C$14,'CDO Bespoke'!$C$15,'CDO Bespoke'!$C$8,,,TRUE,TRUE,FALSE,'CDO Bespoke'!$C$29:'CDO Bespoke'!$C$31,'CDO Bespoke'!$C$33),{5})),"")</f>
        <v/>
      </c>
      <c r="AA247" s="502" t="str" cm="1">
        <f t="array" aca="1" ref="AA247" ca="1">IF($V247&lt;&gt;"",-TRANSPOSE(INDEX(getcds('CDO Bespoke'!$C272,AA$13,'CDO Bespoke'!$G272/10000,'CDO Bespoke'!J272,'CDO Bespoke'!$L248,'CDO Bespoke'!$C$13,'CDO Bespoke'!$C$14,'CDO Bespoke'!$C$15,'CDO Bespoke'!$C$8,,,TRUE,TRUE,FALSE,'CDO Bespoke'!$C$29:'CDO Bespoke'!$C$31,'CDO Bespoke'!$C$33),{5})),"")</f>
        <v/>
      </c>
      <c r="AB247" s="481"/>
      <c r="AC247" s="517"/>
      <c r="AD247" s="518"/>
      <c r="AE247" s="518"/>
      <c r="AF247" s="518"/>
      <c r="AG247" s="518"/>
      <c r="AH247" s="518"/>
      <c r="AI247" s="518"/>
      <c r="AJ247" s="518"/>
      <c r="AK247" s="518"/>
      <c r="AL247" s="519"/>
      <c r="AM247" s="540"/>
    </row>
    <row r="248" spans="2:39" ht="12" thickBot="1">
      <c r="B248" s="541" t="s">
        <v>584</v>
      </c>
      <c r="C248" s="542" t="s">
        <v>66</v>
      </c>
      <c r="D248" s="542" t="s">
        <v>57</v>
      </c>
      <c r="E248" s="542" t="s">
        <v>668</v>
      </c>
      <c r="F248" s="542" t="s">
        <v>670</v>
      </c>
      <c r="G248" s="549">
        <v>0.01</v>
      </c>
      <c r="H248" s="549">
        <v>3.1410000000000001E-3</v>
      </c>
      <c r="I248" s="551">
        <v>0.4</v>
      </c>
      <c r="J248" s="543">
        <v>75</v>
      </c>
      <c r="K248" s="275"/>
      <c r="L248" s="275"/>
      <c r="M248" s="489" t="str">
        <f ca="1">IF('CDO Bespoke'!O249&lt;&gt;"",'CDO Bespoke'!O249,"")</f>
        <v/>
      </c>
      <c r="N248" s="490" t="str">
        <f ca="1">IF(M248&lt;&gt;"",ABS(MIN(-0.75*('CDO Bespoke'!Q249)+'CDO Bespoke'!T249,0)),"")</f>
        <v/>
      </c>
      <c r="O248" s="490" t="str">
        <f t="shared" ca="1" si="12"/>
        <v/>
      </c>
      <c r="P248" s="490" t="str">
        <f t="shared" ca="1" si="13"/>
        <v/>
      </c>
      <c r="Q248" s="489" t="str">
        <f ca="1">IF('CDO Bespoke'!O249&lt;&gt;"",'CDO Bespoke'!O249,"")</f>
        <v/>
      </c>
      <c r="R248" s="490" t="str">
        <f ca="1">IF(Q248&lt;&gt;"",ABS(MIN(-0.75*('CDO Bespoke'!K249)+'CDO Bespoke'!T249,0)),"")</f>
        <v/>
      </c>
      <c r="S248" s="490" t="str">
        <f t="shared" ca="1" si="14"/>
        <v/>
      </c>
      <c r="T248" s="494" t="str">
        <f t="shared" ca="1" si="15"/>
        <v/>
      </c>
      <c r="U248" s="275"/>
      <c r="V248" s="499" t="str">
        <f ca="1">IF('CDO Bespoke'!C273&lt;&gt;"",'CDO Bespoke'!C273,"")</f>
        <v/>
      </c>
      <c r="W248" s="501" t="str" cm="1">
        <f t="array" aca="1" ref="W248" ca="1">IF($V248&lt;&gt;"",-TRANSPOSE(INDEX(getcds('CDO Bespoke'!$C273,W$13,'CDO Bespoke'!$G273/10000,'CDO Bespoke'!F273,'CDO Bespoke'!$L249,'CDO Bespoke'!$C$13,'CDO Bespoke'!$C$14,'CDO Bespoke'!$C$15,'CDO Bespoke'!$C$8,,,TRUE,TRUE,FALSE,'CDO Bespoke'!$C$29:'CDO Bespoke'!$C$31,'CDO Bespoke'!$C$33),{5})),"")</f>
        <v/>
      </c>
      <c r="X248" s="527" t="str" cm="1">
        <f t="array" aca="1" ref="X248" ca="1">IF($V248&lt;&gt;"",-TRANSPOSE(INDEX(getcds('CDO Bespoke'!$C273,X$13,'CDO Bespoke'!$G273/10000,'CDO Bespoke'!G273,'CDO Bespoke'!$L249,'CDO Bespoke'!$C$13,'CDO Bespoke'!$C$14,'CDO Bespoke'!$C$15,'CDO Bespoke'!$C$8,,,TRUE,TRUE,FALSE,'CDO Bespoke'!$C$29:'CDO Bespoke'!$C$31,'CDO Bespoke'!$C$33),{5})),"")</f>
        <v/>
      </c>
      <c r="Y248" s="527" t="str" cm="1">
        <f t="array" aca="1" ref="Y248" ca="1">IF($V248&lt;&gt;"",-TRANSPOSE(INDEX(getcds('CDO Bespoke'!$C273,Y$13,'CDO Bespoke'!$G273/10000,'CDO Bespoke'!H273,'CDO Bespoke'!$L249,'CDO Bespoke'!$C$13,'CDO Bespoke'!$C$14,'CDO Bespoke'!$C$15,'CDO Bespoke'!$C$8,,,TRUE,TRUE,FALSE,'CDO Bespoke'!$C$29:'CDO Bespoke'!$C$31,'CDO Bespoke'!$C$33),{5})),"")</f>
        <v/>
      </c>
      <c r="Z248" s="527" t="str" cm="1">
        <f t="array" aca="1" ref="Z248" ca="1">IF($V248&lt;&gt;"",-TRANSPOSE(INDEX(getcds('CDO Bespoke'!$C273,Z$13,'CDO Bespoke'!$G273/10000,'CDO Bespoke'!I273,'CDO Bespoke'!$L249,'CDO Bespoke'!$C$13,'CDO Bespoke'!$C$14,'CDO Bespoke'!$C$15,'CDO Bespoke'!$C$8,,,TRUE,TRUE,FALSE,'CDO Bespoke'!$C$29:'CDO Bespoke'!$C$31,'CDO Bespoke'!$C$33),{5})),"")</f>
        <v/>
      </c>
      <c r="AA248" s="502" t="str" cm="1">
        <f t="array" aca="1" ref="AA248" ca="1">IF($V248&lt;&gt;"",-TRANSPOSE(INDEX(getcds('CDO Bespoke'!$C273,AA$13,'CDO Bespoke'!$G273/10000,'CDO Bespoke'!J273,'CDO Bespoke'!$L249,'CDO Bespoke'!$C$13,'CDO Bespoke'!$C$14,'CDO Bespoke'!$C$15,'CDO Bespoke'!$C$8,,,TRUE,TRUE,FALSE,'CDO Bespoke'!$C$29:'CDO Bespoke'!$C$31,'CDO Bespoke'!$C$33),{5})),"")</f>
        <v/>
      </c>
      <c r="AB248" s="481"/>
      <c r="AC248" s="517"/>
      <c r="AD248" s="518"/>
      <c r="AE248" s="518"/>
      <c r="AF248" s="518"/>
      <c r="AG248" s="518"/>
      <c r="AH248" s="518"/>
      <c r="AI248" s="518"/>
      <c r="AJ248" s="518"/>
      <c r="AK248" s="518"/>
      <c r="AL248" s="519"/>
      <c r="AM248" s="540"/>
    </row>
    <row r="249" spans="2:39" ht="12" thickBot="1">
      <c r="B249" s="558" t="s">
        <v>584</v>
      </c>
      <c r="C249" s="559" t="s">
        <v>66</v>
      </c>
      <c r="D249" s="559" t="s">
        <v>59</v>
      </c>
      <c r="E249" s="559" t="s">
        <v>668</v>
      </c>
      <c r="F249" s="559" t="s">
        <v>670</v>
      </c>
      <c r="G249" s="560">
        <v>0.01</v>
      </c>
      <c r="H249" s="560">
        <v>4.7060000000000001E-3</v>
      </c>
      <c r="I249" s="561">
        <v>0.4</v>
      </c>
      <c r="J249" s="562">
        <v>75</v>
      </c>
      <c r="K249" s="275"/>
      <c r="L249" s="275"/>
      <c r="M249" s="489" t="str">
        <f ca="1">IF('CDO Bespoke'!O250&lt;&gt;"",'CDO Bespoke'!O250,"")</f>
        <v/>
      </c>
      <c r="N249" s="490" t="str">
        <f ca="1">IF(M249&lt;&gt;"",ABS(MIN(-0.75*('CDO Bespoke'!Q250)+'CDO Bespoke'!T250,0)),"")</f>
        <v/>
      </c>
      <c r="O249" s="490" t="str">
        <f t="shared" ca="1" si="12"/>
        <v/>
      </c>
      <c r="P249" s="490" t="str">
        <f t="shared" ca="1" si="13"/>
        <v/>
      </c>
      <c r="Q249" s="489" t="str">
        <f ca="1">IF('CDO Bespoke'!O250&lt;&gt;"",'CDO Bespoke'!O250,"")</f>
        <v/>
      </c>
      <c r="R249" s="490" t="str">
        <f ca="1">IF(Q249&lt;&gt;"",ABS(MIN(-0.75*('CDO Bespoke'!K250)+'CDO Bespoke'!T250,0)),"")</f>
        <v/>
      </c>
      <c r="S249" s="490" t="str">
        <f t="shared" ca="1" si="14"/>
        <v/>
      </c>
      <c r="T249" s="494" t="str">
        <f t="shared" ca="1" si="15"/>
        <v/>
      </c>
      <c r="U249" s="275"/>
      <c r="V249" s="499" t="str">
        <f ca="1">IF('CDO Bespoke'!C274&lt;&gt;"",'CDO Bespoke'!C274,"")</f>
        <v/>
      </c>
      <c r="W249" s="501" t="str" cm="1">
        <f t="array" aca="1" ref="W249" ca="1">IF($V249&lt;&gt;"",-TRANSPOSE(INDEX(getcds('CDO Bespoke'!$C274,W$13,'CDO Bespoke'!$G274/10000,'CDO Bespoke'!F274,'CDO Bespoke'!$L250,'CDO Bespoke'!$C$13,'CDO Bespoke'!$C$14,'CDO Bespoke'!$C$15,'CDO Bespoke'!$C$8,,,TRUE,TRUE,FALSE,'CDO Bespoke'!$C$29:'CDO Bespoke'!$C$31,'CDO Bespoke'!$C$33),{5})),"")</f>
        <v/>
      </c>
      <c r="X249" s="527" t="str" cm="1">
        <f t="array" aca="1" ref="X249" ca="1">IF($V249&lt;&gt;"",-TRANSPOSE(INDEX(getcds('CDO Bespoke'!$C274,X$13,'CDO Bespoke'!$G274/10000,'CDO Bespoke'!G274,'CDO Bespoke'!$L250,'CDO Bespoke'!$C$13,'CDO Bespoke'!$C$14,'CDO Bespoke'!$C$15,'CDO Bespoke'!$C$8,,,TRUE,TRUE,FALSE,'CDO Bespoke'!$C$29:'CDO Bespoke'!$C$31,'CDO Bespoke'!$C$33),{5})),"")</f>
        <v/>
      </c>
      <c r="Y249" s="527" t="str" cm="1">
        <f t="array" aca="1" ref="Y249" ca="1">IF($V249&lt;&gt;"",-TRANSPOSE(INDEX(getcds('CDO Bespoke'!$C274,Y$13,'CDO Bespoke'!$G274/10000,'CDO Bespoke'!H274,'CDO Bespoke'!$L250,'CDO Bespoke'!$C$13,'CDO Bespoke'!$C$14,'CDO Bespoke'!$C$15,'CDO Bespoke'!$C$8,,,TRUE,TRUE,FALSE,'CDO Bespoke'!$C$29:'CDO Bespoke'!$C$31,'CDO Bespoke'!$C$33),{5})),"")</f>
        <v/>
      </c>
      <c r="Z249" s="527" t="str" cm="1">
        <f t="array" aca="1" ref="Z249" ca="1">IF($V249&lt;&gt;"",-TRANSPOSE(INDEX(getcds('CDO Bespoke'!$C274,Z$13,'CDO Bespoke'!$G274/10000,'CDO Bespoke'!I274,'CDO Bespoke'!$L250,'CDO Bespoke'!$C$13,'CDO Bespoke'!$C$14,'CDO Bespoke'!$C$15,'CDO Bespoke'!$C$8,,,TRUE,TRUE,FALSE,'CDO Bespoke'!$C$29:'CDO Bespoke'!$C$31,'CDO Bespoke'!$C$33),{5})),"")</f>
        <v/>
      </c>
      <c r="AA249" s="502" t="str" cm="1">
        <f t="array" aca="1" ref="AA249" ca="1">IF($V249&lt;&gt;"",-TRANSPOSE(INDEX(getcds('CDO Bespoke'!$C274,AA$13,'CDO Bespoke'!$G274/10000,'CDO Bespoke'!J274,'CDO Bespoke'!$L250,'CDO Bespoke'!$C$13,'CDO Bespoke'!$C$14,'CDO Bespoke'!$C$15,'CDO Bespoke'!$C$8,,,TRUE,TRUE,FALSE,'CDO Bespoke'!$C$29:'CDO Bespoke'!$C$31,'CDO Bespoke'!$C$33),{5})),"")</f>
        <v/>
      </c>
      <c r="AB249" s="481"/>
      <c r="AC249" s="517"/>
      <c r="AD249" s="518"/>
      <c r="AE249" s="518"/>
      <c r="AF249" s="518"/>
      <c r="AG249" s="518"/>
      <c r="AH249" s="518"/>
      <c r="AI249" s="518"/>
      <c r="AJ249" s="518"/>
      <c r="AK249" s="518"/>
      <c r="AL249" s="519"/>
      <c r="AM249" s="540"/>
    </row>
    <row r="250" spans="2:39" ht="12" thickBot="1">
      <c r="B250" s="563" t="s">
        <v>585</v>
      </c>
      <c r="C250" s="564" t="s">
        <v>66</v>
      </c>
      <c r="D250" s="564" t="s">
        <v>55</v>
      </c>
      <c r="E250" s="564" t="s">
        <v>661</v>
      </c>
      <c r="F250" s="564" t="s">
        <v>670</v>
      </c>
      <c r="G250" s="565">
        <v>0.01</v>
      </c>
      <c r="H250" s="565">
        <v>1.7650000000000001E-3</v>
      </c>
      <c r="I250" s="566">
        <v>0.4</v>
      </c>
      <c r="J250" s="567">
        <v>76</v>
      </c>
      <c r="K250" s="275"/>
      <c r="L250" s="275"/>
      <c r="M250" s="489" t="str">
        <f ca="1">IF('CDO Bespoke'!O251&lt;&gt;"",'CDO Bespoke'!O251,"")</f>
        <v/>
      </c>
      <c r="N250" s="490" t="str">
        <f ca="1">IF(M250&lt;&gt;"",ABS(MIN(-0.75*('CDO Bespoke'!Q251)+'CDO Bespoke'!T251,0)),"")</f>
        <v/>
      </c>
      <c r="O250" s="490" t="str">
        <f t="shared" ca="1" si="12"/>
        <v/>
      </c>
      <c r="P250" s="490" t="str">
        <f t="shared" ca="1" si="13"/>
        <v/>
      </c>
      <c r="Q250" s="489" t="str">
        <f ca="1">IF('CDO Bespoke'!O251&lt;&gt;"",'CDO Bespoke'!O251,"")</f>
        <v/>
      </c>
      <c r="R250" s="490" t="str">
        <f ca="1">IF(Q250&lt;&gt;"",ABS(MIN(-0.75*('CDO Bespoke'!K251)+'CDO Bespoke'!T251,0)),"")</f>
        <v/>
      </c>
      <c r="S250" s="490" t="str">
        <f t="shared" ca="1" si="14"/>
        <v/>
      </c>
      <c r="T250" s="494" t="str">
        <f t="shared" ca="1" si="15"/>
        <v/>
      </c>
      <c r="U250" s="275"/>
      <c r="V250" s="499" t="str">
        <f ca="1">IF('CDO Bespoke'!C275&lt;&gt;"",'CDO Bespoke'!C275,"")</f>
        <v/>
      </c>
      <c r="W250" s="501" t="str" cm="1">
        <f t="array" aca="1" ref="W250" ca="1">IF($V250&lt;&gt;"",-TRANSPOSE(INDEX(getcds('CDO Bespoke'!$C275,W$13,'CDO Bespoke'!$G275/10000,'CDO Bespoke'!F275,'CDO Bespoke'!$L251,'CDO Bespoke'!$C$13,'CDO Bespoke'!$C$14,'CDO Bespoke'!$C$15,'CDO Bespoke'!$C$8,,,TRUE,TRUE,FALSE,'CDO Bespoke'!$C$29:'CDO Bespoke'!$C$31,'CDO Bespoke'!$C$33),{5})),"")</f>
        <v/>
      </c>
      <c r="X250" s="527" t="str" cm="1">
        <f t="array" aca="1" ref="X250" ca="1">IF($V250&lt;&gt;"",-TRANSPOSE(INDEX(getcds('CDO Bespoke'!$C275,X$13,'CDO Bespoke'!$G275/10000,'CDO Bespoke'!G275,'CDO Bespoke'!$L251,'CDO Bespoke'!$C$13,'CDO Bespoke'!$C$14,'CDO Bespoke'!$C$15,'CDO Bespoke'!$C$8,,,TRUE,TRUE,FALSE,'CDO Bespoke'!$C$29:'CDO Bespoke'!$C$31,'CDO Bespoke'!$C$33),{5})),"")</f>
        <v/>
      </c>
      <c r="Y250" s="527" t="str" cm="1">
        <f t="array" aca="1" ref="Y250" ca="1">IF($V250&lt;&gt;"",-TRANSPOSE(INDEX(getcds('CDO Bespoke'!$C275,Y$13,'CDO Bespoke'!$G275/10000,'CDO Bespoke'!H275,'CDO Bespoke'!$L251,'CDO Bespoke'!$C$13,'CDO Bespoke'!$C$14,'CDO Bespoke'!$C$15,'CDO Bespoke'!$C$8,,,TRUE,TRUE,FALSE,'CDO Bespoke'!$C$29:'CDO Bespoke'!$C$31,'CDO Bespoke'!$C$33),{5})),"")</f>
        <v/>
      </c>
      <c r="Z250" s="527" t="str" cm="1">
        <f t="array" aca="1" ref="Z250" ca="1">IF($V250&lt;&gt;"",-TRANSPOSE(INDEX(getcds('CDO Bespoke'!$C275,Z$13,'CDO Bespoke'!$G275/10000,'CDO Bespoke'!I275,'CDO Bespoke'!$L251,'CDO Bespoke'!$C$13,'CDO Bespoke'!$C$14,'CDO Bespoke'!$C$15,'CDO Bespoke'!$C$8,,,TRUE,TRUE,FALSE,'CDO Bespoke'!$C$29:'CDO Bespoke'!$C$31,'CDO Bespoke'!$C$33),{5})),"")</f>
        <v/>
      </c>
      <c r="AA250" s="502" t="str" cm="1">
        <f t="array" aca="1" ref="AA250" ca="1">IF($V250&lt;&gt;"",-TRANSPOSE(INDEX(getcds('CDO Bespoke'!$C275,AA$13,'CDO Bespoke'!$G275/10000,'CDO Bespoke'!J275,'CDO Bespoke'!$L251,'CDO Bespoke'!$C$13,'CDO Bespoke'!$C$14,'CDO Bespoke'!$C$15,'CDO Bespoke'!$C$8,,,TRUE,TRUE,FALSE,'CDO Bespoke'!$C$29:'CDO Bespoke'!$C$31,'CDO Bespoke'!$C$33),{5})),"")</f>
        <v/>
      </c>
      <c r="AB250" s="481"/>
      <c r="AC250" s="517"/>
      <c r="AD250" s="518"/>
      <c r="AE250" s="518"/>
      <c r="AF250" s="518"/>
      <c r="AG250" s="518"/>
      <c r="AH250" s="518"/>
      <c r="AI250" s="518"/>
      <c r="AJ250" s="518"/>
      <c r="AK250" s="518"/>
      <c r="AL250" s="519"/>
      <c r="AM250" s="540"/>
    </row>
    <row r="251" spans="2:39" ht="12" thickBot="1">
      <c r="B251" s="541" t="s">
        <v>585</v>
      </c>
      <c r="C251" s="542" t="s">
        <v>66</v>
      </c>
      <c r="D251" s="542" t="s">
        <v>57</v>
      </c>
      <c r="E251" s="542" t="s">
        <v>661</v>
      </c>
      <c r="F251" s="542" t="s">
        <v>670</v>
      </c>
      <c r="G251" s="549">
        <v>0.01</v>
      </c>
      <c r="H251" s="549">
        <v>2.9750000000000002E-3</v>
      </c>
      <c r="I251" s="551">
        <v>0.4</v>
      </c>
      <c r="J251" s="543">
        <v>76</v>
      </c>
      <c r="K251" s="275"/>
      <c r="L251" s="275"/>
      <c r="M251" s="489" t="str">
        <f ca="1">IF('CDO Bespoke'!O252&lt;&gt;"",'CDO Bespoke'!O252,"")</f>
        <v/>
      </c>
      <c r="N251" s="490" t="str">
        <f ca="1">IF(M251&lt;&gt;"",ABS(MIN(-0.75*('CDO Bespoke'!Q252)+'CDO Bespoke'!T252,0)),"")</f>
        <v/>
      </c>
      <c r="O251" s="490" t="str">
        <f t="shared" ca="1" si="12"/>
        <v/>
      </c>
      <c r="P251" s="490" t="str">
        <f t="shared" ca="1" si="13"/>
        <v/>
      </c>
      <c r="Q251" s="489" t="str">
        <f ca="1">IF('CDO Bespoke'!O252&lt;&gt;"",'CDO Bespoke'!O252,"")</f>
        <v/>
      </c>
      <c r="R251" s="490" t="str">
        <f ca="1">IF(Q251&lt;&gt;"",ABS(MIN(-0.75*('CDO Bespoke'!K252)+'CDO Bespoke'!T252,0)),"")</f>
        <v/>
      </c>
      <c r="S251" s="490" t="str">
        <f t="shared" ca="1" si="14"/>
        <v/>
      </c>
      <c r="T251" s="494" t="str">
        <f t="shared" ca="1" si="15"/>
        <v/>
      </c>
      <c r="U251" s="275"/>
      <c r="V251" s="499" t="str">
        <f ca="1">IF('CDO Bespoke'!C276&lt;&gt;"",'CDO Bespoke'!C276,"")</f>
        <v/>
      </c>
      <c r="W251" s="501" t="str" cm="1">
        <f t="array" aca="1" ref="W251" ca="1">IF($V251&lt;&gt;"",-TRANSPOSE(INDEX(getcds('CDO Bespoke'!$C276,W$13,'CDO Bespoke'!$G276/10000,'CDO Bespoke'!F276,'CDO Bespoke'!$L252,'CDO Bespoke'!$C$13,'CDO Bespoke'!$C$14,'CDO Bespoke'!$C$15,'CDO Bespoke'!$C$8,,,TRUE,TRUE,FALSE,'CDO Bespoke'!$C$29:'CDO Bespoke'!$C$31,'CDO Bespoke'!$C$33),{5})),"")</f>
        <v/>
      </c>
      <c r="X251" s="527" t="str" cm="1">
        <f t="array" aca="1" ref="X251" ca="1">IF($V251&lt;&gt;"",-TRANSPOSE(INDEX(getcds('CDO Bespoke'!$C276,X$13,'CDO Bespoke'!$G276/10000,'CDO Bespoke'!G276,'CDO Bespoke'!$L252,'CDO Bespoke'!$C$13,'CDO Bespoke'!$C$14,'CDO Bespoke'!$C$15,'CDO Bespoke'!$C$8,,,TRUE,TRUE,FALSE,'CDO Bespoke'!$C$29:'CDO Bespoke'!$C$31,'CDO Bespoke'!$C$33),{5})),"")</f>
        <v/>
      </c>
      <c r="Y251" s="527" t="str" cm="1">
        <f t="array" aca="1" ref="Y251" ca="1">IF($V251&lt;&gt;"",-TRANSPOSE(INDEX(getcds('CDO Bespoke'!$C276,Y$13,'CDO Bespoke'!$G276/10000,'CDO Bespoke'!H276,'CDO Bespoke'!$L252,'CDO Bespoke'!$C$13,'CDO Bespoke'!$C$14,'CDO Bespoke'!$C$15,'CDO Bespoke'!$C$8,,,TRUE,TRUE,FALSE,'CDO Bespoke'!$C$29:'CDO Bespoke'!$C$31,'CDO Bespoke'!$C$33),{5})),"")</f>
        <v/>
      </c>
      <c r="Z251" s="527" t="str" cm="1">
        <f t="array" aca="1" ref="Z251" ca="1">IF($V251&lt;&gt;"",-TRANSPOSE(INDEX(getcds('CDO Bespoke'!$C276,Z$13,'CDO Bespoke'!$G276/10000,'CDO Bespoke'!I276,'CDO Bespoke'!$L252,'CDO Bespoke'!$C$13,'CDO Bespoke'!$C$14,'CDO Bespoke'!$C$15,'CDO Bespoke'!$C$8,,,TRUE,TRUE,FALSE,'CDO Bespoke'!$C$29:'CDO Bespoke'!$C$31,'CDO Bespoke'!$C$33),{5})),"")</f>
        <v/>
      </c>
      <c r="AA251" s="502" t="str" cm="1">
        <f t="array" aca="1" ref="AA251" ca="1">IF($V251&lt;&gt;"",-TRANSPOSE(INDEX(getcds('CDO Bespoke'!$C276,AA$13,'CDO Bespoke'!$G276/10000,'CDO Bespoke'!J276,'CDO Bespoke'!$L252,'CDO Bespoke'!$C$13,'CDO Bespoke'!$C$14,'CDO Bespoke'!$C$15,'CDO Bespoke'!$C$8,,,TRUE,TRUE,FALSE,'CDO Bespoke'!$C$29:'CDO Bespoke'!$C$31,'CDO Bespoke'!$C$33),{5})),"")</f>
        <v/>
      </c>
      <c r="AB251" s="481"/>
      <c r="AC251" s="517"/>
      <c r="AD251" s="518"/>
      <c r="AE251" s="518"/>
      <c r="AF251" s="518"/>
      <c r="AG251" s="518"/>
      <c r="AH251" s="518"/>
      <c r="AI251" s="518"/>
      <c r="AJ251" s="518"/>
      <c r="AK251" s="518"/>
      <c r="AL251" s="519"/>
      <c r="AM251" s="540"/>
    </row>
    <row r="252" spans="2:39" ht="12" thickBot="1">
      <c r="B252" s="558" t="s">
        <v>585</v>
      </c>
      <c r="C252" s="559" t="s">
        <v>66</v>
      </c>
      <c r="D252" s="559" t="s">
        <v>59</v>
      </c>
      <c r="E252" s="559" t="s">
        <v>661</v>
      </c>
      <c r="F252" s="559" t="s">
        <v>670</v>
      </c>
      <c r="G252" s="560">
        <v>0.01</v>
      </c>
      <c r="H252" s="560">
        <v>4.2370000000000003E-3</v>
      </c>
      <c r="I252" s="561">
        <v>0.4</v>
      </c>
      <c r="J252" s="562">
        <v>76</v>
      </c>
      <c r="K252" s="275"/>
      <c r="L252" s="275"/>
      <c r="M252" s="489" t="str">
        <f ca="1">IF('CDO Bespoke'!O253&lt;&gt;"",'CDO Bespoke'!O253,"")</f>
        <v/>
      </c>
      <c r="N252" s="490" t="str">
        <f ca="1">IF(M252&lt;&gt;"",ABS(MIN(-0.75*('CDO Bespoke'!Q253)+'CDO Bespoke'!T253,0)),"")</f>
        <v/>
      </c>
      <c r="O252" s="490" t="str">
        <f t="shared" ca="1" si="12"/>
        <v/>
      </c>
      <c r="P252" s="490" t="str">
        <f t="shared" ca="1" si="13"/>
        <v/>
      </c>
      <c r="Q252" s="489" t="str">
        <f ca="1">IF('CDO Bespoke'!O253&lt;&gt;"",'CDO Bespoke'!O253,"")</f>
        <v/>
      </c>
      <c r="R252" s="490" t="str">
        <f ca="1">IF(Q252&lt;&gt;"",ABS(MIN(-0.75*('CDO Bespoke'!K253)+'CDO Bespoke'!T253,0)),"")</f>
        <v/>
      </c>
      <c r="S252" s="490" t="str">
        <f t="shared" ca="1" si="14"/>
        <v/>
      </c>
      <c r="T252" s="494" t="str">
        <f t="shared" ca="1" si="15"/>
        <v/>
      </c>
      <c r="U252" s="275"/>
      <c r="V252" s="499" t="str">
        <f ca="1">IF('CDO Bespoke'!C277&lt;&gt;"",'CDO Bespoke'!C277,"")</f>
        <v/>
      </c>
      <c r="W252" s="501" t="str" cm="1">
        <f t="array" aca="1" ref="W252" ca="1">IF($V252&lt;&gt;"",-TRANSPOSE(INDEX(getcds('CDO Bespoke'!$C277,W$13,'CDO Bespoke'!$G277/10000,'CDO Bespoke'!F277,'CDO Bespoke'!$L253,'CDO Bespoke'!$C$13,'CDO Bespoke'!$C$14,'CDO Bespoke'!$C$15,'CDO Bespoke'!$C$8,,,TRUE,TRUE,FALSE,'CDO Bespoke'!$C$29:'CDO Bespoke'!$C$31,'CDO Bespoke'!$C$33),{5})),"")</f>
        <v/>
      </c>
      <c r="X252" s="527" t="str" cm="1">
        <f t="array" aca="1" ref="X252" ca="1">IF($V252&lt;&gt;"",-TRANSPOSE(INDEX(getcds('CDO Bespoke'!$C277,X$13,'CDO Bespoke'!$G277/10000,'CDO Bespoke'!G277,'CDO Bespoke'!$L253,'CDO Bespoke'!$C$13,'CDO Bespoke'!$C$14,'CDO Bespoke'!$C$15,'CDO Bespoke'!$C$8,,,TRUE,TRUE,FALSE,'CDO Bespoke'!$C$29:'CDO Bespoke'!$C$31,'CDO Bespoke'!$C$33),{5})),"")</f>
        <v/>
      </c>
      <c r="Y252" s="527" t="str" cm="1">
        <f t="array" aca="1" ref="Y252" ca="1">IF($V252&lt;&gt;"",-TRANSPOSE(INDEX(getcds('CDO Bespoke'!$C277,Y$13,'CDO Bespoke'!$G277/10000,'CDO Bespoke'!H277,'CDO Bespoke'!$L253,'CDO Bespoke'!$C$13,'CDO Bespoke'!$C$14,'CDO Bespoke'!$C$15,'CDO Bespoke'!$C$8,,,TRUE,TRUE,FALSE,'CDO Bespoke'!$C$29:'CDO Bespoke'!$C$31,'CDO Bespoke'!$C$33),{5})),"")</f>
        <v/>
      </c>
      <c r="Z252" s="527" t="str" cm="1">
        <f t="array" aca="1" ref="Z252" ca="1">IF($V252&lt;&gt;"",-TRANSPOSE(INDEX(getcds('CDO Bespoke'!$C277,Z$13,'CDO Bespoke'!$G277/10000,'CDO Bespoke'!I277,'CDO Bespoke'!$L253,'CDO Bespoke'!$C$13,'CDO Bespoke'!$C$14,'CDO Bespoke'!$C$15,'CDO Bespoke'!$C$8,,,TRUE,TRUE,FALSE,'CDO Bespoke'!$C$29:'CDO Bespoke'!$C$31,'CDO Bespoke'!$C$33),{5})),"")</f>
        <v/>
      </c>
      <c r="AA252" s="502" t="str" cm="1">
        <f t="array" aca="1" ref="AA252" ca="1">IF($V252&lt;&gt;"",-TRANSPOSE(INDEX(getcds('CDO Bespoke'!$C277,AA$13,'CDO Bespoke'!$G277/10000,'CDO Bespoke'!J277,'CDO Bespoke'!$L253,'CDO Bespoke'!$C$13,'CDO Bespoke'!$C$14,'CDO Bespoke'!$C$15,'CDO Bespoke'!$C$8,,,TRUE,TRUE,FALSE,'CDO Bespoke'!$C$29:'CDO Bespoke'!$C$31,'CDO Bespoke'!$C$33),{5})),"")</f>
        <v/>
      </c>
      <c r="AB252" s="481"/>
      <c r="AC252" s="517"/>
      <c r="AD252" s="518"/>
      <c r="AE252" s="518"/>
      <c r="AF252" s="518"/>
      <c r="AG252" s="518"/>
      <c r="AH252" s="518"/>
      <c r="AI252" s="518"/>
      <c r="AJ252" s="518"/>
      <c r="AK252" s="518"/>
      <c r="AL252" s="519"/>
      <c r="AM252" s="540"/>
    </row>
    <row r="253" spans="2:39" ht="12" thickBot="1">
      <c r="B253" s="563" t="s">
        <v>580</v>
      </c>
      <c r="C253" s="564" t="s">
        <v>66</v>
      </c>
      <c r="D253" s="564" t="s">
        <v>55</v>
      </c>
      <c r="E253" s="564" t="s">
        <v>663</v>
      </c>
      <c r="F253" s="564" t="s">
        <v>671</v>
      </c>
      <c r="G253" s="565">
        <v>0.01</v>
      </c>
      <c r="H253" s="565">
        <v>2.5079999999999998E-3</v>
      </c>
      <c r="I253" s="566">
        <v>0.4</v>
      </c>
      <c r="J253" s="567">
        <v>77</v>
      </c>
      <c r="K253" s="275"/>
      <c r="L253" s="275"/>
      <c r="M253" s="489" t="str">
        <f ca="1">IF('CDO Bespoke'!O254&lt;&gt;"",'CDO Bespoke'!O254,"")</f>
        <v/>
      </c>
      <c r="N253" s="490" t="str">
        <f ca="1">IF(M253&lt;&gt;"",ABS(MIN(-0.75*('CDO Bespoke'!Q254)+'CDO Bespoke'!T254,0)),"")</f>
        <v/>
      </c>
      <c r="O253" s="490" t="str">
        <f t="shared" ca="1" si="12"/>
        <v/>
      </c>
      <c r="P253" s="490" t="str">
        <f t="shared" ca="1" si="13"/>
        <v/>
      </c>
      <c r="Q253" s="489" t="str">
        <f ca="1">IF('CDO Bespoke'!O254&lt;&gt;"",'CDO Bespoke'!O254,"")</f>
        <v/>
      </c>
      <c r="R253" s="490" t="str">
        <f ca="1">IF(Q253&lt;&gt;"",ABS(MIN(-0.75*('CDO Bespoke'!K254)+'CDO Bespoke'!T254,0)),"")</f>
        <v/>
      </c>
      <c r="S253" s="490" t="str">
        <f t="shared" ca="1" si="14"/>
        <v/>
      </c>
      <c r="T253" s="494" t="str">
        <f t="shared" ca="1" si="15"/>
        <v/>
      </c>
      <c r="U253" s="275"/>
      <c r="V253" s="499" t="str">
        <f ca="1">IF('CDO Bespoke'!C278&lt;&gt;"",'CDO Bespoke'!C278,"")</f>
        <v/>
      </c>
      <c r="W253" s="501" t="str" cm="1">
        <f t="array" aca="1" ref="W253" ca="1">IF($V253&lt;&gt;"",-TRANSPOSE(INDEX(getcds('CDO Bespoke'!$C278,W$13,'CDO Bespoke'!$G278/10000,'CDO Bespoke'!F278,'CDO Bespoke'!$L254,'CDO Bespoke'!$C$13,'CDO Bespoke'!$C$14,'CDO Bespoke'!$C$15,'CDO Bespoke'!$C$8,,,TRUE,TRUE,FALSE,'CDO Bespoke'!$C$29:'CDO Bespoke'!$C$31,'CDO Bespoke'!$C$33),{5})),"")</f>
        <v/>
      </c>
      <c r="X253" s="527" t="str" cm="1">
        <f t="array" aca="1" ref="X253" ca="1">IF($V253&lt;&gt;"",-TRANSPOSE(INDEX(getcds('CDO Bespoke'!$C278,X$13,'CDO Bespoke'!$G278/10000,'CDO Bespoke'!G278,'CDO Bespoke'!$L254,'CDO Bespoke'!$C$13,'CDO Bespoke'!$C$14,'CDO Bespoke'!$C$15,'CDO Bespoke'!$C$8,,,TRUE,TRUE,FALSE,'CDO Bespoke'!$C$29:'CDO Bespoke'!$C$31,'CDO Bespoke'!$C$33),{5})),"")</f>
        <v/>
      </c>
      <c r="Y253" s="527" t="str" cm="1">
        <f t="array" aca="1" ref="Y253" ca="1">IF($V253&lt;&gt;"",-TRANSPOSE(INDEX(getcds('CDO Bespoke'!$C278,Y$13,'CDO Bespoke'!$G278/10000,'CDO Bespoke'!H278,'CDO Bespoke'!$L254,'CDO Bespoke'!$C$13,'CDO Bespoke'!$C$14,'CDO Bespoke'!$C$15,'CDO Bespoke'!$C$8,,,TRUE,TRUE,FALSE,'CDO Bespoke'!$C$29:'CDO Bespoke'!$C$31,'CDO Bespoke'!$C$33),{5})),"")</f>
        <v/>
      </c>
      <c r="Z253" s="527" t="str" cm="1">
        <f t="array" aca="1" ref="Z253" ca="1">IF($V253&lt;&gt;"",-TRANSPOSE(INDEX(getcds('CDO Bespoke'!$C278,Z$13,'CDO Bespoke'!$G278/10000,'CDO Bespoke'!I278,'CDO Bespoke'!$L254,'CDO Bespoke'!$C$13,'CDO Bespoke'!$C$14,'CDO Bespoke'!$C$15,'CDO Bespoke'!$C$8,,,TRUE,TRUE,FALSE,'CDO Bespoke'!$C$29:'CDO Bespoke'!$C$31,'CDO Bespoke'!$C$33),{5})),"")</f>
        <v/>
      </c>
      <c r="AA253" s="502" t="str" cm="1">
        <f t="array" aca="1" ref="AA253" ca="1">IF($V253&lt;&gt;"",-TRANSPOSE(INDEX(getcds('CDO Bespoke'!$C278,AA$13,'CDO Bespoke'!$G278/10000,'CDO Bespoke'!J278,'CDO Bespoke'!$L254,'CDO Bespoke'!$C$13,'CDO Bespoke'!$C$14,'CDO Bespoke'!$C$15,'CDO Bespoke'!$C$8,,,TRUE,TRUE,FALSE,'CDO Bespoke'!$C$29:'CDO Bespoke'!$C$31,'CDO Bespoke'!$C$33),{5})),"")</f>
        <v/>
      </c>
      <c r="AB253" s="481"/>
      <c r="AC253" s="517"/>
      <c r="AD253" s="518"/>
      <c r="AE253" s="518"/>
      <c r="AF253" s="518"/>
      <c r="AG253" s="518"/>
      <c r="AH253" s="518"/>
      <c r="AI253" s="518"/>
      <c r="AJ253" s="518"/>
      <c r="AK253" s="518"/>
      <c r="AL253" s="519"/>
      <c r="AM253" s="540"/>
    </row>
    <row r="254" spans="2:39" ht="12" thickBot="1">
      <c r="B254" s="541" t="s">
        <v>580</v>
      </c>
      <c r="C254" s="542" t="s">
        <v>66</v>
      </c>
      <c r="D254" s="542" t="s">
        <v>57</v>
      </c>
      <c r="E254" s="542" t="s">
        <v>663</v>
      </c>
      <c r="F254" s="542" t="s">
        <v>671</v>
      </c>
      <c r="G254" s="549">
        <v>0.01</v>
      </c>
      <c r="H254" s="549">
        <v>4.2789999999999998E-3</v>
      </c>
      <c r="I254" s="551">
        <v>0.4</v>
      </c>
      <c r="J254" s="543">
        <v>77</v>
      </c>
      <c r="K254" s="275"/>
      <c r="L254" s="275"/>
      <c r="M254" s="489" t="str">
        <f ca="1">IF('CDO Bespoke'!O255&lt;&gt;"",'CDO Bespoke'!O255,"")</f>
        <v/>
      </c>
      <c r="N254" s="490" t="str">
        <f ca="1">IF(M254&lt;&gt;"",ABS(MIN(-0.75*('CDO Bespoke'!Q255)+'CDO Bespoke'!T255,0)),"")</f>
        <v/>
      </c>
      <c r="O254" s="490" t="str">
        <f t="shared" ca="1" si="12"/>
        <v/>
      </c>
      <c r="P254" s="490" t="str">
        <f t="shared" ca="1" si="13"/>
        <v/>
      </c>
      <c r="Q254" s="489" t="str">
        <f ca="1">IF('CDO Bespoke'!O255&lt;&gt;"",'CDO Bespoke'!O255,"")</f>
        <v/>
      </c>
      <c r="R254" s="490" t="str">
        <f ca="1">IF(Q254&lt;&gt;"",ABS(MIN(-0.75*('CDO Bespoke'!K255)+'CDO Bespoke'!T255,0)),"")</f>
        <v/>
      </c>
      <c r="S254" s="490" t="str">
        <f t="shared" ca="1" si="14"/>
        <v/>
      </c>
      <c r="T254" s="494" t="str">
        <f t="shared" ca="1" si="15"/>
        <v/>
      </c>
      <c r="U254" s="275"/>
      <c r="V254" s="499" t="str">
        <f ca="1">IF('CDO Bespoke'!C279&lt;&gt;"",'CDO Bespoke'!C279,"")</f>
        <v/>
      </c>
      <c r="W254" s="501" t="str" cm="1">
        <f t="array" aca="1" ref="W254" ca="1">IF($V254&lt;&gt;"",-TRANSPOSE(INDEX(getcds('CDO Bespoke'!$C279,W$13,'CDO Bespoke'!$G279/10000,'CDO Bespoke'!F279,'CDO Bespoke'!$L255,'CDO Bespoke'!$C$13,'CDO Bespoke'!$C$14,'CDO Bespoke'!$C$15,'CDO Bespoke'!$C$8,,,TRUE,TRUE,FALSE,'CDO Bespoke'!$C$29:'CDO Bespoke'!$C$31,'CDO Bespoke'!$C$33),{5})),"")</f>
        <v/>
      </c>
      <c r="X254" s="527" t="str" cm="1">
        <f t="array" aca="1" ref="X254" ca="1">IF($V254&lt;&gt;"",-TRANSPOSE(INDEX(getcds('CDO Bespoke'!$C279,X$13,'CDO Bespoke'!$G279/10000,'CDO Bespoke'!G279,'CDO Bespoke'!$L255,'CDO Bespoke'!$C$13,'CDO Bespoke'!$C$14,'CDO Bespoke'!$C$15,'CDO Bespoke'!$C$8,,,TRUE,TRUE,FALSE,'CDO Bespoke'!$C$29:'CDO Bespoke'!$C$31,'CDO Bespoke'!$C$33),{5})),"")</f>
        <v/>
      </c>
      <c r="Y254" s="527" t="str" cm="1">
        <f t="array" aca="1" ref="Y254" ca="1">IF($V254&lt;&gt;"",-TRANSPOSE(INDEX(getcds('CDO Bespoke'!$C279,Y$13,'CDO Bespoke'!$G279/10000,'CDO Bespoke'!H279,'CDO Bespoke'!$L255,'CDO Bespoke'!$C$13,'CDO Bespoke'!$C$14,'CDO Bespoke'!$C$15,'CDO Bespoke'!$C$8,,,TRUE,TRUE,FALSE,'CDO Bespoke'!$C$29:'CDO Bespoke'!$C$31,'CDO Bespoke'!$C$33),{5})),"")</f>
        <v/>
      </c>
      <c r="Z254" s="527" t="str" cm="1">
        <f t="array" aca="1" ref="Z254" ca="1">IF($V254&lt;&gt;"",-TRANSPOSE(INDEX(getcds('CDO Bespoke'!$C279,Z$13,'CDO Bespoke'!$G279/10000,'CDO Bespoke'!I279,'CDO Bespoke'!$L255,'CDO Bespoke'!$C$13,'CDO Bespoke'!$C$14,'CDO Bespoke'!$C$15,'CDO Bespoke'!$C$8,,,TRUE,TRUE,FALSE,'CDO Bespoke'!$C$29:'CDO Bespoke'!$C$31,'CDO Bespoke'!$C$33),{5})),"")</f>
        <v/>
      </c>
      <c r="AA254" s="502" t="str" cm="1">
        <f t="array" aca="1" ref="AA254" ca="1">IF($V254&lt;&gt;"",-TRANSPOSE(INDEX(getcds('CDO Bespoke'!$C279,AA$13,'CDO Bespoke'!$G279/10000,'CDO Bespoke'!J279,'CDO Bespoke'!$L255,'CDO Bespoke'!$C$13,'CDO Bespoke'!$C$14,'CDO Bespoke'!$C$15,'CDO Bespoke'!$C$8,,,TRUE,TRUE,FALSE,'CDO Bespoke'!$C$29:'CDO Bespoke'!$C$31,'CDO Bespoke'!$C$33),{5})),"")</f>
        <v/>
      </c>
      <c r="AB254" s="481"/>
      <c r="AC254" s="517"/>
      <c r="AD254" s="518"/>
      <c r="AE254" s="518"/>
      <c r="AF254" s="518"/>
      <c r="AG254" s="518"/>
      <c r="AH254" s="518"/>
      <c r="AI254" s="518"/>
      <c r="AJ254" s="518"/>
      <c r="AK254" s="518"/>
      <c r="AL254" s="519"/>
      <c r="AM254" s="540"/>
    </row>
    <row r="255" spans="2:39" ht="12" thickBot="1">
      <c r="B255" s="558" t="s">
        <v>580</v>
      </c>
      <c r="C255" s="559" t="s">
        <v>66</v>
      </c>
      <c r="D255" s="559" t="s">
        <v>59</v>
      </c>
      <c r="E255" s="559" t="s">
        <v>663</v>
      </c>
      <c r="F255" s="559" t="s">
        <v>671</v>
      </c>
      <c r="G255" s="560">
        <v>0.01</v>
      </c>
      <c r="H255" s="560">
        <v>5.8820000000000001E-3</v>
      </c>
      <c r="I255" s="561">
        <v>0.4</v>
      </c>
      <c r="J255" s="562">
        <v>77</v>
      </c>
      <c r="K255" s="275"/>
      <c r="L255" s="275"/>
      <c r="M255" s="489" t="str">
        <f ca="1">IF('CDO Bespoke'!O256&lt;&gt;"",'CDO Bespoke'!O256,"")</f>
        <v/>
      </c>
      <c r="N255" s="490" t="str">
        <f ca="1">IF(M255&lt;&gt;"",ABS(MIN(-0.75*('CDO Bespoke'!Q256)+'CDO Bespoke'!T256,0)),"")</f>
        <v/>
      </c>
      <c r="O255" s="490" t="str">
        <f t="shared" ca="1" si="12"/>
        <v/>
      </c>
      <c r="P255" s="490" t="str">
        <f t="shared" ca="1" si="13"/>
        <v/>
      </c>
      <c r="Q255" s="489" t="str">
        <f ca="1">IF('CDO Bespoke'!O256&lt;&gt;"",'CDO Bespoke'!O256,"")</f>
        <v/>
      </c>
      <c r="R255" s="490" t="str">
        <f ca="1">IF(Q255&lt;&gt;"",ABS(MIN(-0.75*('CDO Bespoke'!K256)+'CDO Bespoke'!T256,0)),"")</f>
        <v/>
      </c>
      <c r="S255" s="490" t="str">
        <f t="shared" ca="1" si="14"/>
        <v/>
      </c>
      <c r="T255" s="494" t="str">
        <f t="shared" ca="1" si="15"/>
        <v/>
      </c>
      <c r="U255" s="275"/>
      <c r="V255" s="499" t="str">
        <f ca="1">IF('CDO Bespoke'!C280&lt;&gt;"",'CDO Bespoke'!C280,"")</f>
        <v/>
      </c>
      <c r="W255" s="501" t="str" cm="1">
        <f t="array" aca="1" ref="W255" ca="1">IF($V255&lt;&gt;"",-TRANSPOSE(INDEX(getcds('CDO Bespoke'!$C280,W$13,'CDO Bespoke'!$G280/10000,'CDO Bespoke'!F280,'CDO Bespoke'!$L256,'CDO Bespoke'!$C$13,'CDO Bespoke'!$C$14,'CDO Bespoke'!$C$15,'CDO Bespoke'!$C$8,,,TRUE,TRUE,FALSE,'CDO Bespoke'!$C$29:'CDO Bespoke'!$C$31,'CDO Bespoke'!$C$33),{5})),"")</f>
        <v/>
      </c>
      <c r="X255" s="527" t="str" cm="1">
        <f t="array" aca="1" ref="X255" ca="1">IF($V255&lt;&gt;"",-TRANSPOSE(INDEX(getcds('CDO Bespoke'!$C280,X$13,'CDO Bespoke'!$G280/10000,'CDO Bespoke'!G280,'CDO Bespoke'!$L256,'CDO Bespoke'!$C$13,'CDO Bespoke'!$C$14,'CDO Bespoke'!$C$15,'CDO Bespoke'!$C$8,,,TRUE,TRUE,FALSE,'CDO Bespoke'!$C$29:'CDO Bespoke'!$C$31,'CDO Bespoke'!$C$33),{5})),"")</f>
        <v/>
      </c>
      <c r="Y255" s="527" t="str" cm="1">
        <f t="array" aca="1" ref="Y255" ca="1">IF($V255&lt;&gt;"",-TRANSPOSE(INDEX(getcds('CDO Bespoke'!$C280,Y$13,'CDO Bespoke'!$G280/10000,'CDO Bespoke'!H280,'CDO Bespoke'!$L256,'CDO Bespoke'!$C$13,'CDO Bespoke'!$C$14,'CDO Bespoke'!$C$15,'CDO Bespoke'!$C$8,,,TRUE,TRUE,FALSE,'CDO Bespoke'!$C$29:'CDO Bespoke'!$C$31,'CDO Bespoke'!$C$33),{5})),"")</f>
        <v/>
      </c>
      <c r="Z255" s="527" t="str" cm="1">
        <f t="array" aca="1" ref="Z255" ca="1">IF($V255&lt;&gt;"",-TRANSPOSE(INDEX(getcds('CDO Bespoke'!$C280,Z$13,'CDO Bespoke'!$G280/10000,'CDO Bespoke'!I280,'CDO Bespoke'!$L256,'CDO Bespoke'!$C$13,'CDO Bespoke'!$C$14,'CDO Bespoke'!$C$15,'CDO Bespoke'!$C$8,,,TRUE,TRUE,FALSE,'CDO Bespoke'!$C$29:'CDO Bespoke'!$C$31,'CDO Bespoke'!$C$33),{5})),"")</f>
        <v/>
      </c>
      <c r="AA255" s="502" t="str" cm="1">
        <f t="array" aca="1" ref="AA255" ca="1">IF($V255&lt;&gt;"",-TRANSPOSE(INDEX(getcds('CDO Bespoke'!$C280,AA$13,'CDO Bespoke'!$G280/10000,'CDO Bespoke'!J280,'CDO Bespoke'!$L256,'CDO Bespoke'!$C$13,'CDO Bespoke'!$C$14,'CDO Bespoke'!$C$15,'CDO Bespoke'!$C$8,,,TRUE,TRUE,FALSE,'CDO Bespoke'!$C$29:'CDO Bespoke'!$C$31,'CDO Bespoke'!$C$33),{5})),"")</f>
        <v/>
      </c>
      <c r="AB255" s="481"/>
      <c r="AC255" s="517"/>
      <c r="AD255" s="518"/>
      <c r="AE255" s="518"/>
      <c r="AF255" s="518"/>
      <c r="AG255" s="518"/>
      <c r="AH255" s="518"/>
      <c r="AI255" s="518"/>
      <c r="AJ255" s="518"/>
      <c r="AK255" s="518"/>
      <c r="AL255" s="519"/>
      <c r="AM255" s="540"/>
    </row>
    <row r="256" spans="2:39" ht="12" thickBot="1">
      <c r="B256" s="563" t="s">
        <v>588</v>
      </c>
      <c r="C256" s="564" t="s">
        <v>66</v>
      </c>
      <c r="D256" s="564" t="s">
        <v>55</v>
      </c>
      <c r="E256" s="564" t="s">
        <v>663</v>
      </c>
      <c r="F256" s="564" t="s">
        <v>666</v>
      </c>
      <c r="G256" s="565">
        <v>0.01</v>
      </c>
      <c r="H256" s="565">
        <v>2.1419999999999998E-3</v>
      </c>
      <c r="I256" s="566">
        <v>0.4</v>
      </c>
      <c r="J256" s="567">
        <v>78</v>
      </c>
      <c r="K256" s="275"/>
      <c r="L256" s="275"/>
      <c r="M256" s="489" t="str">
        <f ca="1">IF('CDO Bespoke'!O257&lt;&gt;"",'CDO Bespoke'!O257,"")</f>
        <v/>
      </c>
      <c r="N256" s="490" t="str">
        <f ca="1">IF(M256&lt;&gt;"",ABS(MIN(-0.75*('CDO Bespoke'!Q257)+'CDO Bespoke'!T257,0)),"")</f>
        <v/>
      </c>
      <c r="O256" s="490" t="str">
        <f t="shared" ca="1" si="12"/>
        <v/>
      </c>
      <c r="P256" s="490" t="str">
        <f t="shared" ca="1" si="13"/>
        <v/>
      </c>
      <c r="Q256" s="489" t="str">
        <f ca="1">IF('CDO Bespoke'!O257&lt;&gt;"",'CDO Bespoke'!O257,"")</f>
        <v/>
      </c>
      <c r="R256" s="490" t="str">
        <f ca="1">IF(Q256&lt;&gt;"",ABS(MIN(-0.75*('CDO Bespoke'!K257)+'CDO Bespoke'!T257,0)),"")</f>
        <v/>
      </c>
      <c r="S256" s="490" t="str">
        <f t="shared" ca="1" si="14"/>
        <v/>
      </c>
      <c r="T256" s="494" t="str">
        <f t="shared" ca="1" si="15"/>
        <v/>
      </c>
      <c r="U256" s="275"/>
      <c r="V256" s="499" t="str">
        <f ca="1">IF('CDO Bespoke'!C281&lt;&gt;"",'CDO Bespoke'!C281,"")</f>
        <v/>
      </c>
      <c r="W256" s="501" t="str" cm="1">
        <f t="array" aca="1" ref="W256" ca="1">IF($V256&lt;&gt;"",-TRANSPOSE(INDEX(getcds('CDO Bespoke'!$C281,W$13,'CDO Bespoke'!$G281/10000,'CDO Bespoke'!F281,'CDO Bespoke'!$L257,'CDO Bespoke'!$C$13,'CDO Bespoke'!$C$14,'CDO Bespoke'!$C$15,'CDO Bespoke'!$C$8,,,TRUE,TRUE,FALSE,'CDO Bespoke'!$C$29:'CDO Bespoke'!$C$31,'CDO Bespoke'!$C$33),{5})),"")</f>
        <v/>
      </c>
      <c r="X256" s="527" t="str" cm="1">
        <f t="array" aca="1" ref="X256" ca="1">IF($V256&lt;&gt;"",-TRANSPOSE(INDEX(getcds('CDO Bespoke'!$C281,X$13,'CDO Bespoke'!$G281/10000,'CDO Bespoke'!G281,'CDO Bespoke'!$L257,'CDO Bespoke'!$C$13,'CDO Bespoke'!$C$14,'CDO Bespoke'!$C$15,'CDO Bespoke'!$C$8,,,TRUE,TRUE,FALSE,'CDO Bespoke'!$C$29:'CDO Bespoke'!$C$31,'CDO Bespoke'!$C$33),{5})),"")</f>
        <v/>
      </c>
      <c r="Y256" s="527" t="str" cm="1">
        <f t="array" aca="1" ref="Y256" ca="1">IF($V256&lt;&gt;"",-TRANSPOSE(INDEX(getcds('CDO Bespoke'!$C281,Y$13,'CDO Bespoke'!$G281/10000,'CDO Bespoke'!H281,'CDO Bespoke'!$L257,'CDO Bespoke'!$C$13,'CDO Bespoke'!$C$14,'CDO Bespoke'!$C$15,'CDO Bespoke'!$C$8,,,TRUE,TRUE,FALSE,'CDO Bespoke'!$C$29:'CDO Bespoke'!$C$31,'CDO Bespoke'!$C$33),{5})),"")</f>
        <v/>
      </c>
      <c r="Z256" s="527" t="str" cm="1">
        <f t="array" aca="1" ref="Z256" ca="1">IF($V256&lt;&gt;"",-TRANSPOSE(INDEX(getcds('CDO Bespoke'!$C281,Z$13,'CDO Bespoke'!$G281/10000,'CDO Bespoke'!I281,'CDO Bespoke'!$L257,'CDO Bespoke'!$C$13,'CDO Bespoke'!$C$14,'CDO Bespoke'!$C$15,'CDO Bespoke'!$C$8,,,TRUE,TRUE,FALSE,'CDO Bespoke'!$C$29:'CDO Bespoke'!$C$31,'CDO Bespoke'!$C$33),{5})),"")</f>
        <v/>
      </c>
      <c r="AA256" s="502" t="str" cm="1">
        <f t="array" aca="1" ref="AA256" ca="1">IF($V256&lt;&gt;"",-TRANSPOSE(INDEX(getcds('CDO Bespoke'!$C281,AA$13,'CDO Bespoke'!$G281/10000,'CDO Bespoke'!J281,'CDO Bespoke'!$L257,'CDO Bespoke'!$C$13,'CDO Bespoke'!$C$14,'CDO Bespoke'!$C$15,'CDO Bespoke'!$C$8,,,TRUE,TRUE,FALSE,'CDO Bespoke'!$C$29:'CDO Bespoke'!$C$31,'CDO Bespoke'!$C$33),{5})),"")</f>
        <v/>
      </c>
      <c r="AB256" s="481"/>
      <c r="AC256" s="517"/>
      <c r="AD256" s="518"/>
      <c r="AE256" s="518"/>
      <c r="AF256" s="518"/>
      <c r="AG256" s="518"/>
      <c r="AH256" s="518"/>
      <c r="AI256" s="518"/>
      <c r="AJ256" s="518"/>
      <c r="AK256" s="518"/>
      <c r="AL256" s="519"/>
      <c r="AM256" s="540"/>
    </row>
    <row r="257" spans="2:39" ht="12" thickBot="1">
      <c r="B257" s="541" t="s">
        <v>588</v>
      </c>
      <c r="C257" s="542" t="s">
        <v>66</v>
      </c>
      <c r="D257" s="542" t="s">
        <v>57</v>
      </c>
      <c r="E257" s="542" t="s">
        <v>663</v>
      </c>
      <c r="F257" s="542" t="s">
        <v>666</v>
      </c>
      <c r="G257" s="549">
        <v>0.01</v>
      </c>
      <c r="H257" s="549">
        <v>3.333E-3</v>
      </c>
      <c r="I257" s="551">
        <v>0.4</v>
      </c>
      <c r="J257" s="543">
        <v>78</v>
      </c>
      <c r="K257" s="275"/>
      <c r="L257" s="275"/>
      <c r="M257" s="489" t="str">
        <f ca="1">IF('CDO Bespoke'!O258&lt;&gt;"",'CDO Bespoke'!O258,"")</f>
        <v/>
      </c>
      <c r="N257" s="490" t="str">
        <f ca="1">IF(M257&lt;&gt;"",ABS(MIN(-0.75*('CDO Bespoke'!Q258)+'CDO Bespoke'!T258,0)),"")</f>
        <v/>
      </c>
      <c r="O257" s="490" t="str">
        <f t="shared" ca="1" si="12"/>
        <v/>
      </c>
      <c r="P257" s="490" t="str">
        <f t="shared" ca="1" si="13"/>
        <v/>
      </c>
      <c r="Q257" s="489" t="str">
        <f ca="1">IF('CDO Bespoke'!O258&lt;&gt;"",'CDO Bespoke'!O258,"")</f>
        <v/>
      </c>
      <c r="R257" s="490" t="str">
        <f ca="1">IF(Q257&lt;&gt;"",ABS(MIN(-0.75*('CDO Bespoke'!K258)+'CDO Bespoke'!T258,0)),"")</f>
        <v/>
      </c>
      <c r="S257" s="490" t="str">
        <f t="shared" ca="1" si="14"/>
        <v/>
      </c>
      <c r="T257" s="494" t="str">
        <f t="shared" ca="1" si="15"/>
        <v/>
      </c>
      <c r="U257" s="275"/>
      <c r="V257" s="499" t="str">
        <f ca="1">IF('CDO Bespoke'!C282&lt;&gt;"",'CDO Bespoke'!C282,"")</f>
        <v/>
      </c>
      <c r="W257" s="501" t="str" cm="1">
        <f t="array" aca="1" ref="W257" ca="1">IF($V257&lt;&gt;"",-TRANSPOSE(INDEX(getcds('CDO Bespoke'!$C282,W$13,'CDO Bespoke'!$G282/10000,'CDO Bespoke'!F282,'CDO Bespoke'!$L258,'CDO Bespoke'!$C$13,'CDO Bespoke'!$C$14,'CDO Bespoke'!$C$15,'CDO Bespoke'!$C$8,,,TRUE,TRUE,FALSE,'CDO Bespoke'!$C$29:'CDO Bespoke'!$C$31,'CDO Bespoke'!$C$33),{5})),"")</f>
        <v/>
      </c>
      <c r="X257" s="527" t="str" cm="1">
        <f t="array" aca="1" ref="X257" ca="1">IF($V257&lt;&gt;"",-TRANSPOSE(INDEX(getcds('CDO Bespoke'!$C282,X$13,'CDO Bespoke'!$G282/10000,'CDO Bespoke'!G282,'CDO Bespoke'!$L258,'CDO Bespoke'!$C$13,'CDO Bespoke'!$C$14,'CDO Bespoke'!$C$15,'CDO Bespoke'!$C$8,,,TRUE,TRUE,FALSE,'CDO Bespoke'!$C$29:'CDO Bespoke'!$C$31,'CDO Bespoke'!$C$33),{5})),"")</f>
        <v/>
      </c>
      <c r="Y257" s="527" t="str" cm="1">
        <f t="array" aca="1" ref="Y257" ca="1">IF($V257&lt;&gt;"",-TRANSPOSE(INDEX(getcds('CDO Bespoke'!$C282,Y$13,'CDO Bespoke'!$G282/10000,'CDO Bespoke'!H282,'CDO Bespoke'!$L258,'CDO Bespoke'!$C$13,'CDO Bespoke'!$C$14,'CDO Bespoke'!$C$15,'CDO Bespoke'!$C$8,,,TRUE,TRUE,FALSE,'CDO Bespoke'!$C$29:'CDO Bespoke'!$C$31,'CDO Bespoke'!$C$33),{5})),"")</f>
        <v/>
      </c>
      <c r="Z257" s="527" t="str" cm="1">
        <f t="array" aca="1" ref="Z257" ca="1">IF($V257&lt;&gt;"",-TRANSPOSE(INDEX(getcds('CDO Bespoke'!$C282,Z$13,'CDO Bespoke'!$G282/10000,'CDO Bespoke'!I282,'CDO Bespoke'!$L258,'CDO Bespoke'!$C$13,'CDO Bespoke'!$C$14,'CDO Bespoke'!$C$15,'CDO Bespoke'!$C$8,,,TRUE,TRUE,FALSE,'CDO Bespoke'!$C$29:'CDO Bespoke'!$C$31,'CDO Bespoke'!$C$33),{5})),"")</f>
        <v/>
      </c>
      <c r="AA257" s="502" t="str" cm="1">
        <f t="array" aca="1" ref="AA257" ca="1">IF($V257&lt;&gt;"",-TRANSPOSE(INDEX(getcds('CDO Bespoke'!$C282,AA$13,'CDO Bespoke'!$G282/10000,'CDO Bespoke'!J282,'CDO Bespoke'!$L258,'CDO Bespoke'!$C$13,'CDO Bespoke'!$C$14,'CDO Bespoke'!$C$15,'CDO Bespoke'!$C$8,,,TRUE,TRUE,FALSE,'CDO Bespoke'!$C$29:'CDO Bespoke'!$C$31,'CDO Bespoke'!$C$33),{5})),"")</f>
        <v/>
      </c>
      <c r="AB257" s="481"/>
      <c r="AC257" s="517"/>
      <c r="AD257" s="518"/>
      <c r="AE257" s="518"/>
      <c r="AF257" s="518"/>
      <c r="AG257" s="518"/>
      <c r="AH257" s="518"/>
      <c r="AI257" s="518"/>
      <c r="AJ257" s="518"/>
      <c r="AK257" s="518"/>
      <c r="AL257" s="519"/>
      <c r="AM257" s="540"/>
    </row>
    <row r="258" spans="2:39" ht="12" thickBot="1">
      <c r="B258" s="558" t="s">
        <v>588</v>
      </c>
      <c r="C258" s="559" t="s">
        <v>66</v>
      </c>
      <c r="D258" s="559" t="s">
        <v>59</v>
      </c>
      <c r="E258" s="559" t="s">
        <v>663</v>
      </c>
      <c r="F258" s="559" t="s">
        <v>666</v>
      </c>
      <c r="G258" s="560">
        <v>0.01</v>
      </c>
      <c r="H258" s="560">
        <v>4.7910000000000001E-3</v>
      </c>
      <c r="I258" s="561">
        <v>0.4</v>
      </c>
      <c r="J258" s="562">
        <v>78</v>
      </c>
      <c r="K258" s="275"/>
      <c r="L258" s="275"/>
      <c r="M258" s="489" t="str">
        <f ca="1">IF('CDO Bespoke'!O259&lt;&gt;"",'CDO Bespoke'!O259,"")</f>
        <v/>
      </c>
      <c r="N258" s="490" t="str">
        <f ca="1">IF(M258&lt;&gt;"",ABS(MIN(-0.75*('CDO Bespoke'!Q259)+'CDO Bespoke'!T259,0)),"")</f>
        <v/>
      </c>
      <c r="O258" s="490" t="str">
        <f t="shared" ca="1" si="12"/>
        <v/>
      </c>
      <c r="P258" s="490" t="str">
        <f t="shared" ca="1" si="13"/>
        <v/>
      </c>
      <c r="Q258" s="489" t="str">
        <f ca="1">IF('CDO Bespoke'!O259&lt;&gt;"",'CDO Bespoke'!O259,"")</f>
        <v/>
      </c>
      <c r="R258" s="490" t="str">
        <f ca="1">IF(Q258&lt;&gt;"",ABS(MIN(-0.75*('CDO Bespoke'!K259)+'CDO Bespoke'!T259,0)),"")</f>
        <v/>
      </c>
      <c r="S258" s="490" t="str">
        <f t="shared" ca="1" si="14"/>
        <v/>
      </c>
      <c r="T258" s="494" t="str">
        <f t="shared" ca="1" si="15"/>
        <v/>
      </c>
      <c r="U258" s="275"/>
      <c r="V258" s="499" t="str">
        <f ca="1">IF('CDO Bespoke'!C283&lt;&gt;"",'CDO Bespoke'!C283,"")</f>
        <v/>
      </c>
      <c r="W258" s="501" t="str" cm="1">
        <f t="array" aca="1" ref="W258" ca="1">IF($V258&lt;&gt;"",-TRANSPOSE(INDEX(getcds('CDO Bespoke'!$C283,W$13,'CDO Bespoke'!$G283/10000,'CDO Bespoke'!F283,'CDO Bespoke'!$L259,'CDO Bespoke'!$C$13,'CDO Bespoke'!$C$14,'CDO Bespoke'!$C$15,'CDO Bespoke'!$C$8,,,TRUE,TRUE,FALSE,'CDO Bespoke'!$C$29:'CDO Bespoke'!$C$31,'CDO Bespoke'!$C$33),{5})),"")</f>
        <v/>
      </c>
      <c r="X258" s="527" t="str" cm="1">
        <f t="array" aca="1" ref="X258" ca="1">IF($V258&lt;&gt;"",-TRANSPOSE(INDEX(getcds('CDO Bespoke'!$C283,X$13,'CDO Bespoke'!$G283/10000,'CDO Bespoke'!G283,'CDO Bespoke'!$L259,'CDO Bespoke'!$C$13,'CDO Bespoke'!$C$14,'CDO Bespoke'!$C$15,'CDO Bespoke'!$C$8,,,TRUE,TRUE,FALSE,'CDO Bespoke'!$C$29:'CDO Bespoke'!$C$31,'CDO Bespoke'!$C$33),{5})),"")</f>
        <v/>
      </c>
      <c r="Y258" s="527" t="str" cm="1">
        <f t="array" aca="1" ref="Y258" ca="1">IF($V258&lt;&gt;"",-TRANSPOSE(INDEX(getcds('CDO Bespoke'!$C283,Y$13,'CDO Bespoke'!$G283/10000,'CDO Bespoke'!H283,'CDO Bespoke'!$L259,'CDO Bespoke'!$C$13,'CDO Bespoke'!$C$14,'CDO Bespoke'!$C$15,'CDO Bespoke'!$C$8,,,TRUE,TRUE,FALSE,'CDO Bespoke'!$C$29:'CDO Bespoke'!$C$31,'CDO Bespoke'!$C$33),{5})),"")</f>
        <v/>
      </c>
      <c r="Z258" s="527" t="str" cm="1">
        <f t="array" aca="1" ref="Z258" ca="1">IF($V258&lt;&gt;"",-TRANSPOSE(INDEX(getcds('CDO Bespoke'!$C283,Z$13,'CDO Bespoke'!$G283/10000,'CDO Bespoke'!I283,'CDO Bespoke'!$L259,'CDO Bespoke'!$C$13,'CDO Bespoke'!$C$14,'CDO Bespoke'!$C$15,'CDO Bespoke'!$C$8,,,TRUE,TRUE,FALSE,'CDO Bespoke'!$C$29:'CDO Bespoke'!$C$31,'CDO Bespoke'!$C$33),{5})),"")</f>
        <v/>
      </c>
      <c r="AA258" s="502" t="str" cm="1">
        <f t="array" aca="1" ref="AA258" ca="1">IF($V258&lt;&gt;"",-TRANSPOSE(INDEX(getcds('CDO Bespoke'!$C283,AA$13,'CDO Bespoke'!$G283/10000,'CDO Bespoke'!J283,'CDO Bespoke'!$L259,'CDO Bespoke'!$C$13,'CDO Bespoke'!$C$14,'CDO Bespoke'!$C$15,'CDO Bespoke'!$C$8,,,TRUE,TRUE,FALSE,'CDO Bespoke'!$C$29:'CDO Bespoke'!$C$31,'CDO Bespoke'!$C$33),{5})),"")</f>
        <v/>
      </c>
      <c r="AB258" s="481"/>
      <c r="AC258" s="517"/>
      <c r="AD258" s="518"/>
      <c r="AE258" s="518"/>
      <c r="AF258" s="518"/>
      <c r="AG258" s="518"/>
      <c r="AH258" s="518"/>
      <c r="AI258" s="518"/>
      <c r="AJ258" s="518"/>
      <c r="AK258" s="518"/>
      <c r="AL258" s="519"/>
      <c r="AM258" s="540"/>
    </row>
    <row r="259" spans="2:39" ht="12" thickBot="1">
      <c r="B259" s="563" t="s">
        <v>589</v>
      </c>
      <c r="C259" s="564" t="s">
        <v>66</v>
      </c>
      <c r="D259" s="564" t="s">
        <v>55</v>
      </c>
      <c r="E259" s="564" t="s">
        <v>663</v>
      </c>
      <c r="F259" s="564" t="s">
        <v>672</v>
      </c>
      <c r="G259" s="565">
        <v>0.01</v>
      </c>
      <c r="H259" s="565">
        <v>3.7789999999999998E-3</v>
      </c>
      <c r="I259" s="566">
        <v>0.4</v>
      </c>
      <c r="J259" s="567">
        <v>79</v>
      </c>
      <c r="K259" s="275"/>
      <c r="L259" s="275"/>
      <c r="M259" s="489" t="str">
        <f ca="1">IF('CDO Bespoke'!O260&lt;&gt;"",'CDO Bespoke'!O260,"")</f>
        <v/>
      </c>
      <c r="N259" s="490" t="str">
        <f ca="1">IF(M259&lt;&gt;"",ABS(MIN(-0.75*('CDO Bespoke'!Q260)+'CDO Bespoke'!T260,0)),"")</f>
        <v/>
      </c>
      <c r="O259" s="490" t="str">
        <f t="shared" ca="1" si="12"/>
        <v/>
      </c>
      <c r="P259" s="490" t="str">
        <f t="shared" ca="1" si="13"/>
        <v/>
      </c>
      <c r="Q259" s="489" t="str">
        <f ca="1">IF('CDO Bespoke'!O260&lt;&gt;"",'CDO Bespoke'!O260,"")</f>
        <v/>
      </c>
      <c r="R259" s="490" t="str">
        <f ca="1">IF(Q259&lt;&gt;"",ABS(MIN(-0.75*('CDO Bespoke'!K260)+'CDO Bespoke'!T260,0)),"")</f>
        <v/>
      </c>
      <c r="S259" s="490" t="str">
        <f t="shared" ca="1" si="14"/>
        <v/>
      </c>
      <c r="T259" s="494" t="str">
        <f t="shared" ca="1" si="15"/>
        <v/>
      </c>
      <c r="U259" s="275"/>
      <c r="V259" s="499" t="str">
        <f ca="1">IF('CDO Bespoke'!C284&lt;&gt;"",'CDO Bespoke'!C284,"")</f>
        <v/>
      </c>
      <c r="W259" s="501" t="str" cm="1">
        <f t="array" aca="1" ref="W259" ca="1">IF($V259&lt;&gt;"",-TRANSPOSE(INDEX(getcds('CDO Bespoke'!$C284,W$13,'CDO Bespoke'!$G284/10000,'CDO Bespoke'!F284,'CDO Bespoke'!$L260,'CDO Bespoke'!$C$13,'CDO Bespoke'!$C$14,'CDO Bespoke'!$C$15,'CDO Bespoke'!$C$8,,,TRUE,TRUE,FALSE,'CDO Bespoke'!$C$29:'CDO Bespoke'!$C$31,'CDO Bespoke'!$C$33),{5})),"")</f>
        <v/>
      </c>
      <c r="X259" s="527" t="str" cm="1">
        <f t="array" aca="1" ref="X259" ca="1">IF($V259&lt;&gt;"",-TRANSPOSE(INDEX(getcds('CDO Bespoke'!$C284,X$13,'CDO Bespoke'!$G284/10000,'CDO Bespoke'!G284,'CDO Bespoke'!$L260,'CDO Bespoke'!$C$13,'CDO Bespoke'!$C$14,'CDO Bespoke'!$C$15,'CDO Bespoke'!$C$8,,,TRUE,TRUE,FALSE,'CDO Bespoke'!$C$29:'CDO Bespoke'!$C$31,'CDO Bespoke'!$C$33),{5})),"")</f>
        <v/>
      </c>
      <c r="Y259" s="527" t="str" cm="1">
        <f t="array" aca="1" ref="Y259" ca="1">IF($V259&lt;&gt;"",-TRANSPOSE(INDEX(getcds('CDO Bespoke'!$C284,Y$13,'CDO Bespoke'!$G284/10000,'CDO Bespoke'!H284,'CDO Bespoke'!$L260,'CDO Bespoke'!$C$13,'CDO Bespoke'!$C$14,'CDO Bespoke'!$C$15,'CDO Bespoke'!$C$8,,,TRUE,TRUE,FALSE,'CDO Bespoke'!$C$29:'CDO Bespoke'!$C$31,'CDO Bespoke'!$C$33),{5})),"")</f>
        <v/>
      </c>
      <c r="Z259" s="527" t="str" cm="1">
        <f t="array" aca="1" ref="Z259" ca="1">IF($V259&lt;&gt;"",-TRANSPOSE(INDEX(getcds('CDO Bespoke'!$C284,Z$13,'CDO Bespoke'!$G284/10000,'CDO Bespoke'!I284,'CDO Bespoke'!$L260,'CDO Bespoke'!$C$13,'CDO Bespoke'!$C$14,'CDO Bespoke'!$C$15,'CDO Bespoke'!$C$8,,,TRUE,TRUE,FALSE,'CDO Bespoke'!$C$29:'CDO Bespoke'!$C$31,'CDO Bespoke'!$C$33),{5})),"")</f>
        <v/>
      </c>
      <c r="AA259" s="502" t="str" cm="1">
        <f t="array" aca="1" ref="AA259" ca="1">IF($V259&lt;&gt;"",-TRANSPOSE(INDEX(getcds('CDO Bespoke'!$C284,AA$13,'CDO Bespoke'!$G284/10000,'CDO Bespoke'!J284,'CDO Bespoke'!$L260,'CDO Bespoke'!$C$13,'CDO Bespoke'!$C$14,'CDO Bespoke'!$C$15,'CDO Bespoke'!$C$8,,,TRUE,TRUE,FALSE,'CDO Bespoke'!$C$29:'CDO Bespoke'!$C$31,'CDO Bespoke'!$C$33),{5})),"")</f>
        <v/>
      </c>
      <c r="AB259" s="481"/>
      <c r="AC259" s="517"/>
      <c r="AD259" s="518"/>
      <c r="AE259" s="518"/>
      <c r="AF259" s="518"/>
      <c r="AG259" s="518"/>
      <c r="AH259" s="518"/>
      <c r="AI259" s="518"/>
      <c r="AJ259" s="518"/>
      <c r="AK259" s="518"/>
      <c r="AL259" s="519"/>
      <c r="AM259" s="540"/>
    </row>
    <row r="260" spans="2:39" ht="12" thickBot="1">
      <c r="B260" s="541" t="s">
        <v>589</v>
      </c>
      <c r="C260" s="542" t="s">
        <v>66</v>
      </c>
      <c r="D260" s="542" t="s">
        <v>57</v>
      </c>
      <c r="E260" s="542" t="s">
        <v>663</v>
      </c>
      <c r="F260" s="542" t="s">
        <v>672</v>
      </c>
      <c r="G260" s="549">
        <v>0.01</v>
      </c>
      <c r="H260" s="549">
        <v>7.345E-3</v>
      </c>
      <c r="I260" s="551">
        <v>0.4</v>
      </c>
      <c r="J260" s="543">
        <v>79</v>
      </c>
      <c r="K260" s="275"/>
      <c r="L260" s="275"/>
      <c r="M260" s="489" t="str">
        <f ca="1">IF('CDO Bespoke'!O261&lt;&gt;"",'CDO Bespoke'!O261,"")</f>
        <v/>
      </c>
      <c r="N260" s="490" t="str">
        <f ca="1">IF(M260&lt;&gt;"",ABS(MIN(-0.75*('CDO Bespoke'!Q261)+'CDO Bespoke'!T261,0)),"")</f>
        <v/>
      </c>
      <c r="O260" s="490" t="str">
        <f t="shared" ca="1" si="12"/>
        <v/>
      </c>
      <c r="P260" s="490" t="str">
        <f t="shared" ca="1" si="13"/>
        <v/>
      </c>
      <c r="Q260" s="489" t="str">
        <f ca="1">IF('CDO Bespoke'!O261&lt;&gt;"",'CDO Bespoke'!O261,"")</f>
        <v/>
      </c>
      <c r="R260" s="490" t="str">
        <f ca="1">IF(Q260&lt;&gt;"",ABS(MIN(-0.75*('CDO Bespoke'!K261)+'CDO Bespoke'!T261,0)),"")</f>
        <v/>
      </c>
      <c r="S260" s="490" t="str">
        <f t="shared" ca="1" si="14"/>
        <v/>
      </c>
      <c r="T260" s="494" t="str">
        <f t="shared" ca="1" si="15"/>
        <v/>
      </c>
      <c r="U260" s="275"/>
      <c r="V260" s="499" t="str">
        <f ca="1">IF('CDO Bespoke'!C285&lt;&gt;"",'CDO Bespoke'!C285,"")</f>
        <v/>
      </c>
      <c r="W260" s="501" t="str" cm="1">
        <f t="array" aca="1" ref="W260" ca="1">IF($V260&lt;&gt;"",-TRANSPOSE(INDEX(getcds('CDO Bespoke'!$C285,W$13,'CDO Bespoke'!$G285/10000,'CDO Bespoke'!F285,'CDO Bespoke'!$L261,'CDO Bespoke'!$C$13,'CDO Bespoke'!$C$14,'CDO Bespoke'!$C$15,'CDO Bespoke'!$C$8,,,TRUE,TRUE,FALSE,'CDO Bespoke'!$C$29:'CDO Bespoke'!$C$31,'CDO Bespoke'!$C$33),{5})),"")</f>
        <v/>
      </c>
      <c r="X260" s="527" t="str" cm="1">
        <f t="array" aca="1" ref="X260" ca="1">IF($V260&lt;&gt;"",-TRANSPOSE(INDEX(getcds('CDO Bespoke'!$C285,X$13,'CDO Bespoke'!$G285/10000,'CDO Bespoke'!G285,'CDO Bespoke'!$L261,'CDO Bespoke'!$C$13,'CDO Bespoke'!$C$14,'CDO Bespoke'!$C$15,'CDO Bespoke'!$C$8,,,TRUE,TRUE,FALSE,'CDO Bespoke'!$C$29:'CDO Bespoke'!$C$31,'CDO Bespoke'!$C$33),{5})),"")</f>
        <v/>
      </c>
      <c r="Y260" s="527" t="str" cm="1">
        <f t="array" aca="1" ref="Y260" ca="1">IF($V260&lt;&gt;"",-TRANSPOSE(INDEX(getcds('CDO Bespoke'!$C285,Y$13,'CDO Bespoke'!$G285/10000,'CDO Bespoke'!H285,'CDO Bespoke'!$L261,'CDO Bespoke'!$C$13,'CDO Bespoke'!$C$14,'CDO Bespoke'!$C$15,'CDO Bespoke'!$C$8,,,TRUE,TRUE,FALSE,'CDO Bespoke'!$C$29:'CDO Bespoke'!$C$31,'CDO Bespoke'!$C$33),{5})),"")</f>
        <v/>
      </c>
      <c r="Z260" s="527" t="str" cm="1">
        <f t="array" aca="1" ref="Z260" ca="1">IF($V260&lt;&gt;"",-TRANSPOSE(INDEX(getcds('CDO Bespoke'!$C285,Z$13,'CDO Bespoke'!$G285/10000,'CDO Bespoke'!I285,'CDO Bespoke'!$L261,'CDO Bespoke'!$C$13,'CDO Bespoke'!$C$14,'CDO Bespoke'!$C$15,'CDO Bespoke'!$C$8,,,TRUE,TRUE,FALSE,'CDO Bespoke'!$C$29:'CDO Bespoke'!$C$31,'CDO Bespoke'!$C$33),{5})),"")</f>
        <v/>
      </c>
      <c r="AA260" s="502" t="str" cm="1">
        <f t="array" aca="1" ref="AA260" ca="1">IF($V260&lt;&gt;"",-TRANSPOSE(INDEX(getcds('CDO Bespoke'!$C285,AA$13,'CDO Bespoke'!$G285/10000,'CDO Bespoke'!J285,'CDO Bespoke'!$L261,'CDO Bespoke'!$C$13,'CDO Bespoke'!$C$14,'CDO Bespoke'!$C$15,'CDO Bespoke'!$C$8,,,TRUE,TRUE,FALSE,'CDO Bespoke'!$C$29:'CDO Bespoke'!$C$31,'CDO Bespoke'!$C$33),{5})),"")</f>
        <v/>
      </c>
      <c r="AB260" s="481"/>
      <c r="AC260" s="517"/>
      <c r="AD260" s="518"/>
      <c r="AE260" s="518"/>
      <c r="AF260" s="518"/>
      <c r="AG260" s="518"/>
      <c r="AH260" s="518"/>
      <c r="AI260" s="518"/>
      <c r="AJ260" s="518"/>
      <c r="AK260" s="518"/>
      <c r="AL260" s="519"/>
      <c r="AM260" s="540"/>
    </row>
    <row r="261" spans="2:39" ht="12" thickBot="1">
      <c r="B261" s="558" t="s">
        <v>589</v>
      </c>
      <c r="C261" s="559" t="s">
        <v>66</v>
      </c>
      <c r="D261" s="559" t="s">
        <v>59</v>
      </c>
      <c r="E261" s="559" t="s">
        <v>663</v>
      </c>
      <c r="F261" s="559" t="s">
        <v>672</v>
      </c>
      <c r="G261" s="560">
        <v>0.01</v>
      </c>
      <c r="H261" s="560">
        <v>1.0267999999999999E-2</v>
      </c>
      <c r="I261" s="561">
        <v>0.4</v>
      </c>
      <c r="J261" s="562">
        <v>79</v>
      </c>
      <c r="K261" s="275"/>
      <c r="L261" s="275"/>
      <c r="M261" s="489" t="str">
        <f ca="1">IF('CDO Bespoke'!O262&lt;&gt;"",'CDO Bespoke'!O262,"")</f>
        <v/>
      </c>
      <c r="N261" s="490" t="str">
        <f ca="1">IF(M261&lt;&gt;"",ABS(MIN(-0.75*('CDO Bespoke'!Q262)+'CDO Bespoke'!T262,0)),"")</f>
        <v/>
      </c>
      <c r="O261" s="490" t="str">
        <f t="shared" ca="1" si="12"/>
        <v/>
      </c>
      <c r="P261" s="490" t="str">
        <f t="shared" ca="1" si="13"/>
        <v/>
      </c>
      <c r="Q261" s="489" t="str">
        <f ca="1">IF('CDO Bespoke'!O262&lt;&gt;"",'CDO Bespoke'!O262,"")</f>
        <v/>
      </c>
      <c r="R261" s="490" t="str">
        <f ca="1">IF(Q261&lt;&gt;"",ABS(MIN(-0.75*('CDO Bespoke'!K262)+'CDO Bespoke'!T262,0)),"")</f>
        <v/>
      </c>
      <c r="S261" s="490" t="str">
        <f t="shared" ca="1" si="14"/>
        <v/>
      </c>
      <c r="T261" s="494" t="str">
        <f t="shared" ca="1" si="15"/>
        <v/>
      </c>
      <c r="U261" s="275"/>
      <c r="V261" s="499" t="str">
        <f ca="1">IF('CDO Bespoke'!C286&lt;&gt;"",'CDO Bespoke'!C286,"")</f>
        <v/>
      </c>
      <c r="W261" s="501" t="str" cm="1">
        <f t="array" aca="1" ref="W261" ca="1">IF($V261&lt;&gt;"",-TRANSPOSE(INDEX(getcds('CDO Bespoke'!$C286,W$13,'CDO Bespoke'!$G286/10000,'CDO Bespoke'!F286,'CDO Bespoke'!$L262,'CDO Bespoke'!$C$13,'CDO Bespoke'!$C$14,'CDO Bespoke'!$C$15,'CDO Bespoke'!$C$8,,,TRUE,TRUE,FALSE,'CDO Bespoke'!$C$29:'CDO Bespoke'!$C$31,'CDO Bespoke'!$C$33),{5})),"")</f>
        <v/>
      </c>
      <c r="X261" s="527" t="str" cm="1">
        <f t="array" aca="1" ref="X261" ca="1">IF($V261&lt;&gt;"",-TRANSPOSE(INDEX(getcds('CDO Bespoke'!$C286,X$13,'CDO Bespoke'!$G286/10000,'CDO Bespoke'!G286,'CDO Bespoke'!$L262,'CDO Bespoke'!$C$13,'CDO Bespoke'!$C$14,'CDO Bespoke'!$C$15,'CDO Bespoke'!$C$8,,,TRUE,TRUE,FALSE,'CDO Bespoke'!$C$29:'CDO Bespoke'!$C$31,'CDO Bespoke'!$C$33),{5})),"")</f>
        <v/>
      </c>
      <c r="Y261" s="527" t="str" cm="1">
        <f t="array" aca="1" ref="Y261" ca="1">IF($V261&lt;&gt;"",-TRANSPOSE(INDEX(getcds('CDO Bespoke'!$C286,Y$13,'CDO Bespoke'!$G286/10000,'CDO Bespoke'!H286,'CDO Bespoke'!$L262,'CDO Bespoke'!$C$13,'CDO Bespoke'!$C$14,'CDO Bespoke'!$C$15,'CDO Bespoke'!$C$8,,,TRUE,TRUE,FALSE,'CDO Bespoke'!$C$29:'CDO Bespoke'!$C$31,'CDO Bespoke'!$C$33),{5})),"")</f>
        <v/>
      </c>
      <c r="Z261" s="527" t="str" cm="1">
        <f t="array" aca="1" ref="Z261" ca="1">IF($V261&lt;&gt;"",-TRANSPOSE(INDEX(getcds('CDO Bespoke'!$C286,Z$13,'CDO Bespoke'!$G286/10000,'CDO Bespoke'!I286,'CDO Bespoke'!$L262,'CDO Bespoke'!$C$13,'CDO Bespoke'!$C$14,'CDO Bespoke'!$C$15,'CDO Bespoke'!$C$8,,,TRUE,TRUE,FALSE,'CDO Bespoke'!$C$29:'CDO Bespoke'!$C$31,'CDO Bespoke'!$C$33),{5})),"")</f>
        <v/>
      </c>
      <c r="AA261" s="502" t="str" cm="1">
        <f t="array" aca="1" ref="AA261" ca="1">IF($V261&lt;&gt;"",-TRANSPOSE(INDEX(getcds('CDO Bespoke'!$C286,AA$13,'CDO Bespoke'!$G286/10000,'CDO Bespoke'!J286,'CDO Bespoke'!$L262,'CDO Bespoke'!$C$13,'CDO Bespoke'!$C$14,'CDO Bespoke'!$C$15,'CDO Bespoke'!$C$8,,,TRUE,TRUE,FALSE,'CDO Bespoke'!$C$29:'CDO Bespoke'!$C$31,'CDO Bespoke'!$C$33),{5})),"")</f>
        <v/>
      </c>
      <c r="AB261" s="481"/>
      <c r="AC261" s="517"/>
      <c r="AD261" s="518"/>
      <c r="AE261" s="518"/>
      <c r="AF261" s="518"/>
      <c r="AG261" s="518"/>
      <c r="AH261" s="518"/>
      <c r="AI261" s="518"/>
      <c r="AJ261" s="518"/>
      <c r="AK261" s="518"/>
      <c r="AL261" s="519"/>
      <c r="AM261" s="540"/>
    </row>
    <row r="262" spans="2:39" ht="12" thickBot="1">
      <c r="B262" s="563" t="s">
        <v>590</v>
      </c>
      <c r="C262" s="564" t="s">
        <v>66</v>
      </c>
      <c r="D262" s="564" t="s">
        <v>55</v>
      </c>
      <c r="E262" s="564" t="s">
        <v>663</v>
      </c>
      <c r="F262" s="564" t="s">
        <v>672</v>
      </c>
      <c r="G262" s="565">
        <v>0.01</v>
      </c>
      <c r="H262" s="565">
        <v>2.137E-3</v>
      </c>
      <c r="I262" s="566">
        <v>0.4</v>
      </c>
      <c r="J262" s="567">
        <v>80</v>
      </c>
      <c r="K262" s="275"/>
      <c r="L262" s="275"/>
      <c r="M262" s="489" t="str">
        <f ca="1">IF('CDO Bespoke'!O263&lt;&gt;"",'CDO Bespoke'!O263,"")</f>
        <v/>
      </c>
      <c r="N262" s="490" t="str">
        <f ca="1">IF(M262&lt;&gt;"",ABS(MIN(-0.75*('CDO Bespoke'!Q263)+'CDO Bespoke'!T263,0)),"")</f>
        <v/>
      </c>
      <c r="O262" s="490" t="str">
        <f t="shared" ca="1" si="12"/>
        <v/>
      </c>
      <c r="P262" s="490" t="str">
        <f t="shared" ca="1" si="13"/>
        <v/>
      </c>
      <c r="Q262" s="489" t="str">
        <f ca="1">IF('CDO Bespoke'!O263&lt;&gt;"",'CDO Bespoke'!O263,"")</f>
        <v/>
      </c>
      <c r="R262" s="490" t="str">
        <f ca="1">IF(Q262&lt;&gt;"",ABS(MIN(-0.75*('CDO Bespoke'!K263)+'CDO Bespoke'!T263,0)),"")</f>
        <v/>
      </c>
      <c r="S262" s="490" t="str">
        <f t="shared" ca="1" si="14"/>
        <v/>
      </c>
      <c r="T262" s="494" t="str">
        <f t="shared" ca="1" si="15"/>
        <v/>
      </c>
      <c r="U262" s="275"/>
      <c r="V262" s="499" t="str">
        <f ca="1">IF('CDO Bespoke'!C287&lt;&gt;"",'CDO Bespoke'!C287,"")</f>
        <v/>
      </c>
      <c r="W262" s="501" t="str" cm="1">
        <f t="array" aca="1" ref="W262" ca="1">IF($V262&lt;&gt;"",-TRANSPOSE(INDEX(getcds('CDO Bespoke'!$C287,W$13,'CDO Bespoke'!$G287/10000,'CDO Bespoke'!F287,'CDO Bespoke'!$L263,'CDO Bespoke'!$C$13,'CDO Bespoke'!$C$14,'CDO Bespoke'!$C$15,'CDO Bespoke'!$C$8,,,TRUE,TRUE,FALSE,'CDO Bespoke'!$C$29:'CDO Bespoke'!$C$31,'CDO Bespoke'!$C$33),{5})),"")</f>
        <v/>
      </c>
      <c r="X262" s="527" t="str" cm="1">
        <f t="array" aca="1" ref="X262" ca="1">IF($V262&lt;&gt;"",-TRANSPOSE(INDEX(getcds('CDO Bespoke'!$C287,X$13,'CDO Bespoke'!$G287/10000,'CDO Bespoke'!G287,'CDO Bespoke'!$L263,'CDO Bespoke'!$C$13,'CDO Bespoke'!$C$14,'CDO Bespoke'!$C$15,'CDO Bespoke'!$C$8,,,TRUE,TRUE,FALSE,'CDO Bespoke'!$C$29:'CDO Bespoke'!$C$31,'CDO Bespoke'!$C$33),{5})),"")</f>
        <v/>
      </c>
      <c r="Y262" s="527" t="str" cm="1">
        <f t="array" aca="1" ref="Y262" ca="1">IF($V262&lt;&gt;"",-TRANSPOSE(INDEX(getcds('CDO Bespoke'!$C287,Y$13,'CDO Bespoke'!$G287/10000,'CDO Bespoke'!H287,'CDO Bespoke'!$L263,'CDO Bespoke'!$C$13,'CDO Bespoke'!$C$14,'CDO Bespoke'!$C$15,'CDO Bespoke'!$C$8,,,TRUE,TRUE,FALSE,'CDO Bespoke'!$C$29:'CDO Bespoke'!$C$31,'CDO Bespoke'!$C$33),{5})),"")</f>
        <v/>
      </c>
      <c r="Z262" s="527" t="str" cm="1">
        <f t="array" aca="1" ref="Z262" ca="1">IF($V262&lt;&gt;"",-TRANSPOSE(INDEX(getcds('CDO Bespoke'!$C287,Z$13,'CDO Bespoke'!$G287/10000,'CDO Bespoke'!I287,'CDO Bespoke'!$L263,'CDO Bespoke'!$C$13,'CDO Bespoke'!$C$14,'CDO Bespoke'!$C$15,'CDO Bespoke'!$C$8,,,TRUE,TRUE,FALSE,'CDO Bespoke'!$C$29:'CDO Bespoke'!$C$31,'CDO Bespoke'!$C$33),{5})),"")</f>
        <v/>
      </c>
      <c r="AA262" s="502" t="str" cm="1">
        <f t="array" aca="1" ref="AA262" ca="1">IF($V262&lt;&gt;"",-TRANSPOSE(INDEX(getcds('CDO Bespoke'!$C287,AA$13,'CDO Bespoke'!$G287/10000,'CDO Bespoke'!J287,'CDO Bespoke'!$L263,'CDO Bespoke'!$C$13,'CDO Bespoke'!$C$14,'CDO Bespoke'!$C$15,'CDO Bespoke'!$C$8,,,TRUE,TRUE,FALSE,'CDO Bespoke'!$C$29:'CDO Bespoke'!$C$31,'CDO Bespoke'!$C$33),{5})),"")</f>
        <v/>
      </c>
      <c r="AB262" s="481"/>
      <c r="AC262" s="517"/>
      <c r="AD262" s="518"/>
      <c r="AE262" s="518"/>
      <c r="AF262" s="518"/>
      <c r="AG262" s="518"/>
      <c r="AH262" s="518"/>
      <c r="AI262" s="518"/>
      <c r="AJ262" s="518"/>
      <c r="AK262" s="518"/>
      <c r="AL262" s="519"/>
      <c r="AM262" s="540"/>
    </row>
    <row r="263" spans="2:39" ht="12" thickBot="1">
      <c r="B263" s="541" t="s">
        <v>590</v>
      </c>
      <c r="C263" s="542" t="s">
        <v>66</v>
      </c>
      <c r="D263" s="542" t="s">
        <v>57</v>
      </c>
      <c r="E263" s="542" t="s">
        <v>663</v>
      </c>
      <c r="F263" s="542" t="s">
        <v>672</v>
      </c>
      <c r="G263" s="549">
        <v>0.01</v>
      </c>
      <c r="H263" s="549">
        <v>3.2109999999999999E-3</v>
      </c>
      <c r="I263" s="551">
        <v>0.4</v>
      </c>
      <c r="J263" s="543">
        <v>80</v>
      </c>
      <c r="K263" s="275"/>
      <c r="L263" s="275"/>
      <c r="M263" s="489" t="str">
        <f ca="1">IF('CDO Bespoke'!O264&lt;&gt;"",'CDO Bespoke'!O264,"")</f>
        <v/>
      </c>
      <c r="N263" s="490" t="str">
        <f ca="1">IF(M263&lt;&gt;"",ABS(MIN(-0.75*('CDO Bespoke'!Q264)+'CDO Bespoke'!T264,0)),"")</f>
        <v/>
      </c>
      <c r="O263" s="490" t="str">
        <f t="shared" ca="1" si="12"/>
        <v/>
      </c>
      <c r="P263" s="490" t="str">
        <f t="shared" ca="1" si="13"/>
        <v/>
      </c>
      <c r="Q263" s="489" t="str">
        <f ca="1">IF('CDO Bespoke'!O264&lt;&gt;"",'CDO Bespoke'!O264,"")</f>
        <v/>
      </c>
      <c r="R263" s="490" t="str">
        <f ca="1">IF(Q263&lt;&gt;"",ABS(MIN(-0.75*('CDO Bespoke'!K264)+'CDO Bespoke'!T264,0)),"")</f>
        <v/>
      </c>
      <c r="S263" s="490" t="str">
        <f t="shared" ca="1" si="14"/>
        <v/>
      </c>
      <c r="T263" s="494" t="str">
        <f t="shared" ca="1" si="15"/>
        <v/>
      </c>
      <c r="U263" s="275"/>
      <c r="V263" s="499" t="str">
        <f ca="1">IF('CDO Bespoke'!C288&lt;&gt;"",'CDO Bespoke'!C288,"")</f>
        <v/>
      </c>
      <c r="W263" s="501" t="str" cm="1">
        <f t="array" aca="1" ref="W263" ca="1">IF($V263&lt;&gt;"",-TRANSPOSE(INDEX(getcds('CDO Bespoke'!$C288,W$13,'CDO Bespoke'!$G288/10000,'CDO Bespoke'!F288,'CDO Bespoke'!$L264,'CDO Bespoke'!$C$13,'CDO Bespoke'!$C$14,'CDO Bespoke'!$C$15,'CDO Bespoke'!$C$8,,,TRUE,TRUE,FALSE,'CDO Bespoke'!$C$29:'CDO Bespoke'!$C$31,'CDO Bespoke'!$C$33),{5})),"")</f>
        <v/>
      </c>
      <c r="X263" s="527" t="str" cm="1">
        <f t="array" aca="1" ref="X263" ca="1">IF($V263&lt;&gt;"",-TRANSPOSE(INDEX(getcds('CDO Bespoke'!$C288,X$13,'CDO Bespoke'!$G288/10000,'CDO Bespoke'!G288,'CDO Bespoke'!$L264,'CDO Bespoke'!$C$13,'CDO Bespoke'!$C$14,'CDO Bespoke'!$C$15,'CDO Bespoke'!$C$8,,,TRUE,TRUE,FALSE,'CDO Bespoke'!$C$29:'CDO Bespoke'!$C$31,'CDO Bespoke'!$C$33),{5})),"")</f>
        <v/>
      </c>
      <c r="Y263" s="527" t="str" cm="1">
        <f t="array" aca="1" ref="Y263" ca="1">IF($V263&lt;&gt;"",-TRANSPOSE(INDEX(getcds('CDO Bespoke'!$C288,Y$13,'CDO Bespoke'!$G288/10000,'CDO Bespoke'!H288,'CDO Bespoke'!$L264,'CDO Bespoke'!$C$13,'CDO Bespoke'!$C$14,'CDO Bespoke'!$C$15,'CDO Bespoke'!$C$8,,,TRUE,TRUE,FALSE,'CDO Bespoke'!$C$29:'CDO Bespoke'!$C$31,'CDO Bespoke'!$C$33),{5})),"")</f>
        <v/>
      </c>
      <c r="Z263" s="527" t="str" cm="1">
        <f t="array" aca="1" ref="Z263" ca="1">IF($V263&lt;&gt;"",-TRANSPOSE(INDEX(getcds('CDO Bespoke'!$C288,Z$13,'CDO Bespoke'!$G288/10000,'CDO Bespoke'!I288,'CDO Bespoke'!$L264,'CDO Bespoke'!$C$13,'CDO Bespoke'!$C$14,'CDO Bespoke'!$C$15,'CDO Bespoke'!$C$8,,,TRUE,TRUE,FALSE,'CDO Bespoke'!$C$29:'CDO Bespoke'!$C$31,'CDO Bespoke'!$C$33),{5})),"")</f>
        <v/>
      </c>
      <c r="AA263" s="502" t="str" cm="1">
        <f t="array" aca="1" ref="AA263" ca="1">IF($V263&lt;&gt;"",-TRANSPOSE(INDEX(getcds('CDO Bespoke'!$C288,AA$13,'CDO Bespoke'!$G288/10000,'CDO Bespoke'!J288,'CDO Bespoke'!$L264,'CDO Bespoke'!$C$13,'CDO Bespoke'!$C$14,'CDO Bespoke'!$C$15,'CDO Bespoke'!$C$8,,,TRUE,TRUE,FALSE,'CDO Bespoke'!$C$29:'CDO Bespoke'!$C$31,'CDO Bespoke'!$C$33),{5})),"")</f>
        <v/>
      </c>
      <c r="AB263" s="481"/>
      <c r="AC263" s="517"/>
      <c r="AD263" s="518"/>
      <c r="AE263" s="518"/>
      <c r="AF263" s="518"/>
      <c r="AG263" s="518"/>
      <c r="AH263" s="518"/>
      <c r="AI263" s="518"/>
      <c r="AJ263" s="518"/>
      <c r="AK263" s="518"/>
      <c r="AL263" s="519"/>
      <c r="AM263" s="540"/>
    </row>
    <row r="264" spans="2:39" ht="12" thickBot="1">
      <c r="B264" s="558" t="s">
        <v>590</v>
      </c>
      <c r="C264" s="559" t="s">
        <v>66</v>
      </c>
      <c r="D264" s="559" t="s">
        <v>59</v>
      </c>
      <c r="E264" s="559" t="s">
        <v>663</v>
      </c>
      <c r="F264" s="559" t="s">
        <v>672</v>
      </c>
      <c r="G264" s="560">
        <v>0.01</v>
      </c>
      <c r="H264" s="560">
        <v>4.6039999999999996E-3</v>
      </c>
      <c r="I264" s="561">
        <v>0.4</v>
      </c>
      <c r="J264" s="562">
        <v>80</v>
      </c>
      <c r="K264" s="275"/>
      <c r="L264" s="275"/>
      <c r="M264" s="489" t="str">
        <f ca="1">IF('CDO Bespoke'!O265&lt;&gt;"",'CDO Bespoke'!O265,"")</f>
        <v/>
      </c>
      <c r="N264" s="490" t="str">
        <f ca="1">IF(M264&lt;&gt;"",ABS(MIN(-0.75*('CDO Bespoke'!Q265)+'CDO Bespoke'!T265,0)),"")</f>
        <v/>
      </c>
      <c r="O264" s="490" t="str">
        <f t="shared" ca="1" si="12"/>
        <v/>
      </c>
      <c r="P264" s="490" t="str">
        <f t="shared" ca="1" si="13"/>
        <v/>
      </c>
      <c r="Q264" s="489" t="str">
        <f ca="1">IF('CDO Bespoke'!O265&lt;&gt;"",'CDO Bespoke'!O265,"")</f>
        <v/>
      </c>
      <c r="R264" s="490" t="str">
        <f ca="1">IF(Q264&lt;&gt;"",ABS(MIN(-0.75*('CDO Bespoke'!K265)+'CDO Bespoke'!T265,0)),"")</f>
        <v/>
      </c>
      <c r="S264" s="490" t="str">
        <f t="shared" ca="1" si="14"/>
        <v/>
      </c>
      <c r="T264" s="494" t="str">
        <f t="shared" ca="1" si="15"/>
        <v/>
      </c>
      <c r="U264" s="275"/>
      <c r="V264" s="499" t="str">
        <f ca="1">IF('CDO Bespoke'!C289&lt;&gt;"",'CDO Bespoke'!C289,"")</f>
        <v/>
      </c>
      <c r="W264" s="501" t="str" cm="1">
        <f t="array" aca="1" ref="W264" ca="1">IF($V264&lt;&gt;"",-TRANSPOSE(INDEX(getcds('CDO Bespoke'!$C289,W$13,'CDO Bespoke'!$G289/10000,'CDO Bespoke'!F289,'CDO Bespoke'!$L265,'CDO Bespoke'!$C$13,'CDO Bespoke'!$C$14,'CDO Bespoke'!$C$15,'CDO Bespoke'!$C$8,,,TRUE,TRUE,FALSE,'CDO Bespoke'!$C$29:'CDO Bespoke'!$C$31,'CDO Bespoke'!$C$33),{5})),"")</f>
        <v/>
      </c>
      <c r="X264" s="527" t="str" cm="1">
        <f t="array" aca="1" ref="X264" ca="1">IF($V264&lt;&gt;"",-TRANSPOSE(INDEX(getcds('CDO Bespoke'!$C289,X$13,'CDO Bespoke'!$G289/10000,'CDO Bespoke'!G289,'CDO Bespoke'!$L265,'CDO Bespoke'!$C$13,'CDO Bespoke'!$C$14,'CDO Bespoke'!$C$15,'CDO Bespoke'!$C$8,,,TRUE,TRUE,FALSE,'CDO Bespoke'!$C$29:'CDO Bespoke'!$C$31,'CDO Bespoke'!$C$33),{5})),"")</f>
        <v/>
      </c>
      <c r="Y264" s="527" t="str" cm="1">
        <f t="array" aca="1" ref="Y264" ca="1">IF($V264&lt;&gt;"",-TRANSPOSE(INDEX(getcds('CDO Bespoke'!$C289,Y$13,'CDO Bespoke'!$G289/10000,'CDO Bespoke'!H289,'CDO Bespoke'!$L265,'CDO Bespoke'!$C$13,'CDO Bespoke'!$C$14,'CDO Bespoke'!$C$15,'CDO Bespoke'!$C$8,,,TRUE,TRUE,FALSE,'CDO Bespoke'!$C$29:'CDO Bespoke'!$C$31,'CDO Bespoke'!$C$33),{5})),"")</f>
        <v/>
      </c>
      <c r="Z264" s="527" t="str" cm="1">
        <f t="array" aca="1" ref="Z264" ca="1">IF($V264&lt;&gt;"",-TRANSPOSE(INDEX(getcds('CDO Bespoke'!$C289,Z$13,'CDO Bespoke'!$G289/10000,'CDO Bespoke'!I289,'CDO Bespoke'!$L265,'CDO Bespoke'!$C$13,'CDO Bespoke'!$C$14,'CDO Bespoke'!$C$15,'CDO Bespoke'!$C$8,,,TRUE,TRUE,FALSE,'CDO Bespoke'!$C$29:'CDO Bespoke'!$C$31,'CDO Bespoke'!$C$33),{5})),"")</f>
        <v/>
      </c>
      <c r="AA264" s="502" t="str" cm="1">
        <f t="array" aca="1" ref="AA264" ca="1">IF($V264&lt;&gt;"",-TRANSPOSE(INDEX(getcds('CDO Bespoke'!$C289,AA$13,'CDO Bespoke'!$G289/10000,'CDO Bespoke'!J289,'CDO Bespoke'!$L265,'CDO Bespoke'!$C$13,'CDO Bespoke'!$C$14,'CDO Bespoke'!$C$15,'CDO Bespoke'!$C$8,,,TRUE,TRUE,FALSE,'CDO Bespoke'!$C$29:'CDO Bespoke'!$C$31,'CDO Bespoke'!$C$33),{5})),"")</f>
        <v/>
      </c>
      <c r="AB264" s="481"/>
      <c r="AC264" s="517"/>
      <c r="AD264" s="518"/>
      <c r="AE264" s="518"/>
      <c r="AF264" s="518"/>
      <c r="AG264" s="518"/>
      <c r="AH264" s="518"/>
      <c r="AI264" s="518"/>
      <c r="AJ264" s="518"/>
      <c r="AK264" s="518"/>
      <c r="AL264" s="519"/>
      <c r="AM264" s="540"/>
    </row>
    <row r="265" spans="2:39" ht="12" thickBot="1">
      <c r="B265" s="563" t="s">
        <v>591</v>
      </c>
      <c r="C265" s="564" t="s">
        <v>66</v>
      </c>
      <c r="D265" s="564" t="s">
        <v>55</v>
      </c>
      <c r="E265" s="564" t="s">
        <v>663</v>
      </c>
      <c r="F265" s="564" t="s">
        <v>666</v>
      </c>
      <c r="G265" s="565">
        <v>0.01</v>
      </c>
      <c r="H265" s="565">
        <v>4.9890000000000004E-3</v>
      </c>
      <c r="I265" s="566">
        <v>0.4</v>
      </c>
      <c r="J265" s="567">
        <v>81</v>
      </c>
      <c r="K265" s="275"/>
      <c r="L265" s="275"/>
      <c r="M265" s="489" t="str">
        <f ca="1">IF('CDO Bespoke'!O266&lt;&gt;"",'CDO Bespoke'!O266,"")</f>
        <v/>
      </c>
      <c r="N265" s="490" t="str">
        <f ca="1">IF(M265&lt;&gt;"",ABS(MIN(-0.75*('CDO Bespoke'!Q266)+'CDO Bespoke'!T266,0)),"")</f>
        <v/>
      </c>
      <c r="O265" s="490" t="str">
        <f t="shared" ca="1" si="12"/>
        <v/>
      </c>
      <c r="P265" s="490" t="str">
        <f t="shared" ca="1" si="13"/>
        <v/>
      </c>
      <c r="Q265" s="489" t="str">
        <f ca="1">IF('CDO Bespoke'!O266&lt;&gt;"",'CDO Bespoke'!O266,"")</f>
        <v/>
      </c>
      <c r="R265" s="490" t="str">
        <f ca="1">IF(Q265&lt;&gt;"",ABS(MIN(-0.75*('CDO Bespoke'!K266)+'CDO Bespoke'!T266,0)),"")</f>
        <v/>
      </c>
      <c r="S265" s="490" t="str">
        <f t="shared" ca="1" si="14"/>
        <v/>
      </c>
      <c r="T265" s="494" t="str">
        <f t="shared" ca="1" si="15"/>
        <v/>
      </c>
      <c r="U265" s="275"/>
      <c r="V265" s="499" t="str">
        <f ca="1">IF('CDO Bespoke'!C290&lt;&gt;"",'CDO Bespoke'!C290,"")</f>
        <v/>
      </c>
      <c r="W265" s="501" t="str" cm="1">
        <f t="array" aca="1" ref="W265" ca="1">IF($V265&lt;&gt;"",-TRANSPOSE(INDEX(getcds('CDO Bespoke'!$C290,W$13,'CDO Bespoke'!$G290/10000,'CDO Bespoke'!F290,'CDO Bespoke'!$L266,'CDO Bespoke'!$C$13,'CDO Bespoke'!$C$14,'CDO Bespoke'!$C$15,'CDO Bespoke'!$C$8,,,TRUE,TRUE,FALSE,'CDO Bespoke'!$C$29:'CDO Bespoke'!$C$31,'CDO Bespoke'!$C$33),{5})),"")</f>
        <v/>
      </c>
      <c r="X265" s="527" t="str" cm="1">
        <f t="array" aca="1" ref="X265" ca="1">IF($V265&lt;&gt;"",-TRANSPOSE(INDEX(getcds('CDO Bespoke'!$C290,X$13,'CDO Bespoke'!$G290/10000,'CDO Bespoke'!G290,'CDO Bespoke'!$L266,'CDO Bespoke'!$C$13,'CDO Bespoke'!$C$14,'CDO Bespoke'!$C$15,'CDO Bespoke'!$C$8,,,TRUE,TRUE,FALSE,'CDO Bespoke'!$C$29:'CDO Bespoke'!$C$31,'CDO Bespoke'!$C$33),{5})),"")</f>
        <v/>
      </c>
      <c r="Y265" s="527" t="str" cm="1">
        <f t="array" aca="1" ref="Y265" ca="1">IF($V265&lt;&gt;"",-TRANSPOSE(INDEX(getcds('CDO Bespoke'!$C290,Y$13,'CDO Bespoke'!$G290/10000,'CDO Bespoke'!H290,'CDO Bespoke'!$L266,'CDO Bespoke'!$C$13,'CDO Bespoke'!$C$14,'CDO Bespoke'!$C$15,'CDO Bespoke'!$C$8,,,TRUE,TRUE,FALSE,'CDO Bespoke'!$C$29:'CDO Bespoke'!$C$31,'CDO Bespoke'!$C$33),{5})),"")</f>
        <v/>
      </c>
      <c r="Z265" s="527" t="str" cm="1">
        <f t="array" aca="1" ref="Z265" ca="1">IF($V265&lt;&gt;"",-TRANSPOSE(INDEX(getcds('CDO Bespoke'!$C290,Z$13,'CDO Bespoke'!$G290/10000,'CDO Bespoke'!I290,'CDO Bespoke'!$L266,'CDO Bespoke'!$C$13,'CDO Bespoke'!$C$14,'CDO Bespoke'!$C$15,'CDO Bespoke'!$C$8,,,TRUE,TRUE,FALSE,'CDO Bespoke'!$C$29:'CDO Bespoke'!$C$31,'CDO Bespoke'!$C$33),{5})),"")</f>
        <v/>
      </c>
      <c r="AA265" s="502" t="str" cm="1">
        <f t="array" aca="1" ref="AA265" ca="1">IF($V265&lt;&gt;"",-TRANSPOSE(INDEX(getcds('CDO Bespoke'!$C290,AA$13,'CDO Bespoke'!$G290/10000,'CDO Bespoke'!J290,'CDO Bespoke'!$L266,'CDO Bespoke'!$C$13,'CDO Bespoke'!$C$14,'CDO Bespoke'!$C$15,'CDO Bespoke'!$C$8,,,TRUE,TRUE,FALSE,'CDO Bespoke'!$C$29:'CDO Bespoke'!$C$31,'CDO Bespoke'!$C$33),{5})),"")</f>
        <v/>
      </c>
      <c r="AB265" s="481"/>
      <c r="AC265" s="517"/>
      <c r="AD265" s="518"/>
      <c r="AE265" s="518"/>
      <c r="AF265" s="518"/>
      <c r="AG265" s="518"/>
      <c r="AH265" s="518"/>
      <c r="AI265" s="518"/>
      <c r="AJ265" s="518"/>
      <c r="AK265" s="518"/>
      <c r="AL265" s="519"/>
      <c r="AM265" s="540"/>
    </row>
    <row r="266" spans="2:39" ht="12" thickBot="1">
      <c r="B266" s="541" t="s">
        <v>591</v>
      </c>
      <c r="C266" s="542" t="s">
        <v>66</v>
      </c>
      <c r="D266" s="542" t="s">
        <v>57</v>
      </c>
      <c r="E266" s="542" t="s">
        <v>663</v>
      </c>
      <c r="F266" s="542" t="s">
        <v>666</v>
      </c>
      <c r="G266" s="549">
        <v>0.01</v>
      </c>
      <c r="H266" s="549">
        <v>1.01E-2</v>
      </c>
      <c r="I266" s="551">
        <v>0.4</v>
      </c>
      <c r="J266" s="543">
        <v>81</v>
      </c>
      <c r="K266" s="275"/>
      <c r="L266" s="275"/>
      <c r="M266" s="489" t="str">
        <f ca="1">IF('CDO Bespoke'!O267&lt;&gt;"",'CDO Bespoke'!O267,"")</f>
        <v/>
      </c>
      <c r="N266" s="490" t="str">
        <f ca="1">IF(M266&lt;&gt;"",ABS(MIN(-0.75*('CDO Bespoke'!Q267)+'CDO Bespoke'!T267,0)),"")</f>
        <v/>
      </c>
      <c r="O266" s="490" t="str">
        <f t="shared" ca="1" si="12"/>
        <v/>
      </c>
      <c r="P266" s="490" t="str">
        <f t="shared" ca="1" si="13"/>
        <v/>
      </c>
      <c r="Q266" s="489" t="str">
        <f ca="1">IF('CDO Bespoke'!O267&lt;&gt;"",'CDO Bespoke'!O267,"")</f>
        <v/>
      </c>
      <c r="R266" s="490" t="str">
        <f ca="1">IF(Q266&lt;&gt;"",ABS(MIN(-0.75*('CDO Bespoke'!K267)+'CDO Bespoke'!T267,0)),"")</f>
        <v/>
      </c>
      <c r="S266" s="490" t="str">
        <f t="shared" ca="1" si="14"/>
        <v/>
      </c>
      <c r="T266" s="494" t="str">
        <f t="shared" ca="1" si="15"/>
        <v/>
      </c>
      <c r="U266" s="275"/>
      <c r="V266" s="499" t="str">
        <f ca="1">IF('CDO Bespoke'!C291&lt;&gt;"",'CDO Bespoke'!C291,"")</f>
        <v/>
      </c>
      <c r="W266" s="501" t="str" cm="1">
        <f t="array" aca="1" ref="W266" ca="1">IF($V266&lt;&gt;"",-TRANSPOSE(INDEX(getcds('CDO Bespoke'!$C291,W$13,'CDO Bespoke'!$G291/10000,'CDO Bespoke'!F291,'CDO Bespoke'!$L267,'CDO Bespoke'!$C$13,'CDO Bespoke'!$C$14,'CDO Bespoke'!$C$15,'CDO Bespoke'!$C$8,,,TRUE,TRUE,FALSE,'CDO Bespoke'!$C$29:'CDO Bespoke'!$C$31,'CDO Bespoke'!$C$33),{5})),"")</f>
        <v/>
      </c>
      <c r="X266" s="527" t="str" cm="1">
        <f t="array" aca="1" ref="X266" ca="1">IF($V266&lt;&gt;"",-TRANSPOSE(INDEX(getcds('CDO Bespoke'!$C291,X$13,'CDO Bespoke'!$G291/10000,'CDO Bespoke'!G291,'CDO Bespoke'!$L267,'CDO Bespoke'!$C$13,'CDO Bespoke'!$C$14,'CDO Bespoke'!$C$15,'CDO Bespoke'!$C$8,,,TRUE,TRUE,FALSE,'CDO Bespoke'!$C$29:'CDO Bespoke'!$C$31,'CDO Bespoke'!$C$33),{5})),"")</f>
        <v/>
      </c>
      <c r="Y266" s="527" t="str" cm="1">
        <f t="array" aca="1" ref="Y266" ca="1">IF($V266&lt;&gt;"",-TRANSPOSE(INDEX(getcds('CDO Bespoke'!$C291,Y$13,'CDO Bespoke'!$G291/10000,'CDO Bespoke'!H291,'CDO Bespoke'!$L267,'CDO Bespoke'!$C$13,'CDO Bespoke'!$C$14,'CDO Bespoke'!$C$15,'CDO Bespoke'!$C$8,,,TRUE,TRUE,FALSE,'CDO Bespoke'!$C$29:'CDO Bespoke'!$C$31,'CDO Bespoke'!$C$33),{5})),"")</f>
        <v/>
      </c>
      <c r="Z266" s="527" t="str" cm="1">
        <f t="array" aca="1" ref="Z266" ca="1">IF($V266&lt;&gt;"",-TRANSPOSE(INDEX(getcds('CDO Bespoke'!$C291,Z$13,'CDO Bespoke'!$G291/10000,'CDO Bespoke'!I291,'CDO Bespoke'!$L267,'CDO Bespoke'!$C$13,'CDO Bespoke'!$C$14,'CDO Bespoke'!$C$15,'CDO Bespoke'!$C$8,,,TRUE,TRUE,FALSE,'CDO Bespoke'!$C$29:'CDO Bespoke'!$C$31,'CDO Bespoke'!$C$33),{5})),"")</f>
        <v/>
      </c>
      <c r="AA266" s="502" t="str" cm="1">
        <f t="array" aca="1" ref="AA266" ca="1">IF($V266&lt;&gt;"",-TRANSPOSE(INDEX(getcds('CDO Bespoke'!$C291,AA$13,'CDO Bespoke'!$G291/10000,'CDO Bespoke'!J291,'CDO Bespoke'!$L267,'CDO Bespoke'!$C$13,'CDO Bespoke'!$C$14,'CDO Bespoke'!$C$15,'CDO Bespoke'!$C$8,,,TRUE,TRUE,FALSE,'CDO Bespoke'!$C$29:'CDO Bespoke'!$C$31,'CDO Bespoke'!$C$33),{5})),"")</f>
        <v/>
      </c>
      <c r="AB266" s="481"/>
      <c r="AC266" s="517"/>
      <c r="AD266" s="518"/>
      <c r="AE266" s="518"/>
      <c r="AF266" s="518"/>
      <c r="AG266" s="518"/>
      <c r="AH266" s="518"/>
      <c r="AI266" s="518"/>
      <c r="AJ266" s="518"/>
      <c r="AK266" s="518"/>
      <c r="AL266" s="519"/>
      <c r="AM266" s="540"/>
    </row>
    <row r="267" spans="2:39" ht="12" thickBot="1">
      <c r="B267" s="558" t="s">
        <v>591</v>
      </c>
      <c r="C267" s="559" t="s">
        <v>66</v>
      </c>
      <c r="D267" s="559" t="s">
        <v>59</v>
      </c>
      <c r="E267" s="559" t="s">
        <v>663</v>
      </c>
      <c r="F267" s="559" t="s">
        <v>666</v>
      </c>
      <c r="G267" s="560">
        <v>0.01</v>
      </c>
      <c r="H267" s="560">
        <v>1.474E-2</v>
      </c>
      <c r="I267" s="561">
        <v>0.4</v>
      </c>
      <c r="J267" s="562">
        <v>81</v>
      </c>
      <c r="K267" s="275"/>
      <c r="L267" s="275"/>
      <c r="M267" s="489" t="str">
        <f ca="1">IF('CDO Bespoke'!O268&lt;&gt;"",'CDO Bespoke'!O268,"")</f>
        <v/>
      </c>
      <c r="N267" s="490" t="str">
        <f ca="1">IF(M267&lt;&gt;"",ABS(MIN(-0.75*('CDO Bespoke'!Q268)+'CDO Bespoke'!T268,0)),"")</f>
        <v/>
      </c>
      <c r="O267" s="490" t="str">
        <f t="shared" ca="1" si="12"/>
        <v/>
      </c>
      <c r="P267" s="490" t="str">
        <f t="shared" ca="1" si="13"/>
        <v/>
      </c>
      <c r="Q267" s="489" t="str">
        <f ca="1">IF('CDO Bespoke'!O268&lt;&gt;"",'CDO Bespoke'!O268,"")</f>
        <v/>
      </c>
      <c r="R267" s="490" t="str">
        <f ca="1">IF(Q267&lt;&gt;"",ABS(MIN(-0.75*('CDO Bespoke'!K268)+'CDO Bespoke'!T268,0)),"")</f>
        <v/>
      </c>
      <c r="S267" s="490" t="str">
        <f t="shared" ca="1" si="14"/>
        <v/>
      </c>
      <c r="T267" s="494" t="str">
        <f t="shared" ca="1" si="15"/>
        <v/>
      </c>
      <c r="U267" s="275"/>
      <c r="V267" s="499" t="str">
        <f ca="1">IF('CDO Bespoke'!C292&lt;&gt;"",'CDO Bespoke'!C292,"")</f>
        <v/>
      </c>
      <c r="W267" s="501" t="str" cm="1">
        <f t="array" aca="1" ref="W267" ca="1">IF($V267&lt;&gt;"",-TRANSPOSE(INDEX(getcds('CDO Bespoke'!$C292,W$13,'CDO Bespoke'!$G292/10000,'CDO Bespoke'!F292,'CDO Bespoke'!$L268,'CDO Bespoke'!$C$13,'CDO Bespoke'!$C$14,'CDO Bespoke'!$C$15,'CDO Bespoke'!$C$8,,,TRUE,TRUE,FALSE,'CDO Bespoke'!$C$29:'CDO Bespoke'!$C$31,'CDO Bespoke'!$C$33),{5})),"")</f>
        <v/>
      </c>
      <c r="X267" s="527" t="str" cm="1">
        <f t="array" aca="1" ref="X267" ca="1">IF($V267&lt;&gt;"",-TRANSPOSE(INDEX(getcds('CDO Bespoke'!$C292,X$13,'CDO Bespoke'!$G292/10000,'CDO Bespoke'!G292,'CDO Bespoke'!$L268,'CDO Bespoke'!$C$13,'CDO Bespoke'!$C$14,'CDO Bespoke'!$C$15,'CDO Bespoke'!$C$8,,,TRUE,TRUE,FALSE,'CDO Bespoke'!$C$29:'CDO Bespoke'!$C$31,'CDO Bespoke'!$C$33),{5})),"")</f>
        <v/>
      </c>
      <c r="Y267" s="527" t="str" cm="1">
        <f t="array" aca="1" ref="Y267" ca="1">IF($V267&lt;&gt;"",-TRANSPOSE(INDEX(getcds('CDO Bespoke'!$C292,Y$13,'CDO Bespoke'!$G292/10000,'CDO Bespoke'!H292,'CDO Bespoke'!$L268,'CDO Bespoke'!$C$13,'CDO Bespoke'!$C$14,'CDO Bespoke'!$C$15,'CDO Bespoke'!$C$8,,,TRUE,TRUE,FALSE,'CDO Bespoke'!$C$29:'CDO Bespoke'!$C$31,'CDO Bespoke'!$C$33),{5})),"")</f>
        <v/>
      </c>
      <c r="Z267" s="527" t="str" cm="1">
        <f t="array" aca="1" ref="Z267" ca="1">IF($V267&lt;&gt;"",-TRANSPOSE(INDEX(getcds('CDO Bespoke'!$C292,Z$13,'CDO Bespoke'!$G292/10000,'CDO Bespoke'!I292,'CDO Bespoke'!$L268,'CDO Bespoke'!$C$13,'CDO Bespoke'!$C$14,'CDO Bespoke'!$C$15,'CDO Bespoke'!$C$8,,,TRUE,TRUE,FALSE,'CDO Bespoke'!$C$29:'CDO Bespoke'!$C$31,'CDO Bespoke'!$C$33),{5})),"")</f>
        <v/>
      </c>
      <c r="AA267" s="502" t="str" cm="1">
        <f t="array" aca="1" ref="AA267" ca="1">IF($V267&lt;&gt;"",-TRANSPOSE(INDEX(getcds('CDO Bespoke'!$C292,AA$13,'CDO Bespoke'!$G292/10000,'CDO Bespoke'!J292,'CDO Bespoke'!$L268,'CDO Bespoke'!$C$13,'CDO Bespoke'!$C$14,'CDO Bespoke'!$C$15,'CDO Bespoke'!$C$8,,,TRUE,TRUE,FALSE,'CDO Bespoke'!$C$29:'CDO Bespoke'!$C$31,'CDO Bespoke'!$C$33),{5})),"")</f>
        <v/>
      </c>
      <c r="AB267" s="481"/>
      <c r="AC267" s="517"/>
      <c r="AD267" s="518"/>
      <c r="AE267" s="518"/>
      <c r="AF267" s="518"/>
      <c r="AG267" s="518"/>
      <c r="AH267" s="518"/>
      <c r="AI267" s="518"/>
      <c r="AJ267" s="518"/>
      <c r="AK267" s="518"/>
      <c r="AL267" s="519"/>
      <c r="AM267" s="540"/>
    </row>
    <row r="268" spans="2:39" ht="12" thickBot="1">
      <c r="B268" s="563" t="s">
        <v>601</v>
      </c>
      <c r="C268" s="564" t="s">
        <v>66</v>
      </c>
      <c r="D268" s="564" t="s">
        <v>55</v>
      </c>
      <c r="E268" s="564" t="s">
        <v>663</v>
      </c>
      <c r="F268" s="564" t="s">
        <v>672</v>
      </c>
      <c r="G268" s="565">
        <v>0.01</v>
      </c>
      <c r="H268" s="565">
        <v>2.7200000000000002E-3</v>
      </c>
      <c r="I268" s="566">
        <v>0.4</v>
      </c>
      <c r="J268" s="567">
        <v>82</v>
      </c>
      <c r="K268" s="275"/>
      <c r="L268" s="275"/>
      <c r="M268" s="489" t="str">
        <f ca="1">IF('CDO Bespoke'!O269&lt;&gt;"",'CDO Bespoke'!O269,"")</f>
        <v/>
      </c>
      <c r="N268" s="490" t="str">
        <f ca="1">IF(M268&lt;&gt;"",ABS(MIN(-0.75*('CDO Bespoke'!Q269)+'CDO Bespoke'!T269,0)),"")</f>
        <v/>
      </c>
      <c r="O268" s="490" t="str">
        <f t="shared" ca="1" si="12"/>
        <v/>
      </c>
      <c r="P268" s="490" t="str">
        <f t="shared" ca="1" si="13"/>
        <v/>
      </c>
      <c r="Q268" s="489" t="str">
        <f ca="1">IF('CDO Bespoke'!O269&lt;&gt;"",'CDO Bespoke'!O269,"")</f>
        <v/>
      </c>
      <c r="R268" s="490" t="str">
        <f ca="1">IF(Q268&lt;&gt;"",ABS(MIN(-0.75*('CDO Bespoke'!K269)+'CDO Bespoke'!T269,0)),"")</f>
        <v/>
      </c>
      <c r="S268" s="490" t="str">
        <f t="shared" ca="1" si="14"/>
        <v/>
      </c>
      <c r="T268" s="494" t="str">
        <f t="shared" ca="1" si="15"/>
        <v/>
      </c>
      <c r="U268" s="275"/>
      <c r="V268" s="499" t="str">
        <f ca="1">IF('CDO Bespoke'!C293&lt;&gt;"",'CDO Bespoke'!C293,"")</f>
        <v/>
      </c>
      <c r="W268" s="501" t="str" cm="1">
        <f t="array" aca="1" ref="W268" ca="1">IF($V268&lt;&gt;"",-TRANSPOSE(INDEX(getcds('CDO Bespoke'!$C293,W$13,'CDO Bespoke'!$G293/10000,'CDO Bespoke'!F293,'CDO Bespoke'!$L269,'CDO Bespoke'!$C$13,'CDO Bespoke'!$C$14,'CDO Bespoke'!$C$15,'CDO Bespoke'!$C$8,,,TRUE,TRUE,FALSE,'CDO Bespoke'!$C$29:'CDO Bespoke'!$C$31,'CDO Bespoke'!$C$33),{5})),"")</f>
        <v/>
      </c>
      <c r="X268" s="527" t="str" cm="1">
        <f t="array" aca="1" ref="X268" ca="1">IF($V268&lt;&gt;"",-TRANSPOSE(INDEX(getcds('CDO Bespoke'!$C293,X$13,'CDO Bespoke'!$G293/10000,'CDO Bespoke'!G293,'CDO Bespoke'!$L269,'CDO Bespoke'!$C$13,'CDO Bespoke'!$C$14,'CDO Bespoke'!$C$15,'CDO Bespoke'!$C$8,,,TRUE,TRUE,FALSE,'CDO Bespoke'!$C$29:'CDO Bespoke'!$C$31,'CDO Bespoke'!$C$33),{5})),"")</f>
        <v/>
      </c>
      <c r="Y268" s="527" t="str" cm="1">
        <f t="array" aca="1" ref="Y268" ca="1">IF($V268&lt;&gt;"",-TRANSPOSE(INDEX(getcds('CDO Bespoke'!$C293,Y$13,'CDO Bespoke'!$G293/10000,'CDO Bespoke'!H293,'CDO Bespoke'!$L269,'CDO Bespoke'!$C$13,'CDO Bespoke'!$C$14,'CDO Bespoke'!$C$15,'CDO Bespoke'!$C$8,,,TRUE,TRUE,FALSE,'CDO Bespoke'!$C$29:'CDO Bespoke'!$C$31,'CDO Bespoke'!$C$33),{5})),"")</f>
        <v/>
      </c>
      <c r="Z268" s="527" t="str" cm="1">
        <f t="array" aca="1" ref="Z268" ca="1">IF($V268&lt;&gt;"",-TRANSPOSE(INDEX(getcds('CDO Bespoke'!$C293,Z$13,'CDO Bespoke'!$G293/10000,'CDO Bespoke'!I293,'CDO Bespoke'!$L269,'CDO Bespoke'!$C$13,'CDO Bespoke'!$C$14,'CDO Bespoke'!$C$15,'CDO Bespoke'!$C$8,,,TRUE,TRUE,FALSE,'CDO Bespoke'!$C$29:'CDO Bespoke'!$C$31,'CDO Bespoke'!$C$33),{5})),"")</f>
        <v/>
      </c>
      <c r="AA268" s="502" t="str" cm="1">
        <f t="array" aca="1" ref="AA268" ca="1">IF($V268&lt;&gt;"",-TRANSPOSE(INDEX(getcds('CDO Bespoke'!$C293,AA$13,'CDO Bespoke'!$G293/10000,'CDO Bespoke'!J293,'CDO Bespoke'!$L269,'CDO Bespoke'!$C$13,'CDO Bespoke'!$C$14,'CDO Bespoke'!$C$15,'CDO Bespoke'!$C$8,,,TRUE,TRUE,FALSE,'CDO Bespoke'!$C$29:'CDO Bespoke'!$C$31,'CDO Bespoke'!$C$33),{5})),"")</f>
        <v/>
      </c>
      <c r="AB268" s="481"/>
      <c r="AC268" s="517"/>
      <c r="AD268" s="518"/>
      <c r="AE268" s="518"/>
      <c r="AF268" s="518"/>
      <c r="AG268" s="518"/>
      <c r="AH268" s="518"/>
      <c r="AI268" s="518"/>
      <c r="AJ268" s="518"/>
      <c r="AK268" s="518"/>
      <c r="AL268" s="519"/>
      <c r="AM268" s="540"/>
    </row>
    <row r="269" spans="2:39" ht="12" thickBot="1">
      <c r="B269" s="541" t="s">
        <v>601</v>
      </c>
      <c r="C269" s="542" t="s">
        <v>66</v>
      </c>
      <c r="D269" s="542" t="s">
        <v>57</v>
      </c>
      <c r="E269" s="542" t="s">
        <v>663</v>
      </c>
      <c r="F269" s="542" t="s">
        <v>672</v>
      </c>
      <c r="G269" s="549">
        <v>0.01</v>
      </c>
      <c r="H269" s="549">
        <v>4.6210000000000001E-3</v>
      </c>
      <c r="I269" s="551">
        <v>0.4</v>
      </c>
      <c r="J269" s="543">
        <v>82</v>
      </c>
      <c r="K269" s="275"/>
      <c r="L269" s="275"/>
      <c r="M269" s="489" t="str">
        <f ca="1">IF('CDO Bespoke'!O270&lt;&gt;"",'CDO Bespoke'!O270,"")</f>
        <v/>
      </c>
      <c r="N269" s="490" t="str">
        <f ca="1">IF(M269&lt;&gt;"",ABS(MIN(-0.75*('CDO Bespoke'!Q270)+'CDO Bespoke'!T270,0)),"")</f>
        <v/>
      </c>
      <c r="O269" s="490" t="str">
        <f t="shared" ca="1" si="12"/>
        <v/>
      </c>
      <c r="P269" s="490" t="str">
        <f t="shared" ca="1" si="13"/>
        <v/>
      </c>
      <c r="Q269" s="489" t="str">
        <f ca="1">IF('CDO Bespoke'!O270&lt;&gt;"",'CDO Bespoke'!O270,"")</f>
        <v/>
      </c>
      <c r="R269" s="490" t="str">
        <f ca="1">IF(Q269&lt;&gt;"",ABS(MIN(-0.75*('CDO Bespoke'!K270)+'CDO Bespoke'!T270,0)),"")</f>
        <v/>
      </c>
      <c r="S269" s="490" t="str">
        <f t="shared" ca="1" si="14"/>
        <v/>
      </c>
      <c r="T269" s="494" t="str">
        <f t="shared" ca="1" si="15"/>
        <v/>
      </c>
      <c r="U269" s="275"/>
      <c r="V269" s="499" t="str">
        <f ca="1">IF('CDO Bespoke'!C294&lt;&gt;"",'CDO Bespoke'!C294,"")</f>
        <v/>
      </c>
      <c r="W269" s="501" t="str" cm="1">
        <f t="array" aca="1" ref="W269" ca="1">IF($V269&lt;&gt;"",-TRANSPOSE(INDEX(getcds('CDO Bespoke'!$C294,W$13,'CDO Bespoke'!$G294/10000,'CDO Bespoke'!F294,'CDO Bespoke'!$L270,'CDO Bespoke'!$C$13,'CDO Bespoke'!$C$14,'CDO Bespoke'!$C$15,'CDO Bespoke'!$C$8,,,TRUE,TRUE,FALSE,'CDO Bespoke'!$C$29:'CDO Bespoke'!$C$31,'CDO Bespoke'!$C$33),{5})),"")</f>
        <v/>
      </c>
      <c r="X269" s="527" t="str" cm="1">
        <f t="array" aca="1" ref="X269" ca="1">IF($V269&lt;&gt;"",-TRANSPOSE(INDEX(getcds('CDO Bespoke'!$C294,X$13,'CDO Bespoke'!$G294/10000,'CDO Bespoke'!G294,'CDO Bespoke'!$L270,'CDO Bespoke'!$C$13,'CDO Bespoke'!$C$14,'CDO Bespoke'!$C$15,'CDO Bespoke'!$C$8,,,TRUE,TRUE,FALSE,'CDO Bespoke'!$C$29:'CDO Bespoke'!$C$31,'CDO Bespoke'!$C$33),{5})),"")</f>
        <v/>
      </c>
      <c r="Y269" s="527" t="str" cm="1">
        <f t="array" aca="1" ref="Y269" ca="1">IF($V269&lt;&gt;"",-TRANSPOSE(INDEX(getcds('CDO Bespoke'!$C294,Y$13,'CDO Bespoke'!$G294/10000,'CDO Bespoke'!H294,'CDO Bespoke'!$L270,'CDO Bespoke'!$C$13,'CDO Bespoke'!$C$14,'CDO Bespoke'!$C$15,'CDO Bespoke'!$C$8,,,TRUE,TRUE,FALSE,'CDO Bespoke'!$C$29:'CDO Bespoke'!$C$31,'CDO Bespoke'!$C$33),{5})),"")</f>
        <v/>
      </c>
      <c r="Z269" s="527" t="str" cm="1">
        <f t="array" aca="1" ref="Z269" ca="1">IF($V269&lt;&gt;"",-TRANSPOSE(INDEX(getcds('CDO Bespoke'!$C294,Z$13,'CDO Bespoke'!$G294/10000,'CDO Bespoke'!I294,'CDO Bespoke'!$L270,'CDO Bespoke'!$C$13,'CDO Bespoke'!$C$14,'CDO Bespoke'!$C$15,'CDO Bespoke'!$C$8,,,TRUE,TRUE,FALSE,'CDO Bespoke'!$C$29:'CDO Bespoke'!$C$31,'CDO Bespoke'!$C$33),{5})),"")</f>
        <v/>
      </c>
      <c r="AA269" s="502" t="str" cm="1">
        <f t="array" aca="1" ref="AA269" ca="1">IF($V269&lt;&gt;"",-TRANSPOSE(INDEX(getcds('CDO Bespoke'!$C294,AA$13,'CDO Bespoke'!$G294/10000,'CDO Bespoke'!J294,'CDO Bespoke'!$L270,'CDO Bespoke'!$C$13,'CDO Bespoke'!$C$14,'CDO Bespoke'!$C$15,'CDO Bespoke'!$C$8,,,TRUE,TRUE,FALSE,'CDO Bespoke'!$C$29:'CDO Bespoke'!$C$31,'CDO Bespoke'!$C$33),{5})),"")</f>
        <v/>
      </c>
      <c r="AB269" s="481"/>
      <c r="AC269" s="517"/>
      <c r="AD269" s="518"/>
      <c r="AE269" s="518"/>
      <c r="AF269" s="518"/>
      <c r="AG269" s="518"/>
      <c r="AH269" s="518"/>
      <c r="AI269" s="518"/>
      <c r="AJ269" s="518"/>
      <c r="AK269" s="518"/>
      <c r="AL269" s="519"/>
      <c r="AM269" s="540"/>
    </row>
    <row r="270" spans="2:39" ht="12" thickBot="1">
      <c r="B270" s="558" t="s">
        <v>601</v>
      </c>
      <c r="C270" s="559" t="s">
        <v>66</v>
      </c>
      <c r="D270" s="559" t="s">
        <v>59</v>
      </c>
      <c r="E270" s="559" t="s">
        <v>663</v>
      </c>
      <c r="F270" s="559" t="s">
        <v>672</v>
      </c>
      <c r="G270" s="560">
        <v>0.01</v>
      </c>
      <c r="H270" s="560">
        <v>6.9170000000000004E-3</v>
      </c>
      <c r="I270" s="561">
        <v>0.4</v>
      </c>
      <c r="J270" s="562">
        <v>82</v>
      </c>
      <c r="K270" s="275"/>
      <c r="L270" s="275"/>
      <c r="M270" s="489" t="str">
        <f ca="1">IF('CDO Bespoke'!O271&lt;&gt;"",'CDO Bespoke'!O271,"")</f>
        <v/>
      </c>
      <c r="N270" s="490" t="str">
        <f ca="1">IF(M270&lt;&gt;"",ABS(MIN(-0.75*('CDO Bespoke'!Q271)+'CDO Bespoke'!T271,0)),"")</f>
        <v/>
      </c>
      <c r="O270" s="490" t="str">
        <f t="shared" ref="O270:O313" ca="1" si="16">IF(M270&lt;&gt;"",IF($N$8,MAX(M270-N270,0),M270),"")</f>
        <v/>
      </c>
      <c r="P270" s="490" t="str">
        <f t="shared" ref="P270:P313" ca="1" si="17">IF(M270&lt;&gt;"",IF($N$8,0,N270),"")</f>
        <v/>
      </c>
      <c r="Q270" s="489" t="str">
        <f ca="1">IF('CDO Bespoke'!O271&lt;&gt;"",'CDO Bespoke'!O271,"")</f>
        <v/>
      </c>
      <c r="R270" s="490" t="str">
        <f ca="1">IF(Q270&lt;&gt;"",ABS(MIN(-0.75*('CDO Bespoke'!K271)+'CDO Bespoke'!T271,0)),"")</f>
        <v/>
      </c>
      <c r="S270" s="490" t="str">
        <f t="shared" ref="S270:S313" ca="1" si="18">IF(Q270&lt;&gt;"",IF($N$8,MAX(Q270-R270,0),Q270),"")</f>
        <v/>
      </c>
      <c r="T270" s="494" t="str">
        <f t="shared" ref="T270:T313" ca="1" si="19">IF(Q270&lt;&gt;"",IF($N$8,0,R270),"")</f>
        <v/>
      </c>
      <c r="U270" s="275"/>
      <c r="V270" s="499" t="str">
        <f ca="1">IF('CDO Bespoke'!C295&lt;&gt;"",'CDO Bespoke'!C295,"")</f>
        <v/>
      </c>
      <c r="W270" s="501" t="str" cm="1">
        <f t="array" aca="1" ref="W270" ca="1">IF($V270&lt;&gt;"",-TRANSPOSE(INDEX(getcds('CDO Bespoke'!$C295,W$13,'CDO Bespoke'!$G295/10000,'CDO Bespoke'!F295,'CDO Bespoke'!$L271,'CDO Bespoke'!$C$13,'CDO Bespoke'!$C$14,'CDO Bespoke'!$C$15,'CDO Bespoke'!$C$8,,,TRUE,TRUE,FALSE,'CDO Bespoke'!$C$29:'CDO Bespoke'!$C$31,'CDO Bespoke'!$C$33),{5})),"")</f>
        <v/>
      </c>
      <c r="X270" s="527" t="str" cm="1">
        <f t="array" aca="1" ref="X270" ca="1">IF($V270&lt;&gt;"",-TRANSPOSE(INDEX(getcds('CDO Bespoke'!$C295,X$13,'CDO Bespoke'!$G295/10000,'CDO Bespoke'!G295,'CDO Bespoke'!$L271,'CDO Bespoke'!$C$13,'CDO Bespoke'!$C$14,'CDO Bespoke'!$C$15,'CDO Bespoke'!$C$8,,,TRUE,TRUE,FALSE,'CDO Bespoke'!$C$29:'CDO Bespoke'!$C$31,'CDO Bespoke'!$C$33),{5})),"")</f>
        <v/>
      </c>
      <c r="Y270" s="527" t="str" cm="1">
        <f t="array" aca="1" ref="Y270" ca="1">IF($V270&lt;&gt;"",-TRANSPOSE(INDEX(getcds('CDO Bespoke'!$C295,Y$13,'CDO Bespoke'!$G295/10000,'CDO Bespoke'!H295,'CDO Bespoke'!$L271,'CDO Bespoke'!$C$13,'CDO Bespoke'!$C$14,'CDO Bespoke'!$C$15,'CDO Bespoke'!$C$8,,,TRUE,TRUE,FALSE,'CDO Bespoke'!$C$29:'CDO Bespoke'!$C$31,'CDO Bespoke'!$C$33),{5})),"")</f>
        <v/>
      </c>
      <c r="Z270" s="527" t="str" cm="1">
        <f t="array" aca="1" ref="Z270" ca="1">IF($V270&lt;&gt;"",-TRANSPOSE(INDEX(getcds('CDO Bespoke'!$C295,Z$13,'CDO Bespoke'!$G295/10000,'CDO Bespoke'!I295,'CDO Bespoke'!$L271,'CDO Bespoke'!$C$13,'CDO Bespoke'!$C$14,'CDO Bespoke'!$C$15,'CDO Bespoke'!$C$8,,,TRUE,TRUE,FALSE,'CDO Bespoke'!$C$29:'CDO Bespoke'!$C$31,'CDO Bespoke'!$C$33),{5})),"")</f>
        <v/>
      </c>
      <c r="AA270" s="502" t="str" cm="1">
        <f t="array" aca="1" ref="AA270" ca="1">IF($V270&lt;&gt;"",-TRANSPOSE(INDEX(getcds('CDO Bespoke'!$C295,AA$13,'CDO Bespoke'!$G295/10000,'CDO Bespoke'!J295,'CDO Bespoke'!$L271,'CDO Bespoke'!$C$13,'CDO Bespoke'!$C$14,'CDO Bespoke'!$C$15,'CDO Bespoke'!$C$8,,,TRUE,TRUE,FALSE,'CDO Bespoke'!$C$29:'CDO Bespoke'!$C$31,'CDO Bespoke'!$C$33),{5})),"")</f>
        <v/>
      </c>
      <c r="AB270" s="481"/>
      <c r="AC270" s="517"/>
      <c r="AD270" s="518"/>
      <c r="AE270" s="518"/>
      <c r="AF270" s="518"/>
      <c r="AG270" s="518"/>
      <c r="AH270" s="518"/>
      <c r="AI270" s="518"/>
      <c r="AJ270" s="518"/>
      <c r="AK270" s="518"/>
      <c r="AL270" s="519"/>
      <c r="AM270" s="540"/>
    </row>
    <row r="271" spans="2:39" ht="12" thickBot="1">
      <c r="B271" s="563" t="s">
        <v>592</v>
      </c>
      <c r="C271" s="564" t="s">
        <v>66</v>
      </c>
      <c r="D271" s="564" t="s">
        <v>55</v>
      </c>
      <c r="E271" s="564" t="s">
        <v>663</v>
      </c>
      <c r="F271" s="564" t="s">
        <v>672</v>
      </c>
      <c r="G271" s="565">
        <v>0.01</v>
      </c>
      <c r="H271" s="565">
        <v>1.753E-3</v>
      </c>
      <c r="I271" s="566">
        <v>0.4</v>
      </c>
      <c r="J271" s="567">
        <v>83</v>
      </c>
      <c r="K271" s="275"/>
      <c r="L271" s="275"/>
      <c r="M271" s="489" t="str">
        <f ca="1">IF('CDO Bespoke'!O272&lt;&gt;"",'CDO Bespoke'!O272,"")</f>
        <v/>
      </c>
      <c r="N271" s="490" t="str">
        <f ca="1">IF(M271&lt;&gt;"",ABS(MIN(-0.75*('CDO Bespoke'!Q272)+'CDO Bespoke'!T272,0)),"")</f>
        <v/>
      </c>
      <c r="O271" s="490" t="str">
        <f t="shared" ca="1" si="16"/>
        <v/>
      </c>
      <c r="P271" s="490" t="str">
        <f t="shared" ca="1" si="17"/>
        <v/>
      </c>
      <c r="Q271" s="489" t="str">
        <f ca="1">IF('CDO Bespoke'!O272&lt;&gt;"",'CDO Bespoke'!O272,"")</f>
        <v/>
      </c>
      <c r="R271" s="490" t="str">
        <f ca="1">IF(Q271&lt;&gt;"",ABS(MIN(-0.75*('CDO Bespoke'!K272)+'CDO Bespoke'!T272,0)),"")</f>
        <v/>
      </c>
      <c r="S271" s="490" t="str">
        <f t="shared" ca="1" si="18"/>
        <v/>
      </c>
      <c r="T271" s="494" t="str">
        <f t="shared" ca="1" si="19"/>
        <v/>
      </c>
      <c r="U271" s="275"/>
      <c r="V271" s="499" t="str">
        <f ca="1">IF('CDO Bespoke'!C296&lt;&gt;"",'CDO Bespoke'!C296,"")</f>
        <v/>
      </c>
      <c r="W271" s="501" t="str" cm="1">
        <f t="array" aca="1" ref="W271" ca="1">IF($V271&lt;&gt;"",-TRANSPOSE(INDEX(getcds('CDO Bespoke'!$C296,W$13,'CDO Bespoke'!$G296/10000,'CDO Bespoke'!F296,'CDO Bespoke'!$L272,'CDO Bespoke'!$C$13,'CDO Bespoke'!$C$14,'CDO Bespoke'!$C$15,'CDO Bespoke'!$C$8,,,TRUE,TRUE,FALSE,'CDO Bespoke'!$C$29:'CDO Bespoke'!$C$31,'CDO Bespoke'!$C$33),{5})),"")</f>
        <v/>
      </c>
      <c r="X271" s="527" t="str" cm="1">
        <f t="array" aca="1" ref="X271" ca="1">IF($V271&lt;&gt;"",-TRANSPOSE(INDEX(getcds('CDO Bespoke'!$C296,X$13,'CDO Bespoke'!$G296/10000,'CDO Bespoke'!G296,'CDO Bespoke'!$L272,'CDO Bespoke'!$C$13,'CDO Bespoke'!$C$14,'CDO Bespoke'!$C$15,'CDO Bespoke'!$C$8,,,TRUE,TRUE,FALSE,'CDO Bespoke'!$C$29:'CDO Bespoke'!$C$31,'CDO Bespoke'!$C$33),{5})),"")</f>
        <v/>
      </c>
      <c r="Y271" s="527" t="str" cm="1">
        <f t="array" aca="1" ref="Y271" ca="1">IF($V271&lt;&gt;"",-TRANSPOSE(INDEX(getcds('CDO Bespoke'!$C296,Y$13,'CDO Bespoke'!$G296/10000,'CDO Bespoke'!H296,'CDO Bespoke'!$L272,'CDO Bespoke'!$C$13,'CDO Bespoke'!$C$14,'CDO Bespoke'!$C$15,'CDO Bespoke'!$C$8,,,TRUE,TRUE,FALSE,'CDO Bespoke'!$C$29:'CDO Bespoke'!$C$31,'CDO Bespoke'!$C$33),{5})),"")</f>
        <v/>
      </c>
      <c r="Z271" s="527" t="str" cm="1">
        <f t="array" aca="1" ref="Z271" ca="1">IF($V271&lt;&gt;"",-TRANSPOSE(INDEX(getcds('CDO Bespoke'!$C296,Z$13,'CDO Bespoke'!$G296/10000,'CDO Bespoke'!I296,'CDO Bespoke'!$L272,'CDO Bespoke'!$C$13,'CDO Bespoke'!$C$14,'CDO Bespoke'!$C$15,'CDO Bespoke'!$C$8,,,TRUE,TRUE,FALSE,'CDO Bespoke'!$C$29:'CDO Bespoke'!$C$31,'CDO Bespoke'!$C$33),{5})),"")</f>
        <v/>
      </c>
      <c r="AA271" s="502" t="str" cm="1">
        <f t="array" aca="1" ref="AA271" ca="1">IF($V271&lt;&gt;"",-TRANSPOSE(INDEX(getcds('CDO Bespoke'!$C296,AA$13,'CDO Bespoke'!$G296/10000,'CDO Bespoke'!J296,'CDO Bespoke'!$L272,'CDO Bespoke'!$C$13,'CDO Bespoke'!$C$14,'CDO Bespoke'!$C$15,'CDO Bespoke'!$C$8,,,TRUE,TRUE,FALSE,'CDO Bespoke'!$C$29:'CDO Bespoke'!$C$31,'CDO Bespoke'!$C$33),{5})),"")</f>
        <v/>
      </c>
      <c r="AB271" s="481"/>
      <c r="AC271" s="517"/>
      <c r="AD271" s="518"/>
      <c r="AE271" s="518"/>
      <c r="AF271" s="518"/>
      <c r="AG271" s="518"/>
      <c r="AH271" s="518"/>
      <c r="AI271" s="518"/>
      <c r="AJ271" s="518"/>
      <c r="AK271" s="518"/>
      <c r="AL271" s="519"/>
      <c r="AM271" s="540"/>
    </row>
    <row r="272" spans="2:39" ht="12" thickBot="1">
      <c r="B272" s="541" t="s">
        <v>592</v>
      </c>
      <c r="C272" s="542" t="s">
        <v>66</v>
      </c>
      <c r="D272" s="542" t="s">
        <v>57</v>
      </c>
      <c r="E272" s="542" t="s">
        <v>663</v>
      </c>
      <c r="F272" s="542" t="s">
        <v>672</v>
      </c>
      <c r="G272" s="549">
        <v>0.01</v>
      </c>
      <c r="H272" s="549">
        <v>3.101E-3</v>
      </c>
      <c r="I272" s="551">
        <v>0.4</v>
      </c>
      <c r="J272" s="543">
        <v>83</v>
      </c>
      <c r="K272" s="275"/>
      <c r="L272" s="275"/>
      <c r="M272" s="489" t="str">
        <f ca="1">IF('CDO Bespoke'!O273&lt;&gt;"",'CDO Bespoke'!O273,"")</f>
        <v/>
      </c>
      <c r="N272" s="490" t="str">
        <f ca="1">IF(M272&lt;&gt;"",ABS(MIN(-0.75*('CDO Bespoke'!Q273)+'CDO Bespoke'!T273,0)),"")</f>
        <v/>
      </c>
      <c r="O272" s="490" t="str">
        <f t="shared" ca="1" si="16"/>
        <v/>
      </c>
      <c r="P272" s="490" t="str">
        <f t="shared" ca="1" si="17"/>
        <v/>
      </c>
      <c r="Q272" s="489" t="str">
        <f ca="1">IF('CDO Bespoke'!O273&lt;&gt;"",'CDO Bespoke'!O273,"")</f>
        <v/>
      </c>
      <c r="R272" s="490" t="str">
        <f ca="1">IF(Q272&lt;&gt;"",ABS(MIN(-0.75*('CDO Bespoke'!K273)+'CDO Bespoke'!T273,0)),"")</f>
        <v/>
      </c>
      <c r="S272" s="490" t="str">
        <f t="shared" ca="1" si="18"/>
        <v/>
      </c>
      <c r="T272" s="494" t="str">
        <f t="shared" ca="1" si="19"/>
        <v/>
      </c>
      <c r="U272" s="275"/>
      <c r="V272" s="499" t="str">
        <f ca="1">IF('CDO Bespoke'!C297&lt;&gt;"",'CDO Bespoke'!C297,"")</f>
        <v/>
      </c>
      <c r="W272" s="501" t="str" cm="1">
        <f t="array" aca="1" ref="W272" ca="1">IF($V272&lt;&gt;"",-TRANSPOSE(INDEX(getcds('CDO Bespoke'!$C297,W$13,'CDO Bespoke'!$G297/10000,'CDO Bespoke'!F297,'CDO Bespoke'!$L273,'CDO Bespoke'!$C$13,'CDO Bespoke'!$C$14,'CDO Bespoke'!$C$15,'CDO Bespoke'!$C$8,,,TRUE,TRUE,FALSE,'CDO Bespoke'!$C$29:'CDO Bespoke'!$C$31,'CDO Bespoke'!$C$33),{5})),"")</f>
        <v/>
      </c>
      <c r="X272" s="527" t="str" cm="1">
        <f t="array" aca="1" ref="X272" ca="1">IF($V272&lt;&gt;"",-TRANSPOSE(INDEX(getcds('CDO Bespoke'!$C297,X$13,'CDO Bespoke'!$G297/10000,'CDO Bespoke'!G297,'CDO Bespoke'!$L273,'CDO Bespoke'!$C$13,'CDO Bespoke'!$C$14,'CDO Bespoke'!$C$15,'CDO Bespoke'!$C$8,,,TRUE,TRUE,FALSE,'CDO Bespoke'!$C$29:'CDO Bespoke'!$C$31,'CDO Bespoke'!$C$33),{5})),"")</f>
        <v/>
      </c>
      <c r="Y272" s="527" t="str" cm="1">
        <f t="array" aca="1" ref="Y272" ca="1">IF($V272&lt;&gt;"",-TRANSPOSE(INDEX(getcds('CDO Bespoke'!$C297,Y$13,'CDO Bespoke'!$G297/10000,'CDO Bespoke'!H297,'CDO Bespoke'!$L273,'CDO Bespoke'!$C$13,'CDO Bespoke'!$C$14,'CDO Bespoke'!$C$15,'CDO Bespoke'!$C$8,,,TRUE,TRUE,FALSE,'CDO Bespoke'!$C$29:'CDO Bespoke'!$C$31,'CDO Bespoke'!$C$33),{5})),"")</f>
        <v/>
      </c>
      <c r="Z272" s="527" t="str" cm="1">
        <f t="array" aca="1" ref="Z272" ca="1">IF($V272&lt;&gt;"",-TRANSPOSE(INDEX(getcds('CDO Bespoke'!$C297,Z$13,'CDO Bespoke'!$G297/10000,'CDO Bespoke'!I297,'CDO Bespoke'!$L273,'CDO Bespoke'!$C$13,'CDO Bespoke'!$C$14,'CDO Bespoke'!$C$15,'CDO Bespoke'!$C$8,,,TRUE,TRUE,FALSE,'CDO Bespoke'!$C$29:'CDO Bespoke'!$C$31,'CDO Bespoke'!$C$33),{5})),"")</f>
        <v/>
      </c>
      <c r="AA272" s="502" t="str" cm="1">
        <f t="array" aca="1" ref="AA272" ca="1">IF($V272&lt;&gt;"",-TRANSPOSE(INDEX(getcds('CDO Bespoke'!$C297,AA$13,'CDO Bespoke'!$G297/10000,'CDO Bespoke'!J297,'CDO Bespoke'!$L273,'CDO Bespoke'!$C$13,'CDO Bespoke'!$C$14,'CDO Bespoke'!$C$15,'CDO Bespoke'!$C$8,,,TRUE,TRUE,FALSE,'CDO Bespoke'!$C$29:'CDO Bespoke'!$C$31,'CDO Bespoke'!$C$33),{5})),"")</f>
        <v/>
      </c>
      <c r="AB272" s="481"/>
      <c r="AC272" s="517"/>
      <c r="AD272" s="518"/>
      <c r="AE272" s="518"/>
      <c r="AF272" s="518"/>
      <c r="AG272" s="518"/>
      <c r="AH272" s="518"/>
      <c r="AI272" s="518"/>
      <c r="AJ272" s="518"/>
      <c r="AK272" s="518"/>
      <c r="AL272" s="519"/>
      <c r="AM272" s="540"/>
    </row>
    <row r="273" spans="2:39" ht="12" thickBot="1">
      <c r="B273" s="558" t="s">
        <v>592</v>
      </c>
      <c r="C273" s="559" t="s">
        <v>66</v>
      </c>
      <c r="D273" s="559" t="s">
        <v>59</v>
      </c>
      <c r="E273" s="559" t="s">
        <v>663</v>
      </c>
      <c r="F273" s="559" t="s">
        <v>672</v>
      </c>
      <c r="G273" s="560">
        <v>0.01</v>
      </c>
      <c r="H273" s="560">
        <v>4.653E-3</v>
      </c>
      <c r="I273" s="561">
        <v>0.4</v>
      </c>
      <c r="J273" s="562">
        <v>83</v>
      </c>
      <c r="K273" s="275"/>
      <c r="L273" s="275"/>
      <c r="M273" s="489" t="str">
        <f ca="1">IF('CDO Bespoke'!O274&lt;&gt;"",'CDO Bespoke'!O274,"")</f>
        <v/>
      </c>
      <c r="N273" s="490" t="str">
        <f ca="1">IF(M273&lt;&gt;"",ABS(MIN(-0.75*('CDO Bespoke'!Q274)+'CDO Bespoke'!T274,0)),"")</f>
        <v/>
      </c>
      <c r="O273" s="490" t="str">
        <f t="shared" ca="1" si="16"/>
        <v/>
      </c>
      <c r="P273" s="490" t="str">
        <f t="shared" ca="1" si="17"/>
        <v/>
      </c>
      <c r="Q273" s="489" t="str">
        <f ca="1">IF('CDO Bespoke'!O274&lt;&gt;"",'CDO Bespoke'!O274,"")</f>
        <v/>
      </c>
      <c r="R273" s="490" t="str">
        <f ca="1">IF(Q273&lt;&gt;"",ABS(MIN(-0.75*('CDO Bespoke'!K274)+'CDO Bespoke'!T274,0)),"")</f>
        <v/>
      </c>
      <c r="S273" s="490" t="str">
        <f t="shared" ca="1" si="18"/>
        <v/>
      </c>
      <c r="T273" s="494" t="str">
        <f t="shared" ca="1" si="19"/>
        <v/>
      </c>
      <c r="U273" s="275"/>
      <c r="V273" s="499" t="str">
        <f ca="1">IF('CDO Bespoke'!C298&lt;&gt;"",'CDO Bespoke'!C298,"")</f>
        <v/>
      </c>
      <c r="W273" s="501" t="str" cm="1">
        <f t="array" aca="1" ref="W273" ca="1">IF($V273&lt;&gt;"",-TRANSPOSE(INDEX(getcds('CDO Bespoke'!$C298,W$13,'CDO Bespoke'!$G298/10000,'CDO Bespoke'!F298,'CDO Bespoke'!$L274,'CDO Bespoke'!$C$13,'CDO Bespoke'!$C$14,'CDO Bespoke'!$C$15,'CDO Bespoke'!$C$8,,,TRUE,TRUE,FALSE,'CDO Bespoke'!$C$29:'CDO Bespoke'!$C$31,'CDO Bespoke'!$C$33),{5})),"")</f>
        <v/>
      </c>
      <c r="X273" s="527" t="str" cm="1">
        <f t="array" aca="1" ref="X273" ca="1">IF($V273&lt;&gt;"",-TRANSPOSE(INDEX(getcds('CDO Bespoke'!$C298,X$13,'CDO Bespoke'!$G298/10000,'CDO Bespoke'!G298,'CDO Bespoke'!$L274,'CDO Bespoke'!$C$13,'CDO Bespoke'!$C$14,'CDO Bespoke'!$C$15,'CDO Bespoke'!$C$8,,,TRUE,TRUE,FALSE,'CDO Bespoke'!$C$29:'CDO Bespoke'!$C$31,'CDO Bespoke'!$C$33),{5})),"")</f>
        <v/>
      </c>
      <c r="Y273" s="527" t="str" cm="1">
        <f t="array" aca="1" ref="Y273" ca="1">IF($V273&lt;&gt;"",-TRANSPOSE(INDEX(getcds('CDO Bespoke'!$C298,Y$13,'CDO Bespoke'!$G298/10000,'CDO Bespoke'!H298,'CDO Bespoke'!$L274,'CDO Bespoke'!$C$13,'CDO Bespoke'!$C$14,'CDO Bespoke'!$C$15,'CDO Bespoke'!$C$8,,,TRUE,TRUE,FALSE,'CDO Bespoke'!$C$29:'CDO Bespoke'!$C$31,'CDO Bespoke'!$C$33),{5})),"")</f>
        <v/>
      </c>
      <c r="Z273" s="527" t="str" cm="1">
        <f t="array" aca="1" ref="Z273" ca="1">IF($V273&lt;&gt;"",-TRANSPOSE(INDEX(getcds('CDO Bespoke'!$C298,Z$13,'CDO Bespoke'!$G298/10000,'CDO Bespoke'!I298,'CDO Bespoke'!$L274,'CDO Bespoke'!$C$13,'CDO Bespoke'!$C$14,'CDO Bespoke'!$C$15,'CDO Bespoke'!$C$8,,,TRUE,TRUE,FALSE,'CDO Bespoke'!$C$29:'CDO Bespoke'!$C$31,'CDO Bespoke'!$C$33),{5})),"")</f>
        <v/>
      </c>
      <c r="AA273" s="502" t="str" cm="1">
        <f t="array" aca="1" ref="AA273" ca="1">IF($V273&lt;&gt;"",-TRANSPOSE(INDEX(getcds('CDO Bespoke'!$C298,AA$13,'CDO Bespoke'!$G298/10000,'CDO Bespoke'!J298,'CDO Bespoke'!$L274,'CDO Bespoke'!$C$13,'CDO Bespoke'!$C$14,'CDO Bespoke'!$C$15,'CDO Bespoke'!$C$8,,,TRUE,TRUE,FALSE,'CDO Bespoke'!$C$29:'CDO Bespoke'!$C$31,'CDO Bespoke'!$C$33),{5})),"")</f>
        <v/>
      </c>
      <c r="AB273" s="481"/>
      <c r="AC273" s="517"/>
      <c r="AD273" s="518"/>
      <c r="AE273" s="518"/>
      <c r="AF273" s="518"/>
      <c r="AG273" s="518"/>
      <c r="AH273" s="518"/>
      <c r="AI273" s="518"/>
      <c r="AJ273" s="518"/>
      <c r="AK273" s="518"/>
      <c r="AL273" s="519"/>
      <c r="AM273" s="540"/>
    </row>
    <row r="274" spans="2:39" ht="12" thickBot="1">
      <c r="B274" s="563" t="s">
        <v>593</v>
      </c>
      <c r="C274" s="564" t="s">
        <v>66</v>
      </c>
      <c r="D274" s="564" t="s">
        <v>55</v>
      </c>
      <c r="E274" s="564" t="s">
        <v>663</v>
      </c>
      <c r="F274" s="564" t="s">
        <v>666</v>
      </c>
      <c r="G274" s="565">
        <v>0.01</v>
      </c>
      <c r="H274" s="565">
        <v>3.1080000000000001E-3</v>
      </c>
      <c r="I274" s="566">
        <v>0.4</v>
      </c>
      <c r="J274" s="567">
        <v>84</v>
      </c>
      <c r="K274" s="275"/>
      <c r="L274" s="275"/>
      <c r="M274" s="489" t="str">
        <f ca="1">IF('CDO Bespoke'!O275&lt;&gt;"",'CDO Bespoke'!O275,"")</f>
        <v/>
      </c>
      <c r="N274" s="490" t="str">
        <f ca="1">IF(M274&lt;&gt;"",ABS(MIN(-0.75*('CDO Bespoke'!Q275)+'CDO Bespoke'!T275,0)),"")</f>
        <v/>
      </c>
      <c r="O274" s="490" t="str">
        <f t="shared" ca="1" si="16"/>
        <v/>
      </c>
      <c r="P274" s="490" t="str">
        <f t="shared" ca="1" si="17"/>
        <v/>
      </c>
      <c r="Q274" s="489" t="str">
        <f ca="1">IF('CDO Bespoke'!O275&lt;&gt;"",'CDO Bespoke'!O275,"")</f>
        <v/>
      </c>
      <c r="R274" s="490" t="str">
        <f ca="1">IF(Q274&lt;&gt;"",ABS(MIN(-0.75*('CDO Bespoke'!K275)+'CDO Bespoke'!T275,0)),"")</f>
        <v/>
      </c>
      <c r="S274" s="490" t="str">
        <f t="shared" ca="1" si="18"/>
        <v/>
      </c>
      <c r="T274" s="494" t="str">
        <f t="shared" ca="1" si="19"/>
        <v/>
      </c>
      <c r="U274" s="275"/>
      <c r="V274" s="499" t="str">
        <f ca="1">IF('CDO Bespoke'!C299&lt;&gt;"",'CDO Bespoke'!C299,"")</f>
        <v/>
      </c>
      <c r="W274" s="501" t="str" cm="1">
        <f t="array" aca="1" ref="W274" ca="1">IF($V274&lt;&gt;"",-TRANSPOSE(INDEX(getcds('CDO Bespoke'!$C299,W$13,'CDO Bespoke'!$G299/10000,'CDO Bespoke'!F299,'CDO Bespoke'!$L275,'CDO Bespoke'!$C$13,'CDO Bespoke'!$C$14,'CDO Bespoke'!$C$15,'CDO Bespoke'!$C$8,,,TRUE,TRUE,FALSE,'CDO Bespoke'!$C$29:'CDO Bespoke'!$C$31,'CDO Bespoke'!$C$33),{5})),"")</f>
        <v/>
      </c>
      <c r="X274" s="527" t="str" cm="1">
        <f t="array" aca="1" ref="X274" ca="1">IF($V274&lt;&gt;"",-TRANSPOSE(INDEX(getcds('CDO Bespoke'!$C299,X$13,'CDO Bespoke'!$G299/10000,'CDO Bespoke'!G299,'CDO Bespoke'!$L275,'CDO Bespoke'!$C$13,'CDO Bespoke'!$C$14,'CDO Bespoke'!$C$15,'CDO Bespoke'!$C$8,,,TRUE,TRUE,FALSE,'CDO Bespoke'!$C$29:'CDO Bespoke'!$C$31,'CDO Bespoke'!$C$33),{5})),"")</f>
        <v/>
      </c>
      <c r="Y274" s="527" t="str" cm="1">
        <f t="array" aca="1" ref="Y274" ca="1">IF($V274&lt;&gt;"",-TRANSPOSE(INDEX(getcds('CDO Bespoke'!$C299,Y$13,'CDO Bespoke'!$G299/10000,'CDO Bespoke'!H299,'CDO Bespoke'!$L275,'CDO Bespoke'!$C$13,'CDO Bespoke'!$C$14,'CDO Bespoke'!$C$15,'CDO Bespoke'!$C$8,,,TRUE,TRUE,FALSE,'CDO Bespoke'!$C$29:'CDO Bespoke'!$C$31,'CDO Bespoke'!$C$33),{5})),"")</f>
        <v/>
      </c>
      <c r="Z274" s="527" t="str" cm="1">
        <f t="array" aca="1" ref="Z274" ca="1">IF($V274&lt;&gt;"",-TRANSPOSE(INDEX(getcds('CDO Bespoke'!$C299,Z$13,'CDO Bespoke'!$G299/10000,'CDO Bespoke'!I299,'CDO Bespoke'!$L275,'CDO Bespoke'!$C$13,'CDO Bespoke'!$C$14,'CDO Bespoke'!$C$15,'CDO Bespoke'!$C$8,,,TRUE,TRUE,FALSE,'CDO Bespoke'!$C$29:'CDO Bespoke'!$C$31,'CDO Bespoke'!$C$33),{5})),"")</f>
        <v/>
      </c>
      <c r="AA274" s="502" t="str" cm="1">
        <f t="array" aca="1" ref="AA274" ca="1">IF($V274&lt;&gt;"",-TRANSPOSE(INDEX(getcds('CDO Bespoke'!$C299,AA$13,'CDO Bespoke'!$G299/10000,'CDO Bespoke'!J299,'CDO Bespoke'!$L275,'CDO Bespoke'!$C$13,'CDO Bespoke'!$C$14,'CDO Bespoke'!$C$15,'CDO Bespoke'!$C$8,,,TRUE,TRUE,FALSE,'CDO Bespoke'!$C$29:'CDO Bespoke'!$C$31,'CDO Bespoke'!$C$33),{5})),"")</f>
        <v/>
      </c>
      <c r="AB274" s="481"/>
      <c r="AC274" s="517"/>
      <c r="AD274" s="518"/>
      <c r="AE274" s="518"/>
      <c r="AF274" s="518"/>
      <c r="AG274" s="518"/>
      <c r="AH274" s="518"/>
      <c r="AI274" s="518"/>
      <c r="AJ274" s="518"/>
      <c r="AK274" s="518"/>
      <c r="AL274" s="519"/>
      <c r="AM274" s="540"/>
    </row>
    <row r="275" spans="2:39" ht="12" thickBot="1">
      <c r="B275" s="541" t="s">
        <v>593</v>
      </c>
      <c r="C275" s="542" t="s">
        <v>66</v>
      </c>
      <c r="D275" s="542" t="s">
        <v>57</v>
      </c>
      <c r="E275" s="542" t="s">
        <v>663</v>
      </c>
      <c r="F275" s="542" t="s">
        <v>666</v>
      </c>
      <c r="G275" s="549">
        <v>0.01</v>
      </c>
      <c r="H275" s="549">
        <v>5.4169999999999999E-3</v>
      </c>
      <c r="I275" s="551">
        <v>0.4</v>
      </c>
      <c r="J275" s="543">
        <v>84</v>
      </c>
      <c r="K275" s="275"/>
      <c r="L275" s="275"/>
      <c r="M275" s="489" t="str">
        <f ca="1">IF('CDO Bespoke'!O276&lt;&gt;"",'CDO Bespoke'!O276,"")</f>
        <v/>
      </c>
      <c r="N275" s="490" t="str">
        <f ca="1">IF(M275&lt;&gt;"",ABS(MIN(-0.75*('CDO Bespoke'!Q276)+'CDO Bespoke'!T276,0)),"")</f>
        <v/>
      </c>
      <c r="O275" s="490" t="str">
        <f t="shared" ca="1" si="16"/>
        <v/>
      </c>
      <c r="P275" s="490" t="str">
        <f t="shared" ca="1" si="17"/>
        <v/>
      </c>
      <c r="Q275" s="489" t="str">
        <f ca="1">IF('CDO Bespoke'!O276&lt;&gt;"",'CDO Bespoke'!O276,"")</f>
        <v/>
      </c>
      <c r="R275" s="490" t="str">
        <f ca="1">IF(Q275&lt;&gt;"",ABS(MIN(-0.75*('CDO Bespoke'!K276)+'CDO Bespoke'!T276,0)),"")</f>
        <v/>
      </c>
      <c r="S275" s="490" t="str">
        <f t="shared" ca="1" si="18"/>
        <v/>
      </c>
      <c r="T275" s="494" t="str">
        <f t="shared" ca="1" si="19"/>
        <v/>
      </c>
      <c r="U275" s="275"/>
      <c r="V275" s="499" t="str">
        <f ca="1">IF('CDO Bespoke'!C300&lt;&gt;"",'CDO Bespoke'!C300,"")</f>
        <v/>
      </c>
      <c r="W275" s="501" t="str" cm="1">
        <f t="array" aca="1" ref="W275" ca="1">IF($V275&lt;&gt;"",-TRANSPOSE(INDEX(getcds('CDO Bespoke'!$C300,W$13,'CDO Bespoke'!$G300/10000,'CDO Bespoke'!F300,'CDO Bespoke'!$L276,'CDO Bespoke'!$C$13,'CDO Bespoke'!$C$14,'CDO Bespoke'!$C$15,'CDO Bespoke'!$C$8,,,TRUE,TRUE,FALSE,'CDO Bespoke'!$C$29:'CDO Bespoke'!$C$31,'CDO Bespoke'!$C$33),{5})),"")</f>
        <v/>
      </c>
      <c r="X275" s="527" t="str" cm="1">
        <f t="array" aca="1" ref="X275" ca="1">IF($V275&lt;&gt;"",-TRANSPOSE(INDEX(getcds('CDO Bespoke'!$C300,X$13,'CDO Bespoke'!$G300/10000,'CDO Bespoke'!G300,'CDO Bespoke'!$L276,'CDO Bespoke'!$C$13,'CDO Bespoke'!$C$14,'CDO Bespoke'!$C$15,'CDO Bespoke'!$C$8,,,TRUE,TRUE,FALSE,'CDO Bespoke'!$C$29:'CDO Bespoke'!$C$31,'CDO Bespoke'!$C$33),{5})),"")</f>
        <v/>
      </c>
      <c r="Y275" s="527" t="str" cm="1">
        <f t="array" aca="1" ref="Y275" ca="1">IF($V275&lt;&gt;"",-TRANSPOSE(INDEX(getcds('CDO Bespoke'!$C300,Y$13,'CDO Bespoke'!$G300/10000,'CDO Bespoke'!H300,'CDO Bespoke'!$L276,'CDO Bespoke'!$C$13,'CDO Bespoke'!$C$14,'CDO Bespoke'!$C$15,'CDO Bespoke'!$C$8,,,TRUE,TRUE,FALSE,'CDO Bespoke'!$C$29:'CDO Bespoke'!$C$31,'CDO Bespoke'!$C$33),{5})),"")</f>
        <v/>
      </c>
      <c r="Z275" s="527" t="str" cm="1">
        <f t="array" aca="1" ref="Z275" ca="1">IF($V275&lt;&gt;"",-TRANSPOSE(INDEX(getcds('CDO Bespoke'!$C300,Z$13,'CDO Bespoke'!$G300/10000,'CDO Bespoke'!I300,'CDO Bespoke'!$L276,'CDO Bespoke'!$C$13,'CDO Bespoke'!$C$14,'CDO Bespoke'!$C$15,'CDO Bespoke'!$C$8,,,TRUE,TRUE,FALSE,'CDO Bespoke'!$C$29:'CDO Bespoke'!$C$31,'CDO Bespoke'!$C$33),{5})),"")</f>
        <v/>
      </c>
      <c r="AA275" s="502" t="str" cm="1">
        <f t="array" aca="1" ref="AA275" ca="1">IF($V275&lt;&gt;"",-TRANSPOSE(INDEX(getcds('CDO Bespoke'!$C300,AA$13,'CDO Bespoke'!$G300/10000,'CDO Bespoke'!J300,'CDO Bespoke'!$L276,'CDO Bespoke'!$C$13,'CDO Bespoke'!$C$14,'CDO Bespoke'!$C$15,'CDO Bespoke'!$C$8,,,TRUE,TRUE,FALSE,'CDO Bespoke'!$C$29:'CDO Bespoke'!$C$31,'CDO Bespoke'!$C$33),{5})),"")</f>
        <v/>
      </c>
      <c r="AB275" s="481"/>
      <c r="AC275" s="517"/>
      <c r="AD275" s="518"/>
      <c r="AE275" s="518"/>
      <c r="AF275" s="518"/>
      <c r="AG275" s="518"/>
      <c r="AH275" s="518"/>
      <c r="AI275" s="518"/>
      <c r="AJ275" s="518"/>
      <c r="AK275" s="518"/>
      <c r="AL275" s="519"/>
      <c r="AM275" s="540"/>
    </row>
    <row r="276" spans="2:39" ht="12" thickBot="1">
      <c r="B276" s="558" t="s">
        <v>593</v>
      </c>
      <c r="C276" s="559" t="s">
        <v>66</v>
      </c>
      <c r="D276" s="559" t="s">
        <v>59</v>
      </c>
      <c r="E276" s="559" t="s">
        <v>663</v>
      </c>
      <c r="F276" s="559" t="s">
        <v>666</v>
      </c>
      <c r="G276" s="560">
        <v>0.01</v>
      </c>
      <c r="H276" s="560">
        <v>8.0789999999999994E-3</v>
      </c>
      <c r="I276" s="561">
        <v>0.4</v>
      </c>
      <c r="J276" s="562">
        <v>84</v>
      </c>
      <c r="K276" s="275"/>
      <c r="L276" s="275"/>
      <c r="M276" s="489" t="str">
        <f ca="1">IF('CDO Bespoke'!O277&lt;&gt;"",'CDO Bespoke'!O277,"")</f>
        <v/>
      </c>
      <c r="N276" s="490" t="str">
        <f ca="1">IF(M276&lt;&gt;"",ABS(MIN(-0.75*('CDO Bespoke'!Q277)+'CDO Bespoke'!T277,0)),"")</f>
        <v/>
      </c>
      <c r="O276" s="490" t="str">
        <f t="shared" ca="1" si="16"/>
        <v/>
      </c>
      <c r="P276" s="490" t="str">
        <f t="shared" ca="1" si="17"/>
        <v/>
      </c>
      <c r="Q276" s="489" t="str">
        <f ca="1">IF('CDO Bespoke'!O277&lt;&gt;"",'CDO Bespoke'!O277,"")</f>
        <v/>
      </c>
      <c r="R276" s="490" t="str">
        <f ca="1">IF(Q276&lt;&gt;"",ABS(MIN(-0.75*('CDO Bespoke'!K277)+'CDO Bespoke'!T277,0)),"")</f>
        <v/>
      </c>
      <c r="S276" s="490" t="str">
        <f t="shared" ca="1" si="18"/>
        <v/>
      </c>
      <c r="T276" s="494" t="str">
        <f t="shared" ca="1" si="19"/>
        <v/>
      </c>
      <c r="U276" s="275"/>
      <c r="V276" s="499" t="str">
        <f ca="1">IF('CDO Bespoke'!C301&lt;&gt;"",'CDO Bespoke'!C301,"")</f>
        <v/>
      </c>
      <c r="W276" s="501" t="str" cm="1">
        <f t="array" aca="1" ref="W276" ca="1">IF($V276&lt;&gt;"",-TRANSPOSE(INDEX(getcds('CDO Bespoke'!$C301,W$13,'CDO Bespoke'!$G301/10000,'CDO Bespoke'!F301,'CDO Bespoke'!$L277,'CDO Bespoke'!$C$13,'CDO Bespoke'!$C$14,'CDO Bespoke'!$C$15,'CDO Bespoke'!$C$8,,,TRUE,TRUE,FALSE,'CDO Bespoke'!$C$29:'CDO Bespoke'!$C$31,'CDO Bespoke'!$C$33),{5})),"")</f>
        <v/>
      </c>
      <c r="X276" s="527" t="str" cm="1">
        <f t="array" aca="1" ref="X276" ca="1">IF($V276&lt;&gt;"",-TRANSPOSE(INDEX(getcds('CDO Bespoke'!$C301,X$13,'CDO Bespoke'!$G301/10000,'CDO Bespoke'!G301,'CDO Bespoke'!$L277,'CDO Bespoke'!$C$13,'CDO Bespoke'!$C$14,'CDO Bespoke'!$C$15,'CDO Bespoke'!$C$8,,,TRUE,TRUE,FALSE,'CDO Bespoke'!$C$29:'CDO Bespoke'!$C$31,'CDO Bespoke'!$C$33),{5})),"")</f>
        <v/>
      </c>
      <c r="Y276" s="527" t="str" cm="1">
        <f t="array" aca="1" ref="Y276" ca="1">IF($V276&lt;&gt;"",-TRANSPOSE(INDEX(getcds('CDO Bespoke'!$C301,Y$13,'CDO Bespoke'!$G301/10000,'CDO Bespoke'!H301,'CDO Bespoke'!$L277,'CDO Bespoke'!$C$13,'CDO Bespoke'!$C$14,'CDO Bespoke'!$C$15,'CDO Bespoke'!$C$8,,,TRUE,TRUE,FALSE,'CDO Bespoke'!$C$29:'CDO Bespoke'!$C$31,'CDO Bespoke'!$C$33),{5})),"")</f>
        <v/>
      </c>
      <c r="Z276" s="527" t="str" cm="1">
        <f t="array" aca="1" ref="Z276" ca="1">IF($V276&lt;&gt;"",-TRANSPOSE(INDEX(getcds('CDO Bespoke'!$C301,Z$13,'CDO Bespoke'!$G301/10000,'CDO Bespoke'!I301,'CDO Bespoke'!$L277,'CDO Bespoke'!$C$13,'CDO Bespoke'!$C$14,'CDO Bespoke'!$C$15,'CDO Bespoke'!$C$8,,,TRUE,TRUE,FALSE,'CDO Bespoke'!$C$29:'CDO Bespoke'!$C$31,'CDO Bespoke'!$C$33),{5})),"")</f>
        <v/>
      </c>
      <c r="AA276" s="502" t="str" cm="1">
        <f t="array" aca="1" ref="AA276" ca="1">IF($V276&lt;&gt;"",-TRANSPOSE(INDEX(getcds('CDO Bespoke'!$C301,AA$13,'CDO Bespoke'!$G301/10000,'CDO Bespoke'!J301,'CDO Bespoke'!$L277,'CDO Bespoke'!$C$13,'CDO Bespoke'!$C$14,'CDO Bespoke'!$C$15,'CDO Bespoke'!$C$8,,,TRUE,TRUE,FALSE,'CDO Bespoke'!$C$29:'CDO Bespoke'!$C$31,'CDO Bespoke'!$C$33),{5})),"")</f>
        <v/>
      </c>
      <c r="AB276" s="481"/>
      <c r="AC276" s="517"/>
      <c r="AD276" s="518"/>
      <c r="AE276" s="518"/>
      <c r="AF276" s="518"/>
      <c r="AG276" s="518"/>
      <c r="AH276" s="518"/>
      <c r="AI276" s="518"/>
      <c r="AJ276" s="518"/>
      <c r="AK276" s="518"/>
      <c r="AL276" s="519"/>
      <c r="AM276" s="540"/>
    </row>
    <row r="277" spans="2:39" ht="12" thickBot="1">
      <c r="B277" s="563" t="s">
        <v>602</v>
      </c>
      <c r="C277" s="564" t="s">
        <v>66</v>
      </c>
      <c r="D277" s="564" t="s">
        <v>55</v>
      </c>
      <c r="E277" s="564" t="s">
        <v>663</v>
      </c>
      <c r="F277" s="564" t="s">
        <v>666</v>
      </c>
      <c r="G277" s="565">
        <v>0.01</v>
      </c>
      <c r="H277" s="565">
        <v>2.4889999999999999E-3</v>
      </c>
      <c r="I277" s="566">
        <v>0.4</v>
      </c>
      <c r="J277" s="567">
        <v>85</v>
      </c>
      <c r="K277" s="275"/>
      <c r="L277" s="275"/>
      <c r="M277" s="489" t="str">
        <f ca="1">IF('CDO Bespoke'!O278&lt;&gt;"",'CDO Bespoke'!O278,"")</f>
        <v/>
      </c>
      <c r="N277" s="490" t="str">
        <f ca="1">IF(M277&lt;&gt;"",ABS(MIN(-0.75*('CDO Bespoke'!Q278)+'CDO Bespoke'!T278,0)),"")</f>
        <v/>
      </c>
      <c r="O277" s="490" t="str">
        <f t="shared" ca="1" si="16"/>
        <v/>
      </c>
      <c r="P277" s="490" t="str">
        <f t="shared" ca="1" si="17"/>
        <v/>
      </c>
      <c r="Q277" s="489" t="str">
        <f ca="1">IF('CDO Bespoke'!O278&lt;&gt;"",'CDO Bespoke'!O278,"")</f>
        <v/>
      </c>
      <c r="R277" s="490" t="str">
        <f ca="1">IF(Q277&lt;&gt;"",ABS(MIN(-0.75*('CDO Bespoke'!K278)+'CDO Bespoke'!T278,0)),"")</f>
        <v/>
      </c>
      <c r="S277" s="490" t="str">
        <f t="shared" ca="1" si="18"/>
        <v/>
      </c>
      <c r="T277" s="494" t="str">
        <f t="shared" ca="1" si="19"/>
        <v/>
      </c>
      <c r="U277" s="275"/>
      <c r="V277" s="499" t="str">
        <f ca="1">IF('CDO Bespoke'!C302&lt;&gt;"",'CDO Bespoke'!C302,"")</f>
        <v/>
      </c>
      <c r="W277" s="501" t="str" cm="1">
        <f t="array" aca="1" ref="W277" ca="1">IF($V277&lt;&gt;"",-TRANSPOSE(INDEX(getcds('CDO Bespoke'!$C302,W$13,'CDO Bespoke'!$G302/10000,'CDO Bespoke'!F302,'CDO Bespoke'!$L278,'CDO Bespoke'!$C$13,'CDO Bespoke'!$C$14,'CDO Bespoke'!$C$15,'CDO Bespoke'!$C$8,,,TRUE,TRUE,FALSE,'CDO Bespoke'!$C$29:'CDO Bespoke'!$C$31,'CDO Bespoke'!$C$33),{5})),"")</f>
        <v/>
      </c>
      <c r="X277" s="527" t="str" cm="1">
        <f t="array" aca="1" ref="X277" ca="1">IF($V277&lt;&gt;"",-TRANSPOSE(INDEX(getcds('CDO Bespoke'!$C302,X$13,'CDO Bespoke'!$G302/10000,'CDO Bespoke'!G302,'CDO Bespoke'!$L278,'CDO Bespoke'!$C$13,'CDO Bespoke'!$C$14,'CDO Bespoke'!$C$15,'CDO Bespoke'!$C$8,,,TRUE,TRUE,FALSE,'CDO Bespoke'!$C$29:'CDO Bespoke'!$C$31,'CDO Bespoke'!$C$33),{5})),"")</f>
        <v/>
      </c>
      <c r="Y277" s="527" t="str" cm="1">
        <f t="array" aca="1" ref="Y277" ca="1">IF($V277&lt;&gt;"",-TRANSPOSE(INDEX(getcds('CDO Bespoke'!$C302,Y$13,'CDO Bespoke'!$G302/10000,'CDO Bespoke'!H302,'CDO Bespoke'!$L278,'CDO Bespoke'!$C$13,'CDO Bespoke'!$C$14,'CDO Bespoke'!$C$15,'CDO Bespoke'!$C$8,,,TRUE,TRUE,FALSE,'CDO Bespoke'!$C$29:'CDO Bespoke'!$C$31,'CDO Bespoke'!$C$33),{5})),"")</f>
        <v/>
      </c>
      <c r="Z277" s="527" t="str" cm="1">
        <f t="array" aca="1" ref="Z277" ca="1">IF($V277&lt;&gt;"",-TRANSPOSE(INDEX(getcds('CDO Bespoke'!$C302,Z$13,'CDO Bespoke'!$G302/10000,'CDO Bespoke'!I302,'CDO Bespoke'!$L278,'CDO Bespoke'!$C$13,'CDO Bespoke'!$C$14,'CDO Bespoke'!$C$15,'CDO Bespoke'!$C$8,,,TRUE,TRUE,FALSE,'CDO Bespoke'!$C$29:'CDO Bespoke'!$C$31,'CDO Bespoke'!$C$33),{5})),"")</f>
        <v/>
      </c>
      <c r="AA277" s="502" t="str" cm="1">
        <f t="array" aca="1" ref="AA277" ca="1">IF($V277&lt;&gt;"",-TRANSPOSE(INDEX(getcds('CDO Bespoke'!$C302,AA$13,'CDO Bespoke'!$G302/10000,'CDO Bespoke'!J302,'CDO Bespoke'!$L278,'CDO Bespoke'!$C$13,'CDO Bespoke'!$C$14,'CDO Bespoke'!$C$15,'CDO Bespoke'!$C$8,,,TRUE,TRUE,FALSE,'CDO Bespoke'!$C$29:'CDO Bespoke'!$C$31,'CDO Bespoke'!$C$33),{5})),"")</f>
        <v/>
      </c>
      <c r="AB277" s="481"/>
      <c r="AC277" s="517"/>
      <c r="AD277" s="518"/>
      <c r="AE277" s="518"/>
      <c r="AF277" s="518"/>
      <c r="AG277" s="518"/>
      <c r="AH277" s="518"/>
      <c r="AI277" s="518"/>
      <c r="AJ277" s="518"/>
      <c r="AK277" s="518"/>
      <c r="AL277" s="519"/>
      <c r="AM277" s="540"/>
    </row>
    <row r="278" spans="2:39" ht="12" thickBot="1">
      <c r="B278" s="541" t="s">
        <v>602</v>
      </c>
      <c r="C278" s="542" t="s">
        <v>66</v>
      </c>
      <c r="D278" s="542" t="s">
        <v>57</v>
      </c>
      <c r="E278" s="542" t="s">
        <v>663</v>
      </c>
      <c r="F278" s="542" t="s">
        <v>666</v>
      </c>
      <c r="G278" s="549">
        <v>0.01</v>
      </c>
      <c r="H278" s="549">
        <v>4.5339999999999998E-3</v>
      </c>
      <c r="I278" s="551">
        <v>0.4</v>
      </c>
      <c r="J278" s="543">
        <v>85</v>
      </c>
      <c r="K278" s="275"/>
      <c r="L278" s="275"/>
      <c r="M278" s="489" t="str">
        <f ca="1">IF('CDO Bespoke'!O279&lt;&gt;"",'CDO Bespoke'!O279,"")</f>
        <v/>
      </c>
      <c r="N278" s="490" t="str">
        <f ca="1">IF(M278&lt;&gt;"",ABS(MIN(-0.75*('CDO Bespoke'!Q279)+'CDO Bespoke'!T279,0)),"")</f>
        <v/>
      </c>
      <c r="O278" s="490" t="str">
        <f t="shared" ca="1" si="16"/>
        <v/>
      </c>
      <c r="P278" s="490" t="str">
        <f t="shared" ca="1" si="17"/>
        <v/>
      </c>
      <c r="Q278" s="489" t="str">
        <f ca="1">IF('CDO Bespoke'!O279&lt;&gt;"",'CDO Bespoke'!O279,"")</f>
        <v/>
      </c>
      <c r="R278" s="490" t="str">
        <f ca="1">IF(Q278&lt;&gt;"",ABS(MIN(-0.75*('CDO Bespoke'!K279)+'CDO Bespoke'!T279,0)),"")</f>
        <v/>
      </c>
      <c r="S278" s="490" t="str">
        <f t="shared" ca="1" si="18"/>
        <v/>
      </c>
      <c r="T278" s="494" t="str">
        <f t="shared" ca="1" si="19"/>
        <v/>
      </c>
      <c r="U278" s="275"/>
      <c r="V278" s="499" t="str">
        <f ca="1">IF('CDO Bespoke'!C303&lt;&gt;"",'CDO Bespoke'!C303,"")</f>
        <v/>
      </c>
      <c r="W278" s="501" t="str" cm="1">
        <f t="array" aca="1" ref="W278" ca="1">IF($V278&lt;&gt;"",-TRANSPOSE(INDEX(getcds('CDO Bespoke'!$C303,W$13,'CDO Bespoke'!$G303/10000,'CDO Bespoke'!F303,'CDO Bespoke'!$L279,'CDO Bespoke'!$C$13,'CDO Bespoke'!$C$14,'CDO Bespoke'!$C$15,'CDO Bespoke'!$C$8,,,TRUE,TRUE,FALSE,'CDO Bespoke'!$C$29:'CDO Bespoke'!$C$31,'CDO Bespoke'!$C$33),{5})),"")</f>
        <v/>
      </c>
      <c r="X278" s="527" t="str" cm="1">
        <f t="array" aca="1" ref="X278" ca="1">IF($V278&lt;&gt;"",-TRANSPOSE(INDEX(getcds('CDO Bespoke'!$C303,X$13,'CDO Bespoke'!$G303/10000,'CDO Bespoke'!G303,'CDO Bespoke'!$L279,'CDO Bespoke'!$C$13,'CDO Bespoke'!$C$14,'CDO Bespoke'!$C$15,'CDO Bespoke'!$C$8,,,TRUE,TRUE,FALSE,'CDO Bespoke'!$C$29:'CDO Bespoke'!$C$31,'CDO Bespoke'!$C$33),{5})),"")</f>
        <v/>
      </c>
      <c r="Y278" s="527" t="str" cm="1">
        <f t="array" aca="1" ref="Y278" ca="1">IF($V278&lt;&gt;"",-TRANSPOSE(INDEX(getcds('CDO Bespoke'!$C303,Y$13,'CDO Bespoke'!$G303/10000,'CDO Bespoke'!H303,'CDO Bespoke'!$L279,'CDO Bespoke'!$C$13,'CDO Bespoke'!$C$14,'CDO Bespoke'!$C$15,'CDO Bespoke'!$C$8,,,TRUE,TRUE,FALSE,'CDO Bespoke'!$C$29:'CDO Bespoke'!$C$31,'CDO Bespoke'!$C$33),{5})),"")</f>
        <v/>
      </c>
      <c r="Z278" s="527" t="str" cm="1">
        <f t="array" aca="1" ref="Z278" ca="1">IF($V278&lt;&gt;"",-TRANSPOSE(INDEX(getcds('CDO Bespoke'!$C303,Z$13,'CDO Bespoke'!$G303/10000,'CDO Bespoke'!I303,'CDO Bespoke'!$L279,'CDO Bespoke'!$C$13,'CDO Bespoke'!$C$14,'CDO Bespoke'!$C$15,'CDO Bespoke'!$C$8,,,TRUE,TRUE,FALSE,'CDO Bespoke'!$C$29:'CDO Bespoke'!$C$31,'CDO Bespoke'!$C$33),{5})),"")</f>
        <v/>
      </c>
      <c r="AA278" s="502" t="str" cm="1">
        <f t="array" aca="1" ref="AA278" ca="1">IF($V278&lt;&gt;"",-TRANSPOSE(INDEX(getcds('CDO Bespoke'!$C303,AA$13,'CDO Bespoke'!$G303/10000,'CDO Bespoke'!J303,'CDO Bespoke'!$L279,'CDO Bespoke'!$C$13,'CDO Bespoke'!$C$14,'CDO Bespoke'!$C$15,'CDO Bespoke'!$C$8,,,TRUE,TRUE,FALSE,'CDO Bespoke'!$C$29:'CDO Bespoke'!$C$31,'CDO Bespoke'!$C$33),{5})),"")</f>
        <v/>
      </c>
      <c r="AB278" s="481"/>
      <c r="AC278" s="517"/>
      <c r="AD278" s="518"/>
      <c r="AE278" s="518"/>
      <c r="AF278" s="518"/>
      <c r="AG278" s="518"/>
      <c r="AH278" s="518"/>
      <c r="AI278" s="518"/>
      <c r="AJ278" s="518"/>
      <c r="AK278" s="518"/>
      <c r="AL278" s="519"/>
      <c r="AM278" s="540"/>
    </row>
    <row r="279" spans="2:39" ht="12" thickBot="1">
      <c r="B279" s="558" t="s">
        <v>602</v>
      </c>
      <c r="C279" s="559" t="s">
        <v>66</v>
      </c>
      <c r="D279" s="559" t="s">
        <v>59</v>
      </c>
      <c r="E279" s="559" t="s">
        <v>663</v>
      </c>
      <c r="F279" s="559" t="s">
        <v>666</v>
      </c>
      <c r="G279" s="560">
        <v>0.01</v>
      </c>
      <c r="H279" s="560">
        <v>6.875E-3</v>
      </c>
      <c r="I279" s="561">
        <v>0.4</v>
      </c>
      <c r="J279" s="562">
        <v>85</v>
      </c>
      <c r="K279" s="275"/>
      <c r="L279" s="275"/>
      <c r="M279" s="489" t="str">
        <f ca="1">IF('CDO Bespoke'!O280&lt;&gt;"",'CDO Bespoke'!O280,"")</f>
        <v/>
      </c>
      <c r="N279" s="490" t="str">
        <f ca="1">IF(M279&lt;&gt;"",ABS(MIN(-0.75*('CDO Bespoke'!Q280)+'CDO Bespoke'!T280,0)),"")</f>
        <v/>
      </c>
      <c r="O279" s="490" t="str">
        <f t="shared" ca="1" si="16"/>
        <v/>
      </c>
      <c r="P279" s="490" t="str">
        <f t="shared" ca="1" si="17"/>
        <v/>
      </c>
      <c r="Q279" s="489" t="str">
        <f ca="1">IF('CDO Bespoke'!O280&lt;&gt;"",'CDO Bespoke'!O280,"")</f>
        <v/>
      </c>
      <c r="R279" s="490" t="str">
        <f ca="1">IF(Q279&lt;&gt;"",ABS(MIN(-0.75*('CDO Bespoke'!K280)+'CDO Bespoke'!T280,0)),"")</f>
        <v/>
      </c>
      <c r="S279" s="490" t="str">
        <f t="shared" ca="1" si="18"/>
        <v/>
      </c>
      <c r="T279" s="494" t="str">
        <f t="shared" ca="1" si="19"/>
        <v/>
      </c>
      <c r="U279" s="275"/>
      <c r="V279" s="499" t="str">
        <f ca="1">IF('CDO Bespoke'!C304&lt;&gt;"",'CDO Bespoke'!C304,"")</f>
        <v/>
      </c>
      <c r="W279" s="501" t="str" cm="1">
        <f t="array" aca="1" ref="W279" ca="1">IF($V279&lt;&gt;"",-TRANSPOSE(INDEX(getcds('CDO Bespoke'!$C304,W$13,'CDO Bespoke'!$G304/10000,'CDO Bespoke'!F304,'CDO Bespoke'!$L280,'CDO Bespoke'!$C$13,'CDO Bespoke'!$C$14,'CDO Bespoke'!$C$15,'CDO Bespoke'!$C$8,,,TRUE,TRUE,FALSE,'CDO Bespoke'!$C$29:'CDO Bespoke'!$C$31,'CDO Bespoke'!$C$33),{5})),"")</f>
        <v/>
      </c>
      <c r="X279" s="527" t="str" cm="1">
        <f t="array" aca="1" ref="X279" ca="1">IF($V279&lt;&gt;"",-TRANSPOSE(INDEX(getcds('CDO Bespoke'!$C304,X$13,'CDO Bespoke'!$G304/10000,'CDO Bespoke'!G304,'CDO Bespoke'!$L280,'CDO Bespoke'!$C$13,'CDO Bespoke'!$C$14,'CDO Bespoke'!$C$15,'CDO Bespoke'!$C$8,,,TRUE,TRUE,FALSE,'CDO Bespoke'!$C$29:'CDO Bespoke'!$C$31,'CDO Bespoke'!$C$33),{5})),"")</f>
        <v/>
      </c>
      <c r="Y279" s="527" t="str" cm="1">
        <f t="array" aca="1" ref="Y279" ca="1">IF($V279&lt;&gt;"",-TRANSPOSE(INDEX(getcds('CDO Bespoke'!$C304,Y$13,'CDO Bespoke'!$G304/10000,'CDO Bespoke'!H304,'CDO Bespoke'!$L280,'CDO Bespoke'!$C$13,'CDO Bespoke'!$C$14,'CDO Bespoke'!$C$15,'CDO Bespoke'!$C$8,,,TRUE,TRUE,FALSE,'CDO Bespoke'!$C$29:'CDO Bespoke'!$C$31,'CDO Bespoke'!$C$33),{5})),"")</f>
        <v/>
      </c>
      <c r="Z279" s="527" t="str" cm="1">
        <f t="array" aca="1" ref="Z279" ca="1">IF($V279&lt;&gt;"",-TRANSPOSE(INDEX(getcds('CDO Bespoke'!$C304,Z$13,'CDO Bespoke'!$G304/10000,'CDO Bespoke'!I304,'CDO Bespoke'!$L280,'CDO Bespoke'!$C$13,'CDO Bespoke'!$C$14,'CDO Bespoke'!$C$15,'CDO Bespoke'!$C$8,,,TRUE,TRUE,FALSE,'CDO Bespoke'!$C$29:'CDO Bespoke'!$C$31,'CDO Bespoke'!$C$33),{5})),"")</f>
        <v/>
      </c>
      <c r="AA279" s="502" t="str" cm="1">
        <f t="array" aca="1" ref="AA279" ca="1">IF($V279&lt;&gt;"",-TRANSPOSE(INDEX(getcds('CDO Bespoke'!$C304,AA$13,'CDO Bespoke'!$G304/10000,'CDO Bespoke'!J304,'CDO Bespoke'!$L280,'CDO Bespoke'!$C$13,'CDO Bespoke'!$C$14,'CDO Bespoke'!$C$15,'CDO Bespoke'!$C$8,,,TRUE,TRUE,FALSE,'CDO Bespoke'!$C$29:'CDO Bespoke'!$C$31,'CDO Bespoke'!$C$33),{5})),"")</f>
        <v/>
      </c>
      <c r="AB279" s="481"/>
      <c r="AC279" s="517"/>
      <c r="AD279" s="518"/>
      <c r="AE279" s="518"/>
      <c r="AF279" s="518"/>
      <c r="AG279" s="518"/>
      <c r="AH279" s="518"/>
      <c r="AI279" s="518"/>
      <c r="AJ279" s="518"/>
      <c r="AK279" s="518"/>
      <c r="AL279" s="519"/>
      <c r="AM279" s="540"/>
    </row>
    <row r="280" spans="2:39" ht="12" thickBot="1">
      <c r="B280" s="563" t="s">
        <v>594</v>
      </c>
      <c r="C280" s="564" t="s">
        <v>66</v>
      </c>
      <c r="D280" s="564" t="s">
        <v>55</v>
      </c>
      <c r="E280" s="564" t="s">
        <v>663</v>
      </c>
      <c r="F280" s="564" t="s">
        <v>672</v>
      </c>
      <c r="G280" s="565">
        <v>0.01</v>
      </c>
      <c r="H280" s="565">
        <v>9.5580000000000005E-3</v>
      </c>
      <c r="I280" s="566">
        <v>0.4</v>
      </c>
      <c r="J280" s="567">
        <v>86</v>
      </c>
      <c r="K280" s="275"/>
      <c r="L280" s="275"/>
      <c r="M280" s="489" t="str">
        <f ca="1">IF('CDO Bespoke'!O281&lt;&gt;"",'CDO Bespoke'!O281,"")</f>
        <v/>
      </c>
      <c r="N280" s="490" t="str">
        <f ca="1">IF(M280&lt;&gt;"",ABS(MIN(-0.75*('CDO Bespoke'!Q281)+'CDO Bespoke'!T281,0)),"")</f>
        <v/>
      </c>
      <c r="O280" s="490" t="str">
        <f t="shared" ca="1" si="16"/>
        <v/>
      </c>
      <c r="P280" s="490" t="str">
        <f t="shared" ca="1" si="17"/>
        <v/>
      </c>
      <c r="Q280" s="489" t="str">
        <f ca="1">IF('CDO Bespoke'!O281&lt;&gt;"",'CDO Bespoke'!O281,"")</f>
        <v/>
      </c>
      <c r="R280" s="490" t="str">
        <f ca="1">IF(Q280&lt;&gt;"",ABS(MIN(-0.75*('CDO Bespoke'!K281)+'CDO Bespoke'!T281,0)),"")</f>
        <v/>
      </c>
      <c r="S280" s="490" t="str">
        <f t="shared" ca="1" si="18"/>
        <v/>
      </c>
      <c r="T280" s="494" t="str">
        <f t="shared" ca="1" si="19"/>
        <v/>
      </c>
      <c r="U280" s="275"/>
      <c r="V280" s="499" t="str">
        <f ca="1">IF('CDO Bespoke'!C305&lt;&gt;"",'CDO Bespoke'!C305,"")</f>
        <v/>
      </c>
      <c r="W280" s="501" t="str" cm="1">
        <f t="array" aca="1" ref="W280" ca="1">IF($V280&lt;&gt;"",-TRANSPOSE(INDEX(getcds('CDO Bespoke'!$C305,W$13,'CDO Bespoke'!$G305/10000,'CDO Bespoke'!F305,'CDO Bespoke'!$L281,'CDO Bespoke'!$C$13,'CDO Bespoke'!$C$14,'CDO Bespoke'!$C$15,'CDO Bespoke'!$C$8,,,TRUE,TRUE,FALSE,'CDO Bespoke'!$C$29:'CDO Bespoke'!$C$31,'CDO Bespoke'!$C$33),{5})),"")</f>
        <v/>
      </c>
      <c r="X280" s="527" t="str" cm="1">
        <f t="array" aca="1" ref="X280" ca="1">IF($V280&lt;&gt;"",-TRANSPOSE(INDEX(getcds('CDO Bespoke'!$C305,X$13,'CDO Bespoke'!$G305/10000,'CDO Bespoke'!G305,'CDO Bespoke'!$L281,'CDO Bespoke'!$C$13,'CDO Bespoke'!$C$14,'CDO Bespoke'!$C$15,'CDO Bespoke'!$C$8,,,TRUE,TRUE,FALSE,'CDO Bespoke'!$C$29:'CDO Bespoke'!$C$31,'CDO Bespoke'!$C$33),{5})),"")</f>
        <v/>
      </c>
      <c r="Y280" s="527" t="str" cm="1">
        <f t="array" aca="1" ref="Y280" ca="1">IF($V280&lt;&gt;"",-TRANSPOSE(INDEX(getcds('CDO Bespoke'!$C305,Y$13,'CDO Bespoke'!$G305/10000,'CDO Bespoke'!H305,'CDO Bespoke'!$L281,'CDO Bespoke'!$C$13,'CDO Bespoke'!$C$14,'CDO Bespoke'!$C$15,'CDO Bespoke'!$C$8,,,TRUE,TRUE,FALSE,'CDO Bespoke'!$C$29:'CDO Bespoke'!$C$31,'CDO Bespoke'!$C$33),{5})),"")</f>
        <v/>
      </c>
      <c r="Z280" s="527" t="str" cm="1">
        <f t="array" aca="1" ref="Z280" ca="1">IF($V280&lt;&gt;"",-TRANSPOSE(INDEX(getcds('CDO Bespoke'!$C305,Z$13,'CDO Bespoke'!$G305/10000,'CDO Bespoke'!I305,'CDO Bespoke'!$L281,'CDO Bespoke'!$C$13,'CDO Bespoke'!$C$14,'CDO Bespoke'!$C$15,'CDO Bespoke'!$C$8,,,TRUE,TRUE,FALSE,'CDO Bespoke'!$C$29:'CDO Bespoke'!$C$31,'CDO Bespoke'!$C$33),{5})),"")</f>
        <v/>
      </c>
      <c r="AA280" s="502" t="str" cm="1">
        <f t="array" aca="1" ref="AA280" ca="1">IF($V280&lt;&gt;"",-TRANSPOSE(INDEX(getcds('CDO Bespoke'!$C305,AA$13,'CDO Bespoke'!$G305/10000,'CDO Bespoke'!J305,'CDO Bespoke'!$L281,'CDO Bespoke'!$C$13,'CDO Bespoke'!$C$14,'CDO Bespoke'!$C$15,'CDO Bespoke'!$C$8,,,TRUE,TRUE,FALSE,'CDO Bespoke'!$C$29:'CDO Bespoke'!$C$31,'CDO Bespoke'!$C$33),{5})),"")</f>
        <v/>
      </c>
      <c r="AB280" s="481"/>
      <c r="AC280" s="517"/>
      <c r="AD280" s="518"/>
      <c r="AE280" s="518"/>
      <c r="AF280" s="518"/>
      <c r="AG280" s="518"/>
      <c r="AH280" s="518"/>
      <c r="AI280" s="518"/>
      <c r="AJ280" s="518"/>
      <c r="AK280" s="518"/>
      <c r="AL280" s="519"/>
      <c r="AM280" s="540"/>
    </row>
    <row r="281" spans="2:39" ht="12" thickBot="1">
      <c r="B281" s="541" t="s">
        <v>594</v>
      </c>
      <c r="C281" s="542" t="s">
        <v>66</v>
      </c>
      <c r="D281" s="542" t="s">
        <v>57</v>
      </c>
      <c r="E281" s="542" t="s">
        <v>663</v>
      </c>
      <c r="F281" s="542" t="s">
        <v>672</v>
      </c>
      <c r="G281" s="549">
        <v>0.01</v>
      </c>
      <c r="H281" s="549">
        <v>1.5862999999999999E-2</v>
      </c>
      <c r="I281" s="551">
        <v>0.4</v>
      </c>
      <c r="J281" s="543">
        <v>86</v>
      </c>
      <c r="K281" s="275"/>
      <c r="L281" s="275"/>
      <c r="M281" s="489" t="str">
        <f ca="1">IF('CDO Bespoke'!O282&lt;&gt;"",'CDO Bespoke'!O282,"")</f>
        <v/>
      </c>
      <c r="N281" s="490" t="str">
        <f ca="1">IF(M281&lt;&gt;"",ABS(MIN(-0.75*('CDO Bespoke'!Q282)+'CDO Bespoke'!T282,0)),"")</f>
        <v/>
      </c>
      <c r="O281" s="490" t="str">
        <f t="shared" ca="1" si="16"/>
        <v/>
      </c>
      <c r="P281" s="490" t="str">
        <f t="shared" ca="1" si="17"/>
        <v/>
      </c>
      <c r="Q281" s="489" t="str">
        <f ca="1">IF('CDO Bespoke'!O282&lt;&gt;"",'CDO Bespoke'!O282,"")</f>
        <v/>
      </c>
      <c r="R281" s="490" t="str">
        <f ca="1">IF(Q281&lt;&gt;"",ABS(MIN(-0.75*('CDO Bespoke'!K282)+'CDO Bespoke'!T282,0)),"")</f>
        <v/>
      </c>
      <c r="S281" s="490" t="str">
        <f t="shared" ca="1" si="18"/>
        <v/>
      </c>
      <c r="T281" s="494" t="str">
        <f t="shared" ca="1" si="19"/>
        <v/>
      </c>
      <c r="U281" s="275"/>
      <c r="V281" s="499" t="str">
        <f ca="1">IF('CDO Bespoke'!C306&lt;&gt;"",'CDO Bespoke'!C306,"")</f>
        <v/>
      </c>
      <c r="W281" s="501" t="str" cm="1">
        <f t="array" aca="1" ref="W281" ca="1">IF($V281&lt;&gt;"",-TRANSPOSE(INDEX(getcds('CDO Bespoke'!$C306,W$13,'CDO Bespoke'!$G306/10000,'CDO Bespoke'!F306,'CDO Bespoke'!$L282,'CDO Bespoke'!$C$13,'CDO Bespoke'!$C$14,'CDO Bespoke'!$C$15,'CDO Bespoke'!$C$8,,,TRUE,TRUE,FALSE,'CDO Bespoke'!$C$29:'CDO Bespoke'!$C$31,'CDO Bespoke'!$C$33),{5})),"")</f>
        <v/>
      </c>
      <c r="X281" s="527" t="str" cm="1">
        <f t="array" aca="1" ref="X281" ca="1">IF($V281&lt;&gt;"",-TRANSPOSE(INDEX(getcds('CDO Bespoke'!$C306,X$13,'CDO Bespoke'!$G306/10000,'CDO Bespoke'!G306,'CDO Bespoke'!$L282,'CDO Bespoke'!$C$13,'CDO Bespoke'!$C$14,'CDO Bespoke'!$C$15,'CDO Bespoke'!$C$8,,,TRUE,TRUE,FALSE,'CDO Bespoke'!$C$29:'CDO Bespoke'!$C$31,'CDO Bespoke'!$C$33),{5})),"")</f>
        <v/>
      </c>
      <c r="Y281" s="527" t="str" cm="1">
        <f t="array" aca="1" ref="Y281" ca="1">IF($V281&lt;&gt;"",-TRANSPOSE(INDEX(getcds('CDO Bespoke'!$C306,Y$13,'CDO Bespoke'!$G306/10000,'CDO Bespoke'!H306,'CDO Bespoke'!$L282,'CDO Bespoke'!$C$13,'CDO Bespoke'!$C$14,'CDO Bespoke'!$C$15,'CDO Bespoke'!$C$8,,,TRUE,TRUE,FALSE,'CDO Bespoke'!$C$29:'CDO Bespoke'!$C$31,'CDO Bespoke'!$C$33),{5})),"")</f>
        <v/>
      </c>
      <c r="Z281" s="527" t="str" cm="1">
        <f t="array" aca="1" ref="Z281" ca="1">IF($V281&lt;&gt;"",-TRANSPOSE(INDEX(getcds('CDO Bespoke'!$C306,Z$13,'CDO Bespoke'!$G306/10000,'CDO Bespoke'!I306,'CDO Bespoke'!$L282,'CDO Bespoke'!$C$13,'CDO Bespoke'!$C$14,'CDO Bespoke'!$C$15,'CDO Bespoke'!$C$8,,,TRUE,TRUE,FALSE,'CDO Bespoke'!$C$29:'CDO Bespoke'!$C$31,'CDO Bespoke'!$C$33),{5})),"")</f>
        <v/>
      </c>
      <c r="AA281" s="502" t="str" cm="1">
        <f t="array" aca="1" ref="AA281" ca="1">IF($V281&lt;&gt;"",-TRANSPOSE(INDEX(getcds('CDO Bespoke'!$C306,AA$13,'CDO Bespoke'!$G306/10000,'CDO Bespoke'!J306,'CDO Bespoke'!$L282,'CDO Bespoke'!$C$13,'CDO Bespoke'!$C$14,'CDO Bespoke'!$C$15,'CDO Bespoke'!$C$8,,,TRUE,TRUE,FALSE,'CDO Bespoke'!$C$29:'CDO Bespoke'!$C$31,'CDO Bespoke'!$C$33),{5})),"")</f>
        <v/>
      </c>
      <c r="AB281" s="481"/>
      <c r="AC281" s="517"/>
      <c r="AD281" s="518"/>
      <c r="AE281" s="518"/>
      <c r="AF281" s="518"/>
      <c r="AG281" s="518"/>
      <c r="AH281" s="518"/>
      <c r="AI281" s="518"/>
      <c r="AJ281" s="518"/>
      <c r="AK281" s="518"/>
      <c r="AL281" s="519"/>
      <c r="AM281" s="540"/>
    </row>
    <row r="282" spans="2:39" ht="12" thickBot="1">
      <c r="B282" s="558" t="s">
        <v>594</v>
      </c>
      <c r="C282" s="559" t="s">
        <v>66</v>
      </c>
      <c r="D282" s="559" t="s">
        <v>59</v>
      </c>
      <c r="E282" s="559" t="s">
        <v>663</v>
      </c>
      <c r="F282" s="559" t="s">
        <v>672</v>
      </c>
      <c r="G282" s="560">
        <v>0.01</v>
      </c>
      <c r="H282" s="560">
        <v>1.9740000000000001E-2</v>
      </c>
      <c r="I282" s="561">
        <v>0.4</v>
      </c>
      <c r="J282" s="562">
        <v>86</v>
      </c>
      <c r="K282" s="275"/>
      <c r="L282" s="275"/>
      <c r="M282" s="489" t="str">
        <f ca="1">IF('CDO Bespoke'!O283&lt;&gt;"",'CDO Bespoke'!O283,"")</f>
        <v/>
      </c>
      <c r="N282" s="490" t="str">
        <f ca="1">IF(M282&lt;&gt;"",ABS(MIN(-0.75*('CDO Bespoke'!Q283)+'CDO Bespoke'!T283,0)),"")</f>
        <v/>
      </c>
      <c r="O282" s="490" t="str">
        <f t="shared" ca="1" si="16"/>
        <v/>
      </c>
      <c r="P282" s="490" t="str">
        <f t="shared" ca="1" si="17"/>
        <v/>
      </c>
      <c r="Q282" s="489" t="str">
        <f ca="1">IF('CDO Bespoke'!O283&lt;&gt;"",'CDO Bespoke'!O283,"")</f>
        <v/>
      </c>
      <c r="R282" s="490" t="str">
        <f ca="1">IF(Q282&lt;&gt;"",ABS(MIN(-0.75*('CDO Bespoke'!K283)+'CDO Bespoke'!T283,0)),"")</f>
        <v/>
      </c>
      <c r="S282" s="490" t="str">
        <f t="shared" ca="1" si="18"/>
        <v/>
      </c>
      <c r="T282" s="494" t="str">
        <f t="shared" ca="1" si="19"/>
        <v/>
      </c>
      <c r="U282" s="275"/>
      <c r="V282" s="499" t="str">
        <f ca="1">IF('CDO Bespoke'!C307&lt;&gt;"",'CDO Bespoke'!C307,"")</f>
        <v/>
      </c>
      <c r="W282" s="501" t="str" cm="1">
        <f t="array" aca="1" ref="W282" ca="1">IF($V282&lt;&gt;"",-TRANSPOSE(INDEX(getcds('CDO Bespoke'!$C307,W$13,'CDO Bespoke'!$G307/10000,'CDO Bespoke'!F307,'CDO Bespoke'!$L283,'CDO Bespoke'!$C$13,'CDO Bespoke'!$C$14,'CDO Bespoke'!$C$15,'CDO Bespoke'!$C$8,,,TRUE,TRUE,FALSE,'CDO Bespoke'!$C$29:'CDO Bespoke'!$C$31,'CDO Bespoke'!$C$33),{5})),"")</f>
        <v/>
      </c>
      <c r="X282" s="527" t="str" cm="1">
        <f t="array" aca="1" ref="X282" ca="1">IF($V282&lt;&gt;"",-TRANSPOSE(INDEX(getcds('CDO Bespoke'!$C307,X$13,'CDO Bespoke'!$G307/10000,'CDO Bespoke'!G307,'CDO Bespoke'!$L283,'CDO Bespoke'!$C$13,'CDO Bespoke'!$C$14,'CDO Bespoke'!$C$15,'CDO Bespoke'!$C$8,,,TRUE,TRUE,FALSE,'CDO Bespoke'!$C$29:'CDO Bespoke'!$C$31,'CDO Bespoke'!$C$33),{5})),"")</f>
        <v/>
      </c>
      <c r="Y282" s="527" t="str" cm="1">
        <f t="array" aca="1" ref="Y282" ca="1">IF($V282&lt;&gt;"",-TRANSPOSE(INDEX(getcds('CDO Bespoke'!$C307,Y$13,'CDO Bespoke'!$G307/10000,'CDO Bespoke'!H307,'CDO Bespoke'!$L283,'CDO Bespoke'!$C$13,'CDO Bespoke'!$C$14,'CDO Bespoke'!$C$15,'CDO Bespoke'!$C$8,,,TRUE,TRUE,FALSE,'CDO Bespoke'!$C$29:'CDO Bespoke'!$C$31,'CDO Bespoke'!$C$33),{5})),"")</f>
        <v/>
      </c>
      <c r="Z282" s="527" t="str" cm="1">
        <f t="array" aca="1" ref="Z282" ca="1">IF($V282&lt;&gt;"",-TRANSPOSE(INDEX(getcds('CDO Bespoke'!$C307,Z$13,'CDO Bespoke'!$G307/10000,'CDO Bespoke'!I307,'CDO Bespoke'!$L283,'CDO Bespoke'!$C$13,'CDO Bespoke'!$C$14,'CDO Bespoke'!$C$15,'CDO Bespoke'!$C$8,,,TRUE,TRUE,FALSE,'CDO Bespoke'!$C$29:'CDO Bespoke'!$C$31,'CDO Bespoke'!$C$33),{5})),"")</f>
        <v/>
      </c>
      <c r="AA282" s="502" t="str" cm="1">
        <f t="array" aca="1" ref="AA282" ca="1">IF($V282&lt;&gt;"",-TRANSPOSE(INDEX(getcds('CDO Bespoke'!$C307,AA$13,'CDO Bespoke'!$G307/10000,'CDO Bespoke'!J307,'CDO Bespoke'!$L283,'CDO Bespoke'!$C$13,'CDO Bespoke'!$C$14,'CDO Bespoke'!$C$15,'CDO Bespoke'!$C$8,,,TRUE,TRUE,FALSE,'CDO Bespoke'!$C$29:'CDO Bespoke'!$C$31,'CDO Bespoke'!$C$33),{5})),"")</f>
        <v/>
      </c>
      <c r="AB282" s="481"/>
      <c r="AC282" s="517"/>
      <c r="AD282" s="518"/>
      <c r="AE282" s="518"/>
      <c r="AF282" s="518"/>
      <c r="AG282" s="518"/>
      <c r="AH282" s="518"/>
      <c r="AI282" s="518"/>
      <c r="AJ282" s="518"/>
      <c r="AK282" s="518"/>
      <c r="AL282" s="519"/>
      <c r="AM282" s="540"/>
    </row>
    <row r="283" spans="2:39" ht="12" thickBot="1">
      <c r="B283" s="563" t="s">
        <v>631</v>
      </c>
      <c r="C283" s="564" t="s">
        <v>66</v>
      </c>
      <c r="D283" s="564" t="s">
        <v>55</v>
      </c>
      <c r="E283" s="564" t="s">
        <v>661</v>
      </c>
      <c r="F283" s="564" t="s">
        <v>666</v>
      </c>
      <c r="G283" s="565">
        <v>0.01</v>
      </c>
      <c r="H283" s="565">
        <v>7.8799999999999996E-4</v>
      </c>
      <c r="I283" s="566">
        <v>0.4</v>
      </c>
      <c r="J283" s="567">
        <v>87</v>
      </c>
      <c r="K283" s="275"/>
      <c r="L283" s="275"/>
      <c r="M283" s="489" t="str">
        <f ca="1">IF('CDO Bespoke'!O284&lt;&gt;"",'CDO Bespoke'!O284,"")</f>
        <v/>
      </c>
      <c r="N283" s="490" t="str">
        <f ca="1">IF(M283&lt;&gt;"",ABS(MIN(-0.75*('CDO Bespoke'!Q284)+'CDO Bespoke'!T284,0)),"")</f>
        <v/>
      </c>
      <c r="O283" s="490" t="str">
        <f t="shared" ca="1" si="16"/>
        <v/>
      </c>
      <c r="P283" s="490" t="str">
        <f t="shared" ca="1" si="17"/>
        <v/>
      </c>
      <c r="Q283" s="489" t="str">
        <f ca="1">IF('CDO Bespoke'!O284&lt;&gt;"",'CDO Bespoke'!O284,"")</f>
        <v/>
      </c>
      <c r="R283" s="490" t="str">
        <f ca="1">IF(Q283&lt;&gt;"",ABS(MIN(-0.75*('CDO Bespoke'!K284)+'CDO Bespoke'!T284,0)),"")</f>
        <v/>
      </c>
      <c r="S283" s="490" t="str">
        <f t="shared" ca="1" si="18"/>
        <v/>
      </c>
      <c r="T283" s="494" t="str">
        <f t="shared" ca="1" si="19"/>
        <v/>
      </c>
      <c r="U283" s="275"/>
      <c r="V283" s="499" t="str">
        <f ca="1">IF('CDO Bespoke'!C308&lt;&gt;"",'CDO Bespoke'!C308,"")</f>
        <v/>
      </c>
      <c r="W283" s="501" t="str" cm="1">
        <f t="array" aca="1" ref="W283" ca="1">IF($V283&lt;&gt;"",-TRANSPOSE(INDEX(getcds('CDO Bespoke'!$C308,W$13,'CDO Bespoke'!$G308/10000,'CDO Bespoke'!F308,'CDO Bespoke'!$L284,'CDO Bespoke'!$C$13,'CDO Bespoke'!$C$14,'CDO Bespoke'!$C$15,'CDO Bespoke'!$C$8,,,TRUE,TRUE,FALSE,'CDO Bespoke'!$C$29:'CDO Bespoke'!$C$31,'CDO Bespoke'!$C$33),{5})),"")</f>
        <v/>
      </c>
      <c r="X283" s="527" t="str" cm="1">
        <f t="array" aca="1" ref="X283" ca="1">IF($V283&lt;&gt;"",-TRANSPOSE(INDEX(getcds('CDO Bespoke'!$C308,X$13,'CDO Bespoke'!$G308/10000,'CDO Bespoke'!G308,'CDO Bespoke'!$L284,'CDO Bespoke'!$C$13,'CDO Bespoke'!$C$14,'CDO Bespoke'!$C$15,'CDO Bespoke'!$C$8,,,TRUE,TRUE,FALSE,'CDO Bespoke'!$C$29:'CDO Bespoke'!$C$31,'CDO Bespoke'!$C$33),{5})),"")</f>
        <v/>
      </c>
      <c r="Y283" s="527" t="str" cm="1">
        <f t="array" aca="1" ref="Y283" ca="1">IF($V283&lt;&gt;"",-TRANSPOSE(INDEX(getcds('CDO Bespoke'!$C308,Y$13,'CDO Bespoke'!$G308/10000,'CDO Bespoke'!H308,'CDO Bespoke'!$L284,'CDO Bespoke'!$C$13,'CDO Bespoke'!$C$14,'CDO Bespoke'!$C$15,'CDO Bespoke'!$C$8,,,TRUE,TRUE,FALSE,'CDO Bespoke'!$C$29:'CDO Bespoke'!$C$31,'CDO Bespoke'!$C$33),{5})),"")</f>
        <v/>
      </c>
      <c r="Z283" s="527" t="str" cm="1">
        <f t="array" aca="1" ref="Z283" ca="1">IF($V283&lt;&gt;"",-TRANSPOSE(INDEX(getcds('CDO Bespoke'!$C308,Z$13,'CDO Bespoke'!$G308/10000,'CDO Bespoke'!I308,'CDO Bespoke'!$L284,'CDO Bespoke'!$C$13,'CDO Bespoke'!$C$14,'CDO Bespoke'!$C$15,'CDO Bespoke'!$C$8,,,TRUE,TRUE,FALSE,'CDO Bespoke'!$C$29:'CDO Bespoke'!$C$31,'CDO Bespoke'!$C$33),{5})),"")</f>
        <v/>
      </c>
      <c r="AA283" s="502" t="str" cm="1">
        <f t="array" aca="1" ref="AA283" ca="1">IF($V283&lt;&gt;"",-TRANSPOSE(INDEX(getcds('CDO Bespoke'!$C308,AA$13,'CDO Bespoke'!$G308/10000,'CDO Bespoke'!J308,'CDO Bespoke'!$L284,'CDO Bespoke'!$C$13,'CDO Bespoke'!$C$14,'CDO Bespoke'!$C$15,'CDO Bespoke'!$C$8,,,TRUE,TRUE,FALSE,'CDO Bespoke'!$C$29:'CDO Bespoke'!$C$31,'CDO Bespoke'!$C$33),{5})),"")</f>
        <v/>
      </c>
      <c r="AB283" s="481"/>
      <c r="AC283" s="517"/>
      <c r="AD283" s="518"/>
      <c r="AE283" s="518"/>
      <c r="AF283" s="518"/>
      <c r="AG283" s="518"/>
      <c r="AH283" s="518"/>
      <c r="AI283" s="518"/>
      <c r="AJ283" s="518"/>
      <c r="AK283" s="518"/>
      <c r="AL283" s="519"/>
      <c r="AM283" s="540"/>
    </row>
    <row r="284" spans="2:39" ht="12" thickBot="1">
      <c r="B284" s="541" t="s">
        <v>631</v>
      </c>
      <c r="C284" s="542" t="s">
        <v>66</v>
      </c>
      <c r="D284" s="542" t="s">
        <v>57</v>
      </c>
      <c r="E284" s="542" t="s">
        <v>661</v>
      </c>
      <c r="F284" s="542" t="s">
        <v>666</v>
      </c>
      <c r="G284" s="549">
        <v>0.01</v>
      </c>
      <c r="H284" s="549">
        <v>1.3649999999999999E-3</v>
      </c>
      <c r="I284" s="551">
        <v>0.4</v>
      </c>
      <c r="J284" s="543">
        <v>87</v>
      </c>
      <c r="K284" s="275"/>
      <c r="L284" s="275"/>
      <c r="M284" s="489" t="str">
        <f ca="1">IF('CDO Bespoke'!O285&lt;&gt;"",'CDO Bespoke'!O285,"")</f>
        <v/>
      </c>
      <c r="N284" s="490" t="str">
        <f ca="1">IF(M284&lt;&gt;"",ABS(MIN(-0.75*('CDO Bespoke'!Q285)+'CDO Bespoke'!T285,0)),"")</f>
        <v/>
      </c>
      <c r="O284" s="490" t="str">
        <f t="shared" ca="1" si="16"/>
        <v/>
      </c>
      <c r="P284" s="490" t="str">
        <f t="shared" ca="1" si="17"/>
        <v/>
      </c>
      <c r="Q284" s="489" t="str">
        <f ca="1">IF('CDO Bespoke'!O285&lt;&gt;"",'CDO Bespoke'!O285,"")</f>
        <v/>
      </c>
      <c r="R284" s="490" t="str">
        <f ca="1">IF(Q284&lt;&gt;"",ABS(MIN(-0.75*('CDO Bespoke'!K285)+'CDO Bespoke'!T285,0)),"")</f>
        <v/>
      </c>
      <c r="S284" s="490" t="str">
        <f t="shared" ca="1" si="18"/>
        <v/>
      </c>
      <c r="T284" s="494" t="str">
        <f t="shared" ca="1" si="19"/>
        <v/>
      </c>
      <c r="U284" s="275"/>
      <c r="V284" s="499" t="str">
        <f ca="1">IF('CDO Bespoke'!C309&lt;&gt;"",'CDO Bespoke'!C309,"")</f>
        <v/>
      </c>
      <c r="W284" s="501" t="str" cm="1">
        <f t="array" aca="1" ref="W284" ca="1">IF($V284&lt;&gt;"",-TRANSPOSE(INDEX(getcds('CDO Bespoke'!$C309,W$13,'CDO Bespoke'!$G309/10000,'CDO Bespoke'!F309,'CDO Bespoke'!$L285,'CDO Bespoke'!$C$13,'CDO Bespoke'!$C$14,'CDO Bespoke'!$C$15,'CDO Bespoke'!$C$8,,,TRUE,TRUE,FALSE,'CDO Bespoke'!$C$29:'CDO Bespoke'!$C$31,'CDO Bespoke'!$C$33),{5})),"")</f>
        <v/>
      </c>
      <c r="X284" s="527" t="str" cm="1">
        <f t="array" aca="1" ref="X284" ca="1">IF($V284&lt;&gt;"",-TRANSPOSE(INDEX(getcds('CDO Bespoke'!$C309,X$13,'CDO Bespoke'!$G309/10000,'CDO Bespoke'!G309,'CDO Bespoke'!$L285,'CDO Bespoke'!$C$13,'CDO Bespoke'!$C$14,'CDO Bespoke'!$C$15,'CDO Bespoke'!$C$8,,,TRUE,TRUE,FALSE,'CDO Bespoke'!$C$29:'CDO Bespoke'!$C$31,'CDO Bespoke'!$C$33),{5})),"")</f>
        <v/>
      </c>
      <c r="Y284" s="527" t="str" cm="1">
        <f t="array" aca="1" ref="Y284" ca="1">IF($V284&lt;&gt;"",-TRANSPOSE(INDEX(getcds('CDO Bespoke'!$C309,Y$13,'CDO Bespoke'!$G309/10000,'CDO Bespoke'!H309,'CDO Bespoke'!$L285,'CDO Bespoke'!$C$13,'CDO Bespoke'!$C$14,'CDO Bespoke'!$C$15,'CDO Bespoke'!$C$8,,,TRUE,TRUE,FALSE,'CDO Bespoke'!$C$29:'CDO Bespoke'!$C$31,'CDO Bespoke'!$C$33),{5})),"")</f>
        <v/>
      </c>
      <c r="Z284" s="527" t="str" cm="1">
        <f t="array" aca="1" ref="Z284" ca="1">IF($V284&lt;&gt;"",-TRANSPOSE(INDEX(getcds('CDO Bespoke'!$C309,Z$13,'CDO Bespoke'!$G309/10000,'CDO Bespoke'!I309,'CDO Bespoke'!$L285,'CDO Bespoke'!$C$13,'CDO Bespoke'!$C$14,'CDO Bespoke'!$C$15,'CDO Bespoke'!$C$8,,,TRUE,TRUE,FALSE,'CDO Bespoke'!$C$29:'CDO Bespoke'!$C$31,'CDO Bespoke'!$C$33),{5})),"")</f>
        <v/>
      </c>
      <c r="AA284" s="502" t="str" cm="1">
        <f t="array" aca="1" ref="AA284" ca="1">IF($V284&lt;&gt;"",-TRANSPOSE(INDEX(getcds('CDO Bespoke'!$C309,AA$13,'CDO Bespoke'!$G309/10000,'CDO Bespoke'!J309,'CDO Bespoke'!$L285,'CDO Bespoke'!$C$13,'CDO Bespoke'!$C$14,'CDO Bespoke'!$C$15,'CDO Bespoke'!$C$8,,,TRUE,TRUE,FALSE,'CDO Bespoke'!$C$29:'CDO Bespoke'!$C$31,'CDO Bespoke'!$C$33),{5})),"")</f>
        <v/>
      </c>
      <c r="AB284" s="481"/>
      <c r="AC284" s="517"/>
      <c r="AD284" s="518"/>
      <c r="AE284" s="518"/>
      <c r="AF284" s="518"/>
      <c r="AG284" s="518"/>
      <c r="AH284" s="518"/>
      <c r="AI284" s="518"/>
      <c r="AJ284" s="518"/>
      <c r="AK284" s="518"/>
      <c r="AL284" s="519"/>
      <c r="AM284" s="540"/>
    </row>
    <row r="285" spans="2:39" ht="12" thickBot="1">
      <c r="B285" s="558" t="s">
        <v>631</v>
      </c>
      <c r="C285" s="559" t="s">
        <v>66</v>
      </c>
      <c r="D285" s="559" t="s">
        <v>59</v>
      </c>
      <c r="E285" s="559" t="s">
        <v>661</v>
      </c>
      <c r="F285" s="559" t="s">
        <v>666</v>
      </c>
      <c r="G285" s="560">
        <v>0.01</v>
      </c>
      <c r="H285" s="560">
        <v>2.568E-3</v>
      </c>
      <c r="I285" s="561">
        <v>0.4</v>
      </c>
      <c r="J285" s="562">
        <v>87</v>
      </c>
      <c r="K285" s="275"/>
      <c r="L285" s="275"/>
      <c r="M285" s="489" t="str">
        <f ca="1">IF('CDO Bespoke'!O286&lt;&gt;"",'CDO Bespoke'!O286,"")</f>
        <v/>
      </c>
      <c r="N285" s="490" t="str">
        <f ca="1">IF(M285&lt;&gt;"",ABS(MIN(-0.75*('CDO Bespoke'!Q286)+'CDO Bespoke'!T286,0)),"")</f>
        <v/>
      </c>
      <c r="O285" s="490" t="str">
        <f t="shared" ca="1" si="16"/>
        <v/>
      </c>
      <c r="P285" s="490" t="str">
        <f t="shared" ca="1" si="17"/>
        <v/>
      </c>
      <c r="Q285" s="489" t="str">
        <f ca="1">IF('CDO Bespoke'!O286&lt;&gt;"",'CDO Bespoke'!O286,"")</f>
        <v/>
      </c>
      <c r="R285" s="490" t="str">
        <f ca="1">IF(Q285&lt;&gt;"",ABS(MIN(-0.75*('CDO Bespoke'!K286)+'CDO Bespoke'!T286,0)),"")</f>
        <v/>
      </c>
      <c r="S285" s="490" t="str">
        <f t="shared" ca="1" si="18"/>
        <v/>
      </c>
      <c r="T285" s="494" t="str">
        <f t="shared" ca="1" si="19"/>
        <v/>
      </c>
      <c r="U285" s="275"/>
      <c r="V285" s="499" t="str">
        <f ca="1">IF('CDO Bespoke'!C310&lt;&gt;"",'CDO Bespoke'!C310,"")</f>
        <v/>
      </c>
      <c r="W285" s="501" t="str" cm="1">
        <f t="array" aca="1" ref="W285" ca="1">IF($V285&lt;&gt;"",-TRANSPOSE(INDEX(getcds('CDO Bespoke'!$C310,W$13,'CDO Bespoke'!$G310/10000,'CDO Bespoke'!F310,'CDO Bespoke'!$L286,'CDO Bespoke'!$C$13,'CDO Bespoke'!$C$14,'CDO Bespoke'!$C$15,'CDO Bespoke'!$C$8,,,TRUE,TRUE,FALSE,'CDO Bespoke'!$C$29:'CDO Bespoke'!$C$31,'CDO Bespoke'!$C$33),{5})),"")</f>
        <v/>
      </c>
      <c r="X285" s="527" t="str" cm="1">
        <f t="array" aca="1" ref="X285" ca="1">IF($V285&lt;&gt;"",-TRANSPOSE(INDEX(getcds('CDO Bespoke'!$C310,X$13,'CDO Bespoke'!$G310/10000,'CDO Bespoke'!G310,'CDO Bespoke'!$L286,'CDO Bespoke'!$C$13,'CDO Bespoke'!$C$14,'CDO Bespoke'!$C$15,'CDO Bespoke'!$C$8,,,TRUE,TRUE,FALSE,'CDO Bespoke'!$C$29:'CDO Bespoke'!$C$31,'CDO Bespoke'!$C$33),{5})),"")</f>
        <v/>
      </c>
      <c r="Y285" s="527" t="str" cm="1">
        <f t="array" aca="1" ref="Y285" ca="1">IF($V285&lt;&gt;"",-TRANSPOSE(INDEX(getcds('CDO Bespoke'!$C310,Y$13,'CDO Bespoke'!$G310/10000,'CDO Bespoke'!H310,'CDO Bespoke'!$L286,'CDO Bespoke'!$C$13,'CDO Bespoke'!$C$14,'CDO Bespoke'!$C$15,'CDO Bespoke'!$C$8,,,TRUE,TRUE,FALSE,'CDO Bespoke'!$C$29:'CDO Bespoke'!$C$31,'CDO Bespoke'!$C$33),{5})),"")</f>
        <v/>
      </c>
      <c r="Z285" s="527" t="str" cm="1">
        <f t="array" aca="1" ref="Z285" ca="1">IF($V285&lt;&gt;"",-TRANSPOSE(INDEX(getcds('CDO Bespoke'!$C310,Z$13,'CDO Bespoke'!$G310/10000,'CDO Bespoke'!I310,'CDO Bespoke'!$L286,'CDO Bespoke'!$C$13,'CDO Bespoke'!$C$14,'CDO Bespoke'!$C$15,'CDO Bespoke'!$C$8,,,TRUE,TRUE,FALSE,'CDO Bespoke'!$C$29:'CDO Bespoke'!$C$31,'CDO Bespoke'!$C$33),{5})),"")</f>
        <v/>
      </c>
      <c r="AA285" s="502" t="str" cm="1">
        <f t="array" aca="1" ref="AA285" ca="1">IF($V285&lt;&gt;"",-TRANSPOSE(INDEX(getcds('CDO Bespoke'!$C310,AA$13,'CDO Bespoke'!$G310/10000,'CDO Bespoke'!J310,'CDO Bespoke'!$L286,'CDO Bespoke'!$C$13,'CDO Bespoke'!$C$14,'CDO Bespoke'!$C$15,'CDO Bespoke'!$C$8,,,TRUE,TRUE,FALSE,'CDO Bespoke'!$C$29:'CDO Bespoke'!$C$31,'CDO Bespoke'!$C$33),{5})),"")</f>
        <v/>
      </c>
      <c r="AB285" s="481"/>
      <c r="AC285" s="517"/>
      <c r="AD285" s="518"/>
      <c r="AE285" s="518"/>
      <c r="AF285" s="518"/>
      <c r="AG285" s="518"/>
      <c r="AH285" s="518"/>
      <c r="AI285" s="518"/>
      <c r="AJ285" s="518"/>
      <c r="AK285" s="518"/>
      <c r="AL285" s="519"/>
      <c r="AM285" s="540"/>
    </row>
    <row r="286" spans="2:39" ht="12" thickBot="1">
      <c r="B286" s="563" t="s">
        <v>595</v>
      </c>
      <c r="C286" s="564" t="s">
        <v>66</v>
      </c>
      <c r="D286" s="564" t="s">
        <v>55</v>
      </c>
      <c r="E286" s="564" t="s">
        <v>663</v>
      </c>
      <c r="F286" s="564" t="s">
        <v>673</v>
      </c>
      <c r="G286" s="565">
        <v>0.01</v>
      </c>
      <c r="H286" s="565">
        <v>1.861E-3</v>
      </c>
      <c r="I286" s="566">
        <v>0.4</v>
      </c>
      <c r="J286" s="567">
        <v>88</v>
      </c>
      <c r="K286" s="275"/>
      <c r="L286" s="275"/>
      <c r="M286" s="489" t="str">
        <f ca="1">IF('CDO Bespoke'!O287&lt;&gt;"",'CDO Bespoke'!O287,"")</f>
        <v/>
      </c>
      <c r="N286" s="490" t="str">
        <f ca="1">IF(M286&lt;&gt;"",ABS(MIN(-0.75*('CDO Bespoke'!Q287)+'CDO Bespoke'!T287,0)),"")</f>
        <v/>
      </c>
      <c r="O286" s="490" t="str">
        <f t="shared" ca="1" si="16"/>
        <v/>
      </c>
      <c r="P286" s="490" t="str">
        <f t="shared" ca="1" si="17"/>
        <v/>
      </c>
      <c r="Q286" s="489" t="str">
        <f ca="1">IF('CDO Bespoke'!O287&lt;&gt;"",'CDO Bespoke'!O287,"")</f>
        <v/>
      </c>
      <c r="R286" s="490" t="str">
        <f ca="1">IF(Q286&lt;&gt;"",ABS(MIN(-0.75*('CDO Bespoke'!K287)+'CDO Bespoke'!T287,0)),"")</f>
        <v/>
      </c>
      <c r="S286" s="490" t="str">
        <f t="shared" ca="1" si="18"/>
        <v/>
      </c>
      <c r="T286" s="494" t="str">
        <f t="shared" ca="1" si="19"/>
        <v/>
      </c>
      <c r="U286" s="275"/>
      <c r="V286" s="499" t="str">
        <f ca="1">IF('CDO Bespoke'!C311&lt;&gt;"",'CDO Bespoke'!C311,"")</f>
        <v/>
      </c>
      <c r="W286" s="501" t="str" cm="1">
        <f t="array" aca="1" ref="W286" ca="1">IF($V286&lt;&gt;"",-TRANSPOSE(INDEX(getcds('CDO Bespoke'!$C311,W$13,'CDO Bespoke'!$G311/10000,'CDO Bespoke'!F311,'CDO Bespoke'!$L287,'CDO Bespoke'!$C$13,'CDO Bespoke'!$C$14,'CDO Bespoke'!$C$15,'CDO Bespoke'!$C$8,,,TRUE,TRUE,FALSE,'CDO Bespoke'!$C$29:'CDO Bespoke'!$C$31,'CDO Bespoke'!$C$33),{5})),"")</f>
        <v/>
      </c>
      <c r="X286" s="527" t="str" cm="1">
        <f t="array" aca="1" ref="X286" ca="1">IF($V286&lt;&gt;"",-TRANSPOSE(INDEX(getcds('CDO Bespoke'!$C311,X$13,'CDO Bespoke'!$G311/10000,'CDO Bespoke'!G311,'CDO Bespoke'!$L287,'CDO Bespoke'!$C$13,'CDO Bespoke'!$C$14,'CDO Bespoke'!$C$15,'CDO Bespoke'!$C$8,,,TRUE,TRUE,FALSE,'CDO Bespoke'!$C$29:'CDO Bespoke'!$C$31,'CDO Bespoke'!$C$33),{5})),"")</f>
        <v/>
      </c>
      <c r="Y286" s="527" t="str" cm="1">
        <f t="array" aca="1" ref="Y286" ca="1">IF($V286&lt;&gt;"",-TRANSPOSE(INDEX(getcds('CDO Bespoke'!$C311,Y$13,'CDO Bespoke'!$G311/10000,'CDO Bespoke'!H311,'CDO Bespoke'!$L287,'CDO Bespoke'!$C$13,'CDO Bespoke'!$C$14,'CDO Bespoke'!$C$15,'CDO Bespoke'!$C$8,,,TRUE,TRUE,FALSE,'CDO Bespoke'!$C$29:'CDO Bespoke'!$C$31,'CDO Bespoke'!$C$33),{5})),"")</f>
        <v/>
      </c>
      <c r="Z286" s="527" t="str" cm="1">
        <f t="array" aca="1" ref="Z286" ca="1">IF($V286&lt;&gt;"",-TRANSPOSE(INDEX(getcds('CDO Bespoke'!$C311,Z$13,'CDO Bespoke'!$G311/10000,'CDO Bespoke'!I311,'CDO Bespoke'!$L287,'CDO Bespoke'!$C$13,'CDO Bespoke'!$C$14,'CDO Bespoke'!$C$15,'CDO Bespoke'!$C$8,,,TRUE,TRUE,FALSE,'CDO Bespoke'!$C$29:'CDO Bespoke'!$C$31,'CDO Bespoke'!$C$33),{5})),"")</f>
        <v/>
      </c>
      <c r="AA286" s="502" t="str" cm="1">
        <f t="array" aca="1" ref="AA286" ca="1">IF($V286&lt;&gt;"",-TRANSPOSE(INDEX(getcds('CDO Bespoke'!$C311,AA$13,'CDO Bespoke'!$G311/10000,'CDO Bespoke'!J311,'CDO Bespoke'!$L287,'CDO Bespoke'!$C$13,'CDO Bespoke'!$C$14,'CDO Bespoke'!$C$15,'CDO Bespoke'!$C$8,,,TRUE,TRUE,FALSE,'CDO Bespoke'!$C$29:'CDO Bespoke'!$C$31,'CDO Bespoke'!$C$33),{5})),"")</f>
        <v/>
      </c>
      <c r="AB286" s="481"/>
      <c r="AC286" s="517"/>
      <c r="AD286" s="518"/>
      <c r="AE286" s="518"/>
      <c r="AF286" s="518"/>
      <c r="AG286" s="518"/>
      <c r="AH286" s="518"/>
      <c r="AI286" s="518"/>
      <c r="AJ286" s="518"/>
      <c r="AK286" s="518"/>
      <c r="AL286" s="519"/>
      <c r="AM286" s="540"/>
    </row>
    <row r="287" spans="2:39" ht="12" thickBot="1">
      <c r="B287" s="541" t="s">
        <v>595</v>
      </c>
      <c r="C287" s="542" t="s">
        <v>66</v>
      </c>
      <c r="D287" s="542" t="s">
        <v>57</v>
      </c>
      <c r="E287" s="542" t="s">
        <v>663</v>
      </c>
      <c r="F287" s="542" t="s">
        <v>673</v>
      </c>
      <c r="G287" s="549">
        <v>0.01</v>
      </c>
      <c r="H287" s="549">
        <v>3.0709999999999999E-3</v>
      </c>
      <c r="I287" s="551">
        <v>0.4</v>
      </c>
      <c r="J287" s="543">
        <v>88</v>
      </c>
      <c r="K287" s="275"/>
      <c r="L287" s="275"/>
      <c r="M287" s="489" t="str">
        <f ca="1">IF('CDO Bespoke'!O288&lt;&gt;"",'CDO Bespoke'!O288,"")</f>
        <v/>
      </c>
      <c r="N287" s="490" t="str">
        <f ca="1">IF(M287&lt;&gt;"",ABS(MIN(-0.75*('CDO Bespoke'!Q288)+'CDO Bespoke'!T288,0)),"")</f>
        <v/>
      </c>
      <c r="O287" s="490" t="str">
        <f t="shared" ca="1" si="16"/>
        <v/>
      </c>
      <c r="P287" s="490" t="str">
        <f t="shared" ca="1" si="17"/>
        <v/>
      </c>
      <c r="Q287" s="489" t="str">
        <f ca="1">IF('CDO Bespoke'!O288&lt;&gt;"",'CDO Bespoke'!O288,"")</f>
        <v/>
      </c>
      <c r="R287" s="490" t="str">
        <f ca="1">IF(Q287&lt;&gt;"",ABS(MIN(-0.75*('CDO Bespoke'!K288)+'CDO Bespoke'!T288,0)),"")</f>
        <v/>
      </c>
      <c r="S287" s="490" t="str">
        <f t="shared" ca="1" si="18"/>
        <v/>
      </c>
      <c r="T287" s="494" t="str">
        <f t="shared" ca="1" si="19"/>
        <v/>
      </c>
      <c r="U287" s="275"/>
      <c r="V287" s="499" t="str">
        <f ca="1">IF('CDO Bespoke'!C312&lt;&gt;"",'CDO Bespoke'!C312,"")</f>
        <v/>
      </c>
      <c r="W287" s="501" t="str" cm="1">
        <f t="array" aca="1" ref="W287" ca="1">IF($V287&lt;&gt;"",-TRANSPOSE(INDEX(getcds('CDO Bespoke'!$C312,W$13,'CDO Bespoke'!$G312/10000,'CDO Bespoke'!F312,'CDO Bespoke'!$L288,'CDO Bespoke'!$C$13,'CDO Bespoke'!$C$14,'CDO Bespoke'!$C$15,'CDO Bespoke'!$C$8,,,TRUE,TRUE,FALSE,'CDO Bespoke'!$C$29:'CDO Bespoke'!$C$31,'CDO Bespoke'!$C$33),{5})),"")</f>
        <v/>
      </c>
      <c r="X287" s="527" t="str" cm="1">
        <f t="array" aca="1" ref="X287" ca="1">IF($V287&lt;&gt;"",-TRANSPOSE(INDEX(getcds('CDO Bespoke'!$C312,X$13,'CDO Bespoke'!$G312/10000,'CDO Bespoke'!G312,'CDO Bespoke'!$L288,'CDO Bespoke'!$C$13,'CDO Bespoke'!$C$14,'CDO Bespoke'!$C$15,'CDO Bespoke'!$C$8,,,TRUE,TRUE,FALSE,'CDO Bespoke'!$C$29:'CDO Bespoke'!$C$31,'CDO Bespoke'!$C$33),{5})),"")</f>
        <v/>
      </c>
      <c r="Y287" s="527" t="str" cm="1">
        <f t="array" aca="1" ref="Y287" ca="1">IF($V287&lt;&gt;"",-TRANSPOSE(INDEX(getcds('CDO Bespoke'!$C312,Y$13,'CDO Bespoke'!$G312/10000,'CDO Bespoke'!H312,'CDO Bespoke'!$L288,'CDO Bespoke'!$C$13,'CDO Bespoke'!$C$14,'CDO Bespoke'!$C$15,'CDO Bespoke'!$C$8,,,TRUE,TRUE,FALSE,'CDO Bespoke'!$C$29:'CDO Bespoke'!$C$31,'CDO Bespoke'!$C$33),{5})),"")</f>
        <v/>
      </c>
      <c r="Z287" s="527" t="str" cm="1">
        <f t="array" aca="1" ref="Z287" ca="1">IF($V287&lt;&gt;"",-TRANSPOSE(INDEX(getcds('CDO Bespoke'!$C312,Z$13,'CDO Bespoke'!$G312/10000,'CDO Bespoke'!I312,'CDO Bespoke'!$L288,'CDO Bespoke'!$C$13,'CDO Bespoke'!$C$14,'CDO Bespoke'!$C$15,'CDO Bespoke'!$C$8,,,TRUE,TRUE,FALSE,'CDO Bespoke'!$C$29:'CDO Bespoke'!$C$31,'CDO Bespoke'!$C$33),{5})),"")</f>
        <v/>
      </c>
      <c r="AA287" s="502" t="str" cm="1">
        <f t="array" aca="1" ref="AA287" ca="1">IF($V287&lt;&gt;"",-TRANSPOSE(INDEX(getcds('CDO Bespoke'!$C312,AA$13,'CDO Bespoke'!$G312/10000,'CDO Bespoke'!J312,'CDO Bespoke'!$L288,'CDO Bespoke'!$C$13,'CDO Bespoke'!$C$14,'CDO Bespoke'!$C$15,'CDO Bespoke'!$C$8,,,TRUE,TRUE,FALSE,'CDO Bespoke'!$C$29:'CDO Bespoke'!$C$31,'CDO Bespoke'!$C$33),{5})),"")</f>
        <v/>
      </c>
      <c r="AB287" s="481"/>
      <c r="AC287" s="517"/>
      <c r="AD287" s="518"/>
      <c r="AE287" s="518"/>
      <c r="AF287" s="518"/>
      <c r="AG287" s="518"/>
      <c r="AH287" s="518"/>
      <c r="AI287" s="518"/>
      <c r="AJ287" s="518"/>
      <c r="AK287" s="518"/>
      <c r="AL287" s="519"/>
      <c r="AM287" s="540"/>
    </row>
    <row r="288" spans="2:39" ht="12" thickBot="1">
      <c r="B288" s="558" t="s">
        <v>595</v>
      </c>
      <c r="C288" s="559" t="s">
        <v>66</v>
      </c>
      <c r="D288" s="559" t="s">
        <v>59</v>
      </c>
      <c r="E288" s="559" t="s">
        <v>663</v>
      </c>
      <c r="F288" s="559" t="s">
        <v>673</v>
      </c>
      <c r="G288" s="560">
        <v>0.01</v>
      </c>
      <c r="H288" s="560">
        <v>4.4549999999999998E-3</v>
      </c>
      <c r="I288" s="561">
        <v>0.4</v>
      </c>
      <c r="J288" s="562">
        <v>88</v>
      </c>
      <c r="K288" s="275"/>
      <c r="L288" s="275"/>
      <c r="M288" s="489" t="str">
        <f ca="1">IF('CDO Bespoke'!O289&lt;&gt;"",'CDO Bespoke'!O289,"")</f>
        <v/>
      </c>
      <c r="N288" s="490" t="str">
        <f ca="1">IF(M288&lt;&gt;"",ABS(MIN(-0.75*('CDO Bespoke'!Q289)+'CDO Bespoke'!T289,0)),"")</f>
        <v/>
      </c>
      <c r="O288" s="490" t="str">
        <f t="shared" ca="1" si="16"/>
        <v/>
      </c>
      <c r="P288" s="490" t="str">
        <f t="shared" ca="1" si="17"/>
        <v/>
      </c>
      <c r="Q288" s="489" t="str">
        <f ca="1">IF('CDO Bespoke'!O289&lt;&gt;"",'CDO Bespoke'!O289,"")</f>
        <v/>
      </c>
      <c r="R288" s="490" t="str">
        <f ca="1">IF(Q288&lt;&gt;"",ABS(MIN(-0.75*('CDO Bespoke'!K289)+'CDO Bespoke'!T289,0)),"")</f>
        <v/>
      </c>
      <c r="S288" s="490" t="str">
        <f t="shared" ca="1" si="18"/>
        <v/>
      </c>
      <c r="T288" s="494" t="str">
        <f t="shared" ca="1" si="19"/>
        <v/>
      </c>
      <c r="U288" s="275"/>
      <c r="V288" s="499" t="str">
        <f ca="1">IF('CDO Bespoke'!C313&lt;&gt;"",'CDO Bespoke'!C313,"")</f>
        <v/>
      </c>
      <c r="W288" s="501" t="str" cm="1">
        <f t="array" aca="1" ref="W288" ca="1">IF($V288&lt;&gt;"",-TRANSPOSE(INDEX(getcds('CDO Bespoke'!$C313,W$13,'CDO Bespoke'!$G313/10000,'CDO Bespoke'!F313,'CDO Bespoke'!$L289,'CDO Bespoke'!$C$13,'CDO Bespoke'!$C$14,'CDO Bespoke'!$C$15,'CDO Bespoke'!$C$8,,,TRUE,TRUE,FALSE,'CDO Bespoke'!$C$29:'CDO Bespoke'!$C$31,'CDO Bespoke'!$C$33),{5})),"")</f>
        <v/>
      </c>
      <c r="X288" s="527" t="str" cm="1">
        <f t="array" aca="1" ref="X288" ca="1">IF($V288&lt;&gt;"",-TRANSPOSE(INDEX(getcds('CDO Bespoke'!$C313,X$13,'CDO Bespoke'!$G313/10000,'CDO Bespoke'!G313,'CDO Bespoke'!$L289,'CDO Bespoke'!$C$13,'CDO Bespoke'!$C$14,'CDO Bespoke'!$C$15,'CDO Bespoke'!$C$8,,,TRUE,TRUE,FALSE,'CDO Bespoke'!$C$29:'CDO Bespoke'!$C$31,'CDO Bespoke'!$C$33),{5})),"")</f>
        <v/>
      </c>
      <c r="Y288" s="527" t="str" cm="1">
        <f t="array" aca="1" ref="Y288" ca="1">IF($V288&lt;&gt;"",-TRANSPOSE(INDEX(getcds('CDO Bespoke'!$C313,Y$13,'CDO Bespoke'!$G313/10000,'CDO Bespoke'!H313,'CDO Bespoke'!$L289,'CDO Bespoke'!$C$13,'CDO Bespoke'!$C$14,'CDO Bespoke'!$C$15,'CDO Bespoke'!$C$8,,,TRUE,TRUE,FALSE,'CDO Bespoke'!$C$29:'CDO Bespoke'!$C$31,'CDO Bespoke'!$C$33),{5})),"")</f>
        <v/>
      </c>
      <c r="Z288" s="527" t="str" cm="1">
        <f t="array" aca="1" ref="Z288" ca="1">IF($V288&lt;&gt;"",-TRANSPOSE(INDEX(getcds('CDO Bespoke'!$C313,Z$13,'CDO Bespoke'!$G313/10000,'CDO Bespoke'!I313,'CDO Bespoke'!$L289,'CDO Bespoke'!$C$13,'CDO Bespoke'!$C$14,'CDO Bespoke'!$C$15,'CDO Bespoke'!$C$8,,,TRUE,TRUE,FALSE,'CDO Bespoke'!$C$29:'CDO Bespoke'!$C$31,'CDO Bespoke'!$C$33),{5})),"")</f>
        <v/>
      </c>
      <c r="AA288" s="502" t="str" cm="1">
        <f t="array" aca="1" ref="AA288" ca="1">IF($V288&lt;&gt;"",-TRANSPOSE(INDEX(getcds('CDO Bespoke'!$C313,AA$13,'CDO Bespoke'!$G313/10000,'CDO Bespoke'!J313,'CDO Bespoke'!$L289,'CDO Bespoke'!$C$13,'CDO Bespoke'!$C$14,'CDO Bespoke'!$C$15,'CDO Bespoke'!$C$8,,,TRUE,TRUE,FALSE,'CDO Bespoke'!$C$29:'CDO Bespoke'!$C$31,'CDO Bespoke'!$C$33),{5})),"")</f>
        <v/>
      </c>
      <c r="AB288" s="481"/>
      <c r="AC288" s="517"/>
      <c r="AD288" s="518"/>
      <c r="AE288" s="518"/>
      <c r="AF288" s="518"/>
      <c r="AG288" s="518"/>
      <c r="AH288" s="518"/>
      <c r="AI288" s="518"/>
      <c r="AJ288" s="518"/>
      <c r="AK288" s="518"/>
      <c r="AL288" s="519"/>
      <c r="AM288" s="540"/>
    </row>
    <row r="289" spans="2:39" ht="12" thickBot="1">
      <c r="B289" s="563" t="s">
        <v>603</v>
      </c>
      <c r="C289" s="564" t="s">
        <v>66</v>
      </c>
      <c r="D289" s="564" t="s">
        <v>55</v>
      </c>
      <c r="E289" s="564" t="s">
        <v>663</v>
      </c>
      <c r="F289" s="564" t="s">
        <v>672</v>
      </c>
      <c r="G289" s="565">
        <v>0.01</v>
      </c>
      <c r="H289" s="565">
        <v>3.8760000000000001E-3</v>
      </c>
      <c r="I289" s="566">
        <v>0.4</v>
      </c>
      <c r="J289" s="567">
        <v>89</v>
      </c>
      <c r="K289" s="275"/>
      <c r="L289" s="275"/>
      <c r="M289" s="489" t="str">
        <f ca="1">IF('CDO Bespoke'!O290&lt;&gt;"",'CDO Bespoke'!O290,"")</f>
        <v/>
      </c>
      <c r="N289" s="490" t="str">
        <f ca="1">IF(M289&lt;&gt;"",ABS(MIN(-0.75*('CDO Bespoke'!Q290)+'CDO Bespoke'!T290,0)),"")</f>
        <v/>
      </c>
      <c r="O289" s="490" t="str">
        <f t="shared" ca="1" si="16"/>
        <v/>
      </c>
      <c r="P289" s="490" t="str">
        <f t="shared" ca="1" si="17"/>
        <v/>
      </c>
      <c r="Q289" s="489" t="str">
        <f ca="1">IF('CDO Bespoke'!O290&lt;&gt;"",'CDO Bespoke'!O290,"")</f>
        <v/>
      </c>
      <c r="R289" s="490" t="str">
        <f ca="1">IF(Q289&lt;&gt;"",ABS(MIN(-0.75*('CDO Bespoke'!K290)+'CDO Bespoke'!T290,0)),"")</f>
        <v/>
      </c>
      <c r="S289" s="490" t="str">
        <f t="shared" ca="1" si="18"/>
        <v/>
      </c>
      <c r="T289" s="494" t="str">
        <f t="shared" ca="1" si="19"/>
        <v/>
      </c>
      <c r="U289" s="275"/>
      <c r="V289" s="499" t="str">
        <f ca="1">IF('CDO Bespoke'!C314&lt;&gt;"",'CDO Bespoke'!C314,"")</f>
        <v/>
      </c>
      <c r="W289" s="501" t="str" cm="1">
        <f t="array" aca="1" ref="W289" ca="1">IF($V289&lt;&gt;"",-TRANSPOSE(INDEX(getcds('CDO Bespoke'!$C314,W$13,'CDO Bespoke'!$G314/10000,'CDO Bespoke'!F314,'CDO Bespoke'!$L290,'CDO Bespoke'!$C$13,'CDO Bespoke'!$C$14,'CDO Bespoke'!$C$15,'CDO Bespoke'!$C$8,,,TRUE,TRUE,FALSE,'CDO Bespoke'!$C$29:'CDO Bespoke'!$C$31,'CDO Bespoke'!$C$33),{5})),"")</f>
        <v/>
      </c>
      <c r="X289" s="527" t="str" cm="1">
        <f t="array" aca="1" ref="X289" ca="1">IF($V289&lt;&gt;"",-TRANSPOSE(INDEX(getcds('CDO Bespoke'!$C314,X$13,'CDO Bespoke'!$G314/10000,'CDO Bespoke'!G314,'CDO Bespoke'!$L290,'CDO Bespoke'!$C$13,'CDO Bespoke'!$C$14,'CDO Bespoke'!$C$15,'CDO Bespoke'!$C$8,,,TRUE,TRUE,FALSE,'CDO Bespoke'!$C$29:'CDO Bespoke'!$C$31,'CDO Bespoke'!$C$33),{5})),"")</f>
        <v/>
      </c>
      <c r="Y289" s="527" t="str" cm="1">
        <f t="array" aca="1" ref="Y289" ca="1">IF($V289&lt;&gt;"",-TRANSPOSE(INDEX(getcds('CDO Bespoke'!$C314,Y$13,'CDO Bespoke'!$G314/10000,'CDO Bespoke'!H314,'CDO Bespoke'!$L290,'CDO Bespoke'!$C$13,'CDO Bespoke'!$C$14,'CDO Bespoke'!$C$15,'CDO Bespoke'!$C$8,,,TRUE,TRUE,FALSE,'CDO Bespoke'!$C$29:'CDO Bespoke'!$C$31,'CDO Bespoke'!$C$33),{5})),"")</f>
        <v/>
      </c>
      <c r="Z289" s="527" t="str" cm="1">
        <f t="array" aca="1" ref="Z289" ca="1">IF($V289&lt;&gt;"",-TRANSPOSE(INDEX(getcds('CDO Bespoke'!$C314,Z$13,'CDO Bespoke'!$G314/10000,'CDO Bespoke'!I314,'CDO Bespoke'!$L290,'CDO Bespoke'!$C$13,'CDO Bespoke'!$C$14,'CDO Bespoke'!$C$15,'CDO Bespoke'!$C$8,,,TRUE,TRUE,FALSE,'CDO Bespoke'!$C$29:'CDO Bespoke'!$C$31,'CDO Bespoke'!$C$33),{5})),"")</f>
        <v/>
      </c>
      <c r="AA289" s="502" t="str" cm="1">
        <f t="array" aca="1" ref="AA289" ca="1">IF($V289&lt;&gt;"",-TRANSPOSE(INDEX(getcds('CDO Bespoke'!$C314,AA$13,'CDO Bespoke'!$G314/10000,'CDO Bespoke'!J314,'CDO Bespoke'!$L290,'CDO Bespoke'!$C$13,'CDO Bespoke'!$C$14,'CDO Bespoke'!$C$15,'CDO Bespoke'!$C$8,,,TRUE,TRUE,FALSE,'CDO Bespoke'!$C$29:'CDO Bespoke'!$C$31,'CDO Bespoke'!$C$33),{5})),"")</f>
        <v/>
      </c>
      <c r="AB289" s="481"/>
      <c r="AC289" s="517"/>
      <c r="AD289" s="518"/>
      <c r="AE289" s="518"/>
      <c r="AF289" s="518"/>
      <c r="AG289" s="518"/>
      <c r="AH289" s="518"/>
      <c r="AI289" s="518"/>
      <c r="AJ289" s="518"/>
      <c r="AK289" s="518"/>
      <c r="AL289" s="519"/>
      <c r="AM289" s="540"/>
    </row>
    <row r="290" spans="2:39" ht="12" thickBot="1">
      <c r="B290" s="541" t="s">
        <v>603</v>
      </c>
      <c r="C290" s="542" t="s">
        <v>66</v>
      </c>
      <c r="D290" s="542" t="s">
        <v>57</v>
      </c>
      <c r="E290" s="542" t="s">
        <v>663</v>
      </c>
      <c r="F290" s="542" t="s">
        <v>672</v>
      </c>
      <c r="G290" s="549">
        <v>0.01</v>
      </c>
      <c r="H290" s="549">
        <v>6.6940000000000003E-3</v>
      </c>
      <c r="I290" s="551">
        <v>0.4</v>
      </c>
      <c r="J290" s="543">
        <v>89</v>
      </c>
      <c r="K290" s="275"/>
      <c r="L290" s="275"/>
      <c r="M290" s="489" t="str">
        <f ca="1">IF('CDO Bespoke'!O291&lt;&gt;"",'CDO Bespoke'!O291,"")</f>
        <v/>
      </c>
      <c r="N290" s="490" t="str">
        <f ca="1">IF(M290&lt;&gt;"",ABS(MIN(-0.75*('CDO Bespoke'!Q291)+'CDO Bespoke'!T291,0)),"")</f>
        <v/>
      </c>
      <c r="O290" s="490" t="str">
        <f t="shared" ca="1" si="16"/>
        <v/>
      </c>
      <c r="P290" s="490" t="str">
        <f t="shared" ca="1" si="17"/>
        <v/>
      </c>
      <c r="Q290" s="489" t="str">
        <f ca="1">IF('CDO Bespoke'!O291&lt;&gt;"",'CDO Bespoke'!O291,"")</f>
        <v/>
      </c>
      <c r="R290" s="490" t="str">
        <f ca="1">IF(Q290&lt;&gt;"",ABS(MIN(-0.75*('CDO Bespoke'!K291)+'CDO Bespoke'!T291,0)),"")</f>
        <v/>
      </c>
      <c r="S290" s="490" t="str">
        <f t="shared" ca="1" si="18"/>
        <v/>
      </c>
      <c r="T290" s="494" t="str">
        <f t="shared" ca="1" si="19"/>
        <v/>
      </c>
      <c r="U290" s="275"/>
      <c r="V290" s="499" t="str">
        <f ca="1">IF('CDO Bespoke'!C315&lt;&gt;"",'CDO Bespoke'!C315,"")</f>
        <v/>
      </c>
      <c r="W290" s="501" t="str" cm="1">
        <f t="array" aca="1" ref="W290" ca="1">IF($V290&lt;&gt;"",-TRANSPOSE(INDEX(getcds('CDO Bespoke'!$C315,W$13,'CDO Bespoke'!$G315/10000,'CDO Bespoke'!F315,'CDO Bespoke'!$L291,'CDO Bespoke'!$C$13,'CDO Bespoke'!$C$14,'CDO Bespoke'!$C$15,'CDO Bespoke'!$C$8,,,TRUE,TRUE,FALSE,'CDO Bespoke'!$C$29:'CDO Bespoke'!$C$31,'CDO Bespoke'!$C$33),{5})),"")</f>
        <v/>
      </c>
      <c r="X290" s="527" t="str" cm="1">
        <f t="array" aca="1" ref="X290" ca="1">IF($V290&lt;&gt;"",-TRANSPOSE(INDEX(getcds('CDO Bespoke'!$C315,X$13,'CDO Bespoke'!$G315/10000,'CDO Bespoke'!G315,'CDO Bespoke'!$L291,'CDO Bespoke'!$C$13,'CDO Bespoke'!$C$14,'CDO Bespoke'!$C$15,'CDO Bespoke'!$C$8,,,TRUE,TRUE,FALSE,'CDO Bespoke'!$C$29:'CDO Bespoke'!$C$31,'CDO Bespoke'!$C$33),{5})),"")</f>
        <v/>
      </c>
      <c r="Y290" s="527" t="str" cm="1">
        <f t="array" aca="1" ref="Y290" ca="1">IF($V290&lt;&gt;"",-TRANSPOSE(INDEX(getcds('CDO Bespoke'!$C315,Y$13,'CDO Bespoke'!$G315/10000,'CDO Bespoke'!H315,'CDO Bespoke'!$L291,'CDO Bespoke'!$C$13,'CDO Bespoke'!$C$14,'CDO Bespoke'!$C$15,'CDO Bespoke'!$C$8,,,TRUE,TRUE,FALSE,'CDO Bespoke'!$C$29:'CDO Bespoke'!$C$31,'CDO Bespoke'!$C$33),{5})),"")</f>
        <v/>
      </c>
      <c r="Z290" s="527" t="str" cm="1">
        <f t="array" aca="1" ref="Z290" ca="1">IF($V290&lt;&gt;"",-TRANSPOSE(INDEX(getcds('CDO Bespoke'!$C315,Z$13,'CDO Bespoke'!$G315/10000,'CDO Bespoke'!I315,'CDO Bespoke'!$L291,'CDO Bespoke'!$C$13,'CDO Bespoke'!$C$14,'CDO Bespoke'!$C$15,'CDO Bespoke'!$C$8,,,TRUE,TRUE,FALSE,'CDO Bespoke'!$C$29:'CDO Bespoke'!$C$31,'CDO Bespoke'!$C$33),{5})),"")</f>
        <v/>
      </c>
      <c r="AA290" s="502" t="str" cm="1">
        <f t="array" aca="1" ref="AA290" ca="1">IF($V290&lt;&gt;"",-TRANSPOSE(INDEX(getcds('CDO Bespoke'!$C315,AA$13,'CDO Bespoke'!$G315/10000,'CDO Bespoke'!J315,'CDO Bespoke'!$L291,'CDO Bespoke'!$C$13,'CDO Bespoke'!$C$14,'CDO Bespoke'!$C$15,'CDO Bespoke'!$C$8,,,TRUE,TRUE,FALSE,'CDO Bespoke'!$C$29:'CDO Bespoke'!$C$31,'CDO Bespoke'!$C$33),{5})),"")</f>
        <v/>
      </c>
      <c r="AB290" s="481"/>
      <c r="AC290" s="517"/>
      <c r="AD290" s="518"/>
      <c r="AE290" s="518"/>
      <c r="AF290" s="518"/>
      <c r="AG290" s="518"/>
      <c r="AH290" s="518"/>
      <c r="AI290" s="518"/>
      <c r="AJ290" s="518"/>
      <c r="AK290" s="518"/>
      <c r="AL290" s="519"/>
      <c r="AM290" s="540"/>
    </row>
    <row r="291" spans="2:39" ht="12" thickBot="1">
      <c r="B291" s="558" t="s">
        <v>603</v>
      </c>
      <c r="C291" s="559" t="s">
        <v>66</v>
      </c>
      <c r="D291" s="559" t="s">
        <v>59</v>
      </c>
      <c r="E291" s="559" t="s">
        <v>663</v>
      </c>
      <c r="F291" s="559" t="s">
        <v>672</v>
      </c>
      <c r="G291" s="560">
        <v>0.01</v>
      </c>
      <c r="H291" s="560">
        <v>1.0071999999999999E-2</v>
      </c>
      <c r="I291" s="561">
        <v>0.4</v>
      </c>
      <c r="J291" s="562">
        <v>89</v>
      </c>
      <c r="K291" s="275"/>
      <c r="L291" s="275"/>
      <c r="M291" s="489" t="str">
        <f ca="1">IF('CDO Bespoke'!O292&lt;&gt;"",'CDO Bespoke'!O292,"")</f>
        <v/>
      </c>
      <c r="N291" s="490" t="str">
        <f ca="1">IF(M291&lt;&gt;"",ABS(MIN(-0.75*('CDO Bespoke'!Q292)+'CDO Bespoke'!T292,0)),"")</f>
        <v/>
      </c>
      <c r="O291" s="490" t="str">
        <f t="shared" ca="1" si="16"/>
        <v/>
      </c>
      <c r="P291" s="490" t="str">
        <f t="shared" ca="1" si="17"/>
        <v/>
      </c>
      <c r="Q291" s="489" t="str">
        <f ca="1">IF('CDO Bespoke'!O292&lt;&gt;"",'CDO Bespoke'!O292,"")</f>
        <v/>
      </c>
      <c r="R291" s="490" t="str">
        <f ca="1">IF(Q291&lt;&gt;"",ABS(MIN(-0.75*('CDO Bespoke'!K292)+'CDO Bespoke'!T292,0)),"")</f>
        <v/>
      </c>
      <c r="S291" s="490" t="str">
        <f t="shared" ca="1" si="18"/>
        <v/>
      </c>
      <c r="T291" s="494" t="str">
        <f t="shared" ca="1" si="19"/>
        <v/>
      </c>
      <c r="U291" s="275"/>
      <c r="V291" s="499" t="str">
        <f ca="1">IF('CDO Bespoke'!C316&lt;&gt;"",'CDO Bespoke'!C316,"")</f>
        <v/>
      </c>
      <c r="W291" s="501" t="str" cm="1">
        <f t="array" aca="1" ref="W291" ca="1">IF($V291&lt;&gt;"",-TRANSPOSE(INDEX(getcds('CDO Bespoke'!$C316,W$13,'CDO Bespoke'!$G316/10000,'CDO Bespoke'!F316,'CDO Bespoke'!$L292,'CDO Bespoke'!$C$13,'CDO Bespoke'!$C$14,'CDO Bespoke'!$C$15,'CDO Bespoke'!$C$8,,,TRUE,TRUE,FALSE,'CDO Bespoke'!$C$29:'CDO Bespoke'!$C$31,'CDO Bespoke'!$C$33),{5})),"")</f>
        <v/>
      </c>
      <c r="X291" s="527" t="str" cm="1">
        <f t="array" aca="1" ref="X291" ca="1">IF($V291&lt;&gt;"",-TRANSPOSE(INDEX(getcds('CDO Bespoke'!$C316,X$13,'CDO Bespoke'!$G316/10000,'CDO Bespoke'!G316,'CDO Bespoke'!$L292,'CDO Bespoke'!$C$13,'CDO Bespoke'!$C$14,'CDO Bespoke'!$C$15,'CDO Bespoke'!$C$8,,,TRUE,TRUE,FALSE,'CDO Bespoke'!$C$29:'CDO Bespoke'!$C$31,'CDO Bespoke'!$C$33),{5})),"")</f>
        <v/>
      </c>
      <c r="Y291" s="527" t="str" cm="1">
        <f t="array" aca="1" ref="Y291" ca="1">IF($V291&lt;&gt;"",-TRANSPOSE(INDEX(getcds('CDO Bespoke'!$C316,Y$13,'CDO Bespoke'!$G316/10000,'CDO Bespoke'!H316,'CDO Bespoke'!$L292,'CDO Bespoke'!$C$13,'CDO Bespoke'!$C$14,'CDO Bespoke'!$C$15,'CDO Bespoke'!$C$8,,,TRUE,TRUE,FALSE,'CDO Bespoke'!$C$29:'CDO Bespoke'!$C$31,'CDO Bespoke'!$C$33),{5})),"")</f>
        <v/>
      </c>
      <c r="Z291" s="527" t="str" cm="1">
        <f t="array" aca="1" ref="Z291" ca="1">IF($V291&lt;&gt;"",-TRANSPOSE(INDEX(getcds('CDO Bespoke'!$C316,Z$13,'CDO Bespoke'!$G316/10000,'CDO Bespoke'!I316,'CDO Bespoke'!$L292,'CDO Bespoke'!$C$13,'CDO Bespoke'!$C$14,'CDO Bespoke'!$C$15,'CDO Bespoke'!$C$8,,,TRUE,TRUE,FALSE,'CDO Bespoke'!$C$29:'CDO Bespoke'!$C$31,'CDO Bespoke'!$C$33),{5})),"")</f>
        <v/>
      </c>
      <c r="AA291" s="502" t="str" cm="1">
        <f t="array" aca="1" ref="AA291" ca="1">IF($V291&lt;&gt;"",-TRANSPOSE(INDEX(getcds('CDO Bespoke'!$C316,AA$13,'CDO Bespoke'!$G316/10000,'CDO Bespoke'!J316,'CDO Bespoke'!$L292,'CDO Bespoke'!$C$13,'CDO Bespoke'!$C$14,'CDO Bespoke'!$C$15,'CDO Bespoke'!$C$8,,,TRUE,TRUE,FALSE,'CDO Bespoke'!$C$29:'CDO Bespoke'!$C$31,'CDO Bespoke'!$C$33),{5})),"")</f>
        <v/>
      </c>
      <c r="AB291" s="481"/>
      <c r="AC291" s="517"/>
      <c r="AD291" s="518"/>
      <c r="AE291" s="518"/>
      <c r="AF291" s="518"/>
      <c r="AG291" s="518"/>
      <c r="AH291" s="518"/>
      <c r="AI291" s="518"/>
      <c r="AJ291" s="518"/>
      <c r="AK291" s="518"/>
      <c r="AL291" s="519"/>
      <c r="AM291" s="540"/>
    </row>
    <row r="292" spans="2:39" ht="12" thickBot="1">
      <c r="B292" s="563" t="s">
        <v>596</v>
      </c>
      <c r="C292" s="564" t="s">
        <v>66</v>
      </c>
      <c r="D292" s="564" t="s">
        <v>55</v>
      </c>
      <c r="E292" s="564" t="s">
        <v>661</v>
      </c>
      <c r="F292" s="564" t="s">
        <v>672</v>
      </c>
      <c r="G292" s="565">
        <v>0.01</v>
      </c>
      <c r="H292" s="565">
        <v>1.3079999999999999E-3</v>
      </c>
      <c r="I292" s="566">
        <v>0.4</v>
      </c>
      <c r="J292" s="567">
        <v>90</v>
      </c>
      <c r="K292" s="275"/>
      <c r="L292" s="275"/>
      <c r="M292" s="489" t="str">
        <f ca="1">IF('CDO Bespoke'!O293&lt;&gt;"",'CDO Bespoke'!O293,"")</f>
        <v/>
      </c>
      <c r="N292" s="490" t="str">
        <f ca="1">IF(M292&lt;&gt;"",ABS(MIN(-0.75*('CDO Bespoke'!Q293)+'CDO Bespoke'!T293,0)),"")</f>
        <v/>
      </c>
      <c r="O292" s="490" t="str">
        <f t="shared" ca="1" si="16"/>
        <v/>
      </c>
      <c r="P292" s="490" t="str">
        <f t="shared" ca="1" si="17"/>
        <v/>
      </c>
      <c r="Q292" s="489" t="str">
        <f ca="1">IF('CDO Bespoke'!O293&lt;&gt;"",'CDO Bespoke'!O293,"")</f>
        <v/>
      </c>
      <c r="R292" s="490" t="str">
        <f ca="1">IF(Q292&lt;&gt;"",ABS(MIN(-0.75*('CDO Bespoke'!K293)+'CDO Bespoke'!T293,0)),"")</f>
        <v/>
      </c>
      <c r="S292" s="490" t="str">
        <f t="shared" ca="1" si="18"/>
        <v/>
      </c>
      <c r="T292" s="494" t="str">
        <f t="shared" ca="1" si="19"/>
        <v/>
      </c>
      <c r="U292" s="275"/>
      <c r="V292" s="499" t="str">
        <f ca="1">IF('CDO Bespoke'!C317&lt;&gt;"",'CDO Bespoke'!C317,"")</f>
        <v/>
      </c>
      <c r="W292" s="501" t="str" cm="1">
        <f t="array" aca="1" ref="W292" ca="1">IF($V292&lt;&gt;"",-TRANSPOSE(INDEX(getcds('CDO Bespoke'!$C317,W$13,'CDO Bespoke'!$G317/10000,'CDO Bespoke'!F317,'CDO Bespoke'!$L293,'CDO Bespoke'!$C$13,'CDO Bespoke'!$C$14,'CDO Bespoke'!$C$15,'CDO Bespoke'!$C$8,,,TRUE,TRUE,FALSE,'CDO Bespoke'!$C$29:'CDO Bespoke'!$C$31,'CDO Bespoke'!$C$33),{5})),"")</f>
        <v/>
      </c>
      <c r="X292" s="527" t="str" cm="1">
        <f t="array" aca="1" ref="X292" ca="1">IF($V292&lt;&gt;"",-TRANSPOSE(INDEX(getcds('CDO Bespoke'!$C317,X$13,'CDO Bespoke'!$G317/10000,'CDO Bespoke'!G317,'CDO Bespoke'!$L293,'CDO Bespoke'!$C$13,'CDO Bespoke'!$C$14,'CDO Bespoke'!$C$15,'CDO Bespoke'!$C$8,,,TRUE,TRUE,FALSE,'CDO Bespoke'!$C$29:'CDO Bespoke'!$C$31,'CDO Bespoke'!$C$33),{5})),"")</f>
        <v/>
      </c>
      <c r="Y292" s="527" t="str" cm="1">
        <f t="array" aca="1" ref="Y292" ca="1">IF($V292&lt;&gt;"",-TRANSPOSE(INDEX(getcds('CDO Bespoke'!$C317,Y$13,'CDO Bespoke'!$G317/10000,'CDO Bespoke'!H317,'CDO Bespoke'!$L293,'CDO Bespoke'!$C$13,'CDO Bespoke'!$C$14,'CDO Bespoke'!$C$15,'CDO Bespoke'!$C$8,,,TRUE,TRUE,FALSE,'CDO Bespoke'!$C$29:'CDO Bespoke'!$C$31,'CDO Bespoke'!$C$33),{5})),"")</f>
        <v/>
      </c>
      <c r="Z292" s="527" t="str" cm="1">
        <f t="array" aca="1" ref="Z292" ca="1">IF($V292&lt;&gt;"",-TRANSPOSE(INDEX(getcds('CDO Bespoke'!$C317,Z$13,'CDO Bespoke'!$G317/10000,'CDO Bespoke'!I317,'CDO Bespoke'!$L293,'CDO Bespoke'!$C$13,'CDO Bespoke'!$C$14,'CDO Bespoke'!$C$15,'CDO Bespoke'!$C$8,,,TRUE,TRUE,FALSE,'CDO Bespoke'!$C$29:'CDO Bespoke'!$C$31,'CDO Bespoke'!$C$33),{5})),"")</f>
        <v/>
      </c>
      <c r="AA292" s="502" t="str" cm="1">
        <f t="array" aca="1" ref="AA292" ca="1">IF($V292&lt;&gt;"",-TRANSPOSE(INDEX(getcds('CDO Bespoke'!$C317,AA$13,'CDO Bespoke'!$G317/10000,'CDO Bespoke'!J317,'CDO Bespoke'!$L293,'CDO Bespoke'!$C$13,'CDO Bespoke'!$C$14,'CDO Bespoke'!$C$15,'CDO Bespoke'!$C$8,,,TRUE,TRUE,FALSE,'CDO Bespoke'!$C$29:'CDO Bespoke'!$C$31,'CDO Bespoke'!$C$33),{5})),"")</f>
        <v/>
      </c>
      <c r="AB292" s="481"/>
      <c r="AC292" s="517"/>
      <c r="AD292" s="518"/>
      <c r="AE292" s="518"/>
      <c r="AF292" s="518"/>
      <c r="AG292" s="518"/>
      <c r="AH292" s="518"/>
      <c r="AI292" s="518"/>
      <c r="AJ292" s="518"/>
      <c r="AK292" s="518"/>
      <c r="AL292" s="519"/>
      <c r="AM292" s="540"/>
    </row>
    <row r="293" spans="2:39" ht="12" thickBot="1">
      <c r="B293" s="541" t="s">
        <v>596</v>
      </c>
      <c r="C293" s="542" t="s">
        <v>66</v>
      </c>
      <c r="D293" s="542" t="s">
        <v>57</v>
      </c>
      <c r="E293" s="542" t="s">
        <v>661</v>
      </c>
      <c r="F293" s="542" t="s">
        <v>672</v>
      </c>
      <c r="G293" s="549">
        <v>0.01</v>
      </c>
      <c r="H293" s="549">
        <v>2.3080000000000002E-3</v>
      </c>
      <c r="I293" s="551">
        <v>0.4</v>
      </c>
      <c r="J293" s="543">
        <v>90</v>
      </c>
      <c r="K293" s="275"/>
      <c r="L293" s="275"/>
      <c r="M293" s="489" t="str">
        <f ca="1">IF('CDO Bespoke'!O294&lt;&gt;"",'CDO Bespoke'!O294,"")</f>
        <v/>
      </c>
      <c r="N293" s="490" t="str">
        <f ca="1">IF(M293&lt;&gt;"",ABS(MIN(-0.75*('CDO Bespoke'!Q294)+'CDO Bespoke'!T294,0)),"")</f>
        <v/>
      </c>
      <c r="O293" s="490" t="str">
        <f t="shared" ca="1" si="16"/>
        <v/>
      </c>
      <c r="P293" s="490" t="str">
        <f t="shared" ca="1" si="17"/>
        <v/>
      </c>
      <c r="Q293" s="489" t="str">
        <f ca="1">IF('CDO Bespoke'!O294&lt;&gt;"",'CDO Bespoke'!O294,"")</f>
        <v/>
      </c>
      <c r="R293" s="490" t="str">
        <f ca="1">IF(Q293&lt;&gt;"",ABS(MIN(-0.75*('CDO Bespoke'!K294)+'CDO Bespoke'!T294,0)),"")</f>
        <v/>
      </c>
      <c r="S293" s="490" t="str">
        <f t="shared" ca="1" si="18"/>
        <v/>
      </c>
      <c r="T293" s="494" t="str">
        <f t="shared" ca="1" si="19"/>
        <v/>
      </c>
      <c r="U293" s="275"/>
      <c r="V293" s="499" t="str">
        <f ca="1">IF('CDO Bespoke'!C318&lt;&gt;"",'CDO Bespoke'!C318,"")</f>
        <v/>
      </c>
      <c r="W293" s="501" t="str" cm="1">
        <f t="array" aca="1" ref="W293" ca="1">IF($V293&lt;&gt;"",-TRANSPOSE(INDEX(getcds('CDO Bespoke'!$C318,W$13,'CDO Bespoke'!$G318/10000,'CDO Bespoke'!F318,'CDO Bespoke'!$L294,'CDO Bespoke'!$C$13,'CDO Bespoke'!$C$14,'CDO Bespoke'!$C$15,'CDO Bespoke'!$C$8,,,TRUE,TRUE,FALSE,'CDO Bespoke'!$C$29:'CDO Bespoke'!$C$31,'CDO Bespoke'!$C$33),{5})),"")</f>
        <v/>
      </c>
      <c r="X293" s="527" t="str" cm="1">
        <f t="array" aca="1" ref="X293" ca="1">IF($V293&lt;&gt;"",-TRANSPOSE(INDEX(getcds('CDO Bespoke'!$C318,X$13,'CDO Bespoke'!$G318/10000,'CDO Bespoke'!G318,'CDO Bespoke'!$L294,'CDO Bespoke'!$C$13,'CDO Bespoke'!$C$14,'CDO Bespoke'!$C$15,'CDO Bespoke'!$C$8,,,TRUE,TRUE,FALSE,'CDO Bespoke'!$C$29:'CDO Bespoke'!$C$31,'CDO Bespoke'!$C$33),{5})),"")</f>
        <v/>
      </c>
      <c r="Y293" s="527" t="str" cm="1">
        <f t="array" aca="1" ref="Y293" ca="1">IF($V293&lt;&gt;"",-TRANSPOSE(INDEX(getcds('CDO Bespoke'!$C318,Y$13,'CDO Bespoke'!$G318/10000,'CDO Bespoke'!H318,'CDO Bespoke'!$L294,'CDO Bespoke'!$C$13,'CDO Bespoke'!$C$14,'CDO Bespoke'!$C$15,'CDO Bespoke'!$C$8,,,TRUE,TRUE,FALSE,'CDO Bespoke'!$C$29:'CDO Bespoke'!$C$31,'CDO Bespoke'!$C$33),{5})),"")</f>
        <v/>
      </c>
      <c r="Z293" s="527" t="str" cm="1">
        <f t="array" aca="1" ref="Z293" ca="1">IF($V293&lt;&gt;"",-TRANSPOSE(INDEX(getcds('CDO Bespoke'!$C318,Z$13,'CDO Bespoke'!$G318/10000,'CDO Bespoke'!I318,'CDO Bespoke'!$L294,'CDO Bespoke'!$C$13,'CDO Bespoke'!$C$14,'CDO Bespoke'!$C$15,'CDO Bespoke'!$C$8,,,TRUE,TRUE,FALSE,'CDO Bespoke'!$C$29:'CDO Bespoke'!$C$31,'CDO Bespoke'!$C$33),{5})),"")</f>
        <v/>
      </c>
      <c r="AA293" s="502" t="str" cm="1">
        <f t="array" aca="1" ref="AA293" ca="1">IF($V293&lt;&gt;"",-TRANSPOSE(INDEX(getcds('CDO Bespoke'!$C318,AA$13,'CDO Bespoke'!$G318/10000,'CDO Bespoke'!J318,'CDO Bespoke'!$L294,'CDO Bespoke'!$C$13,'CDO Bespoke'!$C$14,'CDO Bespoke'!$C$15,'CDO Bespoke'!$C$8,,,TRUE,TRUE,FALSE,'CDO Bespoke'!$C$29:'CDO Bespoke'!$C$31,'CDO Bespoke'!$C$33),{5})),"")</f>
        <v/>
      </c>
      <c r="AB293" s="481"/>
      <c r="AC293" s="517"/>
      <c r="AD293" s="518"/>
      <c r="AE293" s="518"/>
      <c r="AF293" s="518"/>
      <c r="AG293" s="518"/>
      <c r="AH293" s="518"/>
      <c r="AI293" s="518"/>
      <c r="AJ293" s="518"/>
      <c r="AK293" s="518"/>
      <c r="AL293" s="519"/>
      <c r="AM293" s="540"/>
    </row>
    <row r="294" spans="2:39" ht="12" thickBot="1">
      <c r="B294" s="558" t="s">
        <v>596</v>
      </c>
      <c r="C294" s="559" t="s">
        <v>66</v>
      </c>
      <c r="D294" s="559" t="s">
        <v>59</v>
      </c>
      <c r="E294" s="559" t="s">
        <v>661</v>
      </c>
      <c r="F294" s="559" t="s">
        <v>672</v>
      </c>
      <c r="G294" s="560">
        <v>0.01</v>
      </c>
      <c r="H294" s="560">
        <v>3.643E-3</v>
      </c>
      <c r="I294" s="561">
        <v>0.4</v>
      </c>
      <c r="J294" s="562">
        <v>90</v>
      </c>
      <c r="K294" s="275"/>
      <c r="L294" s="275"/>
      <c r="M294" s="489" t="str">
        <f ca="1">IF('CDO Bespoke'!O295&lt;&gt;"",'CDO Bespoke'!O295,"")</f>
        <v/>
      </c>
      <c r="N294" s="490" t="str">
        <f ca="1">IF(M294&lt;&gt;"",ABS(MIN(-0.75*('CDO Bespoke'!Q295)+'CDO Bespoke'!T295,0)),"")</f>
        <v/>
      </c>
      <c r="O294" s="490" t="str">
        <f t="shared" ca="1" si="16"/>
        <v/>
      </c>
      <c r="P294" s="490" t="str">
        <f t="shared" ca="1" si="17"/>
        <v/>
      </c>
      <c r="Q294" s="489" t="str">
        <f ca="1">IF('CDO Bespoke'!O295&lt;&gt;"",'CDO Bespoke'!O295,"")</f>
        <v/>
      </c>
      <c r="R294" s="490" t="str">
        <f ca="1">IF(Q294&lt;&gt;"",ABS(MIN(-0.75*('CDO Bespoke'!K295)+'CDO Bespoke'!T295,0)),"")</f>
        <v/>
      </c>
      <c r="S294" s="490" t="str">
        <f t="shared" ca="1" si="18"/>
        <v/>
      </c>
      <c r="T294" s="494" t="str">
        <f t="shared" ca="1" si="19"/>
        <v/>
      </c>
      <c r="U294" s="275"/>
      <c r="V294" s="499" t="str">
        <f ca="1">IF('CDO Bespoke'!C319&lt;&gt;"",'CDO Bespoke'!C319,"")</f>
        <v/>
      </c>
      <c r="W294" s="501" t="str" cm="1">
        <f t="array" aca="1" ref="W294" ca="1">IF($V294&lt;&gt;"",-TRANSPOSE(INDEX(getcds('CDO Bespoke'!$C319,W$13,'CDO Bespoke'!$G319/10000,'CDO Bespoke'!F319,'CDO Bespoke'!$L295,'CDO Bespoke'!$C$13,'CDO Bespoke'!$C$14,'CDO Bespoke'!$C$15,'CDO Bespoke'!$C$8,,,TRUE,TRUE,FALSE,'CDO Bespoke'!$C$29:'CDO Bespoke'!$C$31,'CDO Bespoke'!$C$33),{5})),"")</f>
        <v/>
      </c>
      <c r="X294" s="527" t="str" cm="1">
        <f t="array" aca="1" ref="X294" ca="1">IF($V294&lt;&gt;"",-TRANSPOSE(INDEX(getcds('CDO Bespoke'!$C319,X$13,'CDO Bespoke'!$G319/10000,'CDO Bespoke'!G319,'CDO Bespoke'!$L295,'CDO Bespoke'!$C$13,'CDO Bespoke'!$C$14,'CDO Bespoke'!$C$15,'CDO Bespoke'!$C$8,,,TRUE,TRUE,FALSE,'CDO Bespoke'!$C$29:'CDO Bespoke'!$C$31,'CDO Bespoke'!$C$33),{5})),"")</f>
        <v/>
      </c>
      <c r="Y294" s="527" t="str" cm="1">
        <f t="array" aca="1" ref="Y294" ca="1">IF($V294&lt;&gt;"",-TRANSPOSE(INDEX(getcds('CDO Bespoke'!$C319,Y$13,'CDO Bespoke'!$G319/10000,'CDO Bespoke'!H319,'CDO Bespoke'!$L295,'CDO Bespoke'!$C$13,'CDO Bespoke'!$C$14,'CDO Bespoke'!$C$15,'CDO Bespoke'!$C$8,,,TRUE,TRUE,FALSE,'CDO Bespoke'!$C$29:'CDO Bespoke'!$C$31,'CDO Bespoke'!$C$33),{5})),"")</f>
        <v/>
      </c>
      <c r="Z294" s="527" t="str" cm="1">
        <f t="array" aca="1" ref="Z294" ca="1">IF($V294&lt;&gt;"",-TRANSPOSE(INDEX(getcds('CDO Bespoke'!$C319,Z$13,'CDO Bespoke'!$G319/10000,'CDO Bespoke'!I319,'CDO Bespoke'!$L295,'CDO Bespoke'!$C$13,'CDO Bespoke'!$C$14,'CDO Bespoke'!$C$15,'CDO Bespoke'!$C$8,,,TRUE,TRUE,FALSE,'CDO Bespoke'!$C$29:'CDO Bespoke'!$C$31,'CDO Bespoke'!$C$33),{5})),"")</f>
        <v/>
      </c>
      <c r="AA294" s="502" t="str" cm="1">
        <f t="array" aca="1" ref="AA294" ca="1">IF($V294&lt;&gt;"",-TRANSPOSE(INDEX(getcds('CDO Bespoke'!$C319,AA$13,'CDO Bespoke'!$G319/10000,'CDO Bespoke'!J319,'CDO Bespoke'!$L295,'CDO Bespoke'!$C$13,'CDO Bespoke'!$C$14,'CDO Bespoke'!$C$15,'CDO Bespoke'!$C$8,,,TRUE,TRUE,FALSE,'CDO Bespoke'!$C$29:'CDO Bespoke'!$C$31,'CDO Bespoke'!$C$33),{5})),"")</f>
        <v/>
      </c>
      <c r="AB294" s="481"/>
      <c r="AC294" s="517"/>
      <c r="AD294" s="518"/>
      <c r="AE294" s="518"/>
      <c r="AF294" s="518"/>
      <c r="AG294" s="518"/>
      <c r="AH294" s="518"/>
      <c r="AI294" s="518"/>
      <c r="AJ294" s="518"/>
      <c r="AK294" s="518"/>
      <c r="AL294" s="519"/>
      <c r="AM294" s="540"/>
    </row>
    <row r="295" spans="2:39" ht="12" thickBot="1">
      <c r="B295" s="563" t="s">
        <v>604</v>
      </c>
      <c r="C295" s="564" t="s">
        <v>66</v>
      </c>
      <c r="D295" s="564" t="s">
        <v>55</v>
      </c>
      <c r="E295" s="564" t="s">
        <v>663</v>
      </c>
      <c r="F295" s="564" t="s">
        <v>672</v>
      </c>
      <c r="G295" s="565">
        <v>0.01</v>
      </c>
      <c r="H295" s="565">
        <v>1.5479999999999999E-3</v>
      </c>
      <c r="I295" s="566">
        <v>0.4</v>
      </c>
      <c r="J295" s="567">
        <v>91</v>
      </c>
      <c r="K295" s="275"/>
      <c r="L295" s="275"/>
      <c r="M295" s="489" t="str">
        <f ca="1">IF('CDO Bespoke'!O296&lt;&gt;"",'CDO Bespoke'!O296,"")</f>
        <v/>
      </c>
      <c r="N295" s="490" t="str">
        <f ca="1">IF(M295&lt;&gt;"",ABS(MIN(-0.75*('CDO Bespoke'!Q296)+'CDO Bespoke'!T296,0)),"")</f>
        <v/>
      </c>
      <c r="O295" s="490" t="str">
        <f t="shared" ca="1" si="16"/>
        <v/>
      </c>
      <c r="P295" s="490" t="str">
        <f t="shared" ca="1" si="17"/>
        <v/>
      </c>
      <c r="Q295" s="489" t="str">
        <f ca="1">IF('CDO Bespoke'!O296&lt;&gt;"",'CDO Bespoke'!O296,"")</f>
        <v/>
      </c>
      <c r="R295" s="490" t="str">
        <f ca="1">IF(Q295&lt;&gt;"",ABS(MIN(-0.75*('CDO Bespoke'!K296)+'CDO Bespoke'!T296,0)),"")</f>
        <v/>
      </c>
      <c r="S295" s="490" t="str">
        <f t="shared" ca="1" si="18"/>
        <v/>
      </c>
      <c r="T295" s="494" t="str">
        <f t="shared" ca="1" si="19"/>
        <v/>
      </c>
      <c r="U295" s="275"/>
      <c r="V295" s="499" t="str">
        <f ca="1">IF('CDO Bespoke'!C320&lt;&gt;"",'CDO Bespoke'!C320,"")</f>
        <v/>
      </c>
      <c r="W295" s="501" t="str" cm="1">
        <f t="array" aca="1" ref="W295" ca="1">IF($V295&lt;&gt;"",-TRANSPOSE(INDEX(getcds('CDO Bespoke'!$C320,W$13,'CDO Bespoke'!$G320/10000,'CDO Bespoke'!F320,'CDO Bespoke'!$L296,'CDO Bespoke'!$C$13,'CDO Bespoke'!$C$14,'CDO Bespoke'!$C$15,'CDO Bespoke'!$C$8,,,TRUE,TRUE,FALSE,'CDO Bespoke'!$C$29:'CDO Bespoke'!$C$31,'CDO Bespoke'!$C$33),{5})),"")</f>
        <v/>
      </c>
      <c r="X295" s="527" t="str" cm="1">
        <f t="array" aca="1" ref="X295" ca="1">IF($V295&lt;&gt;"",-TRANSPOSE(INDEX(getcds('CDO Bespoke'!$C320,X$13,'CDO Bespoke'!$G320/10000,'CDO Bespoke'!G320,'CDO Bespoke'!$L296,'CDO Bespoke'!$C$13,'CDO Bespoke'!$C$14,'CDO Bespoke'!$C$15,'CDO Bespoke'!$C$8,,,TRUE,TRUE,FALSE,'CDO Bespoke'!$C$29:'CDO Bespoke'!$C$31,'CDO Bespoke'!$C$33),{5})),"")</f>
        <v/>
      </c>
      <c r="Y295" s="527" t="str" cm="1">
        <f t="array" aca="1" ref="Y295" ca="1">IF($V295&lt;&gt;"",-TRANSPOSE(INDEX(getcds('CDO Bespoke'!$C320,Y$13,'CDO Bespoke'!$G320/10000,'CDO Bespoke'!H320,'CDO Bespoke'!$L296,'CDO Bespoke'!$C$13,'CDO Bespoke'!$C$14,'CDO Bespoke'!$C$15,'CDO Bespoke'!$C$8,,,TRUE,TRUE,FALSE,'CDO Bespoke'!$C$29:'CDO Bespoke'!$C$31,'CDO Bespoke'!$C$33),{5})),"")</f>
        <v/>
      </c>
      <c r="Z295" s="527" t="str" cm="1">
        <f t="array" aca="1" ref="Z295" ca="1">IF($V295&lt;&gt;"",-TRANSPOSE(INDEX(getcds('CDO Bespoke'!$C320,Z$13,'CDO Bespoke'!$G320/10000,'CDO Bespoke'!I320,'CDO Bespoke'!$L296,'CDO Bespoke'!$C$13,'CDO Bespoke'!$C$14,'CDO Bespoke'!$C$15,'CDO Bespoke'!$C$8,,,TRUE,TRUE,FALSE,'CDO Bespoke'!$C$29:'CDO Bespoke'!$C$31,'CDO Bespoke'!$C$33),{5})),"")</f>
        <v/>
      </c>
      <c r="AA295" s="502" t="str" cm="1">
        <f t="array" aca="1" ref="AA295" ca="1">IF($V295&lt;&gt;"",-TRANSPOSE(INDEX(getcds('CDO Bespoke'!$C320,AA$13,'CDO Bespoke'!$G320/10000,'CDO Bespoke'!J320,'CDO Bespoke'!$L296,'CDO Bespoke'!$C$13,'CDO Bespoke'!$C$14,'CDO Bespoke'!$C$15,'CDO Bespoke'!$C$8,,,TRUE,TRUE,FALSE,'CDO Bespoke'!$C$29:'CDO Bespoke'!$C$31,'CDO Bespoke'!$C$33),{5})),"")</f>
        <v/>
      </c>
      <c r="AB295" s="481"/>
      <c r="AC295" s="517"/>
      <c r="AD295" s="518"/>
      <c r="AE295" s="518"/>
      <c r="AF295" s="518"/>
      <c r="AG295" s="518"/>
      <c r="AH295" s="518"/>
      <c r="AI295" s="518"/>
      <c r="AJ295" s="518"/>
      <c r="AK295" s="518"/>
      <c r="AL295" s="519"/>
      <c r="AM295" s="540"/>
    </row>
    <row r="296" spans="2:39" ht="12" thickBot="1">
      <c r="B296" s="541" t="s">
        <v>604</v>
      </c>
      <c r="C296" s="542" t="s">
        <v>66</v>
      </c>
      <c r="D296" s="542" t="s">
        <v>57</v>
      </c>
      <c r="E296" s="542" t="s">
        <v>663</v>
      </c>
      <c r="F296" s="542" t="s">
        <v>672</v>
      </c>
      <c r="G296" s="549">
        <v>0.01</v>
      </c>
      <c r="H296" s="549">
        <v>2.565E-3</v>
      </c>
      <c r="I296" s="551">
        <v>0.4</v>
      </c>
      <c r="J296" s="543">
        <v>91</v>
      </c>
      <c r="K296" s="275"/>
      <c r="L296" s="275"/>
      <c r="M296" s="489" t="str">
        <f ca="1">IF('CDO Bespoke'!O297&lt;&gt;"",'CDO Bespoke'!O297,"")</f>
        <v/>
      </c>
      <c r="N296" s="490" t="str">
        <f ca="1">IF(M296&lt;&gt;"",ABS(MIN(-0.75*('CDO Bespoke'!Q297)+'CDO Bespoke'!T297,0)),"")</f>
        <v/>
      </c>
      <c r="O296" s="490" t="str">
        <f t="shared" ca="1" si="16"/>
        <v/>
      </c>
      <c r="P296" s="490" t="str">
        <f t="shared" ca="1" si="17"/>
        <v/>
      </c>
      <c r="Q296" s="489" t="str">
        <f ca="1">IF('CDO Bespoke'!O297&lt;&gt;"",'CDO Bespoke'!O297,"")</f>
        <v/>
      </c>
      <c r="R296" s="490" t="str">
        <f ca="1">IF(Q296&lt;&gt;"",ABS(MIN(-0.75*('CDO Bespoke'!K297)+'CDO Bespoke'!T297,0)),"")</f>
        <v/>
      </c>
      <c r="S296" s="490" t="str">
        <f t="shared" ca="1" si="18"/>
        <v/>
      </c>
      <c r="T296" s="494" t="str">
        <f t="shared" ca="1" si="19"/>
        <v/>
      </c>
      <c r="U296" s="275"/>
      <c r="V296" s="499" t="str">
        <f ca="1">IF('CDO Bespoke'!C321&lt;&gt;"",'CDO Bespoke'!C321,"")</f>
        <v/>
      </c>
      <c r="W296" s="501" t="str" cm="1">
        <f t="array" aca="1" ref="W296" ca="1">IF($V296&lt;&gt;"",-TRANSPOSE(INDEX(getcds('CDO Bespoke'!$C321,W$13,'CDO Bespoke'!$G321/10000,'CDO Bespoke'!F321,'CDO Bespoke'!$L297,'CDO Bespoke'!$C$13,'CDO Bespoke'!$C$14,'CDO Bespoke'!$C$15,'CDO Bespoke'!$C$8,,,TRUE,TRUE,FALSE,'CDO Bespoke'!$C$29:'CDO Bespoke'!$C$31,'CDO Bespoke'!$C$33),{5})),"")</f>
        <v/>
      </c>
      <c r="X296" s="527" t="str" cm="1">
        <f t="array" aca="1" ref="X296" ca="1">IF($V296&lt;&gt;"",-TRANSPOSE(INDEX(getcds('CDO Bespoke'!$C321,X$13,'CDO Bespoke'!$G321/10000,'CDO Bespoke'!G321,'CDO Bespoke'!$L297,'CDO Bespoke'!$C$13,'CDO Bespoke'!$C$14,'CDO Bespoke'!$C$15,'CDO Bespoke'!$C$8,,,TRUE,TRUE,FALSE,'CDO Bespoke'!$C$29:'CDO Bespoke'!$C$31,'CDO Bespoke'!$C$33),{5})),"")</f>
        <v/>
      </c>
      <c r="Y296" s="527" t="str" cm="1">
        <f t="array" aca="1" ref="Y296" ca="1">IF($V296&lt;&gt;"",-TRANSPOSE(INDEX(getcds('CDO Bespoke'!$C321,Y$13,'CDO Bespoke'!$G321/10000,'CDO Bespoke'!H321,'CDO Bespoke'!$L297,'CDO Bespoke'!$C$13,'CDO Bespoke'!$C$14,'CDO Bespoke'!$C$15,'CDO Bespoke'!$C$8,,,TRUE,TRUE,FALSE,'CDO Bespoke'!$C$29:'CDO Bespoke'!$C$31,'CDO Bespoke'!$C$33),{5})),"")</f>
        <v/>
      </c>
      <c r="Z296" s="527" t="str" cm="1">
        <f t="array" aca="1" ref="Z296" ca="1">IF($V296&lt;&gt;"",-TRANSPOSE(INDEX(getcds('CDO Bespoke'!$C321,Z$13,'CDO Bespoke'!$G321/10000,'CDO Bespoke'!I321,'CDO Bespoke'!$L297,'CDO Bespoke'!$C$13,'CDO Bespoke'!$C$14,'CDO Bespoke'!$C$15,'CDO Bespoke'!$C$8,,,TRUE,TRUE,FALSE,'CDO Bespoke'!$C$29:'CDO Bespoke'!$C$31,'CDO Bespoke'!$C$33),{5})),"")</f>
        <v/>
      </c>
      <c r="AA296" s="502" t="str" cm="1">
        <f t="array" aca="1" ref="AA296" ca="1">IF($V296&lt;&gt;"",-TRANSPOSE(INDEX(getcds('CDO Bespoke'!$C321,AA$13,'CDO Bespoke'!$G321/10000,'CDO Bespoke'!J321,'CDO Bespoke'!$L297,'CDO Bespoke'!$C$13,'CDO Bespoke'!$C$14,'CDO Bespoke'!$C$15,'CDO Bespoke'!$C$8,,,TRUE,TRUE,FALSE,'CDO Bespoke'!$C$29:'CDO Bespoke'!$C$31,'CDO Bespoke'!$C$33),{5})),"")</f>
        <v/>
      </c>
      <c r="AB296" s="481"/>
      <c r="AC296" s="517"/>
      <c r="AD296" s="518"/>
      <c r="AE296" s="518"/>
      <c r="AF296" s="518"/>
      <c r="AG296" s="518"/>
      <c r="AH296" s="518"/>
      <c r="AI296" s="518"/>
      <c r="AJ296" s="518"/>
      <c r="AK296" s="518"/>
      <c r="AL296" s="519"/>
      <c r="AM296" s="540"/>
    </row>
    <row r="297" spans="2:39" ht="12" thickBot="1">
      <c r="B297" s="558" t="s">
        <v>604</v>
      </c>
      <c r="C297" s="559" t="s">
        <v>66</v>
      </c>
      <c r="D297" s="559" t="s">
        <v>59</v>
      </c>
      <c r="E297" s="559" t="s">
        <v>663</v>
      </c>
      <c r="F297" s="559" t="s">
        <v>672</v>
      </c>
      <c r="G297" s="560">
        <v>0.01</v>
      </c>
      <c r="H297" s="560">
        <v>3.594E-3</v>
      </c>
      <c r="I297" s="561">
        <v>0.4</v>
      </c>
      <c r="J297" s="562">
        <v>91</v>
      </c>
      <c r="K297" s="275"/>
      <c r="L297" s="275"/>
      <c r="M297" s="489" t="str">
        <f ca="1">IF('CDO Bespoke'!O298&lt;&gt;"",'CDO Bespoke'!O298,"")</f>
        <v/>
      </c>
      <c r="N297" s="490" t="str">
        <f ca="1">IF(M297&lt;&gt;"",ABS(MIN(-0.75*('CDO Bespoke'!Q298)+'CDO Bespoke'!T298,0)),"")</f>
        <v/>
      </c>
      <c r="O297" s="490" t="str">
        <f t="shared" ca="1" si="16"/>
        <v/>
      </c>
      <c r="P297" s="490" t="str">
        <f t="shared" ca="1" si="17"/>
        <v/>
      </c>
      <c r="Q297" s="489" t="str">
        <f ca="1">IF('CDO Bespoke'!O298&lt;&gt;"",'CDO Bespoke'!O298,"")</f>
        <v/>
      </c>
      <c r="R297" s="490" t="str">
        <f ca="1">IF(Q297&lt;&gt;"",ABS(MIN(-0.75*('CDO Bespoke'!K298)+'CDO Bespoke'!T298,0)),"")</f>
        <v/>
      </c>
      <c r="S297" s="490" t="str">
        <f t="shared" ca="1" si="18"/>
        <v/>
      </c>
      <c r="T297" s="494" t="str">
        <f t="shared" ca="1" si="19"/>
        <v/>
      </c>
      <c r="U297" s="275"/>
      <c r="V297" s="499" t="str">
        <f ca="1">IF('CDO Bespoke'!C322&lt;&gt;"",'CDO Bespoke'!C322,"")</f>
        <v/>
      </c>
      <c r="W297" s="501" t="str" cm="1">
        <f t="array" aca="1" ref="W297" ca="1">IF($V297&lt;&gt;"",-TRANSPOSE(INDEX(getcds('CDO Bespoke'!$C322,W$13,'CDO Bespoke'!$G322/10000,'CDO Bespoke'!F322,'CDO Bespoke'!$L298,'CDO Bespoke'!$C$13,'CDO Bespoke'!$C$14,'CDO Bespoke'!$C$15,'CDO Bespoke'!$C$8,,,TRUE,TRUE,FALSE,'CDO Bespoke'!$C$29:'CDO Bespoke'!$C$31,'CDO Bespoke'!$C$33),{5})),"")</f>
        <v/>
      </c>
      <c r="X297" s="527" t="str" cm="1">
        <f t="array" aca="1" ref="X297" ca="1">IF($V297&lt;&gt;"",-TRANSPOSE(INDEX(getcds('CDO Bespoke'!$C322,X$13,'CDO Bespoke'!$G322/10000,'CDO Bespoke'!G322,'CDO Bespoke'!$L298,'CDO Bespoke'!$C$13,'CDO Bespoke'!$C$14,'CDO Bespoke'!$C$15,'CDO Bespoke'!$C$8,,,TRUE,TRUE,FALSE,'CDO Bespoke'!$C$29:'CDO Bespoke'!$C$31,'CDO Bespoke'!$C$33),{5})),"")</f>
        <v/>
      </c>
      <c r="Y297" s="527" t="str" cm="1">
        <f t="array" aca="1" ref="Y297" ca="1">IF($V297&lt;&gt;"",-TRANSPOSE(INDEX(getcds('CDO Bespoke'!$C322,Y$13,'CDO Bespoke'!$G322/10000,'CDO Bespoke'!H322,'CDO Bespoke'!$L298,'CDO Bespoke'!$C$13,'CDO Bespoke'!$C$14,'CDO Bespoke'!$C$15,'CDO Bespoke'!$C$8,,,TRUE,TRUE,FALSE,'CDO Bespoke'!$C$29:'CDO Bespoke'!$C$31,'CDO Bespoke'!$C$33),{5})),"")</f>
        <v/>
      </c>
      <c r="Z297" s="527" t="str" cm="1">
        <f t="array" aca="1" ref="Z297" ca="1">IF($V297&lt;&gt;"",-TRANSPOSE(INDEX(getcds('CDO Bespoke'!$C322,Z$13,'CDO Bespoke'!$G322/10000,'CDO Bespoke'!I322,'CDO Bespoke'!$L298,'CDO Bespoke'!$C$13,'CDO Bespoke'!$C$14,'CDO Bespoke'!$C$15,'CDO Bespoke'!$C$8,,,TRUE,TRUE,FALSE,'CDO Bespoke'!$C$29:'CDO Bespoke'!$C$31,'CDO Bespoke'!$C$33),{5})),"")</f>
        <v/>
      </c>
      <c r="AA297" s="502" t="str" cm="1">
        <f t="array" aca="1" ref="AA297" ca="1">IF($V297&lt;&gt;"",-TRANSPOSE(INDEX(getcds('CDO Bespoke'!$C322,AA$13,'CDO Bespoke'!$G322/10000,'CDO Bespoke'!J322,'CDO Bespoke'!$L298,'CDO Bespoke'!$C$13,'CDO Bespoke'!$C$14,'CDO Bespoke'!$C$15,'CDO Bespoke'!$C$8,,,TRUE,TRUE,FALSE,'CDO Bespoke'!$C$29:'CDO Bespoke'!$C$31,'CDO Bespoke'!$C$33),{5})),"")</f>
        <v/>
      </c>
      <c r="AB297" s="481"/>
      <c r="AC297" s="517"/>
      <c r="AD297" s="518"/>
      <c r="AE297" s="518"/>
      <c r="AF297" s="518"/>
      <c r="AG297" s="518"/>
      <c r="AH297" s="518"/>
      <c r="AI297" s="518"/>
      <c r="AJ297" s="518"/>
      <c r="AK297" s="518"/>
      <c r="AL297" s="519"/>
      <c r="AM297" s="540"/>
    </row>
    <row r="298" spans="2:39" ht="12" thickBot="1">
      <c r="B298" s="563" t="s">
        <v>597</v>
      </c>
      <c r="C298" s="564" t="s">
        <v>66</v>
      </c>
      <c r="D298" s="564" t="s">
        <v>55</v>
      </c>
      <c r="E298" s="564" t="s">
        <v>663</v>
      </c>
      <c r="F298" s="564" t="s">
        <v>672</v>
      </c>
      <c r="G298" s="565">
        <v>0.01</v>
      </c>
      <c r="H298" s="565">
        <v>1.606E-3</v>
      </c>
      <c r="I298" s="566">
        <v>0.4</v>
      </c>
      <c r="J298" s="567">
        <v>92</v>
      </c>
      <c r="K298" s="275"/>
      <c r="L298" s="275"/>
      <c r="M298" s="489" t="str">
        <f ca="1">IF('CDO Bespoke'!O299&lt;&gt;"",'CDO Bespoke'!O299,"")</f>
        <v/>
      </c>
      <c r="N298" s="490" t="str">
        <f ca="1">IF(M298&lt;&gt;"",ABS(MIN(-0.75*('CDO Bespoke'!Q299)+'CDO Bespoke'!T299,0)),"")</f>
        <v/>
      </c>
      <c r="O298" s="490" t="str">
        <f t="shared" ca="1" si="16"/>
        <v/>
      </c>
      <c r="P298" s="490" t="str">
        <f t="shared" ca="1" si="17"/>
        <v/>
      </c>
      <c r="Q298" s="489" t="str">
        <f ca="1">IF('CDO Bespoke'!O299&lt;&gt;"",'CDO Bespoke'!O299,"")</f>
        <v/>
      </c>
      <c r="R298" s="490" t="str">
        <f ca="1">IF(Q298&lt;&gt;"",ABS(MIN(-0.75*('CDO Bespoke'!K299)+'CDO Bespoke'!T299,0)),"")</f>
        <v/>
      </c>
      <c r="S298" s="490" t="str">
        <f t="shared" ca="1" si="18"/>
        <v/>
      </c>
      <c r="T298" s="494" t="str">
        <f t="shared" ca="1" si="19"/>
        <v/>
      </c>
      <c r="U298" s="275"/>
      <c r="V298" s="499" t="str">
        <f ca="1">IF('CDO Bespoke'!C323&lt;&gt;"",'CDO Bespoke'!C323,"")</f>
        <v/>
      </c>
      <c r="W298" s="501" t="str" cm="1">
        <f t="array" aca="1" ref="W298" ca="1">IF($V298&lt;&gt;"",-TRANSPOSE(INDEX(getcds('CDO Bespoke'!$C323,W$13,'CDO Bespoke'!$G323/10000,'CDO Bespoke'!F323,'CDO Bespoke'!$L299,'CDO Bespoke'!$C$13,'CDO Bespoke'!$C$14,'CDO Bespoke'!$C$15,'CDO Bespoke'!$C$8,,,TRUE,TRUE,FALSE,'CDO Bespoke'!$C$29:'CDO Bespoke'!$C$31,'CDO Bespoke'!$C$33),{5})),"")</f>
        <v/>
      </c>
      <c r="X298" s="527" t="str" cm="1">
        <f t="array" aca="1" ref="X298" ca="1">IF($V298&lt;&gt;"",-TRANSPOSE(INDEX(getcds('CDO Bespoke'!$C323,X$13,'CDO Bespoke'!$G323/10000,'CDO Bespoke'!G323,'CDO Bespoke'!$L299,'CDO Bespoke'!$C$13,'CDO Bespoke'!$C$14,'CDO Bespoke'!$C$15,'CDO Bespoke'!$C$8,,,TRUE,TRUE,FALSE,'CDO Bespoke'!$C$29:'CDO Bespoke'!$C$31,'CDO Bespoke'!$C$33),{5})),"")</f>
        <v/>
      </c>
      <c r="Y298" s="527" t="str" cm="1">
        <f t="array" aca="1" ref="Y298" ca="1">IF($V298&lt;&gt;"",-TRANSPOSE(INDEX(getcds('CDO Bespoke'!$C323,Y$13,'CDO Bespoke'!$G323/10000,'CDO Bespoke'!H323,'CDO Bespoke'!$L299,'CDO Bespoke'!$C$13,'CDO Bespoke'!$C$14,'CDO Bespoke'!$C$15,'CDO Bespoke'!$C$8,,,TRUE,TRUE,FALSE,'CDO Bespoke'!$C$29:'CDO Bespoke'!$C$31,'CDO Bespoke'!$C$33),{5})),"")</f>
        <v/>
      </c>
      <c r="Z298" s="527" t="str" cm="1">
        <f t="array" aca="1" ref="Z298" ca="1">IF($V298&lt;&gt;"",-TRANSPOSE(INDEX(getcds('CDO Bespoke'!$C323,Z$13,'CDO Bespoke'!$G323/10000,'CDO Bespoke'!I323,'CDO Bespoke'!$L299,'CDO Bespoke'!$C$13,'CDO Bespoke'!$C$14,'CDO Bespoke'!$C$15,'CDO Bespoke'!$C$8,,,TRUE,TRUE,FALSE,'CDO Bespoke'!$C$29:'CDO Bespoke'!$C$31,'CDO Bespoke'!$C$33),{5})),"")</f>
        <v/>
      </c>
      <c r="AA298" s="502" t="str" cm="1">
        <f t="array" aca="1" ref="AA298" ca="1">IF($V298&lt;&gt;"",-TRANSPOSE(INDEX(getcds('CDO Bespoke'!$C323,AA$13,'CDO Bespoke'!$G323/10000,'CDO Bespoke'!J323,'CDO Bespoke'!$L299,'CDO Bespoke'!$C$13,'CDO Bespoke'!$C$14,'CDO Bespoke'!$C$15,'CDO Bespoke'!$C$8,,,TRUE,TRUE,FALSE,'CDO Bespoke'!$C$29:'CDO Bespoke'!$C$31,'CDO Bespoke'!$C$33),{5})),"")</f>
        <v/>
      </c>
      <c r="AB298" s="481"/>
      <c r="AC298" s="517"/>
      <c r="AD298" s="518"/>
      <c r="AE298" s="518"/>
      <c r="AF298" s="518"/>
      <c r="AG298" s="518"/>
      <c r="AH298" s="518"/>
      <c r="AI298" s="518"/>
      <c r="AJ298" s="518"/>
      <c r="AK298" s="518"/>
      <c r="AL298" s="519"/>
      <c r="AM298" s="540"/>
    </row>
    <row r="299" spans="2:39" ht="12" thickBot="1">
      <c r="B299" s="541" t="s">
        <v>597</v>
      </c>
      <c r="C299" s="542" t="s">
        <v>66</v>
      </c>
      <c r="D299" s="542" t="s">
        <v>57</v>
      </c>
      <c r="E299" s="542" t="s">
        <v>663</v>
      </c>
      <c r="F299" s="542" t="s">
        <v>672</v>
      </c>
      <c r="G299" s="549">
        <v>0.01</v>
      </c>
      <c r="H299" s="549">
        <v>2.6679999999999998E-3</v>
      </c>
      <c r="I299" s="551">
        <v>0.4</v>
      </c>
      <c r="J299" s="543">
        <v>92</v>
      </c>
      <c r="K299" s="275"/>
      <c r="L299" s="275"/>
      <c r="M299" s="489" t="str">
        <f ca="1">IF('CDO Bespoke'!O300&lt;&gt;"",'CDO Bespoke'!O300,"")</f>
        <v/>
      </c>
      <c r="N299" s="490" t="str">
        <f ca="1">IF(M299&lt;&gt;"",ABS(MIN(-0.75*('CDO Bespoke'!Q300)+'CDO Bespoke'!T300,0)),"")</f>
        <v/>
      </c>
      <c r="O299" s="490" t="str">
        <f t="shared" ca="1" si="16"/>
        <v/>
      </c>
      <c r="P299" s="490" t="str">
        <f t="shared" ca="1" si="17"/>
        <v/>
      </c>
      <c r="Q299" s="489" t="str">
        <f ca="1">IF('CDO Bespoke'!O300&lt;&gt;"",'CDO Bespoke'!O300,"")</f>
        <v/>
      </c>
      <c r="R299" s="490" t="str">
        <f ca="1">IF(Q299&lt;&gt;"",ABS(MIN(-0.75*('CDO Bespoke'!K300)+'CDO Bespoke'!T300,0)),"")</f>
        <v/>
      </c>
      <c r="S299" s="490" t="str">
        <f t="shared" ca="1" si="18"/>
        <v/>
      </c>
      <c r="T299" s="494" t="str">
        <f t="shared" ca="1" si="19"/>
        <v/>
      </c>
      <c r="U299" s="275"/>
      <c r="V299" s="499" t="str">
        <f ca="1">IF('CDO Bespoke'!C324&lt;&gt;"",'CDO Bespoke'!C324,"")</f>
        <v/>
      </c>
      <c r="W299" s="501" t="str" cm="1">
        <f t="array" aca="1" ref="W299" ca="1">IF($V299&lt;&gt;"",-TRANSPOSE(INDEX(getcds('CDO Bespoke'!$C324,W$13,'CDO Bespoke'!$G324/10000,'CDO Bespoke'!F324,'CDO Bespoke'!$L300,'CDO Bespoke'!$C$13,'CDO Bespoke'!$C$14,'CDO Bespoke'!$C$15,'CDO Bespoke'!$C$8,,,TRUE,TRUE,FALSE,'CDO Bespoke'!$C$29:'CDO Bespoke'!$C$31,'CDO Bespoke'!$C$33),{5})),"")</f>
        <v/>
      </c>
      <c r="X299" s="527" t="str" cm="1">
        <f t="array" aca="1" ref="X299" ca="1">IF($V299&lt;&gt;"",-TRANSPOSE(INDEX(getcds('CDO Bespoke'!$C324,X$13,'CDO Bespoke'!$G324/10000,'CDO Bespoke'!G324,'CDO Bespoke'!$L300,'CDO Bespoke'!$C$13,'CDO Bespoke'!$C$14,'CDO Bespoke'!$C$15,'CDO Bespoke'!$C$8,,,TRUE,TRUE,FALSE,'CDO Bespoke'!$C$29:'CDO Bespoke'!$C$31,'CDO Bespoke'!$C$33),{5})),"")</f>
        <v/>
      </c>
      <c r="Y299" s="527" t="str" cm="1">
        <f t="array" aca="1" ref="Y299" ca="1">IF($V299&lt;&gt;"",-TRANSPOSE(INDEX(getcds('CDO Bespoke'!$C324,Y$13,'CDO Bespoke'!$G324/10000,'CDO Bespoke'!H324,'CDO Bespoke'!$L300,'CDO Bespoke'!$C$13,'CDO Bespoke'!$C$14,'CDO Bespoke'!$C$15,'CDO Bespoke'!$C$8,,,TRUE,TRUE,FALSE,'CDO Bespoke'!$C$29:'CDO Bespoke'!$C$31,'CDO Bespoke'!$C$33),{5})),"")</f>
        <v/>
      </c>
      <c r="Z299" s="527" t="str" cm="1">
        <f t="array" aca="1" ref="Z299" ca="1">IF($V299&lt;&gt;"",-TRANSPOSE(INDEX(getcds('CDO Bespoke'!$C324,Z$13,'CDO Bespoke'!$G324/10000,'CDO Bespoke'!I324,'CDO Bespoke'!$L300,'CDO Bespoke'!$C$13,'CDO Bespoke'!$C$14,'CDO Bespoke'!$C$15,'CDO Bespoke'!$C$8,,,TRUE,TRUE,FALSE,'CDO Bespoke'!$C$29:'CDO Bespoke'!$C$31,'CDO Bespoke'!$C$33),{5})),"")</f>
        <v/>
      </c>
      <c r="AA299" s="502" t="str" cm="1">
        <f t="array" aca="1" ref="AA299" ca="1">IF($V299&lt;&gt;"",-TRANSPOSE(INDEX(getcds('CDO Bespoke'!$C324,AA$13,'CDO Bespoke'!$G324/10000,'CDO Bespoke'!J324,'CDO Bespoke'!$L300,'CDO Bespoke'!$C$13,'CDO Bespoke'!$C$14,'CDO Bespoke'!$C$15,'CDO Bespoke'!$C$8,,,TRUE,TRUE,FALSE,'CDO Bespoke'!$C$29:'CDO Bespoke'!$C$31,'CDO Bespoke'!$C$33),{5})),"")</f>
        <v/>
      </c>
      <c r="AB299" s="481"/>
      <c r="AC299" s="517"/>
      <c r="AD299" s="518"/>
      <c r="AE299" s="518"/>
      <c r="AF299" s="518"/>
      <c r="AG299" s="518"/>
      <c r="AH299" s="518"/>
      <c r="AI299" s="518"/>
      <c r="AJ299" s="518"/>
      <c r="AK299" s="518"/>
      <c r="AL299" s="519"/>
      <c r="AM299" s="540"/>
    </row>
    <row r="300" spans="2:39" ht="12" thickBot="1">
      <c r="B300" s="558" t="s">
        <v>597</v>
      </c>
      <c r="C300" s="559" t="s">
        <v>66</v>
      </c>
      <c r="D300" s="559" t="s">
        <v>59</v>
      </c>
      <c r="E300" s="559" t="s">
        <v>663</v>
      </c>
      <c r="F300" s="559" t="s">
        <v>672</v>
      </c>
      <c r="G300" s="560">
        <v>0.01</v>
      </c>
      <c r="H300" s="560">
        <v>3.9750000000000002E-3</v>
      </c>
      <c r="I300" s="561">
        <v>0.4</v>
      </c>
      <c r="J300" s="562">
        <v>92</v>
      </c>
      <c r="K300" s="275"/>
      <c r="L300" s="275"/>
      <c r="M300" s="489" t="str">
        <f ca="1">IF('CDO Bespoke'!O301&lt;&gt;"",'CDO Bespoke'!O301,"")</f>
        <v/>
      </c>
      <c r="N300" s="490" t="str">
        <f ca="1">IF(M300&lt;&gt;"",ABS(MIN(-0.75*('CDO Bespoke'!Q301)+'CDO Bespoke'!T301,0)),"")</f>
        <v/>
      </c>
      <c r="O300" s="490" t="str">
        <f t="shared" ca="1" si="16"/>
        <v/>
      </c>
      <c r="P300" s="490" t="str">
        <f t="shared" ca="1" si="17"/>
        <v/>
      </c>
      <c r="Q300" s="489" t="str">
        <f ca="1">IF('CDO Bespoke'!O301&lt;&gt;"",'CDO Bespoke'!O301,"")</f>
        <v/>
      </c>
      <c r="R300" s="490" t="str">
        <f ca="1">IF(Q300&lt;&gt;"",ABS(MIN(-0.75*('CDO Bespoke'!K301)+'CDO Bespoke'!T301,0)),"")</f>
        <v/>
      </c>
      <c r="S300" s="490" t="str">
        <f t="shared" ca="1" si="18"/>
        <v/>
      </c>
      <c r="T300" s="494" t="str">
        <f t="shared" ca="1" si="19"/>
        <v/>
      </c>
      <c r="U300" s="275"/>
      <c r="V300" s="499" t="str">
        <f ca="1">IF('CDO Bespoke'!C325&lt;&gt;"",'CDO Bespoke'!C325,"")</f>
        <v/>
      </c>
      <c r="W300" s="501" t="str" cm="1">
        <f t="array" aca="1" ref="W300" ca="1">IF($V300&lt;&gt;"",-TRANSPOSE(INDEX(getcds('CDO Bespoke'!$C325,W$13,'CDO Bespoke'!$G325/10000,'CDO Bespoke'!F325,'CDO Bespoke'!$L301,'CDO Bespoke'!$C$13,'CDO Bespoke'!$C$14,'CDO Bespoke'!$C$15,'CDO Bespoke'!$C$8,,,TRUE,TRUE,FALSE,'CDO Bespoke'!$C$29:'CDO Bespoke'!$C$31,'CDO Bespoke'!$C$33),{5})),"")</f>
        <v/>
      </c>
      <c r="X300" s="527" t="str" cm="1">
        <f t="array" aca="1" ref="X300" ca="1">IF($V300&lt;&gt;"",-TRANSPOSE(INDEX(getcds('CDO Bespoke'!$C325,X$13,'CDO Bespoke'!$G325/10000,'CDO Bespoke'!G325,'CDO Bespoke'!$L301,'CDO Bespoke'!$C$13,'CDO Bespoke'!$C$14,'CDO Bespoke'!$C$15,'CDO Bespoke'!$C$8,,,TRUE,TRUE,FALSE,'CDO Bespoke'!$C$29:'CDO Bespoke'!$C$31,'CDO Bespoke'!$C$33),{5})),"")</f>
        <v/>
      </c>
      <c r="Y300" s="527" t="str" cm="1">
        <f t="array" aca="1" ref="Y300" ca="1">IF($V300&lt;&gt;"",-TRANSPOSE(INDEX(getcds('CDO Bespoke'!$C325,Y$13,'CDO Bespoke'!$G325/10000,'CDO Bespoke'!H325,'CDO Bespoke'!$L301,'CDO Bespoke'!$C$13,'CDO Bespoke'!$C$14,'CDO Bespoke'!$C$15,'CDO Bespoke'!$C$8,,,TRUE,TRUE,FALSE,'CDO Bespoke'!$C$29:'CDO Bespoke'!$C$31,'CDO Bespoke'!$C$33),{5})),"")</f>
        <v/>
      </c>
      <c r="Z300" s="527" t="str" cm="1">
        <f t="array" aca="1" ref="Z300" ca="1">IF($V300&lt;&gt;"",-TRANSPOSE(INDEX(getcds('CDO Bespoke'!$C325,Z$13,'CDO Bespoke'!$G325/10000,'CDO Bespoke'!I325,'CDO Bespoke'!$L301,'CDO Bespoke'!$C$13,'CDO Bespoke'!$C$14,'CDO Bespoke'!$C$15,'CDO Bespoke'!$C$8,,,TRUE,TRUE,FALSE,'CDO Bespoke'!$C$29:'CDO Bespoke'!$C$31,'CDO Bespoke'!$C$33),{5})),"")</f>
        <v/>
      </c>
      <c r="AA300" s="502" t="str" cm="1">
        <f t="array" aca="1" ref="AA300" ca="1">IF($V300&lt;&gt;"",-TRANSPOSE(INDEX(getcds('CDO Bespoke'!$C325,AA$13,'CDO Bespoke'!$G325/10000,'CDO Bespoke'!J325,'CDO Bespoke'!$L301,'CDO Bespoke'!$C$13,'CDO Bespoke'!$C$14,'CDO Bespoke'!$C$15,'CDO Bespoke'!$C$8,,,TRUE,TRUE,FALSE,'CDO Bespoke'!$C$29:'CDO Bespoke'!$C$31,'CDO Bespoke'!$C$33),{5})),"")</f>
        <v/>
      </c>
      <c r="AB300" s="481"/>
      <c r="AC300" s="517"/>
      <c r="AD300" s="518"/>
      <c r="AE300" s="518"/>
      <c r="AF300" s="518"/>
      <c r="AG300" s="518"/>
      <c r="AH300" s="518"/>
      <c r="AI300" s="518"/>
      <c r="AJ300" s="518"/>
      <c r="AK300" s="518"/>
      <c r="AL300" s="519"/>
      <c r="AM300" s="540"/>
    </row>
    <row r="301" spans="2:39" ht="12" thickBot="1">
      <c r="B301" s="563" t="s">
        <v>598</v>
      </c>
      <c r="C301" s="564" t="s">
        <v>66</v>
      </c>
      <c r="D301" s="564" t="s">
        <v>55</v>
      </c>
      <c r="E301" s="564" t="s">
        <v>663</v>
      </c>
      <c r="F301" s="564" t="s">
        <v>666</v>
      </c>
      <c r="G301" s="565">
        <v>0.01</v>
      </c>
      <c r="H301" s="565">
        <v>3.0330000000000001E-3</v>
      </c>
      <c r="I301" s="566">
        <v>0.4</v>
      </c>
      <c r="J301" s="567">
        <v>93</v>
      </c>
      <c r="K301" s="275"/>
      <c r="L301" s="275"/>
      <c r="M301" s="489" t="str">
        <f ca="1">IF('CDO Bespoke'!O302&lt;&gt;"",'CDO Bespoke'!O302,"")</f>
        <v/>
      </c>
      <c r="N301" s="490" t="str">
        <f ca="1">IF(M301&lt;&gt;"",ABS(MIN(-0.75*('CDO Bespoke'!Q302)+'CDO Bespoke'!T302,0)),"")</f>
        <v/>
      </c>
      <c r="O301" s="490" t="str">
        <f t="shared" ca="1" si="16"/>
        <v/>
      </c>
      <c r="P301" s="490" t="str">
        <f t="shared" ca="1" si="17"/>
        <v/>
      </c>
      <c r="Q301" s="489" t="str">
        <f ca="1">IF('CDO Bespoke'!O302&lt;&gt;"",'CDO Bespoke'!O302,"")</f>
        <v/>
      </c>
      <c r="R301" s="490" t="str">
        <f ca="1">IF(Q301&lt;&gt;"",ABS(MIN(-0.75*('CDO Bespoke'!K302)+'CDO Bespoke'!T302,0)),"")</f>
        <v/>
      </c>
      <c r="S301" s="490" t="str">
        <f t="shared" ca="1" si="18"/>
        <v/>
      </c>
      <c r="T301" s="494" t="str">
        <f t="shared" ca="1" si="19"/>
        <v/>
      </c>
      <c r="U301" s="275"/>
      <c r="V301" s="499" t="str">
        <f ca="1">IF('CDO Bespoke'!C326&lt;&gt;"",'CDO Bespoke'!C326,"")</f>
        <v/>
      </c>
      <c r="W301" s="501" t="str" cm="1">
        <f t="array" aca="1" ref="W301" ca="1">IF($V301&lt;&gt;"",-TRANSPOSE(INDEX(getcds('CDO Bespoke'!$C326,W$13,'CDO Bespoke'!$G326/10000,'CDO Bespoke'!F326,'CDO Bespoke'!$L302,'CDO Bespoke'!$C$13,'CDO Bespoke'!$C$14,'CDO Bespoke'!$C$15,'CDO Bespoke'!$C$8,,,TRUE,TRUE,FALSE,'CDO Bespoke'!$C$29:'CDO Bespoke'!$C$31,'CDO Bespoke'!$C$33),{5})),"")</f>
        <v/>
      </c>
      <c r="X301" s="527" t="str" cm="1">
        <f t="array" aca="1" ref="X301" ca="1">IF($V301&lt;&gt;"",-TRANSPOSE(INDEX(getcds('CDO Bespoke'!$C326,X$13,'CDO Bespoke'!$G326/10000,'CDO Bespoke'!G326,'CDO Bespoke'!$L302,'CDO Bespoke'!$C$13,'CDO Bespoke'!$C$14,'CDO Bespoke'!$C$15,'CDO Bespoke'!$C$8,,,TRUE,TRUE,FALSE,'CDO Bespoke'!$C$29:'CDO Bespoke'!$C$31,'CDO Bespoke'!$C$33),{5})),"")</f>
        <v/>
      </c>
      <c r="Y301" s="527" t="str" cm="1">
        <f t="array" aca="1" ref="Y301" ca="1">IF($V301&lt;&gt;"",-TRANSPOSE(INDEX(getcds('CDO Bespoke'!$C326,Y$13,'CDO Bespoke'!$G326/10000,'CDO Bespoke'!H326,'CDO Bespoke'!$L302,'CDO Bespoke'!$C$13,'CDO Bespoke'!$C$14,'CDO Bespoke'!$C$15,'CDO Bespoke'!$C$8,,,TRUE,TRUE,FALSE,'CDO Bespoke'!$C$29:'CDO Bespoke'!$C$31,'CDO Bespoke'!$C$33),{5})),"")</f>
        <v/>
      </c>
      <c r="Z301" s="527" t="str" cm="1">
        <f t="array" aca="1" ref="Z301" ca="1">IF($V301&lt;&gt;"",-TRANSPOSE(INDEX(getcds('CDO Bespoke'!$C326,Z$13,'CDO Bespoke'!$G326/10000,'CDO Bespoke'!I326,'CDO Bespoke'!$L302,'CDO Bespoke'!$C$13,'CDO Bespoke'!$C$14,'CDO Bespoke'!$C$15,'CDO Bespoke'!$C$8,,,TRUE,TRUE,FALSE,'CDO Bespoke'!$C$29:'CDO Bespoke'!$C$31,'CDO Bespoke'!$C$33),{5})),"")</f>
        <v/>
      </c>
      <c r="AA301" s="502" t="str" cm="1">
        <f t="array" aca="1" ref="AA301" ca="1">IF($V301&lt;&gt;"",-TRANSPOSE(INDEX(getcds('CDO Bespoke'!$C326,AA$13,'CDO Bespoke'!$G326/10000,'CDO Bespoke'!J326,'CDO Bespoke'!$L302,'CDO Bespoke'!$C$13,'CDO Bespoke'!$C$14,'CDO Bespoke'!$C$15,'CDO Bespoke'!$C$8,,,TRUE,TRUE,FALSE,'CDO Bespoke'!$C$29:'CDO Bespoke'!$C$31,'CDO Bespoke'!$C$33),{5})),"")</f>
        <v/>
      </c>
      <c r="AB301" s="481"/>
      <c r="AC301" s="517"/>
      <c r="AD301" s="518"/>
      <c r="AE301" s="518"/>
      <c r="AF301" s="518"/>
      <c r="AG301" s="518"/>
      <c r="AH301" s="518"/>
      <c r="AI301" s="518"/>
      <c r="AJ301" s="518"/>
      <c r="AK301" s="518"/>
      <c r="AL301" s="519"/>
      <c r="AM301" s="540"/>
    </row>
    <row r="302" spans="2:39" ht="12" thickBot="1">
      <c r="B302" s="541" t="s">
        <v>598</v>
      </c>
      <c r="C302" s="542" t="s">
        <v>66</v>
      </c>
      <c r="D302" s="542" t="s">
        <v>57</v>
      </c>
      <c r="E302" s="542" t="s">
        <v>663</v>
      </c>
      <c r="F302" s="542" t="s">
        <v>666</v>
      </c>
      <c r="G302" s="549">
        <v>0.01</v>
      </c>
      <c r="H302" s="549">
        <v>5.5510000000000004E-3</v>
      </c>
      <c r="I302" s="551">
        <v>0.4</v>
      </c>
      <c r="J302" s="543">
        <v>93</v>
      </c>
      <c r="K302" s="275"/>
      <c r="L302" s="275"/>
      <c r="M302" s="489" t="str">
        <f ca="1">IF('CDO Bespoke'!O303&lt;&gt;"",'CDO Bespoke'!O303,"")</f>
        <v/>
      </c>
      <c r="N302" s="490" t="str">
        <f ca="1">IF(M302&lt;&gt;"",ABS(MIN(-0.75*('CDO Bespoke'!Q303)+'CDO Bespoke'!T303,0)),"")</f>
        <v/>
      </c>
      <c r="O302" s="490" t="str">
        <f t="shared" ca="1" si="16"/>
        <v/>
      </c>
      <c r="P302" s="490" t="str">
        <f t="shared" ca="1" si="17"/>
        <v/>
      </c>
      <c r="Q302" s="489" t="str">
        <f ca="1">IF('CDO Bespoke'!O303&lt;&gt;"",'CDO Bespoke'!O303,"")</f>
        <v/>
      </c>
      <c r="R302" s="490" t="str">
        <f ca="1">IF(Q302&lt;&gt;"",ABS(MIN(-0.75*('CDO Bespoke'!K303)+'CDO Bespoke'!T303,0)),"")</f>
        <v/>
      </c>
      <c r="S302" s="490" t="str">
        <f t="shared" ca="1" si="18"/>
        <v/>
      </c>
      <c r="T302" s="494" t="str">
        <f t="shared" ca="1" si="19"/>
        <v/>
      </c>
      <c r="U302" s="275"/>
      <c r="V302" s="499" t="str">
        <f ca="1">IF('CDO Bespoke'!C327&lt;&gt;"",'CDO Bespoke'!C327,"")</f>
        <v/>
      </c>
      <c r="W302" s="501" t="str" cm="1">
        <f t="array" aca="1" ref="W302" ca="1">IF($V302&lt;&gt;"",-TRANSPOSE(INDEX(getcds('CDO Bespoke'!$C327,W$13,'CDO Bespoke'!$G327/10000,'CDO Bespoke'!F327,'CDO Bespoke'!$L303,'CDO Bespoke'!$C$13,'CDO Bespoke'!$C$14,'CDO Bespoke'!$C$15,'CDO Bespoke'!$C$8,,,TRUE,TRUE,FALSE,'CDO Bespoke'!$C$29:'CDO Bespoke'!$C$31,'CDO Bespoke'!$C$33),{5})),"")</f>
        <v/>
      </c>
      <c r="X302" s="527" t="str" cm="1">
        <f t="array" aca="1" ref="X302" ca="1">IF($V302&lt;&gt;"",-TRANSPOSE(INDEX(getcds('CDO Bespoke'!$C327,X$13,'CDO Bespoke'!$G327/10000,'CDO Bespoke'!G327,'CDO Bespoke'!$L303,'CDO Bespoke'!$C$13,'CDO Bespoke'!$C$14,'CDO Bespoke'!$C$15,'CDO Bespoke'!$C$8,,,TRUE,TRUE,FALSE,'CDO Bespoke'!$C$29:'CDO Bespoke'!$C$31,'CDO Bespoke'!$C$33),{5})),"")</f>
        <v/>
      </c>
      <c r="Y302" s="527" t="str" cm="1">
        <f t="array" aca="1" ref="Y302" ca="1">IF($V302&lt;&gt;"",-TRANSPOSE(INDEX(getcds('CDO Bespoke'!$C327,Y$13,'CDO Bespoke'!$G327/10000,'CDO Bespoke'!H327,'CDO Bespoke'!$L303,'CDO Bespoke'!$C$13,'CDO Bespoke'!$C$14,'CDO Bespoke'!$C$15,'CDO Bespoke'!$C$8,,,TRUE,TRUE,FALSE,'CDO Bespoke'!$C$29:'CDO Bespoke'!$C$31,'CDO Bespoke'!$C$33),{5})),"")</f>
        <v/>
      </c>
      <c r="Z302" s="527" t="str" cm="1">
        <f t="array" aca="1" ref="Z302" ca="1">IF($V302&lt;&gt;"",-TRANSPOSE(INDEX(getcds('CDO Bespoke'!$C327,Z$13,'CDO Bespoke'!$G327/10000,'CDO Bespoke'!I327,'CDO Bespoke'!$L303,'CDO Bespoke'!$C$13,'CDO Bespoke'!$C$14,'CDO Bespoke'!$C$15,'CDO Bespoke'!$C$8,,,TRUE,TRUE,FALSE,'CDO Bespoke'!$C$29:'CDO Bespoke'!$C$31,'CDO Bespoke'!$C$33),{5})),"")</f>
        <v/>
      </c>
      <c r="AA302" s="502" t="str" cm="1">
        <f t="array" aca="1" ref="AA302" ca="1">IF($V302&lt;&gt;"",-TRANSPOSE(INDEX(getcds('CDO Bespoke'!$C327,AA$13,'CDO Bespoke'!$G327/10000,'CDO Bespoke'!J327,'CDO Bespoke'!$L303,'CDO Bespoke'!$C$13,'CDO Bespoke'!$C$14,'CDO Bespoke'!$C$15,'CDO Bespoke'!$C$8,,,TRUE,TRUE,FALSE,'CDO Bespoke'!$C$29:'CDO Bespoke'!$C$31,'CDO Bespoke'!$C$33),{5})),"")</f>
        <v/>
      </c>
      <c r="AB302" s="481"/>
      <c r="AC302" s="517"/>
      <c r="AD302" s="518"/>
      <c r="AE302" s="518"/>
      <c r="AF302" s="518"/>
      <c r="AG302" s="518"/>
      <c r="AH302" s="518"/>
      <c r="AI302" s="518"/>
      <c r="AJ302" s="518"/>
      <c r="AK302" s="518"/>
      <c r="AL302" s="519"/>
      <c r="AM302" s="540"/>
    </row>
    <row r="303" spans="2:39" ht="12" thickBot="1">
      <c r="B303" s="558" t="s">
        <v>598</v>
      </c>
      <c r="C303" s="559" t="s">
        <v>66</v>
      </c>
      <c r="D303" s="559" t="s">
        <v>59</v>
      </c>
      <c r="E303" s="559" t="s">
        <v>663</v>
      </c>
      <c r="F303" s="559" t="s">
        <v>666</v>
      </c>
      <c r="G303" s="560">
        <v>0.01</v>
      </c>
      <c r="H303" s="560">
        <v>8.4740000000000006E-3</v>
      </c>
      <c r="I303" s="561">
        <v>0.4</v>
      </c>
      <c r="J303" s="562">
        <v>93</v>
      </c>
      <c r="K303" s="275"/>
      <c r="L303" s="275"/>
      <c r="M303" s="489" t="str">
        <f ca="1">IF('CDO Bespoke'!O304&lt;&gt;"",'CDO Bespoke'!O304,"")</f>
        <v/>
      </c>
      <c r="N303" s="490" t="str">
        <f ca="1">IF(M303&lt;&gt;"",ABS(MIN(-0.75*('CDO Bespoke'!Q304)+'CDO Bespoke'!T304,0)),"")</f>
        <v/>
      </c>
      <c r="O303" s="490" t="str">
        <f t="shared" ca="1" si="16"/>
        <v/>
      </c>
      <c r="P303" s="490" t="str">
        <f t="shared" ca="1" si="17"/>
        <v/>
      </c>
      <c r="Q303" s="489" t="str">
        <f ca="1">IF('CDO Bespoke'!O304&lt;&gt;"",'CDO Bespoke'!O304,"")</f>
        <v/>
      </c>
      <c r="R303" s="490" t="str">
        <f ca="1">IF(Q303&lt;&gt;"",ABS(MIN(-0.75*('CDO Bespoke'!K304)+'CDO Bespoke'!T304,0)),"")</f>
        <v/>
      </c>
      <c r="S303" s="490" t="str">
        <f t="shared" ca="1" si="18"/>
        <v/>
      </c>
      <c r="T303" s="494" t="str">
        <f t="shared" ca="1" si="19"/>
        <v/>
      </c>
      <c r="U303" s="275"/>
      <c r="V303" s="499" t="str">
        <f ca="1">IF('CDO Bespoke'!C328&lt;&gt;"",'CDO Bespoke'!C328,"")</f>
        <v/>
      </c>
      <c r="W303" s="501" t="str" cm="1">
        <f t="array" aca="1" ref="W303" ca="1">IF($V303&lt;&gt;"",-TRANSPOSE(INDEX(getcds('CDO Bespoke'!$C328,W$13,'CDO Bespoke'!$G328/10000,'CDO Bespoke'!F328,'CDO Bespoke'!$L304,'CDO Bespoke'!$C$13,'CDO Bespoke'!$C$14,'CDO Bespoke'!$C$15,'CDO Bespoke'!$C$8,,,TRUE,TRUE,FALSE,'CDO Bespoke'!$C$29:'CDO Bespoke'!$C$31,'CDO Bespoke'!$C$33),{5})),"")</f>
        <v/>
      </c>
      <c r="X303" s="527" t="str" cm="1">
        <f t="array" aca="1" ref="X303" ca="1">IF($V303&lt;&gt;"",-TRANSPOSE(INDEX(getcds('CDO Bespoke'!$C328,X$13,'CDO Bespoke'!$G328/10000,'CDO Bespoke'!G328,'CDO Bespoke'!$L304,'CDO Bespoke'!$C$13,'CDO Bespoke'!$C$14,'CDO Bespoke'!$C$15,'CDO Bespoke'!$C$8,,,TRUE,TRUE,FALSE,'CDO Bespoke'!$C$29:'CDO Bespoke'!$C$31,'CDO Bespoke'!$C$33),{5})),"")</f>
        <v/>
      </c>
      <c r="Y303" s="527" t="str" cm="1">
        <f t="array" aca="1" ref="Y303" ca="1">IF($V303&lt;&gt;"",-TRANSPOSE(INDEX(getcds('CDO Bespoke'!$C328,Y$13,'CDO Bespoke'!$G328/10000,'CDO Bespoke'!H328,'CDO Bespoke'!$L304,'CDO Bespoke'!$C$13,'CDO Bespoke'!$C$14,'CDO Bespoke'!$C$15,'CDO Bespoke'!$C$8,,,TRUE,TRUE,FALSE,'CDO Bespoke'!$C$29:'CDO Bespoke'!$C$31,'CDO Bespoke'!$C$33),{5})),"")</f>
        <v/>
      </c>
      <c r="Z303" s="527" t="str" cm="1">
        <f t="array" aca="1" ref="Z303" ca="1">IF($V303&lt;&gt;"",-TRANSPOSE(INDEX(getcds('CDO Bespoke'!$C328,Z$13,'CDO Bespoke'!$G328/10000,'CDO Bespoke'!I328,'CDO Bespoke'!$L304,'CDO Bespoke'!$C$13,'CDO Bespoke'!$C$14,'CDO Bespoke'!$C$15,'CDO Bespoke'!$C$8,,,TRUE,TRUE,FALSE,'CDO Bespoke'!$C$29:'CDO Bespoke'!$C$31,'CDO Bespoke'!$C$33),{5})),"")</f>
        <v/>
      </c>
      <c r="AA303" s="502" t="str" cm="1">
        <f t="array" aca="1" ref="AA303" ca="1">IF($V303&lt;&gt;"",-TRANSPOSE(INDEX(getcds('CDO Bespoke'!$C328,AA$13,'CDO Bespoke'!$G328/10000,'CDO Bespoke'!J328,'CDO Bespoke'!$L304,'CDO Bespoke'!$C$13,'CDO Bespoke'!$C$14,'CDO Bespoke'!$C$15,'CDO Bespoke'!$C$8,,,TRUE,TRUE,FALSE,'CDO Bespoke'!$C$29:'CDO Bespoke'!$C$31,'CDO Bespoke'!$C$33),{5})),"")</f>
        <v/>
      </c>
      <c r="AB303" s="481"/>
      <c r="AC303" s="517"/>
      <c r="AD303" s="518"/>
      <c r="AE303" s="518"/>
      <c r="AF303" s="518"/>
      <c r="AG303" s="518"/>
      <c r="AH303" s="518"/>
      <c r="AI303" s="518"/>
      <c r="AJ303" s="518"/>
      <c r="AK303" s="518"/>
      <c r="AL303" s="519"/>
      <c r="AM303" s="540"/>
    </row>
    <row r="304" spans="2:39" ht="12" thickBot="1">
      <c r="B304" s="563" t="s">
        <v>599</v>
      </c>
      <c r="C304" s="564" t="s">
        <v>66</v>
      </c>
      <c r="D304" s="564" t="s">
        <v>55</v>
      </c>
      <c r="E304" s="564" t="s">
        <v>663</v>
      </c>
      <c r="F304" s="564" t="s">
        <v>672</v>
      </c>
      <c r="G304" s="565">
        <v>0.01</v>
      </c>
      <c r="H304" s="565">
        <v>3.7399999999999998E-3</v>
      </c>
      <c r="I304" s="566">
        <v>0.4</v>
      </c>
      <c r="J304" s="567">
        <v>94</v>
      </c>
      <c r="K304" s="275"/>
      <c r="L304" s="275"/>
      <c r="M304" s="489" t="str">
        <f ca="1">IF('CDO Bespoke'!O305&lt;&gt;"",'CDO Bespoke'!O305,"")</f>
        <v/>
      </c>
      <c r="N304" s="490" t="str">
        <f ca="1">IF(M304&lt;&gt;"",ABS(MIN(-0.75*('CDO Bespoke'!Q305)+'CDO Bespoke'!T305,0)),"")</f>
        <v/>
      </c>
      <c r="O304" s="490" t="str">
        <f t="shared" ca="1" si="16"/>
        <v/>
      </c>
      <c r="P304" s="490" t="str">
        <f t="shared" ca="1" si="17"/>
        <v/>
      </c>
      <c r="Q304" s="489" t="str">
        <f ca="1">IF('CDO Bespoke'!O305&lt;&gt;"",'CDO Bespoke'!O305,"")</f>
        <v/>
      </c>
      <c r="R304" s="490" t="str">
        <f ca="1">IF(Q304&lt;&gt;"",ABS(MIN(-0.75*('CDO Bespoke'!K305)+'CDO Bespoke'!T305,0)),"")</f>
        <v/>
      </c>
      <c r="S304" s="490" t="str">
        <f t="shared" ca="1" si="18"/>
        <v/>
      </c>
      <c r="T304" s="494" t="str">
        <f t="shared" ca="1" si="19"/>
        <v/>
      </c>
      <c r="U304" s="275"/>
      <c r="V304" s="499" t="str">
        <f ca="1">IF('CDO Bespoke'!C329&lt;&gt;"",'CDO Bespoke'!C329,"")</f>
        <v/>
      </c>
      <c r="W304" s="501" t="str" cm="1">
        <f t="array" aca="1" ref="W304" ca="1">IF($V304&lt;&gt;"",-TRANSPOSE(INDEX(getcds('CDO Bespoke'!$C329,W$13,'CDO Bespoke'!$G329/10000,'CDO Bespoke'!F329,'CDO Bespoke'!$L305,'CDO Bespoke'!$C$13,'CDO Bespoke'!$C$14,'CDO Bespoke'!$C$15,'CDO Bespoke'!$C$8,,,TRUE,TRUE,FALSE,'CDO Bespoke'!$C$29:'CDO Bespoke'!$C$31,'CDO Bespoke'!$C$33),{5})),"")</f>
        <v/>
      </c>
      <c r="X304" s="527" t="str" cm="1">
        <f t="array" aca="1" ref="X304" ca="1">IF($V304&lt;&gt;"",-TRANSPOSE(INDEX(getcds('CDO Bespoke'!$C329,X$13,'CDO Bespoke'!$G329/10000,'CDO Bespoke'!G329,'CDO Bespoke'!$L305,'CDO Bespoke'!$C$13,'CDO Bespoke'!$C$14,'CDO Bespoke'!$C$15,'CDO Bespoke'!$C$8,,,TRUE,TRUE,FALSE,'CDO Bespoke'!$C$29:'CDO Bespoke'!$C$31,'CDO Bespoke'!$C$33),{5})),"")</f>
        <v/>
      </c>
      <c r="Y304" s="527" t="str" cm="1">
        <f t="array" aca="1" ref="Y304" ca="1">IF($V304&lt;&gt;"",-TRANSPOSE(INDEX(getcds('CDO Bespoke'!$C329,Y$13,'CDO Bespoke'!$G329/10000,'CDO Bespoke'!H329,'CDO Bespoke'!$L305,'CDO Bespoke'!$C$13,'CDO Bespoke'!$C$14,'CDO Bespoke'!$C$15,'CDO Bespoke'!$C$8,,,TRUE,TRUE,FALSE,'CDO Bespoke'!$C$29:'CDO Bespoke'!$C$31,'CDO Bespoke'!$C$33),{5})),"")</f>
        <v/>
      </c>
      <c r="Z304" s="527" t="str" cm="1">
        <f t="array" aca="1" ref="Z304" ca="1">IF($V304&lt;&gt;"",-TRANSPOSE(INDEX(getcds('CDO Bespoke'!$C329,Z$13,'CDO Bespoke'!$G329/10000,'CDO Bespoke'!I329,'CDO Bespoke'!$L305,'CDO Bespoke'!$C$13,'CDO Bespoke'!$C$14,'CDO Bespoke'!$C$15,'CDO Bespoke'!$C$8,,,TRUE,TRUE,FALSE,'CDO Bespoke'!$C$29:'CDO Bespoke'!$C$31,'CDO Bespoke'!$C$33),{5})),"")</f>
        <v/>
      </c>
      <c r="AA304" s="502" t="str" cm="1">
        <f t="array" aca="1" ref="AA304" ca="1">IF($V304&lt;&gt;"",-TRANSPOSE(INDEX(getcds('CDO Bespoke'!$C329,AA$13,'CDO Bespoke'!$G329/10000,'CDO Bespoke'!J329,'CDO Bespoke'!$L305,'CDO Bespoke'!$C$13,'CDO Bespoke'!$C$14,'CDO Bespoke'!$C$15,'CDO Bespoke'!$C$8,,,TRUE,TRUE,FALSE,'CDO Bespoke'!$C$29:'CDO Bespoke'!$C$31,'CDO Bespoke'!$C$33),{5})),"")</f>
        <v/>
      </c>
      <c r="AB304" s="481"/>
      <c r="AC304" s="517"/>
      <c r="AD304" s="518"/>
      <c r="AE304" s="518"/>
      <c r="AF304" s="518"/>
      <c r="AG304" s="518"/>
      <c r="AH304" s="518"/>
      <c r="AI304" s="518"/>
      <c r="AJ304" s="518"/>
      <c r="AK304" s="518"/>
      <c r="AL304" s="519"/>
      <c r="AM304" s="540"/>
    </row>
    <row r="305" spans="2:39" ht="12" thickBot="1">
      <c r="B305" s="541" t="s">
        <v>599</v>
      </c>
      <c r="C305" s="542" t="s">
        <v>66</v>
      </c>
      <c r="D305" s="542" t="s">
        <v>57</v>
      </c>
      <c r="E305" s="542" t="s">
        <v>663</v>
      </c>
      <c r="F305" s="542" t="s">
        <v>672</v>
      </c>
      <c r="G305" s="549">
        <v>0.01</v>
      </c>
      <c r="H305" s="549">
        <v>6.6239999999999997E-3</v>
      </c>
      <c r="I305" s="551">
        <v>0.4</v>
      </c>
      <c r="J305" s="543">
        <v>94</v>
      </c>
      <c r="K305" s="275"/>
      <c r="L305" s="275"/>
      <c r="M305" s="489" t="str">
        <f ca="1">IF('CDO Bespoke'!O306&lt;&gt;"",'CDO Bespoke'!O306,"")</f>
        <v/>
      </c>
      <c r="N305" s="490" t="str">
        <f ca="1">IF(M305&lt;&gt;"",ABS(MIN(-0.75*('CDO Bespoke'!Q306)+'CDO Bespoke'!T306,0)),"")</f>
        <v/>
      </c>
      <c r="O305" s="490" t="str">
        <f t="shared" ca="1" si="16"/>
        <v/>
      </c>
      <c r="P305" s="490" t="str">
        <f t="shared" ca="1" si="17"/>
        <v/>
      </c>
      <c r="Q305" s="489" t="str">
        <f ca="1">IF('CDO Bespoke'!O306&lt;&gt;"",'CDO Bespoke'!O306,"")</f>
        <v/>
      </c>
      <c r="R305" s="490" t="str">
        <f ca="1">IF(Q305&lt;&gt;"",ABS(MIN(-0.75*('CDO Bespoke'!K306)+'CDO Bespoke'!T306,0)),"")</f>
        <v/>
      </c>
      <c r="S305" s="490" t="str">
        <f t="shared" ca="1" si="18"/>
        <v/>
      </c>
      <c r="T305" s="494" t="str">
        <f t="shared" ca="1" si="19"/>
        <v/>
      </c>
      <c r="U305" s="275"/>
      <c r="V305" s="499" t="str">
        <f ca="1">IF('CDO Bespoke'!C330&lt;&gt;"",'CDO Bespoke'!C330,"")</f>
        <v/>
      </c>
      <c r="W305" s="501" t="str" cm="1">
        <f t="array" aca="1" ref="W305" ca="1">IF($V305&lt;&gt;"",-TRANSPOSE(INDEX(getcds('CDO Bespoke'!$C330,W$13,'CDO Bespoke'!$G330/10000,'CDO Bespoke'!F330,'CDO Bespoke'!$L306,'CDO Bespoke'!$C$13,'CDO Bespoke'!$C$14,'CDO Bespoke'!$C$15,'CDO Bespoke'!$C$8,,,TRUE,TRUE,FALSE,'CDO Bespoke'!$C$29:'CDO Bespoke'!$C$31,'CDO Bespoke'!$C$33),{5})),"")</f>
        <v/>
      </c>
      <c r="X305" s="527" t="str" cm="1">
        <f t="array" aca="1" ref="X305" ca="1">IF($V305&lt;&gt;"",-TRANSPOSE(INDEX(getcds('CDO Bespoke'!$C330,X$13,'CDO Bespoke'!$G330/10000,'CDO Bespoke'!G330,'CDO Bespoke'!$L306,'CDO Bespoke'!$C$13,'CDO Bespoke'!$C$14,'CDO Bespoke'!$C$15,'CDO Bespoke'!$C$8,,,TRUE,TRUE,FALSE,'CDO Bespoke'!$C$29:'CDO Bespoke'!$C$31,'CDO Bespoke'!$C$33),{5})),"")</f>
        <v/>
      </c>
      <c r="Y305" s="527" t="str" cm="1">
        <f t="array" aca="1" ref="Y305" ca="1">IF($V305&lt;&gt;"",-TRANSPOSE(INDEX(getcds('CDO Bespoke'!$C330,Y$13,'CDO Bespoke'!$G330/10000,'CDO Bespoke'!H330,'CDO Bespoke'!$L306,'CDO Bespoke'!$C$13,'CDO Bespoke'!$C$14,'CDO Bespoke'!$C$15,'CDO Bespoke'!$C$8,,,TRUE,TRUE,FALSE,'CDO Bespoke'!$C$29:'CDO Bespoke'!$C$31,'CDO Bespoke'!$C$33),{5})),"")</f>
        <v/>
      </c>
      <c r="Z305" s="527" t="str" cm="1">
        <f t="array" aca="1" ref="Z305" ca="1">IF($V305&lt;&gt;"",-TRANSPOSE(INDEX(getcds('CDO Bespoke'!$C330,Z$13,'CDO Bespoke'!$G330/10000,'CDO Bespoke'!I330,'CDO Bespoke'!$L306,'CDO Bespoke'!$C$13,'CDO Bespoke'!$C$14,'CDO Bespoke'!$C$15,'CDO Bespoke'!$C$8,,,TRUE,TRUE,FALSE,'CDO Bespoke'!$C$29:'CDO Bespoke'!$C$31,'CDO Bespoke'!$C$33),{5})),"")</f>
        <v/>
      </c>
      <c r="AA305" s="502" t="str" cm="1">
        <f t="array" aca="1" ref="AA305" ca="1">IF($V305&lt;&gt;"",-TRANSPOSE(INDEX(getcds('CDO Bespoke'!$C330,AA$13,'CDO Bespoke'!$G330/10000,'CDO Bespoke'!J330,'CDO Bespoke'!$L306,'CDO Bespoke'!$C$13,'CDO Bespoke'!$C$14,'CDO Bespoke'!$C$15,'CDO Bespoke'!$C$8,,,TRUE,TRUE,FALSE,'CDO Bespoke'!$C$29:'CDO Bespoke'!$C$31,'CDO Bespoke'!$C$33),{5})),"")</f>
        <v/>
      </c>
      <c r="AB305" s="481"/>
      <c r="AC305" s="517"/>
      <c r="AD305" s="518"/>
      <c r="AE305" s="518"/>
      <c r="AF305" s="518"/>
      <c r="AG305" s="518"/>
      <c r="AH305" s="518"/>
      <c r="AI305" s="518"/>
      <c r="AJ305" s="518"/>
      <c r="AK305" s="518"/>
      <c r="AL305" s="519"/>
      <c r="AM305" s="540"/>
    </row>
    <row r="306" spans="2:39" ht="12" thickBot="1">
      <c r="B306" s="558" t="s">
        <v>599</v>
      </c>
      <c r="C306" s="559" t="s">
        <v>66</v>
      </c>
      <c r="D306" s="559" t="s">
        <v>59</v>
      </c>
      <c r="E306" s="559" t="s">
        <v>663</v>
      </c>
      <c r="F306" s="559" t="s">
        <v>672</v>
      </c>
      <c r="G306" s="560">
        <v>0.01</v>
      </c>
      <c r="H306" s="560">
        <v>9.2910000000000006E-3</v>
      </c>
      <c r="I306" s="561">
        <v>0.4</v>
      </c>
      <c r="J306" s="562">
        <v>94</v>
      </c>
      <c r="K306" s="275"/>
      <c r="L306" s="275"/>
      <c r="M306" s="489" t="str">
        <f ca="1">IF('CDO Bespoke'!O307&lt;&gt;"",'CDO Bespoke'!O307,"")</f>
        <v/>
      </c>
      <c r="N306" s="490" t="str">
        <f ca="1">IF(M306&lt;&gt;"",ABS(MIN(-0.75*('CDO Bespoke'!Q307)+'CDO Bespoke'!T307,0)),"")</f>
        <v/>
      </c>
      <c r="O306" s="490" t="str">
        <f t="shared" ca="1" si="16"/>
        <v/>
      </c>
      <c r="P306" s="490" t="str">
        <f t="shared" ca="1" si="17"/>
        <v/>
      </c>
      <c r="Q306" s="489" t="str">
        <f ca="1">IF('CDO Bespoke'!O307&lt;&gt;"",'CDO Bespoke'!O307,"")</f>
        <v/>
      </c>
      <c r="R306" s="490" t="str">
        <f ca="1">IF(Q306&lt;&gt;"",ABS(MIN(-0.75*('CDO Bespoke'!K307)+'CDO Bespoke'!T307,0)),"")</f>
        <v/>
      </c>
      <c r="S306" s="490" t="str">
        <f t="shared" ca="1" si="18"/>
        <v/>
      </c>
      <c r="T306" s="494" t="str">
        <f t="shared" ca="1" si="19"/>
        <v/>
      </c>
      <c r="U306" s="275"/>
      <c r="V306" s="499" t="str">
        <f ca="1">IF('CDO Bespoke'!C331&lt;&gt;"",'CDO Bespoke'!C331,"")</f>
        <v/>
      </c>
      <c r="W306" s="501" t="str" cm="1">
        <f t="array" aca="1" ref="W306" ca="1">IF($V306&lt;&gt;"",-TRANSPOSE(INDEX(getcds('CDO Bespoke'!$C331,W$13,'CDO Bespoke'!$G331/10000,'CDO Bespoke'!F331,'CDO Bespoke'!$L307,'CDO Bespoke'!$C$13,'CDO Bespoke'!$C$14,'CDO Bespoke'!$C$15,'CDO Bespoke'!$C$8,,,TRUE,TRUE,FALSE,'CDO Bespoke'!$C$29:'CDO Bespoke'!$C$31,'CDO Bespoke'!$C$33),{5})),"")</f>
        <v/>
      </c>
      <c r="X306" s="527" t="str" cm="1">
        <f t="array" aca="1" ref="X306" ca="1">IF($V306&lt;&gt;"",-TRANSPOSE(INDEX(getcds('CDO Bespoke'!$C331,X$13,'CDO Bespoke'!$G331/10000,'CDO Bespoke'!G331,'CDO Bespoke'!$L307,'CDO Bespoke'!$C$13,'CDO Bespoke'!$C$14,'CDO Bespoke'!$C$15,'CDO Bespoke'!$C$8,,,TRUE,TRUE,FALSE,'CDO Bespoke'!$C$29:'CDO Bespoke'!$C$31,'CDO Bespoke'!$C$33),{5})),"")</f>
        <v/>
      </c>
      <c r="Y306" s="527" t="str" cm="1">
        <f t="array" aca="1" ref="Y306" ca="1">IF($V306&lt;&gt;"",-TRANSPOSE(INDEX(getcds('CDO Bespoke'!$C331,Y$13,'CDO Bespoke'!$G331/10000,'CDO Bespoke'!H331,'CDO Bespoke'!$L307,'CDO Bespoke'!$C$13,'CDO Bespoke'!$C$14,'CDO Bespoke'!$C$15,'CDO Bespoke'!$C$8,,,TRUE,TRUE,FALSE,'CDO Bespoke'!$C$29:'CDO Bespoke'!$C$31,'CDO Bespoke'!$C$33),{5})),"")</f>
        <v/>
      </c>
      <c r="Z306" s="527" t="str" cm="1">
        <f t="array" aca="1" ref="Z306" ca="1">IF($V306&lt;&gt;"",-TRANSPOSE(INDEX(getcds('CDO Bespoke'!$C331,Z$13,'CDO Bespoke'!$G331/10000,'CDO Bespoke'!I331,'CDO Bespoke'!$L307,'CDO Bespoke'!$C$13,'CDO Bespoke'!$C$14,'CDO Bespoke'!$C$15,'CDO Bespoke'!$C$8,,,TRUE,TRUE,FALSE,'CDO Bespoke'!$C$29:'CDO Bespoke'!$C$31,'CDO Bespoke'!$C$33),{5})),"")</f>
        <v/>
      </c>
      <c r="AA306" s="502" t="str" cm="1">
        <f t="array" aca="1" ref="AA306" ca="1">IF($V306&lt;&gt;"",-TRANSPOSE(INDEX(getcds('CDO Bespoke'!$C331,AA$13,'CDO Bespoke'!$G331/10000,'CDO Bespoke'!J331,'CDO Bespoke'!$L307,'CDO Bespoke'!$C$13,'CDO Bespoke'!$C$14,'CDO Bespoke'!$C$15,'CDO Bespoke'!$C$8,,,TRUE,TRUE,FALSE,'CDO Bespoke'!$C$29:'CDO Bespoke'!$C$31,'CDO Bespoke'!$C$33),{5})),"")</f>
        <v/>
      </c>
      <c r="AB306" s="481"/>
      <c r="AC306" s="517"/>
      <c r="AD306" s="518"/>
      <c r="AE306" s="518"/>
      <c r="AF306" s="518"/>
      <c r="AG306" s="518"/>
      <c r="AH306" s="518"/>
      <c r="AI306" s="518"/>
      <c r="AJ306" s="518"/>
      <c r="AK306" s="518"/>
      <c r="AL306" s="519"/>
      <c r="AM306" s="540"/>
    </row>
    <row r="307" spans="2:39" ht="12" thickBot="1">
      <c r="B307" s="563" t="s">
        <v>600</v>
      </c>
      <c r="C307" s="564" t="s">
        <v>66</v>
      </c>
      <c r="D307" s="564" t="s">
        <v>55</v>
      </c>
      <c r="E307" s="564" t="s">
        <v>663</v>
      </c>
      <c r="F307" s="564" t="s">
        <v>666</v>
      </c>
      <c r="G307" s="565">
        <v>0.01</v>
      </c>
      <c r="H307" s="565">
        <v>3.8470000000000002E-3</v>
      </c>
      <c r="I307" s="566">
        <v>0.4</v>
      </c>
      <c r="J307" s="567">
        <v>95</v>
      </c>
      <c r="K307" s="275"/>
      <c r="L307" s="275"/>
      <c r="M307" s="489" t="str">
        <f ca="1">IF('CDO Bespoke'!O308&lt;&gt;"",'CDO Bespoke'!O308,"")</f>
        <v/>
      </c>
      <c r="N307" s="490" t="str">
        <f ca="1">IF(M307&lt;&gt;"",ABS(MIN(-0.75*('CDO Bespoke'!Q308)+'CDO Bespoke'!T308,0)),"")</f>
        <v/>
      </c>
      <c r="O307" s="490" t="str">
        <f t="shared" ca="1" si="16"/>
        <v/>
      </c>
      <c r="P307" s="490" t="str">
        <f t="shared" ca="1" si="17"/>
        <v/>
      </c>
      <c r="Q307" s="489" t="str">
        <f ca="1">IF('CDO Bespoke'!O308&lt;&gt;"",'CDO Bespoke'!O308,"")</f>
        <v/>
      </c>
      <c r="R307" s="490" t="str">
        <f ca="1">IF(Q307&lt;&gt;"",ABS(MIN(-0.75*('CDO Bespoke'!K308)+'CDO Bespoke'!T308,0)),"")</f>
        <v/>
      </c>
      <c r="S307" s="490" t="str">
        <f t="shared" ca="1" si="18"/>
        <v/>
      </c>
      <c r="T307" s="494" t="str">
        <f t="shared" ca="1" si="19"/>
        <v/>
      </c>
      <c r="U307" s="275"/>
      <c r="V307" s="499" t="str">
        <f ca="1">IF('CDO Bespoke'!C332&lt;&gt;"",'CDO Bespoke'!C332,"")</f>
        <v/>
      </c>
      <c r="W307" s="501" t="str" cm="1">
        <f t="array" aca="1" ref="W307" ca="1">IF($V307&lt;&gt;"",-TRANSPOSE(INDEX(getcds('CDO Bespoke'!$C332,W$13,'CDO Bespoke'!$G332/10000,'CDO Bespoke'!F332,'CDO Bespoke'!$L308,'CDO Bespoke'!$C$13,'CDO Bespoke'!$C$14,'CDO Bespoke'!$C$15,'CDO Bespoke'!$C$8,,,TRUE,TRUE,FALSE,'CDO Bespoke'!$C$29:'CDO Bespoke'!$C$31,'CDO Bespoke'!$C$33),{5})),"")</f>
        <v/>
      </c>
      <c r="X307" s="527" t="str" cm="1">
        <f t="array" aca="1" ref="X307" ca="1">IF($V307&lt;&gt;"",-TRANSPOSE(INDEX(getcds('CDO Bespoke'!$C332,X$13,'CDO Bespoke'!$G332/10000,'CDO Bespoke'!G332,'CDO Bespoke'!$L308,'CDO Bespoke'!$C$13,'CDO Bespoke'!$C$14,'CDO Bespoke'!$C$15,'CDO Bespoke'!$C$8,,,TRUE,TRUE,FALSE,'CDO Bespoke'!$C$29:'CDO Bespoke'!$C$31,'CDO Bespoke'!$C$33),{5})),"")</f>
        <v/>
      </c>
      <c r="Y307" s="527" t="str" cm="1">
        <f t="array" aca="1" ref="Y307" ca="1">IF($V307&lt;&gt;"",-TRANSPOSE(INDEX(getcds('CDO Bespoke'!$C332,Y$13,'CDO Bespoke'!$G332/10000,'CDO Bespoke'!H332,'CDO Bespoke'!$L308,'CDO Bespoke'!$C$13,'CDO Bespoke'!$C$14,'CDO Bespoke'!$C$15,'CDO Bespoke'!$C$8,,,TRUE,TRUE,FALSE,'CDO Bespoke'!$C$29:'CDO Bespoke'!$C$31,'CDO Bespoke'!$C$33),{5})),"")</f>
        <v/>
      </c>
      <c r="Z307" s="527" t="str" cm="1">
        <f t="array" aca="1" ref="Z307" ca="1">IF($V307&lt;&gt;"",-TRANSPOSE(INDEX(getcds('CDO Bespoke'!$C332,Z$13,'CDO Bespoke'!$G332/10000,'CDO Bespoke'!I332,'CDO Bespoke'!$L308,'CDO Bespoke'!$C$13,'CDO Bespoke'!$C$14,'CDO Bespoke'!$C$15,'CDO Bespoke'!$C$8,,,TRUE,TRUE,FALSE,'CDO Bespoke'!$C$29:'CDO Bespoke'!$C$31,'CDO Bespoke'!$C$33),{5})),"")</f>
        <v/>
      </c>
      <c r="AA307" s="502" t="str" cm="1">
        <f t="array" aca="1" ref="AA307" ca="1">IF($V307&lt;&gt;"",-TRANSPOSE(INDEX(getcds('CDO Bespoke'!$C332,AA$13,'CDO Bespoke'!$G332/10000,'CDO Bespoke'!J332,'CDO Bespoke'!$L308,'CDO Bespoke'!$C$13,'CDO Bespoke'!$C$14,'CDO Bespoke'!$C$15,'CDO Bespoke'!$C$8,,,TRUE,TRUE,FALSE,'CDO Bespoke'!$C$29:'CDO Bespoke'!$C$31,'CDO Bespoke'!$C$33),{5})),"")</f>
        <v/>
      </c>
      <c r="AB307" s="481"/>
      <c r="AC307" s="517"/>
      <c r="AD307" s="518"/>
      <c r="AE307" s="518"/>
      <c r="AF307" s="518"/>
      <c r="AG307" s="518"/>
      <c r="AH307" s="518"/>
      <c r="AI307" s="518"/>
      <c r="AJ307" s="518"/>
      <c r="AK307" s="518"/>
      <c r="AL307" s="519"/>
      <c r="AM307" s="540"/>
    </row>
    <row r="308" spans="2:39" ht="12" thickBot="1">
      <c r="B308" s="541" t="s">
        <v>600</v>
      </c>
      <c r="C308" s="542" t="s">
        <v>66</v>
      </c>
      <c r="D308" s="542" t="s">
        <v>57</v>
      </c>
      <c r="E308" s="542" t="s">
        <v>663</v>
      </c>
      <c r="F308" s="542" t="s">
        <v>666</v>
      </c>
      <c r="G308" s="549">
        <v>0.01</v>
      </c>
      <c r="H308" s="549">
        <v>6.4609999999999997E-3</v>
      </c>
      <c r="I308" s="551">
        <v>0.4</v>
      </c>
      <c r="J308" s="543">
        <v>95</v>
      </c>
      <c r="K308" s="275"/>
      <c r="L308" s="275"/>
      <c r="M308" s="489" t="str">
        <f ca="1">IF('CDO Bespoke'!O309&lt;&gt;"",'CDO Bespoke'!O309,"")</f>
        <v/>
      </c>
      <c r="N308" s="490" t="str">
        <f ca="1">IF(M308&lt;&gt;"",ABS(MIN(-0.75*('CDO Bespoke'!Q309)+'CDO Bespoke'!T309,0)),"")</f>
        <v/>
      </c>
      <c r="O308" s="490" t="str">
        <f t="shared" ca="1" si="16"/>
        <v/>
      </c>
      <c r="P308" s="490" t="str">
        <f t="shared" ca="1" si="17"/>
        <v/>
      </c>
      <c r="Q308" s="489" t="str">
        <f ca="1">IF('CDO Bespoke'!O309&lt;&gt;"",'CDO Bespoke'!O309,"")</f>
        <v/>
      </c>
      <c r="R308" s="490" t="str">
        <f ca="1">IF(Q308&lt;&gt;"",ABS(MIN(-0.75*('CDO Bespoke'!K309)+'CDO Bespoke'!T309,0)),"")</f>
        <v/>
      </c>
      <c r="S308" s="490" t="str">
        <f t="shared" ca="1" si="18"/>
        <v/>
      </c>
      <c r="T308" s="494" t="str">
        <f t="shared" ca="1" si="19"/>
        <v/>
      </c>
      <c r="U308" s="275"/>
      <c r="V308" s="499" t="str">
        <f ca="1">IF('CDO Bespoke'!C333&lt;&gt;"",'CDO Bespoke'!C333,"")</f>
        <v/>
      </c>
      <c r="W308" s="501" t="str" cm="1">
        <f t="array" aca="1" ref="W308" ca="1">IF($V308&lt;&gt;"",-TRANSPOSE(INDEX(getcds('CDO Bespoke'!$C333,W$13,'CDO Bespoke'!$G333/10000,'CDO Bespoke'!F333,'CDO Bespoke'!$L309,'CDO Bespoke'!$C$13,'CDO Bespoke'!$C$14,'CDO Bespoke'!$C$15,'CDO Bespoke'!$C$8,,,TRUE,TRUE,FALSE,'CDO Bespoke'!$C$29:'CDO Bespoke'!$C$31,'CDO Bespoke'!$C$33),{5})),"")</f>
        <v/>
      </c>
      <c r="X308" s="527" t="str" cm="1">
        <f t="array" aca="1" ref="X308" ca="1">IF($V308&lt;&gt;"",-TRANSPOSE(INDEX(getcds('CDO Bespoke'!$C333,X$13,'CDO Bespoke'!$G333/10000,'CDO Bespoke'!G333,'CDO Bespoke'!$L309,'CDO Bespoke'!$C$13,'CDO Bespoke'!$C$14,'CDO Bespoke'!$C$15,'CDO Bespoke'!$C$8,,,TRUE,TRUE,FALSE,'CDO Bespoke'!$C$29:'CDO Bespoke'!$C$31,'CDO Bespoke'!$C$33),{5})),"")</f>
        <v/>
      </c>
      <c r="Y308" s="527" t="str" cm="1">
        <f t="array" aca="1" ref="Y308" ca="1">IF($V308&lt;&gt;"",-TRANSPOSE(INDEX(getcds('CDO Bespoke'!$C333,Y$13,'CDO Bespoke'!$G333/10000,'CDO Bespoke'!H333,'CDO Bespoke'!$L309,'CDO Bespoke'!$C$13,'CDO Bespoke'!$C$14,'CDO Bespoke'!$C$15,'CDO Bespoke'!$C$8,,,TRUE,TRUE,FALSE,'CDO Bespoke'!$C$29:'CDO Bespoke'!$C$31,'CDO Bespoke'!$C$33),{5})),"")</f>
        <v/>
      </c>
      <c r="Z308" s="527" t="str" cm="1">
        <f t="array" aca="1" ref="Z308" ca="1">IF($V308&lt;&gt;"",-TRANSPOSE(INDEX(getcds('CDO Bespoke'!$C333,Z$13,'CDO Bespoke'!$G333/10000,'CDO Bespoke'!I333,'CDO Bespoke'!$L309,'CDO Bespoke'!$C$13,'CDO Bespoke'!$C$14,'CDO Bespoke'!$C$15,'CDO Bespoke'!$C$8,,,TRUE,TRUE,FALSE,'CDO Bespoke'!$C$29:'CDO Bespoke'!$C$31,'CDO Bespoke'!$C$33),{5})),"")</f>
        <v/>
      </c>
      <c r="AA308" s="502" t="str" cm="1">
        <f t="array" aca="1" ref="AA308" ca="1">IF($V308&lt;&gt;"",-TRANSPOSE(INDEX(getcds('CDO Bespoke'!$C333,AA$13,'CDO Bespoke'!$G333/10000,'CDO Bespoke'!J333,'CDO Bespoke'!$L309,'CDO Bespoke'!$C$13,'CDO Bespoke'!$C$14,'CDO Bespoke'!$C$15,'CDO Bespoke'!$C$8,,,TRUE,TRUE,FALSE,'CDO Bespoke'!$C$29:'CDO Bespoke'!$C$31,'CDO Bespoke'!$C$33),{5})),"")</f>
        <v/>
      </c>
      <c r="AB308" s="481"/>
      <c r="AC308" s="517"/>
      <c r="AD308" s="518"/>
      <c r="AE308" s="518"/>
      <c r="AF308" s="518"/>
      <c r="AG308" s="518"/>
      <c r="AH308" s="518"/>
      <c r="AI308" s="518"/>
      <c r="AJ308" s="518"/>
      <c r="AK308" s="518"/>
      <c r="AL308" s="519"/>
      <c r="AM308" s="540"/>
    </row>
    <row r="309" spans="2:39" ht="12" thickBot="1">
      <c r="B309" s="558" t="s">
        <v>600</v>
      </c>
      <c r="C309" s="559" t="s">
        <v>66</v>
      </c>
      <c r="D309" s="559" t="s">
        <v>59</v>
      </c>
      <c r="E309" s="559" t="s">
        <v>663</v>
      </c>
      <c r="F309" s="559" t="s">
        <v>666</v>
      </c>
      <c r="G309" s="560">
        <v>0.01</v>
      </c>
      <c r="H309" s="560">
        <v>8.9420000000000003E-3</v>
      </c>
      <c r="I309" s="561">
        <v>0.4</v>
      </c>
      <c r="J309" s="562">
        <v>95</v>
      </c>
      <c r="K309" s="275"/>
      <c r="L309" s="275"/>
      <c r="M309" s="489" t="str">
        <f ca="1">IF('CDO Bespoke'!O310&lt;&gt;"",'CDO Bespoke'!O310,"")</f>
        <v/>
      </c>
      <c r="N309" s="490" t="str">
        <f ca="1">IF(M309&lt;&gt;"",ABS(MIN(-0.75*('CDO Bespoke'!Q310)+'CDO Bespoke'!T310,0)),"")</f>
        <v/>
      </c>
      <c r="O309" s="490" t="str">
        <f t="shared" ca="1" si="16"/>
        <v/>
      </c>
      <c r="P309" s="490" t="str">
        <f t="shared" ca="1" si="17"/>
        <v/>
      </c>
      <c r="Q309" s="489" t="str">
        <f ca="1">IF('CDO Bespoke'!O310&lt;&gt;"",'CDO Bespoke'!O310,"")</f>
        <v/>
      </c>
      <c r="R309" s="490" t="str">
        <f ca="1">IF(Q309&lt;&gt;"",ABS(MIN(-0.75*('CDO Bespoke'!K310)+'CDO Bespoke'!T310,0)),"")</f>
        <v/>
      </c>
      <c r="S309" s="490" t="str">
        <f t="shared" ca="1" si="18"/>
        <v/>
      </c>
      <c r="T309" s="494" t="str">
        <f t="shared" ca="1" si="19"/>
        <v/>
      </c>
      <c r="U309" s="275"/>
      <c r="V309" s="499" t="str">
        <f ca="1">IF('CDO Bespoke'!C334&lt;&gt;"",'CDO Bespoke'!C334,"")</f>
        <v/>
      </c>
      <c r="W309" s="501" t="str" cm="1">
        <f t="array" aca="1" ref="W309" ca="1">IF($V309&lt;&gt;"",-TRANSPOSE(INDEX(getcds('CDO Bespoke'!$C334,W$13,'CDO Bespoke'!$G334/10000,'CDO Bespoke'!F334,'CDO Bespoke'!$L310,'CDO Bespoke'!$C$13,'CDO Bespoke'!$C$14,'CDO Bespoke'!$C$15,'CDO Bespoke'!$C$8,,,TRUE,TRUE,FALSE,'CDO Bespoke'!$C$29:'CDO Bespoke'!$C$31,'CDO Bespoke'!$C$33),{5})),"")</f>
        <v/>
      </c>
      <c r="X309" s="527" t="str" cm="1">
        <f t="array" aca="1" ref="X309" ca="1">IF($V309&lt;&gt;"",-TRANSPOSE(INDEX(getcds('CDO Bespoke'!$C334,X$13,'CDO Bespoke'!$G334/10000,'CDO Bespoke'!G334,'CDO Bespoke'!$L310,'CDO Bespoke'!$C$13,'CDO Bespoke'!$C$14,'CDO Bespoke'!$C$15,'CDO Bespoke'!$C$8,,,TRUE,TRUE,FALSE,'CDO Bespoke'!$C$29:'CDO Bespoke'!$C$31,'CDO Bespoke'!$C$33),{5})),"")</f>
        <v/>
      </c>
      <c r="Y309" s="527" t="str" cm="1">
        <f t="array" aca="1" ref="Y309" ca="1">IF($V309&lt;&gt;"",-TRANSPOSE(INDEX(getcds('CDO Bespoke'!$C334,Y$13,'CDO Bespoke'!$G334/10000,'CDO Bespoke'!H334,'CDO Bespoke'!$L310,'CDO Bespoke'!$C$13,'CDO Bespoke'!$C$14,'CDO Bespoke'!$C$15,'CDO Bespoke'!$C$8,,,TRUE,TRUE,FALSE,'CDO Bespoke'!$C$29:'CDO Bespoke'!$C$31,'CDO Bespoke'!$C$33),{5})),"")</f>
        <v/>
      </c>
      <c r="Z309" s="527" t="str" cm="1">
        <f t="array" aca="1" ref="Z309" ca="1">IF($V309&lt;&gt;"",-TRANSPOSE(INDEX(getcds('CDO Bespoke'!$C334,Z$13,'CDO Bespoke'!$G334/10000,'CDO Bespoke'!I334,'CDO Bespoke'!$L310,'CDO Bespoke'!$C$13,'CDO Bespoke'!$C$14,'CDO Bespoke'!$C$15,'CDO Bespoke'!$C$8,,,TRUE,TRUE,FALSE,'CDO Bespoke'!$C$29:'CDO Bespoke'!$C$31,'CDO Bespoke'!$C$33),{5})),"")</f>
        <v/>
      </c>
      <c r="AA309" s="502" t="str" cm="1">
        <f t="array" aca="1" ref="AA309" ca="1">IF($V309&lt;&gt;"",-TRANSPOSE(INDEX(getcds('CDO Bespoke'!$C334,AA$13,'CDO Bespoke'!$G334/10000,'CDO Bespoke'!J334,'CDO Bespoke'!$L310,'CDO Bespoke'!$C$13,'CDO Bespoke'!$C$14,'CDO Bespoke'!$C$15,'CDO Bespoke'!$C$8,,,TRUE,TRUE,FALSE,'CDO Bespoke'!$C$29:'CDO Bespoke'!$C$31,'CDO Bespoke'!$C$33),{5})),"")</f>
        <v/>
      </c>
      <c r="AB309" s="481"/>
      <c r="AC309" s="517"/>
      <c r="AD309" s="518"/>
      <c r="AE309" s="518"/>
      <c r="AF309" s="518"/>
      <c r="AG309" s="518"/>
      <c r="AH309" s="518"/>
      <c r="AI309" s="518"/>
      <c r="AJ309" s="518"/>
      <c r="AK309" s="518"/>
      <c r="AL309" s="519"/>
      <c r="AM309" s="540"/>
    </row>
    <row r="310" spans="2:39" ht="12" thickBot="1">
      <c r="B310" s="563"/>
      <c r="C310" s="564" t="s">
        <v>66</v>
      </c>
      <c r="D310" s="564" t="s">
        <v>55</v>
      </c>
      <c r="E310" s="564"/>
      <c r="F310" s="564"/>
      <c r="G310" s="565">
        <v>0.01</v>
      </c>
      <c r="H310" s="565"/>
      <c r="I310" s="566">
        <v>0.4</v>
      </c>
      <c r="J310" s="567">
        <v>96</v>
      </c>
      <c r="K310" s="275"/>
      <c r="L310" s="275"/>
      <c r="M310" s="489" t="str">
        <f ca="1">IF('CDO Bespoke'!O311&lt;&gt;"",'CDO Bespoke'!O311,"")</f>
        <v/>
      </c>
      <c r="N310" s="490" t="str">
        <f ca="1">IF(M310&lt;&gt;"",ABS(MIN(-0.75*('CDO Bespoke'!Q311)+'CDO Bespoke'!T311,0)),"")</f>
        <v/>
      </c>
      <c r="O310" s="490" t="str">
        <f t="shared" ca="1" si="16"/>
        <v/>
      </c>
      <c r="P310" s="490" t="str">
        <f t="shared" ca="1" si="17"/>
        <v/>
      </c>
      <c r="Q310" s="489" t="str">
        <f ca="1">IF('CDO Bespoke'!O311&lt;&gt;"",'CDO Bespoke'!O311,"")</f>
        <v/>
      </c>
      <c r="R310" s="490" t="str">
        <f ca="1">IF(Q310&lt;&gt;"",ABS(MIN(-0.75*('CDO Bespoke'!K311)+'CDO Bespoke'!T311,0)),"")</f>
        <v/>
      </c>
      <c r="S310" s="490" t="str">
        <f t="shared" ca="1" si="18"/>
        <v/>
      </c>
      <c r="T310" s="494" t="str">
        <f t="shared" ca="1" si="19"/>
        <v/>
      </c>
      <c r="U310" s="275"/>
      <c r="V310" s="499" t="str">
        <f ca="1">IF('CDO Bespoke'!C335&lt;&gt;"",'CDO Bespoke'!C335,"")</f>
        <v/>
      </c>
      <c r="W310" s="501" t="str" cm="1">
        <f t="array" aca="1" ref="W310" ca="1">IF($V310&lt;&gt;"",-TRANSPOSE(INDEX(getcds('CDO Bespoke'!$C335,W$13,'CDO Bespoke'!$G335/10000,'CDO Bespoke'!F335,'CDO Bespoke'!$L311,'CDO Bespoke'!$C$13,'CDO Bespoke'!$C$14,'CDO Bespoke'!$C$15,'CDO Bespoke'!$C$8,,,TRUE,TRUE,FALSE,'CDO Bespoke'!$C$29:'CDO Bespoke'!$C$31,'CDO Bespoke'!$C$33),{5})),"")</f>
        <v/>
      </c>
      <c r="X310" s="527" t="str" cm="1">
        <f t="array" aca="1" ref="X310" ca="1">IF($V310&lt;&gt;"",-TRANSPOSE(INDEX(getcds('CDO Bespoke'!$C335,X$13,'CDO Bespoke'!$G335/10000,'CDO Bespoke'!G335,'CDO Bespoke'!$L311,'CDO Bespoke'!$C$13,'CDO Bespoke'!$C$14,'CDO Bespoke'!$C$15,'CDO Bespoke'!$C$8,,,TRUE,TRUE,FALSE,'CDO Bespoke'!$C$29:'CDO Bespoke'!$C$31,'CDO Bespoke'!$C$33),{5})),"")</f>
        <v/>
      </c>
      <c r="Y310" s="527" t="str" cm="1">
        <f t="array" aca="1" ref="Y310" ca="1">IF($V310&lt;&gt;"",-TRANSPOSE(INDEX(getcds('CDO Bespoke'!$C335,Y$13,'CDO Bespoke'!$G335/10000,'CDO Bespoke'!H335,'CDO Bespoke'!$L311,'CDO Bespoke'!$C$13,'CDO Bespoke'!$C$14,'CDO Bespoke'!$C$15,'CDO Bespoke'!$C$8,,,TRUE,TRUE,FALSE,'CDO Bespoke'!$C$29:'CDO Bespoke'!$C$31,'CDO Bespoke'!$C$33),{5})),"")</f>
        <v/>
      </c>
      <c r="Z310" s="527" t="str" cm="1">
        <f t="array" aca="1" ref="Z310" ca="1">IF($V310&lt;&gt;"",-TRANSPOSE(INDEX(getcds('CDO Bespoke'!$C335,Z$13,'CDO Bespoke'!$G335/10000,'CDO Bespoke'!I335,'CDO Bespoke'!$L311,'CDO Bespoke'!$C$13,'CDO Bespoke'!$C$14,'CDO Bespoke'!$C$15,'CDO Bespoke'!$C$8,,,TRUE,TRUE,FALSE,'CDO Bespoke'!$C$29:'CDO Bespoke'!$C$31,'CDO Bespoke'!$C$33),{5})),"")</f>
        <v/>
      </c>
      <c r="AA310" s="502" t="str" cm="1">
        <f t="array" aca="1" ref="AA310" ca="1">IF($V310&lt;&gt;"",-TRANSPOSE(INDEX(getcds('CDO Bespoke'!$C335,AA$13,'CDO Bespoke'!$G335/10000,'CDO Bespoke'!J335,'CDO Bespoke'!$L311,'CDO Bespoke'!$C$13,'CDO Bespoke'!$C$14,'CDO Bespoke'!$C$15,'CDO Bespoke'!$C$8,,,TRUE,TRUE,FALSE,'CDO Bespoke'!$C$29:'CDO Bespoke'!$C$31,'CDO Bespoke'!$C$33),{5})),"")</f>
        <v/>
      </c>
      <c r="AB310" s="481"/>
      <c r="AC310" s="517"/>
      <c r="AD310" s="518"/>
      <c r="AE310" s="518"/>
      <c r="AF310" s="518"/>
      <c r="AG310" s="518"/>
      <c r="AH310" s="518"/>
      <c r="AI310" s="518"/>
      <c r="AJ310" s="518"/>
      <c r="AK310" s="518"/>
      <c r="AL310" s="519"/>
      <c r="AM310" s="540"/>
    </row>
    <row r="311" spans="2:39" ht="12" thickBot="1">
      <c r="B311" s="541"/>
      <c r="C311" s="542" t="s">
        <v>66</v>
      </c>
      <c r="D311" s="542" t="s">
        <v>57</v>
      </c>
      <c r="E311" s="542"/>
      <c r="F311" s="542"/>
      <c r="G311" s="549">
        <v>0.01</v>
      </c>
      <c r="H311" s="549"/>
      <c r="I311" s="551">
        <v>0.4</v>
      </c>
      <c r="J311" s="543">
        <v>96</v>
      </c>
      <c r="K311" s="275"/>
      <c r="L311" s="275"/>
      <c r="M311" s="489" t="str">
        <f ca="1">IF('CDO Bespoke'!O312&lt;&gt;"",'CDO Bespoke'!O312,"")</f>
        <v/>
      </c>
      <c r="N311" s="490" t="str">
        <f ca="1">IF(M311&lt;&gt;"",ABS(MIN(-0.75*('CDO Bespoke'!Q312)+'CDO Bespoke'!T312,0)),"")</f>
        <v/>
      </c>
      <c r="O311" s="490" t="str">
        <f t="shared" ca="1" si="16"/>
        <v/>
      </c>
      <c r="P311" s="490" t="str">
        <f t="shared" ca="1" si="17"/>
        <v/>
      </c>
      <c r="Q311" s="489" t="str">
        <f ca="1">IF('CDO Bespoke'!O312&lt;&gt;"",'CDO Bespoke'!O312,"")</f>
        <v/>
      </c>
      <c r="R311" s="490" t="str">
        <f ca="1">IF(Q311&lt;&gt;"",ABS(MIN(-0.75*('CDO Bespoke'!K312)+'CDO Bespoke'!T312,0)),"")</f>
        <v/>
      </c>
      <c r="S311" s="490" t="str">
        <f t="shared" ca="1" si="18"/>
        <v/>
      </c>
      <c r="T311" s="494" t="str">
        <f t="shared" ca="1" si="19"/>
        <v/>
      </c>
      <c r="U311" s="275"/>
      <c r="V311" s="499" t="str">
        <f ca="1">IF('CDO Bespoke'!C336&lt;&gt;"",'CDO Bespoke'!C336,"")</f>
        <v/>
      </c>
      <c r="W311" s="501" t="str" cm="1">
        <f t="array" aca="1" ref="W311" ca="1">IF($V311&lt;&gt;"",-TRANSPOSE(INDEX(getcds('CDO Bespoke'!$C336,W$13,'CDO Bespoke'!$G336/10000,'CDO Bespoke'!F336,'CDO Bespoke'!$L312,'CDO Bespoke'!$C$13,'CDO Bespoke'!$C$14,'CDO Bespoke'!$C$15,'CDO Bespoke'!$C$8,,,TRUE,TRUE,FALSE,'CDO Bespoke'!$C$29:'CDO Bespoke'!$C$31,'CDO Bespoke'!$C$33),{5})),"")</f>
        <v/>
      </c>
      <c r="X311" s="527" t="str" cm="1">
        <f t="array" aca="1" ref="X311" ca="1">IF($V311&lt;&gt;"",-TRANSPOSE(INDEX(getcds('CDO Bespoke'!$C336,X$13,'CDO Bespoke'!$G336/10000,'CDO Bespoke'!G336,'CDO Bespoke'!$L312,'CDO Bespoke'!$C$13,'CDO Bespoke'!$C$14,'CDO Bespoke'!$C$15,'CDO Bespoke'!$C$8,,,TRUE,TRUE,FALSE,'CDO Bespoke'!$C$29:'CDO Bespoke'!$C$31,'CDO Bespoke'!$C$33),{5})),"")</f>
        <v/>
      </c>
      <c r="Y311" s="527" t="str" cm="1">
        <f t="array" aca="1" ref="Y311" ca="1">IF($V311&lt;&gt;"",-TRANSPOSE(INDEX(getcds('CDO Bespoke'!$C336,Y$13,'CDO Bespoke'!$G336/10000,'CDO Bespoke'!H336,'CDO Bespoke'!$L312,'CDO Bespoke'!$C$13,'CDO Bespoke'!$C$14,'CDO Bespoke'!$C$15,'CDO Bespoke'!$C$8,,,TRUE,TRUE,FALSE,'CDO Bespoke'!$C$29:'CDO Bespoke'!$C$31,'CDO Bespoke'!$C$33),{5})),"")</f>
        <v/>
      </c>
      <c r="Z311" s="527" t="str" cm="1">
        <f t="array" aca="1" ref="Z311" ca="1">IF($V311&lt;&gt;"",-TRANSPOSE(INDEX(getcds('CDO Bespoke'!$C336,Z$13,'CDO Bespoke'!$G336/10000,'CDO Bespoke'!I336,'CDO Bespoke'!$L312,'CDO Bespoke'!$C$13,'CDO Bespoke'!$C$14,'CDO Bespoke'!$C$15,'CDO Bespoke'!$C$8,,,TRUE,TRUE,FALSE,'CDO Bespoke'!$C$29:'CDO Bespoke'!$C$31,'CDO Bespoke'!$C$33),{5})),"")</f>
        <v/>
      </c>
      <c r="AA311" s="502" t="str" cm="1">
        <f t="array" aca="1" ref="AA311" ca="1">IF($V311&lt;&gt;"",-TRANSPOSE(INDEX(getcds('CDO Bespoke'!$C336,AA$13,'CDO Bespoke'!$G336/10000,'CDO Bespoke'!J336,'CDO Bespoke'!$L312,'CDO Bespoke'!$C$13,'CDO Bespoke'!$C$14,'CDO Bespoke'!$C$15,'CDO Bespoke'!$C$8,,,TRUE,TRUE,FALSE,'CDO Bespoke'!$C$29:'CDO Bespoke'!$C$31,'CDO Bespoke'!$C$33),{5})),"")</f>
        <v/>
      </c>
      <c r="AB311" s="481"/>
      <c r="AC311" s="517"/>
      <c r="AD311" s="518"/>
      <c r="AE311" s="518"/>
      <c r="AF311" s="518"/>
      <c r="AG311" s="518"/>
      <c r="AH311" s="518"/>
      <c r="AI311" s="518"/>
      <c r="AJ311" s="518"/>
      <c r="AK311" s="518"/>
      <c r="AL311" s="519"/>
      <c r="AM311" s="540"/>
    </row>
    <row r="312" spans="2:39" ht="12" thickBot="1">
      <c r="B312" s="558"/>
      <c r="C312" s="559" t="s">
        <v>66</v>
      </c>
      <c r="D312" s="559" t="s">
        <v>59</v>
      </c>
      <c r="E312" s="559"/>
      <c r="F312" s="559"/>
      <c r="G312" s="560">
        <v>0.01</v>
      </c>
      <c r="H312" s="560"/>
      <c r="I312" s="561">
        <v>0.4</v>
      </c>
      <c r="J312" s="562">
        <v>96</v>
      </c>
      <c r="K312" s="275"/>
      <c r="L312" s="275"/>
      <c r="M312" s="489" t="str">
        <f ca="1">IF('CDO Bespoke'!O313&lt;&gt;"",'CDO Bespoke'!O313,"")</f>
        <v/>
      </c>
      <c r="N312" s="490" t="str">
        <f ca="1">IF(M312&lt;&gt;"",ABS(MIN(-0.75*('CDO Bespoke'!Q313)+'CDO Bespoke'!T313,0)),"")</f>
        <v/>
      </c>
      <c r="O312" s="490" t="str">
        <f t="shared" ca="1" si="16"/>
        <v/>
      </c>
      <c r="P312" s="490" t="str">
        <f t="shared" ca="1" si="17"/>
        <v/>
      </c>
      <c r="Q312" s="489" t="str">
        <f ca="1">IF('CDO Bespoke'!O313&lt;&gt;"",'CDO Bespoke'!O313,"")</f>
        <v/>
      </c>
      <c r="R312" s="490" t="str">
        <f ca="1">IF(Q312&lt;&gt;"",ABS(MIN(-0.75*('CDO Bespoke'!K313)+'CDO Bespoke'!T313,0)),"")</f>
        <v/>
      </c>
      <c r="S312" s="490" t="str">
        <f t="shared" ca="1" si="18"/>
        <v/>
      </c>
      <c r="T312" s="494" t="str">
        <f t="shared" ca="1" si="19"/>
        <v/>
      </c>
      <c r="U312" s="275"/>
      <c r="V312" s="499" t="str">
        <f ca="1">IF('CDO Bespoke'!C337&lt;&gt;"",'CDO Bespoke'!C337,"")</f>
        <v/>
      </c>
      <c r="W312" s="501" t="str" cm="1">
        <f t="array" aca="1" ref="W312" ca="1">IF($V312&lt;&gt;"",-TRANSPOSE(INDEX(getcds('CDO Bespoke'!$C337,W$13,'CDO Bespoke'!$G337/10000,'CDO Bespoke'!F337,'CDO Bespoke'!$L313,'CDO Bespoke'!$C$13,'CDO Bespoke'!$C$14,'CDO Bespoke'!$C$15,'CDO Bespoke'!$C$8,,,TRUE,TRUE,FALSE,'CDO Bespoke'!$C$29:'CDO Bespoke'!$C$31,'CDO Bespoke'!$C$33),{5})),"")</f>
        <v/>
      </c>
      <c r="X312" s="527" t="str" cm="1">
        <f t="array" aca="1" ref="X312" ca="1">IF($V312&lt;&gt;"",-TRANSPOSE(INDEX(getcds('CDO Bespoke'!$C337,X$13,'CDO Bespoke'!$G337/10000,'CDO Bespoke'!G337,'CDO Bespoke'!$L313,'CDO Bespoke'!$C$13,'CDO Bespoke'!$C$14,'CDO Bespoke'!$C$15,'CDO Bespoke'!$C$8,,,TRUE,TRUE,FALSE,'CDO Bespoke'!$C$29:'CDO Bespoke'!$C$31,'CDO Bespoke'!$C$33),{5})),"")</f>
        <v/>
      </c>
      <c r="Y312" s="527" t="str" cm="1">
        <f t="array" aca="1" ref="Y312" ca="1">IF($V312&lt;&gt;"",-TRANSPOSE(INDEX(getcds('CDO Bespoke'!$C337,Y$13,'CDO Bespoke'!$G337/10000,'CDO Bespoke'!H337,'CDO Bespoke'!$L313,'CDO Bespoke'!$C$13,'CDO Bespoke'!$C$14,'CDO Bespoke'!$C$15,'CDO Bespoke'!$C$8,,,TRUE,TRUE,FALSE,'CDO Bespoke'!$C$29:'CDO Bespoke'!$C$31,'CDO Bespoke'!$C$33),{5})),"")</f>
        <v/>
      </c>
      <c r="Z312" s="527" t="str" cm="1">
        <f t="array" aca="1" ref="Z312" ca="1">IF($V312&lt;&gt;"",-TRANSPOSE(INDEX(getcds('CDO Bespoke'!$C337,Z$13,'CDO Bespoke'!$G337/10000,'CDO Bespoke'!I337,'CDO Bespoke'!$L313,'CDO Bespoke'!$C$13,'CDO Bespoke'!$C$14,'CDO Bespoke'!$C$15,'CDO Bespoke'!$C$8,,,TRUE,TRUE,FALSE,'CDO Bespoke'!$C$29:'CDO Bespoke'!$C$31,'CDO Bespoke'!$C$33),{5})),"")</f>
        <v/>
      </c>
      <c r="AA312" s="502" t="str" cm="1">
        <f t="array" aca="1" ref="AA312" ca="1">IF($V312&lt;&gt;"",-TRANSPOSE(INDEX(getcds('CDO Bespoke'!$C337,AA$13,'CDO Bespoke'!$G337/10000,'CDO Bespoke'!J337,'CDO Bespoke'!$L313,'CDO Bespoke'!$C$13,'CDO Bespoke'!$C$14,'CDO Bespoke'!$C$15,'CDO Bespoke'!$C$8,,,TRUE,TRUE,FALSE,'CDO Bespoke'!$C$29:'CDO Bespoke'!$C$31,'CDO Bespoke'!$C$33),{5})),"")</f>
        <v/>
      </c>
      <c r="AB312" s="481"/>
      <c r="AC312" s="517"/>
      <c r="AD312" s="518"/>
      <c r="AE312" s="518"/>
      <c r="AF312" s="518"/>
      <c r="AG312" s="518"/>
      <c r="AH312" s="518"/>
      <c r="AI312" s="518"/>
      <c r="AJ312" s="518"/>
      <c r="AK312" s="518"/>
      <c r="AL312" s="519"/>
      <c r="AM312" s="540"/>
    </row>
    <row r="313" spans="2:39" ht="12" thickBot="1">
      <c r="B313" s="563"/>
      <c r="C313" s="564" t="s">
        <v>66</v>
      </c>
      <c r="D313" s="564" t="s">
        <v>55</v>
      </c>
      <c r="E313" s="564"/>
      <c r="F313" s="564"/>
      <c r="G313" s="565">
        <v>0.01</v>
      </c>
      <c r="H313" s="565"/>
      <c r="I313" s="566">
        <v>0.4</v>
      </c>
      <c r="J313" s="567">
        <v>97</v>
      </c>
      <c r="K313" s="275"/>
      <c r="L313" s="275"/>
      <c r="M313" s="495" t="str">
        <f ca="1">IF('CDO Bespoke'!O314&lt;&gt;"",'CDO Bespoke'!O314,"")</f>
        <v/>
      </c>
      <c r="N313" s="496" t="str">
        <f ca="1">IF(M313&lt;&gt;"",ABS(MIN(-0.75*('CDO Bespoke'!Q314)+'CDO Bespoke'!T314,0)),"")</f>
        <v/>
      </c>
      <c r="O313" s="496" t="str">
        <f t="shared" ca="1" si="16"/>
        <v/>
      </c>
      <c r="P313" s="496" t="str">
        <f t="shared" ca="1" si="17"/>
        <v/>
      </c>
      <c r="Q313" s="495" t="str">
        <f ca="1">IF('CDO Bespoke'!O314&lt;&gt;"",'CDO Bespoke'!O314,"")</f>
        <v/>
      </c>
      <c r="R313" s="496" t="str">
        <f ca="1">IF(Q313&lt;&gt;"",ABS(MIN(-0.75*('CDO Bespoke'!K314)+'CDO Bespoke'!T314,0)),"")</f>
        <v/>
      </c>
      <c r="S313" s="496" t="str">
        <f t="shared" ca="1" si="18"/>
        <v/>
      </c>
      <c r="T313" s="497" t="str">
        <f t="shared" ca="1" si="19"/>
        <v/>
      </c>
      <c r="U313" s="275"/>
      <c r="V313" s="500" t="str">
        <f ca="1">IF('CDO Bespoke'!C338&lt;&gt;"",'CDO Bespoke'!C338,"")</f>
        <v/>
      </c>
      <c r="W313" s="503" t="str" cm="1">
        <f t="array" aca="1" ref="W313" ca="1">IF($V313&lt;&gt;"",-TRANSPOSE(INDEX(getcds('CDO Bespoke'!$C338,W$13,'CDO Bespoke'!$G338/10000,'CDO Bespoke'!F338,'CDO Bespoke'!$L314,'CDO Bespoke'!$C$13,'CDO Bespoke'!$C$14,'CDO Bespoke'!$C$15,'CDO Bespoke'!$C$8,,,TRUE,TRUE,FALSE,'CDO Bespoke'!$C$29:'CDO Bespoke'!$C$31,'CDO Bespoke'!$C$33),{5})),"")</f>
        <v/>
      </c>
      <c r="X313" s="504" t="str" cm="1">
        <f t="array" aca="1" ref="X313" ca="1">IF($V313&lt;&gt;"",-TRANSPOSE(INDEX(getcds('CDO Bespoke'!$C338,X$13,'CDO Bespoke'!$G338/10000,'CDO Bespoke'!G338,'CDO Bespoke'!$L314,'CDO Bespoke'!$C$13,'CDO Bespoke'!$C$14,'CDO Bespoke'!$C$15,'CDO Bespoke'!$C$8,,,TRUE,TRUE,FALSE,'CDO Bespoke'!$C$29:'CDO Bespoke'!$C$31,'CDO Bespoke'!$C$33),{5})),"")</f>
        <v/>
      </c>
      <c r="Y313" s="504" t="str" cm="1">
        <f t="array" aca="1" ref="Y313" ca="1">IF($V313&lt;&gt;"",-TRANSPOSE(INDEX(getcds('CDO Bespoke'!$C338,Y$13,'CDO Bespoke'!$G338/10000,'CDO Bespoke'!H338,'CDO Bespoke'!$L314,'CDO Bespoke'!$C$13,'CDO Bespoke'!$C$14,'CDO Bespoke'!$C$15,'CDO Bespoke'!$C$8,,,TRUE,TRUE,FALSE,'CDO Bespoke'!$C$29:'CDO Bespoke'!$C$31,'CDO Bespoke'!$C$33),{5})),"")</f>
        <v/>
      </c>
      <c r="Z313" s="504" t="str" cm="1">
        <f t="array" aca="1" ref="Z313" ca="1">IF($V313&lt;&gt;"",-TRANSPOSE(INDEX(getcds('CDO Bespoke'!$C338,Z$13,'CDO Bespoke'!$G338/10000,'CDO Bespoke'!I338,'CDO Bespoke'!$L314,'CDO Bespoke'!$C$13,'CDO Bespoke'!$C$14,'CDO Bespoke'!$C$15,'CDO Bespoke'!$C$8,,,TRUE,TRUE,FALSE,'CDO Bespoke'!$C$29:'CDO Bespoke'!$C$31,'CDO Bespoke'!$C$33),{5})),"")</f>
        <v/>
      </c>
      <c r="AA313" s="505" t="str" cm="1">
        <f t="array" aca="1" ref="AA313" ca="1">IF($V313&lt;&gt;"",-TRANSPOSE(INDEX(getcds('CDO Bespoke'!$C338,AA$13,'CDO Bespoke'!$G338/10000,'CDO Bespoke'!J338,'CDO Bespoke'!$L314,'CDO Bespoke'!$C$13,'CDO Bespoke'!$C$14,'CDO Bespoke'!$C$15,'CDO Bespoke'!$C$8,,,TRUE,TRUE,FALSE,'CDO Bespoke'!$C$29:'CDO Bespoke'!$C$31,'CDO Bespoke'!$C$33),{5})),"")</f>
        <v/>
      </c>
      <c r="AB313" s="481"/>
      <c r="AC313" s="520"/>
      <c r="AD313" s="521"/>
      <c r="AE313" s="521"/>
      <c r="AF313" s="521"/>
      <c r="AG313" s="521"/>
      <c r="AH313" s="521"/>
      <c r="AI313" s="521"/>
      <c r="AJ313" s="521"/>
      <c r="AK313" s="521"/>
      <c r="AL313" s="522"/>
      <c r="AM313" s="540"/>
    </row>
    <row r="314" spans="2:39">
      <c r="B314" s="541"/>
      <c r="C314" s="542" t="s">
        <v>66</v>
      </c>
      <c r="D314" s="542" t="s">
        <v>57</v>
      </c>
      <c r="E314" s="542"/>
      <c r="F314" s="542"/>
      <c r="G314" s="549">
        <v>0.01</v>
      </c>
      <c r="H314" s="549"/>
      <c r="I314" s="551">
        <v>0.4</v>
      </c>
      <c r="J314" s="543">
        <v>97</v>
      </c>
      <c r="K314" s="275"/>
      <c r="L314" s="275"/>
      <c r="M314" s="275"/>
      <c r="N314" s="275"/>
      <c r="O314" s="275"/>
      <c r="P314" s="275"/>
      <c r="Q314" s="275"/>
      <c r="R314" s="275"/>
      <c r="S314" s="275"/>
      <c r="T314" s="275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</row>
    <row r="315" spans="2:39">
      <c r="B315" s="558"/>
      <c r="C315" s="559" t="s">
        <v>66</v>
      </c>
      <c r="D315" s="559" t="s">
        <v>59</v>
      </c>
      <c r="E315" s="559"/>
      <c r="F315" s="559"/>
      <c r="G315" s="560">
        <v>0.01</v>
      </c>
      <c r="H315" s="560"/>
      <c r="I315" s="561">
        <v>0.4</v>
      </c>
      <c r="J315" s="562">
        <v>97</v>
      </c>
      <c r="K315" s="275"/>
      <c r="L315" s="275"/>
      <c r="M315" s="275"/>
      <c r="N315" s="275"/>
      <c r="O315" s="275"/>
      <c r="P315" s="275"/>
      <c r="Q315" s="275"/>
      <c r="R315" s="275"/>
      <c r="S315" s="275"/>
      <c r="T315" s="275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</row>
    <row r="316" spans="2:39">
      <c r="B316" s="563"/>
      <c r="C316" s="564" t="s">
        <v>66</v>
      </c>
      <c r="D316" s="564" t="s">
        <v>55</v>
      </c>
      <c r="E316" s="564"/>
      <c r="F316" s="564"/>
      <c r="G316" s="565">
        <v>0.01</v>
      </c>
      <c r="H316" s="565"/>
      <c r="I316" s="566">
        <v>0.4</v>
      </c>
      <c r="J316" s="567">
        <v>98</v>
      </c>
      <c r="K316" s="275"/>
      <c r="L316" s="275"/>
      <c r="M316" s="275"/>
      <c r="N316" s="275"/>
      <c r="O316" s="275"/>
      <c r="P316" s="275"/>
      <c r="Q316" s="275"/>
      <c r="R316" s="275"/>
      <c r="S316" s="275"/>
      <c r="T316" s="275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</row>
    <row r="317" spans="2:39">
      <c r="B317" s="541"/>
      <c r="C317" s="542" t="s">
        <v>66</v>
      </c>
      <c r="D317" s="542" t="s">
        <v>57</v>
      </c>
      <c r="E317" s="542"/>
      <c r="F317" s="542"/>
      <c r="G317" s="549">
        <v>0.01</v>
      </c>
      <c r="H317" s="549"/>
      <c r="I317" s="551">
        <v>0.4</v>
      </c>
      <c r="J317" s="543">
        <v>98</v>
      </c>
      <c r="K317" s="275"/>
      <c r="L317" s="275"/>
      <c r="M317" s="275"/>
      <c r="N317" s="275"/>
      <c r="O317" s="275"/>
      <c r="P317" s="275"/>
      <c r="Q317" s="275"/>
      <c r="R317" s="275"/>
      <c r="S317" s="275"/>
      <c r="T317" s="275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</row>
    <row r="318" spans="2:39">
      <c r="B318" s="558"/>
      <c r="C318" s="559" t="s">
        <v>66</v>
      </c>
      <c r="D318" s="559" t="s">
        <v>59</v>
      </c>
      <c r="E318" s="559"/>
      <c r="F318" s="559"/>
      <c r="G318" s="560">
        <v>0.01</v>
      </c>
      <c r="H318" s="560"/>
      <c r="I318" s="561">
        <v>0.4</v>
      </c>
      <c r="J318" s="562">
        <v>98</v>
      </c>
      <c r="K318" s="275"/>
      <c r="L318" s="275"/>
      <c r="M318" s="275"/>
      <c r="N318" s="275"/>
      <c r="O318" s="275"/>
      <c r="P318" s="275"/>
      <c r="Q318" s="275"/>
      <c r="R318" s="275"/>
      <c r="S318" s="275"/>
      <c r="T318" s="275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</row>
    <row r="319" spans="2:39">
      <c r="B319" s="563"/>
      <c r="C319" s="564" t="s">
        <v>66</v>
      </c>
      <c r="D319" s="564" t="s">
        <v>55</v>
      </c>
      <c r="E319" s="564"/>
      <c r="F319" s="564"/>
      <c r="G319" s="565">
        <v>0.01</v>
      </c>
      <c r="H319" s="565"/>
      <c r="I319" s="566">
        <v>0.4</v>
      </c>
      <c r="J319" s="567">
        <v>99</v>
      </c>
      <c r="K319" s="275"/>
      <c r="L319" s="275"/>
      <c r="M319" s="275"/>
      <c r="N319" s="275"/>
      <c r="O319" s="275"/>
      <c r="P319" s="275"/>
      <c r="Q319" s="275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</row>
    <row r="320" spans="2:39">
      <c r="B320" s="541"/>
      <c r="C320" s="542" t="s">
        <v>66</v>
      </c>
      <c r="D320" s="542" t="s">
        <v>57</v>
      </c>
      <c r="E320" s="542"/>
      <c r="F320" s="542"/>
      <c r="G320" s="549">
        <v>0.01</v>
      </c>
      <c r="H320" s="549"/>
      <c r="I320" s="551">
        <v>0.4</v>
      </c>
      <c r="J320" s="543">
        <v>99</v>
      </c>
      <c r="K320" s="275"/>
      <c r="L320" s="275"/>
      <c r="M320" s="275"/>
      <c r="N320" s="275"/>
      <c r="O320" s="275"/>
      <c r="P320" s="275"/>
      <c r="Q320" s="275"/>
      <c r="R320" s="275"/>
      <c r="S320" s="275"/>
      <c r="T320" s="275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</row>
    <row r="321" spans="2:31">
      <c r="B321" s="558"/>
      <c r="C321" s="559" t="s">
        <v>66</v>
      </c>
      <c r="D321" s="559" t="s">
        <v>59</v>
      </c>
      <c r="E321" s="559"/>
      <c r="F321" s="559"/>
      <c r="G321" s="560">
        <v>0.01</v>
      </c>
      <c r="H321" s="560"/>
      <c r="I321" s="561">
        <v>0.4</v>
      </c>
      <c r="J321" s="562">
        <v>99</v>
      </c>
      <c r="K321" s="275"/>
      <c r="L321" s="275"/>
      <c r="M321" s="275"/>
      <c r="N321" s="275"/>
      <c r="O321" s="275"/>
      <c r="P321" s="275"/>
      <c r="Q321" s="275"/>
      <c r="R321" s="275"/>
      <c r="S321" s="275"/>
      <c r="T321" s="275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</row>
    <row r="322" spans="2:31">
      <c r="B322" s="563"/>
      <c r="C322" s="564" t="s">
        <v>66</v>
      </c>
      <c r="D322" s="564" t="s">
        <v>55</v>
      </c>
      <c r="E322" s="564"/>
      <c r="F322" s="564"/>
      <c r="G322" s="565">
        <v>0.01</v>
      </c>
      <c r="H322" s="565"/>
      <c r="I322" s="566">
        <v>0.4</v>
      </c>
      <c r="J322" s="567">
        <v>100</v>
      </c>
      <c r="K322" s="275"/>
      <c r="L322" s="275"/>
      <c r="M322" s="275"/>
      <c r="N322" s="275"/>
      <c r="O322" s="275"/>
      <c r="P322" s="275"/>
      <c r="Q322" s="275"/>
      <c r="R322" s="275"/>
      <c r="S322" s="275"/>
      <c r="T322" s="275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</row>
    <row r="323" spans="2:31">
      <c r="B323" s="541"/>
      <c r="C323" s="542" t="s">
        <v>66</v>
      </c>
      <c r="D323" s="542" t="s">
        <v>57</v>
      </c>
      <c r="E323" s="542"/>
      <c r="F323" s="542"/>
      <c r="G323" s="549">
        <v>0.01</v>
      </c>
      <c r="H323" s="549"/>
      <c r="I323" s="551">
        <v>0.4</v>
      </c>
      <c r="J323" s="543">
        <v>100</v>
      </c>
      <c r="K323" s="275"/>
      <c r="L323" s="275"/>
      <c r="M323" s="275"/>
      <c r="N323" s="275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</row>
    <row r="324" spans="2:31">
      <c r="B324" s="558"/>
      <c r="C324" s="559" t="s">
        <v>66</v>
      </c>
      <c r="D324" s="559" t="s">
        <v>59</v>
      </c>
      <c r="E324" s="559"/>
      <c r="F324" s="559"/>
      <c r="G324" s="560">
        <v>0.01</v>
      </c>
      <c r="H324" s="560"/>
      <c r="I324" s="561">
        <v>0.4</v>
      </c>
      <c r="J324" s="562">
        <v>100</v>
      </c>
      <c r="K324" s="275"/>
      <c r="L324" s="275"/>
      <c r="M324" s="275"/>
      <c r="N324" s="275"/>
      <c r="O324" s="275"/>
      <c r="P324" s="275"/>
      <c r="Q324" s="275"/>
      <c r="R324" s="275"/>
      <c r="S324" s="275"/>
      <c r="T324" s="275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</row>
    <row r="325" spans="2:31">
      <c r="B325" s="563"/>
      <c r="C325" s="564" t="s">
        <v>66</v>
      </c>
      <c r="D325" s="564" t="s">
        <v>55</v>
      </c>
      <c r="E325" s="564"/>
      <c r="F325" s="564"/>
      <c r="G325" s="565">
        <v>0.01</v>
      </c>
      <c r="H325" s="565"/>
      <c r="I325" s="566">
        <v>0.4</v>
      </c>
      <c r="J325" s="567">
        <v>101</v>
      </c>
      <c r="K325" s="275"/>
      <c r="L325" s="275"/>
      <c r="M325" s="275"/>
      <c r="N325" s="275"/>
      <c r="O325" s="275"/>
      <c r="P325" s="275"/>
      <c r="Q325" s="275"/>
      <c r="R325" s="275"/>
      <c r="S325" s="275"/>
      <c r="T325" s="275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</row>
    <row r="326" spans="2:31">
      <c r="B326" s="541"/>
      <c r="C326" s="542" t="s">
        <v>66</v>
      </c>
      <c r="D326" s="542" t="s">
        <v>57</v>
      </c>
      <c r="E326" s="542"/>
      <c r="F326" s="542"/>
      <c r="G326" s="549">
        <v>0.01</v>
      </c>
      <c r="H326" s="549"/>
      <c r="I326" s="551">
        <v>0.4</v>
      </c>
      <c r="J326" s="543">
        <v>101</v>
      </c>
      <c r="K326" s="275"/>
      <c r="L326" s="275"/>
      <c r="M326" s="275"/>
      <c r="N326" s="275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</row>
    <row r="327" spans="2:31">
      <c r="B327" s="558"/>
      <c r="C327" s="559" t="s">
        <v>66</v>
      </c>
      <c r="D327" s="559" t="s">
        <v>59</v>
      </c>
      <c r="E327" s="559"/>
      <c r="F327" s="559"/>
      <c r="G327" s="560">
        <v>0.01</v>
      </c>
      <c r="H327" s="560"/>
      <c r="I327" s="561">
        <v>0.4</v>
      </c>
      <c r="J327" s="562">
        <v>101</v>
      </c>
      <c r="K327" s="275"/>
      <c r="L327" s="275"/>
      <c r="M327" s="275"/>
      <c r="N327" s="275"/>
      <c r="O327" s="275"/>
      <c r="P327" s="275"/>
      <c r="Q327" s="275"/>
      <c r="R327" s="275"/>
      <c r="S327" s="275"/>
      <c r="T327" s="275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</row>
    <row r="328" spans="2:31">
      <c r="B328" s="563"/>
      <c r="C328" s="564" t="s">
        <v>66</v>
      </c>
      <c r="D328" s="564" t="s">
        <v>55</v>
      </c>
      <c r="E328" s="564"/>
      <c r="F328" s="564"/>
      <c r="G328" s="565">
        <v>0.01</v>
      </c>
      <c r="H328" s="565"/>
      <c r="I328" s="566">
        <v>0.4</v>
      </c>
      <c r="J328" s="567">
        <v>102</v>
      </c>
      <c r="K328" s="275"/>
      <c r="L328" s="275"/>
      <c r="M328" s="275"/>
      <c r="N328" s="275"/>
      <c r="O328" s="275"/>
      <c r="P328" s="275"/>
      <c r="Q328" s="275"/>
      <c r="R328" s="275"/>
      <c r="S328" s="275"/>
      <c r="T328" s="275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</row>
    <row r="329" spans="2:31">
      <c r="B329" s="541"/>
      <c r="C329" s="542" t="s">
        <v>66</v>
      </c>
      <c r="D329" s="542" t="s">
        <v>57</v>
      </c>
      <c r="E329" s="542"/>
      <c r="F329" s="542"/>
      <c r="G329" s="549">
        <v>0.01</v>
      </c>
      <c r="H329" s="549"/>
      <c r="I329" s="551">
        <v>0.4</v>
      </c>
      <c r="J329" s="543">
        <v>102</v>
      </c>
      <c r="K329" s="275"/>
      <c r="L329" s="275"/>
      <c r="M329" s="275"/>
      <c r="N329" s="275"/>
      <c r="O329" s="275"/>
      <c r="P329" s="275"/>
      <c r="Q329" s="275"/>
      <c r="R329" s="275"/>
      <c r="S329" s="275"/>
      <c r="T329" s="275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</row>
    <row r="330" spans="2:31">
      <c r="B330" s="558"/>
      <c r="C330" s="559" t="s">
        <v>66</v>
      </c>
      <c r="D330" s="559" t="s">
        <v>59</v>
      </c>
      <c r="E330" s="559"/>
      <c r="F330" s="559"/>
      <c r="G330" s="560">
        <v>0.01</v>
      </c>
      <c r="H330" s="560"/>
      <c r="I330" s="561">
        <v>0.4</v>
      </c>
      <c r="J330" s="562">
        <v>102</v>
      </c>
      <c r="K330" s="275"/>
      <c r="L330" s="275"/>
      <c r="M330" s="275"/>
      <c r="N330" s="275"/>
      <c r="O330" s="275"/>
      <c r="P330" s="275"/>
      <c r="Q330" s="275"/>
      <c r="R330" s="275"/>
      <c r="S330" s="275"/>
      <c r="T330" s="275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</row>
    <row r="331" spans="2:31">
      <c r="B331" s="563"/>
      <c r="C331" s="564" t="s">
        <v>66</v>
      </c>
      <c r="D331" s="564" t="s">
        <v>55</v>
      </c>
      <c r="E331" s="564"/>
      <c r="F331" s="564"/>
      <c r="G331" s="565">
        <v>0.01</v>
      </c>
      <c r="H331" s="565"/>
      <c r="I331" s="566">
        <v>0.4</v>
      </c>
      <c r="J331" s="567">
        <v>103</v>
      </c>
      <c r="K331" s="275"/>
      <c r="L331" s="275"/>
      <c r="M331" s="275"/>
      <c r="N331" s="275"/>
      <c r="O331" s="275"/>
      <c r="P331" s="275"/>
      <c r="Q331" s="275"/>
      <c r="R331" s="275"/>
      <c r="S331" s="275"/>
      <c r="T331" s="275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</row>
    <row r="332" spans="2:31">
      <c r="B332" s="541"/>
      <c r="C332" s="542" t="s">
        <v>66</v>
      </c>
      <c r="D332" s="542" t="s">
        <v>57</v>
      </c>
      <c r="E332" s="542"/>
      <c r="F332" s="542"/>
      <c r="G332" s="549">
        <v>0.01</v>
      </c>
      <c r="H332" s="549"/>
      <c r="I332" s="551">
        <v>0.4</v>
      </c>
      <c r="J332" s="543">
        <v>103</v>
      </c>
      <c r="K332" s="275"/>
      <c r="L332" s="275"/>
      <c r="M332" s="275"/>
      <c r="N332" s="275"/>
      <c r="O332" s="275"/>
      <c r="P332" s="275"/>
      <c r="Q332" s="275"/>
      <c r="R332" s="275"/>
      <c r="S332" s="275"/>
      <c r="T332" s="275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</row>
    <row r="333" spans="2:31">
      <c r="B333" s="558"/>
      <c r="C333" s="559" t="s">
        <v>66</v>
      </c>
      <c r="D333" s="559" t="s">
        <v>59</v>
      </c>
      <c r="E333" s="559"/>
      <c r="F333" s="559"/>
      <c r="G333" s="560">
        <v>0.01</v>
      </c>
      <c r="H333" s="560"/>
      <c r="I333" s="561">
        <v>0.4</v>
      </c>
      <c r="J333" s="562">
        <v>103</v>
      </c>
      <c r="K333" s="275"/>
      <c r="L333" s="275"/>
      <c r="M333" s="275"/>
      <c r="N333" s="275"/>
      <c r="O333" s="275"/>
      <c r="P333" s="275"/>
      <c r="Q333" s="275"/>
      <c r="R333" s="275"/>
      <c r="S333" s="275"/>
      <c r="T333" s="275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</row>
    <row r="334" spans="2:31">
      <c r="B334" s="563"/>
      <c r="C334" s="564" t="s">
        <v>66</v>
      </c>
      <c r="D334" s="564" t="s">
        <v>55</v>
      </c>
      <c r="E334" s="564"/>
      <c r="F334" s="564"/>
      <c r="G334" s="565">
        <v>0.01</v>
      </c>
      <c r="H334" s="565"/>
      <c r="I334" s="566">
        <v>0.4</v>
      </c>
      <c r="J334" s="567">
        <v>104</v>
      </c>
      <c r="K334" s="275"/>
      <c r="L334" s="275"/>
      <c r="M334" s="275"/>
      <c r="N334" s="275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</row>
    <row r="335" spans="2:31">
      <c r="B335" s="541"/>
      <c r="C335" s="542" t="s">
        <v>66</v>
      </c>
      <c r="D335" s="542" t="s">
        <v>57</v>
      </c>
      <c r="E335" s="542"/>
      <c r="F335" s="542"/>
      <c r="G335" s="549">
        <v>0.01</v>
      </c>
      <c r="H335" s="549"/>
      <c r="I335" s="551">
        <v>0.4</v>
      </c>
      <c r="J335" s="543">
        <v>104</v>
      </c>
      <c r="K335" s="275"/>
      <c r="L335" s="275"/>
      <c r="M335" s="275"/>
      <c r="N335" s="275"/>
      <c r="O335" s="275"/>
      <c r="P335" s="275"/>
      <c r="Q335" s="275"/>
      <c r="R335" s="275"/>
      <c r="S335" s="275"/>
      <c r="T335" s="275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</row>
    <row r="336" spans="2:31">
      <c r="B336" s="558"/>
      <c r="C336" s="559" t="s">
        <v>66</v>
      </c>
      <c r="D336" s="559" t="s">
        <v>59</v>
      </c>
      <c r="E336" s="559"/>
      <c r="F336" s="559"/>
      <c r="G336" s="560">
        <v>0.01</v>
      </c>
      <c r="H336" s="560"/>
      <c r="I336" s="561">
        <v>0.4</v>
      </c>
      <c r="J336" s="562">
        <v>104</v>
      </c>
      <c r="K336" s="275"/>
      <c r="L336" s="275"/>
      <c r="M336" s="275"/>
      <c r="N336" s="275"/>
      <c r="O336" s="275"/>
      <c r="P336" s="275"/>
      <c r="Q336" s="275"/>
      <c r="R336" s="275"/>
      <c r="S336" s="275"/>
      <c r="T336" s="275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</row>
    <row r="337" spans="2:10" s="275" customFormat="1">
      <c r="B337" s="563"/>
      <c r="C337" s="564" t="s">
        <v>66</v>
      </c>
      <c r="D337" s="564" t="s">
        <v>55</v>
      </c>
      <c r="E337" s="564"/>
      <c r="F337" s="564"/>
      <c r="G337" s="565">
        <v>0.01</v>
      </c>
      <c r="H337" s="565"/>
      <c r="I337" s="566">
        <v>0.4</v>
      </c>
      <c r="J337" s="567">
        <v>105</v>
      </c>
    </row>
    <row r="338" spans="2:10" s="275" customFormat="1">
      <c r="B338" s="541"/>
      <c r="C338" s="542" t="s">
        <v>66</v>
      </c>
      <c r="D338" s="542" t="s">
        <v>57</v>
      </c>
      <c r="E338" s="542"/>
      <c r="F338" s="542"/>
      <c r="G338" s="549">
        <v>0.01</v>
      </c>
      <c r="H338" s="549"/>
      <c r="I338" s="551">
        <v>0.4</v>
      </c>
      <c r="J338" s="543">
        <v>105</v>
      </c>
    </row>
    <row r="339" spans="2:10" s="275" customFormat="1">
      <c r="B339" s="558"/>
      <c r="C339" s="559" t="s">
        <v>66</v>
      </c>
      <c r="D339" s="559" t="s">
        <v>59</v>
      </c>
      <c r="E339" s="559"/>
      <c r="F339" s="559"/>
      <c r="G339" s="560">
        <v>0.01</v>
      </c>
      <c r="H339" s="560"/>
      <c r="I339" s="561">
        <v>0.4</v>
      </c>
      <c r="J339" s="562">
        <v>105</v>
      </c>
    </row>
    <row r="340" spans="2:10" s="275" customFormat="1">
      <c r="B340" s="563"/>
      <c r="C340" s="564" t="s">
        <v>66</v>
      </c>
      <c r="D340" s="564" t="s">
        <v>55</v>
      </c>
      <c r="E340" s="564"/>
      <c r="F340" s="564"/>
      <c r="G340" s="565">
        <v>0.01</v>
      </c>
      <c r="H340" s="565"/>
      <c r="I340" s="566">
        <v>0.4</v>
      </c>
      <c r="J340" s="567">
        <v>106</v>
      </c>
    </row>
    <row r="341" spans="2:10" s="275" customFormat="1">
      <c r="B341" s="541"/>
      <c r="C341" s="542" t="s">
        <v>66</v>
      </c>
      <c r="D341" s="542" t="s">
        <v>57</v>
      </c>
      <c r="E341" s="542"/>
      <c r="F341" s="542"/>
      <c r="G341" s="549">
        <v>0.01</v>
      </c>
      <c r="H341" s="549"/>
      <c r="I341" s="551">
        <v>0.4</v>
      </c>
      <c r="J341" s="543">
        <v>106</v>
      </c>
    </row>
    <row r="342" spans="2:10" s="275" customFormat="1">
      <c r="B342" s="558"/>
      <c r="C342" s="559" t="s">
        <v>66</v>
      </c>
      <c r="D342" s="559" t="s">
        <v>59</v>
      </c>
      <c r="E342" s="559"/>
      <c r="F342" s="559"/>
      <c r="G342" s="560">
        <v>0.01</v>
      </c>
      <c r="H342" s="560"/>
      <c r="I342" s="561">
        <v>0.4</v>
      </c>
      <c r="J342" s="562">
        <v>106</v>
      </c>
    </row>
    <row r="343" spans="2:10" s="275" customFormat="1">
      <c r="B343" s="563"/>
      <c r="C343" s="564" t="s">
        <v>66</v>
      </c>
      <c r="D343" s="564" t="s">
        <v>55</v>
      </c>
      <c r="E343" s="564"/>
      <c r="F343" s="564"/>
      <c r="G343" s="565">
        <v>0.01</v>
      </c>
      <c r="H343" s="565"/>
      <c r="I343" s="566">
        <v>0.4</v>
      </c>
      <c r="J343" s="567">
        <v>107</v>
      </c>
    </row>
    <row r="344" spans="2:10" s="275" customFormat="1">
      <c r="B344" s="541"/>
      <c r="C344" s="542" t="s">
        <v>66</v>
      </c>
      <c r="D344" s="542" t="s">
        <v>57</v>
      </c>
      <c r="E344" s="542"/>
      <c r="F344" s="542"/>
      <c r="G344" s="549">
        <v>0.01</v>
      </c>
      <c r="H344" s="549"/>
      <c r="I344" s="551">
        <v>0.4</v>
      </c>
      <c r="J344" s="543">
        <v>107</v>
      </c>
    </row>
    <row r="345" spans="2:10" s="275" customFormat="1">
      <c r="B345" s="558"/>
      <c r="C345" s="559" t="s">
        <v>66</v>
      </c>
      <c r="D345" s="559" t="s">
        <v>59</v>
      </c>
      <c r="E345" s="559"/>
      <c r="F345" s="559"/>
      <c r="G345" s="560">
        <v>0.01</v>
      </c>
      <c r="H345" s="560"/>
      <c r="I345" s="561">
        <v>0.4</v>
      </c>
      <c r="J345" s="562">
        <v>107</v>
      </c>
    </row>
    <row r="346" spans="2:10" s="275" customFormat="1">
      <c r="B346" s="563"/>
      <c r="C346" s="564" t="s">
        <v>66</v>
      </c>
      <c r="D346" s="564" t="s">
        <v>55</v>
      </c>
      <c r="E346" s="564"/>
      <c r="F346" s="564"/>
      <c r="G346" s="565">
        <v>0.01</v>
      </c>
      <c r="H346" s="565"/>
      <c r="I346" s="566">
        <v>0.4</v>
      </c>
      <c r="J346" s="567">
        <v>108</v>
      </c>
    </row>
    <row r="347" spans="2:10" s="275" customFormat="1">
      <c r="B347" s="541"/>
      <c r="C347" s="542" t="s">
        <v>66</v>
      </c>
      <c r="D347" s="542" t="s">
        <v>57</v>
      </c>
      <c r="E347" s="542"/>
      <c r="F347" s="542"/>
      <c r="G347" s="549">
        <v>0.01</v>
      </c>
      <c r="H347" s="549"/>
      <c r="I347" s="551">
        <v>0.4</v>
      </c>
      <c r="J347" s="543">
        <v>108</v>
      </c>
    </row>
    <row r="348" spans="2:10" s="275" customFormat="1">
      <c r="B348" s="558"/>
      <c r="C348" s="559" t="s">
        <v>66</v>
      </c>
      <c r="D348" s="559" t="s">
        <v>59</v>
      </c>
      <c r="E348" s="559"/>
      <c r="F348" s="559"/>
      <c r="G348" s="560">
        <v>0.01</v>
      </c>
      <c r="H348" s="560"/>
      <c r="I348" s="561">
        <v>0.4</v>
      </c>
      <c r="J348" s="562">
        <v>108</v>
      </c>
    </row>
    <row r="349" spans="2:10" s="275" customFormat="1">
      <c r="B349" s="563"/>
      <c r="C349" s="564" t="s">
        <v>66</v>
      </c>
      <c r="D349" s="564" t="s">
        <v>55</v>
      </c>
      <c r="E349" s="564"/>
      <c r="F349" s="564"/>
      <c r="G349" s="565">
        <v>0.01</v>
      </c>
      <c r="H349" s="565"/>
      <c r="I349" s="566">
        <v>0.4</v>
      </c>
      <c r="J349" s="567">
        <v>109</v>
      </c>
    </row>
    <row r="350" spans="2:10" s="275" customFormat="1">
      <c r="B350" s="541"/>
      <c r="C350" s="542" t="s">
        <v>66</v>
      </c>
      <c r="D350" s="542" t="s">
        <v>57</v>
      </c>
      <c r="E350" s="542"/>
      <c r="F350" s="542"/>
      <c r="G350" s="549">
        <v>0.01</v>
      </c>
      <c r="H350" s="549"/>
      <c r="I350" s="551">
        <v>0.4</v>
      </c>
      <c r="J350" s="543">
        <v>109</v>
      </c>
    </row>
    <row r="351" spans="2:10" s="275" customFormat="1">
      <c r="B351" s="558"/>
      <c r="C351" s="559" t="s">
        <v>66</v>
      </c>
      <c r="D351" s="559" t="s">
        <v>59</v>
      </c>
      <c r="E351" s="559"/>
      <c r="F351" s="559"/>
      <c r="G351" s="560">
        <v>0.01</v>
      </c>
      <c r="H351" s="560"/>
      <c r="I351" s="561">
        <v>0.4</v>
      </c>
      <c r="J351" s="562">
        <v>109</v>
      </c>
    </row>
    <row r="352" spans="2:10" s="275" customFormat="1">
      <c r="B352" s="563"/>
      <c r="C352" s="564" t="s">
        <v>66</v>
      </c>
      <c r="D352" s="564" t="s">
        <v>55</v>
      </c>
      <c r="E352" s="564"/>
      <c r="F352" s="564"/>
      <c r="G352" s="565">
        <v>0.01</v>
      </c>
      <c r="H352" s="565"/>
      <c r="I352" s="566">
        <v>0.4</v>
      </c>
      <c r="J352" s="567">
        <v>110</v>
      </c>
    </row>
    <row r="353" spans="2:10" s="275" customFormat="1">
      <c r="B353" s="541"/>
      <c r="C353" s="542" t="s">
        <v>66</v>
      </c>
      <c r="D353" s="542" t="s">
        <v>57</v>
      </c>
      <c r="E353" s="542"/>
      <c r="F353" s="542"/>
      <c r="G353" s="549">
        <v>0.01</v>
      </c>
      <c r="H353" s="549"/>
      <c r="I353" s="551">
        <v>0.4</v>
      </c>
      <c r="J353" s="543">
        <v>110</v>
      </c>
    </row>
    <row r="354" spans="2:10" s="275" customFormat="1">
      <c r="B354" s="558"/>
      <c r="C354" s="559" t="s">
        <v>66</v>
      </c>
      <c r="D354" s="559" t="s">
        <v>59</v>
      </c>
      <c r="E354" s="559"/>
      <c r="F354" s="559"/>
      <c r="G354" s="560">
        <v>0.01</v>
      </c>
      <c r="H354" s="560"/>
      <c r="I354" s="561">
        <v>0.4</v>
      </c>
      <c r="J354" s="562">
        <v>110</v>
      </c>
    </row>
    <row r="355" spans="2:10" s="275" customFormat="1">
      <c r="B355" s="563"/>
      <c r="C355" s="564" t="s">
        <v>66</v>
      </c>
      <c r="D355" s="564" t="s">
        <v>55</v>
      </c>
      <c r="E355" s="564"/>
      <c r="F355" s="564"/>
      <c r="G355" s="565">
        <v>0.01</v>
      </c>
      <c r="H355" s="565"/>
      <c r="I355" s="566">
        <v>0.4</v>
      </c>
      <c r="J355" s="567">
        <v>111</v>
      </c>
    </row>
    <row r="356" spans="2:10" s="275" customFormat="1">
      <c r="B356" s="541"/>
      <c r="C356" s="542" t="s">
        <v>66</v>
      </c>
      <c r="D356" s="542" t="s">
        <v>57</v>
      </c>
      <c r="E356" s="542"/>
      <c r="F356" s="542"/>
      <c r="G356" s="549">
        <v>0.01</v>
      </c>
      <c r="H356" s="549"/>
      <c r="I356" s="551">
        <v>0.4</v>
      </c>
      <c r="J356" s="543">
        <v>111</v>
      </c>
    </row>
    <row r="357" spans="2:10" s="275" customFormat="1">
      <c r="B357" s="558"/>
      <c r="C357" s="559" t="s">
        <v>66</v>
      </c>
      <c r="D357" s="559" t="s">
        <v>59</v>
      </c>
      <c r="E357" s="559"/>
      <c r="F357" s="559"/>
      <c r="G357" s="560">
        <v>0.01</v>
      </c>
      <c r="H357" s="560"/>
      <c r="I357" s="561">
        <v>0.4</v>
      </c>
      <c r="J357" s="562">
        <v>111</v>
      </c>
    </row>
    <row r="358" spans="2:10" s="275" customFormat="1">
      <c r="B358" s="563"/>
      <c r="C358" s="564" t="s">
        <v>66</v>
      </c>
      <c r="D358" s="564" t="s">
        <v>55</v>
      </c>
      <c r="E358" s="564"/>
      <c r="F358" s="564"/>
      <c r="G358" s="565">
        <v>0.01</v>
      </c>
      <c r="H358" s="565"/>
      <c r="I358" s="566">
        <v>0.4</v>
      </c>
      <c r="J358" s="567">
        <v>112</v>
      </c>
    </row>
    <row r="359" spans="2:10" s="275" customFormat="1">
      <c r="B359" s="541"/>
      <c r="C359" s="542" t="s">
        <v>66</v>
      </c>
      <c r="D359" s="542" t="s">
        <v>57</v>
      </c>
      <c r="E359" s="542"/>
      <c r="F359" s="542"/>
      <c r="G359" s="549">
        <v>0.01</v>
      </c>
      <c r="H359" s="549"/>
      <c r="I359" s="551">
        <v>0.4</v>
      </c>
      <c r="J359" s="543">
        <v>112</v>
      </c>
    </row>
    <row r="360" spans="2:10" s="275" customFormat="1">
      <c r="B360" s="558"/>
      <c r="C360" s="559" t="s">
        <v>66</v>
      </c>
      <c r="D360" s="559" t="s">
        <v>59</v>
      </c>
      <c r="E360" s="559"/>
      <c r="F360" s="559"/>
      <c r="G360" s="560">
        <v>0.01</v>
      </c>
      <c r="H360" s="560"/>
      <c r="I360" s="561">
        <v>0.4</v>
      </c>
      <c r="J360" s="562">
        <v>112</v>
      </c>
    </row>
    <row r="361" spans="2:10" s="275" customFormat="1">
      <c r="B361" s="563"/>
      <c r="C361" s="564" t="s">
        <v>66</v>
      </c>
      <c r="D361" s="564" t="s">
        <v>55</v>
      </c>
      <c r="E361" s="564"/>
      <c r="F361" s="564"/>
      <c r="G361" s="565">
        <v>0.01</v>
      </c>
      <c r="H361" s="565"/>
      <c r="I361" s="566">
        <v>0.4</v>
      </c>
      <c r="J361" s="567">
        <v>113</v>
      </c>
    </row>
    <row r="362" spans="2:10" s="275" customFormat="1">
      <c r="B362" s="541"/>
      <c r="C362" s="542" t="s">
        <v>66</v>
      </c>
      <c r="D362" s="542" t="s">
        <v>57</v>
      </c>
      <c r="E362" s="542"/>
      <c r="F362" s="542"/>
      <c r="G362" s="549">
        <v>0.01</v>
      </c>
      <c r="H362" s="549"/>
      <c r="I362" s="551">
        <v>0.4</v>
      </c>
      <c r="J362" s="543">
        <v>113</v>
      </c>
    </row>
    <row r="363" spans="2:10" s="275" customFormat="1">
      <c r="B363" s="558"/>
      <c r="C363" s="559" t="s">
        <v>66</v>
      </c>
      <c r="D363" s="559" t="s">
        <v>59</v>
      </c>
      <c r="E363" s="559"/>
      <c r="F363" s="559"/>
      <c r="G363" s="560">
        <v>0.01</v>
      </c>
      <c r="H363" s="560"/>
      <c r="I363" s="561">
        <v>0.4</v>
      </c>
      <c r="J363" s="562">
        <v>113</v>
      </c>
    </row>
    <row r="364" spans="2:10" s="275" customFormat="1">
      <c r="B364" s="563"/>
      <c r="C364" s="564" t="s">
        <v>66</v>
      </c>
      <c r="D364" s="564" t="s">
        <v>55</v>
      </c>
      <c r="E364" s="564"/>
      <c r="F364" s="564"/>
      <c r="G364" s="565">
        <v>0.01</v>
      </c>
      <c r="H364" s="565"/>
      <c r="I364" s="566">
        <v>0.4</v>
      </c>
      <c r="J364" s="567">
        <v>114</v>
      </c>
    </row>
    <row r="365" spans="2:10" s="275" customFormat="1">
      <c r="B365" s="541"/>
      <c r="C365" s="542" t="s">
        <v>66</v>
      </c>
      <c r="D365" s="542" t="s">
        <v>57</v>
      </c>
      <c r="E365" s="542"/>
      <c r="F365" s="542"/>
      <c r="G365" s="549">
        <v>0.01</v>
      </c>
      <c r="H365" s="549"/>
      <c r="I365" s="551">
        <v>0.4</v>
      </c>
      <c r="J365" s="543">
        <v>114</v>
      </c>
    </row>
    <row r="366" spans="2:10" s="275" customFormat="1">
      <c r="B366" s="558"/>
      <c r="C366" s="559" t="s">
        <v>66</v>
      </c>
      <c r="D366" s="559" t="s">
        <v>59</v>
      </c>
      <c r="E366" s="559"/>
      <c r="F366" s="559"/>
      <c r="G366" s="560">
        <v>0.01</v>
      </c>
      <c r="H366" s="560"/>
      <c r="I366" s="561">
        <v>0.4</v>
      </c>
      <c r="J366" s="562">
        <v>114</v>
      </c>
    </row>
    <row r="367" spans="2:10" s="275" customFormat="1">
      <c r="B367" s="563"/>
      <c r="C367" s="564" t="s">
        <v>66</v>
      </c>
      <c r="D367" s="564" t="s">
        <v>55</v>
      </c>
      <c r="E367" s="564"/>
      <c r="F367" s="564"/>
      <c r="G367" s="565">
        <v>0.01</v>
      </c>
      <c r="H367" s="565"/>
      <c r="I367" s="566">
        <v>0.4</v>
      </c>
      <c r="J367" s="567">
        <v>115</v>
      </c>
    </row>
    <row r="368" spans="2:10" s="275" customFormat="1">
      <c r="B368" s="541"/>
      <c r="C368" s="542" t="s">
        <v>66</v>
      </c>
      <c r="D368" s="542" t="s">
        <v>57</v>
      </c>
      <c r="E368" s="542"/>
      <c r="F368" s="542"/>
      <c r="G368" s="549">
        <v>0.01</v>
      </c>
      <c r="H368" s="549"/>
      <c r="I368" s="551">
        <v>0.4</v>
      </c>
      <c r="J368" s="543">
        <v>115</v>
      </c>
    </row>
    <row r="369" spans="2:10" s="275" customFormat="1">
      <c r="B369" s="558"/>
      <c r="C369" s="559" t="s">
        <v>66</v>
      </c>
      <c r="D369" s="559" t="s">
        <v>59</v>
      </c>
      <c r="E369" s="559"/>
      <c r="F369" s="559"/>
      <c r="G369" s="560">
        <v>0.01</v>
      </c>
      <c r="H369" s="560"/>
      <c r="I369" s="561">
        <v>0.4</v>
      </c>
      <c r="J369" s="562">
        <v>115</v>
      </c>
    </row>
    <row r="370" spans="2:10" s="275" customFormat="1">
      <c r="B370" s="563"/>
      <c r="C370" s="564" t="s">
        <v>66</v>
      </c>
      <c r="D370" s="564" t="s">
        <v>55</v>
      </c>
      <c r="E370" s="564"/>
      <c r="F370" s="564"/>
      <c r="G370" s="565">
        <v>0.01</v>
      </c>
      <c r="H370" s="565"/>
      <c r="I370" s="566">
        <v>0.4</v>
      </c>
      <c r="J370" s="567">
        <v>116</v>
      </c>
    </row>
    <row r="371" spans="2:10" s="275" customFormat="1">
      <c r="B371" s="541"/>
      <c r="C371" s="542" t="s">
        <v>66</v>
      </c>
      <c r="D371" s="542" t="s">
        <v>57</v>
      </c>
      <c r="E371" s="542"/>
      <c r="F371" s="542"/>
      <c r="G371" s="549">
        <v>0.01</v>
      </c>
      <c r="H371" s="549"/>
      <c r="I371" s="551">
        <v>0.4</v>
      </c>
      <c r="J371" s="543">
        <v>116</v>
      </c>
    </row>
    <row r="372" spans="2:10" s="275" customFormat="1">
      <c r="B372" s="558"/>
      <c r="C372" s="559" t="s">
        <v>66</v>
      </c>
      <c r="D372" s="559" t="s">
        <v>59</v>
      </c>
      <c r="E372" s="559"/>
      <c r="F372" s="559"/>
      <c r="G372" s="560">
        <v>0.01</v>
      </c>
      <c r="H372" s="560"/>
      <c r="I372" s="561">
        <v>0.4</v>
      </c>
      <c r="J372" s="562">
        <v>116</v>
      </c>
    </row>
    <row r="373" spans="2:10" s="275" customFormat="1">
      <c r="B373" s="563"/>
      <c r="C373" s="564" t="s">
        <v>66</v>
      </c>
      <c r="D373" s="564" t="s">
        <v>55</v>
      </c>
      <c r="E373" s="564"/>
      <c r="F373" s="564"/>
      <c r="G373" s="565">
        <v>0.01</v>
      </c>
      <c r="H373" s="565"/>
      <c r="I373" s="566">
        <v>0.4</v>
      </c>
      <c r="J373" s="567">
        <v>117</v>
      </c>
    </row>
    <row r="374" spans="2:10" s="275" customFormat="1">
      <c r="B374" s="541"/>
      <c r="C374" s="542" t="s">
        <v>66</v>
      </c>
      <c r="D374" s="542" t="s">
        <v>57</v>
      </c>
      <c r="E374" s="542"/>
      <c r="F374" s="542"/>
      <c r="G374" s="549">
        <v>0.01</v>
      </c>
      <c r="H374" s="549"/>
      <c r="I374" s="551">
        <v>0.4</v>
      </c>
      <c r="J374" s="543">
        <v>117</v>
      </c>
    </row>
    <row r="375" spans="2:10" s="275" customFormat="1">
      <c r="B375" s="558"/>
      <c r="C375" s="559" t="s">
        <v>66</v>
      </c>
      <c r="D375" s="559" t="s">
        <v>59</v>
      </c>
      <c r="E375" s="559"/>
      <c r="F375" s="559"/>
      <c r="G375" s="560">
        <v>0.01</v>
      </c>
      <c r="H375" s="560"/>
      <c r="I375" s="561">
        <v>0.4</v>
      </c>
      <c r="J375" s="562">
        <v>117</v>
      </c>
    </row>
    <row r="376" spans="2:10" s="275" customFormat="1">
      <c r="B376" s="563"/>
      <c r="C376" s="564" t="s">
        <v>66</v>
      </c>
      <c r="D376" s="564" t="s">
        <v>55</v>
      </c>
      <c r="E376" s="564"/>
      <c r="F376" s="564"/>
      <c r="G376" s="565">
        <v>0.01</v>
      </c>
      <c r="H376" s="565"/>
      <c r="I376" s="566">
        <v>0.4</v>
      </c>
      <c r="J376" s="567">
        <v>118</v>
      </c>
    </row>
    <row r="377" spans="2:10" s="275" customFormat="1">
      <c r="B377" s="541"/>
      <c r="C377" s="542" t="s">
        <v>66</v>
      </c>
      <c r="D377" s="542" t="s">
        <v>57</v>
      </c>
      <c r="E377" s="542"/>
      <c r="F377" s="542"/>
      <c r="G377" s="549">
        <v>0.01</v>
      </c>
      <c r="H377" s="549"/>
      <c r="I377" s="551">
        <v>0.4</v>
      </c>
      <c r="J377" s="543">
        <v>118</v>
      </c>
    </row>
    <row r="378" spans="2:10" s="275" customFormat="1">
      <c r="B378" s="558"/>
      <c r="C378" s="559" t="s">
        <v>66</v>
      </c>
      <c r="D378" s="559" t="s">
        <v>59</v>
      </c>
      <c r="E378" s="559"/>
      <c r="F378" s="559"/>
      <c r="G378" s="560">
        <v>0.01</v>
      </c>
      <c r="H378" s="560"/>
      <c r="I378" s="561">
        <v>0.4</v>
      </c>
      <c r="J378" s="562">
        <v>118</v>
      </c>
    </row>
    <row r="379" spans="2:10" s="275" customFormat="1">
      <c r="B379" s="563"/>
      <c r="C379" s="564" t="s">
        <v>66</v>
      </c>
      <c r="D379" s="564" t="s">
        <v>55</v>
      </c>
      <c r="E379" s="564"/>
      <c r="F379" s="564"/>
      <c r="G379" s="565">
        <v>0.01</v>
      </c>
      <c r="H379" s="565"/>
      <c r="I379" s="566">
        <v>0.4</v>
      </c>
      <c r="J379" s="567">
        <v>119</v>
      </c>
    </row>
    <row r="380" spans="2:10" s="275" customFormat="1">
      <c r="B380" s="541"/>
      <c r="C380" s="542" t="s">
        <v>66</v>
      </c>
      <c r="D380" s="542" t="s">
        <v>57</v>
      </c>
      <c r="E380" s="542"/>
      <c r="F380" s="542"/>
      <c r="G380" s="549">
        <v>0.01</v>
      </c>
      <c r="H380" s="549"/>
      <c r="I380" s="551">
        <v>0.4</v>
      </c>
      <c r="J380" s="543">
        <v>119</v>
      </c>
    </row>
    <row r="381" spans="2:10" s="275" customFormat="1">
      <c r="B381" s="558"/>
      <c r="C381" s="559" t="s">
        <v>66</v>
      </c>
      <c r="D381" s="559" t="s">
        <v>59</v>
      </c>
      <c r="E381" s="559"/>
      <c r="F381" s="559"/>
      <c r="G381" s="560">
        <v>0.01</v>
      </c>
      <c r="H381" s="560"/>
      <c r="I381" s="561">
        <v>0.4</v>
      </c>
      <c r="J381" s="562">
        <v>119</v>
      </c>
    </row>
    <row r="382" spans="2:10" s="275" customFormat="1">
      <c r="B382" s="563"/>
      <c r="C382" s="564" t="s">
        <v>66</v>
      </c>
      <c r="D382" s="564" t="s">
        <v>55</v>
      </c>
      <c r="E382" s="564"/>
      <c r="F382" s="564"/>
      <c r="G382" s="565">
        <v>0.01</v>
      </c>
      <c r="H382" s="565"/>
      <c r="I382" s="566">
        <v>0.4</v>
      </c>
      <c r="J382" s="567">
        <v>120</v>
      </c>
    </row>
    <row r="383" spans="2:10" s="275" customFormat="1">
      <c r="B383" s="541"/>
      <c r="C383" s="542" t="s">
        <v>66</v>
      </c>
      <c r="D383" s="542" t="s">
        <v>57</v>
      </c>
      <c r="E383" s="542"/>
      <c r="F383" s="542"/>
      <c r="G383" s="549">
        <v>0.01</v>
      </c>
      <c r="H383" s="549"/>
      <c r="I383" s="551">
        <v>0.4</v>
      </c>
      <c r="J383" s="543">
        <v>120</v>
      </c>
    </row>
    <row r="384" spans="2:10" s="275" customFormat="1">
      <c r="B384" s="558"/>
      <c r="C384" s="559" t="s">
        <v>66</v>
      </c>
      <c r="D384" s="559" t="s">
        <v>59</v>
      </c>
      <c r="E384" s="559"/>
      <c r="F384" s="559"/>
      <c r="G384" s="560">
        <v>0.01</v>
      </c>
      <c r="H384" s="560"/>
      <c r="I384" s="561">
        <v>0.4</v>
      </c>
      <c r="J384" s="562">
        <v>120</v>
      </c>
    </row>
    <row r="385" spans="2:10" s="275" customFormat="1">
      <c r="B385" s="563"/>
      <c r="C385" s="564" t="s">
        <v>66</v>
      </c>
      <c r="D385" s="564" t="s">
        <v>55</v>
      </c>
      <c r="E385" s="564"/>
      <c r="F385" s="564"/>
      <c r="G385" s="565">
        <v>0.01</v>
      </c>
      <c r="H385" s="565"/>
      <c r="I385" s="566">
        <v>0.4</v>
      </c>
      <c r="J385" s="567">
        <v>121</v>
      </c>
    </row>
    <row r="386" spans="2:10" s="275" customFormat="1">
      <c r="B386" s="541"/>
      <c r="C386" s="542" t="s">
        <v>66</v>
      </c>
      <c r="D386" s="542" t="s">
        <v>57</v>
      </c>
      <c r="E386" s="542"/>
      <c r="F386" s="542"/>
      <c r="G386" s="549">
        <v>0.01</v>
      </c>
      <c r="H386" s="549"/>
      <c r="I386" s="551">
        <v>0.4</v>
      </c>
      <c r="J386" s="543">
        <v>121</v>
      </c>
    </row>
    <row r="387" spans="2:10" s="275" customFormat="1">
      <c r="B387" s="558"/>
      <c r="C387" s="559" t="s">
        <v>66</v>
      </c>
      <c r="D387" s="559" t="s">
        <v>59</v>
      </c>
      <c r="E387" s="559"/>
      <c r="F387" s="559"/>
      <c r="G387" s="560">
        <v>0.01</v>
      </c>
      <c r="H387" s="560"/>
      <c r="I387" s="561">
        <v>0.4</v>
      </c>
      <c r="J387" s="562">
        <v>121</v>
      </c>
    </row>
    <row r="388" spans="2:10" s="275" customFormat="1">
      <c r="B388" s="563"/>
      <c r="C388" s="564" t="s">
        <v>66</v>
      </c>
      <c r="D388" s="564" t="s">
        <v>55</v>
      </c>
      <c r="E388" s="564"/>
      <c r="F388" s="564"/>
      <c r="G388" s="565">
        <v>0.01</v>
      </c>
      <c r="H388" s="565"/>
      <c r="I388" s="566">
        <v>0.4</v>
      </c>
      <c r="J388" s="567">
        <v>122</v>
      </c>
    </row>
    <row r="389" spans="2:10" s="275" customFormat="1">
      <c r="B389" s="541"/>
      <c r="C389" s="542" t="s">
        <v>66</v>
      </c>
      <c r="D389" s="542" t="s">
        <v>57</v>
      </c>
      <c r="E389" s="542"/>
      <c r="F389" s="542"/>
      <c r="G389" s="549">
        <v>0.01</v>
      </c>
      <c r="H389" s="549"/>
      <c r="I389" s="551">
        <v>0.4</v>
      </c>
      <c r="J389" s="543">
        <v>122</v>
      </c>
    </row>
    <row r="390" spans="2:10" s="275" customFormat="1">
      <c r="B390" s="558"/>
      <c r="C390" s="559" t="s">
        <v>66</v>
      </c>
      <c r="D390" s="559" t="s">
        <v>59</v>
      </c>
      <c r="E390" s="559"/>
      <c r="F390" s="559"/>
      <c r="G390" s="560">
        <v>0.01</v>
      </c>
      <c r="H390" s="560"/>
      <c r="I390" s="561">
        <v>0.4</v>
      </c>
      <c r="J390" s="562">
        <v>122</v>
      </c>
    </row>
    <row r="391" spans="2:10" s="275" customFormat="1">
      <c r="B391" s="563"/>
      <c r="C391" s="564" t="s">
        <v>66</v>
      </c>
      <c r="D391" s="564" t="s">
        <v>55</v>
      </c>
      <c r="E391" s="564"/>
      <c r="F391" s="564"/>
      <c r="G391" s="565">
        <v>0.01</v>
      </c>
      <c r="H391" s="565"/>
      <c r="I391" s="566">
        <v>0.4</v>
      </c>
      <c r="J391" s="567">
        <v>123</v>
      </c>
    </row>
    <row r="392" spans="2:10" s="275" customFormat="1">
      <c r="B392" s="541"/>
      <c r="C392" s="542" t="s">
        <v>66</v>
      </c>
      <c r="D392" s="542" t="s">
        <v>57</v>
      </c>
      <c r="E392" s="542"/>
      <c r="F392" s="542"/>
      <c r="G392" s="549">
        <v>0.01</v>
      </c>
      <c r="H392" s="549"/>
      <c r="I392" s="551">
        <v>0.4</v>
      </c>
      <c r="J392" s="543">
        <v>123</v>
      </c>
    </row>
    <row r="393" spans="2:10" s="275" customFormat="1">
      <c r="B393" s="558"/>
      <c r="C393" s="559" t="s">
        <v>66</v>
      </c>
      <c r="D393" s="559" t="s">
        <v>59</v>
      </c>
      <c r="E393" s="559"/>
      <c r="F393" s="559"/>
      <c r="G393" s="560">
        <v>0.01</v>
      </c>
      <c r="H393" s="560"/>
      <c r="I393" s="561">
        <v>0.4</v>
      </c>
      <c r="J393" s="562">
        <v>123</v>
      </c>
    </row>
    <row r="394" spans="2:10" s="275" customFormat="1">
      <c r="B394" s="563"/>
      <c r="C394" s="564" t="s">
        <v>66</v>
      </c>
      <c r="D394" s="564" t="s">
        <v>55</v>
      </c>
      <c r="E394" s="564"/>
      <c r="F394" s="564"/>
      <c r="G394" s="565">
        <v>0.01</v>
      </c>
      <c r="H394" s="565"/>
      <c r="I394" s="566">
        <v>0.4</v>
      </c>
      <c r="J394" s="567">
        <v>124</v>
      </c>
    </row>
    <row r="395" spans="2:10" s="275" customFormat="1">
      <c r="B395" s="541"/>
      <c r="C395" s="542" t="s">
        <v>66</v>
      </c>
      <c r="D395" s="542" t="s">
        <v>57</v>
      </c>
      <c r="E395" s="542"/>
      <c r="F395" s="542"/>
      <c r="G395" s="549">
        <v>0.01</v>
      </c>
      <c r="H395" s="549"/>
      <c r="I395" s="551">
        <v>0.4</v>
      </c>
      <c r="J395" s="543">
        <v>124</v>
      </c>
    </row>
    <row r="396" spans="2:10" s="275" customFormat="1">
      <c r="B396" s="558"/>
      <c r="C396" s="559" t="s">
        <v>66</v>
      </c>
      <c r="D396" s="559" t="s">
        <v>59</v>
      </c>
      <c r="E396" s="559"/>
      <c r="F396" s="559"/>
      <c r="G396" s="560">
        <v>0.01</v>
      </c>
      <c r="H396" s="560"/>
      <c r="I396" s="561">
        <v>0.4</v>
      </c>
      <c r="J396" s="562">
        <v>124</v>
      </c>
    </row>
    <row r="397" spans="2:10" s="275" customFormat="1">
      <c r="B397" s="541"/>
      <c r="C397" s="542" t="s">
        <v>66</v>
      </c>
      <c r="D397" s="542" t="s">
        <v>55</v>
      </c>
      <c r="E397" s="542"/>
      <c r="F397" s="542"/>
      <c r="G397" s="549">
        <v>0.01</v>
      </c>
      <c r="H397" s="549"/>
      <c r="I397" s="551">
        <v>0.4</v>
      </c>
      <c r="J397" s="543">
        <v>125</v>
      </c>
    </row>
    <row r="398" spans="2:10" s="275" customFormat="1">
      <c r="B398" s="541"/>
      <c r="C398" s="542" t="s">
        <v>66</v>
      </c>
      <c r="D398" s="542" t="s">
        <v>57</v>
      </c>
      <c r="E398" s="542"/>
      <c r="F398" s="542"/>
      <c r="G398" s="549">
        <v>0.01</v>
      </c>
      <c r="H398" s="549"/>
      <c r="I398" s="551">
        <v>0.4</v>
      </c>
      <c r="J398" s="543">
        <v>125</v>
      </c>
    </row>
    <row r="399" spans="2:10" s="275" customFormat="1" ht="12" thickBot="1">
      <c r="B399" s="544"/>
      <c r="C399" s="545" t="s">
        <v>66</v>
      </c>
      <c r="D399" s="545" t="s">
        <v>59</v>
      </c>
      <c r="E399" s="545"/>
      <c r="F399" s="545"/>
      <c r="G399" s="550">
        <v>0.01</v>
      </c>
      <c r="H399" s="550"/>
      <c r="I399" s="552">
        <v>0.4</v>
      </c>
      <c r="J399" s="546">
        <v>125</v>
      </c>
    </row>
    <row r="400" spans="2:10" s="275" customFormat="1"/>
    <row r="401" s="275" customFormat="1"/>
    <row r="402" s="275" customFormat="1"/>
    <row r="403" s="275" customFormat="1"/>
    <row r="404" s="275" customFormat="1"/>
    <row r="405" s="275" customFormat="1"/>
    <row r="406" s="275" customFormat="1"/>
    <row r="407" s="275" customFormat="1"/>
    <row r="408" s="275" customFormat="1"/>
    <row r="409" s="275" customFormat="1"/>
    <row r="410" s="275" customFormat="1"/>
    <row r="411" s="275" customFormat="1"/>
    <row r="412" s="275" customFormat="1"/>
    <row r="413" s="275" customFormat="1"/>
    <row r="414" s="275" customFormat="1"/>
    <row r="415" s="275" customFormat="1"/>
    <row r="416" s="275" customFormat="1"/>
    <row r="417" s="275" customFormat="1"/>
    <row r="418" s="275" customFormat="1"/>
    <row r="419" s="275" customFormat="1"/>
    <row r="420" s="275" customFormat="1"/>
    <row r="421" s="275" customFormat="1"/>
    <row r="422" s="275" customFormat="1"/>
    <row r="423" s="275" customFormat="1"/>
    <row r="424" s="275" customFormat="1"/>
    <row r="425" s="275" customFormat="1"/>
    <row r="426" s="275" customFormat="1"/>
    <row r="427" s="275" customFormat="1"/>
    <row r="428" s="275" customFormat="1"/>
    <row r="429" s="275" customFormat="1"/>
    <row r="430" s="275" customFormat="1"/>
    <row r="431" s="275" customFormat="1"/>
    <row r="432" s="275" customFormat="1"/>
    <row r="433" s="275" customFormat="1"/>
    <row r="434" s="275" customFormat="1"/>
    <row r="435" s="275" customFormat="1"/>
    <row r="436" s="275" customFormat="1"/>
    <row r="437" s="275" customFormat="1"/>
    <row r="438" s="275" customFormat="1"/>
    <row r="439" s="275" customFormat="1"/>
    <row r="440" s="275" customFormat="1"/>
    <row r="441" s="275" customFormat="1"/>
    <row r="442" s="275" customFormat="1"/>
    <row r="443" s="275" customFormat="1"/>
    <row r="444" s="275" customFormat="1"/>
    <row r="445" s="275" customFormat="1"/>
    <row r="446" s="275" customFormat="1"/>
    <row r="447" s="275" customFormat="1"/>
    <row r="448" s="275" customFormat="1"/>
    <row r="449" s="275" customFormat="1"/>
    <row r="450" s="275" customFormat="1"/>
    <row r="451" s="275" customFormat="1"/>
    <row r="452" s="275" customFormat="1"/>
    <row r="453" s="275" customFormat="1"/>
    <row r="454" s="275" customFormat="1"/>
    <row r="455" s="275" customFormat="1"/>
    <row r="456" s="275" customFormat="1"/>
    <row r="457" s="275" customFormat="1"/>
    <row r="458" s="275" customFormat="1"/>
    <row r="459" s="275" customFormat="1"/>
    <row r="460" s="275" customFormat="1"/>
    <row r="461" s="275" customFormat="1"/>
    <row r="462" s="275" customFormat="1"/>
    <row r="463" s="275" customFormat="1"/>
    <row r="464" s="275" customFormat="1"/>
    <row r="465" s="275" customFormat="1"/>
    <row r="466" s="275" customFormat="1"/>
    <row r="467" s="275" customFormat="1"/>
    <row r="468" s="275" customFormat="1"/>
    <row r="469" s="275" customFormat="1"/>
    <row r="470" s="275" customFormat="1"/>
    <row r="471" s="275" customFormat="1"/>
    <row r="472" s="275" customFormat="1"/>
    <row r="473" s="275" customFormat="1"/>
    <row r="474" s="275" customFormat="1"/>
    <row r="475" s="275" customFormat="1"/>
    <row r="476" s="275" customFormat="1"/>
    <row r="477" s="275" customFormat="1"/>
    <row r="478" s="275" customFormat="1"/>
    <row r="479" s="275" customFormat="1"/>
    <row r="480" s="275" customFormat="1"/>
    <row r="481" s="275" customFormat="1"/>
    <row r="482" s="275" customFormat="1"/>
    <row r="483" s="275" customFormat="1"/>
    <row r="484" s="275" customFormat="1"/>
    <row r="485" s="275" customFormat="1"/>
    <row r="486" s="275" customFormat="1"/>
    <row r="487" s="275" customFormat="1"/>
    <row r="488" s="275" customFormat="1"/>
    <row r="489" s="275" customFormat="1"/>
    <row r="490" s="275" customFormat="1"/>
    <row r="491" s="275" customFormat="1"/>
    <row r="492" s="275" customFormat="1"/>
    <row r="493" s="275" customFormat="1"/>
    <row r="494" s="275" customFormat="1"/>
    <row r="495" s="275" customFormat="1"/>
    <row r="496" s="275" customFormat="1"/>
    <row r="497" s="275" customFormat="1"/>
    <row r="498" s="275" customFormat="1"/>
    <row r="499" s="275" customFormat="1"/>
    <row r="500" s="275" customFormat="1"/>
    <row r="501" s="275" customFormat="1"/>
    <row r="502" s="275" customFormat="1"/>
    <row r="503" s="275" customFormat="1"/>
    <row r="504" s="275" customFormat="1"/>
    <row r="505" s="275" customFormat="1"/>
    <row r="506" s="275" customFormat="1"/>
    <row r="507" s="275" customFormat="1"/>
    <row r="508" s="275" customFormat="1"/>
    <row r="509" s="275" customFormat="1"/>
    <row r="510" s="275" customFormat="1"/>
    <row r="511" s="275" customFormat="1"/>
    <row r="512" s="275" customFormat="1"/>
    <row r="513" s="275" customFormat="1"/>
    <row r="514" s="275" customFormat="1"/>
    <row r="515" s="275" customFormat="1"/>
    <row r="516" s="275" customFormat="1"/>
    <row r="517" s="275" customFormat="1"/>
    <row r="518" s="275" customFormat="1"/>
    <row r="519" s="275" customFormat="1"/>
    <row r="520" s="275" customFormat="1"/>
    <row r="521" s="275" customFormat="1"/>
    <row r="522" s="275" customFormat="1"/>
    <row r="523" s="275" customFormat="1"/>
    <row r="524" s="275" customFormat="1"/>
    <row r="525" s="275" customFormat="1"/>
    <row r="526" s="275" customFormat="1"/>
    <row r="527" s="275" customFormat="1"/>
    <row r="528" s="275" customFormat="1"/>
    <row r="529" s="275" customFormat="1"/>
    <row r="530" s="275" customFormat="1"/>
    <row r="531" s="275" customFormat="1"/>
    <row r="532" s="275" customFormat="1"/>
    <row r="533" s="275" customFormat="1"/>
    <row r="534" s="275" customFormat="1"/>
    <row r="535" s="275" customFormat="1"/>
    <row r="536" s="275" customFormat="1"/>
    <row r="537" s="275" customFormat="1"/>
    <row r="538" s="275" customFormat="1"/>
    <row r="539" s="275" customFormat="1"/>
    <row r="540" s="275" customFormat="1"/>
    <row r="541" s="275" customFormat="1"/>
    <row r="542" s="275" customFormat="1"/>
    <row r="543" s="275" customFormat="1"/>
    <row r="544" s="275" customFormat="1"/>
    <row r="545" s="275" customFormat="1"/>
    <row r="546" s="275" customFormat="1"/>
    <row r="547" s="275" customFormat="1"/>
    <row r="548" s="275" customFormat="1"/>
    <row r="549" s="275" customFormat="1"/>
    <row r="550" s="275" customFormat="1"/>
    <row r="551" s="275" customFormat="1"/>
    <row r="552" s="275" customFormat="1"/>
    <row r="553" s="275" customFormat="1"/>
    <row r="554" s="275" customFormat="1"/>
    <row r="555" s="275" customFormat="1"/>
    <row r="556" s="275" customFormat="1"/>
    <row r="557" s="275" customFormat="1"/>
    <row r="558" s="275" customFormat="1"/>
    <row r="559" s="275" customFormat="1"/>
    <row r="560" s="275" customFormat="1"/>
    <row r="561" s="275" customFormat="1"/>
    <row r="562" s="275" customFormat="1"/>
    <row r="563" s="275" customFormat="1"/>
    <row r="564" s="275" customFormat="1"/>
    <row r="565" s="275" customFormat="1"/>
    <row r="566" s="275" customFormat="1"/>
    <row r="567" s="275" customFormat="1"/>
    <row r="568" s="275" customFormat="1"/>
    <row r="569" s="275" customFormat="1"/>
    <row r="570" s="275" customFormat="1"/>
    <row r="571" s="275" customFormat="1"/>
    <row r="572" s="275" customFormat="1"/>
    <row r="573" s="275" customFormat="1"/>
    <row r="574" s="275" customFormat="1"/>
    <row r="575" s="275" customFormat="1"/>
    <row r="576" s="275" customFormat="1"/>
    <row r="577" s="275" customFormat="1"/>
    <row r="578" s="275" customFormat="1"/>
    <row r="579" s="275" customFormat="1"/>
    <row r="580" s="275" customFormat="1"/>
    <row r="581" s="275" customFormat="1"/>
    <row r="582" s="275" customFormat="1"/>
    <row r="583" s="275" customFormat="1"/>
    <row r="584" s="275" customFormat="1"/>
    <row r="585" s="275" customFormat="1"/>
    <row r="586" s="275" customFormat="1"/>
    <row r="587" s="275" customFormat="1"/>
    <row r="588" s="275" customFormat="1"/>
    <row r="589" s="275" customFormat="1"/>
    <row r="590" s="275" customFormat="1"/>
    <row r="591" s="275" customFormat="1"/>
    <row r="592" s="275" customFormat="1"/>
    <row r="593" s="275" customFormat="1"/>
    <row r="594" s="275" customFormat="1"/>
    <row r="595" s="275" customFormat="1"/>
    <row r="596" s="275" customFormat="1"/>
    <row r="597" s="275" customFormat="1"/>
    <row r="598" s="275" customFormat="1"/>
    <row r="599" s="275" customFormat="1"/>
    <row r="600" s="275" customFormat="1"/>
    <row r="601" s="275" customFormat="1"/>
    <row r="602" s="275" customFormat="1"/>
    <row r="603" s="275" customFormat="1"/>
    <row r="604" s="275" customFormat="1"/>
    <row r="605" s="275" customFormat="1"/>
    <row r="606" s="275" customFormat="1"/>
    <row r="607" s="275" customFormat="1"/>
    <row r="608" s="275" customFormat="1"/>
    <row r="609" s="275" customFormat="1"/>
    <row r="610" s="275" customFormat="1"/>
    <row r="611" s="275" customFormat="1"/>
    <row r="612" s="275" customFormat="1"/>
    <row r="613" s="275" customFormat="1"/>
    <row r="614" s="275" customFormat="1"/>
    <row r="615" s="275" customFormat="1"/>
    <row r="616" s="275" customFormat="1"/>
    <row r="617" s="275" customFormat="1"/>
    <row r="618" s="275" customFormat="1"/>
    <row r="619" s="275" customFormat="1"/>
    <row r="620" s="275" customFormat="1"/>
    <row r="621" s="275" customFormat="1"/>
    <row r="622" s="275" customFormat="1"/>
    <row r="623" s="275" customFormat="1"/>
    <row r="624" s="275" customFormat="1"/>
    <row r="625" s="275" customFormat="1"/>
    <row r="626" s="275" customFormat="1"/>
    <row r="627" s="275" customFormat="1"/>
    <row r="628" s="275" customFormat="1"/>
    <row r="629" s="275" customFormat="1"/>
    <row r="630" s="275" customFormat="1"/>
    <row r="631" s="275" customFormat="1"/>
    <row r="632" s="275" customFormat="1"/>
    <row r="633" s="275" customFormat="1"/>
    <row r="634" s="275" customFormat="1"/>
    <row r="635" s="275" customFormat="1"/>
    <row r="636" s="275" customFormat="1"/>
    <row r="637" s="275" customFormat="1"/>
    <row r="638" s="275" customFormat="1"/>
    <row r="639" s="275" customFormat="1"/>
    <row r="640" s="275" customFormat="1"/>
    <row r="641" s="275" customFormat="1"/>
    <row r="642" s="275" customFormat="1"/>
    <row r="643" s="275" customFormat="1"/>
    <row r="644" s="275" customFormat="1"/>
    <row r="645" s="275" customFormat="1"/>
    <row r="646" s="275" customFormat="1"/>
    <row r="647" s="275" customFormat="1"/>
    <row r="648" s="275" customFormat="1"/>
    <row r="649" s="275" customFormat="1"/>
    <row r="650" s="275" customFormat="1"/>
    <row r="651" s="275" customFormat="1"/>
    <row r="652" s="275" customFormat="1"/>
    <row r="653" s="275" customFormat="1"/>
    <row r="654" s="275" customFormat="1"/>
    <row r="655" s="275" customFormat="1"/>
    <row r="656" s="275" customFormat="1"/>
    <row r="657" s="275" customFormat="1"/>
    <row r="658" s="275" customFormat="1"/>
    <row r="659" s="275" customFormat="1"/>
    <row r="660" s="275" customFormat="1"/>
    <row r="661" s="275" customFormat="1"/>
    <row r="662" s="275" customFormat="1"/>
    <row r="663" s="275" customFormat="1"/>
    <row r="664" s="275" customFormat="1"/>
    <row r="665" s="275" customFormat="1"/>
    <row r="666" s="275" customFormat="1"/>
    <row r="667" s="275" customFormat="1"/>
    <row r="668" s="275" customFormat="1"/>
    <row r="669" s="275" customFormat="1"/>
    <row r="670" s="275" customFormat="1"/>
    <row r="671" s="275" customFormat="1"/>
    <row r="672" s="275" customFormat="1"/>
    <row r="673" s="275" customFormat="1"/>
    <row r="674" s="275" customFormat="1"/>
    <row r="675" s="275" customFormat="1"/>
    <row r="676" s="275" customFormat="1"/>
    <row r="677" s="275" customFormat="1"/>
    <row r="678" s="275" customFormat="1"/>
    <row r="679" s="275" customFormat="1"/>
    <row r="680" s="275" customFormat="1"/>
    <row r="681" s="275" customFormat="1"/>
    <row r="682" s="275" customFormat="1"/>
    <row r="683" s="275" customFormat="1"/>
    <row r="684" s="275" customFormat="1"/>
    <row r="685" s="275" customFormat="1"/>
    <row r="686" s="275" customFormat="1"/>
    <row r="687" s="275" customFormat="1"/>
    <row r="688" s="275" customFormat="1"/>
    <row r="689" s="275" customFormat="1"/>
    <row r="690" s="275" customFormat="1"/>
    <row r="691" s="275" customFormat="1"/>
    <row r="692" s="275" customFormat="1"/>
    <row r="693" s="275" customFormat="1"/>
    <row r="694" s="275" customFormat="1"/>
    <row r="695" s="275" customFormat="1"/>
    <row r="696" s="275" customFormat="1"/>
    <row r="697" s="275" customFormat="1"/>
    <row r="698" s="275" customFormat="1"/>
    <row r="699" s="275" customFormat="1"/>
    <row r="700" s="275" customFormat="1"/>
    <row r="701" s="275" customFormat="1"/>
    <row r="702" s="275" customFormat="1"/>
    <row r="703" s="275" customFormat="1"/>
    <row r="704" s="275" customFormat="1"/>
    <row r="705" s="275" customFormat="1"/>
    <row r="706" s="275" customFormat="1"/>
    <row r="707" s="275" customFormat="1"/>
    <row r="708" s="275" customFormat="1"/>
    <row r="709" s="275" customFormat="1"/>
    <row r="710" s="275" customFormat="1"/>
    <row r="711" s="275" customFormat="1"/>
    <row r="712" s="275" customFormat="1"/>
    <row r="713" s="275" customFormat="1"/>
    <row r="714" s="275" customFormat="1"/>
    <row r="715" s="275" customFormat="1"/>
    <row r="716" s="275" customFormat="1"/>
    <row r="717" s="275" customFormat="1"/>
    <row r="718" s="275" customFormat="1"/>
    <row r="719" s="275" customFormat="1"/>
    <row r="720" s="275" customFormat="1"/>
    <row r="721" s="275" customFormat="1"/>
    <row r="722" s="275" customFormat="1"/>
    <row r="723" s="275" customFormat="1"/>
    <row r="724" s="275" customFormat="1"/>
    <row r="725" s="275" customFormat="1"/>
    <row r="726" s="275" customFormat="1"/>
    <row r="727" s="275" customFormat="1"/>
    <row r="728" s="275" customFormat="1"/>
    <row r="729" s="275" customFormat="1"/>
    <row r="730" s="275" customFormat="1"/>
    <row r="731" s="275" customFormat="1"/>
    <row r="732" s="275" customFormat="1"/>
    <row r="733" s="275" customFormat="1"/>
    <row r="734" s="275" customFormat="1"/>
    <row r="735" s="275" customFormat="1"/>
    <row r="736" s="275" customFormat="1"/>
    <row r="737" s="275" customFormat="1"/>
    <row r="738" s="275" customFormat="1"/>
    <row r="739" s="275" customFormat="1"/>
    <row r="740" s="275" customFormat="1"/>
    <row r="741" s="275" customFormat="1"/>
    <row r="742" s="275" customFormat="1"/>
    <row r="743" s="275" customFormat="1"/>
    <row r="744" s="275" customFormat="1"/>
    <row r="745" s="275" customFormat="1"/>
    <row r="746" s="275" customFormat="1"/>
    <row r="747" s="275" customFormat="1"/>
    <row r="748" s="275" customFormat="1"/>
    <row r="749" s="275" customFormat="1"/>
    <row r="750" s="275" customFormat="1"/>
    <row r="751" s="275" customFormat="1"/>
    <row r="752" s="275" customFormat="1"/>
    <row r="753" spans="4:31">
      <c r="D753" s="275"/>
      <c r="E753" s="275"/>
      <c r="F753" s="275"/>
      <c r="G753" s="275"/>
      <c r="H753" s="275"/>
      <c r="I753" s="275"/>
      <c r="J753" s="275"/>
      <c r="K753" s="275"/>
      <c r="L753" s="275"/>
      <c r="M753" s="275"/>
      <c r="N753" s="275"/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4:31">
      <c r="D754" s="275"/>
      <c r="E754" s="275"/>
      <c r="F754" s="275"/>
      <c r="G754" s="275"/>
      <c r="H754" s="275"/>
      <c r="I754" s="275"/>
      <c r="J754" s="275"/>
      <c r="K754" s="275"/>
      <c r="L754" s="275"/>
      <c r="M754" s="275"/>
      <c r="N754" s="275"/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4:31">
      <c r="D755" s="275"/>
      <c r="E755" s="275"/>
      <c r="F755" s="275"/>
      <c r="G755" s="275"/>
      <c r="H755" s="275"/>
      <c r="I755" s="275"/>
      <c r="J755" s="275"/>
      <c r="K755" s="275"/>
      <c r="L755" s="275"/>
      <c r="M755" s="275"/>
      <c r="N755" s="275"/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4:31">
      <c r="D756" s="275"/>
      <c r="E756" s="275"/>
      <c r="F756" s="275"/>
      <c r="G756" s="275"/>
      <c r="H756" s="275"/>
      <c r="I756" s="275"/>
      <c r="J756" s="275"/>
      <c r="K756" s="275"/>
      <c r="L756" s="275"/>
      <c r="M756" s="275"/>
      <c r="N756" s="275"/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4:31">
      <c r="D757" s="275"/>
      <c r="E757" s="275"/>
      <c r="F757" s="275"/>
      <c r="G757" s="275"/>
      <c r="H757" s="275"/>
      <c r="I757" s="275"/>
      <c r="J757" s="275"/>
      <c r="K757" s="275"/>
      <c r="L757" s="275"/>
      <c r="M757" s="275"/>
      <c r="N757" s="275"/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4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4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4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4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4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4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4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4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4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4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4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autoFilter ref="B24:J399" xr:uid="{BAB8E048-3245-4E24-912E-3BBF0790E685}"/>
  <dataValidations disablePrompts="1" count="1">
    <dataValidation type="list" allowBlank="1" showInputMessage="1" showErrorMessage="1" sqref="N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14</xdr:col>
                    <xdr:colOff>666750</xdr:colOff>
                    <xdr:row>5</xdr:row>
                    <xdr:rowOff>123825</xdr:rowOff>
                  </from>
                  <to>
                    <xdr:col>15</xdr:col>
                    <xdr:colOff>609600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26.5703125" style="275" bestFit="1" customWidth="1"/>
    <col min="4" max="4" width="10.5703125" style="276" customWidth="1"/>
    <col min="5" max="14" width="9.85546875" style="276" customWidth="1"/>
    <col min="15" max="31" width="9.140625" style="79"/>
    <col min="32" max="16384" width="9.140625" style="275"/>
  </cols>
  <sheetData>
    <row r="1" spans="1:228" customFormat="1" ht="29.25" customHeight="1">
      <c r="A1" s="272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  <c r="AM1" s="272"/>
      <c r="AN1" s="272"/>
      <c r="AO1" s="272"/>
      <c r="AP1" s="272"/>
      <c r="AQ1" s="272"/>
      <c r="AR1" s="272"/>
      <c r="AS1" s="272"/>
      <c r="AT1" s="272"/>
      <c r="AU1" s="272"/>
      <c r="AV1" s="272"/>
      <c r="AW1" s="272"/>
      <c r="AX1" s="272"/>
      <c r="AY1" s="272"/>
      <c r="AZ1" s="272"/>
      <c r="BA1" s="272"/>
      <c r="BB1" s="272"/>
      <c r="BC1" s="272"/>
      <c r="BD1" s="272"/>
      <c r="BE1" s="272"/>
      <c r="BF1" s="272"/>
      <c r="BG1" s="272"/>
      <c r="BH1" s="272"/>
      <c r="BI1" s="272"/>
      <c r="BJ1" s="272"/>
      <c r="BK1" s="272"/>
      <c r="BL1" s="272"/>
      <c r="BM1" s="272"/>
      <c r="BN1" s="272"/>
      <c r="BO1" s="272"/>
      <c r="BP1" s="272"/>
      <c r="BQ1" s="272"/>
      <c r="BR1" s="272"/>
      <c r="BS1" s="272"/>
      <c r="BT1" s="272"/>
      <c r="BU1" s="272"/>
      <c r="BV1" s="272"/>
      <c r="BW1" s="272"/>
      <c r="BX1" s="272"/>
      <c r="BY1" s="272"/>
      <c r="BZ1" s="272"/>
      <c r="CA1" s="272"/>
      <c r="CB1" s="272"/>
      <c r="CC1" s="272"/>
      <c r="CD1" s="272"/>
      <c r="CE1" s="272"/>
      <c r="CF1" s="272"/>
      <c r="CG1" s="272"/>
      <c r="CH1" s="272"/>
      <c r="CI1" s="272"/>
      <c r="CJ1" s="272"/>
      <c r="CK1" s="272"/>
      <c r="CL1" s="272"/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272"/>
      <c r="DN1" s="272"/>
      <c r="DO1" s="272"/>
      <c r="DP1" s="272"/>
      <c r="DQ1" s="272"/>
      <c r="DR1" s="272"/>
      <c r="DS1" s="272"/>
      <c r="DT1" s="272"/>
      <c r="DU1" s="272"/>
      <c r="DV1" s="272"/>
      <c r="DW1" s="272"/>
      <c r="DX1" s="272"/>
      <c r="DY1" s="272"/>
      <c r="DZ1" s="272"/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272"/>
      <c r="EY1" s="272"/>
      <c r="EZ1" s="272"/>
      <c r="FA1" s="272"/>
      <c r="FB1" s="272"/>
      <c r="FC1" s="272"/>
      <c r="FD1" s="272"/>
      <c r="FE1" s="272"/>
      <c r="FF1" s="272"/>
      <c r="FG1" s="272"/>
      <c r="FH1" s="272"/>
      <c r="FI1" s="272"/>
      <c r="FJ1" s="272"/>
      <c r="FK1" s="272"/>
      <c r="FL1" s="272"/>
      <c r="FM1" s="272"/>
      <c r="FN1" s="272"/>
      <c r="FO1" s="272"/>
      <c r="FP1" s="272"/>
      <c r="FQ1" s="272"/>
      <c r="FR1" s="272"/>
      <c r="FS1" s="272"/>
      <c r="FT1" s="272"/>
      <c r="FU1" s="272"/>
      <c r="FV1" s="272"/>
      <c r="FW1" s="272"/>
      <c r="FX1" s="272"/>
      <c r="FY1" s="272"/>
      <c r="FZ1" s="272"/>
      <c r="GA1" s="272"/>
      <c r="GB1" s="272"/>
      <c r="GC1" s="272"/>
      <c r="GD1" s="272"/>
      <c r="GE1" s="272"/>
      <c r="GF1" s="272"/>
      <c r="GG1" s="272"/>
      <c r="GH1" s="272"/>
      <c r="GI1" s="272"/>
      <c r="GJ1" s="272"/>
      <c r="GK1" s="272"/>
      <c r="GL1" s="272"/>
      <c r="GM1" s="272"/>
      <c r="GN1" s="272"/>
      <c r="GO1" s="272"/>
      <c r="GP1" s="272"/>
      <c r="GQ1" s="272"/>
      <c r="GR1" s="272"/>
      <c r="GS1" s="272"/>
      <c r="GT1" s="272"/>
      <c r="GU1" s="272"/>
      <c r="GV1" s="272"/>
      <c r="GW1" s="272"/>
      <c r="GX1" s="272"/>
      <c r="GY1" s="272"/>
      <c r="GZ1" s="272"/>
      <c r="HA1" s="272"/>
      <c r="HB1" s="272"/>
      <c r="HC1" s="272"/>
      <c r="HD1" s="272"/>
      <c r="HE1" s="272"/>
      <c r="HF1" s="272"/>
      <c r="HG1" s="272"/>
      <c r="HH1" s="272"/>
      <c r="HI1" s="272"/>
      <c r="HJ1" s="272"/>
      <c r="HK1" s="272"/>
      <c r="HL1" s="272"/>
      <c r="HM1" s="272"/>
      <c r="HN1" s="272"/>
      <c r="HO1" s="272"/>
      <c r="HP1" s="272"/>
      <c r="HQ1" s="272"/>
      <c r="HR1" s="272"/>
      <c r="HS1" s="272"/>
      <c r="HT1" s="272"/>
    </row>
    <row r="2" spans="1:228" customFormat="1" ht="54.75" customHeight="1">
      <c r="A2" s="272"/>
      <c r="B2" s="272"/>
      <c r="C2" s="273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272"/>
      <c r="AO2" s="272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2"/>
      <c r="BM2" s="272"/>
      <c r="BN2" s="272"/>
      <c r="BO2" s="272"/>
      <c r="BP2" s="272"/>
      <c r="BQ2" s="272"/>
      <c r="BR2" s="272"/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2"/>
      <c r="CR2" s="272"/>
      <c r="CS2" s="272"/>
      <c r="CT2" s="272"/>
      <c r="CU2" s="272"/>
      <c r="CV2" s="272"/>
      <c r="CW2" s="272"/>
      <c r="CX2" s="272"/>
      <c r="CY2" s="272"/>
      <c r="CZ2" s="272"/>
      <c r="DA2" s="272"/>
      <c r="DB2" s="272"/>
      <c r="DC2" s="272"/>
      <c r="DD2" s="272"/>
      <c r="DE2" s="272"/>
      <c r="DF2" s="272"/>
      <c r="DG2" s="272"/>
      <c r="DH2" s="272"/>
      <c r="DI2" s="272"/>
      <c r="DJ2" s="272"/>
      <c r="DK2" s="272"/>
      <c r="DL2" s="272"/>
      <c r="DM2" s="272"/>
      <c r="DN2" s="272"/>
      <c r="DO2" s="272"/>
      <c r="DP2" s="272"/>
      <c r="DQ2" s="272"/>
      <c r="DR2" s="272"/>
      <c r="DS2" s="272"/>
      <c r="DT2" s="272"/>
      <c r="DU2" s="272"/>
      <c r="DV2" s="272"/>
      <c r="DW2" s="272"/>
      <c r="DX2" s="272"/>
      <c r="DY2" s="272"/>
      <c r="DZ2" s="272"/>
      <c r="EA2" s="272"/>
      <c r="EB2" s="272"/>
      <c r="EC2" s="272"/>
      <c r="ED2" s="272"/>
      <c r="EE2" s="272"/>
      <c r="EF2" s="272"/>
      <c r="EG2" s="272"/>
      <c r="EH2" s="272"/>
      <c r="EI2" s="272"/>
      <c r="EJ2" s="272"/>
      <c r="EK2" s="272"/>
      <c r="EL2" s="272"/>
      <c r="EM2" s="272"/>
      <c r="EN2" s="272"/>
      <c r="EO2" s="272"/>
      <c r="EP2" s="272"/>
      <c r="EQ2" s="272"/>
      <c r="ER2" s="272"/>
      <c r="ES2" s="272"/>
      <c r="ET2" s="272"/>
      <c r="EU2" s="272"/>
      <c r="EV2" s="272"/>
      <c r="EW2" s="272"/>
      <c r="EX2" s="272"/>
      <c r="EY2" s="272"/>
      <c r="EZ2" s="272"/>
      <c r="FA2" s="272"/>
      <c r="FB2" s="272"/>
      <c r="FC2" s="272"/>
      <c r="FD2" s="272"/>
      <c r="FE2" s="272"/>
      <c r="FF2" s="272"/>
      <c r="FG2" s="272"/>
      <c r="FH2" s="272"/>
      <c r="FI2" s="272"/>
      <c r="FJ2" s="272"/>
      <c r="FK2" s="272"/>
      <c r="FL2" s="272"/>
      <c r="FM2" s="272"/>
      <c r="FN2" s="272"/>
      <c r="FO2" s="272"/>
      <c r="FP2" s="272"/>
      <c r="FQ2" s="272"/>
      <c r="FR2" s="272"/>
      <c r="FS2" s="272"/>
      <c r="FT2" s="272"/>
      <c r="FU2" s="272"/>
      <c r="FV2" s="272"/>
      <c r="FW2" s="272"/>
      <c r="FX2" s="272"/>
      <c r="FY2" s="272"/>
      <c r="FZ2" s="272"/>
      <c r="GA2" s="272"/>
      <c r="GB2" s="272"/>
      <c r="GC2" s="272"/>
      <c r="GD2" s="272"/>
      <c r="GE2" s="272"/>
      <c r="GF2" s="272"/>
      <c r="GG2" s="272"/>
      <c r="GH2" s="272"/>
      <c r="GI2" s="272"/>
      <c r="GJ2" s="272"/>
      <c r="GK2" s="272"/>
      <c r="GL2" s="272"/>
      <c r="GM2" s="272"/>
      <c r="GN2" s="272"/>
      <c r="GO2" s="272"/>
      <c r="GP2" s="272"/>
      <c r="GQ2" s="272"/>
      <c r="GR2" s="272"/>
      <c r="GS2" s="272"/>
      <c r="GT2" s="272"/>
      <c r="GU2" s="272"/>
      <c r="GV2" s="272"/>
      <c r="GW2" s="272"/>
      <c r="GX2" s="272"/>
      <c r="GY2" s="272"/>
      <c r="GZ2" s="272"/>
      <c r="HA2" s="272"/>
      <c r="HB2" s="272"/>
      <c r="HC2" s="272"/>
      <c r="HD2" s="272"/>
      <c r="HE2" s="272"/>
      <c r="HF2" s="272"/>
      <c r="HG2" s="272"/>
      <c r="HH2" s="272"/>
      <c r="HI2" s="272"/>
      <c r="HJ2" s="272"/>
      <c r="HK2" s="272"/>
      <c r="HL2" s="272"/>
      <c r="HM2" s="272"/>
      <c r="HN2" s="272"/>
      <c r="HO2" s="272"/>
      <c r="HP2" s="272"/>
      <c r="HQ2" s="272"/>
      <c r="HR2" s="272"/>
      <c r="HS2" s="272"/>
      <c r="HT2" s="272"/>
    </row>
    <row r="3" spans="1:228" customFormat="1" ht="36.75" customHeight="1">
      <c r="A3" s="272"/>
      <c r="B3" s="272"/>
      <c r="C3" s="272"/>
      <c r="D3" s="272"/>
      <c r="E3" s="272"/>
      <c r="F3" s="272"/>
      <c r="G3" s="272"/>
      <c r="H3" s="272"/>
      <c r="I3" s="274"/>
      <c r="J3" s="274"/>
      <c r="K3" s="274"/>
      <c r="L3" s="274"/>
      <c r="M3" s="274"/>
      <c r="N3" s="274"/>
      <c r="O3" s="274"/>
      <c r="P3" s="274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4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2"/>
      <c r="DB3" s="272"/>
      <c r="DC3" s="272"/>
      <c r="DD3" s="272"/>
      <c r="DE3" s="272"/>
      <c r="DF3" s="272"/>
      <c r="DG3" s="272"/>
      <c r="DH3" s="272"/>
      <c r="DI3" s="272"/>
      <c r="DJ3" s="272"/>
      <c r="DK3" s="272"/>
      <c r="DL3" s="272"/>
      <c r="DM3" s="272"/>
      <c r="DN3" s="272"/>
      <c r="DO3" s="272"/>
      <c r="DP3" s="272"/>
      <c r="DQ3" s="272"/>
      <c r="DR3" s="272"/>
      <c r="DS3" s="272"/>
      <c r="DT3" s="272"/>
      <c r="DU3" s="272"/>
      <c r="DV3" s="272"/>
      <c r="DW3" s="272"/>
      <c r="DX3" s="272"/>
      <c r="DY3" s="272"/>
      <c r="DZ3" s="272"/>
      <c r="EA3" s="272"/>
      <c r="EB3" s="272"/>
      <c r="EC3" s="272"/>
      <c r="ED3" s="272"/>
      <c r="EE3" s="272"/>
      <c r="EF3" s="272"/>
      <c r="EG3" s="272"/>
      <c r="EH3" s="272"/>
      <c r="EI3" s="272"/>
      <c r="EJ3" s="272"/>
      <c r="EK3" s="272"/>
      <c r="EL3" s="272"/>
      <c r="EM3" s="272"/>
      <c r="EN3" s="272"/>
      <c r="EO3" s="272"/>
      <c r="EP3" s="272"/>
      <c r="EQ3" s="272"/>
      <c r="ER3" s="272"/>
      <c r="ES3" s="272"/>
      <c r="ET3" s="272"/>
      <c r="EU3" s="272"/>
      <c r="EV3" s="272"/>
      <c r="EW3" s="272"/>
      <c r="EX3" s="272"/>
      <c r="EY3" s="272"/>
      <c r="EZ3" s="272"/>
      <c r="FA3" s="272"/>
      <c r="FB3" s="272"/>
      <c r="FC3" s="272"/>
      <c r="FD3" s="272"/>
      <c r="FE3" s="272"/>
      <c r="FF3" s="272"/>
      <c r="FG3" s="272"/>
      <c r="FH3" s="272"/>
      <c r="FI3" s="272"/>
      <c r="FJ3" s="272"/>
      <c r="FK3" s="272"/>
      <c r="FL3" s="272"/>
      <c r="FM3" s="272"/>
      <c r="FN3" s="272"/>
      <c r="FO3" s="272"/>
      <c r="FP3" s="272"/>
      <c r="FQ3" s="272"/>
      <c r="FR3" s="272"/>
      <c r="FS3" s="272"/>
      <c r="FT3" s="272"/>
      <c r="FU3" s="272"/>
      <c r="FV3" s="272"/>
      <c r="FW3" s="272"/>
      <c r="FX3" s="272"/>
      <c r="FY3" s="272"/>
      <c r="FZ3" s="272"/>
      <c r="GA3" s="272"/>
      <c r="GB3" s="272"/>
      <c r="GC3" s="272"/>
      <c r="GD3" s="272"/>
      <c r="GE3" s="272"/>
      <c r="GF3" s="272"/>
      <c r="GG3" s="272"/>
      <c r="GH3" s="272"/>
      <c r="GI3" s="272"/>
      <c r="GJ3" s="272"/>
      <c r="GK3" s="272"/>
      <c r="GL3" s="272"/>
      <c r="GM3" s="272"/>
      <c r="GN3" s="272"/>
      <c r="GO3" s="272"/>
      <c r="GP3" s="272"/>
      <c r="GQ3" s="272"/>
      <c r="GR3" s="272"/>
      <c r="GS3" s="272"/>
      <c r="GT3" s="272"/>
      <c r="GU3" s="272"/>
      <c r="GV3" s="272"/>
      <c r="GW3" s="272"/>
      <c r="GX3" s="272"/>
      <c r="GY3" s="272"/>
      <c r="GZ3" s="272"/>
      <c r="HA3" s="272"/>
      <c r="HB3" s="272"/>
      <c r="HC3" s="272"/>
      <c r="HD3" s="272"/>
      <c r="HE3" s="272"/>
      <c r="HF3" s="272"/>
      <c r="HG3" s="272"/>
      <c r="HH3" s="272"/>
      <c r="HI3" s="272"/>
      <c r="HJ3" s="272"/>
      <c r="HK3" s="272"/>
      <c r="HL3" s="272"/>
      <c r="HM3" s="272"/>
      <c r="HN3" s="272"/>
      <c r="HO3" s="272"/>
      <c r="HP3" s="272"/>
      <c r="HQ3" s="272"/>
      <c r="HR3" s="272"/>
      <c r="HS3" s="272"/>
      <c r="HT3" s="272"/>
    </row>
    <row r="4" spans="1:228" ht="12" thickBot="1"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B5" s="277" t="s">
        <v>432</v>
      </c>
      <c r="C5" s="278">
        <v>46828</v>
      </c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B6" s="279" t="s">
        <v>475</v>
      </c>
      <c r="C6" s="280">
        <v>5000</v>
      </c>
      <c r="D6" s="275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B7" s="281" t="s">
        <v>476</v>
      </c>
      <c r="C7" s="282" t="b">
        <v>0</v>
      </c>
      <c r="D7" s="275"/>
      <c r="E7" s="275"/>
      <c r="H7" s="283"/>
      <c r="O7" s="629"/>
      <c r="P7" s="629"/>
      <c r="Q7" s="629"/>
      <c r="R7" s="629"/>
      <c r="S7" s="629"/>
      <c r="T7" s="629"/>
      <c r="U7" s="629"/>
      <c r="V7" s="629"/>
      <c r="W7" s="629"/>
      <c r="X7" s="629"/>
      <c r="Y7" s="275"/>
      <c r="Z7" s="275"/>
      <c r="AA7" s="275"/>
      <c r="AB7" s="275"/>
      <c r="AC7" s="275"/>
      <c r="AD7" s="275"/>
      <c r="AE7" s="275"/>
    </row>
    <row r="8" spans="1:228" ht="12" thickBot="1">
      <c r="B8" s="281" t="s">
        <v>477</v>
      </c>
      <c r="C8" s="284">
        <v>0.3</v>
      </c>
      <c r="D8" s="285"/>
      <c r="E8" s="275"/>
      <c r="H8" s="283"/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</row>
    <row r="9" spans="1:228" ht="12" thickBot="1">
      <c r="B9" s="281" t="s">
        <v>478</v>
      </c>
      <c r="C9" s="286">
        <v>125</v>
      </c>
      <c r="D9" s="285"/>
      <c r="E9" s="275"/>
      <c r="H9" s="283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 ht="12" thickBot="1">
      <c r="B10" s="287"/>
      <c r="C10" s="288"/>
      <c r="D10" s="285"/>
      <c r="E10" s="275"/>
      <c r="H10" s="283"/>
      <c r="O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>
      <c r="B11" s="289" t="s">
        <v>82</v>
      </c>
      <c r="C11" s="290" t="s">
        <v>67</v>
      </c>
      <c r="D11" s="275"/>
      <c r="E11" s="275"/>
      <c r="H11" s="283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>
      <c r="B12" s="291" t="s">
        <v>437</v>
      </c>
      <c r="C12" s="292">
        <v>-0.1</v>
      </c>
      <c r="D12" s="285"/>
      <c r="E12" s="275"/>
      <c r="H12" s="283"/>
      <c r="O12" s="275"/>
      <c r="P12" s="275"/>
      <c r="Q12" s="275"/>
      <c r="R12" s="275"/>
      <c r="S12" s="275"/>
      <c r="T12" s="275"/>
      <c r="U12" s="275"/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</row>
    <row r="13" spans="1:228" ht="12" thickBot="1">
      <c r="B13" s="293" t="s">
        <v>439</v>
      </c>
      <c r="C13" s="227">
        <v>0.1</v>
      </c>
      <c r="E13" s="294"/>
      <c r="H13" s="283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</row>
    <row r="14" spans="1:228" ht="12" thickBot="1">
      <c r="B14" s="295"/>
      <c r="C14" s="296"/>
      <c r="E14" s="294"/>
      <c r="H14" s="283"/>
      <c r="O14" s="275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  <c r="AA14" s="275"/>
      <c r="AB14" s="275"/>
      <c r="AC14" s="275"/>
      <c r="AD14" s="275"/>
      <c r="AE14" s="275"/>
    </row>
    <row r="15" spans="1:228">
      <c r="B15" s="277" t="s">
        <v>458</v>
      </c>
      <c r="C15" s="297" t="s">
        <v>459</v>
      </c>
      <c r="E15" s="294"/>
      <c r="H15" s="283"/>
      <c r="O15" s="275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  <c r="AA15" s="275"/>
      <c r="AB15" s="275"/>
      <c r="AC15" s="275"/>
      <c r="AD15" s="275"/>
      <c r="AE15" s="275"/>
    </row>
    <row r="16" spans="1:228">
      <c r="B16" s="279" t="s">
        <v>461</v>
      </c>
      <c r="C16" s="298" t="s">
        <v>479</v>
      </c>
      <c r="E16" s="294"/>
      <c r="H16" s="283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  <c r="AA16" s="275"/>
      <c r="AB16" s="275"/>
      <c r="AC16" s="275"/>
      <c r="AD16" s="275"/>
      <c r="AE16" s="275"/>
    </row>
    <row r="17" spans="2:31" ht="12" thickBot="1">
      <c r="B17" s="281" t="s">
        <v>462</v>
      </c>
      <c r="C17" s="299"/>
      <c r="E17" s="294"/>
      <c r="H17" s="283"/>
      <c r="O17" s="275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  <c r="AA17" s="275"/>
      <c r="AB17" s="275"/>
      <c r="AC17" s="275"/>
      <c r="AD17" s="275"/>
      <c r="AE17" s="275"/>
    </row>
    <row r="18" spans="2:31" ht="12" thickBot="1">
      <c r="B18" s="287"/>
      <c r="C18" s="300"/>
      <c r="E18" s="294"/>
      <c r="H18" s="283"/>
      <c r="O18" s="275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  <c r="AA18" s="275"/>
      <c r="AB18" s="275"/>
      <c r="AC18" s="275"/>
      <c r="AD18" s="275"/>
      <c r="AE18" s="275"/>
    </row>
    <row r="19" spans="2:31" ht="12" thickBot="1">
      <c r="B19" s="289" t="s">
        <v>480</v>
      </c>
      <c r="C19" s="301"/>
      <c r="D19" s="302"/>
      <c r="E19" s="630" t="s">
        <v>481</v>
      </c>
      <c r="F19" s="630"/>
      <c r="G19" s="630"/>
      <c r="H19" s="630"/>
      <c r="I19" s="630"/>
      <c r="J19" s="630"/>
      <c r="K19" s="630"/>
      <c r="L19" s="630"/>
      <c r="M19" s="630"/>
      <c r="N19" s="631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</row>
    <row r="20" spans="2:31" ht="12" thickBot="1">
      <c r="B20" s="304"/>
      <c r="C20" s="305"/>
      <c r="D20" s="306" t="s">
        <v>482</v>
      </c>
      <c r="E20" s="307">
        <v>1</v>
      </c>
      <c r="F20" s="308">
        <v>2</v>
      </c>
      <c r="G20" s="307">
        <v>3</v>
      </c>
      <c r="H20" s="309">
        <v>4</v>
      </c>
      <c r="I20" s="309">
        <v>5</v>
      </c>
      <c r="J20" s="309">
        <v>6</v>
      </c>
      <c r="K20" s="309">
        <v>7</v>
      </c>
      <c r="L20" s="308">
        <v>8</v>
      </c>
      <c r="M20" s="309">
        <v>9</v>
      </c>
      <c r="N20" s="310">
        <v>10</v>
      </c>
      <c r="O20" s="275"/>
      <c r="P20" s="275"/>
      <c r="Q20" s="275"/>
      <c r="R20" s="275"/>
      <c r="S20" s="275"/>
      <c r="T20" s="275"/>
      <c r="U20" s="275"/>
      <c r="V20" s="275"/>
      <c r="W20" s="287"/>
      <c r="X20" s="275"/>
      <c r="Y20" s="275"/>
      <c r="Z20" s="275"/>
      <c r="AA20" s="275"/>
      <c r="AB20" s="275"/>
      <c r="AC20" s="275"/>
      <c r="AD20" s="275"/>
      <c r="AE20" s="275"/>
    </row>
    <row r="21" spans="2:31">
      <c r="B21" s="277" t="s">
        <v>465</v>
      </c>
      <c r="C21" s="311">
        <v>0.54</v>
      </c>
      <c r="D21" s="312" t="s">
        <v>465</v>
      </c>
      <c r="E21" s="313">
        <v>6.0999999999999999E-2</v>
      </c>
      <c r="F21" s="313">
        <v>6.0999999999999999E-2</v>
      </c>
      <c r="G21" s="313">
        <v>6.0999999999999999E-2</v>
      </c>
      <c r="H21" s="313">
        <v>6.0999999999999999E-2</v>
      </c>
      <c r="I21" s="314">
        <v>0.06</v>
      </c>
      <c r="J21" s="314">
        <v>0.06</v>
      </c>
      <c r="K21" s="315"/>
      <c r="L21" s="316"/>
      <c r="M21" s="315"/>
      <c r="N21" s="317"/>
      <c r="O21" s="275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275"/>
    </row>
    <row r="22" spans="2:31" ht="12" thickBot="1">
      <c r="B22" s="281" t="s">
        <v>466</v>
      </c>
      <c r="C22" s="318">
        <v>0.84</v>
      </c>
      <c r="D22" s="312" t="s">
        <v>483</v>
      </c>
      <c r="E22" s="319">
        <v>0.111</v>
      </c>
      <c r="F22" s="319">
        <v>0.111</v>
      </c>
      <c r="G22" s="319">
        <v>0.111</v>
      </c>
      <c r="H22" s="319">
        <v>0.111</v>
      </c>
      <c r="I22" s="320">
        <v>0.11</v>
      </c>
      <c r="J22" s="320">
        <v>0.11</v>
      </c>
      <c r="K22" s="321"/>
      <c r="L22" s="322"/>
      <c r="M22" s="321"/>
      <c r="N22" s="323"/>
      <c r="O22" s="275"/>
      <c r="P22" s="275"/>
      <c r="Q22" s="324"/>
      <c r="R22" s="275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275"/>
      <c r="AE22" s="275"/>
    </row>
    <row r="23" spans="2:31" ht="12" thickBot="1">
      <c r="B23" s="325"/>
      <c r="C23" s="326"/>
      <c r="D23" s="327" t="s">
        <v>484</v>
      </c>
      <c r="E23" s="328">
        <f t="shared" ref="E23:J23" si="0">0.166666666666667%*100</f>
        <v>0.16666666666666699</v>
      </c>
      <c r="F23" s="328">
        <f t="shared" si="0"/>
        <v>0.16666666666666699</v>
      </c>
      <c r="G23" s="328">
        <f t="shared" si="0"/>
        <v>0.16666666666666699</v>
      </c>
      <c r="H23" s="328">
        <f t="shared" si="0"/>
        <v>0.16666666666666699</v>
      </c>
      <c r="I23" s="328">
        <f t="shared" si="0"/>
        <v>0.16666666666666699</v>
      </c>
      <c r="J23" s="328">
        <f t="shared" si="0"/>
        <v>0.16666666666666699</v>
      </c>
      <c r="K23" s="321"/>
      <c r="L23" s="322"/>
      <c r="M23" s="321"/>
      <c r="N23" s="323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275"/>
      <c r="AE23" s="275"/>
    </row>
    <row r="24" spans="2:31" ht="12" thickBot="1">
      <c r="B24" s="325"/>
      <c r="C24" s="326"/>
      <c r="D24" s="329"/>
      <c r="E24" s="330"/>
      <c r="F24" s="331"/>
      <c r="G24" s="331"/>
      <c r="H24" s="331"/>
      <c r="I24" s="331"/>
      <c r="J24" s="331"/>
      <c r="K24" s="331"/>
      <c r="L24" s="331"/>
      <c r="M24" s="331"/>
      <c r="N24" s="126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275"/>
      <c r="AE24" s="275"/>
    </row>
    <row r="25" spans="2:31" ht="12" thickBot="1">
      <c r="B25" s="277" t="s">
        <v>485</v>
      </c>
      <c r="C25" s="332">
        <v>8.3836702003960026E-2</v>
      </c>
      <c r="D25" s="333"/>
      <c r="E25" s="628" t="s">
        <v>486</v>
      </c>
      <c r="F25" s="628"/>
      <c r="G25" s="628"/>
      <c r="H25" s="628"/>
      <c r="I25" s="628"/>
      <c r="J25" s="628"/>
      <c r="K25" s="628"/>
      <c r="L25" s="628"/>
      <c r="M25" s="628"/>
      <c r="N25" s="627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275"/>
      <c r="AE25" s="275"/>
    </row>
    <row r="26" spans="2:31" ht="12" thickBot="1">
      <c r="B26" s="281" t="s">
        <v>487</v>
      </c>
      <c r="C26" s="334" t="b">
        <v>1</v>
      </c>
      <c r="D26" s="306" t="s">
        <v>488</v>
      </c>
      <c r="E26" s="335">
        <v>1</v>
      </c>
      <c r="F26" s="59">
        <f t="shared" ref="F26:N26" si="1">E26+1</f>
        <v>2</v>
      </c>
      <c r="G26" s="336">
        <f t="shared" si="1"/>
        <v>3</v>
      </c>
      <c r="H26" s="337">
        <f t="shared" si="1"/>
        <v>4</v>
      </c>
      <c r="I26" s="337">
        <f t="shared" si="1"/>
        <v>5</v>
      </c>
      <c r="J26" s="337">
        <f t="shared" si="1"/>
        <v>6</v>
      </c>
      <c r="K26" s="337">
        <f t="shared" si="1"/>
        <v>7</v>
      </c>
      <c r="L26" s="59">
        <f t="shared" si="1"/>
        <v>8</v>
      </c>
      <c r="M26" s="337">
        <f t="shared" si="1"/>
        <v>9</v>
      </c>
      <c r="N26" s="338">
        <f t="shared" si="1"/>
        <v>10</v>
      </c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275"/>
      <c r="AE26" s="275"/>
    </row>
    <row r="27" spans="2:31">
      <c r="B27" s="325"/>
      <c r="D27" s="339">
        <v>0</v>
      </c>
      <c r="E27" s="340">
        <v>1.9E-2</v>
      </c>
      <c r="F27" s="341">
        <v>2.1000000000000001E-2</v>
      </c>
      <c r="G27" s="342">
        <v>2.1999999999999999E-2</v>
      </c>
      <c r="H27" s="343">
        <v>2.1000000000000001E-2</v>
      </c>
      <c r="I27" s="342">
        <v>2.1999999999999999E-2</v>
      </c>
      <c r="J27" s="342">
        <v>2.1000000000000001E-2</v>
      </c>
      <c r="K27" s="316"/>
      <c r="L27" s="344"/>
      <c r="M27" s="316"/>
      <c r="N27" s="292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275"/>
      <c r="AE27" s="275"/>
    </row>
    <row r="28" spans="2:31">
      <c r="B28" s="325"/>
      <c r="D28" s="345">
        <v>2.4E-2</v>
      </c>
      <c r="E28" s="340">
        <v>3.5999999999999997E-2</v>
      </c>
      <c r="F28" s="346">
        <v>0.04</v>
      </c>
      <c r="G28" s="347">
        <v>4.1000000000000002E-2</v>
      </c>
      <c r="H28" s="348">
        <v>0.04</v>
      </c>
      <c r="I28" s="348">
        <v>4.1000000000000002E-2</v>
      </c>
      <c r="J28" s="348">
        <v>0.04</v>
      </c>
      <c r="K28" s="349"/>
      <c r="L28" s="349"/>
      <c r="M28" s="349"/>
      <c r="N28" s="349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</row>
    <row r="29" spans="2:31">
      <c r="B29" s="325"/>
      <c r="D29" s="345">
        <v>4.9000000000000002E-2</v>
      </c>
      <c r="E29" s="340">
        <v>6.3E-2</v>
      </c>
      <c r="F29" s="346">
        <v>6.9000000000000006E-2</v>
      </c>
      <c r="G29" s="347">
        <v>7.0999999999999994E-2</v>
      </c>
      <c r="H29" s="348">
        <v>6.9000000000000006E-2</v>
      </c>
      <c r="I29" s="348">
        <v>7.0999999999999994E-2</v>
      </c>
      <c r="J29" s="348">
        <v>6.9000000000000006E-2</v>
      </c>
      <c r="K29" s="349"/>
      <c r="L29" s="349"/>
      <c r="M29" s="349"/>
      <c r="N29" s="349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275"/>
      <c r="AE29" s="275"/>
    </row>
    <row r="30" spans="2:31">
      <c r="B30" s="325"/>
      <c r="D30" s="345">
        <v>6.5000000000000002E-2</v>
      </c>
      <c r="E30" s="340">
        <v>9.2999999999999999E-2</v>
      </c>
      <c r="F30" s="346">
        <v>0.107</v>
      </c>
      <c r="G30" s="347">
        <v>0.111</v>
      </c>
      <c r="H30" s="348">
        <v>0.108</v>
      </c>
      <c r="I30" s="348">
        <v>0.112</v>
      </c>
      <c r="J30" s="348">
        <v>0.108</v>
      </c>
      <c r="K30" s="349"/>
      <c r="L30" s="349"/>
      <c r="M30" s="349"/>
      <c r="N30" s="349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275"/>
      <c r="AE30" s="275"/>
    </row>
    <row r="31" spans="2:31">
      <c r="B31" s="325"/>
      <c r="D31" s="345">
        <v>8.1000000000000003E-2</v>
      </c>
      <c r="E31" s="340">
        <v>0.13300000000000001</v>
      </c>
      <c r="F31" s="346">
        <v>0.14899999999999999</v>
      </c>
      <c r="G31" s="347">
        <v>0.154</v>
      </c>
      <c r="H31" s="348">
        <v>0.151</v>
      </c>
      <c r="I31" s="348">
        <v>0.154</v>
      </c>
      <c r="J31" s="348">
        <v>0.14899999999999999</v>
      </c>
      <c r="K31" s="349"/>
      <c r="L31" s="349"/>
      <c r="M31" s="349"/>
      <c r="N31" s="349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</row>
    <row r="32" spans="2:31">
      <c r="B32" s="325"/>
      <c r="D32" s="345">
        <v>9.8000000000000004E-2</v>
      </c>
      <c r="E32" s="340">
        <v>0.17399999999999999</v>
      </c>
      <c r="F32" s="346">
        <v>0.191</v>
      </c>
      <c r="G32" s="347">
        <v>0.19600000000000001</v>
      </c>
      <c r="H32" s="348">
        <v>0.19400000000000001</v>
      </c>
      <c r="I32" s="348">
        <v>0.19700000000000001</v>
      </c>
      <c r="J32" s="348">
        <v>0.191</v>
      </c>
      <c r="K32" s="349"/>
      <c r="L32" s="349"/>
      <c r="M32" s="349"/>
      <c r="N32" s="349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</row>
    <row r="33" spans="1:31" ht="12" thickBot="1">
      <c r="B33" s="350"/>
      <c r="C33" s="351"/>
      <c r="D33" s="352">
        <v>0.114</v>
      </c>
      <c r="E33" s="353">
        <v>0.214</v>
      </c>
      <c r="F33" s="354">
        <v>0.23200000000000001</v>
      </c>
      <c r="G33" s="355">
        <v>0.23799999999999999</v>
      </c>
      <c r="H33" s="356">
        <v>0.23499999999999999</v>
      </c>
      <c r="I33" s="355">
        <v>0.23899999999999999</v>
      </c>
      <c r="J33" s="355">
        <v>0.23200000000000001</v>
      </c>
      <c r="K33" s="322"/>
      <c r="L33" s="357"/>
      <c r="M33" s="322"/>
      <c r="N33" s="318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5"/>
    </row>
    <row r="34" spans="1:31" ht="12" thickBot="1"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</row>
    <row r="35" spans="1:31" ht="12" thickBot="1">
      <c r="D35" s="358" t="s">
        <v>423</v>
      </c>
      <c r="E35" s="359" t="b">
        <v>1</v>
      </c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5"/>
      <c r="AB35" s="275"/>
      <c r="AC35" s="275"/>
      <c r="AD35" s="275"/>
      <c r="AE35" s="275"/>
    </row>
    <row r="36" spans="1:31" ht="12" thickBot="1">
      <c r="B36" s="360"/>
      <c r="C36" s="79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</row>
    <row r="37" spans="1:31" ht="13.5" customHeight="1" thickBot="1">
      <c r="B37" s="360"/>
      <c r="C37" s="626" t="s">
        <v>480</v>
      </c>
      <c r="D37" s="627"/>
      <c r="E37" s="628" t="s">
        <v>489</v>
      </c>
      <c r="F37" s="628"/>
      <c r="G37" s="628"/>
      <c r="H37" s="628"/>
      <c r="I37" s="628"/>
      <c r="J37" s="628"/>
      <c r="K37" s="628"/>
      <c r="L37" s="628"/>
      <c r="M37" s="628"/>
      <c r="N37" s="627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5"/>
      <c r="AB37" s="275"/>
      <c r="AC37" s="275"/>
      <c r="AD37" s="275"/>
      <c r="AE37" s="275"/>
    </row>
    <row r="38" spans="1:31" ht="12" thickBot="1">
      <c r="B38" s="287"/>
      <c r="C38" s="361" t="s">
        <v>434</v>
      </c>
      <c r="D38" s="362" t="s">
        <v>490</v>
      </c>
      <c r="E38" s="276">
        <v>1</v>
      </c>
      <c r="F38" s="276">
        <f t="shared" ref="F38:N38" si="2">E38+1</f>
        <v>2</v>
      </c>
      <c r="G38" s="276">
        <f t="shared" si="2"/>
        <v>3</v>
      </c>
      <c r="H38" s="276">
        <f t="shared" si="2"/>
        <v>4</v>
      </c>
      <c r="I38" s="276">
        <f t="shared" si="2"/>
        <v>5</v>
      </c>
      <c r="J38" s="276">
        <f t="shared" si="2"/>
        <v>6</v>
      </c>
      <c r="K38" s="276">
        <f t="shared" si="2"/>
        <v>7</v>
      </c>
      <c r="L38" s="276">
        <f t="shared" si="2"/>
        <v>8</v>
      </c>
      <c r="M38" s="276">
        <f t="shared" si="2"/>
        <v>9</v>
      </c>
      <c r="N38" s="363">
        <f t="shared" si="2"/>
        <v>10</v>
      </c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</row>
    <row r="39" spans="1:31" ht="12" thickBot="1">
      <c r="A39" s="79"/>
      <c r="B39" s="361" t="s">
        <v>491</v>
      </c>
      <c r="C39" s="364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5" t="e">
        <f ca="1"/>
        <v>#NAME?</v>
      </c>
      <c r="E39" s="366" t="e">
        <f ca="1"/>
        <v>#NAME?</v>
      </c>
      <c r="F39" s="366" t="e">
        <f ca="1"/>
        <v>#NAME?</v>
      </c>
      <c r="G39" s="366" t="e">
        <f ca="1"/>
        <v>#NAME?</v>
      </c>
      <c r="H39" s="366" t="e">
        <f ca="1"/>
        <v>#NAME?</v>
      </c>
      <c r="I39" s="366" t="e">
        <f ca="1"/>
        <v>#NAME?</v>
      </c>
      <c r="J39" s="366" t="e">
        <f ca="1"/>
        <v>#NAME?</v>
      </c>
      <c r="K39" s="366" t="e">
        <f ca="1"/>
        <v>#NAME?</v>
      </c>
      <c r="L39" s="366" t="e">
        <f ca="1"/>
        <v>#NAME?</v>
      </c>
      <c r="M39" s="366" t="e">
        <f ca="1"/>
        <v>#NAME?</v>
      </c>
      <c r="N39" s="367" t="e">
        <f ca="1"/>
        <v>#NAME?</v>
      </c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5"/>
      <c r="AB39" s="275"/>
      <c r="AC39" s="275"/>
      <c r="AD39" s="275"/>
      <c r="AE39" s="275"/>
    </row>
    <row r="40" spans="1:31" ht="12" thickBot="1">
      <c r="B40" s="361" t="s">
        <v>492</v>
      </c>
      <c r="C40" s="368" t="e">
        <f ca="1"/>
        <v>#NAME?</v>
      </c>
      <c r="D40" s="369" t="e">
        <f ca="1"/>
        <v>#NAME?</v>
      </c>
      <c r="E40" s="370" t="e">
        <f ca="1"/>
        <v>#NAME?</v>
      </c>
      <c r="F40" s="370" t="e">
        <f ca="1"/>
        <v>#NAME?</v>
      </c>
      <c r="G40" s="370" t="e">
        <f ca="1"/>
        <v>#NAME?</v>
      </c>
      <c r="H40" s="370" t="e">
        <f ca="1"/>
        <v>#NAME?</v>
      </c>
      <c r="I40" s="370" t="e">
        <f ca="1"/>
        <v>#NAME?</v>
      </c>
      <c r="J40" s="370" t="e">
        <f ca="1"/>
        <v>#NAME?</v>
      </c>
      <c r="K40" s="370" t="e">
        <f ca="1"/>
        <v>#NAME?</v>
      </c>
      <c r="L40" s="370" t="e">
        <f ca="1"/>
        <v>#NAME?</v>
      </c>
      <c r="M40" s="370" t="e">
        <f ca="1"/>
        <v>#NAME?</v>
      </c>
      <c r="N40" s="371" t="e">
        <f ca="1"/>
        <v>#NAME?</v>
      </c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5"/>
      <c r="AB40" s="275"/>
      <c r="AC40" s="275"/>
      <c r="AD40" s="275"/>
      <c r="AE40" s="275"/>
    </row>
    <row r="41" spans="1:31">
      <c r="C41" s="372"/>
      <c r="D41" s="373" t="e" cm="1">
        <f t="array" aca="1" ref="D41" ca="1">GetTest2(E21:N23)</f>
        <v>#NAME?</v>
      </c>
      <c r="E41" s="373"/>
      <c r="F41" s="374"/>
      <c r="G41" s="373"/>
      <c r="H41" s="374"/>
      <c r="I41" s="372"/>
      <c r="J41" s="374"/>
      <c r="K41" s="372"/>
      <c r="L41" s="374"/>
      <c r="M41" s="372"/>
      <c r="N41" s="372"/>
      <c r="O41" s="275"/>
      <c r="P41" s="629"/>
      <c r="Q41" s="629"/>
      <c r="R41" s="629"/>
      <c r="S41" s="275"/>
      <c r="T41" s="275"/>
      <c r="U41" s="275"/>
      <c r="V41" s="275"/>
      <c r="W41" s="275"/>
      <c r="X41" s="275"/>
      <c r="Y41" s="275"/>
      <c r="Z41" s="275"/>
      <c r="AA41" s="275"/>
      <c r="AB41" s="275"/>
      <c r="AC41" s="275"/>
      <c r="AD41" s="275"/>
      <c r="AE41" s="275"/>
    </row>
    <row r="42" spans="1:31">
      <c r="B42" s="275" t="e" cm="1">
        <f t="array" aca="1" ref="B42" ca="1">GetTest2(E21:N23,C21,C22,C26,D46:N345,Parameter_Date,C5,C11)</f>
        <v>#NAME?</v>
      </c>
      <c r="D42" s="373"/>
      <c r="E42" s="373"/>
      <c r="F42" s="374"/>
      <c r="G42" s="373"/>
      <c r="H42" s="374"/>
      <c r="I42" s="372"/>
      <c r="J42" s="374"/>
      <c r="K42" s="372"/>
      <c r="L42" s="374"/>
      <c r="M42" s="372"/>
      <c r="N42" s="372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5"/>
      <c r="AB42" s="275"/>
      <c r="AC42" s="275"/>
      <c r="AD42" s="275"/>
      <c r="AE42" s="275"/>
    </row>
    <row r="43" spans="1:31" ht="12" thickBot="1">
      <c r="D43" s="275"/>
      <c r="E43" s="3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5"/>
      <c r="AD43" s="275"/>
      <c r="AE43" s="275"/>
    </row>
    <row r="44" spans="1:31" ht="12" thickBot="1">
      <c r="C44" s="326"/>
      <c r="D44" s="376"/>
      <c r="E44" s="626" t="s">
        <v>493</v>
      </c>
      <c r="F44" s="628"/>
      <c r="G44" s="628"/>
      <c r="H44" s="628"/>
      <c r="I44" s="628"/>
      <c r="J44" s="628"/>
      <c r="K44" s="628"/>
      <c r="L44" s="628"/>
      <c r="M44" s="628"/>
      <c r="N44" s="627"/>
      <c r="O44" s="275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  <c r="AA44" s="275"/>
      <c r="AB44" s="275"/>
      <c r="AC44" s="275"/>
      <c r="AD44" s="275"/>
      <c r="AE44" s="275"/>
    </row>
    <row r="45" spans="1:31" ht="12" thickBot="1">
      <c r="B45" s="306" t="s">
        <v>494</v>
      </c>
      <c r="C45" s="303" t="s">
        <v>495</v>
      </c>
      <c r="D45" s="361" t="s">
        <v>474</v>
      </c>
      <c r="E45" s="377">
        <v>1</v>
      </c>
      <c r="F45" s="378">
        <f t="shared" ref="F45:N45" si="3">E45+1</f>
        <v>2</v>
      </c>
      <c r="G45" s="378">
        <f t="shared" si="3"/>
        <v>3</v>
      </c>
      <c r="H45" s="378">
        <f t="shared" si="3"/>
        <v>4</v>
      </c>
      <c r="I45" s="378">
        <f t="shared" si="3"/>
        <v>5</v>
      </c>
      <c r="J45" s="378">
        <f t="shared" si="3"/>
        <v>6</v>
      </c>
      <c r="K45" s="378">
        <f t="shared" si="3"/>
        <v>7</v>
      </c>
      <c r="L45" s="378">
        <f t="shared" si="3"/>
        <v>8</v>
      </c>
      <c r="M45" s="378">
        <f t="shared" si="3"/>
        <v>9</v>
      </c>
      <c r="N45" s="379">
        <f t="shared" si="3"/>
        <v>10</v>
      </c>
      <c r="O45" s="275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  <c r="AA45" s="275"/>
      <c r="AB45" s="275"/>
      <c r="AC45" s="275"/>
      <c r="AD45" s="275"/>
      <c r="AE45" s="275"/>
    </row>
    <row r="46" spans="1:31" ht="15">
      <c r="B46" s="380">
        <v>1</v>
      </c>
      <c r="C46" s="388" t="str" cm="1">
        <f t="array" aca="1" ref="C46" ca="1">IF(B46&lt;=$C$9,GetGetCDSName(B46),"")</f>
        <v>ABNAMRO_MMR.EUR.SU</v>
      </c>
      <c r="D46" s="348">
        <v>0</v>
      </c>
      <c r="E46" s="381">
        <v>0</v>
      </c>
      <c r="F46" s="300">
        <v>0</v>
      </c>
      <c r="G46" s="300">
        <v>1</v>
      </c>
      <c r="H46" s="300">
        <v>0</v>
      </c>
      <c r="I46" s="300">
        <v>0</v>
      </c>
      <c r="J46" s="300">
        <v>0</v>
      </c>
      <c r="K46" s="300"/>
      <c r="L46" s="300"/>
      <c r="M46" s="300"/>
      <c r="N46" s="382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275"/>
    </row>
    <row r="47" spans="1:31" ht="15">
      <c r="B47" s="380">
        <f t="shared" ref="B47:B110" si="4">B46+1</f>
        <v>2</v>
      </c>
      <c r="C47" s="388" t="str" cm="1">
        <f t="array" aca="1" ref="C47" ca="1">IF(B47&lt;=$C$9,GetGetCDSName(B47),"")</f>
        <v>ACCOR_MMR.EUR.SU</v>
      </c>
      <c r="D47" s="348">
        <v>0</v>
      </c>
      <c r="E47" s="381">
        <v>0</v>
      </c>
      <c r="F47" s="300">
        <v>0</v>
      </c>
      <c r="G47" s="300">
        <v>0</v>
      </c>
      <c r="H47" s="300">
        <v>0</v>
      </c>
      <c r="I47" s="300">
        <v>1</v>
      </c>
      <c r="J47" s="300">
        <v>1</v>
      </c>
      <c r="K47" s="300"/>
      <c r="L47" s="300"/>
      <c r="M47" s="300"/>
      <c r="N47" s="382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  <c r="AA47" s="275"/>
      <c r="AB47" s="275"/>
      <c r="AC47" s="275"/>
      <c r="AD47" s="275"/>
      <c r="AE47" s="275"/>
    </row>
    <row r="48" spans="1:31" ht="15">
      <c r="B48" s="380">
        <f t="shared" si="4"/>
        <v>3</v>
      </c>
      <c r="C48" s="388" t="str" cm="1">
        <f t="array" aca="1" ref="C48" ca="1">IF(B48&lt;=$C$9,GetGetCDSName(B48),"")</f>
        <v>ADECCO_MMR.EUR.SU</v>
      </c>
      <c r="D48" s="348">
        <v>0</v>
      </c>
      <c r="E48" s="381">
        <v>0</v>
      </c>
      <c r="F48" s="300">
        <v>0</v>
      </c>
      <c r="G48" s="300">
        <v>1</v>
      </c>
      <c r="H48" s="300">
        <v>0</v>
      </c>
      <c r="I48" s="300">
        <v>1</v>
      </c>
      <c r="J48" s="300">
        <v>0</v>
      </c>
      <c r="K48" s="300"/>
      <c r="L48" s="300"/>
      <c r="M48" s="300"/>
      <c r="N48" s="382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  <c r="AA48" s="275"/>
      <c r="AB48" s="275"/>
      <c r="AC48" s="275"/>
      <c r="AD48" s="275"/>
      <c r="AE48" s="275"/>
    </row>
    <row r="49" spans="2:31" ht="15">
      <c r="B49" s="380">
        <f t="shared" si="4"/>
        <v>4</v>
      </c>
      <c r="C49" s="388" t="str" cm="1">
        <f t="array" aca="1" ref="C49" ca="1">IF(B49&lt;=$C$9,GetGetCDSName(B49),"")</f>
        <v>AEGON_MMR.EUR.SU</v>
      </c>
      <c r="D49" s="348">
        <v>0</v>
      </c>
      <c r="E49" s="381">
        <v>0</v>
      </c>
      <c r="F49" s="300">
        <v>0</v>
      </c>
      <c r="G49" s="300">
        <v>0</v>
      </c>
      <c r="H49" s="300">
        <v>0</v>
      </c>
      <c r="I49" s="300">
        <v>0</v>
      </c>
      <c r="J49" s="300">
        <v>1</v>
      </c>
      <c r="K49" s="300"/>
      <c r="L49" s="300"/>
      <c r="M49" s="300"/>
      <c r="N49" s="382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  <c r="AA49" s="275"/>
      <c r="AB49" s="275"/>
      <c r="AC49" s="275"/>
      <c r="AD49" s="275"/>
      <c r="AE49" s="275"/>
    </row>
    <row r="50" spans="2:31" ht="15">
      <c r="B50" s="380">
        <f t="shared" si="4"/>
        <v>5</v>
      </c>
      <c r="C50" s="388" t="str" cm="1">
        <f t="array" aca="1" ref="C50" ca="1">IF(B50&lt;=$C$9,GetGetCDSName(B50),"")</f>
        <v>AKZONOBEL_MMR.EUR.SU</v>
      </c>
      <c r="D50" s="348">
        <v>0</v>
      </c>
      <c r="E50" s="381">
        <v>0</v>
      </c>
      <c r="F50" s="300">
        <v>0</v>
      </c>
      <c r="G50" s="300">
        <v>0</v>
      </c>
      <c r="H50" s="300">
        <v>1</v>
      </c>
      <c r="I50" s="300">
        <v>0</v>
      </c>
      <c r="J50" s="300">
        <v>0</v>
      </c>
      <c r="K50" s="300"/>
      <c r="L50" s="300"/>
      <c r="M50" s="300"/>
      <c r="N50" s="382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</row>
    <row r="51" spans="2:31" ht="15">
      <c r="B51" s="380">
        <f t="shared" si="4"/>
        <v>6</v>
      </c>
      <c r="C51" s="388" t="str" cm="1">
        <f t="array" aca="1" ref="C51" ca="1">IF(B51&lt;=$C$9,GetGetCDSName(B51),"")</f>
        <v>ALLIANZ_MMR.EUR.SU</v>
      </c>
      <c r="D51" s="348">
        <v>0</v>
      </c>
      <c r="E51" s="381">
        <v>1</v>
      </c>
      <c r="F51" s="300">
        <v>1</v>
      </c>
      <c r="G51" s="300">
        <v>0</v>
      </c>
      <c r="H51" s="300">
        <v>0</v>
      </c>
      <c r="I51" s="300">
        <v>0</v>
      </c>
      <c r="J51" s="300">
        <v>1</v>
      </c>
      <c r="K51" s="300"/>
      <c r="L51" s="300"/>
      <c r="M51" s="300"/>
      <c r="N51" s="382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</row>
    <row r="52" spans="2:31" ht="15">
      <c r="B52" s="380">
        <f t="shared" si="4"/>
        <v>7</v>
      </c>
      <c r="C52" s="388" t="str" cm="1">
        <f t="array" aca="1" ref="C52" ca="1">IF(B52&lt;=$C$9,GetGetCDSName(B52),"")</f>
        <v>ALTADIS_MMR.EUR.SU</v>
      </c>
      <c r="D52" s="348">
        <v>0</v>
      </c>
      <c r="E52" s="381">
        <v>0</v>
      </c>
      <c r="F52" s="300">
        <v>0</v>
      </c>
      <c r="G52" s="300">
        <v>1</v>
      </c>
      <c r="H52" s="300">
        <v>1</v>
      </c>
      <c r="I52" s="300">
        <v>1</v>
      </c>
      <c r="J52" s="300">
        <v>0</v>
      </c>
      <c r="K52" s="300"/>
      <c r="L52" s="300"/>
      <c r="M52" s="300"/>
      <c r="N52" s="382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5"/>
      <c r="AB52" s="275"/>
      <c r="AC52" s="275"/>
      <c r="AD52" s="275"/>
      <c r="AE52" s="275"/>
    </row>
    <row r="53" spans="2:31" ht="15">
      <c r="B53" s="380">
        <f t="shared" si="4"/>
        <v>8</v>
      </c>
      <c r="C53" s="388" t="str" cm="1">
        <f t="array" aca="1" ref="C53" ca="1">IF(B53&lt;=$C$9,GetGetCDSName(B53),"")</f>
        <v>ARCELORFINANCESCA_MMR.EUR.SU</v>
      </c>
      <c r="D53" s="348">
        <v>0</v>
      </c>
      <c r="E53" s="381">
        <v>1</v>
      </c>
      <c r="F53" s="300">
        <v>1</v>
      </c>
      <c r="G53" s="300">
        <v>0</v>
      </c>
      <c r="H53" s="300">
        <v>0</v>
      </c>
      <c r="I53" s="300">
        <v>1</v>
      </c>
      <c r="J53" s="300">
        <v>0</v>
      </c>
      <c r="K53" s="300"/>
      <c r="L53" s="300"/>
      <c r="M53" s="300"/>
      <c r="N53" s="382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5"/>
      <c r="AB53" s="275"/>
      <c r="AC53" s="275"/>
      <c r="AD53" s="275"/>
      <c r="AE53" s="275"/>
    </row>
    <row r="54" spans="2:31" ht="15">
      <c r="B54" s="380">
        <f t="shared" si="4"/>
        <v>9</v>
      </c>
      <c r="C54" s="388" t="str" cm="1">
        <f t="array" aca="1" ref="C54" ca="1">IF(B54&lt;=$C$9,GetGetCDSName(B54),"")</f>
        <v>AUCHAN_MMR.EUR.SU</v>
      </c>
      <c r="D54" s="348">
        <v>0</v>
      </c>
      <c r="E54" s="381">
        <v>0</v>
      </c>
      <c r="F54" s="300">
        <v>0</v>
      </c>
      <c r="G54" s="300">
        <v>0</v>
      </c>
      <c r="H54" s="300">
        <v>0</v>
      </c>
      <c r="I54" s="300">
        <v>0</v>
      </c>
      <c r="J54" s="300">
        <v>1</v>
      </c>
      <c r="K54" s="300"/>
      <c r="L54" s="300"/>
      <c r="M54" s="300"/>
      <c r="N54" s="382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</row>
    <row r="55" spans="2:31" ht="15">
      <c r="B55" s="380">
        <f t="shared" si="4"/>
        <v>10</v>
      </c>
      <c r="C55" s="388" t="str" cm="1">
        <f t="array" aca="1" ref="C55" ca="1">IF(B55&lt;=$C$9,GetGetCDSName(B55),"")</f>
        <v>AVIVA_MMR.EUR.SU</v>
      </c>
      <c r="D55" s="348">
        <v>0</v>
      </c>
      <c r="E55" s="381">
        <v>0</v>
      </c>
      <c r="F55" s="300">
        <v>0</v>
      </c>
      <c r="G55" s="300">
        <v>1</v>
      </c>
      <c r="H55" s="300">
        <v>1</v>
      </c>
      <c r="I55" s="300">
        <v>0</v>
      </c>
      <c r="J55" s="300">
        <v>0</v>
      </c>
      <c r="K55" s="300"/>
      <c r="L55" s="300"/>
      <c r="M55" s="300"/>
      <c r="N55" s="382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5"/>
      <c r="AA55" s="275"/>
      <c r="AB55" s="275"/>
      <c r="AC55" s="275"/>
      <c r="AD55" s="275"/>
      <c r="AE55" s="275"/>
    </row>
    <row r="56" spans="2:31" ht="15">
      <c r="B56" s="380">
        <f t="shared" si="4"/>
        <v>11</v>
      </c>
      <c r="C56" s="388" t="str" cm="1">
        <f t="array" aca="1" ref="C56" ca="1">IF(B56&lt;=$C$9,GetGetCDSName(B56),"")</f>
        <v>AXA_MMR.EUR.SU</v>
      </c>
      <c r="D56" s="348">
        <v>0</v>
      </c>
      <c r="E56" s="381">
        <v>1</v>
      </c>
      <c r="F56" s="300">
        <v>0</v>
      </c>
      <c r="G56" s="300">
        <v>0</v>
      </c>
      <c r="H56" s="300">
        <v>0</v>
      </c>
      <c r="I56" s="300">
        <v>0</v>
      </c>
      <c r="J56" s="300">
        <v>0</v>
      </c>
      <c r="K56" s="300"/>
      <c r="L56" s="300"/>
      <c r="M56" s="300"/>
      <c r="N56" s="382"/>
      <c r="O56" s="275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  <c r="AA56" s="275"/>
      <c r="AB56" s="275"/>
      <c r="AC56" s="275"/>
      <c r="AD56" s="275"/>
      <c r="AE56" s="275"/>
    </row>
    <row r="57" spans="2:31" ht="15">
      <c r="B57" s="380">
        <f t="shared" si="4"/>
        <v>12</v>
      </c>
      <c r="C57" s="388" t="str" cm="1">
        <f t="array" aca="1" ref="C57" ca="1">IF(B57&lt;=$C$9,GetGetCDSName(B57),"")</f>
        <v>BANCOESPIRITOSANTO_MMR.EUR.SU</v>
      </c>
      <c r="D57" s="348">
        <v>0</v>
      </c>
      <c r="E57" s="381">
        <v>0</v>
      </c>
      <c r="F57" s="300">
        <v>1</v>
      </c>
      <c r="G57" s="300">
        <v>0</v>
      </c>
      <c r="H57" s="300">
        <v>0</v>
      </c>
      <c r="I57" s="300">
        <v>0</v>
      </c>
      <c r="J57" s="300">
        <v>0</v>
      </c>
      <c r="K57" s="300"/>
      <c r="L57" s="300"/>
      <c r="M57" s="300"/>
      <c r="N57" s="382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  <c r="AA57" s="275"/>
      <c r="AB57" s="275"/>
      <c r="AC57" s="275"/>
      <c r="AD57" s="275"/>
      <c r="AE57" s="275"/>
    </row>
    <row r="58" spans="2:31" ht="15">
      <c r="B58" s="380">
        <f t="shared" si="4"/>
        <v>13</v>
      </c>
      <c r="C58" s="388" t="str" cm="1">
        <f t="array" aca="1" ref="C58" ca="1">IF(B58&lt;=$C$9,GetGetCDSName(B58),"")</f>
        <v>BARCLAYS_MMR.EUR.SU</v>
      </c>
      <c r="D58" s="348">
        <v>0</v>
      </c>
      <c r="E58" s="381">
        <v>0</v>
      </c>
      <c r="F58" s="300">
        <v>0</v>
      </c>
      <c r="G58" s="300">
        <v>0</v>
      </c>
      <c r="H58" s="300">
        <v>1</v>
      </c>
      <c r="I58" s="300">
        <v>0</v>
      </c>
      <c r="J58" s="300">
        <v>0</v>
      </c>
      <c r="K58" s="300"/>
      <c r="L58" s="300"/>
      <c r="M58" s="300"/>
      <c r="N58" s="382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/>
      <c r="Z58" s="275"/>
      <c r="AA58" s="275"/>
      <c r="AB58" s="275"/>
      <c r="AC58" s="275"/>
      <c r="AD58" s="275"/>
      <c r="AE58" s="275"/>
    </row>
    <row r="59" spans="2:31" ht="15">
      <c r="B59" s="380">
        <f t="shared" si="4"/>
        <v>14</v>
      </c>
      <c r="C59" s="388" t="str" cm="1">
        <f t="array" aca="1" ref="C59" ca="1">IF(B59&lt;=$C$9,GetGetCDSName(B59),"")</f>
        <v>BASF_MMR.EUR.SU</v>
      </c>
      <c r="D59" s="348">
        <v>0</v>
      </c>
      <c r="E59" s="381">
        <v>0</v>
      </c>
      <c r="F59" s="300">
        <v>0</v>
      </c>
      <c r="G59" s="300">
        <v>0</v>
      </c>
      <c r="H59" s="300">
        <v>1</v>
      </c>
      <c r="I59" s="300">
        <v>1</v>
      </c>
      <c r="J59" s="300">
        <v>0</v>
      </c>
      <c r="K59" s="300"/>
      <c r="L59" s="300"/>
      <c r="M59" s="300"/>
      <c r="N59" s="382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  <c r="AA59" s="275"/>
      <c r="AB59" s="275"/>
      <c r="AC59" s="275"/>
      <c r="AD59" s="275"/>
      <c r="AE59" s="275"/>
    </row>
    <row r="60" spans="2:31" ht="15">
      <c r="B60" s="380">
        <f t="shared" si="4"/>
        <v>15</v>
      </c>
      <c r="C60" s="388" t="str" cm="1">
        <f t="array" aca="1" ref="C60" ca="1">IF(B60&lt;=$C$9,GetGetCDSName(B60),"")</f>
        <v>BAT_MMR.EUR.SU</v>
      </c>
      <c r="D60" s="348">
        <v>0</v>
      </c>
      <c r="E60" s="381">
        <v>1</v>
      </c>
      <c r="F60" s="300">
        <v>0</v>
      </c>
      <c r="G60" s="300">
        <v>0</v>
      </c>
      <c r="H60" s="300">
        <v>1</v>
      </c>
      <c r="I60" s="300">
        <v>1</v>
      </c>
      <c r="J60" s="300">
        <v>0</v>
      </c>
      <c r="K60" s="300"/>
      <c r="L60" s="300"/>
      <c r="M60" s="300"/>
      <c r="N60" s="382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5">
      <c r="B61" s="380">
        <f t="shared" si="4"/>
        <v>16</v>
      </c>
      <c r="C61" s="388" t="str" cm="1">
        <f t="array" aca="1" ref="C61" ca="1">IF(B61&lt;=$C$9,GetGetCDSName(B61),"")</f>
        <v>BAYER_MMR.EUR.SU</v>
      </c>
      <c r="D61" s="348">
        <v>0</v>
      </c>
      <c r="E61" s="381">
        <v>0</v>
      </c>
      <c r="F61" s="300">
        <v>0</v>
      </c>
      <c r="G61" s="300">
        <v>0</v>
      </c>
      <c r="H61" s="300">
        <v>0</v>
      </c>
      <c r="I61" s="300">
        <v>1</v>
      </c>
      <c r="J61" s="300">
        <v>0</v>
      </c>
      <c r="K61" s="300"/>
      <c r="L61" s="300"/>
      <c r="M61" s="300"/>
      <c r="N61" s="382"/>
      <c r="O61" s="275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</row>
    <row r="62" spans="2:31" ht="15">
      <c r="B62" s="380">
        <f t="shared" si="4"/>
        <v>17</v>
      </c>
      <c r="C62" s="388" t="str" cm="1">
        <f t="array" aca="1" ref="C62" ca="1">IF(B62&lt;=$C$9,GetGetCDSName(B62),"")</f>
        <v>BBVA_MMR.EUR.SU</v>
      </c>
      <c r="D62" s="348">
        <v>0</v>
      </c>
      <c r="E62" s="381">
        <v>1</v>
      </c>
      <c r="F62" s="300">
        <v>0</v>
      </c>
      <c r="G62" s="300">
        <v>0</v>
      </c>
      <c r="H62" s="300">
        <v>0</v>
      </c>
      <c r="I62" s="300">
        <v>0</v>
      </c>
      <c r="J62" s="300">
        <v>0</v>
      </c>
      <c r="K62" s="300"/>
      <c r="L62" s="300"/>
      <c r="M62" s="300"/>
      <c r="N62" s="382"/>
      <c r="O62" s="275"/>
      <c r="P62" s="275"/>
      <c r="Q62" s="275"/>
      <c r="R62" s="275"/>
      <c r="S62" s="275"/>
      <c r="T62" s="275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</row>
    <row r="63" spans="2:31" ht="15">
      <c r="B63" s="380">
        <f t="shared" si="4"/>
        <v>18</v>
      </c>
      <c r="C63" s="388" t="str" cm="1">
        <f t="array" aca="1" ref="C63" ca="1">IF(B63&lt;=$C$9,GetGetCDSName(B63),"")</f>
        <v>BERTELSMANNAG_MMR.EUR.SU</v>
      </c>
      <c r="D63" s="348">
        <v>0</v>
      </c>
      <c r="E63" s="381">
        <v>0</v>
      </c>
      <c r="F63" s="300">
        <v>1</v>
      </c>
      <c r="G63" s="300">
        <v>0</v>
      </c>
      <c r="H63" s="300">
        <v>0</v>
      </c>
      <c r="I63" s="300">
        <v>0</v>
      </c>
      <c r="J63" s="300">
        <v>0</v>
      </c>
      <c r="K63" s="300"/>
      <c r="L63" s="300"/>
      <c r="M63" s="300"/>
      <c r="N63" s="382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</row>
    <row r="64" spans="2:31" ht="15">
      <c r="B64" s="380">
        <f t="shared" si="4"/>
        <v>19</v>
      </c>
      <c r="C64" s="388" t="str" cm="1">
        <f t="array" aca="1" ref="C64" ca="1">IF(B64&lt;=$C$9,GetGetCDSName(B64),"")</f>
        <v>BMW_MMR.EUR.SU</v>
      </c>
      <c r="D64" s="348">
        <v>0</v>
      </c>
      <c r="E64" s="381">
        <v>0</v>
      </c>
      <c r="F64" s="300">
        <v>0</v>
      </c>
      <c r="G64" s="300">
        <v>1</v>
      </c>
      <c r="H64" s="300">
        <v>0</v>
      </c>
      <c r="I64" s="300">
        <v>0</v>
      </c>
      <c r="J64" s="300">
        <v>0</v>
      </c>
      <c r="K64" s="300"/>
      <c r="L64" s="300"/>
      <c r="M64" s="300"/>
      <c r="N64" s="382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</row>
    <row r="65" spans="2:31" ht="15">
      <c r="B65" s="380">
        <f t="shared" si="4"/>
        <v>20</v>
      </c>
      <c r="C65" s="388" t="str" cm="1">
        <f t="array" aca="1" ref="C65" ca="1">IF(B65&lt;=$C$9,GetGetCDSName(B65),"")</f>
        <v>BNPPARIBAS_MMR.EUR.SU</v>
      </c>
      <c r="D65" s="348">
        <v>0</v>
      </c>
      <c r="E65" s="381">
        <v>1</v>
      </c>
      <c r="F65" s="300">
        <v>0</v>
      </c>
      <c r="G65" s="300">
        <v>1</v>
      </c>
      <c r="H65" s="300">
        <v>1</v>
      </c>
      <c r="I65" s="300">
        <v>0</v>
      </c>
      <c r="J65" s="300">
        <v>0</v>
      </c>
      <c r="K65" s="300"/>
      <c r="L65" s="300"/>
      <c r="M65" s="300"/>
      <c r="N65" s="382"/>
      <c r="O65" s="275"/>
      <c r="P65" s="275"/>
      <c r="Q65" s="275"/>
      <c r="R65" s="275"/>
      <c r="S65" s="275"/>
      <c r="T65" s="275"/>
      <c r="U65" s="275"/>
      <c r="V65" s="275"/>
      <c r="W65" s="275"/>
      <c r="X65" s="275"/>
      <c r="Y65" s="275"/>
      <c r="Z65" s="275"/>
      <c r="AA65" s="275"/>
      <c r="AB65" s="275"/>
      <c r="AC65" s="275"/>
      <c r="AD65" s="275"/>
      <c r="AE65" s="275"/>
    </row>
    <row r="66" spans="2:31" ht="15">
      <c r="B66" s="380">
        <f t="shared" si="4"/>
        <v>21</v>
      </c>
      <c r="C66" s="388" t="str" cm="1">
        <f t="array" aca="1" ref="C66" ca="1">IF(B66&lt;=$C$9,GetGetCDSName(B66),"")</f>
        <v>BRITISHTELECOM_MMR.EUR.SU</v>
      </c>
      <c r="D66" s="348">
        <v>0</v>
      </c>
      <c r="E66" s="381">
        <v>0</v>
      </c>
      <c r="F66" s="300">
        <v>1</v>
      </c>
      <c r="G66" s="300">
        <v>1</v>
      </c>
      <c r="H66" s="300">
        <v>0</v>
      </c>
      <c r="I66" s="300">
        <v>0</v>
      </c>
      <c r="J66" s="300">
        <v>1</v>
      </c>
      <c r="K66" s="300"/>
      <c r="L66" s="300"/>
      <c r="M66" s="300"/>
      <c r="N66" s="382"/>
      <c r="O66" s="275"/>
      <c r="P66" s="275"/>
      <c r="Q66" s="275"/>
      <c r="R66" s="275"/>
      <c r="S66" s="275"/>
      <c r="T66" s="275"/>
      <c r="U66" s="275"/>
      <c r="V66" s="275"/>
      <c r="W66" s="275"/>
      <c r="X66" s="275"/>
      <c r="Y66" s="275"/>
      <c r="Z66" s="275"/>
      <c r="AA66" s="275"/>
      <c r="AB66" s="275"/>
      <c r="AC66" s="275"/>
      <c r="AD66" s="275"/>
      <c r="AE66" s="275"/>
    </row>
    <row r="67" spans="2:31" ht="15">
      <c r="B67" s="380">
        <f t="shared" si="4"/>
        <v>22</v>
      </c>
      <c r="C67" s="388" t="str" cm="1">
        <f t="array" aca="1" ref="C67" ca="1">IF(B67&lt;=$C$9,GetGetCDSName(B67),"")</f>
        <v>BSCH_MMR.EUR.SU</v>
      </c>
      <c r="D67" s="348">
        <v>0</v>
      </c>
      <c r="E67" s="381">
        <v>0</v>
      </c>
      <c r="F67" s="300">
        <v>0</v>
      </c>
      <c r="G67" s="300">
        <v>1</v>
      </c>
      <c r="H67" s="300">
        <v>0</v>
      </c>
      <c r="I67" s="300">
        <v>0</v>
      </c>
      <c r="J67" s="300">
        <v>1</v>
      </c>
      <c r="K67" s="300"/>
      <c r="L67" s="300"/>
      <c r="M67" s="300"/>
      <c r="N67" s="382"/>
      <c r="O67" s="275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  <c r="AA67" s="275"/>
      <c r="AB67" s="275"/>
      <c r="AC67" s="275"/>
      <c r="AD67" s="275"/>
      <c r="AE67" s="275"/>
    </row>
    <row r="68" spans="2:31" ht="15">
      <c r="B68" s="380">
        <f t="shared" si="4"/>
        <v>23</v>
      </c>
      <c r="C68" s="388" t="str" cm="1">
        <f t="array" aca="1" ref="C68" ca="1">IF(B68&lt;=$C$9,GetGetCDSName(B68),"")</f>
        <v>CADBURYSCHWEPPES_MMR.EUR.SU</v>
      </c>
      <c r="D68" s="348">
        <v>0</v>
      </c>
      <c r="E68" s="381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1</v>
      </c>
      <c r="K68" s="300"/>
      <c r="L68" s="300"/>
      <c r="M68" s="300"/>
      <c r="N68" s="382"/>
      <c r="O68" s="275"/>
      <c r="P68" s="275"/>
      <c r="Q68" s="275"/>
      <c r="R68" s="275"/>
      <c r="S68" s="275"/>
      <c r="T68" s="275"/>
      <c r="U68" s="275"/>
      <c r="V68" s="275"/>
      <c r="W68" s="275"/>
      <c r="X68" s="275"/>
      <c r="Y68" s="275"/>
      <c r="Z68" s="275"/>
      <c r="AA68" s="275"/>
      <c r="AB68" s="275"/>
      <c r="AC68" s="275"/>
      <c r="AD68" s="275"/>
      <c r="AE68" s="275"/>
    </row>
    <row r="69" spans="2:31" ht="15">
      <c r="B69" s="380">
        <f t="shared" si="4"/>
        <v>24</v>
      </c>
      <c r="C69" s="388" t="str" cm="1">
        <f t="array" aca="1" ref="C69" ca="1">IF(B69&lt;=$C$9,GetGetCDSName(B69),"")</f>
        <v>CAPITALIA_MMR.EUR.SU</v>
      </c>
      <c r="D69" s="348">
        <v>0</v>
      </c>
      <c r="E69" s="381">
        <v>0</v>
      </c>
      <c r="F69" s="300">
        <v>1</v>
      </c>
      <c r="G69" s="300">
        <v>1</v>
      </c>
      <c r="H69" s="300">
        <v>0</v>
      </c>
      <c r="I69" s="300">
        <v>0</v>
      </c>
      <c r="J69" s="300">
        <v>0</v>
      </c>
      <c r="K69" s="300"/>
      <c r="L69" s="300"/>
      <c r="M69" s="300"/>
      <c r="N69" s="382"/>
      <c r="O69" s="275"/>
      <c r="P69" s="275"/>
      <c r="Q69" s="275"/>
      <c r="R69" s="275"/>
      <c r="S69" s="275"/>
      <c r="T69" s="275"/>
      <c r="U69" s="275"/>
      <c r="V69" s="275"/>
      <c r="W69" s="275"/>
      <c r="X69" s="275"/>
      <c r="Y69" s="275"/>
      <c r="Z69" s="275"/>
      <c r="AA69" s="275"/>
      <c r="AB69" s="275"/>
      <c r="AC69" s="275"/>
      <c r="AD69" s="275"/>
      <c r="AE69" s="275"/>
    </row>
    <row r="70" spans="2:31" ht="15">
      <c r="B70" s="380">
        <f t="shared" si="4"/>
        <v>25</v>
      </c>
      <c r="C70" s="388" t="str" cm="1">
        <f t="array" aca="1" ref="C70" ca="1">IF(B70&lt;=$C$9,GetGetCDSName(B70),"")</f>
        <v>CARREFOUR_MMR.EUR.SU</v>
      </c>
      <c r="D70" s="348">
        <v>0</v>
      </c>
      <c r="E70" s="381">
        <v>0</v>
      </c>
      <c r="F70" s="300">
        <v>0</v>
      </c>
      <c r="G70" s="300">
        <v>0</v>
      </c>
      <c r="H70" s="300">
        <v>0</v>
      </c>
      <c r="I70" s="300">
        <v>1</v>
      </c>
      <c r="J70" s="300">
        <v>0</v>
      </c>
      <c r="K70" s="300"/>
      <c r="L70" s="300"/>
      <c r="M70" s="300"/>
      <c r="N70" s="382"/>
      <c r="O70" s="275"/>
      <c r="P70" s="275"/>
      <c r="Q70" s="275"/>
      <c r="R70" s="275"/>
      <c r="S70" s="275"/>
      <c r="T70" s="275"/>
      <c r="U70" s="275"/>
      <c r="V70" s="275"/>
      <c r="W70" s="275"/>
      <c r="X70" s="275"/>
      <c r="Y70" s="275"/>
      <c r="Z70" s="275"/>
      <c r="AA70" s="275"/>
      <c r="AB70" s="275"/>
      <c r="AC70" s="275"/>
      <c r="AD70" s="275"/>
      <c r="AE70" s="275"/>
    </row>
    <row r="71" spans="2:31" ht="15">
      <c r="B71" s="380">
        <f t="shared" si="4"/>
        <v>26</v>
      </c>
      <c r="C71" s="388" t="str" cm="1">
        <f t="array" aca="1" ref="C71" ca="1">IF(B71&lt;=$C$9,GetGetCDSName(B71),"")</f>
        <v>CASINOGUICHARD_MMR.EUR.SU</v>
      </c>
      <c r="D71" s="348">
        <v>0</v>
      </c>
      <c r="E71" s="381">
        <v>1</v>
      </c>
      <c r="F71" s="300">
        <v>0</v>
      </c>
      <c r="G71" s="300">
        <v>0</v>
      </c>
      <c r="H71" s="300">
        <v>0</v>
      </c>
      <c r="I71" s="300">
        <v>1</v>
      </c>
      <c r="J71" s="300">
        <v>1</v>
      </c>
      <c r="K71" s="300"/>
      <c r="L71" s="300"/>
      <c r="M71" s="300"/>
      <c r="N71" s="382"/>
      <c r="O71" s="275"/>
      <c r="P71" s="275"/>
      <c r="Q71" s="275"/>
      <c r="R71" s="275"/>
      <c r="S71" s="275"/>
      <c r="T71" s="275"/>
      <c r="U71" s="275"/>
      <c r="V71" s="275"/>
      <c r="W71" s="275"/>
      <c r="X71" s="275"/>
      <c r="Y71" s="275"/>
      <c r="Z71" s="275"/>
      <c r="AA71" s="275"/>
      <c r="AB71" s="275"/>
      <c r="AC71" s="275"/>
      <c r="AD71" s="275"/>
      <c r="AE71" s="275"/>
    </row>
    <row r="72" spans="2:31" ht="15">
      <c r="B72" s="380">
        <f t="shared" si="4"/>
        <v>27</v>
      </c>
      <c r="C72" s="388" t="str" cm="1">
        <f t="array" aca="1" ref="C72" ca="1">IF(B72&lt;=$C$9,GetGetCDSName(B72),"")</f>
        <v>CENTRICA_MMR.EUR.SU</v>
      </c>
      <c r="D72" s="348">
        <v>0</v>
      </c>
      <c r="E72" s="381">
        <v>0</v>
      </c>
      <c r="F72" s="300">
        <v>1</v>
      </c>
      <c r="G72" s="300">
        <v>0</v>
      </c>
      <c r="H72" s="300">
        <v>1</v>
      </c>
      <c r="I72" s="300">
        <v>0</v>
      </c>
      <c r="J72" s="300">
        <v>0</v>
      </c>
      <c r="K72" s="300"/>
      <c r="L72" s="300"/>
      <c r="M72" s="300"/>
      <c r="N72" s="382"/>
      <c r="O72" s="275"/>
      <c r="P72" s="275"/>
      <c r="Q72" s="275"/>
      <c r="R72" s="275"/>
      <c r="S72" s="275"/>
      <c r="T72" s="275"/>
      <c r="U72" s="275"/>
      <c r="V72" s="275"/>
      <c r="W72" s="275"/>
      <c r="X72" s="275"/>
      <c r="Y72" s="275"/>
      <c r="Z72" s="275"/>
      <c r="AA72" s="275"/>
      <c r="AB72" s="275"/>
      <c r="AC72" s="275"/>
      <c r="AD72" s="275"/>
      <c r="AE72" s="275"/>
    </row>
    <row r="73" spans="2:31" ht="15">
      <c r="B73" s="380">
        <f t="shared" si="4"/>
        <v>28</v>
      </c>
      <c r="C73" s="388" t="str" cm="1">
        <f t="array" aca="1" ref="C73" ca="1">IF(B73&lt;=$C$9,GetGetCDSName(B73),"")</f>
        <v>CIBASC_MMR.EUR.SU</v>
      </c>
      <c r="D73" s="348">
        <v>0</v>
      </c>
      <c r="E73" s="381">
        <v>1</v>
      </c>
      <c r="F73" s="300">
        <v>0</v>
      </c>
      <c r="G73" s="300">
        <v>0</v>
      </c>
      <c r="H73" s="300">
        <v>0</v>
      </c>
      <c r="I73" s="300">
        <v>0</v>
      </c>
      <c r="J73" s="300">
        <v>1</v>
      </c>
      <c r="K73" s="300"/>
      <c r="L73" s="300"/>
      <c r="M73" s="300"/>
      <c r="N73" s="382"/>
      <c r="O73" s="275"/>
      <c r="P73" s="275"/>
      <c r="Q73" s="275"/>
      <c r="R73" s="275"/>
      <c r="S73" s="275"/>
      <c r="T73" s="275"/>
      <c r="U73" s="275"/>
      <c r="V73" s="275"/>
      <c r="W73" s="275"/>
      <c r="X73" s="275"/>
      <c r="Y73" s="275"/>
      <c r="Z73" s="275"/>
      <c r="AA73" s="275"/>
      <c r="AB73" s="275"/>
      <c r="AC73" s="275"/>
      <c r="AD73" s="275"/>
      <c r="AE73" s="275"/>
    </row>
    <row r="74" spans="2:31" ht="15">
      <c r="B74" s="380">
        <f t="shared" si="4"/>
        <v>29</v>
      </c>
      <c r="C74" s="388" t="str" cm="1">
        <f t="array" aca="1" ref="C74" ca="1">IF(B74&lt;=$C$9,GetGetCDSName(B74),"")</f>
        <v>COMMERZBANK_MMR.EUR.SU</v>
      </c>
      <c r="D74" s="348">
        <v>0</v>
      </c>
      <c r="E74" s="381">
        <v>1</v>
      </c>
      <c r="F74" s="300">
        <v>0</v>
      </c>
      <c r="G74" s="300">
        <v>0</v>
      </c>
      <c r="H74" s="300">
        <v>0</v>
      </c>
      <c r="I74" s="300">
        <v>0</v>
      </c>
      <c r="J74" s="300">
        <v>0</v>
      </c>
      <c r="K74" s="300"/>
      <c r="L74" s="300"/>
      <c r="M74" s="300"/>
      <c r="N74" s="382"/>
      <c r="O74" s="275"/>
      <c r="P74" s="275"/>
      <c r="Q74" s="275"/>
      <c r="R74" s="275"/>
      <c r="S74" s="275"/>
      <c r="T74" s="275"/>
      <c r="U74" s="275"/>
      <c r="V74" s="275"/>
      <c r="W74" s="275"/>
      <c r="X74" s="275"/>
      <c r="Y74" s="275"/>
      <c r="Z74" s="275"/>
      <c r="AA74" s="275"/>
      <c r="AB74" s="275"/>
      <c r="AC74" s="275"/>
      <c r="AD74" s="275"/>
      <c r="AE74" s="275"/>
    </row>
    <row r="75" spans="2:31" ht="15">
      <c r="B75" s="380">
        <f t="shared" si="4"/>
        <v>30</v>
      </c>
      <c r="C75" s="388" t="str" cm="1">
        <f t="array" aca="1" ref="C75" ca="1">IF(B75&lt;=$C$9,GetGetCDSName(B75),"")</f>
        <v>COMPASS_MMR.EUR.SU</v>
      </c>
      <c r="D75" s="348">
        <v>0</v>
      </c>
      <c r="E75" s="381">
        <v>0</v>
      </c>
      <c r="F75" s="300">
        <v>1</v>
      </c>
      <c r="G75" s="300">
        <v>0</v>
      </c>
      <c r="H75" s="300">
        <v>0</v>
      </c>
      <c r="I75" s="300">
        <v>1</v>
      </c>
      <c r="J75" s="300">
        <v>1</v>
      </c>
      <c r="K75" s="300"/>
      <c r="L75" s="300"/>
      <c r="M75" s="300"/>
      <c r="N75" s="382"/>
      <c r="O75" s="275"/>
      <c r="P75" s="275"/>
      <c r="Q75" s="275"/>
      <c r="R75" s="275"/>
      <c r="S75" s="275"/>
      <c r="T75" s="275"/>
      <c r="U75" s="275"/>
      <c r="V75" s="275"/>
      <c r="W75" s="275"/>
      <c r="X75" s="275"/>
      <c r="Y75" s="275"/>
      <c r="Z75" s="275"/>
      <c r="AA75" s="275"/>
      <c r="AB75" s="275"/>
      <c r="AC75" s="275"/>
      <c r="AD75" s="275"/>
      <c r="AE75" s="275"/>
    </row>
    <row r="76" spans="2:31" ht="15">
      <c r="B76" s="380">
        <f t="shared" si="4"/>
        <v>31</v>
      </c>
      <c r="C76" s="388" t="str" cm="1">
        <f t="array" aca="1" ref="C76" ca="1">IF(B76&lt;=$C$9,GetGetCDSName(B76),"")</f>
        <v>CONTINENTAL_MMR.EUR.SU</v>
      </c>
      <c r="D76" s="348">
        <v>0</v>
      </c>
      <c r="E76" s="381">
        <v>0</v>
      </c>
      <c r="F76" s="300">
        <v>0</v>
      </c>
      <c r="G76" s="300">
        <v>1</v>
      </c>
      <c r="H76" s="300">
        <v>1</v>
      </c>
      <c r="I76" s="300">
        <v>0</v>
      </c>
      <c r="J76" s="300">
        <v>1</v>
      </c>
      <c r="K76" s="300"/>
      <c r="L76" s="300"/>
      <c r="M76" s="300"/>
      <c r="N76" s="382"/>
      <c r="O76" s="275"/>
      <c r="P76" s="275"/>
      <c r="Q76" s="275"/>
      <c r="R76" s="275"/>
      <c r="S76" s="275"/>
      <c r="T76" s="275"/>
      <c r="U76" s="275"/>
      <c r="V76" s="275"/>
      <c r="W76" s="275"/>
      <c r="X76" s="275"/>
      <c r="Y76" s="275"/>
      <c r="Z76" s="275"/>
      <c r="AA76" s="275"/>
      <c r="AB76" s="275"/>
      <c r="AC76" s="275"/>
      <c r="AD76" s="275"/>
      <c r="AE76" s="275"/>
    </row>
    <row r="77" spans="2:31" ht="15">
      <c r="B77" s="380">
        <f t="shared" si="4"/>
        <v>32</v>
      </c>
      <c r="C77" s="388" t="str" cm="1">
        <f t="array" aca="1" ref="C77" ca="1">IF(B77&lt;=$C$9,GetGetCDSName(B77),"")</f>
        <v>CREDITAGRICOLE_MMR.EUR.SU</v>
      </c>
      <c r="D77" s="348">
        <v>0</v>
      </c>
      <c r="E77" s="381">
        <v>0</v>
      </c>
      <c r="F77" s="300">
        <v>0</v>
      </c>
      <c r="G77" s="300">
        <v>1</v>
      </c>
      <c r="H77" s="300">
        <v>0</v>
      </c>
      <c r="I77" s="300">
        <v>0</v>
      </c>
      <c r="J77" s="300">
        <v>1</v>
      </c>
      <c r="K77" s="300"/>
      <c r="L77" s="300"/>
      <c r="M77" s="300"/>
      <c r="N77" s="382"/>
      <c r="O77" s="275"/>
      <c r="P77" s="275"/>
      <c r="Q77" s="275"/>
      <c r="R77" s="275"/>
      <c r="S77" s="275"/>
      <c r="T77" s="275"/>
      <c r="U77" s="275"/>
      <c r="V77" s="275"/>
      <c r="W77" s="275"/>
      <c r="X77" s="275"/>
      <c r="Y77" s="275"/>
      <c r="Z77" s="275"/>
      <c r="AA77" s="275"/>
      <c r="AB77" s="275"/>
      <c r="AC77" s="275"/>
      <c r="AD77" s="275"/>
      <c r="AE77" s="275"/>
    </row>
    <row r="78" spans="2:31" ht="15">
      <c r="B78" s="380">
        <f t="shared" si="4"/>
        <v>33</v>
      </c>
      <c r="C78" s="388" t="str" cm="1">
        <f t="array" aca="1" ref="C78" ca="1">IF(B78&lt;=$C$9,GetGetCDSName(B78),"")</f>
        <v>CREDITSUISSEGROUP_MMR.EUR.SU</v>
      </c>
      <c r="D78" s="348">
        <v>0</v>
      </c>
      <c r="E78" s="381">
        <v>1</v>
      </c>
      <c r="F78" s="300">
        <v>0</v>
      </c>
      <c r="G78" s="300">
        <v>0</v>
      </c>
      <c r="H78" s="300">
        <v>1</v>
      </c>
      <c r="I78" s="300">
        <v>0</v>
      </c>
      <c r="J78" s="300">
        <v>0</v>
      </c>
      <c r="K78" s="300"/>
      <c r="L78" s="300"/>
      <c r="M78" s="300"/>
      <c r="N78" s="382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</row>
    <row r="79" spans="2:31" ht="15">
      <c r="B79" s="380">
        <f t="shared" si="4"/>
        <v>34</v>
      </c>
      <c r="C79" s="388" t="str" cm="1">
        <f t="array" aca="1" ref="C79" ca="1">IF(B79&lt;=$C$9,GetGetCDSName(B79),"")</f>
        <v>DAIMLERCHRYSLER_MMR.EUR.SU</v>
      </c>
      <c r="D79" s="348">
        <v>0</v>
      </c>
      <c r="E79" s="381">
        <v>1</v>
      </c>
      <c r="F79" s="300">
        <v>0</v>
      </c>
      <c r="G79" s="300">
        <v>1</v>
      </c>
      <c r="H79" s="300">
        <v>0</v>
      </c>
      <c r="I79" s="300">
        <v>0</v>
      </c>
      <c r="J79" s="300">
        <v>1</v>
      </c>
      <c r="K79" s="300"/>
      <c r="L79" s="300"/>
      <c r="M79" s="300"/>
      <c r="N79" s="382"/>
      <c r="O79" s="275"/>
      <c r="P79" s="275"/>
      <c r="Q79" s="275"/>
      <c r="R79" s="275"/>
      <c r="S79" s="275"/>
      <c r="T79" s="275"/>
      <c r="U79" s="275"/>
      <c r="V79" s="275"/>
      <c r="W79" s="275"/>
      <c r="X79" s="275"/>
      <c r="Y79" s="275"/>
      <c r="Z79" s="275"/>
      <c r="AA79" s="275"/>
      <c r="AB79" s="275"/>
      <c r="AC79" s="275"/>
      <c r="AD79" s="275"/>
      <c r="AE79" s="275"/>
    </row>
    <row r="80" spans="2:31" ht="15">
      <c r="B80" s="380">
        <f t="shared" si="4"/>
        <v>35</v>
      </c>
      <c r="C80" s="388" t="str" cm="1">
        <f t="array" aca="1" ref="C80" ca="1">IF(B80&lt;=$C$9,GetGetCDSName(B80),"")</f>
        <v>DANONE_MMR.EUR.SU</v>
      </c>
      <c r="D80" s="348">
        <v>0</v>
      </c>
      <c r="E80" s="381">
        <v>0</v>
      </c>
      <c r="F80" s="300">
        <v>1</v>
      </c>
      <c r="G80" s="300">
        <v>1</v>
      </c>
      <c r="H80" s="300">
        <v>1</v>
      </c>
      <c r="I80" s="300">
        <v>0</v>
      </c>
      <c r="J80" s="300">
        <v>0</v>
      </c>
      <c r="K80" s="300"/>
      <c r="L80" s="300"/>
      <c r="M80" s="300"/>
      <c r="N80" s="382"/>
      <c r="O80" s="275"/>
      <c r="P80" s="275"/>
      <c r="Q80" s="275"/>
      <c r="R80" s="275"/>
      <c r="S80" s="275"/>
      <c r="T80" s="275"/>
      <c r="U80" s="275"/>
      <c r="V80" s="275"/>
      <c r="W80" s="275"/>
      <c r="X80" s="275"/>
      <c r="Y80" s="275"/>
      <c r="Z80" s="275"/>
      <c r="AA80" s="275"/>
      <c r="AB80" s="275"/>
      <c r="AC80" s="275"/>
      <c r="AD80" s="275"/>
      <c r="AE80" s="275"/>
    </row>
    <row r="81" spans="2:31" ht="15">
      <c r="B81" s="380">
        <f t="shared" si="4"/>
        <v>36</v>
      </c>
      <c r="C81" s="388" t="str" cm="1">
        <f t="array" aca="1" ref="C81" ca="1">IF(B81&lt;=$C$9,GetGetCDSName(B81),"")</f>
        <v>DEUTSCHEBANK_MMR.EUR.SU</v>
      </c>
      <c r="D81" s="348">
        <v>0</v>
      </c>
      <c r="E81" s="381">
        <v>0</v>
      </c>
      <c r="F81" s="300">
        <v>1</v>
      </c>
      <c r="G81" s="300">
        <v>0</v>
      </c>
      <c r="H81" s="300">
        <v>0</v>
      </c>
      <c r="I81" s="300">
        <v>1</v>
      </c>
      <c r="J81" s="300">
        <v>0</v>
      </c>
      <c r="K81" s="300"/>
      <c r="L81" s="300"/>
      <c r="M81" s="300"/>
      <c r="N81" s="382"/>
      <c r="O81" s="275"/>
      <c r="P81" s="275"/>
      <c r="Q81" s="275"/>
      <c r="R81" s="275"/>
      <c r="S81" s="275"/>
      <c r="T81" s="275"/>
      <c r="U81" s="275"/>
      <c r="V81" s="275"/>
      <c r="W81" s="275"/>
      <c r="X81" s="275"/>
      <c r="Y81" s="275"/>
      <c r="Z81" s="275"/>
      <c r="AA81" s="275"/>
      <c r="AB81" s="275"/>
      <c r="AC81" s="275"/>
      <c r="AD81" s="275"/>
      <c r="AE81" s="275"/>
    </row>
    <row r="82" spans="2:31" ht="15">
      <c r="B82" s="380">
        <f t="shared" si="4"/>
        <v>37</v>
      </c>
      <c r="C82" s="388" t="str" cm="1">
        <f t="array" aca="1" ref="C82" ca="1">IF(B82&lt;=$C$9,GetGetCDSName(B82),"")</f>
        <v>DEUTSCHEPOSTAG_MMR.EUR.SU</v>
      </c>
      <c r="D82" s="348">
        <v>0</v>
      </c>
      <c r="E82" s="381">
        <v>0</v>
      </c>
      <c r="F82" s="300">
        <v>0</v>
      </c>
      <c r="G82" s="300">
        <v>1</v>
      </c>
      <c r="H82" s="300">
        <v>0</v>
      </c>
      <c r="I82" s="300">
        <v>1</v>
      </c>
      <c r="J82" s="300">
        <v>0</v>
      </c>
      <c r="K82" s="300"/>
      <c r="L82" s="300"/>
      <c r="M82" s="300"/>
      <c r="N82" s="382"/>
      <c r="O82" s="275"/>
      <c r="P82" s="275"/>
      <c r="Q82" s="275"/>
      <c r="R82" s="275"/>
      <c r="S82" s="275"/>
      <c r="T82" s="275"/>
      <c r="U82" s="275"/>
      <c r="V82" s="275"/>
      <c r="W82" s="275"/>
      <c r="X82" s="275"/>
      <c r="Y82" s="275"/>
      <c r="Z82" s="275"/>
      <c r="AA82" s="275"/>
      <c r="AB82" s="275"/>
      <c r="AC82" s="275"/>
      <c r="AD82" s="275"/>
      <c r="AE82" s="275"/>
    </row>
    <row r="83" spans="2:31" ht="15">
      <c r="B83" s="380">
        <f t="shared" si="4"/>
        <v>38</v>
      </c>
      <c r="C83" s="388" t="str" cm="1">
        <f t="array" aca="1" ref="C83" ca="1">IF(B83&lt;=$C$9,GetGetCDSName(B83),"")</f>
        <v>DEUTSCHETELEKOM_MMR.EUR.SU</v>
      </c>
      <c r="D83" s="348">
        <v>0</v>
      </c>
      <c r="E83" s="381">
        <v>0</v>
      </c>
      <c r="F83" s="300">
        <v>1</v>
      </c>
      <c r="G83" s="300">
        <v>0</v>
      </c>
      <c r="H83" s="300">
        <v>0</v>
      </c>
      <c r="I83" s="300">
        <v>0</v>
      </c>
      <c r="J83" s="300">
        <v>1</v>
      </c>
      <c r="K83" s="300"/>
      <c r="L83" s="300"/>
      <c r="M83" s="300"/>
      <c r="N83" s="382"/>
      <c r="O83" s="275"/>
      <c r="P83" s="275"/>
      <c r="Q83" s="275"/>
      <c r="R83" s="275"/>
      <c r="S83" s="275"/>
      <c r="T83" s="275"/>
      <c r="U83" s="275"/>
      <c r="V83" s="275"/>
      <c r="W83" s="275"/>
      <c r="X83" s="275"/>
      <c r="Y83" s="275"/>
      <c r="Z83" s="275"/>
      <c r="AA83" s="275"/>
      <c r="AB83" s="275"/>
      <c r="AC83" s="275"/>
      <c r="AD83" s="275"/>
      <c r="AE83" s="275"/>
    </row>
    <row r="84" spans="2:31" ht="15">
      <c r="B84" s="380">
        <f t="shared" si="4"/>
        <v>39</v>
      </c>
      <c r="C84" s="388" t="str" cm="1">
        <f t="array" aca="1" ref="C84" ca="1">IF(B84&lt;=$C$9,GetGetCDSName(B84),"")</f>
        <v>DIAGEO_MMR.EUR.SU</v>
      </c>
      <c r="D84" s="348">
        <v>0</v>
      </c>
      <c r="E84" s="381">
        <v>1</v>
      </c>
      <c r="F84" s="300">
        <v>0</v>
      </c>
      <c r="G84" s="300">
        <v>0</v>
      </c>
      <c r="H84" s="300">
        <v>0</v>
      </c>
      <c r="I84" s="300">
        <v>1</v>
      </c>
      <c r="J84" s="300">
        <v>0</v>
      </c>
      <c r="K84" s="300"/>
      <c r="L84" s="300"/>
      <c r="M84" s="300"/>
      <c r="N84" s="382"/>
      <c r="O84" s="275"/>
      <c r="P84" s="275"/>
      <c r="Q84" s="275"/>
      <c r="R84" s="275"/>
      <c r="S84" s="275"/>
      <c r="T84" s="275"/>
      <c r="U84" s="275"/>
      <c r="V84" s="275"/>
      <c r="W84" s="275"/>
      <c r="X84" s="275"/>
      <c r="Y84" s="275"/>
      <c r="Z84" s="275"/>
      <c r="AA84" s="275"/>
      <c r="AB84" s="275"/>
      <c r="AC84" s="275"/>
      <c r="AD84" s="275"/>
      <c r="AE84" s="275"/>
    </row>
    <row r="85" spans="2:31" ht="15">
      <c r="B85" s="380">
        <f t="shared" si="4"/>
        <v>40</v>
      </c>
      <c r="C85" s="388" t="str" cm="1">
        <f t="array" aca="1" ref="C85" ca="1">IF(B85&lt;=$C$9,GetGetCDSName(B85),"")</f>
        <v>DIXONSGROUPPLC_MMR.EUR.SU</v>
      </c>
      <c r="D85" s="348">
        <v>0</v>
      </c>
      <c r="E85" s="381">
        <v>0</v>
      </c>
      <c r="F85" s="300">
        <v>0</v>
      </c>
      <c r="G85" s="300">
        <v>0</v>
      </c>
      <c r="H85" s="300">
        <v>1</v>
      </c>
      <c r="I85" s="300">
        <v>1</v>
      </c>
      <c r="J85" s="300">
        <v>1</v>
      </c>
      <c r="K85" s="300"/>
      <c r="L85" s="300"/>
      <c r="M85" s="300"/>
      <c r="N85" s="382"/>
      <c r="O85" s="275"/>
      <c r="P85" s="275"/>
      <c r="Q85" s="275"/>
      <c r="R85" s="275"/>
      <c r="S85" s="275"/>
      <c r="T85" s="275"/>
      <c r="U85" s="275"/>
      <c r="V85" s="275"/>
      <c r="W85" s="275"/>
      <c r="X85" s="275"/>
      <c r="Y85" s="275"/>
      <c r="Z85" s="275"/>
      <c r="AA85" s="275"/>
      <c r="AB85" s="275"/>
      <c r="AC85" s="275"/>
      <c r="AD85" s="275"/>
      <c r="AE85" s="275"/>
    </row>
    <row r="86" spans="2:31" ht="15">
      <c r="B86" s="380">
        <f t="shared" si="4"/>
        <v>41</v>
      </c>
      <c r="C86" s="388" t="str" cm="1">
        <f t="array" aca="1" ref="C86" ca="1">IF(B86&lt;=$C$9,GetGetCDSName(B86),"")</f>
        <v>DSM_MMR.EUR.SU</v>
      </c>
      <c r="D86" s="348">
        <v>0</v>
      </c>
      <c r="E86" s="381">
        <v>0</v>
      </c>
      <c r="F86" s="300">
        <v>0</v>
      </c>
      <c r="G86" s="300">
        <v>0</v>
      </c>
      <c r="H86" s="300">
        <v>1</v>
      </c>
      <c r="I86" s="300">
        <v>0</v>
      </c>
      <c r="J86" s="300">
        <v>1</v>
      </c>
      <c r="K86" s="300"/>
      <c r="L86" s="300"/>
      <c r="M86" s="300"/>
      <c r="N86" s="382"/>
      <c r="O86" s="275"/>
      <c r="P86" s="275"/>
      <c r="Q86" s="275"/>
      <c r="R86" s="275"/>
      <c r="S86" s="275"/>
      <c r="T86" s="275"/>
      <c r="U86" s="275"/>
      <c r="V86" s="275"/>
      <c r="W86" s="275"/>
      <c r="X86" s="275"/>
      <c r="Y86" s="275"/>
      <c r="Z86" s="275"/>
      <c r="AA86" s="275"/>
      <c r="AB86" s="275"/>
      <c r="AC86" s="275"/>
      <c r="AD86" s="275"/>
      <c r="AE86" s="275"/>
    </row>
    <row r="87" spans="2:31" ht="15">
      <c r="B87" s="380">
        <f t="shared" si="4"/>
        <v>42</v>
      </c>
      <c r="C87" s="388" t="str" cm="1">
        <f t="array" aca="1" ref="C87" ca="1">IF(B87&lt;=$C$9,GetGetCDSName(B87),"")</f>
        <v>EADS_MMR.EUR.SU</v>
      </c>
      <c r="D87" s="348">
        <v>0</v>
      </c>
      <c r="E87" s="381">
        <v>1</v>
      </c>
      <c r="F87" s="300">
        <v>0</v>
      </c>
      <c r="G87" s="300">
        <v>1</v>
      </c>
      <c r="H87" s="300">
        <v>0</v>
      </c>
      <c r="I87" s="300">
        <v>0</v>
      </c>
      <c r="J87" s="300">
        <v>0</v>
      </c>
      <c r="K87" s="300"/>
      <c r="L87" s="300"/>
      <c r="M87" s="300"/>
      <c r="N87" s="382"/>
      <c r="O87" s="275"/>
      <c r="P87" s="275"/>
      <c r="Q87" s="275"/>
      <c r="R87" s="275"/>
      <c r="S87" s="275"/>
      <c r="T87" s="275"/>
      <c r="U87" s="275"/>
      <c r="V87" s="275"/>
      <c r="W87" s="275"/>
      <c r="X87" s="275"/>
      <c r="Y87" s="275"/>
      <c r="Z87" s="275"/>
      <c r="AA87" s="275"/>
      <c r="AB87" s="275"/>
      <c r="AC87" s="275"/>
      <c r="AD87" s="275"/>
      <c r="AE87" s="275"/>
    </row>
    <row r="88" spans="2:31" ht="15">
      <c r="B88" s="380">
        <f t="shared" si="4"/>
        <v>43</v>
      </c>
      <c r="C88" s="388" t="str" cm="1">
        <f t="array" aca="1" ref="C88" ca="1">IF(B88&lt;=$C$9,GetGetCDSName(B88),"")</f>
        <v>EDF_MMR.EUR.SU</v>
      </c>
      <c r="D88" s="348">
        <v>0</v>
      </c>
      <c r="E88" s="381">
        <v>0</v>
      </c>
      <c r="F88" s="300">
        <v>1</v>
      </c>
      <c r="G88" s="300">
        <v>0</v>
      </c>
      <c r="H88" s="300">
        <v>0</v>
      </c>
      <c r="I88" s="300">
        <v>0</v>
      </c>
      <c r="J88" s="300">
        <v>0</v>
      </c>
      <c r="K88" s="300"/>
      <c r="L88" s="300"/>
      <c r="M88" s="300"/>
      <c r="N88" s="382"/>
      <c r="O88" s="275"/>
      <c r="P88" s="275"/>
      <c r="Q88" s="275"/>
      <c r="R88" s="275"/>
      <c r="S88" s="275"/>
      <c r="T88" s="275"/>
      <c r="U88" s="275"/>
      <c r="V88" s="275"/>
      <c r="W88" s="275"/>
      <c r="X88" s="275"/>
      <c r="Y88" s="275"/>
      <c r="Z88" s="275"/>
      <c r="AA88" s="275"/>
      <c r="AB88" s="275"/>
      <c r="AC88" s="275"/>
      <c r="AD88" s="275"/>
      <c r="AE88" s="275"/>
    </row>
    <row r="89" spans="2:31" ht="15">
      <c r="B89" s="380">
        <f t="shared" si="4"/>
        <v>44</v>
      </c>
      <c r="C89" s="388" t="str" cm="1">
        <f t="array" aca="1" ref="C89" ca="1">IF(B89&lt;=$C$9,GetGetCDSName(B89),"")</f>
        <v>EDISON_MMR.EUR.SU</v>
      </c>
      <c r="D89" s="348">
        <v>0</v>
      </c>
      <c r="E89" s="381">
        <v>1</v>
      </c>
      <c r="F89" s="300">
        <v>0</v>
      </c>
      <c r="G89" s="300">
        <v>0</v>
      </c>
      <c r="H89" s="300">
        <v>0</v>
      </c>
      <c r="I89" s="300">
        <v>0</v>
      </c>
      <c r="J89" s="300">
        <v>0</v>
      </c>
      <c r="K89" s="300"/>
      <c r="L89" s="300"/>
      <c r="M89" s="300"/>
      <c r="N89" s="382"/>
      <c r="O89" s="275"/>
      <c r="P89" s="275"/>
      <c r="Q89" s="275"/>
      <c r="R89" s="275"/>
      <c r="S89" s="275"/>
      <c r="T89" s="275"/>
      <c r="U89" s="275"/>
      <c r="V89" s="275"/>
      <c r="W89" s="275"/>
      <c r="X89" s="275"/>
      <c r="Y89" s="275"/>
      <c r="Z89" s="275"/>
      <c r="AA89" s="275"/>
      <c r="AB89" s="275"/>
      <c r="AC89" s="275"/>
      <c r="AD89" s="275"/>
      <c r="AE89" s="275"/>
    </row>
    <row r="90" spans="2:31" ht="15">
      <c r="B90" s="380">
        <f t="shared" si="4"/>
        <v>45</v>
      </c>
      <c r="C90" s="388" t="str" cm="1">
        <f t="array" aca="1" ref="C90" ca="1">IF(B90&lt;=$C$9,GetGetCDSName(B90),"")</f>
        <v>ELECTRICITEDEPORTUGAL_MMR.EUR.SU</v>
      </c>
      <c r="D90" s="348">
        <v>0</v>
      </c>
      <c r="E90" s="381">
        <v>0</v>
      </c>
      <c r="F90" s="300">
        <v>0</v>
      </c>
      <c r="G90" s="300">
        <v>1</v>
      </c>
      <c r="H90" s="300">
        <v>0</v>
      </c>
      <c r="I90" s="300">
        <v>0</v>
      </c>
      <c r="J90" s="300">
        <v>0</v>
      </c>
      <c r="K90" s="300"/>
      <c r="L90" s="300"/>
      <c r="M90" s="300"/>
      <c r="N90" s="382"/>
      <c r="O90" s="275"/>
      <c r="P90" s="275"/>
      <c r="Q90" s="275"/>
      <c r="R90" s="275"/>
      <c r="S90" s="275"/>
      <c r="T90" s="275"/>
      <c r="U90" s="275"/>
      <c r="V90" s="275"/>
      <c r="W90" s="275"/>
      <c r="X90" s="275"/>
      <c r="Y90" s="275"/>
      <c r="Z90" s="275"/>
      <c r="AA90" s="275"/>
      <c r="AB90" s="275"/>
      <c r="AC90" s="275"/>
      <c r="AD90" s="275"/>
      <c r="AE90" s="275"/>
    </row>
    <row r="91" spans="2:31" ht="15">
      <c r="B91" s="380">
        <f t="shared" si="4"/>
        <v>46</v>
      </c>
      <c r="C91" s="388" t="str" cm="1">
        <f t="array" aca="1" ref="C91" ca="1">IF(B91&lt;=$C$9,GetGetCDSName(B91),"")</f>
        <v>ELECTROLUX_MMR.EUR.SU</v>
      </c>
      <c r="D91" s="348">
        <v>0</v>
      </c>
      <c r="E91" s="381">
        <v>1</v>
      </c>
      <c r="F91" s="300">
        <v>1</v>
      </c>
      <c r="G91" s="300">
        <v>1</v>
      </c>
      <c r="H91" s="300">
        <v>0</v>
      </c>
      <c r="I91" s="300">
        <v>0</v>
      </c>
      <c r="J91" s="300">
        <v>0</v>
      </c>
      <c r="K91" s="300"/>
      <c r="L91" s="300"/>
      <c r="M91" s="300"/>
      <c r="N91" s="382"/>
      <c r="O91" s="275"/>
      <c r="P91" s="275"/>
      <c r="Q91" s="275"/>
      <c r="R91" s="275"/>
      <c r="S91" s="275"/>
      <c r="T91" s="275"/>
      <c r="U91" s="275"/>
      <c r="V91" s="275"/>
      <c r="W91" s="275"/>
      <c r="X91" s="275"/>
      <c r="Y91" s="275"/>
      <c r="Z91" s="275"/>
      <c r="AA91" s="275"/>
      <c r="AB91" s="275"/>
      <c r="AC91" s="275"/>
      <c r="AD91" s="275"/>
      <c r="AE91" s="275"/>
    </row>
    <row r="92" spans="2:31" ht="15">
      <c r="B92" s="380">
        <f t="shared" si="4"/>
        <v>47</v>
      </c>
      <c r="C92" s="388" t="str" cm="1">
        <f t="array" aca="1" ref="C92" ca="1">IF(B92&lt;=$C$9,GetGetCDSName(B92),"")</f>
        <v>ENDESA_MMR.EUR.SU</v>
      </c>
      <c r="D92" s="348">
        <v>0</v>
      </c>
      <c r="E92" s="381">
        <v>0</v>
      </c>
      <c r="F92" s="300">
        <v>1</v>
      </c>
      <c r="G92" s="300">
        <v>0</v>
      </c>
      <c r="H92" s="300">
        <v>1</v>
      </c>
      <c r="I92" s="300">
        <v>1</v>
      </c>
      <c r="J92" s="300">
        <v>0</v>
      </c>
      <c r="K92" s="300"/>
      <c r="L92" s="300"/>
      <c r="M92" s="300"/>
      <c r="N92" s="382"/>
      <c r="O92" s="275"/>
      <c r="P92" s="275"/>
      <c r="Q92" s="275"/>
      <c r="R92" s="275"/>
      <c r="S92" s="275"/>
      <c r="T92" s="275"/>
      <c r="U92" s="275"/>
      <c r="V92" s="275"/>
      <c r="W92" s="275"/>
      <c r="X92" s="275"/>
      <c r="Y92" s="275"/>
      <c r="Z92" s="275"/>
      <c r="AA92" s="275"/>
      <c r="AB92" s="275"/>
      <c r="AC92" s="275"/>
      <c r="AD92" s="275"/>
      <c r="AE92" s="275"/>
    </row>
    <row r="93" spans="2:31" ht="15">
      <c r="B93" s="380">
        <f t="shared" si="4"/>
        <v>48</v>
      </c>
      <c r="C93" s="388" t="str" cm="1">
        <f t="array" aca="1" ref="C93" ca="1">IF(B93&lt;=$C$9,GetGetCDSName(B93),"")</f>
        <v>ENEL_MMR.EUR.SU</v>
      </c>
      <c r="D93" s="348">
        <v>0</v>
      </c>
      <c r="E93" s="381">
        <v>1</v>
      </c>
      <c r="F93" s="300">
        <v>1</v>
      </c>
      <c r="G93" s="300">
        <v>1</v>
      </c>
      <c r="H93" s="300">
        <v>0</v>
      </c>
      <c r="I93" s="300">
        <v>0</v>
      </c>
      <c r="J93" s="300">
        <v>0</v>
      </c>
      <c r="K93" s="300"/>
      <c r="L93" s="300"/>
      <c r="M93" s="300"/>
      <c r="N93" s="382"/>
      <c r="O93" s="275"/>
      <c r="P93" s="275"/>
      <c r="Q93" s="275"/>
      <c r="R93" s="275"/>
      <c r="S93" s="275"/>
      <c r="T93" s="275"/>
      <c r="U93" s="275"/>
      <c r="V93" s="275"/>
      <c r="W93" s="275"/>
      <c r="X93" s="275"/>
      <c r="Y93" s="275"/>
      <c r="Z93" s="275"/>
      <c r="AA93" s="275"/>
      <c r="AB93" s="275"/>
      <c r="AC93" s="275"/>
      <c r="AD93" s="275"/>
      <c r="AE93" s="275"/>
    </row>
    <row r="94" spans="2:31" ht="15">
      <c r="B94" s="380">
        <f t="shared" si="4"/>
        <v>49</v>
      </c>
      <c r="C94" s="388" t="str" cm="1">
        <f t="array" aca="1" ref="C94" ca="1">IF(B94&lt;=$C$9,GetGetCDSName(B94),"")</f>
        <v>ENERGIEBADENWUERTTEMBERG_MMR.EUR.SU</v>
      </c>
      <c r="D94" s="348">
        <v>0</v>
      </c>
      <c r="E94" s="381">
        <v>0</v>
      </c>
      <c r="F94" s="300">
        <v>1</v>
      </c>
      <c r="G94" s="300">
        <v>0</v>
      </c>
      <c r="H94" s="300">
        <v>0</v>
      </c>
      <c r="I94" s="300">
        <v>0</v>
      </c>
      <c r="J94" s="300">
        <v>1</v>
      </c>
      <c r="K94" s="300"/>
      <c r="L94" s="300"/>
      <c r="M94" s="300"/>
      <c r="N94" s="382"/>
      <c r="O94" s="275"/>
      <c r="P94" s="275"/>
      <c r="Q94" s="275"/>
      <c r="R94" s="275"/>
      <c r="S94" s="275"/>
      <c r="T94" s="275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</row>
    <row r="95" spans="2:31" ht="15">
      <c r="B95" s="380">
        <f t="shared" si="4"/>
        <v>50</v>
      </c>
      <c r="C95" s="388" t="str" cm="1">
        <f t="array" aca="1" ref="C95" ca="1">IF(B95&lt;=$C$9,GetGetCDSName(B95),"")</f>
        <v>EON_MMR.EUR.SU</v>
      </c>
      <c r="D95" s="348">
        <v>0</v>
      </c>
      <c r="E95" s="381">
        <v>0</v>
      </c>
      <c r="F95" s="300">
        <v>0</v>
      </c>
      <c r="G95" s="300">
        <v>1</v>
      </c>
      <c r="H95" s="300">
        <v>0</v>
      </c>
      <c r="I95" s="300">
        <v>0</v>
      </c>
      <c r="J95" s="300">
        <v>0</v>
      </c>
      <c r="K95" s="300"/>
      <c r="L95" s="300"/>
      <c r="M95" s="300"/>
      <c r="N95" s="382"/>
      <c r="O95" s="275"/>
      <c r="P95" s="275"/>
      <c r="Q95" s="275"/>
      <c r="R95" s="275"/>
      <c r="S95" s="275"/>
      <c r="T95" s="275"/>
      <c r="U95" s="275"/>
      <c r="V95" s="275"/>
      <c r="W95" s="275"/>
      <c r="X95" s="275"/>
      <c r="Y95" s="275"/>
      <c r="Z95" s="275"/>
      <c r="AA95" s="275"/>
      <c r="AB95" s="275"/>
      <c r="AC95" s="275"/>
      <c r="AD95" s="275"/>
      <c r="AE95" s="275"/>
    </row>
    <row r="96" spans="2:31" ht="15">
      <c r="B96" s="380">
        <f t="shared" si="4"/>
        <v>51</v>
      </c>
      <c r="C96" s="388" t="str" cm="1">
        <f t="array" aca="1" ref="C96" ca="1">IF(B96&lt;=$C$9,GetGetCDSName(B96),"")</f>
        <v>FORTUMOYJ_MMR.EUR.SU</v>
      </c>
      <c r="D96" s="348">
        <v>0</v>
      </c>
      <c r="E96" s="381">
        <v>0</v>
      </c>
      <c r="F96" s="300">
        <v>0</v>
      </c>
      <c r="G96" s="300">
        <v>0</v>
      </c>
      <c r="H96" s="300">
        <v>0</v>
      </c>
      <c r="I96" s="300">
        <v>1</v>
      </c>
      <c r="J96" s="300">
        <v>0</v>
      </c>
      <c r="K96" s="300"/>
      <c r="L96" s="300"/>
      <c r="M96" s="300"/>
      <c r="N96" s="382"/>
      <c r="O96" s="275"/>
      <c r="P96" s="275"/>
      <c r="Q96" s="275"/>
      <c r="R96" s="275"/>
      <c r="S96" s="275"/>
      <c r="T96" s="275"/>
      <c r="U96" s="275"/>
      <c r="V96" s="275"/>
      <c r="W96" s="275"/>
      <c r="X96" s="275"/>
      <c r="Y96" s="275"/>
      <c r="Z96" s="275"/>
      <c r="AA96" s="275"/>
      <c r="AB96" s="275"/>
      <c r="AC96" s="275"/>
      <c r="AD96" s="275"/>
      <c r="AE96" s="275"/>
    </row>
    <row r="97" spans="2:31" ht="15">
      <c r="B97" s="380">
        <f t="shared" si="4"/>
        <v>52</v>
      </c>
      <c r="C97" s="388" t="str" cm="1">
        <f t="array" aca="1" ref="C97" ca="1">IF(B97&lt;=$C$9,GetGetCDSName(B97),"")</f>
        <v>FRANCETELECOM_MMR.EUR.SU</v>
      </c>
      <c r="D97" s="348">
        <v>0</v>
      </c>
      <c r="E97" s="381">
        <v>1</v>
      </c>
      <c r="F97" s="300">
        <v>0</v>
      </c>
      <c r="G97" s="300">
        <v>0</v>
      </c>
      <c r="H97" s="300">
        <v>1</v>
      </c>
      <c r="I97" s="300">
        <v>0</v>
      </c>
      <c r="J97" s="300">
        <v>1</v>
      </c>
      <c r="K97" s="300"/>
      <c r="L97" s="300"/>
      <c r="M97" s="300"/>
      <c r="N97" s="382"/>
      <c r="O97" s="275"/>
      <c r="P97" s="275"/>
      <c r="Q97" s="275"/>
      <c r="R97" s="275"/>
      <c r="S97" s="275"/>
      <c r="T97" s="275"/>
      <c r="U97" s="275"/>
      <c r="V97" s="275"/>
      <c r="W97" s="275"/>
      <c r="X97" s="275"/>
      <c r="Y97" s="275"/>
      <c r="Z97" s="275"/>
      <c r="AA97" s="275"/>
      <c r="AB97" s="275"/>
      <c r="AC97" s="275"/>
      <c r="AD97" s="275"/>
      <c r="AE97" s="275"/>
    </row>
    <row r="98" spans="2:31" ht="15">
      <c r="B98" s="380">
        <f t="shared" si="4"/>
        <v>53</v>
      </c>
      <c r="C98" s="388" t="str" cm="1">
        <f t="array" aca="1" ref="C98" ca="1">IF(B98&lt;=$C$9,GetGetCDSName(B98),"")</f>
        <v>GALLAHERGROUPPLC_MMR.EUR.SU</v>
      </c>
      <c r="D98" s="348">
        <v>0</v>
      </c>
      <c r="E98" s="381">
        <v>0</v>
      </c>
      <c r="F98" s="300">
        <v>0</v>
      </c>
      <c r="G98" s="300">
        <v>0</v>
      </c>
      <c r="H98" s="300">
        <v>1</v>
      </c>
      <c r="I98" s="300">
        <v>1</v>
      </c>
      <c r="J98" s="300">
        <v>1</v>
      </c>
      <c r="K98" s="300"/>
      <c r="L98" s="300"/>
      <c r="M98" s="300"/>
      <c r="N98" s="382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  <c r="AD98" s="275"/>
      <c r="AE98" s="275"/>
    </row>
    <row r="99" spans="2:31" ht="15">
      <c r="B99" s="380">
        <f t="shared" si="4"/>
        <v>54</v>
      </c>
      <c r="C99" s="388" t="str" cm="1">
        <f t="array" aca="1" ref="C99" ca="1">IF(B99&lt;=$C$9,GetGetCDSName(B99),"")</f>
        <v>GASNATURALSDGSA_MMR.EUR.SU</v>
      </c>
      <c r="D99" s="348">
        <v>0</v>
      </c>
      <c r="E99" s="381">
        <v>1</v>
      </c>
      <c r="F99" s="300">
        <v>0</v>
      </c>
      <c r="G99" s="300">
        <v>0</v>
      </c>
      <c r="H99" s="300">
        <v>1</v>
      </c>
      <c r="I99" s="300">
        <v>0</v>
      </c>
      <c r="J99" s="300">
        <v>0</v>
      </c>
      <c r="K99" s="300"/>
      <c r="L99" s="300"/>
      <c r="M99" s="300"/>
      <c r="N99" s="382"/>
      <c r="O99" s="275"/>
      <c r="P99" s="275"/>
      <c r="Q99" s="275"/>
      <c r="R99" s="275"/>
      <c r="S99" s="275"/>
      <c r="T99" s="275"/>
      <c r="U99" s="275"/>
      <c r="V99" s="275"/>
      <c r="W99" s="275"/>
      <c r="X99" s="275"/>
      <c r="Y99" s="275"/>
      <c r="Z99" s="275"/>
      <c r="AA99" s="275"/>
      <c r="AB99" s="275"/>
      <c r="AC99" s="275"/>
      <c r="AD99" s="275"/>
      <c r="AE99" s="275"/>
    </row>
    <row r="100" spans="2:31" ht="15">
      <c r="B100" s="380">
        <f t="shared" si="4"/>
        <v>55</v>
      </c>
      <c r="C100" s="388" t="str" cm="1">
        <f t="array" aca="1" ref="C100" ca="1">IF(B100&lt;=$C$9,GetGetCDSName(B100),"")</f>
        <v>GAZDEFRANCE_MMR.EUR.SU</v>
      </c>
      <c r="D100" s="348">
        <v>0</v>
      </c>
      <c r="E100" s="381">
        <v>0</v>
      </c>
      <c r="F100" s="300">
        <v>0</v>
      </c>
      <c r="G100" s="300">
        <v>0</v>
      </c>
      <c r="H100" s="300">
        <v>0</v>
      </c>
      <c r="I100" s="300">
        <v>1</v>
      </c>
      <c r="J100" s="300">
        <v>0</v>
      </c>
      <c r="K100" s="300"/>
      <c r="L100" s="300"/>
      <c r="M100" s="300"/>
      <c r="N100" s="382"/>
      <c r="O100" s="275"/>
      <c r="P100" s="275"/>
      <c r="Q100" s="275"/>
      <c r="R100" s="275"/>
      <c r="S100" s="275"/>
      <c r="T100" s="275"/>
      <c r="U100" s="275"/>
      <c r="V100" s="275"/>
      <c r="W100" s="275"/>
      <c r="X100" s="275"/>
      <c r="Y100" s="275"/>
      <c r="Z100" s="275"/>
      <c r="AA100" s="275"/>
      <c r="AB100" s="275"/>
      <c r="AC100" s="275"/>
      <c r="AD100" s="275"/>
      <c r="AE100" s="275"/>
    </row>
    <row r="101" spans="2:31" ht="15">
      <c r="B101" s="380">
        <f t="shared" si="4"/>
        <v>56</v>
      </c>
      <c r="C101" s="388" t="str" cm="1">
        <f t="array" aca="1" ref="C101" ca="1">IF(B101&lt;=$C$9,GetGetCDSName(B101),"")</f>
        <v>GENERALI_MMR.EUR.SU</v>
      </c>
      <c r="D101" s="348">
        <v>0</v>
      </c>
      <c r="E101" s="381">
        <v>0</v>
      </c>
      <c r="F101" s="300">
        <v>0</v>
      </c>
      <c r="G101" s="300">
        <v>0</v>
      </c>
      <c r="H101" s="300">
        <v>1</v>
      </c>
      <c r="I101" s="300">
        <v>0</v>
      </c>
      <c r="J101" s="300">
        <v>0</v>
      </c>
      <c r="K101" s="300"/>
      <c r="L101" s="300"/>
      <c r="M101" s="300"/>
      <c r="N101" s="382"/>
      <c r="O101" s="275"/>
      <c r="P101" s="275"/>
      <c r="Q101" s="275"/>
      <c r="R101" s="275"/>
      <c r="S101" s="275"/>
      <c r="T101" s="275"/>
      <c r="U101" s="275"/>
      <c r="V101" s="275"/>
      <c r="W101" s="275"/>
      <c r="X101" s="275"/>
      <c r="Y101" s="275"/>
      <c r="Z101" s="275"/>
      <c r="AA101" s="275"/>
      <c r="AB101" s="275"/>
      <c r="AC101" s="275"/>
      <c r="AD101" s="275"/>
      <c r="AE101" s="275"/>
    </row>
    <row r="102" spans="2:31" ht="15">
      <c r="B102" s="380">
        <f t="shared" si="4"/>
        <v>57</v>
      </c>
      <c r="C102" s="388" t="str" cm="1">
        <f t="array" aca="1" ref="C102" ca="1">IF(B102&lt;=$C$9,GetGetCDSName(B102),"")</f>
        <v>GKN HOLDINGS  PLC_MMR.EUR.SU</v>
      </c>
      <c r="D102" s="348">
        <v>0</v>
      </c>
      <c r="E102" s="381">
        <v>0</v>
      </c>
      <c r="F102" s="300">
        <v>0</v>
      </c>
      <c r="G102" s="300">
        <v>0</v>
      </c>
      <c r="H102" s="300">
        <v>0</v>
      </c>
      <c r="I102" s="300">
        <v>0</v>
      </c>
      <c r="J102" s="300">
        <v>1</v>
      </c>
      <c r="K102" s="300"/>
      <c r="L102" s="300"/>
      <c r="M102" s="300"/>
      <c r="N102" s="382"/>
      <c r="O102" s="275"/>
      <c r="P102" s="275"/>
      <c r="Q102" s="275"/>
      <c r="R102" s="275"/>
      <c r="S102" s="275"/>
      <c r="T102" s="275"/>
      <c r="U102" s="275"/>
      <c r="V102" s="275"/>
      <c r="W102" s="275"/>
      <c r="X102" s="275"/>
      <c r="Y102" s="275"/>
      <c r="Z102" s="275"/>
      <c r="AA102" s="275"/>
      <c r="AB102" s="275"/>
      <c r="AC102" s="275"/>
      <c r="AD102" s="275"/>
      <c r="AE102" s="275"/>
    </row>
    <row r="103" spans="2:31" ht="15">
      <c r="B103" s="380">
        <f t="shared" si="4"/>
        <v>58</v>
      </c>
      <c r="C103" s="388" t="str" cm="1">
        <f t="array" aca="1" ref="C103" ca="1">IF(B103&lt;=$C$9,GetGetCDSName(B103),"")</f>
        <v>GLENCOREINTAG_MMR.EUR.SU</v>
      </c>
      <c r="D103" s="348">
        <v>0</v>
      </c>
      <c r="E103" s="381">
        <v>0</v>
      </c>
      <c r="F103" s="300">
        <v>0</v>
      </c>
      <c r="G103" s="300">
        <v>0</v>
      </c>
      <c r="H103" s="300">
        <v>1</v>
      </c>
      <c r="I103" s="300">
        <v>0</v>
      </c>
      <c r="J103" s="300">
        <v>0</v>
      </c>
      <c r="K103" s="300"/>
      <c r="L103" s="300"/>
      <c r="M103" s="300"/>
      <c r="N103" s="382"/>
      <c r="O103" s="275"/>
      <c r="P103" s="275"/>
      <c r="Q103" s="275"/>
      <c r="R103" s="275"/>
      <c r="S103" s="275"/>
      <c r="T103" s="275"/>
      <c r="U103" s="275"/>
      <c r="V103" s="275"/>
      <c r="W103" s="275"/>
      <c r="X103" s="275"/>
      <c r="Y103" s="275"/>
      <c r="Z103" s="275"/>
      <c r="AA103" s="275"/>
      <c r="AB103" s="275"/>
      <c r="AC103" s="275"/>
      <c r="AD103" s="275"/>
      <c r="AE103" s="275"/>
    </row>
    <row r="104" spans="2:31" ht="15">
      <c r="B104" s="380">
        <f t="shared" si="4"/>
        <v>59</v>
      </c>
      <c r="C104" s="388" t="str" cm="1">
        <f t="array" aca="1" ref="C104" ca="1">IF(B104&lt;=$C$9,GetGetCDSName(B104),"")</f>
        <v>GREATUNIVERSALSTORES_MMR.EUR.SU</v>
      </c>
      <c r="D104" s="348">
        <v>0</v>
      </c>
      <c r="E104" s="381">
        <v>0</v>
      </c>
      <c r="F104" s="300">
        <v>1</v>
      </c>
      <c r="G104" s="300">
        <v>1</v>
      </c>
      <c r="H104" s="300">
        <v>0</v>
      </c>
      <c r="I104" s="300">
        <v>1</v>
      </c>
      <c r="J104" s="300">
        <v>0</v>
      </c>
      <c r="K104" s="300"/>
      <c r="L104" s="300"/>
      <c r="M104" s="300"/>
      <c r="N104" s="382"/>
      <c r="O104" s="275"/>
      <c r="P104" s="275"/>
      <c r="Q104" s="275"/>
      <c r="R104" s="275"/>
      <c r="S104" s="275"/>
      <c r="T104" s="275"/>
      <c r="U104" s="275"/>
      <c r="V104" s="275"/>
      <c r="W104" s="275"/>
      <c r="X104" s="275"/>
      <c r="Y104" s="275"/>
      <c r="Z104" s="275"/>
      <c r="AA104" s="275"/>
      <c r="AB104" s="275"/>
      <c r="AC104" s="275"/>
      <c r="AD104" s="275"/>
      <c r="AE104" s="275"/>
    </row>
    <row r="105" spans="2:31" ht="15">
      <c r="B105" s="380">
        <f t="shared" si="4"/>
        <v>60</v>
      </c>
      <c r="C105" s="388" t="str" cm="1">
        <f t="array" aca="1" ref="C105" ca="1">IF(B105&lt;=$C$9,GetGetCDSName(B105),"")</f>
        <v>HANNOVERRUECK_MMR.EUR.SU</v>
      </c>
      <c r="D105" s="348">
        <v>0</v>
      </c>
      <c r="E105" s="381">
        <v>0</v>
      </c>
      <c r="F105" s="300">
        <v>1</v>
      </c>
      <c r="G105" s="300">
        <v>0</v>
      </c>
      <c r="H105" s="300">
        <v>0</v>
      </c>
      <c r="I105" s="300">
        <v>0</v>
      </c>
      <c r="J105" s="300">
        <v>1</v>
      </c>
      <c r="K105" s="300"/>
      <c r="L105" s="300"/>
      <c r="M105" s="300"/>
      <c r="N105" s="382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</row>
    <row r="106" spans="2:31" ht="15">
      <c r="B106" s="380">
        <f t="shared" si="4"/>
        <v>61</v>
      </c>
      <c r="C106" s="388" t="str" cm="1">
        <f t="array" aca="1" ref="C106" ca="1">IF(B106&lt;=$C$9,GetGetCDSName(B106),"")</f>
        <v>HELLENIC TELCOM_MMR.EUR.SU</v>
      </c>
      <c r="D106" s="348">
        <v>0</v>
      </c>
      <c r="E106" s="381">
        <v>0</v>
      </c>
      <c r="F106" s="300">
        <v>1</v>
      </c>
      <c r="G106" s="300">
        <v>0</v>
      </c>
      <c r="H106" s="300">
        <v>1</v>
      </c>
      <c r="I106" s="300">
        <v>0</v>
      </c>
      <c r="J106" s="300">
        <v>0</v>
      </c>
      <c r="K106" s="300"/>
      <c r="L106" s="300"/>
      <c r="M106" s="300"/>
      <c r="N106" s="382"/>
      <c r="O106" s="275"/>
      <c r="P106" s="275"/>
      <c r="Q106" s="275"/>
      <c r="R106" s="275"/>
      <c r="S106" s="275"/>
      <c r="T106" s="275"/>
      <c r="U106" s="275"/>
      <c r="V106" s="275"/>
      <c r="W106" s="275"/>
      <c r="X106" s="275"/>
      <c r="Y106" s="275"/>
      <c r="Z106" s="275"/>
      <c r="AA106" s="275"/>
      <c r="AB106" s="275"/>
      <c r="AC106" s="275"/>
      <c r="AD106" s="275"/>
      <c r="AE106" s="275"/>
    </row>
    <row r="107" spans="2:31" ht="15">
      <c r="B107" s="380">
        <f t="shared" si="4"/>
        <v>62</v>
      </c>
      <c r="C107" s="388" t="str" cm="1">
        <f t="array" aca="1" ref="C107" ca="1">IF(B107&lt;=$C$9,GetGetCDSName(B107),"")</f>
        <v>HENKELKG_MMR.EUR.SU</v>
      </c>
      <c r="D107" s="348">
        <v>0</v>
      </c>
      <c r="E107" s="381">
        <v>1</v>
      </c>
      <c r="F107" s="300">
        <v>0</v>
      </c>
      <c r="G107" s="300">
        <v>0</v>
      </c>
      <c r="H107" s="300">
        <v>0</v>
      </c>
      <c r="I107" s="300">
        <v>0</v>
      </c>
      <c r="J107" s="300">
        <v>1</v>
      </c>
      <c r="K107" s="300"/>
      <c r="L107" s="300"/>
      <c r="M107" s="300"/>
      <c r="N107" s="382"/>
      <c r="O107" s="275"/>
      <c r="P107" s="275"/>
      <c r="Q107" s="275"/>
      <c r="R107" s="275"/>
      <c r="S107" s="275"/>
      <c r="T107" s="275"/>
      <c r="U107" s="275"/>
      <c r="V107" s="275"/>
      <c r="W107" s="275"/>
      <c r="X107" s="275"/>
      <c r="Y107" s="275"/>
      <c r="Z107" s="275"/>
      <c r="AA107" s="275"/>
      <c r="AB107" s="275"/>
      <c r="AC107" s="275"/>
      <c r="AD107" s="275"/>
      <c r="AE107" s="275"/>
    </row>
    <row r="108" spans="2:31" ht="15">
      <c r="B108" s="380">
        <f t="shared" si="4"/>
        <v>63</v>
      </c>
      <c r="C108" s="388" t="str" cm="1">
        <f t="array" aca="1" ref="C108" ca="1">IF(B108&lt;=$C$9,GetGetCDSName(B108),"")</f>
        <v>IBERDROLA_MMR.EUR.SU</v>
      </c>
      <c r="D108" s="348">
        <v>0</v>
      </c>
      <c r="E108" s="381">
        <v>1</v>
      </c>
      <c r="F108" s="300">
        <v>1</v>
      </c>
      <c r="G108" s="300">
        <v>0</v>
      </c>
      <c r="H108" s="300">
        <v>1</v>
      </c>
      <c r="I108" s="300">
        <v>0</v>
      </c>
      <c r="J108" s="300">
        <v>0</v>
      </c>
      <c r="K108" s="300"/>
      <c r="L108" s="300"/>
      <c r="M108" s="300"/>
      <c r="N108" s="382"/>
      <c r="O108" s="275"/>
      <c r="P108" s="275"/>
      <c r="Q108" s="275"/>
      <c r="R108" s="275"/>
      <c r="S108" s="275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</row>
    <row r="109" spans="2:31" ht="15">
      <c r="B109" s="380">
        <f t="shared" si="4"/>
        <v>64</v>
      </c>
      <c r="C109" s="388" t="str" cm="1">
        <f t="array" aca="1" ref="C109" ca="1">IF(B109&lt;=$C$9,GetGetCDSName(B109),"")</f>
        <v>ICI_MMR.EUR.SU</v>
      </c>
      <c r="D109" s="348">
        <v>0</v>
      </c>
      <c r="E109" s="381">
        <v>1</v>
      </c>
      <c r="F109" s="300">
        <v>0</v>
      </c>
      <c r="G109" s="300">
        <v>0</v>
      </c>
      <c r="H109" s="300">
        <v>1</v>
      </c>
      <c r="I109" s="300">
        <v>0</v>
      </c>
      <c r="J109" s="300">
        <v>1</v>
      </c>
      <c r="K109" s="300"/>
      <c r="L109" s="300"/>
      <c r="M109" s="300"/>
      <c r="N109" s="382"/>
      <c r="O109" s="275"/>
      <c r="P109" s="275"/>
      <c r="Q109" s="275"/>
      <c r="R109" s="275"/>
      <c r="S109" s="275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</row>
    <row r="110" spans="2:31" ht="15">
      <c r="B110" s="380">
        <f t="shared" si="4"/>
        <v>65</v>
      </c>
      <c r="C110" s="388" t="str" cm="1">
        <f t="array" aca="1" ref="C110" ca="1">IF(B110&lt;=$C$9,GetGetCDSName(B110),"")</f>
        <v>INTESA_MMR.EUR.SU</v>
      </c>
      <c r="D110" s="348">
        <v>0</v>
      </c>
      <c r="E110" s="381">
        <v>0</v>
      </c>
      <c r="F110" s="300">
        <v>1</v>
      </c>
      <c r="G110" s="300">
        <v>1</v>
      </c>
      <c r="H110" s="300">
        <v>0</v>
      </c>
      <c r="I110" s="300">
        <v>1</v>
      </c>
      <c r="J110" s="300">
        <v>0</v>
      </c>
      <c r="K110" s="300"/>
      <c r="L110" s="300"/>
      <c r="M110" s="300"/>
      <c r="N110" s="382"/>
      <c r="O110" s="275"/>
      <c r="P110" s="275"/>
      <c r="Q110" s="275"/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</row>
    <row r="111" spans="2:31" ht="15">
      <c r="B111" s="380">
        <f t="shared" ref="B111:B174" si="5">B110+1</f>
        <v>66</v>
      </c>
      <c r="C111" s="388" t="str" cm="1">
        <f t="array" aca="1" ref="C111" ca="1">IF(B111&lt;=$C$9,GetGetCDSName(B111),"")</f>
        <v>KINGFISHER_MMR.EUR.SU</v>
      </c>
      <c r="D111" s="348">
        <v>0</v>
      </c>
      <c r="E111" s="381">
        <v>1</v>
      </c>
      <c r="F111" s="300">
        <v>0</v>
      </c>
      <c r="G111" s="300">
        <v>1</v>
      </c>
      <c r="H111" s="300">
        <v>0</v>
      </c>
      <c r="I111" s="300">
        <v>1</v>
      </c>
      <c r="J111" s="300">
        <v>0</v>
      </c>
      <c r="K111" s="300"/>
      <c r="L111" s="300"/>
      <c r="M111" s="300"/>
      <c r="N111" s="382"/>
      <c r="O111" s="275"/>
      <c r="P111" s="275"/>
      <c r="Q111" s="275"/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</row>
    <row r="112" spans="2:31" ht="15">
      <c r="B112" s="380">
        <f t="shared" si="5"/>
        <v>67</v>
      </c>
      <c r="C112" s="388" t="str" cm="1">
        <f t="array" aca="1" ref="C112" ca="1">IF(B112&lt;=$C$9,GetGetCDSName(B112),"")</f>
        <v>KPN_MMR.EUR.SU</v>
      </c>
      <c r="D112" s="348">
        <v>0</v>
      </c>
      <c r="E112" s="381">
        <v>1</v>
      </c>
      <c r="F112" s="300">
        <v>0</v>
      </c>
      <c r="G112" s="300">
        <v>0</v>
      </c>
      <c r="H112" s="300">
        <v>1</v>
      </c>
      <c r="I112" s="300">
        <v>0</v>
      </c>
      <c r="J112" s="300">
        <v>1</v>
      </c>
      <c r="K112" s="300"/>
      <c r="L112" s="300"/>
      <c r="M112" s="300"/>
      <c r="N112" s="382"/>
      <c r="O112" s="275"/>
      <c r="P112" s="275"/>
      <c r="Q112" s="275"/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</row>
    <row r="113" spans="2:31" ht="15">
      <c r="B113" s="380">
        <f t="shared" si="5"/>
        <v>68</v>
      </c>
      <c r="C113" s="388" t="str" cm="1">
        <f t="array" aca="1" ref="C113" ca="1">IF(B113&lt;=$C$9,GetGetCDSName(B113),"")</f>
        <v>LAFARGE_MMR.EUR.SU</v>
      </c>
      <c r="D113" s="348">
        <v>0</v>
      </c>
      <c r="E113" s="381">
        <v>0</v>
      </c>
      <c r="F113" s="300">
        <v>1</v>
      </c>
      <c r="G113" s="300">
        <v>0</v>
      </c>
      <c r="H113" s="300">
        <v>1</v>
      </c>
      <c r="I113" s="300">
        <v>0</v>
      </c>
      <c r="J113" s="300">
        <v>1</v>
      </c>
      <c r="K113" s="300"/>
      <c r="L113" s="300"/>
      <c r="M113" s="300"/>
      <c r="N113" s="382"/>
      <c r="O113" s="275"/>
      <c r="P113" s="275"/>
      <c r="Q113" s="275"/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</row>
    <row r="114" spans="2:31" ht="15">
      <c r="B114" s="380">
        <f t="shared" si="5"/>
        <v>69</v>
      </c>
      <c r="C114" s="388" t="str" cm="1">
        <f t="array" aca="1" ref="C114" ca="1">IF(B114&lt;=$C$9,GetGetCDSName(B114),"")</f>
        <v>LINDE_MMR.EUR.SU</v>
      </c>
      <c r="D114" s="348">
        <v>0</v>
      </c>
      <c r="E114" s="381">
        <v>0</v>
      </c>
      <c r="F114" s="300">
        <v>0</v>
      </c>
      <c r="G114" s="300">
        <v>1</v>
      </c>
      <c r="H114" s="300">
        <v>0</v>
      </c>
      <c r="I114" s="300">
        <v>1</v>
      </c>
      <c r="J114" s="300">
        <v>1</v>
      </c>
      <c r="K114" s="300"/>
      <c r="L114" s="300"/>
      <c r="M114" s="300"/>
      <c r="N114" s="382"/>
      <c r="O114" s="275"/>
      <c r="P114" s="275"/>
      <c r="Q114" s="275"/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</row>
    <row r="115" spans="2:31" ht="15">
      <c r="B115" s="380">
        <f t="shared" si="5"/>
        <v>70</v>
      </c>
      <c r="C115" s="388" t="str" cm="1">
        <f t="array" aca="1" ref="C115" ca="1">IF(B115&lt;=$C$9,GetGetCDSName(B115),"")</f>
        <v>LUFTHANSA_MMR.EUR.SU</v>
      </c>
      <c r="D115" s="348">
        <v>0</v>
      </c>
      <c r="E115" s="381">
        <v>1</v>
      </c>
      <c r="F115" s="300">
        <v>0</v>
      </c>
      <c r="G115" s="300">
        <v>0</v>
      </c>
      <c r="H115" s="300">
        <v>0</v>
      </c>
      <c r="I115" s="300">
        <v>1</v>
      </c>
      <c r="J115" s="300">
        <v>1</v>
      </c>
      <c r="K115" s="300"/>
      <c r="L115" s="300"/>
      <c r="M115" s="300"/>
      <c r="N115" s="382"/>
      <c r="O115" s="275"/>
      <c r="P115" s="275"/>
      <c r="Q115" s="275"/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</row>
    <row r="116" spans="2:31" ht="15">
      <c r="B116" s="380">
        <f t="shared" si="5"/>
        <v>71</v>
      </c>
      <c r="C116" s="388" t="str" cm="1">
        <f t="array" aca="1" ref="C116" ca="1">IF(B116&lt;=$C$9,GetGetCDSName(B116),"")</f>
        <v>LVMH_MMR.EUR.SU</v>
      </c>
      <c r="D116" s="348">
        <v>0</v>
      </c>
      <c r="E116" s="381">
        <v>1</v>
      </c>
      <c r="F116" s="300">
        <v>1</v>
      </c>
      <c r="G116" s="300">
        <v>0</v>
      </c>
      <c r="H116" s="300">
        <v>0</v>
      </c>
      <c r="I116" s="300">
        <v>0</v>
      </c>
      <c r="J116" s="300">
        <v>1</v>
      </c>
      <c r="K116" s="300"/>
      <c r="L116" s="300"/>
      <c r="M116" s="300"/>
      <c r="N116" s="382"/>
      <c r="O116" s="275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</row>
    <row r="117" spans="2:31" ht="15">
      <c r="B117" s="380">
        <f t="shared" si="5"/>
        <v>72</v>
      </c>
      <c r="C117" s="388" t="str" cm="1">
        <f t="array" aca="1" ref="C117" ca="1">IF(B117&lt;=$C$9,GetGetCDSName(B117),"")</f>
        <v>MARKSANDSPENCERPLC_MMR.EUR.SU</v>
      </c>
      <c r="D117" s="348">
        <v>0</v>
      </c>
      <c r="E117" s="381">
        <v>1</v>
      </c>
      <c r="F117" s="300">
        <v>1</v>
      </c>
      <c r="G117" s="300">
        <v>0</v>
      </c>
      <c r="H117" s="300">
        <v>0</v>
      </c>
      <c r="I117" s="300">
        <v>0</v>
      </c>
      <c r="J117" s="300">
        <v>0</v>
      </c>
      <c r="K117" s="300"/>
      <c r="L117" s="300"/>
      <c r="M117" s="300"/>
      <c r="N117" s="382"/>
      <c r="O117" s="275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</row>
    <row r="118" spans="2:31" ht="15">
      <c r="B118" s="380">
        <f t="shared" si="5"/>
        <v>73</v>
      </c>
      <c r="C118" s="388" t="str" cm="1">
        <f t="array" aca="1" ref="C118" ca="1">IF(B118&lt;=$C$9,GetGetCDSName(B118),"")</f>
        <v>METRO_MMR.EUR.SU</v>
      </c>
      <c r="D118" s="348">
        <v>0</v>
      </c>
      <c r="E118" s="381">
        <v>0</v>
      </c>
      <c r="F118" s="300">
        <v>1</v>
      </c>
      <c r="G118" s="300">
        <v>0</v>
      </c>
      <c r="H118" s="300">
        <v>1</v>
      </c>
      <c r="I118" s="300">
        <v>0</v>
      </c>
      <c r="J118" s="300">
        <v>1</v>
      </c>
      <c r="K118" s="300"/>
      <c r="L118" s="300"/>
      <c r="M118" s="300"/>
      <c r="N118" s="382"/>
      <c r="O118" s="275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</row>
    <row r="119" spans="2:31" ht="15">
      <c r="B119" s="380">
        <f t="shared" si="5"/>
        <v>74</v>
      </c>
      <c r="C119" s="388" t="str" cm="1">
        <f t="array" aca="1" ref="C119" ca="1">IF(B119&lt;=$C$9,GetGetCDSName(B119),"")</f>
        <v>MICHELIN_MMR.EUR.SU</v>
      </c>
      <c r="D119" s="348">
        <v>0</v>
      </c>
      <c r="E119" s="381">
        <v>1</v>
      </c>
      <c r="F119" s="300">
        <v>1</v>
      </c>
      <c r="G119" s="300">
        <v>0</v>
      </c>
      <c r="H119" s="300">
        <v>1</v>
      </c>
      <c r="I119" s="300">
        <v>0</v>
      </c>
      <c r="J119" s="300">
        <v>0</v>
      </c>
      <c r="K119" s="300"/>
      <c r="L119" s="300"/>
      <c r="M119" s="300"/>
      <c r="N119" s="382"/>
      <c r="O119" s="275"/>
      <c r="P119" s="275"/>
      <c r="Q119" s="275"/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</row>
    <row r="120" spans="2:31" ht="15">
      <c r="B120" s="380">
        <f t="shared" si="5"/>
        <v>75</v>
      </c>
      <c r="C120" s="388" t="str" cm="1">
        <f t="array" aca="1" ref="C120" ca="1">IF(B120&lt;=$C$9,GetGetCDSName(B120),"")</f>
        <v>MONTEDEIPASCHI_MMR.EUR.SU</v>
      </c>
      <c r="D120" s="348">
        <v>0</v>
      </c>
      <c r="E120" s="381">
        <v>0</v>
      </c>
      <c r="F120" s="300">
        <v>0</v>
      </c>
      <c r="G120" s="300">
        <v>0</v>
      </c>
      <c r="H120" s="300">
        <v>1</v>
      </c>
      <c r="I120" s="300">
        <v>0</v>
      </c>
      <c r="J120" s="300">
        <v>1</v>
      </c>
      <c r="K120" s="300"/>
      <c r="L120" s="300"/>
      <c r="M120" s="300"/>
      <c r="N120" s="382"/>
      <c r="O120" s="275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</row>
    <row r="121" spans="2:31" ht="15">
      <c r="B121" s="380">
        <f t="shared" si="5"/>
        <v>76</v>
      </c>
      <c r="C121" s="388" t="str" cm="1">
        <f t="array" aca="1" ref="C121" ca="1">IF(B121&lt;=$C$9,GetGetCDSName(B121),"")</f>
        <v>MUNICHRE_MMR.EUR.SU</v>
      </c>
      <c r="D121" s="348">
        <v>0</v>
      </c>
      <c r="E121" s="381">
        <v>0</v>
      </c>
      <c r="F121" s="300">
        <v>0</v>
      </c>
      <c r="G121" s="300">
        <v>1</v>
      </c>
      <c r="H121" s="300">
        <v>1</v>
      </c>
      <c r="I121" s="300">
        <v>0</v>
      </c>
      <c r="J121" s="300">
        <v>1</v>
      </c>
      <c r="K121" s="300"/>
      <c r="L121" s="300"/>
      <c r="M121" s="300"/>
      <c r="N121" s="382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</row>
    <row r="122" spans="2:31" ht="15">
      <c r="B122" s="380">
        <f t="shared" si="5"/>
        <v>77</v>
      </c>
      <c r="C122" s="388" t="str" cm="1">
        <f t="array" aca="1" ref="C122" ca="1">IF(B122&lt;=$C$9,GetGetCDSName(B122),"")</f>
        <v>NATIONALGRIDTRANSCOPLC_MMR.EUR.SU</v>
      </c>
      <c r="D122" s="348">
        <v>0</v>
      </c>
      <c r="E122" s="381">
        <v>1</v>
      </c>
      <c r="F122" s="300">
        <v>0</v>
      </c>
      <c r="G122" s="300">
        <v>1</v>
      </c>
      <c r="H122" s="300">
        <v>0</v>
      </c>
      <c r="I122" s="300">
        <v>1</v>
      </c>
      <c r="J122" s="300">
        <v>0</v>
      </c>
      <c r="K122" s="300"/>
      <c r="L122" s="300"/>
      <c r="M122" s="300"/>
      <c r="N122" s="382"/>
      <c r="O122" s="275"/>
      <c r="P122" s="275"/>
      <c r="Q122" s="275"/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</row>
    <row r="123" spans="2:31" ht="15">
      <c r="B123" s="380">
        <f t="shared" si="5"/>
        <v>78</v>
      </c>
      <c r="C123" s="388" t="str" cm="1">
        <f t="array" aca="1" ref="C123" ca="1">IF(B123&lt;=$C$9,GetGetCDSName(B123),"")</f>
        <v>NEXTPLC_MMR.EUR.SU</v>
      </c>
      <c r="D123" s="348">
        <v>0</v>
      </c>
      <c r="E123" s="381">
        <v>0</v>
      </c>
      <c r="F123" s="300">
        <v>0</v>
      </c>
      <c r="G123" s="300">
        <v>0</v>
      </c>
      <c r="H123" s="300">
        <v>0</v>
      </c>
      <c r="I123" s="300">
        <v>1</v>
      </c>
      <c r="J123" s="300">
        <v>1</v>
      </c>
      <c r="K123" s="300"/>
      <c r="L123" s="300"/>
      <c r="M123" s="300"/>
      <c r="N123" s="382"/>
      <c r="O123" s="275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  <c r="AA123" s="275"/>
      <c r="AB123" s="275"/>
      <c r="AC123" s="275"/>
      <c r="AD123" s="275"/>
      <c r="AE123" s="275"/>
    </row>
    <row r="124" spans="2:31" ht="15">
      <c r="B124" s="380">
        <f t="shared" si="5"/>
        <v>79</v>
      </c>
      <c r="C124" s="388" t="str" cm="1">
        <f t="array" aca="1" ref="C124" ca="1">IF(B124&lt;=$C$9,GetGetCDSName(B124),"")</f>
        <v>PEARSON_MMR.EUR.SU</v>
      </c>
      <c r="D124" s="348">
        <v>0</v>
      </c>
      <c r="E124" s="381">
        <v>0</v>
      </c>
      <c r="F124" s="300">
        <v>0</v>
      </c>
      <c r="G124" s="300">
        <v>1</v>
      </c>
      <c r="H124" s="300">
        <v>0</v>
      </c>
      <c r="I124" s="300">
        <v>0</v>
      </c>
      <c r="J124" s="300">
        <v>1</v>
      </c>
      <c r="K124" s="300"/>
      <c r="L124" s="300"/>
      <c r="M124" s="300"/>
      <c r="N124" s="382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 ht="15">
      <c r="B125" s="380">
        <f t="shared" si="5"/>
        <v>80</v>
      </c>
      <c r="C125" s="388" t="str" cm="1">
        <f t="array" aca="1" ref="C125" ca="1">IF(B125&lt;=$C$9,GetGetCDSName(B125),"")</f>
        <v>PEUGEOT_MMR.EUR.SU</v>
      </c>
      <c r="D125" s="348">
        <v>0</v>
      </c>
      <c r="E125" s="381">
        <v>1</v>
      </c>
      <c r="F125" s="300">
        <v>1</v>
      </c>
      <c r="G125" s="300">
        <v>0</v>
      </c>
      <c r="H125" s="300">
        <v>0</v>
      </c>
      <c r="I125" s="300">
        <v>0</v>
      </c>
      <c r="J125" s="300">
        <v>0</v>
      </c>
      <c r="K125" s="300"/>
      <c r="L125" s="300"/>
      <c r="M125" s="300"/>
      <c r="N125" s="382"/>
      <c r="O125" s="275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  <c r="AA125" s="275"/>
      <c r="AB125" s="275"/>
      <c r="AC125" s="275"/>
      <c r="AD125" s="275"/>
      <c r="AE125" s="275"/>
    </row>
    <row r="126" spans="2:31" ht="15">
      <c r="B126" s="380">
        <f t="shared" si="5"/>
        <v>81</v>
      </c>
      <c r="C126" s="388" t="str" cm="1">
        <f t="array" aca="1" ref="C126" ca="1">IF(B126&lt;=$C$9,GetGetCDSName(B126),"")</f>
        <v>PHILIPSELEC_MMR.EUR.SU</v>
      </c>
      <c r="D126" s="348">
        <v>0</v>
      </c>
      <c r="E126" s="381">
        <v>0</v>
      </c>
      <c r="F126" s="300">
        <v>0</v>
      </c>
      <c r="G126" s="300">
        <v>0</v>
      </c>
      <c r="H126" s="300">
        <v>1</v>
      </c>
      <c r="I126" s="300">
        <v>0</v>
      </c>
      <c r="J126" s="300">
        <v>1</v>
      </c>
      <c r="K126" s="300"/>
      <c r="L126" s="300"/>
      <c r="M126" s="300"/>
      <c r="N126" s="382"/>
      <c r="O126" s="275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  <c r="AA126" s="275"/>
      <c r="AB126" s="275"/>
      <c r="AC126" s="275"/>
      <c r="AD126" s="275"/>
      <c r="AE126" s="275"/>
    </row>
    <row r="127" spans="2:31" ht="15">
      <c r="B127" s="380">
        <f t="shared" si="5"/>
        <v>82</v>
      </c>
      <c r="C127" s="388" t="str" cm="1">
        <f t="array" aca="1" ref="C127" ca="1">IF(B127&lt;=$C$9,GetGetCDSName(B127),"")</f>
        <v>PINAULTPRINTEMPS_MMR.EUR.SU</v>
      </c>
      <c r="D127" s="348">
        <v>0</v>
      </c>
      <c r="E127" s="381">
        <v>0</v>
      </c>
      <c r="F127" s="300">
        <v>0</v>
      </c>
      <c r="G127" s="300">
        <v>1</v>
      </c>
      <c r="H127" s="300">
        <v>1</v>
      </c>
      <c r="I127" s="300">
        <v>0</v>
      </c>
      <c r="J127" s="300">
        <v>0</v>
      </c>
      <c r="K127" s="300"/>
      <c r="L127" s="300"/>
      <c r="M127" s="300"/>
      <c r="N127" s="382"/>
      <c r="O127" s="275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  <c r="AA127" s="275"/>
      <c r="AB127" s="275"/>
      <c r="AC127" s="275"/>
      <c r="AD127" s="275"/>
      <c r="AE127" s="275"/>
    </row>
    <row r="128" spans="2:31" ht="15">
      <c r="B128" s="380">
        <f t="shared" si="5"/>
        <v>83</v>
      </c>
      <c r="C128" s="388" t="str" cm="1">
        <f t="array" aca="1" ref="C128" ca="1">IF(B128&lt;=$C$9,GetGetCDSName(B128),"")</f>
        <v>PORTUGALTELECOM_MMR.EUR.SU</v>
      </c>
      <c r="D128" s="348">
        <v>0</v>
      </c>
      <c r="E128" s="381">
        <v>0</v>
      </c>
      <c r="F128" s="300">
        <v>0</v>
      </c>
      <c r="G128" s="300">
        <v>1</v>
      </c>
      <c r="H128" s="300">
        <v>0</v>
      </c>
      <c r="I128" s="300">
        <v>1</v>
      </c>
      <c r="J128" s="300">
        <v>1</v>
      </c>
      <c r="K128" s="300"/>
      <c r="L128" s="300"/>
      <c r="M128" s="300"/>
      <c r="N128" s="382"/>
      <c r="O128" s="275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75"/>
    </row>
    <row r="129" spans="2:31" ht="15">
      <c r="B129" s="380">
        <f t="shared" si="5"/>
        <v>84</v>
      </c>
      <c r="C129" s="388" t="str" cm="1">
        <f t="array" aca="1" ref="C129" ca="1">IF(B129&lt;=$C$9,GetGetCDSName(B129),"")</f>
        <v>REEDELSEVIER_MMR.EUR.SU</v>
      </c>
      <c r="D129" s="348">
        <v>0</v>
      </c>
      <c r="E129" s="381">
        <v>1</v>
      </c>
      <c r="F129" s="300">
        <v>0</v>
      </c>
      <c r="G129" s="300">
        <v>1</v>
      </c>
      <c r="H129" s="300">
        <v>1</v>
      </c>
      <c r="I129" s="300">
        <v>0</v>
      </c>
      <c r="J129" s="300">
        <v>0</v>
      </c>
      <c r="K129" s="300"/>
      <c r="L129" s="300"/>
      <c r="M129" s="300"/>
      <c r="N129" s="382"/>
      <c r="O129" s="275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75"/>
    </row>
    <row r="130" spans="2:31" ht="15">
      <c r="B130" s="380">
        <f t="shared" si="5"/>
        <v>85</v>
      </c>
      <c r="C130" s="388" t="str" cm="1">
        <f t="array" aca="1" ref="C130" ca="1">IF(B130&lt;=$C$9,GetGetCDSName(B130),"")</f>
        <v>RENAULT_MMR.EUR.SU</v>
      </c>
      <c r="D130" s="348">
        <v>0</v>
      </c>
      <c r="E130" s="381">
        <v>0</v>
      </c>
      <c r="F130" s="300">
        <v>1</v>
      </c>
      <c r="G130" s="300">
        <v>0</v>
      </c>
      <c r="H130" s="300">
        <v>0</v>
      </c>
      <c r="I130" s="300">
        <v>1</v>
      </c>
      <c r="J130" s="300">
        <v>0</v>
      </c>
      <c r="K130" s="300"/>
      <c r="L130" s="300"/>
      <c r="M130" s="300"/>
      <c r="N130" s="382"/>
      <c r="O130" s="275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75"/>
    </row>
    <row r="131" spans="2:31" ht="15">
      <c r="B131" s="380">
        <f t="shared" si="5"/>
        <v>86</v>
      </c>
      <c r="C131" s="388" t="str" cm="1">
        <f t="array" aca="1" ref="C131" ca="1">IF(B131&lt;=$C$9,GetGetCDSName(B131),"")</f>
        <v>REPSOL_MMR.EUR.SU</v>
      </c>
      <c r="D131" s="348">
        <v>0</v>
      </c>
      <c r="E131" s="381">
        <v>1</v>
      </c>
      <c r="F131" s="300">
        <v>0</v>
      </c>
      <c r="G131" s="300">
        <v>1</v>
      </c>
      <c r="H131" s="300">
        <v>0</v>
      </c>
      <c r="I131" s="300">
        <v>0</v>
      </c>
      <c r="J131" s="300">
        <v>0</v>
      </c>
      <c r="K131" s="300"/>
      <c r="L131" s="300"/>
      <c r="M131" s="300"/>
      <c r="N131" s="382"/>
      <c r="O131" s="275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75"/>
    </row>
    <row r="132" spans="2:31" ht="15">
      <c r="B132" s="380">
        <f t="shared" si="5"/>
        <v>87</v>
      </c>
      <c r="C132" s="388" t="str" cm="1">
        <f t="array" aca="1" ref="C132" ca="1">IF(B132&lt;=$C$9,GetGetCDSName(B132),"")</f>
        <v>REUTERS_MMR.EUR.SU</v>
      </c>
      <c r="D132" s="348">
        <v>0</v>
      </c>
      <c r="E132" s="381">
        <v>1</v>
      </c>
      <c r="F132" s="300">
        <v>0</v>
      </c>
      <c r="G132" s="300">
        <v>0</v>
      </c>
      <c r="H132" s="300">
        <v>1</v>
      </c>
      <c r="I132" s="300">
        <v>0</v>
      </c>
      <c r="J132" s="300">
        <v>0</v>
      </c>
      <c r="K132" s="300"/>
      <c r="L132" s="300"/>
      <c r="M132" s="300"/>
      <c r="N132" s="382"/>
      <c r="O132" s="275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75"/>
    </row>
    <row r="133" spans="2:31" ht="15">
      <c r="B133" s="380">
        <f t="shared" si="5"/>
        <v>88</v>
      </c>
      <c r="C133" s="388" t="str" cm="1">
        <f t="array" aca="1" ref="C133" ca="1">IF(B133&lt;=$C$9,GetGetCDSName(B133),"")</f>
        <v>ROYALBANKSCOTLAND_MMR.EUR.SU</v>
      </c>
      <c r="D133" s="348">
        <v>0</v>
      </c>
      <c r="E133" s="381">
        <v>0</v>
      </c>
      <c r="F133" s="300">
        <v>0</v>
      </c>
      <c r="G133" s="300">
        <v>1</v>
      </c>
      <c r="H133" s="300">
        <v>1</v>
      </c>
      <c r="I133" s="300">
        <v>1</v>
      </c>
      <c r="J133" s="300">
        <v>0</v>
      </c>
      <c r="K133" s="300"/>
      <c r="L133" s="300"/>
      <c r="M133" s="300"/>
      <c r="N133" s="382"/>
      <c r="O133" s="275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75"/>
    </row>
    <row r="134" spans="2:31" ht="15">
      <c r="B134" s="380">
        <f t="shared" si="5"/>
        <v>89</v>
      </c>
      <c r="C134" s="388" t="str" cm="1">
        <f t="array" aca="1" ref="C134" ca="1">IF(B134&lt;=$C$9,GetGetCDSName(B134),"")</f>
        <v>RWE_MMR.EUR.SU</v>
      </c>
      <c r="D134" s="348">
        <v>0</v>
      </c>
      <c r="E134" s="381">
        <v>0</v>
      </c>
      <c r="F134" s="300">
        <v>0</v>
      </c>
      <c r="G134" s="300">
        <v>0</v>
      </c>
      <c r="H134" s="300">
        <v>1</v>
      </c>
      <c r="I134" s="300">
        <v>1</v>
      </c>
      <c r="J134" s="300">
        <v>0</v>
      </c>
      <c r="K134" s="300"/>
      <c r="L134" s="300"/>
      <c r="M134" s="300"/>
      <c r="N134" s="382"/>
      <c r="O134" s="275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  <c r="AA134" s="275"/>
      <c r="AB134" s="275"/>
      <c r="AC134" s="275"/>
      <c r="AD134" s="275"/>
      <c r="AE134" s="275"/>
    </row>
    <row r="135" spans="2:31" ht="15">
      <c r="B135" s="380">
        <f t="shared" si="5"/>
        <v>90</v>
      </c>
      <c r="C135" s="388" t="str" cm="1">
        <f t="array" aca="1" ref="C135" ca="1">IF(B135&lt;=$C$9,GetGetCDSName(B135),"")</f>
        <v>SAFEWAYPLC_MMR.EUR.SU</v>
      </c>
      <c r="D135" s="348">
        <v>0</v>
      </c>
      <c r="E135" s="381">
        <v>0</v>
      </c>
      <c r="F135" s="300">
        <v>1</v>
      </c>
      <c r="G135" s="300">
        <v>0</v>
      </c>
      <c r="H135" s="300">
        <v>1</v>
      </c>
      <c r="I135" s="300">
        <v>0</v>
      </c>
      <c r="J135" s="300">
        <v>0</v>
      </c>
      <c r="K135" s="300"/>
      <c r="L135" s="300"/>
      <c r="M135" s="300"/>
      <c r="N135" s="382"/>
      <c r="O135" s="275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  <c r="AA135" s="275"/>
      <c r="AB135" s="275"/>
      <c r="AC135" s="275"/>
      <c r="AD135" s="275"/>
      <c r="AE135" s="275"/>
    </row>
    <row r="136" spans="2:31" ht="15">
      <c r="B136" s="380">
        <f t="shared" si="5"/>
        <v>91</v>
      </c>
      <c r="C136" s="388" t="str" cm="1">
        <f t="array" aca="1" ref="C136" ca="1">IF(B136&lt;=$C$9,GetGetCDSName(B136),"")</f>
        <v>SANOFIAVENTIS_MMR.EUR.SU</v>
      </c>
      <c r="D136" s="348">
        <v>0</v>
      </c>
      <c r="E136" s="381">
        <v>0</v>
      </c>
      <c r="F136" s="300">
        <v>1</v>
      </c>
      <c r="G136" s="300">
        <v>1</v>
      </c>
      <c r="H136" s="300">
        <v>0</v>
      </c>
      <c r="I136" s="300">
        <v>0</v>
      </c>
      <c r="J136" s="300">
        <v>1</v>
      </c>
      <c r="K136" s="300"/>
      <c r="L136" s="300"/>
      <c r="M136" s="300"/>
      <c r="N136" s="382"/>
      <c r="O136" s="275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</row>
    <row r="137" spans="2:31" ht="15">
      <c r="B137" s="380">
        <f t="shared" si="5"/>
        <v>92</v>
      </c>
      <c r="C137" s="388" t="str" cm="1">
        <f t="array" aca="1" ref="C137" ca="1">IF(B137&lt;=$C$9,GetGetCDSName(B137),"")</f>
        <v>SIEMENS_MMR.EUR.SU</v>
      </c>
      <c r="D137" s="348">
        <v>0</v>
      </c>
      <c r="E137" s="381">
        <v>0</v>
      </c>
      <c r="F137" s="300">
        <v>1</v>
      </c>
      <c r="G137" s="300">
        <v>0</v>
      </c>
      <c r="H137" s="300">
        <v>0</v>
      </c>
      <c r="I137" s="300">
        <v>1</v>
      </c>
      <c r="J137" s="300">
        <v>1</v>
      </c>
      <c r="K137" s="300"/>
      <c r="L137" s="300"/>
      <c r="M137" s="300"/>
      <c r="N137" s="382"/>
      <c r="O137" s="275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  <c r="AA137" s="275"/>
      <c r="AB137" s="275"/>
      <c r="AC137" s="275"/>
      <c r="AD137" s="275"/>
      <c r="AE137" s="275"/>
    </row>
    <row r="138" spans="2:31" ht="15">
      <c r="B138" s="380">
        <f t="shared" si="5"/>
        <v>93</v>
      </c>
      <c r="C138" s="388" t="str" cm="1">
        <f t="array" aca="1" ref="C138" ca="1">IF(B138&lt;=$C$9,GetGetCDSName(B138),"")</f>
        <v>SODEXHOALLIANCE_MMR.EUR.SU</v>
      </c>
      <c r="D138" s="348">
        <v>0</v>
      </c>
      <c r="E138" s="381">
        <v>1</v>
      </c>
      <c r="F138" s="300">
        <v>1</v>
      </c>
      <c r="G138" s="300">
        <v>0</v>
      </c>
      <c r="H138" s="300">
        <v>0</v>
      </c>
      <c r="I138" s="300">
        <v>1</v>
      </c>
      <c r="J138" s="300">
        <v>0</v>
      </c>
      <c r="K138" s="300"/>
      <c r="L138" s="300"/>
      <c r="M138" s="300"/>
      <c r="N138" s="382"/>
      <c r="O138" s="275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  <c r="AA138" s="275"/>
      <c r="AB138" s="275"/>
      <c r="AC138" s="275"/>
      <c r="AD138" s="275"/>
      <c r="AE138" s="275"/>
    </row>
    <row r="139" spans="2:31" ht="15">
      <c r="B139" s="380">
        <f t="shared" si="5"/>
        <v>94</v>
      </c>
      <c r="C139" s="388" t="str" cm="1">
        <f t="array" aca="1" ref="C139" ca="1">IF(B139&lt;=$C$9,GetGetCDSName(B139),"")</f>
        <v>SOLVAY_MMR.EUR.SU</v>
      </c>
      <c r="D139" s="348">
        <v>0</v>
      </c>
      <c r="E139" s="381">
        <v>1</v>
      </c>
      <c r="F139" s="300">
        <v>0</v>
      </c>
      <c r="G139" s="300">
        <v>0</v>
      </c>
      <c r="H139" s="300">
        <v>0</v>
      </c>
      <c r="I139" s="300">
        <v>1</v>
      </c>
      <c r="J139" s="300">
        <v>0</v>
      </c>
      <c r="K139" s="300"/>
      <c r="L139" s="300"/>
      <c r="M139" s="300"/>
      <c r="N139" s="382"/>
      <c r="O139" s="275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  <c r="AA139" s="275"/>
      <c r="AB139" s="275"/>
      <c r="AC139" s="275"/>
      <c r="AD139" s="275"/>
      <c r="AE139" s="275"/>
    </row>
    <row r="140" spans="2:31" ht="15">
      <c r="B140" s="380">
        <f t="shared" si="5"/>
        <v>95</v>
      </c>
      <c r="C140" s="388" t="str" cm="1">
        <f t="array" aca="1" ref="C140" ca="1">IF(B140&lt;=$C$9,GetGetCDSName(B140),"")</f>
        <v>STGOBAIN_MMR.EUR.SU</v>
      </c>
      <c r="D140" s="348">
        <v>0</v>
      </c>
      <c r="E140" s="381">
        <v>1</v>
      </c>
      <c r="F140" s="300">
        <v>1</v>
      </c>
      <c r="G140" s="300">
        <v>0</v>
      </c>
      <c r="H140" s="300">
        <v>0</v>
      </c>
      <c r="I140" s="300">
        <v>1</v>
      </c>
      <c r="J140" s="300">
        <v>0</v>
      </c>
      <c r="K140" s="300"/>
      <c r="L140" s="300"/>
      <c r="M140" s="300"/>
      <c r="N140" s="382"/>
      <c r="O140" s="275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  <c r="AA140" s="275"/>
      <c r="AB140" s="275"/>
      <c r="AC140" s="275"/>
      <c r="AD140" s="275"/>
      <c r="AE140" s="275"/>
    </row>
    <row r="141" spans="2:31" ht="15">
      <c r="B141" s="380">
        <f t="shared" si="5"/>
        <v>96</v>
      </c>
      <c r="C141" s="388" t="str" cm="1">
        <f t="array" aca="1" ref="C141" ca="1">IF(B141&lt;=$C$9,GetGetCDSName(B141),"")</f>
        <v>STMICRO_MMR.EUR.SU</v>
      </c>
      <c r="D141" s="348">
        <v>0</v>
      </c>
      <c r="E141" s="381">
        <v>0</v>
      </c>
      <c r="F141" s="300">
        <v>0</v>
      </c>
      <c r="G141" s="300">
        <v>0</v>
      </c>
      <c r="H141" s="300">
        <v>0</v>
      </c>
      <c r="I141" s="300">
        <v>0</v>
      </c>
      <c r="J141" s="300">
        <v>1</v>
      </c>
      <c r="K141" s="300"/>
      <c r="L141" s="300"/>
      <c r="M141" s="300"/>
      <c r="N141" s="382"/>
      <c r="O141" s="275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  <c r="AA141" s="275"/>
      <c r="AB141" s="275"/>
      <c r="AC141" s="275"/>
      <c r="AD141" s="275"/>
      <c r="AE141" s="275"/>
    </row>
    <row r="142" spans="2:31" ht="15">
      <c r="B142" s="380">
        <f t="shared" si="5"/>
        <v>97</v>
      </c>
      <c r="C142" s="388" t="str" cm="1">
        <f t="array" aca="1" ref="C142" ca="1">IF(B142&lt;=$C$9,GetGetCDSName(B142),"")</f>
        <v>SUEDZUCKERAG_MMR.EUR.SU</v>
      </c>
      <c r="D142" s="348">
        <v>0</v>
      </c>
      <c r="E142" s="381">
        <v>1</v>
      </c>
      <c r="F142" s="300">
        <v>0</v>
      </c>
      <c r="G142" s="300">
        <v>0</v>
      </c>
      <c r="H142" s="300">
        <v>0</v>
      </c>
      <c r="I142" s="300">
        <v>0</v>
      </c>
      <c r="J142" s="300">
        <v>0</v>
      </c>
      <c r="K142" s="300"/>
      <c r="L142" s="300"/>
      <c r="M142" s="300"/>
      <c r="N142" s="382"/>
      <c r="O142" s="275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  <c r="AA142" s="275"/>
      <c r="AB142" s="275"/>
      <c r="AC142" s="275"/>
      <c r="AD142" s="275"/>
      <c r="AE142" s="275"/>
    </row>
    <row r="143" spans="2:31" ht="15">
      <c r="B143" s="380">
        <f t="shared" si="5"/>
        <v>98</v>
      </c>
      <c r="C143" s="388" t="str" cm="1">
        <f t="array" aca="1" ref="C143" ca="1">IF(B143&lt;=$C$9,GetGetCDSName(B143),"")</f>
        <v>SUEZLYONNAISE_MMR.EUR.SU</v>
      </c>
      <c r="D143" s="348">
        <v>0</v>
      </c>
      <c r="E143" s="381">
        <v>0</v>
      </c>
      <c r="F143" s="300">
        <v>0</v>
      </c>
      <c r="G143" s="300">
        <v>1</v>
      </c>
      <c r="H143" s="300">
        <v>0</v>
      </c>
      <c r="I143" s="300">
        <v>0</v>
      </c>
      <c r="J143" s="300">
        <v>0</v>
      </c>
      <c r="K143" s="300"/>
      <c r="L143" s="300"/>
      <c r="M143" s="300"/>
      <c r="N143" s="382"/>
      <c r="O143" s="275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  <c r="AA143" s="275"/>
      <c r="AB143" s="275"/>
      <c r="AC143" s="275"/>
      <c r="AD143" s="275"/>
      <c r="AE143" s="275"/>
    </row>
    <row r="144" spans="2:31" ht="15">
      <c r="B144" s="380">
        <f t="shared" si="5"/>
        <v>99</v>
      </c>
      <c r="C144" s="388" t="str" cm="1">
        <f t="array" aca="1" ref="C144" ca="1">IF(B144&lt;=$C$9,GetGetCDSName(B144),"")</f>
        <v>SVENSKACELLULOSAAB_MMR.EUR.SU</v>
      </c>
      <c r="D144" s="348">
        <v>0</v>
      </c>
      <c r="E144" s="381">
        <v>0</v>
      </c>
      <c r="F144" s="300">
        <v>0</v>
      </c>
      <c r="G144" s="300">
        <v>0</v>
      </c>
      <c r="H144" s="300">
        <v>0</v>
      </c>
      <c r="I144" s="300">
        <v>1</v>
      </c>
      <c r="J144" s="300">
        <v>0</v>
      </c>
      <c r="K144" s="300"/>
      <c r="L144" s="300"/>
      <c r="M144" s="300"/>
      <c r="N144" s="382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  <c r="AA144" s="275"/>
      <c r="AB144" s="275"/>
      <c r="AC144" s="275"/>
      <c r="AD144" s="275"/>
      <c r="AE144" s="275"/>
    </row>
    <row r="145" spans="2:31" ht="15">
      <c r="B145" s="380">
        <f t="shared" si="5"/>
        <v>100</v>
      </c>
      <c r="C145" s="388" t="str" cm="1">
        <f t="array" aca="1" ref="C145" ca="1">IF(B145&lt;=$C$9,GetGetCDSName(B145),"")</f>
        <v>SWISSRE_MMR.EUR.SU</v>
      </c>
      <c r="D145" s="348">
        <v>0</v>
      </c>
      <c r="E145" s="381">
        <v>0</v>
      </c>
      <c r="F145" s="300">
        <v>0</v>
      </c>
      <c r="G145" s="300">
        <v>1</v>
      </c>
      <c r="H145" s="300">
        <v>0</v>
      </c>
      <c r="I145" s="300">
        <v>1</v>
      </c>
      <c r="J145" s="300">
        <v>1</v>
      </c>
      <c r="K145" s="300"/>
      <c r="L145" s="300"/>
      <c r="M145" s="300"/>
      <c r="N145" s="382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  <c r="AA145" s="275"/>
      <c r="AB145" s="275"/>
      <c r="AC145" s="275"/>
      <c r="AD145" s="275"/>
      <c r="AE145" s="275"/>
    </row>
    <row r="146" spans="2:31" ht="15">
      <c r="B146" s="380">
        <f t="shared" si="5"/>
        <v>101</v>
      </c>
      <c r="C146" s="388" t="str" cm="1">
        <f t="array" aca="1" ref="C146" ca="1">IF(B146&lt;=$C$9,GetGetCDSName(B146),"")</f>
        <v>TATE&amp;LYLE_MMR.EUR.SU</v>
      </c>
      <c r="D146" s="348">
        <v>0</v>
      </c>
      <c r="E146" s="381">
        <v>0</v>
      </c>
      <c r="F146" s="300">
        <v>1</v>
      </c>
      <c r="G146" s="300">
        <v>1</v>
      </c>
      <c r="H146" s="300">
        <v>0</v>
      </c>
      <c r="I146" s="300">
        <v>0</v>
      </c>
      <c r="J146" s="300">
        <v>0</v>
      </c>
      <c r="K146" s="300"/>
      <c r="L146" s="300"/>
      <c r="M146" s="300"/>
      <c r="N146" s="382"/>
      <c r="O146" s="275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  <c r="AA146" s="275"/>
      <c r="AB146" s="275"/>
      <c r="AC146" s="275"/>
      <c r="AD146" s="275"/>
      <c r="AE146" s="275"/>
    </row>
    <row r="147" spans="2:31" ht="15">
      <c r="B147" s="380">
        <f t="shared" si="5"/>
        <v>102</v>
      </c>
      <c r="C147" s="388" t="str" cm="1">
        <f t="array" aca="1" ref="C147" ca="1">IF(B147&lt;=$C$9,GetGetCDSName(B147),"")</f>
        <v>TELECOMITALIA_MMR.EUR.SU</v>
      </c>
      <c r="D147" s="348">
        <v>0</v>
      </c>
      <c r="E147" s="381">
        <v>1</v>
      </c>
      <c r="F147" s="300">
        <v>1</v>
      </c>
      <c r="G147" s="300">
        <v>0</v>
      </c>
      <c r="H147" s="300">
        <v>0</v>
      </c>
      <c r="I147" s="300">
        <v>0</v>
      </c>
      <c r="J147" s="300">
        <v>0</v>
      </c>
      <c r="K147" s="300"/>
      <c r="L147" s="300"/>
      <c r="M147" s="300"/>
      <c r="N147" s="382"/>
      <c r="O147" s="275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  <c r="AA147" s="275"/>
      <c r="AB147" s="275"/>
      <c r="AC147" s="275"/>
      <c r="AD147" s="275"/>
      <c r="AE147" s="275"/>
    </row>
    <row r="148" spans="2:31" ht="15">
      <c r="B148" s="380">
        <f t="shared" si="5"/>
        <v>103</v>
      </c>
      <c r="C148" s="388" t="str" cm="1">
        <f t="array" aca="1" ref="C148" ca="1">IF(B148&lt;=$C$9,GetGetCDSName(B148),"")</f>
        <v>TELEFONICA_MMR.EUR.SU</v>
      </c>
      <c r="D148" s="348">
        <v>0</v>
      </c>
      <c r="E148" s="381">
        <v>0</v>
      </c>
      <c r="F148" s="300">
        <v>0</v>
      </c>
      <c r="G148" s="300">
        <v>0</v>
      </c>
      <c r="H148" s="300">
        <v>1</v>
      </c>
      <c r="I148" s="300">
        <v>0</v>
      </c>
      <c r="J148" s="300">
        <v>0</v>
      </c>
      <c r="K148" s="300"/>
      <c r="L148" s="300"/>
      <c r="M148" s="300"/>
      <c r="N148" s="382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</row>
    <row r="149" spans="2:31" ht="15">
      <c r="B149" s="380">
        <f t="shared" si="5"/>
        <v>104</v>
      </c>
      <c r="C149" s="388" t="str" cm="1">
        <f t="array" aca="1" ref="C149" ca="1">IF(B149&lt;=$C$9,GetGetCDSName(B149),"")</f>
        <v>TELEKOMAUSTRIA_MMR.EUR.SU</v>
      </c>
      <c r="D149" s="348">
        <v>0</v>
      </c>
      <c r="E149" s="381">
        <v>0</v>
      </c>
      <c r="F149" s="300">
        <v>0</v>
      </c>
      <c r="G149" s="300">
        <v>0</v>
      </c>
      <c r="H149" s="300">
        <v>0</v>
      </c>
      <c r="I149" s="300">
        <v>0</v>
      </c>
      <c r="J149" s="300">
        <v>1</v>
      </c>
      <c r="K149" s="300"/>
      <c r="L149" s="300"/>
      <c r="M149" s="300"/>
      <c r="N149" s="382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</row>
    <row r="150" spans="2:31" ht="15">
      <c r="B150" s="380">
        <f t="shared" si="5"/>
        <v>105</v>
      </c>
      <c r="C150" s="388" t="str" cm="1">
        <f t="array" aca="1" ref="C150" ca="1">IF(B150&lt;=$C$9,GetGetCDSName(B150),"")</f>
        <v>TELENOR_MMR.EUR.SU</v>
      </c>
      <c r="D150" s="348">
        <v>0</v>
      </c>
      <c r="E150" s="381">
        <v>0</v>
      </c>
      <c r="F150" s="300">
        <v>1</v>
      </c>
      <c r="G150" s="300">
        <v>0</v>
      </c>
      <c r="H150" s="300">
        <v>1</v>
      </c>
      <c r="I150" s="300">
        <v>1</v>
      </c>
      <c r="J150" s="300">
        <v>0</v>
      </c>
      <c r="K150" s="300"/>
      <c r="L150" s="300"/>
      <c r="M150" s="300"/>
      <c r="N150" s="382"/>
      <c r="O150" s="275"/>
      <c r="P150" s="275"/>
      <c r="Q150" s="275"/>
      <c r="R150" s="275"/>
      <c r="S150" s="275"/>
      <c r="T150" s="275"/>
      <c r="U150" s="275"/>
      <c r="V150" s="275"/>
      <c r="W150" s="275"/>
      <c r="X150" s="275"/>
      <c r="Y150" s="275"/>
      <c r="Z150" s="275"/>
      <c r="AA150" s="275"/>
      <c r="AB150" s="275"/>
      <c r="AC150" s="275"/>
      <c r="AD150" s="275"/>
      <c r="AE150" s="275"/>
    </row>
    <row r="151" spans="2:31" ht="15">
      <c r="B151" s="380">
        <f t="shared" si="5"/>
        <v>106</v>
      </c>
      <c r="C151" s="388" t="str" cm="1">
        <f t="array" aca="1" ref="C151" ca="1">IF(B151&lt;=$C$9,GetGetCDSName(B151),"")</f>
        <v>TELIA_MMR.EUR.SU</v>
      </c>
      <c r="D151" s="348">
        <v>0</v>
      </c>
      <c r="E151" s="381">
        <v>0</v>
      </c>
      <c r="F151" s="300">
        <v>0</v>
      </c>
      <c r="G151" s="300">
        <v>0</v>
      </c>
      <c r="H151" s="300">
        <v>0</v>
      </c>
      <c r="I151" s="300">
        <v>1</v>
      </c>
      <c r="J151" s="300">
        <v>0</v>
      </c>
      <c r="K151" s="300"/>
      <c r="L151" s="300"/>
      <c r="M151" s="300"/>
      <c r="N151" s="382"/>
      <c r="O151" s="275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  <c r="AA151" s="275"/>
      <c r="AB151" s="275"/>
      <c r="AC151" s="275"/>
      <c r="AD151" s="275"/>
      <c r="AE151" s="275"/>
    </row>
    <row r="152" spans="2:31" ht="15">
      <c r="B152" s="380">
        <f t="shared" si="5"/>
        <v>107</v>
      </c>
      <c r="C152" s="388" t="str" cm="1">
        <f t="array" aca="1" ref="C152" ca="1">IF(B152&lt;=$C$9,GetGetCDSName(B152),"")</f>
        <v>TESCO_MMR.EUR.SU</v>
      </c>
      <c r="D152" s="348">
        <v>0</v>
      </c>
      <c r="E152" s="381">
        <v>0</v>
      </c>
      <c r="F152" s="300">
        <v>0</v>
      </c>
      <c r="G152" s="300">
        <v>1</v>
      </c>
      <c r="H152" s="300">
        <v>0</v>
      </c>
      <c r="I152" s="300">
        <v>0</v>
      </c>
      <c r="J152" s="300">
        <v>0</v>
      </c>
      <c r="K152" s="300"/>
      <c r="L152" s="300"/>
      <c r="M152" s="300"/>
      <c r="N152" s="382"/>
      <c r="O152" s="275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</row>
    <row r="153" spans="2:31" ht="15">
      <c r="B153" s="380">
        <f t="shared" si="5"/>
        <v>108</v>
      </c>
      <c r="C153" s="388" t="str" cm="1">
        <f t="array" aca="1" ref="C153" ca="1">IF(B153&lt;=$C$9,GetGetCDSName(B153),"")</f>
        <v>THYSSENKRUPPAG_MMR.EUR.SU</v>
      </c>
      <c r="D153" s="348">
        <v>0</v>
      </c>
      <c r="E153" s="381">
        <v>0</v>
      </c>
      <c r="F153" s="300">
        <v>0</v>
      </c>
      <c r="G153" s="300">
        <v>0</v>
      </c>
      <c r="H153" s="300">
        <v>1</v>
      </c>
      <c r="I153" s="300">
        <v>1</v>
      </c>
      <c r="J153" s="300">
        <v>1</v>
      </c>
      <c r="K153" s="300"/>
      <c r="L153" s="300"/>
      <c r="M153" s="300"/>
      <c r="N153" s="382"/>
      <c r="O153" s="275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  <c r="AA153" s="275"/>
      <c r="AB153" s="275"/>
      <c r="AC153" s="275"/>
      <c r="AD153" s="275"/>
      <c r="AE153" s="275"/>
    </row>
    <row r="154" spans="2:31" ht="15">
      <c r="B154" s="380">
        <f t="shared" si="5"/>
        <v>109</v>
      </c>
      <c r="C154" s="388" t="str" cm="1">
        <f t="array" aca="1" ref="C154" ca="1">IF(B154&lt;=$C$9,GetGetCDSName(B154),"")</f>
        <v>UBS_MMR.EUR.SU</v>
      </c>
      <c r="D154" s="348">
        <v>0</v>
      </c>
      <c r="E154" s="381">
        <v>1</v>
      </c>
      <c r="F154" s="300">
        <v>0</v>
      </c>
      <c r="G154" s="300">
        <v>0</v>
      </c>
      <c r="H154" s="300">
        <v>0</v>
      </c>
      <c r="I154" s="300">
        <v>0</v>
      </c>
      <c r="J154" s="300">
        <v>0</v>
      </c>
      <c r="K154" s="300"/>
      <c r="L154" s="300"/>
      <c r="M154" s="300"/>
      <c r="N154" s="382"/>
      <c r="O154" s="275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  <c r="AA154" s="275"/>
      <c r="AB154" s="275"/>
      <c r="AC154" s="275"/>
      <c r="AD154" s="275"/>
      <c r="AE154" s="275"/>
    </row>
    <row r="155" spans="2:31" ht="15">
      <c r="B155" s="380">
        <f t="shared" si="5"/>
        <v>110</v>
      </c>
      <c r="C155" s="388" t="str" cm="1">
        <f t="array" aca="1" ref="C155" ca="1">IF(B155&lt;=$C$9,GetGetCDSName(B155),"")</f>
        <v>UNICREDITOITALIANO_MMR.EUR.SU</v>
      </c>
      <c r="D155" s="348">
        <v>0</v>
      </c>
      <c r="E155" s="381">
        <v>1</v>
      </c>
      <c r="F155" s="300">
        <v>0</v>
      </c>
      <c r="G155" s="300">
        <v>0</v>
      </c>
      <c r="H155" s="300">
        <v>1</v>
      </c>
      <c r="I155" s="300">
        <v>1</v>
      </c>
      <c r="J155" s="300">
        <v>0</v>
      </c>
      <c r="K155" s="300"/>
      <c r="L155" s="300"/>
      <c r="M155" s="300"/>
      <c r="N155" s="382"/>
      <c r="O155" s="275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  <c r="AA155" s="275"/>
      <c r="AB155" s="275"/>
      <c r="AC155" s="275"/>
      <c r="AD155" s="275"/>
      <c r="AE155" s="275"/>
    </row>
    <row r="156" spans="2:31" ht="15">
      <c r="B156" s="380">
        <f t="shared" si="5"/>
        <v>111</v>
      </c>
      <c r="C156" s="388" t="str" cm="1">
        <f t="array" aca="1" ref="C156" ca="1">IF(B156&lt;=$C$9,GetGetCDSName(B156),"")</f>
        <v>UNILEVER_MMR.EUR.SU</v>
      </c>
      <c r="D156" s="348">
        <v>0</v>
      </c>
      <c r="E156" s="381">
        <v>0</v>
      </c>
      <c r="F156" s="300">
        <v>0</v>
      </c>
      <c r="G156" s="300">
        <v>0</v>
      </c>
      <c r="H156" s="300">
        <v>0</v>
      </c>
      <c r="I156" s="300">
        <v>1</v>
      </c>
      <c r="J156" s="300">
        <v>1</v>
      </c>
      <c r="K156" s="300"/>
      <c r="L156" s="300"/>
      <c r="M156" s="300"/>
      <c r="N156" s="382"/>
      <c r="O156" s="275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  <c r="AA156" s="275"/>
      <c r="AB156" s="275"/>
      <c r="AC156" s="275"/>
      <c r="AD156" s="275"/>
      <c r="AE156" s="275"/>
    </row>
    <row r="157" spans="2:31" ht="15">
      <c r="B157" s="380">
        <f t="shared" si="5"/>
        <v>112</v>
      </c>
      <c r="C157" s="388" t="str" cm="1">
        <f t="array" aca="1" ref="C157" ca="1">IF(B157&lt;=$C$9,GetGetCDSName(B157),"")</f>
        <v>UNIONFENOSA_MMR.EUR.SU</v>
      </c>
      <c r="D157" s="348">
        <v>0</v>
      </c>
      <c r="E157" s="381">
        <v>0</v>
      </c>
      <c r="F157" s="300">
        <v>0</v>
      </c>
      <c r="G157" s="300">
        <v>1</v>
      </c>
      <c r="H157" s="300">
        <v>1</v>
      </c>
      <c r="I157" s="300">
        <v>0</v>
      </c>
      <c r="J157" s="300">
        <v>0</v>
      </c>
      <c r="K157" s="300"/>
      <c r="L157" s="300"/>
      <c r="M157" s="300"/>
      <c r="N157" s="382"/>
      <c r="O157" s="275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  <c r="AA157" s="275"/>
      <c r="AB157" s="275"/>
      <c r="AC157" s="275"/>
      <c r="AD157" s="275"/>
      <c r="AE157" s="275"/>
    </row>
    <row r="158" spans="2:31" ht="15">
      <c r="B158" s="380">
        <f t="shared" si="5"/>
        <v>113</v>
      </c>
      <c r="C158" s="388" t="str" cm="1">
        <f t="array" aca="1" ref="C158" ca="1">IF(B158&lt;=$C$9,GetGetCDSName(B158),"")</f>
        <v>UNITEDUTILITIES_MMR.EUR.SU</v>
      </c>
      <c r="D158" s="348">
        <v>0</v>
      </c>
      <c r="E158" s="381">
        <v>0</v>
      </c>
      <c r="F158" s="300">
        <v>0</v>
      </c>
      <c r="G158" s="300">
        <v>0</v>
      </c>
      <c r="H158" s="300">
        <v>0</v>
      </c>
      <c r="I158" s="300">
        <v>0</v>
      </c>
      <c r="J158" s="300">
        <v>1</v>
      </c>
      <c r="K158" s="300"/>
      <c r="L158" s="300"/>
      <c r="M158" s="300"/>
      <c r="N158" s="382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  <c r="AA158" s="275"/>
      <c r="AB158" s="275"/>
      <c r="AC158" s="275"/>
      <c r="AD158" s="275"/>
      <c r="AE158" s="275"/>
    </row>
    <row r="159" spans="2:31" ht="15">
      <c r="B159" s="380">
        <f t="shared" si="5"/>
        <v>114</v>
      </c>
      <c r="C159" s="388" t="str" cm="1">
        <f t="array" aca="1" ref="C159" ca="1">IF(B159&lt;=$C$9,GetGetCDSName(B159),"")</f>
        <v>UPMKYMMENE_MMR.EUR.SU</v>
      </c>
      <c r="D159" s="348">
        <v>0</v>
      </c>
      <c r="E159" s="381">
        <v>0</v>
      </c>
      <c r="F159" s="300">
        <v>1</v>
      </c>
      <c r="G159" s="300">
        <v>0</v>
      </c>
      <c r="H159" s="300">
        <v>0</v>
      </c>
      <c r="I159" s="300">
        <v>0</v>
      </c>
      <c r="J159" s="300">
        <v>0</v>
      </c>
      <c r="K159" s="300"/>
      <c r="L159" s="300"/>
      <c r="M159" s="300"/>
      <c r="N159" s="382"/>
      <c r="O159" s="275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  <c r="AA159" s="275"/>
      <c r="AB159" s="275"/>
      <c r="AC159" s="275"/>
      <c r="AD159" s="275"/>
      <c r="AE159" s="275"/>
    </row>
    <row r="160" spans="2:31" ht="15">
      <c r="B160" s="380">
        <f t="shared" si="5"/>
        <v>115</v>
      </c>
      <c r="C160" s="388" t="str" cm="1">
        <f t="array" aca="1" ref="C160" ca="1">IF(B160&lt;=$C$9,GetGetCDSName(B160),"")</f>
        <v>VALEO_MMR.EUR.SU</v>
      </c>
      <c r="D160" s="348">
        <v>0</v>
      </c>
      <c r="E160" s="381">
        <v>0</v>
      </c>
      <c r="F160" s="300">
        <v>0</v>
      </c>
      <c r="G160" s="300">
        <v>1</v>
      </c>
      <c r="H160" s="300">
        <v>0</v>
      </c>
      <c r="I160" s="300">
        <v>0</v>
      </c>
      <c r="J160" s="300">
        <v>1</v>
      </c>
      <c r="K160" s="300"/>
      <c r="L160" s="300"/>
      <c r="M160" s="300"/>
      <c r="N160" s="382"/>
      <c r="O160" s="275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  <c r="AA160" s="275"/>
      <c r="AB160" s="275"/>
      <c r="AC160" s="275"/>
      <c r="AD160" s="275"/>
      <c r="AE160" s="275"/>
    </row>
    <row r="161" spans="2:31" ht="15">
      <c r="B161" s="380">
        <f t="shared" si="5"/>
        <v>116</v>
      </c>
      <c r="C161" s="388" t="str" cm="1">
        <f t="array" aca="1" ref="C161" ca="1">IF(B161&lt;=$C$9,GetGetCDSName(B161),"")</f>
        <v>VATTENFALLAB_MMR.EUR.SU</v>
      </c>
      <c r="D161" s="348">
        <v>0</v>
      </c>
      <c r="E161" s="381">
        <v>0</v>
      </c>
      <c r="F161" s="300">
        <v>0</v>
      </c>
      <c r="G161" s="300">
        <v>0</v>
      </c>
      <c r="H161" s="300">
        <v>0</v>
      </c>
      <c r="I161" s="300">
        <v>0</v>
      </c>
      <c r="J161" s="300">
        <v>1</v>
      </c>
      <c r="K161" s="300"/>
      <c r="L161" s="300"/>
      <c r="M161" s="300"/>
      <c r="N161" s="382"/>
      <c r="O161" s="275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  <c r="AA161" s="275"/>
      <c r="AB161" s="275"/>
      <c r="AC161" s="275"/>
      <c r="AD161" s="275"/>
      <c r="AE161" s="275"/>
    </row>
    <row r="162" spans="2:31" ht="15">
      <c r="B162" s="380">
        <f t="shared" si="5"/>
        <v>117</v>
      </c>
      <c r="C162" s="388" t="str" cm="1">
        <f t="array" aca="1" ref="C162" ca="1">IF(B162&lt;=$C$9,GetGetCDSName(B162),"")</f>
        <v>VEOLIAENVIRONNEMENT_MMR.EUR.SU</v>
      </c>
      <c r="D162" s="348">
        <v>0</v>
      </c>
      <c r="E162" s="381">
        <v>0</v>
      </c>
      <c r="F162" s="300">
        <v>0</v>
      </c>
      <c r="G162" s="300">
        <v>1</v>
      </c>
      <c r="H162" s="300">
        <v>0</v>
      </c>
      <c r="I162" s="300">
        <v>1</v>
      </c>
      <c r="J162" s="300">
        <v>0</v>
      </c>
      <c r="K162" s="300"/>
      <c r="L162" s="300"/>
      <c r="M162" s="300"/>
      <c r="N162" s="382"/>
      <c r="O162" s="275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  <c r="AA162" s="275"/>
      <c r="AB162" s="275"/>
      <c r="AC162" s="275"/>
      <c r="AD162" s="275"/>
      <c r="AE162" s="275"/>
    </row>
    <row r="163" spans="2:31" ht="15">
      <c r="B163" s="380">
        <f t="shared" si="5"/>
        <v>118</v>
      </c>
      <c r="C163" s="388" t="str" cm="1">
        <f t="array" aca="1" ref="C163" ca="1">IF(B163&lt;=$C$9,GetGetCDSName(B163),"")</f>
        <v>VINCI_MMR.EUR.SU</v>
      </c>
      <c r="D163" s="348">
        <v>0</v>
      </c>
      <c r="E163" s="381">
        <v>0</v>
      </c>
      <c r="F163" s="300">
        <v>1</v>
      </c>
      <c r="G163" s="300">
        <v>0</v>
      </c>
      <c r="H163" s="300">
        <v>0</v>
      </c>
      <c r="I163" s="300">
        <v>0</v>
      </c>
      <c r="J163" s="300">
        <v>0</v>
      </c>
      <c r="K163" s="300"/>
      <c r="L163" s="300"/>
      <c r="M163" s="300"/>
      <c r="N163" s="382"/>
      <c r="O163" s="275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  <c r="AA163" s="275"/>
      <c r="AB163" s="275"/>
      <c r="AC163" s="275"/>
      <c r="AD163" s="275"/>
      <c r="AE163" s="275"/>
    </row>
    <row r="164" spans="2:31" ht="15">
      <c r="B164" s="380">
        <f t="shared" si="5"/>
        <v>119</v>
      </c>
      <c r="C164" s="388" t="str" cm="1">
        <f t="array" aca="1" ref="C164" ca="1">IF(B164&lt;=$C$9,GetGetCDSName(B164),"")</f>
        <v>VIVENDI_MMR.EUR.SU</v>
      </c>
      <c r="D164" s="348">
        <v>0</v>
      </c>
      <c r="E164" s="381">
        <v>0</v>
      </c>
      <c r="F164" s="300">
        <v>0</v>
      </c>
      <c r="G164" s="300">
        <v>1</v>
      </c>
      <c r="H164" s="300">
        <v>0</v>
      </c>
      <c r="I164" s="300">
        <v>0</v>
      </c>
      <c r="J164" s="300">
        <v>0</v>
      </c>
      <c r="K164" s="300"/>
      <c r="L164" s="300"/>
      <c r="M164" s="300"/>
      <c r="N164" s="382"/>
      <c r="O164" s="275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  <c r="AA164" s="275"/>
      <c r="AB164" s="275"/>
      <c r="AC164" s="275"/>
      <c r="AD164" s="275"/>
      <c r="AE164" s="275"/>
    </row>
    <row r="165" spans="2:31" ht="15">
      <c r="B165" s="380">
        <f t="shared" si="5"/>
        <v>120</v>
      </c>
      <c r="C165" s="388" t="str" cm="1">
        <f t="array" aca="1" ref="C165" ca="1">IF(B165&lt;=$C$9,GetGetCDSName(B165),"")</f>
        <v>VODAFONE_MMR.EUR.SU</v>
      </c>
      <c r="D165" s="348">
        <v>0</v>
      </c>
      <c r="E165" s="381">
        <v>1</v>
      </c>
      <c r="F165" s="300">
        <v>0</v>
      </c>
      <c r="G165" s="300">
        <v>0</v>
      </c>
      <c r="H165" s="300">
        <v>0</v>
      </c>
      <c r="I165" s="300">
        <v>0</v>
      </c>
      <c r="J165" s="300">
        <v>0</v>
      </c>
      <c r="K165" s="300"/>
      <c r="L165" s="300"/>
      <c r="M165" s="300"/>
      <c r="N165" s="382"/>
      <c r="O165" s="275"/>
      <c r="P165" s="275"/>
      <c r="Q165" s="275"/>
      <c r="R165" s="275"/>
      <c r="S165" s="275"/>
      <c r="T165" s="275"/>
      <c r="U165" s="275"/>
      <c r="V165" s="275"/>
      <c r="W165" s="275"/>
      <c r="X165" s="275"/>
      <c r="Y165" s="275"/>
      <c r="Z165" s="275"/>
      <c r="AA165" s="275"/>
      <c r="AB165" s="275"/>
      <c r="AC165" s="275"/>
      <c r="AD165" s="275"/>
      <c r="AE165" s="275"/>
    </row>
    <row r="166" spans="2:31" ht="15">
      <c r="B166" s="380">
        <f t="shared" si="5"/>
        <v>121</v>
      </c>
      <c r="C166" s="388" t="str" cm="1">
        <f t="array" aca="1" ref="C166" ca="1">IF(B166&lt;=$C$9,GetGetCDSName(B166),"")</f>
        <v>VOLVO_MMR.EUR.SU</v>
      </c>
      <c r="D166" s="348">
        <v>0</v>
      </c>
      <c r="E166" s="381">
        <v>0</v>
      </c>
      <c r="F166" s="300">
        <v>0</v>
      </c>
      <c r="G166" s="300">
        <v>0</v>
      </c>
      <c r="H166" s="300">
        <v>1</v>
      </c>
      <c r="I166" s="300">
        <v>0</v>
      </c>
      <c r="J166" s="300">
        <v>1</v>
      </c>
      <c r="K166" s="300"/>
      <c r="L166" s="300"/>
      <c r="M166" s="300"/>
      <c r="N166" s="382"/>
      <c r="O166" s="275"/>
      <c r="P166" s="275"/>
      <c r="Q166" s="275"/>
      <c r="R166" s="275"/>
      <c r="S166" s="275"/>
      <c r="T166" s="275"/>
      <c r="U166" s="275"/>
      <c r="V166" s="275"/>
      <c r="W166" s="275"/>
      <c r="X166" s="275"/>
      <c r="Y166" s="275"/>
      <c r="Z166" s="275"/>
      <c r="AA166" s="275"/>
      <c r="AB166" s="275"/>
      <c r="AC166" s="275"/>
      <c r="AD166" s="275"/>
      <c r="AE166" s="275"/>
    </row>
    <row r="167" spans="2:31" ht="15">
      <c r="B167" s="380">
        <f t="shared" si="5"/>
        <v>122</v>
      </c>
      <c r="C167" s="388" t="str" cm="1">
        <f t="array" aca="1" ref="C167" ca="1">IF(B167&lt;=$C$9,GetGetCDSName(B167),"")</f>
        <v>VW_MMR.EUR.SU</v>
      </c>
      <c r="D167" s="348">
        <v>0</v>
      </c>
      <c r="E167" s="381">
        <v>1</v>
      </c>
      <c r="F167" s="300">
        <v>0</v>
      </c>
      <c r="G167" s="300">
        <v>0</v>
      </c>
      <c r="H167" s="300">
        <v>0</v>
      </c>
      <c r="I167" s="300">
        <v>0</v>
      </c>
      <c r="J167" s="300">
        <v>0</v>
      </c>
      <c r="K167" s="300"/>
      <c r="L167" s="300"/>
      <c r="M167" s="300"/>
      <c r="N167" s="382"/>
      <c r="O167" s="275"/>
      <c r="P167" s="275"/>
      <c r="Q167" s="275"/>
      <c r="R167" s="275"/>
      <c r="S167" s="275"/>
      <c r="T167" s="275"/>
      <c r="U167" s="275"/>
      <c r="V167" s="275"/>
      <c r="W167" s="275"/>
      <c r="X167" s="275"/>
      <c r="Y167" s="275"/>
      <c r="Z167" s="275"/>
      <c r="AA167" s="275"/>
      <c r="AB167" s="275"/>
      <c r="AC167" s="275"/>
      <c r="AD167" s="275"/>
      <c r="AE167" s="275"/>
    </row>
    <row r="168" spans="2:31" ht="15">
      <c r="B168" s="380">
        <f t="shared" si="5"/>
        <v>123</v>
      </c>
      <c r="C168" s="388" t="str" cm="1">
        <f t="array" aca="1" ref="C168" ca="1">IF(B168&lt;=$C$9,GetGetCDSName(B168),"")</f>
        <v>WOLTERSKLUWERCVA_MMR.EUR.SU</v>
      </c>
      <c r="D168" s="348">
        <v>0</v>
      </c>
      <c r="E168" s="381">
        <v>0</v>
      </c>
      <c r="F168" s="300">
        <v>1</v>
      </c>
      <c r="G168" s="300">
        <v>0</v>
      </c>
      <c r="H168" s="300">
        <v>0</v>
      </c>
      <c r="I168" s="300">
        <v>0</v>
      </c>
      <c r="J168" s="300">
        <v>0</v>
      </c>
      <c r="K168" s="300"/>
      <c r="L168" s="300"/>
      <c r="M168" s="300"/>
      <c r="N168" s="382"/>
      <c r="O168" s="275"/>
      <c r="P168" s="275"/>
      <c r="Q168" s="275"/>
      <c r="R168" s="275"/>
      <c r="S168" s="275"/>
      <c r="T168" s="275"/>
      <c r="U168" s="275"/>
      <c r="V168" s="275"/>
      <c r="W168" s="275"/>
      <c r="X168" s="275"/>
      <c r="Y168" s="275"/>
      <c r="Z168" s="275"/>
      <c r="AA168" s="275"/>
      <c r="AB168" s="275"/>
      <c r="AC168" s="275"/>
      <c r="AD168" s="275"/>
      <c r="AE168" s="275"/>
    </row>
    <row r="169" spans="2:31" ht="15">
      <c r="B169" s="380">
        <f t="shared" si="5"/>
        <v>124</v>
      </c>
      <c r="C169" s="388" t="str" cm="1">
        <f t="array" aca="1" ref="C169" ca="1">IF(B169&lt;=$C$9,GetGetCDSName(B169),"")</f>
        <v>WPPGROUP_MMR.EUR.SU</v>
      </c>
      <c r="D169" s="348">
        <v>0</v>
      </c>
      <c r="E169" s="381">
        <v>1</v>
      </c>
      <c r="F169" s="300">
        <v>0</v>
      </c>
      <c r="G169" s="300">
        <v>1</v>
      </c>
      <c r="H169" s="300">
        <v>0</v>
      </c>
      <c r="I169" s="300">
        <v>1</v>
      </c>
      <c r="J169" s="300">
        <v>0</v>
      </c>
      <c r="K169" s="300"/>
      <c r="L169" s="300"/>
      <c r="M169" s="300"/>
      <c r="N169" s="382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</row>
    <row r="170" spans="2:31" ht="15">
      <c r="B170" s="380">
        <f t="shared" si="5"/>
        <v>125</v>
      </c>
      <c r="C170" s="388" t="str" cm="1">
        <f t="array" aca="1" ref="C170" ca="1">IF(B170&lt;=$C$9,GetGetCDSName(B170),"")</f>
        <v>ZURICHINSURANCE_MMR.EUR.SU</v>
      </c>
      <c r="D170" s="348">
        <v>0</v>
      </c>
      <c r="E170" s="381">
        <v>0</v>
      </c>
      <c r="F170" s="300">
        <v>0</v>
      </c>
      <c r="G170" s="300">
        <v>0</v>
      </c>
      <c r="H170" s="300">
        <v>1</v>
      </c>
      <c r="I170" s="300">
        <v>0</v>
      </c>
      <c r="J170" s="300">
        <v>0</v>
      </c>
      <c r="K170" s="300"/>
      <c r="L170" s="300"/>
      <c r="M170" s="300"/>
      <c r="N170" s="382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</row>
    <row r="171" spans="2:31" ht="15">
      <c r="B171" s="380">
        <f t="shared" si="5"/>
        <v>126</v>
      </c>
      <c r="C171" s="388" t="str" cm="1">
        <f t="array" aca="1" ref="C171" ca="1">IF(B171&lt;=$C$9,GetGetCDSName(B171),"")</f>
        <v/>
      </c>
      <c r="D171" s="348"/>
      <c r="E171" s="381"/>
      <c r="F171" s="300"/>
      <c r="G171" s="300"/>
      <c r="H171" s="300"/>
      <c r="I171" s="300"/>
      <c r="J171" s="300"/>
      <c r="K171" s="300"/>
      <c r="L171" s="300"/>
      <c r="M171" s="300"/>
      <c r="N171" s="382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</row>
    <row r="172" spans="2:31" ht="15">
      <c r="B172" s="380">
        <f t="shared" si="5"/>
        <v>127</v>
      </c>
      <c r="C172" s="388" t="str" cm="1">
        <f t="array" aca="1" ref="C172" ca="1">IF(B172&lt;=$C$9,GetGetCDSName(B172),"")</f>
        <v/>
      </c>
      <c r="D172" s="348"/>
      <c r="E172" s="381"/>
      <c r="F172" s="300"/>
      <c r="G172" s="300"/>
      <c r="H172" s="300"/>
      <c r="I172" s="300"/>
      <c r="J172" s="300"/>
      <c r="K172" s="300"/>
      <c r="L172" s="300"/>
      <c r="M172" s="300"/>
      <c r="N172" s="382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</row>
    <row r="173" spans="2:31" ht="15">
      <c r="B173" s="380">
        <f t="shared" si="5"/>
        <v>128</v>
      </c>
      <c r="C173" s="388" t="str" cm="1">
        <f t="array" aca="1" ref="C173" ca="1">IF(B173&lt;=$C$9,GetGetCDSName(B173),"")</f>
        <v/>
      </c>
      <c r="D173" s="348"/>
      <c r="E173" s="381"/>
      <c r="F173" s="300"/>
      <c r="G173" s="300"/>
      <c r="H173" s="300"/>
      <c r="I173" s="300"/>
      <c r="J173" s="300"/>
      <c r="K173" s="300"/>
      <c r="L173" s="300"/>
      <c r="M173" s="300"/>
      <c r="N173" s="382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</row>
    <row r="174" spans="2:31" ht="15">
      <c r="B174" s="380">
        <f t="shared" si="5"/>
        <v>129</v>
      </c>
      <c r="C174" s="388" t="str" cm="1">
        <f t="array" aca="1" ref="C174" ca="1">IF(B174&lt;=$C$9,GetGetCDSName(B174),"")</f>
        <v/>
      </c>
      <c r="D174" s="348"/>
      <c r="E174" s="381"/>
      <c r="F174" s="300"/>
      <c r="G174" s="300"/>
      <c r="H174" s="300"/>
      <c r="I174" s="300"/>
      <c r="J174" s="300"/>
      <c r="K174" s="300"/>
      <c r="L174" s="300"/>
      <c r="M174" s="300"/>
      <c r="N174" s="382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</row>
    <row r="175" spans="2:31" ht="15">
      <c r="B175" s="380">
        <f t="shared" ref="B175:B238" si="6">B174+1</f>
        <v>130</v>
      </c>
      <c r="C175" s="388" t="str" cm="1">
        <f t="array" aca="1" ref="C175" ca="1">IF(B175&lt;=$C$9,GetGetCDSName(B175),"")</f>
        <v/>
      </c>
      <c r="D175" s="348"/>
      <c r="E175" s="381"/>
      <c r="F175" s="300"/>
      <c r="G175" s="300"/>
      <c r="H175" s="300"/>
      <c r="I175" s="300"/>
      <c r="J175" s="300"/>
      <c r="K175" s="300"/>
      <c r="L175" s="300"/>
      <c r="M175" s="300"/>
      <c r="N175" s="382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</row>
    <row r="176" spans="2:31" ht="15">
      <c r="B176" s="380">
        <f t="shared" si="6"/>
        <v>131</v>
      </c>
      <c r="C176" s="388" t="str" cm="1">
        <f t="array" aca="1" ref="C176" ca="1">IF(B176&lt;=$C$9,GetGetCDSName(B176),"")</f>
        <v/>
      </c>
      <c r="D176" s="348"/>
      <c r="E176" s="381"/>
      <c r="F176" s="300"/>
      <c r="G176" s="300"/>
      <c r="H176" s="300"/>
      <c r="I176" s="300"/>
      <c r="J176" s="300"/>
      <c r="K176" s="300"/>
      <c r="L176" s="300"/>
      <c r="M176" s="300"/>
      <c r="N176" s="382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</row>
    <row r="177" spans="2:31" ht="15">
      <c r="B177" s="380">
        <f t="shared" si="6"/>
        <v>132</v>
      </c>
      <c r="C177" s="388" t="str" cm="1">
        <f t="array" aca="1" ref="C177" ca="1">IF(B177&lt;=$C$9,GetGetCDSName(B177),"")</f>
        <v/>
      </c>
      <c r="D177" s="348"/>
      <c r="E177" s="381"/>
      <c r="F177" s="300"/>
      <c r="G177" s="300"/>
      <c r="H177" s="300"/>
      <c r="I177" s="300"/>
      <c r="J177" s="300"/>
      <c r="K177" s="300"/>
      <c r="L177" s="300"/>
      <c r="M177" s="300"/>
      <c r="N177" s="382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</row>
    <row r="178" spans="2:31" ht="15">
      <c r="B178" s="380">
        <f t="shared" si="6"/>
        <v>133</v>
      </c>
      <c r="C178" s="388" t="str" cm="1">
        <f t="array" aca="1" ref="C178" ca="1">IF(B178&lt;=$C$9,GetGetCDSName(B178),"")</f>
        <v/>
      </c>
      <c r="D178" s="348"/>
      <c r="E178" s="381"/>
      <c r="F178" s="300"/>
      <c r="G178" s="300"/>
      <c r="H178" s="300"/>
      <c r="I178" s="300"/>
      <c r="J178" s="300"/>
      <c r="K178" s="300"/>
      <c r="L178" s="300"/>
      <c r="M178" s="300"/>
      <c r="N178" s="382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</row>
    <row r="179" spans="2:31" ht="15">
      <c r="B179" s="380">
        <f t="shared" si="6"/>
        <v>134</v>
      </c>
      <c r="C179" s="388" t="str" cm="1">
        <f t="array" aca="1" ref="C179" ca="1">IF(B179&lt;=$C$9,GetGetCDSName(B179),"")</f>
        <v/>
      </c>
      <c r="D179" s="348"/>
      <c r="E179" s="381"/>
      <c r="F179" s="300"/>
      <c r="G179" s="300"/>
      <c r="H179" s="300"/>
      <c r="I179" s="300"/>
      <c r="J179" s="300"/>
      <c r="K179" s="300"/>
      <c r="L179" s="300"/>
      <c r="M179" s="300"/>
      <c r="N179" s="382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</row>
    <row r="180" spans="2:31" ht="15">
      <c r="B180" s="380">
        <f t="shared" si="6"/>
        <v>135</v>
      </c>
      <c r="C180" s="388" t="str" cm="1">
        <f t="array" aca="1" ref="C180" ca="1">IF(B180&lt;=$C$9,GetGetCDSName(B180),"")</f>
        <v/>
      </c>
      <c r="D180" s="348"/>
      <c r="E180" s="381"/>
      <c r="F180" s="300"/>
      <c r="G180" s="300"/>
      <c r="H180" s="300"/>
      <c r="I180" s="300"/>
      <c r="J180" s="300"/>
      <c r="K180" s="300"/>
      <c r="L180" s="300"/>
      <c r="M180" s="300"/>
      <c r="N180" s="382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</row>
    <row r="181" spans="2:31" ht="15">
      <c r="B181" s="380">
        <f t="shared" si="6"/>
        <v>136</v>
      </c>
      <c r="C181" s="388" t="str" cm="1">
        <f t="array" aca="1" ref="C181" ca="1">IF(B181&lt;=$C$9,GetGetCDSName(B181),"")</f>
        <v/>
      </c>
      <c r="D181" s="348"/>
      <c r="E181" s="381"/>
      <c r="F181" s="300"/>
      <c r="G181" s="300"/>
      <c r="H181" s="300"/>
      <c r="I181" s="300"/>
      <c r="J181" s="300"/>
      <c r="K181" s="300"/>
      <c r="L181" s="300"/>
      <c r="M181" s="300"/>
      <c r="N181" s="382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</row>
    <row r="182" spans="2:31" ht="15">
      <c r="B182" s="380">
        <f t="shared" si="6"/>
        <v>137</v>
      </c>
      <c r="C182" s="388" t="str" cm="1">
        <f t="array" aca="1" ref="C182" ca="1">IF(B182&lt;=$C$9,GetGetCDSName(B182),"")</f>
        <v/>
      </c>
      <c r="D182" s="348"/>
      <c r="E182" s="381"/>
      <c r="F182" s="300"/>
      <c r="G182" s="300"/>
      <c r="H182" s="300"/>
      <c r="I182" s="300"/>
      <c r="J182" s="300"/>
      <c r="K182" s="300"/>
      <c r="L182" s="300"/>
      <c r="M182" s="300"/>
      <c r="N182" s="382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</row>
    <row r="183" spans="2:31" ht="15">
      <c r="B183" s="380">
        <f t="shared" si="6"/>
        <v>138</v>
      </c>
      <c r="C183" s="388" t="str" cm="1">
        <f t="array" aca="1" ref="C183" ca="1">IF(B183&lt;=$C$9,GetGetCDSName(B183),"")</f>
        <v/>
      </c>
      <c r="D183" s="348"/>
      <c r="E183" s="381"/>
      <c r="F183" s="300"/>
      <c r="G183" s="300"/>
      <c r="H183" s="300"/>
      <c r="I183" s="300"/>
      <c r="J183" s="300"/>
      <c r="K183" s="300"/>
      <c r="L183" s="300"/>
      <c r="M183" s="300"/>
      <c r="N183" s="382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</row>
    <row r="184" spans="2:31" ht="15">
      <c r="B184" s="380">
        <f t="shared" si="6"/>
        <v>139</v>
      </c>
      <c r="C184" s="388" t="str" cm="1">
        <f t="array" aca="1" ref="C184" ca="1">IF(B184&lt;=$C$9,GetGetCDSName(B184),"")</f>
        <v/>
      </c>
      <c r="D184" s="348"/>
      <c r="E184" s="381"/>
      <c r="F184" s="300"/>
      <c r="G184" s="300"/>
      <c r="H184" s="300"/>
      <c r="I184" s="300"/>
      <c r="J184" s="300"/>
      <c r="K184" s="300"/>
      <c r="L184" s="300"/>
      <c r="M184" s="300"/>
      <c r="N184" s="382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</row>
    <row r="185" spans="2:31" ht="15">
      <c r="B185" s="380">
        <f t="shared" si="6"/>
        <v>140</v>
      </c>
      <c r="C185" s="388" t="str" cm="1">
        <f t="array" aca="1" ref="C185" ca="1">IF(B185&lt;=$C$9,GetGetCDSName(B185),"")</f>
        <v/>
      </c>
      <c r="D185" s="348"/>
      <c r="E185" s="381"/>
      <c r="F185" s="300"/>
      <c r="G185" s="300"/>
      <c r="H185" s="300"/>
      <c r="I185" s="300"/>
      <c r="J185" s="300"/>
      <c r="K185" s="300"/>
      <c r="L185" s="300"/>
      <c r="M185" s="300"/>
      <c r="N185" s="382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</row>
    <row r="186" spans="2:31" ht="15">
      <c r="B186" s="380">
        <f t="shared" si="6"/>
        <v>141</v>
      </c>
      <c r="C186" s="388" t="str" cm="1">
        <f t="array" aca="1" ref="C186" ca="1">IF(B186&lt;=$C$9,GetGetCDSName(B186),"")</f>
        <v/>
      </c>
      <c r="D186" s="348"/>
      <c r="E186" s="381"/>
      <c r="F186" s="300"/>
      <c r="G186" s="300"/>
      <c r="H186" s="300"/>
      <c r="I186" s="300"/>
      <c r="J186" s="300"/>
      <c r="K186" s="300"/>
      <c r="L186" s="300"/>
      <c r="M186" s="300"/>
      <c r="N186" s="382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</row>
    <row r="187" spans="2:31" ht="15">
      <c r="B187" s="380">
        <f t="shared" si="6"/>
        <v>142</v>
      </c>
      <c r="C187" s="388" t="str" cm="1">
        <f t="array" aca="1" ref="C187" ca="1">IF(B187&lt;=$C$9,GetGetCDSName(B187),"")</f>
        <v/>
      </c>
      <c r="D187" s="348"/>
      <c r="E187" s="381"/>
      <c r="F187" s="300"/>
      <c r="G187" s="300"/>
      <c r="H187" s="300"/>
      <c r="I187" s="300"/>
      <c r="J187" s="300"/>
      <c r="K187" s="300"/>
      <c r="L187" s="300"/>
      <c r="M187" s="300"/>
      <c r="N187" s="382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</row>
    <row r="188" spans="2:31" ht="15">
      <c r="B188" s="380">
        <f t="shared" si="6"/>
        <v>143</v>
      </c>
      <c r="C188" s="388" t="str" cm="1">
        <f t="array" aca="1" ref="C188" ca="1">IF(B188&lt;=$C$9,GetGetCDSName(B188),"")</f>
        <v/>
      </c>
      <c r="D188" s="348"/>
      <c r="E188" s="381"/>
      <c r="F188" s="300"/>
      <c r="G188" s="300"/>
      <c r="H188" s="300"/>
      <c r="I188" s="300"/>
      <c r="J188" s="300"/>
      <c r="K188" s="300"/>
      <c r="L188" s="300"/>
      <c r="M188" s="300"/>
      <c r="N188" s="382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</row>
    <row r="189" spans="2:31" ht="15">
      <c r="B189" s="380">
        <f t="shared" si="6"/>
        <v>144</v>
      </c>
      <c r="C189" s="388" t="str" cm="1">
        <f t="array" aca="1" ref="C189" ca="1">IF(B189&lt;=$C$9,GetGetCDSName(B189),"")</f>
        <v/>
      </c>
      <c r="D189" s="348"/>
      <c r="E189" s="381"/>
      <c r="F189" s="300"/>
      <c r="G189" s="300"/>
      <c r="H189" s="300"/>
      <c r="I189" s="300"/>
      <c r="J189" s="300"/>
      <c r="K189" s="300"/>
      <c r="L189" s="300"/>
      <c r="M189" s="300"/>
      <c r="N189" s="382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</row>
    <row r="190" spans="2:31" ht="15">
      <c r="B190" s="380">
        <f t="shared" si="6"/>
        <v>145</v>
      </c>
      <c r="C190" s="388" t="str" cm="1">
        <f t="array" aca="1" ref="C190" ca="1">IF(B190&lt;=$C$9,GetGetCDSName(B190),"")</f>
        <v/>
      </c>
      <c r="D190" s="348"/>
      <c r="E190" s="381"/>
      <c r="F190" s="300"/>
      <c r="G190" s="300"/>
      <c r="H190" s="300"/>
      <c r="I190" s="300"/>
      <c r="J190" s="300"/>
      <c r="K190" s="300"/>
      <c r="L190" s="300"/>
      <c r="M190" s="300"/>
      <c r="N190" s="382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</row>
    <row r="191" spans="2:31" ht="15">
      <c r="B191" s="380">
        <f t="shared" si="6"/>
        <v>146</v>
      </c>
      <c r="C191" s="388" t="str" cm="1">
        <f t="array" aca="1" ref="C191" ca="1">IF(B191&lt;=$C$9,GetGetCDSName(B191),"")</f>
        <v/>
      </c>
      <c r="D191" s="348"/>
      <c r="E191" s="381"/>
      <c r="F191" s="300"/>
      <c r="G191" s="300"/>
      <c r="H191" s="300"/>
      <c r="I191" s="300"/>
      <c r="J191" s="300"/>
      <c r="K191" s="300"/>
      <c r="L191" s="300"/>
      <c r="M191" s="300"/>
      <c r="N191" s="382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</row>
    <row r="192" spans="2:31" ht="15">
      <c r="B192" s="380">
        <f t="shared" si="6"/>
        <v>147</v>
      </c>
      <c r="C192" s="388" t="str" cm="1">
        <f t="array" aca="1" ref="C192" ca="1">IF(B192&lt;=$C$9,GetGetCDSName(B192),"")</f>
        <v/>
      </c>
      <c r="D192" s="348"/>
      <c r="E192" s="381"/>
      <c r="F192" s="300"/>
      <c r="G192" s="300"/>
      <c r="H192" s="300"/>
      <c r="I192" s="300"/>
      <c r="J192" s="300"/>
      <c r="K192" s="300"/>
      <c r="L192" s="300"/>
      <c r="M192" s="300"/>
      <c r="N192" s="382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</row>
    <row r="193" spans="2:31" ht="15">
      <c r="B193" s="380">
        <f t="shared" si="6"/>
        <v>148</v>
      </c>
      <c r="C193" s="388" t="str" cm="1">
        <f t="array" aca="1" ref="C193" ca="1">IF(B193&lt;=$C$9,GetGetCDSName(B193),"")</f>
        <v/>
      </c>
      <c r="D193" s="348"/>
      <c r="E193" s="381"/>
      <c r="F193" s="300"/>
      <c r="G193" s="300"/>
      <c r="H193" s="300"/>
      <c r="I193" s="300"/>
      <c r="J193" s="300"/>
      <c r="K193" s="300"/>
      <c r="L193" s="300"/>
      <c r="M193" s="300"/>
      <c r="N193" s="382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</row>
    <row r="194" spans="2:31" ht="15">
      <c r="B194" s="380">
        <f t="shared" si="6"/>
        <v>149</v>
      </c>
      <c r="C194" s="388" t="str" cm="1">
        <f t="array" aca="1" ref="C194" ca="1">IF(B194&lt;=$C$9,GetGetCDSName(B194),"")</f>
        <v/>
      </c>
      <c r="D194" s="348"/>
      <c r="E194" s="381"/>
      <c r="F194" s="300"/>
      <c r="G194" s="300"/>
      <c r="H194" s="300"/>
      <c r="I194" s="300"/>
      <c r="J194" s="300"/>
      <c r="K194" s="300"/>
      <c r="L194" s="300"/>
      <c r="M194" s="300"/>
      <c r="N194" s="382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</row>
    <row r="195" spans="2:31" ht="15">
      <c r="B195" s="380">
        <f t="shared" si="6"/>
        <v>150</v>
      </c>
      <c r="C195" s="388" t="str" cm="1">
        <f t="array" aca="1" ref="C195" ca="1">IF(B195&lt;=$C$9,GetGetCDSName(B195),"")</f>
        <v/>
      </c>
      <c r="D195" s="348"/>
      <c r="E195" s="381"/>
      <c r="F195" s="300"/>
      <c r="G195" s="300"/>
      <c r="H195" s="300"/>
      <c r="I195" s="300"/>
      <c r="J195" s="300"/>
      <c r="K195" s="300"/>
      <c r="L195" s="300"/>
      <c r="M195" s="300"/>
      <c r="N195" s="382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</row>
    <row r="196" spans="2:31" ht="15">
      <c r="B196" s="380">
        <f t="shared" si="6"/>
        <v>151</v>
      </c>
      <c r="C196" s="388" t="str" cm="1">
        <f t="array" aca="1" ref="C196" ca="1">IF(B196&lt;=$C$9,GetGetCDSName(B196),"")</f>
        <v/>
      </c>
      <c r="D196" s="348"/>
      <c r="E196" s="381"/>
      <c r="F196" s="300"/>
      <c r="G196" s="300"/>
      <c r="H196" s="300"/>
      <c r="I196" s="300"/>
      <c r="J196" s="300"/>
      <c r="K196" s="300"/>
      <c r="L196" s="300"/>
      <c r="M196" s="300"/>
      <c r="N196" s="382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</row>
    <row r="197" spans="2:31" ht="15">
      <c r="B197" s="380">
        <f t="shared" si="6"/>
        <v>152</v>
      </c>
      <c r="C197" s="388" t="str" cm="1">
        <f t="array" aca="1" ref="C197" ca="1">IF(B197&lt;=$C$9,GetGetCDSName(B197),"")</f>
        <v/>
      </c>
      <c r="D197" s="348"/>
      <c r="E197" s="381"/>
      <c r="F197" s="300"/>
      <c r="G197" s="300"/>
      <c r="H197" s="300"/>
      <c r="I197" s="300"/>
      <c r="J197" s="300"/>
      <c r="K197" s="300"/>
      <c r="L197" s="300"/>
      <c r="M197" s="300"/>
      <c r="N197" s="382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</row>
    <row r="198" spans="2:31" ht="15">
      <c r="B198" s="380">
        <f t="shared" si="6"/>
        <v>153</v>
      </c>
      <c r="C198" s="388" t="str" cm="1">
        <f t="array" aca="1" ref="C198" ca="1">IF(B198&lt;=$C$9,GetGetCDSName(B198),"")</f>
        <v/>
      </c>
      <c r="D198" s="348"/>
      <c r="E198" s="381"/>
      <c r="F198" s="300"/>
      <c r="G198" s="300"/>
      <c r="H198" s="300"/>
      <c r="I198" s="300"/>
      <c r="J198" s="300"/>
      <c r="K198" s="300"/>
      <c r="L198" s="300"/>
      <c r="M198" s="300"/>
      <c r="N198" s="382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</row>
    <row r="199" spans="2:31" ht="15">
      <c r="B199" s="380">
        <f t="shared" si="6"/>
        <v>154</v>
      </c>
      <c r="C199" s="388" t="str" cm="1">
        <f t="array" aca="1" ref="C199" ca="1">IF(B199&lt;=$C$9,GetGetCDSName(B199),"")</f>
        <v/>
      </c>
      <c r="D199" s="348"/>
      <c r="E199" s="381"/>
      <c r="F199" s="300"/>
      <c r="G199" s="300"/>
      <c r="H199" s="300"/>
      <c r="I199" s="300"/>
      <c r="J199" s="300"/>
      <c r="K199" s="300"/>
      <c r="L199" s="300"/>
      <c r="M199" s="300"/>
      <c r="N199" s="382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</row>
    <row r="200" spans="2:31" ht="15">
      <c r="B200" s="380">
        <f t="shared" si="6"/>
        <v>155</v>
      </c>
      <c r="C200" s="388" t="str" cm="1">
        <f t="array" aca="1" ref="C200" ca="1">IF(B200&lt;=$C$9,GetGetCDSName(B200),"")</f>
        <v/>
      </c>
      <c r="D200" s="348"/>
      <c r="E200" s="381"/>
      <c r="F200" s="300"/>
      <c r="G200" s="300"/>
      <c r="H200" s="300"/>
      <c r="I200" s="300"/>
      <c r="J200" s="300"/>
      <c r="K200" s="300"/>
      <c r="L200" s="300"/>
      <c r="M200" s="300"/>
      <c r="N200" s="382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</row>
    <row r="201" spans="2:31" ht="15">
      <c r="B201" s="380">
        <f t="shared" si="6"/>
        <v>156</v>
      </c>
      <c r="C201" s="388" t="str" cm="1">
        <f t="array" aca="1" ref="C201" ca="1">IF(B201&lt;=$C$9,GetGetCDSName(B201),"")</f>
        <v/>
      </c>
      <c r="D201" s="348"/>
      <c r="E201" s="381"/>
      <c r="F201" s="300"/>
      <c r="G201" s="300"/>
      <c r="H201" s="300"/>
      <c r="I201" s="300"/>
      <c r="J201" s="300"/>
      <c r="K201" s="300"/>
      <c r="L201" s="300"/>
      <c r="M201" s="300"/>
      <c r="N201" s="382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</row>
    <row r="202" spans="2:31" ht="15">
      <c r="B202" s="380">
        <f t="shared" si="6"/>
        <v>157</v>
      </c>
      <c r="C202" s="388" t="str" cm="1">
        <f t="array" aca="1" ref="C202" ca="1">IF(B202&lt;=$C$9,GetGetCDSName(B202),"")</f>
        <v/>
      </c>
      <c r="D202" s="348"/>
      <c r="E202" s="381"/>
      <c r="F202" s="300"/>
      <c r="G202" s="300"/>
      <c r="H202" s="300"/>
      <c r="I202" s="300"/>
      <c r="J202" s="300"/>
      <c r="K202" s="300"/>
      <c r="L202" s="300"/>
      <c r="M202" s="300"/>
      <c r="N202" s="382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</row>
    <row r="203" spans="2:31" ht="15">
      <c r="B203" s="380">
        <f t="shared" si="6"/>
        <v>158</v>
      </c>
      <c r="C203" s="388" t="str" cm="1">
        <f t="array" aca="1" ref="C203" ca="1">IF(B203&lt;=$C$9,GetGetCDSName(B203),"")</f>
        <v/>
      </c>
      <c r="D203" s="348"/>
      <c r="E203" s="381"/>
      <c r="F203" s="300"/>
      <c r="G203" s="300"/>
      <c r="H203" s="300"/>
      <c r="I203" s="300"/>
      <c r="J203" s="300"/>
      <c r="K203" s="300"/>
      <c r="L203" s="300"/>
      <c r="M203" s="300"/>
      <c r="N203" s="382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</row>
    <row r="204" spans="2:31" ht="15">
      <c r="B204" s="380">
        <f t="shared" si="6"/>
        <v>159</v>
      </c>
      <c r="C204" s="388" t="str" cm="1">
        <f t="array" aca="1" ref="C204" ca="1">IF(B204&lt;=$C$9,GetGetCDSName(B204),"")</f>
        <v/>
      </c>
      <c r="D204" s="348"/>
      <c r="E204" s="381"/>
      <c r="F204" s="300"/>
      <c r="G204" s="300"/>
      <c r="H204" s="300"/>
      <c r="I204" s="300"/>
      <c r="J204" s="300"/>
      <c r="K204" s="300"/>
      <c r="L204" s="300"/>
      <c r="M204" s="300"/>
      <c r="N204" s="382"/>
      <c r="O204" s="275"/>
      <c r="P204" s="275"/>
      <c r="Q204" s="275"/>
      <c r="R204" s="275"/>
      <c r="S204" s="275"/>
      <c r="T204" s="275"/>
      <c r="U204" s="275"/>
      <c r="V204" s="275"/>
      <c r="W204" s="275"/>
      <c r="X204" s="275"/>
      <c r="Y204" s="275"/>
      <c r="Z204" s="275"/>
      <c r="AA204" s="275"/>
      <c r="AB204" s="275"/>
      <c r="AC204" s="275"/>
      <c r="AD204" s="275"/>
      <c r="AE204" s="275"/>
    </row>
    <row r="205" spans="2:31" ht="15">
      <c r="B205" s="380">
        <f t="shared" si="6"/>
        <v>160</v>
      </c>
      <c r="C205" s="388" t="str" cm="1">
        <f t="array" aca="1" ref="C205" ca="1">IF(B205&lt;=$C$9,GetGetCDSName(B205),"")</f>
        <v/>
      </c>
      <c r="D205" s="348"/>
      <c r="E205" s="381"/>
      <c r="F205" s="300"/>
      <c r="G205" s="300"/>
      <c r="H205" s="300"/>
      <c r="I205" s="300"/>
      <c r="J205" s="300"/>
      <c r="K205" s="300"/>
      <c r="L205" s="300"/>
      <c r="M205" s="300"/>
      <c r="N205" s="382"/>
      <c r="O205" s="275"/>
      <c r="P205" s="275"/>
      <c r="Q205" s="275"/>
      <c r="R205" s="275"/>
      <c r="S205" s="275"/>
      <c r="T205" s="275"/>
      <c r="U205" s="275"/>
      <c r="V205" s="275"/>
      <c r="W205" s="275"/>
      <c r="X205" s="275"/>
      <c r="Y205" s="275"/>
      <c r="Z205" s="275"/>
      <c r="AA205" s="275"/>
      <c r="AB205" s="275"/>
      <c r="AC205" s="275"/>
      <c r="AD205" s="275"/>
      <c r="AE205" s="275"/>
    </row>
    <row r="206" spans="2:31" ht="15">
      <c r="B206" s="380">
        <f t="shared" si="6"/>
        <v>161</v>
      </c>
      <c r="C206" s="388" t="str" cm="1">
        <f t="array" aca="1" ref="C206" ca="1">IF(B206&lt;=$C$9,GetGetCDSName(B206),"")</f>
        <v/>
      </c>
      <c r="D206" s="348"/>
      <c r="E206" s="381"/>
      <c r="F206" s="300"/>
      <c r="G206" s="300"/>
      <c r="H206" s="300"/>
      <c r="I206" s="300"/>
      <c r="J206" s="300"/>
      <c r="K206" s="300"/>
      <c r="L206" s="300"/>
      <c r="M206" s="300"/>
      <c r="N206" s="382"/>
      <c r="O206" s="275"/>
      <c r="P206" s="275"/>
      <c r="Q206" s="275"/>
      <c r="R206" s="275"/>
      <c r="S206" s="275"/>
      <c r="T206" s="275"/>
      <c r="U206" s="275"/>
      <c r="V206" s="275"/>
      <c r="W206" s="275"/>
      <c r="X206" s="275"/>
      <c r="Y206" s="275"/>
      <c r="Z206" s="275"/>
      <c r="AA206" s="275"/>
      <c r="AB206" s="275"/>
      <c r="AC206" s="275"/>
      <c r="AD206" s="275"/>
      <c r="AE206" s="275"/>
    </row>
    <row r="207" spans="2:31" ht="15">
      <c r="B207" s="380">
        <f t="shared" si="6"/>
        <v>162</v>
      </c>
      <c r="C207" s="388" t="str" cm="1">
        <f t="array" aca="1" ref="C207" ca="1">IF(B207&lt;=$C$9,GetGetCDSName(B207),"")</f>
        <v/>
      </c>
      <c r="D207" s="348"/>
      <c r="E207" s="381"/>
      <c r="F207" s="300"/>
      <c r="G207" s="300"/>
      <c r="H207" s="300"/>
      <c r="I207" s="300"/>
      <c r="J207" s="300"/>
      <c r="K207" s="300"/>
      <c r="L207" s="300"/>
      <c r="M207" s="300"/>
      <c r="N207" s="382"/>
      <c r="O207" s="275"/>
      <c r="P207" s="275"/>
      <c r="Q207" s="275"/>
      <c r="R207" s="275"/>
      <c r="S207" s="275"/>
      <c r="T207" s="275"/>
      <c r="U207" s="275"/>
      <c r="V207" s="275"/>
      <c r="W207" s="275"/>
      <c r="X207" s="275"/>
      <c r="Y207" s="275"/>
      <c r="Z207" s="275"/>
      <c r="AA207" s="275"/>
      <c r="AB207" s="275"/>
      <c r="AC207" s="275"/>
      <c r="AD207" s="275"/>
      <c r="AE207" s="275"/>
    </row>
    <row r="208" spans="2:31" ht="15">
      <c r="B208" s="380">
        <f t="shared" si="6"/>
        <v>163</v>
      </c>
      <c r="C208" s="388" t="str" cm="1">
        <f t="array" aca="1" ref="C208" ca="1">IF(B208&lt;=$C$9,GetGetCDSName(B208),"")</f>
        <v/>
      </c>
      <c r="D208" s="348"/>
      <c r="E208" s="381"/>
      <c r="F208" s="300"/>
      <c r="G208" s="300"/>
      <c r="H208" s="300"/>
      <c r="I208" s="300"/>
      <c r="J208" s="300"/>
      <c r="K208" s="300"/>
      <c r="L208" s="300"/>
      <c r="M208" s="300"/>
      <c r="N208" s="382"/>
      <c r="O208" s="275"/>
      <c r="P208" s="275"/>
      <c r="Q208" s="275"/>
      <c r="R208" s="275"/>
      <c r="S208" s="275"/>
      <c r="T208" s="275"/>
      <c r="U208" s="275"/>
      <c r="V208" s="275"/>
      <c r="W208" s="275"/>
      <c r="X208" s="275"/>
      <c r="Y208" s="275"/>
      <c r="Z208" s="275"/>
      <c r="AA208" s="275"/>
      <c r="AB208" s="275"/>
      <c r="AC208" s="275"/>
      <c r="AD208" s="275"/>
      <c r="AE208" s="275"/>
    </row>
    <row r="209" spans="2:31" ht="15">
      <c r="B209" s="380">
        <f t="shared" si="6"/>
        <v>164</v>
      </c>
      <c r="C209" s="388" t="str" cm="1">
        <f t="array" aca="1" ref="C209" ca="1">IF(B209&lt;=$C$9,GetGetCDSName(B209),"")</f>
        <v/>
      </c>
      <c r="D209" s="348"/>
      <c r="E209" s="381"/>
      <c r="F209" s="300"/>
      <c r="G209" s="300"/>
      <c r="H209" s="300"/>
      <c r="I209" s="300"/>
      <c r="J209" s="300"/>
      <c r="K209" s="300"/>
      <c r="L209" s="300"/>
      <c r="M209" s="300"/>
      <c r="N209" s="382"/>
      <c r="O209" s="275"/>
      <c r="P209" s="275"/>
      <c r="Q209" s="275"/>
      <c r="R209" s="275"/>
      <c r="S209" s="275"/>
      <c r="T209" s="275"/>
      <c r="U209" s="275"/>
      <c r="V209" s="275"/>
      <c r="W209" s="275"/>
      <c r="X209" s="275"/>
      <c r="Y209" s="275"/>
      <c r="Z209" s="275"/>
      <c r="AA209" s="275"/>
      <c r="AB209" s="275"/>
      <c r="AC209" s="275"/>
      <c r="AD209" s="275"/>
      <c r="AE209" s="275"/>
    </row>
    <row r="210" spans="2:31" ht="15">
      <c r="B210" s="380">
        <f t="shared" si="6"/>
        <v>165</v>
      </c>
      <c r="C210" s="388" t="str" cm="1">
        <f t="array" aca="1" ref="C210" ca="1">IF(B210&lt;=$C$9,GetGetCDSName(B210),"")</f>
        <v/>
      </c>
      <c r="D210" s="348"/>
      <c r="E210" s="381"/>
      <c r="F210" s="300"/>
      <c r="G210" s="300"/>
      <c r="H210" s="300"/>
      <c r="I210" s="300"/>
      <c r="J210" s="300"/>
      <c r="K210" s="300"/>
      <c r="L210" s="300"/>
      <c r="M210" s="300"/>
      <c r="N210" s="382"/>
      <c r="O210" s="275"/>
      <c r="P210" s="275"/>
      <c r="Q210" s="275"/>
      <c r="R210" s="275"/>
      <c r="S210" s="275"/>
      <c r="T210" s="275"/>
      <c r="U210" s="275"/>
      <c r="V210" s="275"/>
      <c r="W210" s="275"/>
      <c r="X210" s="275"/>
      <c r="Y210" s="275"/>
      <c r="Z210" s="275"/>
      <c r="AA210" s="275"/>
      <c r="AB210" s="275"/>
      <c r="AC210" s="275"/>
      <c r="AD210" s="275"/>
      <c r="AE210" s="275"/>
    </row>
    <row r="211" spans="2:31" ht="15">
      <c r="B211" s="380">
        <f t="shared" si="6"/>
        <v>166</v>
      </c>
      <c r="C211" s="388" t="str" cm="1">
        <f t="array" aca="1" ref="C211" ca="1">IF(B211&lt;=$C$9,GetGetCDSName(B211),"")</f>
        <v/>
      </c>
      <c r="D211" s="348"/>
      <c r="E211" s="381"/>
      <c r="F211" s="300"/>
      <c r="G211" s="300"/>
      <c r="H211" s="300"/>
      <c r="I211" s="300"/>
      <c r="J211" s="300"/>
      <c r="K211" s="300"/>
      <c r="L211" s="300"/>
      <c r="M211" s="300"/>
      <c r="N211" s="382"/>
      <c r="O211" s="275"/>
      <c r="P211" s="275"/>
      <c r="Q211" s="275"/>
      <c r="R211" s="275"/>
      <c r="S211" s="275"/>
      <c r="T211" s="275"/>
      <c r="U211" s="275"/>
      <c r="V211" s="275"/>
      <c r="W211" s="275"/>
      <c r="X211" s="275"/>
      <c r="Y211" s="275"/>
      <c r="Z211" s="275"/>
      <c r="AA211" s="275"/>
      <c r="AB211" s="275"/>
      <c r="AC211" s="275"/>
      <c r="AD211" s="275"/>
      <c r="AE211" s="275"/>
    </row>
    <row r="212" spans="2:31" ht="15">
      <c r="B212" s="380">
        <f t="shared" si="6"/>
        <v>167</v>
      </c>
      <c r="C212" s="388" t="str" cm="1">
        <f t="array" aca="1" ref="C212" ca="1">IF(B212&lt;=$C$9,GetGetCDSName(B212),"")</f>
        <v/>
      </c>
      <c r="D212" s="348"/>
      <c r="E212" s="381"/>
      <c r="F212" s="300"/>
      <c r="G212" s="300"/>
      <c r="H212" s="300"/>
      <c r="I212" s="300"/>
      <c r="J212" s="300"/>
      <c r="K212" s="300"/>
      <c r="L212" s="300"/>
      <c r="M212" s="300"/>
      <c r="N212" s="382"/>
      <c r="O212" s="275"/>
      <c r="P212" s="275"/>
      <c r="Q212" s="275"/>
      <c r="R212" s="275"/>
      <c r="S212" s="275"/>
      <c r="T212" s="275"/>
      <c r="U212" s="275"/>
      <c r="V212" s="275"/>
      <c r="W212" s="275"/>
      <c r="X212" s="275"/>
      <c r="Y212" s="275"/>
      <c r="Z212" s="275"/>
      <c r="AA212" s="275"/>
      <c r="AB212" s="275"/>
      <c r="AC212" s="275"/>
      <c r="AD212" s="275"/>
      <c r="AE212" s="275"/>
    </row>
    <row r="213" spans="2:31" ht="15">
      <c r="B213" s="380">
        <f t="shared" si="6"/>
        <v>168</v>
      </c>
      <c r="C213" s="388" t="str" cm="1">
        <f t="array" aca="1" ref="C213" ca="1">IF(B213&lt;=$C$9,GetGetCDSName(B213),"")</f>
        <v/>
      </c>
      <c r="D213" s="348"/>
      <c r="E213" s="381"/>
      <c r="F213" s="300"/>
      <c r="G213" s="300"/>
      <c r="H213" s="300"/>
      <c r="I213" s="300"/>
      <c r="J213" s="300"/>
      <c r="K213" s="300"/>
      <c r="L213" s="300"/>
      <c r="M213" s="300"/>
      <c r="N213" s="382"/>
      <c r="O213" s="275"/>
      <c r="P213" s="275"/>
      <c r="Q213" s="275"/>
      <c r="R213" s="275"/>
      <c r="S213" s="275"/>
      <c r="T213" s="275"/>
      <c r="U213" s="275"/>
      <c r="V213" s="275"/>
      <c r="W213" s="275"/>
      <c r="X213" s="275"/>
      <c r="Y213" s="275"/>
      <c r="Z213" s="275"/>
      <c r="AA213" s="275"/>
      <c r="AB213" s="275"/>
      <c r="AC213" s="275"/>
      <c r="AD213" s="275"/>
      <c r="AE213" s="275"/>
    </row>
    <row r="214" spans="2:31" ht="15">
      <c r="B214" s="380">
        <f t="shared" si="6"/>
        <v>169</v>
      </c>
      <c r="C214" s="388" t="str" cm="1">
        <f t="array" aca="1" ref="C214" ca="1">IF(B214&lt;=$C$9,GetGetCDSName(B214),"")</f>
        <v/>
      </c>
      <c r="D214" s="348"/>
      <c r="E214" s="381"/>
      <c r="F214" s="300"/>
      <c r="G214" s="300"/>
      <c r="H214" s="300"/>
      <c r="I214" s="300"/>
      <c r="J214" s="300"/>
      <c r="K214" s="300"/>
      <c r="L214" s="300"/>
      <c r="M214" s="300"/>
      <c r="N214" s="382"/>
      <c r="O214" s="275"/>
      <c r="P214" s="275"/>
      <c r="Q214" s="275"/>
      <c r="R214" s="275"/>
      <c r="S214" s="275"/>
      <c r="T214" s="275"/>
      <c r="U214" s="275"/>
      <c r="V214" s="275"/>
      <c r="W214" s="275"/>
      <c r="X214" s="275"/>
      <c r="Y214" s="275"/>
      <c r="Z214" s="275"/>
      <c r="AA214" s="275"/>
      <c r="AB214" s="275"/>
      <c r="AC214" s="275"/>
      <c r="AD214" s="275"/>
      <c r="AE214" s="275"/>
    </row>
    <row r="215" spans="2:31" ht="15">
      <c r="B215" s="380">
        <f t="shared" si="6"/>
        <v>170</v>
      </c>
      <c r="C215" s="388" t="str" cm="1">
        <f t="array" aca="1" ref="C215" ca="1">IF(B215&lt;=$C$9,GetGetCDSName(B215),"")</f>
        <v/>
      </c>
      <c r="D215" s="348"/>
      <c r="E215" s="381"/>
      <c r="F215" s="300"/>
      <c r="G215" s="300"/>
      <c r="H215" s="300"/>
      <c r="I215" s="300"/>
      <c r="J215" s="300"/>
      <c r="K215" s="300"/>
      <c r="L215" s="300"/>
      <c r="M215" s="300"/>
      <c r="N215" s="382"/>
      <c r="O215" s="275"/>
      <c r="P215" s="275"/>
      <c r="Q215" s="275"/>
      <c r="R215" s="275"/>
      <c r="S215" s="275"/>
      <c r="T215" s="275"/>
      <c r="U215" s="275"/>
      <c r="V215" s="275"/>
      <c r="W215" s="275"/>
      <c r="X215" s="275"/>
      <c r="Y215" s="275"/>
      <c r="Z215" s="275"/>
      <c r="AA215" s="275"/>
      <c r="AB215" s="275"/>
      <c r="AC215" s="275"/>
      <c r="AD215" s="275"/>
      <c r="AE215" s="275"/>
    </row>
    <row r="216" spans="2:31" ht="15">
      <c r="B216" s="380">
        <f t="shared" si="6"/>
        <v>171</v>
      </c>
      <c r="C216" s="388" t="str" cm="1">
        <f t="array" aca="1" ref="C216" ca="1">IF(B216&lt;=$C$9,GetGetCDSName(B216),"")</f>
        <v/>
      </c>
      <c r="D216" s="348"/>
      <c r="E216" s="381"/>
      <c r="F216" s="300"/>
      <c r="G216" s="300"/>
      <c r="H216" s="300"/>
      <c r="I216" s="300"/>
      <c r="J216" s="300"/>
      <c r="K216" s="300"/>
      <c r="L216" s="300"/>
      <c r="M216" s="300"/>
      <c r="N216" s="382"/>
      <c r="O216" s="275"/>
      <c r="P216" s="275"/>
      <c r="Q216" s="275"/>
      <c r="R216" s="275"/>
      <c r="S216" s="275"/>
      <c r="T216" s="275"/>
      <c r="U216" s="275"/>
      <c r="V216" s="275"/>
      <c r="W216" s="275"/>
      <c r="X216" s="275"/>
      <c r="Y216" s="275"/>
      <c r="Z216" s="275"/>
      <c r="AA216" s="275"/>
      <c r="AB216" s="275"/>
      <c r="AC216" s="275"/>
      <c r="AD216" s="275"/>
      <c r="AE216" s="275"/>
    </row>
    <row r="217" spans="2:31" ht="15">
      <c r="B217" s="380">
        <f t="shared" si="6"/>
        <v>172</v>
      </c>
      <c r="C217" s="388" t="str" cm="1">
        <f t="array" aca="1" ref="C217" ca="1">IF(B217&lt;=$C$9,GetGetCDSName(B217),"")</f>
        <v/>
      </c>
      <c r="D217" s="348"/>
      <c r="E217" s="381"/>
      <c r="F217" s="300"/>
      <c r="G217" s="300"/>
      <c r="H217" s="300"/>
      <c r="I217" s="300"/>
      <c r="J217" s="300"/>
      <c r="K217" s="300"/>
      <c r="L217" s="300"/>
      <c r="M217" s="300"/>
      <c r="N217" s="382"/>
      <c r="O217" s="275"/>
      <c r="P217" s="275"/>
      <c r="Q217" s="275"/>
      <c r="R217" s="275"/>
      <c r="S217" s="275"/>
      <c r="T217" s="275"/>
      <c r="U217" s="275"/>
      <c r="V217" s="275"/>
      <c r="W217" s="275"/>
      <c r="X217" s="275"/>
      <c r="Y217" s="275"/>
      <c r="Z217" s="275"/>
      <c r="AA217" s="275"/>
      <c r="AB217" s="275"/>
      <c r="AC217" s="275"/>
      <c r="AD217" s="275"/>
      <c r="AE217" s="275"/>
    </row>
    <row r="218" spans="2:31" ht="15">
      <c r="B218" s="380">
        <f t="shared" si="6"/>
        <v>173</v>
      </c>
      <c r="C218" s="388" t="str" cm="1">
        <f t="array" aca="1" ref="C218" ca="1">IF(B218&lt;=$C$9,GetGetCDSName(B218),"")</f>
        <v/>
      </c>
      <c r="D218" s="348"/>
      <c r="E218" s="381"/>
      <c r="F218" s="300"/>
      <c r="G218" s="300"/>
      <c r="H218" s="300"/>
      <c r="I218" s="300"/>
      <c r="J218" s="300"/>
      <c r="K218" s="300"/>
      <c r="L218" s="300"/>
      <c r="M218" s="300"/>
      <c r="N218" s="382"/>
      <c r="O218" s="275"/>
      <c r="P218" s="275"/>
      <c r="Q218" s="275"/>
      <c r="R218" s="275"/>
      <c r="S218" s="275"/>
      <c r="T218" s="275"/>
      <c r="U218" s="275"/>
      <c r="V218" s="275"/>
      <c r="W218" s="275"/>
      <c r="X218" s="275"/>
      <c r="Y218" s="275"/>
      <c r="Z218" s="275"/>
      <c r="AA218" s="275"/>
      <c r="AB218" s="275"/>
      <c r="AC218" s="275"/>
      <c r="AD218" s="275"/>
      <c r="AE218" s="275"/>
    </row>
    <row r="219" spans="2:31" ht="15">
      <c r="B219" s="380">
        <f t="shared" si="6"/>
        <v>174</v>
      </c>
      <c r="C219" s="388" t="str" cm="1">
        <f t="array" aca="1" ref="C219" ca="1">IF(B219&lt;=$C$9,GetGetCDSName(B219),"")</f>
        <v/>
      </c>
      <c r="D219" s="348"/>
      <c r="E219" s="381"/>
      <c r="F219" s="300"/>
      <c r="G219" s="300"/>
      <c r="H219" s="300"/>
      <c r="I219" s="300"/>
      <c r="J219" s="300"/>
      <c r="K219" s="300"/>
      <c r="L219" s="300"/>
      <c r="M219" s="300"/>
      <c r="N219" s="382"/>
      <c r="O219" s="275"/>
      <c r="P219" s="275"/>
      <c r="Q219" s="275"/>
      <c r="R219" s="275"/>
      <c r="S219" s="275"/>
      <c r="T219" s="275"/>
      <c r="U219" s="275"/>
      <c r="V219" s="275"/>
      <c r="W219" s="275"/>
      <c r="X219" s="275"/>
      <c r="Y219" s="275"/>
      <c r="Z219" s="275"/>
      <c r="AA219" s="275"/>
      <c r="AB219" s="275"/>
      <c r="AC219" s="275"/>
      <c r="AD219" s="275"/>
      <c r="AE219" s="275"/>
    </row>
    <row r="220" spans="2:31" ht="15">
      <c r="B220" s="380">
        <f t="shared" si="6"/>
        <v>175</v>
      </c>
      <c r="C220" s="388" t="str" cm="1">
        <f t="array" aca="1" ref="C220" ca="1">IF(B220&lt;=$C$9,GetGetCDSName(B220),"")</f>
        <v/>
      </c>
      <c r="D220" s="348"/>
      <c r="E220" s="381"/>
      <c r="F220" s="300"/>
      <c r="G220" s="300"/>
      <c r="H220" s="300"/>
      <c r="I220" s="300"/>
      <c r="J220" s="300"/>
      <c r="K220" s="300"/>
      <c r="L220" s="300"/>
      <c r="M220" s="300"/>
      <c r="N220" s="382"/>
      <c r="O220" s="275"/>
      <c r="P220" s="275"/>
      <c r="Q220" s="275"/>
      <c r="R220" s="275"/>
      <c r="S220" s="275"/>
      <c r="T220" s="275"/>
      <c r="U220" s="275"/>
      <c r="V220" s="275"/>
      <c r="W220" s="275"/>
      <c r="X220" s="275"/>
      <c r="Y220" s="275"/>
      <c r="Z220" s="275"/>
      <c r="AA220" s="275"/>
      <c r="AB220" s="275"/>
      <c r="AC220" s="275"/>
      <c r="AD220" s="275"/>
      <c r="AE220" s="275"/>
    </row>
    <row r="221" spans="2:31" ht="15">
      <c r="B221" s="380">
        <f t="shared" si="6"/>
        <v>176</v>
      </c>
      <c r="C221" s="388" t="str" cm="1">
        <f t="array" aca="1" ref="C221" ca="1">IF(B221&lt;=$C$9,GetGetCDSName(B221),"")</f>
        <v/>
      </c>
      <c r="D221" s="348"/>
      <c r="E221" s="381"/>
      <c r="F221" s="300"/>
      <c r="G221" s="300"/>
      <c r="H221" s="300"/>
      <c r="I221" s="300"/>
      <c r="J221" s="300"/>
      <c r="K221" s="300"/>
      <c r="L221" s="300"/>
      <c r="M221" s="300"/>
      <c r="N221" s="382"/>
      <c r="O221" s="275"/>
      <c r="P221" s="275"/>
      <c r="Q221" s="275"/>
      <c r="R221" s="275"/>
      <c r="S221" s="275"/>
      <c r="T221" s="275"/>
      <c r="U221" s="275"/>
      <c r="V221" s="275"/>
      <c r="W221" s="275"/>
      <c r="X221" s="275"/>
      <c r="Y221" s="275"/>
      <c r="Z221" s="275"/>
      <c r="AA221" s="275"/>
      <c r="AB221" s="275"/>
      <c r="AC221" s="275"/>
      <c r="AD221" s="275"/>
      <c r="AE221" s="275"/>
    </row>
    <row r="222" spans="2:31" ht="15">
      <c r="B222" s="380">
        <f t="shared" si="6"/>
        <v>177</v>
      </c>
      <c r="C222" s="388" t="str" cm="1">
        <f t="array" aca="1" ref="C222" ca="1">IF(B222&lt;=$C$9,GetGetCDSName(B222),"")</f>
        <v/>
      </c>
      <c r="D222" s="348"/>
      <c r="E222" s="381"/>
      <c r="F222" s="300"/>
      <c r="G222" s="300"/>
      <c r="H222" s="300"/>
      <c r="I222" s="300"/>
      <c r="J222" s="300"/>
      <c r="K222" s="300"/>
      <c r="L222" s="300"/>
      <c r="M222" s="300"/>
      <c r="N222" s="382"/>
      <c r="O222" s="275"/>
      <c r="P222" s="275"/>
      <c r="Q222" s="275"/>
      <c r="R222" s="275"/>
      <c r="S222" s="275"/>
      <c r="T222" s="275"/>
      <c r="U222" s="275"/>
      <c r="V222" s="275"/>
      <c r="W222" s="275"/>
      <c r="X222" s="275"/>
      <c r="Y222" s="275"/>
      <c r="Z222" s="275"/>
      <c r="AA222" s="275"/>
      <c r="AB222" s="275"/>
      <c r="AC222" s="275"/>
      <c r="AD222" s="275"/>
      <c r="AE222" s="275"/>
    </row>
    <row r="223" spans="2:31" ht="15">
      <c r="B223" s="380">
        <f t="shared" si="6"/>
        <v>178</v>
      </c>
      <c r="C223" s="388" t="str" cm="1">
        <f t="array" aca="1" ref="C223" ca="1">IF(B223&lt;=$C$9,GetGetCDSName(B223),"")</f>
        <v/>
      </c>
      <c r="D223" s="348"/>
      <c r="E223" s="381"/>
      <c r="F223" s="300"/>
      <c r="G223" s="300"/>
      <c r="H223" s="300"/>
      <c r="I223" s="300"/>
      <c r="J223" s="300"/>
      <c r="K223" s="300"/>
      <c r="L223" s="300"/>
      <c r="M223" s="300"/>
      <c r="N223" s="382"/>
      <c r="O223" s="275"/>
      <c r="P223" s="275"/>
      <c r="Q223" s="275"/>
      <c r="R223" s="275"/>
      <c r="S223" s="275"/>
      <c r="T223" s="275"/>
      <c r="U223" s="275"/>
      <c r="V223" s="275"/>
      <c r="W223" s="275"/>
      <c r="X223" s="275"/>
      <c r="Y223" s="275"/>
      <c r="Z223" s="275"/>
      <c r="AA223" s="275"/>
      <c r="AB223" s="275"/>
      <c r="AC223" s="275"/>
      <c r="AD223" s="275"/>
      <c r="AE223" s="275"/>
    </row>
    <row r="224" spans="2:31" ht="15">
      <c r="B224" s="380">
        <f t="shared" si="6"/>
        <v>179</v>
      </c>
      <c r="C224" s="388" t="str" cm="1">
        <f t="array" aca="1" ref="C224" ca="1">IF(B224&lt;=$C$9,GetGetCDSName(B224),"")</f>
        <v/>
      </c>
      <c r="D224" s="348"/>
      <c r="E224" s="381"/>
      <c r="F224" s="300"/>
      <c r="G224" s="300"/>
      <c r="H224" s="300"/>
      <c r="I224" s="300"/>
      <c r="J224" s="300"/>
      <c r="K224" s="300"/>
      <c r="L224" s="300"/>
      <c r="M224" s="300"/>
      <c r="N224" s="382"/>
      <c r="O224" s="275"/>
      <c r="P224" s="275"/>
      <c r="Q224" s="275"/>
      <c r="R224" s="275"/>
      <c r="S224" s="275"/>
      <c r="T224" s="275"/>
      <c r="U224" s="275"/>
      <c r="V224" s="275"/>
      <c r="W224" s="275"/>
      <c r="X224" s="275"/>
      <c r="Y224" s="275"/>
      <c r="Z224" s="275"/>
      <c r="AA224" s="275"/>
      <c r="AB224" s="275"/>
      <c r="AC224" s="275"/>
      <c r="AD224" s="275"/>
      <c r="AE224" s="275"/>
    </row>
    <row r="225" spans="2:31" ht="15">
      <c r="B225" s="380">
        <f t="shared" si="6"/>
        <v>180</v>
      </c>
      <c r="C225" s="388" t="str" cm="1">
        <f t="array" aca="1" ref="C225" ca="1">IF(B225&lt;=$C$9,GetGetCDSName(B225),"")</f>
        <v/>
      </c>
      <c r="D225" s="348"/>
      <c r="E225" s="381"/>
      <c r="F225" s="300"/>
      <c r="G225" s="300"/>
      <c r="H225" s="300"/>
      <c r="I225" s="300"/>
      <c r="J225" s="300"/>
      <c r="K225" s="300"/>
      <c r="L225" s="300"/>
      <c r="M225" s="300"/>
      <c r="N225" s="382"/>
      <c r="O225" s="275"/>
      <c r="P225" s="275"/>
      <c r="Q225" s="275"/>
      <c r="R225" s="275"/>
      <c r="S225" s="275"/>
      <c r="T225" s="275"/>
      <c r="U225" s="275"/>
      <c r="V225" s="275"/>
      <c r="W225" s="275"/>
      <c r="X225" s="275"/>
      <c r="Y225" s="275"/>
      <c r="Z225" s="275"/>
      <c r="AA225" s="275"/>
      <c r="AB225" s="275"/>
      <c r="AC225" s="275"/>
      <c r="AD225" s="275"/>
      <c r="AE225" s="275"/>
    </row>
    <row r="226" spans="2:31" ht="15">
      <c r="B226" s="380">
        <f t="shared" si="6"/>
        <v>181</v>
      </c>
      <c r="C226" s="388" t="str" cm="1">
        <f t="array" aca="1" ref="C226" ca="1">IF(B226&lt;=$C$9,GetGetCDSName(B226),"")</f>
        <v/>
      </c>
      <c r="D226" s="348"/>
      <c r="E226" s="381"/>
      <c r="F226" s="300"/>
      <c r="G226" s="300"/>
      <c r="H226" s="300"/>
      <c r="I226" s="300"/>
      <c r="J226" s="300"/>
      <c r="K226" s="300"/>
      <c r="L226" s="300"/>
      <c r="M226" s="300"/>
      <c r="N226" s="382"/>
      <c r="O226" s="275"/>
      <c r="P226" s="275"/>
      <c r="Q226" s="275"/>
      <c r="R226" s="275"/>
      <c r="S226" s="275"/>
      <c r="T226" s="275"/>
      <c r="U226" s="275"/>
      <c r="V226" s="275"/>
      <c r="W226" s="275"/>
      <c r="X226" s="275"/>
      <c r="Y226" s="275"/>
      <c r="Z226" s="275"/>
      <c r="AA226" s="275"/>
      <c r="AB226" s="275"/>
      <c r="AC226" s="275"/>
      <c r="AD226" s="275"/>
      <c r="AE226" s="275"/>
    </row>
    <row r="227" spans="2:31" ht="15">
      <c r="B227" s="380">
        <f t="shared" si="6"/>
        <v>182</v>
      </c>
      <c r="C227" s="388" t="str" cm="1">
        <f t="array" aca="1" ref="C227" ca="1">IF(B227&lt;=$C$9,GetGetCDSName(B227),"")</f>
        <v/>
      </c>
      <c r="D227" s="348"/>
      <c r="E227" s="381"/>
      <c r="F227" s="300"/>
      <c r="G227" s="300"/>
      <c r="H227" s="300"/>
      <c r="I227" s="300"/>
      <c r="J227" s="300"/>
      <c r="K227" s="300"/>
      <c r="L227" s="300"/>
      <c r="M227" s="300"/>
      <c r="N227" s="382"/>
      <c r="O227" s="275"/>
      <c r="P227" s="275"/>
      <c r="Q227" s="275"/>
      <c r="R227" s="275"/>
      <c r="S227" s="275"/>
      <c r="T227" s="275"/>
      <c r="U227" s="275"/>
      <c r="V227" s="275"/>
      <c r="W227" s="275"/>
      <c r="X227" s="275"/>
      <c r="Y227" s="275"/>
      <c r="Z227" s="275"/>
      <c r="AA227" s="275"/>
      <c r="AB227" s="275"/>
      <c r="AC227" s="275"/>
      <c r="AD227" s="275"/>
      <c r="AE227" s="275"/>
    </row>
    <row r="228" spans="2:31" ht="15">
      <c r="B228" s="380">
        <f t="shared" si="6"/>
        <v>183</v>
      </c>
      <c r="C228" s="388" t="str" cm="1">
        <f t="array" aca="1" ref="C228" ca="1">IF(B228&lt;=$C$9,GetGetCDSName(B228),"")</f>
        <v/>
      </c>
      <c r="D228" s="348"/>
      <c r="E228" s="381"/>
      <c r="F228" s="300"/>
      <c r="G228" s="300"/>
      <c r="H228" s="300"/>
      <c r="I228" s="300"/>
      <c r="J228" s="300"/>
      <c r="K228" s="300"/>
      <c r="L228" s="300"/>
      <c r="M228" s="300"/>
      <c r="N228" s="382"/>
      <c r="O228" s="275"/>
      <c r="P228" s="275"/>
      <c r="Q228" s="275"/>
      <c r="R228" s="275"/>
      <c r="S228" s="275"/>
      <c r="T228" s="275"/>
      <c r="U228" s="275"/>
      <c r="V228" s="275"/>
      <c r="W228" s="275"/>
      <c r="X228" s="275"/>
      <c r="Y228" s="275"/>
      <c r="Z228" s="275"/>
      <c r="AA228" s="275"/>
      <c r="AB228" s="275"/>
      <c r="AC228" s="275"/>
      <c r="AD228" s="275"/>
      <c r="AE228" s="275"/>
    </row>
    <row r="229" spans="2:31" ht="15">
      <c r="B229" s="380">
        <f t="shared" si="6"/>
        <v>184</v>
      </c>
      <c r="C229" s="388" t="str" cm="1">
        <f t="array" aca="1" ref="C229" ca="1">IF(B229&lt;=$C$9,GetGetCDSName(B229),"")</f>
        <v/>
      </c>
      <c r="D229" s="348"/>
      <c r="E229" s="381"/>
      <c r="F229" s="300"/>
      <c r="G229" s="300"/>
      <c r="H229" s="300"/>
      <c r="I229" s="300"/>
      <c r="J229" s="300"/>
      <c r="K229" s="300"/>
      <c r="L229" s="300"/>
      <c r="M229" s="300"/>
      <c r="N229" s="382"/>
      <c r="O229" s="275"/>
      <c r="P229" s="275"/>
      <c r="Q229" s="275"/>
      <c r="R229" s="275"/>
      <c r="S229" s="275"/>
      <c r="T229" s="275"/>
      <c r="U229" s="275"/>
      <c r="V229" s="275"/>
      <c r="W229" s="275"/>
      <c r="X229" s="275"/>
      <c r="Y229" s="275"/>
      <c r="Z229" s="275"/>
      <c r="AA229" s="275"/>
      <c r="AB229" s="275"/>
      <c r="AC229" s="275"/>
      <c r="AD229" s="275"/>
      <c r="AE229" s="275"/>
    </row>
    <row r="230" spans="2:31" ht="15">
      <c r="B230" s="380">
        <f t="shared" si="6"/>
        <v>185</v>
      </c>
      <c r="C230" s="388" t="str" cm="1">
        <f t="array" aca="1" ref="C230" ca="1">IF(B230&lt;=$C$9,GetGetCDSName(B230),"")</f>
        <v/>
      </c>
      <c r="D230" s="348"/>
      <c r="E230" s="381"/>
      <c r="F230" s="300"/>
      <c r="G230" s="300"/>
      <c r="H230" s="300"/>
      <c r="I230" s="300"/>
      <c r="J230" s="300"/>
      <c r="K230" s="300"/>
      <c r="L230" s="300"/>
      <c r="M230" s="300"/>
      <c r="N230" s="382"/>
      <c r="O230" s="275"/>
      <c r="P230" s="275"/>
      <c r="Q230" s="275"/>
      <c r="R230" s="275"/>
      <c r="S230" s="275"/>
      <c r="T230" s="275"/>
      <c r="U230" s="275"/>
      <c r="V230" s="275"/>
      <c r="W230" s="275"/>
      <c r="X230" s="275"/>
      <c r="Y230" s="275"/>
      <c r="Z230" s="275"/>
      <c r="AA230" s="275"/>
      <c r="AB230" s="275"/>
      <c r="AC230" s="275"/>
      <c r="AD230" s="275"/>
      <c r="AE230" s="275"/>
    </row>
    <row r="231" spans="2:31" ht="15">
      <c r="B231" s="380">
        <f t="shared" si="6"/>
        <v>186</v>
      </c>
      <c r="C231" s="388" t="str" cm="1">
        <f t="array" aca="1" ref="C231" ca="1">IF(B231&lt;=$C$9,GetGetCDSName(B231),"")</f>
        <v/>
      </c>
      <c r="D231" s="348"/>
      <c r="E231" s="381"/>
      <c r="F231" s="300"/>
      <c r="G231" s="300"/>
      <c r="H231" s="300"/>
      <c r="I231" s="300"/>
      <c r="J231" s="300"/>
      <c r="K231" s="300"/>
      <c r="L231" s="300"/>
      <c r="M231" s="300"/>
      <c r="N231" s="382"/>
      <c r="O231" s="275"/>
      <c r="P231" s="275"/>
      <c r="Q231" s="275"/>
      <c r="R231" s="275"/>
      <c r="S231" s="275"/>
      <c r="T231" s="275"/>
      <c r="U231" s="275"/>
      <c r="V231" s="275"/>
      <c r="W231" s="275"/>
      <c r="X231" s="275"/>
      <c r="Y231" s="275"/>
      <c r="Z231" s="275"/>
      <c r="AA231" s="275"/>
      <c r="AB231" s="275"/>
      <c r="AC231" s="275"/>
      <c r="AD231" s="275"/>
      <c r="AE231" s="275"/>
    </row>
    <row r="232" spans="2:31" ht="15">
      <c r="B232" s="380">
        <f t="shared" si="6"/>
        <v>187</v>
      </c>
      <c r="C232" s="388" t="str" cm="1">
        <f t="array" aca="1" ref="C232" ca="1">IF(B232&lt;=$C$9,GetGetCDSName(B232),"")</f>
        <v/>
      </c>
      <c r="D232" s="348"/>
      <c r="E232" s="381"/>
      <c r="F232" s="300"/>
      <c r="G232" s="300"/>
      <c r="H232" s="300"/>
      <c r="I232" s="300"/>
      <c r="J232" s="300"/>
      <c r="K232" s="300"/>
      <c r="L232" s="300"/>
      <c r="M232" s="300"/>
      <c r="N232" s="382"/>
      <c r="O232" s="275"/>
      <c r="P232" s="275"/>
      <c r="Q232" s="275"/>
      <c r="R232" s="275"/>
      <c r="S232" s="275"/>
      <c r="T232" s="275"/>
      <c r="U232" s="275"/>
      <c r="V232" s="275"/>
      <c r="W232" s="275"/>
      <c r="X232" s="275"/>
      <c r="Y232" s="275"/>
      <c r="Z232" s="275"/>
      <c r="AA232" s="275"/>
      <c r="AB232" s="275"/>
      <c r="AC232" s="275"/>
      <c r="AD232" s="275"/>
      <c r="AE232" s="275"/>
    </row>
    <row r="233" spans="2:31" ht="15">
      <c r="B233" s="380">
        <f t="shared" si="6"/>
        <v>188</v>
      </c>
      <c r="C233" s="388" t="str" cm="1">
        <f t="array" aca="1" ref="C233" ca="1">IF(B233&lt;=$C$9,GetGetCDSName(B233),"")</f>
        <v/>
      </c>
      <c r="D233" s="348"/>
      <c r="E233" s="381"/>
      <c r="F233" s="300"/>
      <c r="G233" s="300"/>
      <c r="H233" s="300"/>
      <c r="I233" s="300"/>
      <c r="J233" s="300"/>
      <c r="K233" s="300"/>
      <c r="L233" s="300"/>
      <c r="M233" s="300"/>
      <c r="N233" s="382"/>
      <c r="O233" s="275"/>
      <c r="P233" s="275"/>
      <c r="Q233" s="275"/>
      <c r="R233" s="275"/>
      <c r="S233" s="275"/>
      <c r="T233" s="275"/>
      <c r="U233" s="275"/>
      <c r="V233" s="275"/>
      <c r="W233" s="275"/>
      <c r="X233" s="275"/>
      <c r="Y233" s="275"/>
      <c r="Z233" s="275"/>
      <c r="AA233" s="275"/>
      <c r="AB233" s="275"/>
      <c r="AC233" s="275"/>
      <c r="AD233" s="275"/>
      <c r="AE233" s="275"/>
    </row>
    <row r="234" spans="2:31" ht="15">
      <c r="B234" s="380">
        <f t="shared" si="6"/>
        <v>189</v>
      </c>
      <c r="C234" s="388" t="str" cm="1">
        <f t="array" aca="1" ref="C234" ca="1">IF(B234&lt;=$C$9,GetGetCDSName(B234),"")</f>
        <v/>
      </c>
      <c r="D234" s="348"/>
      <c r="E234" s="381"/>
      <c r="F234" s="300"/>
      <c r="G234" s="300"/>
      <c r="H234" s="300"/>
      <c r="I234" s="300"/>
      <c r="J234" s="300"/>
      <c r="K234" s="300"/>
      <c r="L234" s="300"/>
      <c r="M234" s="300"/>
      <c r="N234" s="382"/>
      <c r="O234" s="275"/>
      <c r="P234" s="275"/>
      <c r="Q234" s="275"/>
      <c r="R234" s="275"/>
      <c r="S234" s="275"/>
      <c r="T234" s="275"/>
      <c r="U234" s="275"/>
      <c r="V234" s="275"/>
      <c r="W234" s="275"/>
      <c r="X234" s="275"/>
      <c r="Y234" s="275"/>
      <c r="Z234" s="275"/>
      <c r="AA234" s="275"/>
      <c r="AB234" s="275"/>
      <c r="AC234" s="275"/>
      <c r="AD234" s="275"/>
      <c r="AE234" s="275"/>
    </row>
    <row r="235" spans="2:31" ht="15">
      <c r="B235" s="380">
        <f t="shared" si="6"/>
        <v>190</v>
      </c>
      <c r="C235" s="388" t="str" cm="1">
        <f t="array" aca="1" ref="C235" ca="1">IF(B235&lt;=$C$9,GetGetCDSName(B235),"")</f>
        <v/>
      </c>
      <c r="D235" s="348"/>
      <c r="E235" s="381"/>
      <c r="F235" s="300"/>
      <c r="G235" s="300"/>
      <c r="H235" s="300"/>
      <c r="I235" s="300"/>
      <c r="J235" s="300"/>
      <c r="K235" s="300"/>
      <c r="L235" s="300"/>
      <c r="M235" s="300"/>
      <c r="N235" s="382"/>
      <c r="O235" s="275"/>
      <c r="P235" s="275"/>
      <c r="Q235" s="275"/>
      <c r="R235" s="275"/>
      <c r="S235" s="275"/>
      <c r="T235" s="275"/>
      <c r="U235" s="275"/>
      <c r="V235" s="275"/>
      <c r="W235" s="275"/>
      <c r="X235" s="275"/>
      <c r="Y235" s="275"/>
      <c r="Z235" s="275"/>
      <c r="AA235" s="275"/>
      <c r="AB235" s="275"/>
      <c r="AC235" s="275"/>
      <c r="AD235" s="275"/>
      <c r="AE235" s="275"/>
    </row>
    <row r="236" spans="2:31" ht="15">
      <c r="B236" s="380">
        <f t="shared" si="6"/>
        <v>191</v>
      </c>
      <c r="C236" s="388" t="str" cm="1">
        <f t="array" aca="1" ref="C236" ca="1">IF(B236&lt;=$C$9,GetGetCDSName(B236),"")</f>
        <v/>
      </c>
      <c r="D236" s="348"/>
      <c r="E236" s="381"/>
      <c r="F236" s="300"/>
      <c r="G236" s="300"/>
      <c r="H236" s="300"/>
      <c r="I236" s="300"/>
      <c r="J236" s="300"/>
      <c r="K236" s="300"/>
      <c r="L236" s="300"/>
      <c r="M236" s="300"/>
      <c r="N236" s="382"/>
      <c r="O236" s="275"/>
      <c r="P236" s="275"/>
      <c r="Q236" s="275"/>
      <c r="R236" s="275"/>
      <c r="S236" s="275"/>
      <c r="T236" s="275"/>
      <c r="U236" s="275"/>
      <c r="V236" s="275"/>
      <c r="W236" s="275"/>
      <c r="X236" s="275"/>
      <c r="Y236" s="275"/>
      <c r="Z236" s="275"/>
      <c r="AA236" s="275"/>
      <c r="AB236" s="275"/>
      <c r="AC236" s="275"/>
      <c r="AD236" s="275"/>
      <c r="AE236" s="275"/>
    </row>
    <row r="237" spans="2:31" ht="15">
      <c r="B237" s="380">
        <f t="shared" si="6"/>
        <v>192</v>
      </c>
      <c r="C237" s="388" t="str" cm="1">
        <f t="array" aca="1" ref="C237" ca="1">IF(B237&lt;=$C$9,GetGetCDSName(B237),"")</f>
        <v/>
      </c>
      <c r="D237" s="348"/>
      <c r="E237" s="381"/>
      <c r="F237" s="300"/>
      <c r="G237" s="300"/>
      <c r="H237" s="300"/>
      <c r="I237" s="300"/>
      <c r="J237" s="300"/>
      <c r="K237" s="300"/>
      <c r="L237" s="300"/>
      <c r="M237" s="300"/>
      <c r="N237" s="382"/>
      <c r="O237" s="275"/>
      <c r="P237" s="275"/>
      <c r="Q237" s="275"/>
      <c r="R237" s="275"/>
      <c r="S237" s="275"/>
      <c r="T237" s="275"/>
      <c r="U237" s="275"/>
      <c r="V237" s="275"/>
      <c r="W237" s="275"/>
      <c r="X237" s="275"/>
      <c r="Y237" s="275"/>
      <c r="Z237" s="275"/>
      <c r="AA237" s="275"/>
      <c r="AB237" s="275"/>
      <c r="AC237" s="275"/>
      <c r="AD237" s="275"/>
      <c r="AE237" s="275"/>
    </row>
    <row r="238" spans="2:31" ht="15">
      <c r="B238" s="380">
        <f t="shared" si="6"/>
        <v>193</v>
      </c>
      <c r="C238" s="388" t="str" cm="1">
        <f t="array" aca="1" ref="C238" ca="1">IF(B238&lt;=$C$9,GetGetCDSName(B238),"")</f>
        <v/>
      </c>
      <c r="D238" s="348"/>
      <c r="E238" s="381"/>
      <c r="F238" s="300"/>
      <c r="G238" s="300"/>
      <c r="H238" s="300"/>
      <c r="I238" s="300"/>
      <c r="J238" s="300"/>
      <c r="K238" s="300"/>
      <c r="L238" s="300"/>
      <c r="M238" s="300"/>
      <c r="N238" s="382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  <c r="Z238" s="275"/>
      <c r="AA238" s="275"/>
      <c r="AB238" s="275"/>
      <c r="AC238" s="275"/>
      <c r="AD238" s="275"/>
      <c r="AE238" s="275"/>
    </row>
    <row r="239" spans="2:31" ht="15">
      <c r="B239" s="380">
        <f t="shared" ref="B239:B302" si="7">B238+1</f>
        <v>194</v>
      </c>
      <c r="C239" s="388" t="str" cm="1">
        <f t="array" aca="1" ref="C239" ca="1">IF(B239&lt;=$C$9,GetGetCDSName(B239),"")</f>
        <v/>
      </c>
      <c r="D239" s="348"/>
      <c r="E239" s="381"/>
      <c r="F239" s="300"/>
      <c r="G239" s="300"/>
      <c r="H239" s="300"/>
      <c r="I239" s="300"/>
      <c r="J239" s="300"/>
      <c r="K239" s="300"/>
      <c r="L239" s="300"/>
      <c r="M239" s="300"/>
      <c r="N239" s="382"/>
      <c r="O239" s="275"/>
      <c r="P239" s="275"/>
      <c r="Q239" s="275"/>
      <c r="R239" s="275"/>
      <c r="S239" s="275"/>
      <c r="T239" s="275"/>
      <c r="U239" s="275"/>
      <c r="V239" s="275"/>
      <c r="W239" s="275"/>
      <c r="X239" s="275"/>
      <c r="Y239" s="275"/>
      <c r="Z239" s="275"/>
      <c r="AA239" s="275"/>
      <c r="AB239" s="275"/>
      <c r="AC239" s="275"/>
      <c r="AD239" s="275"/>
      <c r="AE239" s="275"/>
    </row>
    <row r="240" spans="2:31" ht="15">
      <c r="B240" s="380">
        <f t="shared" si="7"/>
        <v>195</v>
      </c>
      <c r="C240" s="388" t="str" cm="1">
        <f t="array" aca="1" ref="C240" ca="1">IF(B240&lt;=$C$9,GetGetCDSName(B240),"")</f>
        <v/>
      </c>
      <c r="D240" s="348"/>
      <c r="E240" s="381"/>
      <c r="F240" s="300"/>
      <c r="G240" s="300"/>
      <c r="H240" s="300"/>
      <c r="I240" s="300"/>
      <c r="J240" s="300"/>
      <c r="K240" s="300"/>
      <c r="L240" s="300"/>
      <c r="M240" s="300"/>
      <c r="N240" s="382"/>
      <c r="O240" s="275"/>
      <c r="P240" s="275"/>
      <c r="Q240" s="275"/>
      <c r="R240" s="275"/>
      <c r="S240" s="275"/>
      <c r="T240" s="275"/>
      <c r="U240" s="275"/>
      <c r="V240" s="275"/>
      <c r="W240" s="275"/>
      <c r="X240" s="275"/>
      <c r="Y240" s="275"/>
      <c r="Z240" s="275"/>
      <c r="AA240" s="275"/>
      <c r="AB240" s="275"/>
      <c r="AC240" s="275"/>
      <c r="AD240" s="275"/>
      <c r="AE240" s="275"/>
    </row>
    <row r="241" spans="2:31" ht="15">
      <c r="B241" s="380">
        <f t="shared" si="7"/>
        <v>196</v>
      </c>
      <c r="C241" s="388" t="str" cm="1">
        <f t="array" aca="1" ref="C241" ca="1">IF(B241&lt;=$C$9,GetGetCDSName(B241),"")</f>
        <v/>
      </c>
      <c r="D241" s="348"/>
      <c r="E241" s="381"/>
      <c r="F241" s="300"/>
      <c r="G241" s="300"/>
      <c r="H241" s="300"/>
      <c r="I241" s="300"/>
      <c r="J241" s="300"/>
      <c r="K241" s="300"/>
      <c r="L241" s="300"/>
      <c r="M241" s="300"/>
      <c r="N241" s="382"/>
      <c r="O241" s="275"/>
      <c r="P241" s="275"/>
      <c r="Q241" s="275"/>
      <c r="R241" s="275"/>
      <c r="S241" s="275"/>
      <c r="T241" s="275"/>
      <c r="U241" s="275"/>
      <c r="V241" s="275"/>
      <c r="W241" s="275"/>
      <c r="X241" s="275"/>
      <c r="Y241" s="275"/>
      <c r="Z241" s="275"/>
      <c r="AA241" s="275"/>
      <c r="AB241" s="275"/>
      <c r="AC241" s="275"/>
      <c r="AD241" s="275"/>
      <c r="AE241" s="275"/>
    </row>
    <row r="242" spans="2:31" ht="15">
      <c r="B242" s="380">
        <f t="shared" si="7"/>
        <v>197</v>
      </c>
      <c r="C242" s="388" t="str" cm="1">
        <f t="array" aca="1" ref="C242" ca="1">IF(B242&lt;=$C$9,GetGetCDSName(B242),"")</f>
        <v/>
      </c>
      <c r="D242" s="348"/>
      <c r="E242" s="381"/>
      <c r="F242" s="300"/>
      <c r="G242" s="300"/>
      <c r="H242" s="300"/>
      <c r="I242" s="300"/>
      <c r="J242" s="300"/>
      <c r="K242" s="300"/>
      <c r="L242" s="300"/>
      <c r="M242" s="300"/>
      <c r="N242" s="382"/>
      <c r="O242" s="275"/>
      <c r="P242" s="275"/>
      <c r="Q242" s="275"/>
      <c r="R242" s="275"/>
      <c r="S242" s="275"/>
      <c r="T242" s="275"/>
      <c r="U242" s="275"/>
      <c r="V242" s="275"/>
      <c r="W242" s="275"/>
      <c r="X242" s="275"/>
      <c r="Y242" s="275"/>
      <c r="Z242" s="275"/>
      <c r="AA242" s="275"/>
      <c r="AB242" s="275"/>
      <c r="AC242" s="275"/>
      <c r="AD242" s="275"/>
      <c r="AE242" s="275"/>
    </row>
    <row r="243" spans="2:31" ht="15">
      <c r="B243" s="380">
        <f t="shared" si="7"/>
        <v>198</v>
      </c>
      <c r="C243" s="388" t="str" cm="1">
        <f t="array" aca="1" ref="C243" ca="1">IF(B243&lt;=$C$9,GetGetCDSName(B243),"")</f>
        <v/>
      </c>
      <c r="D243" s="348"/>
      <c r="E243" s="381"/>
      <c r="F243" s="300"/>
      <c r="G243" s="300"/>
      <c r="H243" s="300"/>
      <c r="I243" s="300"/>
      <c r="J243" s="300"/>
      <c r="K243" s="300"/>
      <c r="L243" s="300"/>
      <c r="M243" s="300"/>
      <c r="N243" s="382"/>
      <c r="O243" s="275"/>
      <c r="P243" s="275"/>
      <c r="Q243" s="275"/>
      <c r="R243" s="275"/>
      <c r="S243" s="275"/>
      <c r="T243" s="275"/>
      <c r="U243" s="275"/>
      <c r="V243" s="275"/>
      <c r="W243" s="275"/>
      <c r="X243" s="275"/>
      <c r="Y243" s="275"/>
      <c r="Z243" s="275"/>
      <c r="AA243" s="275"/>
      <c r="AB243" s="275"/>
      <c r="AC243" s="275"/>
      <c r="AD243" s="275"/>
      <c r="AE243" s="275"/>
    </row>
    <row r="244" spans="2:31" ht="15">
      <c r="B244" s="380">
        <f t="shared" si="7"/>
        <v>199</v>
      </c>
      <c r="C244" s="388" t="str" cm="1">
        <f t="array" aca="1" ref="C244" ca="1">IF(B244&lt;=$C$9,GetGetCDSName(B244),"")</f>
        <v/>
      </c>
      <c r="D244" s="348"/>
      <c r="E244" s="381"/>
      <c r="F244" s="300"/>
      <c r="G244" s="300"/>
      <c r="H244" s="300"/>
      <c r="I244" s="300"/>
      <c r="J244" s="300"/>
      <c r="K244" s="300"/>
      <c r="L244" s="300"/>
      <c r="M244" s="300"/>
      <c r="N244" s="382"/>
      <c r="O244" s="275"/>
      <c r="P244" s="275"/>
      <c r="Q244" s="275"/>
      <c r="R244" s="275"/>
      <c r="S244" s="275"/>
      <c r="T244" s="275"/>
      <c r="U244" s="275"/>
      <c r="V244" s="275"/>
      <c r="W244" s="275"/>
      <c r="X244" s="275"/>
      <c r="Y244" s="275"/>
      <c r="Z244" s="275"/>
      <c r="AA244" s="275"/>
      <c r="AB244" s="275"/>
      <c r="AC244" s="275"/>
      <c r="AD244" s="275"/>
      <c r="AE244" s="275"/>
    </row>
    <row r="245" spans="2:31" ht="15">
      <c r="B245" s="380">
        <f t="shared" si="7"/>
        <v>200</v>
      </c>
      <c r="C245" s="388" t="str" cm="1">
        <f t="array" aca="1" ref="C245" ca="1">IF(B245&lt;=$C$9,GetGetCDSName(B245),"")</f>
        <v/>
      </c>
      <c r="D245" s="348"/>
      <c r="E245" s="381"/>
      <c r="F245" s="300"/>
      <c r="G245" s="300"/>
      <c r="H245" s="300"/>
      <c r="I245" s="300"/>
      <c r="J245" s="300"/>
      <c r="K245" s="300"/>
      <c r="L245" s="300"/>
      <c r="M245" s="300"/>
      <c r="N245" s="382"/>
      <c r="O245" s="275"/>
      <c r="P245" s="275"/>
      <c r="Q245" s="275"/>
      <c r="R245" s="275"/>
      <c r="S245" s="275"/>
      <c r="T245" s="275"/>
      <c r="U245" s="275"/>
      <c r="V245" s="275"/>
      <c r="W245" s="275"/>
      <c r="X245" s="275"/>
      <c r="Y245" s="275"/>
      <c r="Z245" s="275"/>
      <c r="AA245" s="275"/>
      <c r="AB245" s="275"/>
      <c r="AC245" s="275"/>
      <c r="AD245" s="275"/>
      <c r="AE245" s="275"/>
    </row>
    <row r="246" spans="2:31" ht="15">
      <c r="B246" s="380">
        <f t="shared" si="7"/>
        <v>201</v>
      </c>
      <c r="C246" s="388" t="str" cm="1">
        <f t="array" aca="1" ref="C246" ca="1">IF(B246&lt;=$C$9,GetGetCDSName(B246),"")</f>
        <v/>
      </c>
      <c r="D246" s="348"/>
      <c r="E246" s="381"/>
      <c r="F246" s="300"/>
      <c r="G246" s="300"/>
      <c r="H246" s="300"/>
      <c r="I246" s="300"/>
      <c r="J246" s="300"/>
      <c r="K246" s="300"/>
      <c r="L246" s="300"/>
      <c r="M246" s="300"/>
      <c r="N246" s="382"/>
      <c r="O246" s="275"/>
      <c r="P246" s="275"/>
      <c r="Q246" s="275"/>
      <c r="R246" s="275"/>
      <c r="S246" s="275"/>
      <c r="T246" s="275"/>
      <c r="U246" s="275"/>
      <c r="V246" s="275"/>
      <c r="W246" s="275"/>
      <c r="X246" s="275"/>
      <c r="Y246" s="275"/>
      <c r="Z246" s="275"/>
      <c r="AA246" s="275"/>
      <c r="AB246" s="275"/>
      <c r="AC246" s="275"/>
      <c r="AD246" s="275"/>
      <c r="AE246" s="275"/>
    </row>
    <row r="247" spans="2:31" ht="15">
      <c r="B247" s="380">
        <f t="shared" si="7"/>
        <v>202</v>
      </c>
      <c r="C247" s="388" t="str" cm="1">
        <f t="array" aca="1" ref="C247" ca="1">IF(B247&lt;=$C$9,GetGetCDSName(B247),"")</f>
        <v/>
      </c>
      <c r="D247" s="348"/>
      <c r="E247" s="381"/>
      <c r="F247" s="300"/>
      <c r="G247" s="300"/>
      <c r="H247" s="300"/>
      <c r="I247" s="300"/>
      <c r="J247" s="300"/>
      <c r="K247" s="300"/>
      <c r="L247" s="300"/>
      <c r="M247" s="300"/>
      <c r="N247" s="382"/>
      <c r="O247" s="275"/>
      <c r="P247" s="275"/>
      <c r="Q247" s="275"/>
      <c r="R247" s="275"/>
      <c r="S247" s="275"/>
      <c r="T247" s="275"/>
      <c r="U247" s="275"/>
      <c r="V247" s="275"/>
      <c r="W247" s="275"/>
      <c r="X247" s="275"/>
      <c r="Y247" s="275"/>
      <c r="Z247" s="275"/>
      <c r="AA247" s="275"/>
      <c r="AB247" s="275"/>
      <c r="AC247" s="275"/>
      <c r="AD247" s="275"/>
      <c r="AE247" s="275"/>
    </row>
    <row r="248" spans="2:31" ht="15">
      <c r="B248" s="380">
        <f t="shared" si="7"/>
        <v>203</v>
      </c>
      <c r="C248" s="388" t="str" cm="1">
        <f t="array" aca="1" ref="C248" ca="1">IF(B248&lt;=$C$9,GetGetCDSName(B248),"")</f>
        <v/>
      </c>
      <c r="D248" s="348"/>
      <c r="E248" s="381"/>
      <c r="F248" s="300"/>
      <c r="G248" s="300"/>
      <c r="H248" s="300"/>
      <c r="I248" s="300"/>
      <c r="J248" s="300"/>
      <c r="K248" s="300"/>
      <c r="L248" s="300"/>
      <c r="M248" s="300"/>
      <c r="N248" s="382"/>
      <c r="O248" s="275"/>
      <c r="P248" s="275"/>
      <c r="Q248" s="275"/>
      <c r="R248" s="275"/>
      <c r="S248" s="275"/>
      <c r="T248" s="275"/>
      <c r="U248" s="275"/>
      <c r="V248" s="275"/>
      <c r="W248" s="275"/>
      <c r="X248" s="275"/>
      <c r="Y248" s="275"/>
      <c r="Z248" s="275"/>
      <c r="AA248" s="275"/>
      <c r="AB248" s="275"/>
      <c r="AC248" s="275"/>
      <c r="AD248" s="275"/>
      <c r="AE248" s="275"/>
    </row>
    <row r="249" spans="2:31" ht="15">
      <c r="B249" s="380">
        <f t="shared" si="7"/>
        <v>204</v>
      </c>
      <c r="C249" s="388" t="str" cm="1">
        <f t="array" aca="1" ref="C249" ca="1">IF(B249&lt;=$C$9,GetGetCDSName(B249),"")</f>
        <v/>
      </c>
      <c r="D249" s="348"/>
      <c r="E249" s="381"/>
      <c r="F249" s="300"/>
      <c r="G249" s="300"/>
      <c r="H249" s="300"/>
      <c r="I249" s="300"/>
      <c r="J249" s="300"/>
      <c r="K249" s="300"/>
      <c r="L249" s="300"/>
      <c r="M249" s="300"/>
      <c r="N249" s="382"/>
      <c r="O249" s="275"/>
      <c r="P249" s="275"/>
      <c r="Q249" s="275"/>
      <c r="R249" s="275"/>
      <c r="S249" s="275"/>
      <c r="T249" s="275"/>
      <c r="U249" s="275"/>
      <c r="V249" s="275"/>
      <c r="W249" s="275"/>
      <c r="X249" s="275"/>
      <c r="Y249" s="275"/>
      <c r="Z249" s="275"/>
      <c r="AA249" s="275"/>
      <c r="AB249" s="275"/>
      <c r="AC249" s="275"/>
      <c r="AD249" s="275"/>
      <c r="AE249" s="275"/>
    </row>
    <row r="250" spans="2:31" ht="15">
      <c r="B250" s="380">
        <f t="shared" si="7"/>
        <v>205</v>
      </c>
      <c r="C250" s="388" t="str" cm="1">
        <f t="array" aca="1" ref="C250" ca="1">IF(B250&lt;=$C$9,GetGetCDSName(B250),"")</f>
        <v/>
      </c>
      <c r="D250" s="348"/>
      <c r="E250" s="381"/>
      <c r="F250" s="300"/>
      <c r="G250" s="300"/>
      <c r="H250" s="300"/>
      <c r="I250" s="300"/>
      <c r="J250" s="300"/>
      <c r="K250" s="300"/>
      <c r="L250" s="300"/>
      <c r="M250" s="300"/>
      <c r="N250" s="382"/>
      <c r="O250" s="275"/>
      <c r="P250" s="275"/>
      <c r="Q250" s="275"/>
      <c r="R250" s="275"/>
      <c r="S250" s="275"/>
      <c r="T250" s="275"/>
      <c r="U250" s="275"/>
      <c r="V250" s="275"/>
      <c r="W250" s="275"/>
      <c r="X250" s="275"/>
      <c r="Y250" s="275"/>
      <c r="Z250" s="275"/>
      <c r="AA250" s="275"/>
      <c r="AB250" s="275"/>
      <c r="AC250" s="275"/>
      <c r="AD250" s="275"/>
      <c r="AE250" s="275"/>
    </row>
    <row r="251" spans="2:31" ht="15">
      <c r="B251" s="380">
        <f t="shared" si="7"/>
        <v>206</v>
      </c>
      <c r="C251" s="388" t="str" cm="1">
        <f t="array" aca="1" ref="C251" ca="1">IF(B251&lt;=$C$9,GetGetCDSName(B251),"")</f>
        <v/>
      </c>
      <c r="D251" s="348"/>
      <c r="E251" s="381"/>
      <c r="F251" s="300"/>
      <c r="G251" s="300"/>
      <c r="H251" s="300"/>
      <c r="I251" s="300"/>
      <c r="J251" s="300"/>
      <c r="K251" s="300"/>
      <c r="L251" s="300"/>
      <c r="M251" s="300"/>
      <c r="N251" s="382"/>
      <c r="O251" s="275"/>
      <c r="P251" s="275"/>
      <c r="Q251" s="275"/>
      <c r="R251" s="275"/>
      <c r="S251" s="275"/>
      <c r="T251" s="275"/>
      <c r="U251" s="275"/>
      <c r="V251" s="275"/>
      <c r="W251" s="275"/>
      <c r="X251" s="275"/>
      <c r="Y251" s="275"/>
      <c r="Z251" s="275"/>
      <c r="AA251" s="275"/>
      <c r="AB251" s="275"/>
      <c r="AC251" s="275"/>
      <c r="AD251" s="275"/>
      <c r="AE251" s="275"/>
    </row>
    <row r="252" spans="2:31" ht="15">
      <c r="B252" s="380">
        <f t="shared" si="7"/>
        <v>207</v>
      </c>
      <c r="C252" s="388" t="str" cm="1">
        <f t="array" aca="1" ref="C252" ca="1">IF(B252&lt;=$C$9,GetGetCDSName(B252),"")</f>
        <v/>
      </c>
      <c r="D252" s="348"/>
      <c r="E252" s="381"/>
      <c r="F252" s="300"/>
      <c r="G252" s="300"/>
      <c r="H252" s="300"/>
      <c r="I252" s="300"/>
      <c r="J252" s="300"/>
      <c r="K252" s="300"/>
      <c r="L252" s="300"/>
      <c r="M252" s="300"/>
      <c r="N252" s="382"/>
      <c r="O252" s="275"/>
      <c r="P252" s="275"/>
      <c r="Q252" s="275"/>
      <c r="R252" s="275"/>
      <c r="S252" s="275"/>
      <c r="T252" s="275"/>
      <c r="U252" s="275"/>
      <c r="V252" s="275"/>
      <c r="W252" s="275"/>
      <c r="X252" s="275"/>
      <c r="Y252" s="275"/>
      <c r="Z252" s="275"/>
      <c r="AA252" s="275"/>
      <c r="AB252" s="275"/>
      <c r="AC252" s="275"/>
      <c r="AD252" s="275"/>
      <c r="AE252" s="275"/>
    </row>
    <row r="253" spans="2:31" ht="15">
      <c r="B253" s="380">
        <f t="shared" si="7"/>
        <v>208</v>
      </c>
      <c r="C253" s="388" t="str" cm="1">
        <f t="array" aca="1" ref="C253" ca="1">IF(B253&lt;=$C$9,GetGetCDSName(B253),"")</f>
        <v/>
      </c>
      <c r="D253" s="348"/>
      <c r="E253" s="381"/>
      <c r="F253" s="300"/>
      <c r="G253" s="300"/>
      <c r="H253" s="300"/>
      <c r="I253" s="300"/>
      <c r="J253" s="300"/>
      <c r="K253" s="300"/>
      <c r="L253" s="300"/>
      <c r="M253" s="300"/>
      <c r="N253" s="382"/>
      <c r="O253" s="275"/>
      <c r="P253" s="275"/>
      <c r="Q253" s="275"/>
      <c r="R253" s="275"/>
      <c r="S253" s="275"/>
      <c r="T253" s="275"/>
      <c r="U253" s="275"/>
      <c r="V253" s="275"/>
      <c r="W253" s="275"/>
      <c r="X253" s="275"/>
      <c r="Y253" s="275"/>
      <c r="Z253" s="275"/>
      <c r="AA253" s="275"/>
      <c r="AB253" s="275"/>
      <c r="AC253" s="275"/>
      <c r="AD253" s="275"/>
      <c r="AE253" s="275"/>
    </row>
    <row r="254" spans="2:31" ht="15">
      <c r="B254" s="380">
        <f t="shared" si="7"/>
        <v>209</v>
      </c>
      <c r="C254" s="388" t="str" cm="1">
        <f t="array" aca="1" ref="C254" ca="1">IF(B254&lt;=$C$9,GetGetCDSName(B254),"")</f>
        <v/>
      </c>
      <c r="D254" s="348"/>
      <c r="E254" s="381"/>
      <c r="F254" s="300"/>
      <c r="G254" s="300"/>
      <c r="H254" s="300"/>
      <c r="I254" s="300"/>
      <c r="J254" s="300"/>
      <c r="K254" s="300"/>
      <c r="L254" s="300"/>
      <c r="M254" s="300"/>
      <c r="N254" s="382"/>
      <c r="O254" s="275"/>
      <c r="P254" s="275"/>
      <c r="Q254" s="275"/>
      <c r="R254" s="275"/>
      <c r="S254" s="275"/>
      <c r="T254" s="275"/>
      <c r="U254" s="275"/>
      <c r="V254" s="275"/>
      <c r="W254" s="275"/>
      <c r="X254" s="275"/>
      <c r="Y254" s="275"/>
      <c r="Z254" s="275"/>
      <c r="AA254" s="275"/>
      <c r="AB254" s="275"/>
      <c r="AC254" s="275"/>
      <c r="AD254" s="275"/>
      <c r="AE254" s="275"/>
    </row>
    <row r="255" spans="2:31" ht="15">
      <c r="B255" s="380">
        <f t="shared" si="7"/>
        <v>210</v>
      </c>
      <c r="C255" s="388" t="str" cm="1">
        <f t="array" aca="1" ref="C255" ca="1">IF(B255&lt;=$C$9,GetGetCDSName(B255),"")</f>
        <v/>
      </c>
      <c r="D255" s="348"/>
      <c r="E255" s="381"/>
      <c r="F255" s="300"/>
      <c r="G255" s="300"/>
      <c r="H255" s="300"/>
      <c r="I255" s="300"/>
      <c r="J255" s="300"/>
      <c r="K255" s="300"/>
      <c r="L255" s="300"/>
      <c r="M255" s="300"/>
      <c r="N255" s="382"/>
      <c r="O255" s="275"/>
      <c r="P255" s="275"/>
      <c r="Q255" s="275"/>
      <c r="R255" s="275"/>
      <c r="S255" s="275"/>
      <c r="T255" s="275"/>
      <c r="U255" s="275"/>
      <c r="V255" s="275"/>
      <c r="W255" s="275"/>
      <c r="X255" s="275"/>
      <c r="Y255" s="275"/>
      <c r="Z255" s="275"/>
      <c r="AA255" s="275"/>
      <c r="AB255" s="275"/>
      <c r="AC255" s="275"/>
      <c r="AD255" s="275"/>
      <c r="AE255" s="275"/>
    </row>
    <row r="256" spans="2:31" ht="15">
      <c r="B256" s="380">
        <f t="shared" si="7"/>
        <v>211</v>
      </c>
      <c r="C256" s="388" t="str" cm="1">
        <f t="array" aca="1" ref="C256" ca="1">IF(B256&lt;=$C$9,GetGetCDSName(B256),"")</f>
        <v/>
      </c>
      <c r="D256" s="348"/>
      <c r="E256" s="381"/>
      <c r="F256" s="300"/>
      <c r="G256" s="300"/>
      <c r="H256" s="300"/>
      <c r="I256" s="300"/>
      <c r="J256" s="300"/>
      <c r="K256" s="300"/>
      <c r="L256" s="300"/>
      <c r="M256" s="300"/>
      <c r="N256" s="382"/>
      <c r="O256" s="275"/>
      <c r="P256" s="275"/>
      <c r="Q256" s="275"/>
      <c r="R256" s="275"/>
      <c r="S256" s="275"/>
      <c r="T256" s="275"/>
      <c r="U256" s="275"/>
      <c r="V256" s="275"/>
      <c r="W256" s="275"/>
      <c r="X256" s="275"/>
      <c r="Y256" s="275"/>
      <c r="Z256" s="275"/>
      <c r="AA256" s="275"/>
      <c r="AB256" s="275"/>
      <c r="AC256" s="275"/>
      <c r="AD256" s="275"/>
      <c r="AE256" s="275"/>
    </row>
    <row r="257" spans="2:31" ht="15">
      <c r="B257" s="380">
        <f t="shared" si="7"/>
        <v>212</v>
      </c>
      <c r="C257" s="388" t="str" cm="1">
        <f t="array" aca="1" ref="C257" ca="1">IF(B257&lt;=$C$9,GetGetCDSName(B257),"")</f>
        <v/>
      </c>
      <c r="D257" s="348"/>
      <c r="E257" s="381"/>
      <c r="F257" s="300"/>
      <c r="G257" s="300"/>
      <c r="H257" s="300"/>
      <c r="I257" s="300"/>
      <c r="J257" s="300"/>
      <c r="K257" s="300"/>
      <c r="L257" s="300"/>
      <c r="M257" s="300"/>
      <c r="N257" s="382"/>
      <c r="O257" s="275"/>
      <c r="P257" s="275"/>
      <c r="Q257" s="275"/>
      <c r="R257" s="275"/>
      <c r="S257" s="275"/>
      <c r="T257" s="275"/>
      <c r="U257" s="275"/>
      <c r="V257" s="275"/>
      <c r="W257" s="275"/>
      <c r="X257" s="275"/>
      <c r="Y257" s="275"/>
      <c r="Z257" s="275"/>
      <c r="AA257" s="275"/>
      <c r="AB257" s="275"/>
      <c r="AC257" s="275"/>
      <c r="AD257" s="275"/>
      <c r="AE257" s="275"/>
    </row>
    <row r="258" spans="2:31" ht="15">
      <c r="B258" s="380">
        <f t="shared" si="7"/>
        <v>213</v>
      </c>
      <c r="C258" s="388" t="str" cm="1">
        <f t="array" aca="1" ref="C258" ca="1">IF(B258&lt;=$C$9,GetGetCDSName(B258),"")</f>
        <v/>
      </c>
      <c r="D258" s="348"/>
      <c r="E258" s="381"/>
      <c r="F258" s="300"/>
      <c r="G258" s="300"/>
      <c r="H258" s="300"/>
      <c r="I258" s="300"/>
      <c r="J258" s="300"/>
      <c r="K258" s="300"/>
      <c r="L258" s="300"/>
      <c r="M258" s="300"/>
      <c r="N258" s="382"/>
      <c r="O258" s="275"/>
      <c r="P258" s="275"/>
      <c r="Q258" s="275"/>
      <c r="R258" s="275"/>
      <c r="S258" s="275"/>
      <c r="T258" s="275"/>
      <c r="U258" s="275"/>
      <c r="V258" s="275"/>
      <c r="W258" s="275"/>
      <c r="X258" s="275"/>
      <c r="Y258" s="275"/>
      <c r="Z258" s="275"/>
      <c r="AA258" s="275"/>
      <c r="AB258" s="275"/>
      <c r="AC258" s="275"/>
      <c r="AD258" s="275"/>
      <c r="AE258" s="275"/>
    </row>
    <row r="259" spans="2:31" ht="15">
      <c r="B259" s="380">
        <f t="shared" si="7"/>
        <v>214</v>
      </c>
      <c r="C259" s="388" t="str" cm="1">
        <f t="array" aca="1" ref="C259" ca="1">IF(B259&lt;=$C$9,GetGetCDSName(B259),"")</f>
        <v/>
      </c>
      <c r="D259" s="348"/>
      <c r="E259" s="381"/>
      <c r="F259" s="300"/>
      <c r="G259" s="300"/>
      <c r="H259" s="300"/>
      <c r="I259" s="300"/>
      <c r="J259" s="300"/>
      <c r="K259" s="300"/>
      <c r="L259" s="300"/>
      <c r="M259" s="300"/>
      <c r="N259" s="382"/>
      <c r="O259" s="275"/>
      <c r="P259" s="275"/>
      <c r="Q259" s="275"/>
      <c r="R259" s="275"/>
      <c r="S259" s="275"/>
      <c r="T259" s="275"/>
      <c r="U259" s="275"/>
      <c r="V259" s="275"/>
      <c r="W259" s="275"/>
      <c r="X259" s="275"/>
      <c r="Y259" s="275"/>
      <c r="Z259" s="275"/>
      <c r="AA259" s="275"/>
      <c r="AB259" s="275"/>
      <c r="AC259" s="275"/>
      <c r="AD259" s="275"/>
      <c r="AE259" s="275"/>
    </row>
    <row r="260" spans="2:31" ht="15">
      <c r="B260" s="380">
        <f t="shared" si="7"/>
        <v>215</v>
      </c>
      <c r="C260" s="388" t="str" cm="1">
        <f t="array" aca="1" ref="C260" ca="1">IF(B260&lt;=$C$9,GetGetCDSName(B260),"")</f>
        <v/>
      </c>
      <c r="D260" s="348"/>
      <c r="E260" s="381"/>
      <c r="F260" s="300"/>
      <c r="G260" s="300"/>
      <c r="H260" s="300"/>
      <c r="I260" s="300"/>
      <c r="J260" s="300"/>
      <c r="K260" s="300"/>
      <c r="L260" s="300"/>
      <c r="M260" s="300"/>
      <c r="N260" s="382"/>
      <c r="O260" s="275"/>
      <c r="P260" s="275"/>
      <c r="Q260" s="275"/>
      <c r="R260" s="275"/>
      <c r="S260" s="275"/>
      <c r="T260" s="275"/>
      <c r="U260" s="275"/>
      <c r="V260" s="275"/>
      <c r="W260" s="275"/>
      <c r="X260" s="275"/>
      <c r="Y260" s="275"/>
      <c r="Z260" s="275"/>
      <c r="AA260" s="275"/>
      <c r="AB260" s="275"/>
      <c r="AC260" s="275"/>
      <c r="AD260" s="275"/>
      <c r="AE260" s="275"/>
    </row>
    <row r="261" spans="2:31" ht="15">
      <c r="B261" s="380">
        <f t="shared" si="7"/>
        <v>216</v>
      </c>
      <c r="C261" s="388" t="str" cm="1">
        <f t="array" aca="1" ref="C261" ca="1">IF(B261&lt;=$C$9,GetGetCDSName(B261),"")</f>
        <v/>
      </c>
      <c r="D261" s="348"/>
      <c r="E261" s="381"/>
      <c r="F261" s="300"/>
      <c r="G261" s="300"/>
      <c r="H261" s="300"/>
      <c r="I261" s="300"/>
      <c r="J261" s="300"/>
      <c r="K261" s="300"/>
      <c r="L261" s="300"/>
      <c r="M261" s="300"/>
      <c r="N261" s="382"/>
      <c r="O261" s="275"/>
      <c r="P261" s="275"/>
      <c r="Q261" s="275"/>
      <c r="R261" s="275"/>
      <c r="S261" s="275"/>
      <c r="T261" s="275"/>
      <c r="U261" s="275"/>
      <c r="V261" s="275"/>
      <c r="W261" s="275"/>
      <c r="X261" s="275"/>
      <c r="Y261" s="275"/>
      <c r="Z261" s="275"/>
      <c r="AA261" s="275"/>
      <c r="AB261" s="275"/>
      <c r="AC261" s="275"/>
      <c r="AD261" s="275"/>
      <c r="AE261" s="275"/>
    </row>
    <row r="262" spans="2:31" ht="15">
      <c r="B262" s="380">
        <f t="shared" si="7"/>
        <v>217</v>
      </c>
      <c r="C262" s="388" t="str" cm="1">
        <f t="array" aca="1" ref="C262" ca="1">IF(B262&lt;=$C$9,GetGetCDSName(B262),"")</f>
        <v/>
      </c>
      <c r="D262" s="348"/>
      <c r="E262" s="381"/>
      <c r="F262" s="300"/>
      <c r="G262" s="300"/>
      <c r="H262" s="300"/>
      <c r="I262" s="300"/>
      <c r="J262" s="300"/>
      <c r="K262" s="300"/>
      <c r="L262" s="300"/>
      <c r="M262" s="300"/>
      <c r="N262" s="382"/>
      <c r="O262" s="275"/>
      <c r="P262" s="275"/>
      <c r="Q262" s="275"/>
      <c r="R262" s="275"/>
      <c r="S262" s="275"/>
      <c r="T262" s="275"/>
      <c r="U262" s="275"/>
      <c r="V262" s="275"/>
      <c r="W262" s="275"/>
      <c r="X262" s="275"/>
      <c r="Y262" s="275"/>
      <c r="Z262" s="275"/>
      <c r="AA262" s="275"/>
      <c r="AB262" s="275"/>
      <c r="AC262" s="275"/>
      <c r="AD262" s="275"/>
      <c r="AE262" s="275"/>
    </row>
    <row r="263" spans="2:31" ht="15">
      <c r="B263" s="380">
        <f t="shared" si="7"/>
        <v>218</v>
      </c>
      <c r="C263" s="388" t="str" cm="1">
        <f t="array" aca="1" ref="C263" ca="1">IF(B263&lt;=$C$9,GetGetCDSName(B263),"")</f>
        <v/>
      </c>
      <c r="D263" s="348"/>
      <c r="E263" s="381"/>
      <c r="F263" s="300"/>
      <c r="G263" s="300"/>
      <c r="H263" s="300"/>
      <c r="I263" s="300"/>
      <c r="J263" s="300"/>
      <c r="K263" s="300"/>
      <c r="L263" s="300"/>
      <c r="M263" s="300"/>
      <c r="N263" s="382"/>
      <c r="O263" s="275"/>
      <c r="P263" s="275"/>
      <c r="Q263" s="275"/>
      <c r="R263" s="275"/>
      <c r="S263" s="275"/>
      <c r="T263" s="275"/>
      <c r="U263" s="275"/>
      <c r="V263" s="275"/>
      <c r="W263" s="275"/>
      <c r="X263" s="275"/>
      <c r="Y263" s="275"/>
      <c r="Z263" s="275"/>
      <c r="AA263" s="275"/>
      <c r="AB263" s="275"/>
      <c r="AC263" s="275"/>
      <c r="AD263" s="275"/>
      <c r="AE263" s="275"/>
    </row>
    <row r="264" spans="2:31" ht="15">
      <c r="B264" s="380">
        <f t="shared" si="7"/>
        <v>219</v>
      </c>
      <c r="C264" s="388" t="str" cm="1">
        <f t="array" aca="1" ref="C264" ca="1">IF(B264&lt;=$C$9,GetGetCDSName(B264),"")</f>
        <v/>
      </c>
      <c r="D264" s="348"/>
      <c r="E264" s="381"/>
      <c r="F264" s="300"/>
      <c r="G264" s="300"/>
      <c r="H264" s="300"/>
      <c r="I264" s="300"/>
      <c r="J264" s="300"/>
      <c r="K264" s="300"/>
      <c r="L264" s="300"/>
      <c r="M264" s="300"/>
      <c r="N264" s="382"/>
      <c r="O264" s="275"/>
      <c r="P264" s="275"/>
      <c r="Q264" s="275"/>
      <c r="R264" s="275"/>
      <c r="S264" s="275"/>
      <c r="T264" s="275"/>
      <c r="U264" s="275"/>
      <c r="V264" s="275"/>
      <c r="W264" s="275"/>
      <c r="X264" s="275"/>
      <c r="Y264" s="275"/>
      <c r="Z264" s="275"/>
      <c r="AA264" s="275"/>
      <c r="AB264" s="275"/>
      <c r="AC264" s="275"/>
      <c r="AD264" s="275"/>
      <c r="AE264" s="275"/>
    </row>
    <row r="265" spans="2:31" ht="15">
      <c r="B265" s="380">
        <f t="shared" si="7"/>
        <v>220</v>
      </c>
      <c r="C265" s="388" t="str" cm="1">
        <f t="array" aca="1" ref="C265" ca="1">IF(B265&lt;=$C$9,GetGetCDSName(B265),"")</f>
        <v/>
      </c>
      <c r="D265" s="348"/>
      <c r="E265" s="381"/>
      <c r="F265" s="300"/>
      <c r="G265" s="300"/>
      <c r="H265" s="300"/>
      <c r="I265" s="300"/>
      <c r="J265" s="300"/>
      <c r="K265" s="300"/>
      <c r="L265" s="300"/>
      <c r="M265" s="300"/>
      <c r="N265" s="382"/>
      <c r="O265" s="275"/>
      <c r="P265" s="275"/>
      <c r="Q265" s="275"/>
      <c r="R265" s="275"/>
      <c r="S265" s="275"/>
      <c r="T265" s="275"/>
      <c r="U265" s="275"/>
      <c r="V265" s="275"/>
      <c r="W265" s="275"/>
      <c r="X265" s="275"/>
      <c r="Y265" s="275"/>
      <c r="Z265" s="275"/>
      <c r="AA265" s="275"/>
      <c r="AB265" s="275"/>
      <c r="AC265" s="275"/>
      <c r="AD265" s="275"/>
      <c r="AE265" s="275"/>
    </row>
    <row r="266" spans="2:31" ht="15">
      <c r="B266" s="380">
        <f t="shared" si="7"/>
        <v>221</v>
      </c>
      <c r="C266" s="388" t="str" cm="1">
        <f t="array" aca="1" ref="C266" ca="1">IF(B266&lt;=$C$9,GetGetCDSName(B266),"")</f>
        <v/>
      </c>
      <c r="D266" s="348"/>
      <c r="E266" s="381"/>
      <c r="F266" s="300"/>
      <c r="G266" s="300"/>
      <c r="H266" s="300"/>
      <c r="I266" s="300"/>
      <c r="J266" s="300"/>
      <c r="K266" s="300"/>
      <c r="L266" s="300"/>
      <c r="M266" s="300"/>
      <c r="N266" s="382"/>
      <c r="O266" s="275"/>
      <c r="P266" s="275"/>
      <c r="Q266" s="275"/>
      <c r="R266" s="275"/>
      <c r="S266" s="275"/>
      <c r="T266" s="275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</row>
    <row r="267" spans="2:31" ht="15">
      <c r="B267" s="380">
        <f t="shared" si="7"/>
        <v>222</v>
      </c>
      <c r="C267" s="388" t="str" cm="1">
        <f t="array" aca="1" ref="C267" ca="1">IF(B267&lt;=$C$9,GetGetCDSName(B267),"")</f>
        <v/>
      </c>
      <c r="D267" s="348"/>
      <c r="E267" s="381"/>
      <c r="F267" s="300"/>
      <c r="G267" s="300"/>
      <c r="H267" s="300"/>
      <c r="I267" s="300"/>
      <c r="J267" s="300"/>
      <c r="K267" s="300"/>
      <c r="L267" s="300"/>
      <c r="M267" s="300"/>
      <c r="N267" s="382"/>
      <c r="O267" s="275"/>
      <c r="P267" s="275"/>
      <c r="Q267" s="275"/>
      <c r="R267" s="275"/>
      <c r="S267" s="275"/>
      <c r="T267" s="275"/>
      <c r="U267" s="275"/>
      <c r="V267" s="275"/>
      <c r="W267" s="275"/>
      <c r="X267" s="275"/>
      <c r="Y267" s="275"/>
      <c r="Z267" s="275"/>
      <c r="AA267" s="275"/>
      <c r="AB267" s="275"/>
      <c r="AC267" s="275"/>
      <c r="AD267" s="275"/>
      <c r="AE267" s="275"/>
    </row>
    <row r="268" spans="2:31" ht="15">
      <c r="B268" s="380">
        <f t="shared" si="7"/>
        <v>223</v>
      </c>
      <c r="C268" s="388" t="str" cm="1">
        <f t="array" aca="1" ref="C268" ca="1">IF(B268&lt;=$C$9,GetGetCDSName(B268),"")</f>
        <v/>
      </c>
      <c r="D268" s="348"/>
      <c r="E268" s="381"/>
      <c r="F268" s="300"/>
      <c r="G268" s="300"/>
      <c r="H268" s="300"/>
      <c r="I268" s="300"/>
      <c r="J268" s="300"/>
      <c r="K268" s="300"/>
      <c r="L268" s="300"/>
      <c r="M268" s="300"/>
      <c r="N268" s="382"/>
      <c r="O268" s="275"/>
      <c r="P268" s="275"/>
      <c r="Q268" s="275"/>
      <c r="R268" s="275"/>
      <c r="S268" s="275"/>
      <c r="T268" s="275"/>
      <c r="U268" s="275"/>
      <c r="V268" s="275"/>
      <c r="W268" s="275"/>
      <c r="X268" s="275"/>
      <c r="Y268" s="275"/>
      <c r="Z268" s="275"/>
      <c r="AA268" s="275"/>
      <c r="AB268" s="275"/>
      <c r="AC268" s="275"/>
      <c r="AD268" s="275"/>
      <c r="AE268" s="275"/>
    </row>
    <row r="269" spans="2:31" ht="15">
      <c r="B269" s="380">
        <f t="shared" si="7"/>
        <v>224</v>
      </c>
      <c r="C269" s="388" t="str" cm="1">
        <f t="array" aca="1" ref="C269" ca="1">IF(B269&lt;=$C$9,GetGetCDSName(B269),"")</f>
        <v/>
      </c>
      <c r="D269" s="348"/>
      <c r="E269" s="381"/>
      <c r="F269" s="300"/>
      <c r="G269" s="300"/>
      <c r="H269" s="300"/>
      <c r="I269" s="300"/>
      <c r="J269" s="300"/>
      <c r="K269" s="300"/>
      <c r="L269" s="300"/>
      <c r="M269" s="300"/>
      <c r="N269" s="382"/>
      <c r="O269" s="275"/>
      <c r="P269" s="275"/>
      <c r="Q269" s="275"/>
      <c r="R269" s="275"/>
      <c r="S269" s="275"/>
      <c r="T269" s="275"/>
      <c r="U269" s="275"/>
      <c r="V269" s="275"/>
      <c r="W269" s="275"/>
      <c r="X269" s="275"/>
      <c r="Y269" s="275"/>
      <c r="Z269" s="275"/>
      <c r="AA269" s="275"/>
      <c r="AB269" s="275"/>
      <c r="AC269" s="275"/>
      <c r="AD269" s="275"/>
      <c r="AE269" s="275"/>
    </row>
    <row r="270" spans="2:31" ht="15">
      <c r="B270" s="380">
        <f t="shared" si="7"/>
        <v>225</v>
      </c>
      <c r="C270" s="388" t="str" cm="1">
        <f t="array" aca="1" ref="C270" ca="1">IF(B270&lt;=$C$9,GetGetCDSName(B270),"")</f>
        <v/>
      </c>
      <c r="D270" s="348"/>
      <c r="E270" s="381"/>
      <c r="F270" s="300"/>
      <c r="G270" s="300"/>
      <c r="H270" s="300"/>
      <c r="I270" s="300"/>
      <c r="J270" s="300"/>
      <c r="K270" s="300"/>
      <c r="L270" s="300"/>
      <c r="M270" s="300"/>
      <c r="N270" s="382"/>
      <c r="O270" s="275"/>
      <c r="P270" s="275"/>
      <c r="Q270" s="275"/>
      <c r="R270" s="275"/>
      <c r="S270" s="275"/>
      <c r="T270" s="275"/>
      <c r="U270" s="275"/>
      <c r="V270" s="275"/>
      <c r="W270" s="275"/>
      <c r="X270" s="275"/>
      <c r="Y270" s="275"/>
      <c r="Z270" s="275"/>
      <c r="AA270" s="275"/>
      <c r="AB270" s="275"/>
      <c r="AC270" s="275"/>
      <c r="AD270" s="275"/>
      <c r="AE270" s="275"/>
    </row>
    <row r="271" spans="2:31" ht="15">
      <c r="B271" s="380">
        <f t="shared" si="7"/>
        <v>226</v>
      </c>
      <c r="C271" s="388" t="str" cm="1">
        <f t="array" aca="1" ref="C271" ca="1">IF(B271&lt;=$C$9,GetGetCDSName(B271),"")</f>
        <v/>
      </c>
      <c r="D271" s="348"/>
      <c r="E271" s="381"/>
      <c r="F271" s="300"/>
      <c r="G271" s="300"/>
      <c r="H271" s="300"/>
      <c r="I271" s="300"/>
      <c r="J271" s="300"/>
      <c r="K271" s="300"/>
      <c r="L271" s="300"/>
      <c r="M271" s="300"/>
      <c r="N271" s="382"/>
      <c r="O271" s="275"/>
      <c r="P271" s="275"/>
      <c r="Q271" s="275"/>
      <c r="R271" s="275"/>
      <c r="S271" s="275"/>
      <c r="T271" s="275"/>
      <c r="U271" s="275"/>
      <c r="V271" s="275"/>
      <c r="W271" s="275"/>
      <c r="X271" s="275"/>
      <c r="Y271" s="275"/>
      <c r="Z271" s="275"/>
      <c r="AA271" s="275"/>
      <c r="AB271" s="275"/>
      <c r="AC271" s="275"/>
      <c r="AD271" s="275"/>
      <c r="AE271" s="275"/>
    </row>
    <row r="272" spans="2:31" ht="15">
      <c r="B272" s="380">
        <f t="shared" si="7"/>
        <v>227</v>
      </c>
      <c r="C272" s="388" t="str" cm="1">
        <f t="array" aca="1" ref="C272" ca="1">IF(B272&lt;=$C$9,GetGetCDSName(B272),"")</f>
        <v/>
      </c>
      <c r="D272" s="348"/>
      <c r="E272" s="381"/>
      <c r="F272" s="300"/>
      <c r="G272" s="300"/>
      <c r="H272" s="300"/>
      <c r="I272" s="300"/>
      <c r="J272" s="300"/>
      <c r="K272" s="300"/>
      <c r="L272" s="300"/>
      <c r="M272" s="300"/>
      <c r="N272" s="382"/>
      <c r="O272" s="275"/>
      <c r="P272" s="275"/>
      <c r="Q272" s="275"/>
      <c r="R272" s="275"/>
      <c r="S272" s="275"/>
      <c r="T272" s="275"/>
      <c r="U272" s="275"/>
      <c r="V272" s="275"/>
      <c r="W272" s="275"/>
      <c r="X272" s="275"/>
      <c r="Y272" s="275"/>
      <c r="Z272" s="275"/>
      <c r="AA272" s="275"/>
      <c r="AB272" s="275"/>
      <c r="AC272" s="275"/>
      <c r="AD272" s="275"/>
      <c r="AE272" s="275"/>
    </row>
    <row r="273" spans="2:31" ht="15">
      <c r="B273" s="380">
        <f t="shared" si="7"/>
        <v>228</v>
      </c>
      <c r="C273" s="388" t="str" cm="1">
        <f t="array" aca="1" ref="C273" ca="1">IF(B273&lt;=$C$9,GetGetCDSName(B273),"")</f>
        <v/>
      </c>
      <c r="D273" s="348"/>
      <c r="E273" s="381"/>
      <c r="F273" s="300"/>
      <c r="G273" s="300"/>
      <c r="H273" s="300"/>
      <c r="I273" s="300"/>
      <c r="J273" s="300"/>
      <c r="K273" s="300"/>
      <c r="L273" s="300"/>
      <c r="M273" s="300"/>
      <c r="N273" s="382"/>
      <c r="O273" s="275"/>
      <c r="P273" s="275"/>
      <c r="Q273" s="275"/>
      <c r="R273" s="275"/>
      <c r="S273" s="275"/>
      <c r="T273" s="275"/>
      <c r="U273" s="275"/>
      <c r="V273" s="275"/>
      <c r="W273" s="275"/>
      <c r="X273" s="275"/>
      <c r="Y273" s="275"/>
      <c r="Z273" s="275"/>
      <c r="AA273" s="275"/>
      <c r="AB273" s="275"/>
      <c r="AC273" s="275"/>
      <c r="AD273" s="275"/>
      <c r="AE273" s="275"/>
    </row>
    <row r="274" spans="2:31" ht="15">
      <c r="B274" s="380">
        <f t="shared" si="7"/>
        <v>229</v>
      </c>
      <c r="C274" s="388" t="str" cm="1">
        <f t="array" aca="1" ref="C274" ca="1">IF(B274&lt;=$C$9,GetGetCDSName(B274),"")</f>
        <v/>
      </c>
      <c r="D274" s="348"/>
      <c r="E274" s="381"/>
      <c r="F274" s="300"/>
      <c r="G274" s="300"/>
      <c r="H274" s="300"/>
      <c r="I274" s="300"/>
      <c r="J274" s="300"/>
      <c r="K274" s="300"/>
      <c r="L274" s="300"/>
      <c r="M274" s="300"/>
      <c r="N274" s="382"/>
      <c r="O274" s="275"/>
      <c r="P274" s="275"/>
      <c r="Q274" s="275"/>
      <c r="R274" s="275"/>
      <c r="S274" s="275"/>
      <c r="T274" s="275"/>
      <c r="U274" s="275"/>
      <c r="V274" s="275"/>
      <c r="W274" s="275"/>
      <c r="X274" s="275"/>
      <c r="Y274" s="275"/>
      <c r="Z274" s="275"/>
      <c r="AA274" s="275"/>
      <c r="AB274" s="275"/>
      <c r="AC274" s="275"/>
      <c r="AD274" s="275"/>
      <c r="AE274" s="275"/>
    </row>
    <row r="275" spans="2:31" ht="15">
      <c r="B275" s="380">
        <f t="shared" si="7"/>
        <v>230</v>
      </c>
      <c r="C275" s="388" t="str" cm="1">
        <f t="array" aca="1" ref="C275" ca="1">IF(B275&lt;=$C$9,GetGetCDSName(B275),"")</f>
        <v/>
      </c>
      <c r="D275" s="348"/>
      <c r="E275" s="381"/>
      <c r="F275" s="300"/>
      <c r="G275" s="300"/>
      <c r="H275" s="300"/>
      <c r="I275" s="300"/>
      <c r="J275" s="300"/>
      <c r="K275" s="300"/>
      <c r="L275" s="300"/>
      <c r="M275" s="300"/>
      <c r="N275" s="382"/>
      <c r="O275" s="275"/>
      <c r="P275" s="275"/>
      <c r="Q275" s="275"/>
      <c r="R275" s="275"/>
      <c r="S275" s="275"/>
      <c r="T275" s="275"/>
      <c r="U275" s="275"/>
      <c r="V275" s="275"/>
      <c r="W275" s="275"/>
      <c r="X275" s="275"/>
      <c r="Y275" s="275"/>
      <c r="Z275" s="275"/>
      <c r="AA275" s="275"/>
      <c r="AB275" s="275"/>
      <c r="AC275" s="275"/>
      <c r="AD275" s="275"/>
      <c r="AE275" s="275"/>
    </row>
    <row r="276" spans="2:31" ht="15">
      <c r="B276" s="380">
        <f t="shared" si="7"/>
        <v>231</v>
      </c>
      <c r="C276" s="388" t="str" cm="1">
        <f t="array" aca="1" ref="C276" ca="1">IF(B276&lt;=$C$9,GetGetCDSName(B276),"")</f>
        <v/>
      </c>
      <c r="D276" s="348"/>
      <c r="E276" s="381"/>
      <c r="F276" s="300"/>
      <c r="G276" s="300"/>
      <c r="H276" s="300"/>
      <c r="I276" s="300"/>
      <c r="J276" s="300"/>
      <c r="K276" s="300"/>
      <c r="L276" s="300"/>
      <c r="M276" s="300"/>
      <c r="N276" s="382"/>
      <c r="O276" s="275"/>
      <c r="P276" s="275"/>
      <c r="Q276" s="275"/>
      <c r="R276" s="275"/>
      <c r="S276" s="275"/>
      <c r="T276" s="275"/>
      <c r="U276" s="275"/>
      <c r="V276" s="275"/>
      <c r="W276" s="275"/>
      <c r="X276" s="275"/>
      <c r="Y276" s="275"/>
      <c r="Z276" s="275"/>
      <c r="AA276" s="275"/>
      <c r="AB276" s="275"/>
      <c r="AC276" s="275"/>
      <c r="AD276" s="275"/>
      <c r="AE276" s="275"/>
    </row>
    <row r="277" spans="2:31" ht="15">
      <c r="B277" s="380">
        <f t="shared" si="7"/>
        <v>232</v>
      </c>
      <c r="C277" s="388" t="str" cm="1">
        <f t="array" aca="1" ref="C277" ca="1">IF(B277&lt;=$C$9,GetGetCDSName(B277),"")</f>
        <v/>
      </c>
      <c r="D277" s="348"/>
      <c r="E277" s="381"/>
      <c r="F277" s="300"/>
      <c r="G277" s="300"/>
      <c r="H277" s="300"/>
      <c r="I277" s="300"/>
      <c r="J277" s="300"/>
      <c r="K277" s="300"/>
      <c r="L277" s="300"/>
      <c r="M277" s="300"/>
      <c r="N277" s="382"/>
      <c r="O277" s="275"/>
      <c r="P277" s="275"/>
      <c r="Q277" s="275"/>
      <c r="R277" s="275"/>
      <c r="S277" s="275"/>
      <c r="T277" s="275"/>
      <c r="U277" s="275"/>
      <c r="V277" s="275"/>
      <c r="W277" s="275"/>
      <c r="X277" s="275"/>
      <c r="Y277" s="275"/>
      <c r="Z277" s="275"/>
      <c r="AA277" s="275"/>
      <c r="AB277" s="275"/>
      <c r="AC277" s="275"/>
      <c r="AD277" s="275"/>
      <c r="AE277" s="275"/>
    </row>
    <row r="278" spans="2:31" ht="15">
      <c r="B278" s="380">
        <f t="shared" si="7"/>
        <v>233</v>
      </c>
      <c r="C278" s="388" t="str" cm="1">
        <f t="array" aca="1" ref="C278" ca="1">IF(B278&lt;=$C$9,GetGetCDSName(B278),"")</f>
        <v/>
      </c>
      <c r="D278" s="348"/>
      <c r="E278" s="381"/>
      <c r="F278" s="300"/>
      <c r="G278" s="300"/>
      <c r="H278" s="300"/>
      <c r="I278" s="300"/>
      <c r="J278" s="300"/>
      <c r="K278" s="300"/>
      <c r="L278" s="300"/>
      <c r="M278" s="300"/>
      <c r="N278" s="382"/>
      <c r="O278" s="275"/>
      <c r="P278" s="275"/>
      <c r="Q278" s="275"/>
      <c r="R278" s="275"/>
      <c r="S278" s="275"/>
      <c r="T278" s="275"/>
      <c r="U278" s="275"/>
      <c r="V278" s="275"/>
      <c r="W278" s="275"/>
      <c r="X278" s="275"/>
      <c r="Y278" s="275"/>
      <c r="Z278" s="275"/>
      <c r="AA278" s="275"/>
      <c r="AB278" s="275"/>
      <c r="AC278" s="275"/>
      <c r="AD278" s="275"/>
      <c r="AE278" s="275"/>
    </row>
    <row r="279" spans="2:31" ht="15">
      <c r="B279" s="380">
        <f t="shared" si="7"/>
        <v>234</v>
      </c>
      <c r="C279" s="388" t="str" cm="1">
        <f t="array" aca="1" ref="C279" ca="1">IF(B279&lt;=$C$9,GetGetCDSName(B279),"")</f>
        <v/>
      </c>
      <c r="D279" s="348"/>
      <c r="E279" s="381"/>
      <c r="F279" s="300"/>
      <c r="G279" s="300"/>
      <c r="H279" s="300"/>
      <c r="I279" s="300"/>
      <c r="J279" s="300"/>
      <c r="K279" s="300"/>
      <c r="L279" s="300"/>
      <c r="M279" s="300"/>
      <c r="N279" s="382"/>
      <c r="O279" s="275"/>
      <c r="P279" s="275"/>
      <c r="Q279" s="275"/>
      <c r="R279" s="275"/>
      <c r="S279" s="275"/>
      <c r="T279" s="275"/>
      <c r="U279" s="275"/>
      <c r="V279" s="275"/>
      <c r="W279" s="275"/>
      <c r="X279" s="275"/>
      <c r="Y279" s="275"/>
      <c r="Z279" s="275"/>
      <c r="AA279" s="275"/>
      <c r="AB279" s="275"/>
      <c r="AC279" s="275"/>
      <c r="AD279" s="275"/>
      <c r="AE279" s="275"/>
    </row>
    <row r="280" spans="2:31" ht="15">
      <c r="B280" s="380">
        <f t="shared" si="7"/>
        <v>235</v>
      </c>
      <c r="C280" s="388" t="str" cm="1">
        <f t="array" aca="1" ref="C280" ca="1">IF(B280&lt;=$C$9,GetGetCDSName(B280),"")</f>
        <v/>
      </c>
      <c r="D280" s="348"/>
      <c r="E280" s="381"/>
      <c r="F280" s="300"/>
      <c r="G280" s="300"/>
      <c r="H280" s="300"/>
      <c r="I280" s="300"/>
      <c r="J280" s="300"/>
      <c r="K280" s="300"/>
      <c r="L280" s="300"/>
      <c r="M280" s="300"/>
      <c r="N280" s="382"/>
      <c r="O280" s="275"/>
      <c r="P280" s="275"/>
      <c r="Q280" s="275"/>
      <c r="R280" s="275"/>
      <c r="S280" s="275"/>
      <c r="T280" s="275"/>
      <c r="U280" s="275"/>
      <c r="V280" s="275"/>
      <c r="W280" s="275"/>
      <c r="X280" s="275"/>
      <c r="Y280" s="275"/>
      <c r="Z280" s="275"/>
      <c r="AA280" s="275"/>
      <c r="AB280" s="275"/>
      <c r="AC280" s="275"/>
      <c r="AD280" s="275"/>
      <c r="AE280" s="275"/>
    </row>
    <row r="281" spans="2:31" ht="15">
      <c r="B281" s="380">
        <f t="shared" si="7"/>
        <v>236</v>
      </c>
      <c r="C281" s="388" t="str" cm="1">
        <f t="array" aca="1" ref="C281" ca="1">IF(B281&lt;=$C$9,GetGetCDSName(B281),"")</f>
        <v/>
      </c>
      <c r="D281" s="348"/>
      <c r="E281" s="381"/>
      <c r="F281" s="300"/>
      <c r="G281" s="300"/>
      <c r="H281" s="300"/>
      <c r="I281" s="300"/>
      <c r="J281" s="300"/>
      <c r="K281" s="300"/>
      <c r="L281" s="300"/>
      <c r="M281" s="300"/>
      <c r="N281" s="382"/>
      <c r="O281" s="275"/>
      <c r="P281" s="275"/>
      <c r="Q281" s="275"/>
      <c r="R281" s="275"/>
      <c r="S281" s="275"/>
      <c r="T281" s="275"/>
      <c r="U281" s="275"/>
      <c r="V281" s="275"/>
      <c r="W281" s="275"/>
      <c r="X281" s="275"/>
      <c r="Y281" s="275"/>
      <c r="Z281" s="275"/>
      <c r="AA281" s="275"/>
      <c r="AB281" s="275"/>
      <c r="AC281" s="275"/>
      <c r="AD281" s="275"/>
      <c r="AE281" s="275"/>
    </row>
    <row r="282" spans="2:31" ht="15">
      <c r="B282" s="380">
        <f t="shared" si="7"/>
        <v>237</v>
      </c>
      <c r="C282" s="388" t="str" cm="1">
        <f t="array" aca="1" ref="C282" ca="1">IF(B282&lt;=$C$9,GetGetCDSName(B282),"")</f>
        <v/>
      </c>
      <c r="D282" s="348"/>
      <c r="E282" s="381"/>
      <c r="F282" s="300"/>
      <c r="G282" s="300"/>
      <c r="H282" s="300"/>
      <c r="I282" s="300"/>
      <c r="J282" s="300"/>
      <c r="K282" s="300"/>
      <c r="L282" s="300"/>
      <c r="M282" s="300"/>
      <c r="N282" s="382"/>
      <c r="O282" s="275"/>
      <c r="P282" s="275"/>
      <c r="Q282" s="275"/>
      <c r="R282" s="275"/>
      <c r="S282" s="275"/>
      <c r="T282" s="275"/>
      <c r="U282" s="275"/>
      <c r="V282" s="275"/>
      <c r="W282" s="275"/>
      <c r="X282" s="275"/>
      <c r="Y282" s="275"/>
      <c r="Z282" s="275"/>
      <c r="AA282" s="275"/>
      <c r="AB282" s="275"/>
      <c r="AC282" s="275"/>
      <c r="AD282" s="275"/>
      <c r="AE282" s="275"/>
    </row>
    <row r="283" spans="2:31" ht="15">
      <c r="B283" s="380">
        <f t="shared" si="7"/>
        <v>238</v>
      </c>
      <c r="C283" s="388" t="str" cm="1">
        <f t="array" aca="1" ref="C283" ca="1">IF(B283&lt;=$C$9,GetGetCDSName(B283),"")</f>
        <v/>
      </c>
      <c r="D283" s="348"/>
      <c r="E283" s="381"/>
      <c r="F283" s="300"/>
      <c r="G283" s="300"/>
      <c r="H283" s="300"/>
      <c r="I283" s="300"/>
      <c r="J283" s="300"/>
      <c r="K283" s="300"/>
      <c r="L283" s="300"/>
      <c r="M283" s="300"/>
      <c r="N283" s="382"/>
      <c r="O283" s="275"/>
      <c r="P283" s="275"/>
      <c r="Q283" s="275"/>
      <c r="R283" s="275"/>
      <c r="S283" s="275"/>
      <c r="T283" s="275"/>
      <c r="U283" s="275"/>
      <c r="V283" s="275"/>
      <c r="W283" s="275"/>
      <c r="X283" s="275"/>
      <c r="Y283" s="275"/>
      <c r="Z283" s="275"/>
      <c r="AA283" s="275"/>
      <c r="AB283" s="275"/>
      <c r="AC283" s="275"/>
      <c r="AD283" s="275"/>
      <c r="AE283" s="275"/>
    </row>
    <row r="284" spans="2:31" ht="15">
      <c r="B284" s="380">
        <f t="shared" si="7"/>
        <v>239</v>
      </c>
      <c r="C284" s="388" t="str" cm="1">
        <f t="array" aca="1" ref="C284" ca="1">IF(B284&lt;=$C$9,GetGetCDSName(B284),"")</f>
        <v/>
      </c>
      <c r="D284" s="348"/>
      <c r="E284" s="381"/>
      <c r="F284" s="300"/>
      <c r="G284" s="300"/>
      <c r="H284" s="300"/>
      <c r="I284" s="300"/>
      <c r="J284" s="300"/>
      <c r="K284" s="300"/>
      <c r="L284" s="300"/>
      <c r="M284" s="300"/>
      <c r="N284" s="382"/>
      <c r="O284" s="275"/>
      <c r="P284" s="275"/>
      <c r="Q284" s="275"/>
      <c r="R284" s="275"/>
      <c r="S284" s="275"/>
      <c r="T284" s="275"/>
      <c r="U284" s="275"/>
      <c r="V284" s="275"/>
      <c r="W284" s="275"/>
      <c r="X284" s="275"/>
      <c r="Y284" s="275"/>
      <c r="Z284" s="275"/>
      <c r="AA284" s="275"/>
      <c r="AB284" s="275"/>
      <c r="AC284" s="275"/>
      <c r="AD284" s="275"/>
      <c r="AE284" s="275"/>
    </row>
    <row r="285" spans="2:31" ht="15">
      <c r="B285" s="380">
        <f t="shared" si="7"/>
        <v>240</v>
      </c>
      <c r="C285" s="388" t="str" cm="1">
        <f t="array" aca="1" ref="C285" ca="1">IF(B285&lt;=$C$9,GetGetCDSName(B285),"")</f>
        <v/>
      </c>
      <c r="D285" s="348"/>
      <c r="E285" s="381"/>
      <c r="F285" s="300"/>
      <c r="G285" s="300"/>
      <c r="H285" s="300"/>
      <c r="I285" s="300"/>
      <c r="J285" s="300"/>
      <c r="K285" s="300"/>
      <c r="L285" s="300"/>
      <c r="M285" s="300"/>
      <c r="N285" s="382"/>
      <c r="O285" s="275"/>
      <c r="P285" s="275"/>
      <c r="Q285" s="275"/>
      <c r="R285" s="275"/>
      <c r="S285" s="275"/>
      <c r="T285" s="275"/>
      <c r="U285" s="275"/>
      <c r="V285" s="275"/>
      <c r="W285" s="275"/>
      <c r="X285" s="275"/>
      <c r="Y285" s="275"/>
      <c r="Z285" s="275"/>
      <c r="AA285" s="275"/>
      <c r="AB285" s="275"/>
      <c r="AC285" s="275"/>
      <c r="AD285" s="275"/>
      <c r="AE285" s="275"/>
    </row>
    <row r="286" spans="2:31" ht="15">
      <c r="B286" s="380">
        <f t="shared" si="7"/>
        <v>241</v>
      </c>
      <c r="C286" s="388" t="str" cm="1">
        <f t="array" aca="1" ref="C286" ca="1">IF(B286&lt;=$C$9,GetGetCDSName(B286),"")</f>
        <v/>
      </c>
      <c r="D286" s="348"/>
      <c r="E286" s="381"/>
      <c r="F286" s="300"/>
      <c r="G286" s="300"/>
      <c r="H286" s="300"/>
      <c r="I286" s="300"/>
      <c r="J286" s="300"/>
      <c r="K286" s="300"/>
      <c r="L286" s="300"/>
      <c r="M286" s="300"/>
      <c r="N286" s="382"/>
      <c r="O286" s="275"/>
      <c r="P286" s="275"/>
      <c r="Q286" s="275"/>
      <c r="R286" s="275"/>
      <c r="S286" s="275"/>
      <c r="T286" s="275"/>
      <c r="U286" s="275"/>
      <c r="V286" s="275"/>
      <c r="W286" s="275"/>
      <c r="X286" s="275"/>
      <c r="Y286" s="275"/>
      <c r="Z286" s="275"/>
      <c r="AA286" s="275"/>
      <c r="AB286" s="275"/>
      <c r="AC286" s="275"/>
      <c r="AD286" s="275"/>
      <c r="AE286" s="275"/>
    </row>
    <row r="287" spans="2:31" ht="15">
      <c r="B287" s="380">
        <f t="shared" si="7"/>
        <v>242</v>
      </c>
      <c r="C287" s="388" t="str" cm="1">
        <f t="array" aca="1" ref="C287" ca="1">IF(B287&lt;=$C$9,GetGetCDSName(B287),"")</f>
        <v/>
      </c>
      <c r="D287" s="348"/>
      <c r="E287" s="381"/>
      <c r="F287" s="300"/>
      <c r="G287" s="300"/>
      <c r="H287" s="300"/>
      <c r="I287" s="300"/>
      <c r="J287" s="300"/>
      <c r="K287" s="300"/>
      <c r="L287" s="300"/>
      <c r="M287" s="300"/>
      <c r="N287" s="382"/>
      <c r="O287" s="275"/>
      <c r="P287" s="275"/>
      <c r="Q287" s="275"/>
      <c r="R287" s="275"/>
      <c r="S287" s="275"/>
      <c r="T287" s="275"/>
      <c r="U287" s="275"/>
      <c r="V287" s="275"/>
      <c r="W287" s="275"/>
      <c r="X287" s="275"/>
      <c r="Y287" s="275"/>
      <c r="Z287" s="275"/>
      <c r="AA287" s="275"/>
      <c r="AB287" s="275"/>
      <c r="AC287" s="275"/>
      <c r="AD287" s="275"/>
      <c r="AE287" s="275"/>
    </row>
    <row r="288" spans="2:31" ht="15">
      <c r="B288" s="380">
        <f t="shared" si="7"/>
        <v>243</v>
      </c>
      <c r="C288" s="388" t="str" cm="1">
        <f t="array" aca="1" ref="C288" ca="1">IF(B288&lt;=$C$9,GetGetCDSName(B288),"")</f>
        <v/>
      </c>
      <c r="D288" s="348"/>
      <c r="E288" s="381"/>
      <c r="F288" s="300"/>
      <c r="G288" s="300"/>
      <c r="H288" s="300"/>
      <c r="I288" s="300"/>
      <c r="J288" s="300"/>
      <c r="K288" s="300"/>
      <c r="L288" s="300"/>
      <c r="M288" s="300"/>
      <c r="N288" s="382"/>
      <c r="O288" s="275"/>
      <c r="P288" s="275"/>
      <c r="Q288" s="275"/>
      <c r="R288" s="275"/>
      <c r="S288" s="275"/>
      <c r="T288" s="275"/>
      <c r="U288" s="275"/>
      <c r="V288" s="275"/>
      <c r="W288" s="275"/>
      <c r="X288" s="275"/>
      <c r="Y288" s="275"/>
      <c r="Z288" s="275"/>
      <c r="AA288" s="275"/>
      <c r="AB288" s="275"/>
      <c r="AC288" s="275"/>
      <c r="AD288" s="275"/>
      <c r="AE288" s="275"/>
    </row>
    <row r="289" spans="2:31" ht="15">
      <c r="B289" s="380">
        <f t="shared" si="7"/>
        <v>244</v>
      </c>
      <c r="C289" s="388" t="str" cm="1">
        <f t="array" aca="1" ref="C289" ca="1">IF(B289&lt;=$C$9,GetGetCDSName(B289),"")</f>
        <v/>
      </c>
      <c r="D289" s="348"/>
      <c r="E289" s="381"/>
      <c r="F289" s="300"/>
      <c r="G289" s="300"/>
      <c r="H289" s="300"/>
      <c r="I289" s="300"/>
      <c r="J289" s="300"/>
      <c r="K289" s="300"/>
      <c r="L289" s="300"/>
      <c r="M289" s="300"/>
      <c r="N289" s="382"/>
      <c r="O289" s="275"/>
      <c r="P289" s="275"/>
      <c r="Q289" s="275"/>
      <c r="R289" s="275"/>
      <c r="S289" s="275"/>
      <c r="T289" s="275"/>
      <c r="U289" s="275"/>
      <c r="V289" s="275"/>
      <c r="W289" s="275"/>
      <c r="X289" s="275"/>
      <c r="Y289" s="275"/>
      <c r="Z289" s="275"/>
      <c r="AA289" s="275"/>
      <c r="AB289" s="275"/>
      <c r="AC289" s="275"/>
      <c r="AD289" s="275"/>
      <c r="AE289" s="275"/>
    </row>
    <row r="290" spans="2:31" ht="15">
      <c r="B290" s="380">
        <f t="shared" si="7"/>
        <v>245</v>
      </c>
      <c r="C290" s="388" t="str" cm="1">
        <f t="array" aca="1" ref="C290" ca="1">IF(B290&lt;=$C$9,GetGetCDSName(B290),"")</f>
        <v/>
      </c>
      <c r="D290" s="348"/>
      <c r="E290" s="381"/>
      <c r="F290" s="300"/>
      <c r="G290" s="300"/>
      <c r="H290" s="300"/>
      <c r="I290" s="300"/>
      <c r="J290" s="300"/>
      <c r="K290" s="300"/>
      <c r="L290" s="300"/>
      <c r="M290" s="300"/>
      <c r="N290" s="382"/>
      <c r="O290" s="275"/>
      <c r="P290" s="275"/>
      <c r="Q290" s="275"/>
      <c r="R290" s="275"/>
      <c r="S290" s="275"/>
      <c r="T290" s="275"/>
      <c r="U290" s="275"/>
      <c r="V290" s="275"/>
      <c r="W290" s="275"/>
      <c r="X290" s="275"/>
      <c r="Y290" s="275"/>
      <c r="Z290" s="275"/>
      <c r="AA290" s="275"/>
      <c r="AB290" s="275"/>
      <c r="AC290" s="275"/>
      <c r="AD290" s="275"/>
      <c r="AE290" s="275"/>
    </row>
    <row r="291" spans="2:31" ht="15">
      <c r="B291" s="380">
        <f t="shared" si="7"/>
        <v>246</v>
      </c>
      <c r="C291" s="388" t="str" cm="1">
        <f t="array" aca="1" ref="C291" ca="1">IF(B291&lt;=$C$9,GetGetCDSName(B291),"")</f>
        <v/>
      </c>
      <c r="D291" s="348"/>
      <c r="E291" s="381"/>
      <c r="F291" s="300"/>
      <c r="G291" s="300"/>
      <c r="H291" s="300"/>
      <c r="I291" s="300"/>
      <c r="J291" s="300"/>
      <c r="K291" s="300"/>
      <c r="L291" s="300"/>
      <c r="M291" s="300"/>
      <c r="N291" s="382"/>
      <c r="O291" s="275"/>
      <c r="P291" s="275"/>
      <c r="Q291" s="275"/>
      <c r="R291" s="275"/>
      <c r="S291" s="275"/>
      <c r="T291" s="275"/>
      <c r="U291" s="275"/>
      <c r="V291" s="275"/>
      <c r="W291" s="275"/>
      <c r="X291" s="275"/>
      <c r="Y291" s="275"/>
      <c r="Z291" s="275"/>
      <c r="AA291" s="275"/>
      <c r="AB291" s="275"/>
      <c r="AC291" s="275"/>
      <c r="AD291" s="275"/>
      <c r="AE291" s="275"/>
    </row>
    <row r="292" spans="2:31" ht="15">
      <c r="B292" s="380">
        <f t="shared" si="7"/>
        <v>247</v>
      </c>
      <c r="C292" s="388" t="str" cm="1">
        <f t="array" aca="1" ref="C292" ca="1">IF(B292&lt;=$C$9,GetGetCDSName(B292),"")</f>
        <v/>
      </c>
      <c r="D292" s="348"/>
      <c r="E292" s="381"/>
      <c r="F292" s="300"/>
      <c r="G292" s="300"/>
      <c r="H292" s="300"/>
      <c r="I292" s="300"/>
      <c r="J292" s="300"/>
      <c r="K292" s="300"/>
      <c r="L292" s="300"/>
      <c r="M292" s="300"/>
      <c r="N292" s="382"/>
      <c r="O292" s="275"/>
      <c r="P292" s="275"/>
      <c r="Q292" s="275"/>
      <c r="R292" s="275"/>
      <c r="S292" s="275"/>
      <c r="T292" s="275"/>
      <c r="U292" s="275"/>
      <c r="V292" s="275"/>
      <c r="W292" s="275"/>
      <c r="X292" s="275"/>
      <c r="Y292" s="275"/>
      <c r="Z292" s="275"/>
      <c r="AA292" s="275"/>
      <c r="AB292" s="275"/>
      <c r="AC292" s="275"/>
      <c r="AD292" s="275"/>
      <c r="AE292" s="275"/>
    </row>
    <row r="293" spans="2:31" ht="15">
      <c r="B293" s="380">
        <f t="shared" si="7"/>
        <v>248</v>
      </c>
      <c r="C293" s="388" t="str" cm="1">
        <f t="array" aca="1" ref="C293" ca="1">IF(B293&lt;=$C$9,GetGetCDSName(B293),"")</f>
        <v/>
      </c>
      <c r="D293" s="348"/>
      <c r="E293" s="381"/>
      <c r="F293" s="300"/>
      <c r="G293" s="300"/>
      <c r="H293" s="300"/>
      <c r="I293" s="300"/>
      <c r="J293" s="300"/>
      <c r="K293" s="300"/>
      <c r="L293" s="300"/>
      <c r="M293" s="300"/>
      <c r="N293" s="382"/>
      <c r="O293" s="275"/>
      <c r="P293" s="275"/>
      <c r="Q293" s="275"/>
      <c r="R293" s="275"/>
      <c r="S293" s="275"/>
      <c r="T293" s="275"/>
      <c r="U293" s="275"/>
      <c r="V293" s="275"/>
      <c r="W293" s="275"/>
      <c r="X293" s="275"/>
      <c r="Y293" s="275"/>
      <c r="Z293" s="275"/>
      <c r="AA293" s="275"/>
      <c r="AB293" s="275"/>
      <c r="AC293" s="275"/>
      <c r="AD293" s="275"/>
      <c r="AE293" s="275"/>
    </row>
    <row r="294" spans="2:31" ht="15">
      <c r="B294" s="380">
        <f t="shared" si="7"/>
        <v>249</v>
      </c>
      <c r="C294" s="388" t="str" cm="1">
        <f t="array" aca="1" ref="C294" ca="1">IF(B294&lt;=$C$9,GetGetCDSName(B294),"")</f>
        <v/>
      </c>
      <c r="D294" s="348"/>
      <c r="E294" s="381"/>
      <c r="F294" s="300"/>
      <c r="G294" s="300"/>
      <c r="H294" s="300"/>
      <c r="I294" s="300"/>
      <c r="J294" s="300"/>
      <c r="K294" s="300"/>
      <c r="L294" s="300"/>
      <c r="M294" s="300"/>
      <c r="N294" s="382"/>
      <c r="O294" s="275"/>
      <c r="P294" s="275"/>
      <c r="Q294" s="275"/>
      <c r="R294" s="275"/>
      <c r="S294" s="275"/>
      <c r="T294" s="275"/>
      <c r="U294" s="275"/>
      <c r="V294" s="275"/>
      <c r="W294" s="275"/>
      <c r="X294" s="275"/>
      <c r="Y294" s="275"/>
      <c r="Z294" s="275"/>
      <c r="AA294" s="275"/>
      <c r="AB294" s="275"/>
      <c r="AC294" s="275"/>
      <c r="AD294" s="275"/>
      <c r="AE294" s="275"/>
    </row>
    <row r="295" spans="2:31" ht="15">
      <c r="B295" s="380">
        <f t="shared" si="7"/>
        <v>250</v>
      </c>
      <c r="C295" s="388" t="str" cm="1">
        <f t="array" aca="1" ref="C295" ca="1">IF(B295&lt;=$C$9,GetGetCDSName(B295),"")</f>
        <v/>
      </c>
      <c r="D295" s="348"/>
      <c r="E295" s="381"/>
      <c r="F295" s="300"/>
      <c r="G295" s="300"/>
      <c r="H295" s="300"/>
      <c r="I295" s="300"/>
      <c r="J295" s="300"/>
      <c r="K295" s="300"/>
      <c r="L295" s="300"/>
      <c r="M295" s="300"/>
      <c r="N295" s="382"/>
      <c r="O295" s="275"/>
      <c r="P295" s="275"/>
      <c r="Q295" s="275"/>
      <c r="R295" s="275"/>
      <c r="S295" s="275"/>
      <c r="T295" s="275"/>
      <c r="U295" s="275"/>
      <c r="V295" s="275"/>
      <c r="W295" s="275"/>
      <c r="X295" s="275"/>
      <c r="Y295" s="275"/>
      <c r="Z295" s="275"/>
      <c r="AA295" s="275"/>
      <c r="AB295" s="275"/>
      <c r="AC295" s="275"/>
      <c r="AD295" s="275"/>
      <c r="AE295" s="275"/>
    </row>
    <row r="296" spans="2:31" ht="15">
      <c r="B296" s="380">
        <f t="shared" si="7"/>
        <v>251</v>
      </c>
      <c r="C296" s="388" t="str" cm="1">
        <f t="array" aca="1" ref="C296" ca="1">IF(B296&lt;=$C$9,GetGetCDSName(B296),"")</f>
        <v/>
      </c>
      <c r="D296" s="348"/>
      <c r="E296" s="381"/>
      <c r="F296" s="300"/>
      <c r="G296" s="300"/>
      <c r="H296" s="300"/>
      <c r="I296" s="300"/>
      <c r="J296" s="300"/>
      <c r="K296" s="300"/>
      <c r="L296" s="300"/>
      <c r="M296" s="300"/>
      <c r="N296" s="382"/>
      <c r="O296" s="275"/>
      <c r="P296" s="275"/>
      <c r="Q296" s="275"/>
      <c r="R296" s="275"/>
      <c r="S296" s="275"/>
      <c r="T296" s="275"/>
      <c r="U296" s="275"/>
      <c r="V296" s="275"/>
      <c r="W296" s="275"/>
      <c r="X296" s="275"/>
      <c r="Y296" s="275"/>
      <c r="Z296" s="275"/>
      <c r="AA296" s="275"/>
      <c r="AB296" s="275"/>
      <c r="AC296" s="275"/>
      <c r="AD296" s="275"/>
      <c r="AE296" s="275"/>
    </row>
    <row r="297" spans="2:31" ht="15">
      <c r="B297" s="380">
        <f t="shared" si="7"/>
        <v>252</v>
      </c>
      <c r="C297" s="388" t="str" cm="1">
        <f t="array" aca="1" ref="C297" ca="1">IF(B297&lt;=$C$9,GetGetCDSName(B297),"")</f>
        <v/>
      </c>
      <c r="D297" s="348"/>
      <c r="E297" s="381"/>
      <c r="F297" s="300"/>
      <c r="G297" s="300"/>
      <c r="H297" s="300"/>
      <c r="I297" s="300"/>
      <c r="J297" s="300"/>
      <c r="K297" s="300"/>
      <c r="L297" s="300"/>
      <c r="M297" s="300"/>
      <c r="N297" s="382"/>
      <c r="O297" s="275"/>
      <c r="P297" s="275"/>
      <c r="Q297" s="275"/>
      <c r="R297" s="275"/>
      <c r="S297" s="275"/>
      <c r="T297" s="275"/>
      <c r="U297" s="275"/>
      <c r="V297" s="275"/>
      <c r="W297" s="275"/>
      <c r="X297" s="275"/>
      <c r="Y297" s="275"/>
      <c r="Z297" s="275"/>
      <c r="AA297" s="275"/>
      <c r="AB297" s="275"/>
      <c r="AC297" s="275"/>
      <c r="AD297" s="275"/>
      <c r="AE297" s="275"/>
    </row>
    <row r="298" spans="2:31" ht="15">
      <c r="B298" s="380">
        <f t="shared" si="7"/>
        <v>253</v>
      </c>
      <c r="C298" s="388" t="str" cm="1">
        <f t="array" aca="1" ref="C298" ca="1">IF(B298&lt;=$C$9,GetGetCDSName(B298),"")</f>
        <v/>
      </c>
      <c r="D298" s="348"/>
      <c r="E298" s="381"/>
      <c r="F298" s="300"/>
      <c r="G298" s="300"/>
      <c r="H298" s="300"/>
      <c r="I298" s="300"/>
      <c r="J298" s="300"/>
      <c r="K298" s="300"/>
      <c r="L298" s="300"/>
      <c r="M298" s="300"/>
      <c r="N298" s="382"/>
      <c r="O298" s="275"/>
      <c r="P298" s="275"/>
      <c r="Q298" s="275"/>
      <c r="R298" s="275"/>
      <c r="S298" s="275"/>
      <c r="T298" s="275"/>
      <c r="U298" s="275"/>
      <c r="V298" s="275"/>
      <c r="W298" s="275"/>
      <c r="X298" s="275"/>
      <c r="Y298" s="275"/>
      <c r="Z298" s="275"/>
      <c r="AA298" s="275"/>
      <c r="AB298" s="275"/>
      <c r="AC298" s="275"/>
      <c r="AD298" s="275"/>
      <c r="AE298" s="275"/>
    </row>
    <row r="299" spans="2:31" ht="15">
      <c r="B299" s="380">
        <f t="shared" si="7"/>
        <v>254</v>
      </c>
      <c r="C299" s="388" t="str" cm="1">
        <f t="array" aca="1" ref="C299" ca="1">IF(B299&lt;=$C$9,GetGetCDSName(B299),"")</f>
        <v/>
      </c>
      <c r="D299" s="348"/>
      <c r="E299" s="381"/>
      <c r="F299" s="300"/>
      <c r="G299" s="300"/>
      <c r="H299" s="300"/>
      <c r="I299" s="300"/>
      <c r="J299" s="300"/>
      <c r="K299" s="300"/>
      <c r="L299" s="300"/>
      <c r="M299" s="300"/>
      <c r="N299" s="382"/>
      <c r="O299" s="275"/>
      <c r="P299" s="275"/>
      <c r="Q299" s="275"/>
      <c r="R299" s="275"/>
      <c r="S299" s="275"/>
      <c r="T299" s="275"/>
      <c r="U299" s="275"/>
      <c r="V299" s="275"/>
      <c r="W299" s="275"/>
      <c r="X299" s="275"/>
      <c r="Y299" s="275"/>
      <c r="Z299" s="275"/>
      <c r="AA299" s="275"/>
      <c r="AB299" s="275"/>
      <c r="AC299" s="275"/>
      <c r="AD299" s="275"/>
      <c r="AE299" s="275"/>
    </row>
    <row r="300" spans="2:31" ht="15">
      <c r="B300" s="380">
        <f t="shared" si="7"/>
        <v>255</v>
      </c>
      <c r="C300" s="388" t="str" cm="1">
        <f t="array" aca="1" ref="C300" ca="1">IF(B300&lt;=$C$9,GetGetCDSName(B300),"")</f>
        <v/>
      </c>
      <c r="D300" s="348"/>
      <c r="E300" s="381"/>
      <c r="F300" s="300"/>
      <c r="G300" s="300"/>
      <c r="H300" s="300"/>
      <c r="I300" s="300"/>
      <c r="J300" s="300"/>
      <c r="K300" s="300"/>
      <c r="L300" s="300"/>
      <c r="M300" s="300"/>
      <c r="N300" s="382"/>
      <c r="O300" s="275"/>
      <c r="P300" s="275"/>
      <c r="Q300" s="275"/>
      <c r="R300" s="275"/>
      <c r="S300" s="275"/>
      <c r="T300" s="275"/>
      <c r="U300" s="275"/>
      <c r="V300" s="275"/>
      <c r="W300" s="275"/>
      <c r="X300" s="275"/>
      <c r="Y300" s="275"/>
      <c r="Z300" s="275"/>
      <c r="AA300" s="275"/>
      <c r="AB300" s="275"/>
      <c r="AC300" s="275"/>
      <c r="AD300" s="275"/>
      <c r="AE300" s="275"/>
    </row>
    <row r="301" spans="2:31" ht="15">
      <c r="B301" s="380">
        <f t="shared" si="7"/>
        <v>256</v>
      </c>
      <c r="C301" s="388" t="str" cm="1">
        <f t="array" aca="1" ref="C301" ca="1">IF(B301&lt;=$C$9,GetGetCDSName(B301),"")</f>
        <v/>
      </c>
      <c r="D301" s="348"/>
      <c r="E301" s="381"/>
      <c r="F301" s="300"/>
      <c r="G301" s="300"/>
      <c r="H301" s="300"/>
      <c r="I301" s="300"/>
      <c r="J301" s="300"/>
      <c r="K301" s="300"/>
      <c r="L301" s="300"/>
      <c r="M301" s="300"/>
      <c r="N301" s="382"/>
      <c r="O301" s="275"/>
      <c r="P301" s="275"/>
      <c r="Q301" s="275"/>
      <c r="R301" s="275"/>
      <c r="S301" s="275"/>
      <c r="T301" s="275"/>
      <c r="U301" s="275"/>
      <c r="V301" s="275"/>
      <c r="W301" s="275"/>
      <c r="X301" s="275"/>
      <c r="Y301" s="275"/>
      <c r="Z301" s="275"/>
      <c r="AA301" s="275"/>
      <c r="AB301" s="275"/>
      <c r="AC301" s="275"/>
      <c r="AD301" s="275"/>
      <c r="AE301" s="275"/>
    </row>
    <row r="302" spans="2:31" ht="15">
      <c r="B302" s="380">
        <f t="shared" si="7"/>
        <v>257</v>
      </c>
      <c r="C302" s="388" t="str" cm="1">
        <f t="array" aca="1" ref="C302" ca="1">IF(B302&lt;=$C$9,GetGetCDSName(B302),"")</f>
        <v/>
      </c>
      <c r="D302" s="348"/>
      <c r="E302" s="381"/>
      <c r="F302" s="300"/>
      <c r="G302" s="300"/>
      <c r="H302" s="300"/>
      <c r="I302" s="300"/>
      <c r="J302" s="300"/>
      <c r="K302" s="300"/>
      <c r="L302" s="300"/>
      <c r="M302" s="300"/>
      <c r="N302" s="382"/>
      <c r="O302" s="275"/>
      <c r="P302" s="275"/>
      <c r="Q302" s="275"/>
      <c r="R302" s="275"/>
      <c r="S302" s="275"/>
      <c r="T302" s="275"/>
      <c r="U302" s="275"/>
      <c r="V302" s="275"/>
      <c r="W302" s="275"/>
      <c r="X302" s="275"/>
      <c r="Y302" s="275"/>
      <c r="Z302" s="275"/>
      <c r="AA302" s="275"/>
      <c r="AB302" s="275"/>
      <c r="AC302" s="275"/>
      <c r="AD302" s="275"/>
      <c r="AE302" s="275"/>
    </row>
    <row r="303" spans="2:31" ht="15">
      <c r="B303" s="380">
        <f t="shared" ref="B303:B345" si="8">B302+1</f>
        <v>258</v>
      </c>
      <c r="C303" s="388" t="str" cm="1">
        <f t="array" aca="1" ref="C303" ca="1">IF(B303&lt;=$C$9,GetGetCDSName(B303),"")</f>
        <v/>
      </c>
      <c r="D303" s="348"/>
      <c r="E303" s="381"/>
      <c r="F303" s="300"/>
      <c r="G303" s="300"/>
      <c r="H303" s="300"/>
      <c r="I303" s="300"/>
      <c r="J303" s="300"/>
      <c r="K303" s="300"/>
      <c r="L303" s="300"/>
      <c r="M303" s="300"/>
      <c r="N303" s="382"/>
      <c r="O303" s="275"/>
      <c r="P303" s="275"/>
      <c r="Q303" s="275"/>
      <c r="R303" s="275"/>
      <c r="S303" s="275"/>
      <c r="T303" s="275"/>
      <c r="U303" s="275"/>
      <c r="V303" s="275"/>
      <c r="W303" s="275"/>
      <c r="X303" s="275"/>
      <c r="Y303" s="275"/>
      <c r="Z303" s="275"/>
      <c r="AA303" s="275"/>
      <c r="AB303" s="275"/>
      <c r="AC303" s="275"/>
      <c r="AD303" s="275"/>
      <c r="AE303" s="275"/>
    </row>
    <row r="304" spans="2:31" ht="15">
      <c r="B304" s="380">
        <f t="shared" si="8"/>
        <v>259</v>
      </c>
      <c r="C304" s="388" t="str" cm="1">
        <f t="array" aca="1" ref="C304" ca="1">IF(B304&lt;=$C$9,GetGetCDSName(B304),"")</f>
        <v/>
      </c>
      <c r="D304" s="348"/>
      <c r="E304" s="381"/>
      <c r="F304" s="300"/>
      <c r="G304" s="300"/>
      <c r="H304" s="300"/>
      <c r="I304" s="300"/>
      <c r="J304" s="300"/>
      <c r="K304" s="300"/>
      <c r="L304" s="300"/>
      <c r="M304" s="300"/>
      <c r="N304" s="382"/>
      <c r="O304" s="275"/>
      <c r="P304" s="275"/>
      <c r="Q304" s="275"/>
      <c r="R304" s="275"/>
      <c r="S304" s="275"/>
      <c r="T304" s="275"/>
      <c r="U304" s="275"/>
      <c r="V304" s="275"/>
      <c r="W304" s="275"/>
      <c r="X304" s="275"/>
      <c r="Y304" s="275"/>
      <c r="Z304" s="275"/>
      <c r="AA304" s="275"/>
      <c r="AB304" s="275"/>
      <c r="AC304" s="275"/>
      <c r="AD304" s="275"/>
      <c r="AE304" s="275"/>
    </row>
    <row r="305" spans="2:31" ht="15">
      <c r="B305" s="380">
        <f t="shared" si="8"/>
        <v>260</v>
      </c>
      <c r="C305" s="388" t="str" cm="1">
        <f t="array" aca="1" ref="C305" ca="1">IF(B305&lt;=$C$9,GetGetCDSName(B305),"")</f>
        <v/>
      </c>
      <c r="D305" s="348"/>
      <c r="E305" s="381"/>
      <c r="F305" s="300"/>
      <c r="G305" s="300"/>
      <c r="H305" s="300"/>
      <c r="I305" s="300"/>
      <c r="J305" s="300"/>
      <c r="K305" s="300"/>
      <c r="L305" s="300"/>
      <c r="M305" s="300"/>
      <c r="N305" s="382"/>
      <c r="O305" s="275"/>
      <c r="P305" s="275"/>
      <c r="Q305" s="275"/>
      <c r="R305" s="275"/>
      <c r="S305" s="275"/>
      <c r="T305" s="275"/>
      <c r="U305" s="275"/>
      <c r="V305" s="275"/>
      <c r="W305" s="275"/>
      <c r="X305" s="275"/>
      <c r="Y305" s="275"/>
      <c r="Z305" s="275"/>
      <c r="AA305" s="275"/>
      <c r="AB305" s="275"/>
      <c r="AC305" s="275"/>
      <c r="AD305" s="275"/>
      <c r="AE305" s="275"/>
    </row>
    <row r="306" spans="2:31" ht="15">
      <c r="B306" s="380">
        <f t="shared" si="8"/>
        <v>261</v>
      </c>
      <c r="C306" s="388" t="str" cm="1">
        <f t="array" aca="1" ref="C306" ca="1">IF(B306&lt;=$C$9,GetGetCDSName(B306),"")</f>
        <v/>
      </c>
      <c r="D306" s="348"/>
      <c r="E306" s="381"/>
      <c r="F306" s="300"/>
      <c r="G306" s="300"/>
      <c r="H306" s="300"/>
      <c r="I306" s="300"/>
      <c r="J306" s="300"/>
      <c r="K306" s="300"/>
      <c r="L306" s="300"/>
      <c r="M306" s="300"/>
      <c r="N306" s="382"/>
      <c r="O306" s="275"/>
      <c r="P306" s="275"/>
      <c r="Q306" s="275"/>
      <c r="R306" s="275"/>
      <c r="S306" s="275"/>
      <c r="T306" s="275"/>
      <c r="U306" s="275"/>
      <c r="V306" s="275"/>
      <c r="W306" s="275"/>
      <c r="X306" s="275"/>
      <c r="Y306" s="275"/>
      <c r="Z306" s="275"/>
      <c r="AA306" s="275"/>
      <c r="AB306" s="275"/>
      <c r="AC306" s="275"/>
      <c r="AD306" s="275"/>
      <c r="AE306" s="275"/>
    </row>
    <row r="307" spans="2:31" ht="15">
      <c r="B307" s="380">
        <f t="shared" si="8"/>
        <v>262</v>
      </c>
      <c r="C307" s="388" t="str" cm="1">
        <f t="array" aca="1" ref="C307" ca="1">IF(B307&lt;=$C$9,GetGetCDSName(B307),"")</f>
        <v/>
      </c>
      <c r="D307" s="348"/>
      <c r="E307" s="381"/>
      <c r="F307" s="300"/>
      <c r="G307" s="300"/>
      <c r="H307" s="300"/>
      <c r="I307" s="300"/>
      <c r="J307" s="300"/>
      <c r="K307" s="300"/>
      <c r="L307" s="300"/>
      <c r="M307" s="300"/>
      <c r="N307" s="382"/>
      <c r="O307" s="275"/>
      <c r="P307" s="275"/>
      <c r="Q307" s="275"/>
      <c r="R307" s="275"/>
      <c r="S307" s="275"/>
      <c r="T307" s="275"/>
      <c r="U307" s="275"/>
      <c r="V307" s="275"/>
      <c r="W307" s="275"/>
      <c r="X307" s="275"/>
      <c r="Y307" s="275"/>
      <c r="Z307" s="275"/>
      <c r="AA307" s="275"/>
      <c r="AB307" s="275"/>
      <c r="AC307" s="275"/>
      <c r="AD307" s="275"/>
      <c r="AE307" s="275"/>
    </row>
    <row r="308" spans="2:31" ht="15">
      <c r="B308" s="380">
        <f t="shared" si="8"/>
        <v>263</v>
      </c>
      <c r="C308" s="388" t="str" cm="1">
        <f t="array" aca="1" ref="C308" ca="1">IF(B308&lt;=$C$9,GetGetCDSName(B308),"")</f>
        <v/>
      </c>
      <c r="D308" s="348"/>
      <c r="E308" s="381"/>
      <c r="F308" s="300"/>
      <c r="G308" s="300"/>
      <c r="H308" s="300"/>
      <c r="I308" s="300"/>
      <c r="J308" s="300"/>
      <c r="K308" s="300"/>
      <c r="L308" s="300"/>
      <c r="M308" s="300"/>
      <c r="N308" s="382"/>
      <c r="O308" s="275"/>
      <c r="P308" s="275"/>
      <c r="Q308" s="275"/>
      <c r="R308" s="275"/>
      <c r="S308" s="275"/>
      <c r="T308" s="275"/>
      <c r="U308" s="275"/>
      <c r="V308" s="275"/>
      <c r="W308" s="275"/>
      <c r="X308" s="275"/>
      <c r="Y308" s="275"/>
      <c r="Z308" s="275"/>
      <c r="AA308" s="275"/>
      <c r="AB308" s="275"/>
      <c r="AC308" s="275"/>
      <c r="AD308" s="275"/>
      <c r="AE308" s="275"/>
    </row>
    <row r="309" spans="2:31" ht="15">
      <c r="B309" s="380">
        <f t="shared" si="8"/>
        <v>264</v>
      </c>
      <c r="C309" s="388" t="str" cm="1">
        <f t="array" aca="1" ref="C309" ca="1">IF(B309&lt;=$C$9,GetGetCDSName(B309),"")</f>
        <v/>
      </c>
      <c r="D309" s="348"/>
      <c r="E309" s="381"/>
      <c r="F309" s="300"/>
      <c r="G309" s="300"/>
      <c r="H309" s="300"/>
      <c r="I309" s="300"/>
      <c r="J309" s="300"/>
      <c r="K309" s="300"/>
      <c r="L309" s="300"/>
      <c r="M309" s="300"/>
      <c r="N309" s="382"/>
      <c r="O309" s="275"/>
      <c r="P309" s="275"/>
      <c r="Q309" s="275"/>
      <c r="R309" s="275"/>
      <c r="S309" s="275"/>
      <c r="T309" s="275"/>
      <c r="U309" s="275"/>
      <c r="V309" s="275"/>
      <c r="W309" s="275"/>
      <c r="X309" s="275"/>
      <c r="Y309" s="275"/>
      <c r="Z309" s="275"/>
      <c r="AA309" s="275"/>
      <c r="AB309" s="275"/>
      <c r="AC309" s="275"/>
      <c r="AD309" s="275"/>
      <c r="AE309" s="275"/>
    </row>
    <row r="310" spans="2:31" ht="15">
      <c r="B310" s="380">
        <f t="shared" si="8"/>
        <v>265</v>
      </c>
      <c r="C310" s="388" t="str" cm="1">
        <f t="array" aca="1" ref="C310" ca="1">IF(B310&lt;=$C$9,GetGetCDSName(B310),"")</f>
        <v/>
      </c>
      <c r="D310" s="348"/>
      <c r="E310" s="381"/>
      <c r="F310" s="300"/>
      <c r="G310" s="300"/>
      <c r="H310" s="300"/>
      <c r="I310" s="300"/>
      <c r="J310" s="300"/>
      <c r="K310" s="300"/>
      <c r="L310" s="300"/>
      <c r="M310" s="300"/>
      <c r="N310" s="382"/>
      <c r="O310" s="275"/>
      <c r="P310" s="275"/>
      <c r="Q310" s="275"/>
      <c r="R310" s="275"/>
      <c r="S310" s="275"/>
      <c r="T310" s="275"/>
      <c r="U310" s="275"/>
      <c r="V310" s="275"/>
      <c r="W310" s="275"/>
      <c r="X310" s="275"/>
      <c r="Y310" s="275"/>
      <c r="Z310" s="275"/>
      <c r="AA310" s="275"/>
      <c r="AB310" s="275"/>
      <c r="AC310" s="275"/>
      <c r="AD310" s="275"/>
      <c r="AE310" s="275"/>
    </row>
    <row r="311" spans="2:31" ht="15">
      <c r="B311" s="380">
        <f t="shared" si="8"/>
        <v>266</v>
      </c>
      <c r="C311" s="388" t="str" cm="1">
        <f t="array" aca="1" ref="C311" ca="1">IF(B311&lt;=$C$9,GetGetCDSName(B311),"")</f>
        <v/>
      </c>
      <c r="D311" s="348"/>
      <c r="E311" s="381"/>
      <c r="F311" s="300"/>
      <c r="G311" s="300"/>
      <c r="H311" s="300"/>
      <c r="I311" s="300"/>
      <c r="J311" s="300"/>
      <c r="K311" s="300"/>
      <c r="L311" s="300"/>
      <c r="M311" s="300"/>
      <c r="N311" s="382"/>
      <c r="O311" s="275"/>
      <c r="P311" s="275"/>
      <c r="Q311" s="275"/>
      <c r="R311" s="275"/>
      <c r="S311" s="275"/>
      <c r="T311" s="275"/>
      <c r="U311" s="275"/>
      <c r="V311" s="275"/>
      <c r="W311" s="275"/>
      <c r="X311" s="275"/>
      <c r="Y311" s="275"/>
      <c r="Z311" s="275"/>
      <c r="AA311" s="275"/>
      <c r="AB311" s="275"/>
      <c r="AC311" s="275"/>
      <c r="AD311" s="275"/>
      <c r="AE311" s="275"/>
    </row>
    <row r="312" spans="2:31" ht="15">
      <c r="B312" s="380">
        <f t="shared" si="8"/>
        <v>267</v>
      </c>
      <c r="C312" s="388" t="str" cm="1">
        <f t="array" aca="1" ref="C312" ca="1">IF(B312&lt;=$C$9,GetGetCDSName(B312),"")</f>
        <v/>
      </c>
      <c r="D312" s="348"/>
      <c r="E312" s="381"/>
      <c r="F312" s="300"/>
      <c r="G312" s="300"/>
      <c r="H312" s="300"/>
      <c r="I312" s="300"/>
      <c r="J312" s="300"/>
      <c r="K312" s="300"/>
      <c r="L312" s="300"/>
      <c r="M312" s="300"/>
      <c r="N312" s="382"/>
      <c r="O312" s="275"/>
      <c r="P312" s="275"/>
      <c r="Q312" s="275"/>
      <c r="R312" s="275"/>
      <c r="S312" s="275"/>
      <c r="T312" s="275"/>
      <c r="U312" s="275"/>
      <c r="V312" s="275"/>
      <c r="W312" s="275"/>
      <c r="X312" s="275"/>
      <c r="Y312" s="275"/>
      <c r="Z312" s="275"/>
      <c r="AA312" s="275"/>
      <c r="AB312" s="275"/>
      <c r="AC312" s="275"/>
      <c r="AD312" s="275"/>
      <c r="AE312" s="275"/>
    </row>
    <row r="313" spans="2:31" ht="15">
      <c r="B313" s="380">
        <f t="shared" si="8"/>
        <v>268</v>
      </c>
      <c r="C313" s="388" t="str" cm="1">
        <f t="array" aca="1" ref="C313" ca="1">IF(B313&lt;=$C$9,GetGetCDSName(B313),"")</f>
        <v/>
      </c>
      <c r="D313" s="348"/>
      <c r="E313" s="381"/>
      <c r="F313" s="300"/>
      <c r="G313" s="300"/>
      <c r="H313" s="300"/>
      <c r="I313" s="300"/>
      <c r="J313" s="300"/>
      <c r="K313" s="300"/>
      <c r="L313" s="300"/>
      <c r="M313" s="300"/>
      <c r="N313" s="382"/>
      <c r="O313" s="275"/>
      <c r="P313" s="275"/>
      <c r="Q313" s="275"/>
      <c r="R313" s="275"/>
      <c r="S313" s="275"/>
      <c r="T313" s="275"/>
      <c r="U313" s="275"/>
      <c r="V313" s="275"/>
      <c r="W313" s="275"/>
      <c r="X313" s="275"/>
      <c r="Y313" s="275"/>
      <c r="Z313" s="275"/>
      <c r="AA313" s="275"/>
      <c r="AB313" s="275"/>
      <c r="AC313" s="275"/>
      <c r="AD313" s="275"/>
      <c r="AE313" s="275"/>
    </row>
    <row r="314" spans="2:31" ht="15">
      <c r="B314" s="380">
        <f t="shared" si="8"/>
        <v>269</v>
      </c>
      <c r="C314" s="388" t="str" cm="1">
        <f t="array" aca="1" ref="C314" ca="1">IF(B314&lt;=$C$9,GetGetCDSName(B314),"")</f>
        <v/>
      </c>
      <c r="D314" s="348"/>
      <c r="E314" s="381"/>
      <c r="F314" s="300"/>
      <c r="G314" s="300"/>
      <c r="H314" s="300"/>
      <c r="I314" s="300"/>
      <c r="J314" s="300"/>
      <c r="K314" s="300"/>
      <c r="L314" s="300"/>
      <c r="M314" s="300"/>
      <c r="N314" s="382"/>
      <c r="O314" s="275"/>
      <c r="P314" s="275"/>
      <c r="Q314" s="275"/>
      <c r="R314" s="275"/>
      <c r="S314" s="275"/>
      <c r="T314" s="275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</row>
    <row r="315" spans="2:31" ht="15">
      <c r="B315" s="380">
        <f t="shared" si="8"/>
        <v>270</v>
      </c>
      <c r="C315" s="388" t="str" cm="1">
        <f t="array" aca="1" ref="C315" ca="1">IF(B315&lt;=$C$9,GetGetCDSName(B315),"")</f>
        <v/>
      </c>
      <c r="D315" s="348"/>
      <c r="E315" s="381"/>
      <c r="F315" s="300"/>
      <c r="G315" s="300"/>
      <c r="H315" s="300"/>
      <c r="I315" s="300"/>
      <c r="J315" s="300"/>
      <c r="K315" s="300"/>
      <c r="L315" s="300"/>
      <c r="M315" s="300"/>
      <c r="N315" s="382"/>
      <c r="O315" s="275"/>
      <c r="P315" s="275"/>
      <c r="Q315" s="275"/>
      <c r="R315" s="275"/>
      <c r="S315" s="275"/>
      <c r="T315" s="275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</row>
    <row r="316" spans="2:31" ht="15">
      <c r="B316" s="380">
        <f t="shared" si="8"/>
        <v>271</v>
      </c>
      <c r="C316" s="388" t="str" cm="1">
        <f t="array" aca="1" ref="C316" ca="1">IF(B316&lt;=$C$9,GetGetCDSName(B316),"")</f>
        <v/>
      </c>
      <c r="D316" s="348"/>
      <c r="E316" s="381"/>
      <c r="F316" s="300"/>
      <c r="G316" s="300"/>
      <c r="H316" s="300"/>
      <c r="I316" s="300"/>
      <c r="J316" s="300"/>
      <c r="K316" s="300"/>
      <c r="L316" s="300"/>
      <c r="M316" s="300"/>
      <c r="N316" s="382"/>
      <c r="O316" s="275"/>
      <c r="P316" s="275"/>
      <c r="Q316" s="275"/>
      <c r="R316" s="275"/>
      <c r="S316" s="275"/>
      <c r="T316" s="275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</row>
    <row r="317" spans="2:31" ht="15">
      <c r="B317" s="380">
        <f t="shared" si="8"/>
        <v>272</v>
      </c>
      <c r="C317" s="388" t="str" cm="1">
        <f t="array" aca="1" ref="C317" ca="1">IF(B317&lt;=$C$9,GetGetCDSName(B317),"")</f>
        <v/>
      </c>
      <c r="D317" s="348"/>
      <c r="E317" s="381"/>
      <c r="F317" s="300"/>
      <c r="G317" s="300"/>
      <c r="H317" s="300"/>
      <c r="I317" s="300"/>
      <c r="J317" s="300"/>
      <c r="K317" s="300"/>
      <c r="L317" s="300"/>
      <c r="M317" s="300"/>
      <c r="N317" s="382"/>
      <c r="O317" s="275"/>
      <c r="P317" s="275"/>
      <c r="Q317" s="275"/>
      <c r="R317" s="275"/>
      <c r="S317" s="275"/>
      <c r="T317" s="275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</row>
    <row r="318" spans="2:31" ht="15">
      <c r="B318" s="380">
        <f t="shared" si="8"/>
        <v>273</v>
      </c>
      <c r="C318" s="388" t="str" cm="1">
        <f t="array" aca="1" ref="C318" ca="1">IF(B318&lt;=$C$9,GetGetCDSName(B318),"")</f>
        <v/>
      </c>
      <c r="D318" s="348"/>
      <c r="E318" s="381"/>
      <c r="F318" s="300"/>
      <c r="G318" s="300"/>
      <c r="H318" s="300"/>
      <c r="I318" s="300"/>
      <c r="J318" s="300"/>
      <c r="K318" s="300"/>
      <c r="L318" s="300"/>
      <c r="M318" s="300"/>
      <c r="N318" s="382"/>
      <c r="O318" s="275"/>
      <c r="P318" s="275"/>
      <c r="Q318" s="275"/>
      <c r="R318" s="275"/>
      <c r="S318" s="275"/>
      <c r="T318" s="275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</row>
    <row r="319" spans="2:31" ht="15">
      <c r="B319" s="380">
        <f t="shared" si="8"/>
        <v>274</v>
      </c>
      <c r="C319" s="388" t="str" cm="1">
        <f t="array" aca="1" ref="C319" ca="1">IF(B319&lt;=$C$9,GetGetCDSName(B319),"")</f>
        <v/>
      </c>
      <c r="D319" s="348"/>
      <c r="E319" s="381"/>
      <c r="F319" s="300"/>
      <c r="G319" s="300"/>
      <c r="H319" s="300"/>
      <c r="I319" s="300"/>
      <c r="J319" s="300"/>
      <c r="K319" s="300"/>
      <c r="L319" s="300"/>
      <c r="M319" s="300"/>
      <c r="N319" s="382"/>
      <c r="O319" s="275"/>
      <c r="P319" s="275"/>
      <c r="Q319" s="275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</row>
    <row r="320" spans="2:31" ht="15">
      <c r="B320" s="380">
        <f t="shared" si="8"/>
        <v>275</v>
      </c>
      <c r="C320" s="388" t="str" cm="1">
        <f t="array" aca="1" ref="C320" ca="1">IF(B320&lt;=$C$9,GetGetCDSName(B320),"")</f>
        <v/>
      </c>
      <c r="D320" s="348"/>
      <c r="E320" s="381"/>
      <c r="F320" s="300"/>
      <c r="G320" s="300"/>
      <c r="H320" s="300"/>
      <c r="I320" s="300"/>
      <c r="J320" s="300"/>
      <c r="K320" s="300"/>
      <c r="L320" s="300"/>
      <c r="M320" s="300"/>
      <c r="N320" s="382"/>
      <c r="O320" s="275"/>
      <c r="P320" s="275"/>
      <c r="Q320" s="275"/>
      <c r="R320" s="275"/>
      <c r="S320" s="275"/>
      <c r="T320" s="275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</row>
    <row r="321" spans="2:31" ht="15">
      <c r="B321" s="380">
        <f t="shared" si="8"/>
        <v>276</v>
      </c>
      <c r="C321" s="388" t="str" cm="1">
        <f t="array" aca="1" ref="C321" ca="1">IF(B321&lt;=$C$9,GetGetCDSName(B321),"")</f>
        <v/>
      </c>
      <c r="D321" s="348"/>
      <c r="E321" s="381"/>
      <c r="F321" s="300"/>
      <c r="G321" s="300"/>
      <c r="H321" s="300"/>
      <c r="I321" s="300"/>
      <c r="J321" s="300"/>
      <c r="K321" s="300"/>
      <c r="L321" s="300"/>
      <c r="M321" s="300"/>
      <c r="N321" s="382"/>
      <c r="O321" s="275"/>
      <c r="P321" s="275"/>
      <c r="Q321" s="275"/>
      <c r="R321" s="275"/>
      <c r="S321" s="275"/>
      <c r="T321" s="275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</row>
    <row r="322" spans="2:31" ht="15">
      <c r="B322" s="380">
        <f t="shared" si="8"/>
        <v>277</v>
      </c>
      <c r="C322" s="388" t="str" cm="1">
        <f t="array" aca="1" ref="C322" ca="1">IF(B322&lt;=$C$9,GetGetCDSName(B322),"")</f>
        <v/>
      </c>
      <c r="D322" s="348"/>
      <c r="E322" s="381"/>
      <c r="F322" s="300"/>
      <c r="G322" s="300"/>
      <c r="H322" s="300"/>
      <c r="I322" s="300"/>
      <c r="J322" s="300"/>
      <c r="K322" s="300"/>
      <c r="L322" s="300"/>
      <c r="M322" s="300"/>
      <c r="N322" s="382"/>
      <c r="O322" s="275"/>
      <c r="P322" s="275"/>
      <c r="Q322" s="275"/>
      <c r="R322" s="275"/>
      <c r="S322" s="275"/>
      <c r="T322" s="275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</row>
    <row r="323" spans="2:31" ht="15">
      <c r="B323" s="380">
        <f t="shared" si="8"/>
        <v>278</v>
      </c>
      <c r="C323" s="388" t="str" cm="1">
        <f t="array" aca="1" ref="C323" ca="1">IF(B323&lt;=$C$9,GetGetCDSName(B323),"")</f>
        <v/>
      </c>
      <c r="D323" s="348"/>
      <c r="E323" s="381"/>
      <c r="F323" s="300"/>
      <c r="G323" s="300"/>
      <c r="H323" s="300"/>
      <c r="I323" s="300"/>
      <c r="J323" s="300"/>
      <c r="K323" s="300"/>
      <c r="L323" s="300"/>
      <c r="M323" s="300"/>
      <c r="N323" s="382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</row>
    <row r="324" spans="2:31" ht="15">
      <c r="B324" s="380">
        <f t="shared" si="8"/>
        <v>279</v>
      </c>
      <c r="C324" s="388" t="str" cm="1">
        <f t="array" aca="1" ref="C324" ca="1">IF(B324&lt;=$C$9,GetGetCDSName(B324),"")</f>
        <v/>
      </c>
      <c r="D324" s="348"/>
      <c r="E324" s="381"/>
      <c r="F324" s="300"/>
      <c r="G324" s="300"/>
      <c r="H324" s="300"/>
      <c r="I324" s="300"/>
      <c r="J324" s="300"/>
      <c r="K324" s="300"/>
      <c r="L324" s="300"/>
      <c r="M324" s="300"/>
      <c r="N324" s="382"/>
      <c r="O324" s="275"/>
      <c r="P324" s="275"/>
      <c r="Q324" s="275"/>
      <c r="R324" s="275"/>
      <c r="S324" s="275"/>
      <c r="T324" s="275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</row>
    <row r="325" spans="2:31" ht="15">
      <c r="B325" s="380">
        <f t="shared" si="8"/>
        <v>280</v>
      </c>
      <c r="C325" s="388" t="str" cm="1">
        <f t="array" aca="1" ref="C325" ca="1">IF(B325&lt;=$C$9,GetGetCDSName(B325),"")</f>
        <v/>
      </c>
      <c r="D325" s="348"/>
      <c r="E325" s="381"/>
      <c r="F325" s="300"/>
      <c r="G325" s="300"/>
      <c r="H325" s="300"/>
      <c r="I325" s="300"/>
      <c r="J325" s="300"/>
      <c r="K325" s="300"/>
      <c r="L325" s="300"/>
      <c r="M325" s="300"/>
      <c r="N325" s="382"/>
      <c r="O325" s="275"/>
      <c r="P325" s="275"/>
      <c r="Q325" s="275"/>
      <c r="R325" s="275"/>
      <c r="S325" s="275"/>
      <c r="T325" s="275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</row>
    <row r="326" spans="2:31" ht="15">
      <c r="B326" s="380">
        <f t="shared" si="8"/>
        <v>281</v>
      </c>
      <c r="C326" s="388" t="str" cm="1">
        <f t="array" aca="1" ref="C326" ca="1">IF(B326&lt;=$C$9,GetGetCDSName(B326),"")</f>
        <v/>
      </c>
      <c r="D326" s="348"/>
      <c r="E326" s="381"/>
      <c r="F326" s="300"/>
      <c r="G326" s="300"/>
      <c r="H326" s="300"/>
      <c r="I326" s="300"/>
      <c r="J326" s="300"/>
      <c r="K326" s="300"/>
      <c r="L326" s="300"/>
      <c r="M326" s="300"/>
      <c r="N326" s="382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</row>
    <row r="327" spans="2:31" ht="15">
      <c r="B327" s="380">
        <f t="shared" si="8"/>
        <v>282</v>
      </c>
      <c r="C327" s="388" t="str" cm="1">
        <f t="array" aca="1" ref="C327" ca="1">IF(B327&lt;=$C$9,GetGetCDSName(B327),"")</f>
        <v/>
      </c>
      <c r="D327" s="348"/>
      <c r="E327" s="381"/>
      <c r="F327" s="300"/>
      <c r="G327" s="300"/>
      <c r="H327" s="300"/>
      <c r="I327" s="300"/>
      <c r="J327" s="300"/>
      <c r="K327" s="300"/>
      <c r="L327" s="300"/>
      <c r="M327" s="300"/>
      <c r="N327" s="382"/>
      <c r="O327" s="275"/>
      <c r="P327" s="275"/>
      <c r="Q327" s="275"/>
      <c r="R327" s="275"/>
      <c r="S327" s="275"/>
      <c r="T327" s="275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</row>
    <row r="328" spans="2:31" ht="15">
      <c r="B328" s="380">
        <f t="shared" si="8"/>
        <v>283</v>
      </c>
      <c r="C328" s="388" t="str" cm="1">
        <f t="array" aca="1" ref="C328" ca="1">IF(B328&lt;=$C$9,GetGetCDSName(B328),"")</f>
        <v/>
      </c>
      <c r="D328" s="348"/>
      <c r="E328" s="381"/>
      <c r="F328" s="300"/>
      <c r="G328" s="300"/>
      <c r="H328" s="300"/>
      <c r="I328" s="300"/>
      <c r="J328" s="300"/>
      <c r="K328" s="300"/>
      <c r="L328" s="300"/>
      <c r="M328" s="300"/>
      <c r="N328" s="382"/>
      <c r="O328" s="275"/>
      <c r="P328" s="275"/>
      <c r="Q328" s="275"/>
      <c r="R328" s="275"/>
      <c r="S328" s="275"/>
      <c r="T328" s="275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</row>
    <row r="329" spans="2:31" ht="15">
      <c r="B329" s="380">
        <f t="shared" si="8"/>
        <v>284</v>
      </c>
      <c r="C329" s="388" t="str" cm="1">
        <f t="array" aca="1" ref="C329" ca="1">IF(B329&lt;=$C$9,GetGetCDSName(B329),"")</f>
        <v/>
      </c>
      <c r="D329" s="348"/>
      <c r="E329" s="381"/>
      <c r="F329" s="300"/>
      <c r="G329" s="300"/>
      <c r="H329" s="300"/>
      <c r="I329" s="300"/>
      <c r="J329" s="300"/>
      <c r="K329" s="300"/>
      <c r="L329" s="300"/>
      <c r="M329" s="300"/>
      <c r="N329" s="382"/>
      <c r="O329" s="275"/>
      <c r="P329" s="275"/>
      <c r="Q329" s="275"/>
      <c r="R329" s="275"/>
      <c r="S329" s="275"/>
      <c r="T329" s="275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</row>
    <row r="330" spans="2:31" ht="15">
      <c r="B330" s="380">
        <f t="shared" si="8"/>
        <v>285</v>
      </c>
      <c r="C330" s="388" t="str" cm="1">
        <f t="array" aca="1" ref="C330" ca="1">IF(B330&lt;=$C$9,GetGetCDSName(B330),"")</f>
        <v/>
      </c>
      <c r="D330" s="348"/>
      <c r="E330" s="381"/>
      <c r="F330" s="300"/>
      <c r="G330" s="300"/>
      <c r="H330" s="300"/>
      <c r="I330" s="300"/>
      <c r="J330" s="300"/>
      <c r="K330" s="300"/>
      <c r="L330" s="300"/>
      <c r="M330" s="300"/>
      <c r="N330" s="382"/>
      <c r="O330" s="275"/>
      <c r="P330" s="275"/>
      <c r="Q330" s="275"/>
      <c r="R330" s="275"/>
      <c r="S330" s="275"/>
      <c r="T330" s="275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</row>
    <row r="331" spans="2:31" ht="15">
      <c r="B331" s="380">
        <f t="shared" si="8"/>
        <v>286</v>
      </c>
      <c r="C331" s="388" t="str" cm="1">
        <f t="array" aca="1" ref="C331" ca="1">IF(B331&lt;=$C$9,GetGetCDSName(B331),"")</f>
        <v/>
      </c>
      <c r="D331" s="348"/>
      <c r="E331" s="381"/>
      <c r="F331" s="300"/>
      <c r="G331" s="300"/>
      <c r="H331" s="300"/>
      <c r="I331" s="300"/>
      <c r="J331" s="300"/>
      <c r="K331" s="300"/>
      <c r="L331" s="300"/>
      <c r="M331" s="300"/>
      <c r="N331" s="382"/>
      <c r="O331" s="275"/>
      <c r="P331" s="275"/>
      <c r="Q331" s="275"/>
      <c r="R331" s="275"/>
      <c r="S331" s="275"/>
      <c r="T331" s="275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</row>
    <row r="332" spans="2:31" ht="15">
      <c r="B332" s="380">
        <f t="shared" si="8"/>
        <v>287</v>
      </c>
      <c r="C332" s="388" t="str" cm="1">
        <f t="array" aca="1" ref="C332" ca="1">IF(B332&lt;=$C$9,GetGetCDSName(B332),"")</f>
        <v/>
      </c>
      <c r="D332" s="348"/>
      <c r="E332" s="381"/>
      <c r="F332" s="300"/>
      <c r="G332" s="300"/>
      <c r="H332" s="300"/>
      <c r="I332" s="300"/>
      <c r="J332" s="300"/>
      <c r="K332" s="300"/>
      <c r="L332" s="300"/>
      <c r="M332" s="300"/>
      <c r="N332" s="382"/>
      <c r="O332" s="275"/>
      <c r="P332" s="275"/>
      <c r="Q332" s="275"/>
      <c r="R332" s="275"/>
      <c r="S332" s="275"/>
      <c r="T332" s="275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</row>
    <row r="333" spans="2:31" ht="15">
      <c r="B333" s="380">
        <f t="shared" si="8"/>
        <v>288</v>
      </c>
      <c r="C333" s="388" t="str" cm="1">
        <f t="array" aca="1" ref="C333" ca="1">IF(B333&lt;=$C$9,GetGetCDSName(B333),"")</f>
        <v/>
      </c>
      <c r="D333" s="348"/>
      <c r="E333" s="381"/>
      <c r="F333" s="300"/>
      <c r="G333" s="300"/>
      <c r="H333" s="300"/>
      <c r="I333" s="300"/>
      <c r="J333" s="300"/>
      <c r="K333" s="300"/>
      <c r="L333" s="300"/>
      <c r="M333" s="300"/>
      <c r="N333" s="382"/>
      <c r="O333" s="275"/>
      <c r="P333" s="275"/>
      <c r="Q333" s="275"/>
      <c r="R333" s="275"/>
      <c r="S333" s="275"/>
      <c r="T333" s="275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</row>
    <row r="334" spans="2:31" ht="15">
      <c r="B334" s="380">
        <f t="shared" si="8"/>
        <v>289</v>
      </c>
      <c r="C334" s="388" t="str" cm="1">
        <f t="array" aca="1" ref="C334" ca="1">IF(B334&lt;=$C$9,GetGetCDSName(B334),"")</f>
        <v/>
      </c>
      <c r="D334" s="348"/>
      <c r="E334" s="381"/>
      <c r="F334" s="300"/>
      <c r="G334" s="300"/>
      <c r="H334" s="300"/>
      <c r="I334" s="300"/>
      <c r="J334" s="300"/>
      <c r="K334" s="300"/>
      <c r="L334" s="300"/>
      <c r="M334" s="300"/>
      <c r="N334" s="382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</row>
    <row r="335" spans="2:31" ht="15">
      <c r="B335" s="380">
        <f t="shared" si="8"/>
        <v>290</v>
      </c>
      <c r="C335" s="388" t="str" cm="1">
        <f t="array" aca="1" ref="C335" ca="1">IF(B335&lt;=$C$9,GetGetCDSName(B335),"")</f>
        <v/>
      </c>
      <c r="D335" s="348"/>
      <c r="E335" s="381"/>
      <c r="F335" s="300"/>
      <c r="G335" s="300"/>
      <c r="H335" s="300"/>
      <c r="I335" s="300"/>
      <c r="J335" s="300"/>
      <c r="K335" s="300"/>
      <c r="L335" s="300"/>
      <c r="M335" s="300"/>
      <c r="N335" s="382"/>
      <c r="O335" s="275"/>
      <c r="P335" s="275"/>
      <c r="Q335" s="275"/>
      <c r="R335" s="275"/>
      <c r="S335" s="275"/>
      <c r="T335" s="275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</row>
    <row r="336" spans="2:31" ht="15">
      <c r="B336" s="380">
        <f t="shared" si="8"/>
        <v>291</v>
      </c>
      <c r="C336" s="388" t="str" cm="1">
        <f t="array" aca="1" ref="C336" ca="1">IF(B336&lt;=$C$9,GetGetCDSName(B336),"")</f>
        <v/>
      </c>
      <c r="D336" s="348"/>
      <c r="E336" s="381"/>
      <c r="F336" s="300"/>
      <c r="G336" s="300"/>
      <c r="H336" s="300"/>
      <c r="I336" s="300"/>
      <c r="J336" s="300"/>
      <c r="K336" s="300"/>
      <c r="L336" s="300"/>
      <c r="M336" s="300"/>
      <c r="N336" s="382"/>
      <c r="O336" s="275"/>
      <c r="P336" s="275"/>
      <c r="Q336" s="275"/>
      <c r="R336" s="275"/>
      <c r="S336" s="275"/>
      <c r="T336" s="275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</row>
    <row r="337" spans="2:31" ht="15">
      <c r="B337" s="380">
        <f t="shared" si="8"/>
        <v>292</v>
      </c>
      <c r="C337" s="388" t="str" cm="1">
        <f t="array" aca="1" ref="C337" ca="1">IF(B337&lt;=$C$9,GetGetCDSName(B337),"")</f>
        <v/>
      </c>
      <c r="D337" s="348"/>
      <c r="E337" s="381"/>
      <c r="F337" s="300"/>
      <c r="G337" s="300"/>
      <c r="H337" s="300"/>
      <c r="I337" s="300"/>
      <c r="J337" s="300"/>
      <c r="K337" s="300"/>
      <c r="L337" s="300"/>
      <c r="M337" s="300"/>
      <c r="N337" s="382"/>
      <c r="O337" s="275"/>
      <c r="P337" s="275"/>
      <c r="Q337" s="275"/>
      <c r="R337" s="275"/>
      <c r="S337" s="275"/>
      <c r="T337" s="275"/>
      <c r="U337" s="275"/>
      <c r="V337" s="275"/>
      <c r="W337" s="275"/>
      <c r="X337" s="275"/>
      <c r="Y337" s="275"/>
      <c r="Z337" s="275"/>
      <c r="AA337" s="275"/>
      <c r="AB337" s="275"/>
      <c r="AC337" s="275"/>
      <c r="AD337" s="275"/>
      <c r="AE337" s="275"/>
    </row>
    <row r="338" spans="2:31" ht="15">
      <c r="B338" s="380">
        <f t="shared" si="8"/>
        <v>293</v>
      </c>
      <c r="C338" s="388" t="str" cm="1">
        <f t="array" aca="1" ref="C338" ca="1">IF(B338&lt;=$C$9,GetGetCDSName(B338),"")</f>
        <v/>
      </c>
      <c r="D338" s="348"/>
      <c r="E338" s="381"/>
      <c r="F338" s="300"/>
      <c r="G338" s="300"/>
      <c r="H338" s="300"/>
      <c r="I338" s="300"/>
      <c r="J338" s="300"/>
      <c r="K338" s="300"/>
      <c r="L338" s="300"/>
      <c r="M338" s="300"/>
      <c r="N338" s="382"/>
      <c r="O338" s="275"/>
      <c r="P338" s="275"/>
      <c r="Q338" s="275"/>
      <c r="R338" s="275"/>
      <c r="S338" s="275"/>
      <c r="T338" s="275"/>
      <c r="U338" s="275"/>
      <c r="V338" s="275"/>
      <c r="W338" s="275"/>
      <c r="X338" s="275"/>
      <c r="Y338" s="275"/>
      <c r="Z338" s="275"/>
      <c r="AA338" s="275"/>
      <c r="AB338" s="275"/>
      <c r="AC338" s="275"/>
      <c r="AD338" s="275"/>
      <c r="AE338" s="275"/>
    </row>
    <row r="339" spans="2:31" ht="15">
      <c r="B339" s="380">
        <f t="shared" si="8"/>
        <v>294</v>
      </c>
      <c r="C339" s="388" t="str" cm="1">
        <f t="array" aca="1" ref="C339" ca="1">IF(B339&lt;=$C$9,GetGetCDSName(B339),"")</f>
        <v/>
      </c>
      <c r="D339" s="348"/>
      <c r="E339" s="381"/>
      <c r="F339" s="300"/>
      <c r="G339" s="300"/>
      <c r="H339" s="300"/>
      <c r="I339" s="300"/>
      <c r="J339" s="300"/>
      <c r="K339" s="300"/>
      <c r="L339" s="300"/>
      <c r="M339" s="300"/>
      <c r="N339" s="382"/>
      <c r="O339" s="275"/>
      <c r="P339" s="275"/>
      <c r="Q339" s="275"/>
      <c r="R339" s="275"/>
      <c r="S339" s="275"/>
      <c r="T339" s="275"/>
      <c r="U339" s="275"/>
      <c r="V339" s="275"/>
      <c r="W339" s="275"/>
      <c r="X339" s="275"/>
      <c r="Y339" s="275"/>
      <c r="Z339" s="275"/>
      <c r="AA339" s="275"/>
      <c r="AB339" s="275"/>
      <c r="AC339" s="275"/>
      <c r="AD339" s="275"/>
      <c r="AE339" s="275"/>
    </row>
    <row r="340" spans="2:31" ht="15">
      <c r="B340" s="380">
        <f t="shared" si="8"/>
        <v>295</v>
      </c>
      <c r="C340" s="388" t="str" cm="1">
        <f t="array" aca="1" ref="C340" ca="1">IF(B340&lt;=$C$9,GetGetCDSName(B340),"")</f>
        <v/>
      </c>
      <c r="D340" s="348"/>
      <c r="E340" s="381"/>
      <c r="F340" s="300"/>
      <c r="G340" s="300"/>
      <c r="H340" s="300"/>
      <c r="I340" s="300"/>
      <c r="J340" s="300"/>
      <c r="K340" s="300"/>
      <c r="L340" s="300"/>
      <c r="M340" s="300"/>
      <c r="N340" s="382"/>
      <c r="O340" s="275"/>
      <c r="P340" s="275"/>
      <c r="Q340" s="275"/>
      <c r="R340" s="275"/>
      <c r="S340" s="275"/>
      <c r="T340" s="275"/>
      <c r="U340" s="275"/>
      <c r="V340" s="275"/>
      <c r="W340" s="275"/>
      <c r="X340" s="275"/>
      <c r="Y340" s="275"/>
      <c r="Z340" s="275"/>
      <c r="AA340" s="275"/>
      <c r="AB340" s="275"/>
      <c r="AC340" s="275"/>
      <c r="AD340" s="275"/>
      <c r="AE340" s="275"/>
    </row>
    <row r="341" spans="2:31" ht="15">
      <c r="B341" s="380">
        <f t="shared" si="8"/>
        <v>296</v>
      </c>
      <c r="C341" s="388" t="str" cm="1">
        <f t="array" aca="1" ref="C341" ca="1">IF(B341&lt;=$C$9,GetGetCDSName(B341),"")</f>
        <v/>
      </c>
      <c r="D341" s="348"/>
      <c r="E341" s="381"/>
      <c r="F341" s="300"/>
      <c r="G341" s="300"/>
      <c r="H341" s="300"/>
      <c r="I341" s="300"/>
      <c r="J341" s="300"/>
      <c r="K341" s="300"/>
      <c r="L341" s="300"/>
      <c r="M341" s="300"/>
      <c r="N341" s="382"/>
      <c r="O341" s="275"/>
      <c r="P341" s="275"/>
      <c r="Q341" s="275"/>
      <c r="R341" s="275"/>
      <c r="S341" s="275"/>
      <c r="T341" s="275"/>
      <c r="U341" s="275"/>
      <c r="V341" s="275"/>
      <c r="W341" s="275"/>
      <c r="X341" s="275"/>
      <c r="Y341" s="275"/>
      <c r="Z341" s="275"/>
      <c r="AA341" s="275"/>
      <c r="AB341" s="275"/>
      <c r="AC341" s="275"/>
      <c r="AD341" s="275"/>
      <c r="AE341" s="275"/>
    </row>
    <row r="342" spans="2:31" ht="15">
      <c r="B342" s="380">
        <f t="shared" si="8"/>
        <v>297</v>
      </c>
      <c r="C342" s="388" t="str" cm="1">
        <f t="array" aca="1" ref="C342" ca="1">IF(B342&lt;=$C$9,GetGetCDSName(B342),"")</f>
        <v/>
      </c>
      <c r="D342" s="348"/>
      <c r="E342" s="381"/>
      <c r="F342" s="300"/>
      <c r="G342" s="300"/>
      <c r="H342" s="300"/>
      <c r="I342" s="300"/>
      <c r="J342" s="300"/>
      <c r="K342" s="300"/>
      <c r="L342" s="300"/>
      <c r="M342" s="300"/>
      <c r="N342" s="382"/>
      <c r="O342" s="275"/>
      <c r="P342" s="275"/>
      <c r="Q342" s="275"/>
      <c r="R342" s="275"/>
      <c r="S342" s="275"/>
      <c r="T342" s="275"/>
      <c r="U342" s="275"/>
      <c r="V342" s="275"/>
      <c r="W342" s="275"/>
      <c r="X342" s="275"/>
      <c r="Y342" s="275"/>
      <c r="Z342" s="275"/>
      <c r="AA342" s="275"/>
      <c r="AB342" s="275"/>
      <c r="AC342" s="275"/>
      <c r="AD342" s="275"/>
      <c r="AE342" s="275"/>
    </row>
    <row r="343" spans="2:31" ht="15">
      <c r="B343" s="380">
        <f t="shared" si="8"/>
        <v>298</v>
      </c>
      <c r="C343" s="388" t="str" cm="1">
        <f t="array" aca="1" ref="C343" ca="1">IF(B343&lt;=$C$9,GetGetCDSName(B343),"")</f>
        <v/>
      </c>
      <c r="D343" s="348"/>
      <c r="E343" s="381"/>
      <c r="F343" s="300"/>
      <c r="G343" s="300"/>
      <c r="H343" s="300"/>
      <c r="I343" s="300"/>
      <c r="J343" s="300"/>
      <c r="K343" s="300"/>
      <c r="L343" s="300"/>
      <c r="M343" s="300"/>
      <c r="N343" s="382"/>
      <c r="O343" s="275"/>
      <c r="P343" s="275"/>
      <c r="Q343" s="275"/>
      <c r="R343" s="275"/>
      <c r="S343" s="275"/>
      <c r="T343" s="275"/>
      <c r="U343" s="275"/>
      <c r="V343" s="275"/>
      <c r="W343" s="275"/>
      <c r="X343" s="275"/>
      <c r="Y343" s="275"/>
      <c r="Z343" s="275"/>
      <c r="AA343" s="275"/>
      <c r="AB343" s="275"/>
      <c r="AC343" s="275"/>
      <c r="AD343" s="275"/>
      <c r="AE343" s="275"/>
    </row>
    <row r="344" spans="2:31" ht="15">
      <c r="B344" s="380">
        <f t="shared" si="8"/>
        <v>299</v>
      </c>
      <c r="C344" s="388" t="str" cm="1">
        <f t="array" aca="1" ref="C344" ca="1">IF(B344&lt;=$C$9,GetGetCDSName(B344),"")</f>
        <v/>
      </c>
      <c r="D344" s="348"/>
      <c r="E344" s="381"/>
      <c r="F344" s="300"/>
      <c r="G344" s="300"/>
      <c r="H344" s="300"/>
      <c r="I344" s="300"/>
      <c r="J344" s="300"/>
      <c r="K344" s="300"/>
      <c r="L344" s="300"/>
      <c r="M344" s="300"/>
      <c r="N344" s="382"/>
      <c r="O344" s="275"/>
      <c r="P344" s="275"/>
      <c r="Q344" s="275"/>
      <c r="R344" s="275"/>
      <c r="S344" s="275"/>
      <c r="T344" s="275"/>
      <c r="U344" s="275"/>
      <c r="V344" s="275"/>
      <c r="W344" s="275"/>
      <c r="X344" s="275"/>
      <c r="Y344" s="275"/>
      <c r="Z344" s="275"/>
      <c r="AA344" s="275"/>
      <c r="AB344" s="275"/>
      <c r="AC344" s="275"/>
      <c r="AD344" s="275"/>
      <c r="AE344" s="275"/>
    </row>
    <row r="345" spans="2:31" ht="15.75" thickBot="1">
      <c r="B345" s="383">
        <f t="shared" si="8"/>
        <v>300</v>
      </c>
      <c r="C345" s="388" t="str" cm="1">
        <f t="array" aca="1" ref="C345" ca="1">IF(B345&lt;=$C$9,GetGetCDSName(B345),"")</f>
        <v/>
      </c>
      <c r="D345" s="384"/>
      <c r="E345" s="385"/>
      <c r="F345" s="386"/>
      <c r="G345" s="386"/>
      <c r="H345" s="386"/>
      <c r="I345" s="386"/>
      <c r="J345" s="386"/>
      <c r="K345" s="386"/>
      <c r="L345" s="386"/>
      <c r="M345" s="386"/>
      <c r="N345" s="387"/>
      <c r="O345" s="275"/>
      <c r="P345" s="275"/>
      <c r="Q345" s="275"/>
      <c r="R345" s="275"/>
      <c r="S345" s="275"/>
      <c r="T345" s="275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</row>
    <row r="346" spans="2:31">
      <c r="O346" s="275"/>
      <c r="P346" s="275"/>
      <c r="Q346" s="275"/>
      <c r="R346" s="275"/>
      <c r="S346" s="275"/>
      <c r="T346" s="275"/>
      <c r="U346" s="275"/>
      <c r="V346" s="275"/>
      <c r="W346" s="275"/>
      <c r="X346" s="275"/>
      <c r="Y346" s="275"/>
      <c r="Z346" s="275"/>
      <c r="AA346" s="275"/>
      <c r="AB346" s="275"/>
      <c r="AC346" s="275"/>
      <c r="AD346" s="275"/>
      <c r="AE346" s="275"/>
    </row>
    <row r="347" spans="2:31">
      <c r="O347" s="275"/>
      <c r="P347" s="275"/>
      <c r="Q347" s="275"/>
      <c r="R347" s="275"/>
      <c r="S347" s="275"/>
      <c r="T347" s="275"/>
      <c r="U347" s="275"/>
      <c r="V347" s="275"/>
      <c r="W347" s="275"/>
      <c r="X347" s="275"/>
      <c r="Y347" s="275"/>
      <c r="Z347" s="275"/>
      <c r="AA347" s="275"/>
      <c r="AB347" s="275"/>
      <c r="AC347" s="275"/>
      <c r="AD347" s="275"/>
      <c r="AE347" s="275"/>
    </row>
    <row r="348" spans="2:31">
      <c r="O348" s="275"/>
      <c r="P348" s="275"/>
      <c r="Q348" s="275"/>
      <c r="R348" s="275"/>
      <c r="S348" s="275"/>
      <c r="T348" s="275"/>
      <c r="U348" s="275"/>
      <c r="V348" s="275"/>
      <c r="W348" s="275"/>
      <c r="X348" s="275"/>
      <c r="Y348" s="275"/>
      <c r="Z348" s="275"/>
      <c r="AA348" s="275"/>
      <c r="AB348" s="275"/>
      <c r="AC348" s="275"/>
      <c r="AD348" s="275"/>
      <c r="AE348" s="275"/>
    </row>
    <row r="349" spans="2:31">
      <c r="O349" s="275"/>
      <c r="P349" s="275"/>
      <c r="Q349" s="275"/>
      <c r="R349" s="275"/>
      <c r="S349" s="275"/>
      <c r="T349" s="275"/>
      <c r="U349" s="275"/>
      <c r="V349" s="275"/>
      <c r="W349" s="275"/>
      <c r="X349" s="275"/>
      <c r="Y349" s="275"/>
      <c r="Z349" s="275"/>
      <c r="AA349" s="275"/>
      <c r="AB349" s="275"/>
      <c r="AC349" s="275"/>
      <c r="AD349" s="275"/>
      <c r="AE349" s="275"/>
    </row>
    <row r="350" spans="2:31">
      <c r="O350" s="275"/>
      <c r="P350" s="275"/>
      <c r="Q350" s="275"/>
      <c r="R350" s="275"/>
      <c r="S350" s="275"/>
      <c r="T350" s="275"/>
      <c r="U350" s="275"/>
      <c r="V350" s="275"/>
      <c r="W350" s="275"/>
      <c r="X350" s="275"/>
      <c r="Y350" s="275"/>
      <c r="Z350" s="275"/>
      <c r="AA350" s="275"/>
      <c r="AB350" s="275"/>
      <c r="AC350" s="275"/>
      <c r="AD350" s="275"/>
      <c r="AE350" s="275"/>
    </row>
    <row r="351" spans="2:31">
      <c r="O351" s="275"/>
      <c r="P351" s="275"/>
      <c r="Q351" s="275"/>
      <c r="R351" s="275"/>
      <c r="S351" s="275"/>
      <c r="T351" s="275"/>
      <c r="U351" s="275"/>
      <c r="V351" s="275"/>
      <c r="W351" s="275"/>
      <c r="X351" s="275"/>
      <c r="Y351" s="275"/>
      <c r="Z351" s="275"/>
      <c r="AA351" s="275"/>
      <c r="AB351" s="275"/>
      <c r="AC351" s="275"/>
      <c r="AD351" s="275"/>
      <c r="AE351" s="275"/>
    </row>
    <row r="352" spans="2:31">
      <c r="O352" s="275"/>
      <c r="P352" s="275"/>
      <c r="Q352" s="275"/>
      <c r="R352" s="275"/>
      <c r="S352" s="275"/>
      <c r="T352" s="275"/>
      <c r="U352" s="275"/>
      <c r="V352" s="275"/>
      <c r="W352" s="275"/>
      <c r="X352" s="275"/>
      <c r="Y352" s="275"/>
      <c r="Z352" s="275"/>
      <c r="AA352" s="275"/>
      <c r="AB352" s="275"/>
      <c r="AC352" s="275"/>
      <c r="AD352" s="275"/>
      <c r="AE352" s="275"/>
    </row>
    <row r="353" spans="15:31">
      <c r="O353" s="275"/>
      <c r="P353" s="275"/>
      <c r="Q353" s="275"/>
      <c r="R353" s="275"/>
      <c r="S353" s="275"/>
      <c r="T353" s="275"/>
      <c r="U353" s="275"/>
      <c r="V353" s="275"/>
      <c r="W353" s="275"/>
      <c r="X353" s="275"/>
      <c r="Y353" s="275"/>
      <c r="Z353" s="275"/>
      <c r="AA353" s="275"/>
      <c r="AB353" s="275"/>
      <c r="AC353" s="275"/>
      <c r="AD353" s="275"/>
      <c r="AE353" s="275"/>
    </row>
    <row r="354" spans="15:31">
      <c r="O354" s="275"/>
      <c r="P354" s="275"/>
      <c r="Q354" s="275"/>
      <c r="R354" s="275"/>
      <c r="S354" s="275"/>
      <c r="T354" s="275"/>
      <c r="U354" s="275"/>
      <c r="V354" s="275"/>
      <c r="W354" s="275"/>
      <c r="X354" s="275"/>
      <c r="Y354" s="275"/>
      <c r="Z354" s="275"/>
      <c r="AA354" s="275"/>
      <c r="AB354" s="275"/>
      <c r="AC354" s="275"/>
      <c r="AD354" s="275"/>
      <c r="AE354" s="275"/>
    </row>
    <row r="355" spans="15:31">
      <c r="O355" s="275"/>
      <c r="P355" s="275"/>
      <c r="Q355" s="275"/>
      <c r="R355" s="275"/>
      <c r="S355" s="275"/>
      <c r="T355" s="275"/>
      <c r="U355" s="275"/>
      <c r="V355" s="275"/>
      <c r="W355" s="275"/>
      <c r="X355" s="275"/>
      <c r="Y355" s="275"/>
      <c r="Z355" s="275"/>
      <c r="AA355" s="275"/>
      <c r="AB355" s="275"/>
      <c r="AC355" s="275"/>
      <c r="AD355" s="275"/>
      <c r="AE355" s="275"/>
    </row>
    <row r="356" spans="15:31">
      <c r="O356" s="275"/>
      <c r="P356" s="275"/>
      <c r="Q356" s="275"/>
      <c r="R356" s="275"/>
      <c r="S356" s="275"/>
      <c r="T356" s="275"/>
      <c r="U356" s="275"/>
      <c r="V356" s="275"/>
      <c r="W356" s="275"/>
      <c r="X356" s="275"/>
      <c r="Y356" s="275"/>
      <c r="Z356" s="275"/>
      <c r="AA356" s="275"/>
      <c r="AB356" s="275"/>
      <c r="AC356" s="275"/>
      <c r="AD356" s="275"/>
      <c r="AE356" s="275"/>
    </row>
    <row r="357" spans="15:31">
      <c r="O357" s="275"/>
      <c r="P357" s="275"/>
      <c r="Q357" s="275"/>
      <c r="R357" s="275"/>
      <c r="S357" s="275"/>
      <c r="T357" s="275"/>
      <c r="U357" s="275"/>
      <c r="V357" s="275"/>
      <c r="W357" s="275"/>
      <c r="X357" s="275"/>
      <c r="Y357" s="275"/>
      <c r="Z357" s="275"/>
      <c r="AA357" s="275"/>
      <c r="AB357" s="275"/>
      <c r="AC357" s="275"/>
      <c r="AD357" s="275"/>
      <c r="AE357" s="275"/>
    </row>
    <row r="358" spans="15:31">
      <c r="O358" s="275"/>
      <c r="P358" s="275"/>
      <c r="Q358" s="275"/>
      <c r="R358" s="275"/>
      <c r="S358" s="275"/>
      <c r="T358" s="275"/>
      <c r="U358" s="275"/>
      <c r="V358" s="275"/>
      <c r="W358" s="275"/>
      <c r="X358" s="275"/>
      <c r="Y358" s="275"/>
      <c r="Z358" s="275"/>
      <c r="AA358" s="275"/>
      <c r="AB358" s="275"/>
      <c r="AC358" s="275"/>
      <c r="AD358" s="275"/>
      <c r="AE358" s="275"/>
    </row>
    <row r="359" spans="15:31">
      <c r="O359" s="275"/>
      <c r="P359" s="275"/>
      <c r="Q359" s="275"/>
      <c r="R359" s="275"/>
      <c r="S359" s="275"/>
      <c r="T359" s="275"/>
      <c r="U359" s="275"/>
      <c r="V359" s="275"/>
      <c r="W359" s="275"/>
      <c r="X359" s="275"/>
      <c r="Y359" s="275"/>
      <c r="Z359" s="275"/>
      <c r="AA359" s="275"/>
      <c r="AB359" s="275"/>
      <c r="AC359" s="275"/>
      <c r="AD359" s="275"/>
      <c r="AE359" s="275"/>
    </row>
    <row r="360" spans="15:31">
      <c r="O360" s="275"/>
      <c r="P360" s="275"/>
      <c r="Q360" s="275"/>
      <c r="R360" s="275"/>
      <c r="S360" s="275"/>
      <c r="T360" s="275"/>
      <c r="U360" s="275"/>
      <c r="V360" s="275"/>
      <c r="W360" s="275"/>
      <c r="X360" s="275"/>
      <c r="Y360" s="275"/>
      <c r="Z360" s="275"/>
      <c r="AA360" s="275"/>
      <c r="AB360" s="275"/>
      <c r="AC360" s="275"/>
      <c r="AD360" s="275"/>
      <c r="AE360" s="275"/>
    </row>
    <row r="361" spans="15:31">
      <c r="O361" s="275"/>
      <c r="P361" s="275"/>
      <c r="Q361" s="275"/>
      <c r="R361" s="275"/>
      <c r="S361" s="275"/>
      <c r="T361" s="275"/>
      <c r="U361" s="275"/>
      <c r="V361" s="275"/>
      <c r="W361" s="275"/>
      <c r="X361" s="275"/>
      <c r="Y361" s="275"/>
      <c r="Z361" s="275"/>
      <c r="AA361" s="275"/>
      <c r="AB361" s="275"/>
      <c r="AC361" s="275"/>
      <c r="AD361" s="275"/>
      <c r="AE361" s="275"/>
    </row>
    <row r="362" spans="15:31">
      <c r="O362" s="275"/>
      <c r="P362" s="275"/>
      <c r="Q362" s="275"/>
      <c r="R362" s="275"/>
      <c r="S362" s="275"/>
      <c r="T362" s="275"/>
      <c r="U362" s="275"/>
      <c r="V362" s="275"/>
      <c r="W362" s="275"/>
      <c r="X362" s="275"/>
      <c r="Y362" s="275"/>
      <c r="Z362" s="275"/>
      <c r="AA362" s="275"/>
      <c r="AB362" s="275"/>
      <c r="AC362" s="275"/>
      <c r="AD362" s="275"/>
      <c r="AE362" s="275"/>
    </row>
    <row r="363" spans="15:31">
      <c r="O363" s="275"/>
      <c r="P363" s="275"/>
      <c r="Q363" s="275"/>
      <c r="R363" s="275"/>
      <c r="S363" s="275"/>
      <c r="T363" s="275"/>
      <c r="U363" s="275"/>
      <c r="V363" s="275"/>
      <c r="W363" s="275"/>
      <c r="X363" s="275"/>
      <c r="Y363" s="275"/>
      <c r="Z363" s="275"/>
      <c r="AA363" s="275"/>
      <c r="AB363" s="275"/>
      <c r="AC363" s="275"/>
      <c r="AD363" s="275"/>
      <c r="AE363" s="275"/>
    </row>
    <row r="364" spans="15:31">
      <c r="O364" s="275"/>
      <c r="P364" s="275"/>
      <c r="Q364" s="275"/>
      <c r="R364" s="275"/>
      <c r="S364" s="275"/>
      <c r="T364" s="275"/>
      <c r="U364" s="275"/>
      <c r="V364" s="275"/>
      <c r="W364" s="275"/>
      <c r="X364" s="275"/>
      <c r="Y364" s="275"/>
      <c r="Z364" s="275"/>
      <c r="AA364" s="275"/>
      <c r="AB364" s="275"/>
      <c r="AC364" s="275"/>
      <c r="AD364" s="275"/>
      <c r="AE364" s="275"/>
    </row>
    <row r="365" spans="15:31">
      <c r="O365" s="275"/>
      <c r="P365" s="275"/>
      <c r="Q365" s="275"/>
      <c r="R365" s="275"/>
      <c r="S365" s="275"/>
      <c r="T365" s="275"/>
      <c r="U365" s="275"/>
      <c r="V365" s="275"/>
      <c r="W365" s="275"/>
      <c r="X365" s="275"/>
      <c r="Y365" s="275"/>
      <c r="Z365" s="275"/>
      <c r="AA365" s="275"/>
      <c r="AB365" s="275"/>
      <c r="AC365" s="275"/>
      <c r="AD365" s="275"/>
      <c r="AE365" s="275"/>
    </row>
    <row r="366" spans="15:31">
      <c r="O366" s="275"/>
      <c r="P366" s="275"/>
      <c r="Q366" s="275"/>
      <c r="R366" s="275"/>
      <c r="S366" s="275"/>
      <c r="T366" s="275"/>
      <c r="U366" s="275"/>
      <c r="V366" s="275"/>
      <c r="W366" s="275"/>
      <c r="X366" s="275"/>
      <c r="Y366" s="275"/>
      <c r="Z366" s="275"/>
      <c r="AA366" s="275"/>
      <c r="AB366" s="275"/>
      <c r="AC366" s="275"/>
      <c r="AD366" s="275"/>
      <c r="AE366" s="275"/>
    </row>
    <row r="367" spans="15:31">
      <c r="O367" s="275"/>
      <c r="P367" s="275"/>
      <c r="Q367" s="275"/>
      <c r="R367" s="275"/>
      <c r="S367" s="275"/>
      <c r="T367" s="275"/>
      <c r="U367" s="275"/>
      <c r="V367" s="275"/>
      <c r="W367" s="275"/>
      <c r="X367" s="275"/>
      <c r="Y367" s="275"/>
      <c r="Z367" s="275"/>
      <c r="AA367" s="275"/>
      <c r="AB367" s="275"/>
      <c r="AC367" s="275"/>
      <c r="AD367" s="275"/>
      <c r="AE367" s="275"/>
    </row>
    <row r="368" spans="15:31">
      <c r="O368" s="275"/>
      <c r="P368" s="275"/>
      <c r="Q368" s="275"/>
      <c r="R368" s="275"/>
      <c r="S368" s="275"/>
      <c r="T368" s="275"/>
      <c r="U368" s="275"/>
      <c r="V368" s="275"/>
      <c r="W368" s="275"/>
      <c r="X368" s="275"/>
      <c r="Y368" s="275"/>
      <c r="Z368" s="275"/>
      <c r="AA368" s="275"/>
      <c r="AB368" s="275"/>
      <c r="AC368" s="275"/>
      <c r="AD368" s="275"/>
      <c r="AE368" s="275"/>
    </row>
    <row r="369" spans="15:31">
      <c r="O369" s="275"/>
      <c r="P369" s="275"/>
      <c r="Q369" s="275"/>
      <c r="R369" s="275"/>
      <c r="S369" s="275"/>
      <c r="T369" s="275"/>
      <c r="U369" s="275"/>
      <c r="V369" s="275"/>
      <c r="W369" s="275"/>
      <c r="X369" s="275"/>
      <c r="Y369" s="275"/>
      <c r="Z369" s="275"/>
      <c r="AA369" s="275"/>
      <c r="AB369" s="275"/>
      <c r="AC369" s="275"/>
      <c r="AD369" s="275"/>
      <c r="AE369" s="275"/>
    </row>
    <row r="370" spans="15:31">
      <c r="O370" s="275"/>
      <c r="P370" s="275"/>
      <c r="Q370" s="275"/>
      <c r="R370" s="275"/>
      <c r="S370" s="275"/>
      <c r="T370" s="275"/>
      <c r="U370" s="275"/>
      <c r="V370" s="275"/>
      <c r="W370" s="275"/>
      <c r="X370" s="275"/>
      <c r="Y370" s="275"/>
      <c r="Z370" s="275"/>
      <c r="AA370" s="275"/>
      <c r="AB370" s="275"/>
      <c r="AC370" s="275"/>
      <c r="AD370" s="275"/>
      <c r="AE370" s="275"/>
    </row>
    <row r="371" spans="15:31">
      <c r="O371" s="275"/>
      <c r="P371" s="275"/>
      <c r="Q371" s="275"/>
      <c r="R371" s="275"/>
      <c r="S371" s="275"/>
      <c r="T371" s="275"/>
      <c r="U371" s="275"/>
      <c r="V371" s="275"/>
      <c r="W371" s="275"/>
      <c r="X371" s="275"/>
      <c r="Y371" s="275"/>
      <c r="Z371" s="275"/>
      <c r="AA371" s="275"/>
      <c r="AB371" s="275"/>
      <c r="AC371" s="275"/>
      <c r="AD371" s="275"/>
      <c r="AE371" s="275"/>
    </row>
    <row r="372" spans="15:31">
      <c r="O372" s="275"/>
      <c r="P372" s="275"/>
      <c r="Q372" s="275"/>
      <c r="R372" s="275"/>
      <c r="S372" s="275"/>
      <c r="T372" s="275"/>
      <c r="U372" s="275"/>
      <c r="V372" s="275"/>
      <c r="W372" s="275"/>
      <c r="X372" s="275"/>
      <c r="Y372" s="275"/>
      <c r="Z372" s="275"/>
      <c r="AA372" s="275"/>
      <c r="AB372" s="275"/>
      <c r="AC372" s="275"/>
      <c r="AD372" s="275"/>
      <c r="AE372" s="275"/>
    </row>
    <row r="373" spans="15:31">
      <c r="O373" s="275"/>
      <c r="P373" s="275"/>
      <c r="Q373" s="275"/>
      <c r="R373" s="275"/>
      <c r="S373" s="275"/>
      <c r="T373" s="275"/>
      <c r="U373" s="275"/>
      <c r="V373" s="275"/>
      <c r="W373" s="275"/>
      <c r="X373" s="275"/>
      <c r="Y373" s="275"/>
      <c r="Z373" s="275"/>
      <c r="AA373" s="275"/>
      <c r="AB373" s="275"/>
      <c r="AC373" s="275"/>
      <c r="AD373" s="275"/>
      <c r="AE373" s="275"/>
    </row>
    <row r="374" spans="15:31">
      <c r="O374" s="275"/>
      <c r="P374" s="275"/>
      <c r="Q374" s="275"/>
      <c r="R374" s="275"/>
      <c r="S374" s="275"/>
      <c r="T374" s="275"/>
      <c r="U374" s="275"/>
      <c r="V374" s="275"/>
      <c r="W374" s="275"/>
      <c r="X374" s="275"/>
      <c r="Y374" s="275"/>
      <c r="Z374" s="275"/>
      <c r="AA374" s="275"/>
      <c r="AB374" s="275"/>
      <c r="AC374" s="275"/>
      <c r="AD374" s="275"/>
      <c r="AE374" s="275"/>
    </row>
    <row r="375" spans="15:31">
      <c r="O375" s="275"/>
      <c r="P375" s="275"/>
      <c r="Q375" s="275"/>
      <c r="R375" s="275"/>
      <c r="S375" s="275"/>
      <c r="T375" s="275"/>
      <c r="U375" s="275"/>
      <c r="V375" s="275"/>
      <c r="W375" s="275"/>
      <c r="X375" s="275"/>
      <c r="Y375" s="275"/>
      <c r="Z375" s="275"/>
      <c r="AA375" s="275"/>
      <c r="AB375" s="275"/>
      <c r="AC375" s="275"/>
      <c r="AD375" s="275"/>
      <c r="AE375" s="275"/>
    </row>
    <row r="376" spans="15:31">
      <c r="O376" s="275"/>
      <c r="P376" s="275"/>
      <c r="Q376" s="275"/>
      <c r="R376" s="275"/>
      <c r="S376" s="275"/>
      <c r="T376" s="275"/>
      <c r="U376" s="275"/>
      <c r="V376" s="275"/>
      <c r="W376" s="275"/>
      <c r="X376" s="275"/>
      <c r="Y376" s="275"/>
      <c r="Z376" s="275"/>
      <c r="AA376" s="275"/>
      <c r="AB376" s="275"/>
      <c r="AC376" s="275"/>
      <c r="AD376" s="275"/>
      <c r="AE376" s="275"/>
    </row>
    <row r="377" spans="15:31">
      <c r="O377" s="275"/>
      <c r="P377" s="275"/>
      <c r="Q377" s="275"/>
      <c r="R377" s="275"/>
      <c r="S377" s="275"/>
      <c r="T377" s="275"/>
      <c r="U377" s="275"/>
      <c r="V377" s="275"/>
      <c r="W377" s="275"/>
      <c r="X377" s="275"/>
      <c r="Y377" s="275"/>
      <c r="Z377" s="275"/>
      <c r="AA377" s="275"/>
      <c r="AB377" s="275"/>
      <c r="AC377" s="275"/>
      <c r="AD377" s="275"/>
      <c r="AE377" s="275"/>
    </row>
    <row r="378" spans="15:31">
      <c r="O378" s="275"/>
      <c r="P378" s="275"/>
      <c r="Q378" s="275"/>
      <c r="R378" s="275"/>
      <c r="S378" s="275"/>
      <c r="T378" s="275"/>
      <c r="U378" s="275"/>
      <c r="V378" s="275"/>
      <c r="W378" s="275"/>
      <c r="X378" s="275"/>
      <c r="Y378" s="275"/>
      <c r="Z378" s="275"/>
      <c r="AA378" s="275"/>
      <c r="AB378" s="275"/>
      <c r="AC378" s="275"/>
      <c r="AD378" s="275"/>
      <c r="AE378" s="275"/>
    </row>
    <row r="379" spans="15:31">
      <c r="O379" s="275"/>
      <c r="P379" s="275"/>
      <c r="Q379" s="275"/>
      <c r="R379" s="275"/>
      <c r="S379" s="275"/>
      <c r="T379" s="275"/>
      <c r="U379" s="275"/>
      <c r="V379" s="275"/>
      <c r="W379" s="275"/>
      <c r="X379" s="275"/>
      <c r="Y379" s="275"/>
      <c r="Z379" s="275"/>
      <c r="AA379" s="275"/>
      <c r="AB379" s="275"/>
      <c r="AC379" s="275"/>
      <c r="AD379" s="275"/>
      <c r="AE379" s="275"/>
    </row>
    <row r="380" spans="15:31">
      <c r="O380" s="275"/>
      <c r="P380" s="275"/>
      <c r="Q380" s="275"/>
      <c r="R380" s="275"/>
      <c r="S380" s="275"/>
      <c r="T380" s="275"/>
      <c r="U380" s="275"/>
      <c r="V380" s="275"/>
      <c r="W380" s="275"/>
      <c r="X380" s="275"/>
      <c r="Y380" s="275"/>
      <c r="Z380" s="275"/>
      <c r="AA380" s="275"/>
      <c r="AB380" s="275"/>
      <c r="AC380" s="275"/>
      <c r="AD380" s="275"/>
      <c r="AE380" s="275"/>
    </row>
    <row r="381" spans="15:31">
      <c r="O381" s="275"/>
      <c r="P381" s="275"/>
      <c r="Q381" s="275"/>
      <c r="R381" s="275"/>
      <c r="S381" s="275"/>
      <c r="T381" s="275"/>
      <c r="U381" s="275"/>
      <c r="V381" s="275"/>
      <c r="W381" s="275"/>
      <c r="X381" s="275"/>
      <c r="Y381" s="275"/>
      <c r="Z381" s="275"/>
      <c r="AA381" s="275"/>
      <c r="AB381" s="275"/>
      <c r="AC381" s="275"/>
      <c r="AD381" s="275"/>
      <c r="AE381" s="275"/>
    </row>
    <row r="382" spans="15:31">
      <c r="O382" s="275"/>
      <c r="P382" s="275"/>
      <c r="Q382" s="275"/>
      <c r="R382" s="275"/>
      <c r="S382" s="275"/>
      <c r="T382" s="275"/>
      <c r="U382" s="275"/>
      <c r="V382" s="275"/>
      <c r="W382" s="275"/>
      <c r="X382" s="275"/>
      <c r="Y382" s="275"/>
      <c r="Z382" s="275"/>
      <c r="AA382" s="275"/>
      <c r="AB382" s="275"/>
      <c r="AC382" s="275"/>
      <c r="AD382" s="275"/>
      <c r="AE382" s="275"/>
    </row>
    <row r="383" spans="15:31">
      <c r="O383" s="275"/>
      <c r="P383" s="275"/>
      <c r="Q383" s="275"/>
      <c r="R383" s="275"/>
      <c r="S383" s="275"/>
      <c r="T383" s="275"/>
      <c r="U383" s="275"/>
      <c r="V383" s="275"/>
      <c r="W383" s="275"/>
      <c r="X383" s="275"/>
      <c r="Y383" s="275"/>
      <c r="Z383" s="275"/>
      <c r="AA383" s="275"/>
      <c r="AB383" s="275"/>
      <c r="AC383" s="275"/>
      <c r="AD383" s="275"/>
      <c r="AE383" s="275"/>
    </row>
    <row r="384" spans="15:31">
      <c r="O384" s="275"/>
      <c r="P384" s="275"/>
      <c r="Q384" s="275"/>
      <c r="R384" s="275"/>
      <c r="S384" s="275"/>
      <c r="T384" s="275"/>
      <c r="U384" s="275"/>
      <c r="V384" s="275"/>
      <c r="W384" s="275"/>
      <c r="X384" s="275"/>
      <c r="Y384" s="275"/>
      <c r="Z384" s="275"/>
      <c r="AA384" s="275"/>
      <c r="AB384" s="275"/>
      <c r="AC384" s="275"/>
      <c r="AD384" s="275"/>
      <c r="AE384" s="275"/>
    </row>
    <row r="385" spans="15:31">
      <c r="O385" s="275"/>
      <c r="P385" s="275"/>
      <c r="Q385" s="275"/>
      <c r="R385" s="275"/>
      <c r="S385" s="275"/>
      <c r="T385" s="275"/>
      <c r="U385" s="275"/>
      <c r="V385" s="275"/>
      <c r="W385" s="275"/>
      <c r="X385" s="275"/>
      <c r="Y385" s="275"/>
      <c r="Z385" s="275"/>
      <c r="AA385" s="275"/>
      <c r="AB385" s="275"/>
      <c r="AC385" s="275"/>
      <c r="AD385" s="275"/>
      <c r="AE385" s="275"/>
    </row>
    <row r="386" spans="15:31">
      <c r="O386" s="275"/>
      <c r="P386" s="275"/>
      <c r="Q386" s="275"/>
      <c r="R386" s="275"/>
      <c r="S386" s="275"/>
      <c r="T386" s="275"/>
      <c r="U386" s="275"/>
      <c r="V386" s="275"/>
      <c r="W386" s="275"/>
      <c r="X386" s="275"/>
      <c r="Y386" s="275"/>
      <c r="Z386" s="275"/>
      <c r="AA386" s="275"/>
      <c r="AB386" s="275"/>
      <c r="AC386" s="275"/>
      <c r="AD386" s="275"/>
      <c r="AE386" s="275"/>
    </row>
    <row r="387" spans="15:31">
      <c r="O387" s="275"/>
      <c r="P387" s="275"/>
      <c r="Q387" s="275"/>
      <c r="R387" s="275"/>
      <c r="S387" s="275"/>
      <c r="T387" s="275"/>
      <c r="U387" s="275"/>
      <c r="V387" s="275"/>
      <c r="W387" s="275"/>
      <c r="X387" s="275"/>
      <c r="Y387" s="275"/>
      <c r="Z387" s="275"/>
      <c r="AA387" s="275"/>
      <c r="AB387" s="275"/>
      <c r="AC387" s="275"/>
      <c r="AD387" s="275"/>
      <c r="AE387" s="275"/>
    </row>
    <row r="388" spans="15:31">
      <c r="O388" s="275"/>
      <c r="P388" s="275"/>
      <c r="Q388" s="275"/>
      <c r="R388" s="275"/>
      <c r="S388" s="275"/>
      <c r="T388" s="275"/>
      <c r="U388" s="275"/>
      <c r="V388" s="275"/>
      <c r="W388" s="275"/>
      <c r="X388" s="275"/>
      <c r="Y388" s="275"/>
      <c r="Z388" s="275"/>
      <c r="AA388" s="275"/>
      <c r="AB388" s="275"/>
      <c r="AC388" s="275"/>
      <c r="AD388" s="275"/>
      <c r="AE388" s="275"/>
    </row>
    <row r="389" spans="15:31">
      <c r="O389" s="275"/>
      <c r="P389" s="275"/>
      <c r="Q389" s="275"/>
      <c r="R389" s="275"/>
      <c r="S389" s="275"/>
      <c r="T389" s="275"/>
      <c r="U389" s="275"/>
      <c r="V389" s="275"/>
      <c r="W389" s="275"/>
      <c r="X389" s="275"/>
      <c r="Y389" s="275"/>
      <c r="Z389" s="275"/>
      <c r="AA389" s="275"/>
      <c r="AB389" s="275"/>
      <c r="AC389" s="275"/>
      <c r="AD389" s="275"/>
      <c r="AE389" s="275"/>
    </row>
    <row r="390" spans="15:31">
      <c r="O390" s="275"/>
      <c r="P390" s="275"/>
      <c r="Q390" s="275"/>
      <c r="R390" s="275"/>
      <c r="S390" s="275"/>
      <c r="T390" s="275"/>
      <c r="U390" s="275"/>
      <c r="V390" s="275"/>
      <c r="W390" s="275"/>
      <c r="X390" s="275"/>
      <c r="Y390" s="275"/>
      <c r="Z390" s="275"/>
      <c r="AA390" s="275"/>
      <c r="AB390" s="275"/>
      <c r="AC390" s="275"/>
      <c r="AD390" s="275"/>
      <c r="AE390" s="275"/>
    </row>
    <row r="391" spans="15:31">
      <c r="O391" s="275"/>
      <c r="P391" s="275"/>
      <c r="Q391" s="275"/>
      <c r="R391" s="275"/>
      <c r="S391" s="275"/>
      <c r="T391" s="275"/>
      <c r="U391" s="275"/>
      <c r="V391" s="275"/>
      <c r="W391" s="275"/>
      <c r="X391" s="275"/>
      <c r="Y391" s="275"/>
      <c r="Z391" s="275"/>
      <c r="AA391" s="275"/>
      <c r="AB391" s="275"/>
      <c r="AC391" s="275"/>
      <c r="AD391" s="275"/>
      <c r="AE391" s="275"/>
    </row>
    <row r="392" spans="15:31">
      <c r="O392" s="275"/>
      <c r="P392" s="275"/>
      <c r="Q392" s="275"/>
      <c r="R392" s="275"/>
      <c r="S392" s="275"/>
      <c r="T392" s="275"/>
      <c r="U392" s="275"/>
      <c r="V392" s="275"/>
      <c r="W392" s="275"/>
      <c r="X392" s="275"/>
      <c r="Y392" s="275"/>
      <c r="Z392" s="275"/>
      <c r="AA392" s="275"/>
      <c r="AB392" s="275"/>
      <c r="AC392" s="275"/>
      <c r="AD392" s="275"/>
      <c r="AE392" s="275"/>
    </row>
    <row r="393" spans="15:31">
      <c r="O393" s="275"/>
      <c r="P393" s="275"/>
      <c r="Q393" s="275"/>
      <c r="R393" s="275"/>
      <c r="S393" s="275"/>
      <c r="T393" s="275"/>
      <c r="U393" s="275"/>
      <c r="V393" s="275"/>
      <c r="W393" s="275"/>
      <c r="X393" s="275"/>
      <c r="Y393" s="275"/>
      <c r="Z393" s="275"/>
      <c r="AA393" s="275"/>
      <c r="AB393" s="275"/>
      <c r="AC393" s="275"/>
      <c r="AD393" s="275"/>
      <c r="AE393" s="275"/>
    </row>
    <row r="394" spans="15:31">
      <c r="O394" s="275"/>
      <c r="P394" s="275"/>
      <c r="Q394" s="275"/>
      <c r="R394" s="275"/>
      <c r="S394" s="275"/>
      <c r="T394" s="275"/>
      <c r="U394" s="275"/>
      <c r="V394" s="275"/>
      <c r="W394" s="275"/>
      <c r="X394" s="275"/>
      <c r="Y394" s="275"/>
      <c r="Z394" s="275"/>
      <c r="AA394" s="275"/>
      <c r="AB394" s="275"/>
      <c r="AC394" s="275"/>
      <c r="AD394" s="275"/>
      <c r="AE394" s="275"/>
    </row>
    <row r="395" spans="15:31">
      <c r="O395" s="275"/>
      <c r="P395" s="275"/>
      <c r="Q395" s="275"/>
      <c r="R395" s="275"/>
      <c r="S395" s="275"/>
      <c r="T395" s="275"/>
      <c r="U395" s="275"/>
      <c r="V395" s="275"/>
      <c r="W395" s="275"/>
      <c r="X395" s="275"/>
      <c r="Y395" s="275"/>
      <c r="Z395" s="275"/>
      <c r="AA395" s="275"/>
      <c r="AB395" s="275"/>
      <c r="AC395" s="275"/>
      <c r="AD395" s="275"/>
      <c r="AE395" s="275"/>
    </row>
    <row r="396" spans="15:31">
      <c r="O396" s="275"/>
      <c r="P396" s="275"/>
      <c r="Q396" s="275"/>
      <c r="R396" s="275"/>
      <c r="S396" s="275"/>
      <c r="T396" s="275"/>
      <c r="U396" s="275"/>
      <c r="V396" s="275"/>
      <c r="W396" s="275"/>
      <c r="X396" s="275"/>
      <c r="Y396" s="275"/>
      <c r="Z396" s="275"/>
      <c r="AA396" s="275"/>
      <c r="AB396" s="275"/>
      <c r="AC396" s="275"/>
      <c r="AD396" s="275"/>
      <c r="AE396" s="275"/>
    </row>
    <row r="397" spans="15:31">
      <c r="O397" s="275"/>
      <c r="P397" s="275"/>
      <c r="Q397" s="275"/>
      <c r="R397" s="275"/>
      <c r="S397" s="275"/>
      <c r="T397" s="275"/>
      <c r="U397" s="275"/>
      <c r="V397" s="275"/>
      <c r="W397" s="275"/>
      <c r="X397" s="275"/>
      <c r="Y397" s="275"/>
      <c r="Z397" s="275"/>
      <c r="AA397" s="275"/>
      <c r="AB397" s="275"/>
      <c r="AC397" s="275"/>
      <c r="AD397" s="275"/>
      <c r="AE397" s="275"/>
    </row>
    <row r="398" spans="15:31">
      <c r="O398" s="275"/>
      <c r="P398" s="275"/>
      <c r="Q398" s="275"/>
      <c r="R398" s="275"/>
      <c r="S398" s="275"/>
      <c r="T398" s="275"/>
      <c r="U398" s="275"/>
      <c r="V398" s="275"/>
      <c r="W398" s="275"/>
      <c r="X398" s="275"/>
      <c r="Y398" s="275"/>
      <c r="Z398" s="275"/>
      <c r="AA398" s="275"/>
      <c r="AB398" s="275"/>
      <c r="AC398" s="275"/>
      <c r="AD398" s="275"/>
      <c r="AE398" s="275"/>
    </row>
    <row r="399" spans="15:31">
      <c r="O399" s="275"/>
      <c r="P399" s="275"/>
      <c r="Q399" s="275"/>
      <c r="R399" s="275"/>
      <c r="S399" s="275"/>
      <c r="T399" s="275"/>
      <c r="U399" s="275"/>
      <c r="V399" s="275"/>
      <c r="W399" s="275"/>
      <c r="X399" s="275"/>
      <c r="Y399" s="275"/>
      <c r="Z399" s="275"/>
      <c r="AA399" s="275"/>
      <c r="AB399" s="275"/>
      <c r="AC399" s="275"/>
      <c r="AD399" s="275"/>
      <c r="AE399" s="275"/>
    </row>
    <row r="400" spans="15:31">
      <c r="O400" s="275"/>
      <c r="P400" s="275"/>
      <c r="Q400" s="275"/>
      <c r="R400" s="275"/>
      <c r="S400" s="275"/>
      <c r="T400" s="275"/>
      <c r="U400" s="275"/>
      <c r="V400" s="275"/>
      <c r="W400" s="275"/>
      <c r="X400" s="275"/>
      <c r="Y400" s="275"/>
      <c r="Z400" s="275"/>
      <c r="AA400" s="275"/>
      <c r="AB400" s="275"/>
      <c r="AC400" s="275"/>
      <c r="AD400" s="275"/>
      <c r="AE400" s="275"/>
    </row>
    <row r="401" spans="15:31">
      <c r="O401" s="275"/>
      <c r="P401" s="275"/>
      <c r="Q401" s="275"/>
      <c r="R401" s="275"/>
      <c r="S401" s="275"/>
      <c r="T401" s="275"/>
      <c r="U401" s="275"/>
      <c r="V401" s="275"/>
      <c r="W401" s="275"/>
      <c r="X401" s="275"/>
      <c r="Y401" s="275"/>
      <c r="Z401" s="275"/>
      <c r="AA401" s="275"/>
      <c r="AB401" s="275"/>
      <c r="AC401" s="275"/>
      <c r="AD401" s="275"/>
      <c r="AE401" s="275"/>
    </row>
    <row r="402" spans="15:31">
      <c r="O402" s="275"/>
      <c r="P402" s="275"/>
      <c r="Q402" s="275"/>
      <c r="R402" s="275"/>
      <c r="S402" s="275"/>
      <c r="T402" s="275"/>
      <c r="U402" s="275"/>
      <c r="V402" s="275"/>
      <c r="W402" s="275"/>
      <c r="X402" s="275"/>
      <c r="Y402" s="275"/>
      <c r="Z402" s="275"/>
      <c r="AA402" s="275"/>
      <c r="AB402" s="275"/>
      <c r="AC402" s="275"/>
      <c r="AD402" s="275"/>
      <c r="AE402" s="275"/>
    </row>
    <row r="403" spans="15:31">
      <c r="O403" s="275"/>
      <c r="P403" s="275"/>
      <c r="Q403" s="275"/>
      <c r="R403" s="275"/>
      <c r="S403" s="275"/>
      <c r="T403" s="275"/>
      <c r="U403" s="275"/>
      <c r="V403" s="275"/>
      <c r="W403" s="275"/>
      <c r="X403" s="275"/>
      <c r="Y403" s="275"/>
      <c r="Z403" s="275"/>
      <c r="AA403" s="275"/>
      <c r="AB403" s="275"/>
      <c r="AC403" s="275"/>
      <c r="AD403" s="275"/>
      <c r="AE403" s="275"/>
    </row>
    <row r="404" spans="15:31">
      <c r="O404" s="275"/>
      <c r="P404" s="275"/>
      <c r="Q404" s="275"/>
      <c r="R404" s="275"/>
      <c r="S404" s="275"/>
      <c r="T404" s="275"/>
      <c r="U404" s="275"/>
      <c r="V404" s="275"/>
      <c r="W404" s="275"/>
      <c r="X404" s="275"/>
      <c r="Y404" s="275"/>
      <c r="Z404" s="275"/>
      <c r="AA404" s="275"/>
      <c r="AB404" s="275"/>
      <c r="AC404" s="275"/>
      <c r="AD404" s="275"/>
      <c r="AE404" s="275"/>
    </row>
    <row r="405" spans="15:31">
      <c r="O405" s="275"/>
      <c r="P405" s="275"/>
      <c r="Q405" s="275"/>
      <c r="R405" s="275"/>
      <c r="S405" s="275"/>
      <c r="T405" s="275"/>
      <c r="U405" s="275"/>
      <c r="V405" s="275"/>
      <c r="W405" s="275"/>
      <c r="X405" s="275"/>
      <c r="Y405" s="275"/>
      <c r="Z405" s="275"/>
      <c r="AA405" s="275"/>
      <c r="AB405" s="275"/>
      <c r="AC405" s="275"/>
      <c r="AD405" s="275"/>
      <c r="AE405" s="275"/>
    </row>
    <row r="406" spans="15:31">
      <c r="O406" s="275"/>
      <c r="P406" s="275"/>
      <c r="Q406" s="275"/>
      <c r="R406" s="275"/>
      <c r="S406" s="275"/>
      <c r="T406" s="275"/>
      <c r="U406" s="275"/>
      <c r="V406" s="275"/>
      <c r="W406" s="275"/>
      <c r="X406" s="275"/>
      <c r="Y406" s="275"/>
      <c r="Z406" s="275"/>
      <c r="AA406" s="275"/>
      <c r="AB406" s="275"/>
      <c r="AC406" s="275"/>
      <c r="AD406" s="275"/>
      <c r="AE406" s="275"/>
    </row>
    <row r="407" spans="15:31">
      <c r="O407" s="275"/>
      <c r="P407" s="275"/>
      <c r="Q407" s="275"/>
      <c r="R407" s="275"/>
      <c r="S407" s="275"/>
      <c r="T407" s="275"/>
      <c r="U407" s="275"/>
      <c r="V407" s="275"/>
      <c r="W407" s="275"/>
      <c r="X407" s="275"/>
      <c r="Y407" s="275"/>
      <c r="Z407" s="275"/>
      <c r="AA407" s="275"/>
      <c r="AB407" s="275"/>
      <c r="AC407" s="275"/>
      <c r="AD407" s="275"/>
      <c r="AE407" s="275"/>
    </row>
    <row r="408" spans="15:31">
      <c r="O408" s="275"/>
      <c r="P408" s="275"/>
      <c r="Q408" s="275"/>
      <c r="R408" s="275"/>
      <c r="S408" s="275"/>
      <c r="T408" s="275"/>
      <c r="U408" s="275"/>
      <c r="V408" s="275"/>
      <c r="W408" s="275"/>
      <c r="X408" s="275"/>
      <c r="Y408" s="275"/>
      <c r="Z408" s="275"/>
      <c r="AA408" s="275"/>
      <c r="AB408" s="275"/>
      <c r="AC408" s="275"/>
      <c r="AD408" s="275"/>
      <c r="AE408" s="275"/>
    </row>
    <row r="409" spans="15:31">
      <c r="O409" s="275"/>
      <c r="P409" s="275"/>
      <c r="Q409" s="275"/>
      <c r="R409" s="275"/>
      <c r="S409" s="275"/>
      <c r="T409" s="275"/>
      <c r="U409" s="275"/>
      <c r="V409" s="275"/>
      <c r="W409" s="275"/>
      <c r="X409" s="275"/>
      <c r="Y409" s="275"/>
      <c r="Z409" s="275"/>
      <c r="AA409" s="275"/>
      <c r="AB409" s="275"/>
      <c r="AC409" s="275"/>
      <c r="AD409" s="275"/>
      <c r="AE409" s="275"/>
    </row>
    <row r="410" spans="15:31">
      <c r="O410" s="275"/>
      <c r="P410" s="275"/>
      <c r="Q410" s="275"/>
      <c r="R410" s="275"/>
      <c r="S410" s="275"/>
      <c r="T410" s="275"/>
      <c r="U410" s="275"/>
      <c r="V410" s="275"/>
      <c r="W410" s="275"/>
      <c r="X410" s="275"/>
      <c r="Y410" s="275"/>
      <c r="Z410" s="275"/>
      <c r="AA410" s="275"/>
      <c r="AB410" s="275"/>
      <c r="AC410" s="275"/>
      <c r="AD410" s="275"/>
      <c r="AE410" s="275"/>
    </row>
    <row r="411" spans="15:31">
      <c r="O411" s="275"/>
      <c r="P411" s="275"/>
      <c r="Q411" s="275"/>
      <c r="R411" s="275"/>
      <c r="S411" s="275"/>
      <c r="T411" s="275"/>
      <c r="U411" s="275"/>
      <c r="V411" s="275"/>
      <c r="W411" s="275"/>
      <c r="X411" s="275"/>
      <c r="Y411" s="275"/>
      <c r="Z411" s="275"/>
      <c r="AA411" s="275"/>
      <c r="AB411" s="275"/>
      <c r="AC411" s="275"/>
      <c r="AD411" s="275"/>
      <c r="AE411" s="275"/>
    </row>
    <row r="412" spans="15:31">
      <c r="O412" s="275"/>
      <c r="P412" s="275"/>
      <c r="Q412" s="275"/>
      <c r="R412" s="275"/>
      <c r="S412" s="275"/>
      <c r="T412" s="275"/>
      <c r="U412" s="275"/>
      <c r="V412" s="275"/>
      <c r="W412" s="275"/>
      <c r="X412" s="275"/>
      <c r="Y412" s="275"/>
      <c r="Z412" s="275"/>
      <c r="AA412" s="275"/>
      <c r="AB412" s="275"/>
      <c r="AC412" s="275"/>
      <c r="AD412" s="275"/>
      <c r="AE412" s="275"/>
    </row>
    <row r="413" spans="15:31">
      <c r="O413" s="275"/>
      <c r="P413" s="275"/>
      <c r="Q413" s="275"/>
      <c r="R413" s="275"/>
      <c r="S413" s="275"/>
      <c r="T413" s="275"/>
      <c r="U413" s="275"/>
      <c r="V413" s="275"/>
      <c r="W413" s="275"/>
      <c r="X413" s="275"/>
      <c r="Y413" s="275"/>
      <c r="Z413" s="275"/>
      <c r="AA413" s="275"/>
      <c r="AB413" s="275"/>
      <c r="AC413" s="275"/>
      <c r="AD413" s="275"/>
      <c r="AE413" s="275"/>
    </row>
    <row r="414" spans="15:31">
      <c r="O414" s="275"/>
      <c r="P414" s="275"/>
      <c r="Q414" s="275"/>
      <c r="R414" s="275"/>
      <c r="S414" s="275"/>
      <c r="T414" s="275"/>
      <c r="U414" s="275"/>
      <c r="V414" s="275"/>
      <c r="W414" s="275"/>
      <c r="X414" s="275"/>
      <c r="Y414" s="275"/>
      <c r="Z414" s="275"/>
      <c r="AA414" s="275"/>
      <c r="AB414" s="275"/>
      <c r="AC414" s="275"/>
      <c r="AD414" s="275"/>
      <c r="AE414" s="275"/>
    </row>
    <row r="415" spans="15:31">
      <c r="O415" s="275"/>
      <c r="P415" s="275"/>
      <c r="Q415" s="275"/>
      <c r="R415" s="275"/>
      <c r="S415" s="275"/>
      <c r="T415" s="275"/>
      <c r="U415" s="275"/>
      <c r="V415" s="275"/>
      <c r="W415" s="275"/>
      <c r="X415" s="275"/>
      <c r="Y415" s="275"/>
      <c r="Z415" s="275"/>
      <c r="AA415" s="275"/>
      <c r="AB415" s="275"/>
      <c r="AC415" s="275"/>
      <c r="AD415" s="275"/>
      <c r="AE415" s="275"/>
    </row>
    <row r="416" spans="15:31">
      <c r="O416" s="275"/>
      <c r="P416" s="275"/>
      <c r="Q416" s="275"/>
      <c r="R416" s="275"/>
      <c r="S416" s="275"/>
      <c r="T416" s="275"/>
      <c r="U416" s="275"/>
      <c r="V416" s="275"/>
      <c r="W416" s="275"/>
      <c r="X416" s="275"/>
      <c r="Y416" s="275"/>
      <c r="Z416" s="275"/>
      <c r="AA416" s="275"/>
      <c r="AB416" s="275"/>
      <c r="AC416" s="275"/>
      <c r="AD416" s="275"/>
      <c r="AE416" s="275"/>
    </row>
    <row r="417" spans="15:31">
      <c r="O417" s="275"/>
      <c r="P417" s="275"/>
      <c r="Q417" s="275"/>
      <c r="R417" s="275"/>
      <c r="S417" s="275"/>
      <c r="T417" s="275"/>
      <c r="U417" s="275"/>
      <c r="V417" s="275"/>
      <c r="W417" s="275"/>
      <c r="X417" s="275"/>
      <c r="Y417" s="275"/>
      <c r="Z417" s="275"/>
      <c r="AA417" s="275"/>
      <c r="AB417" s="275"/>
      <c r="AC417" s="275"/>
      <c r="AD417" s="275"/>
      <c r="AE417" s="275"/>
    </row>
    <row r="418" spans="15:31">
      <c r="O418" s="275"/>
      <c r="P418" s="275"/>
      <c r="Q418" s="275"/>
      <c r="R418" s="275"/>
      <c r="S418" s="275"/>
      <c r="T418" s="275"/>
      <c r="U418" s="275"/>
      <c r="V418" s="275"/>
      <c r="W418" s="275"/>
      <c r="X418" s="275"/>
      <c r="Y418" s="275"/>
      <c r="Z418" s="275"/>
      <c r="AA418" s="275"/>
      <c r="AB418" s="275"/>
      <c r="AC418" s="275"/>
      <c r="AD418" s="275"/>
      <c r="AE418" s="275"/>
    </row>
    <row r="419" spans="15:31">
      <c r="O419" s="275"/>
      <c r="P419" s="275"/>
      <c r="Q419" s="275"/>
      <c r="R419" s="275"/>
      <c r="S419" s="275"/>
      <c r="T419" s="275"/>
      <c r="U419" s="275"/>
      <c r="V419" s="275"/>
      <c r="W419" s="275"/>
      <c r="X419" s="275"/>
      <c r="Y419" s="275"/>
      <c r="Z419" s="275"/>
      <c r="AA419" s="275"/>
      <c r="AB419" s="275"/>
      <c r="AC419" s="275"/>
      <c r="AD419" s="275"/>
      <c r="AE419" s="275"/>
    </row>
    <row r="420" spans="15:31">
      <c r="O420" s="275"/>
      <c r="P420" s="275"/>
      <c r="Q420" s="275"/>
      <c r="R420" s="275"/>
      <c r="S420" s="275"/>
      <c r="T420" s="275"/>
      <c r="U420" s="275"/>
      <c r="V420" s="275"/>
      <c r="W420" s="275"/>
      <c r="X420" s="275"/>
      <c r="Y420" s="275"/>
      <c r="Z420" s="275"/>
      <c r="AA420" s="275"/>
      <c r="AB420" s="275"/>
      <c r="AC420" s="275"/>
      <c r="AD420" s="275"/>
      <c r="AE420" s="275"/>
    </row>
    <row r="421" spans="15:31">
      <c r="O421" s="275"/>
      <c r="P421" s="275"/>
      <c r="Q421" s="275"/>
      <c r="R421" s="275"/>
      <c r="S421" s="275"/>
      <c r="T421" s="275"/>
      <c r="U421" s="275"/>
      <c r="V421" s="275"/>
      <c r="W421" s="275"/>
      <c r="X421" s="275"/>
      <c r="Y421" s="275"/>
      <c r="Z421" s="275"/>
      <c r="AA421" s="275"/>
      <c r="AB421" s="275"/>
      <c r="AC421" s="275"/>
      <c r="AD421" s="275"/>
      <c r="AE421" s="275"/>
    </row>
    <row r="422" spans="15:31">
      <c r="O422" s="275"/>
      <c r="P422" s="275"/>
      <c r="Q422" s="275"/>
      <c r="R422" s="275"/>
      <c r="S422" s="275"/>
      <c r="T422" s="275"/>
      <c r="U422" s="275"/>
      <c r="V422" s="275"/>
      <c r="W422" s="275"/>
      <c r="X422" s="275"/>
      <c r="Y422" s="275"/>
      <c r="Z422" s="275"/>
      <c r="AA422" s="275"/>
      <c r="AB422" s="275"/>
      <c r="AC422" s="275"/>
      <c r="AD422" s="275"/>
      <c r="AE422" s="275"/>
    </row>
    <row r="423" spans="15:31">
      <c r="O423" s="275"/>
      <c r="P423" s="275"/>
      <c r="Q423" s="275"/>
      <c r="R423" s="275"/>
      <c r="S423" s="275"/>
      <c r="T423" s="275"/>
      <c r="U423" s="275"/>
      <c r="V423" s="275"/>
      <c r="W423" s="275"/>
      <c r="X423" s="275"/>
      <c r="Y423" s="275"/>
      <c r="Z423" s="275"/>
      <c r="AA423" s="275"/>
      <c r="AB423" s="275"/>
      <c r="AC423" s="275"/>
      <c r="AD423" s="275"/>
      <c r="AE423" s="275"/>
    </row>
    <row r="424" spans="15:31">
      <c r="O424" s="275"/>
      <c r="P424" s="275"/>
      <c r="Q424" s="275"/>
      <c r="R424" s="275"/>
      <c r="S424" s="275"/>
      <c r="T424" s="275"/>
      <c r="U424" s="275"/>
      <c r="V424" s="275"/>
      <c r="W424" s="275"/>
      <c r="X424" s="275"/>
      <c r="Y424" s="275"/>
      <c r="Z424" s="275"/>
      <c r="AA424" s="275"/>
      <c r="AB424" s="275"/>
      <c r="AC424" s="275"/>
      <c r="AD424" s="275"/>
      <c r="AE424" s="275"/>
    </row>
    <row r="425" spans="15:31">
      <c r="O425" s="275"/>
      <c r="P425" s="275"/>
      <c r="Q425" s="275"/>
      <c r="R425" s="275"/>
      <c r="S425" s="275"/>
      <c r="T425" s="275"/>
      <c r="U425" s="275"/>
      <c r="V425" s="275"/>
      <c r="W425" s="275"/>
      <c r="X425" s="275"/>
      <c r="Y425" s="275"/>
      <c r="Z425" s="275"/>
      <c r="AA425" s="275"/>
      <c r="AB425" s="275"/>
      <c r="AC425" s="275"/>
      <c r="AD425" s="275"/>
      <c r="AE425" s="275"/>
    </row>
    <row r="426" spans="15:31">
      <c r="O426" s="275"/>
      <c r="P426" s="275"/>
      <c r="Q426" s="275"/>
      <c r="R426" s="275"/>
      <c r="S426" s="275"/>
      <c r="T426" s="275"/>
      <c r="U426" s="275"/>
      <c r="V426" s="275"/>
      <c r="W426" s="275"/>
      <c r="X426" s="275"/>
      <c r="Y426" s="275"/>
      <c r="Z426" s="275"/>
      <c r="AA426" s="275"/>
      <c r="AB426" s="275"/>
      <c r="AC426" s="275"/>
      <c r="AD426" s="275"/>
      <c r="AE426" s="275"/>
    </row>
    <row r="427" spans="15:31">
      <c r="O427" s="275"/>
      <c r="P427" s="275"/>
      <c r="Q427" s="275"/>
      <c r="R427" s="275"/>
      <c r="S427" s="275"/>
      <c r="T427" s="275"/>
      <c r="U427" s="275"/>
      <c r="V427" s="275"/>
      <c r="W427" s="275"/>
      <c r="X427" s="275"/>
      <c r="Y427" s="275"/>
      <c r="Z427" s="275"/>
      <c r="AA427" s="275"/>
      <c r="AB427" s="275"/>
      <c r="AC427" s="275"/>
      <c r="AD427" s="275"/>
      <c r="AE427" s="275"/>
    </row>
    <row r="428" spans="15:31">
      <c r="O428" s="275"/>
      <c r="P428" s="275"/>
      <c r="Q428" s="275"/>
      <c r="R428" s="275"/>
      <c r="S428" s="275"/>
      <c r="T428" s="275"/>
      <c r="U428" s="275"/>
      <c r="V428" s="275"/>
      <c r="W428" s="275"/>
      <c r="X428" s="275"/>
      <c r="Y428" s="275"/>
      <c r="Z428" s="275"/>
      <c r="AA428" s="275"/>
      <c r="AB428" s="275"/>
      <c r="AC428" s="275"/>
      <c r="AD428" s="275"/>
      <c r="AE428" s="275"/>
    </row>
    <row r="429" spans="15:31">
      <c r="O429" s="275"/>
      <c r="P429" s="275"/>
      <c r="Q429" s="275"/>
      <c r="R429" s="275"/>
      <c r="S429" s="275"/>
      <c r="T429" s="275"/>
      <c r="U429" s="275"/>
      <c r="V429" s="275"/>
      <c r="W429" s="275"/>
      <c r="X429" s="275"/>
      <c r="Y429" s="275"/>
      <c r="Z429" s="275"/>
      <c r="AA429" s="275"/>
      <c r="AB429" s="275"/>
      <c r="AC429" s="275"/>
      <c r="AD429" s="275"/>
      <c r="AE429" s="275"/>
    </row>
    <row r="430" spans="15:31">
      <c r="O430" s="275"/>
      <c r="P430" s="275"/>
      <c r="Q430" s="275"/>
      <c r="R430" s="275"/>
      <c r="S430" s="275"/>
      <c r="T430" s="275"/>
      <c r="U430" s="275"/>
      <c r="V430" s="275"/>
      <c r="W430" s="275"/>
      <c r="X430" s="275"/>
      <c r="Y430" s="275"/>
      <c r="Z430" s="275"/>
      <c r="AA430" s="275"/>
      <c r="AB430" s="275"/>
      <c r="AC430" s="275"/>
      <c r="AD430" s="275"/>
      <c r="AE430" s="275"/>
    </row>
    <row r="431" spans="15:31">
      <c r="O431" s="275"/>
      <c r="P431" s="275"/>
      <c r="Q431" s="275"/>
      <c r="R431" s="275"/>
      <c r="S431" s="275"/>
      <c r="T431" s="275"/>
      <c r="U431" s="275"/>
      <c r="V431" s="275"/>
      <c r="W431" s="275"/>
      <c r="X431" s="275"/>
      <c r="Y431" s="275"/>
      <c r="Z431" s="275"/>
      <c r="AA431" s="275"/>
      <c r="AB431" s="275"/>
      <c r="AC431" s="275"/>
      <c r="AD431" s="275"/>
      <c r="AE431" s="275"/>
    </row>
    <row r="432" spans="15:31">
      <c r="O432" s="275"/>
      <c r="P432" s="275"/>
      <c r="Q432" s="275"/>
      <c r="R432" s="275"/>
      <c r="S432" s="275"/>
      <c r="T432" s="275"/>
      <c r="U432" s="275"/>
      <c r="V432" s="275"/>
      <c r="W432" s="275"/>
      <c r="X432" s="275"/>
      <c r="Y432" s="275"/>
      <c r="Z432" s="275"/>
      <c r="AA432" s="275"/>
      <c r="AB432" s="275"/>
      <c r="AC432" s="275"/>
      <c r="AD432" s="275"/>
      <c r="AE432" s="275"/>
    </row>
    <row r="433" spans="15:31">
      <c r="O433" s="275"/>
      <c r="P433" s="275"/>
      <c r="Q433" s="275"/>
      <c r="R433" s="275"/>
      <c r="S433" s="275"/>
      <c r="T433" s="275"/>
      <c r="U433" s="275"/>
      <c r="V433" s="275"/>
      <c r="W433" s="275"/>
      <c r="X433" s="275"/>
      <c r="Y433" s="275"/>
      <c r="Z433" s="275"/>
      <c r="AA433" s="275"/>
      <c r="AB433" s="275"/>
      <c r="AC433" s="275"/>
      <c r="AD433" s="275"/>
      <c r="AE433" s="275"/>
    </row>
    <row r="434" spans="15:31">
      <c r="O434" s="275"/>
      <c r="P434" s="275"/>
      <c r="Q434" s="275"/>
      <c r="R434" s="275"/>
      <c r="S434" s="275"/>
      <c r="T434" s="275"/>
      <c r="U434" s="275"/>
      <c r="V434" s="275"/>
      <c r="W434" s="275"/>
      <c r="X434" s="275"/>
      <c r="Y434" s="275"/>
      <c r="Z434" s="275"/>
      <c r="AA434" s="275"/>
      <c r="AB434" s="275"/>
      <c r="AC434" s="275"/>
      <c r="AD434" s="275"/>
      <c r="AE434" s="275"/>
    </row>
    <row r="435" spans="15:31">
      <c r="O435" s="275"/>
      <c r="P435" s="275"/>
      <c r="Q435" s="275"/>
      <c r="R435" s="275"/>
      <c r="S435" s="275"/>
      <c r="T435" s="275"/>
      <c r="U435" s="275"/>
      <c r="V435" s="275"/>
      <c r="W435" s="275"/>
      <c r="X435" s="275"/>
      <c r="Y435" s="275"/>
      <c r="Z435" s="275"/>
      <c r="AA435" s="275"/>
      <c r="AB435" s="275"/>
      <c r="AC435" s="275"/>
      <c r="AD435" s="275"/>
      <c r="AE435" s="275"/>
    </row>
    <row r="436" spans="15:31">
      <c r="O436" s="275"/>
      <c r="P436" s="275"/>
      <c r="Q436" s="275"/>
      <c r="R436" s="275"/>
      <c r="S436" s="275"/>
      <c r="T436" s="275"/>
      <c r="U436" s="275"/>
      <c r="V436" s="275"/>
      <c r="W436" s="275"/>
      <c r="X436" s="275"/>
      <c r="Y436" s="275"/>
      <c r="Z436" s="275"/>
      <c r="AA436" s="275"/>
      <c r="AB436" s="275"/>
      <c r="AC436" s="275"/>
      <c r="AD436" s="275"/>
      <c r="AE436" s="275"/>
    </row>
    <row r="437" spans="15:31">
      <c r="O437" s="275"/>
      <c r="P437" s="275"/>
      <c r="Q437" s="275"/>
      <c r="R437" s="275"/>
      <c r="S437" s="275"/>
      <c r="T437" s="275"/>
      <c r="U437" s="275"/>
      <c r="V437" s="275"/>
      <c r="W437" s="275"/>
      <c r="X437" s="275"/>
      <c r="Y437" s="275"/>
      <c r="Z437" s="275"/>
      <c r="AA437" s="275"/>
      <c r="AB437" s="275"/>
      <c r="AC437" s="275"/>
      <c r="AD437" s="275"/>
      <c r="AE437" s="275"/>
    </row>
    <row r="438" spans="15:31">
      <c r="O438" s="275"/>
      <c r="P438" s="275"/>
      <c r="Q438" s="275"/>
      <c r="R438" s="275"/>
      <c r="S438" s="275"/>
      <c r="T438" s="275"/>
      <c r="U438" s="275"/>
      <c r="V438" s="275"/>
      <c r="W438" s="275"/>
      <c r="X438" s="275"/>
      <c r="Y438" s="275"/>
      <c r="Z438" s="275"/>
      <c r="AA438" s="275"/>
      <c r="AB438" s="275"/>
      <c r="AC438" s="275"/>
      <c r="AD438" s="275"/>
      <c r="AE438" s="275"/>
    </row>
    <row r="439" spans="15:31">
      <c r="O439" s="275"/>
      <c r="P439" s="275"/>
      <c r="Q439" s="275"/>
      <c r="R439" s="275"/>
      <c r="S439" s="275"/>
      <c r="T439" s="275"/>
      <c r="U439" s="275"/>
      <c r="V439" s="275"/>
      <c r="W439" s="275"/>
      <c r="X439" s="275"/>
      <c r="Y439" s="275"/>
      <c r="Z439" s="275"/>
      <c r="AA439" s="275"/>
      <c r="AB439" s="275"/>
      <c r="AC439" s="275"/>
      <c r="AD439" s="275"/>
      <c r="AE439" s="275"/>
    </row>
    <row r="440" spans="15:31">
      <c r="O440" s="275"/>
      <c r="P440" s="275"/>
      <c r="Q440" s="275"/>
      <c r="R440" s="275"/>
      <c r="S440" s="275"/>
      <c r="T440" s="275"/>
      <c r="U440" s="275"/>
      <c r="V440" s="275"/>
      <c r="W440" s="275"/>
      <c r="X440" s="275"/>
      <c r="Y440" s="275"/>
      <c r="Z440" s="275"/>
      <c r="AA440" s="275"/>
      <c r="AB440" s="275"/>
      <c r="AC440" s="275"/>
      <c r="AD440" s="275"/>
      <c r="AE440" s="275"/>
    </row>
    <row r="441" spans="15:31">
      <c r="O441" s="275"/>
      <c r="P441" s="275"/>
      <c r="Q441" s="275"/>
      <c r="R441" s="275"/>
      <c r="S441" s="275"/>
      <c r="T441" s="275"/>
      <c r="U441" s="275"/>
      <c r="V441" s="275"/>
      <c r="W441" s="275"/>
      <c r="X441" s="275"/>
      <c r="Y441" s="275"/>
      <c r="Z441" s="275"/>
      <c r="AA441" s="275"/>
      <c r="AB441" s="275"/>
      <c r="AC441" s="275"/>
      <c r="AD441" s="275"/>
      <c r="AE441" s="275"/>
    </row>
    <row r="442" spans="15:31">
      <c r="O442" s="275"/>
      <c r="P442" s="275"/>
      <c r="Q442" s="275"/>
      <c r="R442" s="275"/>
      <c r="S442" s="275"/>
      <c r="T442" s="275"/>
      <c r="U442" s="275"/>
      <c r="V442" s="275"/>
      <c r="W442" s="275"/>
      <c r="X442" s="275"/>
      <c r="Y442" s="275"/>
      <c r="Z442" s="275"/>
      <c r="AA442" s="275"/>
      <c r="AB442" s="275"/>
      <c r="AC442" s="275"/>
      <c r="AD442" s="275"/>
      <c r="AE442" s="275"/>
    </row>
    <row r="443" spans="15:31">
      <c r="O443" s="275"/>
      <c r="P443" s="275"/>
      <c r="Q443" s="275"/>
      <c r="R443" s="275"/>
      <c r="S443" s="275"/>
      <c r="T443" s="275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</row>
    <row r="444" spans="15:31">
      <c r="O444" s="275"/>
      <c r="P444" s="275"/>
      <c r="Q444" s="275"/>
      <c r="R444" s="275"/>
      <c r="S444" s="275"/>
      <c r="T444" s="275"/>
      <c r="U444" s="275"/>
      <c r="V444" s="275"/>
      <c r="W444" s="275"/>
      <c r="X444" s="275"/>
      <c r="Y444" s="275"/>
      <c r="Z444" s="275"/>
      <c r="AA444" s="275"/>
      <c r="AB444" s="275"/>
      <c r="AC444" s="275"/>
      <c r="AD444" s="275"/>
      <c r="AE444" s="275"/>
    </row>
    <row r="445" spans="15:31">
      <c r="O445" s="275"/>
      <c r="P445" s="275"/>
      <c r="Q445" s="275"/>
      <c r="R445" s="275"/>
      <c r="S445" s="275"/>
      <c r="T445" s="275"/>
      <c r="U445" s="275"/>
      <c r="V445" s="275"/>
      <c r="W445" s="275"/>
      <c r="X445" s="275"/>
      <c r="Y445" s="275"/>
      <c r="Z445" s="275"/>
      <c r="AA445" s="275"/>
      <c r="AB445" s="275"/>
      <c r="AC445" s="275"/>
      <c r="AD445" s="275"/>
      <c r="AE445" s="275"/>
    </row>
    <row r="446" spans="15:31">
      <c r="O446" s="275"/>
      <c r="P446" s="275"/>
      <c r="Q446" s="275"/>
      <c r="R446" s="275"/>
      <c r="S446" s="275"/>
      <c r="T446" s="275"/>
      <c r="U446" s="275"/>
      <c r="V446" s="275"/>
      <c r="W446" s="275"/>
      <c r="X446" s="275"/>
      <c r="Y446" s="275"/>
      <c r="Z446" s="275"/>
      <c r="AA446" s="275"/>
      <c r="AB446" s="275"/>
      <c r="AC446" s="275"/>
      <c r="AD446" s="275"/>
      <c r="AE446" s="275"/>
    </row>
    <row r="447" spans="15:31">
      <c r="O447" s="275"/>
      <c r="P447" s="275"/>
      <c r="Q447" s="275"/>
      <c r="R447" s="275"/>
      <c r="S447" s="275"/>
      <c r="T447" s="275"/>
      <c r="U447" s="275"/>
      <c r="V447" s="275"/>
      <c r="W447" s="275"/>
      <c r="X447" s="275"/>
      <c r="Y447" s="275"/>
      <c r="Z447" s="275"/>
      <c r="AA447" s="275"/>
      <c r="AB447" s="275"/>
      <c r="AC447" s="275"/>
      <c r="AD447" s="275"/>
      <c r="AE447" s="275"/>
    </row>
    <row r="448" spans="15:31">
      <c r="O448" s="275"/>
      <c r="P448" s="275"/>
      <c r="Q448" s="275"/>
      <c r="R448" s="275"/>
      <c r="S448" s="275"/>
      <c r="T448" s="275"/>
      <c r="U448" s="275"/>
      <c r="V448" s="275"/>
      <c r="W448" s="275"/>
      <c r="X448" s="275"/>
      <c r="Y448" s="275"/>
      <c r="Z448" s="275"/>
      <c r="AA448" s="275"/>
      <c r="AB448" s="275"/>
      <c r="AC448" s="275"/>
      <c r="AD448" s="275"/>
      <c r="AE448" s="275"/>
    </row>
    <row r="449" spans="15:31">
      <c r="O449" s="275"/>
      <c r="P449" s="275"/>
      <c r="Q449" s="275"/>
      <c r="R449" s="275"/>
      <c r="S449" s="275"/>
      <c r="T449" s="275"/>
      <c r="U449" s="275"/>
      <c r="V449" s="275"/>
      <c r="W449" s="275"/>
      <c r="X449" s="275"/>
      <c r="Y449" s="275"/>
      <c r="Z449" s="275"/>
      <c r="AA449" s="275"/>
      <c r="AB449" s="275"/>
      <c r="AC449" s="275"/>
      <c r="AD449" s="275"/>
      <c r="AE449" s="275"/>
    </row>
    <row r="450" spans="15:31">
      <c r="O450" s="275"/>
      <c r="P450" s="275"/>
      <c r="Q450" s="275"/>
      <c r="R450" s="275"/>
      <c r="S450" s="275"/>
      <c r="T450" s="275"/>
      <c r="U450" s="275"/>
      <c r="V450" s="275"/>
      <c r="W450" s="275"/>
      <c r="X450" s="275"/>
      <c r="Y450" s="275"/>
      <c r="Z450" s="275"/>
      <c r="AA450" s="275"/>
      <c r="AB450" s="275"/>
      <c r="AC450" s="275"/>
      <c r="AD450" s="275"/>
      <c r="AE450" s="275"/>
    </row>
    <row r="451" spans="15:31">
      <c r="O451" s="275"/>
      <c r="P451" s="275"/>
      <c r="Q451" s="275"/>
      <c r="R451" s="275"/>
      <c r="S451" s="275"/>
      <c r="T451" s="275"/>
      <c r="U451" s="275"/>
      <c r="V451" s="275"/>
      <c r="W451" s="275"/>
      <c r="X451" s="275"/>
      <c r="Y451" s="275"/>
      <c r="Z451" s="275"/>
      <c r="AA451" s="275"/>
      <c r="AB451" s="275"/>
      <c r="AC451" s="275"/>
      <c r="AD451" s="275"/>
      <c r="AE451" s="275"/>
    </row>
    <row r="452" spans="15:31">
      <c r="O452" s="275"/>
      <c r="P452" s="275"/>
      <c r="Q452" s="275"/>
      <c r="R452" s="275"/>
      <c r="S452" s="275"/>
      <c r="T452" s="275"/>
      <c r="U452" s="275"/>
      <c r="V452" s="275"/>
      <c r="W452" s="275"/>
      <c r="X452" s="275"/>
      <c r="Y452" s="275"/>
      <c r="Z452" s="275"/>
      <c r="AA452" s="275"/>
      <c r="AB452" s="275"/>
      <c r="AC452" s="275"/>
      <c r="AD452" s="275"/>
      <c r="AE452" s="275"/>
    </row>
    <row r="453" spans="15:31">
      <c r="O453" s="275"/>
      <c r="P453" s="275"/>
      <c r="Q453" s="275"/>
      <c r="R453" s="275"/>
      <c r="S453" s="275"/>
      <c r="T453" s="275"/>
      <c r="U453" s="275"/>
      <c r="V453" s="275"/>
      <c r="W453" s="275"/>
      <c r="X453" s="275"/>
      <c r="Y453" s="275"/>
      <c r="Z453" s="275"/>
      <c r="AA453" s="275"/>
      <c r="AB453" s="275"/>
      <c r="AC453" s="275"/>
      <c r="AD453" s="275"/>
      <c r="AE453" s="275"/>
    </row>
    <row r="454" spans="15:31">
      <c r="O454" s="275"/>
      <c r="P454" s="275"/>
      <c r="Q454" s="275"/>
      <c r="R454" s="275"/>
      <c r="S454" s="275"/>
      <c r="T454" s="275"/>
      <c r="U454" s="275"/>
      <c r="V454" s="275"/>
      <c r="W454" s="275"/>
      <c r="X454" s="275"/>
      <c r="Y454" s="275"/>
      <c r="Z454" s="275"/>
      <c r="AA454" s="275"/>
      <c r="AB454" s="275"/>
      <c r="AC454" s="275"/>
      <c r="AD454" s="275"/>
      <c r="AE454" s="275"/>
    </row>
    <row r="455" spans="15:31">
      <c r="O455" s="275"/>
      <c r="P455" s="275"/>
      <c r="Q455" s="275"/>
      <c r="R455" s="275"/>
      <c r="S455" s="275"/>
      <c r="T455" s="275"/>
      <c r="U455" s="275"/>
      <c r="V455" s="275"/>
      <c r="W455" s="275"/>
      <c r="X455" s="275"/>
      <c r="Y455" s="275"/>
      <c r="Z455" s="275"/>
      <c r="AA455" s="275"/>
      <c r="AB455" s="275"/>
      <c r="AC455" s="275"/>
      <c r="AD455" s="275"/>
      <c r="AE455" s="275"/>
    </row>
    <row r="456" spans="15:31">
      <c r="O456" s="275"/>
      <c r="P456" s="275"/>
      <c r="Q456" s="275"/>
      <c r="R456" s="275"/>
      <c r="S456" s="275"/>
      <c r="T456" s="275"/>
      <c r="U456" s="275"/>
      <c r="V456" s="275"/>
      <c r="W456" s="275"/>
      <c r="X456" s="275"/>
      <c r="Y456" s="275"/>
      <c r="Z456" s="275"/>
      <c r="AA456" s="275"/>
      <c r="AB456" s="275"/>
      <c r="AC456" s="275"/>
      <c r="AD456" s="275"/>
      <c r="AE456" s="275"/>
    </row>
    <row r="457" spans="15:31">
      <c r="O457" s="275"/>
      <c r="P457" s="275"/>
      <c r="Q457" s="275"/>
      <c r="R457" s="275"/>
      <c r="S457" s="275"/>
      <c r="T457" s="275"/>
      <c r="U457" s="275"/>
      <c r="V457" s="275"/>
      <c r="W457" s="275"/>
      <c r="X457" s="275"/>
      <c r="Y457" s="275"/>
      <c r="Z457" s="275"/>
      <c r="AA457" s="275"/>
      <c r="AB457" s="275"/>
      <c r="AC457" s="275"/>
      <c r="AD457" s="275"/>
      <c r="AE457" s="275"/>
    </row>
    <row r="458" spans="15:31">
      <c r="O458" s="275"/>
      <c r="P458" s="275"/>
      <c r="Q458" s="275"/>
      <c r="R458" s="275"/>
      <c r="S458" s="275"/>
      <c r="T458" s="275"/>
      <c r="U458" s="275"/>
      <c r="V458" s="275"/>
      <c r="W458" s="275"/>
      <c r="X458" s="275"/>
      <c r="Y458" s="275"/>
      <c r="Z458" s="275"/>
      <c r="AA458" s="275"/>
      <c r="AB458" s="275"/>
      <c r="AC458" s="275"/>
      <c r="AD458" s="275"/>
      <c r="AE458" s="275"/>
    </row>
    <row r="459" spans="15:31">
      <c r="O459" s="275"/>
      <c r="P459" s="275"/>
      <c r="Q459" s="275"/>
      <c r="R459" s="275"/>
      <c r="S459" s="275"/>
      <c r="T459" s="275"/>
      <c r="U459" s="275"/>
      <c r="V459" s="275"/>
      <c r="W459" s="275"/>
      <c r="X459" s="275"/>
      <c r="Y459" s="275"/>
      <c r="Z459" s="275"/>
      <c r="AA459" s="275"/>
      <c r="AB459" s="275"/>
      <c r="AC459" s="275"/>
      <c r="AD459" s="275"/>
      <c r="AE459" s="275"/>
    </row>
    <row r="460" spans="15:31">
      <c r="O460" s="275"/>
      <c r="P460" s="275"/>
      <c r="Q460" s="275"/>
      <c r="R460" s="275"/>
      <c r="S460" s="275"/>
      <c r="T460" s="275"/>
      <c r="U460" s="275"/>
      <c r="V460" s="275"/>
      <c r="W460" s="275"/>
      <c r="X460" s="275"/>
      <c r="Y460" s="275"/>
      <c r="Z460" s="275"/>
      <c r="AA460" s="275"/>
      <c r="AB460" s="275"/>
      <c r="AC460" s="275"/>
      <c r="AD460" s="275"/>
      <c r="AE460" s="275"/>
    </row>
    <row r="461" spans="15:31">
      <c r="O461" s="275"/>
      <c r="P461" s="275"/>
      <c r="Q461" s="275"/>
      <c r="R461" s="275"/>
      <c r="S461" s="275"/>
      <c r="T461" s="275"/>
      <c r="U461" s="275"/>
      <c r="V461" s="275"/>
      <c r="W461" s="275"/>
      <c r="X461" s="275"/>
      <c r="Y461" s="275"/>
      <c r="Z461" s="275"/>
      <c r="AA461" s="275"/>
      <c r="AB461" s="275"/>
      <c r="AC461" s="275"/>
      <c r="AD461" s="275"/>
      <c r="AE461" s="275"/>
    </row>
    <row r="462" spans="15:31">
      <c r="O462" s="275"/>
      <c r="P462" s="275"/>
      <c r="Q462" s="275"/>
      <c r="R462" s="275"/>
      <c r="S462" s="275"/>
      <c r="T462" s="275"/>
      <c r="U462" s="275"/>
      <c r="V462" s="275"/>
      <c r="W462" s="275"/>
      <c r="X462" s="275"/>
      <c r="Y462" s="275"/>
      <c r="Z462" s="275"/>
      <c r="AA462" s="275"/>
      <c r="AB462" s="275"/>
      <c r="AC462" s="275"/>
      <c r="AD462" s="275"/>
      <c r="AE462" s="275"/>
    </row>
    <row r="463" spans="15:31">
      <c r="O463" s="275"/>
      <c r="P463" s="275"/>
      <c r="Q463" s="275"/>
      <c r="R463" s="275"/>
      <c r="S463" s="275"/>
      <c r="T463" s="275"/>
      <c r="U463" s="275"/>
      <c r="V463" s="275"/>
      <c r="W463" s="275"/>
      <c r="X463" s="275"/>
      <c r="Y463" s="275"/>
      <c r="Z463" s="275"/>
      <c r="AA463" s="275"/>
      <c r="AB463" s="275"/>
      <c r="AC463" s="275"/>
      <c r="AD463" s="275"/>
      <c r="AE463" s="275"/>
    </row>
    <row r="464" spans="15:31">
      <c r="O464" s="275"/>
      <c r="P464" s="275"/>
      <c r="Q464" s="275"/>
      <c r="R464" s="275"/>
      <c r="S464" s="275"/>
      <c r="T464" s="275"/>
      <c r="U464" s="275"/>
      <c r="V464" s="275"/>
      <c r="W464" s="275"/>
      <c r="X464" s="275"/>
      <c r="Y464" s="275"/>
      <c r="Z464" s="275"/>
      <c r="AA464" s="275"/>
      <c r="AB464" s="275"/>
      <c r="AC464" s="275"/>
      <c r="AD464" s="275"/>
      <c r="AE464" s="275"/>
    </row>
    <row r="465" spans="15:31">
      <c r="O465" s="275"/>
      <c r="P465" s="275"/>
      <c r="Q465" s="275"/>
      <c r="R465" s="275"/>
      <c r="S465" s="275"/>
      <c r="T465" s="275"/>
      <c r="U465" s="275"/>
      <c r="V465" s="275"/>
      <c r="W465" s="275"/>
      <c r="X465" s="275"/>
      <c r="Y465" s="275"/>
      <c r="Z465" s="275"/>
      <c r="AA465" s="275"/>
      <c r="AB465" s="275"/>
      <c r="AC465" s="275"/>
      <c r="AD465" s="275"/>
      <c r="AE465" s="275"/>
    </row>
    <row r="466" spans="15:31">
      <c r="O466" s="275"/>
      <c r="P466" s="275"/>
      <c r="Q466" s="275"/>
      <c r="R466" s="275"/>
      <c r="S466" s="275"/>
      <c r="T466" s="275"/>
      <c r="U466" s="275"/>
      <c r="V466" s="275"/>
      <c r="W466" s="275"/>
      <c r="X466" s="275"/>
      <c r="Y466" s="275"/>
      <c r="Z466" s="275"/>
      <c r="AA466" s="275"/>
      <c r="AB466" s="275"/>
      <c r="AC466" s="275"/>
      <c r="AD466" s="275"/>
      <c r="AE466" s="275"/>
    </row>
    <row r="467" spans="15:31">
      <c r="O467" s="275"/>
      <c r="P467" s="275"/>
      <c r="Q467" s="275"/>
      <c r="R467" s="275"/>
      <c r="S467" s="275"/>
      <c r="T467" s="275"/>
      <c r="U467" s="275"/>
      <c r="V467" s="275"/>
      <c r="W467" s="275"/>
      <c r="X467" s="275"/>
      <c r="Y467" s="275"/>
      <c r="Z467" s="275"/>
      <c r="AA467" s="275"/>
      <c r="AB467" s="275"/>
      <c r="AC467" s="275"/>
      <c r="AD467" s="275"/>
      <c r="AE467" s="275"/>
    </row>
    <row r="468" spans="15:31">
      <c r="O468" s="275"/>
      <c r="P468" s="275"/>
      <c r="Q468" s="275"/>
      <c r="R468" s="275"/>
      <c r="S468" s="275"/>
      <c r="T468" s="275"/>
      <c r="U468" s="275"/>
      <c r="V468" s="275"/>
      <c r="W468" s="275"/>
      <c r="X468" s="275"/>
      <c r="Y468" s="275"/>
      <c r="Z468" s="275"/>
      <c r="AA468" s="275"/>
      <c r="AB468" s="275"/>
      <c r="AC468" s="275"/>
      <c r="AD468" s="275"/>
      <c r="AE468" s="275"/>
    </row>
    <row r="469" spans="15:31">
      <c r="O469" s="275"/>
      <c r="P469" s="275"/>
      <c r="Q469" s="275"/>
      <c r="R469" s="275"/>
      <c r="S469" s="275"/>
      <c r="T469" s="275"/>
      <c r="U469" s="275"/>
      <c r="V469" s="275"/>
      <c r="W469" s="275"/>
      <c r="X469" s="275"/>
      <c r="Y469" s="275"/>
      <c r="Z469" s="275"/>
      <c r="AA469" s="275"/>
      <c r="AB469" s="275"/>
      <c r="AC469" s="275"/>
      <c r="AD469" s="275"/>
      <c r="AE469" s="275"/>
    </row>
    <row r="470" spans="15:31">
      <c r="O470" s="275"/>
      <c r="P470" s="275"/>
      <c r="Q470" s="275"/>
      <c r="R470" s="275"/>
      <c r="S470" s="275"/>
      <c r="T470" s="275"/>
      <c r="U470" s="275"/>
      <c r="V470" s="275"/>
      <c r="W470" s="275"/>
      <c r="X470" s="275"/>
      <c r="Y470" s="275"/>
      <c r="Z470" s="275"/>
      <c r="AA470" s="275"/>
      <c r="AB470" s="275"/>
      <c r="AC470" s="275"/>
      <c r="AD470" s="275"/>
      <c r="AE470" s="275"/>
    </row>
    <row r="471" spans="15:31">
      <c r="O471" s="275"/>
      <c r="P471" s="275"/>
      <c r="Q471" s="275"/>
      <c r="R471" s="275"/>
      <c r="S471" s="275"/>
      <c r="T471" s="275"/>
      <c r="U471" s="275"/>
      <c r="V471" s="275"/>
      <c r="W471" s="275"/>
      <c r="X471" s="275"/>
      <c r="Y471" s="275"/>
      <c r="Z471" s="275"/>
      <c r="AA471" s="275"/>
      <c r="AB471" s="275"/>
      <c r="AC471" s="275"/>
      <c r="AD471" s="275"/>
      <c r="AE471" s="275"/>
    </row>
    <row r="472" spans="15:31">
      <c r="O472" s="275"/>
      <c r="P472" s="275"/>
      <c r="Q472" s="275"/>
      <c r="R472" s="275"/>
      <c r="S472" s="275"/>
      <c r="T472" s="275"/>
      <c r="U472" s="275"/>
      <c r="V472" s="275"/>
      <c r="W472" s="275"/>
      <c r="X472" s="275"/>
      <c r="Y472" s="275"/>
      <c r="Z472" s="275"/>
      <c r="AA472" s="275"/>
      <c r="AB472" s="275"/>
      <c r="AC472" s="275"/>
      <c r="AD472" s="275"/>
      <c r="AE472" s="275"/>
    </row>
    <row r="473" spans="15:31">
      <c r="O473" s="275"/>
      <c r="P473" s="275"/>
      <c r="Q473" s="275"/>
      <c r="R473" s="275"/>
      <c r="S473" s="275"/>
      <c r="T473" s="275"/>
      <c r="U473" s="275"/>
      <c r="V473" s="275"/>
      <c r="W473" s="275"/>
      <c r="X473" s="275"/>
      <c r="Y473" s="275"/>
      <c r="Z473" s="275"/>
      <c r="AA473" s="275"/>
      <c r="AB473" s="275"/>
      <c r="AC473" s="275"/>
      <c r="AD473" s="275"/>
      <c r="AE473" s="275"/>
    </row>
    <row r="474" spans="15:31">
      <c r="O474" s="275"/>
      <c r="P474" s="275"/>
      <c r="Q474" s="275"/>
      <c r="R474" s="275"/>
      <c r="S474" s="275"/>
      <c r="T474" s="275"/>
      <c r="U474" s="275"/>
      <c r="V474" s="275"/>
      <c r="W474" s="275"/>
      <c r="X474" s="275"/>
      <c r="Y474" s="275"/>
      <c r="Z474" s="275"/>
      <c r="AA474" s="275"/>
      <c r="AB474" s="275"/>
      <c r="AC474" s="275"/>
      <c r="AD474" s="275"/>
      <c r="AE474" s="275"/>
    </row>
    <row r="475" spans="15:31">
      <c r="O475" s="275"/>
      <c r="P475" s="275"/>
      <c r="Q475" s="275"/>
      <c r="R475" s="275"/>
      <c r="S475" s="275"/>
      <c r="T475" s="275"/>
      <c r="U475" s="275"/>
      <c r="V475" s="275"/>
      <c r="W475" s="275"/>
      <c r="X475" s="275"/>
      <c r="Y475" s="275"/>
      <c r="Z475" s="275"/>
      <c r="AA475" s="275"/>
      <c r="AB475" s="275"/>
      <c r="AC475" s="275"/>
      <c r="AD475" s="275"/>
      <c r="AE475" s="275"/>
    </row>
    <row r="476" spans="15:31">
      <c r="O476" s="275"/>
      <c r="P476" s="275"/>
      <c r="Q476" s="275"/>
      <c r="R476" s="275"/>
      <c r="S476" s="275"/>
      <c r="T476" s="275"/>
      <c r="U476" s="275"/>
      <c r="V476" s="275"/>
      <c r="W476" s="275"/>
      <c r="X476" s="275"/>
      <c r="Y476" s="275"/>
      <c r="Z476" s="275"/>
      <c r="AA476" s="275"/>
      <c r="AB476" s="275"/>
      <c r="AC476" s="275"/>
      <c r="AD476" s="275"/>
      <c r="AE476" s="275"/>
    </row>
    <row r="477" spans="15:31">
      <c r="O477" s="275"/>
      <c r="P477" s="275"/>
      <c r="Q477" s="275"/>
      <c r="R477" s="275"/>
      <c r="S477" s="275"/>
      <c r="T477" s="275"/>
      <c r="U477" s="275"/>
      <c r="V477" s="275"/>
      <c r="W477" s="275"/>
      <c r="X477" s="275"/>
      <c r="Y477" s="275"/>
      <c r="Z477" s="275"/>
      <c r="AA477" s="275"/>
      <c r="AB477" s="275"/>
      <c r="AC477" s="275"/>
      <c r="AD477" s="275"/>
      <c r="AE477" s="275"/>
    </row>
    <row r="478" spans="15:31">
      <c r="O478" s="275"/>
      <c r="P478" s="275"/>
      <c r="Q478" s="275"/>
      <c r="R478" s="275"/>
      <c r="S478" s="275"/>
      <c r="T478" s="275"/>
      <c r="U478" s="275"/>
      <c r="V478" s="275"/>
      <c r="W478" s="275"/>
      <c r="X478" s="275"/>
      <c r="Y478" s="275"/>
      <c r="Z478" s="275"/>
      <c r="AA478" s="275"/>
      <c r="AB478" s="275"/>
      <c r="AC478" s="275"/>
      <c r="AD478" s="275"/>
      <c r="AE478" s="275"/>
    </row>
    <row r="479" spans="15:31">
      <c r="O479" s="275"/>
      <c r="P479" s="275"/>
      <c r="Q479" s="275"/>
      <c r="R479" s="275"/>
      <c r="S479" s="275"/>
      <c r="T479" s="275"/>
      <c r="U479" s="275"/>
      <c r="V479" s="275"/>
      <c r="W479" s="275"/>
      <c r="X479" s="275"/>
      <c r="Y479" s="275"/>
      <c r="Z479" s="275"/>
      <c r="AA479" s="275"/>
      <c r="AB479" s="275"/>
      <c r="AC479" s="275"/>
      <c r="AD479" s="275"/>
      <c r="AE479" s="275"/>
    </row>
    <row r="480" spans="15:31">
      <c r="O480" s="275"/>
      <c r="P480" s="275"/>
      <c r="Q480" s="275"/>
      <c r="R480" s="275"/>
      <c r="S480" s="275"/>
      <c r="T480" s="275"/>
      <c r="U480" s="275"/>
      <c r="V480" s="275"/>
      <c r="W480" s="275"/>
      <c r="X480" s="275"/>
      <c r="Y480" s="275"/>
      <c r="Z480" s="275"/>
      <c r="AA480" s="275"/>
      <c r="AB480" s="275"/>
      <c r="AC480" s="275"/>
      <c r="AD480" s="275"/>
      <c r="AE480" s="275"/>
    </row>
    <row r="481" spans="15:31">
      <c r="O481" s="275"/>
      <c r="P481" s="275"/>
      <c r="Q481" s="275"/>
      <c r="R481" s="275"/>
      <c r="S481" s="275"/>
      <c r="T481" s="275"/>
      <c r="U481" s="275"/>
      <c r="V481" s="275"/>
      <c r="W481" s="275"/>
      <c r="X481" s="275"/>
      <c r="Y481" s="275"/>
      <c r="Z481" s="275"/>
      <c r="AA481" s="275"/>
      <c r="AB481" s="275"/>
      <c r="AC481" s="275"/>
      <c r="AD481" s="275"/>
      <c r="AE481" s="275"/>
    </row>
    <row r="482" spans="15:31">
      <c r="O482" s="275"/>
      <c r="P482" s="275"/>
      <c r="Q482" s="275"/>
      <c r="R482" s="275"/>
      <c r="S482" s="275"/>
      <c r="T482" s="275"/>
      <c r="U482" s="275"/>
      <c r="V482" s="275"/>
      <c r="W482" s="275"/>
      <c r="X482" s="275"/>
      <c r="Y482" s="275"/>
      <c r="Z482" s="275"/>
      <c r="AA482" s="275"/>
      <c r="AB482" s="275"/>
      <c r="AC482" s="275"/>
      <c r="AD482" s="275"/>
      <c r="AE482" s="275"/>
    </row>
    <row r="483" spans="15:31">
      <c r="O483" s="275"/>
      <c r="P483" s="275"/>
      <c r="Q483" s="275"/>
      <c r="R483" s="275"/>
      <c r="S483" s="275"/>
      <c r="T483" s="275"/>
      <c r="U483" s="275"/>
      <c r="V483" s="275"/>
      <c r="W483" s="275"/>
      <c r="X483" s="275"/>
      <c r="Y483" s="275"/>
      <c r="Z483" s="275"/>
      <c r="AA483" s="275"/>
      <c r="AB483" s="275"/>
      <c r="AC483" s="275"/>
      <c r="AD483" s="275"/>
      <c r="AE483" s="275"/>
    </row>
    <row r="484" spans="15:31">
      <c r="O484" s="275"/>
      <c r="P484" s="275"/>
      <c r="Q484" s="275"/>
      <c r="R484" s="275"/>
      <c r="S484" s="275"/>
      <c r="T484" s="275"/>
      <c r="U484" s="275"/>
      <c r="V484" s="275"/>
      <c r="W484" s="275"/>
      <c r="X484" s="275"/>
      <c r="Y484" s="275"/>
      <c r="Z484" s="275"/>
      <c r="AA484" s="275"/>
      <c r="AB484" s="275"/>
      <c r="AC484" s="275"/>
      <c r="AD484" s="275"/>
      <c r="AE484" s="275"/>
    </row>
    <row r="485" spans="15:31">
      <c r="O485" s="275"/>
      <c r="P485" s="275"/>
      <c r="Q485" s="275"/>
      <c r="R485" s="275"/>
      <c r="S485" s="275"/>
      <c r="T485" s="275"/>
      <c r="U485" s="275"/>
      <c r="V485" s="275"/>
      <c r="W485" s="275"/>
      <c r="X485" s="275"/>
      <c r="Y485" s="275"/>
      <c r="Z485" s="275"/>
      <c r="AA485" s="275"/>
      <c r="AB485" s="275"/>
      <c r="AC485" s="275"/>
      <c r="AD485" s="275"/>
      <c r="AE485" s="275"/>
    </row>
    <row r="486" spans="15:31">
      <c r="O486" s="275"/>
      <c r="P486" s="275"/>
      <c r="Q486" s="275"/>
      <c r="R486" s="275"/>
      <c r="S486" s="275"/>
      <c r="T486" s="275"/>
      <c r="U486" s="275"/>
      <c r="V486" s="275"/>
      <c r="W486" s="275"/>
      <c r="X486" s="275"/>
      <c r="Y486" s="275"/>
      <c r="Z486" s="275"/>
      <c r="AA486" s="275"/>
      <c r="AB486" s="275"/>
      <c r="AC486" s="275"/>
      <c r="AD486" s="275"/>
      <c r="AE486" s="275"/>
    </row>
    <row r="487" spans="15:31">
      <c r="O487" s="275"/>
      <c r="P487" s="275"/>
      <c r="Q487" s="275"/>
      <c r="R487" s="275"/>
      <c r="S487" s="275"/>
      <c r="T487" s="275"/>
      <c r="U487" s="275"/>
      <c r="V487" s="275"/>
      <c r="W487" s="275"/>
      <c r="X487" s="275"/>
      <c r="Y487" s="275"/>
      <c r="Z487" s="275"/>
      <c r="AA487" s="275"/>
      <c r="AB487" s="275"/>
      <c r="AC487" s="275"/>
      <c r="AD487" s="275"/>
      <c r="AE487" s="275"/>
    </row>
    <row r="488" spans="15:31">
      <c r="O488" s="275"/>
      <c r="P488" s="275"/>
      <c r="Q488" s="275"/>
      <c r="R488" s="275"/>
      <c r="S488" s="275"/>
      <c r="T488" s="275"/>
      <c r="U488" s="275"/>
      <c r="V488" s="275"/>
      <c r="W488" s="275"/>
      <c r="X488" s="275"/>
      <c r="Y488" s="275"/>
      <c r="Z488" s="275"/>
      <c r="AA488" s="275"/>
      <c r="AB488" s="275"/>
      <c r="AC488" s="275"/>
      <c r="AD488" s="275"/>
      <c r="AE488" s="275"/>
    </row>
    <row r="489" spans="15:31">
      <c r="O489" s="275"/>
      <c r="P489" s="275"/>
      <c r="Q489" s="275"/>
      <c r="R489" s="275"/>
      <c r="S489" s="275"/>
      <c r="T489" s="275"/>
      <c r="U489" s="275"/>
      <c r="V489" s="275"/>
      <c r="W489" s="275"/>
      <c r="X489" s="275"/>
      <c r="Y489" s="275"/>
      <c r="Z489" s="275"/>
      <c r="AA489" s="275"/>
      <c r="AB489" s="275"/>
      <c r="AC489" s="275"/>
      <c r="AD489" s="275"/>
      <c r="AE489" s="275"/>
    </row>
    <row r="490" spans="15:31">
      <c r="O490" s="275"/>
      <c r="P490" s="275"/>
      <c r="Q490" s="275"/>
      <c r="R490" s="275"/>
      <c r="S490" s="275"/>
      <c r="T490" s="275"/>
      <c r="U490" s="275"/>
      <c r="V490" s="275"/>
      <c r="W490" s="275"/>
      <c r="X490" s="275"/>
      <c r="Y490" s="275"/>
      <c r="Z490" s="275"/>
      <c r="AA490" s="275"/>
      <c r="AB490" s="275"/>
      <c r="AC490" s="275"/>
      <c r="AD490" s="275"/>
      <c r="AE490" s="275"/>
    </row>
    <row r="491" spans="15:31">
      <c r="O491" s="275"/>
      <c r="P491" s="275"/>
      <c r="Q491" s="275"/>
      <c r="R491" s="275"/>
      <c r="S491" s="275"/>
      <c r="T491" s="275"/>
      <c r="U491" s="275"/>
      <c r="V491" s="275"/>
      <c r="W491" s="275"/>
      <c r="X491" s="275"/>
      <c r="Y491" s="275"/>
      <c r="Z491" s="275"/>
      <c r="AA491" s="275"/>
      <c r="AB491" s="275"/>
      <c r="AC491" s="275"/>
      <c r="AD491" s="275"/>
      <c r="AE491" s="275"/>
    </row>
    <row r="492" spans="15:31">
      <c r="O492" s="275"/>
      <c r="P492" s="275"/>
      <c r="Q492" s="275"/>
      <c r="R492" s="275"/>
      <c r="S492" s="275"/>
      <c r="T492" s="275"/>
      <c r="U492" s="275"/>
      <c r="V492" s="275"/>
      <c r="W492" s="275"/>
      <c r="X492" s="275"/>
      <c r="Y492" s="275"/>
      <c r="Z492" s="275"/>
      <c r="AA492" s="275"/>
      <c r="AB492" s="275"/>
      <c r="AC492" s="275"/>
      <c r="AD492" s="275"/>
      <c r="AE492" s="275"/>
    </row>
    <row r="493" spans="15:31">
      <c r="O493" s="275"/>
      <c r="P493" s="275"/>
      <c r="Q493" s="275"/>
      <c r="R493" s="275"/>
      <c r="S493" s="275"/>
      <c r="T493" s="275"/>
      <c r="U493" s="275"/>
      <c r="V493" s="275"/>
      <c r="W493" s="275"/>
      <c r="X493" s="275"/>
      <c r="Y493" s="275"/>
      <c r="Z493" s="275"/>
      <c r="AA493" s="275"/>
      <c r="AB493" s="275"/>
      <c r="AC493" s="275"/>
      <c r="AD493" s="275"/>
      <c r="AE493" s="275"/>
    </row>
    <row r="494" spans="15:31">
      <c r="O494" s="275"/>
      <c r="P494" s="275"/>
      <c r="Q494" s="275"/>
      <c r="R494" s="275"/>
      <c r="S494" s="275"/>
      <c r="T494" s="275"/>
      <c r="U494" s="275"/>
      <c r="V494" s="275"/>
      <c r="W494" s="275"/>
      <c r="X494" s="275"/>
      <c r="Y494" s="275"/>
      <c r="Z494" s="275"/>
      <c r="AA494" s="275"/>
      <c r="AB494" s="275"/>
      <c r="AC494" s="275"/>
      <c r="AD494" s="275"/>
      <c r="AE494" s="275"/>
    </row>
    <row r="495" spans="15:31">
      <c r="O495" s="275"/>
      <c r="P495" s="275"/>
      <c r="Q495" s="275"/>
      <c r="R495" s="275"/>
      <c r="S495" s="275"/>
      <c r="T495" s="275"/>
      <c r="U495" s="275"/>
      <c r="V495" s="275"/>
      <c r="W495" s="275"/>
      <c r="X495" s="275"/>
      <c r="Y495" s="275"/>
      <c r="Z495" s="275"/>
      <c r="AA495" s="275"/>
      <c r="AB495" s="275"/>
      <c r="AC495" s="275"/>
      <c r="AD495" s="275"/>
      <c r="AE495" s="275"/>
    </row>
    <row r="496" spans="15:31">
      <c r="O496" s="275"/>
      <c r="P496" s="275"/>
      <c r="Q496" s="275"/>
      <c r="R496" s="275"/>
      <c r="S496" s="275"/>
      <c r="T496" s="275"/>
      <c r="U496" s="275"/>
      <c r="V496" s="275"/>
      <c r="W496" s="275"/>
      <c r="X496" s="275"/>
      <c r="Y496" s="275"/>
      <c r="Z496" s="275"/>
      <c r="AA496" s="275"/>
      <c r="AB496" s="275"/>
      <c r="AC496" s="275"/>
      <c r="AD496" s="275"/>
      <c r="AE496" s="275"/>
    </row>
    <row r="497" spans="15:31">
      <c r="O497" s="275"/>
      <c r="P497" s="275"/>
      <c r="Q497" s="275"/>
      <c r="R497" s="275"/>
      <c r="S497" s="275"/>
      <c r="T497" s="275"/>
      <c r="U497" s="275"/>
      <c r="V497" s="275"/>
      <c r="W497" s="275"/>
      <c r="X497" s="275"/>
      <c r="Y497" s="275"/>
      <c r="Z497" s="275"/>
      <c r="AA497" s="275"/>
      <c r="AB497" s="275"/>
      <c r="AC497" s="275"/>
      <c r="AD497" s="275"/>
      <c r="AE497" s="275"/>
    </row>
    <row r="498" spans="15:31">
      <c r="O498" s="275"/>
      <c r="P498" s="275"/>
      <c r="Q498" s="275"/>
      <c r="R498" s="275"/>
      <c r="S498" s="275"/>
      <c r="T498" s="275"/>
      <c r="U498" s="275"/>
      <c r="V498" s="275"/>
      <c r="W498" s="275"/>
      <c r="X498" s="275"/>
      <c r="Y498" s="275"/>
      <c r="Z498" s="275"/>
      <c r="AA498" s="275"/>
      <c r="AB498" s="275"/>
      <c r="AC498" s="275"/>
      <c r="AD498" s="275"/>
      <c r="AE498" s="275"/>
    </row>
    <row r="499" spans="15:31">
      <c r="O499" s="275"/>
      <c r="P499" s="275"/>
      <c r="Q499" s="275"/>
      <c r="R499" s="275"/>
      <c r="S499" s="275"/>
      <c r="T499" s="275"/>
      <c r="U499" s="275"/>
      <c r="V499" s="275"/>
      <c r="W499" s="275"/>
      <c r="X499" s="275"/>
      <c r="Y499" s="275"/>
      <c r="Z499" s="275"/>
      <c r="AA499" s="275"/>
      <c r="AB499" s="275"/>
      <c r="AC499" s="275"/>
      <c r="AD499" s="275"/>
      <c r="AE499" s="275"/>
    </row>
    <row r="500" spans="15:31">
      <c r="O500" s="275"/>
      <c r="P500" s="275"/>
      <c r="Q500" s="275"/>
      <c r="R500" s="275"/>
      <c r="S500" s="275"/>
      <c r="T500" s="275"/>
      <c r="U500" s="275"/>
      <c r="V500" s="275"/>
      <c r="W500" s="275"/>
      <c r="X500" s="275"/>
      <c r="Y500" s="275"/>
      <c r="Z500" s="275"/>
      <c r="AA500" s="275"/>
      <c r="AB500" s="275"/>
      <c r="AC500" s="275"/>
      <c r="AD500" s="275"/>
      <c r="AE500" s="275"/>
    </row>
    <row r="501" spans="15:31">
      <c r="O501" s="275"/>
      <c r="P501" s="275"/>
      <c r="Q501" s="275"/>
      <c r="R501" s="275"/>
      <c r="S501" s="275"/>
      <c r="T501" s="275"/>
      <c r="U501" s="275"/>
      <c r="V501" s="275"/>
      <c r="W501" s="275"/>
      <c r="X501" s="275"/>
      <c r="Y501" s="275"/>
      <c r="Z501" s="275"/>
      <c r="AA501" s="275"/>
      <c r="AB501" s="275"/>
      <c r="AC501" s="275"/>
      <c r="AD501" s="275"/>
      <c r="AE501" s="275"/>
    </row>
    <row r="502" spans="15:31">
      <c r="O502" s="275"/>
      <c r="P502" s="275"/>
      <c r="Q502" s="275"/>
      <c r="R502" s="275"/>
      <c r="S502" s="275"/>
      <c r="T502" s="275"/>
      <c r="U502" s="275"/>
      <c r="V502" s="275"/>
      <c r="W502" s="275"/>
      <c r="X502" s="275"/>
      <c r="Y502" s="275"/>
      <c r="Z502" s="275"/>
      <c r="AA502" s="275"/>
      <c r="AB502" s="275"/>
      <c r="AC502" s="275"/>
      <c r="AD502" s="275"/>
      <c r="AE502" s="275"/>
    </row>
    <row r="503" spans="15:31">
      <c r="O503" s="275"/>
      <c r="P503" s="275"/>
      <c r="Q503" s="275"/>
      <c r="R503" s="275"/>
      <c r="S503" s="275"/>
      <c r="T503" s="275"/>
      <c r="U503" s="275"/>
      <c r="V503" s="275"/>
      <c r="W503" s="275"/>
      <c r="X503" s="275"/>
      <c r="Y503" s="275"/>
      <c r="Z503" s="275"/>
      <c r="AA503" s="275"/>
      <c r="AB503" s="275"/>
      <c r="AC503" s="275"/>
      <c r="AD503" s="275"/>
      <c r="AE503" s="275"/>
    </row>
    <row r="504" spans="15:31">
      <c r="O504" s="275"/>
      <c r="P504" s="275"/>
      <c r="Q504" s="275"/>
      <c r="R504" s="275"/>
      <c r="S504" s="275"/>
      <c r="T504" s="275"/>
      <c r="U504" s="275"/>
      <c r="V504" s="275"/>
      <c r="W504" s="275"/>
      <c r="X504" s="275"/>
      <c r="Y504" s="275"/>
      <c r="Z504" s="275"/>
      <c r="AA504" s="275"/>
      <c r="AB504" s="275"/>
      <c r="AC504" s="275"/>
      <c r="AD504" s="275"/>
      <c r="AE504" s="275"/>
    </row>
    <row r="505" spans="15:31">
      <c r="O505" s="275"/>
      <c r="P505" s="275"/>
      <c r="Q505" s="275"/>
      <c r="R505" s="275"/>
      <c r="S505" s="275"/>
      <c r="T505" s="275"/>
      <c r="U505" s="275"/>
      <c r="V505" s="275"/>
      <c r="W505" s="275"/>
      <c r="X505" s="275"/>
      <c r="Y505" s="275"/>
      <c r="Z505" s="275"/>
      <c r="AA505" s="275"/>
      <c r="AB505" s="275"/>
      <c r="AC505" s="275"/>
      <c r="AD505" s="275"/>
      <c r="AE505" s="275"/>
    </row>
    <row r="506" spans="15:31">
      <c r="O506" s="275"/>
      <c r="P506" s="275"/>
      <c r="Q506" s="275"/>
      <c r="R506" s="275"/>
      <c r="S506" s="275"/>
      <c r="T506" s="275"/>
      <c r="U506" s="275"/>
      <c r="V506" s="275"/>
      <c r="W506" s="275"/>
      <c r="X506" s="275"/>
      <c r="Y506" s="275"/>
      <c r="Z506" s="275"/>
      <c r="AA506" s="275"/>
      <c r="AB506" s="275"/>
      <c r="AC506" s="275"/>
      <c r="AD506" s="275"/>
      <c r="AE506" s="275"/>
    </row>
    <row r="507" spans="15:31">
      <c r="O507" s="275"/>
      <c r="P507" s="275"/>
      <c r="Q507" s="275"/>
      <c r="R507" s="275"/>
      <c r="S507" s="275"/>
      <c r="T507" s="275"/>
      <c r="U507" s="275"/>
      <c r="V507" s="275"/>
      <c r="W507" s="275"/>
      <c r="X507" s="275"/>
      <c r="Y507" s="275"/>
      <c r="Z507" s="275"/>
      <c r="AA507" s="275"/>
      <c r="AB507" s="275"/>
      <c r="AC507" s="275"/>
      <c r="AD507" s="275"/>
      <c r="AE507" s="275"/>
    </row>
    <row r="508" spans="15:31">
      <c r="O508" s="275"/>
      <c r="P508" s="275"/>
      <c r="Q508" s="275"/>
      <c r="R508" s="275"/>
      <c r="S508" s="275"/>
      <c r="T508" s="275"/>
      <c r="U508" s="275"/>
      <c r="V508" s="275"/>
      <c r="W508" s="275"/>
      <c r="X508" s="275"/>
      <c r="Y508" s="275"/>
      <c r="Z508" s="275"/>
      <c r="AA508" s="275"/>
      <c r="AB508" s="275"/>
      <c r="AC508" s="275"/>
      <c r="AD508" s="275"/>
      <c r="AE508" s="275"/>
    </row>
    <row r="509" spans="15:31">
      <c r="O509" s="275"/>
      <c r="P509" s="275"/>
      <c r="Q509" s="275"/>
      <c r="R509" s="275"/>
      <c r="S509" s="275"/>
      <c r="T509" s="275"/>
      <c r="U509" s="275"/>
      <c r="V509" s="275"/>
      <c r="W509" s="275"/>
      <c r="X509" s="275"/>
      <c r="Y509" s="275"/>
      <c r="Z509" s="275"/>
      <c r="AA509" s="275"/>
      <c r="AB509" s="275"/>
      <c r="AC509" s="275"/>
      <c r="AD509" s="275"/>
      <c r="AE509" s="275"/>
    </row>
    <row r="510" spans="15:31">
      <c r="O510" s="275"/>
      <c r="P510" s="275"/>
      <c r="Q510" s="275"/>
      <c r="R510" s="275"/>
      <c r="S510" s="275"/>
      <c r="T510" s="275"/>
      <c r="U510" s="275"/>
      <c r="V510" s="275"/>
      <c r="W510" s="275"/>
      <c r="X510" s="275"/>
      <c r="Y510" s="275"/>
      <c r="Z510" s="275"/>
      <c r="AA510" s="275"/>
      <c r="AB510" s="275"/>
      <c r="AC510" s="275"/>
      <c r="AD510" s="275"/>
      <c r="AE510" s="275"/>
    </row>
    <row r="511" spans="15:31">
      <c r="O511" s="275"/>
      <c r="P511" s="275"/>
      <c r="Q511" s="275"/>
      <c r="R511" s="275"/>
      <c r="S511" s="275"/>
      <c r="T511" s="275"/>
      <c r="U511" s="275"/>
      <c r="V511" s="275"/>
      <c r="W511" s="275"/>
      <c r="X511" s="275"/>
      <c r="Y511" s="275"/>
      <c r="Z511" s="275"/>
      <c r="AA511" s="275"/>
      <c r="AB511" s="275"/>
      <c r="AC511" s="275"/>
      <c r="AD511" s="275"/>
      <c r="AE511" s="275"/>
    </row>
    <row r="512" spans="15:31">
      <c r="O512" s="275"/>
      <c r="P512" s="275"/>
      <c r="Q512" s="275"/>
      <c r="R512" s="275"/>
      <c r="S512" s="275"/>
      <c r="T512" s="275"/>
      <c r="U512" s="275"/>
      <c r="V512" s="275"/>
      <c r="W512" s="275"/>
      <c r="X512" s="275"/>
      <c r="Y512" s="275"/>
      <c r="Z512" s="275"/>
      <c r="AA512" s="275"/>
      <c r="AB512" s="275"/>
      <c r="AC512" s="275"/>
      <c r="AD512" s="275"/>
      <c r="AE512" s="275"/>
    </row>
    <row r="513" spans="15:31">
      <c r="O513" s="275"/>
      <c r="P513" s="275"/>
      <c r="Q513" s="275"/>
      <c r="R513" s="275"/>
      <c r="S513" s="275"/>
      <c r="T513" s="275"/>
      <c r="U513" s="275"/>
      <c r="V513" s="275"/>
      <c r="W513" s="275"/>
      <c r="X513" s="275"/>
      <c r="Y513" s="275"/>
      <c r="Z513" s="275"/>
      <c r="AA513" s="275"/>
      <c r="AB513" s="275"/>
      <c r="AC513" s="275"/>
      <c r="AD513" s="275"/>
      <c r="AE513" s="275"/>
    </row>
    <row r="514" spans="15:31">
      <c r="O514" s="275"/>
      <c r="P514" s="275"/>
      <c r="Q514" s="275"/>
      <c r="R514" s="275"/>
      <c r="S514" s="275"/>
      <c r="T514" s="275"/>
      <c r="U514" s="275"/>
      <c r="V514" s="275"/>
      <c r="W514" s="275"/>
      <c r="X514" s="275"/>
      <c r="Y514" s="275"/>
      <c r="Z514" s="275"/>
      <c r="AA514" s="275"/>
      <c r="AB514" s="275"/>
      <c r="AC514" s="275"/>
      <c r="AD514" s="275"/>
      <c r="AE514" s="275"/>
    </row>
    <row r="515" spans="15:31">
      <c r="O515" s="275"/>
      <c r="P515" s="275"/>
      <c r="Q515" s="275"/>
      <c r="R515" s="275"/>
      <c r="S515" s="275"/>
      <c r="T515" s="275"/>
      <c r="U515" s="275"/>
      <c r="V515" s="275"/>
      <c r="W515" s="275"/>
      <c r="X515" s="275"/>
      <c r="Y515" s="275"/>
      <c r="Z515" s="275"/>
      <c r="AA515" s="275"/>
      <c r="AB515" s="275"/>
      <c r="AC515" s="275"/>
      <c r="AD515" s="275"/>
      <c r="AE515" s="275"/>
    </row>
    <row r="516" spans="15:31">
      <c r="O516" s="275"/>
      <c r="P516" s="275"/>
      <c r="Q516" s="275"/>
      <c r="R516" s="275"/>
      <c r="S516" s="275"/>
      <c r="T516" s="275"/>
      <c r="U516" s="275"/>
      <c r="V516" s="275"/>
      <c r="W516" s="275"/>
      <c r="X516" s="275"/>
      <c r="Y516" s="275"/>
      <c r="Z516" s="275"/>
      <c r="AA516" s="275"/>
      <c r="AB516" s="275"/>
      <c r="AC516" s="275"/>
      <c r="AD516" s="275"/>
      <c r="AE516" s="275"/>
    </row>
    <row r="517" spans="15:31">
      <c r="O517" s="275"/>
      <c r="P517" s="275"/>
      <c r="Q517" s="275"/>
      <c r="R517" s="275"/>
      <c r="S517" s="275"/>
      <c r="T517" s="275"/>
      <c r="U517" s="275"/>
      <c r="V517" s="275"/>
      <c r="W517" s="275"/>
      <c r="X517" s="275"/>
      <c r="Y517" s="275"/>
      <c r="Z517" s="275"/>
      <c r="AA517" s="275"/>
      <c r="AB517" s="275"/>
      <c r="AC517" s="275"/>
      <c r="AD517" s="275"/>
      <c r="AE517" s="275"/>
    </row>
    <row r="518" spans="15:31">
      <c r="O518" s="275"/>
      <c r="P518" s="275"/>
      <c r="Q518" s="275"/>
      <c r="R518" s="275"/>
      <c r="S518" s="275"/>
      <c r="T518" s="275"/>
      <c r="U518" s="275"/>
      <c r="V518" s="275"/>
      <c r="W518" s="275"/>
      <c r="X518" s="275"/>
      <c r="Y518" s="275"/>
      <c r="Z518" s="275"/>
      <c r="AA518" s="275"/>
      <c r="AB518" s="275"/>
      <c r="AC518" s="275"/>
      <c r="AD518" s="275"/>
      <c r="AE518" s="275"/>
    </row>
    <row r="519" spans="15:31">
      <c r="O519" s="275"/>
      <c r="P519" s="275"/>
      <c r="Q519" s="275"/>
      <c r="R519" s="275"/>
      <c r="S519" s="275"/>
      <c r="T519" s="275"/>
      <c r="U519" s="275"/>
      <c r="V519" s="275"/>
      <c r="W519" s="275"/>
      <c r="X519" s="275"/>
      <c r="Y519" s="275"/>
      <c r="Z519" s="275"/>
      <c r="AA519" s="275"/>
      <c r="AB519" s="275"/>
      <c r="AC519" s="275"/>
      <c r="AD519" s="275"/>
      <c r="AE519" s="275"/>
    </row>
    <row r="520" spans="15:31">
      <c r="O520" s="275"/>
      <c r="P520" s="275"/>
      <c r="Q520" s="275"/>
      <c r="R520" s="275"/>
      <c r="S520" s="275"/>
      <c r="T520" s="275"/>
      <c r="U520" s="275"/>
      <c r="V520" s="275"/>
      <c r="W520" s="275"/>
      <c r="X520" s="275"/>
      <c r="Y520" s="275"/>
      <c r="Z520" s="275"/>
      <c r="AA520" s="275"/>
      <c r="AB520" s="275"/>
      <c r="AC520" s="275"/>
      <c r="AD520" s="275"/>
      <c r="AE520" s="275"/>
    </row>
    <row r="521" spans="15:31">
      <c r="O521" s="275"/>
      <c r="P521" s="275"/>
      <c r="Q521" s="275"/>
      <c r="R521" s="275"/>
      <c r="S521" s="275"/>
      <c r="T521" s="275"/>
      <c r="U521" s="275"/>
      <c r="V521" s="275"/>
      <c r="W521" s="275"/>
      <c r="X521" s="275"/>
      <c r="Y521" s="275"/>
      <c r="Z521" s="275"/>
      <c r="AA521" s="275"/>
      <c r="AB521" s="275"/>
      <c r="AC521" s="275"/>
      <c r="AD521" s="275"/>
      <c r="AE521" s="275"/>
    </row>
    <row r="522" spans="15:31">
      <c r="O522" s="275"/>
      <c r="P522" s="275"/>
      <c r="Q522" s="275"/>
      <c r="R522" s="275"/>
      <c r="S522" s="275"/>
      <c r="T522" s="275"/>
      <c r="U522" s="275"/>
      <c r="V522" s="275"/>
      <c r="W522" s="275"/>
      <c r="X522" s="275"/>
      <c r="Y522" s="275"/>
      <c r="Z522" s="275"/>
      <c r="AA522" s="275"/>
      <c r="AB522" s="275"/>
      <c r="AC522" s="275"/>
      <c r="AD522" s="275"/>
      <c r="AE522" s="275"/>
    </row>
    <row r="523" spans="15:31">
      <c r="O523" s="275"/>
      <c r="P523" s="275"/>
      <c r="Q523" s="275"/>
      <c r="R523" s="275"/>
      <c r="S523" s="275"/>
      <c r="T523" s="275"/>
      <c r="U523" s="275"/>
      <c r="V523" s="275"/>
      <c r="W523" s="275"/>
      <c r="X523" s="275"/>
      <c r="Y523" s="275"/>
      <c r="Z523" s="275"/>
      <c r="AA523" s="275"/>
      <c r="AB523" s="275"/>
      <c r="AC523" s="275"/>
      <c r="AD523" s="275"/>
      <c r="AE523" s="275"/>
    </row>
    <row r="524" spans="15:31">
      <c r="O524" s="275"/>
      <c r="P524" s="275"/>
      <c r="Q524" s="275"/>
      <c r="R524" s="275"/>
      <c r="S524" s="275"/>
      <c r="T524" s="275"/>
      <c r="U524" s="275"/>
      <c r="V524" s="275"/>
      <c r="W524" s="275"/>
      <c r="X524" s="275"/>
      <c r="Y524" s="275"/>
      <c r="Z524" s="275"/>
      <c r="AA524" s="275"/>
      <c r="AB524" s="275"/>
      <c r="AC524" s="275"/>
      <c r="AD524" s="275"/>
      <c r="AE524" s="275"/>
    </row>
    <row r="525" spans="15:31">
      <c r="O525" s="275"/>
      <c r="P525" s="275"/>
      <c r="Q525" s="275"/>
      <c r="R525" s="275"/>
      <c r="S525" s="275"/>
      <c r="T525" s="275"/>
      <c r="U525" s="275"/>
      <c r="V525" s="275"/>
      <c r="W525" s="275"/>
      <c r="X525" s="275"/>
      <c r="Y525" s="275"/>
      <c r="Z525" s="275"/>
      <c r="AA525" s="275"/>
      <c r="AB525" s="275"/>
      <c r="AC525" s="275"/>
      <c r="AD525" s="275"/>
      <c r="AE525" s="275"/>
    </row>
    <row r="526" spans="15:31">
      <c r="O526" s="275"/>
      <c r="P526" s="275"/>
      <c r="Q526" s="275"/>
      <c r="R526" s="275"/>
      <c r="S526" s="275"/>
      <c r="T526" s="275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</row>
    <row r="527" spans="15:31">
      <c r="O527" s="275"/>
      <c r="P527" s="275"/>
      <c r="Q527" s="275"/>
      <c r="R527" s="275"/>
      <c r="S527" s="275"/>
      <c r="T527" s="275"/>
      <c r="U527" s="275"/>
      <c r="V527" s="275"/>
      <c r="W527" s="275"/>
      <c r="X527" s="275"/>
      <c r="Y527" s="275"/>
      <c r="Z527" s="275"/>
      <c r="AA527" s="275"/>
      <c r="AB527" s="275"/>
      <c r="AC527" s="275"/>
      <c r="AD527" s="275"/>
      <c r="AE527" s="275"/>
    </row>
    <row r="528" spans="15:31">
      <c r="O528" s="275"/>
      <c r="P528" s="275"/>
      <c r="Q528" s="275"/>
      <c r="R528" s="275"/>
      <c r="S528" s="275"/>
      <c r="T528" s="275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</row>
    <row r="529" spans="15:31">
      <c r="O529" s="275"/>
      <c r="P529" s="275"/>
      <c r="Q529" s="275"/>
      <c r="R529" s="275"/>
      <c r="S529" s="275"/>
      <c r="T529" s="275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</row>
    <row r="530" spans="15:31">
      <c r="O530" s="275"/>
      <c r="P530" s="275"/>
      <c r="Q530" s="275"/>
      <c r="R530" s="275"/>
      <c r="S530" s="275"/>
      <c r="T530" s="275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</row>
    <row r="531" spans="15:31">
      <c r="O531" s="275"/>
      <c r="P531" s="275"/>
      <c r="Q531" s="275"/>
      <c r="R531" s="275"/>
      <c r="S531" s="275"/>
      <c r="T531" s="275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</row>
    <row r="532" spans="15:31">
      <c r="O532" s="275"/>
      <c r="P532" s="275"/>
      <c r="Q532" s="275"/>
      <c r="R532" s="275"/>
      <c r="S532" s="275"/>
      <c r="T532" s="275"/>
      <c r="U532" s="275"/>
      <c r="V532" s="275"/>
      <c r="W532" s="275"/>
      <c r="X532" s="275"/>
      <c r="Y532" s="275"/>
      <c r="Z532" s="275"/>
      <c r="AA532" s="275"/>
      <c r="AB532" s="275"/>
      <c r="AC532" s="275"/>
      <c r="AD532" s="275"/>
      <c r="AE532" s="275"/>
    </row>
    <row r="533" spans="15:31">
      <c r="O533" s="275"/>
      <c r="P533" s="275"/>
      <c r="Q533" s="275"/>
      <c r="R533" s="275"/>
      <c r="S533" s="275"/>
      <c r="T533" s="275"/>
      <c r="U533" s="275"/>
      <c r="V533" s="275"/>
      <c r="W533" s="275"/>
      <c r="X533" s="275"/>
      <c r="Y533" s="275"/>
      <c r="Z533" s="275"/>
      <c r="AA533" s="275"/>
      <c r="AB533" s="275"/>
      <c r="AC533" s="275"/>
      <c r="AD533" s="275"/>
      <c r="AE533" s="275"/>
    </row>
    <row r="534" spans="15:31">
      <c r="O534" s="275"/>
      <c r="P534" s="275"/>
      <c r="Q534" s="275"/>
      <c r="R534" s="275"/>
      <c r="S534" s="275"/>
      <c r="T534" s="275"/>
      <c r="U534" s="275"/>
      <c r="V534" s="275"/>
      <c r="W534" s="275"/>
      <c r="X534" s="275"/>
      <c r="Y534" s="275"/>
      <c r="Z534" s="275"/>
      <c r="AA534" s="275"/>
      <c r="AB534" s="275"/>
      <c r="AC534" s="275"/>
      <c r="AD534" s="275"/>
      <c r="AE534" s="275"/>
    </row>
    <row r="535" spans="15:31">
      <c r="O535" s="275"/>
      <c r="P535" s="275"/>
      <c r="Q535" s="275"/>
      <c r="R535" s="275"/>
      <c r="S535" s="275"/>
      <c r="T535" s="275"/>
      <c r="U535" s="275"/>
      <c r="V535" s="275"/>
      <c r="W535" s="275"/>
      <c r="X535" s="275"/>
      <c r="Y535" s="275"/>
      <c r="Z535" s="275"/>
      <c r="AA535" s="275"/>
      <c r="AB535" s="275"/>
      <c r="AC535" s="275"/>
      <c r="AD535" s="275"/>
      <c r="AE535" s="275"/>
    </row>
    <row r="536" spans="15:31">
      <c r="O536" s="275"/>
      <c r="P536" s="275"/>
      <c r="Q536" s="275"/>
      <c r="R536" s="275"/>
      <c r="S536" s="275"/>
      <c r="T536" s="275"/>
      <c r="U536" s="275"/>
      <c r="V536" s="275"/>
      <c r="W536" s="275"/>
      <c r="X536" s="275"/>
      <c r="Y536" s="275"/>
      <c r="Z536" s="275"/>
      <c r="AA536" s="275"/>
      <c r="AB536" s="275"/>
      <c r="AC536" s="275"/>
      <c r="AD536" s="275"/>
      <c r="AE536" s="275"/>
    </row>
    <row r="537" spans="15:31">
      <c r="O537" s="275"/>
      <c r="P537" s="275"/>
      <c r="Q537" s="275"/>
      <c r="R537" s="275"/>
      <c r="S537" s="275"/>
      <c r="T537" s="275"/>
      <c r="U537" s="275"/>
      <c r="V537" s="275"/>
      <c r="W537" s="275"/>
      <c r="X537" s="275"/>
      <c r="Y537" s="275"/>
      <c r="Z537" s="275"/>
      <c r="AA537" s="275"/>
      <c r="AB537" s="275"/>
      <c r="AC537" s="275"/>
      <c r="AD537" s="275"/>
      <c r="AE537" s="275"/>
    </row>
    <row r="538" spans="15:31">
      <c r="O538" s="275"/>
      <c r="P538" s="275"/>
      <c r="Q538" s="275"/>
      <c r="R538" s="275"/>
      <c r="S538" s="275"/>
      <c r="T538" s="275"/>
      <c r="U538" s="275"/>
      <c r="V538" s="275"/>
      <c r="W538" s="275"/>
      <c r="X538" s="275"/>
      <c r="Y538" s="275"/>
      <c r="Z538" s="275"/>
      <c r="AA538" s="275"/>
      <c r="AB538" s="275"/>
      <c r="AC538" s="275"/>
      <c r="AD538" s="275"/>
      <c r="AE538" s="275"/>
    </row>
    <row r="539" spans="15:31">
      <c r="O539" s="275"/>
      <c r="P539" s="275"/>
      <c r="Q539" s="275"/>
      <c r="R539" s="275"/>
      <c r="S539" s="275"/>
      <c r="T539" s="275"/>
      <c r="U539" s="275"/>
      <c r="V539" s="275"/>
      <c r="W539" s="275"/>
      <c r="X539" s="275"/>
      <c r="Y539" s="275"/>
      <c r="Z539" s="275"/>
      <c r="AA539" s="275"/>
      <c r="AB539" s="275"/>
      <c r="AC539" s="275"/>
      <c r="AD539" s="275"/>
      <c r="AE539" s="275"/>
    </row>
    <row r="540" spans="15:31">
      <c r="O540" s="275"/>
      <c r="P540" s="275"/>
      <c r="Q540" s="275"/>
      <c r="R540" s="275"/>
      <c r="S540" s="275"/>
      <c r="T540" s="275"/>
      <c r="U540" s="275"/>
      <c r="V540" s="275"/>
      <c r="W540" s="275"/>
      <c r="X540" s="275"/>
      <c r="Y540" s="275"/>
      <c r="Z540" s="275"/>
      <c r="AA540" s="275"/>
      <c r="AB540" s="275"/>
      <c r="AC540" s="275"/>
      <c r="AD540" s="275"/>
      <c r="AE540" s="275"/>
    </row>
    <row r="541" spans="15:31">
      <c r="O541" s="275"/>
      <c r="P541" s="275"/>
      <c r="Q541" s="275"/>
      <c r="R541" s="275"/>
      <c r="S541" s="275"/>
      <c r="T541" s="275"/>
      <c r="U541" s="275"/>
      <c r="V541" s="275"/>
      <c r="W541" s="275"/>
      <c r="X541" s="275"/>
      <c r="Y541" s="275"/>
      <c r="Z541" s="275"/>
      <c r="AA541" s="275"/>
      <c r="AB541" s="275"/>
      <c r="AC541" s="275"/>
      <c r="AD541" s="275"/>
      <c r="AE541" s="275"/>
    </row>
    <row r="542" spans="15:31">
      <c r="O542" s="275"/>
      <c r="P542" s="275"/>
      <c r="Q542" s="275"/>
      <c r="R542" s="275"/>
      <c r="S542" s="275"/>
      <c r="T542" s="275"/>
      <c r="U542" s="275"/>
      <c r="V542" s="275"/>
      <c r="W542" s="275"/>
      <c r="X542" s="275"/>
      <c r="Y542" s="275"/>
      <c r="Z542" s="275"/>
      <c r="AA542" s="275"/>
      <c r="AB542" s="275"/>
      <c r="AC542" s="275"/>
      <c r="AD542" s="275"/>
      <c r="AE542" s="275"/>
    </row>
    <row r="543" spans="15:31">
      <c r="O543" s="275"/>
      <c r="P543" s="275"/>
      <c r="Q543" s="275"/>
      <c r="R543" s="275"/>
      <c r="S543" s="275"/>
      <c r="T543" s="275"/>
      <c r="U543" s="275"/>
      <c r="V543" s="275"/>
      <c r="W543" s="275"/>
      <c r="X543" s="275"/>
      <c r="Y543" s="275"/>
      <c r="Z543" s="275"/>
      <c r="AA543" s="275"/>
      <c r="AB543" s="275"/>
      <c r="AC543" s="275"/>
      <c r="AD543" s="275"/>
      <c r="AE543" s="275"/>
    </row>
    <row r="544" spans="15:31">
      <c r="O544" s="275"/>
      <c r="P544" s="275"/>
      <c r="Q544" s="275"/>
      <c r="R544" s="275"/>
      <c r="S544" s="275"/>
      <c r="T544" s="275"/>
      <c r="U544" s="275"/>
      <c r="V544" s="275"/>
      <c r="W544" s="275"/>
      <c r="X544" s="275"/>
      <c r="Y544" s="275"/>
      <c r="Z544" s="275"/>
      <c r="AA544" s="275"/>
      <c r="AB544" s="275"/>
      <c r="AC544" s="275"/>
      <c r="AD544" s="275"/>
      <c r="AE544" s="275"/>
    </row>
    <row r="545" spans="15:31">
      <c r="O545" s="275"/>
      <c r="P545" s="275"/>
      <c r="Q545" s="275"/>
      <c r="R545" s="275"/>
      <c r="S545" s="275"/>
      <c r="T545" s="275"/>
      <c r="U545" s="275"/>
      <c r="V545" s="275"/>
      <c r="W545" s="275"/>
      <c r="X545" s="275"/>
      <c r="Y545" s="275"/>
      <c r="Z545" s="275"/>
      <c r="AA545" s="275"/>
      <c r="AB545" s="275"/>
      <c r="AC545" s="275"/>
      <c r="AD545" s="275"/>
      <c r="AE545" s="275"/>
    </row>
    <row r="546" spans="15:31">
      <c r="O546" s="275"/>
      <c r="P546" s="275"/>
      <c r="Q546" s="275"/>
      <c r="R546" s="275"/>
      <c r="S546" s="275"/>
      <c r="T546" s="275"/>
      <c r="U546" s="275"/>
      <c r="V546" s="275"/>
      <c r="W546" s="275"/>
      <c r="X546" s="275"/>
      <c r="Y546" s="275"/>
      <c r="Z546" s="275"/>
      <c r="AA546" s="275"/>
      <c r="AB546" s="275"/>
      <c r="AC546" s="275"/>
      <c r="AD546" s="275"/>
      <c r="AE546" s="275"/>
    </row>
    <row r="547" spans="15:31">
      <c r="O547" s="275"/>
      <c r="P547" s="275"/>
      <c r="Q547" s="275"/>
      <c r="R547" s="275"/>
      <c r="S547" s="275"/>
      <c r="T547" s="275"/>
      <c r="U547" s="275"/>
      <c r="V547" s="275"/>
      <c r="W547" s="275"/>
      <c r="X547" s="275"/>
      <c r="Y547" s="275"/>
      <c r="Z547" s="275"/>
      <c r="AA547" s="275"/>
      <c r="AB547" s="275"/>
      <c r="AC547" s="275"/>
      <c r="AD547" s="275"/>
      <c r="AE547" s="275"/>
    </row>
    <row r="548" spans="15:31">
      <c r="O548" s="275"/>
      <c r="P548" s="275"/>
      <c r="Q548" s="275"/>
      <c r="R548" s="275"/>
      <c r="S548" s="275"/>
      <c r="T548" s="275"/>
      <c r="U548" s="275"/>
      <c r="V548" s="275"/>
      <c r="W548" s="275"/>
      <c r="X548" s="275"/>
      <c r="Y548" s="275"/>
      <c r="Z548" s="275"/>
      <c r="AA548" s="275"/>
      <c r="AB548" s="275"/>
      <c r="AC548" s="275"/>
      <c r="AD548" s="275"/>
      <c r="AE548" s="275"/>
    </row>
    <row r="549" spans="15:31">
      <c r="O549" s="275"/>
      <c r="P549" s="275"/>
      <c r="Q549" s="275"/>
      <c r="R549" s="275"/>
      <c r="S549" s="275"/>
      <c r="T549" s="275"/>
      <c r="U549" s="275"/>
      <c r="V549" s="275"/>
      <c r="W549" s="275"/>
      <c r="X549" s="275"/>
      <c r="Y549" s="275"/>
      <c r="Z549" s="275"/>
      <c r="AA549" s="275"/>
      <c r="AB549" s="275"/>
      <c r="AC549" s="275"/>
      <c r="AD549" s="275"/>
      <c r="AE549" s="275"/>
    </row>
    <row r="550" spans="15:31">
      <c r="O550" s="275"/>
      <c r="P550" s="275"/>
      <c r="Q550" s="275"/>
      <c r="R550" s="275"/>
      <c r="S550" s="275"/>
      <c r="T550" s="275"/>
      <c r="U550" s="275"/>
      <c r="V550" s="275"/>
      <c r="W550" s="275"/>
      <c r="X550" s="275"/>
      <c r="Y550" s="275"/>
      <c r="Z550" s="275"/>
      <c r="AA550" s="275"/>
      <c r="AB550" s="275"/>
      <c r="AC550" s="275"/>
      <c r="AD550" s="275"/>
      <c r="AE550" s="275"/>
    </row>
    <row r="551" spans="15:31">
      <c r="O551" s="275"/>
      <c r="P551" s="275"/>
      <c r="Q551" s="275"/>
      <c r="R551" s="275"/>
      <c r="S551" s="275"/>
      <c r="T551" s="275"/>
      <c r="U551" s="275"/>
      <c r="V551" s="275"/>
      <c r="W551" s="275"/>
      <c r="X551" s="275"/>
      <c r="Y551" s="275"/>
      <c r="Z551" s="275"/>
      <c r="AA551" s="275"/>
      <c r="AB551" s="275"/>
      <c r="AC551" s="275"/>
      <c r="AD551" s="275"/>
      <c r="AE551" s="275"/>
    </row>
    <row r="552" spans="15:31">
      <c r="O552" s="275"/>
      <c r="P552" s="275"/>
      <c r="Q552" s="275"/>
      <c r="R552" s="275"/>
      <c r="S552" s="275"/>
      <c r="T552" s="275"/>
      <c r="U552" s="275"/>
      <c r="V552" s="275"/>
      <c r="W552" s="275"/>
      <c r="X552" s="275"/>
      <c r="Y552" s="275"/>
      <c r="Z552" s="275"/>
      <c r="AA552" s="275"/>
      <c r="AB552" s="275"/>
      <c r="AC552" s="275"/>
      <c r="AD552" s="275"/>
      <c r="AE552" s="275"/>
    </row>
    <row r="553" spans="15:31">
      <c r="O553" s="275"/>
      <c r="P553" s="275"/>
      <c r="Q553" s="275"/>
      <c r="R553" s="275"/>
      <c r="S553" s="275"/>
      <c r="T553" s="275"/>
      <c r="U553" s="275"/>
      <c r="V553" s="275"/>
      <c r="W553" s="275"/>
      <c r="X553" s="275"/>
      <c r="Y553" s="275"/>
      <c r="Z553" s="275"/>
      <c r="AA553" s="275"/>
      <c r="AB553" s="275"/>
      <c r="AC553" s="275"/>
      <c r="AD553" s="275"/>
      <c r="AE553" s="275"/>
    </row>
    <row r="554" spans="15:31">
      <c r="O554" s="275"/>
      <c r="P554" s="275"/>
      <c r="Q554" s="275"/>
      <c r="R554" s="275"/>
      <c r="S554" s="275"/>
      <c r="T554" s="275"/>
      <c r="U554" s="275"/>
      <c r="V554" s="275"/>
      <c r="W554" s="275"/>
      <c r="X554" s="275"/>
      <c r="Y554" s="275"/>
      <c r="Z554" s="275"/>
      <c r="AA554" s="275"/>
      <c r="AB554" s="275"/>
      <c r="AC554" s="275"/>
      <c r="AD554" s="275"/>
      <c r="AE554" s="275"/>
    </row>
    <row r="555" spans="15:31">
      <c r="O555" s="275"/>
      <c r="P555" s="275"/>
      <c r="Q555" s="275"/>
      <c r="R555" s="275"/>
      <c r="S555" s="275"/>
      <c r="T555" s="275"/>
      <c r="U555" s="275"/>
      <c r="V555" s="275"/>
      <c r="W555" s="275"/>
      <c r="X555" s="275"/>
      <c r="Y555" s="275"/>
      <c r="Z555" s="275"/>
      <c r="AA555" s="275"/>
      <c r="AB555" s="275"/>
      <c r="AC555" s="275"/>
      <c r="AD555" s="275"/>
      <c r="AE555" s="275"/>
    </row>
    <row r="556" spans="15:31">
      <c r="O556" s="275"/>
      <c r="P556" s="275"/>
      <c r="Q556" s="275"/>
      <c r="R556" s="275"/>
      <c r="S556" s="275"/>
      <c r="T556" s="275"/>
      <c r="U556" s="275"/>
      <c r="V556" s="275"/>
      <c r="W556" s="275"/>
      <c r="X556" s="275"/>
      <c r="Y556" s="275"/>
      <c r="Z556" s="275"/>
      <c r="AA556" s="275"/>
      <c r="AB556" s="275"/>
      <c r="AC556" s="275"/>
      <c r="AD556" s="275"/>
      <c r="AE556" s="275"/>
    </row>
    <row r="557" spans="15:31">
      <c r="O557" s="275"/>
      <c r="P557" s="275"/>
      <c r="Q557" s="275"/>
      <c r="R557" s="275"/>
      <c r="S557" s="275"/>
      <c r="T557" s="275"/>
      <c r="U557" s="275"/>
      <c r="V557" s="275"/>
      <c r="W557" s="275"/>
      <c r="X557" s="275"/>
      <c r="Y557" s="275"/>
      <c r="Z557" s="275"/>
      <c r="AA557" s="275"/>
      <c r="AB557" s="275"/>
      <c r="AC557" s="275"/>
      <c r="AD557" s="275"/>
      <c r="AE557" s="275"/>
    </row>
    <row r="558" spans="15:31">
      <c r="O558" s="275"/>
      <c r="P558" s="275"/>
      <c r="Q558" s="275"/>
      <c r="R558" s="275"/>
      <c r="S558" s="275"/>
      <c r="T558" s="275"/>
      <c r="U558" s="275"/>
      <c r="V558" s="275"/>
      <c r="W558" s="275"/>
      <c r="X558" s="275"/>
      <c r="Y558" s="275"/>
      <c r="Z558" s="275"/>
      <c r="AA558" s="275"/>
      <c r="AB558" s="275"/>
      <c r="AC558" s="275"/>
      <c r="AD558" s="275"/>
      <c r="AE558" s="275"/>
    </row>
    <row r="559" spans="15:31">
      <c r="O559" s="275"/>
      <c r="P559" s="275"/>
      <c r="Q559" s="275"/>
      <c r="R559" s="275"/>
      <c r="S559" s="275"/>
      <c r="T559" s="275"/>
      <c r="U559" s="275"/>
      <c r="V559" s="275"/>
      <c r="W559" s="275"/>
      <c r="X559" s="275"/>
      <c r="Y559" s="275"/>
      <c r="Z559" s="275"/>
      <c r="AA559" s="275"/>
      <c r="AB559" s="275"/>
      <c r="AC559" s="275"/>
      <c r="AD559" s="275"/>
      <c r="AE559" s="275"/>
    </row>
    <row r="560" spans="15:31">
      <c r="O560" s="275"/>
      <c r="P560" s="275"/>
      <c r="Q560" s="275"/>
      <c r="R560" s="275"/>
      <c r="S560" s="275"/>
      <c r="T560" s="275"/>
      <c r="U560" s="275"/>
      <c r="V560" s="275"/>
      <c r="W560" s="275"/>
      <c r="X560" s="275"/>
      <c r="Y560" s="275"/>
      <c r="Z560" s="275"/>
      <c r="AA560" s="275"/>
      <c r="AB560" s="275"/>
      <c r="AC560" s="275"/>
      <c r="AD560" s="275"/>
      <c r="AE560" s="275"/>
    </row>
    <row r="561" spans="15:31">
      <c r="O561" s="275"/>
      <c r="P561" s="275"/>
      <c r="Q561" s="275"/>
      <c r="R561" s="275"/>
      <c r="S561" s="275"/>
      <c r="T561" s="275"/>
      <c r="U561" s="275"/>
      <c r="V561" s="275"/>
      <c r="W561" s="275"/>
      <c r="X561" s="275"/>
      <c r="Y561" s="275"/>
      <c r="Z561" s="275"/>
      <c r="AA561" s="275"/>
      <c r="AB561" s="275"/>
      <c r="AC561" s="275"/>
      <c r="AD561" s="275"/>
      <c r="AE561" s="275"/>
    </row>
    <row r="562" spans="15:31">
      <c r="O562" s="275"/>
      <c r="P562" s="275"/>
      <c r="Q562" s="275"/>
      <c r="R562" s="275"/>
      <c r="S562" s="275"/>
      <c r="T562" s="275"/>
      <c r="U562" s="275"/>
      <c r="V562" s="275"/>
      <c r="W562" s="275"/>
      <c r="X562" s="275"/>
      <c r="Y562" s="275"/>
      <c r="Z562" s="275"/>
      <c r="AA562" s="275"/>
      <c r="AB562" s="275"/>
      <c r="AC562" s="275"/>
      <c r="AD562" s="275"/>
      <c r="AE562" s="275"/>
    </row>
    <row r="563" spans="15:31">
      <c r="O563" s="275"/>
      <c r="P563" s="275"/>
      <c r="Q563" s="275"/>
      <c r="R563" s="275"/>
      <c r="S563" s="275"/>
      <c r="T563" s="275"/>
      <c r="U563" s="275"/>
      <c r="V563" s="275"/>
      <c r="W563" s="275"/>
      <c r="X563" s="275"/>
      <c r="Y563" s="275"/>
      <c r="Z563" s="275"/>
      <c r="AA563" s="275"/>
      <c r="AB563" s="275"/>
      <c r="AC563" s="275"/>
      <c r="AD563" s="275"/>
      <c r="AE563" s="275"/>
    </row>
    <row r="564" spans="15:31">
      <c r="O564" s="275"/>
      <c r="P564" s="275"/>
      <c r="Q564" s="275"/>
      <c r="R564" s="275"/>
      <c r="S564" s="275"/>
      <c r="T564" s="275"/>
      <c r="U564" s="275"/>
      <c r="V564" s="275"/>
      <c r="W564" s="275"/>
      <c r="X564" s="275"/>
      <c r="Y564" s="275"/>
      <c r="Z564" s="275"/>
      <c r="AA564" s="275"/>
      <c r="AB564" s="275"/>
      <c r="AC564" s="275"/>
      <c r="AD564" s="275"/>
      <c r="AE564" s="275"/>
    </row>
    <row r="565" spans="15:31">
      <c r="O565" s="275"/>
      <c r="P565" s="275"/>
      <c r="Q565" s="275"/>
      <c r="R565" s="275"/>
      <c r="S565" s="275"/>
      <c r="T565" s="275"/>
      <c r="U565" s="275"/>
      <c r="V565" s="275"/>
      <c r="W565" s="275"/>
      <c r="X565" s="275"/>
      <c r="Y565" s="275"/>
      <c r="Z565" s="275"/>
      <c r="AA565" s="275"/>
      <c r="AB565" s="275"/>
      <c r="AC565" s="275"/>
      <c r="AD565" s="275"/>
      <c r="AE565" s="275"/>
    </row>
    <row r="566" spans="15:31">
      <c r="O566" s="275"/>
      <c r="P566" s="275"/>
      <c r="Q566" s="275"/>
      <c r="R566" s="275"/>
      <c r="S566" s="275"/>
      <c r="T566" s="275"/>
      <c r="U566" s="275"/>
      <c r="V566" s="275"/>
      <c r="W566" s="275"/>
      <c r="X566" s="275"/>
      <c r="Y566" s="275"/>
      <c r="Z566" s="275"/>
      <c r="AA566" s="275"/>
      <c r="AB566" s="275"/>
      <c r="AC566" s="275"/>
      <c r="AD566" s="275"/>
      <c r="AE566" s="275"/>
    </row>
    <row r="567" spans="15:31">
      <c r="O567" s="275"/>
      <c r="P567" s="275"/>
      <c r="Q567" s="275"/>
      <c r="R567" s="275"/>
      <c r="S567" s="275"/>
      <c r="T567" s="275"/>
      <c r="U567" s="275"/>
      <c r="V567" s="275"/>
      <c r="W567" s="275"/>
      <c r="X567" s="275"/>
      <c r="Y567" s="275"/>
      <c r="Z567" s="275"/>
      <c r="AA567" s="275"/>
      <c r="AB567" s="275"/>
      <c r="AC567" s="275"/>
      <c r="AD567" s="275"/>
      <c r="AE567" s="275"/>
    </row>
    <row r="568" spans="15:31">
      <c r="O568" s="275"/>
      <c r="P568" s="275"/>
      <c r="Q568" s="275"/>
      <c r="R568" s="275"/>
      <c r="S568" s="275"/>
      <c r="T568" s="275"/>
      <c r="U568" s="275"/>
      <c r="V568" s="275"/>
      <c r="W568" s="275"/>
      <c r="X568" s="275"/>
      <c r="Y568" s="275"/>
      <c r="Z568" s="275"/>
      <c r="AA568" s="275"/>
      <c r="AB568" s="275"/>
      <c r="AC568" s="275"/>
      <c r="AD568" s="275"/>
      <c r="AE568" s="275"/>
    </row>
    <row r="569" spans="15:31">
      <c r="O569" s="275"/>
      <c r="P569" s="275"/>
      <c r="Q569" s="275"/>
      <c r="R569" s="275"/>
      <c r="S569" s="275"/>
      <c r="T569" s="275"/>
      <c r="U569" s="275"/>
      <c r="V569" s="275"/>
      <c r="W569" s="275"/>
      <c r="X569" s="275"/>
      <c r="Y569" s="275"/>
      <c r="Z569" s="275"/>
      <c r="AA569" s="275"/>
      <c r="AB569" s="275"/>
      <c r="AC569" s="275"/>
      <c r="AD569" s="275"/>
      <c r="AE569" s="275"/>
    </row>
    <row r="570" spans="15:31">
      <c r="O570" s="275"/>
      <c r="P570" s="275"/>
      <c r="Q570" s="275"/>
      <c r="R570" s="275"/>
      <c r="S570" s="275"/>
      <c r="T570" s="275"/>
      <c r="U570" s="275"/>
      <c r="V570" s="275"/>
      <c r="W570" s="275"/>
      <c r="X570" s="275"/>
      <c r="Y570" s="275"/>
      <c r="Z570" s="275"/>
      <c r="AA570" s="275"/>
      <c r="AB570" s="275"/>
      <c r="AC570" s="275"/>
      <c r="AD570" s="275"/>
      <c r="AE570" s="275"/>
    </row>
    <row r="571" spans="15:31">
      <c r="O571" s="275"/>
      <c r="P571" s="275"/>
      <c r="Q571" s="275"/>
      <c r="R571" s="275"/>
      <c r="S571" s="275"/>
      <c r="T571" s="275"/>
      <c r="U571" s="275"/>
      <c r="V571" s="275"/>
      <c r="W571" s="275"/>
      <c r="X571" s="275"/>
      <c r="Y571" s="275"/>
      <c r="Z571" s="275"/>
      <c r="AA571" s="275"/>
      <c r="AB571" s="275"/>
      <c r="AC571" s="275"/>
      <c r="AD571" s="275"/>
      <c r="AE571" s="275"/>
    </row>
    <row r="572" spans="15:31">
      <c r="O572" s="275"/>
      <c r="P572" s="275"/>
      <c r="Q572" s="275"/>
      <c r="R572" s="275"/>
      <c r="S572" s="275"/>
      <c r="T572" s="275"/>
      <c r="U572" s="275"/>
      <c r="V572" s="275"/>
      <c r="W572" s="275"/>
      <c r="X572" s="275"/>
      <c r="Y572" s="275"/>
      <c r="Z572" s="275"/>
      <c r="AA572" s="275"/>
      <c r="AB572" s="275"/>
      <c r="AC572" s="275"/>
      <c r="AD572" s="275"/>
      <c r="AE572" s="275"/>
    </row>
    <row r="573" spans="15:31">
      <c r="O573" s="275"/>
      <c r="P573" s="275"/>
      <c r="Q573" s="275"/>
      <c r="R573" s="275"/>
      <c r="S573" s="275"/>
      <c r="T573" s="275"/>
      <c r="U573" s="275"/>
      <c r="V573" s="275"/>
      <c r="W573" s="275"/>
      <c r="X573" s="275"/>
      <c r="Y573" s="275"/>
      <c r="Z573" s="275"/>
      <c r="AA573" s="275"/>
      <c r="AB573" s="275"/>
      <c r="AC573" s="275"/>
      <c r="AD573" s="275"/>
      <c r="AE573" s="275"/>
    </row>
    <row r="574" spans="15:31">
      <c r="O574" s="275"/>
      <c r="P574" s="275"/>
      <c r="Q574" s="275"/>
      <c r="R574" s="275"/>
      <c r="S574" s="275"/>
      <c r="T574" s="275"/>
      <c r="U574" s="275"/>
      <c r="V574" s="275"/>
      <c r="W574" s="275"/>
      <c r="X574" s="275"/>
      <c r="Y574" s="275"/>
      <c r="Z574" s="275"/>
      <c r="AA574" s="275"/>
      <c r="AB574" s="275"/>
      <c r="AC574" s="275"/>
      <c r="AD574" s="275"/>
      <c r="AE574" s="275"/>
    </row>
    <row r="575" spans="15:31">
      <c r="O575" s="275"/>
      <c r="P575" s="275"/>
      <c r="Q575" s="275"/>
      <c r="R575" s="275"/>
      <c r="S575" s="275"/>
      <c r="T575" s="275"/>
      <c r="U575" s="275"/>
      <c r="V575" s="275"/>
      <c r="W575" s="275"/>
      <c r="X575" s="275"/>
      <c r="Y575" s="275"/>
      <c r="Z575" s="275"/>
      <c r="AA575" s="275"/>
      <c r="AB575" s="275"/>
      <c r="AC575" s="275"/>
      <c r="AD575" s="275"/>
      <c r="AE575" s="275"/>
    </row>
    <row r="576" spans="15:31">
      <c r="O576" s="275"/>
      <c r="P576" s="275"/>
      <c r="Q576" s="275"/>
      <c r="R576" s="275"/>
      <c r="S576" s="275"/>
      <c r="T576" s="275"/>
      <c r="U576" s="275"/>
      <c r="V576" s="275"/>
      <c r="W576" s="275"/>
      <c r="X576" s="275"/>
      <c r="Y576" s="275"/>
      <c r="Z576" s="275"/>
      <c r="AA576" s="275"/>
      <c r="AB576" s="275"/>
      <c r="AC576" s="275"/>
      <c r="AD576" s="275"/>
      <c r="AE576" s="275"/>
    </row>
    <row r="577" spans="15:31">
      <c r="O577" s="275"/>
      <c r="P577" s="275"/>
      <c r="Q577" s="275"/>
      <c r="R577" s="275"/>
      <c r="S577" s="275"/>
      <c r="T577" s="275"/>
      <c r="U577" s="275"/>
      <c r="V577" s="275"/>
      <c r="W577" s="275"/>
      <c r="X577" s="275"/>
      <c r="Y577" s="275"/>
      <c r="Z577" s="275"/>
      <c r="AA577" s="275"/>
      <c r="AB577" s="275"/>
      <c r="AC577" s="275"/>
      <c r="AD577" s="275"/>
      <c r="AE577" s="275"/>
    </row>
    <row r="578" spans="15:31">
      <c r="O578" s="275"/>
      <c r="P578" s="275"/>
      <c r="Q578" s="275"/>
      <c r="R578" s="275"/>
      <c r="S578" s="275"/>
      <c r="T578" s="275"/>
      <c r="U578" s="275"/>
      <c r="V578" s="275"/>
      <c r="W578" s="275"/>
      <c r="X578" s="275"/>
      <c r="Y578" s="275"/>
      <c r="Z578" s="275"/>
      <c r="AA578" s="275"/>
      <c r="AB578" s="275"/>
      <c r="AC578" s="275"/>
      <c r="AD578" s="275"/>
      <c r="AE578" s="275"/>
    </row>
    <row r="579" spans="15:31">
      <c r="O579" s="275"/>
      <c r="P579" s="275"/>
      <c r="Q579" s="275"/>
      <c r="R579" s="275"/>
      <c r="S579" s="275"/>
      <c r="T579" s="275"/>
      <c r="U579" s="275"/>
      <c r="V579" s="275"/>
      <c r="W579" s="275"/>
      <c r="X579" s="275"/>
      <c r="Y579" s="275"/>
      <c r="Z579" s="275"/>
      <c r="AA579" s="275"/>
      <c r="AB579" s="275"/>
      <c r="AC579" s="275"/>
      <c r="AD579" s="275"/>
      <c r="AE579" s="275"/>
    </row>
    <row r="580" spans="15:31">
      <c r="O580" s="275"/>
      <c r="P580" s="275"/>
      <c r="Q580" s="275"/>
      <c r="R580" s="275"/>
      <c r="S580" s="275"/>
      <c r="T580" s="275"/>
      <c r="U580" s="275"/>
      <c r="V580" s="275"/>
      <c r="W580" s="275"/>
      <c r="X580" s="275"/>
      <c r="Y580" s="275"/>
      <c r="Z580" s="275"/>
      <c r="AA580" s="275"/>
      <c r="AB580" s="275"/>
      <c r="AC580" s="275"/>
      <c r="AD580" s="275"/>
      <c r="AE580" s="275"/>
    </row>
    <row r="581" spans="15:31">
      <c r="O581" s="275"/>
      <c r="P581" s="275"/>
      <c r="Q581" s="275"/>
      <c r="R581" s="275"/>
      <c r="S581" s="275"/>
      <c r="T581" s="275"/>
      <c r="U581" s="275"/>
      <c r="V581" s="275"/>
      <c r="W581" s="275"/>
      <c r="X581" s="275"/>
      <c r="Y581" s="275"/>
      <c r="Z581" s="275"/>
      <c r="AA581" s="275"/>
      <c r="AB581" s="275"/>
      <c r="AC581" s="275"/>
      <c r="AD581" s="275"/>
      <c r="AE581" s="275"/>
    </row>
    <row r="582" spans="15:31">
      <c r="O582" s="275"/>
      <c r="P582" s="275"/>
      <c r="Q582" s="275"/>
      <c r="R582" s="275"/>
      <c r="S582" s="275"/>
      <c r="T582" s="275"/>
      <c r="U582" s="275"/>
      <c r="V582" s="275"/>
      <c r="W582" s="275"/>
      <c r="X582" s="275"/>
      <c r="Y582" s="275"/>
      <c r="Z582" s="275"/>
      <c r="AA582" s="275"/>
      <c r="AB582" s="275"/>
      <c r="AC582" s="275"/>
      <c r="AD582" s="275"/>
      <c r="AE582" s="275"/>
    </row>
    <row r="583" spans="15:31">
      <c r="O583" s="275"/>
      <c r="P583" s="275"/>
      <c r="Q583" s="275"/>
      <c r="R583" s="275"/>
      <c r="S583" s="275"/>
      <c r="T583" s="275"/>
      <c r="U583" s="275"/>
      <c r="V583" s="275"/>
      <c r="W583" s="275"/>
      <c r="X583" s="275"/>
      <c r="Y583" s="275"/>
      <c r="Z583" s="275"/>
      <c r="AA583" s="275"/>
      <c r="AB583" s="275"/>
      <c r="AC583" s="275"/>
      <c r="AD583" s="275"/>
      <c r="AE583" s="275"/>
    </row>
    <row r="584" spans="15:31">
      <c r="O584" s="275"/>
      <c r="P584" s="275"/>
      <c r="Q584" s="275"/>
      <c r="R584" s="275"/>
      <c r="S584" s="275"/>
      <c r="T584" s="275"/>
      <c r="U584" s="275"/>
      <c r="V584" s="275"/>
      <c r="W584" s="275"/>
      <c r="X584" s="275"/>
      <c r="Y584" s="275"/>
      <c r="Z584" s="275"/>
      <c r="AA584" s="275"/>
      <c r="AB584" s="275"/>
      <c r="AC584" s="275"/>
      <c r="AD584" s="275"/>
      <c r="AE584" s="275"/>
    </row>
    <row r="585" spans="15:31">
      <c r="O585" s="275"/>
      <c r="P585" s="275"/>
      <c r="Q585" s="275"/>
      <c r="R585" s="275"/>
      <c r="S585" s="275"/>
      <c r="T585" s="275"/>
      <c r="U585" s="275"/>
      <c r="V585" s="275"/>
      <c r="W585" s="275"/>
      <c r="X585" s="275"/>
      <c r="Y585" s="275"/>
      <c r="Z585" s="275"/>
      <c r="AA585" s="275"/>
      <c r="AB585" s="275"/>
      <c r="AC585" s="275"/>
      <c r="AD585" s="275"/>
      <c r="AE585" s="275"/>
    </row>
    <row r="586" spans="15:31">
      <c r="O586" s="275"/>
      <c r="P586" s="275"/>
      <c r="Q586" s="275"/>
      <c r="R586" s="275"/>
      <c r="S586" s="275"/>
      <c r="T586" s="275"/>
      <c r="U586" s="275"/>
      <c r="V586" s="275"/>
      <c r="W586" s="275"/>
      <c r="X586" s="275"/>
      <c r="Y586" s="275"/>
      <c r="Z586" s="275"/>
      <c r="AA586" s="275"/>
      <c r="AB586" s="275"/>
      <c r="AC586" s="275"/>
      <c r="AD586" s="275"/>
      <c r="AE586" s="275"/>
    </row>
    <row r="587" spans="15:31">
      <c r="O587" s="275"/>
      <c r="P587" s="275"/>
      <c r="Q587" s="275"/>
      <c r="R587" s="275"/>
      <c r="S587" s="275"/>
      <c r="T587" s="275"/>
      <c r="U587" s="275"/>
      <c r="V587" s="275"/>
      <c r="W587" s="275"/>
      <c r="X587" s="275"/>
      <c r="Y587" s="275"/>
      <c r="Z587" s="275"/>
      <c r="AA587" s="275"/>
      <c r="AB587" s="275"/>
      <c r="AC587" s="275"/>
      <c r="AD587" s="275"/>
      <c r="AE587" s="275"/>
    </row>
    <row r="588" spans="15:31">
      <c r="O588" s="275"/>
      <c r="P588" s="275"/>
      <c r="Q588" s="275"/>
      <c r="R588" s="275"/>
      <c r="S588" s="275"/>
      <c r="T588" s="275"/>
      <c r="U588" s="275"/>
      <c r="V588" s="275"/>
      <c r="W588" s="275"/>
      <c r="X588" s="275"/>
      <c r="Y588" s="275"/>
      <c r="Z588" s="275"/>
      <c r="AA588" s="275"/>
      <c r="AB588" s="275"/>
      <c r="AC588" s="275"/>
      <c r="AD588" s="275"/>
      <c r="AE588" s="275"/>
    </row>
    <row r="589" spans="15:31">
      <c r="O589" s="275"/>
      <c r="P589" s="275"/>
      <c r="Q589" s="275"/>
      <c r="R589" s="275"/>
      <c r="S589" s="275"/>
      <c r="T589" s="275"/>
      <c r="U589" s="275"/>
      <c r="V589" s="275"/>
      <c r="W589" s="275"/>
      <c r="X589" s="275"/>
      <c r="Y589" s="275"/>
      <c r="Z589" s="275"/>
      <c r="AA589" s="275"/>
      <c r="AB589" s="275"/>
      <c r="AC589" s="275"/>
      <c r="AD589" s="275"/>
      <c r="AE589" s="275"/>
    </row>
    <row r="590" spans="15:31">
      <c r="O590" s="275"/>
      <c r="P590" s="275"/>
      <c r="Q590" s="275"/>
      <c r="R590" s="275"/>
      <c r="S590" s="275"/>
      <c r="T590" s="275"/>
      <c r="U590" s="275"/>
      <c r="V590" s="275"/>
      <c r="W590" s="275"/>
      <c r="X590" s="275"/>
      <c r="Y590" s="275"/>
      <c r="Z590" s="275"/>
      <c r="AA590" s="275"/>
      <c r="AB590" s="275"/>
      <c r="AC590" s="275"/>
      <c r="AD590" s="275"/>
      <c r="AE590" s="275"/>
    </row>
    <row r="591" spans="15:31">
      <c r="O591" s="275"/>
      <c r="P591" s="275"/>
      <c r="Q591" s="275"/>
      <c r="R591" s="275"/>
      <c r="S591" s="275"/>
      <c r="T591" s="275"/>
      <c r="U591" s="275"/>
      <c r="V591" s="275"/>
      <c r="W591" s="275"/>
      <c r="X591" s="275"/>
      <c r="Y591" s="275"/>
      <c r="Z591" s="275"/>
      <c r="AA591" s="275"/>
      <c r="AB591" s="275"/>
      <c r="AC591" s="275"/>
      <c r="AD591" s="275"/>
      <c r="AE591" s="275"/>
    </row>
    <row r="592" spans="15:31">
      <c r="O592" s="275"/>
      <c r="P592" s="275"/>
      <c r="Q592" s="275"/>
      <c r="R592" s="275"/>
      <c r="S592" s="275"/>
      <c r="T592" s="275"/>
      <c r="U592" s="275"/>
      <c r="V592" s="275"/>
      <c r="W592" s="275"/>
      <c r="X592" s="275"/>
      <c r="Y592" s="275"/>
      <c r="Z592" s="275"/>
      <c r="AA592" s="275"/>
      <c r="AB592" s="275"/>
      <c r="AC592" s="275"/>
      <c r="AD592" s="275"/>
      <c r="AE592" s="275"/>
    </row>
    <row r="593" spans="15:31">
      <c r="O593" s="275"/>
      <c r="P593" s="275"/>
      <c r="Q593" s="275"/>
      <c r="R593" s="275"/>
      <c r="S593" s="275"/>
      <c r="T593" s="275"/>
      <c r="U593" s="275"/>
      <c r="V593" s="275"/>
      <c r="W593" s="275"/>
      <c r="X593" s="275"/>
      <c r="Y593" s="275"/>
      <c r="Z593" s="275"/>
      <c r="AA593" s="275"/>
      <c r="AB593" s="275"/>
      <c r="AC593" s="275"/>
      <c r="AD593" s="275"/>
      <c r="AE593" s="275"/>
    </row>
    <row r="594" spans="15:31">
      <c r="O594" s="275"/>
      <c r="P594" s="275"/>
      <c r="Q594" s="275"/>
      <c r="R594" s="275"/>
      <c r="S594" s="275"/>
      <c r="T594" s="275"/>
      <c r="U594" s="275"/>
      <c r="V594" s="275"/>
      <c r="W594" s="275"/>
      <c r="X594" s="275"/>
      <c r="Y594" s="275"/>
      <c r="Z594" s="275"/>
      <c r="AA594" s="275"/>
      <c r="AB594" s="275"/>
      <c r="AC594" s="275"/>
      <c r="AD594" s="275"/>
      <c r="AE594" s="275"/>
    </row>
    <row r="595" spans="15:31">
      <c r="O595" s="275"/>
      <c r="P595" s="275"/>
      <c r="Q595" s="275"/>
      <c r="R595" s="275"/>
      <c r="S595" s="275"/>
      <c r="T595" s="275"/>
      <c r="U595" s="275"/>
      <c r="V595" s="275"/>
      <c r="W595" s="275"/>
      <c r="X595" s="275"/>
      <c r="Y595" s="275"/>
      <c r="Z595" s="275"/>
      <c r="AA595" s="275"/>
      <c r="AB595" s="275"/>
      <c r="AC595" s="275"/>
      <c r="AD595" s="275"/>
      <c r="AE595" s="275"/>
    </row>
    <row r="596" spans="15:31">
      <c r="O596" s="275"/>
      <c r="P596" s="275"/>
      <c r="Q596" s="275"/>
      <c r="R596" s="275"/>
      <c r="S596" s="275"/>
      <c r="T596" s="275"/>
      <c r="U596" s="275"/>
      <c r="V596" s="275"/>
      <c r="W596" s="275"/>
      <c r="X596" s="275"/>
      <c r="Y596" s="275"/>
      <c r="Z596" s="275"/>
      <c r="AA596" s="275"/>
      <c r="AB596" s="275"/>
      <c r="AC596" s="275"/>
      <c r="AD596" s="275"/>
      <c r="AE596" s="275"/>
    </row>
    <row r="597" spans="15:31">
      <c r="O597" s="275"/>
      <c r="P597" s="275"/>
      <c r="Q597" s="275"/>
      <c r="R597" s="275"/>
      <c r="S597" s="275"/>
      <c r="T597" s="275"/>
      <c r="U597" s="275"/>
      <c r="V597" s="275"/>
      <c r="W597" s="275"/>
      <c r="X597" s="275"/>
      <c r="Y597" s="275"/>
      <c r="Z597" s="275"/>
      <c r="AA597" s="275"/>
      <c r="AB597" s="275"/>
      <c r="AC597" s="275"/>
      <c r="AD597" s="275"/>
      <c r="AE597" s="275"/>
    </row>
    <row r="598" spans="15:31">
      <c r="O598" s="275"/>
      <c r="P598" s="275"/>
      <c r="Q598" s="275"/>
      <c r="R598" s="275"/>
      <c r="S598" s="275"/>
      <c r="T598" s="275"/>
      <c r="U598" s="275"/>
      <c r="V598" s="275"/>
      <c r="W598" s="275"/>
      <c r="X598" s="275"/>
      <c r="Y598" s="275"/>
      <c r="Z598" s="275"/>
      <c r="AA598" s="275"/>
      <c r="AB598" s="275"/>
      <c r="AC598" s="275"/>
      <c r="AD598" s="275"/>
      <c r="AE598" s="275"/>
    </row>
    <row r="599" spans="15:31">
      <c r="O599" s="275"/>
      <c r="P599" s="275"/>
      <c r="Q599" s="275"/>
      <c r="R599" s="275"/>
      <c r="S599" s="275"/>
      <c r="T599" s="275"/>
      <c r="U599" s="275"/>
      <c r="V599" s="275"/>
      <c r="W599" s="275"/>
      <c r="X599" s="275"/>
      <c r="Y599" s="275"/>
      <c r="Z599" s="275"/>
      <c r="AA599" s="275"/>
      <c r="AB599" s="275"/>
      <c r="AC599" s="275"/>
      <c r="AD599" s="275"/>
      <c r="AE599" s="275"/>
    </row>
    <row r="600" spans="15:31">
      <c r="O600" s="275"/>
      <c r="P600" s="275"/>
      <c r="Q600" s="275"/>
      <c r="R600" s="275"/>
      <c r="S600" s="275"/>
      <c r="T600" s="275"/>
      <c r="U600" s="275"/>
      <c r="V600" s="275"/>
      <c r="W600" s="275"/>
      <c r="X600" s="275"/>
      <c r="Y600" s="275"/>
      <c r="Z600" s="275"/>
      <c r="AA600" s="275"/>
      <c r="AB600" s="275"/>
      <c r="AC600" s="275"/>
      <c r="AD600" s="275"/>
      <c r="AE600" s="275"/>
    </row>
    <row r="601" spans="15:31">
      <c r="O601" s="275"/>
      <c r="P601" s="275"/>
      <c r="Q601" s="275"/>
      <c r="R601" s="275"/>
      <c r="S601" s="275"/>
      <c r="T601" s="275"/>
      <c r="U601" s="275"/>
      <c r="V601" s="275"/>
      <c r="W601" s="275"/>
      <c r="X601" s="275"/>
      <c r="Y601" s="275"/>
      <c r="Z601" s="275"/>
      <c r="AA601" s="275"/>
      <c r="AB601" s="275"/>
      <c r="AC601" s="275"/>
      <c r="AD601" s="275"/>
      <c r="AE601" s="275"/>
    </row>
    <row r="602" spans="15:31">
      <c r="O602" s="275"/>
      <c r="P602" s="275"/>
      <c r="Q602" s="275"/>
      <c r="R602" s="275"/>
      <c r="S602" s="275"/>
      <c r="T602" s="275"/>
      <c r="U602" s="275"/>
      <c r="V602" s="275"/>
      <c r="W602" s="275"/>
      <c r="X602" s="275"/>
      <c r="Y602" s="275"/>
      <c r="Z602" s="275"/>
      <c r="AA602" s="275"/>
      <c r="AB602" s="275"/>
      <c r="AC602" s="275"/>
      <c r="AD602" s="275"/>
      <c r="AE602" s="275"/>
    </row>
    <row r="603" spans="15:31">
      <c r="O603" s="275"/>
      <c r="P603" s="275"/>
      <c r="Q603" s="275"/>
      <c r="R603" s="275"/>
      <c r="S603" s="275"/>
      <c r="T603" s="275"/>
      <c r="U603" s="275"/>
      <c r="V603" s="275"/>
      <c r="W603" s="275"/>
      <c r="X603" s="275"/>
      <c r="Y603" s="275"/>
      <c r="Z603" s="275"/>
      <c r="AA603" s="275"/>
      <c r="AB603" s="275"/>
      <c r="AC603" s="275"/>
      <c r="AD603" s="275"/>
      <c r="AE603" s="275"/>
    </row>
    <row r="604" spans="15:31">
      <c r="O604" s="275"/>
      <c r="P604" s="275"/>
      <c r="Q604" s="275"/>
      <c r="R604" s="275"/>
      <c r="S604" s="275"/>
      <c r="T604" s="275"/>
      <c r="U604" s="275"/>
      <c r="V604" s="275"/>
      <c r="W604" s="275"/>
      <c r="X604" s="275"/>
      <c r="Y604" s="275"/>
      <c r="Z604" s="275"/>
      <c r="AA604" s="275"/>
      <c r="AB604" s="275"/>
      <c r="AC604" s="275"/>
      <c r="AD604" s="275"/>
      <c r="AE604" s="275"/>
    </row>
    <row r="605" spans="15:31">
      <c r="O605" s="275"/>
      <c r="P605" s="275"/>
      <c r="Q605" s="275"/>
      <c r="R605" s="275"/>
      <c r="S605" s="275"/>
      <c r="T605" s="275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</row>
    <row r="606" spans="15:31">
      <c r="O606" s="275"/>
      <c r="P606" s="275"/>
      <c r="Q606" s="275"/>
      <c r="R606" s="275"/>
      <c r="S606" s="275"/>
      <c r="T606" s="275"/>
      <c r="U606" s="275"/>
      <c r="V606" s="275"/>
      <c r="W606" s="275"/>
      <c r="X606" s="275"/>
      <c r="Y606" s="275"/>
      <c r="Z606" s="275"/>
      <c r="AA606" s="275"/>
      <c r="AB606" s="275"/>
      <c r="AC606" s="275"/>
      <c r="AD606" s="275"/>
      <c r="AE606" s="275"/>
    </row>
    <row r="607" spans="15:31">
      <c r="O607" s="275"/>
      <c r="P607" s="275"/>
      <c r="Q607" s="275"/>
      <c r="R607" s="275"/>
      <c r="S607" s="275"/>
      <c r="T607" s="275"/>
      <c r="U607" s="275"/>
      <c r="V607" s="275"/>
      <c r="W607" s="275"/>
      <c r="X607" s="275"/>
      <c r="Y607" s="275"/>
      <c r="Z607" s="275"/>
      <c r="AA607" s="275"/>
      <c r="AB607" s="275"/>
      <c r="AC607" s="275"/>
      <c r="AD607" s="275"/>
      <c r="AE607" s="275"/>
    </row>
    <row r="608" spans="15:31">
      <c r="O608" s="275"/>
      <c r="P608" s="275"/>
      <c r="Q608" s="275"/>
      <c r="R608" s="275"/>
      <c r="S608" s="275"/>
      <c r="T608" s="275"/>
      <c r="U608" s="275"/>
      <c r="V608" s="275"/>
      <c r="W608" s="275"/>
      <c r="X608" s="275"/>
      <c r="Y608" s="275"/>
      <c r="Z608" s="275"/>
      <c r="AA608" s="275"/>
      <c r="AB608" s="275"/>
      <c r="AC608" s="275"/>
      <c r="AD608" s="275"/>
      <c r="AE608" s="275"/>
    </row>
    <row r="609" spans="15:31">
      <c r="O609" s="275"/>
      <c r="P609" s="275"/>
      <c r="Q609" s="275"/>
      <c r="R609" s="275"/>
      <c r="S609" s="275"/>
      <c r="T609" s="275"/>
      <c r="U609" s="275"/>
      <c r="V609" s="275"/>
      <c r="W609" s="275"/>
      <c r="X609" s="275"/>
      <c r="Y609" s="275"/>
      <c r="Z609" s="275"/>
      <c r="AA609" s="275"/>
      <c r="AB609" s="275"/>
      <c r="AC609" s="275"/>
      <c r="AD609" s="275"/>
      <c r="AE609" s="275"/>
    </row>
    <row r="610" spans="15:31">
      <c r="O610" s="275"/>
      <c r="P610" s="275"/>
      <c r="Q610" s="275"/>
      <c r="R610" s="275"/>
      <c r="S610" s="275"/>
      <c r="T610" s="275"/>
      <c r="U610" s="275"/>
      <c r="V610" s="275"/>
      <c r="W610" s="275"/>
      <c r="X610" s="275"/>
      <c r="Y610" s="275"/>
      <c r="Z610" s="275"/>
      <c r="AA610" s="275"/>
      <c r="AB610" s="275"/>
      <c r="AC610" s="275"/>
      <c r="AD610" s="275"/>
      <c r="AE610" s="275"/>
    </row>
    <row r="611" spans="15:31">
      <c r="O611" s="275"/>
      <c r="P611" s="275"/>
      <c r="Q611" s="275"/>
      <c r="R611" s="275"/>
      <c r="S611" s="275"/>
      <c r="T611" s="275"/>
      <c r="U611" s="275"/>
      <c r="V611" s="275"/>
      <c r="W611" s="275"/>
      <c r="X611" s="275"/>
      <c r="Y611" s="275"/>
      <c r="Z611" s="275"/>
      <c r="AA611" s="275"/>
      <c r="AB611" s="275"/>
      <c r="AC611" s="275"/>
      <c r="AD611" s="275"/>
      <c r="AE611" s="275"/>
    </row>
    <row r="612" spans="15:31">
      <c r="O612" s="275"/>
      <c r="P612" s="275"/>
      <c r="Q612" s="275"/>
      <c r="R612" s="275"/>
      <c r="S612" s="275"/>
      <c r="T612" s="275"/>
      <c r="U612" s="275"/>
      <c r="V612" s="275"/>
      <c r="W612" s="275"/>
      <c r="X612" s="275"/>
      <c r="Y612" s="275"/>
      <c r="Z612" s="275"/>
      <c r="AA612" s="275"/>
      <c r="AB612" s="275"/>
      <c r="AC612" s="275"/>
      <c r="AD612" s="275"/>
      <c r="AE612" s="275"/>
    </row>
    <row r="613" spans="15:31">
      <c r="O613" s="275"/>
      <c r="P613" s="275"/>
      <c r="Q613" s="275"/>
      <c r="R613" s="275"/>
      <c r="S613" s="275"/>
      <c r="T613" s="275"/>
      <c r="U613" s="275"/>
      <c r="V613" s="275"/>
      <c r="W613" s="275"/>
      <c r="X613" s="275"/>
      <c r="Y613" s="275"/>
      <c r="Z613" s="275"/>
      <c r="AA613" s="275"/>
      <c r="AB613" s="275"/>
      <c r="AC613" s="275"/>
      <c r="AD613" s="275"/>
      <c r="AE613" s="275"/>
    </row>
    <row r="614" spans="15:31">
      <c r="O614" s="275"/>
      <c r="P614" s="275"/>
      <c r="Q614" s="275"/>
      <c r="R614" s="275"/>
      <c r="S614" s="275"/>
      <c r="T614" s="275"/>
      <c r="U614" s="275"/>
      <c r="V614" s="275"/>
      <c r="W614" s="275"/>
      <c r="X614" s="275"/>
      <c r="Y614" s="275"/>
      <c r="Z614" s="275"/>
      <c r="AA614" s="275"/>
      <c r="AB614" s="275"/>
      <c r="AC614" s="275"/>
      <c r="AD614" s="275"/>
      <c r="AE614" s="275"/>
    </row>
    <row r="615" spans="15:31">
      <c r="O615" s="275"/>
      <c r="P615" s="275"/>
      <c r="Q615" s="275"/>
      <c r="R615" s="275"/>
      <c r="S615" s="275"/>
      <c r="T615" s="275"/>
      <c r="U615" s="275"/>
      <c r="V615" s="275"/>
      <c r="W615" s="275"/>
      <c r="X615" s="275"/>
      <c r="Y615" s="275"/>
      <c r="Z615" s="275"/>
      <c r="AA615" s="275"/>
      <c r="AB615" s="275"/>
      <c r="AC615" s="275"/>
      <c r="AD615" s="275"/>
      <c r="AE615" s="275"/>
    </row>
    <row r="616" spans="15:31">
      <c r="O616" s="275"/>
      <c r="P616" s="275"/>
      <c r="Q616" s="275"/>
      <c r="R616" s="275"/>
      <c r="S616" s="275"/>
      <c r="T616" s="275"/>
      <c r="U616" s="275"/>
      <c r="V616" s="275"/>
      <c r="W616" s="275"/>
      <c r="X616" s="275"/>
      <c r="Y616" s="275"/>
      <c r="Z616" s="275"/>
      <c r="AA616" s="275"/>
      <c r="AB616" s="275"/>
      <c r="AC616" s="275"/>
      <c r="AD616" s="275"/>
      <c r="AE616" s="275"/>
    </row>
    <row r="617" spans="15:31">
      <c r="O617" s="275"/>
      <c r="P617" s="275"/>
      <c r="Q617" s="275"/>
      <c r="R617" s="275"/>
      <c r="S617" s="275"/>
      <c r="T617" s="275"/>
      <c r="U617" s="275"/>
      <c r="V617" s="275"/>
      <c r="W617" s="275"/>
      <c r="X617" s="275"/>
      <c r="Y617" s="275"/>
      <c r="Z617" s="275"/>
      <c r="AA617" s="275"/>
      <c r="AB617" s="275"/>
      <c r="AC617" s="275"/>
      <c r="AD617" s="275"/>
      <c r="AE617" s="275"/>
    </row>
    <row r="618" spans="15:31">
      <c r="O618" s="275"/>
      <c r="P618" s="275"/>
      <c r="Q618" s="275"/>
      <c r="R618" s="275"/>
      <c r="S618" s="275"/>
      <c r="T618" s="275"/>
      <c r="U618" s="275"/>
      <c r="V618" s="275"/>
      <c r="W618" s="275"/>
      <c r="X618" s="275"/>
      <c r="Y618" s="275"/>
      <c r="Z618" s="275"/>
      <c r="AA618" s="275"/>
      <c r="AB618" s="275"/>
      <c r="AC618" s="275"/>
      <c r="AD618" s="275"/>
      <c r="AE618" s="275"/>
    </row>
    <row r="619" spans="15:31">
      <c r="O619" s="275"/>
      <c r="P619" s="275"/>
      <c r="Q619" s="275"/>
      <c r="R619" s="275"/>
      <c r="S619" s="275"/>
      <c r="T619" s="275"/>
      <c r="U619" s="275"/>
      <c r="V619" s="275"/>
      <c r="W619" s="275"/>
      <c r="X619" s="275"/>
      <c r="Y619" s="275"/>
      <c r="Z619" s="275"/>
      <c r="AA619" s="275"/>
      <c r="AB619" s="275"/>
      <c r="AC619" s="275"/>
      <c r="AD619" s="275"/>
      <c r="AE619" s="275"/>
    </row>
    <row r="620" spans="15:31">
      <c r="O620" s="275"/>
      <c r="P620" s="275"/>
      <c r="Q620" s="275"/>
      <c r="R620" s="275"/>
      <c r="S620" s="275"/>
      <c r="T620" s="275"/>
      <c r="U620" s="275"/>
      <c r="V620" s="275"/>
      <c r="W620" s="275"/>
      <c r="X620" s="275"/>
      <c r="Y620" s="275"/>
      <c r="Z620" s="275"/>
      <c r="AA620" s="275"/>
      <c r="AB620" s="275"/>
      <c r="AC620" s="275"/>
      <c r="AD620" s="275"/>
      <c r="AE620" s="275"/>
    </row>
    <row r="621" spans="15:31">
      <c r="O621" s="275"/>
      <c r="P621" s="275"/>
      <c r="Q621" s="275"/>
      <c r="R621" s="275"/>
      <c r="S621" s="275"/>
      <c r="T621" s="275"/>
      <c r="U621" s="275"/>
      <c r="V621" s="275"/>
      <c r="W621" s="275"/>
      <c r="X621" s="275"/>
      <c r="Y621" s="275"/>
      <c r="Z621" s="275"/>
      <c r="AA621" s="275"/>
      <c r="AB621" s="275"/>
      <c r="AC621" s="275"/>
      <c r="AD621" s="275"/>
      <c r="AE621" s="275"/>
    </row>
    <row r="622" spans="15:31">
      <c r="O622" s="275"/>
      <c r="P622" s="275"/>
      <c r="Q622" s="275"/>
      <c r="R622" s="275"/>
      <c r="S622" s="275"/>
      <c r="T622" s="275"/>
      <c r="U622" s="275"/>
      <c r="V622" s="275"/>
      <c r="W622" s="275"/>
      <c r="X622" s="275"/>
      <c r="Y622" s="275"/>
      <c r="Z622" s="275"/>
      <c r="AA622" s="275"/>
      <c r="AB622" s="275"/>
      <c r="AC622" s="275"/>
      <c r="AD622" s="275"/>
      <c r="AE622" s="275"/>
    </row>
    <row r="623" spans="15:31">
      <c r="O623" s="275"/>
      <c r="P623" s="275"/>
      <c r="Q623" s="275"/>
      <c r="R623" s="275"/>
      <c r="S623" s="275"/>
      <c r="T623" s="275"/>
      <c r="U623" s="275"/>
      <c r="V623" s="275"/>
      <c r="W623" s="275"/>
      <c r="X623" s="275"/>
      <c r="Y623" s="275"/>
      <c r="Z623" s="275"/>
      <c r="AA623" s="275"/>
      <c r="AB623" s="275"/>
      <c r="AC623" s="275"/>
      <c r="AD623" s="275"/>
      <c r="AE623" s="275"/>
    </row>
    <row r="624" spans="15:31">
      <c r="O624" s="275"/>
      <c r="P624" s="275"/>
      <c r="Q624" s="275"/>
      <c r="R624" s="275"/>
      <c r="S624" s="275"/>
      <c r="T624" s="275"/>
      <c r="U624" s="275"/>
      <c r="V624" s="275"/>
      <c r="W624" s="275"/>
      <c r="X624" s="275"/>
      <c r="Y624" s="275"/>
      <c r="Z624" s="275"/>
      <c r="AA624" s="275"/>
      <c r="AB624" s="275"/>
      <c r="AC624" s="275"/>
      <c r="AD624" s="275"/>
      <c r="AE624" s="275"/>
    </row>
    <row r="625" spans="15:31">
      <c r="O625" s="275"/>
      <c r="P625" s="275"/>
      <c r="Q625" s="275"/>
      <c r="R625" s="275"/>
      <c r="S625" s="275"/>
      <c r="T625" s="275"/>
      <c r="U625" s="275"/>
      <c r="V625" s="275"/>
      <c r="W625" s="275"/>
      <c r="X625" s="275"/>
      <c r="Y625" s="275"/>
      <c r="Z625" s="275"/>
      <c r="AA625" s="275"/>
      <c r="AB625" s="275"/>
      <c r="AC625" s="275"/>
      <c r="AD625" s="275"/>
      <c r="AE625" s="275"/>
    </row>
    <row r="626" spans="15:31">
      <c r="O626" s="275"/>
      <c r="P626" s="275"/>
      <c r="Q626" s="275"/>
      <c r="R626" s="275"/>
      <c r="S626" s="275"/>
      <c r="T626" s="275"/>
      <c r="U626" s="275"/>
      <c r="V626" s="275"/>
      <c r="W626" s="275"/>
      <c r="X626" s="275"/>
      <c r="Y626" s="275"/>
      <c r="Z626" s="275"/>
      <c r="AA626" s="275"/>
      <c r="AB626" s="275"/>
      <c r="AC626" s="275"/>
      <c r="AD626" s="275"/>
      <c r="AE626" s="275"/>
    </row>
    <row r="627" spans="15:31">
      <c r="O627" s="275"/>
      <c r="P627" s="275"/>
      <c r="Q627" s="275"/>
      <c r="R627" s="275"/>
      <c r="S627" s="275"/>
      <c r="T627" s="275"/>
      <c r="U627" s="275"/>
      <c r="V627" s="275"/>
      <c r="W627" s="275"/>
      <c r="X627" s="275"/>
      <c r="Y627" s="275"/>
      <c r="Z627" s="275"/>
      <c r="AA627" s="275"/>
      <c r="AB627" s="275"/>
      <c r="AC627" s="275"/>
      <c r="AD627" s="275"/>
      <c r="AE627" s="275"/>
    </row>
    <row r="628" spans="15:31">
      <c r="O628" s="275"/>
      <c r="P628" s="275"/>
      <c r="Q628" s="275"/>
      <c r="R628" s="275"/>
      <c r="S628" s="275"/>
      <c r="T628" s="275"/>
      <c r="U628" s="275"/>
      <c r="V628" s="275"/>
      <c r="W628" s="275"/>
      <c r="X628" s="275"/>
      <c r="Y628" s="275"/>
      <c r="Z628" s="275"/>
      <c r="AA628" s="275"/>
      <c r="AB628" s="275"/>
      <c r="AC628" s="275"/>
      <c r="AD628" s="275"/>
      <c r="AE628" s="275"/>
    </row>
    <row r="629" spans="15:31">
      <c r="O629" s="275"/>
      <c r="P629" s="275"/>
      <c r="Q629" s="275"/>
      <c r="R629" s="275"/>
      <c r="S629" s="275"/>
      <c r="T629" s="275"/>
      <c r="U629" s="275"/>
      <c r="V629" s="275"/>
      <c r="W629" s="275"/>
      <c r="X629" s="275"/>
      <c r="Y629" s="275"/>
      <c r="Z629" s="275"/>
      <c r="AA629" s="275"/>
      <c r="AB629" s="275"/>
      <c r="AC629" s="275"/>
      <c r="AD629" s="275"/>
      <c r="AE629" s="275"/>
    </row>
    <row r="630" spans="15:31">
      <c r="O630" s="275"/>
      <c r="P630" s="275"/>
      <c r="Q630" s="275"/>
      <c r="R630" s="275"/>
      <c r="S630" s="275"/>
      <c r="T630" s="275"/>
      <c r="U630" s="275"/>
      <c r="V630" s="275"/>
      <c r="W630" s="275"/>
      <c r="X630" s="275"/>
      <c r="Y630" s="275"/>
      <c r="Z630" s="275"/>
      <c r="AA630" s="275"/>
      <c r="AB630" s="275"/>
      <c r="AC630" s="275"/>
      <c r="AD630" s="275"/>
      <c r="AE630" s="275"/>
    </row>
    <row r="631" spans="15:31">
      <c r="O631" s="275"/>
      <c r="P631" s="275"/>
      <c r="Q631" s="275"/>
      <c r="R631" s="275"/>
      <c r="S631" s="275"/>
      <c r="T631" s="275"/>
      <c r="U631" s="275"/>
      <c r="V631" s="275"/>
      <c r="W631" s="275"/>
      <c r="X631" s="275"/>
      <c r="Y631" s="275"/>
      <c r="Z631" s="275"/>
      <c r="AA631" s="275"/>
      <c r="AB631" s="275"/>
      <c r="AC631" s="275"/>
      <c r="AD631" s="275"/>
      <c r="AE631" s="275"/>
    </row>
    <row r="632" spans="15:31">
      <c r="O632" s="275"/>
      <c r="P632" s="275"/>
      <c r="Q632" s="275"/>
      <c r="R632" s="275"/>
      <c r="S632" s="275"/>
      <c r="T632" s="275"/>
      <c r="U632" s="275"/>
      <c r="V632" s="275"/>
      <c r="W632" s="275"/>
      <c r="X632" s="275"/>
      <c r="Y632" s="275"/>
      <c r="Z632" s="275"/>
      <c r="AA632" s="275"/>
      <c r="AB632" s="275"/>
      <c r="AC632" s="275"/>
      <c r="AD632" s="275"/>
      <c r="AE632" s="275"/>
    </row>
    <row r="633" spans="15:31">
      <c r="O633" s="275"/>
      <c r="P633" s="275"/>
      <c r="Q633" s="275"/>
      <c r="R633" s="275"/>
      <c r="S633" s="275"/>
      <c r="T633" s="275"/>
      <c r="U633" s="275"/>
      <c r="V633" s="275"/>
      <c r="W633" s="275"/>
      <c r="X633" s="275"/>
      <c r="Y633" s="275"/>
      <c r="Z633" s="275"/>
      <c r="AA633" s="275"/>
      <c r="AB633" s="275"/>
      <c r="AC633" s="275"/>
      <c r="AD633" s="275"/>
      <c r="AE633" s="275"/>
    </row>
    <row r="634" spans="15:31">
      <c r="O634" s="275"/>
      <c r="P634" s="275"/>
      <c r="Q634" s="275"/>
      <c r="R634" s="275"/>
      <c r="S634" s="275"/>
      <c r="T634" s="275"/>
      <c r="U634" s="275"/>
      <c r="V634" s="275"/>
      <c r="W634" s="275"/>
      <c r="X634" s="275"/>
      <c r="Y634" s="275"/>
      <c r="Z634" s="275"/>
      <c r="AA634" s="275"/>
      <c r="AB634" s="275"/>
      <c r="AC634" s="275"/>
      <c r="AD634" s="275"/>
      <c r="AE634" s="275"/>
    </row>
    <row r="635" spans="15:31">
      <c r="O635" s="275"/>
      <c r="P635" s="275"/>
      <c r="Q635" s="275"/>
      <c r="R635" s="275"/>
      <c r="S635" s="275"/>
      <c r="T635" s="275"/>
      <c r="U635" s="275"/>
      <c r="V635" s="275"/>
      <c r="W635" s="275"/>
      <c r="X635" s="275"/>
      <c r="Y635" s="275"/>
      <c r="Z635" s="275"/>
      <c r="AA635" s="275"/>
      <c r="AB635" s="275"/>
      <c r="AC635" s="275"/>
      <c r="AD635" s="275"/>
      <c r="AE635" s="275"/>
    </row>
    <row r="636" spans="15:31">
      <c r="O636" s="275"/>
      <c r="P636" s="275"/>
      <c r="Q636" s="275"/>
      <c r="R636" s="275"/>
      <c r="S636" s="275"/>
      <c r="T636" s="275"/>
      <c r="U636" s="275"/>
      <c r="V636" s="275"/>
      <c r="W636" s="275"/>
      <c r="X636" s="275"/>
      <c r="Y636" s="275"/>
      <c r="Z636" s="275"/>
      <c r="AA636" s="275"/>
      <c r="AB636" s="275"/>
      <c r="AC636" s="275"/>
      <c r="AD636" s="275"/>
      <c r="AE636" s="275"/>
    </row>
    <row r="637" spans="15:31">
      <c r="O637" s="275"/>
      <c r="P637" s="275"/>
      <c r="Q637" s="275"/>
      <c r="R637" s="275"/>
      <c r="S637" s="275"/>
      <c r="T637" s="275"/>
      <c r="U637" s="275"/>
      <c r="V637" s="275"/>
      <c r="W637" s="275"/>
      <c r="X637" s="275"/>
      <c r="Y637" s="275"/>
      <c r="Z637" s="275"/>
      <c r="AA637" s="275"/>
      <c r="AB637" s="275"/>
      <c r="AC637" s="275"/>
      <c r="AD637" s="275"/>
      <c r="AE637" s="275"/>
    </row>
    <row r="638" spans="15:31">
      <c r="O638" s="275"/>
      <c r="P638" s="275"/>
      <c r="Q638" s="275"/>
      <c r="R638" s="275"/>
      <c r="S638" s="275"/>
      <c r="T638" s="275"/>
      <c r="U638" s="275"/>
      <c r="V638" s="275"/>
      <c r="W638" s="275"/>
      <c r="X638" s="275"/>
      <c r="Y638" s="275"/>
      <c r="Z638" s="275"/>
      <c r="AA638" s="275"/>
      <c r="AB638" s="275"/>
      <c r="AC638" s="275"/>
      <c r="AD638" s="275"/>
      <c r="AE638" s="275"/>
    </row>
    <row r="639" spans="15:31">
      <c r="O639" s="275"/>
      <c r="P639" s="275"/>
      <c r="Q639" s="275"/>
      <c r="R639" s="275"/>
      <c r="S639" s="275"/>
      <c r="T639" s="275"/>
      <c r="U639" s="275"/>
      <c r="V639" s="275"/>
      <c r="W639" s="275"/>
      <c r="X639" s="275"/>
      <c r="Y639" s="275"/>
      <c r="Z639" s="275"/>
      <c r="AA639" s="275"/>
      <c r="AB639" s="275"/>
      <c r="AC639" s="275"/>
      <c r="AD639" s="275"/>
      <c r="AE639" s="275"/>
    </row>
    <row r="640" spans="15:31">
      <c r="O640" s="275"/>
      <c r="P640" s="275"/>
      <c r="Q640" s="275"/>
      <c r="R640" s="275"/>
      <c r="S640" s="275"/>
      <c r="T640" s="275"/>
      <c r="U640" s="275"/>
      <c r="V640" s="275"/>
      <c r="W640" s="275"/>
      <c r="X640" s="275"/>
      <c r="Y640" s="275"/>
      <c r="Z640" s="275"/>
      <c r="AA640" s="275"/>
      <c r="AB640" s="275"/>
      <c r="AC640" s="275"/>
      <c r="AD640" s="275"/>
      <c r="AE640" s="275"/>
    </row>
    <row r="641" spans="15:31">
      <c r="O641" s="275"/>
      <c r="P641" s="275"/>
      <c r="Q641" s="275"/>
      <c r="R641" s="275"/>
      <c r="S641" s="275"/>
      <c r="T641" s="275"/>
      <c r="U641" s="275"/>
      <c r="V641" s="275"/>
      <c r="W641" s="275"/>
      <c r="X641" s="275"/>
      <c r="Y641" s="275"/>
      <c r="Z641" s="275"/>
      <c r="AA641" s="275"/>
      <c r="AB641" s="275"/>
      <c r="AC641" s="275"/>
      <c r="AD641" s="275"/>
      <c r="AE641" s="275"/>
    </row>
    <row r="642" spans="15:31">
      <c r="O642" s="275"/>
      <c r="P642" s="275"/>
      <c r="Q642" s="275"/>
      <c r="R642" s="275"/>
      <c r="S642" s="275"/>
      <c r="T642" s="275"/>
      <c r="U642" s="275"/>
      <c r="V642" s="275"/>
      <c r="W642" s="275"/>
      <c r="X642" s="275"/>
      <c r="Y642" s="275"/>
      <c r="Z642" s="275"/>
      <c r="AA642" s="275"/>
      <c r="AB642" s="275"/>
      <c r="AC642" s="275"/>
      <c r="AD642" s="275"/>
      <c r="AE642" s="275"/>
    </row>
    <row r="643" spans="15:31">
      <c r="O643" s="275"/>
      <c r="P643" s="275"/>
      <c r="Q643" s="275"/>
      <c r="R643" s="275"/>
      <c r="S643" s="275"/>
      <c r="T643" s="275"/>
      <c r="U643" s="275"/>
      <c r="V643" s="275"/>
      <c r="W643" s="275"/>
      <c r="X643" s="275"/>
      <c r="Y643" s="275"/>
      <c r="Z643" s="275"/>
      <c r="AA643" s="275"/>
      <c r="AB643" s="275"/>
      <c r="AC643" s="275"/>
      <c r="AD643" s="275"/>
      <c r="AE643" s="275"/>
    </row>
    <row r="644" spans="15:31">
      <c r="O644" s="275"/>
      <c r="P644" s="275"/>
      <c r="Q644" s="275"/>
      <c r="R644" s="275"/>
      <c r="S644" s="275"/>
      <c r="T644" s="275"/>
      <c r="U644" s="275"/>
      <c r="V644" s="275"/>
      <c r="W644" s="275"/>
      <c r="X644" s="275"/>
      <c r="Y644" s="275"/>
      <c r="Z644" s="275"/>
      <c r="AA644" s="275"/>
      <c r="AB644" s="275"/>
      <c r="AC644" s="275"/>
      <c r="AD644" s="275"/>
      <c r="AE644" s="275"/>
    </row>
    <row r="645" spans="15:31">
      <c r="O645" s="275"/>
      <c r="P645" s="275"/>
      <c r="Q645" s="275"/>
      <c r="R645" s="275"/>
      <c r="S645" s="275"/>
      <c r="T645" s="275"/>
      <c r="U645" s="275"/>
      <c r="V645" s="275"/>
      <c r="W645" s="275"/>
      <c r="X645" s="275"/>
      <c r="Y645" s="275"/>
      <c r="Z645" s="275"/>
      <c r="AA645" s="275"/>
      <c r="AB645" s="275"/>
      <c r="AC645" s="275"/>
      <c r="AD645" s="275"/>
      <c r="AE645" s="275"/>
    </row>
    <row r="646" spans="15:31">
      <c r="O646" s="275"/>
      <c r="P646" s="275"/>
      <c r="Q646" s="275"/>
      <c r="R646" s="275"/>
      <c r="S646" s="275"/>
      <c r="T646" s="275"/>
      <c r="U646" s="275"/>
      <c r="V646" s="275"/>
      <c r="W646" s="275"/>
      <c r="X646" s="275"/>
      <c r="Y646" s="275"/>
      <c r="Z646" s="275"/>
      <c r="AA646" s="275"/>
      <c r="AB646" s="275"/>
      <c r="AC646" s="275"/>
      <c r="AD646" s="275"/>
      <c r="AE646" s="275"/>
    </row>
    <row r="647" spans="15:31">
      <c r="O647" s="275"/>
      <c r="P647" s="275"/>
      <c r="Q647" s="275"/>
      <c r="R647" s="275"/>
      <c r="S647" s="275"/>
      <c r="T647" s="275"/>
      <c r="U647" s="275"/>
      <c r="V647" s="275"/>
      <c r="W647" s="275"/>
      <c r="X647" s="275"/>
      <c r="Y647" s="275"/>
      <c r="Z647" s="275"/>
      <c r="AA647" s="275"/>
      <c r="AB647" s="275"/>
      <c r="AC647" s="275"/>
      <c r="AD647" s="275"/>
      <c r="AE647" s="275"/>
    </row>
    <row r="648" spans="15:31">
      <c r="O648" s="275"/>
      <c r="P648" s="275"/>
      <c r="Q648" s="275"/>
      <c r="R648" s="275"/>
      <c r="S648" s="275"/>
      <c r="T648" s="275"/>
      <c r="U648" s="275"/>
      <c r="V648" s="275"/>
      <c r="W648" s="275"/>
      <c r="X648" s="275"/>
      <c r="Y648" s="275"/>
      <c r="Z648" s="275"/>
      <c r="AA648" s="275"/>
      <c r="AB648" s="275"/>
      <c r="AC648" s="275"/>
      <c r="AD648" s="275"/>
      <c r="AE648" s="275"/>
    </row>
    <row r="649" spans="15:31">
      <c r="O649" s="275"/>
      <c r="P649" s="275"/>
      <c r="Q649" s="275"/>
      <c r="R649" s="275"/>
      <c r="S649" s="275"/>
      <c r="T649" s="275"/>
      <c r="U649" s="275"/>
      <c r="V649" s="275"/>
      <c r="W649" s="275"/>
      <c r="X649" s="275"/>
      <c r="Y649" s="275"/>
      <c r="Z649" s="275"/>
      <c r="AA649" s="275"/>
      <c r="AB649" s="275"/>
      <c r="AC649" s="275"/>
      <c r="AD649" s="275"/>
      <c r="AE649" s="275"/>
    </row>
    <row r="650" spans="15:31">
      <c r="O650" s="275"/>
      <c r="P650" s="275"/>
      <c r="Q650" s="275"/>
      <c r="R650" s="275"/>
      <c r="S650" s="275"/>
      <c r="T650" s="275"/>
      <c r="U650" s="275"/>
      <c r="V650" s="275"/>
      <c r="W650" s="275"/>
      <c r="X650" s="275"/>
      <c r="Y650" s="275"/>
      <c r="Z650" s="275"/>
      <c r="AA650" s="275"/>
      <c r="AB650" s="275"/>
      <c r="AC650" s="275"/>
      <c r="AD650" s="275"/>
      <c r="AE650" s="275"/>
    </row>
    <row r="651" spans="15:31">
      <c r="O651" s="275"/>
      <c r="P651" s="275"/>
      <c r="Q651" s="275"/>
      <c r="R651" s="275"/>
      <c r="S651" s="275"/>
      <c r="T651" s="275"/>
      <c r="U651" s="275"/>
      <c r="V651" s="275"/>
      <c r="W651" s="275"/>
      <c r="X651" s="275"/>
      <c r="Y651" s="275"/>
      <c r="Z651" s="275"/>
      <c r="AA651" s="275"/>
      <c r="AB651" s="275"/>
      <c r="AC651" s="275"/>
      <c r="AD651" s="275"/>
      <c r="AE651" s="275"/>
    </row>
    <row r="652" spans="15:31">
      <c r="O652" s="275"/>
      <c r="P652" s="275"/>
      <c r="Q652" s="275"/>
      <c r="R652" s="275"/>
      <c r="S652" s="275"/>
      <c r="T652" s="275"/>
      <c r="U652" s="275"/>
      <c r="V652" s="275"/>
      <c r="W652" s="275"/>
      <c r="X652" s="275"/>
      <c r="Y652" s="275"/>
      <c r="Z652" s="275"/>
      <c r="AA652" s="275"/>
      <c r="AB652" s="275"/>
      <c r="AC652" s="275"/>
      <c r="AD652" s="275"/>
      <c r="AE652" s="275"/>
    </row>
    <row r="653" spans="15:31">
      <c r="O653" s="275"/>
      <c r="P653" s="275"/>
      <c r="Q653" s="275"/>
      <c r="R653" s="275"/>
      <c r="S653" s="275"/>
      <c r="T653" s="275"/>
      <c r="U653" s="275"/>
      <c r="V653" s="275"/>
      <c r="W653" s="275"/>
      <c r="X653" s="275"/>
      <c r="Y653" s="275"/>
      <c r="Z653" s="275"/>
      <c r="AA653" s="275"/>
      <c r="AB653" s="275"/>
      <c r="AC653" s="275"/>
      <c r="AD653" s="275"/>
      <c r="AE653" s="275"/>
    </row>
    <row r="654" spans="15:31">
      <c r="O654" s="275"/>
      <c r="P654" s="275"/>
      <c r="Q654" s="275"/>
      <c r="R654" s="275"/>
      <c r="S654" s="275"/>
      <c r="T654" s="275"/>
      <c r="U654" s="275"/>
      <c r="V654" s="275"/>
      <c r="W654" s="275"/>
      <c r="X654" s="275"/>
      <c r="Y654" s="275"/>
      <c r="Z654" s="275"/>
      <c r="AA654" s="275"/>
      <c r="AB654" s="275"/>
      <c r="AC654" s="275"/>
      <c r="AD654" s="275"/>
      <c r="AE654" s="275"/>
    </row>
    <row r="655" spans="15:31">
      <c r="O655" s="275"/>
      <c r="P655" s="275"/>
      <c r="Q655" s="275"/>
      <c r="R655" s="275"/>
      <c r="S655" s="275"/>
      <c r="T655" s="275"/>
      <c r="U655" s="275"/>
      <c r="V655" s="275"/>
      <c r="W655" s="275"/>
      <c r="X655" s="275"/>
      <c r="Y655" s="275"/>
      <c r="Z655" s="275"/>
      <c r="AA655" s="275"/>
      <c r="AB655" s="275"/>
      <c r="AC655" s="275"/>
      <c r="AD655" s="275"/>
      <c r="AE655" s="275"/>
    </row>
    <row r="656" spans="15:31">
      <c r="O656" s="275"/>
      <c r="P656" s="275"/>
      <c r="Q656" s="275"/>
      <c r="R656" s="275"/>
      <c r="S656" s="275"/>
      <c r="T656" s="275"/>
      <c r="U656" s="275"/>
      <c r="V656" s="275"/>
      <c r="W656" s="275"/>
      <c r="X656" s="275"/>
      <c r="Y656" s="275"/>
      <c r="Z656" s="275"/>
      <c r="AA656" s="275"/>
      <c r="AB656" s="275"/>
      <c r="AC656" s="275"/>
      <c r="AD656" s="275"/>
      <c r="AE656" s="275"/>
    </row>
    <row r="657" spans="15:31">
      <c r="O657" s="275"/>
      <c r="P657" s="275"/>
      <c r="Q657" s="275"/>
      <c r="R657" s="275"/>
      <c r="S657" s="275"/>
      <c r="T657" s="275"/>
      <c r="U657" s="275"/>
      <c r="V657" s="275"/>
      <c r="W657" s="275"/>
      <c r="X657" s="275"/>
      <c r="Y657" s="275"/>
      <c r="Z657" s="275"/>
      <c r="AA657" s="275"/>
      <c r="AB657" s="275"/>
      <c r="AC657" s="275"/>
      <c r="AD657" s="275"/>
      <c r="AE657" s="275"/>
    </row>
    <row r="658" spans="15:31">
      <c r="O658" s="275"/>
      <c r="P658" s="275"/>
      <c r="Q658" s="275"/>
      <c r="R658" s="275"/>
      <c r="S658" s="275"/>
      <c r="T658" s="275"/>
      <c r="U658" s="275"/>
      <c r="V658" s="275"/>
      <c r="W658" s="275"/>
      <c r="X658" s="275"/>
      <c r="Y658" s="275"/>
      <c r="Z658" s="275"/>
      <c r="AA658" s="275"/>
      <c r="AB658" s="275"/>
      <c r="AC658" s="275"/>
      <c r="AD658" s="275"/>
      <c r="AE658" s="275"/>
    </row>
    <row r="659" spans="15:31">
      <c r="O659" s="275"/>
      <c r="P659" s="275"/>
      <c r="Q659" s="275"/>
      <c r="R659" s="275"/>
      <c r="S659" s="275"/>
      <c r="T659" s="275"/>
      <c r="U659" s="275"/>
      <c r="V659" s="275"/>
      <c r="W659" s="275"/>
      <c r="X659" s="275"/>
      <c r="Y659" s="275"/>
      <c r="Z659" s="275"/>
      <c r="AA659" s="275"/>
      <c r="AB659" s="275"/>
      <c r="AC659" s="275"/>
      <c r="AD659" s="275"/>
      <c r="AE659" s="275"/>
    </row>
    <row r="660" spans="15:31">
      <c r="O660" s="275"/>
      <c r="P660" s="275"/>
      <c r="Q660" s="275"/>
      <c r="R660" s="275"/>
      <c r="S660" s="275"/>
      <c r="T660" s="275"/>
      <c r="U660" s="275"/>
      <c r="V660" s="275"/>
      <c r="W660" s="275"/>
      <c r="X660" s="275"/>
      <c r="Y660" s="275"/>
      <c r="Z660" s="275"/>
      <c r="AA660" s="275"/>
      <c r="AB660" s="275"/>
      <c r="AC660" s="275"/>
      <c r="AD660" s="275"/>
      <c r="AE660" s="275"/>
    </row>
    <row r="661" spans="15:31">
      <c r="O661" s="275"/>
      <c r="P661" s="275"/>
      <c r="Q661" s="275"/>
      <c r="R661" s="275"/>
      <c r="S661" s="275"/>
      <c r="T661" s="275"/>
      <c r="U661" s="275"/>
      <c r="V661" s="275"/>
      <c r="W661" s="275"/>
      <c r="X661" s="275"/>
      <c r="Y661" s="275"/>
      <c r="Z661" s="275"/>
      <c r="AA661" s="275"/>
      <c r="AB661" s="275"/>
      <c r="AC661" s="275"/>
      <c r="AD661" s="275"/>
      <c r="AE661" s="275"/>
    </row>
    <row r="662" spans="15:31">
      <c r="O662" s="275"/>
      <c r="P662" s="275"/>
      <c r="Q662" s="275"/>
      <c r="R662" s="275"/>
      <c r="S662" s="275"/>
      <c r="T662" s="275"/>
      <c r="U662" s="275"/>
      <c r="V662" s="275"/>
      <c r="W662" s="275"/>
      <c r="X662" s="275"/>
      <c r="Y662" s="275"/>
      <c r="Z662" s="275"/>
      <c r="AA662" s="275"/>
      <c r="AB662" s="275"/>
      <c r="AC662" s="275"/>
      <c r="AD662" s="275"/>
      <c r="AE662" s="275"/>
    </row>
    <row r="663" spans="15:31">
      <c r="O663" s="275"/>
      <c r="P663" s="275"/>
      <c r="Q663" s="275"/>
      <c r="R663" s="275"/>
      <c r="S663" s="275"/>
      <c r="T663" s="275"/>
      <c r="U663" s="275"/>
      <c r="V663" s="275"/>
      <c r="W663" s="275"/>
      <c r="X663" s="275"/>
      <c r="Y663" s="275"/>
      <c r="Z663" s="275"/>
      <c r="AA663" s="275"/>
      <c r="AB663" s="275"/>
      <c r="AC663" s="275"/>
      <c r="AD663" s="275"/>
      <c r="AE663" s="275"/>
    </row>
    <row r="664" spans="15:31">
      <c r="O664" s="275"/>
      <c r="P664" s="275"/>
      <c r="Q664" s="275"/>
      <c r="R664" s="275"/>
      <c r="S664" s="275"/>
      <c r="T664" s="275"/>
      <c r="U664" s="275"/>
      <c r="V664" s="275"/>
      <c r="W664" s="275"/>
      <c r="X664" s="275"/>
      <c r="Y664" s="275"/>
      <c r="Z664" s="275"/>
      <c r="AA664" s="275"/>
      <c r="AB664" s="275"/>
      <c r="AC664" s="275"/>
      <c r="AD664" s="275"/>
      <c r="AE664" s="275"/>
    </row>
    <row r="665" spans="15:31">
      <c r="O665" s="275"/>
      <c r="P665" s="275"/>
      <c r="Q665" s="275"/>
      <c r="R665" s="275"/>
      <c r="S665" s="275"/>
      <c r="T665" s="275"/>
      <c r="U665" s="275"/>
      <c r="V665" s="275"/>
      <c r="W665" s="275"/>
      <c r="X665" s="275"/>
      <c r="Y665" s="275"/>
      <c r="Z665" s="275"/>
      <c r="AA665" s="275"/>
      <c r="AB665" s="275"/>
      <c r="AC665" s="275"/>
      <c r="AD665" s="275"/>
      <c r="AE665" s="275"/>
    </row>
    <row r="666" spans="15:31">
      <c r="O666" s="275"/>
      <c r="P666" s="275"/>
      <c r="Q666" s="275"/>
      <c r="R666" s="275"/>
      <c r="S666" s="275"/>
      <c r="T666" s="275"/>
      <c r="U666" s="275"/>
      <c r="V666" s="275"/>
      <c r="W666" s="275"/>
      <c r="X666" s="275"/>
      <c r="Y666" s="275"/>
      <c r="Z666" s="275"/>
      <c r="AA666" s="275"/>
      <c r="AB666" s="275"/>
      <c r="AC666" s="275"/>
      <c r="AD666" s="275"/>
      <c r="AE666" s="275"/>
    </row>
    <row r="667" spans="15:31">
      <c r="O667" s="275"/>
      <c r="P667" s="275"/>
      <c r="Q667" s="275"/>
      <c r="R667" s="275"/>
      <c r="S667" s="275"/>
      <c r="T667" s="275"/>
      <c r="U667" s="275"/>
      <c r="V667" s="275"/>
      <c r="W667" s="275"/>
      <c r="X667" s="275"/>
      <c r="Y667" s="275"/>
      <c r="Z667" s="275"/>
      <c r="AA667" s="275"/>
      <c r="AB667" s="275"/>
      <c r="AC667" s="275"/>
      <c r="AD667" s="275"/>
      <c r="AE667" s="275"/>
    </row>
    <row r="668" spans="15:31">
      <c r="O668" s="275"/>
      <c r="P668" s="275"/>
      <c r="Q668" s="275"/>
      <c r="R668" s="275"/>
      <c r="S668" s="275"/>
      <c r="T668" s="275"/>
      <c r="U668" s="275"/>
      <c r="V668" s="275"/>
      <c r="W668" s="275"/>
      <c r="X668" s="275"/>
      <c r="Y668" s="275"/>
      <c r="Z668" s="275"/>
      <c r="AA668" s="275"/>
      <c r="AB668" s="275"/>
      <c r="AC668" s="275"/>
      <c r="AD668" s="275"/>
      <c r="AE668" s="275"/>
    </row>
    <row r="669" spans="15:31">
      <c r="O669" s="275"/>
      <c r="P669" s="275"/>
      <c r="Q669" s="275"/>
      <c r="R669" s="275"/>
      <c r="S669" s="275"/>
      <c r="T669" s="275"/>
      <c r="U669" s="275"/>
      <c r="V669" s="275"/>
      <c r="W669" s="275"/>
      <c r="X669" s="275"/>
      <c r="Y669" s="275"/>
      <c r="Z669" s="275"/>
      <c r="AA669" s="275"/>
      <c r="AB669" s="275"/>
      <c r="AC669" s="275"/>
      <c r="AD669" s="275"/>
      <c r="AE669" s="275"/>
    </row>
    <row r="670" spans="15:31">
      <c r="O670" s="275"/>
      <c r="P670" s="275"/>
      <c r="Q670" s="275"/>
      <c r="R670" s="275"/>
      <c r="S670" s="275"/>
      <c r="T670" s="275"/>
      <c r="U670" s="275"/>
      <c r="V670" s="275"/>
      <c r="W670" s="275"/>
      <c r="X670" s="275"/>
      <c r="Y670" s="275"/>
      <c r="Z670" s="275"/>
      <c r="AA670" s="275"/>
      <c r="AB670" s="275"/>
      <c r="AC670" s="275"/>
      <c r="AD670" s="275"/>
      <c r="AE670" s="275"/>
    </row>
    <row r="671" spans="15:31">
      <c r="O671" s="275"/>
      <c r="P671" s="275"/>
      <c r="Q671" s="275"/>
      <c r="R671" s="275"/>
      <c r="S671" s="275"/>
      <c r="T671" s="275"/>
      <c r="U671" s="275"/>
      <c r="V671" s="275"/>
      <c r="W671" s="275"/>
      <c r="X671" s="275"/>
      <c r="Y671" s="275"/>
      <c r="Z671" s="275"/>
      <c r="AA671" s="275"/>
      <c r="AB671" s="275"/>
      <c r="AC671" s="275"/>
      <c r="AD671" s="275"/>
      <c r="AE671" s="275"/>
    </row>
    <row r="672" spans="15:31">
      <c r="O672" s="275"/>
      <c r="P672" s="275"/>
      <c r="Q672" s="275"/>
      <c r="R672" s="275"/>
      <c r="S672" s="275"/>
      <c r="T672" s="275"/>
      <c r="U672" s="275"/>
      <c r="V672" s="275"/>
      <c r="W672" s="275"/>
      <c r="X672" s="275"/>
      <c r="Y672" s="275"/>
      <c r="Z672" s="275"/>
      <c r="AA672" s="275"/>
      <c r="AB672" s="275"/>
      <c r="AC672" s="275"/>
      <c r="AD672" s="275"/>
      <c r="AE672" s="275"/>
    </row>
    <row r="673" spans="15:31">
      <c r="O673" s="275"/>
      <c r="P673" s="275"/>
      <c r="Q673" s="275"/>
      <c r="R673" s="275"/>
      <c r="S673" s="275"/>
      <c r="T673" s="275"/>
      <c r="U673" s="275"/>
      <c r="V673" s="275"/>
      <c r="W673" s="275"/>
      <c r="X673" s="275"/>
      <c r="Y673" s="275"/>
      <c r="Z673" s="275"/>
      <c r="AA673" s="275"/>
      <c r="AB673" s="275"/>
      <c r="AC673" s="275"/>
      <c r="AD673" s="275"/>
      <c r="AE673" s="275"/>
    </row>
    <row r="674" spans="15:31">
      <c r="O674" s="275"/>
      <c r="P674" s="275"/>
      <c r="Q674" s="275"/>
      <c r="R674" s="275"/>
      <c r="S674" s="275"/>
      <c r="T674" s="275"/>
      <c r="U674" s="275"/>
      <c r="V674" s="275"/>
      <c r="W674" s="275"/>
      <c r="X674" s="275"/>
      <c r="Y674" s="275"/>
      <c r="Z674" s="275"/>
      <c r="AA674" s="275"/>
      <c r="AB674" s="275"/>
      <c r="AC674" s="275"/>
      <c r="AD674" s="275"/>
      <c r="AE674" s="275"/>
    </row>
    <row r="675" spans="15:31">
      <c r="O675" s="275"/>
      <c r="P675" s="275"/>
      <c r="Q675" s="275"/>
      <c r="R675" s="275"/>
      <c r="S675" s="275"/>
      <c r="T675" s="275"/>
      <c r="U675" s="275"/>
      <c r="V675" s="275"/>
      <c r="W675" s="275"/>
      <c r="X675" s="275"/>
      <c r="Y675" s="275"/>
      <c r="Z675" s="275"/>
      <c r="AA675" s="275"/>
      <c r="AB675" s="275"/>
      <c r="AC675" s="275"/>
      <c r="AD675" s="275"/>
      <c r="AE675" s="275"/>
    </row>
    <row r="676" spans="15:31">
      <c r="O676" s="275"/>
      <c r="P676" s="275"/>
      <c r="Q676" s="275"/>
      <c r="R676" s="275"/>
      <c r="S676" s="275"/>
      <c r="T676" s="275"/>
      <c r="U676" s="275"/>
      <c r="V676" s="275"/>
      <c r="W676" s="275"/>
      <c r="X676" s="275"/>
      <c r="Y676" s="275"/>
      <c r="Z676" s="275"/>
      <c r="AA676" s="275"/>
      <c r="AB676" s="275"/>
      <c r="AC676" s="275"/>
      <c r="AD676" s="275"/>
      <c r="AE676" s="275"/>
    </row>
    <row r="677" spans="15:31">
      <c r="O677" s="275"/>
      <c r="P677" s="275"/>
      <c r="Q677" s="275"/>
      <c r="R677" s="275"/>
      <c r="S677" s="275"/>
      <c r="T677" s="275"/>
      <c r="U677" s="275"/>
      <c r="V677" s="275"/>
      <c r="W677" s="275"/>
      <c r="X677" s="275"/>
      <c r="Y677" s="275"/>
      <c r="Z677" s="275"/>
      <c r="AA677" s="275"/>
      <c r="AB677" s="275"/>
      <c r="AC677" s="275"/>
      <c r="AD677" s="275"/>
      <c r="AE677" s="275"/>
    </row>
    <row r="678" spans="15:31">
      <c r="O678" s="275"/>
      <c r="P678" s="275"/>
      <c r="Q678" s="275"/>
      <c r="R678" s="275"/>
      <c r="S678" s="275"/>
      <c r="T678" s="275"/>
      <c r="U678" s="275"/>
      <c r="V678" s="275"/>
      <c r="W678" s="275"/>
      <c r="X678" s="275"/>
      <c r="Y678" s="275"/>
      <c r="Z678" s="275"/>
      <c r="AA678" s="275"/>
      <c r="AB678" s="275"/>
      <c r="AC678" s="275"/>
      <c r="AD678" s="275"/>
      <c r="AE678" s="275"/>
    </row>
    <row r="679" spans="15:31">
      <c r="O679" s="275"/>
      <c r="P679" s="275"/>
      <c r="Q679" s="275"/>
      <c r="R679" s="275"/>
      <c r="S679" s="275"/>
      <c r="T679" s="275"/>
      <c r="U679" s="275"/>
      <c r="V679" s="275"/>
      <c r="W679" s="275"/>
      <c r="X679" s="275"/>
      <c r="Y679" s="275"/>
      <c r="Z679" s="275"/>
      <c r="AA679" s="275"/>
      <c r="AB679" s="275"/>
      <c r="AC679" s="275"/>
      <c r="AD679" s="275"/>
      <c r="AE679" s="275"/>
    </row>
    <row r="680" spans="15:31">
      <c r="O680" s="275"/>
      <c r="P680" s="275"/>
      <c r="Q680" s="275"/>
      <c r="R680" s="275"/>
      <c r="S680" s="275"/>
      <c r="T680" s="275"/>
      <c r="U680" s="275"/>
      <c r="V680" s="275"/>
      <c r="W680" s="275"/>
      <c r="X680" s="275"/>
      <c r="Y680" s="275"/>
      <c r="Z680" s="275"/>
      <c r="AA680" s="275"/>
      <c r="AB680" s="275"/>
      <c r="AC680" s="275"/>
      <c r="AD680" s="275"/>
      <c r="AE680" s="275"/>
    </row>
    <row r="681" spans="15:31">
      <c r="O681" s="275"/>
      <c r="P681" s="275"/>
      <c r="Q681" s="275"/>
      <c r="R681" s="275"/>
      <c r="S681" s="275"/>
      <c r="T681" s="275"/>
      <c r="U681" s="275"/>
      <c r="V681" s="275"/>
      <c r="W681" s="275"/>
      <c r="X681" s="275"/>
      <c r="Y681" s="275"/>
      <c r="Z681" s="275"/>
      <c r="AA681" s="275"/>
      <c r="AB681" s="275"/>
      <c r="AC681" s="275"/>
      <c r="AD681" s="275"/>
      <c r="AE681" s="275"/>
    </row>
    <row r="682" spans="15:31">
      <c r="O682" s="275"/>
      <c r="P682" s="275"/>
      <c r="Q682" s="275"/>
      <c r="R682" s="275"/>
      <c r="S682" s="275"/>
      <c r="T682" s="275"/>
      <c r="U682" s="275"/>
      <c r="V682" s="275"/>
      <c r="W682" s="275"/>
      <c r="X682" s="275"/>
      <c r="Y682" s="275"/>
      <c r="Z682" s="275"/>
      <c r="AA682" s="275"/>
      <c r="AB682" s="275"/>
      <c r="AC682" s="275"/>
      <c r="AD682" s="275"/>
      <c r="AE682" s="275"/>
    </row>
    <row r="683" spans="15:31">
      <c r="O683" s="275"/>
      <c r="P683" s="275"/>
      <c r="Q683" s="275"/>
      <c r="R683" s="275"/>
      <c r="S683" s="275"/>
      <c r="T683" s="275"/>
      <c r="U683" s="275"/>
      <c r="V683" s="275"/>
      <c r="W683" s="275"/>
      <c r="X683" s="275"/>
      <c r="Y683" s="275"/>
      <c r="Z683" s="275"/>
      <c r="AA683" s="275"/>
      <c r="AB683" s="275"/>
      <c r="AC683" s="275"/>
      <c r="AD683" s="275"/>
      <c r="AE683" s="275"/>
    </row>
    <row r="684" spans="15:31">
      <c r="O684" s="275"/>
      <c r="P684" s="275"/>
      <c r="Q684" s="275"/>
      <c r="R684" s="275"/>
      <c r="S684" s="275"/>
      <c r="T684" s="275"/>
      <c r="U684" s="275"/>
      <c r="V684" s="275"/>
      <c r="W684" s="275"/>
      <c r="X684" s="275"/>
      <c r="Y684" s="275"/>
      <c r="Z684" s="275"/>
      <c r="AA684" s="275"/>
      <c r="AB684" s="275"/>
      <c r="AC684" s="275"/>
      <c r="AD684" s="275"/>
      <c r="AE684" s="275"/>
    </row>
    <row r="685" spans="15:31">
      <c r="O685" s="275"/>
      <c r="P685" s="275"/>
      <c r="Q685" s="275"/>
      <c r="R685" s="275"/>
      <c r="S685" s="275"/>
      <c r="T685" s="275"/>
      <c r="U685" s="275"/>
      <c r="V685" s="275"/>
      <c r="W685" s="275"/>
      <c r="X685" s="275"/>
      <c r="Y685" s="275"/>
      <c r="Z685" s="275"/>
      <c r="AA685" s="275"/>
      <c r="AB685" s="275"/>
      <c r="AC685" s="275"/>
      <c r="AD685" s="275"/>
      <c r="AE685" s="275"/>
    </row>
    <row r="686" spans="15:31">
      <c r="O686" s="275"/>
      <c r="P686" s="275"/>
      <c r="Q686" s="275"/>
      <c r="R686" s="275"/>
      <c r="S686" s="275"/>
      <c r="T686" s="275"/>
      <c r="U686" s="275"/>
      <c r="V686" s="275"/>
      <c r="W686" s="275"/>
      <c r="X686" s="275"/>
      <c r="Y686" s="275"/>
      <c r="Z686" s="275"/>
      <c r="AA686" s="275"/>
      <c r="AB686" s="275"/>
      <c r="AC686" s="275"/>
      <c r="AD686" s="275"/>
      <c r="AE686" s="275"/>
    </row>
    <row r="687" spans="15:31">
      <c r="O687" s="275"/>
      <c r="P687" s="275"/>
      <c r="Q687" s="275"/>
      <c r="R687" s="275"/>
      <c r="S687" s="275"/>
      <c r="T687" s="275"/>
      <c r="U687" s="275"/>
      <c r="V687" s="275"/>
      <c r="W687" s="275"/>
      <c r="X687" s="275"/>
      <c r="Y687" s="275"/>
      <c r="Z687" s="275"/>
      <c r="AA687" s="275"/>
      <c r="AB687" s="275"/>
      <c r="AC687" s="275"/>
      <c r="AD687" s="275"/>
      <c r="AE687" s="275"/>
    </row>
    <row r="688" spans="15:31">
      <c r="O688" s="275"/>
      <c r="P688" s="275"/>
      <c r="Q688" s="275"/>
      <c r="R688" s="275"/>
      <c r="S688" s="275"/>
      <c r="T688" s="275"/>
      <c r="U688" s="275"/>
      <c r="V688" s="275"/>
      <c r="W688" s="275"/>
      <c r="X688" s="275"/>
      <c r="Y688" s="275"/>
      <c r="Z688" s="275"/>
      <c r="AA688" s="275"/>
      <c r="AB688" s="275"/>
      <c r="AC688" s="275"/>
      <c r="AD688" s="275"/>
      <c r="AE688" s="275"/>
    </row>
    <row r="689" spans="15:31">
      <c r="O689" s="275"/>
      <c r="P689" s="275"/>
      <c r="Q689" s="275"/>
      <c r="R689" s="275"/>
      <c r="S689" s="275"/>
      <c r="T689" s="275"/>
      <c r="U689" s="275"/>
      <c r="V689" s="275"/>
      <c r="W689" s="275"/>
      <c r="X689" s="275"/>
      <c r="Y689" s="275"/>
      <c r="Z689" s="275"/>
      <c r="AA689" s="275"/>
      <c r="AB689" s="275"/>
      <c r="AC689" s="275"/>
      <c r="AD689" s="275"/>
      <c r="AE689" s="275"/>
    </row>
    <row r="690" spans="15:31">
      <c r="O690" s="275"/>
      <c r="P690" s="275"/>
      <c r="Q690" s="275"/>
      <c r="R690" s="275"/>
      <c r="S690" s="275"/>
      <c r="T690" s="275"/>
      <c r="U690" s="275"/>
      <c r="V690" s="275"/>
      <c r="W690" s="275"/>
      <c r="X690" s="275"/>
      <c r="Y690" s="275"/>
      <c r="Z690" s="275"/>
      <c r="AA690" s="275"/>
      <c r="AB690" s="275"/>
      <c r="AC690" s="275"/>
      <c r="AD690" s="275"/>
      <c r="AE690" s="275"/>
    </row>
    <row r="691" spans="15:31">
      <c r="O691" s="275"/>
      <c r="P691" s="275"/>
      <c r="Q691" s="275"/>
      <c r="R691" s="275"/>
      <c r="S691" s="275"/>
      <c r="T691" s="275"/>
      <c r="U691" s="275"/>
      <c r="V691" s="275"/>
      <c r="W691" s="275"/>
      <c r="X691" s="275"/>
      <c r="Y691" s="275"/>
      <c r="Z691" s="275"/>
      <c r="AA691" s="275"/>
      <c r="AB691" s="275"/>
      <c r="AC691" s="275"/>
      <c r="AD691" s="275"/>
      <c r="AE691" s="275"/>
    </row>
    <row r="692" spans="15:31">
      <c r="O692" s="275"/>
      <c r="P692" s="275"/>
      <c r="Q692" s="275"/>
      <c r="R692" s="275"/>
      <c r="S692" s="275"/>
      <c r="T692" s="275"/>
      <c r="U692" s="275"/>
      <c r="V692" s="275"/>
      <c r="W692" s="275"/>
      <c r="X692" s="275"/>
      <c r="Y692" s="275"/>
      <c r="Z692" s="275"/>
      <c r="AA692" s="275"/>
      <c r="AB692" s="275"/>
      <c r="AC692" s="275"/>
      <c r="AD692" s="275"/>
      <c r="AE692" s="275"/>
    </row>
    <row r="693" spans="15:31">
      <c r="O693" s="275"/>
      <c r="P693" s="275"/>
      <c r="Q693" s="275"/>
      <c r="R693" s="275"/>
      <c r="S693" s="275"/>
      <c r="T693" s="275"/>
      <c r="U693" s="275"/>
      <c r="V693" s="275"/>
      <c r="W693" s="275"/>
      <c r="X693" s="275"/>
      <c r="Y693" s="275"/>
      <c r="Z693" s="275"/>
      <c r="AA693" s="275"/>
      <c r="AB693" s="275"/>
      <c r="AC693" s="275"/>
      <c r="AD693" s="275"/>
      <c r="AE693" s="275"/>
    </row>
    <row r="694" spans="15:31">
      <c r="O694" s="275"/>
      <c r="P694" s="275"/>
      <c r="Q694" s="275"/>
      <c r="R694" s="275"/>
      <c r="S694" s="275"/>
      <c r="T694" s="275"/>
      <c r="U694" s="275"/>
      <c r="V694" s="275"/>
      <c r="W694" s="275"/>
      <c r="X694" s="275"/>
      <c r="Y694" s="275"/>
      <c r="Z694" s="275"/>
      <c r="AA694" s="275"/>
      <c r="AB694" s="275"/>
      <c r="AC694" s="275"/>
      <c r="AD694" s="275"/>
      <c r="AE694" s="275"/>
    </row>
    <row r="695" spans="15:31">
      <c r="O695" s="275"/>
      <c r="P695" s="275"/>
      <c r="Q695" s="275"/>
      <c r="R695" s="275"/>
      <c r="S695" s="275"/>
      <c r="T695" s="275"/>
      <c r="U695" s="275"/>
      <c r="V695" s="275"/>
      <c r="W695" s="275"/>
      <c r="X695" s="275"/>
      <c r="Y695" s="275"/>
      <c r="Z695" s="275"/>
      <c r="AA695" s="275"/>
      <c r="AB695" s="275"/>
      <c r="AC695" s="275"/>
      <c r="AD695" s="275"/>
      <c r="AE695" s="275"/>
    </row>
    <row r="696" spans="15:31">
      <c r="O696" s="275"/>
      <c r="P696" s="275"/>
      <c r="Q696" s="275"/>
      <c r="R696" s="275"/>
      <c r="S696" s="275"/>
      <c r="T696" s="275"/>
      <c r="U696" s="275"/>
      <c r="V696" s="275"/>
      <c r="W696" s="275"/>
      <c r="X696" s="275"/>
      <c r="Y696" s="275"/>
      <c r="Z696" s="275"/>
      <c r="AA696" s="275"/>
      <c r="AB696" s="275"/>
      <c r="AC696" s="275"/>
      <c r="AD696" s="275"/>
      <c r="AE696" s="275"/>
    </row>
    <row r="697" spans="15:31">
      <c r="O697" s="275"/>
      <c r="P697" s="275"/>
      <c r="Q697" s="275"/>
      <c r="R697" s="275"/>
      <c r="S697" s="275"/>
      <c r="T697" s="275"/>
      <c r="U697" s="275"/>
      <c r="V697" s="275"/>
      <c r="W697" s="275"/>
      <c r="X697" s="275"/>
      <c r="Y697" s="275"/>
      <c r="Z697" s="275"/>
      <c r="AA697" s="275"/>
      <c r="AB697" s="275"/>
      <c r="AC697" s="275"/>
      <c r="AD697" s="275"/>
      <c r="AE697" s="275"/>
    </row>
    <row r="698" spans="15:31">
      <c r="O698" s="275"/>
      <c r="P698" s="275"/>
      <c r="Q698" s="275"/>
      <c r="R698" s="275"/>
      <c r="S698" s="275"/>
      <c r="T698" s="275"/>
      <c r="U698" s="275"/>
      <c r="V698" s="275"/>
      <c r="W698" s="275"/>
      <c r="X698" s="275"/>
      <c r="Y698" s="275"/>
      <c r="Z698" s="275"/>
      <c r="AA698" s="275"/>
      <c r="AB698" s="275"/>
      <c r="AC698" s="275"/>
      <c r="AD698" s="275"/>
      <c r="AE698" s="275"/>
    </row>
    <row r="699" spans="15:31">
      <c r="O699" s="275"/>
      <c r="P699" s="275"/>
      <c r="Q699" s="275"/>
      <c r="R699" s="275"/>
      <c r="S699" s="275"/>
      <c r="T699" s="275"/>
      <c r="U699" s="275"/>
      <c r="V699" s="275"/>
      <c r="W699" s="275"/>
      <c r="X699" s="275"/>
      <c r="Y699" s="275"/>
      <c r="Z699" s="275"/>
      <c r="AA699" s="275"/>
      <c r="AB699" s="275"/>
      <c r="AC699" s="275"/>
      <c r="AD699" s="275"/>
      <c r="AE699" s="275"/>
    </row>
    <row r="700" spans="15:31">
      <c r="O700" s="275"/>
      <c r="P700" s="275"/>
      <c r="Q700" s="275"/>
      <c r="R700" s="275"/>
      <c r="S700" s="275"/>
      <c r="T700" s="275"/>
      <c r="U700" s="275"/>
      <c r="V700" s="275"/>
      <c r="W700" s="275"/>
      <c r="X700" s="275"/>
      <c r="Y700" s="275"/>
      <c r="Z700" s="275"/>
      <c r="AA700" s="275"/>
      <c r="AB700" s="275"/>
      <c r="AC700" s="275"/>
      <c r="AD700" s="275"/>
      <c r="AE700" s="275"/>
    </row>
    <row r="701" spans="15:31">
      <c r="O701" s="275"/>
      <c r="P701" s="275"/>
      <c r="Q701" s="275"/>
      <c r="R701" s="275"/>
      <c r="S701" s="275"/>
      <c r="T701" s="275"/>
      <c r="U701" s="275"/>
      <c r="V701" s="275"/>
      <c r="W701" s="275"/>
      <c r="X701" s="275"/>
      <c r="Y701" s="275"/>
      <c r="Z701" s="275"/>
      <c r="AA701" s="275"/>
      <c r="AB701" s="275"/>
      <c r="AC701" s="275"/>
      <c r="AD701" s="275"/>
      <c r="AE701" s="275"/>
    </row>
    <row r="702" spans="15:31">
      <c r="O702" s="275"/>
      <c r="P702" s="275"/>
      <c r="Q702" s="275"/>
      <c r="R702" s="275"/>
      <c r="S702" s="275"/>
      <c r="T702" s="275"/>
      <c r="U702" s="275"/>
      <c r="V702" s="275"/>
      <c r="W702" s="275"/>
      <c r="X702" s="275"/>
      <c r="Y702" s="275"/>
      <c r="Z702" s="275"/>
      <c r="AA702" s="275"/>
      <c r="AB702" s="275"/>
      <c r="AC702" s="275"/>
      <c r="AD702" s="275"/>
      <c r="AE702" s="275"/>
    </row>
    <row r="703" spans="15:31"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</row>
    <row r="704" spans="15:31">
      <c r="O704" s="275"/>
      <c r="P704" s="275"/>
      <c r="Q704" s="275"/>
      <c r="R704" s="275"/>
      <c r="S704" s="275"/>
      <c r="T704" s="275"/>
      <c r="U704" s="275"/>
      <c r="V704" s="275"/>
      <c r="W704" s="275"/>
      <c r="X704" s="275"/>
      <c r="Y704" s="275"/>
      <c r="Z704" s="275"/>
      <c r="AA704" s="275"/>
      <c r="AB704" s="275"/>
      <c r="AC704" s="275"/>
      <c r="AD704" s="275"/>
      <c r="AE704" s="275"/>
    </row>
    <row r="705" spans="15:31">
      <c r="O705" s="275"/>
      <c r="P705" s="275"/>
      <c r="Q705" s="275"/>
      <c r="R705" s="275"/>
      <c r="S705" s="275"/>
      <c r="T705" s="275"/>
      <c r="U705" s="275"/>
      <c r="V705" s="275"/>
      <c r="W705" s="275"/>
      <c r="X705" s="275"/>
      <c r="Y705" s="275"/>
      <c r="Z705" s="275"/>
      <c r="AA705" s="275"/>
      <c r="AB705" s="275"/>
      <c r="AC705" s="275"/>
      <c r="AD705" s="275"/>
      <c r="AE705" s="275"/>
    </row>
    <row r="706" spans="15:31">
      <c r="O706" s="275"/>
      <c r="P706" s="275"/>
      <c r="Q706" s="275"/>
      <c r="R706" s="275"/>
      <c r="S706" s="275"/>
      <c r="T706" s="275"/>
      <c r="U706" s="275"/>
      <c r="V706" s="275"/>
      <c r="W706" s="275"/>
      <c r="X706" s="275"/>
      <c r="Y706" s="275"/>
      <c r="Z706" s="275"/>
      <c r="AA706" s="275"/>
      <c r="AB706" s="275"/>
      <c r="AC706" s="275"/>
      <c r="AD706" s="275"/>
      <c r="AE706" s="275"/>
    </row>
    <row r="707" spans="15:31">
      <c r="O707" s="275"/>
      <c r="P707" s="275"/>
      <c r="Q707" s="275"/>
      <c r="R707" s="275"/>
      <c r="S707" s="275"/>
      <c r="T707" s="275"/>
      <c r="U707" s="275"/>
      <c r="V707" s="275"/>
      <c r="W707" s="275"/>
      <c r="X707" s="275"/>
      <c r="Y707" s="275"/>
      <c r="Z707" s="275"/>
      <c r="AA707" s="275"/>
      <c r="AB707" s="275"/>
      <c r="AC707" s="275"/>
      <c r="AD707" s="275"/>
      <c r="AE707" s="275"/>
    </row>
    <row r="708" spans="15:31">
      <c r="O708" s="275"/>
      <c r="P708" s="275"/>
      <c r="Q708" s="275"/>
      <c r="R708" s="275"/>
      <c r="S708" s="275"/>
      <c r="T708" s="275"/>
      <c r="U708" s="275"/>
      <c r="V708" s="275"/>
      <c r="W708" s="275"/>
      <c r="X708" s="275"/>
      <c r="Y708" s="275"/>
      <c r="Z708" s="275"/>
      <c r="AA708" s="275"/>
      <c r="AB708" s="275"/>
      <c r="AC708" s="275"/>
      <c r="AD708" s="275"/>
      <c r="AE708" s="275"/>
    </row>
    <row r="709" spans="15:31">
      <c r="O709" s="275"/>
      <c r="P709" s="275"/>
      <c r="Q709" s="275"/>
      <c r="R709" s="275"/>
      <c r="S709" s="275"/>
      <c r="T709" s="275"/>
      <c r="U709" s="275"/>
      <c r="V709" s="275"/>
      <c r="W709" s="275"/>
      <c r="X709" s="275"/>
      <c r="Y709" s="275"/>
      <c r="Z709" s="275"/>
      <c r="AA709" s="275"/>
      <c r="AB709" s="275"/>
      <c r="AC709" s="275"/>
      <c r="AD709" s="275"/>
      <c r="AE709" s="275"/>
    </row>
    <row r="710" spans="15:31">
      <c r="O710" s="275"/>
      <c r="P710" s="275"/>
      <c r="Q710" s="275"/>
      <c r="R710" s="275"/>
      <c r="S710" s="275"/>
      <c r="T710" s="275"/>
      <c r="U710" s="275"/>
      <c r="V710" s="275"/>
      <c r="W710" s="275"/>
      <c r="X710" s="275"/>
      <c r="Y710" s="275"/>
      <c r="Z710" s="275"/>
      <c r="AA710" s="275"/>
      <c r="AB710" s="275"/>
      <c r="AC710" s="275"/>
      <c r="AD710" s="275"/>
      <c r="AE710" s="275"/>
    </row>
    <row r="711" spans="15:31">
      <c r="O711" s="275"/>
      <c r="P711" s="275"/>
      <c r="Q711" s="275"/>
      <c r="R711" s="275"/>
      <c r="S711" s="275"/>
      <c r="T711" s="275"/>
      <c r="U711" s="275"/>
      <c r="V711" s="275"/>
      <c r="W711" s="275"/>
      <c r="X711" s="275"/>
      <c r="Y711" s="275"/>
      <c r="Z711" s="275"/>
      <c r="AA711" s="275"/>
      <c r="AB711" s="275"/>
      <c r="AC711" s="275"/>
      <c r="AD711" s="275"/>
      <c r="AE711" s="275"/>
    </row>
    <row r="712" spans="15:31">
      <c r="O712" s="275"/>
      <c r="P712" s="275"/>
      <c r="Q712" s="275"/>
      <c r="R712" s="275"/>
      <c r="S712" s="275"/>
      <c r="T712" s="275"/>
      <c r="U712" s="275"/>
      <c r="V712" s="275"/>
      <c r="W712" s="275"/>
      <c r="X712" s="275"/>
      <c r="Y712" s="275"/>
      <c r="Z712" s="275"/>
      <c r="AA712" s="275"/>
      <c r="AB712" s="275"/>
      <c r="AC712" s="275"/>
      <c r="AD712" s="275"/>
      <c r="AE712" s="275"/>
    </row>
    <row r="713" spans="15:31">
      <c r="O713" s="275"/>
      <c r="P713" s="275"/>
      <c r="Q713" s="275"/>
      <c r="R713" s="275"/>
      <c r="S713" s="275"/>
      <c r="T713" s="275"/>
      <c r="U713" s="275"/>
      <c r="V713" s="275"/>
      <c r="W713" s="275"/>
      <c r="X713" s="275"/>
      <c r="Y713" s="275"/>
      <c r="Z713" s="275"/>
      <c r="AA713" s="275"/>
      <c r="AB713" s="275"/>
      <c r="AC713" s="275"/>
      <c r="AD713" s="275"/>
      <c r="AE713" s="275"/>
    </row>
    <row r="714" spans="15:31">
      <c r="O714" s="275"/>
      <c r="P714" s="275"/>
      <c r="Q714" s="275"/>
      <c r="R714" s="275"/>
      <c r="S714" s="275"/>
      <c r="T714" s="275"/>
      <c r="U714" s="275"/>
      <c r="V714" s="275"/>
      <c r="W714" s="275"/>
      <c r="X714" s="275"/>
      <c r="Y714" s="275"/>
      <c r="Z714" s="275"/>
      <c r="AA714" s="275"/>
      <c r="AB714" s="275"/>
      <c r="AC714" s="275"/>
      <c r="AD714" s="275"/>
      <c r="AE714" s="275"/>
    </row>
    <row r="715" spans="15:31">
      <c r="O715" s="275"/>
      <c r="P715" s="275"/>
      <c r="Q715" s="275"/>
      <c r="R715" s="275"/>
      <c r="S715" s="275"/>
      <c r="T715" s="275"/>
      <c r="U715" s="275"/>
      <c r="V715" s="275"/>
      <c r="W715" s="275"/>
      <c r="X715" s="275"/>
      <c r="Y715" s="275"/>
      <c r="Z715" s="275"/>
      <c r="AA715" s="275"/>
      <c r="AB715" s="275"/>
      <c r="AC715" s="275"/>
      <c r="AD715" s="275"/>
      <c r="AE715" s="275"/>
    </row>
    <row r="716" spans="15:31">
      <c r="O716" s="275"/>
      <c r="P716" s="275"/>
      <c r="Q716" s="275"/>
      <c r="R716" s="275"/>
      <c r="S716" s="275"/>
      <c r="T716" s="275"/>
      <c r="U716" s="275"/>
      <c r="V716" s="275"/>
      <c r="W716" s="275"/>
      <c r="X716" s="275"/>
      <c r="Y716" s="275"/>
      <c r="Z716" s="275"/>
      <c r="AA716" s="275"/>
      <c r="AB716" s="275"/>
      <c r="AC716" s="275"/>
      <c r="AD716" s="275"/>
      <c r="AE716" s="275"/>
    </row>
    <row r="717" spans="15:31">
      <c r="O717" s="275"/>
      <c r="P717" s="275"/>
      <c r="Q717" s="275"/>
      <c r="R717" s="275"/>
      <c r="S717" s="275"/>
      <c r="T717" s="275"/>
      <c r="U717" s="275"/>
      <c r="V717" s="275"/>
      <c r="W717" s="275"/>
      <c r="X717" s="275"/>
      <c r="Y717" s="275"/>
      <c r="Z717" s="275"/>
      <c r="AA717" s="275"/>
      <c r="AB717" s="275"/>
      <c r="AC717" s="275"/>
      <c r="AD717" s="275"/>
      <c r="AE717" s="275"/>
    </row>
    <row r="718" spans="15:31">
      <c r="O718" s="275"/>
      <c r="P718" s="275"/>
      <c r="Q718" s="275"/>
      <c r="R718" s="275"/>
      <c r="S718" s="275"/>
      <c r="T718" s="275"/>
      <c r="U718" s="275"/>
      <c r="V718" s="275"/>
      <c r="W718" s="275"/>
      <c r="X718" s="275"/>
      <c r="Y718" s="275"/>
      <c r="Z718" s="275"/>
      <c r="AA718" s="275"/>
      <c r="AB718" s="275"/>
      <c r="AC718" s="275"/>
      <c r="AD718" s="275"/>
      <c r="AE718" s="275"/>
    </row>
    <row r="719" spans="15:31">
      <c r="O719" s="275"/>
      <c r="P719" s="275"/>
      <c r="Q719" s="275"/>
      <c r="R719" s="275"/>
      <c r="S719" s="275"/>
      <c r="T719" s="275"/>
      <c r="U719" s="275"/>
      <c r="V719" s="275"/>
      <c r="W719" s="275"/>
      <c r="X719" s="275"/>
      <c r="Y719" s="275"/>
      <c r="Z719" s="275"/>
      <c r="AA719" s="275"/>
      <c r="AB719" s="275"/>
      <c r="AC719" s="275"/>
      <c r="AD719" s="275"/>
      <c r="AE719" s="275"/>
    </row>
    <row r="720" spans="15:31">
      <c r="O720" s="275"/>
      <c r="P720" s="275"/>
      <c r="Q720" s="275"/>
      <c r="R720" s="275"/>
      <c r="S720" s="275"/>
      <c r="T720" s="275"/>
      <c r="U720" s="275"/>
      <c r="V720" s="275"/>
      <c r="W720" s="275"/>
      <c r="X720" s="275"/>
      <c r="Y720" s="275"/>
      <c r="Z720" s="275"/>
      <c r="AA720" s="275"/>
      <c r="AB720" s="275"/>
      <c r="AC720" s="275"/>
      <c r="AD720" s="275"/>
      <c r="AE720" s="275"/>
    </row>
    <row r="721" spans="15:31">
      <c r="O721" s="275"/>
      <c r="P721" s="275"/>
      <c r="Q721" s="275"/>
      <c r="R721" s="275"/>
      <c r="S721" s="275"/>
      <c r="T721" s="275"/>
      <c r="U721" s="275"/>
      <c r="V721" s="275"/>
      <c r="W721" s="275"/>
      <c r="X721" s="275"/>
      <c r="Y721" s="275"/>
      <c r="Z721" s="275"/>
      <c r="AA721" s="275"/>
      <c r="AB721" s="275"/>
      <c r="AC721" s="275"/>
      <c r="AD721" s="275"/>
      <c r="AE721" s="275"/>
    </row>
    <row r="722" spans="15:31">
      <c r="O722" s="275"/>
      <c r="P722" s="275"/>
      <c r="Q722" s="275"/>
      <c r="R722" s="275"/>
      <c r="S722" s="275"/>
      <c r="T722" s="275"/>
      <c r="U722" s="275"/>
      <c r="V722" s="275"/>
      <c r="W722" s="275"/>
      <c r="X722" s="275"/>
      <c r="Y722" s="275"/>
      <c r="Z722" s="275"/>
      <c r="AA722" s="275"/>
      <c r="AB722" s="275"/>
      <c r="AC722" s="275"/>
      <c r="AD722" s="275"/>
      <c r="AE722" s="275"/>
    </row>
    <row r="723" spans="15:31">
      <c r="O723" s="275"/>
      <c r="P723" s="275"/>
      <c r="Q723" s="275"/>
      <c r="R723" s="275"/>
      <c r="S723" s="275"/>
      <c r="T723" s="275"/>
      <c r="U723" s="275"/>
      <c r="V723" s="275"/>
      <c r="W723" s="275"/>
      <c r="X723" s="275"/>
      <c r="Y723" s="275"/>
      <c r="Z723" s="275"/>
      <c r="AA723" s="275"/>
      <c r="AB723" s="275"/>
      <c r="AC723" s="275"/>
      <c r="AD723" s="275"/>
      <c r="AE723" s="275"/>
    </row>
    <row r="724" spans="15:31">
      <c r="O724" s="275"/>
      <c r="P724" s="275"/>
      <c r="Q724" s="275"/>
      <c r="R724" s="275"/>
      <c r="S724" s="275"/>
      <c r="T724" s="275"/>
      <c r="U724" s="275"/>
      <c r="V724" s="275"/>
      <c r="W724" s="275"/>
      <c r="X724" s="275"/>
      <c r="Y724" s="275"/>
      <c r="Z724" s="275"/>
      <c r="AA724" s="275"/>
      <c r="AB724" s="275"/>
      <c r="AC724" s="275"/>
      <c r="AD724" s="275"/>
      <c r="AE724" s="275"/>
    </row>
    <row r="725" spans="15:31">
      <c r="O725" s="275"/>
      <c r="P725" s="275"/>
      <c r="Q725" s="275"/>
      <c r="R725" s="275"/>
      <c r="S725" s="275"/>
      <c r="T725" s="275"/>
      <c r="U725" s="275"/>
      <c r="V725" s="275"/>
      <c r="W725" s="275"/>
      <c r="X725" s="275"/>
      <c r="Y725" s="275"/>
      <c r="Z725" s="275"/>
      <c r="AA725" s="275"/>
      <c r="AB725" s="275"/>
      <c r="AC725" s="275"/>
      <c r="AD725" s="275"/>
      <c r="AE725" s="275"/>
    </row>
    <row r="726" spans="15:31">
      <c r="O726" s="275"/>
      <c r="P726" s="275"/>
      <c r="Q726" s="275"/>
      <c r="R726" s="275"/>
      <c r="S726" s="275"/>
      <c r="T726" s="275"/>
      <c r="U726" s="275"/>
      <c r="V726" s="275"/>
      <c r="W726" s="275"/>
      <c r="X726" s="275"/>
      <c r="Y726" s="275"/>
      <c r="Z726" s="275"/>
      <c r="AA726" s="275"/>
      <c r="AB726" s="275"/>
      <c r="AC726" s="275"/>
      <c r="AD726" s="275"/>
      <c r="AE726" s="275"/>
    </row>
    <row r="727" spans="15:31">
      <c r="O727" s="275"/>
      <c r="P727" s="275"/>
      <c r="Q727" s="275"/>
      <c r="R727" s="275"/>
      <c r="S727" s="275"/>
      <c r="T727" s="275"/>
      <c r="U727" s="275"/>
      <c r="V727" s="275"/>
      <c r="W727" s="275"/>
      <c r="X727" s="275"/>
      <c r="Y727" s="275"/>
      <c r="Z727" s="275"/>
      <c r="AA727" s="275"/>
      <c r="AB727" s="275"/>
      <c r="AC727" s="275"/>
      <c r="AD727" s="275"/>
      <c r="AE727" s="275"/>
    </row>
    <row r="728" spans="15:31">
      <c r="O728" s="275"/>
      <c r="P728" s="275"/>
      <c r="Q728" s="275"/>
      <c r="R728" s="275"/>
      <c r="S728" s="275"/>
      <c r="T728" s="275"/>
      <c r="U728" s="275"/>
      <c r="V728" s="275"/>
      <c r="W728" s="275"/>
      <c r="X728" s="275"/>
      <c r="Y728" s="275"/>
      <c r="Z728" s="275"/>
      <c r="AA728" s="275"/>
      <c r="AB728" s="275"/>
      <c r="AC728" s="275"/>
      <c r="AD728" s="275"/>
      <c r="AE728" s="275"/>
    </row>
    <row r="729" spans="15:31">
      <c r="O729" s="275"/>
      <c r="P729" s="275"/>
      <c r="Q729" s="275"/>
      <c r="R729" s="275"/>
      <c r="S729" s="275"/>
      <c r="T729" s="275"/>
      <c r="U729" s="275"/>
      <c r="V729" s="275"/>
      <c r="W729" s="275"/>
      <c r="X729" s="275"/>
      <c r="Y729" s="275"/>
      <c r="Z729" s="275"/>
      <c r="AA729" s="275"/>
      <c r="AB729" s="275"/>
      <c r="AC729" s="275"/>
      <c r="AD729" s="275"/>
      <c r="AE729" s="275"/>
    </row>
    <row r="730" spans="15:31">
      <c r="O730" s="275"/>
      <c r="P730" s="275"/>
      <c r="Q730" s="275"/>
      <c r="R730" s="275"/>
      <c r="S730" s="275"/>
      <c r="T730" s="275"/>
      <c r="U730" s="275"/>
      <c r="V730" s="275"/>
      <c r="W730" s="275"/>
      <c r="X730" s="275"/>
      <c r="Y730" s="275"/>
      <c r="Z730" s="275"/>
      <c r="AA730" s="275"/>
      <c r="AB730" s="275"/>
      <c r="AC730" s="275"/>
      <c r="AD730" s="275"/>
      <c r="AE730" s="275"/>
    </row>
    <row r="731" spans="15:31">
      <c r="O731" s="275"/>
      <c r="P731" s="275"/>
      <c r="Q731" s="275"/>
      <c r="R731" s="275"/>
      <c r="S731" s="275"/>
      <c r="T731" s="275"/>
      <c r="U731" s="275"/>
      <c r="V731" s="275"/>
      <c r="W731" s="275"/>
      <c r="X731" s="275"/>
      <c r="Y731" s="275"/>
      <c r="Z731" s="275"/>
      <c r="AA731" s="275"/>
      <c r="AB731" s="275"/>
      <c r="AC731" s="275"/>
      <c r="AD731" s="275"/>
      <c r="AE731" s="275"/>
    </row>
    <row r="732" spans="15:31">
      <c r="O732" s="275"/>
      <c r="P732" s="275"/>
      <c r="Q732" s="275"/>
      <c r="R732" s="275"/>
      <c r="S732" s="275"/>
      <c r="T732" s="275"/>
      <c r="U732" s="275"/>
      <c r="V732" s="275"/>
      <c r="W732" s="275"/>
      <c r="X732" s="275"/>
      <c r="Y732" s="275"/>
      <c r="Z732" s="275"/>
      <c r="AA732" s="275"/>
      <c r="AB732" s="275"/>
      <c r="AC732" s="275"/>
      <c r="AD732" s="275"/>
      <c r="AE732" s="275"/>
    </row>
    <row r="733" spans="15:31">
      <c r="O733" s="275"/>
      <c r="P733" s="275"/>
      <c r="Q733" s="275"/>
      <c r="R733" s="275"/>
      <c r="S733" s="275"/>
      <c r="T733" s="275"/>
      <c r="U733" s="275"/>
      <c r="V733" s="275"/>
      <c r="W733" s="275"/>
      <c r="X733" s="275"/>
      <c r="Y733" s="275"/>
      <c r="Z733" s="275"/>
      <c r="AA733" s="275"/>
      <c r="AB733" s="275"/>
      <c r="AC733" s="275"/>
      <c r="AD733" s="275"/>
      <c r="AE733" s="275"/>
    </row>
    <row r="734" spans="15:31">
      <c r="O734" s="275"/>
      <c r="P734" s="275"/>
      <c r="Q734" s="275"/>
      <c r="R734" s="275"/>
      <c r="S734" s="275"/>
      <c r="T734" s="275"/>
      <c r="U734" s="275"/>
      <c r="V734" s="275"/>
      <c r="W734" s="275"/>
      <c r="X734" s="275"/>
      <c r="Y734" s="275"/>
      <c r="Z734" s="275"/>
      <c r="AA734" s="275"/>
      <c r="AB734" s="275"/>
      <c r="AC734" s="275"/>
      <c r="AD734" s="275"/>
      <c r="AE734" s="275"/>
    </row>
    <row r="735" spans="15:31">
      <c r="O735" s="275"/>
      <c r="P735" s="275"/>
      <c r="Q735" s="275"/>
      <c r="R735" s="275"/>
      <c r="S735" s="275"/>
      <c r="T735" s="275"/>
      <c r="U735" s="275"/>
      <c r="V735" s="275"/>
      <c r="W735" s="275"/>
      <c r="X735" s="275"/>
      <c r="Y735" s="275"/>
      <c r="Z735" s="275"/>
      <c r="AA735" s="275"/>
      <c r="AB735" s="275"/>
      <c r="AC735" s="275"/>
      <c r="AD735" s="275"/>
      <c r="AE735" s="275"/>
    </row>
    <row r="736" spans="15:31">
      <c r="O736" s="275"/>
      <c r="P736" s="275"/>
      <c r="Q736" s="275"/>
      <c r="R736" s="275"/>
      <c r="S736" s="275"/>
      <c r="T736" s="275"/>
      <c r="U736" s="275"/>
      <c r="V736" s="275"/>
      <c r="W736" s="275"/>
      <c r="X736" s="275"/>
      <c r="Y736" s="275"/>
      <c r="Z736" s="275"/>
      <c r="AA736" s="275"/>
      <c r="AB736" s="275"/>
      <c r="AC736" s="275"/>
      <c r="AD736" s="275"/>
      <c r="AE736" s="275"/>
    </row>
    <row r="737" spans="15:31">
      <c r="O737" s="275"/>
      <c r="P737" s="275"/>
      <c r="Q737" s="275"/>
      <c r="R737" s="275"/>
      <c r="S737" s="275"/>
      <c r="T737" s="275"/>
      <c r="U737" s="275"/>
      <c r="V737" s="275"/>
      <c r="W737" s="275"/>
      <c r="X737" s="275"/>
      <c r="Y737" s="275"/>
      <c r="Z737" s="275"/>
      <c r="AA737" s="275"/>
      <c r="AB737" s="275"/>
      <c r="AC737" s="275"/>
      <c r="AD737" s="275"/>
      <c r="AE737" s="275"/>
    </row>
    <row r="738" spans="15:31">
      <c r="O738" s="275"/>
      <c r="P738" s="275"/>
      <c r="Q738" s="275"/>
      <c r="R738" s="275"/>
      <c r="S738" s="275"/>
      <c r="T738" s="275"/>
      <c r="U738" s="275"/>
      <c r="V738" s="275"/>
      <c r="W738" s="275"/>
      <c r="X738" s="275"/>
      <c r="Y738" s="275"/>
      <c r="Z738" s="275"/>
      <c r="AA738" s="275"/>
      <c r="AB738" s="275"/>
      <c r="AC738" s="275"/>
      <c r="AD738" s="275"/>
      <c r="AE738" s="275"/>
    </row>
    <row r="739" spans="15:31">
      <c r="O739" s="275"/>
      <c r="P739" s="275"/>
      <c r="Q739" s="275"/>
      <c r="R739" s="275"/>
      <c r="S739" s="275"/>
      <c r="T739" s="275"/>
      <c r="U739" s="275"/>
      <c r="V739" s="275"/>
      <c r="W739" s="275"/>
      <c r="X739" s="275"/>
      <c r="Y739" s="275"/>
      <c r="Z739" s="275"/>
      <c r="AA739" s="275"/>
      <c r="AB739" s="275"/>
      <c r="AC739" s="275"/>
      <c r="AD739" s="275"/>
      <c r="AE739" s="275"/>
    </row>
    <row r="740" spans="15:31">
      <c r="O740" s="275"/>
      <c r="P740" s="275"/>
      <c r="Q740" s="275"/>
      <c r="R740" s="275"/>
      <c r="S740" s="275"/>
      <c r="T740" s="275"/>
      <c r="U740" s="275"/>
      <c r="V740" s="275"/>
      <c r="W740" s="275"/>
      <c r="X740" s="275"/>
      <c r="Y740" s="275"/>
      <c r="Z740" s="275"/>
      <c r="AA740" s="275"/>
      <c r="AB740" s="275"/>
      <c r="AC740" s="275"/>
      <c r="AD740" s="275"/>
      <c r="AE740" s="275"/>
    </row>
    <row r="741" spans="15:31">
      <c r="O741" s="275"/>
      <c r="P741" s="275"/>
      <c r="Q741" s="275"/>
      <c r="R741" s="275"/>
      <c r="S741" s="275"/>
      <c r="T741" s="275"/>
      <c r="U741" s="275"/>
      <c r="V741" s="275"/>
      <c r="W741" s="275"/>
      <c r="X741" s="275"/>
      <c r="Y741" s="275"/>
      <c r="Z741" s="275"/>
      <c r="AA741" s="275"/>
      <c r="AB741" s="275"/>
      <c r="AC741" s="275"/>
      <c r="AD741" s="275"/>
      <c r="AE741" s="275"/>
    </row>
    <row r="742" spans="15:31">
      <c r="O742" s="275"/>
      <c r="P742" s="275"/>
      <c r="Q742" s="275"/>
      <c r="R742" s="275"/>
      <c r="S742" s="275"/>
      <c r="T742" s="275"/>
      <c r="U742" s="275"/>
      <c r="V742" s="275"/>
      <c r="W742" s="275"/>
      <c r="X742" s="275"/>
      <c r="Y742" s="275"/>
      <c r="Z742" s="275"/>
      <c r="AA742" s="275"/>
      <c r="AB742" s="275"/>
      <c r="AC742" s="275"/>
      <c r="AD742" s="275"/>
      <c r="AE742" s="275"/>
    </row>
    <row r="743" spans="15:31">
      <c r="O743" s="275"/>
      <c r="P743" s="275"/>
      <c r="Q743" s="275"/>
      <c r="R743" s="275"/>
      <c r="S743" s="275"/>
      <c r="T743" s="275"/>
      <c r="U743" s="275"/>
      <c r="V743" s="275"/>
      <c r="W743" s="275"/>
      <c r="X743" s="275"/>
      <c r="Y743" s="275"/>
      <c r="Z743" s="275"/>
      <c r="AA743" s="275"/>
      <c r="AB743" s="275"/>
      <c r="AC743" s="275"/>
      <c r="AD743" s="275"/>
      <c r="AE743" s="275"/>
    </row>
    <row r="744" spans="15:31">
      <c r="O744" s="275"/>
      <c r="P744" s="275"/>
      <c r="Q744" s="275"/>
      <c r="R744" s="275"/>
      <c r="S744" s="275"/>
      <c r="T744" s="275"/>
      <c r="U744" s="275"/>
      <c r="V744" s="275"/>
      <c r="W744" s="275"/>
      <c r="X744" s="275"/>
      <c r="Y744" s="275"/>
      <c r="Z744" s="275"/>
      <c r="AA744" s="275"/>
      <c r="AB744" s="275"/>
      <c r="AC744" s="275"/>
      <c r="AD744" s="275"/>
      <c r="AE744" s="275"/>
    </row>
    <row r="745" spans="15:31">
      <c r="O745" s="275"/>
      <c r="P745" s="275"/>
      <c r="Q745" s="275"/>
      <c r="R745" s="275"/>
      <c r="S745" s="275"/>
      <c r="T745" s="275"/>
      <c r="U745" s="275"/>
      <c r="V745" s="275"/>
      <c r="W745" s="275"/>
      <c r="X745" s="275"/>
      <c r="Y745" s="275"/>
      <c r="Z745" s="275"/>
      <c r="AA745" s="275"/>
      <c r="AB745" s="275"/>
      <c r="AC745" s="275"/>
      <c r="AD745" s="275"/>
      <c r="AE745" s="275"/>
    </row>
    <row r="746" spans="15:31">
      <c r="O746" s="275"/>
      <c r="P746" s="275"/>
      <c r="Q746" s="275"/>
      <c r="R746" s="275"/>
      <c r="S746" s="275"/>
      <c r="T746" s="275"/>
      <c r="U746" s="275"/>
      <c r="V746" s="275"/>
      <c r="W746" s="275"/>
      <c r="X746" s="275"/>
      <c r="Y746" s="275"/>
      <c r="Z746" s="275"/>
      <c r="AA746" s="275"/>
      <c r="AB746" s="275"/>
      <c r="AC746" s="275"/>
      <c r="AD746" s="275"/>
      <c r="AE746" s="275"/>
    </row>
    <row r="747" spans="15:31">
      <c r="O747" s="275"/>
      <c r="P747" s="275"/>
      <c r="Q747" s="275"/>
      <c r="R747" s="275"/>
      <c r="S747" s="275"/>
      <c r="T747" s="275"/>
      <c r="U747" s="275"/>
      <c r="V747" s="275"/>
      <c r="W747" s="275"/>
      <c r="X747" s="275"/>
      <c r="Y747" s="275"/>
      <c r="Z747" s="275"/>
      <c r="AA747" s="275"/>
      <c r="AB747" s="275"/>
      <c r="AC747" s="275"/>
      <c r="AD747" s="275"/>
      <c r="AE747" s="275"/>
    </row>
    <row r="748" spans="15:31">
      <c r="O748" s="275"/>
      <c r="P748" s="275"/>
      <c r="Q748" s="275"/>
      <c r="R748" s="275"/>
      <c r="S748" s="275"/>
      <c r="T748" s="275"/>
      <c r="U748" s="275"/>
      <c r="V748" s="275"/>
      <c r="W748" s="275"/>
      <c r="X748" s="275"/>
      <c r="Y748" s="275"/>
      <c r="Z748" s="275"/>
      <c r="AA748" s="275"/>
      <c r="AB748" s="275"/>
      <c r="AC748" s="275"/>
      <c r="AD748" s="275"/>
      <c r="AE748" s="275"/>
    </row>
    <row r="749" spans="15:31">
      <c r="O749" s="275"/>
      <c r="P749" s="275"/>
      <c r="Q749" s="275"/>
      <c r="R749" s="275"/>
      <c r="S749" s="275"/>
      <c r="T749" s="275"/>
      <c r="U749" s="275"/>
      <c r="V749" s="275"/>
      <c r="W749" s="275"/>
      <c r="X749" s="275"/>
      <c r="Y749" s="275"/>
      <c r="Z749" s="275"/>
      <c r="AA749" s="275"/>
      <c r="AB749" s="275"/>
      <c r="AC749" s="275"/>
      <c r="AD749" s="275"/>
      <c r="AE749" s="275"/>
    </row>
    <row r="750" spans="15:31">
      <c r="O750" s="275"/>
      <c r="P750" s="275"/>
      <c r="Q750" s="275"/>
      <c r="R750" s="275"/>
      <c r="S750" s="275"/>
      <c r="T750" s="275"/>
      <c r="U750" s="275"/>
      <c r="V750" s="275"/>
      <c r="W750" s="275"/>
      <c r="X750" s="275"/>
      <c r="Y750" s="275"/>
      <c r="Z750" s="275"/>
      <c r="AA750" s="275"/>
      <c r="AB750" s="275"/>
      <c r="AC750" s="275"/>
      <c r="AD750" s="275"/>
      <c r="AE750" s="275"/>
    </row>
    <row r="751" spans="15:31">
      <c r="O751" s="275"/>
      <c r="P751" s="275"/>
      <c r="Q751" s="275"/>
      <c r="R751" s="275"/>
      <c r="S751" s="275"/>
      <c r="T751" s="275"/>
      <c r="U751" s="275"/>
      <c r="V751" s="275"/>
      <c r="W751" s="275"/>
      <c r="X751" s="275"/>
      <c r="Y751" s="275"/>
      <c r="Z751" s="275"/>
      <c r="AA751" s="275"/>
      <c r="AB751" s="275"/>
      <c r="AC751" s="275"/>
      <c r="AD751" s="275"/>
      <c r="AE751" s="275"/>
    </row>
    <row r="752" spans="15:31">
      <c r="O752" s="275"/>
      <c r="P752" s="275"/>
      <c r="Q752" s="275"/>
      <c r="R752" s="275"/>
      <c r="S752" s="275"/>
      <c r="T752" s="275"/>
      <c r="U752" s="275"/>
      <c r="V752" s="275"/>
      <c r="W752" s="275"/>
      <c r="X752" s="275"/>
      <c r="Y752" s="275"/>
      <c r="Z752" s="275"/>
      <c r="AA752" s="275"/>
      <c r="AB752" s="275"/>
      <c r="AC752" s="275"/>
      <c r="AD752" s="275"/>
      <c r="AE752" s="275"/>
    </row>
    <row r="753" spans="15:31"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15:31"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15:31"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15:31"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15:31"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15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15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15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15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15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15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15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15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15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15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15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2024-07-29T14:05:26Z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